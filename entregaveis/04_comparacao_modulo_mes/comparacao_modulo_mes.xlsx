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6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Resumo" sheetId="2" state="visible" r:id="rId4"/>
    <sheet name="Parametros" sheetId="3" state="visible" r:id="rId5"/>
    <sheet name="Modulo" sheetId="4" state="visible" r:id="rId6"/>
    <sheet name="MES" sheetId="5" state="visible" r:id="rId7"/>
    <sheet name="Amostragem" sheetId="6" state="visible" r:id="rId8"/>
    <sheet name="Janela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Dados simulados. Substituir pela exportação do PIMS.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Dados simulados. Um resultado por linha, em ordem cronológica, sem linhas em branco no meio.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1 quando qualquer equipamento (07CR001, 07CR002, 07AL001, 07TP018) estiver em falha no instante.</t>
        </r>
      </text>
    </comment>
  </commentList>
</comments>
</file>

<file path=xl/sharedStrings.xml><?xml version="1.0" encoding="utf-8"?>
<sst xmlns="http://schemas.openxmlformats.org/spreadsheetml/2006/main" count="1439" uniqueCount="104">
  <si>
    <t xml:space="preserve">Comparação módulo de compressão automática x laboratório (MES), PQ Usina 4</t>
  </si>
  <si>
    <t xml:space="preserve">ATENÇÃO: os dados das abas Modulo, MES e Amostragem são SIMULADOS, apenas para demonstrar a planilha.</t>
  </si>
  <si>
    <t xml:space="preserve">Como usar</t>
  </si>
  <si>
    <t xml:space="preserve">1. Exporte do PIMS (Aspen Process Data no Excel ou exportação do Process Explorer) o mesmo período para as tags abaixo.</t>
  </si>
  <si>
    <t xml:space="preserve">2. Apague os dados simulados e cole os dados reais nas células amarelas das abas Modulo, MES e Amostragem, a partir da linha 2.</t>
  </si>
  <si>
    <t xml:space="preserve">3. Ajuste os parâmetros na aba Parametros (células amarelas). Os valores marcados como 'a confirmar' são hipóteses.</t>
  </si>
  <si>
    <t xml:space="preserve">4. A aba Janelas monta uma linha por resultado do MES, calcula a média do módulo na mesma janela e decide se a janela é válida.</t>
  </si>
  <si>
    <t xml:space="preserve">5. A aba Resumo traz o viés, os limites de concordância (Bland-Altman), o teste t pareado e os gráficos.</t>
  </si>
  <si>
    <t xml:space="preserve">Tags de origem</t>
  </si>
  <si>
    <t xml:space="preserve">Modulo: 307-GI-001 (carga média, daN/pelota), 307-GI-002 (desvio padrão), qualidade de 307-GI-001. Um ensaio a cada 30 min.</t>
  </si>
  <si>
    <t xml:space="preserve">MES: M4710050020-0031-HHLFU (Compressão, mapa IP_MESVALOR, servidor UBU). Um resultado a cada 2 h.</t>
  </si>
  <si>
    <t xml:space="preserve">Amostragem: modo de U04-07CR001 e U04-07CR002 (mapa IP_PIDMAP03: Automático ou Manual), falha do sistema (U04-07CR001, U04-07CR002, U04-07AL001, U04-07TP018 pelo mapa IP_PIDMAP01) e alimentação 406-FX-001 (t/h).</t>
  </si>
  <si>
    <t xml:space="preserve">Sugestão de amostragem na exportação da aba Amostragem: um valor a cada 10 min (interpolado ou último valor).</t>
  </si>
  <si>
    <t xml:space="preserve">Legenda</t>
  </si>
  <si>
    <t xml:space="preserve">Células amarelas: entrada de dados ou parâmetros. Células cinza: fórmulas, não editar.</t>
  </si>
  <si>
    <t xml:space="preserve">Janela válida: resultado MES presente, módulo com o mínimo de ensaios Good, amostragem em automático e sem falha durante a janela e usina com alimentação acima do mínimo.</t>
  </si>
  <si>
    <t xml:space="preserve">Comparação módulo x MES: resumo do período</t>
  </si>
  <si>
    <t xml:space="preserve">Período analisado: início</t>
  </si>
  <si>
    <t xml:space="preserve">Período analisado: fim</t>
  </si>
  <si>
    <t xml:space="preserve">Janelas com resultado MES</t>
  </si>
  <si>
    <t xml:space="preserve">Janelas válidas</t>
  </si>
  <si>
    <t xml:space="preserve">Percentual de janelas válidas</t>
  </si>
  <si>
    <t xml:space="preserve">Inválidas: amostragem em manual ou em falha</t>
  </si>
  <si>
    <t xml:space="preserve">Inválidas: poucos ensaios do módulo</t>
  </si>
  <si>
    <t xml:space="preserve">Inválidas: usina parada ou baixa alimentação</t>
  </si>
  <si>
    <t xml:space="preserve">Inválidas: sem resultado MES</t>
  </si>
  <si>
    <t xml:space="preserve">Viés médio, módulo menos MES (daN/pelota)</t>
  </si>
  <si>
    <t xml:space="preserve">Positivo: o módulo mede mais que o laboratório.</t>
  </si>
  <si>
    <t xml:space="preserve">Desvio padrão das diferenças (daN/pelota)</t>
  </si>
  <si>
    <t xml:space="preserve">Inclui a variação natural entre as pelotas e a diferença de amostra entre os dois métodos.</t>
  </si>
  <si>
    <t xml:space="preserve">Viés relativo médio</t>
  </si>
  <si>
    <t xml:space="preserve">Limite inferior de concordância (viés menos 1,96 DP)</t>
  </si>
  <si>
    <t xml:space="preserve">Faixa em que se esperam 95 % das diferenças, se o comportamento se mantiver.</t>
  </si>
  <si>
    <t xml:space="preserve">Limite superior de concordância (viés mais 1,96 DP)</t>
  </si>
  <si>
    <t xml:space="preserve">Teste t pareado: estatística t</t>
  </si>
  <si>
    <t xml:space="preserve">Compara o viés médio com zero.</t>
  </si>
  <si>
    <t xml:space="preserve">Teste t pareado: p-valor (bilateral)</t>
  </si>
  <si>
    <t xml:space="preserve">Abaixo de 0,05: o viés é estatisticamente significativo.</t>
  </si>
  <si>
    <t xml:space="preserve">Correlação entre módulo e MES (janelas válidas)</t>
  </si>
  <si>
    <t xml:space="preserve">Depende da faixa de variação do período: em período estável a correlação tende a ser baixa mesmo com boa concordância.</t>
  </si>
  <si>
    <t xml:space="preserve">Janelas válidas fora dos limites de concordância</t>
  </si>
  <si>
    <t xml:space="preserve">Diferença esperada só pelo acaso das pelotas, 95 % (daN/pelota)</t>
  </si>
  <si>
    <t xml:space="preserve">Referência de quanto os dois métodos podem diferir mesmo medindo o mesmo material, só pelas pelotas sorteadas. Usa o DP médio do módulo e as quantidades de pelotas dos Parametros. Se o DP das diferenças (B13) for muito maior que isso, há outra fonte de diferença (amostra diferente, calibração ou horário).</t>
  </si>
  <si>
    <t xml:space="preserve">Conclusão</t>
  </si>
  <si>
    <t xml:space="preserve">Parâmetro</t>
  </si>
  <si>
    <t xml:space="preserve">Valor</t>
  </si>
  <si>
    <t xml:space="preserve">Unidade</t>
  </si>
  <si>
    <t xml:space="preserve">Observação</t>
  </si>
  <si>
    <t xml:space="preserve">Duração da janela do MES</t>
  </si>
  <si>
    <t xml:space="preserve">h</t>
  </si>
  <si>
    <t xml:space="preserve">Um resultado do MES a cada 2 h (informado pelo LCE)</t>
  </si>
  <si>
    <t xml:space="preserve">Início da janela em relação ao horário do resultado MES</t>
  </si>
  <si>
    <t xml:space="preserve">A confirmar. -2 significa que o resultado das 10:00 representa a amostra composta de 08:00 a 10:00. Use 0 se o horário marcar o início.</t>
  </si>
  <si>
    <t xml:space="preserve">Mínimo de ensaios do módulo na janela</t>
  </si>
  <si>
    <t xml:space="preserve">ensaios</t>
  </si>
  <si>
    <t xml:space="preserve">Esperados 4 ensaios (um a cada 30 min) por janela de 2 h</t>
  </si>
  <si>
    <t xml:space="preserve">Fração mínima do tempo em automático e sem falha</t>
  </si>
  <si>
    <t xml:space="preserve">1 = 100 % da janela em automático e sem falha</t>
  </si>
  <si>
    <t xml:space="preserve">Alimentação mínima (406-FX-001)</t>
  </si>
  <si>
    <t xml:space="preserve">t/h</t>
  </si>
  <si>
    <t xml:space="preserve">A confirmar. Abaixo disso a usina é considerada parada ou em baixa carga</t>
  </si>
  <si>
    <t xml:space="preserve">Qualidade aceita do módulo</t>
  </si>
  <si>
    <t xml:space="preserve">Good</t>
  </si>
  <si>
    <t xml:space="preserve">Ensaios com qualidade diferente são descartados</t>
  </si>
  <si>
    <t xml:space="preserve">Pelotas por ensaio no laboratório</t>
  </si>
  <si>
    <t xml:space="preserve">pelotas</t>
  </si>
  <si>
    <t xml:space="preserve">A confirmar com o procedimento do LCE</t>
  </si>
  <si>
    <t xml:space="preserve">Pelotas por ensaio no módulo</t>
  </si>
  <si>
    <t xml:space="preserve">A confirmar com o fornecedor do módulo</t>
  </si>
  <si>
    <t xml:space="preserve">Data e hora do ensaio</t>
  </si>
  <si>
    <t xml:space="preserve">Carga média 307-GI-001 (daN/pelota)</t>
  </si>
  <si>
    <t xml:space="preserve">Desvio padrão 307-GI-002 (daN/pelota)</t>
  </si>
  <si>
    <t xml:space="preserve">Qualidade 307-GI-001</t>
  </si>
  <si>
    <t xml:space="preserve">Bad</t>
  </si>
  <si>
    <t xml:space="preserve">Data e hora do resultado</t>
  </si>
  <si>
    <t xml:space="preserve">Compressão MES M4710050020-0031-HHLFU (daN/pelota)</t>
  </si>
  <si>
    <t xml:space="preserve">Data e hora</t>
  </si>
  <si>
    <t xml:space="preserve">Modo 07CR001 (Automático/Manual)</t>
  </si>
  <si>
    <t xml:space="preserve">Modo 07CR002 (Automático/Manual)</t>
  </si>
  <si>
    <t xml:space="preserve">Falha no sistema (0 = não, 1 = sim)</t>
  </si>
  <si>
    <t xml:space="preserve">Alimentação 406-FX-001 (t/h)</t>
  </si>
  <si>
    <t xml:space="preserve">Automático</t>
  </si>
  <si>
    <t xml:space="preserve">Manual</t>
  </si>
  <si>
    <t xml:space="preserve">Horário do resultado MES</t>
  </si>
  <si>
    <t xml:space="preserve">Compressão MES (daN/pelota)</t>
  </si>
  <si>
    <t xml:space="preserve">Início da janela</t>
  </si>
  <si>
    <t xml:space="preserve">Fim da janela</t>
  </si>
  <si>
    <t xml:space="preserve">Ensaios do módulo (Good)</t>
  </si>
  <si>
    <t xml:space="preserve">Média do módulo (daN/pelota)</t>
  </si>
  <si>
    <t xml:space="preserve">DP médio do módulo (daN/pelota)</t>
  </si>
  <si>
    <t xml:space="preserve">Fração em automático e sem falha</t>
  </si>
  <si>
    <t xml:space="preserve">Alimentação média (t/h)</t>
  </si>
  <si>
    <t xml:space="preserve">Situação da janela</t>
  </si>
  <si>
    <t xml:space="preserve">Diferença módulo menos MES (daN/pelota)</t>
  </si>
  <si>
    <t xml:space="preserve">Diferença relativa</t>
  </si>
  <si>
    <t xml:space="preserve">Média dos dois métodos (daN/pelota)</t>
  </si>
  <si>
    <t xml:space="preserve">Fora dos limites de concordância?</t>
  </si>
  <si>
    <t xml:space="preserve">X gráfico</t>
  </si>
  <si>
    <t xml:space="preserve">MES gráfico</t>
  </si>
  <si>
    <t xml:space="preserve">Módulo gráfico</t>
  </si>
  <si>
    <t xml:space="preserve">Diferença gráfico</t>
  </si>
  <si>
    <t xml:space="preserve">Média gráfico</t>
  </si>
  <si>
    <t xml:space="preserve">MES válida</t>
  </si>
  <si>
    <t xml:space="preserve">Módulo válido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</si>
</sst>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/mm/yyyy\ hh:mm"/>
    <numFmt numFmtId="166" formatCode="0"/>
    <numFmt numFmtId="167" formatCode="0%"/>
    <numFmt numFmtId="168" formatCode="0.0"/>
    <numFmt numFmtId="169" formatCode="0.0%"/>
    <numFmt numFmtId="170" formatCode="0.00"/>
    <numFmt numFmtId="171" formatCode="0.0000"/>
    <numFmt numFmtId="172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2630"/>
        <bgColor rgb="FF333300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6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Compressão: MES x média do módulo na mesma janela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c00000"/>
            </a:solidFill>
            <a:ln w="47520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smooth val="1"/>
        </c:ser>
        <c:ser>
          <c:idx val="1"/>
          <c:order val="1"/>
          <c:spPr>
            <a:solidFill>
              <a:srgbClr val="1f77b4"/>
            </a:solidFill>
            <a:ln w="47520">
              <a:solidFill>
                <a:srgbClr val="1f77b4"/>
              </a:solidFill>
              <a:round/>
            </a:ln>
          </c:spPr>
          <c:marker>
            <c:symbol val="circle"/>
            <c:size val="5"/>
            <c:spPr>
              <a:solidFill>
                <a:srgbClr val="1f77b4"/>
              </a:solidFill>
            </c:spPr>
          </c:marker>
          <c:smooth val="1"/>
        </c:ser>
        <c:axId val="23248014"/>
        <c:axId val="95856387"/>
      </c:scatterChart>
      <c:valAx>
        <c:axId val="2324801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Horário do resultado 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\ hh: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856387"/>
        <c:crosses val="autoZero"/>
        <c:crossBetween val="midCat"/>
      </c:valAx>
      <c:valAx>
        <c:axId val="958563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daN/pelota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24801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Bland-Altman: diferença x média dos dois métodos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f77b4"/>
            </a:solidFill>
            <a:ln w="47520"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</c:spPr>
          </c:marker>
          <c:smooth val="1"/>
        </c:ser>
        <c:axId val="76314018"/>
        <c:axId val="51556977"/>
      </c:scatterChart>
      <c:valAx>
        <c:axId val="7631401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Média dos dois métodos (daN/pelota)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556977"/>
        <c:crosses val="autoZero"/>
        <c:crossBetween val="midCat"/>
      </c:valAx>
      <c:valAx>
        <c:axId val="515569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Módulo menos MES (daN/pelota)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31401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295920</xdr:rowOff>
    </xdr:from>
    <xdr:to>
      <xdr:col>2</xdr:col>
      <xdr:colOff>2139840</xdr:colOff>
      <xdr:row>35</xdr:row>
      <xdr:rowOff>44280</xdr:rowOff>
    </xdr:to>
    <xdr:graphicFrame>
      <xdr:nvGraphicFramePr>
        <xdr:cNvPr id="0" name="Chart 1"/>
        <xdr:cNvGraphicFramePr/>
      </xdr:nvGraphicFramePr>
      <xdr:xfrm>
        <a:off x="0" y="457200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37</xdr:row>
      <xdr:rowOff>43200</xdr:rowOff>
    </xdr:from>
    <xdr:to>
      <xdr:col>2</xdr:col>
      <xdr:colOff>2139840</xdr:colOff>
      <xdr:row>54</xdr:row>
      <xdr:rowOff>44280</xdr:rowOff>
    </xdr:to>
    <xdr:graphicFrame>
      <xdr:nvGraphicFramePr>
        <xdr:cNvPr id="1" name="Chart 2"/>
        <xdr:cNvGraphicFramePr/>
      </xdr:nvGraphicFramePr>
      <xdr:xfrm>
        <a:off x="0" y="819144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4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4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4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6.15" hidden="false" customHeight="false" outlineLevel="0" collapsed="false">
      <c r="A1" s="1" t="s">
        <v>16</v>
      </c>
      <c r="B1" s="5"/>
      <c r="C1" s="5"/>
    </row>
    <row r="2" customFormat="false" ht="15" hidden="false" customHeight="false" outlineLevel="0" collapsed="false">
      <c r="A2" s="2" t="s">
        <v>17</v>
      </c>
      <c r="B2" s="6" t="n">
        <f aca="false">IFERROR(MIN(Janelas!$A$2:$A$501),"")</f>
        <v>46315.0833333333</v>
      </c>
      <c r="C2" s="5"/>
    </row>
    <row r="3" customFormat="false" ht="15" hidden="false" customHeight="false" outlineLevel="0" collapsed="false">
      <c r="A3" s="2" t="s">
        <v>18</v>
      </c>
      <c r="B3" s="6" t="n">
        <f aca="false">IFERROR(MAX(Janelas!$A$2:$A$501),"")</f>
        <v>46319</v>
      </c>
      <c r="C3" s="5"/>
    </row>
    <row r="4" customFormat="false" ht="15" hidden="false" customHeight="false" outlineLevel="0" collapsed="false">
      <c r="A4" s="2" t="s">
        <v>19</v>
      </c>
      <c r="B4" s="7" t="n">
        <f aca="false">COUNT(Janelas!$A$2:$A$501)</f>
        <v>46</v>
      </c>
      <c r="C4" s="5"/>
    </row>
    <row r="5" customFormat="false" ht="15" hidden="false" customHeight="false" outlineLevel="0" collapsed="false">
      <c r="A5" s="2" t="s">
        <v>20</v>
      </c>
      <c r="B5" s="7" t="n">
        <f aca="false">COUNTIF(Janelas!$J$2:$J$501,"Válida")</f>
        <v>39</v>
      </c>
      <c r="C5" s="5"/>
    </row>
    <row r="6" customFormat="false" ht="15" hidden="false" customHeight="false" outlineLevel="0" collapsed="false">
      <c r="A6" s="2" t="s">
        <v>21</v>
      </c>
      <c r="B6" s="8" t="n">
        <f aca="false">IF(B4=0,"",B5/B4)</f>
        <v>0.847826086956522</v>
      </c>
      <c r="C6" s="5"/>
    </row>
    <row r="7" customFormat="false" ht="15" hidden="false" customHeight="false" outlineLevel="0" collapsed="false">
      <c r="A7" s="2" t="s">
        <v>22</v>
      </c>
      <c r="B7" s="7" t="n">
        <f aca="false">COUNTIF(Janelas!$J$2:$J$501,"Inválida: amostragem*")</f>
        <v>5</v>
      </c>
      <c r="C7" s="5"/>
    </row>
    <row r="8" customFormat="false" ht="15" hidden="false" customHeight="false" outlineLevel="0" collapsed="false">
      <c r="A8" s="2" t="s">
        <v>23</v>
      </c>
      <c r="B8" s="7" t="n">
        <f aca="false">COUNTIF(Janelas!$J$2:$J$501,"Inválida: poucos*")</f>
        <v>2</v>
      </c>
      <c r="C8" s="5"/>
    </row>
    <row r="9" customFormat="false" ht="15" hidden="false" customHeight="false" outlineLevel="0" collapsed="false">
      <c r="A9" s="2" t="s">
        <v>24</v>
      </c>
      <c r="B9" s="7" t="n">
        <f aca="false">COUNTIF(Janelas!$J$2:$J$501,"Inválida: usina*")</f>
        <v>0</v>
      </c>
      <c r="C9" s="5"/>
    </row>
    <row r="10" customFormat="false" ht="15" hidden="false" customHeight="false" outlineLevel="0" collapsed="false">
      <c r="A10" s="2" t="s">
        <v>25</v>
      </c>
      <c r="B10" s="7" t="n">
        <f aca="false">COUNTIF(Janelas!$J$2:$J$501,"Inválida: sem*")</f>
        <v>0</v>
      </c>
      <c r="C10" s="5"/>
    </row>
    <row r="11" customFormat="false" ht="15" hidden="false" customHeight="false" outlineLevel="0" collapsed="false">
      <c r="A11" s="2"/>
      <c r="B11" s="5"/>
      <c r="C11" s="5"/>
    </row>
    <row r="12" customFormat="false" ht="15" hidden="false" customHeight="false" outlineLevel="0" collapsed="false">
      <c r="A12" s="2" t="s">
        <v>26</v>
      </c>
      <c r="B12" s="9" t="n">
        <f aca="false">IFERROR(AVERAGE(Janelas!$K$2:$K$501),"")</f>
        <v>6.78311965811966</v>
      </c>
      <c r="C12" s="10" t="s">
        <v>27</v>
      </c>
    </row>
    <row r="13" customFormat="false" ht="26.85" hidden="false" customHeight="false" outlineLevel="0" collapsed="false">
      <c r="A13" s="2" t="s">
        <v>28</v>
      </c>
      <c r="B13" s="9" t="n">
        <f aca="false">IFERROR(STDEV(Janelas!$K$2:$K$501),"")</f>
        <v>10.5989852638228</v>
      </c>
      <c r="C13" s="10" t="s">
        <v>29</v>
      </c>
    </row>
    <row r="14" customFormat="false" ht="15" hidden="false" customHeight="false" outlineLevel="0" collapsed="false">
      <c r="A14" s="2" t="s">
        <v>30</v>
      </c>
      <c r="B14" s="11" t="n">
        <f aca="false">IFERROR(AVERAGE(Janelas!$L$2:$L$501),"")</f>
        <v>0.0248235478896481</v>
      </c>
      <c r="C14" s="5"/>
    </row>
    <row r="15" customFormat="false" ht="26.85" hidden="false" customHeight="false" outlineLevel="0" collapsed="false">
      <c r="A15" s="2" t="s">
        <v>31</v>
      </c>
      <c r="B15" s="9" t="n">
        <f aca="false">IFERROR(B12-1.96*B13,"")</f>
        <v>-13.990891458973</v>
      </c>
      <c r="C15" s="10" t="s">
        <v>32</v>
      </c>
    </row>
    <row r="16" customFormat="false" ht="15" hidden="false" customHeight="false" outlineLevel="0" collapsed="false">
      <c r="A16" s="2" t="s">
        <v>33</v>
      </c>
      <c r="B16" s="9" t="n">
        <f aca="false">IFERROR(B12+1.96*B13,"")</f>
        <v>27.5571307752123</v>
      </c>
      <c r="C16" s="5"/>
    </row>
    <row r="17" customFormat="false" ht="15" hidden="false" customHeight="false" outlineLevel="0" collapsed="false">
      <c r="A17" s="2" t="s">
        <v>34</v>
      </c>
      <c r="B17" s="12" t="n">
        <f aca="false">IFERROR(B12/(B13/SQRT(B5)),"")</f>
        <v>3.99666266472153</v>
      </c>
      <c r="C17" s="10" t="s">
        <v>35</v>
      </c>
    </row>
    <row r="18" customFormat="false" ht="15" hidden="false" customHeight="false" outlineLevel="0" collapsed="false">
      <c r="A18" s="2" t="s">
        <v>36</v>
      </c>
      <c r="B18" s="13" t="n">
        <f aca="false">IFERROR(TDIST(ABS(B17),B5-1,2),"")</f>
        <v>0.000285200410153467</v>
      </c>
      <c r="C18" s="10" t="s">
        <v>37</v>
      </c>
    </row>
    <row r="19" customFormat="false" ht="26.85" hidden="false" customHeight="false" outlineLevel="0" collapsed="false">
      <c r="A19" s="2" t="s">
        <v>38</v>
      </c>
      <c r="B19" s="12" t="n">
        <f aca="false">IFERROR(CORREL(Janelas!$T$2:$T$501,Janelas!$U$2:$U$501),"")</f>
        <v>0.800415024215281</v>
      </c>
      <c r="C19" s="10" t="s">
        <v>39</v>
      </c>
    </row>
    <row r="20" customFormat="false" ht="15" hidden="false" customHeight="false" outlineLevel="0" collapsed="false">
      <c r="A20" s="2" t="s">
        <v>40</v>
      </c>
      <c r="B20" s="7" t="n">
        <f aca="false">COUNTIF(Janelas!$N$2:$N$501,"Sim")</f>
        <v>2</v>
      </c>
      <c r="C20" s="5"/>
    </row>
    <row r="21" customFormat="false" ht="64.9" hidden="false" customHeight="false" outlineLevel="0" collapsed="false">
      <c r="A21" s="2" t="s">
        <v>41</v>
      </c>
      <c r="B21" s="9" t="n">
        <f aca="false">IFERROR(1.96*AVERAGE(Janelas!$G$2:$G$501)*SQRT(1/Parametros!$B$8+1/(Parametros!$B$9*AVERAGE(Janelas!$E$2:$E$501))),"")</f>
        <v>17.6938391132957</v>
      </c>
      <c r="C21" s="10" t="s">
        <v>42</v>
      </c>
    </row>
    <row r="22" customFormat="false" ht="15" hidden="false" customHeight="false" outlineLevel="0" collapsed="false">
      <c r="A22" s="4" t="s">
        <v>43</v>
      </c>
      <c r="B22" s="14" t="str">
        <f aca="false">IF(B5&lt;10,"Poucas janelas válidas. Recomendado: no mínimo 30.",IF(B18&lt;0.05,"Há viés estatisticamente significativo entre módulo e MES.","Não há evidência de viés entre módulo e MES."))&amp;IF(B5&lt;30," Amostra ainda pequena.","")</f>
        <v>Há viés estatisticamente significativo entre módulo e MES.</v>
      </c>
      <c r="C22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4"/>
    <col collapsed="false" customWidth="true" hidden="false" outlineLevel="0" max="4" min="4" style="0" width="70"/>
  </cols>
  <sheetData>
    <row r="1" customFormat="false" ht="45" hidden="false" customHeight="true" outlineLevel="0" collapsed="false">
      <c r="A1" s="15" t="s">
        <v>44</v>
      </c>
      <c r="B1" s="15" t="s">
        <v>45</v>
      </c>
      <c r="C1" s="15" t="s">
        <v>46</v>
      </c>
      <c r="D1" s="15" t="s">
        <v>47</v>
      </c>
    </row>
    <row r="2" customFormat="false" ht="15" hidden="false" customHeight="false" outlineLevel="0" collapsed="false">
      <c r="A2" s="5" t="s">
        <v>48</v>
      </c>
      <c r="B2" s="16" t="n">
        <v>2</v>
      </c>
      <c r="C2" s="5" t="s">
        <v>49</v>
      </c>
      <c r="D2" s="17" t="s">
        <v>50</v>
      </c>
    </row>
    <row r="3" customFormat="false" ht="26.85" hidden="false" customHeight="false" outlineLevel="0" collapsed="false">
      <c r="A3" s="5" t="s">
        <v>51</v>
      </c>
      <c r="B3" s="16" t="n">
        <v>-2</v>
      </c>
      <c r="C3" s="5" t="s">
        <v>49</v>
      </c>
      <c r="D3" s="17" t="s">
        <v>52</v>
      </c>
    </row>
    <row r="4" customFormat="false" ht="15" hidden="false" customHeight="false" outlineLevel="0" collapsed="false">
      <c r="A4" s="5" t="s">
        <v>53</v>
      </c>
      <c r="B4" s="16" t="n">
        <v>3</v>
      </c>
      <c r="C4" s="5" t="s">
        <v>54</v>
      </c>
      <c r="D4" s="17" t="s">
        <v>55</v>
      </c>
    </row>
    <row r="5" customFormat="false" ht="15" hidden="false" customHeight="false" outlineLevel="0" collapsed="false">
      <c r="A5" s="5" t="s">
        <v>56</v>
      </c>
      <c r="B5" s="18" t="n">
        <v>1</v>
      </c>
      <c r="C5" s="5"/>
      <c r="D5" s="17" t="s">
        <v>57</v>
      </c>
    </row>
    <row r="6" customFormat="false" ht="15" hidden="false" customHeight="false" outlineLevel="0" collapsed="false">
      <c r="A6" s="5" t="s">
        <v>58</v>
      </c>
      <c r="B6" s="16" t="n">
        <v>300</v>
      </c>
      <c r="C6" s="5" t="s">
        <v>59</v>
      </c>
      <c r="D6" s="17" t="s">
        <v>60</v>
      </c>
    </row>
    <row r="7" customFormat="false" ht="15" hidden="false" customHeight="false" outlineLevel="0" collapsed="false">
      <c r="A7" s="5" t="s">
        <v>61</v>
      </c>
      <c r="B7" s="16" t="s">
        <v>62</v>
      </c>
      <c r="C7" s="5"/>
      <c r="D7" s="17" t="s">
        <v>63</v>
      </c>
    </row>
    <row r="8" customFormat="false" ht="15" hidden="false" customHeight="false" outlineLevel="0" collapsed="false">
      <c r="A8" s="5" t="s">
        <v>64</v>
      </c>
      <c r="B8" s="16" t="n">
        <v>60</v>
      </c>
      <c r="C8" s="5" t="s">
        <v>65</v>
      </c>
      <c r="D8" s="17" t="s">
        <v>66</v>
      </c>
    </row>
    <row r="9" customFormat="false" ht="15" hidden="false" customHeight="false" outlineLevel="0" collapsed="false">
      <c r="A9" s="5" t="s">
        <v>67</v>
      </c>
      <c r="B9" s="16" t="n">
        <v>20</v>
      </c>
      <c r="C9" s="5" t="s">
        <v>65</v>
      </c>
      <c r="D9" s="17" t="s">
        <v>68</v>
      </c>
    </row>
  </sheetData>
  <dataValidations count="1">
    <dataValidation allowBlank="false" errorStyle="stop" operator="between" showDropDown="false" showErrorMessage="false" showInputMessage="false" sqref="B7" type="list">
      <formula1>"Good"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8"/>
    <col collapsed="false" customWidth="true" hidden="false" outlineLevel="0" max="4" min="4" style="0" width="14"/>
  </cols>
  <sheetData>
    <row r="1" customFormat="false" ht="45" hidden="false" customHeight="true" outlineLevel="0" collapsed="false">
      <c r="A1" s="15" t="s">
        <v>69</v>
      </c>
      <c r="B1" s="15" t="s">
        <v>70</v>
      </c>
      <c r="C1" s="15" t="s">
        <v>71</v>
      </c>
      <c r="D1" s="15" t="s">
        <v>72</v>
      </c>
    </row>
    <row r="2" customFormat="false" ht="15" hidden="false" customHeight="false" outlineLevel="0" collapsed="false">
      <c r="A2" s="19" t="n">
        <v>46315.0208333333</v>
      </c>
      <c r="B2" s="20" t="n">
        <v>303.1</v>
      </c>
      <c r="C2" s="20" t="n">
        <v>52.6</v>
      </c>
      <c r="D2" s="21" t="s">
        <v>62</v>
      </c>
    </row>
    <row r="3" customFormat="false" ht="15" hidden="false" customHeight="false" outlineLevel="0" collapsed="false">
      <c r="A3" s="19" t="n">
        <v>46315.0416666667</v>
      </c>
      <c r="B3" s="20" t="n">
        <v>297.8</v>
      </c>
      <c r="C3" s="20" t="n">
        <v>44.5</v>
      </c>
      <c r="D3" s="21" t="s">
        <v>62</v>
      </c>
    </row>
    <row r="4" customFormat="false" ht="15" hidden="false" customHeight="false" outlineLevel="0" collapsed="false">
      <c r="A4" s="19" t="n">
        <v>46315.0625</v>
      </c>
      <c r="B4" s="20" t="n">
        <v>309.7</v>
      </c>
      <c r="C4" s="20" t="n">
        <v>54.7</v>
      </c>
      <c r="D4" s="21" t="s">
        <v>62</v>
      </c>
    </row>
    <row r="5" customFormat="false" ht="15" hidden="false" customHeight="false" outlineLevel="0" collapsed="false">
      <c r="A5" s="19" t="n">
        <v>46315.0833333333</v>
      </c>
      <c r="B5" s="20" t="n">
        <v>306.3</v>
      </c>
      <c r="C5" s="20" t="n">
        <v>57.8</v>
      </c>
      <c r="D5" s="21" t="s">
        <v>73</v>
      </c>
    </row>
    <row r="6" customFormat="false" ht="15" hidden="false" customHeight="false" outlineLevel="0" collapsed="false">
      <c r="A6" s="19" t="n">
        <v>46315.1041666667</v>
      </c>
      <c r="B6" s="20" t="n">
        <v>310.5</v>
      </c>
      <c r="C6" s="20" t="n">
        <v>58.9</v>
      </c>
      <c r="D6" s="21" t="s">
        <v>73</v>
      </c>
    </row>
    <row r="7" customFormat="false" ht="15" hidden="false" customHeight="false" outlineLevel="0" collapsed="false">
      <c r="A7" s="19" t="n">
        <v>46315.125</v>
      </c>
      <c r="B7" s="20" t="n">
        <v>310.4</v>
      </c>
      <c r="C7" s="20" t="n">
        <v>58.6</v>
      </c>
      <c r="D7" s="21" t="s">
        <v>62</v>
      </c>
    </row>
    <row r="8" customFormat="false" ht="15" hidden="false" customHeight="false" outlineLevel="0" collapsed="false">
      <c r="A8" s="19" t="n">
        <v>46315.1458333333</v>
      </c>
      <c r="B8" s="20" t="n">
        <v>325.9</v>
      </c>
      <c r="C8" s="20" t="n">
        <v>52.4</v>
      </c>
      <c r="D8" s="21" t="s">
        <v>62</v>
      </c>
    </row>
    <row r="9" customFormat="false" ht="15" hidden="false" customHeight="false" outlineLevel="0" collapsed="false">
      <c r="A9" s="19" t="n">
        <v>46315.1666666667</v>
      </c>
      <c r="B9" s="20" t="n">
        <v>307.8</v>
      </c>
      <c r="C9" s="20" t="n">
        <v>54.5</v>
      </c>
      <c r="D9" s="21" t="s">
        <v>62</v>
      </c>
    </row>
    <row r="10" customFormat="false" ht="15" hidden="false" customHeight="false" outlineLevel="0" collapsed="false">
      <c r="A10" s="19" t="n">
        <v>46315.1875</v>
      </c>
      <c r="B10" s="20" t="n">
        <v>309.1</v>
      </c>
      <c r="C10" s="20" t="n">
        <v>53.9</v>
      </c>
      <c r="D10" s="21" t="s">
        <v>62</v>
      </c>
    </row>
    <row r="11" customFormat="false" ht="15" hidden="false" customHeight="false" outlineLevel="0" collapsed="false">
      <c r="A11" s="19" t="n">
        <v>46315.2083333333</v>
      </c>
      <c r="B11" s="20" t="n">
        <v>318.4</v>
      </c>
      <c r="C11" s="20" t="n">
        <v>46.4</v>
      </c>
      <c r="D11" s="21" t="s">
        <v>62</v>
      </c>
    </row>
    <row r="12" customFormat="false" ht="15" hidden="false" customHeight="false" outlineLevel="0" collapsed="false">
      <c r="A12" s="19" t="n">
        <v>46315.2291666667</v>
      </c>
      <c r="B12" s="20" t="n">
        <v>309.8</v>
      </c>
      <c r="C12" s="20" t="n">
        <v>45.9</v>
      </c>
      <c r="D12" s="21" t="s">
        <v>62</v>
      </c>
    </row>
    <row r="13" customFormat="false" ht="15" hidden="false" customHeight="false" outlineLevel="0" collapsed="false">
      <c r="A13" s="19" t="n">
        <v>46315.25</v>
      </c>
      <c r="B13" s="20" t="n">
        <v>302.4</v>
      </c>
      <c r="C13" s="20" t="n">
        <v>56.4</v>
      </c>
      <c r="D13" s="21" t="s">
        <v>62</v>
      </c>
    </row>
    <row r="14" customFormat="false" ht="15" hidden="false" customHeight="false" outlineLevel="0" collapsed="false">
      <c r="A14" s="19" t="n">
        <v>46315.2708333333</v>
      </c>
      <c r="B14" s="20" t="n">
        <v>296.7</v>
      </c>
      <c r="C14" s="20" t="n">
        <v>45.3</v>
      </c>
      <c r="D14" s="21" t="s">
        <v>62</v>
      </c>
    </row>
    <row r="15" customFormat="false" ht="15" hidden="false" customHeight="false" outlineLevel="0" collapsed="false">
      <c r="A15" s="19" t="n">
        <v>46315.2916666667</v>
      </c>
      <c r="B15" s="20" t="n">
        <v>308.2</v>
      </c>
      <c r="C15" s="20" t="n">
        <v>50.5</v>
      </c>
      <c r="D15" s="21" t="s">
        <v>62</v>
      </c>
    </row>
    <row r="16" customFormat="false" ht="15" hidden="false" customHeight="false" outlineLevel="0" collapsed="false">
      <c r="A16" s="19" t="n">
        <v>46315.3125</v>
      </c>
      <c r="B16" s="20" t="n">
        <v>307</v>
      </c>
      <c r="C16" s="20" t="n">
        <v>54</v>
      </c>
      <c r="D16" s="21" t="s">
        <v>62</v>
      </c>
    </row>
    <row r="17" customFormat="false" ht="15" hidden="false" customHeight="false" outlineLevel="0" collapsed="false">
      <c r="A17" s="19" t="n">
        <v>46315.3333333333</v>
      </c>
      <c r="B17" s="20" t="n">
        <v>312.6</v>
      </c>
      <c r="C17" s="20" t="n">
        <v>54.4</v>
      </c>
      <c r="D17" s="21" t="s">
        <v>62</v>
      </c>
    </row>
    <row r="18" customFormat="false" ht="15" hidden="false" customHeight="false" outlineLevel="0" collapsed="false">
      <c r="A18" s="19" t="n">
        <v>46315.3541666667</v>
      </c>
      <c r="B18" s="20" t="n">
        <v>299.9</v>
      </c>
      <c r="C18" s="20" t="n">
        <v>55.6</v>
      </c>
      <c r="D18" s="21" t="s">
        <v>62</v>
      </c>
    </row>
    <row r="19" customFormat="false" ht="15" hidden="false" customHeight="false" outlineLevel="0" collapsed="false">
      <c r="A19" s="19" t="n">
        <v>46315.375</v>
      </c>
      <c r="B19" s="20" t="n">
        <v>302.4</v>
      </c>
      <c r="C19" s="20" t="n">
        <v>63.7</v>
      </c>
      <c r="D19" s="21" t="s">
        <v>62</v>
      </c>
    </row>
    <row r="20" customFormat="false" ht="15" hidden="false" customHeight="false" outlineLevel="0" collapsed="false">
      <c r="A20" s="19" t="n">
        <v>46315.3958333333</v>
      </c>
      <c r="B20" s="20" t="n">
        <v>299.6</v>
      </c>
      <c r="C20" s="20" t="n">
        <v>50.1</v>
      </c>
      <c r="D20" s="21" t="s">
        <v>62</v>
      </c>
    </row>
    <row r="21" customFormat="false" ht="15" hidden="false" customHeight="false" outlineLevel="0" collapsed="false">
      <c r="A21" s="19" t="n">
        <v>46315.4166666667</v>
      </c>
      <c r="B21" s="20" t="n">
        <v>307.9</v>
      </c>
      <c r="C21" s="20" t="n">
        <v>56.2</v>
      </c>
      <c r="D21" s="21" t="s">
        <v>62</v>
      </c>
    </row>
    <row r="22" customFormat="false" ht="15" hidden="false" customHeight="false" outlineLevel="0" collapsed="false">
      <c r="A22" s="19" t="n">
        <v>46315.4375</v>
      </c>
      <c r="B22" s="20" t="n">
        <v>295.7</v>
      </c>
      <c r="C22" s="20" t="n">
        <v>47.1</v>
      </c>
      <c r="D22" s="21" t="s">
        <v>62</v>
      </c>
    </row>
    <row r="23" customFormat="false" ht="15" hidden="false" customHeight="false" outlineLevel="0" collapsed="false">
      <c r="A23" s="19" t="n">
        <v>46315.4583333333</v>
      </c>
      <c r="B23" s="20" t="n">
        <v>311.6</v>
      </c>
      <c r="C23" s="20" t="n">
        <v>44.8</v>
      </c>
      <c r="D23" s="21" t="s">
        <v>62</v>
      </c>
    </row>
    <row r="24" customFormat="false" ht="15" hidden="false" customHeight="false" outlineLevel="0" collapsed="false">
      <c r="A24" s="19" t="n">
        <v>46315.4791666667</v>
      </c>
      <c r="B24" s="20" t="n">
        <v>311</v>
      </c>
      <c r="C24" s="20" t="n">
        <v>52.9</v>
      </c>
      <c r="D24" s="21" t="s">
        <v>62</v>
      </c>
    </row>
    <row r="25" customFormat="false" ht="15" hidden="false" customHeight="false" outlineLevel="0" collapsed="false">
      <c r="A25" s="19" t="n">
        <v>46315.5</v>
      </c>
      <c r="B25" s="20" t="n">
        <v>309</v>
      </c>
      <c r="C25" s="20" t="n">
        <v>63.6</v>
      </c>
      <c r="D25" s="21" t="s">
        <v>62</v>
      </c>
    </row>
    <row r="26" customFormat="false" ht="15" hidden="false" customHeight="false" outlineLevel="0" collapsed="false">
      <c r="A26" s="19" t="n">
        <v>46315.5208333333</v>
      </c>
      <c r="B26" s="20" t="n">
        <v>299.4</v>
      </c>
      <c r="C26" s="20" t="n">
        <v>58.7</v>
      </c>
      <c r="D26" s="21" t="s">
        <v>62</v>
      </c>
    </row>
    <row r="27" customFormat="false" ht="15" hidden="false" customHeight="false" outlineLevel="0" collapsed="false">
      <c r="A27" s="19" t="n">
        <v>46315.5416666667</v>
      </c>
      <c r="B27" s="20" t="n">
        <v>314.1</v>
      </c>
      <c r="C27" s="20" t="n">
        <v>49.2</v>
      </c>
      <c r="D27" s="21" t="s">
        <v>62</v>
      </c>
    </row>
    <row r="28" customFormat="false" ht="15" hidden="false" customHeight="false" outlineLevel="0" collapsed="false">
      <c r="A28" s="19" t="n">
        <v>46315.5625</v>
      </c>
      <c r="B28" s="20" t="n">
        <v>306.9</v>
      </c>
      <c r="C28" s="20" t="n">
        <v>58.4</v>
      </c>
      <c r="D28" s="21" t="s">
        <v>62</v>
      </c>
    </row>
    <row r="29" customFormat="false" ht="15" hidden="false" customHeight="false" outlineLevel="0" collapsed="false">
      <c r="A29" s="19" t="n">
        <v>46315.5833333333</v>
      </c>
      <c r="B29" s="20" t="n">
        <v>291.2</v>
      </c>
      <c r="C29" s="20" t="n">
        <v>46.6</v>
      </c>
      <c r="D29" s="21" t="s">
        <v>62</v>
      </c>
    </row>
    <row r="30" customFormat="false" ht="15" hidden="false" customHeight="false" outlineLevel="0" collapsed="false">
      <c r="A30" s="19" t="n">
        <v>46315.6041666667</v>
      </c>
      <c r="B30" s="20" t="n">
        <v>314.9</v>
      </c>
      <c r="C30" s="20" t="n">
        <v>69</v>
      </c>
      <c r="D30" s="21" t="s">
        <v>62</v>
      </c>
    </row>
    <row r="31" customFormat="false" ht="15" hidden="false" customHeight="false" outlineLevel="0" collapsed="false">
      <c r="A31" s="19" t="n">
        <v>46315.625</v>
      </c>
      <c r="B31" s="20" t="n">
        <v>312.4</v>
      </c>
      <c r="C31" s="20" t="n">
        <v>52.8</v>
      </c>
      <c r="D31" s="21" t="s">
        <v>62</v>
      </c>
    </row>
    <row r="32" customFormat="false" ht="15" hidden="false" customHeight="false" outlineLevel="0" collapsed="false">
      <c r="A32" s="19" t="n">
        <v>46315.6458333333</v>
      </c>
      <c r="B32" s="20" t="n">
        <v>299.8</v>
      </c>
      <c r="C32" s="20" t="n">
        <v>45.6</v>
      </c>
      <c r="D32" s="21" t="s">
        <v>62</v>
      </c>
    </row>
    <row r="33" customFormat="false" ht="15" hidden="false" customHeight="false" outlineLevel="0" collapsed="false">
      <c r="A33" s="19" t="n">
        <v>46315.6666666667</v>
      </c>
      <c r="B33" s="20" t="n">
        <v>319.7</v>
      </c>
      <c r="C33" s="20" t="n">
        <v>53.9</v>
      </c>
      <c r="D33" s="21" t="s">
        <v>62</v>
      </c>
    </row>
    <row r="34" customFormat="false" ht="15" hidden="false" customHeight="false" outlineLevel="0" collapsed="false">
      <c r="A34" s="19" t="n">
        <v>46315.6875</v>
      </c>
      <c r="B34" s="20" t="n">
        <v>288.4</v>
      </c>
      <c r="C34" s="20" t="n">
        <v>49.6</v>
      </c>
      <c r="D34" s="21" t="s">
        <v>62</v>
      </c>
    </row>
    <row r="35" customFormat="false" ht="15" hidden="false" customHeight="false" outlineLevel="0" collapsed="false">
      <c r="A35" s="19" t="n">
        <v>46315.7083333333</v>
      </c>
      <c r="B35" s="20" t="n">
        <v>326.3</v>
      </c>
      <c r="C35" s="20" t="n">
        <v>52.6</v>
      </c>
      <c r="D35" s="21" t="s">
        <v>62</v>
      </c>
    </row>
    <row r="36" customFormat="false" ht="15" hidden="false" customHeight="false" outlineLevel="0" collapsed="false">
      <c r="A36" s="19" t="n">
        <v>46315.7291666667</v>
      </c>
      <c r="B36" s="20" t="n">
        <v>304.6</v>
      </c>
      <c r="C36" s="20" t="n">
        <v>51.1</v>
      </c>
      <c r="D36" s="21" t="s">
        <v>62</v>
      </c>
    </row>
    <row r="37" customFormat="false" ht="15" hidden="false" customHeight="false" outlineLevel="0" collapsed="false">
      <c r="A37" s="19" t="n">
        <v>46315.75</v>
      </c>
      <c r="B37" s="20" t="n">
        <v>318.1</v>
      </c>
      <c r="C37" s="20" t="n">
        <v>55.4</v>
      </c>
      <c r="D37" s="21" t="s">
        <v>62</v>
      </c>
    </row>
    <row r="38" customFormat="false" ht="15" hidden="false" customHeight="false" outlineLevel="0" collapsed="false">
      <c r="A38" s="19" t="n">
        <v>46315.7708333333</v>
      </c>
      <c r="B38" s="20" t="n">
        <v>327.1</v>
      </c>
      <c r="C38" s="20" t="n">
        <v>49.1</v>
      </c>
      <c r="D38" s="21" t="s">
        <v>62</v>
      </c>
    </row>
    <row r="39" customFormat="false" ht="15" hidden="false" customHeight="false" outlineLevel="0" collapsed="false">
      <c r="A39" s="19" t="n">
        <v>46315.7916666667</v>
      </c>
      <c r="B39" s="20" t="n">
        <v>302.2</v>
      </c>
      <c r="C39" s="20" t="n">
        <v>52</v>
      </c>
      <c r="D39" s="21" t="s">
        <v>62</v>
      </c>
    </row>
    <row r="40" customFormat="false" ht="15" hidden="false" customHeight="false" outlineLevel="0" collapsed="false">
      <c r="A40" s="19" t="n">
        <v>46315.8125</v>
      </c>
      <c r="B40" s="20" t="n">
        <v>311</v>
      </c>
      <c r="C40" s="20" t="n">
        <v>48.9</v>
      </c>
      <c r="D40" s="21" t="s">
        <v>62</v>
      </c>
    </row>
    <row r="41" customFormat="false" ht="15" hidden="false" customHeight="false" outlineLevel="0" collapsed="false">
      <c r="A41" s="19" t="n">
        <v>46315.8333333333</v>
      </c>
      <c r="B41" s="20" t="n">
        <v>299.4</v>
      </c>
      <c r="C41" s="20" t="n">
        <v>50.2</v>
      </c>
      <c r="D41" s="21" t="s">
        <v>62</v>
      </c>
    </row>
    <row r="42" customFormat="false" ht="15" hidden="false" customHeight="false" outlineLevel="0" collapsed="false">
      <c r="A42" s="19" t="n">
        <v>46315.8541666667</v>
      </c>
      <c r="B42" s="20" t="n">
        <v>285.6</v>
      </c>
      <c r="C42" s="20" t="n">
        <v>49.9</v>
      </c>
      <c r="D42" s="21" t="s">
        <v>62</v>
      </c>
    </row>
    <row r="43" customFormat="false" ht="15" hidden="false" customHeight="false" outlineLevel="0" collapsed="false">
      <c r="A43" s="19" t="n">
        <v>46315.875</v>
      </c>
      <c r="B43" s="20" t="n">
        <v>305.8</v>
      </c>
      <c r="C43" s="20" t="n">
        <v>52</v>
      </c>
      <c r="D43" s="21" t="s">
        <v>62</v>
      </c>
    </row>
    <row r="44" customFormat="false" ht="15" hidden="false" customHeight="false" outlineLevel="0" collapsed="false">
      <c r="A44" s="19" t="n">
        <v>46315.8958333333</v>
      </c>
      <c r="B44" s="20" t="n">
        <v>311.6</v>
      </c>
      <c r="C44" s="20" t="n">
        <v>47.6</v>
      </c>
      <c r="D44" s="21" t="s">
        <v>73</v>
      </c>
    </row>
    <row r="45" customFormat="false" ht="15" hidden="false" customHeight="false" outlineLevel="0" collapsed="false">
      <c r="A45" s="19" t="n">
        <v>46315.9166666667</v>
      </c>
      <c r="B45" s="20" t="n">
        <v>290.8</v>
      </c>
      <c r="C45" s="20" t="n">
        <v>53.6</v>
      </c>
      <c r="D45" s="21" t="s">
        <v>62</v>
      </c>
    </row>
    <row r="46" customFormat="false" ht="15" hidden="false" customHeight="false" outlineLevel="0" collapsed="false">
      <c r="A46" s="19" t="n">
        <v>46315.9375</v>
      </c>
      <c r="B46" s="20" t="n">
        <v>292.5</v>
      </c>
      <c r="C46" s="20" t="n">
        <v>51.3</v>
      </c>
      <c r="D46" s="21" t="s">
        <v>62</v>
      </c>
    </row>
    <row r="47" customFormat="false" ht="15" hidden="false" customHeight="false" outlineLevel="0" collapsed="false">
      <c r="A47" s="19" t="n">
        <v>46315.9583333333</v>
      </c>
      <c r="B47" s="20" t="n">
        <v>299.9</v>
      </c>
      <c r="C47" s="20" t="n">
        <v>55.6</v>
      </c>
      <c r="D47" s="21" t="s">
        <v>62</v>
      </c>
    </row>
    <row r="48" customFormat="false" ht="15" hidden="false" customHeight="false" outlineLevel="0" collapsed="false">
      <c r="A48" s="19" t="n">
        <v>46315.9791666667</v>
      </c>
      <c r="B48" s="20" t="n">
        <v>290.5</v>
      </c>
      <c r="C48" s="20" t="n">
        <v>56.1</v>
      </c>
      <c r="D48" s="21" t="s">
        <v>62</v>
      </c>
    </row>
    <row r="49" customFormat="false" ht="15" hidden="false" customHeight="false" outlineLevel="0" collapsed="false">
      <c r="A49" s="19" t="n">
        <v>46316</v>
      </c>
      <c r="B49" s="20" t="n">
        <v>279.4</v>
      </c>
      <c r="C49" s="20" t="n">
        <v>62.1</v>
      </c>
      <c r="D49" s="21" t="s">
        <v>62</v>
      </c>
    </row>
    <row r="50" customFormat="false" ht="15" hidden="false" customHeight="false" outlineLevel="0" collapsed="false">
      <c r="A50" s="19" t="n">
        <v>46316.0208333333</v>
      </c>
      <c r="B50" s="20" t="n">
        <v>281.8</v>
      </c>
      <c r="C50" s="20" t="n">
        <v>58</v>
      </c>
      <c r="D50" s="21" t="s">
        <v>62</v>
      </c>
    </row>
    <row r="51" customFormat="false" ht="15" hidden="false" customHeight="false" outlineLevel="0" collapsed="false">
      <c r="A51" s="19" t="n">
        <v>46316.0416666667</v>
      </c>
      <c r="B51" s="20" t="n">
        <v>279.9</v>
      </c>
      <c r="C51" s="20" t="n">
        <v>56.1</v>
      </c>
      <c r="D51" s="21" t="s">
        <v>62</v>
      </c>
    </row>
    <row r="52" customFormat="false" ht="15" hidden="false" customHeight="false" outlineLevel="0" collapsed="false">
      <c r="A52" s="19" t="n">
        <v>46316.0625</v>
      </c>
      <c r="B52" s="20" t="n">
        <v>270.7</v>
      </c>
      <c r="C52" s="20" t="n">
        <v>47.7</v>
      </c>
      <c r="D52" s="21" t="s">
        <v>62</v>
      </c>
    </row>
    <row r="53" customFormat="false" ht="15" hidden="false" customHeight="false" outlineLevel="0" collapsed="false">
      <c r="A53" s="19" t="n">
        <v>46316.0833333333</v>
      </c>
      <c r="B53" s="20" t="n">
        <v>280.3</v>
      </c>
      <c r="C53" s="20" t="n">
        <v>54.5</v>
      </c>
      <c r="D53" s="21" t="s">
        <v>62</v>
      </c>
    </row>
    <row r="54" customFormat="false" ht="15" hidden="false" customHeight="false" outlineLevel="0" collapsed="false">
      <c r="A54" s="19" t="n">
        <v>46316.1041666667</v>
      </c>
      <c r="B54" s="20" t="n">
        <v>269.7</v>
      </c>
      <c r="C54" s="20" t="n">
        <v>50.1</v>
      </c>
      <c r="D54" s="21" t="s">
        <v>62</v>
      </c>
    </row>
    <row r="55" customFormat="false" ht="15" hidden="false" customHeight="false" outlineLevel="0" collapsed="false">
      <c r="A55" s="19" t="n">
        <v>46316.125</v>
      </c>
      <c r="B55" s="20" t="n">
        <v>286.8</v>
      </c>
      <c r="C55" s="20" t="n">
        <v>55</v>
      </c>
      <c r="D55" s="21" t="s">
        <v>62</v>
      </c>
    </row>
    <row r="56" customFormat="false" ht="15" hidden="false" customHeight="false" outlineLevel="0" collapsed="false">
      <c r="A56" s="19" t="n">
        <v>46316.1458333333</v>
      </c>
      <c r="B56" s="20" t="n">
        <v>290.4</v>
      </c>
      <c r="C56" s="20" t="n">
        <v>46.5</v>
      </c>
      <c r="D56" s="21" t="s">
        <v>62</v>
      </c>
    </row>
    <row r="57" customFormat="false" ht="15" hidden="false" customHeight="false" outlineLevel="0" collapsed="false">
      <c r="A57" s="19" t="n">
        <v>46316.1666666667</v>
      </c>
      <c r="B57" s="20" t="n">
        <v>277.3</v>
      </c>
      <c r="C57" s="20" t="n">
        <v>59.4</v>
      </c>
      <c r="D57" s="21" t="s">
        <v>62</v>
      </c>
    </row>
    <row r="58" customFormat="false" ht="15" hidden="false" customHeight="false" outlineLevel="0" collapsed="false">
      <c r="A58" s="19" t="n">
        <v>46316.1875</v>
      </c>
      <c r="B58" s="20" t="n">
        <v>291.4</v>
      </c>
      <c r="C58" s="20" t="n">
        <v>60.6</v>
      </c>
      <c r="D58" s="21" t="s">
        <v>62</v>
      </c>
    </row>
    <row r="59" customFormat="false" ht="15" hidden="false" customHeight="false" outlineLevel="0" collapsed="false">
      <c r="A59" s="19" t="n">
        <v>46316.2083333333</v>
      </c>
      <c r="B59" s="20" t="n">
        <v>262.6</v>
      </c>
      <c r="C59" s="20" t="n">
        <v>53.5</v>
      </c>
      <c r="D59" s="21" t="s">
        <v>62</v>
      </c>
    </row>
    <row r="60" customFormat="false" ht="15" hidden="false" customHeight="false" outlineLevel="0" collapsed="false">
      <c r="A60" s="19" t="n">
        <v>46316.2291666667</v>
      </c>
      <c r="B60" s="20" t="n">
        <v>280.7</v>
      </c>
      <c r="C60" s="20" t="n">
        <v>54.1</v>
      </c>
      <c r="D60" s="21" t="s">
        <v>62</v>
      </c>
    </row>
    <row r="61" customFormat="false" ht="15" hidden="false" customHeight="false" outlineLevel="0" collapsed="false">
      <c r="A61" s="19" t="n">
        <v>46316.25</v>
      </c>
      <c r="B61" s="20" t="n">
        <v>271.3</v>
      </c>
      <c r="C61" s="20" t="n">
        <v>54.6</v>
      </c>
      <c r="D61" s="21" t="s">
        <v>62</v>
      </c>
    </row>
    <row r="62" customFormat="false" ht="15" hidden="false" customHeight="false" outlineLevel="0" collapsed="false">
      <c r="A62" s="19" t="n">
        <v>46316.2708333333</v>
      </c>
      <c r="B62" s="20" t="n">
        <v>269.2</v>
      </c>
      <c r="C62" s="20" t="n">
        <v>39.2</v>
      </c>
      <c r="D62" s="21" t="s">
        <v>62</v>
      </c>
    </row>
    <row r="63" customFormat="false" ht="15" hidden="false" customHeight="false" outlineLevel="0" collapsed="false">
      <c r="A63" s="19" t="n">
        <v>46316.2916666667</v>
      </c>
      <c r="B63" s="20" t="n">
        <v>275.3</v>
      </c>
      <c r="C63" s="20" t="n">
        <v>54.6</v>
      </c>
      <c r="D63" s="21" t="s">
        <v>62</v>
      </c>
    </row>
    <row r="64" customFormat="false" ht="15" hidden="false" customHeight="false" outlineLevel="0" collapsed="false">
      <c r="A64" s="19" t="n">
        <v>46316.3125</v>
      </c>
      <c r="B64" s="20" t="n">
        <v>282.7</v>
      </c>
      <c r="C64" s="20" t="n">
        <v>55.2</v>
      </c>
      <c r="D64" s="21" t="s">
        <v>62</v>
      </c>
    </row>
    <row r="65" customFormat="false" ht="15" hidden="false" customHeight="false" outlineLevel="0" collapsed="false">
      <c r="A65" s="19" t="n">
        <v>46316.3333333333</v>
      </c>
      <c r="B65" s="20" t="n">
        <v>276.6</v>
      </c>
      <c r="C65" s="20" t="n">
        <v>53.9</v>
      </c>
      <c r="D65" s="21" t="s">
        <v>62</v>
      </c>
    </row>
    <row r="66" customFormat="false" ht="15" hidden="false" customHeight="false" outlineLevel="0" collapsed="false">
      <c r="A66" s="19" t="n">
        <v>46316.3541666667</v>
      </c>
      <c r="B66" s="20" t="n">
        <v>291.7</v>
      </c>
      <c r="C66" s="20" t="n">
        <v>49.5</v>
      </c>
      <c r="D66" s="21" t="s">
        <v>62</v>
      </c>
    </row>
    <row r="67" customFormat="false" ht="15" hidden="false" customHeight="false" outlineLevel="0" collapsed="false">
      <c r="A67" s="19" t="n">
        <v>46316.375</v>
      </c>
      <c r="B67" s="20" t="n">
        <v>280.1</v>
      </c>
      <c r="C67" s="20" t="n">
        <v>51.5</v>
      </c>
      <c r="D67" s="21" t="s">
        <v>62</v>
      </c>
    </row>
    <row r="68" customFormat="false" ht="15" hidden="false" customHeight="false" outlineLevel="0" collapsed="false">
      <c r="A68" s="19" t="n">
        <v>46316.3958333333</v>
      </c>
      <c r="B68" s="20" t="n">
        <v>294.5</v>
      </c>
      <c r="C68" s="20" t="n">
        <v>40.7</v>
      </c>
      <c r="D68" s="21" t="s">
        <v>62</v>
      </c>
    </row>
    <row r="69" customFormat="false" ht="15" hidden="false" customHeight="false" outlineLevel="0" collapsed="false">
      <c r="A69" s="19" t="n">
        <v>46316.4166666667</v>
      </c>
      <c r="B69" s="20" t="n">
        <v>284.7</v>
      </c>
      <c r="C69" s="20" t="n">
        <v>49.5</v>
      </c>
      <c r="D69" s="21" t="s">
        <v>62</v>
      </c>
    </row>
    <row r="70" customFormat="false" ht="15" hidden="false" customHeight="false" outlineLevel="0" collapsed="false">
      <c r="A70" s="19" t="n">
        <v>46316.4375</v>
      </c>
      <c r="B70" s="20" t="n">
        <v>282.7</v>
      </c>
      <c r="C70" s="20" t="n">
        <v>56.9</v>
      </c>
      <c r="D70" s="21" t="s">
        <v>62</v>
      </c>
    </row>
    <row r="71" customFormat="false" ht="15" hidden="false" customHeight="false" outlineLevel="0" collapsed="false">
      <c r="A71" s="19" t="n">
        <v>46316.4583333333</v>
      </c>
      <c r="B71" s="20" t="n">
        <v>260.6</v>
      </c>
      <c r="C71" s="20" t="n">
        <v>62</v>
      </c>
      <c r="D71" s="21" t="s">
        <v>62</v>
      </c>
    </row>
    <row r="72" customFormat="false" ht="15" hidden="false" customHeight="false" outlineLevel="0" collapsed="false">
      <c r="A72" s="19" t="n">
        <v>46316.4791666667</v>
      </c>
      <c r="B72" s="20" t="n">
        <v>280.4</v>
      </c>
      <c r="C72" s="20" t="n">
        <v>46.6</v>
      </c>
      <c r="D72" s="21" t="s">
        <v>62</v>
      </c>
    </row>
    <row r="73" customFormat="false" ht="15" hidden="false" customHeight="false" outlineLevel="0" collapsed="false">
      <c r="A73" s="19" t="n">
        <v>46316.5</v>
      </c>
      <c r="B73" s="20" t="n">
        <v>305.6</v>
      </c>
      <c r="C73" s="20" t="n">
        <v>47.7</v>
      </c>
      <c r="D73" s="21" t="s">
        <v>62</v>
      </c>
    </row>
    <row r="74" customFormat="false" ht="15" hidden="false" customHeight="false" outlineLevel="0" collapsed="false">
      <c r="A74" s="19" t="n">
        <v>46316.5208333333</v>
      </c>
      <c r="B74" s="20" t="n">
        <v>274.9</v>
      </c>
      <c r="C74" s="20" t="n">
        <v>49.2</v>
      </c>
      <c r="D74" s="21" t="s">
        <v>62</v>
      </c>
    </row>
    <row r="75" customFormat="false" ht="15" hidden="false" customHeight="false" outlineLevel="0" collapsed="false">
      <c r="A75" s="19" t="n">
        <v>46316.5416666667</v>
      </c>
      <c r="B75" s="20" t="n">
        <v>286.5</v>
      </c>
      <c r="C75" s="20" t="n">
        <v>50.7</v>
      </c>
      <c r="D75" s="21" t="s">
        <v>62</v>
      </c>
    </row>
    <row r="76" customFormat="false" ht="15" hidden="false" customHeight="false" outlineLevel="0" collapsed="false">
      <c r="A76" s="19" t="n">
        <v>46316.5625</v>
      </c>
      <c r="B76" s="20" t="n">
        <v>274.1</v>
      </c>
      <c r="C76" s="20" t="n">
        <v>50.3</v>
      </c>
      <c r="D76" s="21" t="s">
        <v>62</v>
      </c>
    </row>
    <row r="77" customFormat="false" ht="15" hidden="false" customHeight="false" outlineLevel="0" collapsed="false">
      <c r="A77" s="19" t="n">
        <v>46316.5833333333</v>
      </c>
      <c r="B77" s="20" t="n">
        <v>256</v>
      </c>
      <c r="C77" s="20" t="n">
        <v>51.8</v>
      </c>
      <c r="D77" s="21" t="s">
        <v>62</v>
      </c>
    </row>
    <row r="78" customFormat="false" ht="15" hidden="false" customHeight="false" outlineLevel="0" collapsed="false">
      <c r="A78" s="19" t="n">
        <v>46316.6041666667</v>
      </c>
      <c r="B78" s="20" t="n">
        <v>277</v>
      </c>
      <c r="C78" s="20" t="n">
        <v>51.5</v>
      </c>
      <c r="D78" s="21" t="s">
        <v>62</v>
      </c>
    </row>
    <row r="79" customFormat="false" ht="15" hidden="false" customHeight="false" outlineLevel="0" collapsed="false">
      <c r="A79" s="19" t="n">
        <v>46316.625</v>
      </c>
      <c r="B79" s="20" t="n">
        <v>262.5</v>
      </c>
      <c r="C79" s="20" t="n">
        <v>47.8</v>
      </c>
      <c r="D79" s="21" t="s">
        <v>62</v>
      </c>
    </row>
    <row r="80" customFormat="false" ht="15" hidden="false" customHeight="false" outlineLevel="0" collapsed="false">
      <c r="A80" s="19" t="n">
        <v>46316.6458333333</v>
      </c>
      <c r="B80" s="20" t="n">
        <v>288.1</v>
      </c>
      <c r="C80" s="20" t="n">
        <v>59.2</v>
      </c>
      <c r="D80" s="21" t="s">
        <v>62</v>
      </c>
    </row>
    <row r="81" customFormat="false" ht="15" hidden="false" customHeight="false" outlineLevel="0" collapsed="false">
      <c r="A81" s="19" t="n">
        <v>46316.6666666667</v>
      </c>
      <c r="B81" s="20" t="n">
        <v>265</v>
      </c>
      <c r="C81" s="20" t="n">
        <v>48.1</v>
      </c>
      <c r="D81" s="21" t="s">
        <v>62</v>
      </c>
    </row>
    <row r="82" customFormat="false" ht="15" hidden="false" customHeight="false" outlineLevel="0" collapsed="false">
      <c r="A82" s="19" t="n">
        <v>46316.6875</v>
      </c>
      <c r="B82" s="20" t="n">
        <v>267.4</v>
      </c>
      <c r="C82" s="20" t="n">
        <v>48.9</v>
      </c>
      <c r="D82" s="21" t="s">
        <v>62</v>
      </c>
    </row>
    <row r="83" customFormat="false" ht="15" hidden="false" customHeight="false" outlineLevel="0" collapsed="false">
      <c r="A83" s="19" t="n">
        <v>46316.7083333333</v>
      </c>
      <c r="B83" s="20" t="n">
        <v>282.8</v>
      </c>
      <c r="C83" s="20" t="n">
        <v>59.6</v>
      </c>
      <c r="D83" s="21" t="s">
        <v>62</v>
      </c>
    </row>
    <row r="84" customFormat="false" ht="15" hidden="false" customHeight="false" outlineLevel="0" collapsed="false">
      <c r="A84" s="19" t="n">
        <v>46316.7291666667</v>
      </c>
      <c r="B84" s="20" t="n">
        <v>270.3</v>
      </c>
      <c r="C84" s="20" t="n">
        <v>56.5</v>
      </c>
      <c r="D84" s="21" t="s">
        <v>62</v>
      </c>
    </row>
    <row r="85" customFormat="false" ht="15" hidden="false" customHeight="false" outlineLevel="0" collapsed="false">
      <c r="A85" s="19" t="n">
        <v>46316.75</v>
      </c>
      <c r="B85" s="20" t="n">
        <v>277.5</v>
      </c>
      <c r="C85" s="20" t="n">
        <v>59.6</v>
      </c>
      <c r="D85" s="21" t="s">
        <v>62</v>
      </c>
    </row>
    <row r="86" customFormat="false" ht="15" hidden="false" customHeight="false" outlineLevel="0" collapsed="false">
      <c r="A86" s="19" t="n">
        <v>46316.7708333333</v>
      </c>
      <c r="B86" s="20" t="n">
        <v>255</v>
      </c>
      <c r="C86" s="20" t="n">
        <v>56.7</v>
      </c>
      <c r="D86" s="21" t="s">
        <v>62</v>
      </c>
    </row>
    <row r="87" customFormat="false" ht="15" hidden="false" customHeight="false" outlineLevel="0" collapsed="false">
      <c r="A87" s="19" t="n">
        <v>46316.7916666667</v>
      </c>
      <c r="B87" s="20" t="n">
        <v>294.8</v>
      </c>
      <c r="C87" s="20" t="n">
        <v>53.5</v>
      </c>
      <c r="D87" s="21" t="s">
        <v>62</v>
      </c>
    </row>
    <row r="88" customFormat="false" ht="15" hidden="false" customHeight="false" outlineLevel="0" collapsed="false">
      <c r="A88" s="19" t="n">
        <v>46316.8125</v>
      </c>
      <c r="B88" s="20" t="n">
        <v>309.2</v>
      </c>
      <c r="C88" s="20" t="n">
        <v>47.8</v>
      </c>
      <c r="D88" s="21" t="s">
        <v>62</v>
      </c>
    </row>
    <row r="89" customFormat="false" ht="15" hidden="false" customHeight="false" outlineLevel="0" collapsed="false">
      <c r="A89" s="19" t="n">
        <v>46316.8333333333</v>
      </c>
      <c r="B89" s="20" t="n">
        <v>291.7</v>
      </c>
      <c r="C89" s="20" t="n">
        <v>54.1</v>
      </c>
      <c r="D89" s="21" t="s">
        <v>62</v>
      </c>
    </row>
    <row r="90" customFormat="false" ht="15" hidden="false" customHeight="false" outlineLevel="0" collapsed="false">
      <c r="A90" s="19" t="n">
        <v>46316.8541666667</v>
      </c>
      <c r="B90" s="20" t="n">
        <v>294.6</v>
      </c>
      <c r="C90" s="20" t="n">
        <v>45.4</v>
      </c>
      <c r="D90" s="21" t="s">
        <v>62</v>
      </c>
    </row>
    <row r="91" customFormat="false" ht="15" hidden="false" customHeight="false" outlineLevel="0" collapsed="false">
      <c r="A91" s="19" t="n">
        <v>46316.875</v>
      </c>
      <c r="B91" s="20" t="n">
        <v>300.2</v>
      </c>
      <c r="C91" s="20" t="n">
        <v>51.5</v>
      </c>
      <c r="D91" s="21" t="s">
        <v>62</v>
      </c>
    </row>
    <row r="92" customFormat="false" ht="15" hidden="false" customHeight="false" outlineLevel="0" collapsed="false">
      <c r="A92" s="19" t="n">
        <v>46316.8958333333</v>
      </c>
      <c r="B92" s="20" t="n">
        <v>299.2</v>
      </c>
      <c r="C92" s="20" t="n">
        <v>59</v>
      </c>
      <c r="D92" s="21" t="s">
        <v>62</v>
      </c>
    </row>
    <row r="93" customFormat="false" ht="15" hidden="false" customHeight="false" outlineLevel="0" collapsed="false">
      <c r="A93" s="19" t="n">
        <v>46316.9166666667</v>
      </c>
      <c r="B93" s="20" t="n">
        <v>308.4</v>
      </c>
      <c r="C93" s="20" t="n">
        <v>53.9</v>
      </c>
      <c r="D93" s="21" t="s">
        <v>62</v>
      </c>
    </row>
    <row r="94" customFormat="false" ht="15" hidden="false" customHeight="false" outlineLevel="0" collapsed="false">
      <c r="A94" s="19" t="n">
        <v>46316.9375</v>
      </c>
      <c r="B94" s="20" t="n">
        <v>300.4</v>
      </c>
      <c r="C94" s="20" t="n">
        <v>50.7</v>
      </c>
      <c r="D94" s="21" t="s">
        <v>62</v>
      </c>
    </row>
    <row r="95" customFormat="false" ht="15" hidden="false" customHeight="false" outlineLevel="0" collapsed="false">
      <c r="A95" s="19" t="n">
        <v>46316.9583333333</v>
      </c>
      <c r="B95" s="20" t="n">
        <v>307.3</v>
      </c>
      <c r="C95" s="20" t="n">
        <v>48.7</v>
      </c>
      <c r="D95" s="21" t="s">
        <v>62</v>
      </c>
    </row>
    <row r="96" customFormat="false" ht="15" hidden="false" customHeight="false" outlineLevel="0" collapsed="false">
      <c r="A96" s="19" t="n">
        <v>46316.9791666667</v>
      </c>
      <c r="B96" s="20" t="n">
        <v>308.5</v>
      </c>
      <c r="C96" s="20" t="n">
        <v>57.8</v>
      </c>
      <c r="D96" s="21" t="s">
        <v>62</v>
      </c>
    </row>
    <row r="97" customFormat="false" ht="15" hidden="false" customHeight="false" outlineLevel="0" collapsed="false">
      <c r="A97" s="19" t="n">
        <v>46317</v>
      </c>
      <c r="B97" s="20" t="n">
        <v>312.2</v>
      </c>
      <c r="C97" s="20" t="n">
        <v>50.2</v>
      </c>
      <c r="D97" s="21" t="s">
        <v>62</v>
      </c>
    </row>
    <row r="98" customFormat="false" ht="15" hidden="false" customHeight="false" outlineLevel="0" collapsed="false">
      <c r="A98" s="19" t="n">
        <v>46317.0208333333</v>
      </c>
      <c r="B98" s="20" t="n">
        <v>310</v>
      </c>
      <c r="C98" s="20" t="n">
        <v>52.4</v>
      </c>
      <c r="D98" s="21" t="s">
        <v>62</v>
      </c>
    </row>
    <row r="99" customFormat="false" ht="15" hidden="false" customHeight="false" outlineLevel="0" collapsed="false">
      <c r="A99" s="19" t="n">
        <v>46317.0416666667</v>
      </c>
      <c r="B99" s="20" t="n">
        <v>305.3</v>
      </c>
      <c r="C99" s="20" t="n">
        <v>49</v>
      </c>
      <c r="D99" s="21" t="s">
        <v>62</v>
      </c>
    </row>
    <row r="100" customFormat="false" ht="15" hidden="false" customHeight="false" outlineLevel="0" collapsed="false">
      <c r="A100" s="19" t="n">
        <v>46317.0625</v>
      </c>
      <c r="B100" s="20" t="n">
        <v>300.4</v>
      </c>
      <c r="C100" s="20" t="n">
        <v>50.3</v>
      </c>
      <c r="D100" s="21" t="s">
        <v>62</v>
      </c>
    </row>
    <row r="101" customFormat="false" ht="15" hidden="false" customHeight="false" outlineLevel="0" collapsed="false">
      <c r="A101" s="19" t="n">
        <v>46317.0833333333</v>
      </c>
      <c r="B101" s="20" t="n">
        <v>325.2</v>
      </c>
      <c r="C101" s="20" t="n">
        <v>56.7</v>
      </c>
      <c r="D101" s="21" t="s">
        <v>73</v>
      </c>
    </row>
    <row r="102" customFormat="false" ht="15" hidden="false" customHeight="false" outlineLevel="0" collapsed="false">
      <c r="A102" s="19" t="n">
        <v>46317.1041666667</v>
      </c>
      <c r="B102" s="20" t="n">
        <v>291.3</v>
      </c>
      <c r="C102" s="20" t="n">
        <v>49.3</v>
      </c>
      <c r="D102" s="21" t="s">
        <v>62</v>
      </c>
    </row>
    <row r="103" customFormat="false" ht="15" hidden="false" customHeight="false" outlineLevel="0" collapsed="false">
      <c r="A103" s="19" t="n">
        <v>46317.125</v>
      </c>
      <c r="B103" s="20" t="n">
        <v>309.5</v>
      </c>
      <c r="C103" s="20" t="n">
        <v>54.1</v>
      </c>
      <c r="D103" s="21" t="s">
        <v>62</v>
      </c>
    </row>
    <row r="104" customFormat="false" ht="15" hidden="false" customHeight="false" outlineLevel="0" collapsed="false">
      <c r="A104" s="19" t="n">
        <v>46317.1458333333</v>
      </c>
      <c r="B104" s="20" t="n">
        <v>318.6</v>
      </c>
      <c r="C104" s="20" t="n">
        <v>46.7</v>
      </c>
      <c r="D104" s="21" t="s">
        <v>62</v>
      </c>
    </row>
    <row r="105" customFormat="false" ht="15" hidden="false" customHeight="false" outlineLevel="0" collapsed="false">
      <c r="A105" s="19" t="n">
        <v>46317.1666666667</v>
      </c>
      <c r="B105" s="20" t="n">
        <v>309.7</v>
      </c>
      <c r="C105" s="20" t="n">
        <v>50</v>
      </c>
      <c r="D105" s="21" t="s">
        <v>62</v>
      </c>
    </row>
    <row r="106" customFormat="false" ht="15" hidden="false" customHeight="false" outlineLevel="0" collapsed="false">
      <c r="A106" s="19" t="n">
        <v>46317.1875</v>
      </c>
      <c r="B106" s="20" t="n">
        <v>316.5</v>
      </c>
      <c r="C106" s="20" t="n">
        <v>57.2</v>
      </c>
      <c r="D106" s="21" t="s">
        <v>62</v>
      </c>
    </row>
    <row r="107" customFormat="false" ht="15" hidden="false" customHeight="false" outlineLevel="0" collapsed="false">
      <c r="A107" s="19" t="n">
        <v>46317.2083333333</v>
      </c>
      <c r="B107" s="20" t="n">
        <v>292.9</v>
      </c>
      <c r="C107" s="20" t="n">
        <v>55.9</v>
      </c>
      <c r="D107" s="21" t="s">
        <v>62</v>
      </c>
    </row>
    <row r="108" customFormat="false" ht="15" hidden="false" customHeight="false" outlineLevel="0" collapsed="false">
      <c r="A108" s="19" t="n">
        <v>46317.2291666667</v>
      </c>
      <c r="B108" s="20" t="n">
        <v>319.2</v>
      </c>
      <c r="C108" s="20" t="n">
        <v>47.7</v>
      </c>
      <c r="D108" s="21" t="s">
        <v>62</v>
      </c>
    </row>
    <row r="109" customFormat="false" ht="15" hidden="false" customHeight="false" outlineLevel="0" collapsed="false">
      <c r="A109" s="19" t="n">
        <v>46317.25</v>
      </c>
      <c r="B109" s="20" t="n">
        <v>309.8</v>
      </c>
      <c r="C109" s="20" t="n">
        <v>42.4</v>
      </c>
      <c r="D109" s="21" t="s">
        <v>62</v>
      </c>
    </row>
    <row r="110" customFormat="false" ht="15" hidden="false" customHeight="false" outlineLevel="0" collapsed="false">
      <c r="A110" s="19" t="n">
        <v>46317.2708333333</v>
      </c>
      <c r="B110" s="20" t="n">
        <v>302.3</v>
      </c>
      <c r="C110" s="20" t="n">
        <v>47.5</v>
      </c>
      <c r="D110" s="21" t="s">
        <v>73</v>
      </c>
    </row>
    <row r="111" customFormat="false" ht="15" hidden="false" customHeight="false" outlineLevel="0" collapsed="false">
      <c r="A111" s="19" t="n">
        <v>46317.2916666667</v>
      </c>
      <c r="B111" s="20" t="n">
        <v>309.3</v>
      </c>
      <c r="C111" s="20" t="n">
        <v>42.5</v>
      </c>
      <c r="D111" s="21" t="s">
        <v>62</v>
      </c>
    </row>
    <row r="112" customFormat="false" ht="15" hidden="false" customHeight="false" outlineLevel="0" collapsed="false">
      <c r="A112" s="19" t="n">
        <v>46317.3125</v>
      </c>
      <c r="B112" s="20" t="n">
        <v>302.5</v>
      </c>
      <c r="C112" s="20" t="n">
        <v>60.7</v>
      </c>
      <c r="D112" s="21" t="s">
        <v>62</v>
      </c>
    </row>
    <row r="113" customFormat="false" ht="15" hidden="false" customHeight="false" outlineLevel="0" collapsed="false">
      <c r="A113" s="19" t="n">
        <v>46317.3333333333</v>
      </c>
      <c r="B113" s="20" t="n">
        <v>317.5</v>
      </c>
      <c r="C113" s="20" t="n">
        <v>44.9</v>
      </c>
      <c r="D113" s="21" t="s">
        <v>62</v>
      </c>
    </row>
    <row r="114" customFormat="false" ht="15" hidden="false" customHeight="false" outlineLevel="0" collapsed="false">
      <c r="A114" s="19" t="n">
        <v>46317.3541666667</v>
      </c>
      <c r="B114" s="20" t="n">
        <v>310.3</v>
      </c>
      <c r="C114" s="20" t="n">
        <v>46.9</v>
      </c>
      <c r="D114" s="21" t="s">
        <v>62</v>
      </c>
    </row>
    <row r="115" customFormat="false" ht="15" hidden="false" customHeight="false" outlineLevel="0" collapsed="false">
      <c r="A115" s="19" t="n">
        <v>46317.375</v>
      </c>
      <c r="B115" s="20" t="n">
        <v>309.3</v>
      </c>
      <c r="C115" s="20" t="n">
        <v>48.6</v>
      </c>
      <c r="D115" s="21" t="s">
        <v>62</v>
      </c>
    </row>
    <row r="116" customFormat="false" ht="15" hidden="false" customHeight="false" outlineLevel="0" collapsed="false">
      <c r="A116" s="19" t="n">
        <v>46317.3958333333</v>
      </c>
      <c r="B116" s="20" t="n">
        <v>311.6</v>
      </c>
      <c r="C116" s="20" t="n">
        <v>56.2</v>
      </c>
      <c r="D116" s="21" t="s">
        <v>73</v>
      </c>
    </row>
    <row r="117" customFormat="false" ht="15" hidden="false" customHeight="false" outlineLevel="0" collapsed="false">
      <c r="A117" s="19" t="n">
        <v>46317.4166666667</v>
      </c>
      <c r="B117" s="20" t="n">
        <v>317.1</v>
      </c>
      <c r="C117" s="20" t="n">
        <v>51.2</v>
      </c>
      <c r="D117" s="21" t="s">
        <v>62</v>
      </c>
    </row>
    <row r="118" customFormat="false" ht="15" hidden="false" customHeight="false" outlineLevel="0" collapsed="false">
      <c r="A118" s="19" t="n">
        <v>46317.4375</v>
      </c>
      <c r="B118" s="20" t="n">
        <v>290.7</v>
      </c>
      <c r="C118" s="20" t="n">
        <v>60.3</v>
      </c>
      <c r="D118" s="21" t="s">
        <v>62</v>
      </c>
    </row>
    <row r="119" customFormat="false" ht="15" hidden="false" customHeight="false" outlineLevel="0" collapsed="false">
      <c r="A119" s="19" t="n">
        <v>46317.4583333333</v>
      </c>
      <c r="B119" s="20" t="n">
        <v>316.2</v>
      </c>
      <c r="C119" s="20" t="n">
        <v>51.1</v>
      </c>
      <c r="D119" s="21" t="s">
        <v>62</v>
      </c>
    </row>
    <row r="120" customFormat="false" ht="15" hidden="false" customHeight="false" outlineLevel="0" collapsed="false">
      <c r="A120" s="19" t="n">
        <v>46317.4791666667</v>
      </c>
      <c r="B120" s="20" t="n">
        <v>322.8</v>
      </c>
      <c r="C120" s="20" t="n">
        <v>63.5</v>
      </c>
      <c r="D120" s="21" t="s">
        <v>62</v>
      </c>
    </row>
    <row r="121" customFormat="false" ht="15" hidden="false" customHeight="false" outlineLevel="0" collapsed="false">
      <c r="A121" s="19" t="n">
        <v>46317.5</v>
      </c>
      <c r="B121" s="20" t="n">
        <v>320.6</v>
      </c>
      <c r="C121" s="20" t="n">
        <v>55.4</v>
      </c>
      <c r="D121" s="21" t="s">
        <v>62</v>
      </c>
    </row>
    <row r="122" customFormat="false" ht="15" hidden="false" customHeight="false" outlineLevel="0" collapsed="false">
      <c r="A122" s="19" t="n">
        <v>46317.5208333333</v>
      </c>
      <c r="B122" s="20" t="n">
        <v>308.3</v>
      </c>
      <c r="C122" s="20" t="n">
        <v>58.3</v>
      </c>
      <c r="D122" s="21" t="s">
        <v>62</v>
      </c>
    </row>
    <row r="123" customFormat="false" ht="15" hidden="false" customHeight="false" outlineLevel="0" collapsed="false">
      <c r="A123" s="19" t="n">
        <v>46317.5416666667</v>
      </c>
      <c r="B123" s="20" t="n">
        <v>303.7</v>
      </c>
      <c r="C123" s="20" t="n">
        <v>56.3</v>
      </c>
      <c r="D123" s="21" t="s">
        <v>62</v>
      </c>
    </row>
    <row r="124" customFormat="false" ht="15" hidden="false" customHeight="false" outlineLevel="0" collapsed="false">
      <c r="A124" s="19" t="n">
        <v>46317.5625</v>
      </c>
      <c r="B124" s="20" t="n">
        <v>311.6</v>
      </c>
      <c r="C124" s="20" t="n">
        <v>51.7</v>
      </c>
      <c r="D124" s="21" t="s">
        <v>62</v>
      </c>
    </row>
    <row r="125" customFormat="false" ht="15" hidden="false" customHeight="false" outlineLevel="0" collapsed="false">
      <c r="A125" s="19" t="n">
        <v>46317.5833333333</v>
      </c>
      <c r="B125" s="20" t="n">
        <v>296.5</v>
      </c>
      <c r="C125" s="20" t="n">
        <v>50.1</v>
      </c>
      <c r="D125" s="21" t="s">
        <v>62</v>
      </c>
    </row>
    <row r="126" customFormat="false" ht="15" hidden="false" customHeight="false" outlineLevel="0" collapsed="false">
      <c r="A126" s="19" t="n">
        <v>46317.6041666667</v>
      </c>
      <c r="B126" s="20" t="n">
        <v>304.6</v>
      </c>
      <c r="C126" s="20" t="n">
        <v>47.8</v>
      </c>
      <c r="D126" s="21" t="s">
        <v>62</v>
      </c>
    </row>
    <row r="127" customFormat="false" ht="15" hidden="false" customHeight="false" outlineLevel="0" collapsed="false">
      <c r="A127" s="19" t="n">
        <v>46317.625</v>
      </c>
      <c r="B127" s="20" t="n">
        <v>302.5</v>
      </c>
      <c r="C127" s="20" t="n">
        <v>48.2</v>
      </c>
      <c r="D127" s="21" t="s">
        <v>62</v>
      </c>
    </row>
    <row r="128" customFormat="false" ht="15" hidden="false" customHeight="false" outlineLevel="0" collapsed="false">
      <c r="A128" s="19" t="n">
        <v>46317.6458333333</v>
      </c>
      <c r="B128" s="20" t="n">
        <v>312.5</v>
      </c>
      <c r="C128" s="20" t="n">
        <v>45.5</v>
      </c>
      <c r="D128" s="21" t="s">
        <v>62</v>
      </c>
    </row>
    <row r="129" customFormat="false" ht="15" hidden="false" customHeight="false" outlineLevel="0" collapsed="false">
      <c r="A129" s="19" t="n">
        <v>46317.6666666667</v>
      </c>
      <c r="B129" s="20" t="n">
        <v>298.1</v>
      </c>
      <c r="C129" s="20" t="n">
        <v>56.8</v>
      </c>
      <c r="D129" s="21" t="s">
        <v>62</v>
      </c>
    </row>
    <row r="130" customFormat="false" ht="15" hidden="false" customHeight="false" outlineLevel="0" collapsed="false">
      <c r="A130" s="19" t="n">
        <v>46317.6875</v>
      </c>
      <c r="B130" s="20" t="n">
        <v>297.3</v>
      </c>
      <c r="C130" s="20" t="n">
        <v>54.5</v>
      </c>
      <c r="D130" s="21" t="s">
        <v>62</v>
      </c>
    </row>
    <row r="131" customFormat="false" ht="15" hidden="false" customHeight="false" outlineLevel="0" collapsed="false">
      <c r="A131" s="19" t="n">
        <v>46317.7083333333</v>
      </c>
      <c r="B131" s="20" t="n">
        <v>308.2</v>
      </c>
      <c r="C131" s="20" t="n">
        <v>49.2</v>
      </c>
      <c r="D131" s="21" t="s">
        <v>62</v>
      </c>
    </row>
    <row r="132" customFormat="false" ht="15" hidden="false" customHeight="false" outlineLevel="0" collapsed="false">
      <c r="A132" s="19" t="n">
        <v>46317.7291666667</v>
      </c>
      <c r="B132" s="20" t="n">
        <v>286.9</v>
      </c>
      <c r="C132" s="20" t="n">
        <v>49.2</v>
      </c>
      <c r="D132" s="21" t="s">
        <v>62</v>
      </c>
    </row>
    <row r="133" customFormat="false" ht="15" hidden="false" customHeight="false" outlineLevel="0" collapsed="false">
      <c r="A133" s="19" t="n">
        <v>46317.75</v>
      </c>
      <c r="B133" s="20" t="n">
        <v>297.1</v>
      </c>
      <c r="C133" s="20" t="n">
        <v>52</v>
      </c>
      <c r="D133" s="21" t="s">
        <v>62</v>
      </c>
    </row>
    <row r="134" customFormat="false" ht="15" hidden="false" customHeight="false" outlineLevel="0" collapsed="false">
      <c r="A134" s="19" t="n">
        <v>46317.7708333333</v>
      </c>
      <c r="B134" s="20" t="n">
        <v>275.4</v>
      </c>
      <c r="C134" s="20" t="n">
        <v>48.5</v>
      </c>
      <c r="D134" s="21" t="s">
        <v>62</v>
      </c>
    </row>
    <row r="135" customFormat="false" ht="15" hidden="false" customHeight="false" outlineLevel="0" collapsed="false">
      <c r="A135" s="19" t="n">
        <v>46317.7916666667</v>
      </c>
      <c r="B135" s="20" t="n">
        <v>278.5</v>
      </c>
      <c r="C135" s="20" t="n">
        <v>53.2</v>
      </c>
      <c r="D135" s="21" t="s">
        <v>62</v>
      </c>
    </row>
    <row r="136" customFormat="false" ht="15" hidden="false" customHeight="false" outlineLevel="0" collapsed="false">
      <c r="A136" s="19" t="n">
        <v>46317.8125</v>
      </c>
      <c r="B136" s="20" t="n">
        <v>295.1</v>
      </c>
      <c r="C136" s="20" t="n">
        <v>46.8</v>
      </c>
      <c r="D136" s="21" t="s">
        <v>62</v>
      </c>
    </row>
    <row r="137" customFormat="false" ht="15" hidden="false" customHeight="false" outlineLevel="0" collapsed="false">
      <c r="A137" s="19" t="n">
        <v>46317.8333333333</v>
      </c>
      <c r="B137" s="20" t="n">
        <v>289.5</v>
      </c>
      <c r="C137" s="20" t="n">
        <v>55.1</v>
      </c>
      <c r="D137" s="21" t="s">
        <v>62</v>
      </c>
    </row>
    <row r="138" customFormat="false" ht="15" hidden="false" customHeight="false" outlineLevel="0" collapsed="false">
      <c r="A138" s="19" t="n">
        <v>46317.8541666667</v>
      </c>
      <c r="B138" s="20" t="n">
        <v>270.2</v>
      </c>
      <c r="C138" s="20" t="n">
        <v>59.9</v>
      </c>
      <c r="D138" s="21" t="s">
        <v>62</v>
      </c>
    </row>
    <row r="139" customFormat="false" ht="15" hidden="false" customHeight="false" outlineLevel="0" collapsed="false">
      <c r="A139" s="19" t="n">
        <v>46317.875</v>
      </c>
      <c r="B139" s="20" t="n">
        <v>274.6</v>
      </c>
      <c r="C139" s="20" t="n">
        <v>48.8</v>
      </c>
      <c r="D139" s="21" t="s">
        <v>62</v>
      </c>
    </row>
    <row r="140" customFormat="false" ht="15" hidden="false" customHeight="false" outlineLevel="0" collapsed="false">
      <c r="A140" s="19" t="n">
        <v>46317.8958333333</v>
      </c>
      <c r="B140" s="20" t="n">
        <v>283.5</v>
      </c>
      <c r="C140" s="20" t="n">
        <v>52.6</v>
      </c>
      <c r="D140" s="21" t="s">
        <v>62</v>
      </c>
    </row>
    <row r="141" customFormat="false" ht="15" hidden="false" customHeight="false" outlineLevel="0" collapsed="false">
      <c r="A141" s="19" t="n">
        <v>46317.9166666667</v>
      </c>
      <c r="B141" s="20" t="n">
        <v>278.6</v>
      </c>
      <c r="C141" s="20" t="n">
        <v>50.4</v>
      </c>
      <c r="D141" s="21" t="s">
        <v>62</v>
      </c>
    </row>
    <row r="142" customFormat="false" ht="15" hidden="false" customHeight="false" outlineLevel="0" collapsed="false">
      <c r="A142" s="19" t="n">
        <v>46317.9375</v>
      </c>
      <c r="B142" s="20" t="n">
        <v>272.6</v>
      </c>
      <c r="C142" s="20" t="n">
        <v>49.6</v>
      </c>
      <c r="D142" s="21" t="s">
        <v>62</v>
      </c>
    </row>
    <row r="143" customFormat="false" ht="15" hidden="false" customHeight="false" outlineLevel="0" collapsed="false">
      <c r="A143" s="19" t="n">
        <v>46317.9583333333</v>
      </c>
      <c r="B143" s="20" t="n">
        <v>270.3</v>
      </c>
      <c r="C143" s="20" t="n">
        <v>52.1</v>
      </c>
      <c r="D143" s="21" t="s">
        <v>62</v>
      </c>
    </row>
    <row r="144" customFormat="false" ht="15" hidden="false" customHeight="false" outlineLevel="0" collapsed="false">
      <c r="A144" s="19" t="n">
        <v>46317.9791666667</v>
      </c>
      <c r="B144" s="20" t="n">
        <v>292.6</v>
      </c>
      <c r="C144" s="20" t="n">
        <v>52.3</v>
      </c>
      <c r="D144" s="21" t="s">
        <v>62</v>
      </c>
    </row>
    <row r="145" customFormat="false" ht="15" hidden="false" customHeight="false" outlineLevel="0" collapsed="false">
      <c r="A145" s="19" t="n">
        <v>46318</v>
      </c>
      <c r="B145" s="20" t="n">
        <v>285.9</v>
      </c>
      <c r="C145" s="20" t="n">
        <v>55.3</v>
      </c>
      <c r="D145" s="21" t="s">
        <v>62</v>
      </c>
    </row>
    <row r="146" customFormat="false" ht="15" hidden="false" customHeight="false" outlineLevel="0" collapsed="false">
      <c r="A146" s="19" t="n">
        <v>46318.0208333333</v>
      </c>
      <c r="B146" s="20" t="n">
        <v>289.9</v>
      </c>
      <c r="C146" s="20" t="n">
        <v>50.4</v>
      </c>
      <c r="D146" s="21" t="s">
        <v>62</v>
      </c>
    </row>
    <row r="147" customFormat="false" ht="15" hidden="false" customHeight="false" outlineLevel="0" collapsed="false">
      <c r="A147" s="19" t="n">
        <v>46318.0416666667</v>
      </c>
      <c r="B147" s="20" t="n">
        <v>280.4</v>
      </c>
      <c r="C147" s="20" t="n">
        <v>61.7</v>
      </c>
      <c r="D147" s="21" t="s">
        <v>62</v>
      </c>
    </row>
    <row r="148" customFormat="false" ht="15" hidden="false" customHeight="false" outlineLevel="0" collapsed="false">
      <c r="A148" s="19" t="n">
        <v>46318.0625</v>
      </c>
      <c r="B148" s="20" t="n">
        <v>285.5</v>
      </c>
      <c r="C148" s="20" t="n">
        <v>45</v>
      </c>
      <c r="D148" s="21" t="s">
        <v>62</v>
      </c>
    </row>
    <row r="149" customFormat="false" ht="15" hidden="false" customHeight="false" outlineLevel="0" collapsed="false">
      <c r="A149" s="19" t="n">
        <v>46318.25</v>
      </c>
      <c r="B149" s="20" t="n">
        <v>261.8</v>
      </c>
      <c r="C149" s="20" t="n">
        <v>45.1</v>
      </c>
      <c r="D149" s="21" t="s">
        <v>62</v>
      </c>
    </row>
    <row r="150" customFormat="false" ht="15" hidden="false" customHeight="false" outlineLevel="0" collapsed="false">
      <c r="A150" s="19" t="n">
        <v>46318.2708333333</v>
      </c>
      <c r="B150" s="20" t="n">
        <v>267.8</v>
      </c>
      <c r="C150" s="20" t="n">
        <v>46.8</v>
      </c>
      <c r="D150" s="21" t="s">
        <v>62</v>
      </c>
    </row>
    <row r="151" customFormat="false" ht="15" hidden="false" customHeight="false" outlineLevel="0" collapsed="false">
      <c r="A151" s="19" t="n">
        <v>46318.2916666667</v>
      </c>
      <c r="B151" s="20" t="n">
        <v>282.9</v>
      </c>
      <c r="C151" s="20" t="n">
        <v>46.5</v>
      </c>
      <c r="D151" s="21" t="s">
        <v>62</v>
      </c>
    </row>
    <row r="152" customFormat="false" ht="15" hidden="false" customHeight="false" outlineLevel="0" collapsed="false">
      <c r="A152" s="19" t="n">
        <v>46318.3125</v>
      </c>
      <c r="B152" s="20" t="n">
        <v>275.7</v>
      </c>
      <c r="C152" s="20" t="n">
        <v>46.3</v>
      </c>
      <c r="D152" s="21" t="s">
        <v>62</v>
      </c>
    </row>
    <row r="153" customFormat="false" ht="15" hidden="false" customHeight="false" outlineLevel="0" collapsed="false">
      <c r="A153" s="19" t="n">
        <v>46318.3333333333</v>
      </c>
      <c r="B153" s="20" t="n">
        <v>275.1</v>
      </c>
      <c r="C153" s="20" t="n">
        <v>59.1</v>
      </c>
      <c r="D153" s="21" t="s">
        <v>62</v>
      </c>
    </row>
    <row r="154" customFormat="false" ht="15" hidden="false" customHeight="false" outlineLevel="0" collapsed="false">
      <c r="A154" s="19" t="n">
        <v>46318.3541666667</v>
      </c>
      <c r="B154" s="20" t="n">
        <v>261.3</v>
      </c>
      <c r="C154" s="20" t="n">
        <v>51.1</v>
      </c>
      <c r="D154" s="21" t="s">
        <v>62</v>
      </c>
    </row>
    <row r="155" customFormat="false" ht="15" hidden="false" customHeight="false" outlineLevel="0" collapsed="false">
      <c r="A155" s="19" t="n">
        <v>46318.375</v>
      </c>
      <c r="B155" s="20" t="n">
        <v>279.5</v>
      </c>
      <c r="C155" s="20" t="n">
        <v>53.9</v>
      </c>
      <c r="D155" s="21" t="s">
        <v>62</v>
      </c>
    </row>
    <row r="156" customFormat="false" ht="15" hidden="false" customHeight="false" outlineLevel="0" collapsed="false">
      <c r="A156" s="19" t="n">
        <v>46318.3958333333</v>
      </c>
      <c r="B156" s="20" t="n">
        <v>267.7</v>
      </c>
      <c r="C156" s="20" t="n">
        <v>57.6</v>
      </c>
      <c r="D156" s="21" t="s">
        <v>62</v>
      </c>
    </row>
    <row r="157" customFormat="false" ht="15" hidden="false" customHeight="false" outlineLevel="0" collapsed="false">
      <c r="A157" s="19" t="n">
        <v>46318.4166666667</v>
      </c>
      <c r="B157" s="20" t="n">
        <v>274</v>
      </c>
      <c r="C157" s="20" t="n">
        <v>59.6</v>
      </c>
      <c r="D157" s="21" t="s">
        <v>62</v>
      </c>
    </row>
    <row r="158" customFormat="false" ht="15" hidden="false" customHeight="false" outlineLevel="0" collapsed="false">
      <c r="A158" s="19" t="n">
        <v>46318.4375</v>
      </c>
      <c r="B158" s="20" t="n">
        <v>281.1</v>
      </c>
      <c r="C158" s="20" t="n">
        <v>54</v>
      </c>
      <c r="D158" s="21" t="s">
        <v>62</v>
      </c>
    </row>
    <row r="159" customFormat="false" ht="15" hidden="false" customHeight="false" outlineLevel="0" collapsed="false">
      <c r="A159" s="19" t="n">
        <v>46318.4583333333</v>
      </c>
      <c r="B159" s="20" t="n">
        <v>268</v>
      </c>
      <c r="C159" s="20" t="n">
        <v>53.7</v>
      </c>
      <c r="D159" s="21" t="s">
        <v>62</v>
      </c>
    </row>
    <row r="160" customFormat="false" ht="15" hidden="false" customHeight="false" outlineLevel="0" collapsed="false">
      <c r="A160" s="19" t="n">
        <v>46318.4791666667</v>
      </c>
      <c r="B160" s="20" t="n">
        <v>284.3</v>
      </c>
      <c r="C160" s="20" t="n">
        <v>48.3</v>
      </c>
      <c r="D160" s="21" t="s">
        <v>62</v>
      </c>
    </row>
    <row r="161" customFormat="false" ht="15" hidden="false" customHeight="false" outlineLevel="0" collapsed="false">
      <c r="A161" s="19" t="n">
        <v>46318.5</v>
      </c>
      <c r="B161" s="20" t="n">
        <v>285.5</v>
      </c>
      <c r="C161" s="20" t="n">
        <v>45.3</v>
      </c>
      <c r="D161" s="21" t="s">
        <v>62</v>
      </c>
    </row>
    <row r="162" customFormat="false" ht="15" hidden="false" customHeight="false" outlineLevel="0" collapsed="false">
      <c r="A162" s="19" t="n">
        <v>46318.5208333333</v>
      </c>
      <c r="B162" s="20" t="n">
        <v>286.3</v>
      </c>
      <c r="C162" s="20" t="n">
        <v>52.2</v>
      </c>
      <c r="D162" s="21" t="s">
        <v>62</v>
      </c>
    </row>
    <row r="163" customFormat="false" ht="15" hidden="false" customHeight="false" outlineLevel="0" collapsed="false">
      <c r="A163" s="19" t="n">
        <v>46318.5416666667</v>
      </c>
      <c r="B163" s="20" t="n">
        <v>293.7</v>
      </c>
      <c r="C163" s="20" t="n">
        <v>42.1</v>
      </c>
      <c r="D163" s="21" t="s">
        <v>62</v>
      </c>
    </row>
    <row r="164" customFormat="false" ht="15" hidden="false" customHeight="false" outlineLevel="0" collapsed="false">
      <c r="A164" s="19" t="n">
        <v>46318.5625</v>
      </c>
      <c r="B164" s="20" t="n">
        <v>282.6</v>
      </c>
      <c r="C164" s="20" t="n">
        <v>45.7</v>
      </c>
      <c r="D164" s="21" t="s">
        <v>62</v>
      </c>
    </row>
    <row r="165" customFormat="false" ht="15" hidden="false" customHeight="false" outlineLevel="0" collapsed="false">
      <c r="A165" s="19" t="n">
        <v>46318.5833333333</v>
      </c>
      <c r="B165" s="20" t="n">
        <v>286.8</v>
      </c>
      <c r="C165" s="20" t="n">
        <v>55.5</v>
      </c>
      <c r="D165" s="21" t="s">
        <v>62</v>
      </c>
    </row>
    <row r="166" customFormat="false" ht="15" hidden="false" customHeight="false" outlineLevel="0" collapsed="false">
      <c r="A166" s="19" t="n">
        <v>46318.6041666667</v>
      </c>
      <c r="B166" s="20" t="n">
        <v>296.6</v>
      </c>
      <c r="C166" s="20" t="n">
        <v>52.8</v>
      </c>
      <c r="D166" s="21" t="s">
        <v>62</v>
      </c>
    </row>
    <row r="167" customFormat="false" ht="15" hidden="false" customHeight="false" outlineLevel="0" collapsed="false">
      <c r="A167" s="19" t="n">
        <v>46318.625</v>
      </c>
      <c r="B167" s="20" t="n">
        <v>287.1</v>
      </c>
      <c r="C167" s="20" t="n">
        <v>53.7</v>
      </c>
      <c r="D167" s="21" t="s">
        <v>62</v>
      </c>
    </row>
    <row r="168" customFormat="false" ht="15" hidden="false" customHeight="false" outlineLevel="0" collapsed="false">
      <c r="A168" s="19" t="n">
        <v>46318.6458333333</v>
      </c>
      <c r="B168" s="20" t="n">
        <v>303.2</v>
      </c>
      <c r="C168" s="20" t="n">
        <v>57</v>
      </c>
      <c r="D168" s="21" t="s">
        <v>62</v>
      </c>
    </row>
    <row r="169" customFormat="false" ht="15" hidden="false" customHeight="false" outlineLevel="0" collapsed="false">
      <c r="A169" s="19" t="n">
        <v>46318.6666666667</v>
      </c>
      <c r="B169" s="20" t="n">
        <v>288.2</v>
      </c>
      <c r="C169" s="20" t="n">
        <v>56</v>
      </c>
      <c r="D169" s="21" t="s">
        <v>73</v>
      </c>
    </row>
    <row r="170" customFormat="false" ht="15" hidden="false" customHeight="false" outlineLevel="0" collapsed="false">
      <c r="A170" s="19" t="n">
        <v>46318.6875</v>
      </c>
      <c r="B170" s="20" t="n">
        <v>297</v>
      </c>
      <c r="C170" s="20" t="n">
        <v>49.9</v>
      </c>
      <c r="D170" s="21" t="s">
        <v>73</v>
      </c>
    </row>
    <row r="171" customFormat="false" ht="15" hidden="false" customHeight="false" outlineLevel="0" collapsed="false">
      <c r="A171" s="19" t="n">
        <v>46318.7083333333</v>
      </c>
      <c r="B171" s="20" t="n">
        <v>310.7</v>
      </c>
      <c r="C171" s="20" t="n">
        <v>53.5</v>
      </c>
      <c r="D171" s="21" t="s">
        <v>62</v>
      </c>
    </row>
    <row r="172" customFormat="false" ht="15" hidden="false" customHeight="false" outlineLevel="0" collapsed="false">
      <c r="A172" s="19" t="n">
        <v>46318.7291666667</v>
      </c>
      <c r="B172" s="20" t="n">
        <v>297.3</v>
      </c>
      <c r="C172" s="20" t="n">
        <v>59.5</v>
      </c>
      <c r="D172" s="21" t="s">
        <v>62</v>
      </c>
    </row>
    <row r="173" customFormat="false" ht="15" hidden="false" customHeight="false" outlineLevel="0" collapsed="false">
      <c r="A173" s="19" t="n">
        <v>46318.75</v>
      </c>
      <c r="B173" s="20" t="n">
        <v>306.3</v>
      </c>
      <c r="C173" s="20" t="n">
        <v>42.6</v>
      </c>
      <c r="D173" s="21" t="s">
        <v>62</v>
      </c>
    </row>
    <row r="174" customFormat="false" ht="15" hidden="false" customHeight="false" outlineLevel="0" collapsed="false">
      <c r="A174" s="19" t="n">
        <v>46318.7708333333</v>
      </c>
      <c r="B174" s="20" t="n">
        <v>308.9</v>
      </c>
      <c r="C174" s="20" t="n">
        <v>52.5</v>
      </c>
      <c r="D174" s="21" t="s">
        <v>62</v>
      </c>
    </row>
    <row r="175" customFormat="false" ht="15" hidden="false" customHeight="false" outlineLevel="0" collapsed="false">
      <c r="A175" s="19" t="n">
        <v>46318.7916666667</v>
      </c>
      <c r="B175" s="20" t="n">
        <v>316.6</v>
      </c>
      <c r="C175" s="20" t="n">
        <v>52</v>
      </c>
      <c r="D175" s="21" t="s">
        <v>62</v>
      </c>
    </row>
    <row r="176" customFormat="false" ht="15" hidden="false" customHeight="false" outlineLevel="0" collapsed="false">
      <c r="A176" s="19" t="n">
        <v>46318.8125</v>
      </c>
      <c r="B176" s="20" t="n">
        <v>311.2</v>
      </c>
      <c r="C176" s="20" t="n">
        <v>44.9</v>
      </c>
      <c r="D176" s="21" t="s">
        <v>62</v>
      </c>
    </row>
    <row r="177" customFormat="false" ht="15" hidden="false" customHeight="false" outlineLevel="0" collapsed="false">
      <c r="A177" s="19" t="n">
        <v>46318.8333333333</v>
      </c>
      <c r="B177" s="20" t="n">
        <v>314.5</v>
      </c>
      <c r="C177" s="20" t="n">
        <v>51</v>
      </c>
      <c r="D177" s="21" t="s">
        <v>62</v>
      </c>
    </row>
    <row r="178" customFormat="false" ht="15" hidden="false" customHeight="false" outlineLevel="0" collapsed="false">
      <c r="A178" s="19" t="n">
        <v>46318.8541666667</v>
      </c>
      <c r="B178" s="20" t="n">
        <v>311.2</v>
      </c>
      <c r="C178" s="20" t="n">
        <v>54.1</v>
      </c>
      <c r="D178" s="21" t="s">
        <v>73</v>
      </c>
    </row>
    <row r="179" customFormat="false" ht="15" hidden="false" customHeight="false" outlineLevel="0" collapsed="false">
      <c r="A179" s="19" t="n">
        <v>46318.875</v>
      </c>
      <c r="B179" s="20" t="n">
        <v>302.2</v>
      </c>
      <c r="C179" s="20" t="n">
        <v>50.6</v>
      </c>
      <c r="D179" s="21" t="s">
        <v>62</v>
      </c>
    </row>
    <row r="180" customFormat="false" ht="15" hidden="false" customHeight="false" outlineLevel="0" collapsed="false">
      <c r="A180" s="19" t="n">
        <v>46318.8958333333</v>
      </c>
      <c r="B180" s="20" t="n">
        <v>307.9</v>
      </c>
      <c r="C180" s="20" t="n">
        <v>49</v>
      </c>
      <c r="D180" s="21" t="s">
        <v>62</v>
      </c>
    </row>
    <row r="181" customFormat="false" ht="15" hidden="false" customHeight="false" outlineLevel="0" collapsed="false">
      <c r="A181" s="19" t="n">
        <v>46318.9166666667</v>
      </c>
      <c r="B181" s="20" t="n">
        <v>306.4</v>
      </c>
      <c r="C181" s="20" t="n">
        <v>49.5</v>
      </c>
      <c r="D181" s="21" t="s">
        <v>62</v>
      </c>
    </row>
    <row r="182" customFormat="false" ht="15" hidden="false" customHeight="false" outlineLevel="0" collapsed="false">
      <c r="A182" s="19" t="n">
        <v>46318.9375</v>
      </c>
      <c r="B182" s="20" t="n">
        <v>309.7</v>
      </c>
      <c r="C182" s="20" t="n">
        <v>51.5</v>
      </c>
      <c r="D182" s="21" t="s">
        <v>62</v>
      </c>
    </row>
    <row r="183" customFormat="false" ht="15" hidden="false" customHeight="false" outlineLevel="0" collapsed="false">
      <c r="A183" s="19" t="n">
        <v>46318.9583333333</v>
      </c>
      <c r="B183" s="20" t="n">
        <v>299.5</v>
      </c>
      <c r="C183" s="20" t="n">
        <v>59</v>
      </c>
      <c r="D183" s="21" t="s">
        <v>73</v>
      </c>
    </row>
    <row r="184" customFormat="false" ht="15" hidden="false" customHeight="false" outlineLevel="0" collapsed="false">
      <c r="A184" s="19" t="n">
        <v>46318.9791666667</v>
      </c>
      <c r="B184" s="20" t="n">
        <v>292.5</v>
      </c>
      <c r="C184" s="20" t="n">
        <v>56.8</v>
      </c>
      <c r="D184" s="21" t="s">
        <v>62</v>
      </c>
    </row>
    <row r="185" customFormat="false" ht="15" hidden="false" customHeight="false" outlineLevel="0" collapsed="false">
      <c r="A185" s="19" t="n">
        <v>46319</v>
      </c>
      <c r="B185" s="20" t="n">
        <v>298.5</v>
      </c>
      <c r="C185" s="20" t="n">
        <v>45.5</v>
      </c>
      <c r="D185" s="21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</cols>
  <sheetData>
    <row r="1" customFormat="false" ht="45" hidden="false" customHeight="true" outlineLevel="0" collapsed="false">
      <c r="A1" s="15" t="s">
        <v>74</v>
      </c>
      <c r="B1" s="15" t="s">
        <v>75</v>
      </c>
    </row>
    <row r="2" customFormat="false" ht="15" hidden="false" customHeight="false" outlineLevel="0" collapsed="false">
      <c r="A2" s="19" t="n">
        <v>46315.0833333333</v>
      </c>
      <c r="B2" s="21" t="n">
        <v>304</v>
      </c>
    </row>
    <row r="3" customFormat="false" ht="15" hidden="false" customHeight="false" outlineLevel="0" collapsed="false">
      <c r="A3" s="19" t="n">
        <v>46315.1666666667</v>
      </c>
      <c r="B3" s="21" t="n">
        <v>309</v>
      </c>
    </row>
    <row r="4" customFormat="false" ht="15" hidden="false" customHeight="false" outlineLevel="0" collapsed="false">
      <c r="A4" s="19" t="n">
        <v>46315.25</v>
      </c>
      <c r="B4" s="21" t="n">
        <v>310</v>
      </c>
    </row>
    <row r="5" customFormat="false" ht="15" hidden="false" customHeight="false" outlineLevel="0" collapsed="false">
      <c r="A5" s="19" t="n">
        <v>46315.3333333333</v>
      </c>
      <c r="B5" s="21" t="n">
        <v>291</v>
      </c>
    </row>
    <row r="6" customFormat="false" ht="15" hidden="false" customHeight="false" outlineLevel="0" collapsed="false">
      <c r="A6" s="19" t="n">
        <v>46315.4166666667</v>
      </c>
      <c r="B6" s="21" t="n">
        <v>315</v>
      </c>
    </row>
    <row r="7" customFormat="false" ht="15" hidden="false" customHeight="false" outlineLevel="0" collapsed="false">
      <c r="A7" s="19" t="n">
        <v>46315.5</v>
      </c>
      <c r="B7" s="21" t="n">
        <v>313</v>
      </c>
    </row>
    <row r="8" customFormat="false" ht="15" hidden="false" customHeight="false" outlineLevel="0" collapsed="false">
      <c r="A8" s="19" t="n">
        <v>46315.5833333333</v>
      </c>
      <c r="B8" s="21" t="n">
        <v>299</v>
      </c>
    </row>
    <row r="9" customFormat="false" ht="15" hidden="false" customHeight="false" outlineLevel="0" collapsed="false">
      <c r="A9" s="19" t="n">
        <v>46315.6666666667</v>
      </c>
      <c r="B9" s="21" t="n">
        <v>294</v>
      </c>
    </row>
    <row r="10" customFormat="false" ht="15" hidden="false" customHeight="false" outlineLevel="0" collapsed="false">
      <c r="A10" s="19" t="n">
        <v>46315.75</v>
      </c>
      <c r="B10" s="21" t="n">
        <v>296</v>
      </c>
    </row>
    <row r="11" customFormat="false" ht="15" hidden="false" customHeight="false" outlineLevel="0" collapsed="false">
      <c r="A11" s="19" t="n">
        <v>46315.8333333333</v>
      </c>
      <c r="B11" s="21" t="n">
        <v>303</v>
      </c>
    </row>
    <row r="12" customFormat="false" ht="15" hidden="false" customHeight="false" outlineLevel="0" collapsed="false">
      <c r="A12" s="19" t="n">
        <v>46315.9166666667</v>
      </c>
      <c r="B12" s="21" t="n">
        <v>281</v>
      </c>
    </row>
    <row r="13" customFormat="false" ht="15" hidden="false" customHeight="false" outlineLevel="0" collapsed="false">
      <c r="A13" s="19" t="n">
        <v>46316</v>
      </c>
      <c r="B13" s="21" t="n">
        <v>277</v>
      </c>
    </row>
    <row r="14" customFormat="false" ht="15" hidden="false" customHeight="false" outlineLevel="0" collapsed="false">
      <c r="A14" s="19" t="n">
        <v>46316.0833333333</v>
      </c>
      <c r="B14" s="21" t="n">
        <v>279</v>
      </c>
    </row>
    <row r="15" customFormat="false" ht="15" hidden="false" customHeight="false" outlineLevel="0" collapsed="false">
      <c r="A15" s="19" t="n">
        <v>46316.1666666667</v>
      </c>
      <c r="B15" s="21" t="n">
        <v>254</v>
      </c>
    </row>
    <row r="16" customFormat="false" ht="15" hidden="false" customHeight="false" outlineLevel="0" collapsed="false">
      <c r="A16" s="19" t="n">
        <v>46316.25</v>
      </c>
      <c r="B16" s="21" t="n">
        <v>288</v>
      </c>
    </row>
    <row r="17" customFormat="false" ht="15" hidden="false" customHeight="false" outlineLevel="0" collapsed="false">
      <c r="A17" s="19" t="n">
        <v>46316.3333333333</v>
      </c>
      <c r="B17" s="21" t="n">
        <v>288</v>
      </c>
    </row>
    <row r="18" customFormat="false" ht="15" hidden="false" customHeight="false" outlineLevel="0" collapsed="false">
      <c r="A18" s="19" t="n">
        <v>46316.4166666667</v>
      </c>
      <c r="B18" s="21" t="n">
        <v>263</v>
      </c>
    </row>
    <row r="19" customFormat="false" ht="15" hidden="false" customHeight="false" outlineLevel="0" collapsed="false">
      <c r="A19" s="19" t="n">
        <v>46316.5</v>
      </c>
      <c r="B19" s="21" t="n">
        <v>259</v>
      </c>
    </row>
    <row r="20" customFormat="false" ht="15" hidden="false" customHeight="false" outlineLevel="0" collapsed="false">
      <c r="A20" s="19" t="n">
        <v>46316.5833333333</v>
      </c>
      <c r="B20" s="21" t="n">
        <v>264</v>
      </c>
    </row>
    <row r="21" customFormat="false" ht="15" hidden="false" customHeight="false" outlineLevel="0" collapsed="false">
      <c r="A21" s="19" t="n">
        <v>46316.6666666667</v>
      </c>
      <c r="B21" s="21" t="n">
        <v>257</v>
      </c>
    </row>
    <row r="22" customFormat="false" ht="15" hidden="false" customHeight="false" outlineLevel="0" collapsed="false">
      <c r="A22" s="19" t="n">
        <v>46316.75</v>
      </c>
      <c r="B22" s="21" t="n">
        <v>269</v>
      </c>
    </row>
    <row r="23" customFormat="false" ht="15" hidden="false" customHeight="false" outlineLevel="0" collapsed="false">
      <c r="A23" s="19" t="n">
        <v>46316.8333333333</v>
      </c>
      <c r="B23" s="21" t="n">
        <v>259</v>
      </c>
    </row>
    <row r="24" customFormat="false" ht="15" hidden="false" customHeight="false" outlineLevel="0" collapsed="false">
      <c r="A24" s="19" t="n">
        <v>46316.9166666667</v>
      </c>
      <c r="B24" s="21" t="n">
        <v>291</v>
      </c>
    </row>
    <row r="25" customFormat="false" ht="15" hidden="false" customHeight="false" outlineLevel="0" collapsed="false">
      <c r="A25" s="19" t="n">
        <v>46317</v>
      </c>
      <c r="B25" s="21" t="n">
        <v>317</v>
      </c>
    </row>
    <row r="26" customFormat="false" ht="15" hidden="false" customHeight="false" outlineLevel="0" collapsed="false">
      <c r="A26" s="19" t="n">
        <v>46317.0833333333</v>
      </c>
      <c r="B26" s="21" t="n">
        <v>292</v>
      </c>
    </row>
    <row r="27" customFormat="false" ht="15" hidden="false" customHeight="false" outlineLevel="0" collapsed="false">
      <c r="A27" s="19" t="n">
        <v>46317.1666666667</v>
      </c>
      <c r="B27" s="21" t="n">
        <v>296</v>
      </c>
    </row>
    <row r="28" customFormat="false" ht="15" hidden="false" customHeight="false" outlineLevel="0" collapsed="false">
      <c r="A28" s="19" t="n">
        <v>46317.25</v>
      </c>
      <c r="B28" s="21" t="n">
        <v>282</v>
      </c>
    </row>
    <row r="29" customFormat="false" ht="15" hidden="false" customHeight="false" outlineLevel="0" collapsed="false">
      <c r="A29" s="19" t="n">
        <v>46317.3333333333</v>
      </c>
      <c r="B29" s="21" t="n">
        <v>302</v>
      </c>
    </row>
    <row r="30" customFormat="false" ht="15" hidden="false" customHeight="false" outlineLevel="0" collapsed="false">
      <c r="A30" s="19" t="n">
        <v>46317.4166666667</v>
      </c>
      <c r="B30" s="21" t="n">
        <v>298</v>
      </c>
    </row>
    <row r="31" customFormat="false" ht="15" hidden="false" customHeight="false" outlineLevel="0" collapsed="false">
      <c r="A31" s="19" t="n">
        <v>46317.5</v>
      </c>
      <c r="B31" s="21" t="n">
        <v>321</v>
      </c>
    </row>
    <row r="32" customFormat="false" ht="15" hidden="false" customHeight="false" outlineLevel="0" collapsed="false">
      <c r="A32" s="19" t="n">
        <v>46317.5833333333</v>
      </c>
      <c r="B32" s="21" t="n">
        <v>306</v>
      </c>
    </row>
    <row r="33" customFormat="false" ht="15" hidden="false" customHeight="false" outlineLevel="0" collapsed="false">
      <c r="A33" s="19" t="n">
        <v>46317.6666666667</v>
      </c>
      <c r="B33" s="21" t="n">
        <v>295</v>
      </c>
    </row>
    <row r="34" customFormat="false" ht="15" hidden="false" customHeight="false" outlineLevel="0" collapsed="false">
      <c r="A34" s="19" t="n">
        <v>46317.75</v>
      </c>
      <c r="B34" s="21" t="n">
        <v>292</v>
      </c>
    </row>
    <row r="35" customFormat="false" ht="15" hidden="false" customHeight="false" outlineLevel="0" collapsed="false">
      <c r="A35" s="19" t="n">
        <v>46317.8333333333</v>
      </c>
      <c r="B35" s="21" t="n">
        <v>272</v>
      </c>
    </row>
    <row r="36" customFormat="false" ht="15" hidden="false" customHeight="false" outlineLevel="0" collapsed="false">
      <c r="A36" s="19" t="n">
        <v>46317.9166666667</v>
      </c>
      <c r="B36" s="21" t="n">
        <v>258</v>
      </c>
    </row>
    <row r="37" customFormat="false" ht="15" hidden="false" customHeight="false" outlineLevel="0" collapsed="false">
      <c r="A37" s="19" t="n">
        <v>46318</v>
      </c>
      <c r="B37" s="21" t="n">
        <v>272</v>
      </c>
    </row>
    <row r="38" customFormat="false" ht="15" hidden="false" customHeight="false" outlineLevel="0" collapsed="false">
      <c r="A38" s="19" t="n">
        <v>46318.0833333333</v>
      </c>
      <c r="B38" s="21" t="n">
        <v>271</v>
      </c>
    </row>
    <row r="39" customFormat="false" ht="15" hidden="false" customHeight="false" outlineLevel="0" collapsed="false">
      <c r="A39" s="19" t="n">
        <v>46318.3333333333</v>
      </c>
      <c r="B39" s="21" t="n">
        <v>271</v>
      </c>
    </row>
    <row r="40" customFormat="false" ht="15" hidden="false" customHeight="false" outlineLevel="0" collapsed="false">
      <c r="A40" s="19" t="n">
        <v>46318.4166666667</v>
      </c>
      <c r="B40" s="21" t="n">
        <v>268</v>
      </c>
    </row>
    <row r="41" customFormat="false" ht="15" hidden="false" customHeight="false" outlineLevel="0" collapsed="false">
      <c r="A41" s="19" t="n">
        <v>46318.5</v>
      </c>
      <c r="B41" s="21" t="n">
        <v>261</v>
      </c>
    </row>
    <row r="42" customFormat="false" ht="15" hidden="false" customHeight="false" outlineLevel="0" collapsed="false">
      <c r="A42" s="19" t="n">
        <v>46318.5833333333</v>
      </c>
      <c r="B42" s="21" t="n">
        <v>277</v>
      </c>
    </row>
    <row r="43" customFormat="false" ht="15" hidden="false" customHeight="false" outlineLevel="0" collapsed="false">
      <c r="A43" s="19" t="n">
        <v>46318.6666666667</v>
      </c>
      <c r="B43" s="21" t="n">
        <v>300</v>
      </c>
    </row>
    <row r="44" customFormat="false" ht="15" hidden="false" customHeight="false" outlineLevel="0" collapsed="false">
      <c r="A44" s="19" t="n">
        <v>46318.75</v>
      </c>
      <c r="B44" s="21" t="n">
        <v>285</v>
      </c>
    </row>
    <row r="45" customFormat="false" ht="15" hidden="false" customHeight="false" outlineLevel="0" collapsed="false">
      <c r="A45" s="19" t="n">
        <v>46318.8333333333</v>
      </c>
      <c r="B45" s="21" t="n">
        <v>316</v>
      </c>
    </row>
    <row r="46" customFormat="false" ht="15" hidden="false" customHeight="false" outlineLevel="0" collapsed="false">
      <c r="A46" s="19" t="n">
        <v>46318.9166666667</v>
      </c>
      <c r="B46" s="21" t="n">
        <v>298</v>
      </c>
    </row>
    <row r="47" customFormat="false" ht="15" hidden="false" customHeight="false" outlineLevel="0" collapsed="false">
      <c r="A47" s="19" t="n">
        <v>46319</v>
      </c>
      <c r="B47" s="21" t="n">
        <v>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8"/>
    <col collapsed="false" customWidth="true" hidden="false" outlineLevel="0" max="5" min="4" style="0" width="16"/>
  </cols>
  <sheetData>
    <row r="1" customFormat="false" ht="45" hidden="false" customHeight="true" outlineLevel="0" collapsed="false">
      <c r="A1" s="15" t="s">
        <v>76</v>
      </c>
      <c r="B1" s="15" t="s">
        <v>77</v>
      </c>
      <c r="C1" s="15" t="s">
        <v>78</v>
      </c>
      <c r="D1" s="15" t="s">
        <v>79</v>
      </c>
      <c r="E1" s="15" t="s">
        <v>80</v>
      </c>
    </row>
    <row r="2" customFormat="false" ht="15" hidden="false" customHeight="false" outlineLevel="0" collapsed="false">
      <c r="A2" s="19" t="n">
        <v>46315</v>
      </c>
      <c r="B2" s="21" t="s">
        <v>81</v>
      </c>
      <c r="C2" s="21" t="s">
        <v>81</v>
      </c>
      <c r="D2" s="21" t="n">
        <v>0</v>
      </c>
      <c r="E2" s="20" t="n">
        <v>1250.7</v>
      </c>
    </row>
    <row r="3" customFormat="false" ht="15" hidden="false" customHeight="false" outlineLevel="0" collapsed="false">
      <c r="A3" s="19" t="n">
        <v>46315.0069444445</v>
      </c>
      <c r="B3" s="21" t="s">
        <v>81</v>
      </c>
      <c r="C3" s="21" t="s">
        <v>81</v>
      </c>
      <c r="D3" s="21" t="n">
        <v>0</v>
      </c>
      <c r="E3" s="20" t="n">
        <v>1193.9</v>
      </c>
    </row>
    <row r="4" customFormat="false" ht="15" hidden="false" customHeight="false" outlineLevel="0" collapsed="false">
      <c r="A4" s="19" t="n">
        <v>46315.0138888889</v>
      </c>
      <c r="B4" s="21" t="s">
        <v>81</v>
      </c>
      <c r="C4" s="21" t="s">
        <v>81</v>
      </c>
      <c r="D4" s="21" t="n">
        <v>0</v>
      </c>
      <c r="E4" s="20" t="n">
        <v>1224.3</v>
      </c>
    </row>
    <row r="5" customFormat="false" ht="15" hidden="false" customHeight="false" outlineLevel="0" collapsed="false">
      <c r="A5" s="19" t="n">
        <v>46315.0208333333</v>
      </c>
      <c r="B5" s="21" t="s">
        <v>81</v>
      </c>
      <c r="C5" s="21" t="s">
        <v>81</v>
      </c>
      <c r="D5" s="21" t="n">
        <v>0</v>
      </c>
      <c r="E5" s="20" t="n">
        <v>1210.4</v>
      </c>
    </row>
    <row r="6" customFormat="false" ht="15" hidden="false" customHeight="false" outlineLevel="0" collapsed="false">
      <c r="A6" s="19" t="n">
        <v>46315.0277777778</v>
      </c>
      <c r="B6" s="21" t="s">
        <v>81</v>
      </c>
      <c r="C6" s="21" t="s">
        <v>81</v>
      </c>
      <c r="D6" s="21" t="n">
        <v>0</v>
      </c>
      <c r="E6" s="20" t="n">
        <v>1148</v>
      </c>
    </row>
    <row r="7" customFormat="false" ht="15" hidden="false" customHeight="false" outlineLevel="0" collapsed="false">
      <c r="A7" s="19" t="n">
        <v>46315.0347222222</v>
      </c>
      <c r="B7" s="21" t="s">
        <v>81</v>
      </c>
      <c r="C7" s="21" t="s">
        <v>81</v>
      </c>
      <c r="D7" s="21" t="n">
        <v>0</v>
      </c>
      <c r="E7" s="20" t="n">
        <v>1193</v>
      </c>
    </row>
    <row r="8" customFormat="false" ht="15" hidden="false" customHeight="false" outlineLevel="0" collapsed="false">
      <c r="A8" s="19" t="n">
        <v>46315.0416666667</v>
      </c>
      <c r="B8" s="21" t="s">
        <v>81</v>
      </c>
      <c r="C8" s="21" t="s">
        <v>81</v>
      </c>
      <c r="D8" s="21" t="n">
        <v>0</v>
      </c>
      <c r="E8" s="20" t="n">
        <v>1176.9</v>
      </c>
    </row>
    <row r="9" customFormat="false" ht="15" hidden="false" customHeight="false" outlineLevel="0" collapsed="false">
      <c r="A9" s="19" t="n">
        <v>46315.0486111111</v>
      </c>
      <c r="B9" s="21" t="s">
        <v>81</v>
      </c>
      <c r="C9" s="21" t="s">
        <v>81</v>
      </c>
      <c r="D9" s="21" t="n">
        <v>0</v>
      </c>
      <c r="E9" s="20" t="n">
        <v>1156.5</v>
      </c>
    </row>
    <row r="10" customFormat="false" ht="15" hidden="false" customHeight="false" outlineLevel="0" collapsed="false">
      <c r="A10" s="19" t="n">
        <v>46315.0555555556</v>
      </c>
      <c r="B10" s="21" t="s">
        <v>81</v>
      </c>
      <c r="C10" s="21" t="s">
        <v>81</v>
      </c>
      <c r="D10" s="21" t="n">
        <v>0</v>
      </c>
      <c r="E10" s="20" t="n">
        <v>1145.7</v>
      </c>
    </row>
    <row r="11" customFormat="false" ht="15" hidden="false" customHeight="false" outlineLevel="0" collapsed="false">
      <c r="A11" s="19" t="n">
        <v>46315.0625</v>
      </c>
      <c r="B11" s="21" t="s">
        <v>81</v>
      </c>
      <c r="C11" s="21" t="s">
        <v>81</v>
      </c>
      <c r="D11" s="21" t="n">
        <v>0</v>
      </c>
      <c r="E11" s="20" t="n">
        <v>1192.6</v>
      </c>
    </row>
    <row r="12" customFormat="false" ht="15" hidden="false" customHeight="false" outlineLevel="0" collapsed="false">
      <c r="A12" s="19" t="n">
        <v>46315.0694444445</v>
      </c>
      <c r="B12" s="21" t="s">
        <v>81</v>
      </c>
      <c r="C12" s="21" t="s">
        <v>81</v>
      </c>
      <c r="D12" s="21" t="n">
        <v>0</v>
      </c>
      <c r="E12" s="20" t="n">
        <v>1204.8</v>
      </c>
    </row>
    <row r="13" customFormat="false" ht="15" hidden="false" customHeight="false" outlineLevel="0" collapsed="false">
      <c r="A13" s="19" t="n">
        <v>46315.0763888889</v>
      </c>
      <c r="B13" s="21" t="s">
        <v>81</v>
      </c>
      <c r="C13" s="21" t="s">
        <v>81</v>
      </c>
      <c r="D13" s="21" t="n">
        <v>0</v>
      </c>
      <c r="E13" s="20" t="n">
        <v>1199.8</v>
      </c>
    </row>
    <row r="14" customFormat="false" ht="15" hidden="false" customHeight="false" outlineLevel="0" collapsed="false">
      <c r="A14" s="19" t="n">
        <v>46315.0833333333</v>
      </c>
      <c r="B14" s="21" t="s">
        <v>81</v>
      </c>
      <c r="C14" s="21" t="s">
        <v>81</v>
      </c>
      <c r="D14" s="21" t="n">
        <v>0</v>
      </c>
      <c r="E14" s="20" t="n">
        <v>1182.4</v>
      </c>
    </row>
    <row r="15" customFormat="false" ht="15" hidden="false" customHeight="false" outlineLevel="0" collapsed="false">
      <c r="A15" s="19" t="n">
        <v>46315.0902777778</v>
      </c>
      <c r="B15" s="21" t="s">
        <v>81</v>
      </c>
      <c r="C15" s="21" t="s">
        <v>81</v>
      </c>
      <c r="D15" s="21" t="n">
        <v>0</v>
      </c>
      <c r="E15" s="20" t="n">
        <v>1170</v>
      </c>
    </row>
    <row r="16" customFormat="false" ht="15" hidden="false" customHeight="false" outlineLevel="0" collapsed="false">
      <c r="A16" s="19" t="n">
        <v>46315.0972222222</v>
      </c>
      <c r="B16" s="21" t="s">
        <v>81</v>
      </c>
      <c r="C16" s="21" t="s">
        <v>81</v>
      </c>
      <c r="D16" s="21" t="n">
        <v>0</v>
      </c>
      <c r="E16" s="20" t="n">
        <v>1165.3</v>
      </c>
    </row>
    <row r="17" customFormat="false" ht="15" hidden="false" customHeight="false" outlineLevel="0" collapsed="false">
      <c r="A17" s="19" t="n">
        <v>46315.1041666667</v>
      </c>
      <c r="B17" s="21" t="s">
        <v>81</v>
      </c>
      <c r="C17" s="21" t="s">
        <v>81</v>
      </c>
      <c r="D17" s="21" t="n">
        <v>0</v>
      </c>
      <c r="E17" s="20" t="n">
        <v>1176.1</v>
      </c>
    </row>
    <row r="18" customFormat="false" ht="15" hidden="false" customHeight="false" outlineLevel="0" collapsed="false">
      <c r="A18" s="19" t="n">
        <v>46315.1111111111</v>
      </c>
      <c r="B18" s="21" t="s">
        <v>81</v>
      </c>
      <c r="C18" s="21" t="s">
        <v>81</v>
      </c>
      <c r="D18" s="21" t="n">
        <v>0</v>
      </c>
      <c r="E18" s="20" t="n">
        <v>1164.2</v>
      </c>
    </row>
    <row r="19" customFormat="false" ht="15" hidden="false" customHeight="false" outlineLevel="0" collapsed="false">
      <c r="A19" s="19" t="n">
        <v>46315.1180555556</v>
      </c>
      <c r="B19" s="21" t="s">
        <v>81</v>
      </c>
      <c r="C19" s="21" t="s">
        <v>81</v>
      </c>
      <c r="D19" s="21" t="n">
        <v>0</v>
      </c>
      <c r="E19" s="20" t="n">
        <v>1184.9</v>
      </c>
    </row>
    <row r="20" customFormat="false" ht="15" hidden="false" customHeight="false" outlineLevel="0" collapsed="false">
      <c r="A20" s="19" t="n">
        <v>46315.125</v>
      </c>
      <c r="B20" s="21" t="s">
        <v>81</v>
      </c>
      <c r="C20" s="21" t="s">
        <v>81</v>
      </c>
      <c r="D20" s="21" t="n">
        <v>0</v>
      </c>
      <c r="E20" s="20" t="n">
        <v>1189.4</v>
      </c>
    </row>
    <row r="21" customFormat="false" ht="15" hidden="false" customHeight="false" outlineLevel="0" collapsed="false">
      <c r="A21" s="19" t="n">
        <v>46315.1319444445</v>
      </c>
      <c r="B21" s="21" t="s">
        <v>81</v>
      </c>
      <c r="C21" s="21" t="s">
        <v>81</v>
      </c>
      <c r="D21" s="21" t="n">
        <v>0</v>
      </c>
      <c r="E21" s="20" t="n">
        <v>1167.6</v>
      </c>
    </row>
    <row r="22" customFormat="false" ht="15" hidden="false" customHeight="false" outlineLevel="0" collapsed="false">
      <c r="A22" s="19" t="n">
        <v>46315.1388888889</v>
      </c>
      <c r="B22" s="21" t="s">
        <v>81</v>
      </c>
      <c r="C22" s="21" t="s">
        <v>81</v>
      </c>
      <c r="D22" s="21" t="n">
        <v>0</v>
      </c>
      <c r="E22" s="20" t="n">
        <v>1184.2</v>
      </c>
    </row>
    <row r="23" customFormat="false" ht="15" hidden="false" customHeight="false" outlineLevel="0" collapsed="false">
      <c r="A23" s="19" t="n">
        <v>46315.1458333333</v>
      </c>
      <c r="B23" s="21" t="s">
        <v>81</v>
      </c>
      <c r="C23" s="21" t="s">
        <v>81</v>
      </c>
      <c r="D23" s="21" t="n">
        <v>0</v>
      </c>
      <c r="E23" s="20" t="n">
        <v>1171</v>
      </c>
    </row>
    <row r="24" customFormat="false" ht="15" hidden="false" customHeight="false" outlineLevel="0" collapsed="false">
      <c r="A24" s="19" t="n">
        <v>46315.1527777778</v>
      </c>
      <c r="B24" s="21" t="s">
        <v>81</v>
      </c>
      <c r="C24" s="21" t="s">
        <v>81</v>
      </c>
      <c r="D24" s="21" t="n">
        <v>0</v>
      </c>
      <c r="E24" s="20" t="n">
        <v>1189.9</v>
      </c>
    </row>
    <row r="25" customFormat="false" ht="15" hidden="false" customHeight="false" outlineLevel="0" collapsed="false">
      <c r="A25" s="19" t="n">
        <v>46315.1597222222</v>
      </c>
      <c r="B25" s="21" t="s">
        <v>81</v>
      </c>
      <c r="C25" s="21" t="s">
        <v>81</v>
      </c>
      <c r="D25" s="21" t="n">
        <v>0</v>
      </c>
      <c r="E25" s="20" t="n">
        <v>1202.7</v>
      </c>
    </row>
    <row r="26" customFormat="false" ht="15" hidden="false" customHeight="false" outlineLevel="0" collapsed="false">
      <c r="A26" s="19" t="n">
        <v>46315.1666666667</v>
      </c>
      <c r="B26" s="21" t="s">
        <v>81</v>
      </c>
      <c r="C26" s="21" t="s">
        <v>81</v>
      </c>
      <c r="D26" s="21" t="n">
        <v>0</v>
      </c>
      <c r="E26" s="20" t="n">
        <v>1194.5</v>
      </c>
    </row>
    <row r="27" customFormat="false" ht="15" hidden="false" customHeight="false" outlineLevel="0" collapsed="false">
      <c r="A27" s="19" t="n">
        <v>46315.1736111111</v>
      </c>
      <c r="B27" s="21" t="s">
        <v>81</v>
      </c>
      <c r="C27" s="21" t="s">
        <v>81</v>
      </c>
      <c r="D27" s="21" t="n">
        <v>0</v>
      </c>
      <c r="E27" s="20" t="n">
        <v>1201.8</v>
      </c>
    </row>
    <row r="28" customFormat="false" ht="15" hidden="false" customHeight="false" outlineLevel="0" collapsed="false">
      <c r="A28" s="19" t="n">
        <v>46315.1805555556</v>
      </c>
      <c r="B28" s="21" t="s">
        <v>81</v>
      </c>
      <c r="C28" s="21" t="s">
        <v>81</v>
      </c>
      <c r="D28" s="21" t="n">
        <v>0</v>
      </c>
      <c r="E28" s="20" t="n">
        <v>1148.7</v>
      </c>
    </row>
    <row r="29" customFormat="false" ht="15" hidden="false" customHeight="false" outlineLevel="0" collapsed="false">
      <c r="A29" s="19" t="n">
        <v>46315.1875</v>
      </c>
      <c r="B29" s="21" t="s">
        <v>81</v>
      </c>
      <c r="C29" s="21" t="s">
        <v>81</v>
      </c>
      <c r="D29" s="21" t="n">
        <v>0</v>
      </c>
      <c r="E29" s="20" t="n">
        <v>1180.5</v>
      </c>
    </row>
    <row r="30" customFormat="false" ht="15" hidden="false" customHeight="false" outlineLevel="0" collapsed="false">
      <c r="A30" s="19" t="n">
        <v>46315.1944444445</v>
      </c>
      <c r="B30" s="21" t="s">
        <v>81</v>
      </c>
      <c r="C30" s="21" t="s">
        <v>81</v>
      </c>
      <c r="D30" s="21" t="n">
        <v>0</v>
      </c>
      <c r="E30" s="20" t="n">
        <v>1196.9</v>
      </c>
    </row>
    <row r="31" customFormat="false" ht="15" hidden="false" customHeight="false" outlineLevel="0" collapsed="false">
      <c r="A31" s="19" t="n">
        <v>46315.2013888889</v>
      </c>
      <c r="B31" s="21" t="s">
        <v>81</v>
      </c>
      <c r="C31" s="21" t="s">
        <v>81</v>
      </c>
      <c r="D31" s="21" t="n">
        <v>0</v>
      </c>
      <c r="E31" s="20" t="n">
        <v>1206</v>
      </c>
    </row>
    <row r="32" customFormat="false" ht="15" hidden="false" customHeight="false" outlineLevel="0" collapsed="false">
      <c r="A32" s="19" t="n">
        <v>46315.2083333333</v>
      </c>
      <c r="B32" s="21" t="s">
        <v>81</v>
      </c>
      <c r="C32" s="21" t="s">
        <v>81</v>
      </c>
      <c r="D32" s="21" t="n">
        <v>0</v>
      </c>
      <c r="E32" s="20" t="n">
        <v>1150</v>
      </c>
    </row>
    <row r="33" customFormat="false" ht="15" hidden="false" customHeight="false" outlineLevel="0" collapsed="false">
      <c r="A33" s="19" t="n">
        <v>46315.2152777778</v>
      </c>
      <c r="B33" s="21" t="s">
        <v>81</v>
      </c>
      <c r="C33" s="21" t="s">
        <v>81</v>
      </c>
      <c r="D33" s="21" t="n">
        <v>0</v>
      </c>
      <c r="E33" s="20" t="n">
        <v>1194</v>
      </c>
    </row>
    <row r="34" customFormat="false" ht="15" hidden="false" customHeight="false" outlineLevel="0" collapsed="false">
      <c r="A34" s="19" t="n">
        <v>46315.2222222222</v>
      </c>
      <c r="B34" s="21" t="s">
        <v>81</v>
      </c>
      <c r="C34" s="21" t="s">
        <v>81</v>
      </c>
      <c r="D34" s="21" t="n">
        <v>0</v>
      </c>
      <c r="E34" s="20" t="n">
        <v>1220.2</v>
      </c>
    </row>
    <row r="35" customFormat="false" ht="15" hidden="false" customHeight="false" outlineLevel="0" collapsed="false">
      <c r="A35" s="19" t="n">
        <v>46315.2291666667</v>
      </c>
      <c r="B35" s="21" t="s">
        <v>81</v>
      </c>
      <c r="C35" s="21" t="s">
        <v>81</v>
      </c>
      <c r="D35" s="21" t="n">
        <v>0</v>
      </c>
      <c r="E35" s="20" t="n">
        <v>1185.5</v>
      </c>
    </row>
    <row r="36" customFormat="false" ht="15" hidden="false" customHeight="false" outlineLevel="0" collapsed="false">
      <c r="A36" s="19" t="n">
        <v>46315.2361111111</v>
      </c>
      <c r="B36" s="21" t="s">
        <v>81</v>
      </c>
      <c r="C36" s="21" t="s">
        <v>81</v>
      </c>
      <c r="D36" s="21" t="n">
        <v>0</v>
      </c>
      <c r="E36" s="20" t="n">
        <v>1187.6</v>
      </c>
    </row>
    <row r="37" customFormat="false" ht="15" hidden="false" customHeight="false" outlineLevel="0" collapsed="false">
      <c r="A37" s="19" t="n">
        <v>46315.2430555556</v>
      </c>
      <c r="B37" s="21" t="s">
        <v>81</v>
      </c>
      <c r="C37" s="21" t="s">
        <v>81</v>
      </c>
      <c r="D37" s="21" t="n">
        <v>0</v>
      </c>
      <c r="E37" s="20" t="n">
        <v>1201.3</v>
      </c>
    </row>
    <row r="38" customFormat="false" ht="15" hidden="false" customHeight="false" outlineLevel="0" collapsed="false">
      <c r="A38" s="19" t="n">
        <v>46315.25</v>
      </c>
      <c r="B38" s="21" t="s">
        <v>81</v>
      </c>
      <c r="C38" s="21" t="s">
        <v>81</v>
      </c>
      <c r="D38" s="21" t="n">
        <v>0</v>
      </c>
      <c r="E38" s="20" t="n">
        <v>1196.2</v>
      </c>
    </row>
    <row r="39" customFormat="false" ht="15" hidden="false" customHeight="false" outlineLevel="0" collapsed="false">
      <c r="A39" s="19" t="n">
        <v>46315.2569444445</v>
      </c>
      <c r="B39" s="21" t="s">
        <v>81</v>
      </c>
      <c r="C39" s="21" t="s">
        <v>81</v>
      </c>
      <c r="D39" s="21" t="n">
        <v>0</v>
      </c>
      <c r="E39" s="20" t="n">
        <v>1206.9</v>
      </c>
    </row>
    <row r="40" customFormat="false" ht="15" hidden="false" customHeight="false" outlineLevel="0" collapsed="false">
      <c r="A40" s="19" t="n">
        <v>46315.2638888889</v>
      </c>
      <c r="B40" s="21" t="s">
        <v>81</v>
      </c>
      <c r="C40" s="21" t="s">
        <v>81</v>
      </c>
      <c r="D40" s="21" t="n">
        <v>0</v>
      </c>
      <c r="E40" s="20" t="n">
        <v>1191.8</v>
      </c>
    </row>
    <row r="41" customFormat="false" ht="15" hidden="false" customHeight="false" outlineLevel="0" collapsed="false">
      <c r="A41" s="19" t="n">
        <v>46315.2708333333</v>
      </c>
      <c r="B41" s="21" t="s">
        <v>81</v>
      </c>
      <c r="C41" s="21" t="s">
        <v>81</v>
      </c>
      <c r="D41" s="21" t="n">
        <v>0</v>
      </c>
      <c r="E41" s="20" t="n">
        <v>1193.8</v>
      </c>
    </row>
    <row r="42" customFormat="false" ht="15" hidden="false" customHeight="false" outlineLevel="0" collapsed="false">
      <c r="A42" s="19" t="n">
        <v>46315.2777777778</v>
      </c>
      <c r="B42" s="21" t="s">
        <v>81</v>
      </c>
      <c r="C42" s="21" t="s">
        <v>81</v>
      </c>
      <c r="D42" s="21" t="n">
        <v>0</v>
      </c>
      <c r="E42" s="20" t="n">
        <v>1170.4</v>
      </c>
    </row>
    <row r="43" customFormat="false" ht="15" hidden="false" customHeight="false" outlineLevel="0" collapsed="false">
      <c r="A43" s="19" t="n">
        <v>46315.2847222222</v>
      </c>
      <c r="B43" s="21" t="s">
        <v>81</v>
      </c>
      <c r="C43" s="21" t="s">
        <v>81</v>
      </c>
      <c r="D43" s="21" t="n">
        <v>0</v>
      </c>
      <c r="E43" s="20" t="n">
        <v>1185.7</v>
      </c>
    </row>
    <row r="44" customFormat="false" ht="15" hidden="false" customHeight="false" outlineLevel="0" collapsed="false">
      <c r="A44" s="19" t="n">
        <v>46315.2916666667</v>
      </c>
      <c r="B44" s="21" t="s">
        <v>81</v>
      </c>
      <c r="C44" s="21" t="s">
        <v>81</v>
      </c>
      <c r="D44" s="21" t="n">
        <v>0</v>
      </c>
      <c r="E44" s="20" t="n">
        <v>1221.3</v>
      </c>
    </row>
    <row r="45" customFormat="false" ht="15" hidden="false" customHeight="false" outlineLevel="0" collapsed="false">
      <c r="A45" s="19" t="n">
        <v>46315.2986111111</v>
      </c>
      <c r="B45" s="21" t="s">
        <v>81</v>
      </c>
      <c r="C45" s="21" t="s">
        <v>81</v>
      </c>
      <c r="D45" s="21" t="n">
        <v>0</v>
      </c>
      <c r="E45" s="20" t="n">
        <v>1184.9</v>
      </c>
    </row>
    <row r="46" customFormat="false" ht="15" hidden="false" customHeight="false" outlineLevel="0" collapsed="false">
      <c r="A46" s="19" t="n">
        <v>46315.3055555556</v>
      </c>
      <c r="B46" s="21" t="s">
        <v>81</v>
      </c>
      <c r="C46" s="21" t="s">
        <v>81</v>
      </c>
      <c r="D46" s="21" t="n">
        <v>0</v>
      </c>
      <c r="E46" s="20" t="n">
        <v>1185.8</v>
      </c>
    </row>
    <row r="47" customFormat="false" ht="15" hidden="false" customHeight="false" outlineLevel="0" collapsed="false">
      <c r="A47" s="19" t="n">
        <v>46315.3125</v>
      </c>
      <c r="B47" s="21" t="s">
        <v>81</v>
      </c>
      <c r="C47" s="21" t="s">
        <v>81</v>
      </c>
      <c r="D47" s="21" t="n">
        <v>0</v>
      </c>
      <c r="E47" s="20" t="n">
        <v>1177.7</v>
      </c>
    </row>
    <row r="48" customFormat="false" ht="15" hidden="false" customHeight="false" outlineLevel="0" collapsed="false">
      <c r="A48" s="19" t="n">
        <v>46315.3194444445</v>
      </c>
      <c r="B48" s="21" t="s">
        <v>81</v>
      </c>
      <c r="C48" s="21" t="s">
        <v>81</v>
      </c>
      <c r="D48" s="21" t="n">
        <v>0</v>
      </c>
      <c r="E48" s="20" t="n">
        <v>1209.7</v>
      </c>
    </row>
    <row r="49" customFormat="false" ht="15" hidden="false" customHeight="false" outlineLevel="0" collapsed="false">
      <c r="A49" s="19" t="n">
        <v>46315.3263888889</v>
      </c>
      <c r="B49" s="21" t="s">
        <v>81</v>
      </c>
      <c r="C49" s="21" t="s">
        <v>81</v>
      </c>
      <c r="D49" s="21" t="n">
        <v>0</v>
      </c>
      <c r="E49" s="20" t="n">
        <v>1168.6</v>
      </c>
    </row>
    <row r="50" customFormat="false" ht="15" hidden="false" customHeight="false" outlineLevel="0" collapsed="false">
      <c r="A50" s="19" t="n">
        <v>46315.3333333333</v>
      </c>
      <c r="B50" s="21" t="s">
        <v>81</v>
      </c>
      <c r="C50" s="21" t="s">
        <v>81</v>
      </c>
      <c r="D50" s="21" t="n">
        <v>0</v>
      </c>
      <c r="E50" s="20" t="n">
        <v>1212.8</v>
      </c>
    </row>
    <row r="51" customFormat="false" ht="15" hidden="false" customHeight="false" outlineLevel="0" collapsed="false">
      <c r="A51" s="19" t="n">
        <v>46315.3402777778</v>
      </c>
      <c r="B51" s="21" t="s">
        <v>81</v>
      </c>
      <c r="C51" s="21" t="s">
        <v>81</v>
      </c>
      <c r="D51" s="21" t="n">
        <v>0</v>
      </c>
      <c r="E51" s="20" t="n">
        <v>1166.6</v>
      </c>
    </row>
    <row r="52" customFormat="false" ht="15" hidden="false" customHeight="false" outlineLevel="0" collapsed="false">
      <c r="A52" s="19" t="n">
        <v>46315.3472222222</v>
      </c>
      <c r="B52" s="21" t="s">
        <v>81</v>
      </c>
      <c r="C52" s="21" t="s">
        <v>81</v>
      </c>
      <c r="D52" s="21" t="n">
        <v>0</v>
      </c>
      <c r="E52" s="20" t="n">
        <v>1163.6</v>
      </c>
    </row>
    <row r="53" customFormat="false" ht="15" hidden="false" customHeight="false" outlineLevel="0" collapsed="false">
      <c r="A53" s="19" t="n">
        <v>46315.3541666667</v>
      </c>
      <c r="B53" s="21" t="s">
        <v>81</v>
      </c>
      <c r="C53" s="21" t="s">
        <v>81</v>
      </c>
      <c r="D53" s="21" t="n">
        <v>0</v>
      </c>
      <c r="E53" s="20" t="n">
        <v>1195.1</v>
      </c>
    </row>
    <row r="54" customFormat="false" ht="15" hidden="false" customHeight="false" outlineLevel="0" collapsed="false">
      <c r="A54" s="19" t="n">
        <v>46315.3611111111</v>
      </c>
      <c r="B54" s="21" t="s">
        <v>81</v>
      </c>
      <c r="C54" s="21" t="s">
        <v>81</v>
      </c>
      <c r="D54" s="21" t="n">
        <v>0</v>
      </c>
      <c r="E54" s="20" t="n">
        <v>1193.3</v>
      </c>
    </row>
    <row r="55" customFormat="false" ht="15" hidden="false" customHeight="false" outlineLevel="0" collapsed="false">
      <c r="A55" s="19" t="n">
        <v>46315.3680555556</v>
      </c>
      <c r="B55" s="21" t="s">
        <v>81</v>
      </c>
      <c r="C55" s="21" t="s">
        <v>81</v>
      </c>
      <c r="D55" s="21" t="n">
        <v>0</v>
      </c>
      <c r="E55" s="20" t="n">
        <v>1197.4</v>
      </c>
    </row>
    <row r="56" customFormat="false" ht="15" hidden="false" customHeight="false" outlineLevel="0" collapsed="false">
      <c r="A56" s="19" t="n">
        <v>46315.375</v>
      </c>
      <c r="B56" s="21" t="s">
        <v>81</v>
      </c>
      <c r="C56" s="21" t="s">
        <v>81</v>
      </c>
      <c r="D56" s="21" t="n">
        <v>0</v>
      </c>
      <c r="E56" s="20" t="n">
        <v>1216.6</v>
      </c>
    </row>
    <row r="57" customFormat="false" ht="15" hidden="false" customHeight="false" outlineLevel="0" collapsed="false">
      <c r="A57" s="19" t="n">
        <v>46315.3819444445</v>
      </c>
      <c r="B57" s="21" t="s">
        <v>81</v>
      </c>
      <c r="C57" s="21" t="s">
        <v>81</v>
      </c>
      <c r="D57" s="21" t="n">
        <v>0</v>
      </c>
      <c r="E57" s="20" t="n">
        <v>1179.7</v>
      </c>
    </row>
    <row r="58" customFormat="false" ht="15" hidden="false" customHeight="false" outlineLevel="0" collapsed="false">
      <c r="A58" s="19" t="n">
        <v>46315.3888888889</v>
      </c>
      <c r="B58" s="21" t="s">
        <v>81</v>
      </c>
      <c r="C58" s="21" t="s">
        <v>81</v>
      </c>
      <c r="D58" s="21" t="n">
        <v>0</v>
      </c>
      <c r="E58" s="20" t="n">
        <v>1201.1</v>
      </c>
    </row>
    <row r="59" customFormat="false" ht="15" hidden="false" customHeight="false" outlineLevel="0" collapsed="false">
      <c r="A59" s="19" t="n">
        <v>46315.3958333333</v>
      </c>
      <c r="B59" s="21" t="s">
        <v>81</v>
      </c>
      <c r="C59" s="21" t="s">
        <v>81</v>
      </c>
      <c r="D59" s="21" t="n">
        <v>0</v>
      </c>
      <c r="E59" s="20" t="n">
        <v>1167.3</v>
      </c>
    </row>
    <row r="60" customFormat="false" ht="15" hidden="false" customHeight="false" outlineLevel="0" collapsed="false">
      <c r="A60" s="19" t="n">
        <v>46315.4027777778</v>
      </c>
      <c r="B60" s="21" t="s">
        <v>81</v>
      </c>
      <c r="C60" s="21" t="s">
        <v>81</v>
      </c>
      <c r="D60" s="21" t="n">
        <v>0</v>
      </c>
      <c r="E60" s="20" t="n">
        <v>1221.5</v>
      </c>
    </row>
    <row r="61" customFormat="false" ht="15" hidden="false" customHeight="false" outlineLevel="0" collapsed="false">
      <c r="A61" s="19" t="n">
        <v>46315.4097222222</v>
      </c>
      <c r="B61" s="21" t="s">
        <v>81</v>
      </c>
      <c r="C61" s="21" t="s">
        <v>81</v>
      </c>
      <c r="D61" s="21" t="n">
        <v>0</v>
      </c>
      <c r="E61" s="20" t="n">
        <v>1205.8</v>
      </c>
    </row>
    <row r="62" customFormat="false" ht="15" hidden="false" customHeight="false" outlineLevel="0" collapsed="false">
      <c r="A62" s="19" t="n">
        <v>46315.4166666667</v>
      </c>
      <c r="B62" s="21" t="s">
        <v>81</v>
      </c>
      <c r="C62" s="21" t="s">
        <v>81</v>
      </c>
      <c r="D62" s="21" t="n">
        <v>0</v>
      </c>
      <c r="E62" s="20" t="n">
        <v>1203.4</v>
      </c>
    </row>
    <row r="63" customFormat="false" ht="15" hidden="false" customHeight="false" outlineLevel="0" collapsed="false">
      <c r="A63" s="19" t="n">
        <v>46315.4236111111</v>
      </c>
      <c r="B63" s="21" t="s">
        <v>81</v>
      </c>
      <c r="C63" s="21" t="s">
        <v>81</v>
      </c>
      <c r="D63" s="21" t="n">
        <v>0</v>
      </c>
      <c r="E63" s="20" t="n">
        <v>1194.7</v>
      </c>
    </row>
    <row r="64" customFormat="false" ht="15" hidden="false" customHeight="false" outlineLevel="0" collapsed="false">
      <c r="A64" s="19" t="n">
        <v>46315.4305555556</v>
      </c>
      <c r="B64" s="21" t="s">
        <v>81</v>
      </c>
      <c r="C64" s="21" t="s">
        <v>81</v>
      </c>
      <c r="D64" s="21" t="n">
        <v>0</v>
      </c>
      <c r="E64" s="20" t="n">
        <v>1170.4</v>
      </c>
    </row>
    <row r="65" customFormat="false" ht="15" hidden="false" customHeight="false" outlineLevel="0" collapsed="false">
      <c r="A65" s="19" t="n">
        <v>46315.4375</v>
      </c>
      <c r="B65" s="21" t="s">
        <v>81</v>
      </c>
      <c r="C65" s="21" t="s">
        <v>81</v>
      </c>
      <c r="D65" s="21" t="n">
        <v>0</v>
      </c>
      <c r="E65" s="20" t="n">
        <v>1181.8</v>
      </c>
    </row>
    <row r="66" customFormat="false" ht="15" hidden="false" customHeight="false" outlineLevel="0" collapsed="false">
      <c r="A66" s="19" t="n">
        <v>46315.4444444445</v>
      </c>
      <c r="B66" s="21" t="s">
        <v>81</v>
      </c>
      <c r="C66" s="21" t="s">
        <v>81</v>
      </c>
      <c r="D66" s="21" t="n">
        <v>0</v>
      </c>
      <c r="E66" s="20" t="n">
        <v>1202.5</v>
      </c>
    </row>
    <row r="67" customFormat="false" ht="15" hidden="false" customHeight="false" outlineLevel="0" collapsed="false">
      <c r="A67" s="19" t="n">
        <v>46315.4513888889</v>
      </c>
      <c r="B67" s="21" t="s">
        <v>81</v>
      </c>
      <c r="C67" s="21" t="s">
        <v>81</v>
      </c>
      <c r="D67" s="21" t="n">
        <v>0</v>
      </c>
      <c r="E67" s="20" t="n">
        <v>1189.5</v>
      </c>
    </row>
    <row r="68" customFormat="false" ht="15" hidden="false" customHeight="false" outlineLevel="0" collapsed="false">
      <c r="A68" s="19" t="n">
        <v>46315.4583333333</v>
      </c>
      <c r="B68" s="21" t="s">
        <v>81</v>
      </c>
      <c r="C68" s="21" t="s">
        <v>81</v>
      </c>
      <c r="D68" s="21" t="n">
        <v>0</v>
      </c>
      <c r="E68" s="20" t="n">
        <v>1193.1</v>
      </c>
    </row>
    <row r="69" customFormat="false" ht="15" hidden="false" customHeight="false" outlineLevel="0" collapsed="false">
      <c r="A69" s="19" t="n">
        <v>46315.4652777778</v>
      </c>
      <c r="B69" s="21" t="s">
        <v>81</v>
      </c>
      <c r="C69" s="21" t="s">
        <v>81</v>
      </c>
      <c r="D69" s="21" t="n">
        <v>0</v>
      </c>
      <c r="E69" s="20" t="n">
        <v>1156</v>
      </c>
    </row>
    <row r="70" customFormat="false" ht="15" hidden="false" customHeight="false" outlineLevel="0" collapsed="false">
      <c r="A70" s="19" t="n">
        <v>46315.4722222222</v>
      </c>
      <c r="B70" s="21" t="s">
        <v>81</v>
      </c>
      <c r="C70" s="21" t="s">
        <v>81</v>
      </c>
      <c r="D70" s="21" t="n">
        <v>0</v>
      </c>
      <c r="E70" s="20" t="n">
        <v>1194.5</v>
      </c>
    </row>
    <row r="71" customFormat="false" ht="15" hidden="false" customHeight="false" outlineLevel="0" collapsed="false">
      <c r="A71" s="19" t="n">
        <v>46315.4791666667</v>
      </c>
      <c r="B71" s="21" t="s">
        <v>81</v>
      </c>
      <c r="C71" s="21" t="s">
        <v>81</v>
      </c>
      <c r="D71" s="21" t="n">
        <v>0</v>
      </c>
      <c r="E71" s="20" t="n">
        <v>1172.7</v>
      </c>
    </row>
    <row r="72" customFormat="false" ht="15" hidden="false" customHeight="false" outlineLevel="0" collapsed="false">
      <c r="A72" s="19" t="n">
        <v>46315.4861111111</v>
      </c>
      <c r="B72" s="21" t="s">
        <v>81</v>
      </c>
      <c r="C72" s="21" t="s">
        <v>81</v>
      </c>
      <c r="D72" s="21" t="n">
        <v>0</v>
      </c>
      <c r="E72" s="20" t="n">
        <v>1162.9</v>
      </c>
    </row>
    <row r="73" customFormat="false" ht="15" hidden="false" customHeight="false" outlineLevel="0" collapsed="false">
      <c r="A73" s="19" t="n">
        <v>46315.4930555556</v>
      </c>
      <c r="B73" s="21" t="s">
        <v>81</v>
      </c>
      <c r="C73" s="21" t="s">
        <v>81</v>
      </c>
      <c r="D73" s="21" t="n">
        <v>0</v>
      </c>
      <c r="E73" s="20" t="n">
        <v>1186.1</v>
      </c>
    </row>
    <row r="74" customFormat="false" ht="15" hidden="false" customHeight="false" outlineLevel="0" collapsed="false">
      <c r="A74" s="19" t="n">
        <v>46315.5</v>
      </c>
      <c r="B74" s="21" t="s">
        <v>81</v>
      </c>
      <c r="C74" s="21" t="s">
        <v>81</v>
      </c>
      <c r="D74" s="21" t="n">
        <v>0</v>
      </c>
      <c r="E74" s="20" t="n">
        <v>1143.6</v>
      </c>
    </row>
    <row r="75" customFormat="false" ht="15" hidden="false" customHeight="false" outlineLevel="0" collapsed="false">
      <c r="A75" s="19" t="n">
        <v>46315.5069444445</v>
      </c>
      <c r="B75" s="21" t="s">
        <v>81</v>
      </c>
      <c r="C75" s="21" t="s">
        <v>81</v>
      </c>
      <c r="D75" s="21" t="n">
        <v>0</v>
      </c>
      <c r="E75" s="20" t="n">
        <v>1207.5</v>
      </c>
    </row>
    <row r="76" customFormat="false" ht="15" hidden="false" customHeight="false" outlineLevel="0" collapsed="false">
      <c r="A76" s="19" t="n">
        <v>46315.5138888889</v>
      </c>
      <c r="B76" s="21" t="s">
        <v>81</v>
      </c>
      <c r="C76" s="21" t="s">
        <v>81</v>
      </c>
      <c r="D76" s="21" t="n">
        <v>0</v>
      </c>
      <c r="E76" s="20" t="n">
        <v>1211.3</v>
      </c>
    </row>
    <row r="77" customFormat="false" ht="15" hidden="false" customHeight="false" outlineLevel="0" collapsed="false">
      <c r="A77" s="19" t="n">
        <v>46315.5208333333</v>
      </c>
      <c r="B77" s="21" t="s">
        <v>81</v>
      </c>
      <c r="C77" s="21" t="s">
        <v>81</v>
      </c>
      <c r="D77" s="21" t="n">
        <v>0</v>
      </c>
      <c r="E77" s="20" t="n">
        <v>1188.7</v>
      </c>
    </row>
    <row r="78" customFormat="false" ht="15" hidden="false" customHeight="false" outlineLevel="0" collapsed="false">
      <c r="A78" s="19" t="n">
        <v>46315.5277777778</v>
      </c>
      <c r="B78" s="21" t="s">
        <v>81</v>
      </c>
      <c r="C78" s="21" t="s">
        <v>81</v>
      </c>
      <c r="D78" s="21" t="n">
        <v>0</v>
      </c>
      <c r="E78" s="20" t="n">
        <v>1165.2</v>
      </c>
    </row>
    <row r="79" customFormat="false" ht="15" hidden="false" customHeight="false" outlineLevel="0" collapsed="false">
      <c r="A79" s="19" t="n">
        <v>46315.5347222222</v>
      </c>
      <c r="B79" s="21" t="s">
        <v>81</v>
      </c>
      <c r="C79" s="21" t="s">
        <v>81</v>
      </c>
      <c r="D79" s="21" t="n">
        <v>0</v>
      </c>
      <c r="E79" s="20" t="n">
        <v>1166.4</v>
      </c>
    </row>
    <row r="80" customFormat="false" ht="15" hidden="false" customHeight="false" outlineLevel="0" collapsed="false">
      <c r="A80" s="19" t="n">
        <v>46315.5416666667</v>
      </c>
      <c r="B80" s="21" t="s">
        <v>81</v>
      </c>
      <c r="C80" s="21" t="s">
        <v>81</v>
      </c>
      <c r="D80" s="21" t="n">
        <v>0</v>
      </c>
      <c r="E80" s="20" t="n">
        <v>1186.2</v>
      </c>
    </row>
    <row r="81" customFormat="false" ht="15" hidden="false" customHeight="false" outlineLevel="0" collapsed="false">
      <c r="A81" s="19" t="n">
        <v>46315.5486111111</v>
      </c>
      <c r="B81" s="21" t="s">
        <v>81</v>
      </c>
      <c r="C81" s="21" t="s">
        <v>81</v>
      </c>
      <c r="D81" s="21" t="n">
        <v>0</v>
      </c>
      <c r="E81" s="20" t="n">
        <v>1129.4</v>
      </c>
    </row>
    <row r="82" customFormat="false" ht="15" hidden="false" customHeight="false" outlineLevel="0" collapsed="false">
      <c r="A82" s="19" t="n">
        <v>46315.5555555556</v>
      </c>
      <c r="B82" s="21" t="s">
        <v>81</v>
      </c>
      <c r="C82" s="21" t="s">
        <v>81</v>
      </c>
      <c r="D82" s="21" t="n">
        <v>0</v>
      </c>
      <c r="E82" s="20" t="n">
        <v>1194.5</v>
      </c>
    </row>
    <row r="83" customFormat="false" ht="15" hidden="false" customHeight="false" outlineLevel="0" collapsed="false">
      <c r="A83" s="19" t="n">
        <v>46315.5625</v>
      </c>
      <c r="B83" s="21" t="s">
        <v>81</v>
      </c>
      <c r="C83" s="21" t="s">
        <v>81</v>
      </c>
      <c r="D83" s="21" t="n">
        <v>0</v>
      </c>
      <c r="E83" s="20" t="n">
        <v>1206.6</v>
      </c>
    </row>
    <row r="84" customFormat="false" ht="15" hidden="false" customHeight="false" outlineLevel="0" collapsed="false">
      <c r="A84" s="19" t="n">
        <v>46315.5694444445</v>
      </c>
      <c r="B84" s="21" t="s">
        <v>81</v>
      </c>
      <c r="C84" s="21" t="s">
        <v>81</v>
      </c>
      <c r="D84" s="21" t="n">
        <v>0</v>
      </c>
      <c r="E84" s="20" t="n">
        <v>1182.2</v>
      </c>
    </row>
    <row r="85" customFormat="false" ht="15" hidden="false" customHeight="false" outlineLevel="0" collapsed="false">
      <c r="A85" s="19" t="n">
        <v>46315.5763888889</v>
      </c>
      <c r="B85" s="21" t="s">
        <v>81</v>
      </c>
      <c r="C85" s="21" t="s">
        <v>81</v>
      </c>
      <c r="D85" s="21" t="n">
        <v>0</v>
      </c>
      <c r="E85" s="20" t="n">
        <v>1177.6</v>
      </c>
    </row>
    <row r="86" customFormat="false" ht="15" hidden="false" customHeight="false" outlineLevel="0" collapsed="false">
      <c r="A86" s="19" t="n">
        <v>46315.5833333333</v>
      </c>
      <c r="B86" s="21" t="s">
        <v>81</v>
      </c>
      <c r="C86" s="21" t="s">
        <v>81</v>
      </c>
      <c r="D86" s="21" t="n">
        <v>0</v>
      </c>
      <c r="E86" s="20" t="n">
        <v>1194.5</v>
      </c>
    </row>
    <row r="87" customFormat="false" ht="15" hidden="false" customHeight="false" outlineLevel="0" collapsed="false">
      <c r="A87" s="19" t="n">
        <v>46315.5902777778</v>
      </c>
      <c r="B87" s="21" t="s">
        <v>81</v>
      </c>
      <c r="C87" s="21" t="s">
        <v>81</v>
      </c>
      <c r="D87" s="21" t="n">
        <v>0</v>
      </c>
      <c r="E87" s="20" t="n">
        <v>1198.8</v>
      </c>
    </row>
    <row r="88" customFormat="false" ht="15" hidden="false" customHeight="false" outlineLevel="0" collapsed="false">
      <c r="A88" s="19" t="n">
        <v>46315.5972222222</v>
      </c>
      <c r="B88" s="21" t="s">
        <v>81</v>
      </c>
      <c r="C88" s="21" t="s">
        <v>81</v>
      </c>
      <c r="D88" s="21" t="n">
        <v>0</v>
      </c>
      <c r="E88" s="20" t="n">
        <v>1217.4</v>
      </c>
    </row>
    <row r="89" customFormat="false" ht="15" hidden="false" customHeight="false" outlineLevel="0" collapsed="false">
      <c r="A89" s="19" t="n">
        <v>46315.6041666667</v>
      </c>
      <c r="B89" s="21" t="s">
        <v>81</v>
      </c>
      <c r="C89" s="21" t="s">
        <v>81</v>
      </c>
      <c r="D89" s="21" t="n">
        <v>0</v>
      </c>
      <c r="E89" s="20" t="n">
        <v>1190.5</v>
      </c>
    </row>
    <row r="90" customFormat="false" ht="15" hidden="false" customHeight="false" outlineLevel="0" collapsed="false">
      <c r="A90" s="19" t="n">
        <v>46315.6111111111</v>
      </c>
      <c r="B90" s="21" t="s">
        <v>81</v>
      </c>
      <c r="C90" s="21" t="s">
        <v>81</v>
      </c>
      <c r="D90" s="21" t="n">
        <v>0</v>
      </c>
      <c r="E90" s="20" t="n">
        <v>1172.8</v>
      </c>
    </row>
    <row r="91" customFormat="false" ht="15" hidden="false" customHeight="false" outlineLevel="0" collapsed="false">
      <c r="A91" s="19" t="n">
        <v>46315.6180555556</v>
      </c>
      <c r="B91" s="21" t="s">
        <v>81</v>
      </c>
      <c r="C91" s="21" t="s">
        <v>81</v>
      </c>
      <c r="D91" s="21" t="n">
        <v>0</v>
      </c>
      <c r="E91" s="20" t="n">
        <v>1178.5</v>
      </c>
    </row>
    <row r="92" customFormat="false" ht="15" hidden="false" customHeight="false" outlineLevel="0" collapsed="false">
      <c r="A92" s="19" t="n">
        <v>46315.625</v>
      </c>
      <c r="B92" s="21" t="s">
        <v>81</v>
      </c>
      <c r="C92" s="21" t="s">
        <v>81</v>
      </c>
      <c r="D92" s="21" t="n">
        <v>0</v>
      </c>
      <c r="E92" s="20" t="n">
        <v>1194.5</v>
      </c>
    </row>
    <row r="93" customFormat="false" ht="15" hidden="false" customHeight="false" outlineLevel="0" collapsed="false">
      <c r="A93" s="19" t="n">
        <v>46315.6319444445</v>
      </c>
      <c r="B93" s="21" t="s">
        <v>81</v>
      </c>
      <c r="C93" s="21" t="s">
        <v>81</v>
      </c>
      <c r="D93" s="21" t="n">
        <v>0</v>
      </c>
      <c r="E93" s="20" t="n">
        <v>1228.9</v>
      </c>
    </row>
    <row r="94" customFormat="false" ht="15" hidden="false" customHeight="false" outlineLevel="0" collapsed="false">
      <c r="A94" s="19" t="n">
        <v>46315.6388888889</v>
      </c>
      <c r="B94" s="21" t="s">
        <v>81</v>
      </c>
      <c r="C94" s="21" t="s">
        <v>81</v>
      </c>
      <c r="D94" s="21" t="n">
        <v>0</v>
      </c>
      <c r="E94" s="20" t="n">
        <v>1182</v>
      </c>
    </row>
    <row r="95" customFormat="false" ht="15" hidden="false" customHeight="false" outlineLevel="0" collapsed="false">
      <c r="A95" s="19" t="n">
        <v>46315.6458333333</v>
      </c>
      <c r="B95" s="21" t="s">
        <v>81</v>
      </c>
      <c r="C95" s="21" t="s">
        <v>81</v>
      </c>
      <c r="D95" s="21" t="n">
        <v>0</v>
      </c>
      <c r="E95" s="20" t="n">
        <v>1163.7</v>
      </c>
    </row>
    <row r="96" customFormat="false" ht="15" hidden="false" customHeight="false" outlineLevel="0" collapsed="false">
      <c r="A96" s="19" t="n">
        <v>46315.6527777778</v>
      </c>
      <c r="B96" s="21" t="s">
        <v>81</v>
      </c>
      <c r="C96" s="21" t="s">
        <v>81</v>
      </c>
      <c r="D96" s="21" t="n">
        <v>0</v>
      </c>
      <c r="E96" s="20" t="n">
        <v>1168.2</v>
      </c>
    </row>
    <row r="97" customFormat="false" ht="15" hidden="false" customHeight="false" outlineLevel="0" collapsed="false">
      <c r="A97" s="19" t="n">
        <v>46315.6597222222</v>
      </c>
      <c r="B97" s="21" t="s">
        <v>81</v>
      </c>
      <c r="C97" s="21" t="s">
        <v>81</v>
      </c>
      <c r="D97" s="21" t="n">
        <v>0</v>
      </c>
      <c r="E97" s="20" t="n">
        <v>1137.6</v>
      </c>
    </row>
    <row r="98" customFormat="false" ht="15" hidden="false" customHeight="false" outlineLevel="0" collapsed="false">
      <c r="A98" s="19" t="n">
        <v>46315.6666666667</v>
      </c>
      <c r="B98" s="21" t="s">
        <v>81</v>
      </c>
      <c r="C98" s="21" t="s">
        <v>81</v>
      </c>
      <c r="D98" s="21" t="n">
        <v>0</v>
      </c>
      <c r="E98" s="20" t="n">
        <v>1198.2</v>
      </c>
    </row>
    <row r="99" customFormat="false" ht="15" hidden="false" customHeight="false" outlineLevel="0" collapsed="false">
      <c r="A99" s="19" t="n">
        <v>46315.6736111111</v>
      </c>
      <c r="B99" s="21" t="s">
        <v>81</v>
      </c>
      <c r="C99" s="21" t="s">
        <v>81</v>
      </c>
      <c r="D99" s="21" t="n">
        <v>0</v>
      </c>
      <c r="E99" s="20" t="n">
        <v>1156</v>
      </c>
    </row>
    <row r="100" customFormat="false" ht="15" hidden="false" customHeight="false" outlineLevel="0" collapsed="false">
      <c r="A100" s="19" t="n">
        <v>46315.6805555556</v>
      </c>
      <c r="B100" s="21" t="s">
        <v>81</v>
      </c>
      <c r="C100" s="21" t="s">
        <v>81</v>
      </c>
      <c r="D100" s="21" t="n">
        <v>0</v>
      </c>
      <c r="E100" s="20" t="n">
        <v>1159.2</v>
      </c>
    </row>
    <row r="101" customFormat="false" ht="15" hidden="false" customHeight="false" outlineLevel="0" collapsed="false">
      <c r="A101" s="19" t="n">
        <v>46315.6875</v>
      </c>
      <c r="B101" s="21" t="s">
        <v>81</v>
      </c>
      <c r="C101" s="21" t="s">
        <v>81</v>
      </c>
      <c r="D101" s="21" t="n">
        <v>0</v>
      </c>
      <c r="E101" s="20" t="n">
        <v>1140.6</v>
      </c>
    </row>
    <row r="102" customFormat="false" ht="15" hidden="false" customHeight="false" outlineLevel="0" collapsed="false">
      <c r="A102" s="19" t="n">
        <v>46315.6944444445</v>
      </c>
      <c r="B102" s="21" t="s">
        <v>81</v>
      </c>
      <c r="C102" s="21" t="s">
        <v>81</v>
      </c>
      <c r="D102" s="21" t="n">
        <v>0</v>
      </c>
      <c r="E102" s="20" t="n">
        <v>1162.1</v>
      </c>
    </row>
    <row r="103" customFormat="false" ht="15" hidden="false" customHeight="false" outlineLevel="0" collapsed="false">
      <c r="A103" s="19" t="n">
        <v>46315.7013888889</v>
      </c>
      <c r="B103" s="21" t="s">
        <v>81</v>
      </c>
      <c r="C103" s="21" t="s">
        <v>81</v>
      </c>
      <c r="D103" s="21" t="n">
        <v>0</v>
      </c>
      <c r="E103" s="20" t="n">
        <v>1204.2</v>
      </c>
    </row>
    <row r="104" customFormat="false" ht="15" hidden="false" customHeight="false" outlineLevel="0" collapsed="false">
      <c r="A104" s="19" t="n">
        <v>46315.7083333333</v>
      </c>
      <c r="B104" s="21" t="s">
        <v>81</v>
      </c>
      <c r="C104" s="21" t="s">
        <v>81</v>
      </c>
      <c r="D104" s="21" t="n">
        <v>0</v>
      </c>
      <c r="E104" s="20" t="n">
        <v>1157.2</v>
      </c>
    </row>
    <row r="105" customFormat="false" ht="15" hidden="false" customHeight="false" outlineLevel="0" collapsed="false">
      <c r="A105" s="19" t="n">
        <v>46315.7152777778</v>
      </c>
      <c r="B105" s="21" t="s">
        <v>81</v>
      </c>
      <c r="C105" s="21" t="s">
        <v>81</v>
      </c>
      <c r="D105" s="21" t="n">
        <v>0</v>
      </c>
      <c r="E105" s="20" t="n">
        <v>1146.3</v>
      </c>
    </row>
    <row r="106" customFormat="false" ht="15" hidden="false" customHeight="false" outlineLevel="0" collapsed="false">
      <c r="A106" s="19" t="n">
        <v>46315.7222222222</v>
      </c>
      <c r="B106" s="21" t="s">
        <v>81</v>
      </c>
      <c r="C106" s="21" t="s">
        <v>81</v>
      </c>
      <c r="D106" s="21" t="n">
        <v>0</v>
      </c>
      <c r="E106" s="20" t="n">
        <v>1194.5</v>
      </c>
    </row>
    <row r="107" customFormat="false" ht="15" hidden="false" customHeight="false" outlineLevel="0" collapsed="false">
      <c r="A107" s="19" t="n">
        <v>46315.7291666667</v>
      </c>
      <c r="B107" s="21" t="s">
        <v>81</v>
      </c>
      <c r="C107" s="21" t="s">
        <v>81</v>
      </c>
      <c r="D107" s="21" t="n">
        <v>0</v>
      </c>
      <c r="E107" s="20" t="n">
        <v>1181.5</v>
      </c>
    </row>
    <row r="108" customFormat="false" ht="15" hidden="false" customHeight="false" outlineLevel="0" collapsed="false">
      <c r="A108" s="19" t="n">
        <v>46315.7361111111</v>
      </c>
      <c r="B108" s="21" t="s">
        <v>81</v>
      </c>
      <c r="C108" s="21" t="s">
        <v>81</v>
      </c>
      <c r="D108" s="21" t="n">
        <v>0</v>
      </c>
      <c r="E108" s="20" t="n">
        <v>1200.8</v>
      </c>
    </row>
    <row r="109" customFormat="false" ht="15" hidden="false" customHeight="false" outlineLevel="0" collapsed="false">
      <c r="A109" s="19" t="n">
        <v>46315.7430555556</v>
      </c>
      <c r="B109" s="21" t="s">
        <v>81</v>
      </c>
      <c r="C109" s="21" t="s">
        <v>81</v>
      </c>
      <c r="D109" s="21" t="n">
        <v>0</v>
      </c>
      <c r="E109" s="20" t="n">
        <v>1208.5</v>
      </c>
    </row>
    <row r="110" customFormat="false" ht="15" hidden="false" customHeight="false" outlineLevel="0" collapsed="false">
      <c r="A110" s="19" t="n">
        <v>46315.75</v>
      </c>
      <c r="B110" s="21" t="s">
        <v>81</v>
      </c>
      <c r="C110" s="21" t="s">
        <v>81</v>
      </c>
      <c r="D110" s="21" t="n">
        <v>0</v>
      </c>
      <c r="E110" s="20" t="n">
        <v>1189.8</v>
      </c>
    </row>
    <row r="111" customFormat="false" ht="15" hidden="false" customHeight="false" outlineLevel="0" collapsed="false">
      <c r="A111" s="19" t="n">
        <v>46315.7569444445</v>
      </c>
      <c r="B111" s="21" t="s">
        <v>81</v>
      </c>
      <c r="C111" s="21" t="s">
        <v>81</v>
      </c>
      <c r="D111" s="21" t="n">
        <v>0</v>
      </c>
      <c r="E111" s="20" t="n">
        <v>1157.6</v>
      </c>
    </row>
    <row r="112" customFormat="false" ht="15" hidden="false" customHeight="false" outlineLevel="0" collapsed="false">
      <c r="A112" s="19" t="n">
        <v>46315.7638888889</v>
      </c>
      <c r="B112" s="21" t="s">
        <v>81</v>
      </c>
      <c r="C112" s="21" t="s">
        <v>81</v>
      </c>
      <c r="D112" s="21" t="n">
        <v>0</v>
      </c>
      <c r="E112" s="20" t="n">
        <v>1186.9</v>
      </c>
    </row>
    <row r="113" customFormat="false" ht="15" hidden="false" customHeight="false" outlineLevel="0" collapsed="false">
      <c r="A113" s="19" t="n">
        <v>46315.7708333333</v>
      </c>
      <c r="B113" s="21" t="s">
        <v>81</v>
      </c>
      <c r="C113" s="21" t="s">
        <v>81</v>
      </c>
      <c r="D113" s="21" t="n">
        <v>0</v>
      </c>
      <c r="E113" s="20" t="n">
        <v>1202.5</v>
      </c>
    </row>
    <row r="114" customFormat="false" ht="15" hidden="false" customHeight="false" outlineLevel="0" collapsed="false">
      <c r="A114" s="19" t="n">
        <v>46315.7777777778</v>
      </c>
      <c r="B114" s="21" t="s">
        <v>81</v>
      </c>
      <c r="C114" s="21" t="s">
        <v>81</v>
      </c>
      <c r="D114" s="21" t="n">
        <v>0</v>
      </c>
      <c r="E114" s="20" t="n">
        <v>1175.4</v>
      </c>
    </row>
    <row r="115" customFormat="false" ht="15" hidden="false" customHeight="false" outlineLevel="0" collapsed="false">
      <c r="A115" s="19" t="n">
        <v>46315.7847222222</v>
      </c>
      <c r="B115" s="21" t="s">
        <v>81</v>
      </c>
      <c r="C115" s="21" t="s">
        <v>81</v>
      </c>
      <c r="D115" s="21" t="n">
        <v>0</v>
      </c>
      <c r="E115" s="20" t="n">
        <v>1154.1</v>
      </c>
    </row>
    <row r="116" customFormat="false" ht="15" hidden="false" customHeight="false" outlineLevel="0" collapsed="false">
      <c r="A116" s="19" t="n">
        <v>46315.7916666667</v>
      </c>
      <c r="B116" s="21" t="s">
        <v>81</v>
      </c>
      <c r="C116" s="21" t="s">
        <v>81</v>
      </c>
      <c r="D116" s="21" t="n">
        <v>0</v>
      </c>
      <c r="E116" s="20" t="n">
        <v>1217.6</v>
      </c>
    </row>
    <row r="117" customFormat="false" ht="15" hidden="false" customHeight="false" outlineLevel="0" collapsed="false">
      <c r="A117" s="19" t="n">
        <v>46315.7986111111</v>
      </c>
      <c r="B117" s="21" t="s">
        <v>81</v>
      </c>
      <c r="C117" s="21" t="s">
        <v>81</v>
      </c>
      <c r="D117" s="21" t="n">
        <v>0</v>
      </c>
      <c r="E117" s="20" t="n">
        <v>1179.6</v>
      </c>
    </row>
    <row r="118" customFormat="false" ht="15" hidden="false" customHeight="false" outlineLevel="0" collapsed="false">
      <c r="A118" s="19" t="n">
        <v>46315.8055555556</v>
      </c>
      <c r="B118" s="21" t="s">
        <v>81</v>
      </c>
      <c r="C118" s="21" t="s">
        <v>81</v>
      </c>
      <c r="D118" s="21" t="n">
        <v>0</v>
      </c>
      <c r="E118" s="20" t="n">
        <v>1179.8</v>
      </c>
    </row>
    <row r="119" customFormat="false" ht="15" hidden="false" customHeight="false" outlineLevel="0" collapsed="false">
      <c r="A119" s="19" t="n">
        <v>46315.8125</v>
      </c>
      <c r="B119" s="21" t="s">
        <v>81</v>
      </c>
      <c r="C119" s="21" t="s">
        <v>81</v>
      </c>
      <c r="D119" s="21" t="n">
        <v>0</v>
      </c>
      <c r="E119" s="20" t="n">
        <v>1190.4</v>
      </c>
    </row>
    <row r="120" customFormat="false" ht="15" hidden="false" customHeight="false" outlineLevel="0" collapsed="false">
      <c r="A120" s="19" t="n">
        <v>46315.8194444445</v>
      </c>
      <c r="B120" s="21" t="s">
        <v>81</v>
      </c>
      <c r="C120" s="21" t="s">
        <v>81</v>
      </c>
      <c r="D120" s="21" t="n">
        <v>0</v>
      </c>
      <c r="E120" s="20" t="n">
        <v>1215.8</v>
      </c>
    </row>
    <row r="121" customFormat="false" ht="15" hidden="false" customHeight="false" outlineLevel="0" collapsed="false">
      <c r="A121" s="19" t="n">
        <v>46315.8263888889</v>
      </c>
      <c r="B121" s="21" t="s">
        <v>81</v>
      </c>
      <c r="C121" s="21" t="s">
        <v>81</v>
      </c>
      <c r="D121" s="21" t="n">
        <v>0</v>
      </c>
      <c r="E121" s="20" t="n">
        <v>1196.6</v>
      </c>
    </row>
    <row r="122" customFormat="false" ht="15" hidden="false" customHeight="false" outlineLevel="0" collapsed="false">
      <c r="A122" s="19" t="n">
        <v>46315.8333333333</v>
      </c>
      <c r="B122" s="21" t="s">
        <v>81</v>
      </c>
      <c r="C122" s="21" t="s">
        <v>81</v>
      </c>
      <c r="D122" s="21" t="n">
        <v>0</v>
      </c>
      <c r="E122" s="20" t="n">
        <v>1181.7</v>
      </c>
    </row>
    <row r="123" customFormat="false" ht="15" hidden="false" customHeight="false" outlineLevel="0" collapsed="false">
      <c r="A123" s="19" t="n">
        <v>46315.8402777778</v>
      </c>
      <c r="B123" s="21" t="s">
        <v>81</v>
      </c>
      <c r="C123" s="21" t="s">
        <v>81</v>
      </c>
      <c r="D123" s="21" t="n">
        <v>0</v>
      </c>
      <c r="E123" s="20" t="n">
        <v>1207.1</v>
      </c>
    </row>
    <row r="124" customFormat="false" ht="15" hidden="false" customHeight="false" outlineLevel="0" collapsed="false">
      <c r="A124" s="19" t="n">
        <v>46315.8472222222</v>
      </c>
      <c r="B124" s="21" t="s">
        <v>81</v>
      </c>
      <c r="C124" s="21" t="s">
        <v>81</v>
      </c>
      <c r="D124" s="21" t="n">
        <v>0</v>
      </c>
      <c r="E124" s="20" t="n">
        <v>1243.7</v>
      </c>
    </row>
    <row r="125" customFormat="false" ht="15" hidden="false" customHeight="false" outlineLevel="0" collapsed="false">
      <c r="A125" s="19" t="n">
        <v>46315.8541666667</v>
      </c>
      <c r="B125" s="21" t="s">
        <v>81</v>
      </c>
      <c r="C125" s="21" t="s">
        <v>81</v>
      </c>
      <c r="D125" s="21" t="n">
        <v>0</v>
      </c>
      <c r="E125" s="20" t="n">
        <v>1224.7</v>
      </c>
    </row>
    <row r="126" customFormat="false" ht="15" hidden="false" customHeight="false" outlineLevel="0" collapsed="false">
      <c r="A126" s="19" t="n">
        <v>46315.8611111111</v>
      </c>
      <c r="B126" s="21" t="s">
        <v>81</v>
      </c>
      <c r="C126" s="21" t="s">
        <v>81</v>
      </c>
      <c r="D126" s="21" t="n">
        <v>0</v>
      </c>
      <c r="E126" s="20" t="n">
        <v>1206.8</v>
      </c>
    </row>
    <row r="127" customFormat="false" ht="15" hidden="false" customHeight="false" outlineLevel="0" collapsed="false">
      <c r="A127" s="19" t="n">
        <v>46315.8680555556</v>
      </c>
      <c r="B127" s="21" t="s">
        <v>81</v>
      </c>
      <c r="C127" s="21" t="s">
        <v>81</v>
      </c>
      <c r="D127" s="21" t="n">
        <v>0</v>
      </c>
      <c r="E127" s="20" t="n">
        <v>1161.9</v>
      </c>
    </row>
    <row r="128" customFormat="false" ht="15" hidden="false" customHeight="false" outlineLevel="0" collapsed="false">
      <c r="A128" s="19" t="n">
        <v>46315.875</v>
      </c>
      <c r="B128" s="21" t="s">
        <v>81</v>
      </c>
      <c r="C128" s="21" t="s">
        <v>81</v>
      </c>
      <c r="D128" s="21" t="n">
        <v>0</v>
      </c>
      <c r="E128" s="20" t="n">
        <v>1283.8</v>
      </c>
    </row>
    <row r="129" customFormat="false" ht="15" hidden="false" customHeight="false" outlineLevel="0" collapsed="false">
      <c r="A129" s="19" t="n">
        <v>46315.8819444445</v>
      </c>
      <c r="B129" s="21" t="s">
        <v>81</v>
      </c>
      <c r="C129" s="21" t="s">
        <v>81</v>
      </c>
      <c r="D129" s="21" t="n">
        <v>0</v>
      </c>
      <c r="E129" s="20" t="n">
        <v>1160</v>
      </c>
    </row>
    <row r="130" customFormat="false" ht="15" hidden="false" customHeight="false" outlineLevel="0" collapsed="false">
      <c r="A130" s="19" t="n">
        <v>46315.8888888889</v>
      </c>
      <c r="B130" s="21" t="s">
        <v>81</v>
      </c>
      <c r="C130" s="21" t="s">
        <v>81</v>
      </c>
      <c r="D130" s="21" t="n">
        <v>0</v>
      </c>
      <c r="E130" s="20" t="n">
        <v>1180.7</v>
      </c>
    </row>
    <row r="131" customFormat="false" ht="15" hidden="false" customHeight="false" outlineLevel="0" collapsed="false">
      <c r="A131" s="19" t="n">
        <v>46315.8958333333</v>
      </c>
      <c r="B131" s="21" t="s">
        <v>81</v>
      </c>
      <c r="C131" s="21" t="s">
        <v>81</v>
      </c>
      <c r="D131" s="21" t="n">
        <v>0</v>
      </c>
      <c r="E131" s="20" t="n">
        <v>1172.5</v>
      </c>
    </row>
    <row r="132" customFormat="false" ht="15" hidden="false" customHeight="false" outlineLevel="0" collapsed="false">
      <c r="A132" s="19" t="n">
        <v>46315.9027777778</v>
      </c>
      <c r="B132" s="21" t="s">
        <v>81</v>
      </c>
      <c r="C132" s="21" t="s">
        <v>81</v>
      </c>
      <c r="D132" s="21" t="n">
        <v>0</v>
      </c>
      <c r="E132" s="20" t="n">
        <v>1230.7</v>
      </c>
    </row>
    <row r="133" customFormat="false" ht="15" hidden="false" customHeight="false" outlineLevel="0" collapsed="false">
      <c r="A133" s="19" t="n">
        <v>46315.9097222222</v>
      </c>
      <c r="B133" s="21" t="s">
        <v>81</v>
      </c>
      <c r="C133" s="21" t="s">
        <v>81</v>
      </c>
      <c r="D133" s="21" t="n">
        <v>0</v>
      </c>
      <c r="E133" s="20" t="n">
        <v>1200.5</v>
      </c>
    </row>
    <row r="134" customFormat="false" ht="15" hidden="false" customHeight="false" outlineLevel="0" collapsed="false">
      <c r="A134" s="19" t="n">
        <v>46315.9166666667</v>
      </c>
      <c r="B134" s="21" t="s">
        <v>81</v>
      </c>
      <c r="C134" s="21" t="s">
        <v>81</v>
      </c>
      <c r="D134" s="21" t="n">
        <v>0</v>
      </c>
      <c r="E134" s="20" t="n">
        <v>1154.3</v>
      </c>
    </row>
    <row r="135" customFormat="false" ht="15" hidden="false" customHeight="false" outlineLevel="0" collapsed="false">
      <c r="A135" s="19" t="n">
        <v>46315.9236111111</v>
      </c>
      <c r="B135" s="21" t="s">
        <v>81</v>
      </c>
      <c r="C135" s="21" t="s">
        <v>81</v>
      </c>
      <c r="D135" s="21" t="n">
        <v>0</v>
      </c>
      <c r="E135" s="20" t="n">
        <v>1196.7</v>
      </c>
    </row>
    <row r="136" customFormat="false" ht="15" hidden="false" customHeight="false" outlineLevel="0" collapsed="false">
      <c r="A136" s="19" t="n">
        <v>46315.9305555556</v>
      </c>
      <c r="B136" s="21" t="s">
        <v>81</v>
      </c>
      <c r="C136" s="21" t="s">
        <v>81</v>
      </c>
      <c r="D136" s="21" t="n">
        <v>0</v>
      </c>
      <c r="E136" s="20" t="n">
        <v>1203.7</v>
      </c>
    </row>
    <row r="137" customFormat="false" ht="15" hidden="false" customHeight="false" outlineLevel="0" collapsed="false">
      <c r="A137" s="19" t="n">
        <v>46315.9375</v>
      </c>
      <c r="B137" s="21" t="s">
        <v>81</v>
      </c>
      <c r="C137" s="21" t="s">
        <v>81</v>
      </c>
      <c r="D137" s="21" t="n">
        <v>0</v>
      </c>
      <c r="E137" s="20" t="n">
        <v>1182</v>
      </c>
    </row>
    <row r="138" customFormat="false" ht="15" hidden="false" customHeight="false" outlineLevel="0" collapsed="false">
      <c r="A138" s="19" t="n">
        <v>46315.9444444445</v>
      </c>
      <c r="B138" s="21" t="s">
        <v>81</v>
      </c>
      <c r="C138" s="21" t="s">
        <v>81</v>
      </c>
      <c r="D138" s="21" t="n">
        <v>0</v>
      </c>
      <c r="E138" s="20" t="n">
        <v>1159.5</v>
      </c>
    </row>
    <row r="139" customFormat="false" ht="15" hidden="false" customHeight="false" outlineLevel="0" collapsed="false">
      <c r="A139" s="19" t="n">
        <v>46315.9513888889</v>
      </c>
      <c r="B139" s="21" t="s">
        <v>81</v>
      </c>
      <c r="C139" s="21" t="s">
        <v>81</v>
      </c>
      <c r="D139" s="21" t="n">
        <v>0</v>
      </c>
      <c r="E139" s="20" t="n">
        <v>1171.9</v>
      </c>
    </row>
    <row r="140" customFormat="false" ht="15" hidden="false" customHeight="false" outlineLevel="0" collapsed="false">
      <c r="A140" s="19" t="n">
        <v>46315.9583333333</v>
      </c>
      <c r="B140" s="21" t="s">
        <v>81</v>
      </c>
      <c r="C140" s="21" t="s">
        <v>81</v>
      </c>
      <c r="D140" s="21" t="n">
        <v>0</v>
      </c>
      <c r="E140" s="20" t="n">
        <v>1179.1</v>
      </c>
    </row>
    <row r="141" customFormat="false" ht="15" hidden="false" customHeight="false" outlineLevel="0" collapsed="false">
      <c r="A141" s="19" t="n">
        <v>46315.9652777778</v>
      </c>
      <c r="B141" s="21" t="s">
        <v>81</v>
      </c>
      <c r="C141" s="21" t="s">
        <v>81</v>
      </c>
      <c r="D141" s="21" t="n">
        <v>0</v>
      </c>
      <c r="E141" s="20" t="n">
        <v>1190.6</v>
      </c>
    </row>
    <row r="142" customFormat="false" ht="15" hidden="false" customHeight="false" outlineLevel="0" collapsed="false">
      <c r="A142" s="19" t="n">
        <v>46315.9722222222</v>
      </c>
      <c r="B142" s="21" t="s">
        <v>81</v>
      </c>
      <c r="C142" s="21" t="s">
        <v>81</v>
      </c>
      <c r="D142" s="21" t="n">
        <v>0</v>
      </c>
      <c r="E142" s="20" t="n">
        <v>1177</v>
      </c>
    </row>
    <row r="143" customFormat="false" ht="15" hidden="false" customHeight="false" outlineLevel="0" collapsed="false">
      <c r="A143" s="19" t="n">
        <v>46315.9791666667</v>
      </c>
      <c r="B143" s="21" t="s">
        <v>81</v>
      </c>
      <c r="C143" s="21" t="s">
        <v>81</v>
      </c>
      <c r="D143" s="21" t="n">
        <v>0</v>
      </c>
      <c r="E143" s="20" t="n">
        <v>1208.4</v>
      </c>
    </row>
    <row r="144" customFormat="false" ht="15" hidden="false" customHeight="false" outlineLevel="0" collapsed="false">
      <c r="A144" s="19" t="n">
        <v>46315.9861111111</v>
      </c>
      <c r="B144" s="21" t="s">
        <v>81</v>
      </c>
      <c r="C144" s="21" t="s">
        <v>81</v>
      </c>
      <c r="D144" s="21" t="n">
        <v>0</v>
      </c>
      <c r="E144" s="20" t="n">
        <v>1166.3</v>
      </c>
    </row>
    <row r="145" customFormat="false" ht="15" hidden="false" customHeight="false" outlineLevel="0" collapsed="false">
      <c r="A145" s="19" t="n">
        <v>46315.9930555556</v>
      </c>
      <c r="B145" s="21" t="s">
        <v>81</v>
      </c>
      <c r="C145" s="21" t="s">
        <v>81</v>
      </c>
      <c r="D145" s="21" t="n">
        <v>0</v>
      </c>
      <c r="E145" s="20" t="n">
        <v>1146.7</v>
      </c>
    </row>
    <row r="146" customFormat="false" ht="15" hidden="false" customHeight="false" outlineLevel="0" collapsed="false">
      <c r="A146" s="19" t="n">
        <v>46316</v>
      </c>
      <c r="B146" s="21" t="s">
        <v>81</v>
      </c>
      <c r="C146" s="21" t="s">
        <v>81</v>
      </c>
      <c r="D146" s="21" t="n">
        <v>0</v>
      </c>
      <c r="E146" s="20" t="n">
        <v>1171.5</v>
      </c>
    </row>
    <row r="147" customFormat="false" ht="15" hidden="false" customHeight="false" outlineLevel="0" collapsed="false">
      <c r="A147" s="19" t="n">
        <v>46316.0069444445</v>
      </c>
      <c r="B147" s="21" t="s">
        <v>81</v>
      </c>
      <c r="C147" s="21" t="s">
        <v>81</v>
      </c>
      <c r="D147" s="21" t="n">
        <v>0</v>
      </c>
      <c r="E147" s="20" t="n">
        <v>1223.7</v>
      </c>
    </row>
    <row r="148" customFormat="false" ht="15" hidden="false" customHeight="false" outlineLevel="0" collapsed="false">
      <c r="A148" s="19" t="n">
        <v>46316.0138888889</v>
      </c>
      <c r="B148" s="21" t="s">
        <v>81</v>
      </c>
      <c r="C148" s="21" t="s">
        <v>81</v>
      </c>
      <c r="D148" s="21" t="n">
        <v>0</v>
      </c>
      <c r="E148" s="20" t="n">
        <v>1175.7</v>
      </c>
    </row>
    <row r="149" customFormat="false" ht="15" hidden="false" customHeight="false" outlineLevel="0" collapsed="false">
      <c r="A149" s="19" t="n">
        <v>46316.0208333333</v>
      </c>
      <c r="B149" s="21" t="s">
        <v>81</v>
      </c>
      <c r="C149" s="21" t="s">
        <v>81</v>
      </c>
      <c r="D149" s="21" t="n">
        <v>0</v>
      </c>
      <c r="E149" s="20" t="n">
        <v>1248.5</v>
      </c>
    </row>
    <row r="150" customFormat="false" ht="15" hidden="false" customHeight="false" outlineLevel="0" collapsed="false">
      <c r="A150" s="19" t="n">
        <v>46316.0277777778</v>
      </c>
      <c r="B150" s="21" t="s">
        <v>81</v>
      </c>
      <c r="C150" s="21" t="s">
        <v>81</v>
      </c>
      <c r="D150" s="21" t="n">
        <v>0</v>
      </c>
      <c r="E150" s="20" t="n">
        <v>1202.3</v>
      </c>
    </row>
    <row r="151" customFormat="false" ht="15" hidden="false" customHeight="false" outlineLevel="0" collapsed="false">
      <c r="A151" s="19" t="n">
        <v>46316.0347222222</v>
      </c>
      <c r="B151" s="21" t="s">
        <v>81</v>
      </c>
      <c r="C151" s="21" t="s">
        <v>81</v>
      </c>
      <c r="D151" s="21" t="n">
        <v>0</v>
      </c>
      <c r="E151" s="20" t="n">
        <v>1160.9</v>
      </c>
    </row>
    <row r="152" customFormat="false" ht="15" hidden="false" customHeight="false" outlineLevel="0" collapsed="false">
      <c r="A152" s="19" t="n">
        <v>46316.0416666667</v>
      </c>
      <c r="B152" s="21" t="s">
        <v>81</v>
      </c>
      <c r="C152" s="21" t="s">
        <v>81</v>
      </c>
      <c r="D152" s="21" t="n">
        <v>0</v>
      </c>
      <c r="E152" s="20" t="n">
        <v>1169.1</v>
      </c>
    </row>
    <row r="153" customFormat="false" ht="15" hidden="false" customHeight="false" outlineLevel="0" collapsed="false">
      <c r="A153" s="19" t="n">
        <v>46316.0486111111</v>
      </c>
      <c r="B153" s="21" t="s">
        <v>81</v>
      </c>
      <c r="C153" s="21" t="s">
        <v>81</v>
      </c>
      <c r="D153" s="21" t="n">
        <v>0</v>
      </c>
      <c r="E153" s="20" t="n">
        <v>1196.1</v>
      </c>
    </row>
    <row r="154" customFormat="false" ht="15" hidden="false" customHeight="false" outlineLevel="0" collapsed="false">
      <c r="A154" s="19" t="n">
        <v>46316.0555555556</v>
      </c>
      <c r="B154" s="21" t="s">
        <v>81</v>
      </c>
      <c r="C154" s="21" t="s">
        <v>81</v>
      </c>
      <c r="D154" s="21" t="n">
        <v>0</v>
      </c>
      <c r="E154" s="20" t="n">
        <v>1160.6</v>
      </c>
    </row>
    <row r="155" customFormat="false" ht="15" hidden="false" customHeight="false" outlineLevel="0" collapsed="false">
      <c r="A155" s="19" t="n">
        <v>46316.0625</v>
      </c>
      <c r="B155" s="21" t="s">
        <v>81</v>
      </c>
      <c r="C155" s="21" t="s">
        <v>81</v>
      </c>
      <c r="D155" s="21" t="n">
        <v>0</v>
      </c>
      <c r="E155" s="20" t="n">
        <v>1249.4</v>
      </c>
    </row>
    <row r="156" customFormat="false" ht="15" hidden="false" customHeight="false" outlineLevel="0" collapsed="false">
      <c r="A156" s="19" t="n">
        <v>46316.0694444445</v>
      </c>
      <c r="B156" s="21" t="s">
        <v>81</v>
      </c>
      <c r="C156" s="21" t="s">
        <v>81</v>
      </c>
      <c r="D156" s="21" t="n">
        <v>0</v>
      </c>
      <c r="E156" s="20" t="n">
        <v>1165.2</v>
      </c>
    </row>
    <row r="157" customFormat="false" ht="15" hidden="false" customHeight="false" outlineLevel="0" collapsed="false">
      <c r="A157" s="19" t="n">
        <v>46316.0763888889</v>
      </c>
      <c r="B157" s="21" t="s">
        <v>81</v>
      </c>
      <c r="C157" s="21" t="s">
        <v>81</v>
      </c>
      <c r="D157" s="21" t="n">
        <v>0</v>
      </c>
      <c r="E157" s="20" t="n">
        <v>1207</v>
      </c>
    </row>
    <row r="158" customFormat="false" ht="15" hidden="false" customHeight="false" outlineLevel="0" collapsed="false">
      <c r="A158" s="19" t="n">
        <v>46316.0833333333</v>
      </c>
      <c r="B158" s="21" t="s">
        <v>81</v>
      </c>
      <c r="C158" s="21" t="s">
        <v>81</v>
      </c>
      <c r="D158" s="21" t="n">
        <v>0</v>
      </c>
      <c r="E158" s="20" t="n">
        <v>1226.5</v>
      </c>
    </row>
    <row r="159" customFormat="false" ht="15" hidden="false" customHeight="false" outlineLevel="0" collapsed="false">
      <c r="A159" s="19" t="n">
        <v>46316.0902777778</v>
      </c>
      <c r="B159" s="21" t="s">
        <v>81</v>
      </c>
      <c r="C159" s="21" t="s">
        <v>81</v>
      </c>
      <c r="D159" s="21" t="n">
        <v>0</v>
      </c>
      <c r="E159" s="20" t="n">
        <v>1187.3</v>
      </c>
    </row>
    <row r="160" customFormat="false" ht="15" hidden="false" customHeight="false" outlineLevel="0" collapsed="false">
      <c r="A160" s="19" t="n">
        <v>46316.0972222222</v>
      </c>
      <c r="B160" s="21" t="s">
        <v>81</v>
      </c>
      <c r="C160" s="21" t="s">
        <v>81</v>
      </c>
      <c r="D160" s="21" t="n">
        <v>0</v>
      </c>
      <c r="E160" s="20" t="n">
        <v>1165.1</v>
      </c>
    </row>
    <row r="161" customFormat="false" ht="15" hidden="false" customHeight="false" outlineLevel="0" collapsed="false">
      <c r="A161" s="19" t="n">
        <v>46316.1041666667</v>
      </c>
      <c r="B161" s="21" t="s">
        <v>81</v>
      </c>
      <c r="C161" s="21" t="s">
        <v>81</v>
      </c>
      <c r="D161" s="21" t="n">
        <v>0</v>
      </c>
      <c r="E161" s="20" t="n">
        <v>1183.2</v>
      </c>
    </row>
    <row r="162" customFormat="false" ht="15" hidden="false" customHeight="false" outlineLevel="0" collapsed="false">
      <c r="A162" s="19" t="n">
        <v>46316.1111111111</v>
      </c>
      <c r="B162" s="21" t="s">
        <v>81</v>
      </c>
      <c r="C162" s="21" t="s">
        <v>81</v>
      </c>
      <c r="D162" s="21" t="n">
        <v>0</v>
      </c>
      <c r="E162" s="20" t="n">
        <v>1199.1</v>
      </c>
    </row>
    <row r="163" customFormat="false" ht="15" hidden="false" customHeight="false" outlineLevel="0" collapsed="false">
      <c r="A163" s="19" t="n">
        <v>46316.1180555556</v>
      </c>
      <c r="B163" s="21" t="s">
        <v>81</v>
      </c>
      <c r="C163" s="21" t="s">
        <v>81</v>
      </c>
      <c r="D163" s="21" t="n">
        <v>0</v>
      </c>
      <c r="E163" s="20" t="n">
        <v>1211.9</v>
      </c>
    </row>
    <row r="164" customFormat="false" ht="15" hidden="false" customHeight="false" outlineLevel="0" collapsed="false">
      <c r="A164" s="19" t="n">
        <v>46316.125</v>
      </c>
      <c r="B164" s="21" t="s">
        <v>81</v>
      </c>
      <c r="C164" s="21" t="s">
        <v>81</v>
      </c>
      <c r="D164" s="21" t="n">
        <v>0</v>
      </c>
      <c r="E164" s="20" t="n">
        <v>1191.4</v>
      </c>
    </row>
    <row r="165" customFormat="false" ht="15" hidden="false" customHeight="false" outlineLevel="0" collapsed="false">
      <c r="A165" s="19" t="n">
        <v>46316.1319444445</v>
      </c>
      <c r="B165" s="21" t="s">
        <v>81</v>
      </c>
      <c r="C165" s="21" t="s">
        <v>81</v>
      </c>
      <c r="D165" s="21" t="n">
        <v>0</v>
      </c>
      <c r="E165" s="20" t="n">
        <v>1155</v>
      </c>
    </row>
    <row r="166" customFormat="false" ht="15" hidden="false" customHeight="false" outlineLevel="0" collapsed="false">
      <c r="A166" s="19" t="n">
        <v>46316.1388888889</v>
      </c>
      <c r="B166" s="21" t="s">
        <v>81</v>
      </c>
      <c r="C166" s="21" t="s">
        <v>81</v>
      </c>
      <c r="D166" s="21" t="n">
        <v>0</v>
      </c>
      <c r="E166" s="20" t="n">
        <v>1191.1</v>
      </c>
    </row>
    <row r="167" customFormat="false" ht="15" hidden="false" customHeight="false" outlineLevel="0" collapsed="false">
      <c r="A167" s="19" t="n">
        <v>46316.1458333333</v>
      </c>
      <c r="B167" s="21" t="s">
        <v>81</v>
      </c>
      <c r="C167" s="21" t="s">
        <v>81</v>
      </c>
      <c r="D167" s="21" t="n">
        <v>0</v>
      </c>
      <c r="E167" s="20" t="n">
        <v>1173.2</v>
      </c>
    </row>
    <row r="168" customFormat="false" ht="15" hidden="false" customHeight="false" outlineLevel="0" collapsed="false">
      <c r="A168" s="19" t="n">
        <v>46316.1527777778</v>
      </c>
      <c r="B168" s="21" t="s">
        <v>81</v>
      </c>
      <c r="C168" s="21" t="s">
        <v>81</v>
      </c>
      <c r="D168" s="21" t="n">
        <v>0</v>
      </c>
      <c r="E168" s="20" t="n">
        <v>1135.4</v>
      </c>
    </row>
    <row r="169" customFormat="false" ht="15" hidden="false" customHeight="false" outlineLevel="0" collapsed="false">
      <c r="A169" s="19" t="n">
        <v>46316.1597222222</v>
      </c>
      <c r="B169" s="21" t="s">
        <v>81</v>
      </c>
      <c r="C169" s="21" t="s">
        <v>81</v>
      </c>
      <c r="D169" s="21" t="n">
        <v>0</v>
      </c>
      <c r="E169" s="20" t="n">
        <v>1172.6</v>
      </c>
    </row>
    <row r="170" customFormat="false" ht="15" hidden="false" customHeight="false" outlineLevel="0" collapsed="false">
      <c r="A170" s="19" t="n">
        <v>46316.1666666667</v>
      </c>
      <c r="B170" s="21" t="s">
        <v>81</v>
      </c>
      <c r="C170" s="21" t="s">
        <v>81</v>
      </c>
      <c r="D170" s="21" t="n">
        <v>0</v>
      </c>
      <c r="E170" s="20" t="n">
        <v>1154.2</v>
      </c>
    </row>
    <row r="171" customFormat="false" ht="15" hidden="false" customHeight="false" outlineLevel="0" collapsed="false">
      <c r="A171" s="19" t="n">
        <v>46316.1736111111</v>
      </c>
      <c r="B171" s="21" t="s">
        <v>81</v>
      </c>
      <c r="C171" s="21" t="s">
        <v>81</v>
      </c>
      <c r="D171" s="21" t="n">
        <v>0</v>
      </c>
      <c r="E171" s="20" t="n">
        <v>1204.7</v>
      </c>
    </row>
    <row r="172" customFormat="false" ht="15" hidden="false" customHeight="false" outlineLevel="0" collapsed="false">
      <c r="A172" s="19" t="n">
        <v>46316.1805555556</v>
      </c>
      <c r="B172" s="21" t="s">
        <v>81</v>
      </c>
      <c r="C172" s="21" t="s">
        <v>81</v>
      </c>
      <c r="D172" s="21" t="n">
        <v>0</v>
      </c>
      <c r="E172" s="20" t="n">
        <v>1238.6</v>
      </c>
    </row>
    <row r="173" customFormat="false" ht="15" hidden="false" customHeight="false" outlineLevel="0" collapsed="false">
      <c r="A173" s="19" t="n">
        <v>46316.1875</v>
      </c>
      <c r="B173" s="21" t="s">
        <v>81</v>
      </c>
      <c r="C173" s="21" t="s">
        <v>81</v>
      </c>
      <c r="D173" s="21" t="n">
        <v>0</v>
      </c>
      <c r="E173" s="20" t="n">
        <v>1236.5</v>
      </c>
    </row>
    <row r="174" customFormat="false" ht="15" hidden="false" customHeight="false" outlineLevel="0" collapsed="false">
      <c r="A174" s="19" t="n">
        <v>46316.1944444445</v>
      </c>
      <c r="B174" s="21" t="s">
        <v>81</v>
      </c>
      <c r="C174" s="21" t="s">
        <v>81</v>
      </c>
      <c r="D174" s="21" t="n">
        <v>0</v>
      </c>
      <c r="E174" s="20" t="n">
        <v>1175.7</v>
      </c>
    </row>
    <row r="175" customFormat="false" ht="15" hidden="false" customHeight="false" outlineLevel="0" collapsed="false">
      <c r="A175" s="19" t="n">
        <v>46316.2013888889</v>
      </c>
      <c r="B175" s="21" t="s">
        <v>81</v>
      </c>
      <c r="C175" s="21" t="s">
        <v>81</v>
      </c>
      <c r="D175" s="21" t="n">
        <v>0</v>
      </c>
      <c r="E175" s="20" t="n">
        <v>1178.3</v>
      </c>
    </row>
    <row r="176" customFormat="false" ht="15" hidden="false" customHeight="false" outlineLevel="0" collapsed="false">
      <c r="A176" s="19" t="n">
        <v>46316.2083333333</v>
      </c>
      <c r="B176" s="21" t="s">
        <v>81</v>
      </c>
      <c r="C176" s="21" t="s">
        <v>81</v>
      </c>
      <c r="D176" s="21" t="n">
        <v>0</v>
      </c>
      <c r="E176" s="20" t="n">
        <v>1207.2</v>
      </c>
    </row>
    <row r="177" customFormat="false" ht="15" hidden="false" customHeight="false" outlineLevel="0" collapsed="false">
      <c r="A177" s="19" t="n">
        <v>46316.2152777778</v>
      </c>
      <c r="B177" s="21" t="s">
        <v>81</v>
      </c>
      <c r="C177" s="21" t="s">
        <v>81</v>
      </c>
      <c r="D177" s="21" t="n">
        <v>0</v>
      </c>
      <c r="E177" s="20" t="n">
        <v>1216.5</v>
      </c>
    </row>
    <row r="178" customFormat="false" ht="15" hidden="false" customHeight="false" outlineLevel="0" collapsed="false">
      <c r="A178" s="19" t="n">
        <v>46316.2222222222</v>
      </c>
      <c r="B178" s="21" t="s">
        <v>81</v>
      </c>
      <c r="C178" s="21" t="s">
        <v>81</v>
      </c>
      <c r="D178" s="21" t="n">
        <v>0</v>
      </c>
      <c r="E178" s="20" t="n">
        <v>1179.5</v>
      </c>
    </row>
    <row r="179" customFormat="false" ht="15" hidden="false" customHeight="false" outlineLevel="0" collapsed="false">
      <c r="A179" s="19" t="n">
        <v>46316.2291666667</v>
      </c>
      <c r="B179" s="21" t="s">
        <v>81</v>
      </c>
      <c r="C179" s="21" t="s">
        <v>81</v>
      </c>
      <c r="D179" s="21" t="n">
        <v>0</v>
      </c>
      <c r="E179" s="20" t="n">
        <v>1186.4</v>
      </c>
    </row>
    <row r="180" customFormat="false" ht="15" hidden="false" customHeight="false" outlineLevel="0" collapsed="false">
      <c r="A180" s="19" t="n">
        <v>46316.2361111111</v>
      </c>
      <c r="B180" s="21" t="s">
        <v>81</v>
      </c>
      <c r="C180" s="21" t="s">
        <v>81</v>
      </c>
      <c r="D180" s="21" t="n">
        <v>0</v>
      </c>
      <c r="E180" s="20" t="n">
        <v>1245.2</v>
      </c>
    </row>
    <row r="181" customFormat="false" ht="15" hidden="false" customHeight="false" outlineLevel="0" collapsed="false">
      <c r="A181" s="19" t="n">
        <v>46316.2430555556</v>
      </c>
      <c r="B181" s="21" t="s">
        <v>81</v>
      </c>
      <c r="C181" s="21" t="s">
        <v>81</v>
      </c>
      <c r="D181" s="21" t="n">
        <v>0</v>
      </c>
      <c r="E181" s="20" t="n">
        <v>1187.3</v>
      </c>
    </row>
    <row r="182" customFormat="false" ht="15" hidden="false" customHeight="false" outlineLevel="0" collapsed="false">
      <c r="A182" s="19" t="n">
        <v>46316.25</v>
      </c>
      <c r="B182" s="21" t="s">
        <v>81</v>
      </c>
      <c r="C182" s="21" t="s">
        <v>81</v>
      </c>
      <c r="D182" s="21" t="n">
        <v>0</v>
      </c>
      <c r="E182" s="20" t="n">
        <v>1177.9</v>
      </c>
    </row>
    <row r="183" customFormat="false" ht="15" hidden="false" customHeight="false" outlineLevel="0" collapsed="false">
      <c r="A183" s="19" t="n">
        <v>46316.2569444445</v>
      </c>
      <c r="B183" s="21" t="s">
        <v>81</v>
      </c>
      <c r="C183" s="21" t="s">
        <v>81</v>
      </c>
      <c r="D183" s="21" t="n">
        <v>0</v>
      </c>
      <c r="E183" s="20" t="n">
        <v>1193</v>
      </c>
    </row>
    <row r="184" customFormat="false" ht="15" hidden="false" customHeight="false" outlineLevel="0" collapsed="false">
      <c r="A184" s="19" t="n">
        <v>46316.2638888889</v>
      </c>
      <c r="B184" s="21" t="s">
        <v>81</v>
      </c>
      <c r="C184" s="21" t="s">
        <v>81</v>
      </c>
      <c r="D184" s="21" t="n">
        <v>0</v>
      </c>
      <c r="E184" s="20" t="n">
        <v>1204.5</v>
      </c>
    </row>
    <row r="185" customFormat="false" ht="15" hidden="false" customHeight="false" outlineLevel="0" collapsed="false">
      <c r="A185" s="19" t="n">
        <v>46316.2708333333</v>
      </c>
      <c r="B185" s="21" t="s">
        <v>81</v>
      </c>
      <c r="C185" s="21" t="s">
        <v>81</v>
      </c>
      <c r="D185" s="21" t="n">
        <v>0</v>
      </c>
      <c r="E185" s="20" t="n">
        <v>1164.5</v>
      </c>
    </row>
    <row r="186" customFormat="false" ht="15" hidden="false" customHeight="false" outlineLevel="0" collapsed="false">
      <c r="A186" s="19" t="n">
        <v>46316.2777777778</v>
      </c>
      <c r="B186" s="21" t="s">
        <v>81</v>
      </c>
      <c r="C186" s="21" t="s">
        <v>81</v>
      </c>
      <c r="D186" s="21" t="n">
        <v>0</v>
      </c>
      <c r="E186" s="20" t="n">
        <v>1183.8</v>
      </c>
    </row>
    <row r="187" customFormat="false" ht="15" hidden="false" customHeight="false" outlineLevel="0" collapsed="false">
      <c r="A187" s="19" t="n">
        <v>46316.2847222222</v>
      </c>
      <c r="B187" s="21" t="s">
        <v>81</v>
      </c>
      <c r="C187" s="21" t="s">
        <v>81</v>
      </c>
      <c r="D187" s="21" t="n">
        <v>0</v>
      </c>
      <c r="E187" s="20" t="n">
        <v>1160.8</v>
      </c>
    </row>
    <row r="188" customFormat="false" ht="15" hidden="false" customHeight="false" outlineLevel="0" collapsed="false">
      <c r="A188" s="19" t="n">
        <v>46316.2916666667</v>
      </c>
      <c r="B188" s="21" t="s">
        <v>81</v>
      </c>
      <c r="C188" s="21" t="s">
        <v>81</v>
      </c>
      <c r="D188" s="21" t="n">
        <v>0</v>
      </c>
      <c r="E188" s="20" t="n">
        <v>1183</v>
      </c>
    </row>
    <row r="189" customFormat="false" ht="15" hidden="false" customHeight="false" outlineLevel="0" collapsed="false">
      <c r="A189" s="19" t="n">
        <v>46316.2986111111</v>
      </c>
      <c r="B189" s="21" t="s">
        <v>81</v>
      </c>
      <c r="C189" s="21" t="s">
        <v>81</v>
      </c>
      <c r="D189" s="21" t="n">
        <v>0</v>
      </c>
      <c r="E189" s="20" t="n">
        <v>1236.9</v>
      </c>
    </row>
    <row r="190" customFormat="false" ht="15" hidden="false" customHeight="false" outlineLevel="0" collapsed="false">
      <c r="A190" s="19" t="n">
        <v>46316.3055555556</v>
      </c>
      <c r="B190" s="21" t="s">
        <v>81</v>
      </c>
      <c r="C190" s="21" t="s">
        <v>81</v>
      </c>
      <c r="D190" s="21" t="n">
        <v>0</v>
      </c>
      <c r="E190" s="20" t="n">
        <v>1208.5</v>
      </c>
    </row>
    <row r="191" customFormat="false" ht="15" hidden="false" customHeight="false" outlineLevel="0" collapsed="false">
      <c r="A191" s="19" t="n">
        <v>46316.3125</v>
      </c>
      <c r="B191" s="21" t="s">
        <v>81</v>
      </c>
      <c r="C191" s="21" t="s">
        <v>81</v>
      </c>
      <c r="D191" s="21" t="n">
        <v>0</v>
      </c>
      <c r="E191" s="20" t="n">
        <v>1187.7</v>
      </c>
    </row>
    <row r="192" customFormat="false" ht="15" hidden="false" customHeight="false" outlineLevel="0" collapsed="false">
      <c r="A192" s="19" t="n">
        <v>46316.3194444445</v>
      </c>
      <c r="B192" s="21" t="s">
        <v>81</v>
      </c>
      <c r="C192" s="21" t="s">
        <v>81</v>
      </c>
      <c r="D192" s="21" t="n">
        <v>0</v>
      </c>
      <c r="E192" s="20" t="n">
        <v>1166.7</v>
      </c>
    </row>
    <row r="193" customFormat="false" ht="15" hidden="false" customHeight="false" outlineLevel="0" collapsed="false">
      <c r="A193" s="19" t="n">
        <v>46316.3263888889</v>
      </c>
      <c r="B193" s="21" t="s">
        <v>81</v>
      </c>
      <c r="C193" s="21" t="s">
        <v>81</v>
      </c>
      <c r="D193" s="21" t="n">
        <v>0</v>
      </c>
      <c r="E193" s="20" t="n">
        <v>1182.2</v>
      </c>
    </row>
    <row r="194" customFormat="false" ht="15" hidden="false" customHeight="false" outlineLevel="0" collapsed="false">
      <c r="A194" s="19" t="n">
        <v>46316.3333333333</v>
      </c>
      <c r="B194" s="21" t="s">
        <v>81</v>
      </c>
      <c r="C194" s="21" t="s">
        <v>82</v>
      </c>
      <c r="D194" s="21" t="n">
        <v>0</v>
      </c>
      <c r="E194" s="20" t="n">
        <v>1216.3</v>
      </c>
    </row>
    <row r="195" customFormat="false" ht="15" hidden="false" customHeight="false" outlineLevel="0" collapsed="false">
      <c r="A195" s="19" t="n">
        <v>46316.3402777778</v>
      </c>
      <c r="B195" s="21" t="s">
        <v>81</v>
      </c>
      <c r="C195" s="21" t="s">
        <v>82</v>
      </c>
      <c r="D195" s="21" t="n">
        <v>0</v>
      </c>
      <c r="E195" s="20" t="n">
        <v>1176</v>
      </c>
    </row>
    <row r="196" customFormat="false" ht="15" hidden="false" customHeight="false" outlineLevel="0" collapsed="false">
      <c r="A196" s="19" t="n">
        <v>46316.3472222222</v>
      </c>
      <c r="B196" s="21" t="s">
        <v>81</v>
      </c>
      <c r="C196" s="21" t="s">
        <v>82</v>
      </c>
      <c r="D196" s="21" t="n">
        <v>0</v>
      </c>
      <c r="E196" s="20" t="n">
        <v>1226.3</v>
      </c>
    </row>
    <row r="197" customFormat="false" ht="15" hidden="false" customHeight="false" outlineLevel="0" collapsed="false">
      <c r="A197" s="19" t="n">
        <v>46316.3541666667</v>
      </c>
      <c r="B197" s="21" t="s">
        <v>81</v>
      </c>
      <c r="C197" s="21" t="s">
        <v>82</v>
      </c>
      <c r="D197" s="21" t="n">
        <v>0</v>
      </c>
      <c r="E197" s="20" t="n">
        <v>1155.7</v>
      </c>
    </row>
    <row r="198" customFormat="false" ht="15" hidden="false" customHeight="false" outlineLevel="0" collapsed="false">
      <c r="A198" s="19" t="n">
        <v>46316.3611111111</v>
      </c>
      <c r="B198" s="21" t="s">
        <v>81</v>
      </c>
      <c r="C198" s="21" t="s">
        <v>82</v>
      </c>
      <c r="D198" s="21" t="n">
        <v>0</v>
      </c>
      <c r="E198" s="20" t="n">
        <v>1182.7</v>
      </c>
    </row>
    <row r="199" customFormat="false" ht="15" hidden="false" customHeight="false" outlineLevel="0" collapsed="false">
      <c r="A199" s="19" t="n">
        <v>46316.3680555556</v>
      </c>
      <c r="B199" s="21" t="s">
        <v>81</v>
      </c>
      <c r="C199" s="21" t="s">
        <v>82</v>
      </c>
      <c r="D199" s="21" t="n">
        <v>0</v>
      </c>
      <c r="E199" s="20" t="n">
        <v>1233.6</v>
      </c>
    </row>
    <row r="200" customFormat="false" ht="15" hidden="false" customHeight="false" outlineLevel="0" collapsed="false">
      <c r="A200" s="19" t="n">
        <v>46316.375</v>
      </c>
      <c r="B200" s="21" t="s">
        <v>81</v>
      </c>
      <c r="C200" s="21" t="s">
        <v>82</v>
      </c>
      <c r="D200" s="21" t="n">
        <v>0</v>
      </c>
      <c r="E200" s="20" t="n">
        <v>1139.8</v>
      </c>
    </row>
    <row r="201" customFormat="false" ht="15" hidden="false" customHeight="false" outlineLevel="0" collapsed="false">
      <c r="A201" s="19" t="n">
        <v>46316.3819444445</v>
      </c>
      <c r="B201" s="21" t="s">
        <v>81</v>
      </c>
      <c r="C201" s="21" t="s">
        <v>82</v>
      </c>
      <c r="D201" s="21" t="n">
        <v>0</v>
      </c>
      <c r="E201" s="20" t="n">
        <v>1219.7</v>
      </c>
    </row>
    <row r="202" customFormat="false" ht="15" hidden="false" customHeight="false" outlineLevel="0" collapsed="false">
      <c r="A202" s="19" t="n">
        <v>46316.3888888889</v>
      </c>
      <c r="B202" s="21" t="s">
        <v>81</v>
      </c>
      <c r="C202" s="21" t="s">
        <v>82</v>
      </c>
      <c r="D202" s="21" t="n">
        <v>0</v>
      </c>
      <c r="E202" s="20" t="n">
        <v>1143.7</v>
      </c>
    </row>
    <row r="203" customFormat="false" ht="15" hidden="false" customHeight="false" outlineLevel="0" collapsed="false">
      <c r="A203" s="19" t="n">
        <v>46316.3958333333</v>
      </c>
      <c r="B203" s="21" t="s">
        <v>81</v>
      </c>
      <c r="C203" s="21" t="s">
        <v>82</v>
      </c>
      <c r="D203" s="21" t="n">
        <v>0</v>
      </c>
      <c r="E203" s="20" t="n">
        <v>1187.7</v>
      </c>
    </row>
    <row r="204" customFormat="false" ht="15" hidden="false" customHeight="false" outlineLevel="0" collapsed="false">
      <c r="A204" s="19" t="n">
        <v>46316.4027777778</v>
      </c>
      <c r="B204" s="21" t="s">
        <v>81</v>
      </c>
      <c r="C204" s="21" t="s">
        <v>82</v>
      </c>
      <c r="D204" s="21" t="n">
        <v>0</v>
      </c>
      <c r="E204" s="20" t="n">
        <v>1185.7</v>
      </c>
    </row>
    <row r="205" customFormat="false" ht="15" hidden="false" customHeight="false" outlineLevel="0" collapsed="false">
      <c r="A205" s="19" t="n">
        <v>46316.4097222222</v>
      </c>
      <c r="B205" s="21" t="s">
        <v>81</v>
      </c>
      <c r="C205" s="21" t="s">
        <v>82</v>
      </c>
      <c r="D205" s="21" t="n">
        <v>0</v>
      </c>
      <c r="E205" s="20" t="n">
        <v>1210.6</v>
      </c>
    </row>
    <row r="206" customFormat="false" ht="15" hidden="false" customHeight="false" outlineLevel="0" collapsed="false">
      <c r="A206" s="19" t="n">
        <v>46316.4166666667</v>
      </c>
      <c r="B206" s="21" t="s">
        <v>81</v>
      </c>
      <c r="C206" s="21" t="s">
        <v>82</v>
      </c>
      <c r="D206" s="21" t="n">
        <v>0</v>
      </c>
      <c r="E206" s="20" t="n">
        <v>1111.1</v>
      </c>
    </row>
    <row r="207" customFormat="false" ht="15" hidden="false" customHeight="false" outlineLevel="0" collapsed="false">
      <c r="A207" s="19" t="n">
        <v>46316.4236111111</v>
      </c>
      <c r="B207" s="21" t="s">
        <v>81</v>
      </c>
      <c r="C207" s="21" t="s">
        <v>82</v>
      </c>
      <c r="D207" s="21" t="n">
        <v>0</v>
      </c>
      <c r="E207" s="20" t="n">
        <v>1142.1</v>
      </c>
    </row>
    <row r="208" customFormat="false" ht="15" hidden="false" customHeight="false" outlineLevel="0" collapsed="false">
      <c r="A208" s="19" t="n">
        <v>46316.4305555556</v>
      </c>
      <c r="B208" s="21" t="s">
        <v>81</v>
      </c>
      <c r="C208" s="21" t="s">
        <v>82</v>
      </c>
      <c r="D208" s="21" t="n">
        <v>0</v>
      </c>
      <c r="E208" s="20" t="n">
        <v>1175.8</v>
      </c>
    </row>
    <row r="209" customFormat="false" ht="15" hidden="false" customHeight="false" outlineLevel="0" collapsed="false">
      <c r="A209" s="19" t="n">
        <v>46316.4375</v>
      </c>
      <c r="B209" s="21" t="s">
        <v>81</v>
      </c>
      <c r="C209" s="21" t="s">
        <v>82</v>
      </c>
      <c r="D209" s="21" t="n">
        <v>0</v>
      </c>
      <c r="E209" s="20" t="n">
        <v>1190.9</v>
      </c>
    </row>
    <row r="210" customFormat="false" ht="15" hidden="false" customHeight="false" outlineLevel="0" collapsed="false">
      <c r="A210" s="19" t="n">
        <v>46316.4444444445</v>
      </c>
      <c r="B210" s="21" t="s">
        <v>81</v>
      </c>
      <c r="C210" s="21" t="s">
        <v>82</v>
      </c>
      <c r="D210" s="21" t="n">
        <v>0</v>
      </c>
      <c r="E210" s="20" t="n">
        <v>1167.7</v>
      </c>
    </row>
    <row r="211" customFormat="false" ht="15" hidden="false" customHeight="false" outlineLevel="0" collapsed="false">
      <c r="A211" s="19" t="n">
        <v>46316.4513888889</v>
      </c>
      <c r="B211" s="21" t="s">
        <v>81</v>
      </c>
      <c r="C211" s="21" t="s">
        <v>82</v>
      </c>
      <c r="D211" s="21" t="n">
        <v>0</v>
      </c>
      <c r="E211" s="20" t="n">
        <v>1184.5</v>
      </c>
    </row>
    <row r="212" customFormat="false" ht="15" hidden="false" customHeight="false" outlineLevel="0" collapsed="false">
      <c r="A212" s="19" t="n">
        <v>46316.4583333333</v>
      </c>
      <c r="B212" s="21" t="s">
        <v>81</v>
      </c>
      <c r="C212" s="21" t="s">
        <v>82</v>
      </c>
      <c r="D212" s="21" t="n">
        <v>0</v>
      </c>
      <c r="E212" s="20" t="n">
        <v>1160.3</v>
      </c>
    </row>
    <row r="213" customFormat="false" ht="15" hidden="false" customHeight="false" outlineLevel="0" collapsed="false">
      <c r="A213" s="19" t="n">
        <v>46316.4652777778</v>
      </c>
      <c r="B213" s="21" t="s">
        <v>81</v>
      </c>
      <c r="C213" s="21" t="s">
        <v>82</v>
      </c>
      <c r="D213" s="21" t="n">
        <v>0</v>
      </c>
      <c r="E213" s="20" t="n">
        <v>1180</v>
      </c>
    </row>
    <row r="214" customFormat="false" ht="15" hidden="false" customHeight="false" outlineLevel="0" collapsed="false">
      <c r="A214" s="19" t="n">
        <v>46316.4722222222</v>
      </c>
      <c r="B214" s="21" t="s">
        <v>81</v>
      </c>
      <c r="C214" s="21" t="s">
        <v>82</v>
      </c>
      <c r="D214" s="21" t="n">
        <v>0</v>
      </c>
      <c r="E214" s="20" t="n">
        <v>1168.8</v>
      </c>
    </row>
    <row r="215" customFormat="false" ht="15" hidden="false" customHeight="false" outlineLevel="0" collapsed="false">
      <c r="A215" s="19" t="n">
        <v>46316.4791666667</v>
      </c>
      <c r="B215" s="21" t="s">
        <v>81</v>
      </c>
      <c r="C215" s="21" t="s">
        <v>82</v>
      </c>
      <c r="D215" s="21" t="n">
        <v>0</v>
      </c>
      <c r="E215" s="20" t="n">
        <v>1196.1</v>
      </c>
    </row>
    <row r="216" customFormat="false" ht="15" hidden="false" customHeight="false" outlineLevel="0" collapsed="false">
      <c r="A216" s="19" t="n">
        <v>46316.4861111111</v>
      </c>
      <c r="B216" s="21" t="s">
        <v>81</v>
      </c>
      <c r="C216" s="21" t="s">
        <v>82</v>
      </c>
      <c r="D216" s="21" t="n">
        <v>0</v>
      </c>
      <c r="E216" s="20" t="n">
        <v>1204.5</v>
      </c>
    </row>
    <row r="217" customFormat="false" ht="15" hidden="false" customHeight="false" outlineLevel="0" collapsed="false">
      <c r="A217" s="19" t="n">
        <v>46316.4930555556</v>
      </c>
      <c r="B217" s="21" t="s">
        <v>81</v>
      </c>
      <c r="C217" s="21" t="s">
        <v>82</v>
      </c>
      <c r="D217" s="21" t="n">
        <v>0</v>
      </c>
      <c r="E217" s="20" t="n">
        <v>1225.8</v>
      </c>
    </row>
    <row r="218" customFormat="false" ht="15" hidden="false" customHeight="false" outlineLevel="0" collapsed="false">
      <c r="A218" s="19" t="n">
        <v>46316.5</v>
      </c>
      <c r="B218" s="21" t="s">
        <v>81</v>
      </c>
      <c r="C218" s="21" t="s">
        <v>82</v>
      </c>
      <c r="D218" s="21" t="n">
        <v>0</v>
      </c>
      <c r="E218" s="20" t="n">
        <v>1173.6</v>
      </c>
    </row>
    <row r="219" customFormat="false" ht="15" hidden="false" customHeight="false" outlineLevel="0" collapsed="false">
      <c r="A219" s="19" t="n">
        <v>46316.5069444445</v>
      </c>
      <c r="B219" s="21" t="s">
        <v>81</v>
      </c>
      <c r="C219" s="21" t="s">
        <v>82</v>
      </c>
      <c r="D219" s="21" t="n">
        <v>0</v>
      </c>
      <c r="E219" s="20" t="n">
        <v>1182.1</v>
      </c>
    </row>
    <row r="220" customFormat="false" ht="15" hidden="false" customHeight="false" outlineLevel="0" collapsed="false">
      <c r="A220" s="19" t="n">
        <v>46316.5138888889</v>
      </c>
      <c r="B220" s="21" t="s">
        <v>81</v>
      </c>
      <c r="C220" s="21" t="s">
        <v>82</v>
      </c>
      <c r="D220" s="21" t="n">
        <v>0</v>
      </c>
      <c r="E220" s="20" t="n">
        <v>1191.2</v>
      </c>
    </row>
    <row r="221" customFormat="false" ht="15" hidden="false" customHeight="false" outlineLevel="0" collapsed="false">
      <c r="A221" s="19" t="n">
        <v>46316.5208333333</v>
      </c>
      <c r="B221" s="21" t="s">
        <v>81</v>
      </c>
      <c r="C221" s="21" t="s">
        <v>82</v>
      </c>
      <c r="D221" s="21" t="n">
        <v>0</v>
      </c>
      <c r="E221" s="20" t="n">
        <v>1182.6</v>
      </c>
    </row>
    <row r="222" customFormat="false" ht="15" hidden="false" customHeight="false" outlineLevel="0" collapsed="false">
      <c r="A222" s="19" t="n">
        <v>46316.5277777778</v>
      </c>
      <c r="B222" s="21" t="s">
        <v>81</v>
      </c>
      <c r="C222" s="21" t="s">
        <v>82</v>
      </c>
      <c r="D222" s="21" t="n">
        <v>0</v>
      </c>
      <c r="E222" s="20" t="n">
        <v>1188.7</v>
      </c>
    </row>
    <row r="223" customFormat="false" ht="15" hidden="false" customHeight="false" outlineLevel="0" collapsed="false">
      <c r="A223" s="19" t="n">
        <v>46316.5347222222</v>
      </c>
      <c r="B223" s="21" t="s">
        <v>81</v>
      </c>
      <c r="C223" s="21" t="s">
        <v>82</v>
      </c>
      <c r="D223" s="21" t="n">
        <v>0</v>
      </c>
      <c r="E223" s="20" t="n">
        <v>1150.9</v>
      </c>
    </row>
    <row r="224" customFormat="false" ht="15" hidden="false" customHeight="false" outlineLevel="0" collapsed="false">
      <c r="A224" s="19" t="n">
        <v>46316.5416666667</v>
      </c>
      <c r="B224" s="21" t="s">
        <v>81</v>
      </c>
      <c r="C224" s="21" t="s">
        <v>82</v>
      </c>
      <c r="D224" s="21" t="n">
        <v>0</v>
      </c>
      <c r="E224" s="20" t="n">
        <v>1199.3</v>
      </c>
    </row>
    <row r="225" customFormat="false" ht="15" hidden="false" customHeight="false" outlineLevel="0" collapsed="false">
      <c r="A225" s="19" t="n">
        <v>46316.5486111111</v>
      </c>
      <c r="B225" s="21" t="s">
        <v>81</v>
      </c>
      <c r="C225" s="21" t="s">
        <v>82</v>
      </c>
      <c r="D225" s="21" t="n">
        <v>0</v>
      </c>
      <c r="E225" s="20" t="n">
        <v>1167.1</v>
      </c>
    </row>
    <row r="226" customFormat="false" ht="15" hidden="false" customHeight="false" outlineLevel="0" collapsed="false">
      <c r="A226" s="19" t="n">
        <v>46316.5555555556</v>
      </c>
      <c r="B226" s="21" t="s">
        <v>81</v>
      </c>
      <c r="C226" s="21" t="s">
        <v>82</v>
      </c>
      <c r="D226" s="21" t="n">
        <v>0</v>
      </c>
      <c r="E226" s="20" t="n">
        <v>1166.1</v>
      </c>
    </row>
    <row r="227" customFormat="false" ht="15" hidden="false" customHeight="false" outlineLevel="0" collapsed="false">
      <c r="A227" s="19" t="n">
        <v>46316.5625</v>
      </c>
      <c r="B227" s="21" t="s">
        <v>81</v>
      </c>
      <c r="C227" s="21" t="s">
        <v>82</v>
      </c>
      <c r="D227" s="21" t="n">
        <v>0</v>
      </c>
      <c r="E227" s="20" t="n">
        <v>1150.3</v>
      </c>
    </row>
    <row r="228" customFormat="false" ht="15" hidden="false" customHeight="false" outlineLevel="0" collapsed="false">
      <c r="A228" s="19" t="n">
        <v>46316.5694444445</v>
      </c>
      <c r="B228" s="21" t="s">
        <v>81</v>
      </c>
      <c r="C228" s="21" t="s">
        <v>82</v>
      </c>
      <c r="D228" s="21" t="n">
        <v>0</v>
      </c>
      <c r="E228" s="20" t="n">
        <v>1219</v>
      </c>
    </row>
    <row r="229" customFormat="false" ht="15" hidden="false" customHeight="false" outlineLevel="0" collapsed="false">
      <c r="A229" s="19" t="n">
        <v>46316.5763888889</v>
      </c>
      <c r="B229" s="21" t="s">
        <v>81</v>
      </c>
      <c r="C229" s="21" t="s">
        <v>82</v>
      </c>
      <c r="D229" s="21" t="n">
        <v>0</v>
      </c>
      <c r="E229" s="20" t="n">
        <v>1186.5</v>
      </c>
    </row>
    <row r="230" customFormat="false" ht="15" hidden="false" customHeight="false" outlineLevel="0" collapsed="false">
      <c r="A230" s="19" t="n">
        <v>46316.5833333333</v>
      </c>
      <c r="B230" s="21" t="s">
        <v>81</v>
      </c>
      <c r="C230" s="21" t="s">
        <v>81</v>
      </c>
      <c r="D230" s="21" t="n">
        <v>0</v>
      </c>
      <c r="E230" s="20" t="n">
        <v>1218.7</v>
      </c>
    </row>
    <row r="231" customFormat="false" ht="15" hidden="false" customHeight="false" outlineLevel="0" collapsed="false">
      <c r="A231" s="19" t="n">
        <v>46316.5902777778</v>
      </c>
      <c r="B231" s="21" t="s">
        <v>81</v>
      </c>
      <c r="C231" s="21" t="s">
        <v>81</v>
      </c>
      <c r="D231" s="21" t="n">
        <v>0</v>
      </c>
      <c r="E231" s="20" t="n">
        <v>1196.8</v>
      </c>
    </row>
    <row r="232" customFormat="false" ht="15" hidden="false" customHeight="false" outlineLevel="0" collapsed="false">
      <c r="A232" s="19" t="n">
        <v>46316.5972222222</v>
      </c>
      <c r="B232" s="21" t="s">
        <v>81</v>
      </c>
      <c r="C232" s="21" t="s">
        <v>81</v>
      </c>
      <c r="D232" s="21" t="n">
        <v>0</v>
      </c>
      <c r="E232" s="20" t="n">
        <v>1147.4</v>
      </c>
    </row>
    <row r="233" customFormat="false" ht="15" hidden="false" customHeight="false" outlineLevel="0" collapsed="false">
      <c r="A233" s="19" t="n">
        <v>46316.6041666667</v>
      </c>
      <c r="B233" s="21" t="s">
        <v>81</v>
      </c>
      <c r="C233" s="21" t="s">
        <v>81</v>
      </c>
      <c r="D233" s="21" t="n">
        <v>0</v>
      </c>
      <c r="E233" s="20" t="n">
        <v>1162.9</v>
      </c>
    </row>
    <row r="234" customFormat="false" ht="15" hidden="false" customHeight="false" outlineLevel="0" collapsed="false">
      <c r="A234" s="19" t="n">
        <v>46316.6111111111</v>
      </c>
      <c r="B234" s="21" t="s">
        <v>81</v>
      </c>
      <c r="C234" s="21" t="s">
        <v>81</v>
      </c>
      <c r="D234" s="21" t="n">
        <v>0</v>
      </c>
      <c r="E234" s="20" t="n">
        <v>1208.9</v>
      </c>
    </row>
    <row r="235" customFormat="false" ht="15" hidden="false" customHeight="false" outlineLevel="0" collapsed="false">
      <c r="A235" s="19" t="n">
        <v>46316.6180555556</v>
      </c>
      <c r="B235" s="21" t="s">
        <v>81</v>
      </c>
      <c r="C235" s="21" t="s">
        <v>81</v>
      </c>
      <c r="D235" s="21" t="n">
        <v>0</v>
      </c>
      <c r="E235" s="20" t="n">
        <v>1170.9</v>
      </c>
    </row>
    <row r="236" customFormat="false" ht="15" hidden="false" customHeight="false" outlineLevel="0" collapsed="false">
      <c r="A236" s="19" t="n">
        <v>46316.625</v>
      </c>
      <c r="B236" s="21" t="s">
        <v>81</v>
      </c>
      <c r="C236" s="21" t="s">
        <v>81</v>
      </c>
      <c r="D236" s="21" t="n">
        <v>0</v>
      </c>
      <c r="E236" s="20" t="n">
        <v>1162.7</v>
      </c>
    </row>
    <row r="237" customFormat="false" ht="15" hidden="false" customHeight="false" outlineLevel="0" collapsed="false">
      <c r="A237" s="19" t="n">
        <v>46316.6319444445</v>
      </c>
      <c r="B237" s="21" t="s">
        <v>81</v>
      </c>
      <c r="C237" s="21" t="s">
        <v>81</v>
      </c>
      <c r="D237" s="21" t="n">
        <v>0</v>
      </c>
      <c r="E237" s="20" t="n">
        <v>1185.5</v>
      </c>
    </row>
    <row r="238" customFormat="false" ht="15" hidden="false" customHeight="false" outlineLevel="0" collapsed="false">
      <c r="A238" s="19" t="n">
        <v>46316.6388888889</v>
      </c>
      <c r="B238" s="21" t="s">
        <v>81</v>
      </c>
      <c r="C238" s="21" t="s">
        <v>81</v>
      </c>
      <c r="D238" s="21" t="n">
        <v>0</v>
      </c>
      <c r="E238" s="20" t="n">
        <v>1185.6</v>
      </c>
    </row>
    <row r="239" customFormat="false" ht="15" hidden="false" customHeight="false" outlineLevel="0" collapsed="false">
      <c r="A239" s="19" t="n">
        <v>46316.6458333333</v>
      </c>
      <c r="B239" s="21" t="s">
        <v>81</v>
      </c>
      <c r="C239" s="21" t="s">
        <v>81</v>
      </c>
      <c r="D239" s="21" t="n">
        <v>0</v>
      </c>
      <c r="E239" s="20" t="n">
        <v>1164.7</v>
      </c>
    </row>
    <row r="240" customFormat="false" ht="15" hidden="false" customHeight="false" outlineLevel="0" collapsed="false">
      <c r="A240" s="19" t="n">
        <v>46316.6527777778</v>
      </c>
      <c r="B240" s="21" t="s">
        <v>81</v>
      </c>
      <c r="C240" s="21" t="s">
        <v>81</v>
      </c>
      <c r="D240" s="21" t="n">
        <v>0</v>
      </c>
      <c r="E240" s="20" t="n">
        <v>1181.8</v>
      </c>
    </row>
    <row r="241" customFormat="false" ht="15" hidden="false" customHeight="false" outlineLevel="0" collapsed="false">
      <c r="A241" s="19" t="n">
        <v>46316.6597222222</v>
      </c>
      <c r="B241" s="21" t="s">
        <v>81</v>
      </c>
      <c r="C241" s="21" t="s">
        <v>81</v>
      </c>
      <c r="D241" s="21" t="n">
        <v>0</v>
      </c>
      <c r="E241" s="20" t="n">
        <v>1178</v>
      </c>
    </row>
    <row r="242" customFormat="false" ht="15" hidden="false" customHeight="false" outlineLevel="0" collapsed="false">
      <c r="A242" s="19" t="n">
        <v>46316.6666666667</v>
      </c>
      <c r="B242" s="21" t="s">
        <v>81</v>
      </c>
      <c r="C242" s="21" t="s">
        <v>81</v>
      </c>
      <c r="D242" s="21" t="n">
        <v>0</v>
      </c>
      <c r="E242" s="20" t="n">
        <v>1125.3</v>
      </c>
    </row>
    <row r="243" customFormat="false" ht="15" hidden="false" customHeight="false" outlineLevel="0" collapsed="false">
      <c r="A243" s="19" t="n">
        <v>46316.6736111111</v>
      </c>
      <c r="B243" s="21" t="s">
        <v>81</v>
      </c>
      <c r="C243" s="21" t="s">
        <v>81</v>
      </c>
      <c r="D243" s="21" t="n">
        <v>0</v>
      </c>
      <c r="E243" s="20" t="n">
        <v>1202.6</v>
      </c>
    </row>
    <row r="244" customFormat="false" ht="15" hidden="false" customHeight="false" outlineLevel="0" collapsed="false">
      <c r="A244" s="19" t="n">
        <v>46316.6805555556</v>
      </c>
      <c r="B244" s="21" t="s">
        <v>81</v>
      </c>
      <c r="C244" s="21" t="s">
        <v>81</v>
      </c>
      <c r="D244" s="21" t="n">
        <v>0</v>
      </c>
      <c r="E244" s="20" t="n">
        <v>1169.7</v>
      </c>
    </row>
    <row r="245" customFormat="false" ht="15" hidden="false" customHeight="false" outlineLevel="0" collapsed="false">
      <c r="A245" s="19" t="n">
        <v>46316.6875</v>
      </c>
      <c r="B245" s="21" t="s">
        <v>81</v>
      </c>
      <c r="C245" s="21" t="s">
        <v>81</v>
      </c>
      <c r="D245" s="21" t="n">
        <v>0</v>
      </c>
      <c r="E245" s="20" t="n">
        <v>1222.6</v>
      </c>
    </row>
    <row r="246" customFormat="false" ht="15" hidden="false" customHeight="false" outlineLevel="0" collapsed="false">
      <c r="A246" s="19" t="n">
        <v>46316.6944444445</v>
      </c>
      <c r="B246" s="21" t="s">
        <v>81</v>
      </c>
      <c r="C246" s="21" t="s">
        <v>81</v>
      </c>
      <c r="D246" s="21" t="n">
        <v>0</v>
      </c>
      <c r="E246" s="20" t="n">
        <v>1161.2</v>
      </c>
    </row>
    <row r="247" customFormat="false" ht="15" hidden="false" customHeight="false" outlineLevel="0" collapsed="false">
      <c r="A247" s="19" t="n">
        <v>46316.7013888889</v>
      </c>
      <c r="B247" s="21" t="s">
        <v>81</v>
      </c>
      <c r="C247" s="21" t="s">
        <v>81</v>
      </c>
      <c r="D247" s="21" t="n">
        <v>0</v>
      </c>
      <c r="E247" s="20" t="n">
        <v>1150.5</v>
      </c>
    </row>
    <row r="248" customFormat="false" ht="15" hidden="false" customHeight="false" outlineLevel="0" collapsed="false">
      <c r="A248" s="19" t="n">
        <v>46316.7083333333</v>
      </c>
      <c r="B248" s="21" t="s">
        <v>81</v>
      </c>
      <c r="C248" s="21" t="s">
        <v>81</v>
      </c>
      <c r="D248" s="21" t="n">
        <v>0</v>
      </c>
      <c r="E248" s="20" t="n">
        <v>1219.7</v>
      </c>
    </row>
    <row r="249" customFormat="false" ht="15" hidden="false" customHeight="false" outlineLevel="0" collapsed="false">
      <c r="A249" s="19" t="n">
        <v>46316.7152777778</v>
      </c>
      <c r="B249" s="21" t="s">
        <v>81</v>
      </c>
      <c r="C249" s="21" t="s">
        <v>81</v>
      </c>
      <c r="D249" s="21" t="n">
        <v>0</v>
      </c>
      <c r="E249" s="20" t="n">
        <v>1150.4</v>
      </c>
    </row>
    <row r="250" customFormat="false" ht="15" hidden="false" customHeight="false" outlineLevel="0" collapsed="false">
      <c r="A250" s="19" t="n">
        <v>46316.7222222222</v>
      </c>
      <c r="B250" s="21" t="s">
        <v>81</v>
      </c>
      <c r="C250" s="21" t="s">
        <v>81</v>
      </c>
      <c r="D250" s="21" t="n">
        <v>0</v>
      </c>
      <c r="E250" s="20" t="n">
        <v>1174.1</v>
      </c>
    </row>
    <row r="251" customFormat="false" ht="15" hidden="false" customHeight="false" outlineLevel="0" collapsed="false">
      <c r="A251" s="19" t="n">
        <v>46316.7291666667</v>
      </c>
      <c r="B251" s="21" t="s">
        <v>81</v>
      </c>
      <c r="C251" s="21" t="s">
        <v>81</v>
      </c>
      <c r="D251" s="21" t="n">
        <v>0</v>
      </c>
      <c r="E251" s="20" t="n">
        <v>1204.9</v>
      </c>
    </row>
    <row r="252" customFormat="false" ht="15" hidden="false" customHeight="false" outlineLevel="0" collapsed="false">
      <c r="A252" s="19" t="n">
        <v>46316.7361111111</v>
      </c>
      <c r="B252" s="21" t="s">
        <v>81</v>
      </c>
      <c r="C252" s="21" t="s">
        <v>81</v>
      </c>
      <c r="D252" s="21" t="n">
        <v>0</v>
      </c>
      <c r="E252" s="20" t="n">
        <v>1181.8</v>
      </c>
    </row>
    <row r="253" customFormat="false" ht="15" hidden="false" customHeight="false" outlineLevel="0" collapsed="false">
      <c r="A253" s="19" t="n">
        <v>46316.7430555556</v>
      </c>
      <c r="B253" s="21" t="s">
        <v>81</v>
      </c>
      <c r="C253" s="21" t="s">
        <v>81</v>
      </c>
      <c r="D253" s="21" t="n">
        <v>0</v>
      </c>
      <c r="E253" s="20" t="n">
        <v>1148.6</v>
      </c>
    </row>
    <row r="254" customFormat="false" ht="15" hidden="false" customHeight="false" outlineLevel="0" collapsed="false">
      <c r="A254" s="19" t="n">
        <v>46316.75</v>
      </c>
      <c r="B254" s="21" t="s">
        <v>81</v>
      </c>
      <c r="C254" s="21" t="s">
        <v>81</v>
      </c>
      <c r="D254" s="21" t="n">
        <v>0</v>
      </c>
      <c r="E254" s="20" t="n">
        <v>1194.7</v>
      </c>
    </row>
    <row r="255" customFormat="false" ht="15" hidden="false" customHeight="false" outlineLevel="0" collapsed="false">
      <c r="A255" s="19" t="n">
        <v>46316.7569444445</v>
      </c>
      <c r="B255" s="21" t="s">
        <v>81</v>
      </c>
      <c r="C255" s="21" t="s">
        <v>81</v>
      </c>
      <c r="D255" s="21" t="n">
        <v>0</v>
      </c>
      <c r="E255" s="20" t="n">
        <v>1185.1</v>
      </c>
    </row>
    <row r="256" customFormat="false" ht="15" hidden="false" customHeight="false" outlineLevel="0" collapsed="false">
      <c r="A256" s="19" t="n">
        <v>46316.7638888889</v>
      </c>
      <c r="B256" s="21" t="s">
        <v>81</v>
      </c>
      <c r="C256" s="21" t="s">
        <v>81</v>
      </c>
      <c r="D256" s="21" t="n">
        <v>0</v>
      </c>
      <c r="E256" s="20" t="n">
        <v>1222.1</v>
      </c>
    </row>
    <row r="257" customFormat="false" ht="15" hidden="false" customHeight="false" outlineLevel="0" collapsed="false">
      <c r="A257" s="19" t="n">
        <v>46316.7708333333</v>
      </c>
      <c r="B257" s="21" t="s">
        <v>81</v>
      </c>
      <c r="C257" s="21" t="s">
        <v>81</v>
      </c>
      <c r="D257" s="21" t="n">
        <v>0</v>
      </c>
      <c r="E257" s="20" t="n">
        <v>1204.7</v>
      </c>
    </row>
    <row r="258" customFormat="false" ht="15" hidden="false" customHeight="false" outlineLevel="0" collapsed="false">
      <c r="A258" s="19" t="n">
        <v>46316.7777777778</v>
      </c>
      <c r="B258" s="21" t="s">
        <v>81</v>
      </c>
      <c r="C258" s="21" t="s">
        <v>81</v>
      </c>
      <c r="D258" s="21" t="n">
        <v>0</v>
      </c>
      <c r="E258" s="20" t="n">
        <v>1265.9</v>
      </c>
    </row>
    <row r="259" customFormat="false" ht="15" hidden="false" customHeight="false" outlineLevel="0" collapsed="false">
      <c r="A259" s="19" t="n">
        <v>46316.7847222222</v>
      </c>
      <c r="B259" s="21" t="s">
        <v>81</v>
      </c>
      <c r="C259" s="21" t="s">
        <v>81</v>
      </c>
      <c r="D259" s="21" t="n">
        <v>0</v>
      </c>
      <c r="E259" s="20" t="n">
        <v>1148.9</v>
      </c>
    </row>
    <row r="260" customFormat="false" ht="15" hidden="false" customHeight="false" outlineLevel="0" collapsed="false">
      <c r="A260" s="19" t="n">
        <v>46316.7916666667</v>
      </c>
      <c r="B260" s="21" t="s">
        <v>81</v>
      </c>
      <c r="C260" s="21" t="s">
        <v>81</v>
      </c>
      <c r="D260" s="21" t="n">
        <v>0</v>
      </c>
      <c r="E260" s="20" t="n">
        <v>1189.5</v>
      </c>
    </row>
    <row r="261" customFormat="false" ht="15" hidden="false" customHeight="false" outlineLevel="0" collapsed="false">
      <c r="A261" s="19" t="n">
        <v>46316.7986111111</v>
      </c>
      <c r="B261" s="21" t="s">
        <v>81</v>
      </c>
      <c r="C261" s="21" t="s">
        <v>81</v>
      </c>
      <c r="D261" s="21" t="n">
        <v>0</v>
      </c>
      <c r="E261" s="20" t="n">
        <v>1163.3</v>
      </c>
    </row>
    <row r="262" customFormat="false" ht="15" hidden="false" customHeight="false" outlineLevel="0" collapsed="false">
      <c r="A262" s="19" t="n">
        <v>46316.8055555556</v>
      </c>
      <c r="B262" s="21" t="s">
        <v>81</v>
      </c>
      <c r="C262" s="21" t="s">
        <v>81</v>
      </c>
      <c r="D262" s="21" t="n">
        <v>0</v>
      </c>
      <c r="E262" s="20" t="n">
        <v>1218.9</v>
      </c>
    </row>
    <row r="263" customFormat="false" ht="15" hidden="false" customHeight="false" outlineLevel="0" collapsed="false">
      <c r="A263" s="19" t="n">
        <v>46316.8125</v>
      </c>
      <c r="B263" s="21" t="s">
        <v>81</v>
      </c>
      <c r="C263" s="21" t="s">
        <v>81</v>
      </c>
      <c r="D263" s="21" t="n">
        <v>0</v>
      </c>
      <c r="E263" s="20" t="n">
        <v>1210.5</v>
      </c>
    </row>
    <row r="264" customFormat="false" ht="15" hidden="false" customHeight="false" outlineLevel="0" collapsed="false">
      <c r="A264" s="19" t="n">
        <v>46316.8194444445</v>
      </c>
      <c r="B264" s="21" t="s">
        <v>81</v>
      </c>
      <c r="C264" s="21" t="s">
        <v>81</v>
      </c>
      <c r="D264" s="21" t="n">
        <v>0</v>
      </c>
      <c r="E264" s="20" t="n">
        <v>1208.9</v>
      </c>
    </row>
    <row r="265" customFormat="false" ht="15" hidden="false" customHeight="false" outlineLevel="0" collapsed="false">
      <c r="A265" s="19" t="n">
        <v>46316.8263888889</v>
      </c>
      <c r="B265" s="21" t="s">
        <v>81</v>
      </c>
      <c r="C265" s="21" t="s">
        <v>81</v>
      </c>
      <c r="D265" s="21" t="n">
        <v>0</v>
      </c>
      <c r="E265" s="20" t="n">
        <v>1170.6</v>
      </c>
    </row>
    <row r="266" customFormat="false" ht="15" hidden="false" customHeight="false" outlineLevel="0" collapsed="false">
      <c r="A266" s="19" t="n">
        <v>46316.8333333333</v>
      </c>
      <c r="B266" s="21" t="s">
        <v>81</v>
      </c>
      <c r="C266" s="21" t="s">
        <v>81</v>
      </c>
      <c r="D266" s="21" t="n">
        <v>0</v>
      </c>
      <c r="E266" s="20" t="n">
        <v>1171.4</v>
      </c>
    </row>
    <row r="267" customFormat="false" ht="15" hidden="false" customHeight="false" outlineLevel="0" collapsed="false">
      <c r="A267" s="19" t="n">
        <v>46316.8402777778</v>
      </c>
      <c r="B267" s="21" t="s">
        <v>81</v>
      </c>
      <c r="C267" s="21" t="s">
        <v>81</v>
      </c>
      <c r="D267" s="21" t="n">
        <v>0</v>
      </c>
      <c r="E267" s="20" t="n">
        <v>1139.3</v>
      </c>
    </row>
    <row r="268" customFormat="false" ht="15" hidden="false" customHeight="false" outlineLevel="0" collapsed="false">
      <c r="A268" s="19" t="n">
        <v>46316.8472222222</v>
      </c>
      <c r="B268" s="21" t="s">
        <v>81</v>
      </c>
      <c r="C268" s="21" t="s">
        <v>81</v>
      </c>
      <c r="D268" s="21" t="n">
        <v>0</v>
      </c>
      <c r="E268" s="20" t="n">
        <v>1232.7</v>
      </c>
    </row>
    <row r="269" customFormat="false" ht="15" hidden="false" customHeight="false" outlineLevel="0" collapsed="false">
      <c r="A269" s="19" t="n">
        <v>46316.8541666667</v>
      </c>
      <c r="B269" s="21" t="s">
        <v>81</v>
      </c>
      <c r="C269" s="21" t="s">
        <v>81</v>
      </c>
      <c r="D269" s="21" t="n">
        <v>0</v>
      </c>
      <c r="E269" s="20" t="n">
        <v>1202.7</v>
      </c>
    </row>
    <row r="270" customFormat="false" ht="15" hidden="false" customHeight="false" outlineLevel="0" collapsed="false">
      <c r="A270" s="19" t="n">
        <v>46316.8611111111</v>
      </c>
      <c r="B270" s="21" t="s">
        <v>81</v>
      </c>
      <c r="C270" s="21" t="s">
        <v>81</v>
      </c>
      <c r="D270" s="21" t="n">
        <v>0</v>
      </c>
      <c r="E270" s="20" t="n">
        <v>1183.5</v>
      </c>
    </row>
    <row r="271" customFormat="false" ht="15" hidden="false" customHeight="false" outlineLevel="0" collapsed="false">
      <c r="A271" s="19" t="n">
        <v>46316.8680555556</v>
      </c>
      <c r="B271" s="21" t="s">
        <v>81</v>
      </c>
      <c r="C271" s="21" t="s">
        <v>81</v>
      </c>
      <c r="D271" s="21" t="n">
        <v>0</v>
      </c>
      <c r="E271" s="20" t="n">
        <v>1213.3</v>
      </c>
    </row>
    <row r="272" customFormat="false" ht="15" hidden="false" customHeight="false" outlineLevel="0" collapsed="false">
      <c r="A272" s="19" t="n">
        <v>46316.875</v>
      </c>
      <c r="B272" s="21" t="s">
        <v>81</v>
      </c>
      <c r="C272" s="21" t="s">
        <v>81</v>
      </c>
      <c r="D272" s="21" t="n">
        <v>0</v>
      </c>
      <c r="E272" s="20" t="n">
        <v>1208.8</v>
      </c>
    </row>
    <row r="273" customFormat="false" ht="15" hidden="false" customHeight="false" outlineLevel="0" collapsed="false">
      <c r="A273" s="19" t="n">
        <v>46316.8819444445</v>
      </c>
      <c r="B273" s="21" t="s">
        <v>81</v>
      </c>
      <c r="C273" s="21" t="s">
        <v>81</v>
      </c>
      <c r="D273" s="21" t="n">
        <v>0</v>
      </c>
      <c r="E273" s="20" t="n">
        <v>1214.4</v>
      </c>
    </row>
    <row r="274" customFormat="false" ht="15" hidden="false" customHeight="false" outlineLevel="0" collapsed="false">
      <c r="A274" s="19" t="n">
        <v>46316.8888888889</v>
      </c>
      <c r="B274" s="21" t="s">
        <v>81</v>
      </c>
      <c r="C274" s="21" t="s">
        <v>81</v>
      </c>
      <c r="D274" s="21" t="n">
        <v>0</v>
      </c>
      <c r="E274" s="20" t="n">
        <v>1149.4</v>
      </c>
    </row>
    <row r="275" customFormat="false" ht="15" hidden="false" customHeight="false" outlineLevel="0" collapsed="false">
      <c r="A275" s="19" t="n">
        <v>46316.8958333333</v>
      </c>
      <c r="B275" s="21" t="s">
        <v>81</v>
      </c>
      <c r="C275" s="21" t="s">
        <v>81</v>
      </c>
      <c r="D275" s="21" t="n">
        <v>0</v>
      </c>
      <c r="E275" s="20" t="n">
        <v>1172.2</v>
      </c>
    </row>
    <row r="276" customFormat="false" ht="15" hidden="false" customHeight="false" outlineLevel="0" collapsed="false">
      <c r="A276" s="19" t="n">
        <v>46316.9027777778</v>
      </c>
      <c r="B276" s="21" t="s">
        <v>81</v>
      </c>
      <c r="C276" s="21" t="s">
        <v>81</v>
      </c>
      <c r="D276" s="21" t="n">
        <v>0</v>
      </c>
      <c r="E276" s="20" t="n">
        <v>1194.9</v>
      </c>
    </row>
    <row r="277" customFormat="false" ht="15" hidden="false" customHeight="false" outlineLevel="0" collapsed="false">
      <c r="A277" s="19" t="n">
        <v>46316.9097222222</v>
      </c>
      <c r="B277" s="21" t="s">
        <v>81</v>
      </c>
      <c r="C277" s="21" t="s">
        <v>81</v>
      </c>
      <c r="D277" s="21" t="n">
        <v>0</v>
      </c>
      <c r="E277" s="20" t="n">
        <v>1198.9</v>
      </c>
    </row>
    <row r="278" customFormat="false" ht="15" hidden="false" customHeight="false" outlineLevel="0" collapsed="false">
      <c r="A278" s="19" t="n">
        <v>46316.9166666667</v>
      </c>
      <c r="B278" s="21" t="s">
        <v>81</v>
      </c>
      <c r="C278" s="21" t="s">
        <v>81</v>
      </c>
      <c r="D278" s="21" t="n">
        <v>0</v>
      </c>
      <c r="E278" s="20" t="n">
        <v>1213.9</v>
      </c>
    </row>
    <row r="279" customFormat="false" ht="15" hidden="false" customHeight="false" outlineLevel="0" collapsed="false">
      <c r="A279" s="19" t="n">
        <v>46316.9236111111</v>
      </c>
      <c r="B279" s="21" t="s">
        <v>81</v>
      </c>
      <c r="C279" s="21" t="s">
        <v>81</v>
      </c>
      <c r="D279" s="21" t="n">
        <v>0</v>
      </c>
      <c r="E279" s="20" t="n">
        <v>1164.8</v>
      </c>
    </row>
    <row r="280" customFormat="false" ht="15" hidden="false" customHeight="false" outlineLevel="0" collapsed="false">
      <c r="A280" s="19" t="n">
        <v>46316.9305555556</v>
      </c>
      <c r="B280" s="21" t="s">
        <v>81</v>
      </c>
      <c r="C280" s="21" t="s">
        <v>81</v>
      </c>
      <c r="D280" s="21" t="n">
        <v>0</v>
      </c>
      <c r="E280" s="20" t="n">
        <v>1193.2</v>
      </c>
    </row>
    <row r="281" customFormat="false" ht="15" hidden="false" customHeight="false" outlineLevel="0" collapsed="false">
      <c r="A281" s="19" t="n">
        <v>46316.9375</v>
      </c>
      <c r="B281" s="21" t="s">
        <v>81</v>
      </c>
      <c r="C281" s="21" t="s">
        <v>81</v>
      </c>
      <c r="D281" s="21" t="n">
        <v>0</v>
      </c>
      <c r="E281" s="20" t="n">
        <v>1245.1</v>
      </c>
    </row>
    <row r="282" customFormat="false" ht="15" hidden="false" customHeight="false" outlineLevel="0" collapsed="false">
      <c r="A282" s="19" t="n">
        <v>46316.9444444445</v>
      </c>
      <c r="B282" s="21" t="s">
        <v>81</v>
      </c>
      <c r="C282" s="21" t="s">
        <v>81</v>
      </c>
      <c r="D282" s="21" t="n">
        <v>0</v>
      </c>
      <c r="E282" s="20" t="n">
        <v>1207.3</v>
      </c>
    </row>
    <row r="283" customFormat="false" ht="15" hidden="false" customHeight="false" outlineLevel="0" collapsed="false">
      <c r="A283" s="19" t="n">
        <v>46316.9513888889</v>
      </c>
      <c r="B283" s="21" t="s">
        <v>81</v>
      </c>
      <c r="C283" s="21" t="s">
        <v>81</v>
      </c>
      <c r="D283" s="21" t="n">
        <v>0</v>
      </c>
      <c r="E283" s="20" t="n">
        <v>1211.8</v>
      </c>
    </row>
    <row r="284" customFormat="false" ht="15" hidden="false" customHeight="false" outlineLevel="0" collapsed="false">
      <c r="A284" s="19" t="n">
        <v>46316.9583333333</v>
      </c>
      <c r="B284" s="21" t="s">
        <v>81</v>
      </c>
      <c r="C284" s="21" t="s">
        <v>81</v>
      </c>
      <c r="D284" s="21" t="n">
        <v>0</v>
      </c>
      <c r="E284" s="20" t="n">
        <v>1189.5</v>
      </c>
    </row>
    <row r="285" customFormat="false" ht="15" hidden="false" customHeight="false" outlineLevel="0" collapsed="false">
      <c r="A285" s="19" t="n">
        <v>46316.9652777778</v>
      </c>
      <c r="B285" s="21" t="s">
        <v>81</v>
      </c>
      <c r="C285" s="21" t="s">
        <v>81</v>
      </c>
      <c r="D285" s="21" t="n">
        <v>0</v>
      </c>
      <c r="E285" s="20" t="n">
        <v>1209.2</v>
      </c>
    </row>
    <row r="286" customFormat="false" ht="15" hidden="false" customHeight="false" outlineLevel="0" collapsed="false">
      <c r="A286" s="19" t="n">
        <v>46316.9722222222</v>
      </c>
      <c r="B286" s="21" t="s">
        <v>81</v>
      </c>
      <c r="C286" s="21" t="s">
        <v>81</v>
      </c>
      <c r="D286" s="21" t="n">
        <v>0</v>
      </c>
      <c r="E286" s="20" t="n">
        <v>1235.1</v>
      </c>
    </row>
    <row r="287" customFormat="false" ht="15" hidden="false" customHeight="false" outlineLevel="0" collapsed="false">
      <c r="A287" s="19" t="n">
        <v>46316.9791666667</v>
      </c>
      <c r="B287" s="21" t="s">
        <v>81</v>
      </c>
      <c r="C287" s="21" t="s">
        <v>81</v>
      </c>
      <c r="D287" s="21" t="n">
        <v>0</v>
      </c>
      <c r="E287" s="20" t="n">
        <v>1192.7</v>
      </c>
    </row>
    <row r="288" customFormat="false" ht="15" hidden="false" customHeight="false" outlineLevel="0" collapsed="false">
      <c r="A288" s="19" t="n">
        <v>46316.9861111111</v>
      </c>
      <c r="B288" s="21" t="s">
        <v>81</v>
      </c>
      <c r="C288" s="21" t="s">
        <v>81</v>
      </c>
      <c r="D288" s="21" t="n">
        <v>0</v>
      </c>
      <c r="E288" s="20" t="n">
        <v>1220.6</v>
      </c>
    </row>
    <row r="289" customFormat="false" ht="15" hidden="false" customHeight="false" outlineLevel="0" collapsed="false">
      <c r="A289" s="19" t="n">
        <v>46316.9930555556</v>
      </c>
      <c r="B289" s="21" t="s">
        <v>81</v>
      </c>
      <c r="C289" s="21" t="s">
        <v>81</v>
      </c>
      <c r="D289" s="21" t="n">
        <v>0</v>
      </c>
      <c r="E289" s="20" t="n">
        <v>1168.1</v>
      </c>
    </row>
    <row r="290" customFormat="false" ht="15" hidden="false" customHeight="false" outlineLevel="0" collapsed="false">
      <c r="A290" s="19" t="n">
        <v>46317</v>
      </c>
      <c r="B290" s="21" t="s">
        <v>81</v>
      </c>
      <c r="C290" s="21" t="s">
        <v>81</v>
      </c>
      <c r="D290" s="21" t="n">
        <v>0</v>
      </c>
      <c r="E290" s="20" t="n">
        <v>1204.8</v>
      </c>
    </row>
    <row r="291" customFormat="false" ht="15" hidden="false" customHeight="false" outlineLevel="0" collapsed="false">
      <c r="A291" s="19" t="n">
        <v>46317.0069444445</v>
      </c>
      <c r="B291" s="21" t="s">
        <v>81</v>
      </c>
      <c r="C291" s="21" t="s">
        <v>81</v>
      </c>
      <c r="D291" s="21" t="n">
        <v>0</v>
      </c>
      <c r="E291" s="20" t="n">
        <v>1212.6</v>
      </c>
    </row>
    <row r="292" customFormat="false" ht="15" hidden="false" customHeight="false" outlineLevel="0" collapsed="false">
      <c r="A292" s="19" t="n">
        <v>46317.0138888889</v>
      </c>
      <c r="B292" s="21" t="s">
        <v>81</v>
      </c>
      <c r="C292" s="21" t="s">
        <v>81</v>
      </c>
      <c r="D292" s="21" t="n">
        <v>0</v>
      </c>
      <c r="E292" s="20" t="n">
        <v>1171.2</v>
      </c>
    </row>
    <row r="293" customFormat="false" ht="15" hidden="false" customHeight="false" outlineLevel="0" collapsed="false">
      <c r="A293" s="19" t="n">
        <v>46317.0208333333</v>
      </c>
      <c r="B293" s="21" t="s">
        <v>81</v>
      </c>
      <c r="C293" s="21" t="s">
        <v>81</v>
      </c>
      <c r="D293" s="21" t="n">
        <v>0</v>
      </c>
      <c r="E293" s="20" t="n">
        <v>1217.5</v>
      </c>
    </row>
    <row r="294" customFormat="false" ht="15" hidden="false" customHeight="false" outlineLevel="0" collapsed="false">
      <c r="A294" s="19" t="n">
        <v>46317.0277777778</v>
      </c>
      <c r="B294" s="21" t="s">
        <v>81</v>
      </c>
      <c r="C294" s="21" t="s">
        <v>81</v>
      </c>
      <c r="D294" s="21" t="n">
        <v>0</v>
      </c>
      <c r="E294" s="20" t="n">
        <v>1173.1</v>
      </c>
    </row>
    <row r="295" customFormat="false" ht="15" hidden="false" customHeight="false" outlineLevel="0" collapsed="false">
      <c r="A295" s="19" t="n">
        <v>46317.0347222222</v>
      </c>
      <c r="B295" s="21" t="s">
        <v>81</v>
      </c>
      <c r="C295" s="21" t="s">
        <v>81</v>
      </c>
      <c r="D295" s="21" t="n">
        <v>0</v>
      </c>
      <c r="E295" s="20" t="n">
        <v>1169.9</v>
      </c>
    </row>
    <row r="296" customFormat="false" ht="15" hidden="false" customHeight="false" outlineLevel="0" collapsed="false">
      <c r="A296" s="19" t="n">
        <v>46317.0416666667</v>
      </c>
      <c r="B296" s="21" t="s">
        <v>81</v>
      </c>
      <c r="C296" s="21" t="s">
        <v>81</v>
      </c>
      <c r="D296" s="21" t="n">
        <v>0</v>
      </c>
      <c r="E296" s="20" t="n">
        <v>1190</v>
      </c>
    </row>
    <row r="297" customFormat="false" ht="15" hidden="false" customHeight="false" outlineLevel="0" collapsed="false">
      <c r="A297" s="19" t="n">
        <v>46317.0486111111</v>
      </c>
      <c r="B297" s="21" t="s">
        <v>81</v>
      </c>
      <c r="C297" s="21" t="s">
        <v>81</v>
      </c>
      <c r="D297" s="21" t="n">
        <v>0</v>
      </c>
      <c r="E297" s="20" t="n">
        <v>1238.3</v>
      </c>
    </row>
    <row r="298" customFormat="false" ht="15" hidden="false" customHeight="false" outlineLevel="0" collapsed="false">
      <c r="A298" s="19" t="n">
        <v>46317.0555555556</v>
      </c>
      <c r="B298" s="21" t="s">
        <v>81</v>
      </c>
      <c r="C298" s="21" t="s">
        <v>81</v>
      </c>
      <c r="D298" s="21" t="n">
        <v>0</v>
      </c>
      <c r="E298" s="20" t="n">
        <v>1197.7</v>
      </c>
    </row>
    <row r="299" customFormat="false" ht="15" hidden="false" customHeight="false" outlineLevel="0" collapsed="false">
      <c r="A299" s="19" t="n">
        <v>46317.0625</v>
      </c>
      <c r="B299" s="21" t="s">
        <v>81</v>
      </c>
      <c r="C299" s="21" t="s">
        <v>81</v>
      </c>
      <c r="D299" s="21" t="n">
        <v>0</v>
      </c>
      <c r="E299" s="20" t="n">
        <v>1213.4</v>
      </c>
    </row>
    <row r="300" customFormat="false" ht="15" hidden="false" customHeight="false" outlineLevel="0" collapsed="false">
      <c r="A300" s="19" t="n">
        <v>46317.0694444445</v>
      </c>
      <c r="B300" s="21" t="s">
        <v>81</v>
      </c>
      <c r="C300" s="21" t="s">
        <v>81</v>
      </c>
      <c r="D300" s="21" t="n">
        <v>0</v>
      </c>
      <c r="E300" s="20" t="n">
        <v>1171.7</v>
      </c>
    </row>
    <row r="301" customFormat="false" ht="15" hidden="false" customHeight="false" outlineLevel="0" collapsed="false">
      <c r="A301" s="19" t="n">
        <v>46317.0763888889</v>
      </c>
      <c r="B301" s="21" t="s">
        <v>81</v>
      </c>
      <c r="C301" s="21" t="s">
        <v>81</v>
      </c>
      <c r="D301" s="21" t="n">
        <v>0</v>
      </c>
      <c r="E301" s="20" t="n">
        <v>1191.9</v>
      </c>
    </row>
    <row r="302" customFormat="false" ht="15" hidden="false" customHeight="false" outlineLevel="0" collapsed="false">
      <c r="A302" s="19" t="n">
        <v>46317.0833333333</v>
      </c>
      <c r="B302" s="21" t="s">
        <v>81</v>
      </c>
      <c r="C302" s="21" t="s">
        <v>81</v>
      </c>
      <c r="D302" s="21" t="n">
        <v>0</v>
      </c>
      <c r="E302" s="20" t="n">
        <v>1160.6</v>
      </c>
    </row>
    <row r="303" customFormat="false" ht="15" hidden="false" customHeight="false" outlineLevel="0" collapsed="false">
      <c r="A303" s="19" t="n">
        <v>46317.0902777778</v>
      </c>
      <c r="B303" s="21" t="s">
        <v>81</v>
      </c>
      <c r="C303" s="21" t="s">
        <v>81</v>
      </c>
      <c r="D303" s="21" t="n">
        <v>0</v>
      </c>
      <c r="E303" s="20" t="n">
        <v>1175.7</v>
      </c>
    </row>
    <row r="304" customFormat="false" ht="15" hidden="false" customHeight="false" outlineLevel="0" collapsed="false">
      <c r="A304" s="19" t="n">
        <v>46317.0972222222</v>
      </c>
      <c r="B304" s="21" t="s">
        <v>81</v>
      </c>
      <c r="C304" s="21" t="s">
        <v>81</v>
      </c>
      <c r="D304" s="21" t="n">
        <v>0</v>
      </c>
      <c r="E304" s="20" t="n">
        <v>1210.9</v>
      </c>
    </row>
    <row r="305" customFormat="false" ht="15" hidden="false" customHeight="false" outlineLevel="0" collapsed="false">
      <c r="A305" s="19" t="n">
        <v>46317.1041666667</v>
      </c>
      <c r="B305" s="21" t="s">
        <v>81</v>
      </c>
      <c r="C305" s="21" t="s">
        <v>81</v>
      </c>
      <c r="D305" s="21" t="n">
        <v>0</v>
      </c>
      <c r="E305" s="20" t="n">
        <v>1189</v>
      </c>
    </row>
    <row r="306" customFormat="false" ht="15" hidden="false" customHeight="false" outlineLevel="0" collapsed="false">
      <c r="A306" s="19" t="n">
        <v>46317.1111111111</v>
      </c>
      <c r="B306" s="21" t="s">
        <v>81</v>
      </c>
      <c r="C306" s="21" t="s">
        <v>81</v>
      </c>
      <c r="D306" s="21" t="n">
        <v>0</v>
      </c>
      <c r="E306" s="20" t="n">
        <v>1226.3</v>
      </c>
    </row>
    <row r="307" customFormat="false" ht="15" hidden="false" customHeight="false" outlineLevel="0" collapsed="false">
      <c r="A307" s="19" t="n">
        <v>46317.1180555556</v>
      </c>
      <c r="B307" s="21" t="s">
        <v>81</v>
      </c>
      <c r="C307" s="21" t="s">
        <v>81</v>
      </c>
      <c r="D307" s="21" t="n">
        <v>0</v>
      </c>
      <c r="E307" s="20" t="n">
        <v>1184.9</v>
      </c>
    </row>
    <row r="308" customFormat="false" ht="15" hidden="false" customHeight="false" outlineLevel="0" collapsed="false">
      <c r="A308" s="19" t="n">
        <v>46317.125</v>
      </c>
      <c r="B308" s="21" t="s">
        <v>81</v>
      </c>
      <c r="C308" s="21" t="s">
        <v>81</v>
      </c>
      <c r="D308" s="21" t="n">
        <v>0</v>
      </c>
      <c r="E308" s="20" t="n">
        <v>1185.1</v>
      </c>
    </row>
    <row r="309" customFormat="false" ht="15" hidden="false" customHeight="false" outlineLevel="0" collapsed="false">
      <c r="A309" s="19" t="n">
        <v>46317.1319444445</v>
      </c>
      <c r="B309" s="21" t="s">
        <v>81</v>
      </c>
      <c r="C309" s="21" t="s">
        <v>81</v>
      </c>
      <c r="D309" s="21" t="n">
        <v>0</v>
      </c>
      <c r="E309" s="20" t="n">
        <v>1221.9</v>
      </c>
    </row>
    <row r="310" customFormat="false" ht="15" hidden="false" customHeight="false" outlineLevel="0" collapsed="false">
      <c r="A310" s="19" t="n">
        <v>46317.1388888889</v>
      </c>
      <c r="B310" s="21" t="s">
        <v>81</v>
      </c>
      <c r="C310" s="21" t="s">
        <v>81</v>
      </c>
      <c r="D310" s="21" t="n">
        <v>0</v>
      </c>
      <c r="E310" s="20" t="n">
        <v>1173.8</v>
      </c>
    </row>
    <row r="311" customFormat="false" ht="15" hidden="false" customHeight="false" outlineLevel="0" collapsed="false">
      <c r="A311" s="19" t="n">
        <v>46317.1458333333</v>
      </c>
      <c r="B311" s="21" t="s">
        <v>81</v>
      </c>
      <c r="C311" s="21" t="s">
        <v>81</v>
      </c>
      <c r="D311" s="21" t="n">
        <v>0</v>
      </c>
      <c r="E311" s="20" t="n">
        <v>1152</v>
      </c>
    </row>
    <row r="312" customFormat="false" ht="15" hidden="false" customHeight="false" outlineLevel="0" collapsed="false">
      <c r="A312" s="19" t="n">
        <v>46317.1527777778</v>
      </c>
      <c r="B312" s="21" t="s">
        <v>81</v>
      </c>
      <c r="C312" s="21" t="s">
        <v>81</v>
      </c>
      <c r="D312" s="21" t="n">
        <v>0</v>
      </c>
      <c r="E312" s="20" t="n">
        <v>1222.5</v>
      </c>
    </row>
    <row r="313" customFormat="false" ht="15" hidden="false" customHeight="false" outlineLevel="0" collapsed="false">
      <c r="A313" s="19" t="n">
        <v>46317.1597222222</v>
      </c>
      <c r="B313" s="21" t="s">
        <v>81</v>
      </c>
      <c r="C313" s="21" t="s">
        <v>81</v>
      </c>
      <c r="D313" s="21" t="n">
        <v>0</v>
      </c>
      <c r="E313" s="20" t="n">
        <v>1200.4</v>
      </c>
    </row>
    <row r="314" customFormat="false" ht="15" hidden="false" customHeight="false" outlineLevel="0" collapsed="false">
      <c r="A314" s="19" t="n">
        <v>46317.1666666667</v>
      </c>
      <c r="B314" s="21" t="s">
        <v>81</v>
      </c>
      <c r="C314" s="21" t="s">
        <v>81</v>
      </c>
      <c r="D314" s="21" t="n">
        <v>0</v>
      </c>
      <c r="E314" s="20" t="n">
        <v>1135.9</v>
      </c>
    </row>
    <row r="315" customFormat="false" ht="15" hidden="false" customHeight="false" outlineLevel="0" collapsed="false">
      <c r="A315" s="19" t="n">
        <v>46317.1736111111</v>
      </c>
      <c r="B315" s="21" t="s">
        <v>81</v>
      </c>
      <c r="C315" s="21" t="s">
        <v>81</v>
      </c>
      <c r="D315" s="21" t="n">
        <v>0</v>
      </c>
      <c r="E315" s="20" t="n">
        <v>1191.1</v>
      </c>
    </row>
    <row r="316" customFormat="false" ht="15" hidden="false" customHeight="false" outlineLevel="0" collapsed="false">
      <c r="A316" s="19" t="n">
        <v>46317.1805555556</v>
      </c>
      <c r="B316" s="21" t="s">
        <v>81</v>
      </c>
      <c r="C316" s="21" t="s">
        <v>81</v>
      </c>
      <c r="D316" s="21" t="n">
        <v>0</v>
      </c>
      <c r="E316" s="20" t="n">
        <v>1179.9</v>
      </c>
    </row>
    <row r="317" customFormat="false" ht="15" hidden="false" customHeight="false" outlineLevel="0" collapsed="false">
      <c r="A317" s="19" t="n">
        <v>46317.1875</v>
      </c>
      <c r="B317" s="21" t="s">
        <v>81</v>
      </c>
      <c r="C317" s="21" t="s">
        <v>81</v>
      </c>
      <c r="D317" s="21" t="n">
        <v>0</v>
      </c>
      <c r="E317" s="20" t="n">
        <v>1233.6</v>
      </c>
    </row>
    <row r="318" customFormat="false" ht="15" hidden="false" customHeight="false" outlineLevel="0" collapsed="false">
      <c r="A318" s="19" t="n">
        <v>46317.1944444445</v>
      </c>
      <c r="B318" s="21" t="s">
        <v>81</v>
      </c>
      <c r="C318" s="21" t="s">
        <v>81</v>
      </c>
      <c r="D318" s="21" t="n">
        <v>0</v>
      </c>
      <c r="E318" s="20" t="n">
        <v>1171.8</v>
      </c>
    </row>
    <row r="319" customFormat="false" ht="15" hidden="false" customHeight="false" outlineLevel="0" collapsed="false">
      <c r="A319" s="19" t="n">
        <v>46317.2013888889</v>
      </c>
      <c r="B319" s="21" t="s">
        <v>81</v>
      </c>
      <c r="C319" s="21" t="s">
        <v>81</v>
      </c>
      <c r="D319" s="21" t="n">
        <v>0</v>
      </c>
      <c r="E319" s="20" t="n">
        <v>1175.5</v>
      </c>
    </row>
    <row r="320" customFormat="false" ht="15" hidden="false" customHeight="false" outlineLevel="0" collapsed="false">
      <c r="A320" s="19" t="n">
        <v>46317.2083333333</v>
      </c>
      <c r="B320" s="21" t="s">
        <v>81</v>
      </c>
      <c r="C320" s="21" t="s">
        <v>81</v>
      </c>
      <c r="D320" s="21" t="n">
        <v>0</v>
      </c>
      <c r="E320" s="20" t="n">
        <v>1167.2</v>
      </c>
    </row>
    <row r="321" customFormat="false" ht="15" hidden="false" customHeight="false" outlineLevel="0" collapsed="false">
      <c r="A321" s="19" t="n">
        <v>46317.2152777778</v>
      </c>
      <c r="B321" s="21" t="s">
        <v>81</v>
      </c>
      <c r="C321" s="21" t="s">
        <v>81</v>
      </c>
      <c r="D321" s="21" t="n">
        <v>0</v>
      </c>
      <c r="E321" s="20" t="n">
        <v>1163.6</v>
      </c>
    </row>
    <row r="322" customFormat="false" ht="15" hidden="false" customHeight="false" outlineLevel="0" collapsed="false">
      <c r="A322" s="19" t="n">
        <v>46317.2222222222</v>
      </c>
      <c r="B322" s="21" t="s">
        <v>81</v>
      </c>
      <c r="C322" s="21" t="s">
        <v>81</v>
      </c>
      <c r="D322" s="21" t="n">
        <v>0</v>
      </c>
      <c r="E322" s="20" t="n">
        <v>1172.5</v>
      </c>
    </row>
    <row r="323" customFormat="false" ht="15" hidden="false" customHeight="false" outlineLevel="0" collapsed="false">
      <c r="A323" s="19" t="n">
        <v>46317.2291666667</v>
      </c>
      <c r="B323" s="21" t="s">
        <v>81</v>
      </c>
      <c r="C323" s="21" t="s">
        <v>81</v>
      </c>
      <c r="D323" s="21" t="n">
        <v>0</v>
      </c>
      <c r="E323" s="20" t="n">
        <v>1154.1</v>
      </c>
    </row>
    <row r="324" customFormat="false" ht="15" hidden="false" customHeight="false" outlineLevel="0" collapsed="false">
      <c r="A324" s="19" t="n">
        <v>46317.2361111111</v>
      </c>
      <c r="B324" s="21" t="s">
        <v>81</v>
      </c>
      <c r="C324" s="21" t="s">
        <v>81</v>
      </c>
      <c r="D324" s="21" t="n">
        <v>0</v>
      </c>
      <c r="E324" s="20" t="n">
        <v>1164.2</v>
      </c>
    </row>
    <row r="325" customFormat="false" ht="15" hidden="false" customHeight="false" outlineLevel="0" collapsed="false">
      <c r="A325" s="19" t="n">
        <v>46317.2430555556</v>
      </c>
      <c r="B325" s="21" t="s">
        <v>81</v>
      </c>
      <c r="C325" s="21" t="s">
        <v>81</v>
      </c>
      <c r="D325" s="21" t="n">
        <v>0</v>
      </c>
      <c r="E325" s="20" t="n">
        <v>1149.8</v>
      </c>
    </row>
    <row r="326" customFormat="false" ht="15" hidden="false" customHeight="false" outlineLevel="0" collapsed="false">
      <c r="A326" s="19" t="n">
        <v>46317.25</v>
      </c>
      <c r="B326" s="21" t="s">
        <v>81</v>
      </c>
      <c r="C326" s="21" t="s">
        <v>81</v>
      </c>
      <c r="D326" s="21" t="n">
        <v>0</v>
      </c>
      <c r="E326" s="20" t="n">
        <v>1152.6</v>
      </c>
    </row>
    <row r="327" customFormat="false" ht="15" hidden="false" customHeight="false" outlineLevel="0" collapsed="false">
      <c r="A327" s="19" t="n">
        <v>46317.2569444445</v>
      </c>
      <c r="B327" s="21" t="s">
        <v>81</v>
      </c>
      <c r="C327" s="21" t="s">
        <v>81</v>
      </c>
      <c r="D327" s="21" t="n">
        <v>0</v>
      </c>
      <c r="E327" s="20" t="n">
        <v>1151</v>
      </c>
    </row>
    <row r="328" customFormat="false" ht="15" hidden="false" customHeight="false" outlineLevel="0" collapsed="false">
      <c r="A328" s="19" t="n">
        <v>46317.2638888889</v>
      </c>
      <c r="B328" s="21" t="s">
        <v>81</v>
      </c>
      <c r="C328" s="21" t="s">
        <v>81</v>
      </c>
      <c r="D328" s="21" t="n">
        <v>0</v>
      </c>
      <c r="E328" s="20" t="n">
        <v>1177</v>
      </c>
    </row>
    <row r="329" customFormat="false" ht="15" hidden="false" customHeight="false" outlineLevel="0" collapsed="false">
      <c r="A329" s="19" t="n">
        <v>46317.2708333333</v>
      </c>
      <c r="B329" s="21" t="s">
        <v>81</v>
      </c>
      <c r="C329" s="21" t="s">
        <v>81</v>
      </c>
      <c r="D329" s="21" t="n">
        <v>0</v>
      </c>
      <c r="E329" s="20" t="n">
        <v>1172.9</v>
      </c>
    </row>
    <row r="330" customFormat="false" ht="15" hidden="false" customHeight="false" outlineLevel="0" collapsed="false">
      <c r="A330" s="19" t="n">
        <v>46317.2777777778</v>
      </c>
      <c r="B330" s="21" t="s">
        <v>81</v>
      </c>
      <c r="C330" s="21" t="s">
        <v>81</v>
      </c>
      <c r="D330" s="21" t="n">
        <v>0</v>
      </c>
      <c r="E330" s="20" t="n">
        <v>1159.3</v>
      </c>
    </row>
    <row r="331" customFormat="false" ht="15" hidden="false" customHeight="false" outlineLevel="0" collapsed="false">
      <c r="A331" s="19" t="n">
        <v>46317.2847222222</v>
      </c>
      <c r="B331" s="21" t="s">
        <v>81</v>
      </c>
      <c r="C331" s="21" t="s">
        <v>81</v>
      </c>
      <c r="D331" s="21" t="n">
        <v>0</v>
      </c>
      <c r="E331" s="20" t="n">
        <v>1202</v>
      </c>
    </row>
    <row r="332" customFormat="false" ht="15" hidden="false" customHeight="false" outlineLevel="0" collapsed="false">
      <c r="A332" s="19" t="n">
        <v>46317.2916666667</v>
      </c>
      <c r="B332" s="21" t="s">
        <v>81</v>
      </c>
      <c r="C332" s="21" t="s">
        <v>81</v>
      </c>
      <c r="D332" s="21" t="n">
        <v>0</v>
      </c>
      <c r="E332" s="20" t="n">
        <v>1188.8</v>
      </c>
    </row>
    <row r="333" customFormat="false" ht="15" hidden="false" customHeight="false" outlineLevel="0" collapsed="false">
      <c r="A333" s="19" t="n">
        <v>46317.2986111111</v>
      </c>
      <c r="B333" s="21" t="s">
        <v>81</v>
      </c>
      <c r="C333" s="21" t="s">
        <v>81</v>
      </c>
      <c r="D333" s="21" t="n">
        <v>0</v>
      </c>
      <c r="E333" s="20" t="n">
        <v>1179.2</v>
      </c>
    </row>
    <row r="334" customFormat="false" ht="15" hidden="false" customHeight="false" outlineLevel="0" collapsed="false">
      <c r="A334" s="19" t="n">
        <v>46317.3055555556</v>
      </c>
      <c r="B334" s="21" t="s">
        <v>81</v>
      </c>
      <c r="C334" s="21" t="s">
        <v>81</v>
      </c>
      <c r="D334" s="21" t="n">
        <v>0</v>
      </c>
      <c r="E334" s="20" t="n">
        <v>1178.4</v>
      </c>
    </row>
    <row r="335" customFormat="false" ht="15" hidden="false" customHeight="false" outlineLevel="0" collapsed="false">
      <c r="A335" s="19" t="n">
        <v>46317.3125</v>
      </c>
      <c r="B335" s="21" t="s">
        <v>81</v>
      </c>
      <c r="C335" s="21" t="s">
        <v>81</v>
      </c>
      <c r="D335" s="21" t="n">
        <v>0</v>
      </c>
      <c r="E335" s="20" t="n">
        <v>1229.8</v>
      </c>
    </row>
    <row r="336" customFormat="false" ht="15" hidden="false" customHeight="false" outlineLevel="0" collapsed="false">
      <c r="A336" s="19" t="n">
        <v>46317.3194444445</v>
      </c>
      <c r="B336" s="21" t="s">
        <v>81</v>
      </c>
      <c r="C336" s="21" t="s">
        <v>81</v>
      </c>
      <c r="D336" s="21" t="n">
        <v>0</v>
      </c>
      <c r="E336" s="20" t="n">
        <v>1196</v>
      </c>
    </row>
    <row r="337" customFormat="false" ht="15" hidden="false" customHeight="false" outlineLevel="0" collapsed="false">
      <c r="A337" s="19" t="n">
        <v>46317.3263888889</v>
      </c>
      <c r="B337" s="21" t="s">
        <v>81</v>
      </c>
      <c r="C337" s="21" t="s">
        <v>81</v>
      </c>
      <c r="D337" s="21" t="n">
        <v>0</v>
      </c>
      <c r="E337" s="20" t="n">
        <v>1201.9</v>
      </c>
    </row>
    <row r="338" customFormat="false" ht="15" hidden="false" customHeight="false" outlineLevel="0" collapsed="false">
      <c r="A338" s="19" t="n">
        <v>46317.3333333333</v>
      </c>
      <c r="B338" s="21" t="s">
        <v>81</v>
      </c>
      <c r="C338" s="21" t="s">
        <v>81</v>
      </c>
      <c r="D338" s="21" t="n">
        <v>0</v>
      </c>
      <c r="E338" s="20" t="n">
        <v>1125.3</v>
      </c>
    </row>
    <row r="339" customFormat="false" ht="15" hidden="false" customHeight="false" outlineLevel="0" collapsed="false">
      <c r="A339" s="19" t="n">
        <v>46317.3402777778</v>
      </c>
      <c r="B339" s="21" t="s">
        <v>81</v>
      </c>
      <c r="C339" s="21" t="s">
        <v>81</v>
      </c>
      <c r="D339" s="21" t="n">
        <v>0</v>
      </c>
      <c r="E339" s="20" t="n">
        <v>1173.7</v>
      </c>
    </row>
    <row r="340" customFormat="false" ht="15" hidden="false" customHeight="false" outlineLevel="0" collapsed="false">
      <c r="A340" s="19" t="n">
        <v>46317.3472222222</v>
      </c>
      <c r="B340" s="21" t="s">
        <v>81</v>
      </c>
      <c r="C340" s="21" t="s">
        <v>81</v>
      </c>
      <c r="D340" s="21" t="n">
        <v>0</v>
      </c>
      <c r="E340" s="20" t="n">
        <v>1135.7</v>
      </c>
    </row>
    <row r="341" customFormat="false" ht="15" hidden="false" customHeight="false" outlineLevel="0" collapsed="false">
      <c r="A341" s="19" t="n">
        <v>46317.3541666667</v>
      </c>
      <c r="B341" s="21" t="s">
        <v>81</v>
      </c>
      <c r="C341" s="21" t="s">
        <v>81</v>
      </c>
      <c r="D341" s="21" t="n">
        <v>0</v>
      </c>
      <c r="E341" s="20" t="n">
        <v>1179.3</v>
      </c>
    </row>
    <row r="342" customFormat="false" ht="15" hidden="false" customHeight="false" outlineLevel="0" collapsed="false">
      <c r="A342" s="19" t="n">
        <v>46317.3611111111</v>
      </c>
      <c r="B342" s="21" t="s">
        <v>81</v>
      </c>
      <c r="C342" s="21" t="s">
        <v>81</v>
      </c>
      <c r="D342" s="21" t="n">
        <v>0</v>
      </c>
      <c r="E342" s="20" t="n">
        <v>1199.3</v>
      </c>
    </row>
    <row r="343" customFormat="false" ht="15" hidden="false" customHeight="false" outlineLevel="0" collapsed="false">
      <c r="A343" s="19" t="n">
        <v>46317.3680555556</v>
      </c>
      <c r="B343" s="21" t="s">
        <v>81</v>
      </c>
      <c r="C343" s="21" t="s">
        <v>81</v>
      </c>
      <c r="D343" s="21" t="n">
        <v>0</v>
      </c>
      <c r="E343" s="20" t="n">
        <v>1173.1</v>
      </c>
    </row>
    <row r="344" customFormat="false" ht="15" hidden="false" customHeight="false" outlineLevel="0" collapsed="false">
      <c r="A344" s="19" t="n">
        <v>46317.375</v>
      </c>
      <c r="B344" s="21" t="s">
        <v>81</v>
      </c>
      <c r="C344" s="21" t="s">
        <v>81</v>
      </c>
      <c r="D344" s="21" t="n">
        <v>0</v>
      </c>
      <c r="E344" s="20" t="n">
        <v>1203</v>
      </c>
    </row>
    <row r="345" customFormat="false" ht="15" hidden="false" customHeight="false" outlineLevel="0" collapsed="false">
      <c r="A345" s="19" t="n">
        <v>46317.3819444445</v>
      </c>
      <c r="B345" s="21" t="s">
        <v>81</v>
      </c>
      <c r="C345" s="21" t="s">
        <v>81</v>
      </c>
      <c r="D345" s="21" t="n">
        <v>0</v>
      </c>
      <c r="E345" s="20" t="n">
        <v>1164.4</v>
      </c>
    </row>
    <row r="346" customFormat="false" ht="15" hidden="false" customHeight="false" outlineLevel="0" collapsed="false">
      <c r="A346" s="19" t="n">
        <v>46317.3888888889</v>
      </c>
      <c r="B346" s="21" t="s">
        <v>81</v>
      </c>
      <c r="C346" s="21" t="s">
        <v>81</v>
      </c>
      <c r="D346" s="21" t="n">
        <v>0</v>
      </c>
      <c r="E346" s="20" t="n">
        <v>1204.4</v>
      </c>
    </row>
    <row r="347" customFormat="false" ht="15" hidden="false" customHeight="false" outlineLevel="0" collapsed="false">
      <c r="A347" s="19" t="n">
        <v>46317.3958333333</v>
      </c>
      <c r="B347" s="21" t="s">
        <v>81</v>
      </c>
      <c r="C347" s="21" t="s">
        <v>81</v>
      </c>
      <c r="D347" s="21" t="n">
        <v>0</v>
      </c>
      <c r="E347" s="20" t="n">
        <v>1151.2</v>
      </c>
    </row>
    <row r="348" customFormat="false" ht="15" hidden="false" customHeight="false" outlineLevel="0" collapsed="false">
      <c r="A348" s="19" t="n">
        <v>46317.4027777778</v>
      </c>
      <c r="B348" s="21" t="s">
        <v>81</v>
      </c>
      <c r="C348" s="21" t="s">
        <v>81</v>
      </c>
      <c r="D348" s="21" t="n">
        <v>0</v>
      </c>
      <c r="E348" s="20" t="n">
        <v>1183.5</v>
      </c>
    </row>
    <row r="349" customFormat="false" ht="15" hidden="false" customHeight="false" outlineLevel="0" collapsed="false">
      <c r="A349" s="19" t="n">
        <v>46317.4097222222</v>
      </c>
      <c r="B349" s="21" t="s">
        <v>81</v>
      </c>
      <c r="C349" s="21" t="s">
        <v>81</v>
      </c>
      <c r="D349" s="21" t="n">
        <v>0</v>
      </c>
      <c r="E349" s="20" t="n">
        <v>1200.5</v>
      </c>
    </row>
    <row r="350" customFormat="false" ht="15" hidden="false" customHeight="false" outlineLevel="0" collapsed="false">
      <c r="A350" s="19" t="n">
        <v>46317.4166666667</v>
      </c>
      <c r="B350" s="21" t="s">
        <v>81</v>
      </c>
      <c r="C350" s="21" t="s">
        <v>81</v>
      </c>
      <c r="D350" s="21" t="n">
        <v>0</v>
      </c>
      <c r="E350" s="20" t="n">
        <v>1203.4</v>
      </c>
    </row>
    <row r="351" customFormat="false" ht="15" hidden="false" customHeight="false" outlineLevel="0" collapsed="false">
      <c r="A351" s="19" t="n">
        <v>46317.4236111111</v>
      </c>
      <c r="B351" s="21" t="s">
        <v>81</v>
      </c>
      <c r="C351" s="21" t="s">
        <v>81</v>
      </c>
      <c r="D351" s="21" t="n">
        <v>0</v>
      </c>
      <c r="E351" s="20" t="n">
        <v>1186.8</v>
      </c>
    </row>
    <row r="352" customFormat="false" ht="15" hidden="false" customHeight="false" outlineLevel="0" collapsed="false">
      <c r="A352" s="19" t="n">
        <v>46317.4305555556</v>
      </c>
      <c r="B352" s="21" t="s">
        <v>81</v>
      </c>
      <c r="C352" s="21" t="s">
        <v>81</v>
      </c>
      <c r="D352" s="21" t="n">
        <v>0</v>
      </c>
      <c r="E352" s="20" t="n">
        <v>1238.5</v>
      </c>
    </row>
    <row r="353" customFormat="false" ht="15" hidden="false" customHeight="false" outlineLevel="0" collapsed="false">
      <c r="A353" s="19" t="n">
        <v>46317.4375</v>
      </c>
      <c r="B353" s="21" t="s">
        <v>81</v>
      </c>
      <c r="C353" s="21" t="s">
        <v>81</v>
      </c>
      <c r="D353" s="21" t="n">
        <v>0</v>
      </c>
      <c r="E353" s="20" t="n">
        <v>1179.6</v>
      </c>
    </row>
    <row r="354" customFormat="false" ht="15" hidden="false" customHeight="false" outlineLevel="0" collapsed="false">
      <c r="A354" s="19" t="n">
        <v>46317.4444444445</v>
      </c>
      <c r="B354" s="21" t="s">
        <v>81</v>
      </c>
      <c r="C354" s="21" t="s">
        <v>81</v>
      </c>
      <c r="D354" s="21" t="n">
        <v>0</v>
      </c>
      <c r="E354" s="20" t="n">
        <v>1178.7</v>
      </c>
    </row>
    <row r="355" customFormat="false" ht="15" hidden="false" customHeight="false" outlineLevel="0" collapsed="false">
      <c r="A355" s="19" t="n">
        <v>46317.4513888889</v>
      </c>
      <c r="B355" s="21" t="s">
        <v>81</v>
      </c>
      <c r="C355" s="21" t="s">
        <v>81</v>
      </c>
      <c r="D355" s="21" t="n">
        <v>0</v>
      </c>
      <c r="E355" s="20" t="n">
        <v>1121</v>
      </c>
    </row>
    <row r="356" customFormat="false" ht="15" hidden="false" customHeight="false" outlineLevel="0" collapsed="false">
      <c r="A356" s="19" t="n">
        <v>46317.4583333333</v>
      </c>
      <c r="B356" s="21" t="s">
        <v>81</v>
      </c>
      <c r="C356" s="21" t="s">
        <v>81</v>
      </c>
      <c r="D356" s="21" t="n">
        <v>0</v>
      </c>
      <c r="E356" s="20" t="n">
        <v>1234.2</v>
      </c>
    </row>
    <row r="357" customFormat="false" ht="15" hidden="false" customHeight="false" outlineLevel="0" collapsed="false">
      <c r="A357" s="19" t="n">
        <v>46317.4652777778</v>
      </c>
      <c r="B357" s="21" t="s">
        <v>81</v>
      </c>
      <c r="C357" s="21" t="s">
        <v>81</v>
      </c>
      <c r="D357" s="21" t="n">
        <v>0</v>
      </c>
      <c r="E357" s="20" t="n">
        <v>1180.8</v>
      </c>
    </row>
    <row r="358" customFormat="false" ht="15" hidden="false" customHeight="false" outlineLevel="0" collapsed="false">
      <c r="A358" s="19" t="n">
        <v>46317.4722222222</v>
      </c>
      <c r="B358" s="21" t="s">
        <v>81</v>
      </c>
      <c r="C358" s="21" t="s">
        <v>81</v>
      </c>
      <c r="D358" s="21" t="n">
        <v>0</v>
      </c>
      <c r="E358" s="20" t="n">
        <v>1160.6</v>
      </c>
    </row>
    <row r="359" customFormat="false" ht="15" hidden="false" customHeight="false" outlineLevel="0" collapsed="false">
      <c r="A359" s="19" t="n">
        <v>46317.4791666667</v>
      </c>
      <c r="B359" s="21" t="s">
        <v>81</v>
      </c>
      <c r="C359" s="21" t="s">
        <v>81</v>
      </c>
      <c r="D359" s="21" t="n">
        <v>0</v>
      </c>
      <c r="E359" s="20" t="n">
        <v>1223</v>
      </c>
    </row>
    <row r="360" customFormat="false" ht="15" hidden="false" customHeight="false" outlineLevel="0" collapsed="false">
      <c r="A360" s="19" t="n">
        <v>46317.4861111111</v>
      </c>
      <c r="B360" s="21" t="s">
        <v>81</v>
      </c>
      <c r="C360" s="21" t="s">
        <v>81</v>
      </c>
      <c r="D360" s="21" t="n">
        <v>0</v>
      </c>
      <c r="E360" s="20" t="n">
        <v>1220.9</v>
      </c>
    </row>
    <row r="361" customFormat="false" ht="15" hidden="false" customHeight="false" outlineLevel="0" collapsed="false">
      <c r="A361" s="19" t="n">
        <v>46317.4930555556</v>
      </c>
      <c r="B361" s="21" t="s">
        <v>81</v>
      </c>
      <c r="C361" s="21" t="s">
        <v>81</v>
      </c>
      <c r="D361" s="21" t="n">
        <v>0</v>
      </c>
      <c r="E361" s="20" t="n">
        <v>1192.7</v>
      </c>
    </row>
    <row r="362" customFormat="false" ht="15" hidden="false" customHeight="false" outlineLevel="0" collapsed="false">
      <c r="A362" s="19" t="n">
        <v>46317.5</v>
      </c>
      <c r="B362" s="21" t="s">
        <v>81</v>
      </c>
      <c r="C362" s="21" t="s">
        <v>81</v>
      </c>
      <c r="D362" s="21" t="n">
        <v>0</v>
      </c>
      <c r="E362" s="20" t="n">
        <v>1154.1</v>
      </c>
    </row>
    <row r="363" customFormat="false" ht="15" hidden="false" customHeight="false" outlineLevel="0" collapsed="false">
      <c r="A363" s="19" t="n">
        <v>46317.5069444445</v>
      </c>
      <c r="B363" s="21" t="s">
        <v>81</v>
      </c>
      <c r="C363" s="21" t="s">
        <v>81</v>
      </c>
      <c r="D363" s="21" t="n">
        <v>0</v>
      </c>
      <c r="E363" s="20" t="n">
        <v>1200.5</v>
      </c>
    </row>
    <row r="364" customFormat="false" ht="15" hidden="false" customHeight="false" outlineLevel="0" collapsed="false">
      <c r="A364" s="19" t="n">
        <v>46317.5138888889</v>
      </c>
      <c r="B364" s="21" t="s">
        <v>81</v>
      </c>
      <c r="C364" s="21" t="s">
        <v>81</v>
      </c>
      <c r="D364" s="21" t="n">
        <v>0</v>
      </c>
      <c r="E364" s="20" t="n">
        <v>1174.5</v>
      </c>
    </row>
    <row r="365" customFormat="false" ht="15" hidden="false" customHeight="false" outlineLevel="0" collapsed="false">
      <c r="A365" s="19" t="n">
        <v>46317.5208333333</v>
      </c>
      <c r="B365" s="21" t="s">
        <v>81</v>
      </c>
      <c r="C365" s="21" t="s">
        <v>81</v>
      </c>
      <c r="D365" s="21" t="n">
        <v>0</v>
      </c>
      <c r="E365" s="20" t="n">
        <v>1160.7</v>
      </c>
    </row>
    <row r="366" customFormat="false" ht="15" hidden="false" customHeight="false" outlineLevel="0" collapsed="false">
      <c r="A366" s="19" t="n">
        <v>46317.5277777778</v>
      </c>
      <c r="B366" s="21" t="s">
        <v>81</v>
      </c>
      <c r="C366" s="21" t="s">
        <v>81</v>
      </c>
      <c r="D366" s="21" t="n">
        <v>0</v>
      </c>
      <c r="E366" s="20" t="n">
        <v>1216.1</v>
      </c>
    </row>
    <row r="367" customFormat="false" ht="15" hidden="false" customHeight="false" outlineLevel="0" collapsed="false">
      <c r="A367" s="19" t="n">
        <v>46317.5347222222</v>
      </c>
      <c r="B367" s="21" t="s">
        <v>81</v>
      </c>
      <c r="C367" s="21" t="s">
        <v>81</v>
      </c>
      <c r="D367" s="21" t="n">
        <v>0</v>
      </c>
      <c r="E367" s="20" t="n">
        <v>1136.7</v>
      </c>
    </row>
    <row r="368" customFormat="false" ht="15" hidden="false" customHeight="false" outlineLevel="0" collapsed="false">
      <c r="A368" s="19" t="n">
        <v>46317.5416666667</v>
      </c>
      <c r="B368" s="21" t="s">
        <v>81</v>
      </c>
      <c r="C368" s="21" t="s">
        <v>81</v>
      </c>
      <c r="D368" s="21" t="n">
        <v>0</v>
      </c>
      <c r="E368" s="20" t="n">
        <v>1204.2</v>
      </c>
    </row>
    <row r="369" customFormat="false" ht="15" hidden="false" customHeight="false" outlineLevel="0" collapsed="false">
      <c r="A369" s="19" t="n">
        <v>46317.5486111111</v>
      </c>
      <c r="B369" s="21" t="s">
        <v>81</v>
      </c>
      <c r="C369" s="21" t="s">
        <v>81</v>
      </c>
      <c r="D369" s="21" t="n">
        <v>0</v>
      </c>
      <c r="E369" s="20" t="n">
        <v>1201.5</v>
      </c>
    </row>
    <row r="370" customFormat="false" ht="15" hidden="false" customHeight="false" outlineLevel="0" collapsed="false">
      <c r="A370" s="19" t="n">
        <v>46317.5555555556</v>
      </c>
      <c r="B370" s="21" t="s">
        <v>81</v>
      </c>
      <c r="C370" s="21" t="s">
        <v>81</v>
      </c>
      <c r="D370" s="21" t="n">
        <v>0</v>
      </c>
      <c r="E370" s="20" t="n">
        <v>1241.3</v>
      </c>
    </row>
    <row r="371" customFormat="false" ht="15" hidden="false" customHeight="false" outlineLevel="0" collapsed="false">
      <c r="A371" s="19" t="n">
        <v>46317.5625</v>
      </c>
      <c r="B371" s="21" t="s">
        <v>81</v>
      </c>
      <c r="C371" s="21" t="s">
        <v>81</v>
      </c>
      <c r="D371" s="21" t="n">
        <v>0</v>
      </c>
      <c r="E371" s="20" t="n">
        <v>1198.1</v>
      </c>
    </row>
    <row r="372" customFormat="false" ht="15" hidden="false" customHeight="false" outlineLevel="0" collapsed="false">
      <c r="A372" s="19" t="n">
        <v>46317.5694444445</v>
      </c>
      <c r="B372" s="21" t="s">
        <v>81</v>
      </c>
      <c r="C372" s="21" t="s">
        <v>81</v>
      </c>
      <c r="D372" s="21" t="n">
        <v>0</v>
      </c>
      <c r="E372" s="20" t="n">
        <v>1138.5</v>
      </c>
    </row>
    <row r="373" customFormat="false" ht="15" hidden="false" customHeight="false" outlineLevel="0" collapsed="false">
      <c r="A373" s="19" t="n">
        <v>46317.5763888889</v>
      </c>
      <c r="B373" s="21" t="s">
        <v>81</v>
      </c>
      <c r="C373" s="21" t="s">
        <v>81</v>
      </c>
      <c r="D373" s="21" t="n">
        <v>0</v>
      </c>
      <c r="E373" s="20" t="n">
        <v>1169.1</v>
      </c>
    </row>
    <row r="374" customFormat="false" ht="15" hidden="false" customHeight="false" outlineLevel="0" collapsed="false">
      <c r="A374" s="19" t="n">
        <v>46317.5833333333</v>
      </c>
      <c r="B374" s="21" t="s">
        <v>81</v>
      </c>
      <c r="C374" s="21" t="s">
        <v>81</v>
      </c>
      <c r="D374" s="21" t="n">
        <v>0</v>
      </c>
      <c r="E374" s="20" t="n">
        <v>1191.6</v>
      </c>
    </row>
    <row r="375" customFormat="false" ht="15" hidden="false" customHeight="false" outlineLevel="0" collapsed="false">
      <c r="A375" s="19" t="n">
        <v>46317.5902777778</v>
      </c>
      <c r="B375" s="21" t="s">
        <v>81</v>
      </c>
      <c r="C375" s="21" t="s">
        <v>81</v>
      </c>
      <c r="D375" s="21" t="n">
        <v>0</v>
      </c>
      <c r="E375" s="20" t="n">
        <v>1198.9</v>
      </c>
    </row>
    <row r="376" customFormat="false" ht="15" hidden="false" customHeight="false" outlineLevel="0" collapsed="false">
      <c r="A376" s="19" t="n">
        <v>46317.5972222222</v>
      </c>
      <c r="B376" s="21" t="s">
        <v>81</v>
      </c>
      <c r="C376" s="21" t="s">
        <v>81</v>
      </c>
      <c r="D376" s="21" t="n">
        <v>0</v>
      </c>
      <c r="E376" s="20" t="n">
        <v>1214.5</v>
      </c>
    </row>
    <row r="377" customFormat="false" ht="15" hidden="false" customHeight="false" outlineLevel="0" collapsed="false">
      <c r="A377" s="19" t="n">
        <v>46317.6041666667</v>
      </c>
      <c r="B377" s="21" t="s">
        <v>81</v>
      </c>
      <c r="C377" s="21" t="s">
        <v>81</v>
      </c>
      <c r="D377" s="21" t="n">
        <v>0</v>
      </c>
      <c r="E377" s="20" t="n">
        <v>1141</v>
      </c>
    </row>
    <row r="378" customFormat="false" ht="15" hidden="false" customHeight="false" outlineLevel="0" collapsed="false">
      <c r="A378" s="19" t="n">
        <v>46317.6111111111</v>
      </c>
      <c r="B378" s="21" t="s">
        <v>81</v>
      </c>
      <c r="C378" s="21" t="s">
        <v>81</v>
      </c>
      <c r="D378" s="21" t="n">
        <v>0</v>
      </c>
      <c r="E378" s="20" t="n">
        <v>1181.8</v>
      </c>
    </row>
    <row r="379" customFormat="false" ht="15" hidden="false" customHeight="false" outlineLevel="0" collapsed="false">
      <c r="A379" s="19" t="n">
        <v>46317.6180555556</v>
      </c>
      <c r="B379" s="21" t="s">
        <v>81</v>
      </c>
      <c r="C379" s="21" t="s">
        <v>81</v>
      </c>
      <c r="D379" s="21" t="n">
        <v>0</v>
      </c>
      <c r="E379" s="20" t="n">
        <v>1214.2</v>
      </c>
    </row>
    <row r="380" customFormat="false" ht="15" hidden="false" customHeight="false" outlineLevel="0" collapsed="false">
      <c r="A380" s="19" t="n">
        <v>46317.625</v>
      </c>
      <c r="B380" s="21" t="s">
        <v>81</v>
      </c>
      <c r="C380" s="21" t="s">
        <v>81</v>
      </c>
      <c r="D380" s="21" t="n">
        <v>0</v>
      </c>
      <c r="E380" s="20" t="n">
        <v>1228.6</v>
      </c>
    </row>
    <row r="381" customFormat="false" ht="15" hidden="false" customHeight="false" outlineLevel="0" collapsed="false">
      <c r="A381" s="19" t="n">
        <v>46317.6319444445</v>
      </c>
      <c r="B381" s="21" t="s">
        <v>81</v>
      </c>
      <c r="C381" s="21" t="s">
        <v>81</v>
      </c>
      <c r="D381" s="21" t="n">
        <v>0</v>
      </c>
      <c r="E381" s="20" t="n">
        <v>1236.5</v>
      </c>
    </row>
    <row r="382" customFormat="false" ht="15" hidden="false" customHeight="false" outlineLevel="0" collapsed="false">
      <c r="A382" s="19" t="n">
        <v>46317.6388888889</v>
      </c>
      <c r="B382" s="21" t="s">
        <v>81</v>
      </c>
      <c r="C382" s="21" t="s">
        <v>81</v>
      </c>
      <c r="D382" s="21" t="n">
        <v>0</v>
      </c>
      <c r="E382" s="20" t="n">
        <v>1180.2</v>
      </c>
    </row>
    <row r="383" customFormat="false" ht="15" hidden="false" customHeight="false" outlineLevel="0" collapsed="false">
      <c r="A383" s="19" t="n">
        <v>46317.6458333333</v>
      </c>
      <c r="B383" s="21" t="s">
        <v>81</v>
      </c>
      <c r="C383" s="21" t="s">
        <v>81</v>
      </c>
      <c r="D383" s="21" t="n">
        <v>0</v>
      </c>
      <c r="E383" s="20" t="n">
        <v>1217.4</v>
      </c>
    </row>
    <row r="384" customFormat="false" ht="15" hidden="false" customHeight="false" outlineLevel="0" collapsed="false">
      <c r="A384" s="19" t="n">
        <v>46317.6527777778</v>
      </c>
      <c r="B384" s="21" t="s">
        <v>81</v>
      </c>
      <c r="C384" s="21" t="s">
        <v>81</v>
      </c>
      <c r="D384" s="21" t="n">
        <v>0</v>
      </c>
      <c r="E384" s="20" t="n">
        <v>1232.8</v>
      </c>
    </row>
    <row r="385" customFormat="false" ht="15" hidden="false" customHeight="false" outlineLevel="0" collapsed="false">
      <c r="A385" s="19" t="n">
        <v>46317.6597222222</v>
      </c>
      <c r="B385" s="21" t="s">
        <v>81</v>
      </c>
      <c r="C385" s="21" t="s">
        <v>81</v>
      </c>
      <c r="D385" s="21" t="n">
        <v>0</v>
      </c>
      <c r="E385" s="20" t="n">
        <v>1220</v>
      </c>
    </row>
    <row r="386" customFormat="false" ht="15" hidden="false" customHeight="false" outlineLevel="0" collapsed="false">
      <c r="A386" s="19" t="n">
        <v>46317.6666666667</v>
      </c>
      <c r="B386" s="21" t="s">
        <v>81</v>
      </c>
      <c r="C386" s="21" t="s">
        <v>81</v>
      </c>
      <c r="D386" s="21" t="n">
        <v>0</v>
      </c>
      <c r="E386" s="20" t="n">
        <v>1208.1</v>
      </c>
    </row>
    <row r="387" customFormat="false" ht="15" hidden="false" customHeight="false" outlineLevel="0" collapsed="false">
      <c r="A387" s="19" t="n">
        <v>46317.6736111111</v>
      </c>
      <c r="B387" s="21" t="s">
        <v>81</v>
      </c>
      <c r="C387" s="21" t="s">
        <v>81</v>
      </c>
      <c r="D387" s="21" t="n">
        <v>0</v>
      </c>
      <c r="E387" s="20" t="n">
        <v>1210.7</v>
      </c>
    </row>
    <row r="388" customFormat="false" ht="15" hidden="false" customHeight="false" outlineLevel="0" collapsed="false">
      <c r="A388" s="19" t="n">
        <v>46317.6805555556</v>
      </c>
      <c r="B388" s="21" t="s">
        <v>81</v>
      </c>
      <c r="C388" s="21" t="s">
        <v>81</v>
      </c>
      <c r="D388" s="21" t="n">
        <v>0</v>
      </c>
      <c r="E388" s="20" t="n">
        <v>1170.3</v>
      </c>
    </row>
    <row r="389" customFormat="false" ht="15" hidden="false" customHeight="false" outlineLevel="0" collapsed="false">
      <c r="A389" s="19" t="n">
        <v>46317.6875</v>
      </c>
      <c r="B389" s="21" t="s">
        <v>81</v>
      </c>
      <c r="C389" s="21" t="s">
        <v>81</v>
      </c>
      <c r="D389" s="21" t="n">
        <v>0</v>
      </c>
      <c r="E389" s="20" t="n">
        <v>1153.8</v>
      </c>
    </row>
    <row r="390" customFormat="false" ht="15" hidden="false" customHeight="false" outlineLevel="0" collapsed="false">
      <c r="A390" s="19" t="n">
        <v>46317.6944444445</v>
      </c>
      <c r="B390" s="21" t="s">
        <v>81</v>
      </c>
      <c r="C390" s="21" t="s">
        <v>81</v>
      </c>
      <c r="D390" s="21" t="n">
        <v>0</v>
      </c>
      <c r="E390" s="20" t="n">
        <v>1214.6</v>
      </c>
    </row>
    <row r="391" customFormat="false" ht="15" hidden="false" customHeight="false" outlineLevel="0" collapsed="false">
      <c r="A391" s="19" t="n">
        <v>46317.7013888889</v>
      </c>
      <c r="B391" s="21" t="s">
        <v>81</v>
      </c>
      <c r="C391" s="21" t="s">
        <v>81</v>
      </c>
      <c r="D391" s="21" t="n">
        <v>0</v>
      </c>
      <c r="E391" s="20" t="n">
        <v>1181.3</v>
      </c>
    </row>
    <row r="392" customFormat="false" ht="15" hidden="false" customHeight="false" outlineLevel="0" collapsed="false">
      <c r="A392" s="19" t="n">
        <v>46317.7083333333</v>
      </c>
      <c r="B392" s="21" t="s">
        <v>81</v>
      </c>
      <c r="C392" s="21" t="s">
        <v>81</v>
      </c>
      <c r="D392" s="21" t="n">
        <v>0</v>
      </c>
      <c r="E392" s="20" t="n">
        <v>1189.3</v>
      </c>
    </row>
    <row r="393" customFormat="false" ht="15" hidden="false" customHeight="false" outlineLevel="0" collapsed="false">
      <c r="A393" s="19" t="n">
        <v>46317.7152777778</v>
      </c>
      <c r="B393" s="21" t="s">
        <v>81</v>
      </c>
      <c r="C393" s="21" t="s">
        <v>81</v>
      </c>
      <c r="D393" s="21" t="n">
        <v>0</v>
      </c>
      <c r="E393" s="20" t="n">
        <v>1175.5</v>
      </c>
    </row>
    <row r="394" customFormat="false" ht="15" hidden="false" customHeight="false" outlineLevel="0" collapsed="false">
      <c r="A394" s="19" t="n">
        <v>46317.7222222222</v>
      </c>
      <c r="B394" s="21" t="s">
        <v>81</v>
      </c>
      <c r="C394" s="21" t="s">
        <v>81</v>
      </c>
      <c r="D394" s="21" t="n">
        <v>0</v>
      </c>
      <c r="E394" s="20" t="n">
        <v>1180.2</v>
      </c>
    </row>
    <row r="395" customFormat="false" ht="15" hidden="false" customHeight="false" outlineLevel="0" collapsed="false">
      <c r="A395" s="19" t="n">
        <v>46317.7291666667</v>
      </c>
      <c r="B395" s="21" t="s">
        <v>81</v>
      </c>
      <c r="C395" s="21" t="s">
        <v>81</v>
      </c>
      <c r="D395" s="21" t="n">
        <v>0</v>
      </c>
      <c r="E395" s="20" t="n">
        <v>1195.8</v>
      </c>
    </row>
    <row r="396" customFormat="false" ht="15" hidden="false" customHeight="false" outlineLevel="0" collapsed="false">
      <c r="A396" s="19" t="n">
        <v>46317.7361111111</v>
      </c>
      <c r="B396" s="21" t="s">
        <v>81</v>
      </c>
      <c r="C396" s="21" t="s">
        <v>81</v>
      </c>
      <c r="D396" s="21" t="n">
        <v>0</v>
      </c>
      <c r="E396" s="20" t="n">
        <v>1164.5</v>
      </c>
    </row>
    <row r="397" customFormat="false" ht="15" hidden="false" customHeight="false" outlineLevel="0" collapsed="false">
      <c r="A397" s="19" t="n">
        <v>46317.7430555556</v>
      </c>
      <c r="B397" s="21" t="s">
        <v>81</v>
      </c>
      <c r="C397" s="21" t="s">
        <v>81</v>
      </c>
      <c r="D397" s="21" t="n">
        <v>0</v>
      </c>
      <c r="E397" s="20" t="n">
        <v>1191.7</v>
      </c>
    </row>
    <row r="398" customFormat="false" ht="15" hidden="false" customHeight="false" outlineLevel="0" collapsed="false">
      <c r="A398" s="19" t="n">
        <v>46317.75</v>
      </c>
      <c r="B398" s="21" t="s">
        <v>81</v>
      </c>
      <c r="C398" s="21" t="s">
        <v>81</v>
      </c>
      <c r="D398" s="21" t="n">
        <v>0</v>
      </c>
      <c r="E398" s="20" t="n">
        <v>1196.2</v>
      </c>
    </row>
    <row r="399" customFormat="false" ht="15" hidden="false" customHeight="false" outlineLevel="0" collapsed="false">
      <c r="A399" s="19" t="n">
        <v>46317.7569444445</v>
      </c>
      <c r="B399" s="21" t="s">
        <v>81</v>
      </c>
      <c r="C399" s="21" t="s">
        <v>81</v>
      </c>
      <c r="D399" s="21" t="n">
        <v>0</v>
      </c>
      <c r="E399" s="20" t="n">
        <v>1188.1</v>
      </c>
    </row>
    <row r="400" customFormat="false" ht="15" hidden="false" customHeight="false" outlineLevel="0" collapsed="false">
      <c r="A400" s="19" t="n">
        <v>46317.7638888889</v>
      </c>
      <c r="B400" s="21" t="s">
        <v>81</v>
      </c>
      <c r="C400" s="21" t="s">
        <v>81</v>
      </c>
      <c r="D400" s="21" t="n">
        <v>0</v>
      </c>
      <c r="E400" s="20" t="n">
        <v>1171.4</v>
      </c>
    </row>
    <row r="401" customFormat="false" ht="15" hidden="false" customHeight="false" outlineLevel="0" collapsed="false">
      <c r="A401" s="19" t="n">
        <v>46317.7708333333</v>
      </c>
      <c r="B401" s="21" t="s">
        <v>81</v>
      </c>
      <c r="C401" s="21" t="s">
        <v>81</v>
      </c>
      <c r="D401" s="21" t="n">
        <v>0</v>
      </c>
      <c r="E401" s="20" t="n">
        <v>1209.7</v>
      </c>
    </row>
    <row r="402" customFormat="false" ht="15" hidden="false" customHeight="false" outlineLevel="0" collapsed="false">
      <c r="A402" s="19" t="n">
        <v>46317.7777777778</v>
      </c>
      <c r="B402" s="21" t="s">
        <v>81</v>
      </c>
      <c r="C402" s="21" t="s">
        <v>81</v>
      </c>
      <c r="D402" s="21" t="n">
        <v>0</v>
      </c>
      <c r="E402" s="20" t="n">
        <v>1236.8</v>
      </c>
    </row>
    <row r="403" customFormat="false" ht="15" hidden="false" customHeight="false" outlineLevel="0" collapsed="false">
      <c r="A403" s="19" t="n">
        <v>46317.7847222222</v>
      </c>
      <c r="B403" s="21" t="s">
        <v>81</v>
      </c>
      <c r="C403" s="21" t="s">
        <v>81</v>
      </c>
      <c r="D403" s="21" t="n">
        <v>0</v>
      </c>
      <c r="E403" s="20" t="n">
        <v>1175</v>
      </c>
    </row>
    <row r="404" customFormat="false" ht="15" hidden="false" customHeight="false" outlineLevel="0" collapsed="false">
      <c r="A404" s="19" t="n">
        <v>46317.7916666667</v>
      </c>
      <c r="B404" s="21" t="s">
        <v>81</v>
      </c>
      <c r="C404" s="21" t="s">
        <v>81</v>
      </c>
      <c r="D404" s="21" t="n">
        <v>0</v>
      </c>
      <c r="E404" s="20" t="n">
        <v>1220.9</v>
      </c>
    </row>
    <row r="405" customFormat="false" ht="15" hidden="false" customHeight="false" outlineLevel="0" collapsed="false">
      <c r="A405" s="19" t="n">
        <v>46317.7986111111</v>
      </c>
      <c r="B405" s="21" t="s">
        <v>81</v>
      </c>
      <c r="C405" s="21" t="s">
        <v>81</v>
      </c>
      <c r="D405" s="21" t="n">
        <v>0</v>
      </c>
      <c r="E405" s="20" t="n">
        <v>1212.2</v>
      </c>
    </row>
    <row r="406" customFormat="false" ht="15" hidden="false" customHeight="false" outlineLevel="0" collapsed="false">
      <c r="A406" s="19" t="n">
        <v>46317.8055555556</v>
      </c>
      <c r="B406" s="21" t="s">
        <v>81</v>
      </c>
      <c r="C406" s="21" t="s">
        <v>81</v>
      </c>
      <c r="D406" s="21" t="n">
        <v>0</v>
      </c>
      <c r="E406" s="20" t="n">
        <v>1123.7</v>
      </c>
    </row>
    <row r="407" customFormat="false" ht="15" hidden="false" customHeight="false" outlineLevel="0" collapsed="false">
      <c r="A407" s="19" t="n">
        <v>46317.8125</v>
      </c>
      <c r="B407" s="21" t="s">
        <v>81</v>
      </c>
      <c r="C407" s="21" t="s">
        <v>81</v>
      </c>
      <c r="D407" s="21" t="n">
        <v>0</v>
      </c>
      <c r="E407" s="20" t="n">
        <v>1171</v>
      </c>
    </row>
    <row r="408" customFormat="false" ht="15" hidden="false" customHeight="false" outlineLevel="0" collapsed="false">
      <c r="A408" s="19" t="n">
        <v>46317.8194444445</v>
      </c>
      <c r="B408" s="21" t="s">
        <v>81</v>
      </c>
      <c r="C408" s="21" t="s">
        <v>81</v>
      </c>
      <c r="D408" s="21" t="n">
        <v>0</v>
      </c>
      <c r="E408" s="20" t="n">
        <v>1174.1</v>
      </c>
    </row>
    <row r="409" customFormat="false" ht="15" hidden="false" customHeight="false" outlineLevel="0" collapsed="false">
      <c r="A409" s="19" t="n">
        <v>46317.8263888889</v>
      </c>
      <c r="B409" s="21" t="s">
        <v>81</v>
      </c>
      <c r="C409" s="21" t="s">
        <v>81</v>
      </c>
      <c r="D409" s="21" t="n">
        <v>0</v>
      </c>
      <c r="E409" s="20" t="n">
        <v>1209.5</v>
      </c>
    </row>
    <row r="410" customFormat="false" ht="15" hidden="false" customHeight="false" outlineLevel="0" collapsed="false">
      <c r="A410" s="19" t="n">
        <v>46317.8333333333</v>
      </c>
      <c r="B410" s="21" t="s">
        <v>81</v>
      </c>
      <c r="C410" s="21" t="s">
        <v>81</v>
      </c>
      <c r="D410" s="21" t="n">
        <v>1</v>
      </c>
      <c r="E410" s="20" t="n">
        <v>1194.7</v>
      </c>
    </row>
    <row r="411" customFormat="false" ht="15" hidden="false" customHeight="false" outlineLevel="0" collapsed="false">
      <c r="A411" s="19" t="n">
        <v>46317.8402777778</v>
      </c>
      <c r="B411" s="21" t="s">
        <v>81</v>
      </c>
      <c r="C411" s="21" t="s">
        <v>81</v>
      </c>
      <c r="D411" s="21" t="n">
        <v>1</v>
      </c>
      <c r="E411" s="20" t="n">
        <v>1201.9</v>
      </c>
    </row>
    <row r="412" customFormat="false" ht="15" hidden="false" customHeight="false" outlineLevel="0" collapsed="false">
      <c r="A412" s="19" t="n">
        <v>46317.8472222222</v>
      </c>
      <c r="B412" s="21" t="s">
        <v>81</v>
      </c>
      <c r="C412" s="21" t="s">
        <v>81</v>
      </c>
      <c r="D412" s="21" t="n">
        <v>1</v>
      </c>
      <c r="E412" s="20" t="n">
        <v>1205.9</v>
      </c>
    </row>
    <row r="413" customFormat="false" ht="15" hidden="false" customHeight="false" outlineLevel="0" collapsed="false">
      <c r="A413" s="19" t="n">
        <v>46317.8541666667</v>
      </c>
      <c r="B413" s="21" t="s">
        <v>81</v>
      </c>
      <c r="C413" s="21" t="s">
        <v>81</v>
      </c>
      <c r="D413" s="21" t="n">
        <v>1</v>
      </c>
      <c r="E413" s="20" t="n">
        <v>1167.5</v>
      </c>
    </row>
    <row r="414" customFormat="false" ht="15" hidden="false" customHeight="false" outlineLevel="0" collapsed="false">
      <c r="A414" s="19" t="n">
        <v>46317.8611111111</v>
      </c>
      <c r="B414" s="21" t="s">
        <v>81</v>
      </c>
      <c r="C414" s="21" t="s">
        <v>81</v>
      </c>
      <c r="D414" s="21" t="n">
        <v>1</v>
      </c>
      <c r="E414" s="20" t="n">
        <v>1171.3</v>
      </c>
    </row>
    <row r="415" customFormat="false" ht="15" hidden="false" customHeight="false" outlineLevel="0" collapsed="false">
      <c r="A415" s="19" t="n">
        <v>46317.8680555556</v>
      </c>
      <c r="B415" s="21" t="s">
        <v>81</v>
      </c>
      <c r="C415" s="21" t="s">
        <v>81</v>
      </c>
      <c r="D415" s="21" t="n">
        <v>1</v>
      </c>
      <c r="E415" s="20" t="n">
        <v>1159.4</v>
      </c>
    </row>
    <row r="416" customFormat="false" ht="15" hidden="false" customHeight="false" outlineLevel="0" collapsed="false">
      <c r="A416" s="19" t="n">
        <v>46317.875</v>
      </c>
      <c r="B416" s="21" t="s">
        <v>81</v>
      </c>
      <c r="C416" s="21" t="s">
        <v>81</v>
      </c>
      <c r="D416" s="21" t="n">
        <v>1</v>
      </c>
      <c r="E416" s="20" t="n">
        <v>1185.7</v>
      </c>
    </row>
    <row r="417" customFormat="false" ht="15" hidden="false" customHeight="false" outlineLevel="0" collapsed="false">
      <c r="A417" s="19" t="n">
        <v>46317.8819444445</v>
      </c>
      <c r="B417" s="21" t="s">
        <v>81</v>
      </c>
      <c r="C417" s="21" t="s">
        <v>81</v>
      </c>
      <c r="D417" s="21" t="n">
        <v>1</v>
      </c>
      <c r="E417" s="20" t="n">
        <v>1187</v>
      </c>
    </row>
    <row r="418" customFormat="false" ht="15" hidden="false" customHeight="false" outlineLevel="0" collapsed="false">
      <c r="A418" s="19" t="n">
        <v>46317.8888888889</v>
      </c>
      <c r="B418" s="21" t="s">
        <v>81</v>
      </c>
      <c r="C418" s="21" t="s">
        <v>81</v>
      </c>
      <c r="D418" s="21" t="n">
        <v>1</v>
      </c>
      <c r="E418" s="20" t="n">
        <v>1194.3</v>
      </c>
    </row>
    <row r="419" customFormat="false" ht="15" hidden="false" customHeight="false" outlineLevel="0" collapsed="false">
      <c r="A419" s="19" t="n">
        <v>46317.8958333333</v>
      </c>
      <c r="B419" s="21" t="s">
        <v>81</v>
      </c>
      <c r="C419" s="21" t="s">
        <v>81</v>
      </c>
      <c r="D419" s="21" t="n">
        <v>1</v>
      </c>
      <c r="E419" s="20" t="n">
        <v>1171.8</v>
      </c>
    </row>
    <row r="420" customFormat="false" ht="15" hidden="false" customHeight="false" outlineLevel="0" collapsed="false">
      <c r="A420" s="19" t="n">
        <v>46317.9027777778</v>
      </c>
      <c r="B420" s="21" t="s">
        <v>81</v>
      </c>
      <c r="C420" s="21" t="s">
        <v>81</v>
      </c>
      <c r="D420" s="21" t="n">
        <v>1</v>
      </c>
      <c r="E420" s="20" t="n">
        <v>1212.7</v>
      </c>
    </row>
    <row r="421" customFormat="false" ht="15" hidden="false" customHeight="false" outlineLevel="0" collapsed="false">
      <c r="A421" s="19" t="n">
        <v>46317.9097222222</v>
      </c>
      <c r="B421" s="21" t="s">
        <v>81</v>
      </c>
      <c r="C421" s="21" t="s">
        <v>81</v>
      </c>
      <c r="D421" s="21" t="n">
        <v>1</v>
      </c>
      <c r="E421" s="20" t="n">
        <v>1212.9</v>
      </c>
    </row>
    <row r="422" customFormat="false" ht="15" hidden="false" customHeight="false" outlineLevel="0" collapsed="false">
      <c r="A422" s="19" t="n">
        <v>46317.9166666667</v>
      </c>
      <c r="B422" s="21" t="s">
        <v>81</v>
      </c>
      <c r="C422" s="21" t="s">
        <v>81</v>
      </c>
      <c r="D422" s="21" t="n">
        <v>1</v>
      </c>
      <c r="E422" s="20" t="n">
        <v>1228.7</v>
      </c>
    </row>
    <row r="423" customFormat="false" ht="15" hidden="false" customHeight="false" outlineLevel="0" collapsed="false">
      <c r="A423" s="19" t="n">
        <v>46317.9236111111</v>
      </c>
      <c r="B423" s="21" t="s">
        <v>81</v>
      </c>
      <c r="C423" s="21" t="s">
        <v>81</v>
      </c>
      <c r="D423" s="21" t="n">
        <v>1</v>
      </c>
      <c r="E423" s="20" t="n">
        <v>1207.8</v>
      </c>
    </row>
    <row r="424" customFormat="false" ht="15" hidden="false" customHeight="false" outlineLevel="0" collapsed="false">
      <c r="A424" s="19" t="n">
        <v>46317.9305555556</v>
      </c>
      <c r="B424" s="21" t="s">
        <v>81</v>
      </c>
      <c r="C424" s="21" t="s">
        <v>81</v>
      </c>
      <c r="D424" s="21" t="n">
        <v>1</v>
      </c>
      <c r="E424" s="20" t="n">
        <v>1194.6</v>
      </c>
    </row>
    <row r="425" customFormat="false" ht="15" hidden="false" customHeight="false" outlineLevel="0" collapsed="false">
      <c r="A425" s="19" t="n">
        <v>46317.9375</v>
      </c>
      <c r="B425" s="21" t="s">
        <v>81</v>
      </c>
      <c r="C425" s="21" t="s">
        <v>81</v>
      </c>
      <c r="D425" s="21" t="n">
        <v>0</v>
      </c>
      <c r="E425" s="20" t="n">
        <v>1206.8</v>
      </c>
    </row>
    <row r="426" customFormat="false" ht="15" hidden="false" customHeight="false" outlineLevel="0" collapsed="false">
      <c r="A426" s="19" t="n">
        <v>46317.9444444445</v>
      </c>
      <c r="B426" s="21" t="s">
        <v>81</v>
      </c>
      <c r="C426" s="21" t="s">
        <v>81</v>
      </c>
      <c r="D426" s="21" t="n">
        <v>0</v>
      </c>
      <c r="E426" s="20" t="n">
        <v>1205.2</v>
      </c>
    </row>
    <row r="427" customFormat="false" ht="15" hidden="false" customHeight="false" outlineLevel="0" collapsed="false">
      <c r="A427" s="19" t="n">
        <v>46317.9513888889</v>
      </c>
      <c r="B427" s="21" t="s">
        <v>81</v>
      </c>
      <c r="C427" s="21" t="s">
        <v>81</v>
      </c>
      <c r="D427" s="21" t="n">
        <v>0</v>
      </c>
      <c r="E427" s="20" t="n">
        <v>1173.7</v>
      </c>
    </row>
    <row r="428" customFormat="false" ht="15" hidden="false" customHeight="false" outlineLevel="0" collapsed="false">
      <c r="A428" s="19" t="n">
        <v>46317.9583333333</v>
      </c>
      <c r="B428" s="21" t="s">
        <v>81</v>
      </c>
      <c r="C428" s="21" t="s">
        <v>81</v>
      </c>
      <c r="D428" s="21" t="n">
        <v>0</v>
      </c>
      <c r="E428" s="20" t="n">
        <v>1222.2</v>
      </c>
    </row>
    <row r="429" customFormat="false" ht="15" hidden="false" customHeight="false" outlineLevel="0" collapsed="false">
      <c r="A429" s="19" t="n">
        <v>46317.9652777778</v>
      </c>
      <c r="B429" s="21" t="s">
        <v>81</v>
      </c>
      <c r="C429" s="21" t="s">
        <v>81</v>
      </c>
      <c r="D429" s="21" t="n">
        <v>0</v>
      </c>
      <c r="E429" s="20" t="n">
        <v>1233</v>
      </c>
    </row>
    <row r="430" customFormat="false" ht="15" hidden="false" customHeight="false" outlineLevel="0" collapsed="false">
      <c r="A430" s="19" t="n">
        <v>46317.9722222222</v>
      </c>
      <c r="B430" s="21" t="s">
        <v>81</v>
      </c>
      <c r="C430" s="21" t="s">
        <v>81</v>
      </c>
      <c r="D430" s="21" t="n">
        <v>0</v>
      </c>
      <c r="E430" s="20" t="n">
        <v>1239.4</v>
      </c>
    </row>
    <row r="431" customFormat="false" ht="15" hidden="false" customHeight="false" outlineLevel="0" collapsed="false">
      <c r="A431" s="19" t="n">
        <v>46317.9791666667</v>
      </c>
      <c r="B431" s="21" t="s">
        <v>81</v>
      </c>
      <c r="C431" s="21" t="s">
        <v>81</v>
      </c>
      <c r="D431" s="21" t="n">
        <v>0</v>
      </c>
      <c r="E431" s="20" t="n">
        <v>1190.9</v>
      </c>
    </row>
    <row r="432" customFormat="false" ht="15" hidden="false" customHeight="false" outlineLevel="0" collapsed="false">
      <c r="A432" s="19" t="n">
        <v>46317.9861111111</v>
      </c>
      <c r="B432" s="21" t="s">
        <v>81</v>
      </c>
      <c r="C432" s="21" t="s">
        <v>81</v>
      </c>
      <c r="D432" s="21" t="n">
        <v>0</v>
      </c>
      <c r="E432" s="20" t="n">
        <v>1198.1</v>
      </c>
    </row>
    <row r="433" customFormat="false" ht="15" hidden="false" customHeight="false" outlineLevel="0" collapsed="false">
      <c r="A433" s="19" t="n">
        <v>46317.9930555556</v>
      </c>
      <c r="B433" s="21" t="s">
        <v>81</v>
      </c>
      <c r="C433" s="21" t="s">
        <v>81</v>
      </c>
      <c r="D433" s="21" t="n">
        <v>0</v>
      </c>
      <c r="E433" s="20" t="n">
        <v>1200.4</v>
      </c>
    </row>
    <row r="434" customFormat="false" ht="15" hidden="false" customHeight="false" outlineLevel="0" collapsed="false">
      <c r="A434" s="19" t="n">
        <v>46318</v>
      </c>
      <c r="B434" s="21" t="s">
        <v>81</v>
      </c>
      <c r="C434" s="21" t="s">
        <v>81</v>
      </c>
      <c r="D434" s="21" t="n">
        <v>0</v>
      </c>
      <c r="E434" s="20" t="n">
        <v>1189.9</v>
      </c>
    </row>
    <row r="435" customFormat="false" ht="15" hidden="false" customHeight="false" outlineLevel="0" collapsed="false">
      <c r="A435" s="19" t="n">
        <v>46318.0069444445</v>
      </c>
      <c r="B435" s="21" t="s">
        <v>81</v>
      </c>
      <c r="C435" s="21" t="s">
        <v>81</v>
      </c>
      <c r="D435" s="21" t="n">
        <v>0</v>
      </c>
      <c r="E435" s="20" t="n">
        <v>1205.5</v>
      </c>
    </row>
    <row r="436" customFormat="false" ht="15" hidden="false" customHeight="false" outlineLevel="0" collapsed="false">
      <c r="A436" s="19" t="n">
        <v>46318.0138888889</v>
      </c>
      <c r="B436" s="21" t="s">
        <v>81</v>
      </c>
      <c r="C436" s="21" t="s">
        <v>81</v>
      </c>
      <c r="D436" s="21" t="n">
        <v>0</v>
      </c>
      <c r="E436" s="20" t="n">
        <v>1187</v>
      </c>
    </row>
    <row r="437" customFormat="false" ht="15" hidden="false" customHeight="false" outlineLevel="0" collapsed="false">
      <c r="A437" s="19" t="n">
        <v>46318.0208333333</v>
      </c>
      <c r="B437" s="21" t="s">
        <v>81</v>
      </c>
      <c r="C437" s="21" t="s">
        <v>81</v>
      </c>
      <c r="D437" s="21" t="n">
        <v>0</v>
      </c>
      <c r="E437" s="20" t="n">
        <v>1185.2</v>
      </c>
    </row>
    <row r="438" customFormat="false" ht="15" hidden="false" customHeight="false" outlineLevel="0" collapsed="false">
      <c r="A438" s="19" t="n">
        <v>46318.0277777778</v>
      </c>
      <c r="B438" s="21" t="s">
        <v>81</v>
      </c>
      <c r="C438" s="21" t="s">
        <v>81</v>
      </c>
      <c r="D438" s="21" t="n">
        <v>0</v>
      </c>
      <c r="E438" s="20" t="n">
        <v>1234</v>
      </c>
    </row>
    <row r="439" customFormat="false" ht="15" hidden="false" customHeight="false" outlineLevel="0" collapsed="false">
      <c r="A439" s="19" t="n">
        <v>46318.0347222222</v>
      </c>
      <c r="B439" s="21" t="s">
        <v>81</v>
      </c>
      <c r="C439" s="21" t="s">
        <v>81</v>
      </c>
      <c r="D439" s="21" t="n">
        <v>0</v>
      </c>
      <c r="E439" s="20" t="n">
        <v>1194.1</v>
      </c>
    </row>
    <row r="440" customFormat="false" ht="15" hidden="false" customHeight="false" outlineLevel="0" collapsed="false">
      <c r="A440" s="19" t="n">
        <v>46318.0416666667</v>
      </c>
      <c r="B440" s="21" t="s">
        <v>81</v>
      </c>
      <c r="C440" s="21" t="s">
        <v>81</v>
      </c>
      <c r="D440" s="21" t="n">
        <v>0</v>
      </c>
      <c r="E440" s="20" t="n">
        <v>1191.7</v>
      </c>
    </row>
    <row r="441" customFormat="false" ht="15" hidden="false" customHeight="false" outlineLevel="0" collapsed="false">
      <c r="A441" s="19" t="n">
        <v>46318.0486111111</v>
      </c>
      <c r="B441" s="21" t="s">
        <v>81</v>
      </c>
      <c r="C441" s="21" t="s">
        <v>81</v>
      </c>
      <c r="D441" s="21" t="n">
        <v>0</v>
      </c>
      <c r="E441" s="20" t="n">
        <v>1212.1</v>
      </c>
    </row>
    <row r="442" customFormat="false" ht="15" hidden="false" customHeight="false" outlineLevel="0" collapsed="false">
      <c r="A442" s="19" t="n">
        <v>46318.0555555556</v>
      </c>
      <c r="B442" s="21" t="s">
        <v>81</v>
      </c>
      <c r="C442" s="21" t="s">
        <v>81</v>
      </c>
      <c r="D442" s="21" t="n">
        <v>0</v>
      </c>
      <c r="E442" s="20" t="n">
        <v>1193.8</v>
      </c>
    </row>
    <row r="443" customFormat="false" ht="15" hidden="false" customHeight="false" outlineLevel="0" collapsed="false">
      <c r="A443" s="19" t="n">
        <v>46318.0625</v>
      </c>
      <c r="B443" s="21" t="s">
        <v>81</v>
      </c>
      <c r="C443" s="21" t="s">
        <v>81</v>
      </c>
      <c r="D443" s="21" t="n">
        <v>0</v>
      </c>
      <c r="E443" s="20" t="n">
        <v>1197.3</v>
      </c>
    </row>
    <row r="444" customFormat="false" ht="15" hidden="false" customHeight="false" outlineLevel="0" collapsed="false">
      <c r="A444" s="19" t="n">
        <v>46318.0694444445</v>
      </c>
      <c r="B444" s="21" t="s">
        <v>81</v>
      </c>
      <c r="C444" s="21" t="s">
        <v>81</v>
      </c>
      <c r="D444" s="21" t="n">
        <v>0</v>
      </c>
      <c r="E444" s="20" t="n">
        <v>1188.4</v>
      </c>
    </row>
    <row r="445" customFormat="false" ht="15" hidden="false" customHeight="false" outlineLevel="0" collapsed="false">
      <c r="A445" s="19" t="n">
        <v>46318.0763888889</v>
      </c>
      <c r="B445" s="21" t="s">
        <v>81</v>
      </c>
      <c r="C445" s="21" t="s">
        <v>81</v>
      </c>
      <c r="D445" s="21" t="n">
        <v>0</v>
      </c>
      <c r="E445" s="20" t="n">
        <v>1159.5</v>
      </c>
    </row>
    <row r="446" customFormat="false" ht="15" hidden="false" customHeight="false" outlineLevel="0" collapsed="false">
      <c r="A446" s="19" t="n">
        <v>46318.0833333333</v>
      </c>
      <c r="B446" s="21" t="s">
        <v>81</v>
      </c>
      <c r="C446" s="21" t="s">
        <v>81</v>
      </c>
      <c r="D446" s="21" t="n">
        <v>0</v>
      </c>
      <c r="E446" s="20" t="n">
        <v>0</v>
      </c>
    </row>
    <row r="447" customFormat="false" ht="15" hidden="false" customHeight="false" outlineLevel="0" collapsed="false">
      <c r="A447" s="19" t="n">
        <v>46318.0902777778</v>
      </c>
      <c r="B447" s="21" t="s">
        <v>81</v>
      </c>
      <c r="C447" s="21" t="s">
        <v>81</v>
      </c>
      <c r="D447" s="21" t="n">
        <v>0</v>
      </c>
      <c r="E447" s="20" t="n">
        <v>0</v>
      </c>
    </row>
    <row r="448" customFormat="false" ht="15" hidden="false" customHeight="false" outlineLevel="0" collapsed="false">
      <c r="A448" s="19" t="n">
        <v>46318.0972222222</v>
      </c>
      <c r="B448" s="21" t="s">
        <v>81</v>
      </c>
      <c r="C448" s="21" t="s">
        <v>81</v>
      </c>
      <c r="D448" s="21" t="n">
        <v>0</v>
      </c>
      <c r="E448" s="20" t="n">
        <v>0</v>
      </c>
    </row>
    <row r="449" customFormat="false" ht="15" hidden="false" customHeight="false" outlineLevel="0" collapsed="false">
      <c r="A449" s="19" t="n">
        <v>46318.1041666667</v>
      </c>
      <c r="B449" s="21" t="s">
        <v>81</v>
      </c>
      <c r="C449" s="21" t="s">
        <v>81</v>
      </c>
      <c r="D449" s="21" t="n">
        <v>0</v>
      </c>
      <c r="E449" s="20" t="n">
        <v>0</v>
      </c>
    </row>
    <row r="450" customFormat="false" ht="15" hidden="false" customHeight="false" outlineLevel="0" collapsed="false">
      <c r="A450" s="19" t="n">
        <v>46318.1111111111</v>
      </c>
      <c r="B450" s="21" t="s">
        <v>81</v>
      </c>
      <c r="C450" s="21" t="s">
        <v>81</v>
      </c>
      <c r="D450" s="21" t="n">
        <v>0</v>
      </c>
      <c r="E450" s="20" t="n">
        <v>0</v>
      </c>
    </row>
    <row r="451" customFormat="false" ht="15" hidden="false" customHeight="false" outlineLevel="0" collapsed="false">
      <c r="A451" s="19" t="n">
        <v>46318.1180555556</v>
      </c>
      <c r="B451" s="21" t="s">
        <v>81</v>
      </c>
      <c r="C451" s="21" t="s">
        <v>81</v>
      </c>
      <c r="D451" s="21" t="n">
        <v>0</v>
      </c>
      <c r="E451" s="20" t="n">
        <v>0</v>
      </c>
    </row>
    <row r="452" customFormat="false" ht="15" hidden="false" customHeight="false" outlineLevel="0" collapsed="false">
      <c r="A452" s="19" t="n">
        <v>46318.125</v>
      </c>
      <c r="B452" s="21" t="s">
        <v>81</v>
      </c>
      <c r="C452" s="21" t="s">
        <v>81</v>
      </c>
      <c r="D452" s="21" t="n">
        <v>0</v>
      </c>
      <c r="E452" s="20" t="n">
        <v>0</v>
      </c>
    </row>
    <row r="453" customFormat="false" ht="15" hidden="false" customHeight="false" outlineLevel="0" collapsed="false">
      <c r="A453" s="19" t="n">
        <v>46318.1319444445</v>
      </c>
      <c r="B453" s="21" t="s">
        <v>81</v>
      </c>
      <c r="C453" s="21" t="s">
        <v>81</v>
      </c>
      <c r="D453" s="21" t="n">
        <v>0</v>
      </c>
      <c r="E453" s="20" t="n">
        <v>0</v>
      </c>
    </row>
    <row r="454" customFormat="false" ht="15" hidden="false" customHeight="false" outlineLevel="0" collapsed="false">
      <c r="A454" s="19" t="n">
        <v>46318.1388888889</v>
      </c>
      <c r="B454" s="21" t="s">
        <v>81</v>
      </c>
      <c r="C454" s="21" t="s">
        <v>81</v>
      </c>
      <c r="D454" s="21" t="n">
        <v>0</v>
      </c>
      <c r="E454" s="20" t="n">
        <v>0</v>
      </c>
    </row>
    <row r="455" customFormat="false" ht="15" hidden="false" customHeight="false" outlineLevel="0" collapsed="false">
      <c r="A455" s="19" t="n">
        <v>46318.1458333333</v>
      </c>
      <c r="B455" s="21" t="s">
        <v>81</v>
      </c>
      <c r="C455" s="21" t="s">
        <v>81</v>
      </c>
      <c r="D455" s="21" t="n">
        <v>0</v>
      </c>
      <c r="E455" s="20" t="n">
        <v>0</v>
      </c>
    </row>
    <row r="456" customFormat="false" ht="15" hidden="false" customHeight="false" outlineLevel="0" collapsed="false">
      <c r="A456" s="19" t="n">
        <v>46318.1527777778</v>
      </c>
      <c r="B456" s="21" t="s">
        <v>81</v>
      </c>
      <c r="C456" s="21" t="s">
        <v>81</v>
      </c>
      <c r="D456" s="21" t="n">
        <v>0</v>
      </c>
      <c r="E456" s="20" t="n">
        <v>0</v>
      </c>
    </row>
    <row r="457" customFormat="false" ht="15" hidden="false" customHeight="false" outlineLevel="0" collapsed="false">
      <c r="A457" s="19" t="n">
        <v>46318.1597222222</v>
      </c>
      <c r="B457" s="21" t="s">
        <v>81</v>
      </c>
      <c r="C457" s="21" t="s">
        <v>81</v>
      </c>
      <c r="D457" s="21" t="n">
        <v>0</v>
      </c>
      <c r="E457" s="20" t="n">
        <v>0</v>
      </c>
    </row>
    <row r="458" customFormat="false" ht="15" hidden="false" customHeight="false" outlineLevel="0" collapsed="false">
      <c r="A458" s="19" t="n">
        <v>46318.1666666667</v>
      </c>
      <c r="B458" s="21" t="s">
        <v>81</v>
      </c>
      <c r="C458" s="21" t="s">
        <v>81</v>
      </c>
      <c r="D458" s="21" t="n">
        <v>0</v>
      </c>
      <c r="E458" s="20" t="n">
        <v>0</v>
      </c>
    </row>
    <row r="459" customFormat="false" ht="15" hidden="false" customHeight="false" outlineLevel="0" collapsed="false">
      <c r="A459" s="19" t="n">
        <v>46318.1736111111</v>
      </c>
      <c r="B459" s="21" t="s">
        <v>81</v>
      </c>
      <c r="C459" s="21" t="s">
        <v>81</v>
      </c>
      <c r="D459" s="21" t="n">
        <v>0</v>
      </c>
      <c r="E459" s="20" t="n">
        <v>0</v>
      </c>
    </row>
    <row r="460" customFormat="false" ht="15" hidden="false" customHeight="false" outlineLevel="0" collapsed="false">
      <c r="A460" s="19" t="n">
        <v>46318.1805555556</v>
      </c>
      <c r="B460" s="21" t="s">
        <v>81</v>
      </c>
      <c r="C460" s="21" t="s">
        <v>81</v>
      </c>
      <c r="D460" s="21" t="n">
        <v>0</v>
      </c>
      <c r="E460" s="20" t="n">
        <v>0</v>
      </c>
    </row>
    <row r="461" customFormat="false" ht="15" hidden="false" customHeight="false" outlineLevel="0" collapsed="false">
      <c r="A461" s="19" t="n">
        <v>46318.1875</v>
      </c>
      <c r="B461" s="21" t="s">
        <v>81</v>
      </c>
      <c r="C461" s="21" t="s">
        <v>81</v>
      </c>
      <c r="D461" s="21" t="n">
        <v>0</v>
      </c>
      <c r="E461" s="20" t="n">
        <v>0</v>
      </c>
    </row>
    <row r="462" customFormat="false" ht="15" hidden="false" customHeight="false" outlineLevel="0" collapsed="false">
      <c r="A462" s="19" t="n">
        <v>46318.1944444445</v>
      </c>
      <c r="B462" s="21" t="s">
        <v>81</v>
      </c>
      <c r="C462" s="21" t="s">
        <v>81</v>
      </c>
      <c r="D462" s="21" t="n">
        <v>0</v>
      </c>
      <c r="E462" s="20" t="n">
        <v>0</v>
      </c>
    </row>
    <row r="463" customFormat="false" ht="15" hidden="false" customHeight="false" outlineLevel="0" collapsed="false">
      <c r="A463" s="19" t="n">
        <v>46318.2013888889</v>
      </c>
      <c r="B463" s="21" t="s">
        <v>81</v>
      </c>
      <c r="C463" s="21" t="s">
        <v>81</v>
      </c>
      <c r="D463" s="21" t="n">
        <v>0</v>
      </c>
      <c r="E463" s="20" t="n">
        <v>0</v>
      </c>
    </row>
    <row r="464" customFormat="false" ht="15" hidden="false" customHeight="false" outlineLevel="0" collapsed="false">
      <c r="A464" s="19" t="n">
        <v>46318.2083333333</v>
      </c>
      <c r="B464" s="21" t="s">
        <v>81</v>
      </c>
      <c r="C464" s="21" t="s">
        <v>81</v>
      </c>
      <c r="D464" s="21" t="n">
        <v>0</v>
      </c>
      <c r="E464" s="20" t="n">
        <v>0</v>
      </c>
    </row>
    <row r="465" customFormat="false" ht="15" hidden="false" customHeight="false" outlineLevel="0" collapsed="false">
      <c r="A465" s="19" t="n">
        <v>46318.2152777778</v>
      </c>
      <c r="B465" s="21" t="s">
        <v>81</v>
      </c>
      <c r="C465" s="21" t="s">
        <v>81</v>
      </c>
      <c r="D465" s="21" t="n">
        <v>0</v>
      </c>
      <c r="E465" s="20" t="n">
        <v>0</v>
      </c>
    </row>
    <row r="466" customFormat="false" ht="15" hidden="false" customHeight="false" outlineLevel="0" collapsed="false">
      <c r="A466" s="19" t="n">
        <v>46318.2222222222</v>
      </c>
      <c r="B466" s="21" t="s">
        <v>81</v>
      </c>
      <c r="C466" s="21" t="s">
        <v>81</v>
      </c>
      <c r="D466" s="21" t="n">
        <v>0</v>
      </c>
      <c r="E466" s="20" t="n">
        <v>0</v>
      </c>
    </row>
    <row r="467" customFormat="false" ht="15" hidden="false" customHeight="false" outlineLevel="0" collapsed="false">
      <c r="A467" s="19" t="n">
        <v>46318.2291666667</v>
      </c>
      <c r="B467" s="21" t="s">
        <v>81</v>
      </c>
      <c r="C467" s="21" t="s">
        <v>81</v>
      </c>
      <c r="D467" s="21" t="n">
        <v>0</v>
      </c>
      <c r="E467" s="20" t="n">
        <v>0</v>
      </c>
    </row>
    <row r="468" customFormat="false" ht="15" hidden="false" customHeight="false" outlineLevel="0" collapsed="false">
      <c r="A468" s="19" t="n">
        <v>46318.2361111111</v>
      </c>
      <c r="B468" s="21" t="s">
        <v>81</v>
      </c>
      <c r="C468" s="21" t="s">
        <v>81</v>
      </c>
      <c r="D468" s="21" t="n">
        <v>0</v>
      </c>
      <c r="E468" s="20" t="n">
        <v>0</v>
      </c>
    </row>
    <row r="469" customFormat="false" ht="15" hidden="false" customHeight="false" outlineLevel="0" collapsed="false">
      <c r="A469" s="19" t="n">
        <v>46318.2430555556</v>
      </c>
      <c r="B469" s="21" t="s">
        <v>81</v>
      </c>
      <c r="C469" s="21" t="s">
        <v>81</v>
      </c>
      <c r="D469" s="21" t="n">
        <v>0</v>
      </c>
      <c r="E469" s="20" t="n">
        <v>0</v>
      </c>
    </row>
    <row r="470" customFormat="false" ht="15" hidden="false" customHeight="false" outlineLevel="0" collapsed="false">
      <c r="A470" s="19" t="n">
        <v>46318.25</v>
      </c>
      <c r="B470" s="21" t="s">
        <v>81</v>
      </c>
      <c r="C470" s="21" t="s">
        <v>81</v>
      </c>
      <c r="D470" s="21" t="n">
        <v>0</v>
      </c>
      <c r="E470" s="20" t="n">
        <v>1189.2</v>
      </c>
    </row>
    <row r="471" customFormat="false" ht="15" hidden="false" customHeight="false" outlineLevel="0" collapsed="false">
      <c r="A471" s="19" t="n">
        <v>46318.2569444445</v>
      </c>
      <c r="B471" s="21" t="s">
        <v>81</v>
      </c>
      <c r="C471" s="21" t="s">
        <v>81</v>
      </c>
      <c r="D471" s="21" t="n">
        <v>0</v>
      </c>
      <c r="E471" s="20" t="n">
        <v>1161.6</v>
      </c>
    </row>
    <row r="472" customFormat="false" ht="15" hidden="false" customHeight="false" outlineLevel="0" collapsed="false">
      <c r="A472" s="19" t="n">
        <v>46318.2638888889</v>
      </c>
      <c r="B472" s="21" t="s">
        <v>81</v>
      </c>
      <c r="C472" s="21" t="s">
        <v>81</v>
      </c>
      <c r="D472" s="21" t="n">
        <v>0</v>
      </c>
      <c r="E472" s="20" t="n">
        <v>1195.3</v>
      </c>
    </row>
    <row r="473" customFormat="false" ht="15" hidden="false" customHeight="false" outlineLevel="0" collapsed="false">
      <c r="A473" s="19" t="n">
        <v>46318.2708333333</v>
      </c>
      <c r="B473" s="21" t="s">
        <v>81</v>
      </c>
      <c r="C473" s="21" t="s">
        <v>81</v>
      </c>
      <c r="D473" s="21" t="n">
        <v>0</v>
      </c>
      <c r="E473" s="20" t="n">
        <v>1160.5</v>
      </c>
    </row>
    <row r="474" customFormat="false" ht="15" hidden="false" customHeight="false" outlineLevel="0" collapsed="false">
      <c r="A474" s="19" t="n">
        <v>46318.2777777778</v>
      </c>
      <c r="B474" s="21" t="s">
        <v>81</v>
      </c>
      <c r="C474" s="21" t="s">
        <v>81</v>
      </c>
      <c r="D474" s="21" t="n">
        <v>0</v>
      </c>
      <c r="E474" s="20" t="n">
        <v>1212.9</v>
      </c>
    </row>
    <row r="475" customFormat="false" ht="15" hidden="false" customHeight="false" outlineLevel="0" collapsed="false">
      <c r="A475" s="19" t="n">
        <v>46318.2847222222</v>
      </c>
      <c r="B475" s="21" t="s">
        <v>81</v>
      </c>
      <c r="C475" s="21" t="s">
        <v>81</v>
      </c>
      <c r="D475" s="21" t="n">
        <v>0</v>
      </c>
      <c r="E475" s="20" t="n">
        <v>1208.7</v>
      </c>
    </row>
    <row r="476" customFormat="false" ht="15" hidden="false" customHeight="false" outlineLevel="0" collapsed="false">
      <c r="A476" s="19" t="n">
        <v>46318.2916666667</v>
      </c>
      <c r="B476" s="21" t="s">
        <v>81</v>
      </c>
      <c r="C476" s="21" t="s">
        <v>81</v>
      </c>
      <c r="D476" s="21" t="n">
        <v>0</v>
      </c>
      <c r="E476" s="20" t="n">
        <v>1197</v>
      </c>
    </row>
    <row r="477" customFormat="false" ht="15" hidden="false" customHeight="false" outlineLevel="0" collapsed="false">
      <c r="A477" s="19" t="n">
        <v>46318.2986111111</v>
      </c>
      <c r="B477" s="21" t="s">
        <v>81</v>
      </c>
      <c r="C477" s="21" t="s">
        <v>81</v>
      </c>
      <c r="D477" s="21" t="n">
        <v>0</v>
      </c>
      <c r="E477" s="20" t="n">
        <v>1187.5</v>
      </c>
    </row>
    <row r="478" customFormat="false" ht="15" hidden="false" customHeight="false" outlineLevel="0" collapsed="false">
      <c r="A478" s="19" t="n">
        <v>46318.3055555556</v>
      </c>
      <c r="B478" s="21" t="s">
        <v>81</v>
      </c>
      <c r="C478" s="21" t="s">
        <v>81</v>
      </c>
      <c r="D478" s="21" t="n">
        <v>0</v>
      </c>
      <c r="E478" s="20" t="n">
        <v>1200.4</v>
      </c>
    </row>
    <row r="479" customFormat="false" ht="15" hidden="false" customHeight="false" outlineLevel="0" collapsed="false">
      <c r="A479" s="19" t="n">
        <v>46318.3125</v>
      </c>
      <c r="B479" s="21" t="s">
        <v>81</v>
      </c>
      <c r="C479" s="21" t="s">
        <v>81</v>
      </c>
      <c r="D479" s="21" t="n">
        <v>0</v>
      </c>
      <c r="E479" s="20" t="n">
        <v>1140.9</v>
      </c>
    </row>
    <row r="480" customFormat="false" ht="15" hidden="false" customHeight="false" outlineLevel="0" collapsed="false">
      <c r="A480" s="19" t="n">
        <v>46318.3194444445</v>
      </c>
      <c r="B480" s="21" t="s">
        <v>81</v>
      </c>
      <c r="C480" s="21" t="s">
        <v>81</v>
      </c>
      <c r="D480" s="21" t="n">
        <v>0</v>
      </c>
      <c r="E480" s="20" t="n">
        <v>1162.6</v>
      </c>
    </row>
    <row r="481" customFormat="false" ht="15" hidden="false" customHeight="false" outlineLevel="0" collapsed="false">
      <c r="A481" s="19" t="n">
        <v>46318.3263888889</v>
      </c>
      <c r="B481" s="21" t="s">
        <v>81</v>
      </c>
      <c r="C481" s="21" t="s">
        <v>81</v>
      </c>
      <c r="D481" s="21" t="n">
        <v>0</v>
      </c>
      <c r="E481" s="20" t="n">
        <v>1186.3</v>
      </c>
    </row>
    <row r="482" customFormat="false" ht="15" hidden="false" customHeight="false" outlineLevel="0" collapsed="false">
      <c r="A482" s="19" t="n">
        <v>46318.3333333333</v>
      </c>
      <c r="B482" s="21" t="s">
        <v>81</v>
      </c>
      <c r="C482" s="21" t="s">
        <v>81</v>
      </c>
      <c r="D482" s="21" t="n">
        <v>0</v>
      </c>
      <c r="E482" s="20" t="n">
        <v>1198.6</v>
      </c>
    </row>
    <row r="483" customFormat="false" ht="15" hidden="false" customHeight="false" outlineLevel="0" collapsed="false">
      <c r="A483" s="19" t="n">
        <v>46318.3402777778</v>
      </c>
      <c r="B483" s="21" t="s">
        <v>81</v>
      </c>
      <c r="C483" s="21" t="s">
        <v>81</v>
      </c>
      <c r="D483" s="21" t="n">
        <v>0</v>
      </c>
      <c r="E483" s="20" t="n">
        <v>1188</v>
      </c>
    </row>
    <row r="484" customFormat="false" ht="15" hidden="false" customHeight="false" outlineLevel="0" collapsed="false">
      <c r="A484" s="19" t="n">
        <v>46318.3472222222</v>
      </c>
      <c r="B484" s="21" t="s">
        <v>81</v>
      </c>
      <c r="C484" s="21" t="s">
        <v>81</v>
      </c>
      <c r="D484" s="21" t="n">
        <v>0</v>
      </c>
      <c r="E484" s="20" t="n">
        <v>1164.9</v>
      </c>
    </row>
    <row r="485" customFormat="false" ht="15" hidden="false" customHeight="false" outlineLevel="0" collapsed="false">
      <c r="A485" s="19" t="n">
        <v>46318.3541666667</v>
      </c>
      <c r="B485" s="21" t="s">
        <v>81</v>
      </c>
      <c r="C485" s="21" t="s">
        <v>81</v>
      </c>
      <c r="D485" s="21" t="n">
        <v>0</v>
      </c>
      <c r="E485" s="20" t="n">
        <v>1193.3</v>
      </c>
    </row>
    <row r="486" customFormat="false" ht="15" hidden="false" customHeight="false" outlineLevel="0" collapsed="false">
      <c r="A486" s="19" t="n">
        <v>46318.3611111111</v>
      </c>
      <c r="B486" s="21" t="s">
        <v>81</v>
      </c>
      <c r="C486" s="21" t="s">
        <v>81</v>
      </c>
      <c r="D486" s="21" t="n">
        <v>0</v>
      </c>
      <c r="E486" s="20" t="n">
        <v>1178.7</v>
      </c>
    </row>
    <row r="487" customFormat="false" ht="15" hidden="false" customHeight="false" outlineLevel="0" collapsed="false">
      <c r="A487" s="19" t="n">
        <v>46318.3680555556</v>
      </c>
      <c r="B487" s="21" t="s">
        <v>81</v>
      </c>
      <c r="C487" s="21" t="s">
        <v>81</v>
      </c>
      <c r="D487" s="21" t="n">
        <v>0</v>
      </c>
      <c r="E487" s="20" t="n">
        <v>1163.3</v>
      </c>
    </row>
    <row r="488" customFormat="false" ht="15" hidden="false" customHeight="false" outlineLevel="0" collapsed="false">
      <c r="A488" s="19" t="n">
        <v>46318.375</v>
      </c>
      <c r="B488" s="21" t="s">
        <v>81</v>
      </c>
      <c r="C488" s="21" t="s">
        <v>81</v>
      </c>
      <c r="D488" s="21" t="n">
        <v>0</v>
      </c>
      <c r="E488" s="20" t="n">
        <v>1198.2</v>
      </c>
    </row>
    <row r="489" customFormat="false" ht="15" hidden="false" customHeight="false" outlineLevel="0" collapsed="false">
      <c r="A489" s="19" t="n">
        <v>46318.3819444445</v>
      </c>
      <c r="B489" s="21" t="s">
        <v>81</v>
      </c>
      <c r="C489" s="21" t="s">
        <v>81</v>
      </c>
      <c r="D489" s="21" t="n">
        <v>0</v>
      </c>
      <c r="E489" s="20" t="n">
        <v>1184.8</v>
      </c>
    </row>
    <row r="490" customFormat="false" ht="15" hidden="false" customHeight="false" outlineLevel="0" collapsed="false">
      <c r="A490" s="19" t="n">
        <v>46318.3888888889</v>
      </c>
      <c r="B490" s="21" t="s">
        <v>81</v>
      </c>
      <c r="C490" s="21" t="s">
        <v>81</v>
      </c>
      <c r="D490" s="21" t="n">
        <v>0</v>
      </c>
      <c r="E490" s="20" t="n">
        <v>1219.9</v>
      </c>
    </row>
    <row r="491" customFormat="false" ht="15" hidden="false" customHeight="false" outlineLevel="0" collapsed="false">
      <c r="A491" s="19" t="n">
        <v>46318.3958333333</v>
      </c>
      <c r="B491" s="21" t="s">
        <v>81</v>
      </c>
      <c r="C491" s="21" t="s">
        <v>81</v>
      </c>
      <c r="D491" s="21" t="n">
        <v>0</v>
      </c>
      <c r="E491" s="20" t="n">
        <v>1206.6</v>
      </c>
    </row>
    <row r="492" customFormat="false" ht="15" hidden="false" customHeight="false" outlineLevel="0" collapsed="false">
      <c r="A492" s="19" t="n">
        <v>46318.4027777778</v>
      </c>
      <c r="B492" s="21" t="s">
        <v>81</v>
      </c>
      <c r="C492" s="21" t="s">
        <v>81</v>
      </c>
      <c r="D492" s="21" t="n">
        <v>0</v>
      </c>
      <c r="E492" s="20" t="n">
        <v>1208.4</v>
      </c>
    </row>
    <row r="493" customFormat="false" ht="15" hidden="false" customHeight="false" outlineLevel="0" collapsed="false">
      <c r="A493" s="19" t="n">
        <v>46318.4097222222</v>
      </c>
      <c r="B493" s="21" t="s">
        <v>81</v>
      </c>
      <c r="C493" s="21" t="s">
        <v>81</v>
      </c>
      <c r="D493" s="21" t="n">
        <v>0</v>
      </c>
      <c r="E493" s="20" t="n">
        <v>1198</v>
      </c>
    </row>
    <row r="494" customFormat="false" ht="15" hidden="false" customHeight="false" outlineLevel="0" collapsed="false">
      <c r="A494" s="19" t="n">
        <v>46318.4166666667</v>
      </c>
      <c r="B494" s="21" t="s">
        <v>81</v>
      </c>
      <c r="C494" s="21" t="s">
        <v>81</v>
      </c>
      <c r="D494" s="21" t="n">
        <v>0</v>
      </c>
      <c r="E494" s="20" t="n">
        <v>1168.9</v>
      </c>
    </row>
    <row r="495" customFormat="false" ht="15" hidden="false" customHeight="false" outlineLevel="0" collapsed="false">
      <c r="A495" s="19" t="n">
        <v>46318.4236111111</v>
      </c>
      <c r="B495" s="21" t="s">
        <v>81</v>
      </c>
      <c r="C495" s="21" t="s">
        <v>81</v>
      </c>
      <c r="D495" s="21" t="n">
        <v>0</v>
      </c>
      <c r="E495" s="20" t="n">
        <v>1166.6</v>
      </c>
    </row>
    <row r="496" customFormat="false" ht="15" hidden="false" customHeight="false" outlineLevel="0" collapsed="false">
      <c r="A496" s="19" t="n">
        <v>46318.4305555556</v>
      </c>
      <c r="B496" s="21" t="s">
        <v>81</v>
      </c>
      <c r="C496" s="21" t="s">
        <v>81</v>
      </c>
      <c r="D496" s="21" t="n">
        <v>0</v>
      </c>
      <c r="E496" s="20" t="n">
        <v>1153.2</v>
      </c>
    </row>
    <row r="497" customFormat="false" ht="15" hidden="false" customHeight="false" outlineLevel="0" collapsed="false">
      <c r="A497" s="19" t="n">
        <v>46318.4375</v>
      </c>
      <c r="B497" s="21" t="s">
        <v>81</v>
      </c>
      <c r="C497" s="21" t="s">
        <v>81</v>
      </c>
      <c r="D497" s="21" t="n">
        <v>0</v>
      </c>
      <c r="E497" s="20" t="n">
        <v>1262</v>
      </c>
    </row>
    <row r="498" customFormat="false" ht="15" hidden="false" customHeight="false" outlineLevel="0" collapsed="false">
      <c r="A498" s="19" t="n">
        <v>46318.4444444445</v>
      </c>
      <c r="B498" s="21" t="s">
        <v>81</v>
      </c>
      <c r="C498" s="21" t="s">
        <v>81</v>
      </c>
      <c r="D498" s="21" t="n">
        <v>0</v>
      </c>
      <c r="E498" s="20" t="n">
        <v>1163</v>
      </c>
    </row>
    <row r="499" customFormat="false" ht="15" hidden="false" customHeight="false" outlineLevel="0" collapsed="false">
      <c r="A499" s="19" t="n">
        <v>46318.4513888889</v>
      </c>
      <c r="B499" s="21" t="s">
        <v>81</v>
      </c>
      <c r="C499" s="21" t="s">
        <v>81</v>
      </c>
      <c r="D499" s="21" t="n">
        <v>0</v>
      </c>
      <c r="E499" s="20" t="n">
        <v>1184.8</v>
      </c>
    </row>
    <row r="500" customFormat="false" ht="15" hidden="false" customHeight="false" outlineLevel="0" collapsed="false">
      <c r="A500" s="19" t="n">
        <v>46318.4583333333</v>
      </c>
      <c r="B500" s="21" t="s">
        <v>81</v>
      </c>
      <c r="C500" s="21" t="s">
        <v>81</v>
      </c>
      <c r="D500" s="21" t="n">
        <v>0</v>
      </c>
      <c r="E500" s="20" t="n">
        <v>1181</v>
      </c>
    </row>
    <row r="501" customFormat="false" ht="15" hidden="false" customHeight="false" outlineLevel="0" collapsed="false">
      <c r="A501" s="19" t="n">
        <v>46318.4652777778</v>
      </c>
      <c r="B501" s="21" t="s">
        <v>81</v>
      </c>
      <c r="C501" s="21" t="s">
        <v>81</v>
      </c>
      <c r="D501" s="21" t="n">
        <v>0</v>
      </c>
      <c r="E501" s="20" t="n">
        <v>1183</v>
      </c>
    </row>
    <row r="502" customFormat="false" ht="15" hidden="false" customHeight="false" outlineLevel="0" collapsed="false">
      <c r="A502" s="19" t="n">
        <v>46318.4722222222</v>
      </c>
      <c r="B502" s="21" t="s">
        <v>81</v>
      </c>
      <c r="C502" s="21" t="s">
        <v>81</v>
      </c>
      <c r="D502" s="21" t="n">
        <v>0</v>
      </c>
      <c r="E502" s="20" t="n">
        <v>1175.4</v>
      </c>
    </row>
    <row r="503" customFormat="false" ht="15" hidden="false" customHeight="false" outlineLevel="0" collapsed="false">
      <c r="A503" s="19" t="n">
        <v>46318.4791666667</v>
      </c>
      <c r="B503" s="21" t="s">
        <v>81</v>
      </c>
      <c r="C503" s="21" t="s">
        <v>81</v>
      </c>
      <c r="D503" s="21" t="n">
        <v>0</v>
      </c>
      <c r="E503" s="20" t="n">
        <v>1143.3</v>
      </c>
    </row>
    <row r="504" customFormat="false" ht="15" hidden="false" customHeight="false" outlineLevel="0" collapsed="false">
      <c r="A504" s="19" t="n">
        <v>46318.4861111111</v>
      </c>
      <c r="B504" s="21" t="s">
        <v>81</v>
      </c>
      <c r="C504" s="21" t="s">
        <v>81</v>
      </c>
      <c r="D504" s="21" t="n">
        <v>0</v>
      </c>
      <c r="E504" s="20" t="n">
        <v>1165</v>
      </c>
    </row>
    <row r="505" customFormat="false" ht="15" hidden="false" customHeight="false" outlineLevel="0" collapsed="false">
      <c r="A505" s="19" t="n">
        <v>46318.4930555556</v>
      </c>
      <c r="B505" s="21" t="s">
        <v>81</v>
      </c>
      <c r="C505" s="21" t="s">
        <v>81</v>
      </c>
      <c r="D505" s="21" t="n">
        <v>0</v>
      </c>
      <c r="E505" s="20" t="n">
        <v>1155.2</v>
      </c>
    </row>
    <row r="506" customFormat="false" ht="15" hidden="false" customHeight="false" outlineLevel="0" collapsed="false">
      <c r="A506" s="19" t="n">
        <v>46318.5</v>
      </c>
      <c r="B506" s="21" t="s">
        <v>81</v>
      </c>
      <c r="C506" s="21" t="s">
        <v>81</v>
      </c>
      <c r="D506" s="21" t="n">
        <v>0</v>
      </c>
      <c r="E506" s="20" t="n">
        <v>1186.8</v>
      </c>
    </row>
    <row r="507" customFormat="false" ht="15" hidden="false" customHeight="false" outlineLevel="0" collapsed="false">
      <c r="A507" s="19" t="n">
        <v>46318.5069444445</v>
      </c>
      <c r="B507" s="21" t="s">
        <v>81</v>
      </c>
      <c r="C507" s="21" t="s">
        <v>81</v>
      </c>
      <c r="D507" s="21" t="n">
        <v>0</v>
      </c>
      <c r="E507" s="20" t="n">
        <v>1172.9</v>
      </c>
    </row>
    <row r="508" customFormat="false" ht="15" hidden="false" customHeight="false" outlineLevel="0" collapsed="false">
      <c r="A508" s="19" t="n">
        <v>46318.5138888889</v>
      </c>
      <c r="B508" s="21" t="s">
        <v>81</v>
      </c>
      <c r="C508" s="21" t="s">
        <v>81</v>
      </c>
      <c r="D508" s="21" t="n">
        <v>0</v>
      </c>
      <c r="E508" s="20" t="n">
        <v>1172.8</v>
      </c>
    </row>
    <row r="509" customFormat="false" ht="15" hidden="false" customHeight="false" outlineLevel="0" collapsed="false">
      <c r="A509" s="19" t="n">
        <v>46318.5208333333</v>
      </c>
      <c r="B509" s="21" t="s">
        <v>81</v>
      </c>
      <c r="C509" s="21" t="s">
        <v>81</v>
      </c>
      <c r="D509" s="21" t="n">
        <v>0</v>
      </c>
      <c r="E509" s="20" t="n">
        <v>1195.4</v>
      </c>
    </row>
    <row r="510" customFormat="false" ht="15" hidden="false" customHeight="false" outlineLevel="0" collapsed="false">
      <c r="A510" s="19" t="n">
        <v>46318.5277777778</v>
      </c>
      <c r="B510" s="21" t="s">
        <v>81</v>
      </c>
      <c r="C510" s="21" t="s">
        <v>81</v>
      </c>
      <c r="D510" s="21" t="n">
        <v>0</v>
      </c>
      <c r="E510" s="20" t="n">
        <v>1175.4</v>
      </c>
    </row>
    <row r="511" customFormat="false" ht="15" hidden="false" customHeight="false" outlineLevel="0" collapsed="false">
      <c r="A511" s="19" t="n">
        <v>46318.5347222222</v>
      </c>
      <c r="B511" s="21" t="s">
        <v>81</v>
      </c>
      <c r="C511" s="21" t="s">
        <v>81</v>
      </c>
      <c r="D511" s="21" t="n">
        <v>0</v>
      </c>
      <c r="E511" s="20" t="n">
        <v>1213.3</v>
      </c>
    </row>
    <row r="512" customFormat="false" ht="15" hidden="false" customHeight="false" outlineLevel="0" collapsed="false">
      <c r="A512" s="19" t="n">
        <v>46318.5416666667</v>
      </c>
      <c r="B512" s="21" t="s">
        <v>81</v>
      </c>
      <c r="C512" s="21" t="s">
        <v>81</v>
      </c>
      <c r="D512" s="21" t="n">
        <v>0</v>
      </c>
      <c r="E512" s="20" t="n">
        <v>1180.3</v>
      </c>
    </row>
    <row r="513" customFormat="false" ht="15" hidden="false" customHeight="false" outlineLevel="0" collapsed="false">
      <c r="A513" s="19" t="n">
        <v>46318.5486111111</v>
      </c>
      <c r="B513" s="21" t="s">
        <v>81</v>
      </c>
      <c r="C513" s="21" t="s">
        <v>81</v>
      </c>
      <c r="D513" s="21" t="n">
        <v>0</v>
      </c>
      <c r="E513" s="20" t="n">
        <v>1195.6</v>
      </c>
    </row>
    <row r="514" customFormat="false" ht="15" hidden="false" customHeight="false" outlineLevel="0" collapsed="false">
      <c r="A514" s="19" t="n">
        <v>46318.5555555556</v>
      </c>
      <c r="B514" s="21" t="s">
        <v>81</v>
      </c>
      <c r="C514" s="21" t="s">
        <v>81</v>
      </c>
      <c r="D514" s="21" t="n">
        <v>0</v>
      </c>
      <c r="E514" s="20" t="n">
        <v>1156.9</v>
      </c>
    </row>
    <row r="515" customFormat="false" ht="15" hidden="false" customHeight="false" outlineLevel="0" collapsed="false">
      <c r="A515" s="19" t="n">
        <v>46318.5625</v>
      </c>
      <c r="B515" s="21" t="s">
        <v>81</v>
      </c>
      <c r="C515" s="21" t="s">
        <v>81</v>
      </c>
      <c r="D515" s="21" t="n">
        <v>0</v>
      </c>
      <c r="E515" s="20" t="n">
        <v>1206.4</v>
      </c>
    </row>
    <row r="516" customFormat="false" ht="15" hidden="false" customHeight="false" outlineLevel="0" collapsed="false">
      <c r="A516" s="19" t="n">
        <v>46318.5694444445</v>
      </c>
      <c r="B516" s="21" t="s">
        <v>81</v>
      </c>
      <c r="C516" s="21" t="s">
        <v>81</v>
      </c>
      <c r="D516" s="21" t="n">
        <v>0</v>
      </c>
      <c r="E516" s="20" t="n">
        <v>1179.9</v>
      </c>
    </row>
    <row r="517" customFormat="false" ht="15" hidden="false" customHeight="false" outlineLevel="0" collapsed="false">
      <c r="A517" s="19" t="n">
        <v>46318.5763888889</v>
      </c>
      <c r="B517" s="21" t="s">
        <v>81</v>
      </c>
      <c r="C517" s="21" t="s">
        <v>81</v>
      </c>
      <c r="D517" s="21" t="n">
        <v>0</v>
      </c>
      <c r="E517" s="20" t="n">
        <v>1200.2</v>
      </c>
    </row>
    <row r="518" customFormat="false" ht="15" hidden="false" customHeight="false" outlineLevel="0" collapsed="false">
      <c r="A518" s="19" t="n">
        <v>46318.5833333333</v>
      </c>
      <c r="B518" s="21" t="s">
        <v>81</v>
      </c>
      <c r="C518" s="21" t="s">
        <v>81</v>
      </c>
      <c r="D518" s="21" t="n">
        <v>0</v>
      </c>
      <c r="E518" s="20" t="n">
        <v>1198.3</v>
      </c>
    </row>
    <row r="519" customFormat="false" ht="15" hidden="false" customHeight="false" outlineLevel="0" collapsed="false">
      <c r="A519" s="19" t="n">
        <v>46318.5902777778</v>
      </c>
      <c r="B519" s="21" t="s">
        <v>81</v>
      </c>
      <c r="C519" s="21" t="s">
        <v>81</v>
      </c>
      <c r="D519" s="21" t="n">
        <v>0</v>
      </c>
      <c r="E519" s="20" t="n">
        <v>1185.7</v>
      </c>
    </row>
    <row r="520" customFormat="false" ht="15" hidden="false" customHeight="false" outlineLevel="0" collapsed="false">
      <c r="A520" s="19" t="n">
        <v>46318.5972222222</v>
      </c>
      <c r="B520" s="21" t="s">
        <v>81</v>
      </c>
      <c r="C520" s="21" t="s">
        <v>81</v>
      </c>
      <c r="D520" s="21" t="n">
        <v>0</v>
      </c>
      <c r="E520" s="20" t="n">
        <v>1195.4</v>
      </c>
    </row>
    <row r="521" customFormat="false" ht="15" hidden="false" customHeight="false" outlineLevel="0" collapsed="false">
      <c r="A521" s="19" t="n">
        <v>46318.6041666667</v>
      </c>
      <c r="B521" s="21" t="s">
        <v>81</v>
      </c>
      <c r="C521" s="21" t="s">
        <v>81</v>
      </c>
      <c r="D521" s="21" t="n">
        <v>0</v>
      </c>
      <c r="E521" s="20" t="n">
        <v>1180.4</v>
      </c>
    </row>
    <row r="522" customFormat="false" ht="15" hidden="false" customHeight="false" outlineLevel="0" collapsed="false">
      <c r="A522" s="19" t="n">
        <v>46318.6111111111</v>
      </c>
      <c r="B522" s="21" t="s">
        <v>81</v>
      </c>
      <c r="C522" s="21" t="s">
        <v>81</v>
      </c>
      <c r="D522" s="21" t="n">
        <v>0</v>
      </c>
      <c r="E522" s="20" t="n">
        <v>1223.7</v>
      </c>
    </row>
    <row r="523" customFormat="false" ht="15" hidden="false" customHeight="false" outlineLevel="0" collapsed="false">
      <c r="A523" s="19" t="n">
        <v>46318.6180555556</v>
      </c>
      <c r="B523" s="21" t="s">
        <v>81</v>
      </c>
      <c r="C523" s="21" t="s">
        <v>81</v>
      </c>
      <c r="D523" s="21" t="n">
        <v>0</v>
      </c>
      <c r="E523" s="20" t="n">
        <v>1213.4</v>
      </c>
    </row>
    <row r="524" customFormat="false" ht="15" hidden="false" customHeight="false" outlineLevel="0" collapsed="false">
      <c r="A524" s="19" t="n">
        <v>46318.625</v>
      </c>
      <c r="B524" s="21" t="s">
        <v>81</v>
      </c>
      <c r="C524" s="21" t="s">
        <v>81</v>
      </c>
      <c r="D524" s="21" t="n">
        <v>0</v>
      </c>
      <c r="E524" s="20" t="n">
        <v>1202.1</v>
      </c>
    </row>
    <row r="525" customFormat="false" ht="15" hidden="false" customHeight="false" outlineLevel="0" collapsed="false">
      <c r="A525" s="19" t="n">
        <v>46318.6319444445</v>
      </c>
      <c r="B525" s="21" t="s">
        <v>81</v>
      </c>
      <c r="C525" s="21" t="s">
        <v>81</v>
      </c>
      <c r="D525" s="21" t="n">
        <v>0</v>
      </c>
      <c r="E525" s="20" t="n">
        <v>1160.5</v>
      </c>
    </row>
    <row r="526" customFormat="false" ht="15" hidden="false" customHeight="false" outlineLevel="0" collapsed="false">
      <c r="A526" s="19" t="n">
        <v>46318.6388888889</v>
      </c>
      <c r="B526" s="21" t="s">
        <v>81</v>
      </c>
      <c r="C526" s="21" t="s">
        <v>81</v>
      </c>
      <c r="D526" s="21" t="n">
        <v>0</v>
      </c>
      <c r="E526" s="20" t="n">
        <v>1162.5</v>
      </c>
    </row>
    <row r="527" customFormat="false" ht="15" hidden="false" customHeight="false" outlineLevel="0" collapsed="false">
      <c r="A527" s="19" t="n">
        <v>46318.6458333333</v>
      </c>
      <c r="B527" s="21" t="s">
        <v>81</v>
      </c>
      <c r="C527" s="21" t="s">
        <v>81</v>
      </c>
      <c r="D527" s="21" t="n">
        <v>0</v>
      </c>
      <c r="E527" s="20" t="n">
        <v>1173.4</v>
      </c>
    </row>
    <row r="528" customFormat="false" ht="15" hidden="false" customHeight="false" outlineLevel="0" collapsed="false">
      <c r="A528" s="19" t="n">
        <v>46318.6527777778</v>
      </c>
      <c r="B528" s="21" t="s">
        <v>81</v>
      </c>
      <c r="C528" s="21" t="s">
        <v>81</v>
      </c>
      <c r="D528" s="21" t="n">
        <v>0</v>
      </c>
      <c r="E528" s="20" t="n">
        <v>1183.9</v>
      </c>
    </row>
    <row r="529" customFormat="false" ht="15" hidden="false" customHeight="false" outlineLevel="0" collapsed="false">
      <c r="A529" s="19" t="n">
        <v>46318.6597222222</v>
      </c>
      <c r="B529" s="21" t="s">
        <v>81</v>
      </c>
      <c r="C529" s="21" t="s">
        <v>81</v>
      </c>
      <c r="D529" s="21" t="n">
        <v>0</v>
      </c>
      <c r="E529" s="20" t="n">
        <v>1201.2</v>
      </c>
    </row>
    <row r="530" customFormat="false" ht="15" hidden="false" customHeight="false" outlineLevel="0" collapsed="false">
      <c r="A530" s="19" t="n">
        <v>46318.6666666667</v>
      </c>
      <c r="B530" s="21" t="s">
        <v>81</v>
      </c>
      <c r="C530" s="21" t="s">
        <v>81</v>
      </c>
      <c r="D530" s="21" t="n">
        <v>0</v>
      </c>
      <c r="E530" s="20" t="n">
        <v>1167.6</v>
      </c>
    </row>
    <row r="531" customFormat="false" ht="15" hidden="false" customHeight="false" outlineLevel="0" collapsed="false">
      <c r="A531" s="19" t="n">
        <v>46318.6736111111</v>
      </c>
      <c r="B531" s="21" t="s">
        <v>81</v>
      </c>
      <c r="C531" s="21" t="s">
        <v>81</v>
      </c>
      <c r="D531" s="21" t="n">
        <v>0</v>
      </c>
      <c r="E531" s="20" t="n">
        <v>1219.4</v>
      </c>
    </row>
    <row r="532" customFormat="false" ht="15" hidden="false" customHeight="false" outlineLevel="0" collapsed="false">
      <c r="A532" s="19" t="n">
        <v>46318.6805555556</v>
      </c>
      <c r="B532" s="21" t="s">
        <v>81</v>
      </c>
      <c r="C532" s="21" t="s">
        <v>81</v>
      </c>
      <c r="D532" s="21" t="n">
        <v>0</v>
      </c>
      <c r="E532" s="20" t="n">
        <v>1190.1</v>
      </c>
    </row>
    <row r="533" customFormat="false" ht="15" hidden="false" customHeight="false" outlineLevel="0" collapsed="false">
      <c r="A533" s="19" t="n">
        <v>46318.6875</v>
      </c>
      <c r="B533" s="21" t="s">
        <v>81</v>
      </c>
      <c r="C533" s="21" t="s">
        <v>81</v>
      </c>
      <c r="D533" s="21" t="n">
        <v>0</v>
      </c>
      <c r="E533" s="20" t="n">
        <v>1139.7</v>
      </c>
    </row>
    <row r="534" customFormat="false" ht="15" hidden="false" customHeight="false" outlineLevel="0" collapsed="false">
      <c r="A534" s="19" t="n">
        <v>46318.6944444445</v>
      </c>
      <c r="B534" s="21" t="s">
        <v>81</v>
      </c>
      <c r="C534" s="21" t="s">
        <v>81</v>
      </c>
      <c r="D534" s="21" t="n">
        <v>0</v>
      </c>
      <c r="E534" s="20" t="n">
        <v>1178.1</v>
      </c>
    </row>
    <row r="535" customFormat="false" ht="15" hidden="false" customHeight="false" outlineLevel="0" collapsed="false">
      <c r="A535" s="19" t="n">
        <v>46318.7013888889</v>
      </c>
      <c r="B535" s="21" t="s">
        <v>81</v>
      </c>
      <c r="C535" s="21" t="s">
        <v>81</v>
      </c>
      <c r="D535" s="21" t="n">
        <v>0</v>
      </c>
      <c r="E535" s="20" t="n">
        <v>1125.4</v>
      </c>
    </row>
    <row r="536" customFormat="false" ht="15" hidden="false" customHeight="false" outlineLevel="0" collapsed="false">
      <c r="A536" s="19" t="n">
        <v>46318.7083333333</v>
      </c>
      <c r="B536" s="21" t="s">
        <v>81</v>
      </c>
      <c r="C536" s="21" t="s">
        <v>81</v>
      </c>
      <c r="D536" s="21" t="n">
        <v>0</v>
      </c>
      <c r="E536" s="20" t="n">
        <v>1171.2</v>
      </c>
    </row>
    <row r="537" customFormat="false" ht="15" hidden="false" customHeight="false" outlineLevel="0" collapsed="false">
      <c r="A537" s="19" t="n">
        <v>46318.7152777778</v>
      </c>
      <c r="B537" s="21" t="s">
        <v>81</v>
      </c>
      <c r="C537" s="21" t="s">
        <v>81</v>
      </c>
      <c r="D537" s="21" t="n">
        <v>0</v>
      </c>
      <c r="E537" s="20" t="n">
        <v>1176.3</v>
      </c>
    </row>
    <row r="538" customFormat="false" ht="15" hidden="false" customHeight="false" outlineLevel="0" collapsed="false">
      <c r="A538" s="19" t="n">
        <v>46318.7222222222</v>
      </c>
      <c r="B538" s="21" t="s">
        <v>81</v>
      </c>
      <c r="C538" s="21" t="s">
        <v>81</v>
      </c>
      <c r="D538" s="21" t="n">
        <v>0</v>
      </c>
      <c r="E538" s="20" t="n">
        <v>1174.7</v>
      </c>
    </row>
    <row r="539" customFormat="false" ht="15" hidden="false" customHeight="false" outlineLevel="0" collapsed="false">
      <c r="A539" s="19" t="n">
        <v>46318.7291666667</v>
      </c>
      <c r="B539" s="21" t="s">
        <v>81</v>
      </c>
      <c r="C539" s="21" t="s">
        <v>81</v>
      </c>
      <c r="D539" s="21" t="n">
        <v>0</v>
      </c>
      <c r="E539" s="20" t="n">
        <v>1181.9</v>
      </c>
    </row>
    <row r="540" customFormat="false" ht="15" hidden="false" customHeight="false" outlineLevel="0" collapsed="false">
      <c r="A540" s="19" t="n">
        <v>46318.7361111111</v>
      </c>
      <c r="B540" s="21" t="s">
        <v>81</v>
      </c>
      <c r="C540" s="21" t="s">
        <v>81</v>
      </c>
      <c r="D540" s="21" t="n">
        <v>0</v>
      </c>
      <c r="E540" s="20" t="n">
        <v>1180.1</v>
      </c>
    </row>
    <row r="541" customFormat="false" ht="15" hidden="false" customHeight="false" outlineLevel="0" collapsed="false">
      <c r="A541" s="19" t="n">
        <v>46318.7430555556</v>
      </c>
      <c r="B541" s="21" t="s">
        <v>81</v>
      </c>
      <c r="C541" s="21" t="s">
        <v>81</v>
      </c>
      <c r="D541" s="21" t="n">
        <v>0</v>
      </c>
      <c r="E541" s="20" t="n">
        <v>1175.2</v>
      </c>
    </row>
    <row r="542" customFormat="false" ht="15" hidden="false" customHeight="false" outlineLevel="0" collapsed="false">
      <c r="A542" s="19" t="n">
        <v>46318.75</v>
      </c>
      <c r="B542" s="21" t="s">
        <v>81</v>
      </c>
      <c r="C542" s="21" t="s">
        <v>81</v>
      </c>
      <c r="D542" s="21" t="n">
        <v>0</v>
      </c>
      <c r="E542" s="20" t="n">
        <v>1227.6</v>
      </c>
    </row>
    <row r="543" customFormat="false" ht="15" hidden="false" customHeight="false" outlineLevel="0" collapsed="false">
      <c r="A543" s="19" t="n">
        <v>46318.7569444445</v>
      </c>
      <c r="B543" s="21" t="s">
        <v>81</v>
      </c>
      <c r="C543" s="21" t="s">
        <v>81</v>
      </c>
      <c r="D543" s="21" t="n">
        <v>0</v>
      </c>
      <c r="E543" s="20" t="n">
        <v>1220.4</v>
      </c>
    </row>
    <row r="544" customFormat="false" ht="15" hidden="false" customHeight="false" outlineLevel="0" collapsed="false">
      <c r="A544" s="19" t="n">
        <v>46318.7638888889</v>
      </c>
      <c r="B544" s="21" t="s">
        <v>81</v>
      </c>
      <c r="C544" s="21" t="s">
        <v>81</v>
      </c>
      <c r="D544" s="21" t="n">
        <v>0</v>
      </c>
      <c r="E544" s="20" t="n">
        <v>1161.5</v>
      </c>
    </row>
    <row r="545" customFormat="false" ht="15" hidden="false" customHeight="false" outlineLevel="0" collapsed="false">
      <c r="A545" s="19" t="n">
        <v>46318.7708333333</v>
      </c>
      <c r="B545" s="21" t="s">
        <v>81</v>
      </c>
      <c r="C545" s="21" t="s">
        <v>81</v>
      </c>
      <c r="D545" s="21" t="n">
        <v>0</v>
      </c>
      <c r="E545" s="20" t="n">
        <v>1221.3</v>
      </c>
    </row>
    <row r="546" customFormat="false" ht="15" hidden="false" customHeight="false" outlineLevel="0" collapsed="false">
      <c r="A546" s="19" t="n">
        <v>46318.7777777778</v>
      </c>
      <c r="B546" s="21" t="s">
        <v>81</v>
      </c>
      <c r="C546" s="21" t="s">
        <v>81</v>
      </c>
      <c r="D546" s="21" t="n">
        <v>0</v>
      </c>
      <c r="E546" s="20" t="n">
        <v>1149.5</v>
      </c>
    </row>
    <row r="547" customFormat="false" ht="15" hidden="false" customHeight="false" outlineLevel="0" collapsed="false">
      <c r="A547" s="19" t="n">
        <v>46318.7847222222</v>
      </c>
      <c r="B547" s="21" t="s">
        <v>81</v>
      </c>
      <c r="C547" s="21" t="s">
        <v>81</v>
      </c>
      <c r="D547" s="21" t="n">
        <v>0</v>
      </c>
      <c r="E547" s="20" t="n">
        <v>1169.6</v>
      </c>
    </row>
    <row r="548" customFormat="false" ht="15" hidden="false" customHeight="false" outlineLevel="0" collapsed="false">
      <c r="A548" s="19" t="n">
        <v>46318.7916666667</v>
      </c>
      <c r="B548" s="21" t="s">
        <v>81</v>
      </c>
      <c r="C548" s="21" t="s">
        <v>81</v>
      </c>
      <c r="D548" s="21" t="n">
        <v>0</v>
      </c>
      <c r="E548" s="20" t="n">
        <v>1228.1</v>
      </c>
    </row>
    <row r="549" customFormat="false" ht="15" hidden="false" customHeight="false" outlineLevel="0" collapsed="false">
      <c r="A549" s="19" t="n">
        <v>46318.7986111111</v>
      </c>
      <c r="B549" s="21" t="s">
        <v>81</v>
      </c>
      <c r="C549" s="21" t="s">
        <v>81</v>
      </c>
      <c r="D549" s="21" t="n">
        <v>0</v>
      </c>
      <c r="E549" s="20" t="n">
        <v>1134</v>
      </c>
    </row>
    <row r="550" customFormat="false" ht="15" hidden="false" customHeight="false" outlineLevel="0" collapsed="false">
      <c r="A550" s="19" t="n">
        <v>46318.8055555556</v>
      </c>
      <c r="B550" s="21" t="s">
        <v>81</v>
      </c>
      <c r="C550" s="21" t="s">
        <v>81</v>
      </c>
      <c r="D550" s="21" t="n">
        <v>0</v>
      </c>
      <c r="E550" s="20" t="n">
        <v>1204.4</v>
      </c>
    </row>
    <row r="551" customFormat="false" ht="15" hidden="false" customHeight="false" outlineLevel="0" collapsed="false">
      <c r="A551" s="19" t="n">
        <v>46318.8125</v>
      </c>
      <c r="B551" s="21" t="s">
        <v>81</v>
      </c>
      <c r="C551" s="21" t="s">
        <v>81</v>
      </c>
      <c r="D551" s="21" t="n">
        <v>0</v>
      </c>
      <c r="E551" s="20" t="n">
        <v>1158.7</v>
      </c>
    </row>
    <row r="552" customFormat="false" ht="15" hidden="false" customHeight="false" outlineLevel="0" collapsed="false">
      <c r="A552" s="19" t="n">
        <v>46318.8194444445</v>
      </c>
      <c r="B552" s="21" t="s">
        <v>81</v>
      </c>
      <c r="C552" s="21" t="s">
        <v>81</v>
      </c>
      <c r="D552" s="21" t="n">
        <v>0</v>
      </c>
      <c r="E552" s="20" t="n">
        <v>1186.4</v>
      </c>
    </row>
    <row r="553" customFormat="false" ht="15" hidden="false" customHeight="false" outlineLevel="0" collapsed="false">
      <c r="A553" s="19" t="n">
        <v>46318.8263888889</v>
      </c>
      <c r="B553" s="21" t="s">
        <v>81</v>
      </c>
      <c r="C553" s="21" t="s">
        <v>81</v>
      </c>
      <c r="D553" s="21" t="n">
        <v>0</v>
      </c>
      <c r="E553" s="20" t="n">
        <v>1185.5</v>
      </c>
    </row>
    <row r="554" customFormat="false" ht="15" hidden="false" customHeight="false" outlineLevel="0" collapsed="false">
      <c r="A554" s="19" t="n">
        <v>46318.8333333333</v>
      </c>
      <c r="B554" s="21" t="s">
        <v>81</v>
      </c>
      <c r="C554" s="21" t="s">
        <v>81</v>
      </c>
      <c r="D554" s="21" t="n">
        <v>0</v>
      </c>
      <c r="E554" s="20" t="n">
        <v>1232.4</v>
      </c>
    </row>
    <row r="555" customFormat="false" ht="15" hidden="false" customHeight="false" outlineLevel="0" collapsed="false">
      <c r="A555" s="19" t="n">
        <v>46318.8402777778</v>
      </c>
      <c r="B555" s="21" t="s">
        <v>81</v>
      </c>
      <c r="C555" s="21" t="s">
        <v>81</v>
      </c>
      <c r="D555" s="21" t="n">
        <v>0</v>
      </c>
      <c r="E555" s="20" t="n">
        <v>1169.7</v>
      </c>
    </row>
    <row r="556" customFormat="false" ht="15" hidden="false" customHeight="false" outlineLevel="0" collapsed="false">
      <c r="A556" s="19" t="n">
        <v>46318.8472222222</v>
      </c>
      <c r="B556" s="21" t="s">
        <v>81</v>
      </c>
      <c r="C556" s="21" t="s">
        <v>81</v>
      </c>
      <c r="D556" s="21" t="n">
        <v>0</v>
      </c>
      <c r="E556" s="20" t="n">
        <v>1188.3</v>
      </c>
    </row>
    <row r="557" customFormat="false" ht="15" hidden="false" customHeight="false" outlineLevel="0" collapsed="false">
      <c r="A557" s="19" t="n">
        <v>46318.8541666667</v>
      </c>
      <c r="B557" s="21" t="s">
        <v>81</v>
      </c>
      <c r="C557" s="21" t="s">
        <v>81</v>
      </c>
      <c r="D557" s="21" t="n">
        <v>0</v>
      </c>
      <c r="E557" s="20" t="n">
        <v>1205.7</v>
      </c>
    </row>
    <row r="558" customFormat="false" ht="15" hidden="false" customHeight="false" outlineLevel="0" collapsed="false">
      <c r="A558" s="19" t="n">
        <v>46318.8611111111</v>
      </c>
      <c r="B558" s="21" t="s">
        <v>81</v>
      </c>
      <c r="C558" s="21" t="s">
        <v>81</v>
      </c>
      <c r="D558" s="21" t="n">
        <v>0</v>
      </c>
      <c r="E558" s="20" t="n">
        <v>1183.7</v>
      </c>
    </row>
    <row r="559" customFormat="false" ht="15" hidden="false" customHeight="false" outlineLevel="0" collapsed="false">
      <c r="A559" s="19" t="n">
        <v>46318.8680555556</v>
      </c>
      <c r="B559" s="21" t="s">
        <v>81</v>
      </c>
      <c r="C559" s="21" t="s">
        <v>81</v>
      </c>
      <c r="D559" s="21" t="n">
        <v>0</v>
      </c>
      <c r="E559" s="20" t="n">
        <v>1169.4</v>
      </c>
    </row>
    <row r="560" customFormat="false" ht="15" hidden="false" customHeight="false" outlineLevel="0" collapsed="false">
      <c r="A560" s="19" t="n">
        <v>46318.875</v>
      </c>
      <c r="B560" s="21" t="s">
        <v>81</v>
      </c>
      <c r="C560" s="21" t="s">
        <v>81</v>
      </c>
      <c r="D560" s="21" t="n">
        <v>0</v>
      </c>
      <c r="E560" s="20" t="n">
        <v>1188.5</v>
      </c>
    </row>
    <row r="561" customFormat="false" ht="15" hidden="false" customHeight="false" outlineLevel="0" collapsed="false">
      <c r="A561" s="19" t="n">
        <v>46318.8819444445</v>
      </c>
      <c r="B561" s="21" t="s">
        <v>81</v>
      </c>
      <c r="C561" s="21" t="s">
        <v>81</v>
      </c>
      <c r="D561" s="21" t="n">
        <v>0</v>
      </c>
      <c r="E561" s="20" t="n">
        <v>1192.3</v>
      </c>
    </row>
    <row r="562" customFormat="false" ht="15" hidden="false" customHeight="false" outlineLevel="0" collapsed="false">
      <c r="A562" s="19" t="n">
        <v>46318.8888888889</v>
      </c>
      <c r="B562" s="21" t="s">
        <v>81</v>
      </c>
      <c r="C562" s="21" t="s">
        <v>81</v>
      </c>
      <c r="D562" s="21" t="n">
        <v>0</v>
      </c>
      <c r="E562" s="20" t="n">
        <v>1212.1</v>
      </c>
    </row>
    <row r="563" customFormat="false" ht="15" hidden="false" customHeight="false" outlineLevel="0" collapsed="false">
      <c r="A563" s="19" t="n">
        <v>46318.8958333333</v>
      </c>
      <c r="B563" s="21" t="s">
        <v>81</v>
      </c>
      <c r="C563" s="21" t="s">
        <v>81</v>
      </c>
      <c r="D563" s="21" t="n">
        <v>0</v>
      </c>
      <c r="E563" s="20" t="n">
        <v>1166.4</v>
      </c>
    </row>
    <row r="564" customFormat="false" ht="15" hidden="false" customHeight="false" outlineLevel="0" collapsed="false">
      <c r="A564" s="19" t="n">
        <v>46318.9027777778</v>
      </c>
      <c r="B564" s="21" t="s">
        <v>81</v>
      </c>
      <c r="C564" s="21" t="s">
        <v>81</v>
      </c>
      <c r="D564" s="21" t="n">
        <v>0</v>
      </c>
      <c r="E564" s="20" t="n">
        <v>1178.8</v>
      </c>
    </row>
    <row r="565" customFormat="false" ht="15" hidden="false" customHeight="false" outlineLevel="0" collapsed="false">
      <c r="A565" s="19" t="n">
        <v>46318.9097222222</v>
      </c>
      <c r="B565" s="21" t="s">
        <v>81</v>
      </c>
      <c r="C565" s="21" t="s">
        <v>81</v>
      </c>
      <c r="D565" s="21" t="n">
        <v>0</v>
      </c>
      <c r="E565" s="20" t="n">
        <v>1198.1</v>
      </c>
    </row>
    <row r="566" customFormat="false" ht="15" hidden="false" customHeight="false" outlineLevel="0" collapsed="false">
      <c r="A566" s="19" t="n">
        <v>46318.9166666667</v>
      </c>
      <c r="B566" s="21" t="s">
        <v>81</v>
      </c>
      <c r="C566" s="21" t="s">
        <v>81</v>
      </c>
      <c r="D566" s="21" t="n">
        <v>0</v>
      </c>
      <c r="E566" s="20" t="n">
        <v>1185.8</v>
      </c>
    </row>
    <row r="567" customFormat="false" ht="15" hidden="false" customHeight="false" outlineLevel="0" collapsed="false">
      <c r="A567" s="19" t="n">
        <v>46318.9236111111</v>
      </c>
      <c r="B567" s="21" t="s">
        <v>81</v>
      </c>
      <c r="C567" s="21" t="s">
        <v>81</v>
      </c>
      <c r="D567" s="21" t="n">
        <v>0</v>
      </c>
      <c r="E567" s="20" t="n">
        <v>1185.4</v>
      </c>
    </row>
    <row r="568" customFormat="false" ht="15" hidden="false" customHeight="false" outlineLevel="0" collapsed="false">
      <c r="A568" s="19" t="n">
        <v>46318.9305555556</v>
      </c>
      <c r="B568" s="21" t="s">
        <v>81</v>
      </c>
      <c r="C568" s="21" t="s">
        <v>81</v>
      </c>
      <c r="D568" s="21" t="n">
        <v>0</v>
      </c>
      <c r="E568" s="20" t="n">
        <v>1189.6</v>
      </c>
    </row>
    <row r="569" customFormat="false" ht="15" hidden="false" customHeight="false" outlineLevel="0" collapsed="false">
      <c r="A569" s="19" t="n">
        <v>46318.9375</v>
      </c>
      <c r="B569" s="21" t="s">
        <v>81</v>
      </c>
      <c r="C569" s="21" t="s">
        <v>81</v>
      </c>
      <c r="D569" s="21" t="n">
        <v>0</v>
      </c>
      <c r="E569" s="20" t="n">
        <v>1172.6</v>
      </c>
    </row>
    <row r="570" customFormat="false" ht="15" hidden="false" customHeight="false" outlineLevel="0" collapsed="false">
      <c r="A570" s="19" t="n">
        <v>46318.9444444445</v>
      </c>
      <c r="B570" s="21" t="s">
        <v>81</v>
      </c>
      <c r="C570" s="21" t="s">
        <v>81</v>
      </c>
      <c r="D570" s="21" t="n">
        <v>0</v>
      </c>
      <c r="E570" s="20" t="n">
        <v>1170</v>
      </c>
    </row>
    <row r="571" customFormat="false" ht="15" hidden="false" customHeight="false" outlineLevel="0" collapsed="false">
      <c r="A571" s="19" t="n">
        <v>46318.9513888889</v>
      </c>
      <c r="B571" s="21" t="s">
        <v>81</v>
      </c>
      <c r="C571" s="21" t="s">
        <v>81</v>
      </c>
      <c r="D571" s="21" t="n">
        <v>0</v>
      </c>
      <c r="E571" s="20" t="n">
        <v>1201</v>
      </c>
    </row>
    <row r="572" customFormat="false" ht="15" hidden="false" customHeight="false" outlineLevel="0" collapsed="false">
      <c r="A572" s="19" t="n">
        <v>46318.9583333333</v>
      </c>
      <c r="B572" s="21" t="s">
        <v>81</v>
      </c>
      <c r="C572" s="21" t="s">
        <v>81</v>
      </c>
      <c r="D572" s="21" t="n">
        <v>0</v>
      </c>
      <c r="E572" s="20" t="n">
        <v>1162.6</v>
      </c>
    </row>
    <row r="573" customFormat="false" ht="15" hidden="false" customHeight="false" outlineLevel="0" collapsed="false">
      <c r="A573" s="19" t="n">
        <v>46318.9652777778</v>
      </c>
      <c r="B573" s="21" t="s">
        <v>81</v>
      </c>
      <c r="C573" s="21" t="s">
        <v>81</v>
      </c>
      <c r="D573" s="21" t="n">
        <v>0</v>
      </c>
      <c r="E573" s="20" t="n">
        <v>1219.1</v>
      </c>
    </row>
    <row r="574" customFormat="false" ht="15" hidden="false" customHeight="false" outlineLevel="0" collapsed="false">
      <c r="A574" s="19" t="n">
        <v>46318.9722222222</v>
      </c>
      <c r="B574" s="21" t="s">
        <v>81</v>
      </c>
      <c r="C574" s="21" t="s">
        <v>81</v>
      </c>
      <c r="D574" s="21" t="n">
        <v>0</v>
      </c>
      <c r="E574" s="20" t="n">
        <v>1195.4</v>
      </c>
    </row>
    <row r="575" customFormat="false" ht="15" hidden="false" customHeight="false" outlineLevel="0" collapsed="false">
      <c r="A575" s="19" t="n">
        <v>46318.9791666667</v>
      </c>
      <c r="B575" s="21" t="s">
        <v>81</v>
      </c>
      <c r="C575" s="21" t="s">
        <v>81</v>
      </c>
      <c r="D575" s="21" t="n">
        <v>0</v>
      </c>
      <c r="E575" s="20" t="n">
        <v>1158.1</v>
      </c>
    </row>
    <row r="576" customFormat="false" ht="15" hidden="false" customHeight="false" outlineLevel="0" collapsed="false">
      <c r="A576" s="19" t="n">
        <v>46318.9861111111</v>
      </c>
      <c r="B576" s="21" t="s">
        <v>81</v>
      </c>
      <c r="C576" s="21" t="s">
        <v>81</v>
      </c>
      <c r="D576" s="21" t="n">
        <v>0</v>
      </c>
      <c r="E576" s="20" t="n">
        <v>1197.1</v>
      </c>
    </row>
    <row r="577" customFormat="false" ht="15" hidden="false" customHeight="false" outlineLevel="0" collapsed="false">
      <c r="A577" s="19" t="n">
        <v>46318.9930555556</v>
      </c>
      <c r="B577" s="21" t="s">
        <v>81</v>
      </c>
      <c r="C577" s="21" t="s">
        <v>81</v>
      </c>
      <c r="D577" s="21" t="n">
        <v>0</v>
      </c>
      <c r="E577" s="20" t="n">
        <v>1194.2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4" min="3" style="0" width="18"/>
    <col collapsed="false" customWidth="true" hidden="false" outlineLevel="0" max="5" min="5" style="0" width="11"/>
    <col collapsed="false" customWidth="true" hidden="false" outlineLevel="0" max="9" min="6" style="0" width="13"/>
    <col collapsed="false" customWidth="true" hidden="false" outlineLevel="0" max="10" min="10" style="0" width="40"/>
    <col collapsed="false" customWidth="true" hidden="false" outlineLevel="0" max="11" min="11" style="0" width="14"/>
    <col collapsed="false" customWidth="true" hidden="false" outlineLevel="0" max="12" min="12" style="0" width="11"/>
    <col collapsed="false" customWidth="true" hidden="false" outlineLevel="0" max="14" min="13" style="0" width="13"/>
    <col collapsed="false" customWidth="true" hidden="true" outlineLevel="0" max="21" min="15" style="0" width="8"/>
  </cols>
  <sheetData>
    <row r="1" customFormat="false" ht="45" hidden="false" customHeight="true" outlineLevel="0" collapsed="false">
      <c r="A1" s="15" t="s">
        <v>83</v>
      </c>
      <c r="B1" s="15" t="s">
        <v>84</v>
      </c>
      <c r="C1" s="15" t="s">
        <v>85</v>
      </c>
      <c r="D1" s="15" t="s">
        <v>86</v>
      </c>
      <c r="E1" s="15" t="s">
        <v>87</v>
      </c>
      <c r="F1" s="15" t="s">
        <v>88</v>
      </c>
      <c r="G1" s="15" t="s">
        <v>89</v>
      </c>
      <c r="H1" s="15" t="s">
        <v>90</v>
      </c>
      <c r="I1" s="15" t="s">
        <v>91</v>
      </c>
      <c r="J1" s="15" t="s">
        <v>92</v>
      </c>
      <c r="K1" s="15" t="s">
        <v>93</v>
      </c>
      <c r="L1" s="15" t="s">
        <v>94</v>
      </c>
      <c r="M1" s="15" t="s">
        <v>95</v>
      </c>
      <c r="N1" s="15" t="s">
        <v>96</v>
      </c>
      <c r="O1" s="15" t="s">
        <v>97</v>
      </c>
      <c r="P1" s="15" t="s">
        <v>98</v>
      </c>
      <c r="Q1" s="15" t="s">
        <v>99</v>
      </c>
      <c r="R1" s="15" t="s">
        <v>100</v>
      </c>
      <c r="S1" s="15" t="s">
        <v>101</v>
      </c>
      <c r="T1" s="15" t="s">
        <v>102</v>
      </c>
      <c r="U1" s="15" t="s">
        <v>103</v>
      </c>
    </row>
    <row r="2" customFormat="false" ht="15" hidden="false" customHeight="false" outlineLevel="0" collapsed="false">
      <c r="A2" s="22" t="n">
        <f aca="false">IF(MES!A2="","",MES!A2)</f>
        <v>46315.0833333333</v>
      </c>
      <c r="B2" s="23" t="n">
        <f aca="false">IF(A2="","",MES!B2)</f>
        <v>304</v>
      </c>
      <c r="C2" s="22" t="n">
        <f aca="false">IF(A2="","",A2+Parametros!$B$3/24)</f>
        <v>46315</v>
      </c>
      <c r="D2" s="22" t="n">
        <f aca="false">IF(A2="","",C2+Parametros!$B$2/24)</f>
        <v>46315.0833333333</v>
      </c>
      <c r="E2" s="24" t="n">
        <f aca="false">IF(A2="","",COUNTIFS(Modulo!$A$2:$A$5001,"&gt;="&amp;C2,Modulo!$A$2:$A$5001,"&lt;"&amp;D2,Modulo!$D$2:$D$5001,Parametros!$B$7))</f>
        <v>3</v>
      </c>
      <c r="F2" s="23" t="n">
        <f aca="false">IF(A2="","",IF(E2=0,"",AVERAGEIFS(Modulo!$B$2:$B$5001,Modulo!$A$2:$A$5001,"&gt;="&amp;C2,Modulo!$A$2:$A$5001,"&lt;"&amp;D2,Modulo!$D$2:$D$5001,Parametros!$B$7)))</f>
        <v>303.533333333333</v>
      </c>
      <c r="G2" s="23" t="n">
        <f aca="false">IF(A2="","",IF(E2=0,"",AVERAGEIFS(Modulo!$C$2:$C$5001,Modulo!$A$2:$A$5001,"&gt;="&amp;C2,Modulo!$A$2:$A$5001,"&lt;"&amp;D2,Modulo!$D$2:$D$5001,Parametros!$B$7)))</f>
        <v>50.6</v>
      </c>
      <c r="H2" s="25" t="n">
        <f aca="false">IF(A2="","",IFERROR(COUNTIFS(Amostragem!$A$2:$A$15003,"&gt;="&amp;C2,Amostragem!$A$2:$A$15003,"&lt;"&amp;D2,Amostragem!$B$2:$B$15003,"Automático",Amostragem!$C$2:$C$15003,"Automático",Amostragem!$D$2:$D$15003,0)/COUNTIFS(Amostragem!$A$2:$A$15003,"&gt;="&amp;C2,Amostragem!$A$2:$A$15003,"&lt;"&amp;D2),0))</f>
        <v>1</v>
      </c>
      <c r="I2" s="23" t="n">
        <f aca="false">IF(A2="","",IFERROR(AVERAGEIFS(Amostragem!$E$2:$E$15003,Amostragem!$A$2:$A$15003,"&gt;="&amp;C2,Amostragem!$A$2:$A$15003,"&lt;"&amp;D2),""))</f>
        <v>1191.38333333333</v>
      </c>
      <c r="J2" s="24" t="str">
        <f aca="false">IF(A2="","",IF(B2="","Inválida: sem resultado MES",IF(E2&lt;Parametros!$B$4,"Inválida: poucos ensaios do módulo",IF(H2&lt;Parametros!$B$5,"Inválida: amostragem em manual ou em falha",IF(OR(I2="",I2&lt;Parametros!$B$6),"Inválida: usina parada ou baixa alimentação","Válida")))))</f>
        <v>Válida</v>
      </c>
      <c r="K2" s="23" t="n">
        <f aca="false">IF(J2="Válida",F2-B2,"")</f>
        <v>-0.46666666666664</v>
      </c>
      <c r="L2" s="26" t="n">
        <f aca="false">IF(J2="Válida",K2/B2,"")</f>
        <v>-0.00153508771929816</v>
      </c>
      <c r="M2" s="23" t="n">
        <f aca="false">IF(J2="Válida",(F2+B2)/2,"")</f>
        <v>303.766666666667</v>
      </c>
      <c r="N2" s="24" t="str">
        <f aca="false">IF(K2="","",IF(OR(K2&gt;Resumo!$B$16,K2&lt;Resumo!$B$15),"Sim","Não"))</f>
        <v>Não</v>
      </c>
      <c r="O2" s="22" t="n">
        <f aca="false">IF(A2="",NA(),A2)</f>
        <v>46315.0833333333</v>
      </c>
      <c r="P2" s="23" t="n">
        <f aca="false">IF(A2="",NA(),B2)</f>
        <v>304</v>
      </c>
      <c r="Q2" s="23" t="n">
        <f aca="false">IF(F2="",NA(),F2)</f>
        <v>303.533333333333</v>
      </c>
      <c r="R2" s="23" t="n">
        <f aca="false">IF(K2="",NA(),K2)</f>
        <v>-0.46666666666664</v>
      </c>
      <c r="S2" s="23" t="n">
        <f aca="false">IF(M2="",NA(),M2)</f>
        <v>303.766666666667</v>
      </c>
      <c r="T2" s="23" t="n">
        <f aca="false">IF(J2="Válida",B2,"")</f>
        <v>304</v>
      </c>
      <c r="U2" s="23" t="n">
        <f aca="false">IF(J2="Válida",F2,"")</f>
        <v>303.533333333333</v>
      </c>
    </row>
    <row r="3" customFormat="false" ht="15" hidden="false" customHeight="false" outlineLevel="0" collapsed="false">
      <c r="A3" s="22" t="n">
        <f aca="false">IF(MES!A3="","",MES!A3)</f>
        <v>46315.1666666667</v>
      </c>
      <c r="B3" s="23" t="n">
        <f aca="false">IF(A3="","",MES!B3)</f>
        <v>309</v>
      </c>
      <c r="C3" s="22" t="n">
        <f aca="false">IF(A3="","",A3+Parametros!$B$3/24)</f>
        <v>46315.0833333333</v>
      </c>
      <c r="D3" s="22" t="n">
        <f aca="false">IF(A3="","",C3+Parametros!$B$2/24)</f>
        <v>46315.1666666667</v>
      </c>
      <c r="E3" s="24" t="n">
        <f aca="false">IF(A3="","",COUNTIFS(Modulo!$A$2:$A$5001,"&gt;="&amp;C3,Modulo!$A$2:$A$5001,"&lt;"&amp;D3,Modulo!$D$2:$D$5001,Parametros!$B$7))</f>
        <v>2</v>
      </c>
      <c r="F3" s="23" t="n">
        <f aca="false">IF(A3="","",IF(E3=0,"",AVERAGEIFS(Modulo!$B$2:$B$5001,Modulo!$A$2:$A$5001,"&gt;="&amp;C3,Modulo!$A$2:$A$5001,"&lt;"&amp;D3,Modulo!$D$2:$D$5001,Parametros!$B$7)))</f>
        <v>318.15</v>
      </c>
      <c r="G3" s="23" t="n">
        <f aca="false">IF(A3="","",IF(E3=0,"",AVERAGEIFS(Modulo!$C$2:$C$5001,Modulo!$A$2:$A$5001,"&gt;="&amp;C3,Modulo!$A$2:$A$5001,"&lt;"&amp;D3,Modulo!$D$2:$D$5001,Parametros!$B$7)))</f>
        <v>55.5</v>
      </c>
      <c r="H3" s="25" t="n">
        <f aca="false">IF(A3="","",IFERROR(COUNTIFS(Amostragem!$A$2:$A$15003,"&gt;="&amp;C3,Amostragem!$A$2:$A$15003,"&lt;"&amp;D3,Amostragem!$B$2:$B$15003,"Automático",Amostragem!$C$2:$C$15003,"Automático",Amostragem!$D$2:$D$15003,0)/COUNTIFS(Amostragem!$A$2:$A$15003,"&gt;="&amp;C3,Amostragem!$A$2:$A$15003,"&lt;"&amp;D3),0))</f>
        <v>1</v>
      </c>
      <c r="I3" s="23" t="n">
        <f aca="false">IF(A3="","",IFERROR(AVERAGEIFS(Amostragem!$E$2:$E$15003,Amostragem!$A$2:$A$15003,"&gt;="&amp;C3,Amostragem!$A$2:$A$15003,"&lt;"&amp;D3),""))</f>
        <v>1178.975</v>
      </c>
      <c r="J3" s="24" t="str">
        <f aca="false">IF(A3="","",IF(B3="","Inválida: sem resultado MES",IF(E3&lt;Parametros!$B$4,"Inválida: poucos ensaios do módulo",IF(H3&lt;Parametros!$B$5,"Inválida: amostragem em manual ou em falha",IF(OR(I3="",I3&lt;Parametros!$B$6),"Inválida: usina parada ou baixa alimentação","Válida")))))</f>
        <v>Inválida: poucos ensaios do módulo</v>
      </c>
      <c r="K3" s="23" t="str">
        <f aca="false">IF(J3="Válida",F3-B3,"")</f>
        <v/>
      </c>
      <c r="L3" s="26" t="str">
        <f aca="false">IF(J3="Válida",K3/B3,"")</f>
        <v/>
      </c>
      <c r="M3" s="23" t="str">
        <f aca="false">IF(J3="Válida",(F3+B3)/2,"")</f>
        <v/>
      </c>
      <c r="N3" s="24" t="str">
        <f aca="false">IF(K3="","",IF(OR(K3&gt;Resumo!$B$16,K3&lt;Resumo!$B$15),"Sim","Não"))</f>
        <v/>
      </c>
      <c r="O3" s="22" t="n">
        <f aca="false">IF(A3="",NA(),A3)</f>
        <v>46315.1666666667</v>
      </c>
      <c r="P3" s="23" t="n">
        <f aca="false">IF(A3="",NA(),B3)</f>
        <v>309</v>
      </c>
      <c r="Q3" s="23" t="n">
        <f aca="false">IF(F3="",NA(),F3)</f>
        <v>318.15</v>
      </c>
      <c r="R3" s="23" t="e">
        <f aca="false">IF(K3="",NA(),K3)</f>
        <v>#N/A</v>
      </c>
      <c r="S3" s="23" t="e">
        <f aca="false">IF(M3="",NA(),M3)</f>
        <v>#N/A</v>
      </c>
      <c r="T3" s="23" t="str">
        <f aca="false">IF(J3="Válida",B3,"")</f>
        <v/>
      </c>
      <c r="U3" s="23" t="str">
        <f aca="false">IF(J3="Válida",F3,"")</f>
        <v/>
      </c>
    </row>
    <row r="4" customFormat="false" ht="15" hidden="false" customHeight="false" outlineLevel="0" collapsed="false">
      <c r="A4" s="22" t="n">
        <f aca="false">IF(MES!A4="","",MES!A4)</f>
        <v>46315.25</v>
      </c>
      <c r="B4" s="23" t="n">
        <f aca="false">IF(A4="","",MES!B4)</f>
        <v>310</v>
      </c>
      <c r="C4" s="22" t="n">
        <f aca="false">IF(A4="","",A4+Parametros!$B$3/24)</f>
        <v>46315.1666666667</v>
      </c>
      <c r="D4" s="22" t="n">
        <f aca="false">IF(A4="","",C4+Parametros!$B$2/24)</f>
        <v>46315.25</v>
      </c>
      <c r="E4" s="24" t="n">
        <f aca="false">IF(A4="","",COUNTIFS(Modulo!$A$2:$A$5001,"&gt;="&amp;C4,Modulo!$A$2:$A$5001,"&lt;"&amp;D4,Modulo!$D$2:$D$5001,Parametros!$B$7))</f>
        <v>4</v>
      </c>
      <c r="F4" s="23" t="n">
        <f aca="false">IF(A4="","",IF(E4=0,"",AVERAGEIFS(Modulo!$B$2:$B$5001,Modulo!$A$2:$A$5001,"&gt;="&amp;C4,Modulo!$A$2:$A$5001,"&lt;"&amp;D4,Modulo!$D$2:$D$5001,Parametros!$B$7)))</f>
        <v>311.275</v>
      </c>
      <c r="G4" s="23" t="n">
        <f aca="false">IF(A4="","",IF(E4=0,"",AVERAGEIFS(Modulo!$C$2:$C$5001,Modulo!$A$2:$A$5001,"&gt;="&amp;C4,Modulo!$A$2:$A$5001,"&lt;"&amp;D4,Modulo!$D$2:$D$5001,Parametros!$B$7)))</f>
        <v>50.175</v>
      </c>
      <c r="H4" s="25" t="n">
        <f aca="false">IF(A4="","",IFERROR(COUNTIFS(Amostragem!$A$2:$A$15003,"&gt;="&amp;C4,Amostragem!$A$2:$A$15003,"&lt;"&amp;D4,Amostragem!$B$2:$B$15003,"Automático",Amostragem!$C$2:$C$15003,"Automático",Amostragem!$D$2:$D$15003,0)/COUNTIFS(Amostragem!$A$2:$A$15003,"&gt;="&amp;C4,Amostragem!$A$2:$A$15003,"&lt;"&amp;D4),0))</f>
        <v>1</v>
      </c>
      <c r="I4" s="23" t="n">
        <f aca="false">IF(A4="","",IFERROR(AVERAGEIFS(Amostragem!$E$2:$E$15003,Amostragem!$A$2:$A$15003,"&gt;="&amp;C4,Amostragem!$A$2:$A$15003,"&lt;"&amp;D4),""))</f>
        <v>1188.91666666667</v>
      </c>
      <c r="J4" s="24" t="str">
        <f aca="false">IF(A4="","",IF(B4="","Inválida: sem resultado MES",IF(E4&lt;Parametros!$B$4,"Inválida: poucos ensaios do módulo",IF(H4&lt;Parametros!$B$5,"Inválida: amostragem em manual ou em falha",IF(OR(I4="",I4&lt;Parametros!$B$6),"Inválida: usina parada ou baixa alimentação","Válida")))))</f>
        <v>Válida</v>
      </c>
      <c r="K4" s="23" t="n">
        <f aca="false">IF(J4="Válida",F4-B4,"")</f>
        <v>1.27499999999998</v>
      </c>
      <c r="L4" s="26" t="n">
        <f aca="false">IF(J4="Válida",K4/B4,"")</f>
        <v>0.00411290322580638</v>
      </c>
      <c r="M4" s="23" t="n">
        <f aca="false">IF(J4="Válida",(F4+B4)/2,"")</f>
        <v>310.6375</v>
      </c>
      <c r="N4" s="24" t="str">
        <f aca="false">IF(K4="","",IF(OR(K4&gt;Resumo!$B$16,K4&lt;Resumo!$B$15),"Sim","Não"))</f>
        <v>Não</v>
      </c>
      <c r="O4" s="22" t="n">
        <f aca="false">IF(A4="",NA(),A4)</f>
        <v>46315.25</v>
      </c>
      <c r="P4" s="23" t="n">
        <f aca="false">IF(A4="",NA(),B4)</f>
        <v>310</v>
      </c>
      <c r="Q4" s="23" t="n">
        <f aca="false">IF(F4="",NA(),F4)</f>
        <v>311.275</v>
      </c>
      <c r="R4" s="23" t="n">
        <f aca="false">IF(K4="",NA(),K4)</f>
        <v>1.27499999999998</v>
      </c>
      <c r="S4" s="23" t="n">
        <f aca="false">IF(M4="",NA(),M4)</f>
        <v>310.6375</v>
      </c>
      <c r="T4" s="23" t="n">
        <f aca="false">IF(J4="Válida",B4,"")</f>
        <v>310</v>
      </c>
      <c r="U4" s="23" t="n">
        <f aca="false">IF(J4="Válida",F4,"")</f>
        <v>311.275</v>
      </c>
    </row>
    <row r="5" customFormat="false" ht="15" hidden="false" customHeight="false" outlineLevel="0" collapsed="false">
      <c r="A5" s="22" t="n">
        <f aca="false">IF(MES!A5="","",MES!A5)</f>
        <v>46315.3333333333</v>
      </c>
      <c r="B5" s="23" t="n">
        <f aca="false">IF(A5="","",MES!B5)</f>
        <v>291</v>
      </c>
      <c r="C5" s="22" t="n">
        <f aca="false">IF(A5="","",A5+Parametros!$B$3/24)</f>
        <v>46315.25</v>
      </c>
      <c r="D5" s="22" t="n">
        <f aca="false">IF(A5="","",C5+Parametros!$B$2/24)</f>
        <v>46315.3333333333</v>
      </c>
      <c r="E5" s="24" t="n">
        <f aca="false">IF(A5="","",COUNTIFS(Modulo!$A$2:$A$5001,"&gt;="&amp;C5,Modulo!$A$2:$A$5001,"&lt;"&amp;D5,Modulo!$D$2:$D$5001,Parametros!$B$7))</f>
        <v>4</v>
      </c>
      <c r="F5" s="23" t="n">
        <f aca="false">IF(A5="","",IF(E5=0,"",AVERAGEIFS(Modulo!$B$2:$B$5001,Modulo!$A$2:$A$5001,"&gt;="&amp;C5,Modulo!$A$2:$A$5001,"&lt;"&amp;D5,Modulo!$D$2:$D$5001,Parametros!$B$7)))</f>
        <v>303.575</v>
      </c>
      <c r="G5" s="23" t="n">
        <f aca="false">IF(A5="","",IF(E5=0,"",AVERAGEIFS(Modulo!$C$2:$C$5001,Modulo!$A$2:$A$5001,"&gt;="&amp;C5,Modulo!$A$2:$A$5001,"&lt;"&amp;D5,Modulo!$D$2:$D$5001,Parametros!$B$7)))</f>
        <v>51.55</v>
      </c>
      <c r="H5" s="25" t="n">
        <f aca="false">IF(A5="","",IFERROR(COUNTIFS(Amostragem!$A$2:$A$15003,"&gt;="&amp;C5,Amostragem!$A$2:$A$15003,"&lt;"&amp;D5,Amostragem!$B$2:$B$15003,"Automático",Amostragem!$C$2:$C$15003,"Automático",Amostragem!$D$2:$D$15003,0)/COUNTIFS(Amostragem!$A$2:$A$15003,"&gt;="&amp;C5,Amostragem!$A$2:$A$15003,"&lt;"&amp;D5),0))</f>
        <v>1</v>
      </c>
      <c r="I5" s="23" t="n">
        <f aca="false">IF(A5="","",IFERROR(AVERAGEIFS(Amostragem!$E$2:$E$15003,Amostragem!$A$2:$A$15003,"&gt;="&amp;C5,Amostragem!$A$2:$A$15003,"&lt;"&amp;D5),""))</f>
        <v>1191.06666666667</v>
      </c>
      <c r="J5" s="24" t="str">
        <f aca="false">IF(A5="","",IF(B5="","Inválida: sem resultado MES",IF(E5&lt;Parametros!$B$4,"Inválida: poucos ensaios do módulo",IF(H5&lt;Parametros!$B$5,"Inválida: amostragem em manual ou em falha",IF(OR(I5="",I5&lt;Parametros!$B$6),"Inválida: usina parada ou baixa alimentação","Válida")))))</f>
        <v>Válida</v>
      </c>
      <c r="K5" s="23" t="n">
        <f aca="false">IF(J5="Válida",F5-B5,"")</f>
        <v>12.575</v>
      </c>
      <c r="L5" s="26" t="n">
        <f aca="false">IF(J5="Válida",K5/B5,"")</f>
        <v>0.0432130584192439</v>
      </c>
      <c r="M5" s="23" t="n">
        <f aca="false">IF(J5="Válida",(F5+B5)/2,"")</f>
        <v>297.2875</v>
      </c>
      <c r="N5" s="24" t="str">
        <f aca="false">IF(K5="","",IF(OR(K5&gt;Resumo!$B$16,K5&lt;Resumo!$B$15),"Sim","Não"))</f>
        <v>Não</v>
      </c>
      <c r="O5" s="22" t="n">
        <f aca="false">IF(A5="",NA(),A5)</f>
        <v>46315.3333333333</v>
      </c>
      <c r="P5" s="23" t="n">
        <f aca="false">IF(A5="",NA(),B5)</f>
        <v>291</v>
      </c>
      <c r="Q5" s="23" t="n">
        <f aca="false">IF(F5="",NA(),F5)</f>
        <v>303.575</v>
      </c>
      <c r="R5" s="23" t="n">
        <f aca="false">IF(K5="",NA(),K5)</f>
        <v>12.575</v>
      </c>
      <c r="S5" s="23" t="n">
        <f aca="false">IF(M5="",NA(),M5)</f>
        <v>297.2875</v>
      </c>
      <c r="T5" s="23" t="n">
        <f aca="false">IF(J5="Válida",B5,"")</f>
        <v>291</v>
      </c>
      <c r="U5" s="23" t="n">
        <f aca="false">IF(J5="Válida",F5,"")</f>
        <v>303.575</v>
      </c>
    </row>
    <row r="6" customFormat="false" ht="15" hidden="false" customHeight="false" outlineLevel="0" collapsed="false">
      <c r="A6" s="22" t="n">
        <f aca="false">IF(MES!A6="","",MES!A6)</f>
        <v>46315.4166666667</v>
      </c>
      <c r="B6" s="23" t="n">
        <f aca="false">IF(A6="","",MES!B6)</f>
        <v>315</v>
      </c>
      <c r="C6" s="22" t="n">
        <f aca="false">IF(A6="","",A6+Parametros!$B$3/24)</f>
        <v>46315.3333333333</v>
      </c>
      <c r="D6" s="22" t="n">
        <f aca="false">IF(A6="","",C6+Parametros!$B$2/24)</f>
        <v>46315.4166666667</v>
      </c>
      <c r="E6" s="24" t="n">
        <f aca="false">IF(A6="","",COUNTIFS(Modulo!$A$2:$A$5001,"&gt;="&amp;C6,Modulo!$A$2:$A$5001,"&lt;"&amp;D6,Modulo!$D$2:$D$5001,Parametros!$B$7))</f>
        <v>4</v>
      </c>
      <c r="F6" s="23" t="n">
        <f aca="false">IF(A6="","",IF(E6=0,"",AVERAGEIFS(Modulo!$B$2:$B$5001,Modulo!$A$2:$A$5001,"&gt;="&amp;C6,Modulo!$A$2:$A$5001,"&lt;"&amp;D6,Modulo!$D$2:$D$5001,Parametros!$B$7)))</f>
        <v>303.625</v>
      </c>
      <c r="G6" s="23" t="n">
        <f aca="false">IF(A6="","",IF(E6=0,"",AVERAGEIFS(Modulo!$C$2:$C$5001,Modulo!$A$2:$A$5001,"&gt;="&amp;C6,Modulo!$A$2:$A$5001,"&lt;"&amp;D6,Modulo!$D$2:$D$5001,Parametros!$B$7)))</f>
        <v>55.95</v>
      </c>
      <c r="H6" s="25" t="n">
        <f aca="false">IF(A6="","",IFERROR(COUNTIFS(Amostragem!$A$2:$A$15003,"&gt;="&amp;C6,Amostragem!$A$2:$A$15003,"&lt;"&amp;D6,Amostragem!$B$2:$B$15003,"Automático",Amostragem!$C$2:$C$15003,"Automático",Amostragem!$D$2:$D$15003,0)/COUNTIFS(Amostragem!$A$2:$A$15003,"&gt;="&amp;C6,Amostragem!$A$2:$A$15003,"&lt;"&amp;D6),0))</f>
        <v>1</v>
      </c>
      <c r="I6" s="23" t="n">
        <f aca="false">IF(A6="","",IFERROR(AVERAGEIFS(Amostragem!$E$2:$E$15003,Amostragem!$A$2:$A$15003,"&gt;="&amp;C6,Amostragem!$A$2:$A$15003,"&lt;"&amp;D6),""))</f>
        <v>1193.4</v>
      </c>
      <c r="J6" s="24" t="str">
        <f aca="false">IF(A6="","",IF(B6="","Inválida: sem resultado MES",IF(E6&lt;Parametros!$B$4,"Inválida: poucos ensaios do módulo",IF(H6&lt;Parametros!$B$5,"Inválida: amostragem em manual ou em falha",IF(OR(I6="",I6&lt;Parametros!$B$6),"Inválida: usina parada ou baixa alimentação","Válida")))))</f>
        <v>Válida</v>
      </c>
      <c r="K6" s="23" t="n">
        <f aca="false">IF(J6="Válida",F6-B6,"")</f>
        <v>-11.375</v>
      </c>
      <c r="L6" s="26" t="n">
        <f aca="false">IF(J6="Válida",K6/B6,"")</f>
        <v>-0.0361111111111111</v>
      </c>
      <c r="M6" s="23" t="n">
        <f aca="false">IF(J6="Válida",(F6+B6)/2,"")</f>
        <v>309.3125</v>
      </c>
      <c r="N6" s="24" t="str">
        <f aca="false">IF(K6="","",IF(OR(K6&gt;Resumo!$B$16,K6&lt;Resumo!$B$15),"Sim","Não"))</f>
        <v>Não</v>
      </c>
      <c r="O6" s="22" t="n">
        <f aca="false">IF(A6="",NA(),A6)</f>
        <v>46315.4166666667</v>
      </c>
      <c r="P6" s="23" t="n">
        <f aca="false">IF(A6="",NA(),B6)</f>
        <v>315</v>
      </c>
      <c r="Q6" s="23" t="n">
        <f aca="false">IF(F6="",NA(),F6)</f>
        <v>303.625</v>
      </c>
      <c r="R6" s="23" t="n">
        <f aca="false">IF(K6="",NA(),K6)</f>
        <v>-11.375</v>
      </c>
      <c r="S6" s="23" t="n">
        <f aca="false">IF(M6="",NA(),M6)</f>
        <v>309.3125</v>
      </c>
      <c r="T6" s="23" t="n">
        <f aca="false">IF(J6="Válida",B6,"")</f>
        <v>315</v>
      </c>
      <c r="U6" s="23" t="n">
        <f aca="false">IF(J6="Válida",F6,"")</f>
        <v>303.625</v>
      </c>
    </row>
    <row r="7" customFormat="false" ht="15" hidden="false" customHeight="false" outlineLevel="0" collapsed="false">
      <c r="A7" s="22" t="n">
        <f aca="false">IF(MES!A7="","",MES!A7)</f>
        <v>46315.5</v>
      </c>
      <c r="B7" s="23" t="n">
        <f aca="false">IF(A7="","",MES!B7)</f>
        <v>313</v>
      </c>
      <c r="C7" s="22" t="n">
        <f aca="false">IF(A7="","",A7+Parametros!$B$3/24)</f>
        <v>46315.4166666667</v>
      </c>
      <c r="D7" s="22" t="n">
        <f aca="false">IF(A7="","",C7+Parametros!$B$2/24)</f>
        <v>46315.5</v>
      </c>
      <c r="E7" s="24" t="n">
        <f aca="false">IF(A7="","",COUNTIFS(Modulo!$A$2:$A$5001,"&gt;="&amp;C7,Modulo!$A$2:$A$5001,"&lt;"&amp;D7,Modulo!$D$2:$D$5001,Parametros!$B$7))</f>
        <v>4</v>
      </c>
      <c r="F7" s="23" t="n">
        <f aca="false">IF(A7="","",IF(E7=0,"",AVERAGEIFS(Modulo!$B$2:$B$5001,Modulo!$A$2:$A$5001,"&gt;="&amp;C7,Modulo!$A$2:$A$5001,"&lt;"&amp;D7,Modulo!$D$2:$D$5001,Parametros!$B$7)))</f>
        <v>306.55</v>
      </c>
      <c r="G7" s="23" t="n">
        <f aca="false">IF(A7="","",IF(E7=0,"",AVERAGEIFS(Modulo!$C$2:$C$5001,Modulo!$A$2:$A$5001,"&gt;="&amp;C7,Modulo!$A$2:$A$5001,"&lt;"&amp;D7,Modulo!$D$2:$D$5001,Parametros!$B$7)))</f>
        <v>50.25</v>
      </c>
      <c r="H7" s="25" t="n">
        <f aca="false">IF(A7="","",IFERROR(COUNTIFS(Amostragem!$A$2:$A$15003,"&gt;="&amp;C7,Amostragem!$A$2:$A$15003,"&lt;"&amp;D7,Amostragem!$B$2:$B$15003,"Automático",Amostragem!$C$2:$C$15003,"Automático",Amostragem!$D$2:$D$15003,0)/COUNTIFS(Amostragem!$A$2:$A$15003,"&gt;="&amp;C7,Amostragem!$A$2:$A$15003,"&lt;"&amp;D7),0))</f>
        <v>1</v>
      </c>
      <c r="I7" s="23" t="n">
        <f aca="false">IF(A7="","",IFERROR(AVERAGEIFS(Amostragem!$E$2:$E$15003,Amostragem!$A$2:$A$15003,"&gt;="&amp;C7,Amostragem!$A$2:$A$15003,"&lt;"&amp;D7),""))</f>
        <v>1183.96666666667</v>
      </c>
      <c r="J7" s="24" t="str">
        <f aca="false">IF(A7="","",IF(B7="","Inválida: sem resultado MES",IF(E7&lt;Parametros!$B$4,"Inválida: poucos ensaios do módulo",IF(H7&lt;Parametros!$B$5,"Inválida: amostragem em manual ou em falha",IF(OR(I7="",I7&lt;Parametros!$B$6),"Inválida: usina parada ou baixa alimentação","Válida")))))</f>
        <v>Válida</v>
      </c>
      <c r="K7" s="23" t="n">
        <f aca="false">IF(J7="Válida",F7-B7,"")</f>
        <v>-6.44999999999999</v>
      </c>
      <c r="L7" s="26" t="n">
        <f aca="false">IF(J7="Válida",K7/B7,"")</f>
        <v>-0.0206070287539936</v>
      </c>
      <c r="M7" s="23" t="n">
        <f aca="false">IF(J7="Válida",(F7+B7)/2,"")</f>
        <v>309.775</v>
      </c>
      <c r="N7" s="24" t="str">
        <f aca="false">IF(K7="","",IF(OR(K7&gt;Resumo!$B$16,K7&lt;Resumo!$B$15),"Sim","Não"))</f>
        <v>Não</v>
      </c>
      <c r="O7" s="22" t="n">
        <f aca="false">IF(A7="",NA(),A7)</f>
        <v>46315.5</v>
      </c>
      <c r="P7" s="23" t="n">
        <f aca="false">IF(A7="",NA(),B7)</f>
        <v>313</v>
      </c>
      <c r="Q7" s="23" t="n">
        <f aca="false">IF(F7="",NA(),F7)</f>
        <v>306.55</v>
      </c>
      <c r="R7" s="23" t="n">
        <f aca="false">IF(K7="",NA(),K7)</f>
        <v>-6.44999999999999</v>
      </c>
      <c r="S7" s="23" t="n">
        <f aca="false">IF(M7="",NA(),M7)</f>
        <v>309.775</v>
      </c>
      <c r="T7" s="23" t="n">
        <f aca="false">IF(J7="Válida",B7,"")</f>
        <v>313</v>
      </c>
      <c r="U7" s="23" t="n">
        <f aca="false">IF(J7="Válida",F7,"")</f>
        <v>306.55</v>
      </c>
    </row>
    <row r="8" customFormat="false" ht="15" hidden="false" customHeight="false" outlineLevel="0" collapsed="false">
      <c r="A8" s="22" t="n">
        <f aca="false">IF(MES!A8="","",MES!A8)</f>
        <v>46315.5833333333</v>
      </c>
      <c r="B8" s="23" t="n">
        <f aca="false">IF(A8="","",MES!B8)</f>
        <v>299</v>
      </c>
      <c r="C8" s="22" t="n">
        <f aca="false">IF(A8="","",A8+Parametros!$B$3/24)</f>
        <v>46315.5</v>
      </c>
      <c r="D8" s="22" t="n">
        <f aca="false">IF(A8="","",C8+Parametros!$B$2/24)</f>
        <v>46315.5833333333</v>
      </c>
      <c r="E8" s="24" t="n">
        <f aca="false">IF(A8="","",COUNTIFS(Modulo!$A$2:$A$5001,"&gt;="&amp;C8,Modulo!$A$2:$A$5001,"&lt;"&amp;D8,Modulo!$D$2:$D$5001,Parametros!$B$7))</f>
        <v>4</v>
      </c>
      <c r="F8" s="23" t="n">
        <f aca="false">IF(A8="","",IF(E8=0,"",AVERAGEIFS(Modulo!$B$2:$B$5001,Modulo!$A$2:$A$5001,"&gt;="&amp;C8,Modulo!$A$2:$A$5001,"&lt;"&amp;D8,Modulo!$D$2:$D$5001,Parametros!$B$7)))</f>
        <v>307.35</v>
      </c>
      <c r="G8" s="23" t="n">
        <f aca="false">IF(A8="","",IF(E8=0,"",AVERAGEIFS(Modulo!$C$2:$C$5001,Modulo!$A$2:$A$5001,"&gt;="&amp;C8,Modulo!$A$2:$A$5001,"&lt;"&amp;D8,Modulo!$D$2:$D$5001,Parametros!$B$7)))</f>
        <v>57.475</v>
      </c>
      <c r="H8" s="25" t="n">
        <f aca="false">IF(A8="","",IFERROR(COUNTIFS(Amostragem!$A$2:$A$15003,"&gt;="&amp;C8,Amostragem!$A$2:$A$15003,"&lt;"&amp;D8,Amostragem!$B$2:$B$15003,"Automático",Amostragem!$C$2:$C$15003,"Automático",Amostragem!$D$2:$D$15003,0)/COUNTIFS(Amostragem!$A$2:$A$15003,"&gt;="&amp;C8,Amostragem!$A$2:$A$15003,"&lt;"&amp;D8),0))</f>
        <v>1</v>
      </c>
      <c r="I8" s="23" t="n">
        <f aca="false">IF(A8="","",IFERROR(AVERAGEIFS(Amostragem!$E$2:$E$15003,Amostragem!$A$2:$A$15003,"&gt;="&amp;C8,Amostragem!$A$2:$A$15003,"&lt;"&amp;D8),""))</f>
        <v>1179.93333333333</v>
      </c>
      <c r="J8" s="24" t="str">
        <f aca="false">IF(A8="","",IF(B8="","Inválida: sem resultado MES",IF(E8&lt;Parametros!$B$4,"Inválida: poucos ensaios do módulo",IF(H8&lt;Parametros!$B$5,"Inválida: amostragem em manual ou em falha",IF(OR(I8="",I8&lt;Parametros!$B$6),"Inválida: usina parada ou baixa alimentação","Válida")))))</f>
        <v>Válida</v>
      </c>
      <c r="K8" s="23" t="n">
        <f aca="false">IF(J8="Válida",F8-B8,"")</f>
        <v>8.35000000000002</v>
      </c>
      <c r="L8" s="26" t="n">
        <f aca="false">IF(J8="Válida",K8/B8,"")</f>
        <v>0.0279264214046824</v>
      </c>
      <c r="M8" s="23" t="n">
        <f aca="false">IF(J8="Válida",(F8+B8)/2,"")</f>
        <v>303.175</v>
      </c>
      <c r="N8" s="24" t="str">
        <f aca="false">IF(K8="","",IF(OR(K8&gt;Resumo!$B$16,K8&lt;Resumo!$B$15),"Sim","Não"))</f>
        <v>Não</v>
      </c>
      <c r="O8" s="22" t="n">
        <f aca="false">IF(A8="",NA(),A8)</f>
        <v>46315.5833333333</v>
      </c>
      <c r="P8" s="23" t="n">
        <f aca="false">IF(A8="",NA(),B8)</f>
        <v>299</v>
      </c>
      <c r="Q8" s="23" t="n">
        <f aca="false">IF(F8="",NA(),F8)</f>
        <v>307.35</v>
      </c>
      <c r="R8" s="23" t="n">
        <f aca="false">IF(K8="",NA(),K8)</f>
        <v>8.35000000000002</v>
      </c>
      <c r="S8" s="23" t="n">
        <f aca="false">IF(M8="",NA(),M8)</f>
        <v>303.175</v>
      </c>
      <c r="T8" s="23" t="n">
        <f aca="false">IF(J8="Válida",B8,"")</f>
        <v>299</v>
      </c>
      <c r="U8" s="23" t="n">
        <f aca="false">IF(J8="Válida",F8,"")</f>
        <v>307.35</v>
      </c>
    </row>
    <row r="9" customFormat="false" ht="15" hidden="false" customHeight="false" outlineLevel="0" collapsed="false">
      <c r="A9" s="22" t="n">
        <f aca="false">IF(MES!A9="","",MES!A9)</f>
        <v>46315.6666666667</v>
      </c>
      <c r="B9" s="23" t="n">
        <f aca="false">IF(A9="","",MES!B9)</f>
        <v>294</v>
      </c>
      <c r="C9" s="22" t="n">
        <f aca="false">IF(A9="","",A9+Parametros!$B$3/24)</f>
        <v>46315.5833333333</v>
      </c>
      <c r="D9" s="22" t="n">
        <f aca="false">IF(A9="","",C9+Parametros!$B$2/24)</f>
        <v>46315.6666666667</v>
      </c>
      <c r="E9" s="24" t="n">
        <f aca="false">IF(A9="","",COUNTIFS(Modulo!$A$2:$A$5001,"&gt;="&amp;C9,Modulo!$A$2:$A$5001,"&lt;"&amp;D9,Modulo!$D$2:$D$5001,Parametros!$B$7))</f>
        <v>4</v>
      </c>
      <c r="F9" s="23" t="n">
        <f aca="false">IF(A9="","",IF(E9=0,"",AVERAGEIFS(Modulo!$B$2:$B$5001,Modulo!$A$2:$A$5001,"&gt;="&amp;C9,Modulo!$A$2:$A$5001,"&lt;"&amp;D9,Modulo!$D$2:$D$5001,Parametros!$B$7)))</f>
        <v>304.575</v>
      </c>
      <c r="G9" s="23" t="n">
        <f aca="false">IF(A9="","",IF(E9=0,"",AVERAGEIFS(Modulo!$C$2:$C$5001,Modulo!$A$2:$A$5001,"&gt;="&amp;C9,Modulo!$A$2:$A$5001,"&lt;"&amp;D9,Modulo!$D$2:$D$5001,Parametros!$B$7)))</f>
        <v>53.5</v>
      </c>
      <c r="H9" s="25" t="n">
        <f aca="false">IF(A9="","",IFERROR(COUNTIFS(Amostragem!$A$2:$A$15003,"&gt;="&amp;C9,Amostragem!$A$2:$A$15003,"&lt;"&amp;D9,Amostragem!$B$2:$B$15003,"Automático",Amostragem!$C$2:$C$15003,"Automático",Amostragem!$D$2:$D$15003,0)/COUNTIFS(Amostragem!$A$2:$A$15003,"&gt;="&amp;C9,Amostragem!$A$2:$A$15003,"&lt;"&amp;D9),0))</f>
        <v>1</v>
      </c>
      <c r="I9" s="23" t="n">
        <f aca="false">IF(A9="","",IFERROR(AVERAGEIFS(Amostragem!$E$2:$E$15003,Amostragem!$A$2:$A$15003,"&gt;="&amp;C9,Amostragem!$A$2:$A$15003,"&lt;"&amp;D9),""))</f>
        <v>1185.61666666667</v>
      </c>
      <c r="J9" s="24" t="str">
        <f aca="false">IF(A9="","",IF(B9="","Inválida: sem resultado MES",IF(E9&lt;Parametros!$B$4,"Inválida: poucos ensaios do módulo",IF(H9&lt;Parametros!$B$5,"Inválida: amostragem em manual ou em falha",IF(OR(I9="",I9&lt;Parametros!$B$6),"Inválida: usina parada ou baixa alimentação","Válida")))))</f>
        <v>Válida</v>
      </c>
      <c r="K9" s="23" t="n">
        <f aca="false">IF(J9="Válida",F9-B9,"")</f>
        <v>10.575</v>
      </c>
      <c r="L9" s="26" t="n">
        <f aca="false">IF(J9="Válida",K9/B9,"")</f>
        <v>0.035969387755102</v>
      </c>
      <c r="M9" s="23" t="n">
        <f aca="false">IF(J9="Válida",(F9+B9)/2,"")</f>
        <v>299.2875</v>
      </c>
      <c r="N9" s="24" t="str">
        <f aca="false">IF(K9="","",IF(OR(K9&gt;Resumo!$B$16,K9&lt;Resumo!$B$15),"Sim","Não"))</f>
        <v>Não</v>
      </c>
      <c r="O9" s="22" t="n">
        <f aca="false">IF(A9="",NA(),A9)</f>
        <v>46315.6666666667</v>
      </c>
      <c r="P9" s="23" t="n">
        <f aca="false">IF(A9="",NA(),B9)</f>
        <v>294</v>
      </c>
      <c r="Q9" s="23" t="n">
        <f aca="false">IF(F9="",NA(),F9)</f>
        <v>304.575</v>
      </c>
      <c r="R9" s="23" t="n">
        <f aca="false">IF(K9="",NA(),K9)</f>
        <v>10.575</v>
      </c>
      <c r="S9" s="23" t="n">
        <f aca="false">IF(M9="",NA(),M9)</f>
        <v>299.2875</v>
      </c>
      <c r="T9" s="23" t="n">
        <f aca="false">IF(J9="Válida",B9,"")</f>
        <v>294</v>
      </c>
      <c r="U9" s="23" t="n">
        <f aca="false">IF(J9="Válida",F9,"")</f>
        <v>304.575</v>
      </c>
    </row>
    <row r="10" customFormat="false" ht="15" hidden="false" customHeight="false" outlineLevel="0" collapsed="false">
      <c r="A10" s="22" t="n">
        <f aca="false">IF(MES!A10="","",MES!A10)</f>
        <v>46315.75</v>
      </c>
      <c r="B10" s="23" t="n">
        <f aca="false">IF(A10="","",MES!B10)</f>
        <v>296</v>
      </c>
      <c r="C10" s="22" t="n">
        <f aca="false">IF(A10="","",A10+Parametros!$B$3/24)</f>
        <v>46315.6666666667</v>
      </c>
      <c r="D10" s="22" t="n">
        <f aca="false">IF(A10="","",C10+Parametros!$B$2/24)</f>
        <v>46315.75</v>
      </c>
      <c r="E10" s="24" t="n">
        <f aca="false">IF(A10="","",COUNTIFS(Modulo!$A$2:$A$5001,"&gt;="&amp;C10,Modulo!$A$2:$A$5001,"&lt;"&amp;D10,Modulo!$D$2:$D$5001,Parametros!$B$7))</f>
        <v>4</v>
      </c>
      <c r="F10" s="23" t="n">
        <f aca="false">IF(A10="","",IF(E10=0,"",AVERAGEIFS(Modulo!$B$2:$B$5001,Modulo!$A$2:$A$5001,"&gt;="&amp;C10,Modulo!$A$2:$A$5001,"&lt;"&amp;D10,Modulo!$D$2:$D$5001,Parametros!$B$7)))</f>
        <v>309.75</v>
      </c>
      <c r="G10" s="23" t="n">
        <f aca="false">IF(A10="","",IF(E10=0,"",AVERAGEIFS(Modulo!$C$2:$C$5001,Modulo!$A$2:$A$5001,"&gt;="&amp;C10,Modulo!$A$2:$A$5001,"&lt;"&amp;D10,Modulo!$D$2:$D$5001,Parametros!$B$7)))</f>
        <v>51.8</v>
      </c>
      <c r="H10" s="25" t="n">
        <f aca="false">IF(A10="","",IFERROR(COUNTIFS(Amostragem!$A$2:$A$15003,"&gt;="&amp;C10,Amostragem!$A$2:$A$15003,"&lt;"&amp;D10,Amostragem!$B$2:$B$15003,"Automático",Amostragem!$C$2:$C$15003,"Automático",Amostragem!$D$2:$D$15003,0)/COUNTIFS(Amostragem!$A$2:$A$15003,"&gt;="&amp;C10,Amostragem!$A$2:$A$15003,"&lt;"&amp;D10),0))</f>
        <v>1</v>
      </c>
      <c r="I10" s="23" t="n">
        <f aca="false">IF(A10="","",IFERROR(AVERAGEIFS(Amostragem!$E$2:$E$15003,Amostragem!$A$2:$A$15003,"&gt;="&amp;C10,Amostragem!$A$2:$A$15003,"&lt;"&amp;D10),""))</f>
        <v>1175.75833333333</v>
      </c>
      <c r="J10" s="24" t="str">
        <f aca="false">IF(A10="","",IF(B10="","Inválida: sem resultado MES",IF(E10&lt;Parametros!$B$4,"Inválida: poucos ensaios do módulo",IF(H10&lt;Parametros!$B$5,"Inválida: amostragem em manual ou em falha",IF(OR(I10="",I10&lt;Parametros!$B$6),"Inválida: usina parada ou baixa alimentação","Válida")))))</f>
        <v>Válida</v>
      </c>
      <c r="K10" s="23" t="n">
        <f aca="false">IF(J10="Válida",F10-B10,"")</f>
        <v>13.75</v>
      </c>
      <c r="L10" s="26" t="n">
        <f aca="false">IF(J10="Válida",K10/B10,"")</f>
        <v>0.0464527027027027</v>
      </c>
      <c r="M10" s="23" t="n">
        <f aca="false">IF(J10="Válida",(F10+B10)/2,"")</f>
        <v>302.875</v>
      </c>
      <c r="N10" s="24" t="str">
        <f aca="false">IF(K10="","",IF(OR(K10&gt;Resumo!$B$16,K10&lt;Resumo!$B$15),"Sim","Não"))</f>
        <v>Não</v>
      </c>
      <c r="O10" s="22" t="n">
        <f aca="false">IF(A10="",NA(),A10)</f>
        <v>46315.75</v>
      </c>
      <c r="P10" s="23" t="n">
        <f aca="false">IF(A10="",NA(),B10)</f>
        <v>296</v>
      </c>
      <c r="Q10" s="23" t="n">
        <f aca="false">IF(F10="",NA(),F10)</f>
        <v>309.75</v>
      </c>
      <c r="R10" s="23" t="n">
        <f aca="false">IF(K10="",NA(),K10)</f>
        <v>13.75</v>
      </c>
      <c r="S10" s="23" t="n">
        <f aca="false">IF(M10="",NA(),M10)</f>
        <v>302.875</v>
      </c>
      <c r="T10" s="23" t="n">
        <f aca="false">IF(J10="Válida",B10,"")</f>
        <v>296</v>
      </c>
      <c r="U10" s="23" t="n">
        <f aca="false">IF(J10="Válida",F10,"")</f>
        <v>309.75</v>
      </c>
    </row>
    <row r="11" customFormat="false" ht="15" hidden="false" customHeight="false" outlineLevel="0" collapsed="false">
      <c r="A11" s="22" t="n">
        <f aca="false">IF(MES!A11="","",MES!A11)</f>
        <v>46315.8333333333</v>
      </c>
      <c r="B11" s="23" t="n">
        <f aca="false">IF(A11="","",MES!B11)</f>
        <v>303</v>
      </c>
      <c r="C11" s="22" t="n">
        <f aca="false">IF(A11="","",A11+Parametros!$B$3/24)</f>
        <v>46315.75</v>
      </c>
      <c r="D11" s="22" t="n">
        <f aca="false">IF(A11="","",C11+Parametros!$B$2/24)</f>
        <v>46315.8333333333</v>
      </c>
      <c r="E11" s="24" t="n">
        <f aca="false">IF(A11="","",COUNTIFS(Modulo!$A$2:$A$5001,"&gt;="&amp;C11,Modulo!$A$2:$A$5001,"&lt;"&amp;D11,Modulo!$D$2:$D$5001,Parametros!$B$7))</f>
        <v>4</v>
      </c>
      <c r="F11" s="23" t="n">
        <f aca="false">IF(A11="","",IF(E11=0,"",AVERAGEIFS(Modulo!$B$2:$B$5001,Modulo!$A$2:$A$5001,"&gt;="&amp;C11,Modulo!$A$2:$A$5001,"&lt;"&amp;D11,Modulo!$D$2:$D$5001,Parametros!$B$7)))</f>
        <v>314.6</v>
      </c>
      <c r="G11" s="23" t="n">
        <f aca="false">IF(A11="","",IF(E11=0,"",AVERAGEIFS(Modulo!$C$2:$C$5001,Modulo!$A$2:$A$5001,"&gt;="&amp;C11,Modulo!$A$2:$A$5001,"&lt;"&amp;D11,Modulo!$D$2:$D$5001,Parametros!$B$7)))</f>
        <v>51.35</v>
      </c>
      <c r="H11" s="25" t="n">
        <f aca="false">IF(A11="","",IFERROR(COUNTIFS(Amostragem!$A$2:$A$15003,"&gt;="&amp;C11,Amostragem!$A$2:$A$15003,"&lt;"&amp;D11,Amostragem!$B$2:$B$15003,"Automático",Amostragem!$C$2:$C$15003,"Automático",Amostragem!$D$2:$D$15003,0)/COUNTIFS(Amostragem!$A$2:$A$15003,"&gt;="&amp;C11,Amostragem!$A$2:$A$15003,"&lt;"&amp;D11),0))</f>
        <v>1</v>
      </c>
      <c r="I11" s="23" t="n">
        <f aca="false">IF(A11="","",IFERROR(AVERAGEIFS(Amostragem!$E$2:$E$15003,Amostragem!$A$2:$A$15003,"&gt;="&amp;C11,Amostragem!$A$2:$A$15003,"&lt;"&amp;D11),""))</f>
        <v>1187.175</v>
      </c>
      <c r="J11" s="24" t="str">
        <f aca="false">IF(A11="","",IF(B11="","Inválida: sem resultado MES",IF(E11&lt;Parametros!$B$4,"Inválida: poucos ensaios do módulo",IF(H11&lt;Parametros!$B$5,"Inválida: amostragem em manual ou em falha",IF(OR(I11="",I11&lt;Parametros!$B$6),"Inválida: usina parada ou baixa alimentação","Válida")))))</f>
        <v>Válida</v>
      </c>
      <c r="K11" s="23" t="n">
        <f aca="false">IF(J11="Válida",F11-B11,"")</f>
        <v>11.6</v>
      </c>
      <c r="L11" s="26" t="n">
        <f aca="false">IF(J11="Válida",K11/B11,"")</f>
        <v>0.0382838283828384</v>
      </c>
      <c r="M11" s="23" t="n">
        <f aca="false">IF(J11="Válida",(F11+B11)/2,"")</f>
        <v>308.8</v>
      </c>
      <c r="N11" s="24" t="str">
        <f aca="false">IF(K11="","",IF(OR(K11&gt;Resumo!$B$16,K11&lt;Resumo!$B$15),"Sim","Não"))</f>
        <v>Não</v>
      </c>
      <c r="O11" s="22" t="n">
        <f aca="false">IF(A11="",NA(),A11)</f>
        <v>46315.8333333333</v>
      </c>
      <c r="P11" s="23" t="n">
        <f aca="false">IF(A11="",NA(),B11)</f>
        <v>303</v>
      </c>
      <c r="Q11" s="23" t="n">
        <f aca="false">IF(F11="",NA(),F11)</f>
        <v>314.6</v>
      </c>
      <c r="R11" s="23" t="n">
        <f aca="false">IF(K11="",NA(),K11)</f>
        <v>11.6</v>
      </c>
      <c r="S11" s="23" t="n">
        <f aca="false">IF(M11="",NA(),M11)</f>
        <v>308.8</v>
      </c>
      <c r="T11" s="23" t="n">
        <f aca="false">IF(J11="Válida",B11,"")</f>
        <v>303</v>
      </c>
      <c r="U11" s="23" t="n">
        <f aca="false">IF(J11="Válida",F11,"")</f>
        <v>314.6</v>
      </c>
    </row>
    <row r="12" customFormat="false" ht="15" hidden="false" customHeight="false" outlineLevel="0" collapsed="false">
      <c r="A12" s="22" t="n">
        <f aca="false">IF(MES!A12="","",MES!A12)</f>
        <v>46315.9166666667</v>
      </c>
      <c r="B12" s="23" t="n">
        <f aca="false">IF(A12="","",MES!B12)</f>
        <v>281</v>
      </c>
      <c r="C12" s="22" t="n">
        <f aca="false">IF(A12="","",A12+Parametros!$B$3/24)</f>
        <v>46315.8333333333</v>
      </c>
      <c r="D12" s="22" t="n">
        <f aca="false">IF(A12="","",C12+Parametros!$B$2/24)</f>
        <v>46315.9166666667</v>
      </c>
      <c r="E12" s="24" t="n">
        <f aca="false">IF(A12="","",COUNTIFS(Modulo!$A$2:$A$5001,"&gt;="&amp;C12,Modulo!$A$2:$A$5001,"&lt;"&amp;D12,Modulo!$D$2:$D$5001,Parametros!$B$7))</f>
        <v>3</v>
      </c>
      <c r="F12" s="23" t="n">
        <f aca="false">IF(A12="","",IF(E12=0,"",AVERAGEIFS(Modulo!$B$2:$B$5001,Modulo!$A$2:$A$5001,"&gt;="&amp;C12,Modulo!$A$2:$A$5001,"&lt;"&amp;D12,Modulo!$D$2:$D$5001,Parametros!$B$7)))</f>
        <v>296.933333333333</v>
      </c>
      <c r="G12" s="23" t="n">
        <f aca="false">IF(A12="","",IF(E12=0,"",AVERAGEIFS(Modulo!$C$2:$C$5001,Modulo!$A$2:$A$5001,"&gt;="&amp;C12,Modulo!$A$2:$A$5001,"&lt;"&amp;D12,Modulo!$D$2:$D$5001,Parametros!$B$7)))</f>
        <v>50.7</v>
      </c>
      <c r="H12" s="25" t="n">
        <f aca="false">IF(A12="","",IFERROR(COUNTIFS(Amostragem!$A$2:$A$15003,"&gt;="&amp;C12,Amostragem!$A$2:$A$15003,"&lt;"&amp;D12,Amostragem!$B$2:$B$15003,"Automático",Amostragem!$C$2:$C$15003,"Automático",Amostragem!$D$2:$D$15003,0)/COUNTIFS(Amostragem!$A$2:$A$15003,"&gt;="&amp;C12,Amostragem!$A$2:$A$15003,"&lt;"&amp;D12),0))</f>
        <v>1</v>
      </c>
      <c r="I12" s="23" t="n">
        <f aca="false">IF(A12="","",IFERROR(AVERAGEIFS(Amostragem!$E$2:$E$15003,Amostragem!$A$2:$A$15003,"&gt;="&amp;C12,Amostragem!$A$2:$A$15003,"&lt;"&amp;D12),""))</f>
        <v>1204.50833333333</v>
      </c>
      <c r="J12" s="24" t="str">
        <f aca="false">IF(A12="","",IF(B12="","Inválida: sem resultado MES",IF(E12&lt;Parametros!$B$4,"Inválida: poucos ensaios do módulo",IF(H12&lt;Parametros!$B$5,"Inválida: amostragem em manual ou em falha",IF(OR(I12="",I12&lt;Parametros!$B$6),"Inválida: usina parada ou baixa alimentação","Válida")))))</f>
        <v>Válida</v>
      </c>
      <c r="K12" s="23" t="n">
        <f aca="false">IF(J12="Válida",F12-B12,"")</f>
        <v>15.9333333333333</v>
      </c>
      <c r="L12" s="26" t="n">
        <f aca="false">IF(J12="Válida",K12/B12,"")</f>
        <v>0.0567022538552788</v>
      </c>
      <c r="M12" s="23" t="n">
        <f aca="false">IF(J12="Válida",(F12+B12)/2,"")</f>
        <v>288.966666666667</v>
      </c>
      <c r="N12" s="24" t="str">
        <f aca="false">IF(K12="","",IF(OR(K12&gt;Resumo!$B$16,K12&lt;Resumo!$B$15),"Sim","Não"))</f>
        <v>Não</v>
      </c>
      <c r="O12" s="22" t="n">
        <f aca="false">IF(A12="",NA(),A12)</f>
        <v>46315.9166666667</v>
      </c>
      <c r="P12" s="23" t="n">
        <f aca="false">IF(A12="",NA(),B12)</f>
        <v>281</v>
      </c>
      <c r="Q12" s="23" t="n">
        <f aca="false">IF(F12="",NA(),F12)</f>
        <v>296.933333333333</v>
      </c>
      <c r="R12" s="23" t="n">
        <f aca="false">IF(K12="",NA(),K12)</f>
        <v>15.9333333333333</v>
      </c>
      <c r="S12" s="23" t="n">
        <f aca="false">IF(M12="",NA(),M12)</f>
        <v>288.966666666667</v>
      </c>
      <c r="T12" s="23" t="n">
        <f aca="false">IF(J12="Válida",B12,"")</f>
        <v>281</v>
      </c>
      <c r="U12" s="23" t="n">
        <f aca="false">IF(J12="Válida",F12,"")</f>
        <v>296.933333333333</v>
      </c>
    </row>
    <row r="13" customFormat="false" ht="15" hidden="false" customHeight="false" outlineLevel="0" collapsed="false">
      <c r="A13" s="22" t="n">
        <f aca="false">IF(MES!A13="","",MES!A13)</f>
        <v>46316</v>
      </c>
      <c r="B13" s="23" t="n">
        <f aca="false">IF(A13="","",MES!B13)</f>
        <v>277</v>
      </c>
      <c r="C13" s="22" t="n">
        <f aca="false">IF(A13="","",A13+Parametros!$B$3/24)</f>
        <v>46315.9166666667</v>
      </c>
      <c r="D13" s="22" t="n">
        <f aca="false">IF(A13="","",C13+Parametros!$B$2/24)</f>
        <v>46316</v>
      </c>
      <c r="E13" s="24" t="n">
        <f aca="false">IF(A13="","",COUNTIFS(Modulo!$A$2:$A$5001,"&gt;="&amp;C13,Modulo!$A$2:$A$5001,"&lt;"&amp;D13,Modulo!$D$2:$D$5001,Parametros!$B$7))</f>
        <v>4</v>
      </c>
      <c r="F13" s="23" t="n">
        <f aca="false">IF(A13="","",IF(E13=0,"",AVERAGEIFS(Modulo!$B$2:$B$5001,Modulo!$A$2:$A$5001,"&gt;="&amp;C13,Modulo!$A$2:$A$5001,"&lt;"&amp;D13,Modulo!$D$2:$D$5001,Parametros!$B$7)))</f>
        <v>293.425</v>
      </c>
      <c r="G13" s="23" t="n">
        <f aca="false">IF(A13="","",IF(E13=0,"",AVERAGEIFS(Modulo!$C$2:$C$5001,Modulo!$A$2:$A$5001,"&gt;="&amp;C13,Modulo!$A$2:$A$5001,"&lt;"&amp;D13,Modulo!$D$2:$D$5001,Parametros!$B$7)))</f>
        <v>54.15</v>
      </c>
      <c r="H13" s="25" t="n">
        <f aca="false">IF(A13="","",IFERROR(COUNTIFS(Amostragem!$A$2:$A$15003,"&gt;="&amp;C13,Amostragem!$A$2:$A$15003,"&lt;"&amp;D13,Amostragem!$B$2:$B$15003,"Automático",Amostragem!$C$2:$C$15003,"Automático",Amostragem!$D$2:$D$15003,0)/COUNTIFS(Amostragem!$A$2:$A$15003,"&gt;="&amp;C13,Amostragem!$A$2:$A$15003,"&lt;"&amp;D13),0))</f>
        <v>1</v>
      </c>
      <c r="I13" s="23" t="n">
        <f aca="false">IF(A13="","",IFERROR(AVERAGEIFS(Amostragem!$E$2:$E$15003,Amostragem!$A$2:$A$15003,"&gt;="&amp;C13,Amostragem!$A$2:$A$15003,"&lt;"&amp;D13),""))</f>
        <v>1178.01666666667</v>
      </c>
      <c r="J13" s="24" t="str">
        <f aca="false">IF(A13="","",IF(B13="","Inválida: sem resultado MES",IF(E13&lt;Parametros!$B$4,"Inválida: poucos ensaios do módulo",IF(H13&lt;Parametros!$B$5,"Inválida: amostragem em manual ou em falha",IF(OR(I13="",I13&lt;Parametros!$B$6),"Inválida: usina parada ou baixa alimentação","Válida")))))</f>
        <v>Válida</v>
      </c>
      <c r="K13" s="23" t="n">
        <f aca="false">IF(J13="Válida",F13-B13,"")</f>
        <v>16.425</v>
      </c>
      <c r="L13" s="26" t="n">
        <f aca="false">IF(J13="Válida",K13/B13,"")</f>
        <v>0.0592960288808665</v>
      </c>
      <c r="M13" s="23" t="n">
        <f aca="false">IF(J13="Válida",(F13+B13)/2,"")</f>
        <v>285.2125</v>
      </c>
      <c r="N13" s="24" t="str">
        <f aca="false">IF(K13="","",IF(OR(K13&gt;Resumo!$B$16,K13&lt;Resumo!$B$15),"Sim","Não"))</f>
        <v>Não</v>
      </c>
      <c r="O13" s="22" t="n">
        <f aca="false">IF(A13="",NA(),A13)</f>
        <v>46316</v>
      </c>
      <c r="P13" s="23" t="n">
        <f aca="false">IF(A13="",NA(),B13)</f>
        <v>277</v>
      </c>
      <c r="Q13" s="23" t="n">
        <f aca="false">IF(F13="",NA(),F13)</f>
        <v>293.425</v>
      </c>
      <c r="R13" s="23" t="n">
        <f aca="false">IF(K13="",NA(),K13)</f>
        <v>16.425</v>
      </c>
      <c r="S13" s="23" t="n">
        <f aca="false">IF(M13="",NA(),M13)</f>
        <v>285.2125</v>
      </c>
      <c r="T13" s="23" t="n">
        <f aca="false">IF(J13="Válida",B13,"")</f>
        <v>277</v>
      </c>
      <c r="U13" s="23" t="n">
        <f aca="false">IF(J13="Válida",F13,"")</f>
        <v>293.425</v>
      </c>
    </row>
    <row r="14" customFormat="false" ht="15" hidden="false" customHeight="false" outlineLevel="0" collapsed="false">
      <c r="A14" s="22" t="n">
        <f aca="false">IF(MES!A14="","",MES!A14)</f>
        <v>46316.0833333333</v>
      </c>
      <c r="B14" s="23" t="n">
        <f aca="false">IF(A14="","",MES!B14)</f>
        <v>279</v>
      </c>
      <c r="C14" s="22" t="n">
        <f aca="false">IF(A14="","",A14+Parametros!$B$3/24)</f>
        <v>46316</v>
      </c>
      <c r="D14" s="22" t="n">
        <f aca="false">IF(A14="","",C14+Parametros!$B$2/24)</f>
        <v>46316.0833333333</v>
      </c>
      <c r="E14" s="24" t="n">
        <f aca="false">IF(A14="","",COUNTIFS(Modulo!$A$2:$A$5001,"&gt;="&amp;C14,Modulo!$A$2:$A$5001,"&lt;"&amp;D14,Modulo!$D$2:$D$5001,Parametros!$B$7))</f>
        <v>4</v>
      </c>
      <c r="F14" s="23" t="n">
        <f aca="false">IF(A14="","",IF(E14=0,"",AVERAGEIFS(Modulo!$B$2:$B$5001,Modulo!$A$2:$A$5001,"&gt;="&amp;C14,Modulo!$A$2:$A$5001,"&lt;"&amp;D14,Modulo!$D$2:$D$5001,Parametros!$B$7)))</f>
        <v>277.95</v>
      </c>
      <c r="G14" s="23" t="n">
        <f aca="false">IF(A14="","",IF(E14=0,"",AVERAGEIFS(Modulo!$C$2:$C$5001,Modulo!$A$2:$A$5001,"&gt;="&amp;C14,Modulo!$A$2:$A$5001,"&lt;"&amp;D14,Modulo!$D$2:$D$5001,Parametros!$B$7)))</f>
        <v>55.975</v>
      </c>
      <c r="H14" s="25" t="n">
        <f aca="false">IF(A14="","",IFERROR(COUNTIFS(Amostragem!$A$2:$A$15003,"&gt;="&amp;C14,Amostragem!$A$2:$A$15003,"&lt;"&amp;D14,Amostragem!$B$2:$B$15003,"Automático",Amostragem!$C$2:$C$15003,"Automático",Amostragem!$D$2:$D$15003,0)/COUNTIFS(Amostragem!$A$2:$A$15003,"&gt;="&amp;C14,Amostragem!$A$2:$A$15003,"&lt;"&amp;D14),0))</f>
        <v>1</v>
      </c>
      <c r="I14" s="23" t="n">
        <f aca="false">IF(A14="","",IFERROR(AVERAGEIFS(Amostragem!$E$2:$E$15003,Amostragem!$A$2:$A$15003,"&gt;="&amp;C14,Amostragem!$A$2:$A$15003,"&lt;"&amp;D14),""))</f>
        <v>1194.16666666667</v>
      </c>
      <c r="J14" s="24" t="str">
        <f aca="false">IF(A14="","",IF(B14="","Inválida: sem resultado MES",IF(E14&lt;Parametros!$B$4,"Inválida: poucos ensaios do módulo",IF(H14&lt;Parametros!$B$5,"Inválida: amostragem em manual ou em falha",IF(OR(I14="",I14&lt;Parametros!$B$6),"Inválida: usina parada ou baixa alimentação","Válida")))))</f>
        <v>Válida</v>
      </c>
      <c r="K14" s="23" t="n">
        <f aca="false">IF(J14="Válida",F14-B14,"")</f>
        <v>-1.05000000000001</v>
      </c>
      <c r="L14" s="26" t="n">
        <f aca="false">IF(J14="Válida",K14/B14,"")</f>
        <v>-0.00376344086021509</v>
      </c>
      <c r="M14" s="23" t="n">
        <f aca="false">IF(J14="Válida",(F14+B14)/2,"")</f>
        <v>278.475</v>
      </c>
      <c r="N14" s="24" t="str">
        <f aca="false">IF(K14="","",IF(OR(K14&gt;Resumo!$B$16,K14&lt;Resumo!$B$15),"Sim","Não"))</f>
        <v>Não</v>
      </c>
      <c r="O14" s="22" t="n">
        <f aca="false">IF(A14="",NA(),A14)</f>
        <v>46316.0833333333</v>
      </c>
      <c r="P14" s="23" t="n">
        <f aca="false">IF(A14="",NA(),B14)</f>
        <v>279</v>
      </c>
      <c r="Q14" s="23" t="n">
        <f aca="false">IF(F14="",NA(),F14)</f>
        <v>277.95</v>
      </c>
      <c r="R14" s="23" t="n">
        <f aca="false">IF(K14="",NA(),K14)</f>
        <v>-1.05000000000001</v>
      </c>
      <c r="S14" s="23" t="n">
        <f aca="false">IF(M14="",NA(),M14)</f>
        <v>278.475</v>
      </c>
      <c r="T14" s="23" t="n">
        <f aca="false">IF(J14="Válida",B14,"")</f>
        <v>279</v>
      </c>
      <c r="U14" s="23" t="n">
        <f aca="false">IF(J14="Válida",F14,"")</f>
        <v>277.95</v>
      </c>
    </row>
    <row r="15" customFormat="false" ht="15" hidden="false" customHeight="false" outlineLevel="0" collapsed="false">
      <c r="A15" s="22" t="n">
        <f aca="false">IF(MES!A15="","",MES!A15)</f>
        <v>46316.1666666667</v>
      </c>
      <c r="B15" s="23" t="n">
        <f aca="false">IF(A15="","",MES!B15)</f>
        <v>254</v>
      </c>
      <c r="C15" s="22" t="n">
        <f aca="false">IF(A15="","",A15+Parametros!$B$3/24)</f>
        <v>46316.0833333333</v>
      </c>
      <c r="D15" s="22" t="n">
        <f aca="false">IF(A15="","",C15+Parametros!$B$2/24)</f>
        <v>46316.1666666667</v>
      </c>
      <c r="E15" s="24" t="n">
        <f aca="false">IF(A15="","",COUNTIFS(Modulo!$A$2:$A$5001,"&gt;="&amp;C15,Modulo!$A$2:$A$5001,"&lt;"&amp;D15,Modulo!$D$2:$D$5001,Parametros!$B$7))</f>
        <v>4</v>
      </c>
      <c r="F15" s="23" t="n">
        <f aca="false">IF(A15="","",IF(E15=0,"",AVERAGEIFS(Modulo!$B$2:$B$5001,Modulo!$A$2:$A$5001,"&gt;="&amp;C15,Modulo!$A$2:$A$5001,"&lt;"&amp;D15,Modulo!$D$2:$D$5001,Parametros!$B$7)))</f>
        <v>281.8</v>
      </c>
      <c r="G15" s="23" t="n">
        <f aca="false">IF(A15="","",IF(E15=0,"",AVERAGEIFS(Modulo!$C$2:$C$5001,Modulo!$A$2:$A$5001,"&gt;="&amp;C15,Modulo!$A$2:$A$5001,"&lt;"&amp;D15,Modulo!$D$2:$D$5001,Parametros!$B$7)))</f>
        <v>51.525</v>
      </c>
      <c r="H15" s="25" t="n">
        <f aca="false">IF(A15="","",IFERROR(COUNTIFS(Amostragem!$A$2:$A$15003,"&gt;="&amp;C15,Amostragem!$A$2:$A$15003,"&lt;"&amp;D15,Amostragem!$B$2:$B$15003,"Automático",Amostragem!$C$2:$C$15003,"Automático",Amostragem!$D$2:$D$15003,0)/COUNTIFS(Amostragem!$A$2:$A$15003,"&gt;="&amp;C15,Amostragem!$A$2:$A$15003,"&lt;"&amp;D15),0))</f>
        <v>1</v>
      </c>
      <c r="I15" s="23" t="n">
        <f aca="false">IF(A15="","",IFERROR(AVERAGEIFS(Amostragem!$E$2:$E$15003,Amostragem!$A$2:$A$15003,"&gt;="&amp;C15,Amostragem!$A$2:$A$15003,"&lt;"&amp;D15),""))</f>
        <v>1182.65</v>
      </c>
      <c r="J15" s="24" t="str">
        <f aca="false">IF(A15="","",IF(B15="","Inválida: sem resultado MES",IF(E15&lt;Parametros!$B$4,"Inválida: poucos ensaios do módulo",IF(H15&lt;Parametros!$B$5,"Inválida: amostragem em manual ou em falha",IF(OR(I15="",I15&lt;Parametros!$B$6),"Inválida: usina parada ou baixa alimentação","Válida")))))</f>
        <v>Válida</v>
      </c>
      <c r="K15" s="23" t="n">
        <f aca="false">IF(J15="Válida",F15-B15,"")</f>
        <v>27.8</v>
      </c>
      <c r="L15" s="26" t="n">
        <f aca="false">IF(J15="Válida",K15/B15,"")</f>
        <v>0.109448818897638</v>
      </c>
      <c r="M15" s="23" t="n">
        <f aca="false">IF(J15="Válida",(F15+B15)/2,"")</f>
        <v>267.9</v>
      </c>
      <c r="N15" s="24" t="str">
        <f aca="false">IF(K15="","",IF(OR(K15&gt;Resumo!$B$16,K15&lt;Resumo!$B$15),"Sim","Não"))</f>
        <v>Sim</v>
      </c>
      <c r="O15" s="22" t="n">
        <f aca="false">IF(A15="",NA(),A15)</f>
        <v>46316.1666666667</v>
      </c>
      <c r="P15" s="23" t="n">
        <f aca="false">IF(A15="",NA(),B15)</f>
        <v>254</v>
      </c>
      <c r="Q15" s="23" t="n">
        <f aca="false">IF(F15="",NA(),F15)</f>
        <v>281.8</v>
      </c>
      <c r="R15" s="23" t="n">
        <f aca="false">IF(K15="",NA(),K15)</f>
        <v>27.8</v>
      </c>
      <c r="S15" s="23" t="n">
        <f aca="false">IF(M15="",NA(),M15)</f>
        <v>267.9</v>
      </c>
      <c r="T15" s="23" t="n">
        <f aca="false">IF(J15="Válida",B15,"")</f>
        <v>254</v>
      </c>
      <c r="U15" s="23" t="n">
        <f aca="false">IF(J15="Válida",F15,"")</f>
        <v>281.8</v>
      </c>
    </row>
    <row r="16" customFormat="false" ht="15" hidden="false" customHeight="false" outlineLevel="0" collapsed="false">
      <c r="A16" s="22" t="n">
        <f aca="false">IF(MES!A16="","",MES!A16)</f>
        <v>46316.25</v>
      </c>
      <c r="B16" s="23" t="n">
        <f aca="false">IF(A16="","",MES!B16)</f>
        <v>288</v>
      </c>
      <c r="C16" s="22" t="n">
        <f aca="false">IF(A16="","",A16+Parametros!$B$3/24)</f>
        <v>46316.1666666667</v>
      </c>
      <c r="D16" s="22" t="n">
        <f aca="false">IF(A16="","",C16+Parametros!$B$2/24)</f>
        <v>46316.25</v>
      </c>
      <c r="E16" s="24" t="n">
        <f aca="false">IF(A16="","",COUNTIFS(Modulo!$A$2:$A$5001,"&gt;="&amp;C16,Modulo!$A$2:$A$5001,"&lt;"&amp;D16,Modulo!$D$2:$D$5001,Parametros!$B$7))</f>
        <v>4</v>
      </c>
      <c r="F16" s="23" t="n">
        <f aca="false">IF(A16="","",IF(E16=0,"",AVERAGEIFS(Modulo!$B$2:$B$5001,Modulo!$A$2:$A$5001,"&gt;="&amp;C16,Modulo!$A$2:$A$5001,"&lt;"&amp;D16,Modulo!$D$2:$D$5001,Parametros!$B$7)))</f>
        <v>278</v>
      </c>
      <c r="G16" s="23" t="n">
        <f aca="false">IF(A16="","",IF(E16=0,"",AVERAGEIFS(Modulo!$C$2:$C$5001,Modulo!$A$2:$A$5001,"&gt;="&amp;C16,Modulo!$A$2:$A$5001,"&lt;"&amp;D16,Modulo!$D$2:$D$5001,Parametros!$B$7)))</f>
        <v>56.9</v>
      </c>
      <c r="H16" s="25" t="n">
        <f aca="false">IF(A16="","",IFERROR(COUNTIFS(Amostragem!$A$2:$A$15003,"&gt;="&amp;C16,Amostragem!$A$2:$A$15003,"&lt;"&amp;D16,Amostragem!$B$2:$B$15003,"Automático",Amostragem!$C$2:$C$15003,"Automático",Amostragem!$D$2:$D$15003,0)/COUNTIFS(Amostragem!$A$2:$A$15003,"&gt;="&amp;C16,Amostragem!$A$2:$A$15003,"&lt;"&amp;D16),0))</f>
        <v>1</v>
      </c>
      <c r="I16" s="23" t="n">
        <f aca="false">IF(A16="","",IFERROR(AVERAGEIFS(Amostragem!$E$2:$E$15003,Amostragem!$A$2:$A$15003,"&gt;="&amp;C16,Amostragem!$A$2:$A$15003,"&lt;"&amp;D16),""))</f>
        <v>1200.84166666667</v>
      </c>
      <c r="J16" s="24" t="str">
        <f aca="false">IF(A16="","",IF(B16="","Inválida: sem resultado MES",IF(E16&lt;Parametros!$B$4,"Inválida: poucos ensaios do módulo",IF(H16&lt;Parametros!$B$5,"Inválida: amostragem em manual ou em falha",IF(OR(I16="",I16&lt;Parametros!$B$6),"Inválida: usina parada ou baixa alimentação","Válida")))))</f>
        <v>Válida</v>
      </c>
      <c r="K16" s="23" t="n">
        <f aca="false">IF(J16="Válida",F16-B16,"")</f>
        <v>-10</v>
      </c>
      <c r="L16" s="26" t="n">
        <f aca="false">IF(J16="Válida",K16/B16,"")</f>
        <v>-0.0347222222222222</v>
      </c>
      <c r="M16" s="23" t="n">
        <f aca="false">IF(J16="Válida",(F16+B16)/2,"")</f>
        <v>283</v>
      </c>
      <c r="N16" s="24" t="str">
        <f aca="false">IF(K16="","",IF(OR(K16&gt;Resumo!$B$16,K16&lt;Resumo!$B$15),"Sim","Não"))</f>
        <v>Não</v>
      </c>
      <c r="O16" s="22" t="n">
        <f aca="false">IF(A16="",NA(),A16)</f>
        <v>46316.25</v>
      </c>
      <c r="P16" s="23" t="n">
        <f aca="false">IF(A16="",NA(),B16)</f>
        <v>288</v>
      </c>
      <c r="Q16" s="23" t="n">
        <f aca="false">IF(F16="",NA(),F16)</f>
        <v>278</v>
      </c>
      <c r="R16" s="23" t="n">
        <f aca="false">IF(K16="",NA(),K16)</f>
        <v>-10</v>
      </c>
      <c r="S16" s="23" t="n">
        <f aca="false">IF(M16="",NA(),M16)</f>
        <v>283</v>
      </c>
      <c r="T16" s="23" t="n">
        <f aca="false">IF(J16="Válida",B16,"")</f>
        <v>288</v>
      </c>
      <c r="U16" s="23" t="n">
        <f aca="false">IF(J16="Válida",F16,"")</f>
        <v>278</v>
      </c>
    </row>
    <row r="17" customFormat="false" ht="15" hidden="false" customHeight="false" outlineLevel="0" collapsed="false">
      <c r="A17" s="22" t="n">
        <f aca="false">IF(MES!A17="","",MES!A17)</f>
        <v>46316.3333333333</v>
      </c>
      <c r="B17" s="23" t="n">
        <f aca="false">IF(A17="","",MES!B17)</f>
        <v>288</v>
      </c>
      <c r="C17" s="22" t="n">
        <f aca="false">IF(A17="","",A17+Parametros!$B$3/24)</f>
        <v>46316.25</v>
      </c>
      <c r="D17" s="22" t="n">
        <f aca="false">IF(A17="","",C17+Parametros!$B$2/24)</f>
        <v>46316.3333333333</v>
      </c>
      <c r="E17" s="24" t="n">
        <f aca="false">IF(A17="","",COUNTIFS(Modulo!$A$2:$A$5001,"&gt;="&amp;C17,Modulo!$A$2:$A$5001,"&lt;"&amp;D17,Modulo!$D$2:$D$5001,Parametros!$B$7))</f>
        <v>4</v>
      </c>
      <c r="F17" s="23" t="n">
        <f aca="false">IF(A17="","",IF(E17=0,"",AVERAGEIFS(Modulo!$B$2:$B$5001,Modulo!$A$2:$A$5001,"&gt;="&amp;C17,Modulo!$A$2:$A$5001,"&lt;"&amp;D17,Modulo!$D$2:$D$5001,Parametros!$B$7)))</f>
        <v>274.625</v>
      </c>
      <c r="G17" s="23" t="n">
        <f aca="false">IF(A17="","",IF(E17=0,"",AVERAGEIFS(Modulo!$C$2:$C$5001,Modulo!$A$2:$A$5001,"&gt;="&amp;C17,Modulo!$A$2:$A$5001,"&lt;"&amp;D17,Modulo!$D$2:$D$5001,Parametros!$B$7)))</f>
        <v>50.9</v>
      </c>
      <c r="H17" s="25" t="n">
        <f aca="false">IF(A17="","",IFERROR(COUNTIFS(Amostragem!$A$2:$A$15003,"&gt;="&amp;C17,Amostragem!$A$2:$A$15003,"&lt;"&amp;D17,Amostragem!$B$2:$B$15003,"Automático",Amostragem!$C$2:$C$15003,"Automático",Amostragem!$D$2:$D$15003,0)/COUNTIFS(Amostragem!$A$2:$A$15003,"&gt;="&amp;C17,Amostragem!$A$2:$A$15003,"&lt;"&amp;D17),0))</f>
        <v>1</v>
      </c>
      <c r="I17" s="23" t="n">
        <f aca="false">IF(A17="","",IFERROR(AVERAGEIFS(Amostragem!$E$2:$E$15003,Amostragem!$A$2:$A$15003,"&gt;="&amp;C17,Amostragem!$A$2:$A$15003,"&lt;"&amp;D17),""))</f>
        <v>1187.45833333333</v>
      </c>
      <c r="J17" s="24" t="str">
        <f aca="false">IF(A17="","",IF(B17="","Inválida: sem resultado MES",IF(E17&lt;Parametros!$B$4,"Inválida: poucos ensaios do módulo",IF(H17&lt;Parametros!$B$5,"Inválida: amostragem em manual ou em falha",IF(OR(I17="",I17&lt;Parametros!$B$6),"Inválida: usina parada ou baixa alimentação","Válida")))))</f>
        <v>Válida</v>
      </c>
      <c r="K17" s="23" t="n">
        <f aca="false">IF(J17="Válida",F17-B17,"")</f>
        <v>-13.375</v>
      </c>
      <c r="L17" s="26" t="n">
        <f aca="false">IF(J17="Válida",K17/B17,"")</f>
        <v>-0.0464409722222222</v>
      </c>
      <c r="M17" s="23" t="n">
        <f aca="false">IF(J17="Válida",(F17+B17)/2,"")</f>
        <v>281.3125</v>
      </c>
      <c r="N17" s="24" t="str">
        <f aca="false">IF(K17="","",IF(OR(K17&gt;Resumo!$B$16,K17&lt;Resumo!$B$15),"Sim","Não"))</f>
        <v>Não</v>
      </c>
      <c r="O17" s="22" t="n">
        <f aca="false">IF(A17="",NA(),A17)</f>
        <v>46316.3333333333</v>
      </c>
      <c r="P17" s="23" t="n">
        <f aca="false">IF(A17="",NA(),B17)</f>
        <v>288</v>
      </c>
      <c r="Q17" s="23" t="n">
        <f aca="false">IF(F17="",NA(),F17)</f>
        <v>274.625</v>
      </c>
      <c r="R17" s="23" t="n">
        <f aca="false">IF(K17="",NA(),K17)</f>
        <v>-13.375</v>
      </c>
      <c r="S17" s="23" t="n">
        <f aca="false">IF(M17="",NA(),M17)</f>
        <v>281.3125</v>
      </c>
      <c r="T17" s="23" t="n">
        <f aca="false">IF(J17="Válida",B17,"")</f>
        <v>288</v>
      </c>
      <c r="U17" s="23" t="n">
        <f aca="false">IF(J17="Válida",F17,"")</f>
        <v>274.625</v>
      </c>
    </row>
    <row r="18" customFormat="false" ht="15" hidden="false" customHeight="false" outlineLevel="0" collapsed="false">
      <c r="A18" s="22" t="n">
        <f aca="false">IF(MES!A18="","",MES!A18)</f>
        <v>46316.4166666667</v>
      </c>
      <c r="B18" s="23" t="n">
        <f aca="false">IF(A18="","",MES!B18)</f>
        <v>263</v>
      </c>
      <c r="C18" s="22" t="n">
        <f aca="false">IF(A18="","",A18+Parametros!$B$3/24)</f>
        <v>46316.3333333333</v>
      </c>
      <c r="D18" s="22" t="n">
        <f aca="false">IF(A18="","",C18+Parametros!$B$2/24)</f>
        <v>46316.4166666667</v>
      </c>
      <c r="E18" s="24" t="n">
        <f aca="false">IF(A18="","",COUNTIFS(Modulo!$A$2:$A$5001,"&gt;="&amp;C18,Modulo!$A$2:$A$5001,"&lt;"&amp;D18,Modulo!$D$2:$D$5001,Parametros!$B$7))</f>
        <v>4</v>
      </c>
      <c r="F18" s="23" t="n">
        <f aca="false">IF(A18="","",IF(E18=0,"",AVERAGEIFS(Modulo!$B$2:$B$5001,Modulo!$A$2:$A$5001,"&gt;="&amp;C18,Modulo!$A$2:$A$5001,"&lt;"&amp;D18,Modulo!$D$2:$D$5001,Parametros!$B$7)))</f>
        <v>285.725</v>
      </c>
      <c r="G18" s="23" t="n">
        <f aca="false">IF(A18="","",IF(E18=0,"",AVERAGEIFS(Modulo!$C$2:$C$5001,Modulo!$A$2:$A$5001,"&gt;="&amp;C18,Modulo!$A$2:$A$5001,"&lt;"&amp;D18,Modulo!$D$2:$D$5001,Parametros!$B$7)))</f>
        <v>48.9</v>
      </c>
      <c r="H18" s="25" t="n">
        <f aca="false">IF(A18="","",IFERROR(COUNTIFS(Amostragem!$A$2:$A$15003,"&gt;="&amp;C18,Amostragem!$A$2:$A$15003,"&lt;"&amp;D18,Amostragem!$B$2:$B$15003,"Automático",Amostragem!$C$2:$C$15003,"Automático",Amostragem!$D$2:$D$15003,0)/COUNTIFS(Amostragem!$A$2:$A$15003,"&gt;="&amp;C18,Amostragem!$A$2:$A$15003,"&lt;"&amp;D18),0))</f>
        <v>0</v>
      </c>
      <c r="I18" s="23" t="n">
        <f aca="false">IF(A18="","",IFERROR(AVERAGEIFS(Amostragem!$E$2:$E$15003,Amostragem!$A$2:$A$15003,"&gt;="&amp;C18,Amostragem!$A$2:$A$15003,"&lt;"&amp;D18),""))</f>
        <v>1189.81666666667</v>
      </c>
      <c r="J18" s="24" t="str">
        <f aca="false">IF(A18="","",IF(B18="","Inválida: sem resultado MES",IF(E18&lt;Parametros!$B$4,"Inválida: poucos ensaios do módulo",IF(H18&lt;Parametros!$B$5,"Inválida: amostragem em manual ou em falha",IF(OR(I18="",I18&lt;Parametros!$B$6),"Inválida: usina parada ou baixa alimentação","Válida")))))</f>
        <v>Inválida: amostragem em manual ou em falha</v>
      </c>
      <c r="K18" s="23" t="str">
        <f aca="false">IF(J18="Válida",F18-B18,"")</f>
        <v/>
      </c>
      <c r="L18" s="26" t="str">
        <f aca="false">IF(J18="Válida",K18/B18,"")</f>
        <v/>
      </c>
      <c r="M18" s="23" t="str">
        <f aca="false">IF(J18="Válida",(F18+B18)/2,"")</f>
        <v/>
      </c>
      <c r="N18" s="24" t="str">
        <f aca="false">IF(K18="","",IF(OR(K18&gt;Resumo!$B$16,K18&lt;Resumo!$B$15),"Sim","Não"))</f>
        <v/>
      </c>
      <c r="O18" s="22" t="n">
        <f aca="false">IF(A18="",NA(),A18)</f>
        <v>46316.4166666667</v>
      </c>
      <c r="P18" s="23" t="n">
        <f aca="false">IF(A18="",NA(),B18)</f>
        <v>263</v>
      </c>
      <c r="Q18" s="23" t="n">
        <f aca="false">IF(F18="",NA(),F18)</f>
        <v>285.725</v>
      </c>
      <c r="R18" s="23" t="e">
        <f aca="false">IF(K18="",NA(),K18)</f>
        <v>#N/A</v>
      </c>
      <c r="S18" s="23" t="e">
        <f aca="false">IF(M18="",NA(),M18)</f>
        <v>#N/A</v>
      </c>
      <c r="T18" s="23" t="str">
        <f aca="false">IF(J18="Válida",B18,"")</f>
        <v/>
      </c>
      <c r="U18" s="23" t="str">
        <f aca="false">IF(J18="Válida",F18,"")</f>
        <v/>
      </c>
    </row>
    <row r="19" customFormat="false" ht="15" hidden="false" customHeight="false" outlineLevel="0" collapsed="false">
      <c r="A19" s="22" t="n">
        <f aca="false">IF(MES!A19="","",MES!A19)</f>
        <v>46316.5</v>
      </c>
      <c r="B19" s="23" t="n">
        <f aca="false">IF(A19="","",MES!B19)</f>
        <v>259</v>
      </c>
      <c r="C19" s="22" t="n">
        <f aca="false">IF(A19="","",A19+Parametros!$B$3/24)</f>
        <v>46316.4166666667</v>
      </c>
      <c r="D19" s="22" t="n">
        <f aca="false">IF(A19="","",C19+Parametros!$B$2/24)</f>
        <v>46316.5</v>
      </c>
      <c r="E19" s="24" t="n">
        <f aca="false">IF(A19="","",COUNTIFS(Modulo!$A$2:$A$5001,"&gt;="&amp;C19,Modulo!$A$2:$A$5001,"&lt;"&amp;D19,Modulo!$D$2:$D$5001,Parametros!$B$7))</f>
        <v>4</v>
      </c>
      <c r="F19" s="23" t="n">
        <f aca="false">IF(A19="","",IF(E19=0,"",AVERAGEIFS(Modulo!$B$2:$B$5001,Modulo!$A$2:$A$5001,"&gt;="&amp;C19,Modulo!$A$2:$A$5001,"&lt;"&amp;D19,Modulo!$D$2:$D$5001,Parametros!$B$7)))</f>
        <v>277.1</v>
      </c>
      <c r="G19" s="23" t="n">
        <f aca="false">IF(A19="","",IF(E19=0,"",AVERAGEIFS(Modulo!$C$2:$C$5001,Modulo!$A$2:$A$5001,"&gt;="&amp;C19,Modulo!$A$2:$A$5001,"&lt;"&amp;D19,Modulo!$D$2:$D$5001,Parametros!$B$7)))</f>
        <v>53.75</v>
      </c>
      <c r="H19" s="25" t="n">
        <f aca="false">IF(A19="","",IFERROR(COUNTIFS(Amostragem!$A$2:$A$15003,"&gt;="&amp;C19,Amostragem!$A$2:$A$15003,"&lt;"&amp;D19,Amostragem!$B$2:$B$15003,"Automático",Amostragem!$C$2:$C$15003,"Automático",Amostragem!$D$2:$D$15003,0)/COUNTIFS(Amostragem!$A$2:$A$15003,"&gt;="&amp;C19,Amostragem!$A$2:$A$15003,"&lt;"&amp;D19),0))</f>
        <v>0</v>
      </c>
      <c r="I19" s="23" t="n">
        <f aca="false">IF(A19="","",IFERROR(AVERAGEIFS(Amostragem!$E$2:$E$15003,Amostragem!$A$2:$A$15003,"&gt;="&amp;C19,Amostragem!$A$2:$A$15003,"&lt;"&amp;D19),""))</f>
        <v>1175.63333333333</v>
      </c>
      <c r="J19" s="24" t="str">
        <f aca="false">IF(A19="","",IF(B19="","Inválida: sem resultado MES",IF(E19&lt;Parametros!$B$4,"Inválida: poucos ensaios do módulo",IF(H19&lt;Parametros!$B$5,"Inválida: amostragem em manual ou em falha",IF(OR(I19="",I19&lt;Parametros!$B$6),"Inválida: usina parada ou baixa alimentação","Válida")))))</f>
        <v>Inválida: amostragem em manual ou em falha</v>
      </c>
      <c r="K19" s="23" t="str">
        <f aca="false">IF(J19="Válida",F19-B19,"")</f>
        <v/>
      </c>
      <c r="L19" s="26" t="str">
        <f aca="false">IF(J19="Válida",K19/B19,"")</f>
        <v/>
      </c>
      <c r="M19" s="23" t="str">
        <f aca="false">IF(J19="Válida",(F19+B19)/2,"")</f>
        <v/>
      </c>
      <c r="N19" s="24" t="str">
        <f aca="false">IF(K19="","",IF(OR(K19&gt;Resumo!$B$16,K19&lt;Resumo!$B$15),"Sim","Não"))</f>
        <v/>
      </c>
      <c r="O19" s="22" t="n">
        <f aca="false">IF(A19="",NA(),A19)</f>
        <v>46316.5</v>
      </c>
      <c r="P19" s="23" t="n">
        <f aca="false">IF(A19="",NA(),B19)</f>
        <v>259</v>
      </c>
      <c r="Q19" s="23" t="n">
        <f aca="false">IF(F19="",NA(),F19)</f>
        <v>277.1</v>
      </c>
      <c r="R19" s="23" t="e">
        <f aca="false">IF(K19="",NA(),K19)</f>
        <v>#N/A</v>
      </c>
      <c r="S19" s="23" t="e">
        <f aca="false">IF(M19="",NA(),M19)</f>
        <v>#N/A</v>
      </c>
      <c r="T19" s="23" t="str">
        <f aca="false">IF(J19="Válida",B19,"")</f>
        <v/>
      </c>
      <c r="U19" s="23" t="str">
        <f aca="false">IF(J19="Válida",F19,"")</f>
        <v/>
      </c>
    </row>
    <row r="20" customFormat="false" ht="15" hidden="false" customHeight="false" outlineLevel="0" collapsed="false">
      <c r="A20" s="22" t="n">
        <f aca="false">IF(MES!A20="","",MES!A20)</f>
        <v>46316.5833333333</v>
      </c>
      <c r="B20" s="23" t="n">
        <f aca="false">IF(A20="","",MES!B20)</f>
        <v>264</v>
      </c>
      <c r="C20" s="22" t="n">
        <f aca="false">IF(A20="","",A20+Parametros!$B$3/24)</f>
        <v>46316.5</v>
      </c>
      <c r="D20" s="22" t="n">
        <f aca="false">IF(A20="","",C20+Parametros!$B$2/24)</f>
        <v>46316.5833333333</v>
      </c>
      <c r="E20" s="24" t="n">
        <f aca="false">IF(A20="","",COUNTIFS(Modulo!$A$2:$A$5001,"&gt;="&amp;C20,Modulo!$A$2:$A$5001,"&lt;"&amp;D20,Modulo!$D$2:$D$5001,Parametros!$B$7))</f>
        <v>4</v>
      </c>
      <c r="F20" s="23" t="n">
        <f aca="false">IF(A20="","",IF(E20=0,"",AVERAGEIFS(Modulo!$B$2:$B$5001,Modulo!$A$2:$A$5001,"&gt;="&amp;C20,Modulo!$A$2:$A$5001,"&lt;"&amp;D20,Modulo!$D$2:$D$5001,Parametros!$B$7)))</f>
        <v>285.275</v>
      </c>
      <c r="G20" s="23" t="n">
        <f aca="false">IF(A20="","",IF(E20=0,"",AVERAGEIFS(Modulo!$C$2:$C$5001,Modulo!$A$2:$A$5001,"&gt;="&amp;C20,Modulo!$A$2:$A$5001,"&lt;"&amp;D20,Modulo!$D$2:$D$5001,Parametros!$B$7)))</f>
        <v>49.475</v>
      </c>
      <c r="H20" s="25" t="n">
        <f aca="false">IF(A20="","",IFERROR(COUNTIFS(Amostragem!$A$2:$A$15003,"&gt;="&amp;C20,Amostragem!$A$2:$A$15003,"&lt;"&amp;D20,Amostragem!$B$2:$B$15003,"Automático",Amostragem!$C$2:$C$15003,"Automático",Amostragem!$D$2:$D$15003,0)/COUNTIFS(Amostragem!$A$2:$A$15003,"&gt;="&amp;C20,Amostragem!$A$2:$A$15003,"&lt;"&amp;D20),0))</f>
        <v>0</v>
      </c>
      <c r="I20" s="23" t="n">
        <f aca="false">IF(A20="","",IFERROR(AVERAGEIFS(Amostragem!$E$2:$E$15003,Amostragem!$A$2:$A$15003,"&gt;="&amp;C20,Amostragem!$A$2:$A$15003,"&lt;"&amp;D20),""))</f>
        <v>1179.78333333333</v>
      </c>
      <c r="J20" s="24" t="str">
        <f aca="false">IF(A20="","",IF(B20="","Inválida: sem resultado MES",IF(E20&lt;Parametros!$B$4,"Inválida: poucos ensaios do módulo",IF(H20&lt;Parametros!$B$5,"Inválida: amostragem em manual ou em falha",IF(OR(I20="",I20&lt;Parametros!$B$6),"Inválida: usina parada ou baixa alimentação","Válida")))))</f>
        <v>Inválida: amostragem em manual ou em falha</v>
      </c>
      <c r="K20" s="23" t="str">
        <f aca="false">IF(J20="Válida",F20-B20,"")</f>
        <v/>
      </c>
      <c r="L20" s="26" t="str">
        <f aca="false">IF(J20="Válida",K20/B20,"")</f>
        <v/>
      </c>
      <c r="M20" s="23" t="str">
        <f aca="false">IF(J20="Válida",(F20+B20)/2,"")</f>
        <v/>
      </c>
      <c r="N20" s="24" t="str">
        <f aca="false">IF(K20="","",IF(OR(K20&gt;Resumo!$B$16,K20&lt;Resumo!$B$15),"Sim","Não"))</f>
        <v/>
      </c>
      <c r="O20" s="22" t="n">
        <f aca="false">IF(A20="",NA(),A20)</f>
        <v>46316.5833333333</v>
      </c>
      <c r="P20" s="23" t="n">
        <f aca="false">IF(A20="",NA(),B20)</f>
        <v>264</v>
      </c>
      <c r="Q20" s="23" t="n">
        <f aca="false">IF(F20="",NA(),F20)</f>
        <v>285.275</v>
      </c>
      <c r="R20" s="23" t="e">
        <f aca="false">IF(K20="",NA(),K20)</f>
        <v>#N/A</v>
      </c>
      <c r="S20" s="23" t="e">
        <f aca="false">IF(M20="",NA(),M20)</f>
        <v>#N/A</v>
      </c>
      <c r="T20" s="23" t="str">
        <f aca="false">IF(J20="Válida",B20,"")</f>
        <v/>
      </c>
      <c r="U20" s="23" t="str">
        <f aca="false">IF(J20="Válida",F20,"")</f>
        <v/>
      </c>
    </row>
    <row r="21" customFormat="false" ht="15" hidden="false" customHeight="false" outlineLevel="0" collapsed="false">
      <c r="A21" s="22" t="n">
        <f aca="false">IF(MES!A21="","",MES!A21)</f>
        <v>46316.6666666667</v>
      </c>
      <c r="B21" s="23" t="n">
        <f aca="false">IF(A21="","",MES!B21)</f>
        <v>257</v>
      </c>
      <c r="C21" s="22" t="n">
        <f aca="false">IF(A21="","",A21+Parametros!$B$3/24)</f>
        <v>46316.5833333333</v>
      </c>
      <c r="D21" s="22" t="n">
        <f aca="false">IF(A21="","",C21+Parametros!$B$2/24)</f>
        <v>46316.6666666667</v>
      </c>
      <c r="E21" s="24" t="n">
        <f aca="false">IF(A21="","",COUNTIFS(Modulo!$A$2:$A$5001,"&gt;="&amp;C21,Modulo!$A$2:$A$5001,"&lt;"&amp;D21,Modulo!$D$2:$D$5001,Parametros!$B$7))</f>
        <v>4</v>
      </c>
      <c r="F21" s="23" t="n">
        <f aca="false">IF(A21="","",IF(E21=0,"",AVERAGEIFS(Modulo!$B$2:$B$5001,Modulo!$A$2:$A$5001,"&gt;="&amp;C21,Modulo!$A$2:$A$5001,"&lt;"&amp;D21,Modulo!$D$2:$D$5001,Parametros!$B$7)))</f>
        <v>270.9</v>
      </c>
      <c r="G21" s="23" t="n">
        <f aca="false">IF(A21="","",IF(E21=0,"",AVERAGEIFS(Modulo!$C$2:$C$5001,Modulo!$A$2:$A$5001,"&gt;="&amp;C21,Modulo!$A$2:$A$5001,"&lt;"&amp;D21,Modulo!$D$2:$D$5001,Parametros!$B$7)))</f>
        <v>52.575</v>
      </c>
      <c r="H21" s="25" t="n">
        <f aca="false">IF(A21="","",IFERROR(COUNTIFS(Amostragem!$A$2:$A$15003,"&gt;="&amp;C21,Amostragem!$A$2:$A$15003,"&lt;"&amp;D21,Amostragem!$B$2:$B$15003,"Automático",Amostragem!$C$2:$C$15003,"Automático",Amostragem!$D$2:$D$15003,0)/COUNTIFS(Amostragem!$A$2:$A$15003,"&gt;="&amp;C21,Amostragem!$A$2:$A$15003,"&lt;"&amp;D21),0))</f>
        <v>1</v>
      </c>
      <c r="I21" s="23" t="n">
        <f aca="false">IF(A21="","",IFERROR(AVERAGEIFS(Amostragem!$E$2:$E$15003,Amostragem!$A$2:$A$15003,"&gt;="&amp;C21,Amostragem!$A$2:$A$15003,"&lt;"&amp;D21),""))</f>
        <v>1180.325</v>
      </c>
      <c r="J21" s="24" t="str">
        <f aca="false">IF(A21="","",IF(B21="","Inválida: sem resultado MES",IF(E21&lt;Parametros!$B$4,"Inválida: poucos ensaios do módulo",IF(H21&lt;Parametros!$B$5,"Inválida: amostragem em manual ou em falha",IF(OR(I21="",I21&lt;Parametros!$B$6),"Inválida: usina parada ou baixa alimentação","Válida")))))</f>
        <v>Válida</v>
      </c>
      <c r="K21" s="23" t="n">
        <f aca="false">IF(J21="Válida",F21-B21,"")</f>
        <v>13.9</v>
      </c>
      <c r="L21" s="26" t="n">
        <f aca="false">IF(J21="Válida",K21/B21,"")</f>
        <v>0.0540856031128404</v>
      </c>
      <c r="M21" s="23" t="n">
        <f aca="false">IF(J21="Válida",(F21+B21)/2,"")</f>
        <v>263.95</v>
      </c>
      <c r="N21" s="24" t="str">
        <f aca="false">IF(K21="","",IF(OR(K21&gt;Resumo!$B$16,K21&lt;Resumo!$B$15),"Sim","Não"))</f>
        <v>Não</v>
      </c>
      <c r="O21" s="22" t="n">
        <f aca="false">IF(A21="",NA(),A21)</f>
        <v>46316.6666666667</v>
      </c>
      <c r="P21" s="23" t="n">
        <f aca="false">IF(A21="",NA(),B21)</f>
        <v>257</v>
      </c>
      <c r="Q21" s="23" t="n">
        <f aca="false">IF(F21="",NA(),F21)</f>
        <v>270.9</v>
      </c>
      <c r="R21" s="23" t="n">
        <f aca="false">IF(K21="",NA(),K21)</f>
        <v>13.9</v>
      </c>
      <c r="S21" s="23" t="n">
        <f aca="false">IF(M21="",NA(),M21)</f>
        <v>263.95</v>
      </c>
      <c r="T21" s="23" t="n">
        <f aca="false">IF(J21="Válida",B21,"")</f>
        <v>257</v>
      </c>
      <c r="U21" s="23" t="n">
        <f aca="false">IF(J21="Válida",F21,"")</f>
        <v>270.9</v>
      </c>
    </row>
    <row r="22" customFormat="false" ht="15" hidden="false" customHeight="false" outlineLevel="0" collapsed="false">
      <c r="A22" s="22" t="n">
        <f aca="false">IF(MES!A22="","",MES!A22)</f>
        <v>46316.75</v>
      </c>
      <c r="B22" s="23" t="n">
        <f aca="false">IF(A22="","",MES!B22)</f>
        <v>269</v>
      </c>
      <c r="C22" s="22" t="n">
        <f aca="false">IF(A22="","",A22+Parametros!$B$3/24)</f>
        <v>46316.6666666667</v>
      </c>
      <c r="D22" s="22" t="n">
        <f aca="false">IF(A22="","",C22+Parametros!$B$2/24)</f>
        <v>46316.75</v>
      </c>
      <c r="E22" s="24" t="n">
        <f aca="false">IF(A22="","",COUNTIFS(Modulo!$A$2:$A$5001,"&gt;="&amp;C22,Modulo!$A$2:$A$5001,"&lt;"&amp;D22,Modulo!$D$2:$D$5001,Parametros!$B$7))</f>
        <v>4</v>
      </c>
      <c r="F22" s="23" t="n">
        <f aca="false">IF(A22="","",IF(E22=0,"",AVERAGEIFS(Modulo!$B$2:$B$5001,Modulo!$A$2:$A$5001,"&gt;="&amp;C22,Modulo!$A$2:$A$5001,"&lt;"&amp;D22,Modulo!$D$2:$D$5001,Parametros!$B$7)))</f>
        <v>271.375</v>
      </c>
      <c r="G22" s="23" t="n">
        <f aca="false">IF(A22="","",IF(E22=0,"",AVERAGEIFS(Modulo!$C$2:$C$5001,Modulo!$A$2:$A$5001,"&gt;="&amp;C22,Modulo!$A$2:$A$5001,"&lt;"&amp;D22,Modulo!$D$2:$D$5001,Parametros!$B$7)))</f>
        <v>53.275</v>
      </c>
      <c r="H22" s="25" t="n">
        <f aca="false">IF(A22="","",IFERROR(COUNTIFS(Amostragem!$A$2:$A$15003,"&gt;="&amp;C22,Amostragem!$A$2:$A$15003,"&lt;"&amp;D22,Amostragem!$B$2:$B$15003,"Automático",Amostragem!$C$2:$C$15003,"Automático",Amostragem!$D$2:$D$15003,0)/COUNTIFS(Amostragem!$A$2:$A$15003,"&gt;="&amp;C22,Amostragem!$A$2:$A$15003,"&lt;"&amp;D22),0))</f>
        <v>1</v>
      </c>
      <c r="I22" s="23" t="n">
        <f aca="false">IF(A22="","",IFERROR(AVERAGEIFS(Amostragem!$E$2:$E$15003,Amostragem!$A$2:$A$15003,"&gt;="&amp;C22,Amostragem!$A$2:$A$15003,"&lt;"&amp;D22),""))</f>
        <v>1175.95</v>
      </c>
      <c r="J22" s="24" t="str">
        <f aca="false">IF(A22="","",IF(B22="","Inválida: sem resultado MES",IF(E22&lt;Parametros!$B$4,"Inválida: poucos ensaios do módulo",IF(H22&lt;Parametros!$B$5,"Inválida: amostragem em manual ou em falha",IF(OR(I22="",I22&lt;Parametros!$B$6),"Inválida: usina parada ou baixa alimentação","Válida")))))</f>
        <v>Válida</v>
      </c>
      <c r="K22" s="23" t="n">
        <f aca="false">IF(J22="Válida",F22-B22,"")</f>
        <v>2.375</v>
      </c>
      <c r="L22" s="26" t="n">
        <f aca="false">IF(J22="Válida",K22/B22,"")</f>
        <v>0.00882899628252788</v>
      </c>
      <c r="M22" s="23" t="n">
        <f aca="false">IF(J22="Válida",(F22+B22)/2,"")</f>
        <v>270.1875</v>
      </c>
      <c r="N22" s="24" t="str">
        <f aca="false">IF(K22="","",IF(OR(K22&gt;Resumo!$B$16,K22&lt;Resumo!$B$15),"Sim","Não"))</f>
        <v>Não</v>
      </c>
      <c r="O22" s="22" t="n">
        <f aca="false">IF(A22="",NA(),A22)</f>
        <v>46316.75</v>
      </c>
      <c r="P22" s="23" t="n">
        <f aca="false">IF(A22="",NA(),B22)</f>
        <v>269</v>
      </c>
      <c r="Q22" s="23" t="n">
        <f aca="false">IF(F22="",NA(),F22)</f>
        <v>271.375</v>
      </c>
      <c r="R22" s="23" t="n">
        <f aca="false">IF(K22="",NA(),K22)</f>
        <v>2.375</v>
      </c>
      <c r="S22" s="23" t="n">
        <f aca="false">IF(M22="",NA(),M22)</f>
        <v>270.1875</v>
      </c>
      <c r="T22" s="23" t="n">
        <f aca="false">IF(J22="Válida",B22,"")</f>
        <v>269</v>
      </c>
      <c r="U22" s="23" t="n">
        <f aca="false">IF(J22="Válida",F22,"")</f>
        <v>271.375</v>
      </c>
    </row>
    <row r="23" customFormat="false" ht="15" hidden="false" customHeight="false" outlineLevel="0" collapsed="false">
      <c r="A23" s="22" t="n">
        <f aca="false">IF(MES!A23="","",MES!A23)</f>
        <v>46316.8333333333</v>
      </c>
      <c r="B23" s="23" t="n">
        <f aca="false">IF(A23="","",MES!B23)</f>
        <v>259</v>
      </c>
      <c r="C23" s="22" t="n">
        <f aca="false">IF(A23="","",A23+Parametros!$B$3/24)</f>
        <v>46316.75</v>
      </c>
      <c r="D23" s="22" t="n">
        <f aca="false">IF(A23="","",C23+Parametros!$B$2/24)</f>
        <v>46316.8333333333</v>
      </c>
      <c r="E23" s="24" t="n">
        <f aca="false">IF(A23="","",COUNTIFS(Modulo!$A$2:$A$5001,"&gt;="&amp;C23,Modulo!$A$2:$A$5001,"&lt;"&amp;D23,Modulo!$D$2:$D$5001,Parametros!$B$7))</f>
        <v>4</v>
      </c>
      <c r="F23" s="23" t="n">
        <f aca="false">IF(A23="","",IF(E23=0,"",AVERAGEIFS(Modulo!$B$2:$B$5001,Modulo!$A$2:$A$5001,"&gt;="&amp;C23,Modulo!$A$2:$A$5001,"&lt;"&amp;D23,Modulo!$D$2:$D$5001,Parametros!$B$7)))</f>
        <v>284.125</v>
      </c>
      <c r="G23" s="23" t="n">
        <f aca="false">IF(A23="","",IF(E23=0,"",AVERAGEIFS(Modulo!$C$2:$C$5001,Modulo!$A$2:$A$5001,"&gt;="&amp;C23,Modulo!$A$2:$A$5001,"&lt;"&amp;D23,Modulo!$D$2:$D$5001,Parametros!$B$7)))</f>
        <v>54.4</v>
      </c>
      <c r="H23" s="25" t="n">
        <f aca="false">IF(A23="","",IFERROR(COUNTIFS(Amostragem!$A$2:$A$15003,"&gt;="&amp;C23,Amostragem!$A$2:$A$15003,"&lt;"&amp;D23,Amostragem!$B$2:$B$15003,"Automático",Amostragem!$C$2:$C$15003,"Automático",Amostragem!$D$2:$D$15003,0)/COUNTIFS(Amostragem!$A$2:$A$15003,"&gt;="&amp;C23,Amostragem!$A$2:$A$15003,"&lt;"&amp;D23),0))</f>
        <v>1</v>
      </c>
      <c r="I23" s="23" t="n">
        <f aca="false">IF(A23="","",IFERROR(AVERAGEIFS(Amostragem!$E$2:$E$15003,Amostragem!$A$2:$A$15003,"&gt;="&amp;C23,Amostragem!$A$2:$A$15003,"&lt;"&amp;D23),""))</f>
        <v>1198.59166666667</v>
      </c>
      <c r="J23" s="24" t="str">
        <f aca="false">IF(A23="","",IF(B23="","Inválida: sem resultado MES",IF(E23&lt;Parametros!$B$4,"Inválida: poucos ensaios do módulo",IF(H23&lt;Parametros!$B$5,"Inválida: amostragem em manual ou em falha",IF(OR(I23="",I23&lt;Parametros!$B$6),"Inválida: usina parada ou baixa alimentação","Válida")))))</f>
        <v>Válida</v>
      </c>
      <c r="K23" s="23" t="n">
        <f aca="false">IF(J23="Válida",F23-B23,"")</f>
        <v>25.125</v>
      </c>
      <c r="L23" s="26" t="n">
        <f aca="false">IF(J23="Válida",K23/B23,"")</f>
        <v>0.097007722007722</v>
      </c>
      <c r="M23" s="23" t="n">
        <f aca="false">IF(J23="Válida",(F23+B23)/2,"")</f>
        <v>271.5625</v>
      </c>
      <c r="N23" s="24" t="str">
        <f aca="false">IF(K23="","",IF(OR(K23&gt;Resumo!$B$16,K23&lt;Resumo!$B$15),"Sim","Não"))</f>
        <v>Não</v>
      </c>
      <c r="O23" s="22" t="n">
        <f aca="false">IF(A23="",NA(),A23)</f>
        <v>46316.8333333333</v>
      </c>
      <c r="P23" s="23" t="n">
        <f aca="false">IF(A23="",NA(),B23)</f>
        <v>259</v>
      </c>
      <c r="Q23" s="23" t="n">
        <f aca="false">IF(F23="",NA(),F23)</f>
        <v>284.125</v>
      </c>
      <c r="R23" s="23" t="n">
        <f aca="false">IF(K23="",NA(),K23)</f>
        <v>25.125</v>
      </c>
      <c r="S23" s="23" t="n">
        <f aca="false">IF(M23="",NA(),M23)</f>
        <v>271.5625</v>
      </c>
      <c r="T23" s="23" t="n">
        <f aca="false">IF(J23="Válida",B23,"")</f>
        <v>259</v>
      </c>
      <c r="U23" s="23" t="n">
        <f aca="false">IF(J23="Válida",F23,"")</f>
        <v>284.125</v>
      </c>
    </row>
    <row r="24" customFormat="false" ht="15" hidden="false" customHeight="false" outlineLevel="0" collapsed="false">
      <c r="A24" s="22" t="n">
        <f aca="false">IF(MES!A24="","",MES!A24)</f>
        <v>46316.9166666667</v>
      </c>
      <c r="B24" s="23" t="n">
        <f aca="false">IF(A24="","",MES!B24)</f>
        <v>291</v>
      </c>
      <c r="C24" s="22" t="n">
        <f aca="false">IF(A24="","",A24+Parametros!$B$3/24)</f>
        <v>46316.8333333333</v>
      </c>
      <c r="D24" s="22" t="n">
        <f aca="false">IF(A24="","",C24+Parametros!$B$2/24)</f>
        <v>46316.9166666667</v>
      </c>
      <c r="E24" s="24" t="n">
        <f aca="false">IF(A24="","",COUNTIFS(Modulo!$A$2:$A$5001,"&gt;="&amp;C24,Modulo!$A$2:$A$5001,"&lt;"&amp;D24,Modulo!$D$2:$D$5001,Parametros!$B$7))</f>
        <v>4</v>
      </c>
      <c r="F24" s="23" t="n">
        <f aca="false">IF(A24="","",IF(E24=0,"",AVERAGEIFS(Modulo!$B$2:$B$5001,Modulo!$A$2:$A$5001,"&gt;="&amp;C24,Modulo!$A$2:$A$5001,"&lt;"&amp;D24,Modulo!$D$2:$D$5001,Parametros!$B$7)))</f>
        <v>296.425</v>
      </c>
      <c r="G24" s="23" t="n">
        <f aca="false">IF(A24="","",IF(E24=0,"",AVERAGEIFS(Modulo!$C$2:$C$5001,Modulo!$A$2:$A$5001,"&gt;="&amp;C24,Modulo!$A$2:$A$5001,"&lt;"&amp;D24,Modulo!$D$2:$D$5001,Parametros!$B$7)))</f>
        <v>52.5</v>
      </c>
      <c r="H24" s="25" t="n">
        <f aca="false">IF(A24="","",IFERROR(COUNTIFS(Amostragem!$A$2:$A$15003,"&gt;="&amp;C24,Amostragem!$A$2:$A$15003,"&lt;"&amp;D24,Amostragem!$B$2:$B$15003,"Automático",Amostragem!$C$2:$C$15003,"Automático",Amostragem!$D$2:$D$15003,0)/COUNTIFS(Amostragem!$A$2:$A$15003,"&gt;="&amp;C24,Amostragem!$A$2:$A$15003,"&lt;"&amp;D24),0))</f>
        <v>1</v>
      </c>
      <c r="I24" s="23" t="n">
        <f aca="false">IF(A24="","",IFERROR(AVERAGEIFS(Amostragem!$E$2:$E$15003,Amostragem!$A$2:$A$15003,"&gt;="&amp;C24,Amostragem!$A$2:$A$15003,"&lt;"&amp;D24),""))</f>
        <v>1190.125</v>
      </c>
      <c r="J24" s="24" t="str">
        <f aca="false">IF(A24="","",IF(B24="","Inválida: sem resultado MES",IF(E24&lt;Parametros!$B$4,"Inválida: poucos ensaios do módulo",IF(H24&lt;Parametros!$B$5,"Inválida: amostragem em manual ou em falha",IF(OR(I24="",I24&lt;Parametros!$B$6),"Inválida: usina parada ou baixa alimentação","Válida")))))</f>
        <v>Válida</v>
      </c>
      <c r="K24" s="23" t="n">
        <f aca="false">IF(J24="Válida",F24-B24,"")</f>
        <v>5.42500000000001</v>
      </c>
      <c r="L24" s="26" t="n">
        <f aca="false">IF(J24="Válida",K24/B24,"")</f>
        <v>0.0186426116838488</v>
      </c>
      <c r="M24" s="23" t="n">
        <f aca="false">IF(J24="Válida",(F24+B24)/2,"")</f>
        <v>293.7125</v>
      </c>
      <c r="N24" s="24" t="str">
        <f aca="false">IF(K24="","",IF(OR(K24&gt;Resumo!$B$16,K24&lt;Resumo!$B$15),"Sim","Não"))</f>
        <v>Não</v>
      </c>
      <c r="O24" s="22" t="n">
        <f aca="false">IF(A24="",NA(),A24)</f>
        <v>46316.9166666667</v>
      </c>
      <c r="P24" s="23" t="n">
        <f aca="false">IF(A24="",NA(),B24)</f>
        <v>291</v>
      </c>
      <c r="Q24" s="23" t="n">
        <f aca="false">IF(F24="",NA(),F24)</f>
        <v>296.425</v>
      </c>
      <c r="R24" s="23" t="n">
        <f aca="false">IF(K24="",NA(),K24)</f>
        <v>5.42500000000001</v>
      </c>
      <c r="S24" s="23" t="n">
        <f aca="false">IF(M24="",NA(),M24)</f>
        <v>293.7125</v>
      </c>
      <c r="T24" s="23" t="n">
        <f aca="false">IF(J24="Válida",B24,"")</f>
        <v>291</v>
      </c>
      <c r="U24" s="23" t="n">
        <f aca="false">IF(J24="Válida",F24,"")</f>
        <v>296.425</v>
      </c>
    </row>
    <row r="25" customFormat="false" ht="15" hidden="false" customHeight="false" outlineLevel="0" collapsed="false">
      <c r="A25" s="22" t="n">
        <f aca="false">IF(MES!A25="","",MES!A25)</f>
        <v>46317</v>
      </c>
      <c r="B25" s="23" t="n">
        <f aca="false">IF(A25="","",MES!B25)</f>
        <v>317</v>
      </c>
      <c r="C25" s="22" t="n">
        <f aca="false">IF(A25="","",A25+Parametros!$B$3/24)</f>
        <v>46316.9166666667</v>
      </c>
      <c r="D25" s="22" t="n">
        <f aca="false">IF(A25="","",C25+Parametros!$B$2/24)</f>
        <v>46317</v>
      </c>
      <c r="E25" s="24" t="n">
        <f aca="false">IF(A25="","",COUNTIFS(Modulo!$A$2:$A$5001,"&gt;="&amp;C25,Modulo!$A$2:$A$5001,"&lt;"&amp;D25,Modulo!$D$2:$D$5001,Parametros!$B$7))</f>
        <v>4</v>
      </c>
      <c r="F25" s="23" t="n">
        <f aca="false">IF(A25="","",IF(E25=0,"",AVERAGEIFS(Modulo!$B$2:$B$5001,Modulo!$A$2:$A$5001,"&gt;="&amp;C25,Modulo!$A$2:$A$5001,"&lt;"&amp;D25,Modulo!$D$2:$D$5001,Parametros!$B$7)))</f>
        <v>306.15</v>
      </c>
      <c r="G25" s="23" t="n">
        <f aca="false">IF(A25="","",IF(E25=0,"",AVERAGEIFS(Modulo!$C$2:$C$5001,Modulo!$A$2:$A$5001,"&gt;="&amp;C25,Modulo!$A$2:$A$5001,"&lt;"&amp;D25,Modulo!$D$2:$D$5001,Parametros!$B$7)))</f>
        <v>52.775</v>
      </c>
      <c r="H25" s="25" t="n">
        <f aca="false">IF(A25="","",IFERROR(COUNTIFS(Amostragem!$A$2:$A$15003,"&gt;="&amp;C25,Amostragem!$A$2:$A$15003,"&lt;"&amp;D25,Amostragem!$B$2:$B$15003,"Automático",Amostragem!$C$2:$C$15003,"Automático",Amostragem!$D$2:$D$15003,0)/COUNTIFS(Amostragem!$A$2:$A$15003,"&gt;="&amp;C25,Amostragem!$A$2:$A$15003,"&lt;"&amp;D25),0))</f>
        <v>1</v>
      </c>
      <c r="I25" s="23" t="n">
        <f aca="false">IF(A25="","",IFERROR(AVERAGEIFS(Amostragem!$E$2:$E$15003,Amostragem!$A$2:$A$15003,"&gt;="&amp;C25,Amostragem!$A$2:$A$15003,"&lt;"&amp;D25),""))</f>
        <v>1204.275</v>
      </c>
      <c r="J25" s="24" t="str">
        <f aca="false">IF(A25="","",IF(B25="","Inválida: sem resultado MES",IF(E25&lt;Parametros!$B$4,"Inválida: poucos ensaios do módulo",IF(H25&lt;Parametros!$B$5,"Inválida: amostragem em manual ou em falha",IF(OR(I25="",I25&lt;Parametros!$B$6),"Inválida: usina parada ou baixa alimentação","Válida")))))</f>
        <v>Válida</v>
      </c>
      <c r="K25" s="23" t="n">
        <f aca="false">IF(J25="Válida",F25-B25,"")</f>
        <v>-10.85</v>
      </c>
      <c r="L25" s="26" t="n">
        <f aca="false">IF(J25="Válida",K25/B25,"")</f>
        <v>-0.0342271293375395</v>
      </c>
      <c r="M25" s="23" t="n">
        <f aca="false">IF(J25="Válida",(F25+B25)/2,"")</f>
        <v>311.575</v>
      </c>
      <c r="N25" s="24" t="str">
        <f aca="false">IF(K25="","",IF(OR(K25&gt;Resumo!$B$16,K25&lt;Resumo!$B$15),"Sim","Não"))</f>
        <v>Não</v>
      </c>
      <c r="O25" s="22" t="n">
        <f aca="false">IF(A25="",NA(),A25)</f>
        <v>46317</v>
      </c>
      <c r="P25" s="23" t="n">
        <f aca="false">IF(A25="",NA(),B25)</f>
        <v>317</v>
      </c>
      <c r="Q25" s="23" t="n">
        <f aca="false">IF(F25="",NA(),F25)</f>
        <v>306.15</v>
      </c>
      <c r="R25" s="23" t="n">
        <f aca="false">IF(K25="",NA(),K25)</f>
        <v>-10.85</v>
      </c>
      <c r="S25" s="23" t="n">
        <f aca="false">IF(M25="",NA(),M25)</f>
        <v>311.575</v>
      </c>
      <c r="T25" s="23" t="n">
        <f aca="false">IF(J25="Válida",B25,"")</f>
        <v>317</v>
      </c>
      <c r="U25" s="23" t="n">
        <f aca="false">IF(J25="Válida",F25,"")</f>
        <v>306.15</v>
      </c>
    </row>
    <row r="26" customFormat="false" ht="15" hidden="false" customHeight="false" outlineLevel="0" collapsed="false">
      <c r="A26" s="22" t="n">
        <f aca="false">IF(MES!A26="","",MES!A26)</f>
        <v>46317.0833333333</v>
      </c>
      <c r="B26" s="23" t="n">
        <f aca="false">IF(A26="","",MES!B26)</f>
        <v>292</v>
      </c>
      <c r="C26" s="22" t="n">
        <f aca="false">IF(A26="","",A26+Parametros!$B$3/24)</f>
        <v>46317</v>
      </c>
      <c r="D26" s="22" t="n">
        <f aca="false">IF(A26="","",C26+Parametros!$B$2/24)</f>
        <v>46317.0833333333</v>
      </c>
      <c r="E26" s="24" t="n">
        <f aca="false">IF(A26="","",COUNTIFS(Modulo!$A$2:$A$5001,"&gt;="&amp;C26,Modulo!$A$2:$A$5001,"&lt;"&amp;D26,Modulo!$D$2:$D$5001,Parametros!$B$7))</f>
        <v>4</v>
      </c>
      <c r="F26" s="23" t="n">
        <f aca="false">IF(A26="","",IF(E26=0,"",AVERAGEIFS(Modulo!$B$2:$B$5001,Modulo!$A$2:$A$5001,"&gt;="&amp;C26,Modulo!$A$2:$A$5001,"&lt;"&amp;D26,Modulo!$D$2:$D$5001,Parametros!$B$7)))</f>
        <v>306.975</v>
      </c>
      <c r="G26" s="23" t="n">
        <f aca="false">IF(A26="","",IF(E26=0,"",AVERAGEIFS(Modulo!$C$2:$C$5001,Modulo!$A$2:$A$5001,"&gt;="&amp;C26,Modulo!$A$2:$A$5001,"&lt;"&amp;D26,Modulo!$D$2:$D$5001,Parametros!$B$7)))</f>
        <v>50.475</v>
      </c>
      <c r="H26" s="25" t="n">
        <f aca="false">IF(A26="","",IFERROR(COUNTIFS(Amostragem!$A$2:$A$15003,"&gt;="&amp;C26,Amostragem!$A$2:$A$15003,"&lt;"&amp;D26,Amostragem!$B$2:$B$15003,"Automático",Amostragem!$C$2:$C$15003,"Automático",Amostragem!$D$2:$D$15003,0)/COUNTIFS(Amostragem!$A$2:$A$15003,"&gt;="&amp;C26,Amostragem!$A$2:$A$15003,"&lt;"&amp;D26),0))</f>
        <v>1</v>
      </c>
      <c r="I26" s="23" t="n">
        <f aca="false">IF(A26="","",IFERROR(AVERAGEIFS(Amostragem!$E$2:$E$15003,Amostragem!$A$2:$A$15003,"&gt;="&amp;C26,Amostragem!$A$2:$A$15003,"&lt;"&amp;D26),""))</f>
        <v>1196.00833333333</v>
      </c>
      <c r="J26" s="24" t="str">
        <f aca="false">IF(A26="","",IF(B26="","Inválida: sem resultado MES",IF(E26&lt;Parametros!$B$4,"Inválida: poucos ensaios do módulo",IF(H26&lt;Parametros!$B$5,"Inválida: amostragem em manual ou em falha",IF(OR(I26="",I26&lt;Parametros!$B$6),"Inválida: usina parada ou baixa alimentação","Válida")))))</f>
        <v>Válida</v>
      </c>
      <c r="K26" s="23" t="n">
        <f aca="false">IF(J26="Válida",F26-B26,"")</f>
        <v>14.975</v>
      </c>
      <c r="L26" s="26" t="n">
        <f aca="false">IF(J26="Válida",K26/B26,"")</f>
        <v>0.0512842465753425</v>
      </c>
      <c r="M26" s="23" t="n">
        <f aca="false">IF(J26="Válida",(F26+B26)/2,"")</f>
        <v>299.4875</v>
      </c>
      <c r="N26" s="24" t="str">
        <f aca="false">IF(K26="","",IF(OR(K26&gt;Resumo!$B$16,K26&lt;Resumo!$B$15),"Sim","Não"))</f>
        <v>Não</v>
      </c>
      <c r="O26" s="22" t="n">
        <f aca="false">IF(A26="",NA(),A26)</f>
        <v>46317.0833333333</v>
      </c>
      <c r="P26" s="23" t="n">
        <f aca="false">IF(A26="",NA(),B26)</f>
        <v>292</v>
      </c>
      <c r="Q26" s="23" t="n">
        <f aca="false">IF(F26="",NA(),F26)</f>
        <v>306.975</v>
      </c>
      <c r="R26" s="23" t="n">
        <f aca="false">IF(K26="",NA(),K26)</f>
        <v>14.975</v>
      </c>
      <c r="S26" s="23" t="n">
        <f aca="false">IF(M26="",NA(),M26)</f>
        <v>299.4875</v>
      </c>
      <c r="T26" s="23" t="n">
        <f aca="false">IF(J26="Válida",B26,"")</f>
        <v>292</v>
      </c>
      <c r="U26" s="23" t="n">
        <f aca="false">IF(J26="Válida",F26,"")</f>
        <v>306.975</v>
      </c>
    </row>
    <row r="27" customFormat="false" ht="15" hidden="false" customHeight="false" outlineLevel="0" collapsed="false">
      <c r="A27" s="22" t="n">
        <f aca="false">IF(MES!A27="","",MES!A27)</f>
        <v>46317.1666666667</v>
      </c>
      <c r="B27" s="23" t="n">
        <f aca="false">IF(A27="","",MES!B27)</f>
        <v>296</v>
      </c>
      <c r="C27" s="22" t="n">
        <f aca="false">IF(A27="","",A27+Parametros!$B$3/24)</f>
        <v>46317.0833333333</v>
      </c>
      <c r="D27" s="22" t="n">
        <f aca="false">IF(A27="","",C27+Parametros!$B$2/24)</f>
        <v>46317.1666666667</v>
      </c>
      <c r="E27" s="24" t="n">
        <f aca="false">IF(A27="","",COUNTIFS(Modulo!$A$2:$A$5001,"&gt;="&amp;C27,Modulo!$A$2:$A$5001,"&lt;"&amp;D27,Modulo!$D$2:$D$5001,Parametros!$B$7))</f>
        <v>3</v>
      </c>
      <c r="F27" s="23" t="n">
        <f aca="false">IF(A27="","",IF(E27=0,"",AVERAGEIFS(Modulo!$B$2:$B$5001,Modulo!$A$2:$A$5001,"&gt;="&amp;C27,Modulo!$A$2:$A$5001,"&lt;"&amp;D27,Modulo!$D$2:$D$5001,Parametros!$B$7)))</f>
        <v>306.466666666667</v>
      </c>
      <c r="G27" s="23" t="n">
        <f aca="false">IF(A27="","",IF(E27=0,"",AVERAGEIFS(Modulo!$C$2:$C$5001,Modulo!$A$2:$A$5001,"&gt;="&amp;C27,Modulo!$A$2:$A$5001,"&lt;"&amp;D27,Modulo!$D$2:$D$5001,Parametros!$B$7)))</f>
        <v>50.0333333333333</v>
      </c>
      <c r="H27" s="25" t="n">
        <f aca="false">IF(A27="","",IFERROR(COUNTIFS(Amostragem!$A$2:$A$15003,"&gt;="&amp;C27,Amostragem!$A$2:$A$15003,"&lt;"&amp;D27,Amostragem!$B$2:$B$15003,"Automático",Amostragem!$C$2:$C$15003,"Automático",Amostragem!$D$2:$D$15003,0)/COUNTIFS(Amostragem!$A$2:$A$15003,"&gt;="&amp;C27,Amostragem!$A$2:$A$15003,"&lt;"&amp;D27),0))</f>
        <v>1</v>
      </c>
      <c r="I27" s="23" t="n">
        <f aca="false">IF(A27="","",IFERROR(AVERAGEIFS(Amostragem!$E$2:$E$15003,Amostragem!$A$2:$A$15003,"&gt;="&amp;C27,Amostragem!$A$2:$A$15003,"&lt;"&amp;D27),""))</f>
        <v>1191.925</v>
      </c>
      <c r="J27" s="24" t="str">
        <f aca="false">IF(A27="","",IF(B27="","Inválida: sem resultado MES",IF(E27&lt;Parametros!$B$4,"Inválida: poucos ensaios do módulo",IF(H27&lt;Parametros!$B$5,"Inválida: amostragem em manual ou em falha",IF(OR(I27="",I27&lt;Parametros!$B$6),"Inválida: usina parada ou baixa alimentação","Válida")))))</f>
        <v>Válida</v>
      </c>
      <c r="K27" s="23" t="n">
        <f aca="false">IF(J27="Válida",F27-B27,"")</f>
        <v>10.4666666666667</v>
      </c>
      <c r="L27" s="26" t="n">
        <f aca="false">IF(J27="Válida",K27/B27,"")</f>
        <v>0.0353603603603605</v>
      </c>
      <c r="M27" s="23" t="n">
        <f aca="false">IF(J27="Válida",(F27+B27)/2,"")</f>
        <v>301.233333333333</v>
      </c>
      <c r="N27" s="24" t="str">
        <f aca="false">IF(K27="","",IF(OR(K27&gt;Resumo!$B$16,K27&lt;Resumo!$B$15),"Sim","Não"))</f>
        <v>Não</v>
      </c>
      <c r="O27" s="22" t="n">
        <f aca="false">IF(A27="",NA(),A27)</f>
        <v>46317.1666666667</v>
      </c>
      <c r="P27" s="23" t="n">
        <f aca="false">IF(A27="",NA(),B27)</f>
        <v>296</v>
      </c>
      <c r="Q27" s="23" t="n">
        <f aca="false">IF(F27="",NA(),F27)</f>
        <v>306.466666666667</v>
      </c>
      <c r="R27" s="23" t="n">
        <f aca="false">IF(K27="",NA(),K27)</f>
        <v>10.4666666666667</v>
      </c>
      <c r="S27" s="23" t="n">
        <f aca="false">IF(M27="",NA(),M27)</f>
        <v>301.233333333333</v>
      </c>
      <c r="T27" s="23" t="n">
        <f aca="false">IF(J27="Válida",B27,"")</f>
        <v>296</v>
      </c>
      <c r="U27" s="23" t="n">
        <f aca="false">IF(J27="Válida",F27,"")</f>
        <v>306.466666666667</v>
      </c>
    </row>
    <row r="28" customFormat="false" ht="15" hidden="false" customHeight="false" outlineLevel="0" collapsed="false">
      <c r="A28" s="22" t="n">
        <f aca="false">IF(MES!A28="","",MES!A28)</f>
        <v>46317.25</v>
      </c>
      <c r="B28" s="23" t="n">
        <f aca="false">IF(A28="","",MES!B28)</f>
        <v>282</v>
      </c>
      <c r="C28" s="22" t="n">
        <f aca="false">IF(A28="","",A28+Parametros!$B$3/24)</f>
        <v>46317.1666666667</v>
      </c>
      <c r="D28" s="22" t="n">
        <f aca="false">IF(A28="","",C28+Parametros!$B$2/24)</f>
        <v>46317.25</v>
      </c>
      <c r="E28" s="24" t="n">
        <f aca="false">IF(A28="","",COUNTIFS(Modulo!$A$2:$A$5001,"&gt;="&amp;C28,Modulo!$A$2:$A$5001,"&lt;"&amp;D28,Modulo!$D$2:$D$5001,Parametros!$B$7))</f>
        <v>4</v>
      </c>
      <c r="F28" s="23" t="n">
        <f aca="false">IF(A28="","",IF(E28=0,"",AVERAGEIFS(Modulo!$B$2:$B$5001,Modulo!$A$2:$A$5001,"&gt;="&amp;C28,Modulo!$A$2:$A$5001,"&lt;"&amp;D28,Modulo!$D$2:$D$5001,Parametros!$B$7)))</f>
        <v>309.575</v>
      </c>
      <c r="G28" s="23" t="n">
        <f aca="false">IF(A28="","",IF(E28=0,"",AVERAGEIFS(Modulo!$C$2:$C$5001,Modulo!$A$2:$A$5001,"&gt;="&amp;C28,Modulo!$A$2:$A$5001,"&lt;"&amp;D28,Modulo!$D$2:$D$5001,Parametros!$B$7)))</f>
        <v>52.7</v>
      </c>
      <c r="H28" s="25" t="n">
        <f aca="false">IF(A28="","",IFERROR(COUNTIFS(Amostragem!$A$2:$A$15003,"&gt;="&amp;C28,Amostragem!$A$2:$A$15003,"&lt;"&amp;D28,Amostragem!$B$2:$B$15003,"Automático",Amostragem!$C$2:$C$15003,"Automático",Amostragem!$D$2:$D$15003,0)/COUNTIFS(Amostragem!$A$2:$A$15003,"&gt;="&amp;C28,Amostragem!$A$2:$A$15003,"&lt;"&amp;D28),0))</f>
        <v>1</v>
      </c>
      <c r="I28" s="23" t="n">
        <f aca="false">IF(A28="","",IFERROR(AVERAGEIFS(Amostragem!$E$2:$E$15003,Amostragem!$A$2:$A$15003,"&gt;="&amp;C28,Amostragem!$A$2:$A$15003,"&lt;"&amp;D28),""))</f>
        <v>1171.6</v>
      </c>
      <c r="J28" s="24" t="str">
        <f aca="false">IF(A28="","",IF(B28="","Inválida: sem resultado MES",IF(E28&lt;Parametros!$B$4,"Inválida: poucos ensaios do módulo",IF(H28&lt;Parametros!$B$5,"Inválida: amostragem em manual ou em falha",IF(OR(I28="",I28&lt;Parametros!$B$6),"Inválida: usina parada ou baixa alimentação","Válida")))))</f>
        <v>Válida</v>
      </c>
      <c r="K28" s="23" t="n">
        <f aca="false">IF(J28="Válida",F28-B28,"")</f>
        <v>27.575</v>
      </c>
      <c r="L28" s="26" t="n">
        <f aca="false">IF(J28="Válida",K28/B28,"")</f>
        <v>0.0977836879432624</v>
      </c>
      <c r="M28" s="23" t="n">
        <f aca="false">IF(J28="Válida",(F28+B28)/2,"")</f>
        <v>295.7875</v>
      </c>
      <c r="N28" s="24" t="str">
        <f aca="false">IF(K28="","",IF(OR(K28&gt;Resumo!$B$16,K28&lt;Resumo!$B$15),"Sim","Não"))</f>
        <v>Sim</v>
      </c>
      <c r="O28" s="22" t="n">
        <f aca="false">IF(A28="",NA(),A28)</f>
        <v>46317.25</v>
      </c>
      <c r="P28" s="23" t="n">
        <f aca="false">IF(A28="",NA(),B28)</f>
        <v>282</v>
      </c>
      <c r="Q28" s="23" t="n">
        <f aca="false">IF(F28="",NA(),F28)</f>
        <v>309.575</v>
      </c>
      <c r="R28" s="23" t="n">
        <f aca="false">IF(K28="",NA(),K28)</f>
        <v>27.575</v>
      </c>
      <c r="S28" s="23" t="n">
        <f aca="false">IF(M28="",NA(),M28)</f>
        <v>295.7875</v>
      </c>
      <c r="T28" s="23" t="n">
        <f aca="false">IF(J28="Válida",B28,"")</f>
        <v>282</v>
      </c>
      <c r="U28" s="23" t="n">
        <f aca="false">IF(J28="Válida",F28,"")</f>
        <v>309.575</v>
      </c>
    </row>
    <row r="29" customFormat="false" ht="15" hidden="false" customHeight="false" outlineLevel="0" collapsed="false">
      <c r="A29" s="22" t="n">
        <f aca="false">IF(MES!A29="","",MES!A29)</f>
        <v>46317.3333333333</v>
      </c>
      <c r="B29" s="23" t="n">
        <f aca="false">IF(A29="","",MES!B29)</f>
        <v>302</v>
      </c>
      <c r="C29" s="22" t="n">
        <f aca="false">IF(A29="","",A29+Parametros!$B$3/24)</f>
        <v>46317.25</v>
      </c>
      <c r="D29" s="22" t="n">
        <f aca="false">IF(A29="","",C29+Parametros!$B$2/24)</f>
        <v>46317.3333333333</v>
      </c>
      <c r="E29" s="24" t="n">
        <f aca="false">IF(A29="","",COUNTIFS(Modulo!$A$2:$A$5001,"&gt;="&amp;C29,Modulo!$A$2:$A$5001,"&lt;"&amp;D29,Modulo!$D$2:$D$5001,Parametros!$B$7))</f>
        <v>3</v>
      </c>
      <c r="F29" s="23" t="n">
        <f aca="false">IF(A29="","",IF(E29=0,"",AVERAGEIFS(Modulo!$B$2:$B$5001,Modulo!$A$2:$A$5001,"&gt;="&amp;C29,Modulo!$A$2:$A$5001,"&lt;"&amp;D29,Modulo!$D$2:$D$5001,Parametros!$B$7)))</f>
        <v>307.2</v>
      </c>
      <c r="G29" s="23" t="n">
        <f aca="false">IF(A29="","",IF(E29=0,"",AVERAGEIFS(Modulo!$C$2:$C$5001,Modulo!$A$2:$A$5001,"&gt;="&amp;C29,Modulo!$A$2:$A$5001,"&lt;"&amp;D29,Modulo!$D$2:$D$5001,Parametros!$B$7)))</f>
        <v>48.5333333333333</v>
      </c>
      <c r="H29" s="25" t="n">
        <f aca="false">IF(A29="","",IFERROR(COUNTIFS(Amostragem!$A$2:$A$15003,"&gt;="&amp;C29,Amostragem!$A$2:$A$15003,"&lt;"&amp;D29,Amostragem!$B$2:$B$15003,"Automático",Amostragem!$C$2:$C$15003,"Automático",Amostragem!$D$2:$D$15003,0)/COUNTIFS(Amostragem!$A$2:$A$15003,"&gt;="&amp;C29,Amostragem!$A$2:$A$15003,"&lt;"&amp;D29),0))</f>
        <v>1</v>
      </c>
      <c r="I29" s="23" t="n">
        <f aca="false">IF(A29="","",IFERROR(AVERAGEIFS(Amostragem!$E$2:$E$15003,Amostragem!$A$2:$A$15003,"&gt;="&amp;C29,Amostragem!$A$2:$A$15003,"&lt;"&amp;D29),""))</f>
        <v>1182.40833333333</v>
      </c>
      <c r="J29" s="24" t="str">
        <f aca="false">IF(A29="","",IF(B29="","Inválida: sem resultado MES",IF(E29&lt;Parametros!$B$4,"Inválida: poucos ensaios do módulo",IF(H29&lt;Parametros!$B$5,"Inválida: amostragem em manual ou em falha",IF(OR(I29="",I29&lt;Parametros!$B$6),"Inválida: usina parada ou baixa alimentação","Válida")))))</f>
        <v>Válida</v>
      </c>
      <c r="K29" s="23" t="n">
        <f aca="false">IF(J29="Válida",F29-B29,"")</f>
        <v>5.19999999999999</v>
      </c>
      <c r="L29" s="26" t="n">
        <f aca="false">IF(J29="Válida",K29/B29,"")</f>
        <v>0.0172185430463576</v>
      </c>
      <c r="M29" s="23" t="n">
        <f aca="false">IF(J29="Válida",(F29+B29)/2,"")</f>
        <v>304.6</v>
      </c>
      <c r="N29" s="24" t="str">
        <f aca="false">IF(K29="","",IF(OR(K29&gt;Resumo!$B$16,K29&lt;Resumo!$B$15),"Sim","Não"))</f>
        <v>Não</v>
      </c>
      <c r="O29" s="22" t="n">
        <f aca="false">IF(A29="",NA(),A29)</f>
        <v>46317.3333333333</v>
      </c>
      <c r="P29" s="23" t="n">
        <f aca="false">IF(A29="",NA(),B29)</f>
        <v>302</v>
      </c>
      <c r="Q29" s="23" t="n">
        <f aca="false">IF(F29="",NA(),F29)</f>
        <v>307.2</v>
      </c>
      <c r="R29" s="23" t="n">
        <f aca="false">IF(K29="",NA(),K29)</f>
        <v>5.19999999999999</v>
      </c>
      <c r="S29" s="23" t="n">
        <f aca="false">IF(M29="",NA(),M29)</f>
        <v>304.6</v>
      </c>
      <c r="T29" s="23" t="n">
        <f aca="false">IF(J29="Válida",B29,"")</f>
        <v>302</v>
      </c>
      <c r="U29" s="23" t="n">
        <f aca="false">IF(J29="Válida",F29,"")</f>
        <v>307.2</v>
      </c>
    </row>
    <row r="30" customFormat="false" ht="15" hidden="false" customHeight="false" outlineLevel="0" collapsed="false">
      <c r="A30" s="22" t="n">
        <f aca="false">IF(MES!A30="","",MES!A30)</f>
        <v>46317.4166666667</v>
      </c>
      <c r="B30" s="23" t="n">
        <f aca="false">IF(A30="","",MES!B30)</f>
        <v>298</v>
      </c>
      <c r="C30" s="22" t="n">
        <f aca="false">IF(A30="","",A30+Parametros!$B$3/24)</f>
        <v>46317.3333333333</v>
      </c>
      <c r="D30" s="22" t="n">
        <f aca="false">IF(A30="","",C30+Parametros!$B$2/24)</f>
        <v>46317.4166666667</v>
      </c>
      <c r="E30" s="24" t="n">
        <f aca="false">IF(A30="","",COUNTIFS(Modulo!$A$2:$A$5001,"&gt;="&amp;C30,Modulo!$A$2:$A$5001,"&lt;"&amp;D30,Modulo!$D$2:$D$5001,Parametros!$B$7))</f>
        <v>3</v>
      </c>
      <c r="F30" s="23" t="n">
        <f aca="false">IF(A30="","",IF(E30=0,"",AVERAGEIFS(Modulo!$B$2:$B$5001,Modulo!$A$2:$A$5001,"&gt;="&amp;C30,Modulo!$A$2:$A$5001,"&lt;"&amp;D30,Modulo!$D$2:$D$5001,Parametros!$B$7)))</f>
        <v>312.366666666667</v>
      </c>
      <c r="G30" s="23" t="n">
        <f aca="false">IF(A30="","",IF(E30=0,"",AVERAGEIFS(Modulo!$C$2:$C$5001,Modulo!$A$2:$A$5001,"&gt;="&amp;C30,Modulo!$A$2:$A$5001,"&lt;"&amp;D30,Modulo!$D$2:$D$5001,Parametros!$B$7)))</f>
        <v>46.8</v>
      </c>
      <c r="H30" s="25" t="n">
        <f aca="false">IF(A30="","",IFERROR(COUNTIFS(Amostragem!$A$2:$A$15003,"&gt;="&amp;C30,Amostragem!$A$2:$A$15003,"&lt;"&amp;D30,Amostragem!$B$2:$B$15003,"Automático",Amostragem!$C$2:$C$15003,"Automático",Amostragem!$D$2:$D$15003,0)/COUNTIFS(Amostragem!$A$2:$A$15003,"&gt;="&amp;C30,Amostragem!$A$2:$A$15003,"&lt;"&amp;D30),0))</f>
        <v>1</v>
      </c>
      <c r="I30" s="23" t="n">
        <f aca="false">IF(A30="","",IFERROR(AVERAGEIFS(Amostragem!$E$2:$E$15003,Amostragem!$A$2:$A$15003,"&gt;="&amp;C30,Amostragem!$A$2:$A$15003,"&lt;"&amp;D30),""))</f>
        <v>1174.45</v>
      </c>
      <c r="J30" s="24" t="str">
        <f aca="false">IF(A30="","",IF(B30="","Inválida: sem resultado MES",IF(E30&lt;Parametros!$B$4,"Inválida: poucos ensaios do módulo",IF(H30&lt;Parametros!$B$5,"Inválida: amostragem em manual ou em falha",IF(OR(I30="",I30&lt;Parametros!$B$6),"Inválida: usina parada ou baixa alimentação","Válida")))))</f>
        <v>Válida</v>
      </c>
      <c r="K30" s="23" t="n">
        <f aca="false">IF(J30="Válida",F30-B30,"")</f>
        <v>14.3666666666667</v>
      </c>
      <c r="L30" s="26" t="n">
        <f aca="false">IF(J30="Válida",K30/B30,"")</f>
        <v>0.0482102908277405</v>
      </c>
      <c r="M30" s="23" t="n">
        <f aca="false">IF(J30="Válida",(F30+B30)/2,"")</f>
        <v>305.183333333333</v>
      </c>
      <c r="N30" s="24" t="str">
        <f aca="false">IF(K30="","",IF(OR(K30&gt;Resumo!$B$16,K30&lt;Resumo!$B$15),"Sim","Não"))</f>
        <v>Não</v>
      </c>
      <c r="O30" s="22" t="n">
        <f aca="false">IF(A30="",NA(),A30)</f>
        <v>46317.4166666667</v>
      </c>
      <c r="P30" s="23" t="n">
        <f aca="false">IF(A30="",NA(),B30)</f>
        <v>298</v>
      </c>
      <c r="Q30" s="23" t="n">
        <f aca="false">IF(F30="",NA(),F30)</f>
        <v>312.366666666667</v>
      </c>
      <c r="R30" s="23" t="n">
        <f aca="false">IF(K30="",NA(),K30)</f>
        <v>14.3666666666667</v>
      </c>
      <c r="S30" s="23" t="n">
        <f aca="false">IF(M30="",NA(),M30)</f>
        <v>305.183333333333</v>
      </c>
      <c r="T30" s="23" t="n">
        <f aca="false">IF(J30="Válida",B30,"")</f>
        <v>298</v>
      </c>
      <c r="U30" s="23" t="n">
        <f aca="false">IF(J30="Válida",F30,"")</f>
        <v>312.366666666667</v>
      </c>
    </row>
    <row r="31" customFormat="false" ht="15" hidden="false" customHeight="false" outlineLevel="0" collapsed="false">
      <c r="A31" s="22" t="n">
        <f aca="false">IF(MES!A31="","",MES!A31)</f>
        <v>46317.5</v>
      </c>
      <c r="B31" s="23" t="n">
        <f aca="false">IF(A31="","",MES!B31)</f>
        <v>321</v>
      </c>
      <c r="C31" s="22" t="n">
        <f aca="false">IF(A31="","",A31+Parametros!$B$3/24)</f>
        <v>46317.4166666667</v>
      </c>
      <c r="D31" s="22" t="n">
        <f aca="false">IF(A31="","",C31+Parametros!$B$2/24)</f>
        <v>46317.5</v>
      </c>
      <c r="E31" s="24" t="n">
        <f aca="false">IF(A31="","",COUNTIFS(Modulo!$A$2:$A$5001,"&gt;="&amp;C31,Modulo!$A$2:$A$5001,"&lt;"&amp;D31,Modulo!$D$2:$D$5001,Parametros!$B$7))</f>
        <v>4</v>
      </c>
      <c r="F31" s="23" t="n">
        <f aca="false">IF(A31="","",IF(E31=0,"",AVERAGEIFS(Modulo!$B$2:$B$5001,Modulo!$A$2:$A$5001,"&gt;="&amp;C31,Modulo!$A$2:$A$5001,"&lt;"&amp;D31,Modulo!$D$2:$D$5001,Parametros!$B$7)))</f>
        <v>311.7</v>
      </c>
      <c r="G31" s="23" t="n">
        <f aca="false">IF(A31="","",IF(E31=0,"",AVERAGEIFS(Modulo!$C$2:$C$5001,Modulo!$A$2:$A$5001,"&gt;="&amp;C31,Modulo!$A$2:$A$5001,"&lt;"&amp;D31,Modulo!$D$2:$D$5001,Parametros!$B$7)))</f>
        <v>56.525</v>
      </c>
      <c r="H31" s="25" t="n">
        <f aca="false">IF(A31="","",IFERROR(COUNTIFS(Amostragem!$A$2:$A$15003,"&gt;="&amp;C31,Amostragem!$A$2:$A$15003,"&lt;"&amp;D31,Amostragem!$B$2:$B$15003,"Automático",Amostragem!$C$2:$C$15003,"Automático",Amostragem!$D$2:$D$15003,0)/COUNTIFS(Amostragem!$A$2:$A$15003,"&gt;="&amp;C31,Amostragem!$A$2:$A$15003,"&lt;"&amp;D31),0))</f>
        <v>1</v>
      </c>
      <c r="I31" s="23" t="n">
        <f aca="false">IF(A31="","",IFERROR(AVERAGEIFS(Amostragem!$E$2:$E$15003,Amostragem!$A$2:$A$15003,"&gt;="&amp;C31,Amostragem!$A$2:$A$15003,"&lt;"&amp;D31),""))</f>
        <v>1193.35</v>
      </c>
      <c r="J31" s="24" t="str">
        <f aca="false">IF(A31="","",IF(B31="","Inválida: sem resultado MES",IF(E31&lt;Parametros!$B$4,"Inválida: poucos ensaios do módulo",IF(H31&lt;Parametros!$B$5,"Inválida: amostragem em manual ou em falha",IF(OR(I31="",I31&lt;Parametros!$B$6),"Inválida: usina parada ou baixa alimentação","Válida")))))</f>
        <v>Válida</v>
      </c>
      <c r="K31" s="23" t="n">
        <f aca="false">IF(J31="Válida",F31-B31,"")</f>
        <v>-9.30000000000001</v>
      </c>
      <c r="L31" s="26" t="n">
        <f aca="false">IF(J31="Válida",K31/B31,"")</f>
        <v>-0.0289719626168225</v>
      </c>
      <c r="M31" s="23" t="n">
        <f aca="false">IF(J31="Válida",(F31+B31)/2,"")</f>
        <v>316.35</v>
      </c>
      <c r="N31" s="24" t="str">
        <f aca="false">IF(K31="","",IF(OR(K31&gt;Resumo!$B$16,K31&lt;Resumo!$B$15),"Sim","Não"))</f>
        <v>Não</v>
      </c>
      <c r="O31" s="22" t="n">
        <f aca="false">IF(A31="",NA(),A31)</f>
        <v>46317.5</v>
      </c>
      <c r="P31" s="23" t="n">
        <f aca="false">IF(A31="",NA(),B31)</f>
        <v>321</v>
      </c>
      <c r="Q31" s="23" t="n">
        <f aca="false">IF(F31="",NA(),F31)</f>
        <v>311.7</v>
      </c>
      <c r="R31" s="23" t="n">
        <f aca="false">IF(K31="",NA(),K31)</f>
        <v>-9.30000000000001</v>
      </c>
      <c r="S31" s="23" t="n">
        <f aca="false">IF(M31="",NA(),M31)</f>
        <v>316.35</v>
      </c>
      <c r="T31" s="23" t="n">
        <f aca="false">IF(J31="Válida",B31,"")</f>
        <v>321</v>
      </c>
      <c r="U31" s="23" t="n">
        <f aca="false">IF(J31="Válida",F31,"")</f>
        <v>311.7</v>
      </c>
    </row>
    <row r="32" customFormat="false" ht="15" hidden="false" customHeight="false" outlineLevel="0" collapsed="false">
      <c r="A32" s="22" t="n">
        <f aca="false">IF(MES!A32="","",MES!A32)</f>
        <v>46317.5833333333</v>
      </c>
      <c r="B32" s="23" t="n">
        <f aca="false">IF(A32="","",MES!B32)</f>
        <v>306</v>
      </c>
      <c r="C32" s="22" t="n">
        <f aca="false">IF(A32="","",A32+Parametros!$B$3/24)</f>
        <v>46317.5</v>
      </c>
      <c r="D32" s="22" t="n">
        <f aca="false">IF(A32="","",C32+Parametros!$B$2/24)</f>
        <v>46317.5833333333</v>
      </c>
      <c r="E32" s="24" t="n">
        <f aca="false">IF(A32="","",COUNTIFS(Modulo!$A$2:$A$5001,"&gt;="&amp;C32,Modulo!$A$2:$A$5001,"&lt;"&amp;D32,Modulo!$D$2:$D$5001,Parametros!$B$7))</f>
        <v>4</v>
      </c>
      <c r="F32" s="23" t="n">
        <f aca="false">IF(A32="","",IF(E32=0,"",AVERAGEIFS(Modulo!$B$2:$B$5001,Modulo!$A$2:$A$5001,"&gt;="&amp;C32,Modulo!$A$2:$A$5001,"&lt;"&amp;D32,Modulo!$D$2:$D$5001,Parametros!$B$7)))</f>
        <v>311.05</v>
      </c>
      <c r="G32" s="23" t="n">
        <f aca="false">IF(A32="","",IF(E32=0,"",AVERAGEIFS(Modulo!$C$2:$C$5001,Modulo!$A$2:$A$5001,"&gt;="&amp;C32,Modulo!$A$2:$A$5001,"&lt;"&amp;D32,Modulo!$D$2:$D$5001,Parametros!$B$7)))</f>
        <v>55.425</v>
      </c>
      <c r="H32" s="25" t="n">
        <f aca="false">IF(A32="","",IFERROR(COUNTIFS(Amostragem!$A$2:$A$15003,"&gt;="&amp;C32,Amostragem!$A$2:$A$15003,"&lt;"&amp;D32,Amostragem!$B$2:$B$15003,"Automático",Amostragem!$C$2:$C$15003,"Automático",Amostragem!$D$2:$D$15003,0)/COUNTIFS(Amostragem!$A$2:$A$15003,"&gt;="&amp;C32,Amostragem!$A$2:$A$15003,"&lt;"&amp;D32),0))</f>
        <v>1</v>
      </c>
      <c r="I32" s="23" t="n">
        <f aca="false">IF(A32="","",IFERROR(AVERAGEIFS(Amostragem!$E$2:$E$15003,Amostragem!$A$2:$A$15003,"&gt;="&amp;C32,Amostragem!$A$2:$A$15003,"&lt;"&amp;D32),""))</f>
        <v>1182.94166666667</v>
      </c>
      <c r="J32" s="24" t="str">
        <f aca="false">IF(A32="","",IF(B32="","Inválida: sem resultado MES",IF(E32&lt;Parametros!$B$4,"Inválida: poucos ensaios do módulo",IF(H32&lt;Parametros!$B$5,"Inválida: amostragem em manual ou em falha",IF(OR(I32="",I32&lt;Parametros!$B$6),"Inválida: usina parada ou baixa alimentação","Válida")))))</f>
        <v>Válida</v>
      </c>
      <c r="K32" s="23" t="n">
        <f aca="false">IF(J32="Válida",F32-B32,"")</f>
        <v>5.05000000000001</v>
      </c>
      <c r="L32" s="26" t="n">
        <f aca="false">IF(J32="Válida",K32/B32,"")</f>
        <v>0.0165032679738562</v>
      </c>
      <c r="M32" s="23" t="n">
        <f aca="false">IF(J32="Válida",(F32+B32)/2,"")</f>
        <v>308.525</v>
      </c>
      <c r="N32" s="24" t="str">
        <f aca="false">IF(K32="","",IF(OR(K32&gt;Resumo!$B$16,K32&lt;Resumo!$B$15),"Sim","Não"))</f>
        <v>Não</v>
      </c>
      <c r="O32" s="22" t="n">
        <f aca="false">IF(A32="",NA(),A32)</f>
        <v>46317.5833333333</v>
      </c>
      <c r="P32" s="23" t="n">
        <f aca="false">IF(A32="",NA(),B32)</f>
        <v>306</v>
      </c>
      <c r="Q32" s="23" t="n">
        <f aca="false">IF(F32="",NA(),F32)</f>
        <v>311.05</v>
      </c>
      <c r="R32" s="23" t="n">
        <f aca="false">IF(K32="",NA(),K32)</f>
        <v>5.05000000000001</v>
      </c>
      <c r="S32" s="23" t="n">
        <f aca="false">IF(M32="",NA(),M32)</f>
        <v>308.525</v>
      </c>
      <c r="T32" s="23" t="n">
        <f aca="false">IF(J32="Válida",B32,"")</f>
        <v>306</v>
      </c>
      <c r="U32" s="23" t="n">
        <f aca="false">IF(J32="Válida",F32,"")</f>
        <v>311.05</v>
      </c>
    </row>
    <row r="33" customFormat="false" ht="15" hidden="false" customHeight="false" outlineLevel="0" collapsed="false">
      <c r="A33" s="22" t="n">
        <f aca="false">IF(MES!A33="","",MES!A33)</f>
        <v>46317.6666666667</v>
      </c>
      <c r="B33" s="23" t="n">
        <f aca="false">IF(A33="","",MES!B33)</f>
        <v>295</v>
      </c>
      <c r="C33" s="22" t="n">
        <f aca="false">IF(A33="","",A33+Parametros!$B$3/24)</f>
        <v>46317.5833333333</v>
      </c>
      <c r="D33" s="22" t="n">
        <f aca="false">IF(A33="","",C33+Parametros!$B$2/24)</f>
        <v>46317.6666666667</v>
      </c>
      <c r="E33" s="24" t="n">
        <f aca="false">IF(A33="","",COUNTIFS(Modulo!$A$2:$A$5001,"&gt;="&amp;C33,Modulo!$A$2:$A$5001,"&lt;"&amp;D33,Modulo!$D$2:$D$5001,Parametros!$B$7))</f>
        <v>4</v>
      </c>
      <c r="F33" s="23" t="n">
        <f aca="false">IF(A33="","",IF(E33=0,"",AVERAGEIFS(Modulo!$B$2:$B$5001,Modulo!$A$2:$A$5001,"&gt;="&amp;C33,Modulo!$A$2:$A$5001,"&lt;"&amp;D33,Modulo!$D$2:$D$5001,Parametros!$B$7)))</f>
        <v>304.025</v>
      </c>
      <c r="G33" s="23" t="n">
        <f aca="false">IF(A33="","",IF(E33=0,"",AVERAGEIFS(Modulo!$C$2:$C$5001,Modulo!$A$2:$A$5001,"&gt;="&amp;C33,Modulo!$A$2:$A$5001,"&lt;"&amp;D33,Modulo!$D$2:$D$5001,Parametros!$B$7)))</f>
        <v>47.9</v>
      </c>
      <c r="H33" s="25" t="n">
        <f aca="false">IF(A33="","",IFERROR(COUNTIFS(Amostragem!$A$2:$A$15003,"&gt;="&amp;C33,Amostragem!$A$2:$A$15003,"&lt;"&amp;D33,Amostragem!$B$2:$B$15003,"Automático",Amostragem!$C$2:$C$15003,"Automático",Amostragem!$D$2:$D$15003,0)/COUNTIFS(Amostragem!$A$2:$A$15003,"&gt;="&amp;C33,Amostragem!$A$2:$A$15003,"&lt;"&amp;D33),0))</f>
        <v>1</v>
      </c>
      <c r="I33" s="23" t="n">
        <f aca="false">IF(A33="","",IFERROR(AVERAGEIFS(Amostragem!$E$2:$E$15003,Amostragem!$A$2:$A$15003,"&gt;="&amp;C33,Amostragem!$A$2:$A$15003,"&lt;"&amp;D33),""))</f>
        <v>1204.79166666667</v>
      </c>
      <c r="J33" s="24" t="str">
        <f aca="false">IF(A33="","",IF(B33="","Inválida: sem resultado MES",IF(E33&lt;Parametros!$B$4,"Inválida: poucos ensaios do módulo",IF(H33&lt;Parametros!$B$5,"Inválida: amostragem em manual ou em falha",IF(OR(I33="",I33&lt;Parametros!$B$6),"Inválida: usina parada ou baixa alimentação","Válida")))))</f>
        <v>Válida</v>
      </c>
      <c r="K33" s="23" t="n">
        <f aca="false">IF(J33="Válida",F33-B33,"")</f>
        <v>9.02499999999998</v>
      </c>
      <c r="L33" s="26" t="n">
        <f aca="false">IF(J33="Válida",K33/B33,"")</f>
        <v>0.030593220338983</v>
      </c>
      <c r="M33" s="23" t="n">
        <f aca="false">IF(J33="Válida",(F33+B33)/2,"")</f>
        <v>299.5125</v>
      </c>
      <c r="N33" s="24" t="str">
        <f aca="false">IF(K33="","",IF(OR(K33&gt;Resumo!$B$16,K33&lt;Resumo!$B$15),"Sim","Não"))</f>
        <v>Não</v>
      </c>
      <c r="O33" s="22" t="n">
        <f aca="false">IF(A33="",NA(),A33)</f>
        <v>46317.6666666667</v>
      </c>
      <c r="P33" s="23" t="n">
        <f aca="false">IF(A33="",NA(),B33)</f>
        <v>295</v>
      </c>
      <c r="Q33" s="23" t="n">
        <f aca="false">IF(F33="",NA(),F33)</f>
        <v>304.025</v>
      </c>
      <c r="R33" s="23" t="n">
        <f aca="false">IF(K33="",NA(),K33)</f>
        <v>9.02499999999998</v>
      </c>
      <c r="S33" s="23" t="n">
        <f aca="false">IF(M33="",NA(),M33)</f>
        <v>299.5125</v>
      </c>
      <c r="T33" s="23" t="n">
        <f aca="false">IF(J33="Válida",B33,"")</f>
        <v>295</v>
      </c>
      <c r="U33" s="23" t="n">
        <f aca="false">IF(J33="Válida",F33,"")</f>
        <v>304.025</v>
      </c>
    </row>
    <row r="34" customFormat="false" ht="15" hidden="false" customHeight="false" outlineLevel="0" collapsed="false">
      <c r="A34" s="22" t="n">
        <f aca="false">IF(MES!A34="","",MES!A34)</f>
        <v>46317.75</v>
      </c>
      <c r="B34" s="23" t="n">
        <f aca="false">IF(A34="","",MES!B34)</f>
        <v>292</v>
      </c>
      <c r="C34" s="22" t="n">
        <f aca="false">IF(A34="","",A34+Parametros!$B$3/24)</f>
        <v>46317.6666666667</v>
      </c>
      <c r="D34" s="22" t="n">
        <f aca="false">IF(A34="","",C34+Parametros!$B$2/24)</f>
        <v>46317.75</v>
      </c>
      <c r="E34" s="24" t="n">
        <f aca="false">IF(A34="","",COUNTIFS(Modulo!$A$2:$A$5001,"&gt;="&amp;C34,Modulo!$A$2:$A$5001,"&lt;"&amp;D34,Modulo!$D$2:$D$5001,Parametros!$B$7))</f>
        <v>4</v>
      </c>
      <c r="F34" s="23" t="n">
        <f aca="false">IF(A34="","",IF(E34=0,"",AVERAGEIFS(Modulo!$B$2:$B$5001,Modulo!$A$2:$A$5001,"&gt;="&amp;C34,Modulo!$A$2:$A$5001,"&lt;"&amp;D34,Modulo!$D$2:$D$5001,Parametros!$B$7)))</f>
        <v>297.625</v>
      </c>
      <c r="G34" s="23" t="n">
        <f aca="false">IF(A34="","",IF(E34=0,"",AVERAGEIFS(Modulo!$C$2:$C$5001,Modulo!$A$2:$A$5001,"&gt;="&amp;C34,Modulo!$A$2:$A$5001,"&lt;"&amp;D34,Modulo!$D$2:$D$5001,Parametros!$B$7)))</f>
        <v>52.425</v>
      </c>
      <c r="H34" s="25" t="n">
        <f aca="false">IF(A34="","",IFERROR(COUNTIFS(Amostragem!$A$2:$A$15003,"&gt;="&amp;C34,Amostragem!$A$2:$A$15003,"&lt;"&amp;D34,Amostragem!$B$2:$B$15003,"Automático",Amostragem!$C$2:$C$15003,"Automático",Amostragem!$D$2:$D$15003,0)/COUNTIFS(Amostragem!$A$2:$A$15003,"&gt;="&amp;C34,Amostragem!$A$2:$A$15003,"&lt;"&amp;D34),0))</f>
        <v>1</v>
      </c>
      <c r="I34" s="23" t="n">
        <f aca="false">IF(A34="","",IFERROR(AVERAGEIFS(Amostragem!$E$2:$E$15003,Amostragem!$A$2:$A$15003,"&gt;="&amp;C34,Amostragem!$A$2:$A$15003,"&lt;"&amp;D34),""))</f>
        <v>1186.31666666667</v>
      </c>
      <c r="J34" s="24" t="str">
        <f aca="false">IF(A34="","",IF(B34="","Inválida: sem resultado MES",IF(E34&lt;Parametros!$B$4,"Inválida: poucos ensaios do módulo",IF(H34&lt;Parametros!$B$5,"Inválida: amostragem em manual ou em falha",IF(OR(I34="",I34&lt;Parametros!$B$6),"Inválida: usina parada ou baixa alimentação","Válida")))))</f>
        <v>Válida</v>
      </c>
      <c r="K34" s="23" t="n">
        <f aca="false">IF(J34="Válida",F34-B34,"")</f>
        <v>5.625</v>
      </c>
      <c r="L34" s="26" t="n">
        <f aca="false">IF(J34="Válida",K34/B34,"")</f>
        <v>0.019263698630137</v>
      </c>
      <c r="M34" s="23" t="n">
        <f aca="false">IF(J34="Válida",(F34+B34)/2,"")</f>
        <v>294.8125</v>
      </c>
      <c r="N34" s="24" t="str">
        <f aca="false">IF(K34="","",IF(OR(K34&gt;Resumo!$B$16,K34&lt;Resumo!$B$15),"Sim","Não"))</f>
        <v>Não</v>
      </c>
      <c r="O34" s="22" t="n">
        <f aca="false">IF(A34="",NA(),A34)</f>
        <v>46317.75</v>
      </c>
      <c r="P34" s="23" t="n">
        <f aca="false">IF(A34="",NA(),B34)</f>
        <v>292</v>
      </c>
      <c r="Q34" s="23" t="n">
        <f aca="false">IF(F34="",NA(),F34)</f>
        <v>297.625</v>
      </c>
      <c r="R34" s="23" t="n">
        <f aca="false">IF(K34="",NA(),K34)</f>
        <v>5.625</v>
      </c>
      <c r="S34" s="23" t="n">
        <f aca="false">IF(M34="",NA(),M34)</f>
        <v>294.8125</v>
      </c>
      <c r="T34" s="23" t="n">
        <f aca="false">IF(J34="Válida",B34,"")</f>
        <v>292</v>
      </c>
      <c r="U34" s="23" t="n">
        <f aca="false">IF(J34="Válida",F34,"")</f>
        <v>297.625</v>
      </c>
    </row>
    <row r="35" customFormat="false" ht="15" hidden="false" customHeight="false" outlineLevel="0" collapsed="false">
      <c r="A35" s="22" t="n">
        <f aca="false">IF(MES!A35="","",MES!A35)</f>
        <v>46317.8333333333</v>
      </c>
      <c r="B35" s="23" t="n">
        <f aca="false">IF(A35="","",MES!B35)</f>
        <v>272</v>
      </c>
      <c r="C35" s="22" t="n">
        <f aca="false">IF(A35="","",A35+Parametros!$B$3/24)</f>
        <v>46317.75</v>
      </c>
      <c r="D35" s="22" t="n">
        <f aca="false">IF(A35="","",C35+Parametros!$B$2/24)</f>
        <v>46317.8333333333</v>
      </c>
      <c r="E35" s="24" t="n">
        <f aca="false">IF(A35="","",COUNTIFS(Modulo!$A$2:$A$5001,"&gt;="&amp;C35,Modulo!$A$2:$A$5001,"&lt;"&amp;D35,Modulo!$D$2:$D$5001,Parametros!$B$7))</f>
        <v>4</v>
      </c>
      <c r="F35" s="23" t="n">
        <f aca="false">IF(A35="","",IF(E35=0,"",AVERAGEIFS(Modulo!$B$2:$B$5001,Modulo!$A$2:$A$5001,"&gt;="&amp;C35,Modulo!$A$2:$A$5001,"&lt;"&amp;D35,Modulo!$D$2:$D$5001,Parametros!$B$7)))</f>
        <v>286.525</v>
      </c>
      <c r="G35" s="23" t="n">
        <f aca="false">IF(A35="","",IF(E35=0,"",AVERAGEIFS(Modulo!$C$2:$C$5001,Modulo!$A$2:$A$5001,"&gt;="&amp;C35,Modulo!$A$2:$A$5001,"&lt;"&amp;D35,Modulo!$D$2:$D$5001,Parametros!$B$7)))</f>
        <v>50.125</v>
      </c>
      <c r="H35" s="25" t="n">
        <f aca="false">IF(A35="","",IFERROR(COUNTIFS(Amostragem!$A$2:$A$15003,"&gt;="&amp;C35,Amostragem!$A$2:$A$15003,"&lt;"&amp;D35,Amostragem!$B$2:$B$15003,"Automático",Amostragem!$C$2:$C$15003,"Automático",Amostragem!$D$2:$D$15003,0)/COUNTIFS(Amostragem!$A$2:$A$15003,"&gt;="&amp;C35,Amostragem!$A$2:$A$15003,"&lt;"&amp;D35),0))</f>
        <v>1</v>
      </c>
      <c r="I35" s="23" t="n">
        <f aca="false">IF(A35="","",IFERROR(AVERAGEIFS(Amostragem!$E$2:$E$15003,Amostragem!$A$2:$A$15003,"&gt;="&amp;C35,Amostragem!$A$2:$A$15003,"&lt;"&amp;D35),""))</f>
        <v>1190.71666666667</v>
      </c>
      <c r="J35" s="24" t="str">
        <f aca="false">IF(A35="","",IF(B35="","Inválida: sem resultado MES",IF(E35&lt;Parametros!$B$4,"Inválida: poucos ensaios do módulo",IF(H35&lt;Parametros!$B$5,"Inválida: amostragem em manual ou em falha",IF(OR(I35="",I35&lt;Parametros!$B$6),"Inválida: usina parada ou baixa alimentação","Válida")))))</f>
        <v>Válida</v>
      </c>
      <c r="K35" s="23" t="n">
        <f aca="false">IF(J35="Válida",F35-B35,"")</f>
        <v>14.525</v>
      </c>
      <c r="L35" s="26" t="n">
        <f aca="false">IF(J35="Válida",K35/B35,"")</f>
        <v>0.0534007352941176</v>
      </c>
      <c r="M35" s="23" t="n">
        <f aca="false">IF(J35="Válida",(F35+B35)/2,"")</f>
        <v>279.2625</v>
      </c>
      <c r="N35" s="24" t="str">
        <f aca="false">IF(K35="","",IF(OR(K35&gt;Resumo!$B$16,K35&lt;Resumo!$B$15),"Sim","Não"))</f>
        <v>Não</v>
      </c>
      <c r="O35" s="22" t="n">
        <f aca="false">IF(A35="",NA(),A35)</f>
        <v>46317.8333333333</v>
      </c>
      <c r="P35" s="23" t="n">
        <f aca="false">IF(A35="",NA(),B35)</f>
        <v>272</v>
      </c>
      <c r="Q35" s="23" t="n">
        <f aca="false">IF(F35="",NA(),F35)</f>
        <v>286.525</v>
      </c>
      <c r="R35" s="23" t="n">
        <f aca="false">IF(K35="",NA(),K35)</f>
        <v>14.525</v>
      </c>
      <c r="S35" s="23" t="n">
        <f aca="false">IF(M35="",NA(),M35)</f>
        <v>279.2625</v>
      </c>
      <c r="T35" s="23" t="n">
        <f aca="false">IF(J35="Válida",B35,"")</f>
        <v>272</v>
      </c>
      <c r="U35" s="23" t="n">
        <f aca="false">IF(J35="Válida",F35,"")</f>
        <v>286.525</v>
      </c>
    </row>
    <row r="36" customFormat="false" ht="15" hidden="false" customHeight="false" outlineLevel="0" collapsed="false">
      <c r="A36" s="22" t="n">
        <f aca="false">IF(MES!A36="","",MES!A36)</f>
        <v>46317.9166666667</v>
      </c>
      <c r="B36" s="23" t="n">
        <f aca="false">IF(A36="","",MES!B36)</f>
        <v>258</v>
      </c>
      <c r="C36" s="22" t="n">
        <f aca="false">IF(A36="","",A36+Parametros!$B$3/24)</f>
        <v>46317.8333333333</v>
      </c>
      <c r="D36" s="22" t="n">
        <f aca="false">IF(A36="","",C36+Parametros!$B$2/24)</f>
        <v>46317.9166666667</v>
      </c>
      <c r="E36" s="24" t="n">
        <f aca="false">IF(A36="","",COUNTIFS(Modulo!$A$2:$A$5001,"&gt;="&amp;C36,Modulo!$A$2:$A$5001,"&lt;"&amp;D36,Modulo!$D$2:$D$5001,Parametros!$B$7))</f>
        <v>4</v>
      </c>
      <c r="F36" s="23" t="n">
        <f aca="false">IF(A36="","",IF(E36=0,"",AVERAGEIFS(Modulo!$B$2:$B$5001,Modulo!$A$2:$A$5001,"&gt;="&amp;C36,Modulo!$A$2:$A$5001,"&lt;"&amp;D36,Modulo!$D$2:$D$5001,Parametros!$B$7)))</f>
        <v>279.45</v>
      </c>
      <c r="G36" s="23" t="n">
        <f aca="false">IF(A36="","",IF(E36=0,"",AVERAGEIFS(Modulo!$C$2:$C$5001,Modulo!$A$2:$A$5001,"&gt;="&amp;C36,Modulo!$A$2:$A$5001,"&lt;"&amp;D36,Modulo!$D$2:$D$5001,Parametros!$B$7)))</f>
        <v>54.1</v>
      </c>
      <c r="H36" s="25" t="n">
        <f aca="false">IF(A36="","",IFERROR(COUNTIFS(Amostragem!$A$2:$A$15003,"&gt;="&amp;C36,Amostragem!$A$2:$A$15003,"&lt;"&amp;D36,Amostragem!$B$2:$B$15003,"Automático",Amostragem!$C$2:$C$15003,"Automático",Amostragem!$D$2:$D$15003,0)/COUNTIFS(Amostragem!$A$2:$A$15003,"&gt;="&amp;C36,Amostragem!$A$2:$A$15003,"&lt;"&amp;D36),0))</f>
        <v>0</v>
      </c>
      <c r="I36" s="23" t="n">
        <f aca="false">IF(A36="","",IFERROR(AVERAGEIFS(Amostragem!$E$2:$E$15003,Amostragem!$A$2:$A$15003,"&gt;="&amp;C36,Amostragem!$A$2:$A$15003,"&lt;"&amp;D36),""))</f>
        <v>1188.75833333333</v>
      </c>
      <c r="J36" s="24" t="str">
        <f aca="false">IF(A36="","",IF(B36="","Inválida: sem resultado MES",IF(E36&lt;Parametros!$B$4,"Inválida: poucos ensaios do módulo",IF(H36&lt;Parametros!$B$5,"Inválida: amostragem em manual ou em falha",IF(OR(I36="",I36&lt;Parametros!$B$6),"Inválida: usina parada ou baixa alimentação","Válida")))))</f>
        <v>Inválida: amostragem em manual ou em falha</v>
      </c>
      <c r="K36" s="23" t="str">
        <f aca="false">IF(J36="Válida",F36-B36,"")</f>
        <v/>
      </c>
      <c r="L36" s="26" t="str">
        <f aca="false">IF(J36="Válida",K36/B36,"")</f>
        <v/>
      </c>
      <c r="M36" s="23" t="str">
        <f aca="false">IF(J36="Válida",(F36+B36)/2,"")</f>
        <v/>
      </c>
      <c r="N36" s="24" t="str">
        <f aca="false">IF(K36="","",IF(OR(K36&gt;Resumo!$B$16,K36&lt;Resumo!$B$15),"Sim","Não"))</f>
        <v/>
      </c>
      <c r="O36" s="22" t="n">
        <f aca="false">IF(A36="",NA(),A36)</f>
        <v>46317.9166666667</v>
      </c>
      <c r="P36" s="23" t="n">
        <f aca="false">IF(A36="",NA(),B36)</f>
        <v>258</v>
      </c>
      <c r="Q36" s="23" t="n">
        <f aca="false">IF(F36="",NA(),F36)</f>
        <v>279.45</v>
      </c>
      <c r="R36" s="23" t="e">
        <f aca="false">IF(K36="",NA(),K36)</f>
        <v>#N/A</v>
      </c>
      <c r="S36" s="23" t="e">
        <f aca="false">IF(M36="",NA(),M36)</f>
        <v>#N/A</v>
      </c>
      <c r="T36" s="23" t="str">
        <f aca="false">IF(J36="Válida",B36,"")</f>
        <v/>
      </c>
      <c r="U36" s="23" t="str">
        <f aca="false">IF(J36="Válida",F36,"")</f>
        <v/>
      </c>
    </row>
    <row r="37" customFormat="false" ht="15" hidden="false" customHeight="false" outlineLevel="0" collapsed="false">
      <c r="A37" s="22" t="n">
        <f aca="false">IF(MES!A37="","",MES!A37)</f>
        <v>46318</v>
      </c>
      <c r="B37" s="23" t="n">
        <f aca="false">IF(A37="","",MES!B37)</f>
        <v>272</v>
      </c>
      <c r="C37" s="22" t="n">
        <f aca="false">IF(A37="","",A37+Parametros!$B$3/24)</f>
        <v>46317.9166666667</v>
      </c>
      <c r="D37" s="22" t="n">
        <f aca="false">IF(A37="","",C37+Parametros!$B$2/24)</f>
        <v>46318</v>
      </c>
      <c r="E37" s="24" t="n">
        <f aca="false">IF(A37="","",COUNTIFS(Modulo!$A$2:$A$5001,"&gt;="&amp;C37,Modulo!$A$2:$A$5001,"&lt;"&amp;D37,Modulo!$D$2:$D$5001,Parametros!$B$7))</f>
        <v>4</v>
      </c>
      <c r="F37" s="23" t="n">
        <f aca="false">IF(A37="","",IF(E37=0,"",AVERAGEIFS(Modulo!$B$2:$B$5001,Modulo!$A$2:$A$5001,"&gt;="&amp;C37,Modulo!$A$2:$A$5001,"&lt;"&amp;D37,Modulo!$D$2:$D$5001,Parametros!$B$7)))</f>
        <v>278.525</v>
      </c>
      <c r="G37" s="23" t="n">
        <f aca="false">IF(A37="","",IF(E37=0,"",AVERAGEIFS(Modulo!$C$2:$C$5001,Modulo!$A$2:$A$5001,"&gt;="&amp;C37,Modulo!$A$2:$A$5001,"&lt;"&amp;D37,Modulo!$D$2:$D$5001,Parametros!$B$7)))</f>
        <v>51.1</v>
      </c>
      <c r="H37" s="25" t="n">
        <f aca="false">IF(A37="","",IFERROR(COUNTIFS(Amostragem!$A$2:$A$15003,"&gt;="&amp;C37,Amostragem!$A$2:$A$15003,"&lt;"&amp;D37,Amostragem!$B$2:$B$15003,"Automático",Amostragem!$C$2:$C$15003,"Automático",Amostragem!$D$2:$D$15003,0)/COUNTIFS(Amostragem!$A$2:$A$15003,"&gt;="&amp;C37,Amostragem!$A$2:$A$15003,"&lt;"&amp;D37),0))</f>
        <v>0.75</v>
      </c>
      <c r="I37" s="23" t="n">
        <f aca="false">IF(A37="","",IFERROR(AVERAGEIFS(Amostragem!$E$2:$E$15003,Amostragem!$A$2:$A$15003,"&gt;="&amp;C37,Amostragem!$A$2:$A$15003,"&lt;"&amp;D37),""))</f>
        <v>1208.4</v>
      </c>
      <c r="J37" s="24" t="str">
        <f aca="false">IF(A37="","",IF(B37="","Inválida: sem resultado MES",IF(E37&lt;Parametros!$B$4,"Inválida: poucos ensaios do módulo",IF(H37&lt;Parametros!$B$5,"Inválida: amostragem em manual ou em falha",IF(OR(I37="",I37&lt;Parametros!$B$6),"Inválida: usina parada ou baixa alimentação","Válida")))))</f>
        <v>Inválida: amostragem em manual ou em falha</v>
      </c>
      <c r="K37" s="23" t="str">
        <f aca="false">IF(J37="Válida",F37-B37,"")</f>
        <v/>
      </c>
      <c r="L37" s="26" t="str">
        <f aca="false">IF(J37="Válida",K37/B37,"")</f>
        <v/>
      </c>
      <c r="M37" s="23" t="str">
        <f aca="false">IF(J37="Válida",(F37+B37)/2,"")</f>
        <v/>
      </c>
      <c r="N37" s="24" t="str">
        <f aca="false">IF(K37="","",IF(OR(K37&gt;Resumo!$B$16,K37&lt;Resumo!$B$15),"Sim","Não"))</f>
        <v/>
      </c>
      <c r="O37" s="22" t="n">
        <f aca="false">IF(A37="",NA(),A37)</f>
        <v>46318</v>
      </c>
      <c r="P37" s="23" t="n">
        <f aca="false">IF(A37="",NA(),B37)</f>
        <v>272</v>
      </c>
      <c r="Q37" s="23" t="n">
        <f aca="false">IF(F37="",NA(),F37)</f>
        <v>278.525</v>
      </c>
      <c r="R37" s="23" t="e">
        <f aca="false">IF(K37="",NA(),K37)</f>
        <v>#N/A</v>
      </c>
      <c r="S37" s="23" t="e">
        <f aca="false">IF(M37="",NA(),M37)</f>
        <v>#N/A</v>
      </c>
      <c r="T37" s="23" t="str">
        <f aca="false">IF(J37="Válida",B37,"")</f>
        <v/>
      </c>
      <c r="U37" s="23" t="str">
        <f aca="false">IF(J37="Válida",F37,"")</f>
        <v/>
      </c>
    </row>
    <row r="38" customFormat="false" ht="15" hidden="false" customHeight="false" outlineLevel="0" collapsed="false">
      <c r="A38" s="22" t="n">
        <f aca="false">IF(MES!A38="","",MES!A38)</f>
        <v>46318.0833333333</v>
      </c>
      <c r="B38" s="23" t="n">
        <f aca="false">IF(A38="","",MES!B38)</f>
        <v>271</v>
      </c>
      <c r="C38" s="22" t="n">
        <f aca="false">IF(A38="","",A38+Parametros!$B$3/24)</f>
        <v>46318</v>
      </c>
      <c r="D38" s="22" t="n">
        <f aca="false">IF(A38="","",C38+Parametros!$B$2/24)</f>
        <v>46318.0833333333</v>
      </c>
      <c r="E38" s="24" t="n">
        <f aca="false">IF(A38="","",COUNTIFS(Modulo!$A$2:$A$5001,"&gt;="&amp;C38,Modulo!$A$2:$A$5001,"&lt;"&amp;D38,Modulo!$D$2:$D$5001,Parametros!$B$7))</f>
        <v>4</v>
      </c>
      <c r="F38" s="23" t="n">
        <f aca="false">IF(A38="","",IF(E38=0,"",AVERAGEIFS(Modulo!$B$2:$B$5001,Modulo!$A$2:$A$5001,"&gt;="&amp;C38,Modulo!$A$2:$A$5001,"&lt;"&amp;D38,Modulo!$D$2:$D$5001,Parametros!$B$7)))</f>
        <v>285.425</v>
      </c>
      <c r="G38" s="23" t="n">
        <f aca="false">IF(A38="","",IF(E38=0,"",AVERAGEIFS(Modulo!$C$2:$C$5001,Modulo!$A$2:$A$5001,"&gt;="&amp;C38,Modulo!$A$2:$A$5001,"&lt;"&amp;D38,Modulo!$D$2:$D$5001,Parametros!$B$7)))</f>
        <v>53.1</v>
      </c>
      <c r="H38" s="25" t="n">
        <f aca="false">IF(A38="","",IFERROR(COUNTIFS(Amostragem!$A$2:$A$15003,"&gt;="&amp;C38,Amostragem!$A$2:$A$15003,"&lt;"&amp;D38,Amostragem!$B$2:$B$15003,"Automático",Amostragem!$C$2:$C$15003,"Automático",Amostragem!$D$2:$D$15003,0)/COUNTIFS(Amostragem!$A$2:$A$15003,"&gt;="&amp;C38,Amostragem!$A$2:$A$15003,"&lt;"&amp;D38),0))</f>
        <v>1</v>
      </c>
      <c r="I38" s="23" t="n">
        <f aca="false">IF(A38="","",IFERROR(AVERAGEIFS(Amostragem!$E$2:$E$15003,Amostragem!$A$2:$A$15003,"&gt;="&amp;C38,Amostragem!$A$2:$A$15003,"&lt;"&amp;D38),""))</f>
        <v>1194.875</v>
      </c>
      <c r="J38" s="24" t="str">
        <f aca="false">IF(A38="","",IF(B38="","Inválida: sem resultado MES",IF(E38&lt;Parametros!$B$4,"Inválida: poucos ensaios do módulo",IF(H38&lt;Parametros!$B$5,"Inválida: amostragem em manual ou em falha",IF(OR(I38="",I38&lt;Parametros!$B$6),"Inválida: usina parada ou baixa alimentação","Válida")))))</f>
        <v>Válida</v>
      </c>
      <c r="K38" s="23" t="n">
        <f aca="false">IF(J38="Válida",F38-B38,"")</f>
        <v>14.425</v>
      </c>
      <c r="L38" s="26" t="n">
        <f aca="false">IF(J38="Válida",K38/B38,"")</f>
        <v>0.0532287822878227</v>
      </c>
      <c r="M38" s="23" t="n">
        <f aca="false">IF(J38="Válida",(F38+B38)/2,"")</f>
        <v>278.2125</v>
      </c>
      <c r="N38" s="24" t="str">
        <f aca="false">IF(K38="","",IF(OR(K38&gt;Resumo!$B$16,K38&lt;Resumo!$B$15),"Sim","Não"))</f>
        <v>Não</v>
      </c>
      <c r="O38" s="22" t="n">
        <f aca="false">IF(A38="",NA(),A38)</f>
        <v>46318.0833333333</v>
      </c>
      <c r="P38" s="23" t="n">
        <f aca="false">IF(A38="",NA(),B38)</f>
        <v>271</v>
      </c>
      <c r="Q38" s="23" t="n">
        <f aca="false">IF(F38="",NA(),F38)</f>
        <v>285.425</v>
      </c>
      <c r="R38" s="23" t="n">
        <f aca="false">IF(K38="",NA(),K38)</f>
        <v>14.425</v>
      </c>
      <c r="S38" s="23" t="n">
        <f aca="false">IF(M38="",NA(),M38)</f>
        <v>278.2125</v>
      </c>
      <c r="T38" s="23" t="n">
        <f aca="false">IF(J38="Válida",B38,"")</f>
        <v>271</v>
      </c>
      <c r="U38" s="23" t="n">
        <f aca="false">IF(J38="Válida",F38,"")</f>
        <v>285.425</v>
      </c>
    </row>
    <row r="39" customFormat="false" ht="15" hidden="false" customHeight="false" outlineLevel="0" collapsed="false">
      <c r="A39" s="22" t="n">
        <f aca="false">IF(MES!A39="","",MES!A39)</f>
        <v>46318.3333333333</v>
      </c>
      <c r="B39" s="23" t="n">
        <f aca="false">IF(A39="","",MES!B39)</f>
        <v>271</v>
      </c>
      <c r="C39" s="22" t="n">
        <f aca="false">IF(A39="","",A39+Parametros!$B$3/24)</f>
        <v>46318.25</v>
      </c>
      <c r="D39" s="22" t="n">
        <f aca="false">IF(A39="","",C39+Parametros!$B$2/24)</f>
        <v>46318.3333333333</v>
      </c>
      <c r="E39" s="24" t="n">
        <f aca="false">IF(A39="","",COUNTIFS(Modulo!$A$2:$A$5001,"&gt;="&amp;C39,Modulo!$A$2:$A$5001,"&lt;"&amp;D39,Modulo!$D$2:$D$5001,Parametros!$B$7))</f>
        <v>4</v>
      </c>
      <c r="F39" s="23" t="n">
        <f aca="false">IF(A39="","",IF(E39=0,"",AVERAGEIFS(Modulo!$B$2:$B$5001,Modulo!$A$2:$A$5001,"&gt;="&amp;C39,Modulo!$A$2:$A$5001,"&lt;"&amp;D39,Modulo!$D$2:$D$5001,Parametros!$B$7)))</f>
        <v>272.05</v>
      </c>
      <c r="G39" s="23" t="n">
        <f aca="false">IF(A39="","",IF(E39=0,"",AVERAGEIFS(Modulo!$C$2:$C$5001,Modulo!$A$2:$A$5001,"&gt;="&amp;C39,Modulo!$A$2:$A$5001,"&lt;"&amp;D39,Modulo!$D$2:$D$5001,Parametros!$B$7)))</f>
        <v>46.175</v>
      </c>
      <c r="H39" s="25" t="n">
        <f aca="false">IF(A39="","",IFERROR(COUNTIFS(Amostragem!$A$2:$A$15003,"&gt;="&amp;C39,Amostragem!$A$2:$A$15003,"&lt;"&amp;D39,Amostragem!$B$2:$B$15003,"Automático",Amostragem!$C$2:$C$15003,"Automático",Amostragem!$D$2:$D$15003,0)/COUNTIFS(Amostragem!$A$2:$A$15003,"&gt;="&amp;C39,Amostragem!$A$2:$A$15003,"&lt;"&amp;D39),0))</f>
        <v>1</v>
      </c>
      <c r="I39" s="23" t="n">
        <f aca="false">IF(A39="","",IFERROR(AVERAGEIFS(Amostragem!$E$2:$E$15003,Amostragem!$A$2:$A$15003,"&gt;="&amp;C39,Amostragem!$A$2:$A$15003,"&lt;"&amp;D39),""))</f>
        <v>1183.575</v>
      </c>
      <c r="J39" s="24" t="str">
        <f aca="false">IF(A39="","",IF(B39="","Inválida: sem resultado MES",IF(E39&lt;Parametros!$B$4,"Inválida: poucos ensaios do módulo",IF(H39&lt;Parametros!$B$5,"Inválida: amostragem em manual ou em falha",IF(OR(I39="",I39&lt;Parametros!$B$6),"Inválida: usina parada ou baixa alimentação","Válida")))))</f>
        <v>Válida</v>
      </c>
      <c r="K39" s="23" t="n">
        <f aca="false">IF(J39="Válida",F39-B39,"")</f>
        <v>1.05000000000001</v>
      </c>
      <c r="L39" s="26" t="n">
        <f aca="false">IF(J39="Válida",K39/B39,"")</f>
        <v>0.0038745387453875</v>
      </c>
      <c r="M39" s="23" t="n">
        <f aca="false">IF(J39="Válida",(F39+B39)/2,"")</f>
        <v>271.525</v>
      </c>
      <c r="N39" s="24" t="str">
        <f aca="false">IF(K39="","",IF(OR(K39&gt;Resumo!$B$16,K39&lt;Resumo!$B$15),"Sim","Não"))</f>
        <v>Não</v>
      </c>
      <c r="O39" s="22" t="n">
        <f aca="false">IF(A39="",NA(),A39)</f>
        <v>46318.3333333333</v>
      </c>
      <c r="P39" s="23" t="n">
        <f aca="false">IF(A39="",NA(),B39)</f>
        <v>271</v>
      </c>
      <c r="Q39" s="23" t="n">
        <f aca="false">IF(F39="",NA(),F39)</f>
        <v>272.05</v>
      </c>
      <c r="R39" s="23" t="n">
        <f aca="false">IF(K39="",NA(),K39)</f>
        <v>1.05000000000001</v>
      </c>
      <c r="S39" s="23" t="n">
        <f aca="false">IF(M39="",NA(),M39)</f>
        <v>271.525</v>
      </c>
      <c r="T39" s="23" t="n">
        <f aca="false">IF(J39="Válida",B39,"")</f>
        <v>271</v>
      </c>
      <c r="U39" s="23" t="n">
        <f aca="false">IF(J39="Válida",F39,"")</f>
        <v>272.05</v>
      </c>
    </row>
    <row r="40" customFormat="false" ht="15" hidden="false" customHeight="false" outlineLevel="0" collapsed="false">
      <c r="A40" s="22" t="n">
        <f aca="false">IF(MES!A40="","",MES!A40)</f>
        <v>46318.4166666667</v>
      </c>
      <c r="B40" s="23" t="n">
        <f aca="false">IF(A40="","",MES!B40)</f>
        <v>268</v>
      </c>
      <c r="C40" s="22" t="n">
        <f aca="false">IF(A40="","",A40+Parametros!$B$3/24)</f>
        <v>46318.3333333333</v>
      </c>
      <c r="D40" s="22" t="n">
        <f aca="false">IF(A40="","",C40+Parametros!$B$2/24)</f>
        <v>46318.4166666667</v>
      </c>
      <c r="E40" s="24" t="n">
        <f aca="false">IF(A40="","",COUNTIFS(Modulo!$A$2:$A$5001,"&gt;="&amp;C40,Modulo!$A$2:$A$5001,"&lt;"&amp;D40,Modulo!$D$2:$D$5001,Parametros!$B$7))</f>
        <v>4</v>
      </c>
      <c r="F40" s="23" t="n">
        <f aca="false">IF(A40="","",IF(E40=0,"",AVERAGEIFS(Modulo!$B$2:$B$5001,Modulo!$A$2:$A$5001,"&gt;="&amp;C40,Modulo!$A$2:$A$5001,"&lt;"&amp;D40,Modulo!$D$2:$D$5001,Parametros!$B$7)))</f>
        <v>270.9</v>
      </c>
      <c r="G40" s="23" t="n">
        <f aca="false">IF(A40="","",IF(E40=0,"",AVERAGEIFS(Modulo!$C$2:$C$5001,Modulo!$A$2:$A$5001,"&gt;="&amp;C40,Modulo!$A$2:$A$5001,"&lt;"&amp;D40,Modulo!$D$2:$D$5001,Parametros!$B$7)))</f>
        <v>55.425</v>
      </c>
      <c r="H40" s="25" t="n">
        <f aca="false">IF(A40="","",IFERROR(COUNTIFS(Amostragem!$A$2:$A$15003,"&gt;="&amp;C40,Amostragem!$A$2:$A$15003,"&lt;"&amp;D40,Amostragem!$B$2:$B$15003,"Automático",Amostragem!$C$2:$C$15003,"Automático",Amostragem!$D$2:$D$15003,0)/COUNTIFS(Amostragem!$A$2:$A$15003,"&gt;="&amp;C40,Amostragem!$A$2:$A$15003,"&lt;"&amp;D40),0))</f>
        <v>1</v>
      </c>
      <c r="I40" s="23" t="n">
        <f aca="false">IF(A40="","",IFERROR(AVERAGEIFS(Amostragem!$E$2:$E$15003,Amostragem!$A$2:$A$15003,"&gt;="&amp;C40,Amostragem!$A$2:$A$15003,"&lt;"&amp;D40),""))</f>
        <v>1191.89166666667</v>
      </c>
      <c r="J40" s="24" t="str">
        <f aca="false">IF(A40="","",IF(B40="","Inválida: sem resultado MES",IF(E40&lt;Parametros!$B$4,"Inválida: poucos ensaios do módulo",IF(H40&lt;Parametros!$B$5,"Inválida: amostragem em manual ou em falha",IF(OR(I40="",I40&lt;Parametros!$B$6),"Inválida: usina parada ou baixa alimentação","Válida")))))</f>
        <v>Válida</v>
      </c>
      <c r="K40" s="23" t="n">
        <f aca="false">IF(J40="Válida",F40-B40,"")</f>
        <v>2.89999999999998</v>
      </c>
      <c r="L40" s="26" t="n">
        <f aca="false">IF(J40="Válida",K40/B40,"")</f>
        <v>0.010820895522388</v>
      </c>
      <c r="M40" s="23" t="n">
        <f aca="false">IF(J40="Válida",(F40+B40)/2,"")</f>
        <v>269.45</v>
      </c>
      <c r="N40" s="24" t="str">
        <f aca="false">IF(K40="","",IF(OR(K40&gt;Resumo!$B$16,K40&lt;Resumo!$B$15),"Sim","Não"))</f>
        <v>Não</v>
      </c>
      <c r="O40" s="22" t="n">
        <f aca="false">IF(A40="",NA(),A40)</f>
        <v>46318.4166666667</v>
      </c>
      <c r="P40" s="23" t="n">
        <f aca="false">IF(A40="",NA(),B40)</f>
        <v>268</v>
      </c>
      <c r="Q40" s="23" t="n">
        <f aca="false">IF(F40="",NA(),F40)</f>
        <v>270.9</v>
      </c>
      <c r="R40" s="23" t="n">
        <f aca="false">IF(K40="",NA(),K40)</f>
        <v>2.89999999999998</v>
      </c>
      <c r="S40" s="23" t="n">
        <f aca="false">IF(M40="",NA(),M40)</f>
        <v>269.45</v>
      </c>
      <c r="T40" s="23" t="n">
        <f aca="false">IF(J40="Válida",B40,"")</f>
        <v>268</v>
      </c>
      <c r="U40" s="23" t="n">
        <f aca="false">IF(J40="Válida",F40,"")</f>
        <v>270.9</v>
      </c>
    </row>
    <row r="41" customFormat="false" ht="15" hidden="false" customHeight="false" outlineLevel="0" collapsed="false">
      <c r="A41" s="22" t="n">
        <f aca="false">IF(MES!A41="","",MES!A41)</f>
        <v>46318.5</v>
      </c>
      <c r="B41" s="23" t="n">
        <f aca="false">IF(A41="","",MES!B41)</f>
        <v>261</v>
      </c>
      <c r="C41" s="22" t="n">
        <f aca="false">IF(A41="","",A41+Parametros!$B$3/24)</f>
        <v>46318.4166666667</v>
      </c>
      <c r="D41" s="22" t="n">
        <f aca="false">IF(A41="","",C41+Parametros!$B$2/24)</f>
        <v>46318.5</v>
      </c>
      <c r="E41" s="24" t="n">
        <f aca="false">IF(A41="","",COUNTIFS(Modulo!$A$2:$A$5001,"&gt;="&amp;C41,Modulo!$A$2:$A$5001,"&lt;"&amp;D41,Modulo!$D$2:$D$5001,Parametros!$B$7))</f>
        <v>4</v>
      </c>
      <c r="F41" s="23" t="n">
        <f aca="false">IF(A41="","",IF(E41=0,"",AVERAGEIFS(Modulo!$B$2:$B$5001,Modulo!$A$2:$A$5001,"&gt;="&amp;C41,Modulo!$A$2:$A$5001,"&lt;"&amp;D41,Modulo!$D$2:$D$5001,Parametros!$B$7)))</f>
        <v>276.85</v>
      </c>
      <c r="G41" s="23" t="n">
        <f aca="false">IF(A41="","",IF(E41=0,"",AVERAGEIFS(Modulo!$C$2:$C$5001,Modulo!$A$2:$A$5001,"&gt;="&amp;C41,Modulo!$A$2:$A$5001,"&lt;"&amp;D41,Modulo!$D$2:$D$5001,Parametros!$B$7)))</f>
        <v>53.9</v>
      </c>
      <c r="H41" s="25" t="n">
        <f aca="false">IF(A41="","",IFERROR(COUNTIFS(Amostragem!$A$2:$A$15003,"&gt;="&amp;C41,Amostragem!$A$2:$A$15003,"&lt;"&amp;D41,Amostragem!$B$2:$B$15003,"Automático",Amostragem!$C$2:$C$15003,"Automático",Amostragem!$D$2:$D$15003,0)/COUNTIFS(Amostragem!$A$2:$A$15003,"&gt;="&amp;C41,Amostragem!$A$2:$A$15003,"&lt;"&amp;D41),0))</f>
        <v>1</v>
      </c>
      <c r="I41" s="23" t="n">
        <f aca="false">IF(A41="","",IFERROR(AVERAGEIFS(Amostragem!$E$2:$E$15003,Amostragem!$A$2:$A$15003,"&gt;="&amp;C41,Amostragem!$A$2:$A$15003,"&lt;"&amp;D41),""))</f>
        <v>1175.11666666667</v>
      </c>
      <c r="J41" s="24" t="str">
        <f aca="false">IF(A41="","",IF(B41="","Inválida: sem resultado MES",IF(E41&lt;Parametros!$B$4,"Inválida: poucos ensaios do módulo",IF(H41&lt;Parametros!$B$5,"Inválida: amostragem em manual ou em falha",IF(OR(I41="",I41&lt;Parametros!$B$6),"Inválida: usina parada ou baixa alimentação","Válida")))))</f>
        <v>Válida</v>
      </c>
      <c r="K41" s="23" t="n">
        <f aca="false">IF(J41="Válida",F41-B41,"")</f>
        <v>15.85</v>
      </c>
      <c r="L41" s="26" t="n">
        <f aca="false">IF(J41="Válida",K41/B41,"")</f>
        <v>0.0607279693486591</v>
      </c>
      <c r="M41" s="23" t="n">
        <f aca="false">IF(J41="Válida",(F41+B41)/2,"")</f>
        <v>268.925</v>
      </c>
      <c r="N41" s="24" t="str">
        <f aca="false">IF(K41="","",IF(OR(K41&gt;Resumo!$B$16,K41&lt;Resumo!$B$15),"Sim","Não"))</f>
        <v>Não</v>
      </c>
      <c r="O41" s="22" t="n">
        <f aca="false">IF(A41="",NA(),A41)</f>
        <v>46318.5</v>
      </c>
      <c r="P41" s="23" t="n">
        <f aca="false">IF(A41="",NA(),B41)</f>
        <v>261</v>
      </c>
      <c r="Q41" s="23" t="n">
        <f aca="false">IF(F41="",NA(),F41)</f>
        <v>276.85</v>
      </c>
      <c r="R41" s="23" t="n">
        <f aca="false">IF(K41="",NA(),K41)</f>
        <v>15.85</v>
      </c>
      <c r="S41" s="23" t="n">
        <f aca="false">IF(M41="",NA(),M41)</f>
        <v>268.925</v>
      </c>
      <c r="T41" s="23" t="n">
        <f aca="false">IF(J41="Válida",B41,"")</f>
        <v>261</v>
      </c>
      <c r="U41" s="23" t="n">
        <f aca="false">IF(J41="Válida",F41,"")</f>
        <v>276.85</v>
      </c>
    </row>
    <row r="42" customFormat="false" ht="15" hidden="false" customHeight="false" outlineLevel="0" collapsed="false">
      <c r="A42" s="22" t="n">
        <f aca="false">IF(MES!A42="","",MES!A42)</f>
        <v>46318.5833333333</v>
      </c>
      <c r="B42" s="23" t="n">
        <f aca="false">IF(A42="","",MES!B42)</f>
        <v>277</v>
      </c>
      <c r="C42" s="22" t="n">
        <f aca="false">IF(A42="","",A42+Parametros!$B$3/24)</f>
        <v>46318.5</v>
      </c>
      <c r="D42" s="22" t="n">
        <f aca="false">IF(A42="","",C42+Parametros!$B$2/24)</f>
        <v>46318.5833333333</v>
      </c>
      <c r="E42" s="24" t="n">
        <f aca="false">IF(A42="","",COUNTIFS(Modulo!$A$2:$A$5001,"&gt;="&amp;C42,Modulo!$A$2:$A$5001,"&lt;"&amp;D42,Modulo!$D$2:$D$5001,Parametros!$B$7))</f>
        <v>4</v>
      </c>
      <c r="F42" s="23" t="n">
        <f aca="false">IF(A42="","",IF(E42=0,"",AVERAGEIFS(Modulo!$B$2:$B$5001,Modulo!$A$2:$A$5001,"&gt;="&amp;C42,Modulo!$A$2:$A$5001,"&lt;"&amp;D42,Modulo!$D$2:$D$5001,Parametros!$B$7)))</f>
        <v>287.025</v>
      </c>
      <c r="G42" s="23" t="n">
        <f aca="false">IF(A42="","",IF(E42=0,"",AVERAGEIFS(Modulo!$C$2:$C$5001,Modulo!$A$2:$A$5001,"&gt;="&amp;C42,Modulo!$A$2:$A$5001,"&lt;"&amp;D42,Modulo!$D$2:$D$5001,Parametros!$B$7)))</f>
        <v>46.325</v>
      </c>
      <c r="H42" s="25" t="n">
        <f aca="false">IF(A42="","",IFERROR(COUNTIFS(Amostragem!$A$2:$A$15003,"&gt;="&amp;C42,Amostragem!$A$2:$A$15003,"&lt;"&amp;D42,Amostragem!$B$2:$B$15003,"Automático",Amostragem!$C$2:$C$15003,"Automático",Amostragem!$D$2:$D$15003,0)/COUNTIFS(Amostragem!$A$2:$A$15003,"&gt;="&amp;C42,Amostragem!$A$2:$A$15003,"&lt;"&amp;D42),0))</f>
        <v>1</v>
      </c>
      <c r="I42" s="23" t="n">
        <f aca="false">IF(A42="","",IFERROR(AVERAGEIFS(Amostragem!$E$2:$E$15003,Amostragem!$A$2:$A$15003,"&gt;="&amp;C42,Amostragem!$A$2:$A$15003,"&lt;"&amp;D42),""))</f>
        <v>1186.325</v>
      </c>
      <c r="J42" s="24" t="str">
        <f aca="false">IF(A42="","",IF(B42="","Inválida: sem resultado MES",IF(E42&lt;Parametros!$B$4,"Inválida: poucos ensaios do módulo",IF(H42&lt;Parametros!$B$5,"Inválida: amostragem em manual ou em falha",IF(OR(I42="",I42&lt;Parametros!$B$6),"Inválida: usina parada ou baixa alimentação","Válida")))))</f>
        <v>Válida</v>
      </c>
      <c r="K42" s="23" t="n">
        <f aca="false">IF(J42="Válida",F42-B42,"")</f>
        <v>10.025</v>
      </c>
      <c r="L42" s="26" t="n">
        <f aca="false">IF(J42="Válida",K42/B42,"")</f>
        <v>0.0361913357400721</v>
      </c>
      <c r="M42" s="23" t="n">
        <f aca="false">IF(J42="Válida",(F42+B42)/2,"")</f>
        <v>282.0125</v>
      </c>
      <c r="N42" s="24" t="str">
        <f aca="false">IF(K42="","",IF(OR(K42&gt;Resumo!$B$16,K42&lt;Resumo!$B$15),"Sim","Não"))</f>
        <v>Não</v>
      </c>
      <c r="O42" s="22" t="n">
        <f aca="false">IF(A42="",NA(),A42)</f>
        <v>46318.5833333333</v>
      </c>
      <c r="P42" s="23" t="n">
        <f aca="false">IF(A42="",NA(),B42)</f>
        <v>277</v>
      </c>
      <c r="Q42" s="23" t="n">
        <f aca="false">IF(F42="",NA(),F42)</f>
        <v>287.025</v>
      </c>
      <c r="R42" s="23" t="n">
        <f aca="false">IF(K42="",NA(),K42)</f>
        <v>10.025</v>
      </c>
      <c r="S42" s="23" t="n">
        <f aca="false">IF(M42="",NA(),M42)</f>
        <v>282.0125</v>
      </c>
      <c r="T42" s="23" t="n">
        <f aca="false">IF(J42="Válida",B42,"")</f>
        <v>277</v>
      </c>
      <c r="U42" s="23" t="n">
        <f aca="false">IF(J42="Válida",F42,"")</f>
        <v>287.025</v>
      </c>
    </row>
    <row r="43" customFormat="false" ht="15" hidden="false" customHeight="false" outlineLevel="0" collapsed="false">
      <c r="A43" s="22" t="n">
        <f aca="false">IF(MES!A43="","",MES!A43)</f>
        <v>46318.6666666667</v>
      </c>
      <c r="B43" s="23" t="n">
        <f aca="false">IF(A43="","",MES!B43)</f>
        <v>300</v>
      </c>
      <c r="C43" s="22" t="n">
        <f aca="false">IF(A43="","",A43+Parametros!$B$3/24)</f>
        <v>46318.5833333333</v>
      </c>
      <c r="D43" s="22" t="n">
        <f aca="false">IF(A43="","",C43+Parametros!$B$2/24)</f>
        <v>46318.6666666667</v>
      </c>
      <c r="E43" s="24" t="n">
        <f aca="false">IF(A43="","",COUNTIFS(Modulo!$A$2:$A$5001,"&gt;="&amp;C43,Modulo!$A$2:$A$5001,"&lt;"&amp;D43,Modulo!$D$2:$D$5001,Parametros!$B$7))</f>
        <v>4</v>
      </c>
      <c r="F43" s="23" t="n">
        <f aca="false">IF(A43="","",IF(E43=0,"",AVERAGEIFS(Modulo!$B$2:$B$5001,Modulo!$A$2:$A$5001,"&gt;="&amp;C43,Modulo!$A$2:$A$5001,"&lt;"&amp;D43,Modulo!$D$2:$D$5001,Parametros!$B$7)))</f>
        <v>293.425</v>
      </c>
      <c r="G43" s="23" t="n">
        <f aca="false">IF(A43="","",IF(E43=0,"",AVERAGEIFS(Modulo!$C$2:$C$5001,Modulo!$A$2:$A$5001,"&gt;="&amp;C43,Modulo!$A$2:$A$5001,"&lt;"&amp;D43,Modulo!$D$2:$D$5001,Parametros!$B$7)))</f>
        <v>54.75</v>
      </c>
      <c r="H43" s="25" t="n">
        <f aca="false">IF(A43="","",IFERROR(COUNTIFS(Amostragem!$A$2:$A$15003,"&gt;="&amp;C43,Amostragem!$A$2:$A$15003,"&lt;"&amp;D43,Amostragem!$B$2:$B$15003,"Automático",Amostragem!$C$2:$C$15003,"Automático",Amostragem!$D$2:$D$15003,0)/COUNTIFS(Amostragem!$A$2:$A$15003,"&gt;="&amp;C43,Amostragem!$A$2:$A$15003,"&lt;"&amp;D43),0))</f>
        <v>1</v>
      </c>
      <c r="I43" s="23" t="n">
        <f aca="false">IF(A43="","",IFERROR(AVERAGEIFS(Amostragem!$E$2:$E$15003,Amostragem!$A$2:$A$15003,"&gt;="&amp;C43,Amostragem!$A$2:$A$15003,"&lt;"&amp;D43),""))</f>
        <v>1190.04166666667</v>
      </c>
      <c r="J43" s="24" t="str">
        <f aca="false">IF(A43="","",IF(B43="","Inválida: sem resultado MES",IF(E43&lt;Parametros!$B$4,"Inválida: poucos ensaios do módulo",IF(H43&lt;Parametros!$B$5,"Inválida: amostragem em manual ou em falha",IF(OR(I43="",I43&lt;Parametros!$B$6),"Inválida: usina parada ou baixa alimentação","Válida")))))</f>
        <v>Válida</v>
      </c>
      <c r="K43" s="23" t="n">
        <f aca="false">IF(J43="Válida",F43-B43,"")</f>
        <v>-6.57499999999999</v>
      </c>
      <c r="L43" s="26" t="n">
        <f aca="false">IF(J43="Válida",K43/B43,"")</f>
        <v>-0.0219166666666666</v>
      </c>
      <c r="M43" s="23" t="n">
        <f aca="false">IF(J43="Válida",(F43+B43)/2,"")</f>
        <v>296.7125</v>
      </c>
      <c r="N43" s="24" t="str">
        <f aca="false">IF(K43="","",IF(OR(K43&gt;Resumo!$B$16,K43&lt;Resumo!$B$15),"Sim","Não"))</f>
        <v>Não</v>
      </c>
      <c r="O43" s="22" t="n">
        <f aca="false">IF(A43="",NA(),A43)</f>
        <v>46318.6666666667</v>
      </c>
      <c r="P43" s="23" t="n">
        <f aca="false">IF(A43="",NA(),B43)</f>
        <v>300</v>
      </c>
      <c r="Q43" s="23" t="n">
        <f aca="false">IF(F43="",NA(),F43)</f>
        <v>293.425</v>
      </c>
      <c r="R43" s="23" t="n">
        <f aca="false">IF(K43="",NA(),K43)</f>
        <v>-6.57499999999999</v>
      </c>
      <c r="S43" s="23" t="n">
        <f aca="false">IF(M43="",NA(),M43)</f>
        <v>296.7125</v>
      </c>
      <c r="T43" s="23" t="n">
        <f aca="false">IF(J43="Válida",B43,"")</f>
        <v>300</v>
      </c>
      <c r="U43" s="23" t="n">
        <f aca="false">IF(J43="Válida",F43,"")</f>
        <v>293.425</v>
      </c>
    </row>
    <row r="44" customFormat="false" ht="15" hidden="false" customHeight="false" outlineLevel="0" collapsed="false">
      <c r="A44" s="22" t="n">
        <f aca="false">IF(MES!A44="","",MES!A44)</f>
        <v>46318.75</v>
      </c>
      <c r="B44" s="23" t="n">
        <f aca="false">IF(A44="","",MES!B44)</f>
        <v>285</v>
      </c>
      <c r="C44" s="22" t="n">
        <f aca="false">IF(A44="","",A44+Parametros!$B$3/24)</f>
        <v>46318.6666666667</v>
      </c>
      <c r="D44" s="22" t="n">
        <f aca="false">IF(A44="","",C44+Parametros!$B$2/24)</f>
        <v>46318.75</v>
      </c>
      <c r="E44" s="24" t="n">
        <f aca="false">IF(A44="","",COUNTIFS(Modulo!$A$2:$A$5001,"&gt;="&amp;C44,Modulo!$A$2:$A$5001,"&lt;"&amp;D44,Modulo!$D$2:$D$5001,Parametros!$B$7))</f>
        <v>2</v>
      </c>
      <c r="F44" s="23" t="n">
        <f aca="false">IF(A44="","",IF(E44=0,"",AVERAGEIFS(Modulo!$B$2:$B$5001,Modulo!$A$2:$A$5001,"&gt;="&amp;C44,Modulo!$A$2:$A$5001,"&lt;"&amp;D44,Modulo!$D$2:$D$5001,Parametros!$B$7)))</f>
        <v>304</v>
      </c>
      <c r="G44" s="23" t="n">
        <f aca="false">IF(A44="","",IF(E44=0,"",AVERAGEIFS(Modulo!$C$2:$C$5001,Modulo!$A$2:$A$5001,"&gt;="&amp;C44,Modulo!$A$2:$A$5001,"&lt;"&amp;D44,Modulo!$D$2:$D$5001,Parametros!$B$7)))</f>
        <v>56.5</v>
      </c>
      <c r="H44" s="25" t="n">
        <f aca="false">IF(A44="","",IFERROR(COUNTIFS(Amostragem!$A$2:$A$15003,"&gt;="&amp;C44,Amostragem!$A$2:$A$15003,"&lt;"&amp;D44,Amostragem!$B$2:$B$15003,"Automático",Amostragem!$C$2:$C$15003,"Automático",Amostragem!$D$2:$D$15003,0)/COUNTIFS(Amostragem!$A$2:$A$15003,"&gt;="&amp;C44,Amostragem!$A$2:$A$15003,"&lt;"&amp;D44),0))</f>
        <v>1</v>
      </c>
      <c r="I44" s="23" t="n">
        <f aca="false">IF(A44="","",IFERROR(AVERAGEIFS(Amostragem!$E$2:$E$15003,Amostragem!$A$2:$A$15003,"&gt;="&amp;C44,Amostragem!$A$2:$A$15003,"&lt;"&amp;D44),""))</f>
        <v>1173.30833333333</v>
      </c>
      <c r="J44" s="24" t="str">
        <f aca="false">IF(A44="","",IF(B44="","Inválida: sem resultado MES",IF(E44&lt;Parametros!$B$4,"Inválida: poucos ensaios do módulo",IF(H44&lt;Parametros!$B$5,"Inválida: amostragem em manual ou em falha",IF(OR(I44="",I44&lt;Parametros!$B$6),"Inválida: usina parada ou baixa alimentação","Válida")))))</f>
        <v>Inválida: poucos ensaios do módulo</v>
      </c>
      <c r="K44" s="23" t="str">
        <f aca="false">IF(J44="Válida",F44-B44,"")</f>
        <v/>
      </c>
      <c r="L44" s="26" t="str">
        <f aca="false">IF(J44="Válida",K44/B44,"")</f>
        <v/>
      </c>
      <c r="M44" s="23" t="str">
        <f aca="false">IF(J44="Válida",(F44+B44)/2,"")</f>
        <v/>
      </c>
      <c r="N44" s="24" t="str">
        <f aca="false">IF(K44="","",IF(OR(K44&gt;Resumo!$B$16,K44&lt;Resumo!$B$15),"Sim","Não"))</f>
        <v/>
      </c>
      <c r="O44" s="22" t="n">
        <f aca="false">IF(A44="",NA(),A44)</f>
        <v>46318.75</v>
      </c>
      <c r="P44" s="23" t="n">
        <f aca="false">IF(A44="",NA(),B44)</f>
        <v>285</v>
      </c>
      <c r="Q44" s="23" t="n">
        <f aca="false">IF(F44="",NA(),F44)</f>
        <v>304</v>
      </c>
      <c r="R44" s="23" t="e">
        <f aca="false">IF(K44="",NA(),K44)</f>
        <v>#N/A</v>
      </c>
      <c r="S44" s="23" t="e">
        <f aca="false">IF(M44="",NA(),M44)</f>
        <v>#N/A</v>
      </c>
      <c r="T44" s="23" t="str">
        <f aca="false">IF(J44="Válida",B44,"")</f>
        <v/>
      </c>
      <c r="U44" s="23" t="str">
        <f aca="false">IF(J44="Válida",F44,"")</f>
        <v/>
      </c>
    </row>
    <row r="45" customFormat="false" ht="15" hidden="false" customHeight="false" outlineLevel="0" collapsed="false">
      <c r="A45" s="22" t="n">
        <f aca="false">IF(MES!A45="","",MES!A45)</f>
        <v>46318.8333333333</v>
      </c>
      <c r="B45" s="23" t="n">
        <f aca="false">IF(A45="","",MES!B45)</f>
        <v>316</v>
      </c>
      <c r="C45" s="22" t="n">
        <f aca="false">IF(A45="","",A45+Parametros!$B$3/24)</f>
        <v>46318.75</v>
      </c>
      <c r="D45" s="22" t="n">
        <f aca="false">IF(A45="","",C45+Parametros!$B$2/24)</f>
        <v>46318.8333333333</v>
      </c>
      <c r="E45" s="24" t="n">
        <f aca="false">IF(A45="","",COUNTIFS(Modulo!$A$2:$A$5001,"&gt;="&amp;C45,Modulo!$A$2:$A$5001,"&lt;"&amp;D45,Modulo!$D$2:$D$5001,Parametros!$B$7))</f>
        <v>4</v>
      </c>
      <c r="F45" s="23" t="n">
        <f aca="false">IF(A45="","",IF(E45=0,"",AVERAGEIFS(Modulo!$B$2:$B$5001,Modulo!$A$2:$A$5001,"&gt;="&amp;C45,Modulo!$A$2:$A$5001,"&lt;"&amp;D45,Modulo!$D$2:$D$5001,Parametros!$B$7)))</f>
        <v>310.75</v>
      </c>
      <c r="G45" s="23" t="n">
        <f aca="false">IF(A45="","",IF(E45=0,"",AVERAGEIFS(Modulo!$C$2:$C$5001,Modulo!$A$2:$A$5001,"&gt;="&amp;C45,Modulo!$A$2:$A$5001,"&lt;"&amp;D45,Modulo!$D$2:$D$5001,Parametros!$B$7)))</f>
        <v>48</v>
      </c>
      <c r="H45" s="25" t="n">
        <f aca="false">IF(A45="","",IFERROR(COUNTIFS(Amostragem!$A$2:$A$15003,"&gt;="&amp;C45,Amostragem!$A$2:$A$15003,"&lt;"&amp;D45,Amostragem!$B$2:$B$15003,"Automático",Amostragem!$C$2:$C$15003,"Automático",Amostragem!$D$2:$D$15003,0)/COUNTIFS(Amostragem!$A$2:$A$15003,"&gt;="&amp;C45,Amostragem!$A$2:$A$15003,"&lt;"&amp;D45),0))</f>
        <v>1</v>
      </c>
      <c r="I45" s="23" t="n">
        <f aca="false">IF(A45="","",IFERROR(AVERAGEIFS(Amostragem!$E$2:$E$15003,Amostragem!$A$2:$A$15003,"&gt;="&amp;C45,Amostragem!$A$2:$A$15003,"&lt;"&amp;D45),""))</f>
        <v>1187.25</v>
      </c>
      <c r="J45" s="24" t="str">
        <f aca="false">IF(A45="","",IF(B45="","Inválida: sem resultado MES",IF(E45&lt;Parametros!$B$4,"Inválida: poucos ensaios do módulo",IF(H45&lt;Parametros!$B$5,"Inválida: amostragem em manual ou em falha",IF(OR(I45="",I45&lt;Parametros!$B$6),"Inválida: usina parada ou baixa alimentação","Válida")))))</f>
        <v>Válida</v>
      </c>
      <c r="K45" s="23" t="n">
        <f aca="false">IF(J45="Válida",F45-B45,"")</f>
        <v>-5.25</v>
      </c>
      <c r="L45" s="26" t="n">
        <f aca="false">IF(J45="Válida",K45/B45,"")</f>
        <v>-0.0166139240506329</v>
      </c>
      <c r="M45" s="23" t="n">
        <f aca="false">IF(J45="Válida",(F45+B45)/2,"")</f>
        <v>313.375</v>
      </c>
      <c r="N45" s="24" t="str">
        <f aca="false">IF(K45="","",IF(OR(K45&gt;Resumo!$B$16,K45&lt;Resumo!$B$15),"Sim","Não"))</f>
        <v>Não</v>
      </c>
      <c r="O45" s="22" t="n">
        <f aca="false">IF(A45="",NA(),A45)</f>
        <v>46318.8333333333</v>
      </c>
      <c r="P45" s="23" t="n">
        <f aca="false">IF(A45="",NA(),B45)</f>
        <v>316</v>
      </c>
      <c r="Q45" s="23" t="n">
        <f aca="false">IF(F45="",NA(),F45)</f>
        <v>310.75</v>
      </c>
      <c r="R45" s="23" t="n">
        <f aca="false">IF(K45="",NA(),K45)</f>
        <v>-5.25</v>
      </c>
      <c r="S45" s="23" t="n">
        <f aca="false">IF(M45="",NA(),M45)</f>
        <v>313.375</v>
      </c>
      <c r="T45" s="23" t="n">
        <f aca="false">IF(J45="Válida",B45,"")</f>
        <v>316</v>
      </c>
      <c r="U45" s="23" t="n">
        <f aca="false">IF(J45="Válida",F45,"")</f>
        <v>310.75</v>
      </c>
    </row>
    <row r="46" customFormat="false" ht="15" hidden="false" customHeight="false" outlineLevel="0" collapsed="false">
      <c r="A46" s="22" t="n">
        <f aca="false">IF(MES!A46="","",MES!A46)</f>
        <v>46318.9166666667</v>
      </c>
      <c r="B46" s="23" t="n">
        <f aca="false">IF(A46="","",MES!B46)</f>
        <v>298</v>
      </c>
      <c r="C46" s="22" t="n">
        <f aca="false">IF(A46="","",A46+Parametros!$B$3/24)</f>
        <v>46318.8333333333</v>
      </c>
      <c r="D46" s="22" t="n">
        <f aca="false">IF(A46="","",C46+Parametros!$B$2/24)</f>
        <v>46318.9166666667</v>
      </c>
      <c r="E46" s="24" t="n">
        <f aca="false">IF(A46="","",COUNTIFS(Modulo!$A$2:$A$5001,"&gt;="&amp;C46,Modulo!$A$2:$A$5001,"&lt;"&amp;D46,Modulo!$D$2:$D$5001,Parametros!$B$7))</f>
        <v>3</v>
      </c>
      <c r="F46" s="23" t="n">
        <f aca="false">IF(A46="","",IF(E46=0,"",AVERAGEIFS(Modulo!$B$2:$B$5001,Modulo!$A$2:$A$5001,"&gt;="&amp;C46,Modulo!$A$2:$A$5001,"&lt;"&amp;D46,Modulo!$D$2:$D$5001,Parametros!$B$7)))</f>
        <v>308.2</v>
      </c>
      <c r="G46" s="23" t="n">
        <f aca="false">IF(A46="","",IF(E46=0,"",AVERAGEIFS(Modulo!$C$2:$C$5001,Modulo!$A$2:$A$5001,"&gt;="&amp;C46,Modulo!$A$2:$A$5001,"&lt;"&amp;D46,Modulo!$D$2:$D$5001,Parametros!$B$7)))</f>
        <v>50.2</v>
      </c>
      <c r="H46" s="25" t="n">
        <f aca="false">IF(A46="","",IFERROR(COUNTIFS(Amostragem!$A$2:$A$15003,"&gt;="&amp;C46,Amostragem!$A$2:$A$15003,"&lt;"&amp;D46,Amostragem!$B$2:$B$15003,"Automático",Amostragem!$C$2:$C$15003,"Automático",Amostragem!$D$2:$D$15003,0)/COUNTIFS(Amostragem!$A$2:$A$15003,"&gt;="&amp;C46,Amostragem!$A$2:$A$15003,"&lt;"&amp;D46),0))</f>
        <v>1</v>
      </c>
      <c r="I46" s="23" t="n">
        <f aca="false">IF(A46="","",IFERROR(AVERAGEIFS(Amostragem!$E$2:$E$15003,Amostragem!$A$2:$A$15003,"&gt;="&amp;C46,Amostragem!$A$2:$A$15003,"&lt;"&amp;D46),""))</f>
        <v>1190.45</v>
      </c>
      <c r="J46" s="24" t="str">
        <f aca="false">IF(A46="","",IF(B46="","Inválida: sem resultado MES",IF(E46&lt;Parametros!$B$4,"Inválida: poucos ensaios do módulo",IF(H46&lt;Parametros!$B$5,"Inválida: amostragem em manual ou em falha",IF(OR(I46="",I46&lt;Parametros!$B$6),"Inválida: usina parada ou baixa alimentação","Válida")))))</f>
        <v>Válida</v>
      </c>
      <c r="K46" s="23" t="n">
        <f aca="false">IF(J46="Válida",F46-B46,"")</f>
        <v>10.2</v>
      </c>
      <c r="L46" s="26" t="n">
        <f aca="false">IF(J46="Válida",K46/B46,"")</f>
        <v>0.0342281879194631</v>
      </c>
      <c r="M46" s="23" t="n">
        <f aca="false">IF(J46="Válida",(F46+B46)/2,"")</f>
        <v>303.1</v>
      </c>
      <c r="N46" s="24" t="str">
        <f aca="false">IF(K46="","",IF(OR(K46&gt;Resumo!$B$16,K46&lt;Resumo!$B$15),"Sim","Não"))</f>
        <v>Não</v>
      </c>
      <c r="O46" s="22" t="n">
        <f aca="false">IF(A46="",NA(),A46)</f>
        <v>46318.9166666667</v>
      </c>
      <c r="P46" s="23" t="n">
        <f aca="false">IF(A46="",NA(),B46)</f>
        <v>298</v>
      </c>
      <c r="Q46" s="23" t="n">
        <f aca="false">IF(F46="",NA(),F46)</f>
        <v>308.2</v>
      </c>
      <c r="R46" s="23" t="n">
        <f aca="false">IF(K46="",NA(),K46)</f>
        <v>10.2</v>
      </c>
      <c r="S46" s="23" t="n">
        <f aca="false">IF(M46="",NA(),M46)</f>
        <v>303.1</v>
      </c>
      <c r="T46" s="23" t="n">
        <f aca="false">IF(J46="Válida",B46,"")</f>
        <v>298</v>
      </c>
      <c r="U46" s="23" t="n">
        <f aca="false">IF(J46="Válida",F46,"")</f>
        <v>308.2</v>
      </c>
    </row>
    <row r="47" customFormat="false" ht="15" hidden="false" customHeight="false" outlineLevel="0" collapsed="false">
      <c r="A47" s="22" t="n">
        <f aca="false">IF(MES!A47="","",MES!A47)</f>
        <v>46319</v>
      </c>
      <c r="B47" s="23" t="n">
        <f aca="false">IF(A47="","",MES!B47)</f>
        <v>290</v>
      </c>
      <c r="C47" s="22" t="n">
        <f aca="false">IF(A47="","",A47+Parametros!$B$3/24)</f>
        <v>46318.9166666667</v>
      </c>
      <c r="D47" s="22" t="n">
        <f aca="false">IF(A47="","",C47+Parametros!$B$2/24)</f>
        <v>46319</v>
      </c>
      <c r="E47" s="24" t="n">
        <f aca="false">IF(A47="","",COUNTIFS(Modulo!$A$2:$A$5001,"&gt;="&amp;C47,Modulo!$A$2:$A$5001,"&lt;"&amp;D47,Modulo!$D$2:$D$5001,Parametros!$B$7))</f>
        <v>3</v>
      </c>
      <c r="F47" s="23" t="n">
        <f aca="false">IF(A47="","",IF(E47=0,"",AVERAGEIFS(Modulo!$B$2:$B$5001,Modulo!$A$2:$A$5001,"&gt;="&amp;C47,Modulo!$A$2:$A$5001,"&lt;"&amp;D47,Modulo!$D$2:$D$5001,Parametros!$B$7)))</f>
        <v>302.866666666667</v>
      </c>
      <c r="G47" s="23" t="n">
        <f aca="false">IF(A47="","",IF(E47=0,"",AVERAGEIFS(Modulo!$C$2:$C$5001,Modulo!$A$2:$A$5001,"&gt;="&amp;C47,Modulo!$A$2:$A$5001,"&lt;"&amp;D47,Modulo!$D$2:$D$5001,Parametros!$B$7)))</f>
        <v>52.6</v>
      </c>
      <c r="H47" s="25" t="n">
        <f aca="false">IF(A47="","",IFERROR(COUNTIFS(Amostragem!$A$2:$A$15003,"&gt;="&amp;C47,Amostragem!$A$2:$A$15003,"&lt;"&amp;D47,Amostragem!$B$2:$B$15003,"Automático",Amostragem!$C$2:$C$15003,"Automático",Amostragem!$D$2:$D$15003,0)/COUNTIFS(Amostragem!$A$2:$A$15003,"&gt;="&amp;C47,Amostragem!$A$2:$A$15003,"&lt;"&amp;D47),0))</f>
        <v>1</v>
      </c>
      <c r="I47" s="23" t="n">
        <f aca="false">IF(A47="","",IFERROR(AVERAGEIFS(Amostragem!$E$2:$E$15003,Amostragem!$A$2:$A$15003,"&gt;="&amp;C47,Amostragem!$A$2:$A$15003,"&lt;"&amp;D47),""))</f>
        <v>1185.90833333333</v>
      </c>
      <c r="J47" s="24" t="str">
        <f aca="false">IF(A47="","",IF(B47="","Inválida: sem resultado MES",IF(E47&lt;Parametros!$B$4,"Inválida: poucos ensaios do módulo",IF(H47&lt;Parametros!$B$5,"Inválida: amostragem em manual ou em falha",IF(OR(I47="",I47&lt;Parametros!$B$6),"Inválida: usina parada ou baixa alimentação","Válida")))))</f>
        <v>Válida</v>
      </c>
      <c r="K47" s="23" t="n">
        <f aca="false">IF(J47="Válida",F47-B47,"")</f>
        <v>12.8666666666666</v>
      </c>
      <c r="L47" s="26" t="n">
        <f aca="false">IF(J47="Válida",K47/B47,"")</f>
        <v>0.0443678160919539</v>
      </c>
      <c r="M47" s="23" t="n">
        <f aca="false">IF(J47="Válida",(F47+B47)/2,"")</f>
        <v>296.433333333333</v>
      </c>
      <c r="N47" s="24" t="str">
        <f aca="false">IF(K47="","",IF(OR(K47&gt;Resumo!$B$16,K47&lt;Resumo!$B$15),"Sim","Não"))</f>
        <v>Não</v>
      </c>
      <c r="O47" s="22" t="n">
        <f aca="false">IF(A47="",NA(),A47)</f>
        <v>46319</v>
      </c>
      <c r="P47" s="23" t="n">
        <f aca="false">IF(A47="",NA(),B47)</f>
        <v>290</v>
      </c>
      <c r="Q47" s="23" t="n">
        <f aca="false">IF(F47="",NA(),F47)</f>
        <v>302.866666666667</v>
      </c>
      <c r="R47" s="23" t="n">
        <f aca="false">IF(K47="",NA(),K47)</f>
        <v>12.8666666666666</v>
      </c>
      <c r="S47" s="23" t="n">
        <f aca="false">IF(M47="",NA(),M47)</f>
        <v>296.433333333333</v>
      </c>
      <c r="T47" s="23" t="n">
        <f aca="false">IF(J47="Válida",B47,"")</f>
        <v>290</v>
      </c>
      <c r="U47" s="23" t="n">
        <f aca="false">IF(J47="Válida",F47,"")</f>
        <v>302.866666666667</v>
      </c>
    </row>
    <row r="48" customFormat="false" ht="15" hidden="false" customHeight="false" outlineLevel="0" collapsed="false">
      <c r="A48" s="22" t="str">
        <f aca="false">IF(MES!A48="","",MES!A48)</f>
        <v/>
      </c>
      <c r="B48" s="23" t="str">
        <f aca="false">IF(A48="","",MES!B48)</f>
        <v/>
      </c>
      <c r="C48" s="22" t="str">
        <f aca="false">IF(A48="","",A48+Parametros!$B$3/24)</f>
        <v/>
      </c>
      <c r="D48" s="22" t="str">
        <f aca="false">IF(A48="","",C48+Parametros!$B$2/24)</f>
        <v/>
      </c>
      <c r="E48" s="24" t="str">
        <f aca="false">IF(A48="","",COUNTIFS(Modulo!$A$2:$A$5001,"&gt;="&amp;C48,Modulo!$A$2:$A$5001,"&lt;"&amp;D48,Modulo!$D$2:$D$5001,Parametros!$B$7))</f>
        <v/>
      </c>
      <c r="F48" s="23" t="str">
        <f aca="false">IF(A48="","",IF(E48=0,"",AVERAGEIFS(Modulo!$B$2:$B$5001,Modulo!$A$2:$A$5001,"&gt;="&amp;C48,Modulo!$A$2:$A$5001,"&lt;"&amp;D48,Modulo!$D$2:$D$5001,Parametros!$B$7)))</f>
        <v/>
      </c>
      <c r="G48" s="23" t="str">
        <f aca="false">IF(A48="","",IF(E48=0,"",AVERAGEIFS(Modulo!$C$2:$C$5001,Modulo!$A$2:$A$5001,"&gt;="&amp;C48,Modulo!$A$2:$A$5001,"&lt;"&amp;D48,Modulo!$D$2:$D$5001,Parametros!$B$7)))</f>
        <v/>
      </c>
      <c r="H48" s="25" t="str">
        <f aca="false">IF(A48="","",IFERROR(COUNTIFS(Amostragem!$A$2:$A$15003,"&gt;="&amp;C48,Amostragem!$A$2:$A$15003,"&lt;"&amp;D48,Amostragem!$B$2:$B$15003,"Automático",Amostragem!$C$2:$C$15003,"Automático",Amostragem!$D$2:$D$15003,0)/COUNTIFS(Amostragem!$A$2:$A$15003,"&gt;="&amp;C48,Amostragem!$A$2:$A$15003,"&lt;"&amp;D48),0))</f>
        <v/>
      </c>
      <c r="I48" s="23" t="str">
        <f aca="false">IF(A48="","",IFERROR(AVERAGEIFS(Amostragem!$E$2:$E$15003,Amostragem!$A$2:$A$15003,"&gt;="&amp;C48,Amostragem!$A$2:$A$15003,"&lt;"&amp;D48),""))</f>
        <v/>
      </c>
      <c r="J48" s="24" t="str">
        <f aca="false">IF(A48="","",IF(B48="","Inválida: sem resultado MES",IF(E48&lt;Parametros!$B$4,"Inválida: poucos ensaios do módulo",IF(H48&lt;Parametros!$B$5,"Inválida: amostragem em manual ou em falha",IF(OR(I48="",I48&lt;Parametros!$B$6),"Inválida: usina parada ou baixa alimentação","Válida")))))</f>
        <v/>
      </c>
      <c r="K48" s="23" t="str">
        <f aca="false">IF(J48="Válida",F48-B48,"")</f>
        <v/>
      </c>
      <c r="L48" s="26" t="str">
        <f aca="false">IF(J48="Válida",K48/B48,"")</f>
        <v/>
      </c>
      <c r="M48" s="23" t="str">
        <f aca="false">IF(J48="Válida",(F48+B48)/2,"")</f>
        <v/>
      </c>
      <c r="N48" s="24" t="str">
        <f aca="false">IF(K48="","",IF(OR(K48&gt;Resumo!$B$16,K48&lt;Resumo!$B$15),"Sim","Não"))</f>
        <v/>
      </c>
      <c r="O48" s="22" t="e">
        <f aca="false">IF(A48="",NA(),A48)</f>
        <v>#N/A</v>
      </c>
      <c r="P48" s="23" t="e">
        <f aca="false">IF(A48="",NA(),B48)</f>
        <v>#N/A</v>
      </c>
      <c r="Q48" s="23" t="e">
        <f aca="false">IF(F48="",NA(),F48)</f>
        <v>#N/A</v>
      </c>
      <c r="R48" s="23" t="e">
        <f aca="false">IF(K48="",NA(),K48)</f>
        <v>#N/A</v>
      </c>
      <c r="S48" s="23" t="e">
        <f aca="false">IF(M48="",NA(),M48)</f>
        <v>#N/A</v>
      </c>
      <c r="T48" s="23" t="str">
        <f aca="false">IF(J48="Válida",B48,"")</f>
        <v/>
      </c>
      <c r="U48" s="23" t="str">
        <f aca="false">IF(J48="Válida",F48,"")</f>
        <v/>
      </c>
    </row>
    <row r="49" customFormat="false" ht="15" hidden="false" customHeight="false" outlineLevel="0" collapsed="false">
      <c r="A49" s="22" t="str">
        <f aca="false">IF(MES!A49="","",MES!A49)</f>
        <v/>
      </c>
      <c r="B49" s="23" t="str">
        <f aca="false">IF(A49="","",MES!B49)</f>
        <v/>
      </c>
      <c r="C49" s="22" t="str">
        <f aca="false">IF(A49="","",A49+Parametros!$B$3/24)</f>
        <v/>
      </c>
      <c r="D49" s="22" t="str">
        <f aca="false">IF(A49="","",C49+Parametros!$B$2/24)</f>
        <v/>
      </c>
      <c r="E49" s="24" t="str">
        <f aca="false">IF(A49="","",COUNTIFS(Modulo!$A$2:$A$5001,"&gt;="&amp;C49,Modulo!$A$2:$A$5001,"&lt;"&amp;D49,Modulo!$D$2:$D$5001,Parametros!$B$7))</f>
        <v/>
      </c>
      <c r="F49" s="23" t="str">
        <f aca="false">IF(A49="","",IF(E49=0,"",AVERAGEIFS(Modulo!$B$2:$B$5001,Modulo!$A$2:$A$5001,"&gt;="&amp;C49,Modulo!$A$2:$A$5001,"&lt;"&amp;D49,Modulo!$D$2:$D$5001,Parametros!$B$7)))</f>
        <v/>
      </c>
      <c r="G49" s="23" t="str">
        <f aca="false">IF(A49="","",IF(E49=0,"",AVERAGEIFS(Modulo!$C$2:$C$5001,Modulo!$A$2:$A$5001,"&gt;="&amp;C49,Modulo!$A$2:$A$5001,"&lt;"&amp;D49,Modulo!$D$2:$D$5001,Parametros!$B$7)))</f>
        <v/>
      </c>
      <c r="H49" s="25" t="str">
        <f aca="false">IF(A49="","",IFERROR(COUNTIFS(Amostragem!$A$2:$A$15003,"&gt;="&amp;C49,Amostragem!$A$2:$A$15003,"&lt;"&amp;D49,Amostragem!$B$2:$B$15003,"Automático",Amostragem!$C$2:$C$15003,"Automático",Amostragem!$D$2:$D$15003,0)/COUNTIFS(Amostragem!$A$2:$A$15003,"&gt;="&amp;C49,Amostragem!$A$2:$A$15003,"&lt;"&amp;D49),0))</f>
        <v/>
      </c>
      <c r="I49" s="23" t="str">
        <f aca="false">IF(A49="","",IFERROR(AVERAGEIFS(Amostragem!$E$2:$E$15003,Amostragem!$A$2:$A$15003,"&gt;="&amp;C49,Amostragem!$A$2:$A$15003,"&lt;"&amp;D49),""))</f>
        <v/>
      </c>
      <c r="J49" s="24" t="str">
        <f aca="false">IF(A49="","",IF(B49="","Inválida: sem resultado MES",IF(E49&lt;Parametros!$B$4,"Inválida: poucos ensaios do módulo",IF(H49&lt;Parametros!$B$5,"Inválida: amostragem em manual ou em falha",IF(OR(I49="",I49&lt;Parametros!$B$6),"Inválida: usina parada ou baixa alimentação","Válida")))))</f>
        <v/>
      </c>
      <c r="K49" s="23" t="str">
        <f aca="false">IF(J49="Válida",F49-B49,"")</f>
        <v/>
      </c>
      <c r="L49" s="26" t="str">
        <f aca="false">IF(J49="Válida",K49/B49,"")</f>
        <v/>
      </c>
      <c r="M49" s="23" t="str">
        <f aca="false">IF(J49="Válida",(F49+B49)/2,"")</f>
        <v/>
      </c>
      <c r="N49" s="24" t="str">
        <f aca="false">IF(K49="","",IF(OR(K49&gt;Resumo!$B$16,K49&lt;Resumo!$B$15),"Sim","Não"))</f>
        <v/>
      </c>
      <c r="O49" s="22" t="e">
        <f aca="false">IF(A49="",NA(),A49)</f>
        <v>#N/A</v>
      </c>
      <c r="P49" s="23" t="e">
        <f aca="false">IF(A49="",NA(),B49)</f>
        <v>#N/A</v>
      </c>
      <c r="Q49" s="23" t="e">
        <f aca="false">IF(F49="",NA(),F49)</f>
        <v>#N/A</v>
      </c>
      <c r="R49" s="23" t="e">
        <f aca="false">IF(K49="",NA(),K49)</f>
        <v>#N/A</v>
      </c>
      <c r="S49" s="23" t="e">
        <f aca="false">IF(M49="",NA(),M49)</f>
        <v>#N/A</v>
      </c>
      <c r="T49" s="23" t="str">
        <f aca="false">IF(J49="Válida",B49,"")</f>
        <v/>
      </c>
      <c r="U49" s="23" t="str">
        <f aca="false">IF(J49="Válida",F49,"")</f>
        <v/>
      </c>
    </row>
    <row r="50" customFormat="false" ht="15" hidden="false" customHeight="false" outlineLevel="0" collapsed="false">
      <c r="A50" s="22" t="str">
        <f aca="false">IF(MES!A50="","",MES!A50)</f>
        <v/>
      </c>
      <c r="B50" s="23" t="str">
        <f aca="false">IF(A50="","",MES!B50)</f>
        <v/>
      </c>
      <c r="C50" s="22" t="str">
        <f aca="false">IF(A50="","",A50+Parametros!$B$3/24)</f>
        <v/>
      </c>
      <c r="D50" s="22" t="str">
        <f aca="false">IF(A50="","",C50+Parametros!$B$2/24)</f>
        <v/>
      </c>
      <c r="E50" s="24" t="str">
        <f aca="false">IF(A50="","",COUNTIFS(Modulo!$A$2:$A$5001,"&gt;="&amp;C50,Modulo!$A$2:$A$5001,"&lt;"&amp;D50,Modulo!$D$2:$D$5001,Parametros!$B$7))</f>
        <v/>
      </c>
      <c r="F50" s="23" t="str">
        <f aca="false">IF(A50="","",IF(E50=0,"",AVERAGEIFS(Modulo!$B$2:$B$5001,Modulo!$A$2:$A$5001,"&gt;="&amp;C50,Modulo!$A$2:$A$5001,"&lt;"&amp;D50,Modulo!$D$2:$D$5001,Parametros!$B$7)))</f>
        <v/>
      </c>
      <c r="G50" s="23" t="str">
        <f aca="false">IF(A50="","",IF(E50=0,"",AVERAGEIFS(Modulo!$C$2:$C$5001,Modulo!$A$2:$A$5001,"&gt;="&amp;C50,Modulo!$A$2:$A$5001,"&lt;"&amp;D50,Modulo!$D$2:$D$5001,Parametros!$B$7)))</f>
        <v/>
      </c>
      <c r="H50" s="25" t="str">
        <f aca="false">IF(A50="","",IFERROR(COUNTIFS(Amostragem!$A$2:$A$15003,"&gt;="&amp;C50,Amostragem!$A$2:$A$15003,"&lt;"&amp;D50,Amostragem!$B$2:$B$15003,"Automático",Amostragem!$C$2:$C$15003,"Automático",Amostragem!$D$2:$D$15003,0)/COUNTIFS(Amostragem!$A$2:$A$15003,"&gt;="&amp;C50,Amostragem!$A$2:$A$15003,"&lt;"&amp;D50),0))</f>
        <v/>
      </c>
      <c r="I50" s="23" t="str">
        <f aca="false">IF(A50="","",IFERROR(AVERAGEIFS(Amostragem!$E$2:$E$15003,Amostragem!$A$2:$A$15003,"&gt;="&amp;C50,Amostragem!$A$2:$A$15003,"&lt;"&amp;D50),""))</f>
        <v/>
      </c>
      <c r="J50" s="24" t="str">
        <f aca="false">IF(A50="","",IF(B50="","Inválida: sem resultado MES",IF(E50&lt;Parametros!$B$4,"Inválida: poucos ensaios do módulo",IF(H50&lt;Parametros!$B$5,"Inválida: amostragem em manual ou em falha",IF(OR(I50="",I50&lt;Parametros!$B$6),"Inválida: usina parada ou baixa alimentação","Válida")))))</f>
        <v/>
      </c>
      <c r="K50" s="23" t="str">
        <f aca="false">IF(J50="Válida",F50-B50,"")</f>
        <v/>
      </c>
      <c r="L50" s="26" t="str">
        <f aca="false">IF(J50="Válida",K50/B50,"")</f>
        <v/>
      </c>
      <c r="M50" s="23" t="str">
        <f aca="false">IF(J50="Válida",(F50+B50)/2,"")</f>
        <v/>
      </c>
      <c r="N50" s="24" t="str">
        <f aca="false">IF(K50="","",IF(OR(K50&gt;Resumo!$B$16,K50&lt;Resumo!$B$15),"Sim","Não"))</f>
        <v/>
      </c>
      <c r="O50" s="22" t="e">
        <f aca="false">IF(A50="",NA(),A50)</f>
        <v>#N/A</v>
      </c>
      <c r="P50" s="23" t="e">
        <f aca="false">IF(A50="",NA(),B50)</f>
        <v>#N/A</v>
      </c>
      <c r="Q50" s="23" t="e">
        <f aca="false">IF(F50="",NA(),F50)</f>
        <v>#N/A</v>
      </c>
      <c r="R50" s="23" t="e">
        <f aca="false">IF(K50="",NA(),K50)</f>
        <v>#N/A</v>
      </c>
      <c r="S50" s="23" t="e">
        <f aca="false">IF(M50="",NA(),M50)</f>
        <v>#N/A</v>
      </c>
      <c r="T50" s="23" t="str">
        <f aca="false">IF(J50="Válida",B50,"")</f>
        <v/>
      </c>
      <c r="U50" s="23" t="str">
        <f aca="false">IF(J50="Válida",F50,"")</f>
        <v/>
      </c>
    </row>
    <row r="51" customFormat="false" ht="15" hidden="false" customHeight="false" outlineLevel="0" collapsed="false">
      <c r="A51" s="22" t="str">
        <f aca="false">IF(MES!A51="","",MES!A51)</f>
        <v/>
      </c>
      <c r="B51" s="23" t="str">
        <f aca="false">IF(A51="","",MES!B51)</f>
        <v/>
      </c>
      <c r="C51" s="22" t="str">
        <f aca="false">IF(A51="","",A51+Parametros!$B$3/24)</f>
        <v/>
      </c>
      <c r="D51" s="22" t="str">
        <f aca="false">IF(A51="","",C51+Parametros!$B$2/24)</f>
        <v/>
      </c>
      <c r="E51" s="24" t="str">
        <f aca="false">IF(A51="","",COUNTIFS(Modulo!$A$2:$A$5001,"&gt;="&amp;C51,Modulo!$A$2:$A$5001,"&lt;"&amp;D51,Modulo!$D$2:$D$5001,Parametros!$B$7))</f>
        <v/>
      </c>
      <c r="F51" s="23" t="str">
        <f aca="false">IF(A51="","",IF(E51=0,"",AVERAGEIFS(Modulo!$B$2:$B$5001,Modulo!$A$2:$A$5001,"&gt;="&amp;C51,Modulo!$A$2:$A$5001,"&lt;"&amp;D51,Modulo!$D$2:$D$5001,Parametros!$B$7)))</f>
        <v/>
      </c>
      <c r="G51" s="23" t="str">
        <f aca="false">IF(A51="","",IF(E51=0,"",AVERAGEIFS(Modulo!$C$2:$C$5001,Modulo!$A$2:$A$5001,"&gt;="&amp;C51,Modulo!$A$2:$A$5001,"&lt;"&amp;D51,Modulo!$D$2:$D$5001,Parametros!$B$7)))</f>
        <v/>
      </c>
      <c r="H51" s="25" t="str">
        <f aca="false">IF(A51="","",IFERROR(COUNTIFS(Amostragem!$A$2:$A$15003,"&gt;="&amp;C51,Amostragem!$A$2:$A$15003,"&lt;"&amp;D51,Amostragem!$B$2:$B$15003,"Automático",Amostragem!$C$2:$C$15003,"Automático",Amostragem!$D$2:$D$15003,0)/COUNTIFS(Amostragem!$A$2:$A$15003,"&gt;="&amp;C51,Amostragem!$A$2:$A$15003,"&lt;"&amp;D51),0))</f>
        <v/>
      </c>
      <c r="I51" s="23" t="str">
        <f aca="false">IF(A51="","",IFERROR(AVERAGEIFS(Amostragem!$E$2:$E$15003,Amostragem!$A$2:$A$15003,"&gt;="&amp;C51,Amostragem!$A$2:$A$15003,"&lt;"&amp;D51),""))</f>
        <v/>
      </c>
      <c r="J51" s="24" t="str">
        <f aca="false">IF(A51="","",IF(B51="","Inválida: sem resultado MES",IF(E51&lt;Parametros!$B$4,"Inválida: poucos ensaios do módulo",IF(H51&lt;Parametros!$B$5,"Inválida: amostragem em manual ou em falha",IF(OR(I51="",I51&lt;Parametros!$B$6),"Inválida: usina parada ou baixa alimentação","Válida")))))</f>
        <v/>
      </c>
      <c r="K51" s="23" t="str">
        <f aca="false">IF(J51="Válida",F51-B51,"")</f>
        <v/>
      </c>
      <c r="L51" s="26" t="str">
        <f aca="false">IF(J51="Válida",K51/B51,"")</f>
        <v/>
      </c>
      <c r="M51" s="23" t="str">
        <f aca="false">IF(J51="Válida",(F51+B51)/2,"")</f>
        <v/>
      </c>
      <c r="N51" s="24" t="str">
        <f aca="false">IF(K51="","",IF(OR(K51&gt;Resumo!$B$16,K51&lt;Resumo!$B$15),"Sim","Não"))</f>
        <v/>
      </c>
      <c r="O51" s="22" t="e">
        <f aca="false">IF(A51="",NA(),A51)</f>
        <v>#N/A</v>
      </c>
      <c r="P51" s="23" t="e">
        <f aca="false">IF(A51="",NA(),B51)</f>
        <v>#N/A</v>
      </c>
      <c r="Q51" s="23" t="e">
        <f aca="false">IF(F51="",NA(),F51)</f>
        <v>#N/A</v>
      </c>
      <c r="R51" s="23" t="e">
        <f aca="false">IF(K51="",NA(),K51)</f>
        <v>#N/A</v>
      </c>
      <c r="S51" s="23" t="e">
        <f aca="false">IF(M51="",NA(),M51)</f>
        <v>#N/A</v>
      </c>
      <c r="T51" s="23" t="str">
        <f aca="false">IF(J51="Válida",B51,"")</f>
        <v/>
      </c>
      <c r="U51" s="23" t="str">
        <f aca="false">IF(J51="Válida",F51,"")</f>
        <v/>
      </c>
    </row>
    <row r="52" customFormat="false" ht="15" hidden="false" customHeight="false" outlineLevel="0" collapsed="false">
      <c r="A52" s="22" t="str">
        <f aca="false">IF(MES!A52="","",MES!A52)</f>
        <v/>
      </c>
      <c r="B52" s="23" t="str">
        <f aca="false">IF(A52="","",MES!B52)</f>
        <v/>
      </c>
      <c r="C52" s="22" t="str">
        <f aca="false">IF(A52="","",A52+Parametros!$B$3/24)</f>
        <v/>
      </c>
      <c r="D52" s="22" t="str">
        <f aca="false">IF(A52="","",C52+Parametros!$B$2/24)</f>
        <v/>
      </c>
      <c r="E52" s="24" t="str">
        <f aca="false">IF(A52="","",COUNTIFS(Modulo!$A$2:$A$5001,"&gt;="&amp;C52,Modulo!$A$2:$A$5001,"&lt;"&amp;D52,Modulo!$D$2:$D$5001,Parametros!$B$7))</f>
        <v/>
      </c>
      <c r="F52" s="23" t="str">
        <f aca="false">IF(A52="","",IF(E52=0,"",AVERAGEIFS(Modulo!$B$2:$B$5001,Modulo!$A$2:$A$5001,"&gt;="&amp;C52,Modulo!$A$2:$A$5001,"&lt;"&amp;D52,Modulo!$D$2:$D$5001,Parametros!$B$7)))</f>
        <v/>
      </c>
      <c r="G52" s="23" t="str">
        <f aca="false">IF(A52="","",IF(E52=0,"",AVERAGEIFS(Modulo!$C$2:$C$5001,Modulo!$A$2:$A$5001,"&gt;="&amp;C52,Modulo!$A$2:$A$5001,"&lt;"&amp;D52,Modulo!$D$2:$D$5001,Parametros!$B$7)))</f>
        <v/>
      </c>
      <c r="H52" s="25" t="str">
        <f aca="false">IF(A52="","",IFERROR(COUNTIFS(Amostragem!$A$2:$A$15003,"&gt;="&amp;C52,Amostragem!$A$2:$A$15003,"&lt;"&amp;D52,Amostragem!$B$2:$B$15003,"Automático",Amostragem!$C$2:$C$15003,"Automático",Amostragem!$D$2:$D$15003,0)/COUNTIFS(Amostragem!$A$2:$A$15003,"&gt;="&amp;C52,Amostragem!$A$2:$A$15003,"&lt;"&amp;D52),0))</f>
        <v/>
      </c>
      <c r="I52" s="23" t="str">
        <f aca="false">IF(A52="","",IFERROR(AVERAGEIFS(Amostragem!$E$2:$E$15003,Amostragem!$A$2:$A$15003,"&gt;="&amp;C52,Amostragem!$A$2:$A$15003,"&lt;"&amp;D52),""))</f>
        <v/>
      </c>
      <c r="J52" s="24" t="str">
        <f aca="false">IF(A52="","",IF(B52="","Inválida: sem resultado MES",IF(E52&lt;Parametros!$B$4,"Inválida: poucos ensaios do módulo",IF(H52&lt;Parametros!$B$5,"Inválida: amostragem em manual ou em falha",IF(OR(I52="",I52&lt;Parametros!$B$6),"Inválida: usina parada ou baixa alimentação","Válida")))))</f>
        <v/>
      </c>
      <c r="K52" s="23" t="str">
        <f aca="false">IF(J52="Válida",F52-B52,"")</f>
        <v/>
      </c>
      <c r="L52" s="26" t="str">
        <f aca="false">IF(J52="Válida",K52/B52,"")</f>
        <v/>
      </c>
      <c r="M52" s="23" t="str">
        <f aca="false">IF(J52="Válida",(F52+B52)/2,"")</f>
        <v/>
      </c>
      <c r="N52" s="24" t="str">
        <f aca="false">IF(K52="","",IF(OR(K52&gt;Resumo!$B$16,K52&lt;Resumo!$B$15),"Sim","Não"))</f>
        <v/>
      </c>
      <c r="O52" s="22" t="e">
        <f aca="false">IF(A52="",NA(),A52)</f>
        <v>#N/A</v>
      </c>
      <c r="P52" s="23" t="e">
        <f aca="false">IF(A52="",NA(),B52)</f>
        <v>#N/A</v>
      </c>
      <c r="Q52" s="23" t="e">
        <f aca="false">IF(F52="",NA(),F52)</f>
        <v>#N/A</v>
      </c>
      <c r="R52" s="23" t="e">
        <f aca="false">IF(K52="",NA(),K52)</f>
        <v>#N/A</v>
      </c>
      <c r="S52" s="23" t="e">
        <f aca="false">IF(M52="",NA(),M52)</f>
        <v>#N/A</v>
      </c>
      <c r="T52" s="23" t="str">
        <f aca="false">IF(J52="Válida",B52,"")</f>
        <v/>
      </c>
      <c r="U52" s="23" t="str">
        <f aca="false">IF(J52="Válida",F52,"")</f>
        <v/>
      </c>
    </row>
    <row r="53" customFormat="false" ht="15" hidden="false" customHeight="false" outlineLevel="0" collapsed="false">
      <c r="A53" s="22" t="str">
        <f aca="false">IF(MES!A53="","",MES!A53)</f>
        <v/>
      </c>
      <c r="B53" s="23" t="str">
        <f aca="false">IF(A53="","",MES!B53)</f>
        <v/>
      </c>
      <c r="C53" s="22" t="str">
        <f aca="false">IF(A53="","",A53+Parametros!$B$3/24)</f>
        <v/>
      </c>
      <c r="D53" s="22" t="str">
        <f aca="false">IF(A53="","",C53+Parametros!$B$2/24)</f>
        <v/>
      </c>
      <c r="E53" s="24" t="str">
        <f aca="false">IF(A53="","",COUNTIFS(Modulo!$A$2:$A$5001,"&gt;="&amp;C53,Modulo!$A$2:$A$5001,"&lt;"&amp;D53,Modulo!$D$2:$D$5001,Parametros!$B$7))</f>
        <v/>
      </c>
      <c r="F53" s="23" t="str">
        <f aca="false">IF(A53="","",IF(E53=0,"",AVERAGEIFS(Modulo!$B$2:$B$5001,Modulo!$A$2:$A$5001,"&gt;="&amp;C53,Modulo!$A$2:$A$5001,"&lt;"&amp;D53,Modulo!$D$2:$D$5001,Parametros!$B$7)))</f>
        <v/>
      </c>
      <c r="G53" s="23" t="str">
        <f aca="false">IF(A53="","",IF(E53=0,"",AVERAGEIFS(Modulo!$C$2:$C$5001,Modulo!$A$2:$A$5001,"&gt;="&amp;C53,Modulo!$A$2:$A$5001,"&lt;"&amp;D53,Modulo!$D$2:$D$5001,Parametros!$B$7)))</f>
        <v/>
      </c>
      <c r="H53" s="25" t="str">
        <f aca="false">IF(A53="","",IFERROR(COUNTIFS(Amostragem!$A$2:$A$15003,"&gt;="&amp;C53,Amostragem!$A$2:$A$15003,"&lt;"&amp;D53,Amostragem!$B$2:$B$15003,"Automático",Amostragem!$C$2:$C$15003,"Automático",Amostragem!$D$2:$D$15003,0)/COUNTIFS(Amostragem!$A$2:$A$15003,"&gt;="&amp;C53,Amostragem!$A$2:$A$15003,"&lt;"&amp;D53),0))</f>
        <v/>
      </c>
      <c r="I53" s="23" t="str">
        <f aca="false">IF(A53="","",IFERROR(AVERAGEIFS(Amostragem!$E$2:$E$15003,Amostragem!$A$2:$A$15003,"&gt;="&amp;C53,Amostragem!$A$2:$A$15003,"&lt;"&amp;D53),""))</f>
        <v/>
      </c>
      <c r="J53" s="24" t="str">
        <f aca="false">IF(A53="","",IF(B53="","Inválida: sem resultado MES",IF(E53&lt;Parametros!$B$4,"Inválida: poucos ensaios do módulo",IF(H53&lt;Parametros!$B$5,"Inválida: amostragem em manual ou em falha",IF(OR(I53="",I53&lt;Parametros!$B$6),"Inválida: usina parada ou baixa alimentação","Válida")))))</f>
        <v/>
      </c>
      <c r="K53" s="23" t="str">
        <f aca="false">IF(J53="Válida",F53-B53,"")</f>
        <v/>
      </c>
      <c r="L53" s="26" t="str">
        <f aca="false">IF(J53="Válida",K53/B53,"")</f>
        <v/>
      </c>
      <c r="M53" s="23" t="str">
        <f aca="false">IF(J53="Válida",(F53+B53)/2,"")</f>
        <v/>
      </c>
      <c r="N53" s="24" t="str">
        <f aca="false">IF(K53="","",IF(OR(K53&gt;Resumo!$B$16,K53&lt;Resumo!$B$15),"Sim","Não"))</f>
        <v/>
      </c>
      <c r="O53" s="22" t="e">
        <f aca="false">IF(A53="",NA(),A53)</f>
        <v>#N/A</v>
      </c>
      <c r="P53" s="23" t="e">
        <f aca="false">IF(A53="",NA(),B53)</f>
        <v>#N/A</v>
      </c>
      <c r="Q53" s="23" t="e">
        <f aca="false">IF(F53="",NA(),F53)</f>
        <v>#N/A</v>
      </c>
      <c r="R53" s="23" t="e">
        <f aca="false">IF(K53="",NA(),K53)</f>
        <v>#N/A</v>
      </c>
      <c r="S53" s="23" t="e">
        <f aca="false">IF(M53="",NA(),M53)</f>
        <v>#N/A</v>
      </c>
      <c r="T53" s="23" t="str">
        <f aca="false">IF(J53="Válida",B53,"")</f>
        <v/>
      </c>
      <c r="U53" s="23" t="str">
        <f aca="false">IF(J53="Válida",F53,"")</f>
        <v/>
      </c>
    </row>
    <row r="54" customFormat="false" ht="15" hidden="false" customHeight="false" outlineLevel="0" collapsed="false">
      <c r="A54" s="22" t="str">
        <f aca="false">IF(MES!A54="","",MES!A54)</f>
        <v/>
      </c>
      <c r="B54" s="23" t="str">
        <f aca="false">IF(A54="","",MES!B54)</f>
        <v/>
      </c>
      <c r="C54" s="22" t="str">
        <f aca="false">IF(A54="","",A54+Parametros!$B$3/24)</f>
        <v/>
      </c>
      <c r="D54" s="22" t="str">
        <f aca="false">IF(A54="","",C54+Parametros!$B$2/24)</f>
        <v/>
      </c>
      <c r="E54" s="24" t="str">
        <f aca="false">IF(A54="","",COUNTIFS(Modulo!$A$2:$A$5001,"&gt;="&amp;C54,Modulo!$A$2:$A$5001,"&lt;"&amp;D54,Modulo!$D$2:$D$5001,Parametros!$B$7))</f>
        <v/>
      </c>
      <c r="F54" s="23" t="str">
        <f aca="false">IF(A54="","",IF(E54=0,"",AVERAGEIFS(Modulo!$B$2:$B$5001,Modulo!$A$2:$A$5001,"&gt;="&amp;C54,Modulo!$A$2:$A$5001,"&lt;"&amp;D54,Modulo!$D$2:$D$5001,Parametros!$B$7)))</f>
        <v/>
      </c>
      <c r="G54" s="23" t="str">
        <f aca="false">IF(A54="","",IF(E54=0,"",AVERAGEIFS(Modulo!$C$2:$C$5001,Modulo!$A$2:$A$5001,"&gt;="&amp;C54,Modulo!$A$2:$A$5001,"&lt;"&amp;D54,Modulo!$D$2:$D$5001,Parametros!$B$7)))</f>
        <v/>
      </c>
      <c r="H54" s="25" t="str">
        <f aca="false">IF(A54="","",IFERROR(COUNTIFS(Amostragem!$A$2:$A$15003,"&gt;="&amp;C54,Amostragem!$A$2:$A$15003,"&lt;"&amp;D54,Amostragem!$B$2:$B$15003,"Automático",Amostragem!$C$2:$C$15003,"Automático",Amostragem!$D$2:$D$15003,0)/COUNTIFS(Amostragem!$A$2:$A$15003,"&gt;="&amp;C54,Amostragem!$A$2:$A$15003,"&lt;"&amp;D54),0))</f>
        <v/>
      </c>
      <c r="I54" s="23" t="str">
        <f aca="false">IF(A54="","",IFERROR(AVERAGEIFS(Amostragem!$E$2:$E$15003,Amostragem!$A$2:$A$15003,"&gt;="&amp;C54,Amostragem!$A$2:$A$15003,"&lt;"&amp;D54),""))</f>
        <v/>
      </c>
      <c r="J54" s="24" t="str">
        <f aca="false">IF(A54="","",IF(B54="","Inválida: sem resultado MES",IF(E54&lt;Parametros!$B$4,"Inválida: poucos ensaios do módulo",IF(H54&lt;Parametros!$B$5,"Inválida: amostragem em manual ou em falha",IF(OR(I54="",I54&lt;Parametros!$B$6),"Inválida: usina parada ou baixa alimentação","Válida")))))</f>
        <v/>
      </c>
      <c r="K54" s="23" t="str">
        <f aca="false">IF(J54="Válida",F54-B54,"")</f>
        <v/>
      </c>
      <c r="L54" s="26" t="str">
        <f aca="false">IF(J54="Válida",K54/B54,"")</f>
        <v/>
      </c>
      <c r="M54" s="23" t="str">
        <f aca="false">IF(J54="Válida",(F54+B54)/2,"")</f>
        <v/>
      </c>
      <c r="N54" s="24" t="str">
        <f aca="false">IF(K54="","",IF(OR(K54&gt;Resumo!$B$16,K54&lt;Resumo!$B$15),"Sim","Não"))</f>
        <v/>
      </c>
      <c r="O54" s="22" t="e">
        <f aca="false">IF(A54="",NA(),A54)</f>
        <v>#N/A</v>
      </c>
      <c r="P54" s="23" t="e">
        <f aca="false">IF(A54="",NA(),B54)</f>
        <v>#N/A</v>
      </c>
      <c r="Q54" s="23" t="e">
        <f aca="false">IF(F54="",NA(),F54)</f>
        <v>#N/A</v>
      </c>
      <c r="R54" s="23" t="e">
        <f aca="false">IF(K54="",NA(),K54)</f>
        <v>#N/A</v>
      </c>
      <c r="S54" s="23" t="e">
        <f aca="false">IF(M54="",NA(),M54)</f>
        <v>#N/A</v>
      </c>
      <c r="T54" s="23" t="str">
        <f aca="false">IF(J54="Válida",B54,"")</f>
        <v/>
      </c>
      <c r="U54" s="23" t="str">
        <f aca="false">IF(J54="Válida",F54,"")</f>
        <v/>
      </c>
    </row>
    <row r="55" customFormat="false" ht="15" hidden="false" customHeight="false" outlineLevel="0" collapsed="false">
      <c r="A55" s="22" t="str">
        <f aca="false">IF(MES!A55="","",MES!A55)</f>
        <v/>
      </c>
      <c r="B55" s="23" t="str">
        <f aca="false">IF(A55="","",MES!B55)</f>
        <v/>
      </c>
      <c r="C55" s="22" t="str">
        <f aca="false">IF(A55="","",A55+Parametros!$B$3/24)</f>
        <v/>
      </c>
      <c r="D55" s="22" t="str">
        <f aca="false">IF(A55="","",C55+Parametros!$B$2/24)</f>
        <v/>
      </c>
      <c r="E55" s="24" t="str">
        <f aca="false">IF(A55="","",COUNTIFS(Modulo!$A$2:$A$5001,"&gt;="&amp;C55,Modulo!$A$2:$A$5001,"&lt;"&amp;D55,Modulo!$D$2:$D$5001,Parametros!$B$7))</f>
        <v/>
      </c>
      <c r="F55" s="23" t="str">
        <f aca="false">IF(A55="","",IF(E55=0,"",AVERAGEIFS(Modulo!$B$2:$B$5001,Modulo!$A$2:$A$5001,"&gt;="&amp;C55,Modulo!$A$2:$A$5001,"&lt;"&amp;D55,Modulo!$D$2:$D$5001,Parametros!$B$7)))</f>
        <v/>
      </c>
      <c r="G55" s="23" t="str">
        <f aca="false">IF(A55="","",IF(E55=0,"",AVERAGEIFS(Modulo!$C$2:$C$5001,Modulo!$A$2:$A$5001,"&gt;="&amp;C55,Modulo!$A$2:$A$5001,"&lt;"&amp;D55,Modulo!$D$2:$D$5001,Parametros!$B$7)))</f>
        <v/>
      </c>
      <c r="H55" s="25" t="str">
        <f aca="false">IF(A55="","",IFERROR(COUNTIFS(Amostragem!$A$2:$A$15003,"&gt;="&amp;C55,Amostragem!$A$2:$A$15003,"&lt;"&amp;D55,Amostragem!$B$2:$B$15003,"Automático",Amostragem!$C$2:$C$15003,"Automático",Amostragem!$D$2:$D$15003,0)/COUNTIFS(Amostragem!$A$2:$A$15003,"&gt;="&amp;C55,Amostragem!$A$2:$A$15003,"&lt;"&amp;D55),0))</f>
        <v/>
      </c>
      <c r="I55" s="23" t="str">
        <f aca="false">IF(A55="","",IFERROR(AVERAGEIFS(Amostragem!$E$2:$E$15003,Amostragem!$A$2:$A$15003,"&gt;="&amp;C55,Amostragem!$A$2:$A$15003,"&lt;"&amp;D55),""))</f>
        <v/>
      </c>
      <c r="J55" s="24" t="str">
        <f aca="false">IF(A55="","",IF(B55="","Inválida: sem resultado MES",IF(E55&lt;Parametros!$B$4,"Inválida: poucos ensaios do módulo",IF(H55&lt;Parametros!$B$5,"Inválida: amostragem em manual ou em falha",IF(OR(I55="",I55&lt;Parametros!$B$6),"Inválida: usina parada ou baixa alimentação","Válida")))))</f>
        <v/>
      </c>
      <c r="K55" s="23" t="str">
        <f aca="false">IF(J55="Válida",F55-B55,"")</f>
        <v/>
      </c>
      <c r="L55" s="26" t="str">
        <f aca="false">IF(J55="Válida",K55/B55,"")</f>
        <v/>
      </c>
      <c r="M55" s="23" t="str">
        <f aca="false">IF(J55="Válida",(F55+B55)/2,"")</f>
        <v/>
      </c>
      <c r="N55" s="24" t="str">
        <f aca="false">IF(K55="","",IF(OR(K55&gt;Resumo!$B$16,K55&lt;Resumo!$B$15),"Sim","Não"))</f>
        <v/>
      </c>
      <c r="O55" s="22" t="e">
        <f aca="false">IF(A55="",NA(),A55)</f>
        <v>#N/A</v>
      </c>
      <c r="P55" s="23" t="e">
        <f aca="false">IF(A55="",NA(),B55)</f>
        <v>#N/A</v>
      </c>
      <c r="Q55" s="23" t="e">
        <f aca="false">IF(F55="",NA(),F55)</f>
        <v>#N/A</v>
      </c>
      <c r="R55" s="23" t="e">
        <f aca="false">IF(K55="",NA(),K55)</f>
        <v>#N/A</v>
      </c>
      <c r="S55" s="23" t="e">
        <f aca="false">IF(M55="",NA(),M55)</f>
        <v>#N/A</v>
      </c>
      <c r="T55" s="23" t="str">
        <f aca="false">IF(J55="Válida",B55,"")</f>
        <v/>
      </c>
      <c r="U55" s="23" t="str">
        <f aca="false">IF(J55="Válida",F55,"")</f>
        <v/>
      </c>
    </row>
    <row r="56" customFormat="false" ht="15" hidden="false" customHeight="false" outlineLevel="0" collapsed="false">
      <c r="A56" s="22" t="str">
        <f aca="false">IF(MES!A56="","",MES!A56)</f>
        <v/>
      </c>
      <c r="B56" s="23" t="str">
        <f aca="false">IF(A56="","",MES!B56)</f>
        <v/>
      </c>
      <c r="C56" s="22" t="str">
        <f aca="false">IF(A56="","",A56+Parametros!$B$3/24)</f>
        <v/>
      </c>
      <c r="D56" s="22" t="str">
        <f aca="false">IF(A56="","",C56+Parametros!$B$2/24)</f>
        <v/>
      </c>
      <c r="E56" s="24" t="str">
        <f aca="false">IF(A56="","",COUNTIFS(Modulo!$A$2:$A$5001,"&gt;="&amp;C56,Modulo!$A$2:$A$5001,"&lt;"&amp;D56,Modulo!$D$2:$D$5001,Parametros!$B$7))</f>
        <v/>
      </c>
      <c r="F56" s="23" t="str">
        <f aca="false">IF(A56="","",IF(E56=0,"",AVERAGEIFS(Modulo!$B$2:$B$5001,Modulo!$A$2:$A$5001,"&gt;="&amp;C56,Modulo!$A$2:$A$5001,"&lt;"&amp;D56,Modulo!$D$2:$D$5001,Parametros!$B$7)))</f>
        <v/>
      </c>
      <c r="G56" s="23" t="str">
        <f aca="false">IF(A56="","",IF(E56=0,"",AVERAGEIFS(Modulo!$C$2:$C$5001,Modulo!$A$2:$A$5001,"&gt;="&amp;C56,Modulo!$A$2:$A$5001,"&lt;"&amp;D56,Modulo!$D$2:$D$5001,Parametros!$B$7)))</f>
        <v/>
      </c>
      <c r="H56" s="25" t="str">
        <f aca="false">IF(A56="","",IFERROR(COUNTIFS(Amostragem!$A$2:$A$15003,"&gt;="&amp;C56,Amostragem!$A$2:$A$15003,"&lt;"&amp;D56,Amostragem!$B$2:$B$15003,"Automático",Amostragem!$C$2:$C$15003,"Automático",Amostragem!$D$2:$D$15003,0)/COUNTIFS(Amostragem!$A$2:$A$15003,"&gt;="&amp;C56,Amostragem!$A$2:$A$15003,"&lt;"&amp;D56),0))</f>
        <v/>
      </c>
      <c r="I56" s="23" t="str">
        <f aca="false">IF(A56="","",IFERROR(AVERAGEIFS(Amostragem!$E$2:$E$15003,Amostragem!$A$2:$A$15003,"&gt;="&amp;C56,Amostragem!$A$2:$A$15003,"&lt;"&amp;D56),""))</f>
        <v/>
      </c>
      <c r="J56" s="24" t="str">
        <f aca="false">IF(A56="","",IF(B56="","Inválida: sem resultado MES",IF(E56&lt;Parametros!$B$4,"Inválida: poucos ensaios do módulo",IF(H56&lt;Parametros!$B$5,"Inválida: amostragem em manual ou em falha",IF(OR(I56="",I56&lt;Parametros!$B$6),"Inválida: usina parada ou baixa alimentação","Válida")))))</f>
        <v/>
      </c>
      <c r="K56" s="23" t="str">
        <f aca="false">IF(J56="Válida",F56-B56,"")</f>
        <v/>
      </c>
      <c r="L56" s="26" t="str">
        <f aca="false">IF(J56="Válida",K56/B56,"")</f>
        <v/>
      </c>
      <c r="M56" s="23" t="str">
        <f aca="false">IF(J56="Válida",(F56+B56)/2,"")</f>
        <v/>
      </c>
      <c r="N56" s="24" t="str">
        <f aca="false">IF(K56="","",IF(OR(K56&gt;Resumo!$B$16,K56&lt;Resumo!$B$15),"Sim","Não"))</f>
        <v/>
      </c>
      <c r="O56" s="22" t="e">
        <f aca="false">IF(A56="",NA(),A56)</f>
        <v>#N/A</v>
      </c>
      <c r="P56" s="23" t="e">
        <f aca="false">IF(A56="",NA(),B56)</f>
        <v>#N/A</v>
      </c>
      <c r="Q56" s="23" t="e">
        <f aca="false">IF(F56="",NA(),F56)</f>
        <v>#N/A</v>
      </c>
      <c r="R56" s="23" t="e">
        <f aca="false">IF(K56="",NA(),K56)</f>
        <v>#N/A</v>
      </c>
      <c r="S56" s="23" t="e">
        <f aca="false">IF(M56="",NA(),M56)</f>
        <v>#N/A</v>
      </c>
      <c r="T56" s="23" t="str">
        <f aca="false">IF(J56="Válida",B56,"")</f>
        <v/>
      </c>
      <c r="U56" s="23" t="str">
        <f aca="false">IF(J56="Válida",F56,"")</f>
        <v/>
      </c>
    </row>
    <row r="57" customFormat="false" ht="15" hidden="false" customHeight="false" outlineLevel="0" collapsed="false">
      <c r="A57" s="22" t="str">
        <f aca="false">IF(MES!A57="","",MES!A57)</f>
        <v/>
      </c>
      <c r="B57" s="23" t="str">
        <f aca="false">IF(A57="","",MES!B57)</f>
        <v/>
      </c>
      <c r="C57" s="22" t="str">
        <f aca="false">IF(A57="","",A57+Parametros!$B$3/24)</f>
        <v/>
      </c>
      <c r="D57" s="22" t="str">
        <f aca="false">IF(A57="","",C57+Parametros!$B$2/24)</f>
        <v/>
      </c>
      <c r="E57" s="24" t="str">
        <f aca="false">IF(A57="","",COUNTIFS(Modulo!$A$2:$A$5001,"&gt;="&amp;C57,Modulo!$A$2:$A$5001,"&lt;"&amp;D57,Modulo!$D$2:$D$5001,Parametros!$B$7))</f>
        <v/>
      </c>
      <c r="F57" s="23" t="str">
        <f aca="false">IF(A57="","",IF(E57=0,"",AVERAGEIFS(Modulo!$B$2:$B$5001,Modulo!$A$2:$A$5001,"&gt;="&amp;C57,Modulo!$A$2:$A$5001,"&lt;"&amp;D57,Modulo!$D$2:$D$5001,Parametros!$B$7)))</f>
        <v/>
      </c>
      <c r="G57" s="23" t="str">
        <f aca="false">IF(A57="","",IF(E57=0,"",AVERAGEIFS(Modulo!$C$2:$C$5001,Modulo!$A$2:$A$5001,"&gt;="&amp;C57,Modulo!$A$2:$A$5001,"&lt;"&amp;D57,Modulo!$D$2:$D$5001,Parametros!$B$7)))</f>
        <v/>
      </c>
      <c r="H57" s="25" t="str">
        <f aca="false">IF(A57="","",IFERROR(COUNTIFS(Amostragem!$A$2:$A$15003,"&gt;="&amp;C57,Amostragem!$A$2:$A$15003,"&lt;"&amp;D57,Amostragem!$B$2:$B$15003,"Automático",Amostragem!$C$2:$C$15003,"Automático",Amostragem!$D$2:$D$15003,0)/COUNTIFS(Amostragem!$A$2:$A$15003,"&gt;="&amp;C57,Amostragem!$A$2:$A$15003,"&lt;"&amp;D57),0))</f>
        <v/>
      </c>
      <c r="I57" s="23" t="str">
        <f aca="false">IF(A57="","",IFERROR(AVERAGEIFS(Amostragem!$E$2:$E$15003,Amostragem!$A$2:$A$15003,"&gt;="&amp;C57,Amostragem!$A$2:$A$15003,"&lt;"&amp;D57),""))</f>
        <v/>
      </c>
      <c r="J57" s="24" t="str">
        <f aca="false">IF(A57="","",IF(B57="","Inválida: sem resultado MES",IF(E57&lt;Parametros!$B$4,"Inválida: poucos ensaios do módulo",IF(H57&lt;Parametros!$B$5,"Inválida: amostragem em manual ou em falha",IF(OR(I57="",I57&lt;Parametros!$B$6),"Inválida: usina parada ou baixa alimentação","Válida")))))</f>
        <v/>
      </c>
      <c r="K57" s="23" t="str">
        <f aca="false">IF(J57="Válida",F57-B57,"")</f>
        <v/>
      </c>
      <c r="L57" s="26" t="str">
        <f aca="false">IF(J57="Válida",K57/B57,"")</f>
        <v/>
      </c>
      <c r="M57" s="23" t="str">
        <f aca="false">IF(J57="Válida",(F57+B57)/2,"")</f>
        <v/>
      </c>
      <c r="N57" s="24" t="str">
        <f aca="false">IF(K57="","",IF(OR(K57&gt;Resumo!$B$16,K57&lt;Resumo!$B$15),"Sim","Não"))</f>
        <v/>
      </c>
      <c r="O57" s="22" t="e">
        <f aca="false">IF(A57="",NA(),A57)</f>
        <v>#N/A</v>
      </c>
      <c r="P57" s="23" t="e">
        <f aca="false">IF(A57="",NA(),B57)</f>
        <v>#N/A</v>
      </c>
      <c r="Q57" s="23" t="e">
        <f aca="false">IF(F57="",NA(),F57)</f>
        <v>#N/A</v>
      </c>
      <c r="R57" s="23" t="e">
        <f aca="false">IF(K57="",NA(),K57)</f>
        <v>#N/A</v>
      </c>
      <c r="S57" s="23" t="e">
        <f aca="false">IF(M57="",NA(),M57)</f>
        <v>#N/A</v>
      </c>
      <c r="T57" s="23" t="str">
        <f aca="false">IF(J57="Válida",B57,"")</f>
        <v/>
      </c>
      <c r="U57" s="23" t="str">
        <f aca="false">IF(J57="Válida",F57,"")</f>
        <v/>
      </c>
    </row>
    <row r="58" customFormat="false" ht="15" hidden="false" customHeight="false" outlineLevel="0" collapsed="false">
      <c r="A58" s="22" t="str">
        <f aca="false">IF(MES!A58="","",MES!A58)</f>
        <v/>
      </c>
      <c r="B58" s="23" t="str">
        <f aca="false">IF(A58="","",MES!B58)</f>
        <v/>
      </c>
      <c r="C58" s="22" t="str">
        <f aca="false">IF(A58="","",A58+Parametros!$B$3/24)</f>
        <v/>
      </c>
      <c r="D58" s="22" t="str">
        <f aca="false">IF(A58="","",C58+Parametros!$B$2/24)</f>
        <v/>
      </c>
      <c r="E58" s="24" t="str">
        <f aca="false">IF(A58="","",COUNTIFS(Modulo!$A$2:$A$5001,"&gt;="&amp;C58,Modulo!$A$2:$A$5001,"&lt;"&amp;D58,Modulo!$D$2:$D$5001,Parametros!$B$7))</f>
        <v/>
      </c>
      <c r="F58" s="23" t="str">
        <f aca="false">IF(A58="","",IF(E58=0,"",AVERAGEIFS(Modulo!$B$2:$B$5001,Modulo!$A$2:$A$5001,"&gt;="&amp;C58,Modulo!$A$2:$A$5001,"&lt;"&amp;D58,Modulo!$D$2:$D$5001,Parametros!$B$7)))</f>
        <v/>
      </c>
      <c r="G58" s="23" t="str">
        <f aca="false">IF(A58="","",IF(E58=0,"",AVERAGEIFS(Modulo!$C$2:$C$5001,Modulo!$A$2:$A$5001,"&gt;="&amp;C58,Modulo!$A$2:$A$5001,"&lt;"&amp;D58,Modulo!$D$2:$D$5001,Parametros!$B$7)))</f>
        <v/>
      </c>
      <c r="H58" s="25" t="str">
        <f aca="false">IF(A58="","",IFERROR(COUNTIFS(Amostragem!$A$2:$A$15003,"&gt;="&amp;C58,Amostragem!$A$2:$A$15003,"&lt;"&amp;D58,Amostragem!$B$2:$B$15003,"Automático",Amostragem!$C$2:$C$15003,"Automático",Amostragem!$D$2:$D$15003,0)/COUNTIFS(Amostragem!$A$2:$A$15003,"&gt;="&amp;C58,Amostragem!$A$2:$A$15003,"&lt;"&amp;D58),0))</f>
        <v/>
      </c>
      <c r="I58" s="23" t="str">
        <f aca="false">IF(A58="","",IFERROR(AVERAGEIFS(Amostragem!$E$2:$E$15003,Amostragem!$A$2:$A$15003,"&gt;="&amp;C58,Amostragem!$A$2:$A$15003,"&lt;"&amp;D58),""))</f>
        <v/>
      </c>
      <c r="J58" s="24" t="str">
        <f aca="false">IF(A58="","",IF(B58="","Inválida: sem resultado MES",IF(E58&lt;Parametros!$B$4,"Inválida: poucos ensaios do módulo",IF(H58&lt;Parametros!$B$5,"Inválida: amostragem em manual ou em falha",IF(OR(I58="",I58&lt;Parametros!$B$6),"Inválida: usina parada ou baixa alimentação","Válida")))))</f>
        <v/>
      </c>
      <c r="K58" s="23" t="str">
        <f aca="false">IF(J58="Válida",F58-B58,"")</f>
        <v/>
      </c>
      <c r="L58" s="26" t="str">
        <f aca="false">IF(J58="Válida",K58/B58,"")</f>
        <v/>
      </c>
      <c r="M58" s="23" t="str">
        <f aca="false">IF(J58="Válida",(F58+B58)/2,"")</f>
        <v/>
      </c>
      <c r="N58" s="24" t="str">
        <f aca="false">IF(K58="","",IF(OR(K58&gt;Resumo!$B$16,K58&lt;Resumo!$B$15),"Sim","Não"))</f>
        <v/>
      </c>
      <c r="O58" s="22" t="e">
        <f aca="false">IF(A58="",NA(),A58)</f>
        <v>#N/A</v>
      </c>
      <c r="P58" s="23" t="e">
        <f aca="false">IF(A58="",NA(),B58)</f>
        <v>#N/A</v>
      </c>
      <c r="Q58" s="23" t="e">
        <f aca="false">IF(F58="",NA(),F58)</f>
        <v>#N/A</v>
      </c>
      <c r="R58" s="23" t="e">
        <f aca="false">IF(K58="",NA(),K58)</f>
        <v>#N/A</v>
      </c>
      <c r="S58" s="23" t="e">
        <f aca="false">IF(M58="",NA(),M58)</f>
        <v>#N/A</v>
      </c>
      <c r="T58" s="23" t="str">
        <f aca="false">IF(J58="Válida",B58,"")</f>
        <v/>
      </c>
      <c r="U58" s="23" t="str">
        <f aca="false">IF(J58="Válida",F58,"")</f>
        <v/>
      </c>
    </row>
    <row r="59" customFormat="false" ht="15" hidden="false" customHeight="false" outlineLevel="0" collapsed="false">
      <c r="A59" s="22" t="str">
        <f aca="false">IF(MES!A59="","",MES!A59)</f>
        <v/>
      </c>
      <c r="B59" s="23" t="str">
        <f aca="false">IF(A59="","",MES!B59)</f>
        <v/>
      </c>
      <c r="C59" s="22" t="str">
        <f aca="false">IF(A59="","",A59+Parametros!$B$3/24)</f>
        <v/>
      </c>
      <c r="D59" s="22" t="str">
        <f aca="false">IF(A59="","",C59+Parametros!$B$2/24)</f>
        <v/>
      </c>
      <c r="E59" s="24" t="str">
        <f aca="false">IF(A59="","",COUNTIFS(Modulo!$A$2:$A$5001,"&gt;="&amp;C59,Modulo!$A$2:$A$5001,"&lt;"&amp;D59,Modulo!$D$2:$D$5001,Parametros!$B$7))</f>
        <v/>
      </c>
      <c r="F59" s="23" t="str">
        <f aca="false">IF(A59="","",IF(E59=0,"",AVERAGEIFS(Modulo!$B$2:$B$5001,Modulo!$A$2:$A$5001,"&gt;="&amp;C59,Modulo!$A$2:$A$5001,"&lt;"&amp;D59,Modulo!$D$2:$D$5001,Parametros!$B$7)))</f>
        <v/>
      </c>
      <c r="G59" s="23" t="str">
        <f aca="false">IF(A59="","",IF(E59=0,"",AVERAGEIFS(Modulo!$C$2:$C$5001,Modulo!$A$2:$A$5001,"&gt;="&amp;C59,Modulo!$A$2:$A$5001,"&lt;"&amp;D59,Modulo!$D$2:$D$5001,Parametros!$B$7)))</f>
        <v/>
      </c>
      <c r="H59" s="25" t="str">
        <f aca="false">IF(A59="","",IFERROR(COUNTIFS(Amostragem!$A$2:$A$15003,"&gt;="&amp;C59,Amostragem!$A$2:$A$15003,"&lt;"&amp;D59,Amostragem!$B$2:$B$15003,"Automático",Amostragem!$C$2:$C$15003,"Automático",Amostragem!$D$2:$D$15003,0)/COUNTIFS(Amostragem!$A$2:$A$15003,"&gt;="&amp;C59,Amostragem!$A$2:$A$15003,"&lt;"&amp;D59),0))</f>
        <v/>
      </c>
      <c r="I59" s="23" t="str">
        <f aca="false">IF(A59="","",IFERROR(AVERAGEIFS(Amostragem!$E$2:$E$15003,Amostragem!$A$2:$A$15003,"&gt;="&amp;C59,Amostragem!$A$2:$A$15003,"&lt;"&amp;D59),""))</f>
        <v/>
      </c>
      <c r="J59" s="24" t="str">
        <f aca="false">IF(A59="","",IF(B59="","Inválida: sem resultado MES",IF(E59&lt;Parametros!$B$4,"Inválida: poucos ensaios do módulo",IF(H59&lt;Parametros!$B$5,"Inválida: amostragem em manual ou em falha",IF(OR(I59="",I59&lt;Parametros!$B$6),"Inválida: usina parada ou baixa alimentação","Válida")))))</f>
        <v/>
      </c>
      <c r="K59" s="23" t="str">
        <f aca="false">IF(J59="Válida",F59-B59,"")</f>
        <v/>
      </c>
      <c r="L59" s="26" t="str">
        <f aca="false">IF(J59="Válida",K59/B59,"")</f>
        <v/>
      </c>
      <c r="M59" s="23" t="str">
        <f aca="false">IF(J59="Válida",(F59+B59)/2,"")</f>
        <v/>
      </c>
      <c r="N59" s="24" t="str">
        <f aca="false">IF(K59="","",IF(OR(K59&gt;Resumo!$B$16,K59&lt;Resumo!$B$15),"Sim","Não"))</f>
        <v/>
      </c>
      <c r="O59" s="22" t="e">
        <f aca="false">IF(A59="",NA(),A59)</f>
        <v>#N/A</v>
      </c>
      <c r="P59" s="23" t="e">
        <f aca="false">IF(A59="",NA(),B59)</f>
        <v>#N/A</v>
      </c>
      <c r="Q59" s="23" t="e">
        <f aca="false">IF(F59="",NA(),F59)</f>
        <v>#N/A</v>
      </c>
      <c r="R59" s="23" t="e">
        <f aca="false">IF(K59="",NA(),K59)</f>
        <v>#N/A</v>
      </c>
      <c r="S59" s="23" t="e">
        <f aca="false">IF(M59="",NA(),M59)</f>
        <v>#N/A</v>
      </c>
      <c r="T59" s="23" t="str">
        <f aca="false">IF(J59="Válida",B59,"")</f>
        <v/>
      </c>
      <c r="U59" s="23" t="str">
        <f aca="false">IF(J59="Válida",F59,"")</f>
        <v/>
      </c>
    </row>
    <row r="60" customFormat="false" ht="15" hidden="false" customHeight="false" outlineLevel="0" collapsed="false">
      <c r="A60" s="22" t="str">
        <f aca="false">IF(MES!A60="","",MES!A60)</f>
        <v/>
      </c>
      <c r="B60" s="23" t="str">
        <f aca="false">IF(A60="","",MES!B60)</f>
        <v/>
      </c>
      <c r="C60" s="22" t="str">
        <f aca="false">IF(A60="","",A60+Parametros!$B$3/24)</f>
        <v/>
      </c>
      <c r="D60" s="22" t="str">
        <f aca="false">IF(A60="","",C60+Parametros!$B$2/24)</f>
        <v/>
      </c>
      <c r="E60" s="24" t="str">
        <f aca="false">IF(A60="","",COUNTIFS(Modulo!$A$2:$A$5001,"&gt;="&amp;C60,Modulo!$A$2:$A$5001,"&lt;"&amp;D60,Modulo!$D$2:$D$5001,Parametros!$B$7))</f>
        <v/>
      </c>
      <c r="F60" s="23" t="str">
        <f aca="false">IF(A60="","",IF(E60=0,"",AVERAGEIFS(Modulo!$B$2:$B$5001,Modulo!$A$2:$A$5001,"&gt;="&amp;C60,Modulo!$A$2:$A$5001,"&lt;"&amp;D60,Modulo!$D$2:$D$5001,Parametros!$B$7)))</f>
        <v/>
      </c>
      <c r="G60" s="23" t="str">
        <f aca="false">IF(A60="","",IF(E60=0,"",AVERAGEIFS(Modulo!$C$2:$C$5001,Modulo!$A$2:$A$5001,"&gt;="&amp;C60,Modulo!$A$2:$A$5001,"&lt;"&amp;D60,Modulo!$D$2:$D$5001,Parametros!$B$7)))</f>
        <v/>
      </c>
      <c r="H60" s="25" t="str">
        <f aca="false">IF(A60="","",IFERROR(COUNTIFS(Amostragem!$A$2:$A$15003,"&gt;="&amp;C60,Amostragem!$A$2:$A$15003,"&lt;"&amp;D60,Amostragem!$B$2:$B$15003,"Automático",Amostragem!$C$2:$C$15003,"Automático",Amostragem!$D$2:$D$15003,0)/COUNTIFS(Amostragem!$A$2:$A$15003,"&gt;="&amp;C60,Amostragem!$A$2:$A$15003,"&lt;"&amp;D60),0))</f>
        <v/>
      </c>
      <c r="I60" s="23" t="str">
        <f aca="false">IF(A60="","",IFERROR(AVERAGEIFS(Amostragem!$E$2:$E$15003,Amostragem!$A$2:$A$15003,"&gt;="&amp;C60,Amostragem!$A$2:$A$15003,"&lt;"&amp;D60),""))</f>
        <v/>
      </c>
      <c r="J60" s="24" t="str">
        <f aca="false">IF(A60="","",IF(B60="","Inválida: sem resultado MES",IF(E60&lt;Parametros!$B$4,"Inválida: poucos ensaios do módulo",IF(H60&lt;Parametros!$B$5,"Inválida: amostragem em manual ou em falha",IF(OR(I60="",I60&lt;Parametros!$B$6),"Inválida: usina parada ou baixa alimentação","Válida")))))</f>
        <v/>
      </c>
      <c r="K60" s="23" t="str">
        <f aca="false">IF(J60="Válida",F60-B60,"")</f>
        <v/>
      </c>
      <c r="L60" s="26" t="str">
        <f aca="false">IF(J60="Válida",K60/B60,"")</f>
        <v/>
      </c>
      <c r="M60" s="23" t="str">
        <f aca="false">IF(J60="Válida",(F60+B60)/2,"")</f>
        <v/>
      </c>
      <c r="N60" s="24" t="str">
        <f aca="false">IF(K60="","",IF(OR(K60&gt;Resumo!$B$16,K60&lt;Resumo!$B$15),"Sim","Não"))</f>
        <v/>
      </c>
      <c r="O60" s="22" t="e">
        <f aca="false">IF(A60="",NA(),A60)</f>
        <v>#N/A</v>
      </c>
      <c r="P60" s="23" t="e">
        <f aca="false">IF(A60="",NA(),B60)</f>
        <v>#N/A</v>
      </c>
      <c r="Q60" s="23" t="e">
        <f aca="false">IF(F60="",NA(),F60)</f>
        <v>#N/A</v>
      </c>
      <c r="R60" s="23" t="e">
        <f aca="false">IF(K60="",NA(),K60)</f>
        <v>#N/A</v>
      </c>
      <c r="S60" s="23" t="e">
        <f aca="false">IF(M60="",NA(),M60)</f>
        <v>#N/A</v>
      </c>
      <c r="T60" s="23" t="str">
        <f aca="false">IF(J60="Válida",B60,"")</f>
        <v/>
      </c>
      <c r="U60" s="23" t="str">
        <f aca="false">IF(J60="Válida",F60,"")</f>
        <v/>
      </c>
    </row>
    <row r="61" customFormat="false" ht="15" hidden="false" customHeight="false" outlineLevel="0" collapsed="false">
      <c r="A61" s="22" t="str">
        <f aca="false">IF(MES!A61="","",MES!A61)</f>
        <v/>
      </c>
      <c r="B61" s="23" t="str">
        <f aca="false">IF(A61="","",MES!B61)</f>
        <v/>
      </c>
      <c r="C61" s="22" t="str">
        <f aca="false">IF(A61="","",A61+Parametros!$B$3/24)</f>
        <v/>
      </c>
      <c r="D61" s="22" t="str">
        <f aca="false">IF(A61="","",C61+Parametros!$B$2/24)</f>
        <v/>
      </c>
      <c r="E61" s="24" t="str">
        <f aca="false">IF(A61="","",COUNTIFS(Modulo!$A$2:$A$5001,"&gt;="&amp;C61,Modulo!$A$2:$A$5001,"&lt;"&amp;D61,Modulo!$D$2:$D$5001,Parametros!$B$7))</f>
        <v/>
      </c>
      <c r="F61" s="23" t="str">
        <f aca="false">IF(A61="","",IF(E61=0,"",AVERAGEIFS(Modulo!$B$2:$B$5001,Modulo!$A$2:$A$5001,"&gt;="&amp;C61,Modulo!$A$2:$A$5001,"&lt;"&amp;D61,Modulo!$D$2:$D$5001,Parametros!$B$7)))</f>
        <v/>
      </c>
      <c r="G61" s="23" t="str">
        <f aca="false">IF(A61="","",IF(E61=0,"",AVERAGEIFS(Modulo!$C$2:$C$5001,Modulo!$A$2:$A$5001,"&gt;="&amp;C61,Modulo!$A$2:$A$5001,"&lt;"&amp;D61,Modulo!$D$2:$D$5001,Parametros!$B$7)))</f>
        <v/>
      </c>
      <c r="H61" s="25" t="str">
        <f aca="false">IF(A61="","",IFERROR(COUNTIFS(Amostragem!$A$2:$A$15003,"&gt;="&amp;C61,Amostragem!$A$2:$A$15003,"&lt;"&amp;D61,Amostragem!$B$2:$B$15003,"Automático",Amostragem!$C$2:$C$15003,"Automático",Amostragem!$D$2:$D$15003,0)/COUNTIFS(Amostragem!$A$2:$A$15003,"&gt;="&amp;C61,Amostragem!$A$2:$A$15003,"&lt;"&amp;D61),0))</f>
        <v/>
      </c>
      <c r="I61" s="23" t="str">
        <f aca="false">IF(A61="","",IFERROR(AVERAGEIFS(Amostragem!$E$2:$E$15003,Amostragem!$A$2:$A$15003,"&gt;="&amp;C61,Amostragem!$A$2:$A$15003,"&lt;"&amp;D61),""))</f>
        <v/>
      </c>
      <c r="J61" s="24" t="str">
        <f aca="false">IF(A61="","",IF(B61="","Inválida: sem resultado MES",IF(E61&lt;Parametros!$B$4,"Inválida: poucos ensaios do módulo",IF(H61&lt;Parametros!$B$5,"Inválida: amostragem em manual ou em falha",IF(OR(I61="",I61&lt;Parametros!$B$6),"Inválida: usina parada ou baixa alimentação","Válida")))))</f>
        <v/>
      </c>
      <c r="K61" s="23" t="str">
        <f aca="false">IF(J61="Válida",F61-B61,"")</f>
        <v/>
      </c>
      <c r="L61" s="26" t="str">
        <f aca="false">IF(J61="Válida",K61/B61,"")</f>
        <v/>
      </c>
      <c r="M61" s="23" t="str">
        <f aca="false">IF(J61="Válida",(F61+B61)/2,"")</f>
        <v/>
      </c>
      <c r="N61" s="24" t="str">
        <f aca="false">IF(K61="","",IF(OR(K61&gt;Resumo!$B$16,K61&lt;Resumo!$B$15),"Sim","Não"))</f>
        <v/>
      </c>
      <c r="O61" s="22" t="e">
        <f aca="false">IF(A61="",NA(),A61)</f>
        <v>#N/A</v>
      </c>
      <c r="P61" s="23" t="e">
        <f aca="false">IF(A61="",NA(),B61)</f>
        <v>#N/A</v>
      </c>
      <c r="Q61" s="23" t="e">
        <f aca="false">IF(F61="",NA(),F61)</f>
        <v>#N/A</v>
      </c>
      <c r="R61" s="23" t="e">
        <f aca="false">IF(K61="",NA(),K61)</f>
        <v>#N/A</v>
      </c>
      <c r="S61" s="23" t="e">
        <f aca="false">IF(M61="",NA(),M61)</f>
        <v>#N/A</v>
      </c>
      <c r="T61" s="23" t="str">
        <f aca="false">IF(J61="Válida",B61,"")</f>
        <v/>
      </c>
      <c r="U61" s="23" t="str">
        <f aca="false">IF(J61="Válida",F61,"")</f>
        <v/>
      </c>
    </row>
    <row r="62" customFormat="false" ht="15" hidden="false" customHeight="false" outlineLevel="0" collapsed="false">
      <c r="A62" s="22" t="str">
        <f aca="false">IF(MES!A62="","",MES!A62)</f>
        <v/>
      </c>
      <c r="B62" s="23" t="str">
        <f aca="false">IF(A62="","",MES!B62)</f>
        <v/>
      </c>
      <c r="C62" s="22" t="str">
        <f aca="false">IF(A62="","",A62+Parametros!$B$3/24)</f>
        <v/>
      </c>
      <c r="D62" s="22" t="str">
        <f aca="false">IF(A62="","",C62+Parametros!$B$2/24)</f>
        <v/>
      </c>
      <c r="E62" s="24" t="str">
        <f aca="false">IF(A62="","",COUNTIFS(Modulo!$A$2:$A$5001,"&gt;="&amp;C62,Modulo!$A$2:$A$5001,"&lt;"&amp;D62,Modulo!$D$2:$D$5001,Parametros!$B$7))</f>
        <v/>
      </c>
      <c r="F62" s="23" t="str">
        <f aca="false">IF(A62="","",IF(E62=0,"",AVERAGEIFS(Modulo!$B$2:$B$5001,Modulo!$A$2:$A$5001,"&gt;="&amp;C62,Modulo!$A$2:$A$5001,"&lt;"&amp;D62,Modulo!$D$2:$D$5001,Parametros!$B$7)))</f>
        <v/>
      </c>
      <c r="G62" s="23" t="str">
        <f aca="false">IF(A62="","",IF(E62=0,"",AVERAGEIFS(Modulo!$C$2:$C$5001,Modulo!$A$2:$A$5001,"&gt;="&amp;C62,Modulo!$A$2:$A$5001,"&lt;"&amp;D62,Modulo!$D$2:$D$5001,Parametros!$B$7)))</f>
        <v/>
      </c>
      <c r="H62" s="25" t="str">
        <f aca="false">IF(A62="","",IFERROR(COUNTIFS(Amostragem!$A$2:$A$15003,"&gt;="&amp;C62,Amostragem!$A$2:$A$15003,"&lt;"&amp;D62,Amostragem!$B$2:$B$15003,"Automático",Amostragem!$C$2:$C$15003,"Automático",Amostragem!$D$2:$D$15003,0)/COUNTIFS(Amostragem!$A$2:$A$15003,"&gt;="&amp;C62,Amostragem!$A$2:$A$15003,"&lt;"&amp;D62),0))</f>
        <v/>
      </c>
      <c r="I62" s="23" t="str">
        <f aca="false">IF(A62="","",IFERROR(AVERAGEIFS(Amostragem!$E$2:$E$15003,Amostragem!$A$2:$A$15003,"&gt;="&amp;C62,Amostragem!$A$2:$A$15003,"&lt;"&amp;D62),""))</f>
        <v/>
      </c>
      <c r="J62" s="24" t="str">
        <f aca="false">IF(A62="","",IF(B62="","Inválida: sem resultado MES",IF(E62&lt;Parametros!$B$4,"Inválida: poucos ensaios do módulo",IF(H62&lt;Parametros!$B$5,"Inválida: amostragem em manual ou em falha",IF(OR(I62="",I62&lt;Parametros!$B$6),"Inválida: usina parada ou baixa alimentação","Válida")))))</f>
        <v/>
      </c>
      <c r="K62" s="23" t="str">
        <f aca="false">IF(J62="Válida",F62-B62,"")</f>
        <v/>
      </c>
      <c r="L62" s="26" t="str">
        <f aca="false">IF(J62="Válida",K62/B62,"")</f>
        <v/>
      </c>
      <c r="M62" s="23" t="str">
        <f aca="false">IF(J62="Válida",(F62+B62)/2,"")</f>
        <v/>
      </c>
      <c r="N62" s="24" t="str">
        <f aca="false">IF(K62="","",IF(OR(K62&gt;Resumo!$B$16,K62&lt;Resumo!$B$15),"Sim","Não"))</f>
        <v/>
      </c>
      <c r="O62" s="22" t="e">
        <f aca="false">IF(A62="",NA(),A62)</f>
        <v>#N/A</v>
      </c>
      <c r="P62" s="23" t="e">
        <f aca="false">IF(A62="",NA(),B62)</f>
        <v>#N/A</v>
      </c>
      <c r="Q62" s="23" t="e">
        <f aca="false">IF(F62="",NA(),F62)</f>
        <v>#N/A</v>
      </c>
      <c r="R62" s="23" t="e">
        <f aca="false">IF(K62="",NA(),K62)</f>
        <v>#N/A</v>
      </c>
      <c r="S62" s="23" t="e">
        <f aca="false">IF(M62="",NA(),M62)</f>
        <v>#N/A</v>
      </c>
      <c r="T62" s="23" t="str">
        <f aca="false">IF(J62="Válida",B62,"")</f>
        <v/>
      </c>
      <c r="U62" s="23" t="str">
        <f aca="false">IF(J62="Válida",F62,"")</f>
        <v/>
      </c>
    </row>
    <row r="63" customFormat="false" ht="15" hidden="false" customHeight="false" outlineLevel="0" collapsed="false">
      <c r="A63" s="22" t="str">
        <f aca="false">IF(MES!A63="","",MES!A63)</f>
        <v/>
      </c>
      <c r="B63" s="23" t="str">
        <f aca="false">IF(A63="","",MES!B63)</f>
        <v/>
      </c>
      <c r="C63" s="22" t="str">
        <f aca="false">IF(A63="","",A63+Parametros!$B$3/24)</f>
        <v/>
      </c>
      <c r="D63" s="22" t="str">
        <f aca="false">IF(A63="","",C63+Parametros!$B$2/24)</f>
        <v/>
      </c>
      <c r="E63" s="24" t="str">
        <f aca="false">IF(A63="","",COUNTIFS(Modulo!$A$2:$A$5001,"&gt;="&amp;C63,Modulo!$A$2:$A$5001,"&lt;"&amp;D63,Modulo!$D$2:$D$5001,Parametros!$B$7))</f>
        <v/>
      </c>
      <c r="F63" s="23" t="str">
        <f aca="false">IF(A63="","",IF(E63=0,"",AVERAGEIFS(Modulo!$B$2:$B$5001,Modulo!$A$2:$A$5001,"&gt;="&amp;C63,Modulo!$A$2:$A$5001,"&lt;"&amp;D63,Modulo!$D$2:$D$5001,Parametros!$B$7)))</f>
        <v/>
      </c>
      <c r="G63" s="23" t="str">
        <f aca="false">IF(A63="","",IF(E63=0,"",AVERAGEIFS(Modulo!$C$2:$C$5001,Modulo!$A$2:$A$5001,"&gt;="&amp;C63,Modulo!$A$2:$A$5001,"&lt;"&amp;D63,Modulo!$D$2:$D$5001,Parametros!$B$7)))</f>
        <v/>
      </c>
      <c r="H63" s="25" t="str">
        <f aca="false">IF(A63="","",IFERROR(COUNTIFS(Amostragem!$A$2:$A$15003,"&gt;="&amp;C63,Amostragem!$A$2:$A$15003,"&lt;"&amp;D63,Amostragem!$B$2:$B$15003,"Automático",Amostragem!$C$2:$C$15003,"Automático",Amostragem!$D$2:$D$15003,0)/COUNTIFS(Amostragem!$A$2:$A$15003,"&gt;="&amp;C63,Amostragem!$A$2:$A$15003,"&lt;"&amp;D63),0))</f>
        <v/>
      </c>
      <c r="I63" s="23" t="str">
        <f aca="false">IF(A63="","",IFERROR(AVERAGEIFS(Amostragem!$E$2:$E$15003,Amostragem!$A$2:$A$15003,"&gt;="&amp;C63,Amostragem!$A$2:$A$15003,"&lt;"&amp;D63),""))</f>
        <v/>
      </c>
      <c r="J63" s="24" t="str">
        <f aca="false">IF(A63="","",IF(B63="","Inválida: sem resultado MES",IF(E63&lt;Parametros!$B$4,"Inválida: poucos ensaios do módulo",IF(H63&lt;Parametros!$B$5,"Inválida: amostragem em manual ou em falha",IF(OR(I63="",I63&lt;Parametros!$B$6),"Inválida: usina parada ou baixa alimentação","Válida")))))</f>
        <v/>
      </c>
      <c r="K63" s="23" t="str">
        <f aca="false">IF(J63="Válida",F63-B63,"")</f>
        <v/>
      </c>
      <c r="L63" s="26" t="str">
        <f aca="false">IF(J63="Válida",K63/B63,"")</f>
        <v/>
      </c>
      <c r="M63" s="23" t="str">
        <f aca="false">IF(J63="Válida",(F63+B63)/2,"")</f>
        <v/>
      </c>
      <c r="N63" s="24" t="str">
        <f aca="false">IF(K63="","",IF(OR(K63&gt;Resumo!$B$16,K63&lt;Resumo!$B$15),"Sim","Não"))</f>
        <v/>
      </c>
      <c r="O63" s="22" t="e">
        <f aca="false">IF(A63="",NA(),A63)</f>
        <v>#N/A</v>
      </c>
      <c r="P63" s="23" t="e">
        <f aca="false">IF(A63="",NA(),B63)</f>
        <v>#N/A</v>
      </c>
      <c r="Q63" s="23" t="e">
        <f aca="false">IF(F63="",NA(),F63)</f>
        <v>#N/A</v>
      </c>
      <c r="R63" s="23" t="e">
        <f aca="false">IF(K63="",NA(),K63)</f>
        <v>#N/A</v>
      </c>
      <c r="S63" s="23" t="e">
        <f aca="false">IF(M63="",NA(),M63)</f>
        <v>#N/A</v>
      </c>
      <c r="T63" s="23" t="str">
        <f aca="false">IF(J63="Válida",B63,"")</f>
        <v/>
      </c>
      <c r="U63" s="23" t="str">
        <f aca="false">IF(J63="Válida",F63,"")</f>
        <v/>
      </c>
    </row>
    <row r="64" customFormat="false" ht="15" hidden="false" customHeight="false" outlineLevel="0" collapsed="false">
      <c r="A64" s="22" t="str">
        <f aca="false">IF(MES!A64="","",MES!A64)</f>
        <v/>
      </c>
      <c r="B64" s="23" t="str">
        <f aca="false">IF(A64="","",MES!B64)</f>
        <v/>
      </c>
      <c r="C64" s="22" t="str">
        <f aca="false">IF(A64="","",A64+Parametros!$B$3/24)</f>
        <v/>
      </c>
      <c r="D64" s="22" t="str">
        <f aca="false">IF(A64="","",C64+Parametros!$B$2/24)</f>
        <v/>
      </c>
      <c r="E64" s="24" t="str">
        <f aca="false">IF(A64="","",COUNTIFS(Modulo!$A$2:$A$5001,"&gt;="&amp;C64,Modulo!$A$2:$A$5001,"&lt;"&amp;D64,Modulo!$D$2:$D$5001,Parametros!$B$7))</f>
        <v/>
      </c>
      <c r="F64" s="23" t="str">
        <f aca="false">IF(A64="","",IF(E64=0,"",AVERAGEIFS(Modulo!$B$2:$B$5001,Modulo!$A$2:$A$5001,"&gt;="&amp;C64,Modulo!$A$2:$A$5001,"&lt;"&amp;D64,Modulo!$D$2:$D$5001,Parametros!$B$7)))</f>
        <v/>
      </c>
      <c r="G64" s="23" t="str">
        <f aca="false">IF(A64="","",IF(E64=0,"",AVERAGEIFS(Modulo!$C$2:$C$5001,Modulo!$A$2:$A$5001,"&gt;="&amp;C64,Modulo!$A$2:$A$5001,"&lt;"&amp;D64,Modulo!$D$2:$D$5001,Parametros!$B$7)))</f>
        <v/>
      </c>
      <c r="H64" s="25" t="str">
        <f aca="false">IF(A64="","",IFERROR(COUNTIFS(Amostragem!$A$2:$A$15003,"&gt;="&amp;C64,Amostragem!$A$2:$A$15003,"&lt;"&amp;D64,Amostragem!$B$2:$B$15003,"Automático",Amostragem!$C$2:$C$15003,"Automático",Amostragem!$D$2:$D$15003,0)/COUNTIFS(Amostragem!$A$2:$A$15003,"&gt;="&amp;C64,Amostragem!$A$2:$A$15003,"&lt;"&amp;D64),0))</f>
        <v/>
      </c>
      <c r="I64" s="23" t="str">
        <f aca="false">IF(A64="","",IFERROR(AVERAGEIFS(Amostragem!$E$2:$E$15003,Amostragem!$A$2:$A$15003,"&gt;="&amp;C64,Amostragem!$A$2:$A$15003,"&lt;"&amp;D64),""))</f>
        <v/>
      </c>
      <c r="J64" s="24" t="str">
        <f aca="false">IF(A64="","",IF(B64="","Inválida: sem resultado MES",IF(E64&lt;Parametros!$B$4,"Inválida: poucos ensaios do módulo",IF(H64&lt;Parametros!$B$5,"Inválida: amostragem em manual ou em falha",IF(OR(I64="",I64&lt;Parametros!$B$6),"Inválida: usina parada ou baixa alimentação","Válida")))))</f>
        <v/>
      </c>
      <c r="K64" s="23" t="str">
        <f aca="false">IF(J64="Válida",F64-B64,"")</f>
        <v/>
      </c>
      <c r="L64" s="26" t="str">
        <f aca="false">IF(J64="Válida",K64/B64,"")</f>
        <v/>
      </c>
      <c r="M64" s="23" t="str">
        <f aca="false">IF(J64="Válida",(F64+B64)/2,"")</f>
        <v/>
      </c>
      <c r="N64" s="24" t="str">
        <f aca="false">IF(K64="","",IF(OR(K64&gt;Resumo!$B$16,K64&lt;Resumo!$B$15),"Sim","Não"))</f>
        <v/>
      </c>
      <c r="O64" s="22" t="e">
        <f aca="false">IF(A64="",NA(),A64)</f>
        <v>#N/A</v>
      </c>
      <c r="P64" s="23" t="e">
        <f aca="false">IF(A64="",NA(),B64)</f>
        <v>#N/A</v>
      </c>
      <c r="Q64" s="23" t="e">
        <f aca="false">IF(F64="",NA(),F64)</f>
        <v>#N/A</v>
      </c>
      <c r="R64" s="23" t="e">
        <f aca="false">IF(K64="",NA(),K64)</f>
        <v>#N/A</v>
      </c>
      <c r="S64" s="23" t="e">
        <f aca="false">IF(M64="",NA(),M64)</f>
        <v>#N/A</v>
      </c>
      <c r="T64" s="23" t="str">
        <f aca="false">IF(J64="Válida",B64,"")</f>
        <v/>
      </c>
      <c r="U64" s="23" t="str">
        <f aca="false">IF(J64="Válida",F64,"")</f>
        <v/>
      </c>
    </row>
    <row r="65" customFormat="false" ht="15" hidden="false" customHeight="false" outlineLevel="0" collapsed="false">
      <c r="A65" s="22" t="str">
        <f aca="false">IF(MES!A65="","",MES!A65)</f>
        <v/>
      </c>
      <c r="B65" s="23" t="str">
        <f aca="false">IF(A65="","",MES!B65)</f>
        <v/>
      </c>
      <c r="C65" s="22" t="str">
        <f aca="false">IF(A65="","",A65+Parametros!$B$3/24)</f>
        <v/>
      </c>
      <c r="D65" s="22" t="str">
        <f aca="false">IF(A65="","",C65+Parametros!$B$2/24)</f>
        <v/>
      </c>
      <c r="E65" s="24" t="str">
        <f aca="false">IF(A65="","",COUNTIFS(Modulo!$A$2:$A$5001,"&gt;="&amp;C65,Modulo!$A$2:$A$5001,"&lt;"&amp;D65,Modulo!$D$2:$D$5001,Parametros!$B$7))</f>
        <v/>
      </c>
      <c r="F65" s="23" t="str">
        <f aca="false">IF(A65="","",IF(E65=0,"",AVERAGEIFS(Modulo!$B$2:$B$5001,Modulo!$A$2:$A$5001,"&gt;="&amp;C65,Modulo!$A$2:$A$5001,"&lt;"&amp;D65,Modulo!$D$2:$D$5001,Parametros!$B$7)))</f>
        <v/>
      </c>
      <c r="G65" s="23" t="str">
        <f aca="false">IF(A65="","",IF(E65=0,"",AVERAGEIFS(Modulo!$C$2:$C$5001,Modulo!$A$2:$A$5001,"&gt;="&amp;C65,Modulo!$A$2:$A$5001,"&lt;"&amp;D65,Modulo!$D$2:$D$5001,Parametros!$B$7)))</f>
        <v/>
      </c>
      <c r="H65" s="25" t="str">
        <f aca="false">IF(A65="","",IFERROR(COUNTIFS(Amostragem!$A$2:$A$15003,"&gt;="&amp;C65,Amostragem!$A$2:$A$15003,"&lt;"&amp;D65,Amostragem!$B$2:$B$15003,"Automático",Amostragem!$C$2:$C$15003,"Automático",Amostragem!$D$2:$D$15003,0)/COUNTIFS(Amostragem!$A$2:$A$15003,"&gt;="&amp;C65,Amostragem!$A$2:$A$15003,"&lt;"&amp;D65),0))</f>
        <v/>
      </c>
      <c r="I65" s="23" t="str">
        <f aca="false">IF(A65="","",IFERROR(AVERAGEIFS(Amostragem!$E$2:$E$15003,Amostragem!$A$2:$A$15003,"&gt;="&amp;C65,Amostragem!$A$2:$A$15003,"&lt;"&amp;D65),""))</f>
        <v/>
      </c>
      <c r="J65" s="24" t="str">
        <f aca="false">IF(A65="","",IF(B65="","Inválida: sem resultado MES",IF(E65&lt;Parametros!$B$4,"Inválida: poucos ensaios do módulo",IF(H65&lt;Parametros!$B$5,"Inválida: amostragem em manual ou em falha",IF(OR(I65="",I65&lt;Parametros!$B$6),"Inválida: usina parada ou baixa alimentação","Válida")))))</f>
        <v/>
      </c>
      <c r="K65" s="23" t="str">
        <f aca="false">IF(J65="Válida",F65-B65,"")</f>
        <v/>
      </c>
      <c r="L65" s="26" t="str">
        <f aca="false">IF(J65="Válida",K65/B65,"")</f>
        <v/>
      </c>
      <c r="M65" s="23" t="str">
        <f aca="false">IF(J65="Válida",(F65+B65)/2,"")</f>
        <v/>
      </c>
      <c r="N65" s="24" t="str">
        <f aca="false">IF(K65="","",IF(OR(K65&gt;Resumo!$B$16,K65&lt;Resumo!$B$15),"Sim","Não"))</f>
        <v/>
      </c>
      <c r="O65" s="22" t="e">
        <f aca="false">IF(A65="",NA(),A65)</f>
        <v>#N/A</v>
      </c>
      <c r="P65" s="23" t="e">
        <f aca="false">IF(A65="",NA(),B65)</f>
        <v>#N/A</v>
      </c>
      <c r="Q65" s="23" t="e">
        <f aca="false">IF(F65="",NA(),F65)</f>
        <v>#N/A</v>
      </c>
      <c r="R65" s="23" t="e">
        <f aca="false">IF(K65="",NA(),K65)</f>
        <v>#N/A</v>
      </c>
      <c r="S65" s="23" t="e">
        <f aca="false">IF(M65="",NA(),M65)</f>
        <v>#N/A</v>
      </c>
      <c r="T65" s="23" t="str">
        <f aca="false">IF(J65="Válida",B65,"")</f>
        <v/>
      </c>
      <c r="U65" s="23" t="str">
        <f aca="false">IF(J65="Válida",F65,"")</f>
        <v/>
      </c>
    </row>
    <row r="66" customFormat="false" ht="15" hidden="false" customHeight="false" outlineLevel="0" collapsed="false">
      <c r="A66" s="22" t="str">
        <f aca="false">IF(MES!A66="","",MES!A66)</f>
        <v/>
      </c>
      <c r="B66" s="23" t="str">
        <f aca="false">IF(A66="","",MES!B66)</f>
        <v/>
      </c>
      <c r="C66" s="22" t="str">
        <f aca="false">IF(A66="","",A66+Parametros!$B$3/24)</f>
        <v/>
      </c>
      <c r="D66" s="22" t="str">
        <f aca="false">IF(A66="","",C66+Parametros!$B$2/24)</f>
        <v/>
      </c>
      <c r="E66" s="24" t="str">
        <f aca="false">IF(A66="","",COUNTIFS(Modulo!$A$2:$A$5001,"&gt;="&amp;C66,Modulo!$A$2:$A$5001,"&lt;"&amp;D66,Modulo!$D$2:$D$5001,Parametros!$B$7))</f>
        <v/>
      </c>
      <c r="F66" s="23" t="str">
        <f aca="false">IF(A66="","",IF(E66=0,"",AVERAGEIFS(Modulo!$B$2:$B$5001,Modulo!$A$2:$A$5001,"&gt;="&amp;C66,Modulo!$A$2:$A$5001,"&lt;"&amp;D66,Modulo!$D$2:$D$5001,Parametros!$B$7)))</f>
        <v/>
      </c>
      <c r="G66" s="23" t="str">
        <f aca="false">IF(A66="","",IF(E66=0,"",AVERAGEIFS(Modulo!$C$2:$C$5001,Modulo!$A$2:$A$5001,"&gt;="&amp;C66,Modulo!$A$2:$A$5001,"&lt;"&amp;D66,Modulo!$D$2:$D$5001,Parametros!$B$7)))</f>
        <v/>
      </c>
      <c r="H66" s="25" t="str">
        <f aca="false">IF(A66="","",IFERROR(COUNTIFS(Amostragem!$A$2:$A$15003,"&gt;="&amp;C66,Amostragem!$A$2:$A$15003,"&lt;"&amp;D66,Amostragem!$B$2:$B$15003,"Automático",Amostragem!$C$2:$C$15003,"Automático",Amostragem!$D$2:$D$15003,0)/COUNTIFS(Amostragem!$A$2:$A$15003,"&gt;="&amp;C66,Amostragem!$A$2:$A$15003,"&lt;"&amp;D66),0))</f>
        <v/>
      </c>
      <c r="I66" s="23" t="str">
        <f aca="false">IF(A66="","",IFERROR(AVERAGEIFS(Amostragem!$E$2:$E$15003,Amostragem!$A$2:$A$15003,"&gt;="&amp;C66,Amostragem!$A$2:$A$15003,"&lt;"&amp;D66),""))</f>
        <v/>
      </c>
      <c r="J66" s="24" t="str">
        <f aca="false">IF(A66="","",IF(B66="","Inválida: sem resultado MES",IF(E66&lt;Parametros!$B$4,"Inválida: poucos ensaios do módulo",IF(H66&lt;Parametros!$B$5,"Inválida: amostragem em manual ou em falha",IF(OR(I66="",I66&lt;Parametros!$B$6),"Inválida: usina parada ou baixa alimentação","Válida")))))</f>
        <v/>
      </c>
      <c r="K66" s="23" t="str">
        <f aca="false">IF(J66="Válida",F66-B66,"")</f>
        <v/>
      </c>
      <c r="L66" s="26" t="str">
        <f aca="false">IF(J66="Válida",K66/B66,"")</f>
        <v/>
      </c>
      <c r="M66" s="23" t="str">
        <f aca="false">IF(J66="Válida",(F66+B66)/2,"")</f>
        <v/>
      </c>
      <c r="N66" s="24" t="str">
        <f aca="false">IF(K66="","",IF(OR(K66&gt;Resumo!$B$16,K66&lt;Resumo!$B$15),"Sim","Não"))</f>
        <v/>
      </c>
      <c r="O66" s="22" t="e">
        <f aca="false">IF(A66="",NA(),A66)</f>
        <v>#N/A</v>
      </c>
      <c r="P66" s="23" t="e">
        <f aca="false">IF(A66="",NA(),B66)</f>
        <v>#N/A</v>
      </c>
      <c r="Q66" s="23" t="e">
        <f aca="false">IF(F66="",NA(),F66)</f>
        <v>#N/A</v>
      </c>
      <c r="R66" s="23" t="e">
        <f aca="false">IF(K66="",NA(),K66)</f>
        <v>#N/A</v>
      </c>
      <c r="S66" s="23" t="e">
        <f aca="false">IF(M66="",NA(),M66)</f>
        <v>#N/A</v>
      </c>
      <c r="T66" s="23" t="str">
        <f aca="false">IF(J66="Válida",B66,"")</f>
        <v/>
      </c>
      <c r="U66" s="23" t="str">
        <f aca="false">IF(J66="Válida",F66,"")</f>
        <v/>
      </c>
    </row>
    <row r="67" customFormat="false" ht="15" hidden="false" customHeight="false" outlineLevel="0" collapsed="false">
      <c r="A67" s="22" t="str">
        <f aca="false">IF(MES!A67="","",MES!A67)</f>
        <v/>
      </c>
      <c r="B67" s="23" t="str">
        <f aca="false">IF(A67="","",MES!B67)</f>
        <v/>
      </c>
      <c r="C67" s="22" t="str">
        <f aca="false">IF(A67="","",A67+Parametros!$B$3/24)</f>
        <v/>
      </c>
      <c r="D67" s="22" t="str">
        <f aca="false">IF(A67="","",C67+Parametros!$B$2/24)</f>
        <v/>
      </c>
      <c r="E67" s="24" t="str">
        <f aca="false">IF(A67="","",COUNTIFS(Modulo!$A$2:$A$5001,"&gt;="&amp;C67,Modulo!$A$2:$A$5001,"&lt;"&amp;D67,Modulo!$D$2:$D$5001,Parametros!$B$7))</f>
        <v/>
      </c>
      <c r="F67" s="23" t="str">
        <f aca="false">IF(A67="","",IF(E67=0,"",AVERAGEIFS(Modulo!$B$2:$B$5001,Modulo!$A$2:$A$5001,"&gt;="&amp;C67,Modulo!$A$2:$A$5001,"&lt;"&amp;D67,Modulo!$D$2:$D$5001,Parametros!$B$7)))</f>
        <v/>
      </c>
      <c r="G67" s="23" t="str">
        <f aca="false">IF(A67="","",IF(E67=0,"",AVERAGEIFS(Modulo!$C$2:$C$5001,Modulo!$A$2:$A$5001,"&gt;="&amp;C67,Modulo!$A$2:$A$5001,"&lt;"&amp;D67,Modulo!$D$2:$D$5001,Parametros!$B$7)))</f>
        <v/>
      </c>
      <c r="H67" s="25" t="str">
        <f aca="false">IF(A67="","",IFERROR(COUNTIFS(Amostragem!$A$2:$A$15003,"&gt;="&amp;C67,Amostragem!$A$2:$A$15003,"&lt;"&amp;D67,Amostragem!$B$2:$B$15003,"Automático",Amostragem!$C$2:$C$15003,"Automático",Amostragem!$D$2:$D$15003,0)/COUNTIFS(Amostragem!$A$2:$A$15003,"&gt;="&amp;C67,Amostragem!$A$2:$A$15003,"&lt;"&amp;D67),0))</f>
        <v/>
      </c>
      <c r="I67" s="23" t="str">
        <f aca="false">IF(A67="","",IFERROR(AVERAGEIFS(Amostragem!$E$2:$E$15003,Amostragem!$A$2:$A$15003,"&gt;="&amp;C67,Amostragem!$A$2:$A$15003,"&lt;"&amp;D67),""))</f>
        <v/>
      </c>
      <c r="J67" s="24" t="str">
        <f aca="false">IF(A67="","",IF(B67="","Inválida: sem resultado MES",IF(E67&lt;Parametros!$B$4,"Inválida: poucos ensaios do módulo",IF(H67&lt;Parametros!$B$5,"Inválida: amostragem em manual ou em falha",IF(OR(I67="",I67&lt;Parametros!$B$6),"Inválida: usina parada ou baixa alimentação","Válida")))))</f>
        <v/>
      </c>
      <c r="K67" s="23" t="str">
        <f aca="false">IF(J67="Válida",F67-B67,"")</f>
        <v/>
      </c>
      <c r="L67" s="26" t="str">
        <f aca="false">IF(J67="Válida",K67/B67,"")</f>
        <v/>
      </c>
      <c r="M67" s="23" t="str">
        <f aca="false">IF(J67="Válida",(F67+B67)/2,"")</f>
        <v/>
      </c>
      <c r="N67" s="24" t="str">
        <f aca="false">IF(K67="","",IF(OR(K67&gt;Resumo!$B$16,K67&lt;Resumo!$B$15),"Sim","Não"))</f>
        <v/>
      </c>
      <c r="O67" s="22" t="e">
        <f aca="false">IF(A67="",NA(),A67)</f>
        <v>#N/A</v>
      </c>
      <c r="P67" s="23" t="e">
        <f aca="false">IF(A67="",NA(),B67)</f>
        <v>#N/A</v>
      </c>
      <c r="Q67" s="23" t="e">
        <f aca="false">IF(F67="",NA(),F67)</f>
        <v>#N/A</v>
      </c>
      <c r="R67" s="23" t="e">
        <f aca="false">IF(K67="",NA(),K67)</f>
        <v>#N/A</v>
      </c>
      <c r="S67" s="23" t="e">
        <f aca="false">IF(M67="",NA(),M67)</f>
        <v>#N/A</v>
      </c>
      <c r="T67" s="23" t="str">
        <f aca="false">IF(J67="Válida",B67,"")</f>
        <v/>
      </c>
      <c r="U67" s="23" t="str">
        <f aca="false">IF(J67="Válida",F67,"")</f>
        <v/>
      </c>
    </row>
    <row r="68" customFormat="false" ht="15" hidden="false" customHeight="false" outlineLevel="0" collapsed="false">
      <c r="A68" s="22" t="str">
        <f aca="false">IF(MES!A68="","",MES!A68)</f>
        <v/>
      </c>
      <c r="B68" s="23" t="str">
        <f aca="false">IF(A68="","",MES!B68)</f>
        <v/>
      </c>
      <c r="C68" s="22" t="str">
        <f aca="false">IF(A68="","",A68+Parametros!$B$3/24)</f>
        <v/>
      </c>
      <c r="D68" s="22" t="str">
        <f aca="false">IF(A68="","",C68+Parametros!$B$2/24)</f>
        <v/>
      </c>
      <c r="E68" s="24" t="str">
        <f aca="false">IF(A68="","",COUNTIFS(Modulo!$A$2:$A$5001,"&gt;="&amp;C68,Modulo!$A$2:$A$5001,"&lt;"&amp;D68,Modulo!$D$2:$D$5001,Parametros!$B$7))</f>
        <v/>
      </c>
      <c r="F68" s="23" t="str">
        <f aca="false">IF(A68="","",IF(E68=0,"",AVERAGEIFS(Modulo!$B$2:$B$5001,Modulo!$A$2:$A$5001,"&gt;="&amp;C68,Modulo!$A$2:$A$5001,"&lt;"&amp;D68,Modulo!$D$2:$D$5001,Parametros!$B$7)))</f>
        <v/>
      </c>
      <c r="G68" s="23" t="str">
        <f aca="false">IF(A68="","",IF(E68=0,"",AVERAGEIFS(Modulo!$C$2:$C$5001,Modulo!$A$2:$A$5001,"&gt;="&amp;C68,Modulo!$A$2:$A$5001,"&lt;"&amp;D68,Modulo!$D$2:$D$5001,Parametros!$B$7)))</f>
        <v/>
      </c>
      <c r="H68" s="25" t="str">
        <f aca="false">IF(A68="","",IFERROR(COUNTIFS(Amostragem!$A$2:$A$15003,"&gt;="&amp;C68,Amostragem!$A$2:$A$15003,"&lt;"&amp;D68,Amostragem!$B$2:$B$15003,"Automático",Amostragem!$C$2:$C$15003,"Automático",Amostragem!$D$2:$D$15003,0)/COUNTIFS(Amostragem!$A$2:$A$15003,"&gt;="&amp;C68,Amostragem!$A$2:$A$15003,"&lt;"&amp;D68),0))</f>
        <v/>
      </c>
      <c r="I68" s="23" t="str">
        <f aca="false">IF(A68="","",IFERROR(AVERAGEIFS(Amostragem!$E$2:$E$15003,Amostragem!$A$2:$A$15003,"&gt;="&amp;C68,Amostragem!$A$2:$A$15003,"&lt;"&amp;D68),""))</f>
        <v/>
      </c>
      <c r="J68" s="24" t="str">
        <f aca="false">IF(A68="","",IF(B68="","Inválida: sem resultado MES",IF(E68&lt;Parametros!$B$4,"Inválida: poucos ensaios do módulo",IF(H68&lt;Parametros!$B$5,"Inválida: amostragem em manual ou em falha",IF(OR(I68="",I68&lt;Parametros!$B$6),"Inválida: usina parada ou baixa alimentação","Válida")))))</f>
        <v/>
      </c>
      <c r="K68" s="23" t="str">
        <f aca="false">IF(J68="Válida",F68-B68,"")</f>
        <v/>
      </c>
      <c r="L68" s="26" t="str">
        <f aca="false">IF(J68="Válida",K68/B68,"")</f>
        <v/>
      </c>
      <c r="M68" s="23" t="str">
        <f aca="false">IF(J68="Válida",(F68+B68)/2,"")</f>
        <v/>
      </c>
      <c r="N68" s="24" t="str">
        <f aca="false">IF(K68="","",IF(OR(K68&gt;Resumo!$B$16,K68&lt;Resumo!$B$15),"Sim","Não"))</f>
        <v/>
      </c>
      <c r="O68" s="22" t="e">
        <f aca="false">IF(A68="",NA(),A68)</f>
        <v>#N/A</v>
      </c>
      <c r="P68" s="23" t="e">
        <f aca="false">IF(A68="",NA(),B68)</f>
        <v>#N/A</v>
      </c>
      <c r="Q68" s="23" t="e">
        <f aca="false">IF(F68="",NA(),F68)</f>
        <v>#N/A</v>
      </c>
      <c r="R68" s="23" t="e">
        <f aca="false">IF(K68="",NA(),K68)</f>
        <v>#N/A</v>
      </c>
      <c r="S68" s="23" t="e">
        <f aca="false">IF(M68="",NA(),M68)</f>
        <v>#N/A</v>
      </c>
      <c r="T68" s="23" t="str">
        <f aca="false">IF(J68="Válida",B68,"")</f>
        <v/>
      </c>
      <c r="U68" s="23" t="str">
        <f aca="false">IF(J68="Válida",F68,"")</f>
        <v/>
      </c>
    </row>
    <row r="69" customFormat="false" ht="15" hidden="false" customHeight="false" outlineLevel="0" collapsed="false">
      <c r="A69" s="22" t="str">
        <f aca="false">IF(MES!A69="","",MES!A69)</f>
        <v/>
      </c>
      <c r="B69" s="23" t="str">
        <f aca="false">IF(A69="","",MES!B69)</f>
        <v/>
      </c>
      <c r="C69" s="22" t="str">
        <f aca="false">IF(A69="","",A69+Parametros!$B$3/24)</f>
        <v/>
      </c>
      <c r="D69" s="22" t="str">
        <f aca="false">IF(A69="","",C69+Parametros!$B$2/24)</f>
        <v/>
      </c>
      <c r="E69" s="24" t="str">
        <f aca="false">IF(A69="","",COUNTIFS(Modulo!$A$2:$A$5001,"&gt;="&amp;C69,Modulo!$A$2:$A$5001,"&lt;"&amp;D69,Modulo!$D$2:$D$5001,Parametros!$B$7))</f>
        <v/>
      </c>
      <c r="F69" s="23" t="str">
        <f aca="false">IF(A69="","",IF(E69=0,"",AVERAGEIFS(Modulo!$B$2:$B$5001,Modulo!$A$2:$A$5001,"&gt;="&amp;C69,Modulo!$A$2:$A$5001,"&lt;"&amp;D69,Modulo!$D$2:$D$5001,Parametros!$B$7)))</f>
        <v/>
      </c>
      <c r="G69" s="23" t="str">
        <f aca="false">IF(A69="","",IF(E69=0,"",AVERAGEIFS(Modulo!$C$2:$C$5001,Modulo!$A$2:$A$5001,"&gt;="&amp;C69,Modulo!$A$2:$A$5001,"&lt;"&amp;D69,Modulo!$D$2:$D$5001,Parametros!$B$7)))</f>
        <v/>
      </c>
      <c r="H69" s="25" t="str">
        <f aca="false">IF(A69="","",IFERROR(COUNTIFS(Amostragem!$A$2:$A$15003,"&gt;="&amp;C69,Amostragem!$A$2:$A$15003,"&lt;"&amp;D69,Amostragem!$B$2:$B$15003,"Automático",Amostragem!$C$2:$C$15003,"Automático",Amostragem!$D$2:$D$15003,0)/COUNTIFS(Amostragem!$A$2:$A$15003,"&gt;="&amp;C69,Amostragem!$A$2:$A$15003,"&lt;"&amp;D69),0))</f>
        <v/>
      </c>
      <c r="I69" s="23" t="str">
        <f aca="false">IF(A69="","",IFERROR(AVERAGEIFS(Amostragem!$E$2:$E$15003,Amostragem!$A$2:$A$15003,"&gt;="&amp;C69,Amostragem!$A$2:$A$15003,"&lt;"&amp;D69),""))</f>
        <v/>
      </c>
      <c r="J69" s="24" t="str">
        <f aca="false">IF(A69="","",IF(B69="","Inválida: sem resultado MES",IF(E69&lt;Parametros!$B$4,"Inválida: poucos ensaios do módulo",IF(H69&lt;Parametros!$B$5,"Inválida: amostragem em manual ou em falha",IF(OR(I69="",I69&lt;Parametros!$B$6),"Inválida: usina parada ou baixa alimentação","Válida")))))</f>
        <v/>
      </c>
      <c r="K69" s="23" t="str">
        <f aca="false">IF(J69="Válida",F69-B69,"")</f>
        <v/>
      </c>
      <c r="L69" s="26" t="str">
        <f aca="false">IF(J69="Válida",K69/B69,"")</f>
        <v/>
      </c>
      <c r="M69" s="23" t="str">
        <f aca="false">IF(J69="Válida",(F69+B69)/2,"")</f>
        <v/>
      </c>
      <c r="N69" s="24" t="str">
        <f aca="false">IF(K69="","",IF(OR(K69&gt;Resumo!$B$16,K69&lt;Resumo!$B$15),"Sim","Não"))</f>
        <v/>
      </c>
      <c r="O69" s="22" t="e">
        <f aca="false">IF(A69="",NA(),A69)</f>
        <v>#N/A</v>
      </c>
      <c r="P69" s="23" t="e">
        <f aca="false">IF(A69="",NA(),B69)</f>
        <v>#N/A</v>
      </c>
      <c r="Q69" s="23" t="e">
        <f aca="false">IF(F69="",NA(),F69)</f>
        <v>#N/A</v>
      </c>
      <c r="R69" s="23" t="e">
        <f aca="false">IF(K69="",NA(),K69)</f>
        <v>#N/A</v>
      </c>
      <c r="S69" s="23" t="e">
        <f aca="false">IF(M69="",NA(),M69)</f>
        <v>#N/A</v>
      </c>
      <c r="T69" s="23" t="str">
        <f aca="false">IF(J69="Válida",B69,"")</f>
        <v/>
      </c>
      <c r="U69" s="23" t="str">
        <f aca="false">IF(J69="Válida",F69,"")</f>
        <v/>
      </c>
    </row>
    <row r="70" customFormat="false" ht="15" hidden="false" customHeight="false" outlineLevel="0" collapsed="false">
      <c r="A70" s="22" t="str">
        <f aca="false">IF(MES!A70="","",MES!A70)</f>
        <v/>
      </c>
      <c r="B70" s="23" t="str">
        <f aca="false">IF(A70="","",MES!B70)</f>
        <v/>
      </c>
      <c r="C70" s="22" t="str">
        <f aca="false">IF(A70="","",A70+Parametros!$B$3/24)</f>
        <v/>
      </c>
      <c r="D70" s="22" t="str">
        <f aca="false">IF(A70="","",C70+Parametros!$B$2/24)</f>
        <v/>
      </c>
      <c r="E70" s="24" t="str">
        <f aca="false">IF(A70="","",COUNTIFS(Modulo!$A$2:$A$5001,"&gt;="&amp;C70,Modulo!$A$2:$A$5001,"&lt;"&amp;D70,Modulo!$D$2:$D$5001,Parametros!$B$7))</f>
        <v/>
      </c>
      <c r="F70" s="23" t="str">
        <f aca="false">IF(A70="","",IF(E70=0,"",AVERAGEIFS(Modulo!$B$2:$B$5001,Modulo!$A$2:$A$5001,"&gt;="&amp;C70,Modulo!$A$2:$A$5001,"&lt;"&amp;D70,Modulo!$D$2:$D$5001,Parametros!$B$7)))</f>
        <v/>
      </c>
      <c r="G70" s="23" t="str">
        <f aca="false">IF(A70="","",IF(E70=0,"",AVERAGEIFS(Modulo!$C$2:$C$5001,Modulo!$A$2:$A$5001,"&gt;="&amp;C70,Modulo!$A$2:$A$5001,"&lt;"&amp;D70,Modulo!$D$2:$D$5001,Parametros!$B$7)))</f>
        <v/>
      </c>
      <c r="H70" s="25" t="str">
        <f aca="false">IF(A70="","",IFERROR(COUNTIFS(Amostragem!$A$2:$A$15003,"&gt;="&amp;C70,Amostragem!$A$2:$A$15003,"&lt;"&amp;D70,Amostragem!$B$2:$B$15003,"Automático",Amostragem!$C$2:$C$15003,"Automático",Amostragem!$D$2:$D$15003,0)/COUNTIFS(Amostragem!$A$2:$A$15003,"&gt;="&amp;C70,Amostragem!$A$2:$A$15003,"&lt;"&amp;D70),0))</f>
        <v/>
      </c>
      <c r="I70" s="23" t="str">
        <f aca="false">IF(A70="","",IFERROR(AVERAGEIFS(Amostragem!$E$2:$E$15003,Amostragem!$A$2:$A$15003,"&gt;="&amp;C70,Amostragem!$A$2:$A$15003,"&lt;"&amp;D70),""))</f>
        <v/>
      </c>
      <c r="J70" s="24" t="str">
        <f aca="false">IF(A70="","",IF(B70="","Inválida: sem resultado MES",IF(E70&lt;Parametros!$B$4,"Inválida: poucos ensaios do módulo",IF(H70&lt;Parametros!$B$5,"Inválida: amostragem em manual ou em falha",IF(OR(I70="",I70&lt;Parametros!$B$6),"Inválida: usina parada ou baixa alimentação","Válida")))))</f>
        <v/>
      </c>
      <c r="K70" s="23" t="str">
        <f aca="false">IF(J70="Válida",F70-B70,"")</f>
        <v/>
      </c>
      <c r="L70" s="26" t="str">
        <f aca="false">IF(J70="Válida",K70/B70,"")</f>
        <v/>
      </c>
      <c r="M70" s="23" t="str">
        <f aca="false">IF(J70="Válida",(F70+B70)/2,"")</f>
        <v/>
      </c>
      <c r="N70" s="24" t="str">
        <f aca="false">IF(K70="","",IF(OR(K70&gt;Resumo!$B$16,K70&lt;Resumo!$B$15),"Sim","Não"))</f>
        <v/>
      </c>
      <c r="O70" s="22" t="e">
        <f aca="false">IF(A70="",NA(),A70)</f>
        <v>#N/A</v>
      </c>
      <c r="P70" s="23" t="e">
        <f aca="false">IF(A70="",NA(),B70)</f>
        <v>#N/A</v>
      </c>
      <c r="Q70" s="23" t="e">
        <f aca="false">IF(F70="",NA(),F70)</f>
        <v>#N/A</v>
      </c>
      <c r="R70" s="23" t="e">
        <f aca="false">IF(K70="",NA(),K70)</f>
        <v>#N/A</v>
      </c>
      <c r="S70" s="23" t="e">
        <f aca="false">IF(M70="",NA(),M70)</f>
        <v>#N/A</v>
      </c>
      <c r="T70" s="23" t="str">
        <f aca="false">IF(J70="Válida",B70,"")</f>
        <v/>
      </c>
      <c r="U70" s="23" t="str">
        <f aca="false">IF(J70="Válida",F70,"")</f>
        <v/>
      </c>
    </row>
    <row r="71" customFormat="false" ht="15" hidden="false" customHeight="false" outlineLevel="0" collapsed="false">
      <c r="A71" s="22" t="str">
        <f aca="false">IF(MES!A71="","",MES!A71)</f>
        <v/>
      </c>
      <c r="B71" s="23" t="str">
        <f aca="false">IF(A71="","",MES!B71)</f>
        <v/>
      </c>
      <c r="C71" s="22" t="str">
        <f aca="false">IF(A71="","",A71+Parametros!$B$3/24)</f>
        <v/>
      </c>
      <c r="D71" s="22" t="str">
        <f aca="false">IF(A71="","",C71+Parametros!$B$2/24)</f>
        <v/>
      </c>
      <c r="E71" s="24" t="str">
        <f aca="false">IF(A71="","",COUNTIFS(Modulo!$A$2:$A$5001,"&gt;="&amp;C71,Modulo!$A$2:$A$5001,"&lt;"&amp;D71,Modulo!$D$2:$D$5001,Parametros!$B$7))</f>
        <v/>
      </c>
      <c r="F71" s="23" t="str">
        <f aca="false">IF(A71="","",IF(E71=0,"",AVERAGEIFS(Modulo!$B$2:$B$5001,Modulo!$A$2:$A$5001,"&gt;="&amp;C71,Modulo!$A$2:$A$5001,"&lt;"&amp;D71,Modulo!$D$2:$D$5001,Parametros!$B$7)))</f>
        <v/>
      </c>
      <c r="G71" s="23" t="str">
        <f aca="false">IF(A71="","",IF(E71=0,"",AVERAGEIFS(Modulo!$C$2:$C$5001,Modulo!$A$2:$A$5001,"&gt;="&amp;C71,Modulo!$A$2:$A$5001,"&lt;"&amp;D71,Modulo!$D$2:$D$5001,Parametros!$B$7)))</f>
        <v/>
      </c>
      <c r="H71" s="25" t="str">
        <f aca="false">IF(A71="","",IFERROR(COUNTIFS(Amostragem!$A$2:$A$15003,"&gt;="&amp;C71,Amostragem!$A$2:$A$15003,"&lt;"&amp;D71,Amostragem!$B$2:$B$15003,"Automático",Amostragem!$C$2:$C$15003,"Automático",Amostragem!$D$2:$D$15003,0)/COUNTIFS(Amostragem!$A$2:$A$15003,"&gt;="&amp;C71,Amostragem!$A$2:$A$15003,"&lt;"&amp;D71),0))</f>
        <v/>
      </c>
      <c r="I71" s="23" t="str">
        <f aca="false">IF(A71="","",IFERROR(AVERAGEIFS(Amostragem!$E$2:$E$15003,Amostragem!$A$2:$A$15003,"&gt;="&amp;C71,Amostragem!$A$2:$A$15003,"&lt;"&amp;D71),""))</f>
        <v/>
      </c>
      <c r="J71" s="24" t="str">
        <f aca="false">IF(A71="","",IF(B71="","Inválida: sem resultado MES",IF(E71&lt;Parametros!$B$4,"Inválida: poucos ensaios do módulo",IF(H71&lt;Parametros!$B$5,"Inválida: amostragem em manual ou em falha",IF(OR(I71="",I71&lt;Parametros!$B$6),"Inválida: usina parada ou baixa alimentação","Válida")))))</f>
        <v/>
      </c>
      <c r="K71" s="23" t="str">
        <f aca="false">IF(J71="Válida",F71-B71,"")</f>
        <v/>
      </c>
      <c r="L71" s="26" t="str">
        <f aca="false">IF(J71="Válida",K71/B71,"")</f>
        <v/>
      </c>
      <c r="M71" s="23" t="str">
        <f aca="false">IF(J71="Válida",(F71+B71)/2,"")</f>
        <v/>
      </c>
      <c r="N71" s="24" t="str">
        <f aca="false">IF(K71="","",IF(OR(K71&gt;Resumo!$B$16,K71&lt;Resumo!$B$15),"Sim","Não"))</f>
        <v/>
      </c>
      <c r="O71" s="22" t="e">
        <f aca="false">IF(A71="",NA(),A71)</f>
        <v>#N/A</v>
      </c>
      <c r="P71" s="23" t="e">
        <f aca="false">IF(A71="",NA(),B71)</f>
        <v>#N/A</v>
      </c>
      <c r="Q71" s="23" t="e">
        <f aca="false">IF(F71="",NA(),F71)</f>
        <v>#N/A</v>
      </c>
      <c r="R71" s="23" t="e">
        <f aca="false">IF(K71="",NA(),K71)</f>
        <v>#N/A</v>
      </c>
      <c r="S71" s="23" t="e">
        <f aca="false">IF(M71="",NA(),M71)</f>
        <v>#N/A</v>
      </c>
      <c r="T71" s="23" t="str">
        <f aca="false">IF(J71="Válida",B71,"")</f>
        <v/>
      </c>
      <c r="U71" s="23" t="str">
        <f aca="false">IF(J71="Válida",F71,"")</f>
        <v/>
      </c>
    </row>
    <row r="72" customFormat="false" ht="15" hidden="false" customHeight="false" outlineLevel="0" collapsed="false">
      <c r="A72" s="22" t="str">
        <f aca="false">IF(MES!A72="","",MES!A72)</f>
        <v/>
      </c>
      <c r="B72" s="23" t="str">
        <f aca="false">IF(A72="","",MES!B72)</f>
        <v/>
      </c>
      <c r="C72" s="22" t="str">
        <f aca="false">IF(A72="","",A72+Parametros!$B$3/24)</f>
        <v/>
      </c>
      <c r="D72" s="22" t="str">
        <f aca="false">IF(A72="","",C72+Parametros!$B$2/24)</f>
        <v/>
      </c>
      <c r="E72" s="24" t="str">
        <f aca="false">IF(A72="","",COUNTIFS(Modulo!$A$2:$A$5001,"&gt;="&amp;C72,Modulo!$A$2:$A$5001,"&lt;"&amp;D72,Modulo!$D$2:$D$5001,Parametros!$B$7))</f>
        <v/>
      </c>
      <c r="F72" s="23" t="str">
        <f aca="false">IF(A72="","",IF(E72=0,"",AVERAGEIFS(Modulo!$B$2:$B$5001,Modulo!$A$2:$A$5001,"&gt;="&amp;C72,Modulo!$A$2:$A$5001,"&lt;"&amp;D72,Modulo!$D$2:$D$5001,Parametros!$B$7)))</f>
        <v/>
      </c>
      <c r="G72" s="23" t="str">
        <f aca="false">IF(A72="","",IF(E72=0,"",AVERAGEIFS(Modulo!$C$2:$C$5001,Modulo!$A$2:$A$5001,"&gt;="&amp;C72,Modulo!$A$2:$A$5001,"&lt;"&amp;D72,Modulo!$D$2:$D$5001,Parametros!$B$7)))</f>
        <v/>
      </c>
      <c r="H72" s="25" t="str">
        <f aca="false">IF(A72="","",IFERROR(COUNTIFS(Amostragem!$A$2:$A$15003,"&gt;="&amp;C72,Amostragem!$A$2:$A$15003,"&lt;"&amp;D72,Amostragem!$B$2:$B$15003,"Automático",Amostragem!$C$2:$C$15003,"Automático",Amostragem!$D$2:$D$15003,0)/COUNTIFS(Amostragem!$A$2:$A$15003,"&gt;="&amp;C72,Amostragem!$A$2:$A$15003,"&lt;"&amp;D72),0))</f>
        <v/>
      </c>
      <c r="I72" s="23" t="str">
        <f aca="false">IF(A72="","",IFERROR(AVERAGEIFS(Amostragem!$E$2:$E$15003,Amostragem!$A$2:$A$15003,"&gt;="&amp;C72,Amostragem!$A$2:$A$15003,"&lt;"&amp;D72),""))</f>
        <v/>
      </c>
      <c r="J72" s="24" t="str">
        <f aca="false">IF(A72="","",IF(B72="","Inválida: sem resultado MES",IF(E72&lt;Parametros!$B$4,"Inválida: poucos ensaios do módulo",IF(H72&lt;Parametros!$B$5,"Inválida: amostragem em manual ou em falha",IF(OR(I72="",I72&lt;Parametros!$B$6),"Inválida: usina parada ou baixa alimentação","Válida")))))</f>
        <v/>
      </c>
      <c r="K72" s="23" t="str">
        <f aca="false">IF(J72="Válida",F72-B72,"")</f>
        <v/>
      </c>
      <c r="L72" s="26" t="str">
        <f aca="false">IF(J72="Válida",K72/B72,"")</f>
        <v/>
      </c>
      <c r="M72" s="23" t="str">
        <f aca="false">IF(J72="Válida",(F72+B72)/2,"")</f>
        <v/>
      </c>
      <c r="N72" s="24" t="str">
        <f aca="false">IF(K72="","",IF(OR(K72&gt;Resumo!$B$16,K72&lt;Resumo!$B$15),"Sim","Não"))</f>
        <v/>
      </c>
      <c r="O72" s="22" t="e">
        <f aca="false">IF(A72="",NA(),A72)</f>
        <v>#N/A</v>
      </c>
      <c r="P72" s="23" t="e">
        <f aca="false">IF(A72="",NA(),B72)</f>
        <v>#N/A</v>
      </c>
      <c r="Q72" s="23" t="e">
        <f aca="false">IF(F72="",NA(),F72)</f>
        <v>#N/A</v>
      </c>
      <c r="R72" s="23" t="e">
        <f aca="false">IF(K72="",NA(),K72)</f>
        <v>#N/A</v>
      </c>
      <c r="S72" s="23" t="e">
        <f aca="false">IF(M72="",NA(),M72)</f>
        <v>#N/A</v>
      </c>
      <c r="T72" s="23" t="str">
        <f aca="false">IF(J72="Válida",B72,"")</f>
        <v/>
      </c>
      <c r="U72" s="23" t="str">
        <f aca="false">IF(J72="Válida",F72,"")</f>
        <v/>
      </c>
    </row>
    <row r="73" customFormat="false" ht="15" hidden="false" customHeight="false" outlineLevel="0" collapsed="false">
      <c r="A73" s="22" t="str">
        <f aca="false">IF(MES!A73="","",MES!A73)</f>
        <v/>
      </c>
      <c r="B73" s="23" t="str">
        <f aca="false">IF(A73="","",MES!B73)</f>
        <v/>
      </c>
      <c r="C73" s="22" t="str">
        <f aca="false">IF(A73="","",A73+Parametros!$B$3/24)</f>
        <v/>
      </c>
      <c r="D73" s="22" t="str">
        <f aca="false">IF(A73="","",C73+Parametros!$B$2/24)</f>
        <v/>
      </c>
      <c r="E73" s="24" t="str">
        <f aca="false">IF(A73="","",COUNTIFS(Modulo!$A$2:$A$5001,"&gt;="&amp;C73,Modulo!$A$2:$A$5001,"&lt;"&amp;D73,Modulo!$D$2:$D$5001,Parametros!$B$7))</f>
        <v/>
      </c>
      <c r="F73" s="23" t="str">
        <f aca="false">IF(A73="","",IF(E73=0,"",AVERAGEIFS(Modulo!$B$2:$B$5001,Modulo!$A$2:$A$5001,"&gt;="&amp;C73,Modulo!$A$2:$A$5001,"&lt;"&amp;D73,Modulo!$D$2:$D$5001,Parametros!$B$7)))</f>
        <v/>
      </c>
      <c r="G73" s="23" t="str">
        <f aca="false">IF(A73="","",IF(E73=0,"",AVERAGEIFS(Modulo!$C$2:$C$5001,Modulo!$A$2:$A$5001,"&gt;="&amp;C73,Modulo!$A$2:$A$5001,"&lt;"&amp;D73,Modulo!$D$2:$D$5001,Parametros!$B$7)))</f>
        <v/>
      </c>
      <c r="H73" s="25" t="str">
        <f aca="false">IF(A73="","",IFERROR(COUNTIFS(Amostragem!$A$2:$A$15003,"&gt;="&amp;C73,Amostragem!$A$2:$A$15003,"&lt;"&amp;D73,Amostragem!$B$2:$B$15003,"Automático",Amostragem!$C$2:$C$15003,"Automático",Amostragem!$D$2:$D$15003,0)/COUNTIFS(Amostragem!$A$2:$A$15003,"&gt;="&amp;C73,Amostragem!$A$2:$A$15003,"&lt;"&amp;D73),0))</f>
        <v/>
      </c>
      <c r="I73" s="23" t="str">
        <f aca="false">IF(A73="","",IFERROR(AVERAGEIFS(Amostragem!$E$2:$E$15003,Amostragem!$A$2:$A$15003,"&gt;="&amp;C73,Amostragem!$A$2:$A$15003,"&lt;"&amp;D73),""))</f>
        <v/>
      </c>
      <c r="J73" s="24" t="str">
        <f aca="false">IF(A73="","",IF(B73="","Inválida: sem resultado MES",IF(E73&lt;Parametros!$B$4,"Inválida: poucos ensaios do módulo",IF(H73&lt;Parametros!$B$5,"Inválida: amostragem em manual ou em falha",IF(OR(I73="",I73&lt;Parametros!$B$6),"Inválida: usina parada ou baixa alimentação","Válida")))))</f>
        <v/>
      </c>
      <c r="K73" s="23" t="str">
        <f aca="false">IF(J73="Válida",F73-B73,"")</f>
        <v/>
      </c>
      <c r="L73" s="26" t="str">
        <f aca="false">IF(J73="Válida",K73/B73,"")</f>
        <v/>
      </c>
      <c r="M73" s="23" t="str">
        <f aca="false">IF(J73="Válida",(F73+B73)/2,"")</f>
        <v/>
      </c>
      <c r="N73" s="24" t="str">
        <f aca="false">IF(K73="","",IF(OR(K73&gt;Resumo!$B$16,K73&lt;Resumo!$B$15),"Sim","Não"))</f>
        <v/>
      </c>
      <c r="O73" s="22" t="e">
        <f aca="false">IF(A73="",NA(),A73)</f>
        <v>#N/A</v>
      </c>
      <c r="P73" s="23" t="e">
        <f aca="false">IF(A73="",NA(),B73)</f>
        <v>#N/A</v>
      </c>
      <c r="Q73" s="23" t="e">
        <f aca="false">IF(F73="",NA(),F73)</f>
        <v>#N/A</v>
      </c>
      <c r="R73" s="23" t="e">
        <f aca="false">IF(K73="",NA(),K73)</f>
        <v>#N/A</v>
      </c>
      <c r="S73" s="23" t="e">
        <f aca="false">IF(M73="",NA(),M73)</f>
        <v>#N/A</v>
      </c>
      <c r="T73" s="23" t="str">
        <f aca="false">IF(J73="Válida",B73,"")</f>
        <v/>
      </c>
      <c r="U73" s="23" t="str">
        <f aca="false">IF(J73="Válida",F73,"")</f>
        <v/>
      </c>
    </row>
    <row r="74" customFormat="false" ht="15" hidden="false" customHeight="false" outlineLevel="0" collapsed="false">
      <c r="A74" s="22" t="str">
        <f aca="false">IF(MES!A74="","",MES!A74)</f>
        <v/>
      </c>
      <c r="B74" s="23" t="str">
        <f aca="false">IF(A74="","",MES!B74)</f>
        <v/>
      </c>
      <c r="C74" s="22" t="str">
        <f aca="false">IF(A74="","",A74+Parametros!$B$3/24)</f>
        <v/>
      </c>
      <c r="D74" s="22" t="str">
        <f aca="false">IF(A74="","",C74+Parametros!$B$2/24)</f>
        <v/>
      </c>
      <c r="E74" s="24" t="str">
        <f aca="false">IF(A74="","",COUNTIFS(Modulo!$A$2:$A$5001,"&gt;="&amp;C74,Modulo!$A$2:$A$5001,"&lt;"&amp;D74,Modulo!$D$2:$D$5001,Parametros!$B$7))</f>
        <v/>
      </c>
      <c r="F74" s="23" t="str">
        <f aca="false">IF(A74="","",IF(E74=0,"",AVERAGEIFS(Modulo!$B$2:$B$5001,Modulo!$A$2:$A$5001,"&gt;="&amp;C74,Modulo!$A$2:$A$5001,"&lt;"&amp;D74,Modulo!$D$2:$D$5001,Parametros!$B$7)))</f>
        <v/>
      </c>
      <c r="G74" s="23" t="str">
        <f aca="false">IF(A74="","",IF(E74=0,"",AVERAGEIFS(Modulo!$C$2:$C$5001,Modulo!$A$2:$A$5001,"&gt;="&amp;C74,Modulo!$A$2:$A$5001,"&lt;"&amp;D74,Modulo!$D$2:$D$5001,Parametros!$B$7)))</f>
        <v/>
      </c>
      <c r="H74" s="25" t="str">
        <f aca="false">IF(A74="","",IFERROR(COUNTIFS(Amostragem!$A$2:$A$15003,"&gt;="&amp;C74,Amostragem!$A$2:$A$15003,"&lt;"&amp;D74,Amostragem!$B$2:$B$15003,"Automático",Amostragem!$C$2:$C$15003,"Automático",Amostragem!$D$2:$D$15003,0)/COUNTIFS(Amostragem!$A$2:$A$15003,"&gt;="&amp;C74,Amostragem!$A$2:$A$15003,"&lt;"&amp;D74),0))</f>
        <v/>
      </c>
      <c r="I74" s="23" t="str">
        <f aca="false">IF(A74="","",IFERROR(AVERAGEIFS(Amostragem!$E$2:$E$15003,Amostragem!$A$2:$A$15003,"&gt;="&amp;C74,Amostragem!$A$2:$A$15003,"&lt;"&amp;D74),""))</f>
        <v/>
      </c>
      <c r="J74" s="24" t="str">
        <f aca="false">IF(A74="","",IF(B74="","Inválida: sem resultado MES",IF(E74&lt;Parametros!$B$4,"Inválida: poucos ensaios do módulo",IF(H74&lt;Parametros!$B$5,"Inválida: amostragem em manual ou em falha",IF(OR(I74="",I74&lt;Parametros!$B$6),"Inválida: usina parada ou baixa alimentação","Válida")))))</f>
        <v/>
      </c>
      <c r="K74" s="23" t="str">
        <f aca="false">IF(J74="Válida",F74-B74,"")</f>
        <v/>
      </c>
      <c r="L74" s="26" t="str">
        <f aca="false">IF(J74="Válida",K74/B74,"")</f>
        <v/>
      </c>
      <c r="M74" s="23" t="str">
        <f aca="false">IF(J74="Válida",(F74+B74)/2,"")</f>
        <v/>
      </c>
      <c r="N74" s="24" t="str">
        <f aca="false">IF(K74="","",IF(OR(K74&gt;Resumo!$B$16,K74&lt;Resumo!$B$15),"Sim","Não"))</f>
        <v/>
      </c>
      <c r="O74" s="22" t="e">
        <f aca="false">IF(A74="",NA(),A74)</f>
        <v>#N/A</v>
      </c>
      <c r="P74" s="23" t="e">
        <f aca="false">IF(A74="",NA(),B74)</f>
        <v>#N/A</v>
      </c>
      <c r="Q74" s="23" t="e">
        <f aca="false">IF(F74="",NA(),F74)</f>
        <v>#N/A</v>
      </c>
      <c r="R74" s="23" t="e">
        <f aca="false">IF(K74="",NA(),K74)</f>
        <v>#N/A</v>
      </c>
      <c r="S74" s="23" t="e">
        <f aca="false">IF(M74="",NA(),M74)</f>
        <v>#N/A</v>
      </c>
      <c r="T74" s="23" t="str">
        <f aca="false">IF(J74="Válida",B74,"")</f>
        <v/>
      </c>
      <c r="U74" s="23" t="str">
        <f aca="false">IF(J74="Válida",F74,"")</f>
        <v/>
      </c>
    </row>
    <row r="75" customFormat="false" ht="15" hidden="false" customHeight="false" outlineLevel="0" collapsed="false">
      <c r="A75" s="22" t="str">
        <f aca="false">IF(MES!A75="","",MES!A75)</f>
        <v/>
      </c>
      <c r="B75" s="23" t="str">
        <f aca="false">IF(A75="","",MES!B75)</f>
        <v/>
      </c>
      <c r="C75" s="22" t="str">
        <f aca="false">IF(A75="","",A75+Parametros!$B$3/24)</f>
        <v/>
      </c>
      <c r="D75" s="22" t="str">
        <f aca="false">IF(A75="","",C75+Parametros!$B$2/24)</f>
        <v/>
      </c>
      <c r="E75" s="24" t="str">
        <f aca="false">IF(A75="","",COUNTIFS(Modulo!$A$2:$A$5001,"&gt;="&amp;C75,Modulo!$A$2:$A$5001,"&lt;"&amp;D75,Modulo!$D$2:$D$5001,Parametros!$B$7))</f>
        <v/>
      </c>
      <c r="F75" s="23" t="str">
        <f aca="false">IF(A75="","",IF(E75=0,"",AVERAGEIFS(Modulo!$B$2:$B$5001,Modulo!$A$2:$A$5001,"&gt;="&amp;C75,Modulo!$A$2:$A$5001,"&lt;"&amp;D75,Modulo!$D$2:$D$5001,Parametros!$B$7)))</f>
        <v/>
      </c>
      <c r="G75" s="23" t="str">
        <f aca="false">IF(A75="","",IF(E75=0,"",AVERAGEIFS(Modulo!$C$2:$C$5001,Modulo!$A$2:$A$5001,"&gt;="&amp;C75,Modulo!$A$2:$A$5001,"&lt;"&amp;D75,Modulo!$D$2:$D$5001,Parametros!$B$7)))</f>
        <v/>
      </c>
      <c r="H75" s="25" t="str">
        <f aca="false">IF(A75="","",IFERROR(COUNTIFS(Amostragem!$A$2:$A$15003,"&gt;="&amp;C75,Amostragem!$A$2:$A$15003,"&lt;"&amp;D75,Amostragem!$B$2:$B$15003,"Automático",Amostragem!$C$2:$C$15003,"Automático",Amostragem!$D$2:$D$15003,0)/COUNTIFS(Amostragem!$A$2:$A$15003,"&gt;="&amp;C75,Amostragem!$A$2:$A$15003,"&lt;"&amp;D75),0))</f>
        <v/>
      </c>
      <c r="I75" s="23" t="str">
        <f aca="false">IF(A75="","",IFERROR(AVERAGEIFS(Amostragem!$E$2:$E$15003,Amostragem!$A$2:$A$15003,"&gt;="&amp;C75,Amostragem!$A$2:$A$15003,"&lt;"&amp;D75),""))</f>
        <v/>
      </c>
      <c r="J75" s="24" t="str">
        <f aca="false">IF(A75="","",IF(B75="","Inválida: sem resultado MES",IF(E75&lt;Parametros!$B$4,"Inválida: poucos ensaios do módulo",IF(H75&lt;Parametros!$B$5,"Inválida: amostragem em manual ou em falha",IF(OR(I75="",I75&lt;Parametros!$B$6),"Inválida: usina parada ou baixa alimentação","Válida")))))</f>
        <v/>
      </c>
      <c r="K75" s="23" t="str">
        <f aca="false">IF(J75="Válida",F75-B75,"")</f>
        <v/>
      </c>
      <c r="L75" s="26" t="str">
        <f aca="false">IF(J75="Válida",K75/B75,"")</f>
        <v/>
      </c>
      <c r="M75" s="23" t="str">
        <f aca="false">IF(J75="Válida",(F75+B75)/2,"")</f>
        <v/>
      </c>
      <c r="N75" s="24" t="str">
        <f aca="false">IF(K75="","",IF(OR(K75&gt;Resumo!$B$16,K75&lt;Resumo!$B$15),"Sim","Não"))</f>
        <v/>
      </c>
      <c r="O75" s="22" t="e">
        <f aca="false">IF(A75="",NA(),A75)</f>
        <v>#N/A</v>
      </c>
      <c r="P75" s="23" t="e">
        <f aca="false">IF(A75="",NA(),B75)</f>
        <v>#N/A</v>
      </c>
      <c r="Q75" s="23" t="e">
        <f aca="false">IF(F75="",NA(),F75)</f>
        <v>#N/A</v>
      </c>
      <c r="R75" s="23" t="e">
        <f aca="false">IF(K75="",NA(),K75)</f>
        <v>#N/A</v>
      </c>
      <c r="S75" s="23" t="e">
        <f aca="false">IF(M75="",NA(),M75)</f>
        <v>#N/A</v>
      </c>
      <c r="T75" s="23" t="str">
        <f aca="false">IF(J75="Válida",B75,"")</f>
        <v/>
      </c>
      <c r="U75" s="23" t="str">
        <f aca="false">IF(J75="Válida",F75,"")</f>
        <v/>
      </c>
    </row>
    <row r="76" customFormat="false" ht="15" hidden="false" customHeight="false" outlineLevel="0" collapsed="false">
      <c r="A76" s="22" t="str">
        <f aca="false">IF(MES!A76="","",MES!A76)</f>
        <v/>
      </c>
      <c r="B76" s="23" t="str">
        <f aca="false">IF(A76="","",MES!B76)</f>
        <v/>
      </c>
      <c r="C76" s="22" t="str">
        <f aca="false">IF(A76="","",A76+Parametros!$B$3/24)</f>
        <v/>
      </c>
      <c r="D76" s="22" t="str">
        <f aca="false">IF(A76="","",C76+Parametros!$B$2/24)</f>
        <v/>
      </c>
      <c r="E76" s="24" t="str">
        <f aca="false">IF(A76="","",COUNTIFS(Modulo!$A$2:$A$5001,"&gt;="&amp;C76,Modulo!$A$2:$A$5001,"&lt;"&amp;D76,Modulo!$D$2:$D$5001,Parametros!$B$7))</f>
        <v/>
      </c>
      <c r="F76" s="23" t="str">
        <f aca="false">IF(A76="","",IF(E76=0,"",AVERAGEIFS(Modulo!$B$2:$B$5001,Modulo!$A$2:$A$5001,"&gt;="&amp;C76,Modulo!$A$2:$A$5001,"&lt;"&amp;D76,Modulo!$D$2:$D$5001,Parametros!$B$7)))</f>
        <v/>
      </c>
      <c r="G76" s="23" t="str">
        <f aca="false">IF(A76="","",IF(E76=0,"",AVERAGEIFS(Modulo!$C$2:$C$5001,Modulo!$A$2:$A$5001,"&gt;="&amp;C76,Modulo!$A$2:$A$5001,"&lt;"&amp;D76,Modulo!$D$2:$D$5001,Parametros!$B$7)))</f>
        <v/>
      </c>
      <c r="H76" s="25" t="str">
        <f aca="false">IF(A76="","",IFERROR(COUNTIFS(Amostragem!$A$2:$A$15003,"&gt;="&amp;C76,Amostragem!$A$2:$A$15003,"&lt;"&amp;D76,Amostragem!$B$2:$B$15003,"Automático",Amostragem!$C$2:$C$15003,"Automático",Amostragem!$D$2:$D$15003,0)/COUNTIFS(Amostragem!$A$2:$A$15003,"&gt;="&amp;C76,Amostragem!$A$2:$A$15003,"&lt;"&amp;D76),0))</f>
        <v/>
      </c>
      <c r="I76" s="23" t="str">
        <f aca="false">IF(A76="","",IFERROR(AVERAGEIFS(Amostragem!$E$2:$E$15003,Amostragem!$A$2:$A$15003,"&gt;="&amp;C76,Amostragem!$A$2:$A$15003,"&lt;"&amp;D76),""))</f>
        <v/>
      </c>
      <c r="J76" s="24" t="str">
        <f aca="false">IF(A76="","",IF(B76="","Inválida: sem resultado MES",IF(E76&lt;Parametros!$B$4,"Inválida: poucos ensaios do módulo",IF(H76&lt;Parametros!$B$5,"Inválida: amostragem em manual ou em falha",IF(OR(I76="",I76&lt;Parametros!$B$6),"Inválida: usina parada ou baixa alimentação","Válida")))))</f>
        <v/>
      </c>
      <c r="K76" s="23" t="str">
        <f aca="false">IF(J76="Válida",F76-B76,"")</f>
        <v/>
      </c>
      <c r="L76" s="26" t="str">
        <f aca="false">IF(J76="Válida",K76/B76,"")</f>
        <v/>
      </c>
      <c r="M76" s="23" t="str">
        <f aca="false">IF(J76="Válida",(F76+B76)/2,"")</f>
        <v/>
      </c>
      <c r="N76" s="24" t="str">
        <f aca="false">IF(K76="","",IF(OR(K76&gt;Resumo!$B$16,K76&lt;Resumo!$B$15),"Sim","Não"))</f>
        <v/>
      </c>
      <c r="O76" s="22" t="e">
        <f aca="false">IF(A76="",NA(),A76)</f>
        <v>#N/A</v>
      </c>
      <c r="P76" s="23" t="e">
        <f aca="false">IF(A76="",NA(),B76)</f>
        <v>#N/A</v>
      </c>
      <c r="Q76" s="23" t="e">
        <f aca="false">IF(F76="",NA(),F76)</f>
        <v>#N/A</v>
      </c>
      <c r="R76" s="23" t="e">
        <f aca="false">IF(K76="",NA(),K76)</f>
        <v>#N/A</v>
      </c>
      <c r="S76" s="23" t="e">
        <f aca="false">IF(M76="",NA(),M76)</f>
        <v>#N/A</v>
      </c>
      <c r="T76" s="23" t="str">
        <f aca="false">IF(J76="Válida",B76,"")</f>
        <v/>
      </c>
      <c r="U76" s="23" t="str">
        <f aca="false">IF(J76="Válida",F76,"")</f>
        <v/>
      </c>
    </row>
    <row r="77" customFormat="false" ht="15" hidden="false" customHeight="false" outlineLevel="0" collapsed="false">
      <c r="A77" s="22" t="str">
        <f aca="false">IF(MES!A77="","",MES!A77)</f>
        <v/>
      </c>
      <c r="B77" s="23" t="str">
        <f aca="false">IF(A77="","",MES!B77)</f>
        <v/>
      </c>
      <c r="C77" s="22" t="str">
        <f aca="false">IF(A77="","",A77+Parametros!$B$3/24)</f>
        <v/>
      </c>
      <c r="D77" s="22" t="str">
        <f aca="false">IF(A77="","",C77+Parametros!$B$2/24)</f>
        <v/>
      </c>
      <c r="E77" s="24" t="str">
        <f aca="false">IF(A77="","",COUNTIFS(Modulo!$A$2:$A$5001,"&gt;="&amp;C77,Modulo!$A$2:$A$5001,"&lt;"&amp;D77,Modulo!$D$2:$D$5001,Parametros!$B$7))</f>
        <v/>
      </c>
      <c r="F77" s="23" t="str">
        <f aca="false">IF(A77="","",IF(E77=0,"",AVERAGEIFS(Modulo!$B$2:$B$5001,Modulo!$A$2:$A$5001,"&gt;="&amp;C77,Modulo!$A$2:$A$5001,"&lt;"&amp;D77,Modulo!$D$2:$D$5001,Parametros!$B$7)))</f>
        <v/>
      </c>
      <c r="G77" s="23" t="str">
        <f aca="false">IF(A77="","",IF(E77=0,"",AVERAGEIFS(Modulo!$C$2:$C$5001,Modulo!$A$2:$A$5001,"&gt;="&amp;C77,Modulo!$A$2:$A$5001,"&lt;"&amp;D77,Modulo!$D$2:$D$5001,Parametros!$B$7)))</f>
        <v/>
      </c>
      <c r="H77" s="25" t="str">
        <f aca="false">IF(A77="","",IFERROR(COUNTIFS(Amostragem!$A$2:$A$15003,"&gt;="&amp;C77,Amostragem!$A$2:$A$15003,"&lt;"&amp;D77,Amostragem!$B$2:$B$15003,"Automático",Amostragem!$C$2:$C$15003,"Automático",Amostragem!$D$2:$D$15003,0)/COUNTIFS(Amostragem!$A$2:$A$15003,"&gt;="&amp;C77,Amostragem!$A$2:$A$15003,"&lt;"&amp;D77),0))</f>
        <v/>
      </c>
      <c r="I77" s="23" t="str">
        <f aca="false">IF(A77="","",IFERROR(AVERAGEIFS(Amostragem!$E$2:$E$15003,Amostragem!$A$2:$A$15003,"&gt;="&amp;C77,Amostragem!$A$2:$A$15003,"&lt;"&amp;D77),""))</f>
        <v/>
      </c>
      <c r="J77" s="24" t="str">
        <f aca="false">IF(A77="","",IF(B77="","Inválida: sem resultado MES",IF(E77&lt;Parametros!$B$4,"Inválida: poucos ensaios do módulo",IF(H77&lt;Parametros!$B$5,"Inválida: amostragem em manual ou em falha",IF(OR(I77="",I77&lt;Parametros!$B$6),"Inválida: usina parada ou baixa alimentação","Válida")))))</f>
        <v/>
      </c>
      <c r="K77" s="23" t="str">
        <f aca="false">IF(J77="Válida",F77-B77,"")</f>
        <v/>
      </c>
      <c r="L77" s="26" t="str">
        <f aca="false">IF(J77="Válida",K77/B77,"")</f>
        <v/>
      </c>
      <c r="M77" s="23" t="str">
        <f aca="false">IF(J77="Válida",(F77+B77)/2,"")</f>
        <v/>
      </c>
      <c r="N77" s="24" t="str">
        <f aca="false">IF(K77="","",IF(OR(K77&gt;Resumo!$B$16,K77&lt;Resumo!$B$15),"Sim","Não"))</f>
        <v/>
      </c>
      <c r="O77" s="22" t="e">
        <f aca="false">IF(A77="",NA(),A77)</f>
        <v>#N/A</v>
      </c>
      <c r="P77" s="23" t="e">
        <f aca="false">IF(A77="",NA(),B77)</f>
        <v>#N/A</v>
      </c>
      <c r="Q77" s="23" t="e">
        <f aca="false">IF(F77="",NA(),F77)</f>
        <v>#N/A</v>
      </c>
      <c r="R77" s="23" t="e">
        <f aca="false">IF(K77="",NA(),K77)</f>
        <v>#N/A</v>
      </c>
      <c r="S77" s="23" t="e">
        <f aca="false">IF(M77="",NA(),M77)</f>
        <v>#N/A</v>
      </c>
      <c r="T77" s="23" t="str">
        <f aca="false">IF(J77="Válida",B77,"")</f>
        <v/>
      </c>
      <c r="U77" s="23" t="str">
        <f aca="false">IF(J77="Válida",F77,"")</f>
        <v/>
      </c>
    </row>
    <row r="78" customFormat="false" ht="15" hidden="false" customHeight="false" outlineLevel="0" collapsed="false">
      <c r="A78" s="22" t="str">
        <f aca="false">IF(MES!A78="","",MES!A78)</f>
        <v/>
      </c>
      <c r="B78" s="23" t="str">
        <f aca="false">IF(A78="","",MES!B78)</f>
        <v/>
      </c>
      <c r="C78" s="22" t="str">
        <f aca="false">IF(A78="","",A78+Parametros!$B$3/24)</f>
        <v/>
      </c>
      <c r="D78" s="22" t="str">
        <f aca="false">IF(A78="","",C78+Parametros!$B$2/24)</f>
        <v/>
      </c>
      <c r="E78" s="24" t="str">
        <f aca="false">IF(A78="","",COUNTIFS(Modulo!$A$2:$A$5001,"&gt;="&amp;C78,Modulo!$A$2:$A$5001,"&lt;"&amp;D78,Modulo!$D$2:$D$5001,Parametros!$B$7))</f>
        <v/>
      </c>
      <c r="F78" s="23" t="str">
        <f aca="false">IF(A78="","",IF(E78=0,"",AVERAGEIFS(Modulo!$B$2:$B$5001,Modulo!$A$2:$A$5001,"&gt;="&amp;C78,Modulo!$A$2:$A$5001,"&lt;"&amp;D78,Modulo!$D$2:$D$5001,Parametros!$B$7)))</f>
        <v/>
      </c>
      <c r="G78" s="23" t="str">
        <f aca="false">IF(A78="","",IF(E78=0,"",AVERAGEIFS(Modulo!$C$2:$C$5001,Modulo!$A$2:$A$5001,"&gt;="&amp;C78,Modulo!$A$2:$A$5001,"&lt;"&amp;D78,Modulo!$D$2:$D$5001,Parametros!$B$7)))</f>
        <v/>
      </c>
      <c r="H78" s="25" t="str">
        <f aca="false">IF(A78="","",IFERROR(COUNTIFS(Amostragem!$A$2:$A$15003,"&gt;="&amp;C78,Amostragem!$A$2:$A$15003,"&lt;"&amp;D78,Amostragem!$B$2:$B$15003,"Automático",Amostragem!$C$2:$C$15003,"Automático",Amostragem!$D$2:$D$15003,0)/COUNTIFS(Amostragem!$A$2:$A$15003,"&gt;="&amp;C78,Amostragem!$A$2:$A$15003,"&lt;"&amp;D78),0))</f>
        <v/>
      </c>
      <c r="I78" s="23" t="str">
        <f aca="false">IF(A78="","",IFERROR(AVERAGEIFS(Amostragem!$E$2:$E$15003,Amostragem!$A$2:$A$15003,"&gt;="&amp;C78,Amostragem!$A$2:$A$15003,"&lt;"&amp;D78),""))</f>
        <v/>
      </c>
      <c r="J78" s="24" t="str">
        <f aca="false">IF(A78="","",IF(B78="","Inválida: sem resultado MES",IF(E78&lt;Parametros!$B$4,"Inválida: poucos ensaios do módulo",IF(H78&lt;Parametros!$B$5,"Inválida: amostragem em manual ou em falha",IF(OR(I78="",I78&lt;Parametros!$B$6),"Inválida: usina parada ou baixa alimentação","Válida")))))</f>
        <v/>
      </c>
      <c r="K78" s="23" t="str">
        <f aca="false">IF(J78="Válida",F78-B78,"")</f>
        <v/>
      </c>
      <c r="L78" s="26" t="str">
        <f aca="false">IF(J78="Válida",K78/B78,"")</f>
        <v/>
      </c>
      <c r="M78" s="23" t="str">
        <f aca="false">IF(J78="Válida",(F78+B78)/2,"")</f>
        <v/>
      </c>
      <c r="N78" s="24" t="str">
        <f aca="false">IF(K78="","",IF(OR(K78&gt;Resumo!$B$16,K78&lt;Resumo!$B$15),"Sim","Não"))</f>
        <v/>
      </c>
      <c r="O78" s="22" t="e">
        <f aca="false">IF(A78="",NA(),A78)</f>
        <v>#N/A</v>
      </c>
      <c r="P78" s="23" t="e">
        <f aca="false">IF(A78="",NA(),B78)</f>
        <v>#N/A</v>
      </c>
      <c r="Q78" s="23" t="e">
        <f aca="false">IF(F78="",NA(),F78)</f>
        <v>#N/A</v>
      </c>
      <c r="R78" s="23" t="e">
        <f aca="false">IF(K78="",NA(),K78)</f>
        <v>#N/A</v>
      </c>
      <c r="S78" s="23" t="e">
        <f aca="false">IF(M78="",NA(),M78)</f>
        <v>#N/A</v>
      </c>
      <c r="T78" s="23" t="str">
        <f aca="false">IF(J78="Válida",B78,"")</f>
        <v/>
      </c>
      <c r="U78" s="23" t="str">
        <f aca="false">IF(J78="Válida",F78,"")</f>
        <v/>
      </c>
    </row>
    <row r="79" customFormat="false" ht="15" hidden="false" customHeight="false" outlineLevel="0" collapsed="false">
      <c r="A79" s="22" t="str">
        <f aca="false">IF(MES!A79="","",MES!A79)</f>
        <v/>
      </c>
      <c r="B79" s="23" t="str">
        <f aca="false">IF(A79="","",MES!B79)</f>
        <v/>
      </c>
      <c r="C79" s="22" t="str">
        <f aca="false">IF(A79="","",A79+Parametros!$B$3/24)</f>
        <v/>
      </c>
      <c r="D79" s="22" t="str">
        <f aca="false">IF(A79="","",C79+Parametros!$B$2/24)</f>
        <v/>
      </c>
      <c r="E79" s="24" t="str">
        <f aca="false">IF(A79="","",COUNTIFS(Modulo!$A$2:$A$5001,"&gt;="&amp;C79,Modulo!$A$2:$A$5001,"&lt;"&amp;D79,Modulo!$D$2:$D$5001,Parametros!$B$7))</f>
        <v/>
      </c>
      <c r="F79" s="23" t="str">
        <f aca="false">IF(A79="","",IF(E79=0,"",AVERAGEIFS(Modulo!$B$2:$B$5001,Modulo!$A$2:$A$5001,"&gt;="&amp;C79,Modulo!$A$2:$A$5001,"&lt;"&amp;D79,Modulo!$D$2:$D$5001,Parametros!$B$7)))</f>
        <v/>
      </c>
      <c r="G79" s="23" t="str">
        <f aca="false">IF(A79="","",IF(E79=0,"",AVERAGEIFS(Modulo!$C$2:$C$5001,Modulo!$A$2:$A$5001,"&gt;="&amp;C79,Modulo!$A$2:$A$5001,"&lt;"&amp;D79,Modulo!$D$2:$D$5001,Parametros!$B$7)))</f>
        <v/>
      </c>
      <c r="H79" s="25" t="str">
        <f aca="false">IF(A79="","",IFERROR(COUNTIFS(Amostragem!$A$2:$A$15003,"&gt;="&amp;C79,Amostragem!$A$2:$A$15003,"&lt;"&amp;D79,Amostragem!$B$2:$B$15003,"Automático",Amostragem!$C$2:$C$15003,"Automático",Amostragem!$D$2:$D$15003,0)/COUNTIFS(Amostragem!$A$2:$A$15003,"&gt;="&amp;C79,Amostragem!$A$2:$A$15003,"&lt;"&amp;D79),0))</f>
        <v/>
      </c>
      <c r="I79" s="23" t="str">
        <f aca="false">IF(A79="","",IFERROR(AVERAGEIFS(Amostragem!$E$2:$E$15003,Amostragem!$A$2:$A$15003,"&gt;="&amp;C79,Amostragem!$A$2:$A$15003,"&lt;"&amp;D79),""))</f>
        <v/>
      </c>
      <c r="J79" s="24" t="str">
        <f aca="false">IF(A79="","",IF(B79="","Inválida: sem resultado MES",IF(E79&lt;Parametros!$B$4,"Inválida: poucos ensaios do módulo",IF(H79&lt;Parametros!$B$5,"Inválida: amostragem em manual ou em falha",IF(OR(I79="",I79&lt;Parametros!$B$6),"Inválida: usina parada ou baixa alimentação","Válida")))))</f>
        <v/>
      </c>
      <c r="K79" s="23" t="str">
        <f aca="false">IF(J79="Válida",F79-B79,"")</f>
        <v/>
      </c>
      <c r="L79" s="26" t="str">
        <f aca="false">IF(J79="Válida",K79/B79,"")</f>
        <v/>
      </c>
      <c r="M79" s="23" t="str">
        <f aca="false">IF(J79="Válida",(F79+B79)/2,"")</f>
        <v/>
      </c>
      <c r="N79" s="24" t="str">
        <f aca="false">IF(K79="","",IF(OR(K79&gt;Resumo!$B$16,K79&lt;Resumo!$B$15),"Sim","Não"))</f>
        <v/>
      </c>
      <c r="O79" s="22" t="e">
        <f aca="false">IF(A79="",NA(),A79)</f>
        <v>#N/A</v>
      </c>
      <c r="P79" s="23" t="e">
        <f aca="false">IF(A79="",NA(),B79)</f>
        <v>#N/A</v>
      </c>
      <c r="Q79" s="23" t="e">
        <f aca="false">IF(F79="",NA(),F79)</f>
        <v>#N/A</v>
      </c>
      <c r="R79" s="23" t="e">
        <f aca="false">IF(K79="",NA(),K79)</f>
        <v>#N/A</v>
      </c>
      <c r="S79" s="23" t="e">
        <f aca="false">IF(M79="",NA(),M79)</f>
        <v>#N/A</v>
      </c>
      <c r="T79" s="23" t="str">
        <f aca="false">IF(J79="Válida",B79,"")</f>
        <v/>
      </c>
      <c r="U79" s="23" t="str">
        <f aca="false">IF(J79="Válida",F79,"")</f>
        <v/>
      </c>
    </row>
    <row r="80" customFormat="false" ht="15" hidden="false" customHeight="false" outlineLevel="0" collapsed="false">
      <c r="A80" s="22" t="str">
        <f aca="false">IF(MES!A80="","",MES!A80)</f>
        <v/>
      </c>
      <c r="B80" s="23" t="str">
        <f aca="false">IF(A80="","",MES!B80)</f>
        <v/>
      </c>
      <c r="C80" s="22" t="str">
        <f aca="false">IF(A80="","",A80+Parametros!$B$3/24)</f>
        <v/>
      </c>
      <c r="D80" s="22" t="str">
        <f aca="false">IF(A80="","",C80+Parametros!$B$2/24)</f>
        <v/>
      </c>
      <c r="E80" s="24" t="str">
        <f aca="false">IF(A80="","",COUNTIFS(Modulo!$A$2:$A$5001,"&gt;="&amp;C80,Modulo!$A$2:$A$5001,"&lt;"&amp;D80,Modulo!$D$2:$D$5001,Parametros!$B$7))</f>
        <v/>
      </c>
      <c r="F80" s="23" t="str">
        <f aca="false">IF(A80="","",IF(E80=0,"",AVERAGEIFS(Modulo!$B$2:$B$5001,Modulo!$A$2:$A$5001,"&gt;="&amp;C80,Modulo!$A$2:$A$5001,"&lt;"&amp;D80,Modulo!$D$2:$D$5001,Parametros!$B$7)))</f>
        <v/>
      </c>
      <c r="G80" s="23" t="str">
        <f aca="false">IF(A80="","",IF(E80=0,"",AVERAGEIFS(Modulo!$C$2:$C$5001,Modulo!$A$2:$A$5001,"&gt;="&amp;C80,Modulo!$A$2:$A$5001,"&lt;"&amp;D80,Modulo!$D$2:$D$5001,Parametros!$B$7)))</f>
        <v/>
      </c>
      <c r="H80" s="25" t="str">
        <f aca="false">IF(A80="","",IFERROR(COUNTIFS(Amostragem!$A$2:$A$15003,"&gt;="&amp;C80,Amostragem!$A$2:$A$15003,"&lt;"&amp;D80,Amostragem!$B$2:$B$15003,"Automático",Amostragem!$C$2:$C$15003,"Automático",Amostragem!$D$2:$D$15003,0)/COUNTIFS(Amostragem!$A$2:$A$15003,"&gt;="&amp;C80,Amostragem!$A$2:$A$15003,"&lt;"&amp;D80),0))</f>
        <v/>
      </c>
      <c r="I80" s="23" t="str">
        <f aca="false">IF(A80="","",IFERROR(AVERAGEIFS(Amostragem!$E$2:$E$15003,Amostragem!$A$2:$A$15003,"&gt;="&amp;C80,Amostragem!$A$2:$A$15003,"&lt;"&amp;D80),""))</f>
        <v/>
      </c>
      <c r="J80" s="24" t="str">
        <f aca="false">IF(A80="","",IF(B80="","Inválida: sem resultado MES",IF(E80&lt;Parametros!$B$4,"Inválida: poucos ensaios do módulo",IF(H80&lt;Parametros!$B$5,"Inválida: amostragem em manual ou em falha",IF(OR(I80="",I80&lt;Parametros!$B$6),"Inválida: usina parada ou baixa alimentação","Válida")))))</f>
        <v/>
      </c>
      <c r="K80" s="23" t="str">
        <f aca="false">IF(J80="Válida",F80-B80,"")</f>
        <v/>
      </c>
      <c r="L80" s="26" t="str">
        <f aca="false">IF(J80="Válida",K80/B80,"")</f>
        <v/>
      </c>
      <c r="M80" s="23" t="str">
        <f aca="false">IF(J80="Válida",(F80+B80)/2,"")</f>
        <v/>
      </c>
      <c r="N80" s="24" t="str">
        <f aca="false">IF(K80="","",IF(OR(K80&gt;Resumo!$B$16,K80&lt;Resumo!$B$15),"Sim","Não"))</f>
        <v/>
      </c>
      <c r="O80" s="22" t="e">
        <f aca="false">IF(A80="",NA(),A80)</f>
        <v>#N/A</v>
      </c>
      <c r="P80" s="23" t="e">
        <f aca="false">IF(A80="",NA(),B80)</f>
        <v>#N/A</v>
      </c>
      <c r="Q80" s="23" t="e">
        <f aca="false">IF(F80="",NA(),F80)</f>
        <v>#N/A</v>
      </c>
      <c r="R80" s="23" t="e">
        <f aca="false">IF(K80="",NA(),K80)</f>
        <v>#N/A</v>
      </c>
      <c r="S80" s="23" t="e">
        <f aca="false">IF(M80="",NA(),M80)</f>
        <v>#N/A</v>
      </c>
      <c r="T80" s="23" t="str">
        <f aca="false">IF(J80="Válida",B80,"")</f>
        <v/>
      </c>
      <c r="U80" s="23" t="str">
        <f aca="false">IF(J80="Válida",F80,"")</f>
        <v/>
      </c>
    </row>
    <row r="81" customFormat="false" ht="15" hidden="false" customHeight="false" outlineLevel="0" collapsed="false">
      <c r="A81" s="22" t="str">
        <f aca="false">IF(MES!A81="","",MES!A81)</f>
        <v/>
      </c>
      <c r="B81" s="23" t="str">
        <f aca="false">IF(A81="","",MES!B81)</f>
        <v/>
      </c>
      <c r="C81" s="22" t="str">
        <f aca="false">IF(A81="","",A81+Parametros!$B$3/24)</f>
        <v/>
      </c>
      <c r="D81" s="22" t="str">
        <f aca="false">IF(A81="","",C81+Parametros!$B$2/24)</f>
        <v/>
      </c>
      <c r="E81" s="24" t="str">
        <f aca="false">IF(A81="","",COUNTIFS(Modulo!$A$2:$A$5001,"&gt;="&amp;C81,Modulo!$A$2:$A$5001,"&lt;"&amp;D81,Modulo!$D$2:$D$5001,Parametros!$B$7))</f>
        <v/>
      </c>
      <c r="F81" s="23" t="str">
        <f aca="false">IF(A81="","",IF(E81=0,"",AVERAGEIFS(Modulo!$B$2:$B$5001,Modulo!$A$2:$A$5001,"&gt;="&amp;C81,Modulo!$A$2:$A$5001,"&lt;"&amp;D81,Modulo!$D$2:$D$5001,Parametros!$B$7)))</f>
        <v/>
      </c>
      <c r="G81" s="23" t="str">
        <f aca="false">IF(A81="","",IF(E81=0,"",AVERAGEIFS(Modulo!$C$2:$C$5001,Modulo!$A$2:$A$5001,"&gt;="&amp;C81,Modulo!$A$2:$A$5001,"&lt;"&amp;D81,Modulo!$D$2:$D$5001,Parametros!$B$7)))</f>
        <v/>
      </c>
      <c r="H81" s="25" t="str">
        <f aca="false">IF(A81="","",IFERROR(COUNTIFS(Amostragem!$A$2:$A$15003,"&gt;="&amp;C81,Amostragem!$A$2:$A$15003,"&lt;"&amp;D81,Amostragem!$B$2:$B$15003,"Automático",Amostragem!$C$2:$C$15003,"Automático",Amostragem!$D$2:$D$15003,0)/COUNTIFS(Amostragem!$A$2:$A$15003,"&gt;="&amp;C81,Amostragem!$A$2:$A$15003,"&lt;"&amp;D81),0))</f>
        <v/>
      </c>
      <c r="I81" s="23" t="str">
        <f aca="false">IF(A81="","",IFERROR(AVERAGEIFS(Amostragem!$E$2:$E$15003,Amostragem!$A$2:$A$15003,"&gt;="&amp;C81,Amostragem!$A$2:$A$15003,"&lt;"&amp;D81),""))</f>
        <v/>
      </c>
      <c r="J81" s="24" t="str">
        <f aca="false">IF(A81="","",IF(B81="","Inválida: sem resultado MES",IF(E81&lt;Parametros!$B$4,"Inválida: poucos ensaios do módulo",IF(H81&lt;Parametros!$B$5,"Inválida: amostragem em manual ou em falha",IF(OR(I81="",I81&lt;Parametros!$B$6),"Inválida: usina parada ou baixa alimentação","Válida")))))</f>
        <v/>
      </c>
      <c r="K81" s="23" t="str">
        <f aca="false">IF(J81="Válida",F81-B81,"")</f>
        <v/>
      </c>
      <c r="L81" s="26" t="str">
        <f aca="false">IF(J81="Válida",K81/B81,"")</f>
        <v/>
      </c>
      <c r="M81" s="23" t="str">
        <f aca="false">IF(J81="Válida",(F81+B81)/2,"")</f>
        <v/>
      </c>
      <c r="N81" s="24" t="str">
        <f aca="false">IF(K81="","",IF(OR(K81&gt;Resumo!$B$16,K81&lt;Resumo!$B$15),"Sim","Não"))</f>
        <v/>
      </c>
      <c r="O81" s="22" t="e">
        <f aca="false">IF(A81="",NA(),A81)</f>
        <v>#N/A</v>
      </c>
      <c r="P81" s="23" t="e">
        <f aca="false">IF(A81="",NA(),B81)</f>
        <v>#N/A</v>
      </c>
      <c r="Q81" s="23" t="e">
        <f aca="false">IF(F81="",NA(),F81)</f>
        <v>#N/A</v>
      </c>
      <c r="R81" s="23" t="e">
        <f aca="false">IF(K81="",NA(),K81)</f>
        <v>#N/A</v>
      </c>
      <c r="S81" s="23" t="e">
        <f aca="false">IF(M81="",NA(),M81)</f>
        <v>#N/A</v>
      </c>
      <c r="T81" s="23" t="str">
        <f aca="false">IF(J81="Válida",B81,"")</f>
        <v/>
      </c>
      <c r="U81" s="23" t="str">
        <f aca="false">IF(J81="Válida",F81,"")</f>
        <v/>
      </c>
    </row>
    <row r="82" customFormat="false" ht="15" hidden="false" customHeight="false" outlineLevel="0" collapsed="false">
      <c r="A82" s="22" t="str">
        <f aca="false">IF(MES!A82="","",MES!A82)</f>
        <v/>
      </c>
      <c r="B82" s="23" t="str">
        <f aca="false">IF(A82="","",MES!B82)</f>
        <v/>
      </c>
      <c r="C82" s="22" t="str">
        <f aca="false">IF(A82="","",A82+Parametros!$B$3/24)</f>
        <v/>
      </c>
      <c r="D82" s="22" t="str">
        <f aca="false">IF(A82="","",C82+Parametros!$B$2/24)</f>
        <v/>
      </c>
      <c r="E82" s="24" t="str">
        <f aca="false">IF(A82="","",COUNTIFS(Modulo!$A$2:$A$5001,"&gt;="&amp;C82,Modulo!$A$2:$A$5001,"&lt;"&amp;D82,Modulo!$D$2:$D$5001,Parametros!$B$7))</f>
        <v/>
      </c>
      <c r="F82" s="23" t="str">
        <f aca="false">IF(A82="","",IF(E82=0,"",AVERAGEIFS(Modulo!$B$2:$B$5001,Modulo!$A$2:$A$5001,"&gt;="&amp;C82,Modulo!$A$2:$A$5001,"&lt;"&amp;D82,Modulo!$D$2:$D$5001,Parametros!$B$7)))</f>
        <v/>
      </c>
      <c r="G82" s="23" t="str">
        <f aca="false">IF(A82="","",IF(E82=0,"",AVERAGEIFS(Modulo!$C$2:$C$5001,Modulo!$A$2:$A$5001,"&gt;="&amp;C82,Modulo!$A$2:$A$5001,"&lt;"&amp;D82,Modulo!$D$2:$D$5001,Parametros!$B$7)))</f>
        <v/>
      </c>
      <c r="H82" s="25" t="str">
        <f aca="false">IF(A82="","",IFERROR(COUNTIFS(Amostragem!$A$2:$A$15003,"&gt;="&amp;C82,Amostragem!$A$2:$A$15003,"&lt;"&amp;D82,Amostragem!$B$2:$B$15003,"Automático",Amostragem!$C$2:$C$15003,"Automático",Amostragem!$D$2:$D$15003,0)/COUNTIFS(Amostragem!$A$2:$A$15003,"&gt;="&amp;C82,Amostragem!$A$2:$A$15003,"&lt;"&amp;D82),0))</f>
        <v/>
      </c>
      <c r="I82" s="23" t="str">
        <f aca="false">IF(A82="","",IFERROR(AVERAGEIFS(Amostragem!$E$2:$E$15003,Amostragem!$A$2:$A$15003,"&gt;="&amp;C82,Amostragem!$A$2:$A$15003,"&lt;"&amp;D82),""))</f>
        <v/>
      </c>
      <c r="J82" s="24" t="str">
        <f aca="false">IF(A82="","",IF(B82="","Inválida: sem resultado MES",IF(E82&lt;Parametros!$B$4,"Inválida: poucos ensaios do módulo",IF(H82&lt;Parametros!$B$5,"Inválida: amostragem em manual ou em falha",IF(OR(I82="",I82&lt;Parametros!$B$6),"Inválida: usina parada ou baixa alimentação","Válida")))))</f>
        <v/>
      </c>
      <c r="K82" s="23" t="str">
        <f aca="false">IF(J82="Válida",F82-B82,"")</f>
        <v/>
      </c>
      <c r="L82" s="26" t="str">
        <f aca="false">IF(J82="Válida",K82/B82,"")</f>
        <v/>
      </c>
      <c r="M82" s="23" t="str">
        <f aca="false">IF(J82="Válida",(F82+B82)/2,"")</f>
        <v/>
      </c>
      <c r="N82" s="24" t="str">
        <f aca="false">IF(K82="","",IF(OR(K82&gt;Resumo!$B$16,K82&lt;Resumo!$B$15),"Sim","Não"))</f>
        <v/>
      </c>
      <c r="O82" s="22" t="e">
        <f aca="false">IF(A82="",NA(),A82)</f>
        <v>#N/A</v>
      </c>
      <c r="P82" s="23" t="e">
        <f aca="false">IF(A82="",NA(),B82)</f>
        <v>#N/A</v>
      </c>
      <c r="Q82" s="23" t="e">
        <f aca="false">IF(F82="",NA(),F82)</f>
        <v>#N/A</v>
      </c>
      <c r="R82" s="23" t="e">
        <f aca="false">IF(K82="",NA(),K82)</f>
        <v>#N/A</v>
      </c>
      <c r="S82" s="23" t="e">
        <f aca="false">IF(M82="",NA(),M82)</f>
        <v>#N/A</v>
      </c>
      <c r="T82" s="23" t="str">
        <f aca="false">IF(J82="Válida",B82,"")</f>
        <v/>
      </c>
      <c r="U82" s="23" t="str">
        <f aca="false">IF(J82="Válida",F82,"")</f>
        <v/>
      </c>
    </row>
    <row r="83" customFormat="false" ht="15" hidden="false" customHeight="false" outlineLevel="0" collapsed="false">
      <c r="A83" s="22" t="str">
        <f aca="false">IF(MES!A83="","",MES!A83)</f>
        <v/>
      </c>
      <c r="B83" s="23" t="str">
        <f aca="false">IF(A83="","",MES!B83)</f>
        <v/>
      </c>
      <c r="C83" s="22" t="str">
        <f aca="false">IF(A83="","",A83+Parametros!$B$3/24)</f>
        <v/>
      </c>
      <c r="D83" s="22" t="str">
        <f aca="false">IF(A83="","",C83+Parametros!$B$2/24)</f>
        <v/>
      </c>
      <c r="E83" s="24" t="str">
        <f aca="false">IF(A83="","",COUNTIFS(Modulo!$A$2:$A$5001,"&gt;="&amp;C83,Modulo!$A$2:$A$5001,"&lt;"&amp;D83,Modulo!$D$2:$D$5001,Parametros!$B$7))</f>
        <v/>
      </c>
      <c r="F83" s="23" t="str">
        <f aca="false">IF(A83="","",IF(E83=0,"",AVERAGEIFS(Modulo!$B$2:$B$5001,Modulo!$A$2:$A$5001,"&gt;="&amp;C83,Modulo!$A$2:$A$5001,"&lt;"&amp;D83,Modulo!$D$2:$D$5001,Parametros!$B$7)))</f>
        <v/>
      </c>
      <c r="G83" s="23" t="str">
        <f aca="false">IF(A83="","",IF(E83=0,"",AVERAGEIFS(Modulo!$C$2:$C$5001,Modulo!$A$2:$A$5001,"&gt;="&amp;C83,Modulo!$A$2:$A$5001,"&lt;"&amp;D83,Modulo!$D$2:$D$5001,Parametros!$B$7)))</f>
        <v/>
      </c>
      <c r="H83" s="25" t="str">
        <f aca="false">IF(A83="","",IFERROR(COUNTIFS(Amostragem!$A$2:$A$15003,"&gt;="&amp;C83,Amostragem!$A$2:$A$15003,"&lt;"&amp;D83,Amostragem!$B$2:$B$15003,"Automático",Amostragem!$C$2:$C$15003,"Automático",Amostragem!$D$2:$D$15003,0)/COUNTIFS(Amostragem!$A$2:$A$15003,"&gt;="&amp;C83,Amostragem!$A$2:$A$15003,"&lt;"&amp;D83),0))</f>
        <v/>
      </c>
      <c r="I83" s="23" t="str">
        <f aca="false">IF(A83="","",IFERROR(AVERAGEIFS(Amostragem!$E$2:$E$15003,Amostragem!$A$2:$A$15003,"&gt;="&amp;C83,Amostragem!$A$2:$A$15003,"&lt;"&amp;D83),""))</f>
        <v/>
      </c>
      <c r="J83" s="24" t="str">
        <f aca="false">IF(A83="","",IF(B83="","Inválida: sem resultado MES",IF(E83&lt;Parametros!$B$4,"Inválida: poucos ensaios do módulo",IF(H83&lt;Parametros!$B$5,"Inválida: amostragem em manual ou em falha",IF(OR(I83="",I83&lt;Parametros!$B$6),"Inválida: usina parada ou baixa alimentação","Válida")))))</f>
        <v/>
      </c>
      <c r="K83" s="23" t="str">
        <f aca="false">IF(J83="Válida",F83-B83,"")</f>
        <v/>
      </c>
      <c r="L83" s="26" t="str">
        <f aca="false">IF(J83="Válida",K83/B83,"")</f>
        <v/>
      </c>
      <c r="M83" s="23" t="str">
        <f aca="false">IF(J83="Válida",(F83+B83)/2,"")</f>
        <v/>
      </c>
      <c r="N83" s="24" t="str">
        <f aca="false">IF(K83="","",IF(OR(K83&gt;Resumo!$B$16,K83&lt;Resumo!$B$15),"Sim","Não"))</f>
        <v/>
      </c>
      <c r="O83" s="22" t="e">
        <f aca="false">IF(A83="",NA(),A83)</f>
        <v>#N/A</v>
      </c>
      <c r="P83" s="23" t="e">
        <f aca="false">IF(A83="",NA(),B83)</f>
        <v>#N/A</v>
      </c>
      <c r="Q83" s="23" t="e">
        <f aca="false">IF(F83="",NA(),F83)</f>
        <v>#N/A</v>
      </c>
      <c r="R83" s="23" t="e">
        <f aca="false">IF(K83="",NA(),K83)</f>
        <v>#N/A</v>
      </c>
      <c r="S83" s="23" t="e">
        <f aca="false">IF(M83="",NA(),M83)</f>
        <v>#N/A</v>
      </c>
      <c r="T83" s="23" t="str">
        <f aca="false">IF(J83="Válida",B83,"")</f>
        <v/>
      </c>
      <c r="U83" s="23" t="str">
        <f aca="false">IF(J83="Válida",F83,"")</f>
        <v/>
      </c>
    </row>
    <row r="84" customFormat="false" ht="15" hidden="false" customHeight="false" outlineLevel="0" collapsed="false">
      <c r="A84" s="22" t="str">
        <f aca="false">IF(MES!A84="","",MES!A84)</f>
        <v/>
      </c>
      <c r="B84" s="23" t="str">
        <f aca="false">IF(A84="","",MES!B84)</f>
        <v/>
      </c>
      <c r="C84" s="22" t="str">
        <f aca="false">IF(A84="","",A84+Parametros!$B$3/24)</f>
        <v/>
      </c>
      <c r="D84" s="22" t="str">
        <f aca="false">IF(A84="","",C84+Parametros!$B$2/24)</f>
        <v/>
      </c>
      <c r="E84" s="24" t="str">
        <f aca="false">IF(A84="","",COUNTIFS(Modulo!$A$2:$A$5001,"&gt;="&amp;C84,Modulo!$A$2:$A$5001,"&lt;"&amp;D84,Modulo!$D$2:$D$5001,Parametros!$B$7))</f>
        <v/>
      </c>
      <c r="F84" s="23" t="str">
        <f aca="false">IF(A84="","",IF(E84=0,"",AVERAGEIFS(Modulo!$B$2:$B$5001,Modulo!$A$2:$A$5001,"&gt;="&amp;C84,Modulo!$A$2:$A$5001,"&lt;"&amp;D84,Modulo!$D$2:$D$5001,Parametros!$B$7)))</f>
        <v/>
      </c>
      <c r="G84" s="23" t="str">
        <f aca="false">IF(A84="","",IF(E84=0,"",AVERAGEIFS(Modulo!$C$2:$C$5001,Modulo!$A$2:$A$5001,"&gt;="&amp;C84,Modulo!$A$2:$A$5001,"&lt;"&amp;D84,Modulo!$D$2:$D$5001,Parametros!$B$7)))</f>
        <v/>
      </c>
      <c r="H84" s="25" t="str">
        <f aca="false">IF(A84="","",IFERROR(COUNTIFS(Amostragem!$A$2:$A$15003,"&gt;="&amp;C84,Amostragem!$A$2:$A$15003,"&lt;"&amp;D84,Amostragem!$B$2:$B$15003,"Automático",Amostragem!$C$2:$C$15003,"Automático",Amostragem!$D$2:$D$15003,0)/COUNTIFS(Amostragem!$A$2:$A$15003,"&gt;="&amp;C84,Amostragem!$A$2:$A$15003,"&lt;"&amp;D84),0))</f>
        <v/>
      </c>
      <c r="I84" s="23" t="str">
        <f aca="false">IF(A84="","",IFERROR(AVERAGEIFS(Amostragem!$E$2:$E$15003,Amostragem!$A$2:$A$15003,"&gt;="&amp;C84,Amostragem!$A$2:$A$15003,"&lt;"&amp;D84),""))</f>
        <v/>
      </c>
      <c r="J84" s="24" t="str">
        <f aca="false">IF(A84="","",IF(B84="","Inválida: sem resultado MES",IF(E84&lt;Parametros!$B$4,"Inválida: poucos ensaios do módulo",IF(H84&lt;Parametros!$B$5,"Inválida: amostragem em manual ou em falha",IF(OR(I84="",I84&lt;Parametros!$B$6),"Inválida: usina parada ou baixa alimentação","Válida")))))</f>
        <v/>
      </c>
      <c r="K84" s="23" t="str">
        <f aca="false">IF(J84="Válida",F84-B84,"")</f>
        <v/>
      </c>
      <c r="L84" s="26" t="str">
        <f aca="false">IF(J84="Válida",K84/B84,"")</f>
        <v/>
      </c>
      <c r="M84" s="23" t="str">
        <f aca="false">IF(J84="Válida",(F84+B84)/2,"")</f>
        <v/>
      </c>
      <c r="N84" s="24" t="str">
        <f aca="false">IF(K84="","",IF(OR(K84&gt;Resumo!$B$16,K84&lt;Resumo!$B$15),"Sim","Não"))</f>
        <v/>
      </c>
      <c r="O84" s="22" t="e">
        <f aca="false">IF(A84="",NA(),A84)</f>
        <v>#N/A</v>
      </c>
      <c r="P84" s="23" t="e">
        <f aca="false">IF(A84="",NA(),B84)</f>
        <v>#N/A</v>
      </c>
      <c r="Q84" s="23" t="e">
        <f aca="false">IF(F84="",NA(),F84)</f>
        <v>#N/A</v>
      </c>
      <c r="R84" s="23" t="e">
        <f aca="false">IF(K84="",NA(),K84)</f>
        <v>#N/A</v>
      </c>
      <c r="S84" s="23" t="e">
        <f aca="false">IF(M84="",NA(),M84)</f>
        <v>#N/A</v>
      </c>
      <c r="T84" s="23" t="str">
        <f aca="false">IF(J84="Válida",B84,"")</f>
        <v/>
      </c>
      <c r="U84" s="23" t="str">
        <f aca="false">IF(J84="Válida",F84,"")</f>
        <v/>
      </c>
    </row>
    <row r="85" customFormat="false" ht="15" hidden="false" customHeight="false" outlineLevel="0" collapsed="false">
      <c r="A85" s="22" t="str">
        <f aca="false">IF(MES!A85="","",MES!A85)</f>
        <v/>
      </c>
      <c r="B85" s="23" t="str">
        <f aca="false">IF(A85="","",MES!B85)</f>
        <v/>
      </c>
      <c r="C85" s="22" t="str">
        <f aca="false">IF(A85="","",A85+Parametros!$B$3/24)</f>
        <v/>
      </c>
      <c r="D85" s="22" t="str">
        <f aca="false">IF(A85="","",C85+Parametros!$B$2/24)</f>
        <v/>
      </c>
      <c r="E85" s="24" t="str">
        <f aca="false">IF(A85="","",COUNTIFS(Modulo!$A$2:$A$5001,"&gt;="&amp;C85,Modulo!$A$2:$A$5001,"&lt;"&amp;D85,Modulo!$D$2:$D$5001,Parametros!$B$7))</f>
        <v/>
      </c>
      <c r="F85" s="23" t="str">
        <f aca="false">IF(A85="","",IF(E85=0,"",AVERAGEIFS(Modulo!$B$2:$B$5001,Modulo!$A$2:$A$5001,"&gt;="&amp;C85,Modulo!$A$2:$A$5001,"&lt;"&amp;D85,Modulo!$D$2:$D$5001,Parametros!$B$7)))</f>
        <v/>
      </c>
      <c r="G85" s="23" t="str">
        <f aca="false">IF(A85="","",IF(E85=0,"",AVERAGEIFS(Modulo!$C$2:$C$5001,Modulo!$A$2:$A$5001,"&gt;="&amp;C85,Modulo!$A$2:$A$5001,"&lt;"&amp;D85,Modulo!$D$2:$D$5001,Parametros!$B$7)))</f>
        <v/>
      </c>
      <c r="H85" s="25" t="str">
        <f aca="false">IF(A85="","",IFERROR(COUNTIFS(Amostragem!$A$2:$A$15003,"&gt;="&amp;C85,Amostragem!$A$2:$A$15003,"&lt;"&amp;D85,Amostragem!$B$2:$B$15003,"Automático",Amostragem!$C$2:$C$15003,"Automático",Amostragem!$D$2:$D$15003,0)/COUNTIFS(Amostragem!$A$2:$A$15003,"&gt;="&amp;C85,Amostragem!$A$2:$A$15003,"&lt;"&amp;D85),0))</f>
        <v/>
      </c>
      <c r="I85" s="23" t="str">
        <f aca="false">IF(A85="","",IFERROR(AVERAGEIFS(Amostragem!$E$2:$E$15003,Amostragem!$A$2:$A$15003,"&gt;="&amp;C85,Amostragem!$A$2:$A$15003,"&lt;"&amp;D85),""))</f>
        <v/>
      </c>
      <c r="J85" s="24" t="str">
        <f aca="false">IF(A85="","",IF(B85="","Inválida: sem resultado MES",IF(E85&lt;Parametros!$B$4,"Inválida: poucos ensaios do módulo",IF(H85&lt;Parametros!$B$5,"Inválida: amostragem em manual ou em falha",IF(OR(I85="",I85&lt;Parametros!$B$6),"Inválida: usina parada ou baixa alimentação","Válida")))))</f>
        <v/>
      </c>
      <c r="K85" s="23" t="str">
        <f aca="false">IF(J85="Válida",F85-B85,"")</f>
        <v/>
      </c>
      <c r="L85" s="26" t="str">
        <f aca="false">IF(J85="Válida",K85/B85,"")</f>
        <v/>
      </c>
      <c r="M85" s="23" t="str">
        <f aca="false">IF(J85="Válida",(F85+B85)/2,"")</f>
        <v/>
      </c>
      <c r="N85" s="24" t="str">
        <f aca="false">IF(K85="","",IF(OR(K85&gt;Resumo!$B$16,K85&lt;Resumo!$B$15),"Sim","Não"))</f>
        <v/>
      </c>
      <c r="O85" s="22" t="e">
        <f aca="false">IF(A85="",NA(),A85)</f>
        <v>#N/A</v>
      </c>
      <c r="P85" s="23" t="e">
        <f aca="false">IF(A85="",NA(),B85)</f>
        <v>#N/A</v>
      </c>
      <c r="Q85" s="23" t="e">
        <f aca="false">IF(F85="",NA(),F85)</f>
        <v>#N/A</v>
      </c>
      <c r="R85" s="23" t="e">
        <f aca="false">IF(K85="",NA(),K85)</f>
        <v>#N/A</v>
      </c>
      <c r="S85" s="23" t="e">
        <f aca="false">IF(M85="",NA(),M85)</f>
        <v>#N/A</v>
      </c>
      <c r="T85" s="23" t="str">
        <f aca="false">IF(J85="Válida",B85,"")</f>
        <v/>
      </c>
      <c r="U85" s="23" t="str">
        <f aca="false">IF(J85="Válida",F85,"")</f>
        <v/>
      </c>
    </row>
    <row r="86" customFormat="false" ht="15" hidden="false" customHeight="false" outlineLevel="0" collapsed="false">
      <c r="A86" s="22" t="str">
        <f aca="false">IF(MES!A86="","",MES!A86)</f>
        <v/>
      </c>
      <c r="B86" s="23" t="str">
        <f aca="false">IF(A86="","",MES!B86)</f>
        <v/>
      </c>
      <c r="C86" s="22" t="str">
        <f aca="false">IF(A86="","",A86+Parametros!$B$3/24)</f>
        <v/>
      </c>
      <c r="D86" s="22" t="str">
        <f aca="false">IF(A86="","",C86+Parametros!$B$2/24)</f>
        <v/>
      </c>
      <c r="E86" s="24" t="str">
        <f aca="false">IF(A86="","",COUNTIFS(Modulo!$A$2:$A$5001,"&gt;="&amp;C86,Modulo!$A$2:$A$5001,"&lt;"&amp;D86,Modulo!$D$2:$D$5001,Parametros!$B$7))</f>
        <v/>
      </c>
      <c r="F86" s="23" t="str">
        <f aca="false">IF(A86="","",IF(E86=0,"",AVERAGEIFS(Modulo!$B$2:$B$5001,Modulo!$A$2:$A$5001,"&gt;="&amp;C86,Modulo!$A$2:$A$5001,"&lt;"&amp;D86,Modulo!$D$2:$D$5001,Parametros!$B$7)))</f>
        <v/>
      </c>
      <c r="G86" s="23" t="str">
        <f aca="false">IF(A86="","",IF(E86=0,"",AVERAGEIFS(Modulo!$C$2:$C$5001,Modulo!$A$2:$A$5001,"&gt;="&amp;C86,Modulo!$A$2:$A$5001,"&lt;"&amp;D86,Modulo!$D$2:$D$5001,Parametros!$B$7)))</f>
        <v/>
      </c>
      <c r="H86" s="25" t="str">
        <f aca="false">IF(A86="","",IFERROR(COUNTIFS(Amostragem!$A$2:$A$15003,"&gt;="&amp;C86,Amostragem!$A$2:$A$15003,"&lt;"&amp;D86,Amostragem!$B$2:$B$15003,"Automático",Amostragem!$C$2:$C$15003,"Automático",Amostragem!$D$2:$D$15003,0)/COUNTIFS(Amostragem!$A$2:$A$15003,"&gt;="&amp;C86,Amostragem!$A$2:$A$15003,"&lt;"&amp;D86),0))</f>
        <v/>
      </c>
      <c r="I86" s="23" t="str">
        <f aca="false">IF(A86="","",IFERROR(AVERAGEIFS(Amostragem!$E$2:$E$15003,Amostragem!$A$2:$A$15003,"&gt;="&amp;C86,Amostragem!$A$2:$A$15003,"&lt;"&amp;D86),""))</f>
        <v/>
      </c>
      <c r="J86" s="24" t="str">
        <f aca="false">IF(A86="","",IF(B86="","Inválida: sem resultado MES",IF(E86&lt;Parametros!$B$4,"Inválida: poucos ensaios do módulo",IF(H86&lt;Parametros!$B$5,"Inválida: amostragem em manual ou em falha",IF(OR(I86="",I86&lt;Parametros!$B$6),"Inválida: usina parada ou baixa alimentação","Válida")))))</f>
        <v/>
      </c>
      <c r="K86" s="23" t="str">
        <f aca="false">IF(J86="Válida",F86-B86,"")</f>
        <v/>
      </c>
      <c r="L86" s="26" t="str">
        <f aca="false">IF(J86="Válida",K86/B86,"")</f>
        <v/>
      </c>
      <c r="M86" s="23" t="str">
        <f aca="false">IF(J86="Válida",(F86+B86)/2,"")</f>
        <v/>
      </c>
      <c r="N86" s="24" t="str">
        <f aca="false">IF(K86="","",IF(OR(K86&gt;Resumo!$B$16,K86&lt;Resumo!$B$15),"Sim","Não"))</f>
        <v/>
      </c>
      <c r="O86" s="22" t="e">
        <f aca="false">IF(A86="",NA(),A86)</f>
        <v>#N/A</v>
      </c>
      <c r="P86" s="23" t="e">
        <f aca="false">IF(A86="",NA(),B86)</f>
        <v>#N/A</v>
      </c>
      <c r="Q86" s="23" t="e">
        <f aca="false">IF(F86="",NA(),F86)</f>
        <v>#N/A</v>
      </c>
      <c r="R86" s="23" t="e">
        <f aca="false">IF(K86="",NA(),K86)</f>
        <v>#N/A</v>
      </c>
      <c r="S86" s="23" t="e">
        <f aca="false">IF(M86="",NA(),M86)</f>
        <v>#N/A</v>
      </c>
      <c r="T86" s="23" t="str">
        <f aca="false">IF(J86="Válida",B86,"")</f>
        <v/>
      </c>
      <c r="U86" s="23" t="str">
        <f aca="false">IF(J86="Válida",F86,"")</f>
        <v/>
      </c>
    </row>
    <row r="87" customFormat="false" ht="15" hidden="false" customHeight="false" outlineLevel="0" collapsed="false">
      <c r="A87" s="22" t="str">
        <f aca="false">IF(MES!A87="","",MES!A87)</f>
        <v/>
      </c>
      <c r="B87" s="23" t="str">
        <f aca="false">IF(A87="","",MES!B87)</f>
        <v/>
      </c>
      <c r="C87" s="22" t="str">
        <f aca="false">IF(A87="","",A87+Parametros!$B$3/24)</f>
        <v/>
      </c>
      <c r="D87" s="22" t="str">
        <f aca="false">IF(A87="","",C87+Parametros!$B$2/24)</f>
        <v/>
      </c>
      <c r="E87" s="24" t="str">
        <f aca="false">IF(A87="","",COUNTIFS(Modulo!$A$2:$A$5001,"&gt;="&amp;C87,Modulo!$A$2:$A$5001,"&lt;"&amp;D87,Modulo!$D$2:$D$5001,Parametros!$B$7))</f>
        <v/>
      </c>
      <c r="F87" s="23" t="str">
        <f aca="false">IF(A87="","",IF(E87=0,"",AVERAGEIFS(Modulo!$B$2:$B$5001,Modulo!$A$2:$A$5001,"&gt;="&amp;C87,Modulo!$A$2:$A$5001,"&lt;"&amp;D87,Modulo!$D$2:$D$5001,Parametros!$B$7)))</f>
        <v/>
      </c>
      <c r="G87" s="23" t="str">
        <f aca="false">IF(A87="","",IF(E87=0,"",AVERAGEIFS(Modulo!$C$2:$C$5001,Modulo!$A$2:$A$5001,"&gt;="&amp;C87,Modulo!$A$2:$A$5001,"&lt;"&amp;D87,Modulo!$D$2:$D$5001,Parametros!$B$7)))</f>
        <v/>
      </c>
      <c r="H87" s="25" t="str">
        <f aca="false">IF(A87="","",IFERROR(COUNTIFS(Amostragem!$A$2:$A$15003,"&gt;="&amp;C87,Amostragem!$A$2:$A$15003,"&lt;"&amp;D87,Amostragem!$B$2:$B$15003,"Automático",Amostragem!$C$2:$C$15003,"Automático",Amostragem!$D$2:$D$15003,0)/COUNTIFS(Amostragem!$A$2:$A$15003,"&gt;="&amp;C87,Amostragem!$A$2:$A$15003,"&lt;"&amp;D87),0))</f>
        <v/>
      </c>
      <c r="I87" s="23" t="str">
        <f aca="false">IF(A87="","",IFERROR(AVERAGEIFS(Amostragem!$E$2:$E$15003,Amostragem!$A$2:$A$15003,"&gt;="&amp;C87,Amostragem!$A$2:$A$15003,"&lt;"&amp;D87),""))</f>
        <v/>
      </c>
      <c r="J87" s="24" t="str">
        <f aca="false">IF(A87="","",IF(B87="","Inválida: sem resultado MES",IF(E87&lt;Parametros!$B$4,"Inválida: poucos ensaios do módulo",IF(H87&lt;Parametros!$B$5,"Inválida: amostragem em manual ou em falha",IF(OR(I87="",I87&lt;Parametros!$B$6),"Inválida: usina parada ou baixa alimentação","Válida")))))</f>
        <v/>
      </c>
      <c r="K87" s="23" t="str">
        <f aca="false">IF(J87="Válida",F87-B87,"")</f>
        <v/>
      </c>
      <c r="L87" s="26" t="str">
        <f aca="false">IF(J87="Válida",K87/B87,"")</f>
        <v/>
      </c>
      <c r="M87" s="23" t="str">
        <f aca="false">IF(J87="Válida",(F87+B87)/2,"")</f>
        <v/>
      </c>
      <c r="N87" s="24" t="str">
        <f aca="false">IF(K87="","",IF(OR(K87&gt;Resumo!$B$16,K87&lt;Resumo!$B$15),"Sim","Não"))</f>
        <v/>
      </c>
      <c r="O87" s="22" t="e">
        <f aca="false">IF(A87="",NA(),A87)</f>
        <v>#N/A</v>
      </c>
      <c r="P87" s="23" t="e">
        <f aca="false">IF(A87="",NA(),B87)</f>
        <v>#N/A</v>
      </c>
      <c r="Q87" s="23" t="e">
        <f aca="false">IF(F87="",NA(),F87)</f>
        <v>#N/A</v>
      </c>
      <c r="R87" s="23" t="e">
        <f aca="false">IF(K87="",NA(),K87)</f>
        <v>#N/A</v>
      </c>
      <c r="S87" s="23" t="e">
        <f aca="false">IF(M87="",NA(),M87)</f>
        <v>#N/A</v>
      </c>
      <c r="T87" s="23" t="str">
        <f aca="false">IF(J87="Válida",B87,"")</f>
        <v/>
      </c>
      <c r="U87" s="23" t="str">
        <f aca="false">IF(J87="Válida",F87,"")</f>
        <v/>
      </c>
    </row>
    <row r="88" customFormat="false" ht="15" hidden="false" customHeight="false" outlineLevel="0" collapsed="false">
      <c r="A88" s="22" t="str">
        <f aca="false">IF(MES!A88="","",MES!A88)</f>
        <v/>
      </c>
      <c r="B88" s="23" t="str">
        <f aca="false">IF(A88="","",MES!B88)</f>
        <v/>
      </c>
      <c r="C88" s="22" t="str">
        <f aca="false">IF(A88="","",A88+Parametros!$B$3/24)</f>
        <v/>
      </c>
      <c r="D88" s="22" t="str">
        <f aca="false">IF(A88="","",C88+Parametros!$B$2/24)</f>
        <v/>
      </c>
      <c r="E88" s="24" t="str">
        <f aca="false">IF(A88="","",COUNTIFS(Modulo!$A$2:$A$5001,"&gt;="&amp;C88,Modulo!$A$2:$A$5001,"&lt;"&amp;D88,Modulo!$D$2:$D$5001,Parametros!$B$7))</f>
        <v/>
      </c>
      <c r="F88" s="23" t="str">
        <f aca="false">IF(A88="","",IF(E88=0,"",AVERAGEIFS(Modulo!$B$2:$B$5001,Modulo!$A$2:$A$5001,"&gt;="&amp;C88,Modulo!$A$2:$A$5001,"&lt;"&amp;D88,Modulo!$D$2:$D$5001,Parametros!$B$7)))</f>
        <v/>
      </c>
      <c r="G88" s="23" t="str">
        <f aca="false">IF(A88="","",IF(E88=0,"",AVERAGEIFS(Modulo!$C$2:$C$5001,Modulo!$A$2:$A$5001,"&gt;="&amp;C88,Modulo!$A$2:$A$5001,"&lt;"&amp;D88,Modulo!$D$2:$D$5001,Parametros!$B$7)))</f>
        <v/>
      </c>
      <c r="H88" s="25" t="str">
        <f aca="false">IF(A88="","",IFERROR(COUNTIFS(Amostragem!$A$2:$A$15003,"&gt;="&amp;C88,Amostragem!$A$2:$A$15003,"&lt;"&amp;D88,Amostragem!$B$2:$B$15003,"Automático",Amostragem!$C$2:$C$15003,"Automático",Amostragem!$D$2:$D$15003,0)/COUNTIFS(Amostragem!$A$2:$A$15003,"&gt;="&amp;C88,Amostragem!$A$2:$A$15003,"&lt;"&amp;D88),0))</f>
        <v/>
      </c>
      <c r="I88" s="23" t="str">
        <f aca="false">IF(A88="","",IFERROR(AVERAGEIFS(Amostragem!$E$2:$E$15003,Amostragem!$A$2:$A$15003,"&gt;="&amp;C88,Amostragem!$A$2:$A$15003,"&lt;"&amp;D88),""))</f>
        <v/>
      </c>
      <c r="J88" s="24" t="str">
        <f aca="false">IF(A88="","",IF(B88="","Inválida: sem resultado MES",IF(E88&lt;Parametros!$B$4,"Inválida: poucos ensaios do módulo",IF(H88&lt;Parametros!$B$5,"Inválida: amostragem em manual ou em falha",IF(OR(I88="",I88&lt;Parametros!$B$6),"Inválida: usina parada ou baixa alimentação","Válida")))))</f>
        <v/>
      </c>
      <c r="K88" s="23" t="str">
        <f aca="false">IF(J88="Válida",F88-B88,"")</f>
        <v/>
      </c>
      <c r="L88" s="26" t="str">
        <f aca="false">IF(J88="Válida",K88/B88,"")</f>
        <v/>
      </c>
      <c r="M88" s="23" t="str">
        <f aca="false">IF(J88="Válida",(F88+B88)/2,"")</f>
        <v/>
      </c>
      <c r="N88" s="24" t="str">
        <f aca="false">IF(K88="","",IF(OR(K88&gt;Resumo!$B$16,K88&lt;Resumo!$B$15),"Sim","Não"))</f>
        <v/>
      </c>
      <c r="O88" s="22" t="e">
        <f aca="false">IF(A88="",NA(),A88)</f>
        <v>#N/A</v>
      </c>
      <c r="P88" s="23" t="e">
        <f aca="false">IF(A88="",NA(),B88)</f>
        <v>#N/A</v>
      </c>
      <c r="Q88" s="23" t="e">
        <f aca="false">IF(F88="",NA(),F88)</f>
        <v>#N/A</v>
      </c>
      <c r="R88" s="23" t="e">
        <f aca="false">IF(K88="",NA(),K88)</f>
        <v>#N/A</v>
      </c>
      <c r="S88" s="23" t="e">
        <f aca="false">IF(M88="",NA(),M88)</f>
        <v>#N/A</v>
      </c>
      <c r="T88" s="23" t="str">
        <f aca="false">IF(J88="Válida",B88,"")</f>
        <v/>
      </c>
      <c r="U88" s="23" t="str">
        <f aca="false">IF(J88="Válida",F88,"")</f>
        <v/>
      </c>
    </row>
    <row r="89" customFormat="false" ht="15" hidden="false" customHeight="false" outlineLevel="0" collapsed="false">
      <c r="A89" s="22" t="str">
        <f aca="false">IF(MES!A89="","",MES!A89)</f>
        <v/>
      </c>
      <c r="B89" s="23" t="str">
        <f aca="false">IF(A89="","",MES!B89)</f>
        <v/>
      </c>
      <c r="C89" s="22" t="str">
        <f aca="false">IF(A89="","",A89+Parametros!$B$3/24)</f>
        <v/>
      </c>
      <c r="D89" s="22" t="str">
        <f aca="false">IF(A89="","",C89+Parametros!$B$2/24)</f>
        <v/>
      </c>
      <c r="E89" s="24" t="str">
        <f aca="false">IF(A89="","",COUNTIFS(Modulo!$A$2:$A$5001,"&gt;="&amp;C89,Modulo!$A$2:$A$5001,"&lt;"&amp;D89,Modulo!$D$2:$D$5001,Parametros!$B$7))</f>
        <v/>
      </c>
      <c r="F89" s="23" t="str">
        <f aca="false">IF(A89="","",IF(E89=0,"",AVERAGEIFS(Modulo!$B$2:$B$5001,Modulo!$A$2:$A$5001,"&gt;="&amp;C89,Modulo!$A$2:$A$5001,"&lt;"&amp;D89,Modulo!$D$2:$D$5001,Parametros!$B$7)))</f>
        <v/>
      </c>
      <c r="G89" s="23" t="str">
        <f aca="false">IF(A89="","",IF(E89=0,"",AVERAGEIFS(Modulo!$C$2:$C$5001,Modulo!$A$2:$A$5001,"&gt;="&amp;C89,Modulo!$A$2:$A$5001,"&lt;"&amp;D89,Modulo!$D$2:$D$5001,Parametros!$B$7)))</f>
        <v/>
      </c>
      <c r="H89" s="25" t="str">
        <f aca="false">IF(A89="","",IFERROR(COUNTIFS(Amostragem!$A$2:$A$15003,"&gt;="&amp;C89,Amostragem!$A$2:$A$15003,"&lt;"&amp;D89,Amostragem!$B$2:$B$15003,"Automático",Amostragem!$C$2:$C$15003,"Automático",Amostragem!$D$2:$D$15003,0)/COUNTIFS(Amostragem!$A$2:$A$15003,"&gt;="&amp;C89,Amostragem!$A$2:$A$15003,"&lt;"&amp;D89),0))</f>
        <v/>
      </c>
      <c r="I89" s="23" t="str">
        <f aca="false">IF(A89="","",IFERROR(AVERAGEIFS(Amostragem!$E$2:$E$15003,Amostragem!$A$2:$A$15003,"&gt;="&amp;C89,Amostragem!$A$2:$A$15003,"&lt;"&amp;D89),""))</f>
        <v/>
      </c>
      <c r="J89" s="24" t="str">
        <f aca="false">IF(A89="","",IF(B89="","Inválida: sem resultado MES",IF(E89&lt;Parametros!$B$4,"Inválida: poucos ensaios do módulo",IF(H89&lt;Parametros!$B$5,"Inválida: amostragem em manual ou em falha",IF(OR(I89="",I89&lt;Parametros!$B$6),"Inválida: usina parada ou baixa alimentação","Válida")))))</f>
        <v/>
      </c>
      <c r="K89" s="23" t="str">
        <f aca="false">IF(J89="Válida",F89-B89,"")</f>
        <v/>
      </c>
      <c r="L89" s="26" t="str">
        <f aca="false">IF(J89="Válida",K89/B89,"")</f>
        <v/>
      </c>
      <c r="M89" s="23" t="str">
        <f aca="false">IF(J89="Válida",(F89+B89)/2,"")</f>
        <v/>
      </c>
      <c r="N89" s="24" t="str">
        <f aca="false">IF(K89="","",IF(OR(K89&gt;Resumo!$B$16,K89&lt;Resumo!$B$15),"Sim","Não"))</f>
        <v/>
      </c>
      <c r="O89" s="22" t="e">
        <f aca="false">IF(A89="",NA(),A89)</f>
        <v>#N/A</v>
      </c>
      <c r="P89" s="23" t="e">
        <f aca="false">IF(A89="",NA(),B89)</f>
        <v>#N/A</v>
      </c>
      <c r="Q89" s="23" t="e">
        <f aca="false">IF(F89="",NA(),F89)</f>
        <v>#N/A</v>
      </c>
      <c r="R89" s="23" t="e">
        <f aca="false">IF(K89="",NA(),K89)</f>
        <v>#N/A</v>
      </c>
      <c r="S89" s="23" t="e">
        <f aca="false">IF(M89="",NA(),M89)</f>
        <v>#N/A</v>
      </c>
      <c r="T89" s="23" t="str">
        <f aca="false">IF(J89="Válida",B89,"")</f>
        <v/>
      </c>
      <c r="U89" s="23" t="str">
        <f aca="false">IF(J89="Válida",F89,"")</f>
        <v/>
      </c>
    </row>
    <row r="90" customFormat="false" ht="15" hidden="false" customHeight="false" outlineLevel="0" collapsed="false">
      <c r="A90" s="22" t="str">
        <f aca="false">IF(MES!A90="","",MES!A90)</f>
        <v/>
      </c>
      <c r="B90" s="23" t="str">
        <f aca="false">IF(A90="","",MES!B90)</f>
        <v/>
      </c>
      <c r="C90" s="22" t="str">
        <f aca="false">IF(A90="","",A90+Parametros!$B$3/24)</f>
        <v/>
      </c>
      <c r="D90" s="22" t="str">
        <f aca="false">IF(A90="","",C90+Parametros!$B$2/24)</f>
        <v/>
      </c>
      <c r="E90" s="24" t="str">
        <f aca="false">IF(A90="","",COUNTIFS(Modulo!$A$2:$A$5001,"&gt;="&amp;C90,Modulo!$A$2:$A$5001,"&lt;"&amp;D90,Modulo!$D$2:$D$5001,Parametros!$B$7))</f>
        <v/>
      </c>
      <c r="F90" s="23" t="str">
        <f aca="false">IF(A90="","",IF(E90=0,"",AVERAGEIFS(Modulo!$B$2:$B$5001,Modulo!$A$2:$A$5001,"&gt;="&amp;C90,Modulo!$A$2:$A$5001,"&lt;"&amp;D90,Modulo!$D$2:$D$5001,Parametros!$B$7)))</f>
        <v/>
      </c>
      <c r="G90" s="23" t="str">
        <f aca="false">IF(A90="","",IF(E90=0,"",AVERAGEIFS(Modulo!$C$2:$C$5001,Modulo!$A$2:$A$5001,"&gt;="&amp;C90,Modulo!$A$2:$A$5001,"&lt;"&amp;D90,Modulo!$D$2:$D$5001,Parametros!$B$7)))</f>
        <v/>
      </c>
      <c r="H90" s="25" t="str">
        <f aca="false">IF(A90="","",IFERROR(COUNTIFS(Amostragem!$A$2:$A$15003,"&gt;="&amp;C90,Amostragem!$A$2:$A$15003,"&lt;"&amp;D90,Amostragem!$B$2:$B$15003,"Automático",Amostragem!$C$2:$C$15003,"Automático",Amostragem!$D$2:$D$15003,0)/COUNTIFS(Amostragem!$A$2:$A$15003,"&gt;="&amp;C90,Amostragem!$A$2:$A$15003,"&lt;"&amp;D90),0))</f>
        <v/>
      </c>
      <c r="I90" s="23" t="str">
        <f aca="false">IF(A90="","",IFERROR(AVERAGEIFS(Amostragem!$E$2:$E$15003,Amostragem!$A$2:$A$15003,"&gt;="&amp;C90,Amostragem!$A$2:$A$15003,"&lt;"&amp;D90),""))</f>
        <v/>
      </c>
      <c r="J90" s="24" t="str">
        <f aca="false">IF(A90="","",IF(B90="","Inválida: sem resultado MES",IF(E90&lt;Parametros!$B$4,"Inválida: poucos ensaios do módulo",IF(H90&lt;Parametros!$B$5,"Inválida: amostragem em manual ou em falha",IF(OR(I90="",I90&lt;Parametros!$B$6),"Inválida: usina parada ou baixa alimentação","Válida")))))</f>
        <v/>
      </c>
      <c r="K90" s="23" t="str">
        <f aca="false">IF(J90="Válida",F90-B90,"")</f>
        <v/>
      </c>
      <c r="L90" s="26" t="str">
        <f aca="false">IF(J90="Válida",K90/B90,"")</f>
        <v/>
      </c>
      <c r="M90" s="23" t="str">
        <f aca="false">IF(J90="Válida",(F90+B90)/2,"")</f>
        <v/>
      </c>
      <c r="N90" s="24" t="str">
        <f aca="false">IF(K90="","",IF(OR(K90&gt;Resumo!$B$16,K90&lt;Resumo!$B$15),"Sim","Não"))</f>
        <v/>
      </c>
      <c r="O90" s="22" t="e">
        <f aca="false">IF(A90="",NA(),A90)</f>
        <v>#N/A</v>
      </c>
      <c r="P90" s="23" t="e">
        <f aca="false">IF(A90="",NA(),B90)</f>
        <v>#N/A</v>
      </c>
      <c r="Q90" s="23" t="e">
        <f aca="false">IF(F90="",NA(),F90)</f>
        <v>#N/A</v>
      </c>
      <c r="R90" s="23" t="e">
        <f aca="false">IF(K90="",NA(),K90)</f>
        <v>#N/A</v>
      </c>
      <c r="S90" s="23" t="e">
        <f aca="false">IF(M90="",NA(),M90)</f>
        <v>#N/A</v>
      </c>
      <c r="T90" s="23" t="str">
        <f aca="false">IF(J90="Válida",B90,"")</f>
        <v/>
      </c>
      <c r="U90" s="23" t="str">
        <f aca="false">IF(J90="Válida",F90,"")</f>
        <v/>
      </c>
    </row>
    <row r="91" customFormat="false" ht="15" hidden="false" customHeight="false" outlineLevel="0" collapsed="false">
      <c r="A91" s="22" t="str">
        <f aca="false">IF(MES!A91="","",MES!A91)</f>
        <v/>
      </c>
      <c r="B91" s="23" t="str">
        <f aca="false">IF(A91="","",MES!B91)</f>
        <v/>
      </c>
      <c r="C91" s="22" t="str">
        <f aca="false">IF(A91="","",A91+Parametros!$B$3/24)</f>
        <v/>
      </c>
      <c r="D91" s="22" t="str">
        <f aca="false">IF(A91="","",C91+Parametros!$B$2/24)</f>
        <v/>
      </c>
      <c r="E91" s="24" t="str">
        <f aca="false">IF(A91="","",COUNTIFS(Modulo!$A$2:$A$5001,"&gt;="&amp;C91,Modulo!$A$2:$A$5001,"&lt;"&amp;D91,Modulo!$D$2:$D$5001,Parametros!$B$7))</f>
        <v/>
      </c>
      <c r="F91" s="23" t="str">
        <f aca="false">IF(A91="","",IF(E91=0,"",AVERAGEIFS(Modulo!$B$2:$B$5001,Modulo!$A$2:$A$5001,"&gt;="&amp;C91,Modulo!$A$2:$A$5001,"&lt;"&amp;D91,Modulo!$D$2:$D$5001,Parametros!$B$7)))</f>
        <v/>
      </c>
      <c r="G91" s="23" t="str">
        <f aca="false">IF(A91="","",IF(E91=0,"",AVERAGEIFS(Modulo!$C$2:$C$5001,Modulo!$A$2:$A$5001,"&gt;="&amp;C91,Modulo!$A$2:$A$5001,"&lt;"&amp;D91,Modulo!$D$2:$D$5001,Parametros!$B$7)))</f>
        <v/>
      </c>
      <c r="H91" s="25" t="str">
        <f aca="false">IF(A91="","",IFERROR(COUNTIFS(Amostragem!$A$2:$A$15003,"&gt;="&amp;C91,Amostragem!$A$2:$A$15003,"&lt;"&amp;D91,Amostragem!$B$2:$B$15003,"Automático",Amostragem!$C$2:$C$15003,"Automático",Amostragem!$D$2:$D$15003,0)/COUNTIFS(Amostragem!$A$2:$A$15003,"&gt;="&amp;C91,Amostragem!$A$2:$A$15003,"&lt;"&amp;D91),0))</f>
        <v/>
      </c>
      <c r="I91" s="23" t="str">
        <f aca="false">IF(A91="","",IFERROR(AVERAGEIFS(Amostragem!$E$2:$E$15003,Amostragem!$A$2:$A$15003,"&gt;="&amp;C91,Amostragem!$A$2:$A$15003,"&lt;"&amp;D91),""))</f>
        <v/>
      </c>
      <c r="J91" s="24" t="str">
        <f aca="false">IF(A91="","",IF(B91="","Inválida: sem resultado MES",IF(E91&lt;Parametros!$B$4,"Inválida: poucos ensaios do módulo",IF(H91&lt;Parametros!$B$5,"Inválida: amostragem em manual ou em falha",IF(OR(I91="",I91&lt;Parametros!$B$6),"Inválida: usina parada ou baixa alimentação","Válida")))))</f>
        <v/>
      </c>
      <c r="K91" s="23" t="str">
        <f aca="false">IF(J91="Válida",F91-B91,"")</f>
        <v/>
      </c>
      <c r="L91" s="26" t="str">
        <f aca="false">IF(J91="Válida",K91/B91,"")</f>
        <v/>
      </c>
      <c r="M91" s="23" t="str">
        <f aca="false">IF(J91="Válida",(F91+B91)/2,"")</f>
        <v/>
      </c>
      <c r="N91" s="24" t="str">
        <f aca="false">IF(K91="","",IF(OR(K91&gt;Resumo!$B$16,K91&lt;Resumo!$B$15),"Sim","Não"))</f>
        <v/>
      </c>
      <c r="O91" s="22" t="e">
        <f aca="false">IF(A91="",NA(),A91)</f>
        <v>#N/A</v>
      </c>
      <c r="P91" s="23" t="e">
        <f aca="false">IF(A91="",NA(),B91)</f>
        <v>#N/A</v>
      </c>
      <c r="Q91" s="23" t="e">
        <f aca="false">IF(F91="",NA(),F91)</f>
        <v>#N/A</v>
      </c>
      <c r="R91" s="23" t="e">
        <f aca="false">IF(K91="",NA(),K91)</f>
        <v>#N/A</v>
      </c>
      <c r="S91" s="23" t="e">
        <f aca="false">IF(M91="",NA(),M91)</f>
        <v>#N/A</v>
      </c>
      <c r="T91" s="23" t="str">
        <f aca="false">IF(J91="Válida",B91,"")</f>
        <v/>
      </c>
      <c r="U91" s="23" t="str">
        <f aca="false">IF(J91="Válida",F91,"")</f>
        <v/>
      </c>
    </row>
    <row r="92" customFormat="false" ht="15" hidden="false" customHeight="false" outlineLevel="0" collapsed="false">
      <c r="A92" s="22" t="str">
        <f aca="false">IF(MES!A92="","",MES!A92)</f>
        <v/>
      </c>
      <c r="B92" s="23" t="str">
        <f aca="false">IF(A92="","",MES!B92)</f>
        <v/>
      </c>
      <c r="C92" s="22" t="str">
        <f aca="false">IF(A92="","",A92+Parametros!$B$3/24)</f>
        <v/>
      </c>
      <c r="D92" s="22" t="str">
        <f aca="false">IF(A92="","",C92+Parametros!$B$2/24)</f>
        <v/>
      </c>
      <c r="E92" s="24" t="str">
        <f aca="false">IF(A92="","",COUNTIFS(Modulo!$A$2:$A$5001,"&gt;="&amp;C92,Modulo!$A$2:$A$5001,"&lt;"&amp;D92,Modulo!$D$2:$D$5001,Parametros!$B$7))</f>
        <v/>
      </c>
      <c r="F92" s="23" t="str">
        <f aca="false">IF(A92="","",IF(E92=0,"",AVERAGEIFS(Modulo!$B$2:$B$5001,Modulo!$A$2:$A$5001,"&gt;="&amp;C92,Modulo!$A$2:$A$5001,"&lt;"&amp;D92,Modulo!$D$2:$D$5001,Parametros!$B$7)))</f>
        <v/>
      </c>
      <c r="G92" s="23" t="str">
        <f aca="false">IF(A92="","",IF(E92=0,"",AVERAGEIFS(Modulo!$C$2:$C$5001,Modulo!$A$2:$A$5001,"&gt;="&amp;C92,Modulo!$A$2:$A$5001,"&lt;"&amp;D92,Modulo!$D$2:$D$5001,Parametros!$B$7)))</f>
        <v/>
      </c>
      <c r="H92" s="25" t="str">
        <f aca="false">IF(A92="","",IFERROR(COUNTIFS(Amostragem!$A$2:$A$15003,"&gt;="&amp;C92,Amostragem!$A$2:$A$15003,"&lt;"&amp;D92,Amostragem!$B$2:$B$15003,"Automático",Amostragem!$C$2:$C$15003,"Automático",Amostragem!$D$2:$D$15003,0)/COUNTIFS(Amostragem!$A$2:$A$15003,"&gt;="&amp;C92,Amostragem!$A$2:$A$15003,"&lt;"&amp;D92),0))</f>
        <v/>
      </c>
      <c r="I92" s="23" t="str">
        <f aca="false">IF(A92="","",IFERROR(AVERAGEIFS(Amostragem!$E$2:$E$15003,Amostragem!$A$2:$A$15003,"&gt;="&amp;C92,Amostragem!$A$2:$A$15003,"&lt;"&amp;D92),""))</f>
        <v/>
      </c>
      <c r="J92" s="24" t="str">
        <f aca="false">IF(A92="","",IF(B92="","Inválida: sem resultado MES",IF(E92&lt;Parametros!$B$4,"Inválida: poucos ensaios do módulo",IF(H92&lt;Parametros!$B$5,"Inválida: amostragem em manual ou em falha",IF(OR(I92="",I92&lt;Parametros!$B$6),"Inválida: usina parada ou baixa alimentação","Válida")))))</f>
        <v/>
      </c>
      <c r="K92" s="23" t="str">
        <f aca="false">IF(J92="Válida",F92-B92,"")</f>
        <v/>
      </c>
      <c r="L92" s="26" t="str">
        <f aca="false">IF(J92="Válida",K92/B92,"")</f>
        <v/>
      </c>
      <c r="M92" s="23" t="str">
        <f aca="false">IF(J92="Válida",(F92+B92)/2,"")</f>
        <v/>
      </c>
      <c r="N92" s="24" t="str">
        <f aca="false">IF(K92="","",IF(OR(K92&gt;Resumo!$B$16,K92&lt;Resumo!$B$15),"Sim","Não"))</f>
        <v/>
      </c>
      <c r="O92" s="22" t="e">
        <f aca="false">IF(A92="",NA(),A92)</f>
        <v>#N/A</v>
      </c>
      <c r="P92" s="23" t="e">
        <f aca="false">IF(A92="",NA(),B92)</f>
        <v>#N/A</v>
      </c>
      <c r="Q92" s="23" t="e">
        <f aca="false">IF(F92="",NA(),F92)</f>
        <v>#N/A</v>
      </c>
      <c r="R92" s="23" t="e">
        <f aca="false">IF(K92="",NA(),K92)</f>
        <v>#N/A</v>
      </c>
      <c r="S92" s="23" t="e">
        <f aca="false">IF(M92="",NA(),M92)</f>
        <v>#N/A</v>
      </c>
      <c r="T92" s="23" t="str">
        <f aca="false">IF(J92="Válida",B92,"")</f>
        <v/>
      </c>
      <c r="U92" s="23" t="str">
        <f aca="false">IF(J92="Válida",F92,"")</f>
        <v/>
      </c>
    </row>
    <row r="93" customFormat="false" ht="15" hidden="false" customHeight="false" outlineLevel="0" collapsed="false">
      <c r="A93" s="22" t="str">
        <f aca="false">IF(MES!A93="","",MES!A93)</f>
        <v/>
      </c>
      <c r="B93" s="23" t="str">
        <f aca="false">IF(A93="","",MES!B93)</f>
        <v/>
      </c>
      <c r="C93" s="22" t="str">
        <f aca="false">IF(A93="","",A93+Parametros!$B$3/24)</f>
        <v/>
      </c>
      <c r="D93" s="22" t="str">
        <f aca="false">IF(A93="","",C93+Parametros!$B$2/24)</f>
        <v/>
      </c>
      <c r="E93" s="24" t="str">
        <f aca="false">IF(A93="","",COUNTIFS(Modulo!$A$2:$A$5001,"&gt;="&amp;C93,Modulo!$A$2:$A$5001,"&lt;"&amp;D93,Modulo!$D$2:$D$5001,Parametros!$B$7))</f>
        <v/>
      </c>
      <c r="F93" s="23" t="str">
        <f aca="false">IF(A93="","",IF(E93=0,"",AVERAGEIFS(Modulo!$B$2:$B$5001,Modulo!$A$2:$A$5001,"&gt;="&amp;C93,Modulo!$A$2:$A$5001,"&lt;"&amp;D93,Modulo!$D$2:$D$5001,Parametros!$B$7)))</f>
        <v/>
      </c>
      <c r="G93" s="23" t="str">
        <f aca="false">IF(A93="","",IF(E93=0,"",AVERAGEIFS(Modulo!$C$2:$C$5001,Modulo!$A$2:$A$5001,"&gt;="&amp;C93,Modulo!$A$2:$A$5001,"&lt;"&amp;D93,Modulo!$D$2:$D$5001,Parametros!$B$7)))</f>
        <v/>
      </c>
      <c r="H93" s="25" t="str">
        <f aca="false">IF(A93="","",IFERROR(COUNTIFS(Amostragem!$A$2:$A$15003,"&gt;="&amp;C93,Amostragem!$A$2:$A$15003,"&lt;"&amp;D93,Amostragem!$B$2:$B$15003,"Automático",Amostragem!$C$2:$C$15003,"Automático",Amostragem!$D$2:$D$15003,0)/COUNTIFS(Amostragem!$A$2:$A$15003,"&gt;="&amp;C93,Amostragem!$A$2:$A$15003,"&lt;"&amp;D93),0))</f>
        <v/>
      </c>
      <c r="I93" s="23" t="str">
        <f aca="false">IF(A93="","",IFERROR(AVERAGEIFS(Amostragem!$E$2:$E$15003,Amostragem!$A$2:$A$15003,"&gt;="&amp;C93,Amostragem!$A$2:$A$15003,"&lt;"&amp;D93),""))</f>
        <v/>
      </c>
      <c r="J93" s="24" t="str">
        <f aca="false">IF(A93="","",IF(B93="","Inválida: sem resultado MES",IF(E93&lt;Parametros!$B$4,"Inválida: poucos ensaios do módulo",IF(H93&lt;Parametros!$B$5,"Inválida: amostragem em manual ou em falha",IF(OR(I93="",I93&lt;Parametros!$B$6),"Inválida: usina parada ou baixa alimentação","Válida")))))</f>
        <v/>
      </c>
      <c r="K93" s="23" t="str">
        <f aca="false">IF(J93="Válida",F93-B93,"")</f>
        <v/>
      </c>
      <c r="L93" s="26" t="str">
        <f aca="false">IF(J93="Válida",K93/B93,"")</f>
        <v/>
      </c>
      <c r="M93" s="23" t="str">
        <f aca="false">IF(J93="Válida",(F93+B93)/2,"")</f>
        <v/>
      </c>
      <c r="N93" s="24" t="str">
        <f aca="false">IF(K93="","",IF(OR(K93&gt;Resumo!$B$16,K93&lt;Resumo!$B$15),"Sim","Não"))</f>
        <v/>
      </c>
      <c r="O93" s="22" t="e">
        <f aca="false">IF(A93="",NA(),A93)</f>
        <v>#N/A</v>
      </c>
      <c r="P93" s="23" t="e">
        <f aca="false">IF(A93="",NA(),B93)</f>
        <v>#N/A</v>
      </c>
      <c r="Q93" s="23" t="e">
        <f aca="false">IF(F93="",NA(),F93)</f>
        <v>#N/A</v>
      </c>
      <c r="R93" s="23" t="e">
        <f aca="false">IF(K93="",NA(),K93)</f>
        <v>#N/A</v>
      </c>
      <c r="S93" s="23" t="e">
        <f aca="false">IF(M93="",NA(),M93)</f>
        <v>#N/A</v>
      </c>
      <c r="T93" s="23" t="str">
        <f aca="false">IF(J93="Válida",B93,"")</f>
        <v/>
      </c>
      <c r="U93" s="23" t="str">
        <f aca="false">IF(J93="Válida",F93,"")</f>
        <v/>
      </c>
    </row>
    <row r="94" customFormat="false" ht="15" hidden="false" customHeight="false" outlineLevel="0" collapsed="false">
      <c r="A94" s="22" t="str">
        <f aca="false">IF(MES!A94="","",MES!A94)</f>
        <v/>
      </c>
      <c r="B94" s="23" t="str">
        <f aca="false">IF(A94="","",MES!B94)</f>
        <v/>
      </c>
      <c r="C94" s="22" t="str">
        <f aca="false">IF(A94="","",A94+Parametros!$B$3/24)</f>
        <v/>
      </c>
      <c r="D94" s="22" t="str">
        <f aca="false">IF(A94="","",C94+Parametros!$B$2/24)</f>
        <v/>
      </c>
      <c r="E94" s="24" t="str">
        <f aca="false">IF(A94="","",COUNTIFS(Modulo!$A$2:$A$5001,"&gt;="&amp;C94,Modulo!$A$2:$A$5001,"&lt;"&amp;D94,Modulo!$D$2:$D$5001,Parametros!$B$7))</f>
        <v/>
      </c>
      <c r="F94" s="23" t="str">
        <f aca="false">IF(A94="","",IF(E94=0,"",AVERAGEIFS(Modulo!$B$2:$B$5001,Modulo!$A$2:$A$5001,"&gt;="&amp;C94,Modulo!$A$2:$A$5001,"&lt;"&amp;D94,Modulo!$D$2:$D$5001,Parametros!$B$7)))</f>
        <v/>
      </c>
      <c r="G94" s="23" t="str">
        <f aca="false">IF(A94="","",IF(E94=0,"",AVERAGEIFS(Modulo!$C$2:$C$5001,Modulo!$A$2:$A$5001,"&gt;="&amp;C94,Modulo!$A$2:$A$5001,"&lt;"&amp;D94,Modulo!$D$2:$D$5001,Parametros!$B$7)))</f>
        <v/>
      </c>
      <c r="H94" s="25" t="str">
        <f aca="false">IF(A94="","",IFERROR(COUNTIFS(Amostragem!$A$2:$A$15003,"&gt;="&amp;C94,Amostragem!$A$2:$A$15003,"&lt;"&amp;D94,Amostragem!$B$2:$B$15003,"Automático",Amostragem!$C$2:$C$15003,"Automático",Amostragem!$D$2:$D$15003,0)/COUNTIFS(Amostragem!$A$2:$A$15003,"&gt;="&amp;C94,Amostragem!$A$2:$A$15003,"&lt;"&amp;D94),0))</f>
        <v/>
      </c>
      <c r="I94" s="23" t="str">
        <f aca="false">IF(A94="","",IFERROR(AVERAGEIFS(Amostragem!$E$2:$E$15003,Amostragem!$A$2:$A$15003,"&gt;="&amp;C94,Amostragem!$A$2:$A$15003,"&lt;"&amp;D94),""))</f>
        <v/>
      </c>
      <c r="J94" s="24" t="str">
        <f aca="false">IF(A94="","",IF(B94="","Inválida: sem resultado MES",IF(E94&lt;Parametros!$B$4,"Inválida: poucos ensaios do módulo",IF(H94&lt;Parametros!$B$5,"Inválida: amostragem em manual ou em falha",IF(OR(I94="",I94&lt;Parametros!$B$6),"Inválida: usina parada ou baixa alimentação","Válida")))))</f>
        <v/>
      </c>
      <c r="K94" s="23" t="str">
        <f aca="false">IF(J94="Válida",F94-B94,"")</f>
        <v/>
      </c>
      <c r="L94" s="26" t="str">
        <f aca="false">IF(J94="Válida",K94/B94,"")</f>
        <v/>
      </c>
      <c r="M94" s="23" t="str">
        <f aca="false">IF(J94="Válida",(F94+B94)/2,"")</f>
        <v/>
      </c>
      <c r="N94" s="24" t="str">
        <f aca="false">IF(K94="","",IF(OR(K94&gt;Resumo!$B$16,K94&lt;Resumo!$B$15),"Sim","Não"))</f>
        <v/>
      </c>
      <c r="O94" s="22" t="e">
        <f aca="false">IF(A94="",NA(),A94)</f>
        <v>#N/A</v>
      </c>
      <c r="P94" s="23" t="e">
        <f aca="false">IF(A94="",NA(),B94)</f>
        <v>#N/A</v>
      </c>
      <c r="Q94" s="23" t="e">
        <f aca="false">IF(F94="",NA(),F94)</f>
        <v>#N/A</v>
      </c>
      <c r="R94" s="23" t="e">
        <f aca="false">IF(K94="",NA(),K94)</f>
        <v>#N/A</v>
      </c>
      <c r="S94" s="23" t="e">
        <f aca="false">IF(M94="",NA(),M94)</f>
        <v>#N/A</v>
      </c>
      <c r="T94" s="23" t="str">
        <f aca="false">IF(J94="Válida",B94,"")</f>
        <v/>
      </c>
      <c r="U94" s="23" t="str">
        <f aca="false">IF(J94="Válida",F94,"")</f>
        <v/>
      </c>
    </row>
    <row r="95" customFormat="false" ht="15" hidden="false" customHeight="false" outlineLevel="0" collapsed="false">
      <c r="A95" s="22" t="str">
        <f aca="false">IF(MES!A95="","",MES!A95)</f>
        <v/>
      </c>
      <c r="B95" s="23" t="str">
        <f aca="false">IF(A95="","",MES!B95)</f>
        <v/>
      </c>
      <c r="C95" s="22" t="str">
        <f aca="false">IF(A95="","",A95+Parametros!$B$3/24)</f>
        <v/>
      </c>
      <c r="D95" s="22" t="str">
        <f aca="false">IF(A95="","",C95+Parametros!$B$2/24)</f>
        <v/>
      </c>
      <c r="E95" s="24" t="str">
        <f aca="false">IF(A95="","",COUNTIFS(Modulo!$A$2:$A$5001,"&gt;="&amp;C95,Modulo!$A$2:$A$5001,"&lt;"&amp;D95,Modulo!$D$2:$D$5001,Parametros!$B$7))</f>
        <v/>
      </c>
      <c r="F95" s="23" t="str">
        <f aca="false">IF(A95="","",IF(E95=0,"",AVERAGEIFS(Modulo!$B$2:$B$5001,Modulo!$A$2:$A$5001,"&gt;="&amp;C95,Modulo!$A$2:$A$5001,"&lt;"&amp;D95,Modulo!$D$2:$D$5001,Parametros!$B$7)))</f>
        <v/>
      </c>
      <c r="G95" s="23" t="str">
        <f aca="false">IF(A95="","",IF(E95=0,"",AVERAGEIFS(Modulo!$C$2:$C$5001,Modulo!$A$2:$A$5001,"&gt;="&amp;C95,Modulo!$A$2:$A$5001,"&lt;"&amp;D95,Modulo!$D$2:$D$5001,Parametros!$B$7)))</f>
        <v/>
      </c>
      <c r="H95" s="25" t="str">
        <f aca="false">IF(A95="","",IFERROR(COUNTIFS(Amostragem!$A$2:$A$15003,"&gt;="&amp;C95,Amostragem!$A$2:$A$15003,"&lt;"&amp;D95,Amostragem!$B$2:$B$15003,"Automático",Amostragem!$C$2:$C$15003,"Automático",Amostragem!$D$2:$D$15003,0)/COUNTIFS(Amostragem!$A$2:$A$15003,"&gt;="&amp;C95,Amostragem!$A$2:$A$15003,"&lt;"&amp;D95),0))</f>
        <v/>
      </c>
      <c r="I95" s="23" t="str">
        <f aca="false">IF(A95="","",IFERROR(AVERAGEIFS(Amostragem!$E$2:$E$15003,Amostragem!$A$2:$A$15003,"&gt;="&amp;C95,Amostragem!$A$2:$A$15003,"&lt;"&amp;D95),""))</f>
        <v/>
      </c>
      <c r="J95" s="24" t="str">
        <f aca="false">IF(A95="","",IF(B95="","Inválida: sem resultado MES",IF(E95&lt;Parametros!$B$4,"Inválida: poucos ensaios do módulo",IF(H95&lt;Parametros!$B$5,"Inválida: amostragem em manual ou em falha",IF(OR(I95="",I95&lt;Parametros!$B$6),"Inválida: usina parada ou baixa alimentação","Válida")))))</f>
        <v/>
      </c>
      <c r="K95" s="23" t="str">
        <f aca="false">IF(J95="Válida",F95-B95,"")</f>
        <v/>
      </c>
      <c r="L95" s="26" t="str">
        <f aca="false">IF(J95="Válida",K95/B95,"")</f>
        <v/>
      </c>
      <c r="M95" s="23" t="str">
        <f aca="false">IF(J95="Válida",(F95+B95)/2,"")</f>
        <v/>
      </c>
      <c r="N95" s="24" t="str">
        <f aca="false">IF(K95="","",IF(OR(K95&gt;Resumo!$B$16,K95&lt;Resumo!$B$15),"Sim","Não"))</f>
        <v/>
      </c>
      <c r="O95" s="22" t="e">
        <f aca="false">IF(A95="",NA(),A95)</f>
        <v>#N/A</v>
      </c>
      <c r="P95" s="23" t="e">
        <f aca="false">IF(A95="",NA(),B95)</f>
        <v>#N/A</v>
      </c>
      <c r="Q95" s="23" t="e">
        <f aca="false">IF(F95="",NA(),F95)</f>
        <v>#N/A</v>
      </c>
      <c r="R95" s="23" t="e">
        <f aca="false">IF(K95="",NA(),K95)</f>
        <v>#N/A</v>
      </c>
      <c r="S95" s="23" t="e">
        <f aca="false">IF(M95="",NA(),M95)</f>
        <v>#N/A</v>
      </c>
      <c r="T95" s="23" t="str">
        <f aca="false">IF(J95="Válida",B95,"")</f>
        <v/>
      </c>
      <c r="U95" s="23" t="str">
        <f aca="false">IF(J95="Válida",F95,"")</f>
        <v/>
      </c>
    </row>
    <row r="96" customFormat="false" ht="15" hidden="false" customHeight="false" outlineLevel="0" collapsed="false">
      <c r="A96" s="22" t="str">
        <f aca="false">IF(MES!A96="","",MES!A96)</f>
        <v/>
      </c>
      <c r="B96" s="23" t="str">
        <f aca="false">IF(A96="","",MES!B96)</f>
        <v/>
      </c>
      <c r="C96" s="22" t="str">
        <f aca="false">IF(A96="","",A96+Parametros!$B$3/24)</f>
        <v/>
      </c>
      <c r="D96" s="22" t="str">
        <f aca="false">IF(A96="","",C96+Parametros!$B$2/24)</f>
        <v/>
      </c>
      <c r="E96" s="24" t="str">
        <f aca="false">IF(A96="","",COUNTIFS(Modulo!$A$2:$A$5001,"&gt;="&amp;C96,Modulo!$A$2:$A$5001,"&lt;"&amp;D96,Modulo!$D$2:$D$5001,Parametros!$B$7))</f>
        <v/>
      </c>
      <c r="F96" s="23" t="str">
        <f aca="false">IF(A96="","",IF(E96=0,"",AVERAGEIFS(Modulo!$B$2:$B$5001,Modulo!$A$2:$A$5001,"&gt;="&amp;C96,Modulo!$A$2:$A$5001,"&lt;"&amp;D96,Modulo!$D$2:$D$5001,Parametros!$B$7)))</f>
        <v/>
      </c>
      <c r="G96" s="23" t="str">
        <f aca="false">IF(A96="","",IF(E96=0,"",AVERAGEIFS(Modulo!$C$2:$C$5001,Modulo!$A$2:$A$5001,"&gt;="&amp;C96,Modulo!$A$2:$A$5001,"&lt;"&amp;D96,Modulo!$D$2:$D$5001,Parametros!$B$7)))</f>
        <v/>
      </c>
      <c r="H96" s="25" t="str">
        <f aca="false">IF(A96="","",IFERROR(COUNTIFS(Amostragem!$A$2:$A$15003,"&gt;="&amp;C96,Amostragem!$A$2:$A$15003,"&lt;"&amp;D96,Amostragem!$B$2:$B$15003,"Automático",Amostragem!$C$2:$C$15003,"Automático",Amostragem!$D$2:$D$15003,0)/COUNTIFS(Amostragem!$A$2:$A$15003,"&gt;="&amp;C96,Amostragem!$A$2:$A$15003,"&lt;"&amp;D96),0))</f>
        <v/>
      </c>
      <c r="I96" s="23" t="str">
        <f aca="false">IF(A96="","",IFERROR(AVERAGEIFS(Amostragem!$E$2:$E$15003,Amostragem!$A$2:$A$15003,"&gt;="&amp;C96,Amostragem!$A$2:$A$15003,"&lt;"&amp;D96),""))</f>
        <v/>
      </c>
      <c r="J96" s="24" t="str">
        <f aca="false">IF(A96="","",IF(B96="","Inválida: sem resultado MES",IF(E96&lt;Parametros!$B$4,"Inválida: poucos ensaios do módulo",IF(H96&lt;Parametros!$B$5,"Inválida: amostragem em manual ou em falha",IF(OR(I96="",I96&lt;Parametros!$B$6),"Inválida: usina parada ou baixa alimentação","Válida")))))</f>
        <v/>
      </c>
      <c r="K96" s="23" t="str">
        <f aca="false">IF(J96="Válida",F96-B96,"")</f>
        <v/>
      </c>
      <c r="L96" s="26" t="str">
        <f aca="false">IF(J96="Válida",K96/B96,"")</f>
        <v/>
      </c>
      <c r="M96" s="23" t="str">
        <f aca="false">IF(J96="Válida",(F96+B96)/2,"")</f>
        <v/>
      </c>
      <c r="N96" s="24" t="str">
        <f aca="false">IF(K96="","",IF(OR(K96&gt;Resumo!$B$16,K96&lt;Resumo!$B$15),"Sim","Não"))</f>
        <v/>
      </c>
      <c r="O96" s="22" t="e">
        <f aca="false">IF(A96="",NA(),A96)</f>
        <v>#N/A</v>
      </c>
      <c r="P96" s="23" t="e">
        <f aca="false">IF(A96="",NA(),B96)</f>
        <v>#N/A</v>
      </c>
      <c r="Q96" s="23" t="e">
        <f aca="false">IF(F96="",NA(),F96)</f>
        <v>#N/A</v>
      </c>
      <c r="R96" s="23" t="e">
        <f aca="false">IF(K96="",NA(),K96)</f>
        <v>#N/A</v>
      </c>
      <c r="S96" s="23" t="e">
        <f aca="false">IF(M96="",NA(),M96)</f>
        <v>#N/A</v>
      </c>
      <c r="T96" s="23" t="str">
        <f aca="false">IF(J96="Válida",B96,"")</f>
        <v/>
      </c>
      <c r="U96" s="23" t="str">
        <f aca="false">IF(J96="Válida",F96,"")</f>
        <v/>
      </c>
    </row>
    <row r="97" customFormat="false" ht="15" hidden="false" customHeight="false" outlineLevel="0" collapsed="false">
      <c r="A97" s="22" t="str">
        <f aca="false">IF(MES!A97="","",MES!A97)</f>
        <v/>
      </c>
      <c r="B97" s="23" t="str">
        <f aca="false">IF(A97="","",MES!B97)</f>
        <v/>
      </c>
      <c r="C97" s="22" t="str">
        <f aca="false">IF(A97="","",A97+Parametros!$B$3/24)</f>
        <v/>
      </c>
      <c r="D97" s="22" t="str">
        <f aca="false">IF(A97="","",C97+Parametros!$B$2/24)</f>
        <v/>
      </c>
      <c r="E97" s="24" t="str">
        <f aca="false">IF(A97="","",COUNTIFS(Modulo!$A$2:$A$5001,"&gt;="&amp;C97,Modulo!$A$2:$A$5001,"&lt;"&amp;D97,Modulo!$D$2:$D$5001,Parametros!$B$7))</f>
        <v/>
      </c>
      <c r="F97" s="23" t="str">
        <f aca="false">IF(A97="","",IF(E97=0,"",AVERAGEIFS(Modulo!$B$2:$B$5001,Modulo!$A$2:$A$5001,"&gt;="&amp;C97,Modulo!$A$2:$A$5001,"&lt;"&amp;D97,Modulo!$D$2:$D$5001,Parametros!$B$7)))</f>
        <v/>
      </c>
      <c r="G97" s="23" t="str">
        <f aca="false">IF(A97="","",IF(E97=0,"",AVERAGEIFS(Modulo!$C$2:$C$5001,Modulo!$A$2:$A$5001,"&gt;="&amp;C97,Modulo!$A$2:$A$5001,"&lt;"&amp;D97,Modulo!$D$2:$D$5001,Parametros!$B$7)))</f>
        <v/>
      </c>
      <c r="H97" s="25" t="str">
        <f aca="false">IF(A97="","",IFERROR(COUNTIFS(Amostragem!$A$2:$A$15003,"&gt;="&amp;C97,Amostragem!$A$2:$A$15003,"&lt;"&amp;D97,Amostragem!$B$2:$B$15003,"Automático",Amostragem!$C$2:$C$15003,"Automático",Amostragem!$D$2:$D$15003,0)/COUNTIFS(Amostragem!$A$2:$A$15003,"&gt;="&amp;C97,Amostragem!$A$2:$A$15003,"&lt;"&amp;D97),0))</f>
        <v/>
      </c>
      <c r="I97" s="23" t="str">
        <f aca="false">IF(A97="","",IFERROR(AVERAGEIFS(Amostragem!$E$2:$E$15003,Amostragem!$A$2:$A$15003,"&gt;="&amp;C97,Amostragem!$A$2:$A$15003,"&lt;"&amp;D97),""))</f>
        <v/>
      </c>
      <c r="J97" s="24" t="str">
        <f aca="false">IF(A97="","",IF(B97="","Inválida: sem resultado MES",IF(E97&lt;Parametros!$B$4,"Inválida: poucos ensaios do módulo",IF(H97&lt;Parametros!$B$5,"Inválida: amostragem em manual ou em falha",IF(OR(I97="",I97&lt;Parametros!$B$6),"Inválida: usina parada ou baixa alimentação","Válida")))))</f>
        <v/>
      </c>
      <c r="K97" s="23" t="str">
        <f aca="false">IF(J97="Válida",F97-B97,"")</f>
        <v/>
      </c>
      <c r="L97" s="26" t="str">
        <f aca="false">IF(J97="Válida",K97/B97,"")</f>
        <v/>
      </c>
      <c r="M97" s="23" t="str">
        <f aca="false">IF(J97="Válida",(F97+B97)/2,"")</f>
        <v/>
      </c>
      <c r="N97" s="24" t="str">
        <f aca="false">IF(K97="","",IF(OR(K97&gt;Resumo!$B$16,K97&lt;Resumo!$B$15),"Sim","Não"))</f>
        <v/>
      </c>
      <c r="O97" s="22" t="e">
        <f aca="false">IF(A97="",NA(),A97)</f>
        <v>#N/A</v>
      </c>
      <c r="P97" s="23" t="e">
        <f aca="false">IF(A97="",NA(),B97)</f>
        <v>#N/A</v>
      </c>
      <c r="Q97" s="23" t="e">
        <f aca="false">IF(F97="",NA(),F97)</f>
        <v>#N/A</v>
      </c>
      <c r="R97" s="23" t="e">
        <f aca="false">IF(K97="",NA(),K97)</f>
        <v>#N/A</v>
      </c>
      <c r="S97" s="23" t="e">
        <f aca="false">IF(M97="",NA(),M97)</f>
        <v>#N/A</v>
      </c>
      <c r="T97" s="23" t="str">
        <f aca="false">IF(J97="Válida",B97,"")</f>
        <v/>
      </c>
      <c r="U97" s="23" t="str">
        <f aca="false">IF(J97="Válida",F97,"")</f>
        <v/>
      </c>
    </row>
    <row r="98" customFormat="false" ht="15" hidden="false" customHeight="false" outlineLevel="0" collapsed="false">
      <c r="A98" s="22" t="str">
        <f aca="false">IF(MES!A98="","",MES!A98)</f>
        <v/>
      </c>
      <c r="B98" s="23" t="str">
        <f aca="false">IF(A98="","",MES!B98)</f>
        <v/>
      </c>
      <c r="C98" s="22" t="str">
        <f aca="false">IF(A98="","",A98+Parametros!$B$3/24)</f>
        <v/>
      </c>
      <c r="D98" s="22" t="str">
        <f aca="false">IF(A98="","",C98+Parametros!$B$2/24)</f>
        <v/>
      </c>
      <c r="E98" s="24" t="str">
        <f aca="false">IF(A98="","",COUNTIFS(Modulo!$A$2:$A$5001,"&gt;="&amp;C98,Modulo!$A$2:$A$5001,"&lt;"&amp;D98,Modulo!$D$2:$D$5001,Parametros!$B$7))</f>
        <v/>
      </c>
      <c r="F98" s="23" t="str">
        <f aca="false">IF(A98="","",IF(E98=0,"",AVERAGEIFS(Modulo!$B$2:$B$5001,Modulo!$A$2:$A$5001,"&gt;="&amp;C98,Modulo!$A$2:$A$5001,"&lt;"&amp;D98,Modulo!$D$2:$D$5001,Parametros!$B$7)))</f>
        <v/>
      </c>
      <c r="G98" s="23" t="str">
        <f aca="false">IF(A98="","",IF(E98=0,"",AVERAGEIFS(Modulo!$C$2:$C$5001,Modulo!$A$2:$A$5001,"&gt;="&amp;C98,Modulo!$A$2:$A$5001,"&lt;"&amp;D98,Modulo!$D$2:$D$5001,Parametros!$B$7)))</f>
        <v/>
      </c>
      <c r="H98" s="25" t="str">
        <f aca="false">IF(A98="","",IFERROR(COUNTIFS(Amostragem!$A$2:$A$15003,"&gt;="&amp;C98,Amostragem!$A$2:$A$15003,"&lt;"&amp;D98,Amostragem!$B$2:$B$15003,"Automático",Amostragem!$C$2:$C$15003,"Automático",Amostragem!$D$2:$D$15003,0)/COUNTIFS(Amostragem!$A$2:$A$15003,"&gt;="&amp;C98,Amostragem!$A$2:$A$15003,"&lt;"&amp;D98),0))</f>
        <v/>
      </c>
      <c r="I98" s="23" t="str">
        <f aca="false">IF(A98="","",IFERROR(AVERAGEIFS(Amostragem!$E$2:$E$15003,Amostragem!$A$2:$A$15003,"&gt;="&amp;C98,Amostragem!$A$2:$A$15003,"&lt;"&amp;D98),""))</f>
        <v/>
      </c>
      <c r="J98" s="24" t="str">
        <f aca="false">IF(A98="","",IF(B98="","Inválida: sem resultado MES",IF(E98&lt;Parametros!$B$4,"Inválida: poucos ensaios do módulo",IF(H98&lt;Parametros!$B$5,"Inválida: amostragem em manual ou em falha",IF(OR(I98="",I98&lt;Parametros!$B$6),"Inválida: usina parada ou baixa alimentação","Válida")))))</f>
        <v/>
      </c>
      <c r="K98" s="23" t="str">
        <f aca="false">IF(J98="Válida",F98-B98,"")</f>
        <v/>
      </c>
      <c r="L98" s="26" t="str">
        <f aca="false">IF(J98="Válida",K98/B98,"")</f>
        <v/>
      </c>
      <c r="M98" s="23" t="str">
        <f aca="false">IF(J98="Válida",(F98+B98)/2,"")</f>
        <v/>
      </c>
      <c r="N98" s="24" t="str">
        <f aca="false">IF(K98="","",IF(OR(K98&gt;Resumo!$B$16,K98&lt;Resumo!$B$15),"Sim","Não"))</f>
        <v/>
      </c>
      <c r="O98" s="22" t="e">
        <f aca="false">IF(A98="",NA(),A98)</f>
        <v>#N/A</v>
      </c>
      <c r="P98" s="23" t="e">
        <f aca="false">IF(A98="",NA(),B98)</f>
        <v>#N/A</v>
      </c>
      <c r="Q98" s="23" t="e">
        <f aca="false">IF(F98="",NA(),F98)</f>
        <v>#N/A</v>
      </c>
      <c r="R98" s="23" t="e">
        <f aca="false">IF(K98="",NA(),K98)</f>
        <v>#N/A</v>
      </c>
      <c r="S98" s="23" t="e">
        <f aca="false">IF(M98="",NA(),M98)</f>
        <v>#N/A</v>
      </c>
      <c r="T98" s="23" t="str">
        <f aca="false">IF(J98="Válida",B98,"")</f>
        <v/>
      </c>
      <c r="U98" s="23" t="str">
        <f aca="false">IF(J98="Válida",F98,"")</f>
        <v/>
      </c>
    </row>
    <row r="99" customFormat="false" ht="15" hidden="false" customHeight="false" outlineLevel="0" collapsed="false">
      <c r="A99" s="22" t="str">
        <f aca="false">IF(MES!A99="","",MES!A99)</f>
        <v/>
      </c>
      <c r="B99" s="23" t="str">
        <f aca="false">IF(A99="","",MES!B99)</f>
        <v/>
      </c>
      <c r="C99" s="22" t="str">
        <f aca="false">IF(A99="","",A99+Parametros!$B$3/24)</f>
        <v/>
      </c>
      <c r="D99" s="22" t="str">
        <f aca="false">IF(A99="","",C99+Parametros!$B$2/24)</f>
        <v/>
      </c>
      <c r="E99" s="24" t="str">
        <f aca="false">IF(A99="","",COUNTIFS(Modulo!$A$2:$A$5001,"&gt;="&amp;C99,Modulo!$A$2:$A$5001,"&lt;"&amp;D99,Modulo!$D$2:$D$5001,Parametros!$B$7))</f>
        <v/>
      </c>
      <c r="F99" s="23" t="str">
        <f aca="false">IF(A99="","",IF(E99=0,"",AVERAGEIFS(Modulo!$B$2:$B$5001,Modulo!$A$2:$A$5001,"&gt;="&amp;C99,Modulo!$A$2:$A$5001,"&lt;"&amp;D99,Modulo!$D$2:$D$5001,Parametros!$B$7)))</f>
        <v/>
      </c>
      <c r="G99" s="23" t="str">
        <f aca="false">IF(A99="","",IF(E99=0,"",AVERAGEIFS(Modulo!$C$2:$C$5001,Modulo!$A$2:$A$5001,"&gt;="&amp;C99,Modulo!$A$2:$A$5001,"&lt;"&amp;D99,Modulo!$D$2:$D$5001,Parametros!$B$7)))</f>
        <v/>
      </c>
      <c r="H99" s="25" t="str">
        <f aca="false">IF(A99="","",IFERROR(COUNTIFS(Amostragem!$A$2:$A$15003,"&gt;="&amp;C99,Amostragem!$A$2:$A$15003,"&lt;"&amp;D99,Amostragem!$B$2:$B$15003,"Automático",Amostragem!$C$2:$C$15003,"Automático",Amostragem!$D$2:$D$15003,0)/COUNTIFS(Amostragem!$A$2:$A$15003,"&gt;="&amp;C99,Amostragem!$A$2:$A$15003,"&lt;"&amp;D99),0))</f>
        <v/>
      </c>
      <c r="I99" s="23" t="str">
        <f aca="false">IF(A99="","",IFERROR(AVERAGEIFS(Amostragem!$E$2:$E$15003,Amostragem!$A$2:$A$15003,"&gt;="&amp;C99,Amostragem!$A$2:$A$15003,"&lt;"&amp;D99),""))</f>
        <v/>
      </c>
      <c r="J99" s="24" t="str">
        <f aca="false">IF(A99="","",IF(B99="","Inválida: sem resultado MES",IF(E99&lt;Parametros!$B$4,"Inválida: poucos ensaios do módulo",IF(H99&lt;Parametros!$B$5,"Inválida: amostragem em manual ou em falha",IF(OR(I99="",I99&lt;Parametros!$B$6),"Inválida: usina parada ou baixa alimentação","Válida")))))</f>
        <v/>
      </c>
      <c r="K99" s="23" t="str">
        <f aca="false">IF(J99="Válida",F99-B99,"")</f>
        <v/>
      </c>
      <c r="L99" s="26" t="str">
        <f aca="false">IF(J99="Válida",K99/B99,"")</f>
        <v/>
      </c>
      <c r="M99" s="23" t="str">
        <f aca="false">IF(J99="Válida",(F99+B99)/2,"")</f>
        <v/>
      </c>
      <c r="N99" s="24" t="str">
        <f aca="false">IF(K99="","",IF(OR(K99&gt;Resumo!$B$16,K99&lt;Resumo!$B$15),"Sim","Não"))</f>
        <v/>
      </c>
      <c r="O99" s="22" t="e">
        <f aca="false">IF(A99="",NA(),A99)</f>
        <v>#N/A</v>
      </c>
      <c r="P99" s="23" t="e">
        <f aca="false">IF(A99="",NA(),B99)</f>
        <v>#N/A</v>
      </c>
      <c r="Q99" s="23" t="e">
        <f aca="false">IF(F99="",NA(),F99)</f>
        <v>#N/A</v>
      </c>
      <c r="R99" s="23" t="e">
        <f aca="false">IF(K99="",NA(),K99)</f>
        <v>#N/A</v>
      </c>
      <c r="S99" s="23" t="e">
        <f aca="false">IF(M99="",NA(),M99)</f>
        <v>#N/A</v>
      </c>
      <c r="T99" s="23" t="str">
        <f aca="false">IF(J99="Válida",B99,"")</f>
        <v/>
      </c>
      <c r="U99" s="23" t="str">
        <f aca="false">IF(J99="Válida",F99,"")</f>
        <v/>
      </c>
    </row>
    <row r="100" customFormat="false" ht="15" hidden="false" customHeight="false" outlineLevel="0" collapsed="false">
      <c r="A100" s="22" t="str">
        <f aca="false">IF(MES!A100="","",MES!A100)</f>
        <v/>
      </c>
      <c r="B100" s="23" t="str">
        <f aca="false">IF(A100="","",MES!B100)</f>
        <v/>
      </c>
      <c r="C100" s="22" t="str">
        <f aca="false">IF(A100="","",A100+Parametros!$B$3/24)</f>
        <v/>
      </c>
      <c r="D100" s="22" t="str">
        <f aca="false">IF(A100="","",C100+Parametros!$B$2/24)</f>
        <v/>
      </c>
      <c r="E100" s="24" t="str">
        <f aca="false">IF(A100="","",COUNTIFS(Modulo!$A$2:$A$5001,"&gt;="&amp;C100,Modulo!$A$2:$A$5001,"&lt;"&amp;D100,Modulo!$D$2:$D$5001,Parametros!$B$7))</f>
        <v/>
      </c>
      <c r="F100" s="23" t="str">
        <f aca="false">IF(A100="","",IF(E100=0,"",AVERAGEIFS(Modulo!$B$2:$B$5001,Modulo!$A$2:$A$5001,"&gt;="&amp;C100,Modulo!$A$2:$A$5001,"&lt;"&amp;D100,Modulo!$D$2:$D$5001,Parametros!$B$7)))</f>
        <v/>
      </c>
      <c r="G100" s="23" t="str">
        <f aca="false">IF(A100="","",IF(E100=0,"",AVERAGEIFS(Modulo!$C$2:$C$5001,Modulo!$A$2:$A$5001,"&gt;="&amp;C100,Modulo!$A$2:$A$5001,"&lt;"&amp;D100,Modulo!$D$2:$D$5001,Parametros!$B$7)))</f>
        <v/>
      </c>
      <c r="H100" s="25" t="str">
        <f aca="false">IF(A100="","",IFERROR(COUNTIFS(Amostragem!$A$2:$A$15003,"&gt;="&amp;C100,Amostragem!$A$2:$A$15003,"&lt;"&amp;D100,Amostragem!$B$2:$B$15003,"Automático",Amostragem!$C$2:$C$15003,"Automático",Amostragem!$D$2:$D$15003,0)/COUNTIFS(Amostragem!$A$2:$A$15003,"&gt;="&amp;C100,Amostragem!$A$2:$A$15003,"&lt;"&amp;D100),0))</f>
        <v/>
      </c>
      <c r="I100" s="23" t="str">
        <f aca="false">IF(A100="","",IFERROR(AVERAGEIFS(Amostragem!$E$2:$E$15003,Amostragem!$A$2:$A$15003,"&gt;="&amp;C100,Amostragem!$A$2:$A$15003,"&lt;"&amp;D100),""))</f>
        <v/>
      </c>
      <c r="J100" s="24" t="str">
        <f aca="false">IF(A100="","",IF(B100="","Inválida: sem resultado MES",IF(E100&lt;Parametros!$B$4,"Inválida: poucos ensaios do módulo",IF(H100&lt;Parametros!$B$5,"Inválida: amostragem em manual ou em falha",IF(OR(I100="",I100&lt;Parametros!$B$6),"Inválida: usina parada ou baixa alimentação","Válida")))))</f>
        <v/>
      </c>
      <c r="K100" s="23" t="str">
        <f aca="false">IF(J100="Válida",F100-B100,"")</f>
        <v/>
      </c>
      <c r="L100" s="26" t="str">
        <f aca="false">IF(J100="Válida",K100/B100,"")</f>
        <v/>
      </c>
      <c r="M100" s="23" t="str">
        <f aca="false">IF(J100="Válida",(F100+B100)/2,"")</f>
        <v/>
      </c>
      <c r="N100" s="24" t="str">
        <f aca="false">IF(K100="","",IF(OR(K100&gt;Resumo!$B$16,K100&lt;Resumo!$B$15),"Sim","Não"))</f>
        <v/>
      </c>
      <c r="O100" s="22" t="e">
        <f aca="false">IF(A100="",NA(),A100)</f>
        <v>#N/A</v>
      </c>
      <c r="P100" s="23" t="e">
        <f aca="false">IF(A100="",NA(),B100)</f>
        <v>#N/A</v>
      </c>
      <c r="Q100" s="23" t="e">
        <f aca="false">IF(F100="",NA(),F100)</f>
        <v>#N/A</v>
      </c>
      <c r="R100" s="23" t="e">
        <f aca="false">IF(K100="",NA(),K100)</f>
        <v>#N/A</v>
      </c>
      <c r="S100" s="23" t="e">
        <f aca="false">IF(M100="",NA(),M100)</f>
        <v>#N/A</v>
      </c>
      <c r="T100" s="23" t="str">
        <f aca="false">IF(J100="Válida",B100,"")</f>
        <v/>
      </c>
      <c r="U100" s="23" t="str">
        <f aca="false">IF(J100="Válida",F100,"")</f>
        <v/>
      </c>
    </row>
    <row r="101" customFormat="false" ht="15" hidden="false" customHeight="false" outlineLevel="0" collapsed="false">
      <c r="A101" s="22" t="str">
        <f aca="false">IF(MES!A101="","",MES!A101)</f>
        <v/>
      </c>
      <c r="B101" s="23" t="str">
        <f aca="false">IF(A101="","",MES!B101)</f>
        <v/>
      </c>
      <c r="C101" s="22" t="str">
        <f aca="false">IF(A101="","",A101+Parametros!$B$3/24)</f>
        <v/>
      </c>
      <c r="D101" s="22" t="str">
        <f aca="false">IF(A101="","",C101+Parametros!$B$2/24)</f>
        <v/>
      </c>
      <c r="E101" s="24" t="str">
        <f aca="false">IF(A101="","",COUNTIFS(Modulo!$A$2:$A$5001,"&gt;="&amp;C101,Modulo!$A$2:$A$5001,"&lt;"&amp;D101,Modulo!$D$2:$D$5001,Parametros!$B$7))</f>
        <v/>
      </c>
      <c r="F101" s="23" t="str">
        <f aca="false">IF(A101="","",IF(E101=0,"",AVERAGEIFS(Modulo!$B$2:$B$5001,Modulo!$A$2:$A$5001,"&gt;="&amp;C101,Modulo!$A$2:$A$5001,"&lt;"&amp;D101,Modulo!$D$2:$D$5001,Parametros!$B$7)))</f>
        <v/>
      </c>
      <c r="G101" s="23" t="str">
        <f aca="false">IF(A101="","",IF(E101=0,"",AVERAGEIFS(Modulo!$C$2:$C$5001,Modulo!$A$2:$A$5001,"&gt;="&amp;C101,Modulo!$A$2:$A$5001,"&lt;"&amp;D101,Modulo!$D$2:$D$5001,Parametros!$B$7)))</f>
        <v/>
      </c>
      <c r="H101" s="25" t="str">
        <f aca="false">IF(A101="","",IFERROR(COUNTIFS(Amostragem!$A$2:$A$15003,"&gt;="&amp;C101,Amostragem!$A$2:$A$15003,"&lt;"&amp;D101,Amostragem!$B$2:$B$15003,"Automático",Amostragem!$C$2:$C$15003,"Automático",Amostragem!$D$2:$D$15003,0)/COUNTIFS(Amostragem!$A$2:$A$15003,"&gt;="&amp;C101,Amostragem!$A$2:$A$15003,"&lt;"&amp;D101),0))</f>
        <v/>
      </c>
      <c r="I101" s="23" t="str">
        <f aca="false">IF(A101="","",IFERROR(AVERAGEIFS(Amostragem!$E$2:$E$15003,Amostragem!$A$2:$A$15003,"&gt;="&amp;C101,Amostragem!$A$2:$A$15003,"&lt;"&amp;D101),""))</f>
        <v/>
      </c>
      <c r="J101" s="24" t="str">
        <f aca="false">IF(A101="","",IF(B101="","Inválida: sem resultado MES",IF(E101&lt;Parametros!$B$4,"Inválida: poucos ensaios do módulo",IF(H101&lt;Parametros!$B$5,"Inválida: amostragem em manual ou em falha",IF(OR(I101="",I101&lt;Parametros!$B$6),"Inválida: usina parada ou baixa alimentação","Válida")))))</f>
        <v/>
      </c>
      <c r="K101" s="23" t="str">
        <f aca="false">IF(J101="Válida",F101-B101,"")</f>
        <v/>
      </c>
      <c r="L101" s="26" t="str">
        <f aca="false">IF(J101="Válida",K101/B101,"")</f>
        <v/>
      </c>
      <c r="M101" s="23" t="str">
        <f aca="false">IF(J101="Válida",(F101+B101)/2,"")</f>
        <v/>
      </c>
      <c r="N101" s="24" t="str">
        <f aca="false">IF(K101="","",IF(OR(K101&gt;Resumo!$B$16,K101&lt;Resumo!$B$15),"Sim","Não"))</f>
        <v/>
      </c>
      <c r="O101" s="22" t="e">
        <f aca="false">IF(A101="",NA(),A101)</f>
        <v>#N/A</v>
      </c>
      <c r="P101" s="23" t="e">
        <f aca="false">IF(A101="",NA(),B101)</f>
        <v>#N/A</v>
      </c>
      <c r="Q101" s="23" t="e">
        <f aca="false">IF(F101="",NA(),F101)</f>
        <v>#N/A</v>
      </c>
      <c r="R101" s="23" t="e">
        <f aca="false">IF(K101="",NA(),K101)</f>
        <v>#N/A</v>
      </c>
      <c r="S101" s="23" t="e">
        <f aca="false">IF(M101="",NA(),M101)</f>
        <v>#N/A</v>
      </c>
      <c r="T101" s="23" t="str">
        <f aca="false">IF(J101="Válida",B101,"")</f>
        <v/>
      </c>
      <c r="U101" s="23" t="str">
        <f aca="false">IF(J101="Válida",F101,"")</f>
        <v/>
      </c>
    </row>
    <row r="102" customFormat="false" ht="15" hidden="false" customHeight="false" outlineLevel="0" collapsed="false">
      <c r="A102" s="22" t="str">
        <f aca="false">IF(MES!A102="","",MES!A102)</f>
        <v/>
      </c>
      <c r="B102" s="23" t="str">
        <f aca="false">IF(A102="","",MES!B102)</f>
        <v/>
      </c>
      <c r="C102" s="22" t="str">
        <f aca="false">IF(A102="","",A102+Parametros!$B$3/24)</f>
        <v/>
      </c>
      <c r="D102" s="22" t="str">
        <f aca="false">IF(A102="","",C102+Parametros!$B$2/24)</f>
        <v/>
      </c>
      <c r="E102" s="24" t="str">
        <f aca="false">IF(A102="","",COUNTIFS(Modulo!$A$2:$A$5001,"&gt;="&amp;C102,Modulo!$A$2:$A$5001,"&lt;"&amp;D102,Modulo!$D$2:$D$5001,Parametros!$B$7))</f>
        <v/>
      </c>
      <c r="F102" s="23" t="str">
        <f aca="false">IF(A102="","",IF(E102=0,"",AVERAGEIFS(Modulo!$B$2:$B$5001,Modulo!$A$2:$A$5001,"&gt;="&amp;C102,Modulo!$A$2:$A$5001,"&lt;"&amp;D102,Modulo!$D$2:$D$5001,Parametros!$B$7)))</f>
        <v/>
      </c>
      <c r="G102" s="23" t="str">
        <f aca="false">IF(A102="","",IF(E102=0,"",AVERAGEIFS(Modulo!$C$2:$C$5001,Modulo!$A$2:$A$5001,"&gt;="&amp;C102,Modulo!$A$2:$A$5001,"&lt;"&amp;D102,Modulo!$D$2:$D$5001,Parametros!$B$7)))</f>
        <v/>
      </c>
      <c r="H102" s="25" t="str">
        <f aca="false">IF(A102="","",IFERROR(COUNTIFS(Amostragem!$A$2:$A$15003,"&gt;="&amp;C102,Amostragem!$A$2:$A$15003,"&lt;"&amp;D102,Amostragem!$B$2:$B$15003,"Automático",Amostragem!$C$2:$C$15003,"Automático",Amostragem!$D$2:$D$15003,0)/COUNTIFS(Amostragem!$A$2:$A$15003,"&gt;="&amp;C102,Amostragem!$A$2:$A$15003,"&lt;"&amp;D102),0))</f>
        <v/>
      </c>
      <c r="I102" s="23" t="str">
        <f aca="false">IF(A102="","",IFERROR(AVERAGEIFS(Amostragem!$E$2:$E$15003,Amostragem!$A$2:$A$15003,"&gt;="&amp;C102,Amostragem!$A$2:$A$15003,"&lt;"&amp;D102),""))</f>
        <v/>
      </c>
      <c r="J102" s="24" t="str">
        <f aca="false">IF(A102="","",IF(B102="","Inválida: sem resultado MES",IF(E102&lt;Parametros!$B$4,"Inválida: poucos ensaios do módulo",IF(H102&lt;Parametros!$B$5,"Inválida: amostragem em manual ou em falha",IF(OR(I102="",I102&lt;Parametros!$B$6),"Inválida: usina parada ou baixa alimentação","Válida")))))</f>
        <v/>
      </c>
      <c r="K102" s="23" t="str">
        <f aca="false">IF(J102="Válida",F102-B102,"")</f>
        <v/>
      </c>
      <c r="L102" s="26" t="str">
        <f aca="false">IF(J102="Válida",K102/B102,"")</f>
        <v/>
      </c>
      <c r="M102" s="23" t="str">
        <f aca="false">IF(J102="Válida",(F102+B102)/2,"")</f>
        <v/>
      </c>
      <c r="N102" s="24" t="str">
        <f aca="false">IF(K102="","",IF(OR(K102&gt;Resumo!$B$16,K102&lt;Resumo!$B$15),"Sim","Não"))</f>
        <v/>
      </c>
      <c r="O102" s="22" t="e">
        <f aca="false">IF(A102="",NA(),A102)</f>
        <v>#N/A</v>
      </c>
      <c r="P102" s="23" t="e">
        <f aca="false">IF(A102="",NA(),B102)</f>
        <v>#N/A</v>
      </c>
      <c r="Q102" s="23" t="e">
        <f aca="false">IF(F102="",NA(),F102)</f>
        <v>#N/A</v>
      </c>
      <c r="R102" s="23" t="e">
        <f aca="false">IF(K102="",NA(),K102)</f>
        <v>#N/A</v>
      </c>
      <c r="S102" s="23" t="e">
        <f aca="false">IF(M102="",NA(),M102)</f>
        <v>#N/A</v>
      </c>
      <c r="T102" s="23" t="str">
        <f aca="false">IF(J102="Válida",B102,"")</f>
        <v/>
      </c>
      <c r="U102" s="23" t="str">
        <f aca="false">IF(J102="Válida",F102,"")</f>
        <v/>
      </c>
    </row>
    <row r="103" customFormat="false" ht="15" hidden="false" customHeight="false" outlineLevel="0" collapsed="false">
      <c r="A103" s="22" t="str">
        <f aca="false">IF(MES!A103="","",MES!A103)</f>
        <v/>
      </c>
      <c r="B103" s="23" t="str">
        <f aca="false">IF(A103="","",MES!B103)</f>
        <v/>
      </c>
      <c r="C103" s="22" t="str">
        <f aca="false">IF(A103="","",A103+Parametros!$B$3/24)</f>
        <v/>
      </c>
      <c r="D103" s="22" t="str">
        <f aca="false">IF(A103="","",C103+Parametros!$B$2/24)</f>
        <v/>
      </c>
      <c r="E103" s="24" t="str">
        <f aca="false">IF(A103="","",COUNTIFS(Modulo!$A$2:$A$5001,"&gt;="&amp;C103,Modulo!$A$2:$A$5001,"&lt;"&amp;D103,Modulo!$D$2:$D$5001,Parametros!$B$7))</f>
        <v/>
      </c>
      <c r="F103" s="23" t="str">
        <f aca="false">IF(A103="","",IF(E103=0,"",AVERAGEIFS(Modulo!$B$2:$B$5001,Modulo!$A$2:$A$5001,"&gt;="&amp;C103,Modulo!$A$2:$A$5001,"&lt;"&amp;D103,Modulo!$D$2:$D$5001,Parametros!$B$7)))</f>
        <v/>
      </c>
      <c r="G103" s="23" t="str">
        <f aca="false">IF(A103="","",IF(E103=0,"",AVERAGEIFS(Modulo!$C$2:$C$5001,Modulo!$A$2:$A$5001,"&gt;="&amp;C103,Modulo!$A$2:$A$5001,"&lt;"&amp;D103,Modulo!$D$2:$D$5001,Parametros!$B$7)))</f>
        <v/>
      </c>
      <c r="H103" s="25" t="str">
        <f aca="false">IF(A103="","",IFERROR(COUNTIFS(Amostragem!$A$2:$A$15003,"&gt;="&amp;C103,Amostragem!$A$2:$A$15003,"&lt;"&amp;D103,Amostragem!$B$2:$B$15003,"Automático",Amostragem!$C$2:$C$15003,"Automático",Amostragem!$D$2:$D$15003,0)/COUNTIFS(Amostragem!$A$2:$A$15003,"&gt;="&amp;C103,Amostragem!$A$2:$A$15003,"&lt;"&amp;D103),0))</f>
        <v/>
      </c>
      <c r="I103" s="23" t="str">
        <f aca="false">IF(A103="","",IFERROR(AVERAGEIFS(Amostragem!$E$2:$E$15003,Amostragem!$A$2:$A$15003,"&gt;="&amp;C103,Amostragem!$A$2:$A$15003,"&lt;"&amp;D103),""))</f>
        <v/>
      </c>
      <c r="J103" s="24" t="str">
        <f aca="false">IF(A103="","",IF(B103="","Inválida: sem resultado MES",IF(E103&lt;Parametros!$B$4,"Inválida: poucos ensaios do módulo",IF(H103&lt;Parametros!$B$5,"Inválida: amostragem em manual ou em falha",IF(OR(I103="",I103&lt;Parametros!$B$6),"Inválida: usina parada ou baixa alimentação","Válida")))))</f>
        <v/>
      </c>
      <c r="K103" s="23" t="str">
        <f aca="false">IF(J103="Válida",F103-B103,"")</f>
        <v/>
      </c>
      <c r="L103" s="26" t="str">
        <f aca="false">IF(J103="Válida",K103/B103,"")</f>
        <v/>
      </c>
      <c r="M103" s="23" t="str">
        <f aca="false">IF(J103="Válida",(F103+B103)/2,"")</f>
        <v/>
      </c>
      <c r="N103" s="24" t="str">
        <f aca="false">IF(K103="","",IF(OR(K103&gt;Resumo!$B$16,K103&lt;Resumo!$B$15),"Sim","Não"))</f>
        <v/>
      </c>
      <c r="O103" s="22" t="e">
        <f aca="false">IF(A103="",NA(),A103)</f>
        <v>#N/A</v>
      </c>
      <c r="P103" s="23" t="e">
        <f aca="false">IF(A103="",NA(),B103)</f>
        <v>#N/A</v>
      </c>
      <c r="Q103" s="23" t="e">
        <f aca="false">IF(F103="",NA(),F103)</f>
        <v>#N/A</v>
      </c>
      <c r="R103" s="23" t="e">
        <f aca="false">IF(K103="",NA(),K103)</f>
        <v>#N/A</v>
      </c>
      <c r="S103" s="23" t="e">
        <f aca="false">IF(M103="",NA(),M103)</f>
        <v>#N/A</v>
      </c>
      <c r="T103" s="23" t="str">
        <f aca="false">IF(J103="Válida",B103,"")</f>
        <v/>
      </c>
      <c r="U103" s="23" t="str">
        <f aca="false">IF(J103="Válida",F103,"")</f>
        <v/>
      </c>
    </row>
    <row r="104" customFormat="false" ht="15" hidden="false" customHeight="false" outlineLevel="0" collapsed="false">
      <c r="A104" s="22" t="str">
        <f aca="false">IF(MES!A104="","",MES!A104)</f>
        <v/>
      </c>
      <c r="B104" s="23" t="str">
        <f aca="false">IF(A104="","",MES!B104)</f>
        <v/>
      </c>
      <c r="C104" s="22" t="str">
        <f aca="false">IF(A104="","",A104+Parametros!$B$3/24)</f>
        <v/>
      </c>
      <c r="D104" s="22" t="str">
        <f aca="false">IF(A104="","",C104+Parametros!$B$2/24)</f>
        <v/>
      </c>
      <c r="E104" s="24" t="str">
        <f aca="false">IF(A104="","",COUNTIFS(Modulo!$A$2:$A$5001,"&gt;="&amp;C104,Modulo!$A$2:$A$5001,"&lt;"&amp;D104,Modulo!$D$2:$D$5001,Parametros!$B$7))</f>
        <v/>
      </c>
      <c r="F104" s="23" t="str">
        <f aca="false">IF(A104="","",IF(E104=0,"",AVERAGEIFS(Modulo!$B$2:$B$5001,Modulo!$A$2:$A$5001,"&gt;="&amp;C104,Modulo!$A$2:$A$5001,"&lt;"&amp;D104,Modulo!$D$2:$D$5001,Parametros!$B$7)))</f>
        <v/>
      </c>
      <c r="G104" s="23" t="str">
        <f aca="false">IF(A104="","",IF(E104=0,"",AVERAGEIFS(Modulo!$C$2:$C$5001,Modulo!$A$2:$A$5001,"&gt;="&amp;C104,Modulo!$A$2:$A$5001,"&lt;"&amp;D104,Modulo!$D$2:$D$5001,Parametros!$B$7)))</f>
        <v/>
      </c>
      <c r="H104" s="25" t="str">
        <f aca="false">IF(A104="","",IFERROR(COUNTIFS(Amostragem!$A$2:$A$15003,"&gt;="&amp;C104,Amostragem!$A$2:$A$15003,"&lt;"&amp;D104,Amostragem!$B$2:$B$15003,"Automático",Amostragem!$C$2:$C$15003,"Automático",Amostragem!$D$2:$D$15003,0)/COUNTIFS(Amostragem!$A$2:$A$15003,"&gt;="&amp;C104,Amostragem!$A$2:$A$15003,"&lt;"&amp;D104),0))</f>
        <v/>
      </c>
      <c r="I104" s="23" t="str">
        <f aca="false">IF(A104="","",IFERROR(AVERAGEIFS(Amostragem!$E$2:$E$15003,Amostragem!$A$2:$A$15003,"&gt;="&amp;C104,Amostragem!$A$2:$A$15003,"&lt;"&amp;D104),""))</f>
        <v/>
      </c>
      <c r="J104" s="24" t="str">
        <f aca="false">IF(A104="","",IF(B104="","Inválida: sem resultado MES",IF(E104&lt;Parametros!$B$4,"Inválida: poucos ensaios do módulo",IF(H104&lt;Parametros!$B$5,"Inválida: amostragem em manual ou em falha",IF(OR(I104="",I104&lt;Parametros!$B$6),"Inválida: usina parada ou baixa alimentação","Válida")))))</f>
        <v/>
      </c>
      <c r="K104" s="23" t="str">
        <f aca="false">IF(J104="Válida",F104-B104,"")</f>
        <v/>
      </c>
      <c r="L104" s="26" t="str">
        <f aca="false">IF(J104="Válida",K104/B104,"")</f>
        <v/>
      </c>
      <c r="M104" s="23" t="str">
        <f aca="false">IF(J104="Válida",(F104+B104)/2,"")</f>
        <v/>
      </c>
      <c r="N104" s="24" t="str">
        <f aca="false">IF(K104="","",IF(OR(K104&gt;Resumo!$B$16,K104&lt;Resumo!$B$15),"Sim","Não"))</f>
        <v/>
      </c>
      <c r="O104" s="22" t="e">
        <f aca="false">IF(A104="",NA(),A104)</f>
        <v>#N/A</v>
      </c>
      <c r="P104" s="23" t="e">
        <f aca="false">IF(A104="",NA(),B104)</f>
        <v>#N/A</v>
      </c>
      <c r="Q104" s="23" t="e">
        <f aca="false">IF(F104="",NA(),F104)</f>
        <v>#N/A</v>
      </c>
      <c r="R104" s="23" t="e">
        <f aca="false">IF(K104="",NA(),K104)</f>
        <v>#N/A</v>
      </c>
      <c r="S104" s="23" t="e">
        <f aca="false">IF(M104="",NA(),M104)</f>
        <v>#N/A</v>
      </c>
      <c r="T104" s="23" t="str">
        <f aca="false">IF(J104="Válida",B104,"")</f>
        <v/>
      </c>
      <c r="U104" s="23" t="str">
        <f aca="false">IF(J104="Válida",F104,"")</f>
        <v/>
      </c>
    </row>
    <row r="105" customFormat="false" ht="15" hidden="false" customHeight="false" outlineLevel="0" collapsed="false">
      <c r="A105" s="22" t="str">
        <f aca="false">IF(MES!A105="","",MES!A105)</f>
        <v/>
      </c>
      <c r="B105" s="23" t="str">
        <f aca="false">IF(A105="","",MES!B105)</f>
        <v/>
      </c>
      <c r="C105" s="22" t="str">
        <f aca="false">IF(A105="","",A105+Parametros!$B$3/24)</f>
        <v/>
      </c>
      <c r="D105" s="22" t="str">
        <f aca="false">IF(A105="","",C105+Parametros!$B$2/24)</f>
        <v/>
      </c>
      <c r="E105" s="24" t="str">
        <f aca="false">IF(A105="","",COUNTIFS(Modulo!$A$2:$A$5001,"&gt;="&amp;C105,Modulo!$A$2:$A$5001,"&lt;"&amp;D105,Modulo!$D$2:$D$5001,Parametros!$B$7))</f>
        <v/>
      </c>
      <c r="F105" s="23" t="str">
        <f aca="false">IF(A105="","",IF(E105=0,"",AVERAGEIFS(Modulo!$B$2:$B$5001,Modulo!$A$2:$A$5001,"&gt;="&amp;C105,Modulo!$A$2:$A$5001,"&lt;"&amp;D105,Modulo!$D$2:$D$5001,Parametros!$B$7)))</f>
        <v/>
      </c>
      <c r="G105" s="23" t="str">
        <f aca="false">IF(A105="","",IF(E105=0,"",AVERAGEIFS(Modulo!$C$2:$C$5001,Modulo!$A$2:$A$5001,"&gt;="&amp;C105,Modulo!$A$2:$A$5001,"&lt;"&amp;D105,Modulo!$D$2:$D$5001,Parametros!$B$7)))</f>
        <v/>
      </c>
      <c r="H105" s="25" t="str">
        <f aca="false">IF(A105="","",IFERROR(COUNTIFS(Amostragem!$A$2:$A$15003,"&gt;="&amp;C105,Amostragem!$A$2:$A$15003,"&lt;"&amp;D105,Amostragem!$B$2:$B$15003,"Automático",Amostragem!$C$2:$C$15003,"Automático",Amostragem!$D$2:$D$15003,0)/COUNTIFS(Amostragem!$A$2:$A$15003,"&gt;="&amp;C105,Amostragem!$A$2:$A$15003,"&lt;"&amp;D105),0))</f>
        <v/>
      </c>
      <c r="I105" s="23" t="str">
        <f aca="false">IF(A105="","",IFERROR(AVERAGEIFS(Amostragem!$E$2:$E$15003,Amostragem!$A$2:$A$15003,"&gt;="&amp;C105,Amostragem!$A$2:$A$15003,"&lt;"&amp;D105),""))</f>
        <v/>
      </c>
      <c r="J105" s="24" t="str">
        <f aca="false">IF(A105="","",IF(B105="","Inválida: sem resultado MES",IF(E105&lt;Parametros!$B$4,"Inválida: poucos ensaios do módulo",IF(H105&lt;Parametros!$B$5,"Inválida: amostragem em manual ou em falha",IF(OR(I105="",I105&lt;Parametros!$B$6),"Inválida: usina parada ou baixa alimentação","Válida")))))</f>
        <v/>
      </c>
      <c r="K105" s="23" t="str">
        <f aca="false">IF(J105="Válida",F105-B105,"")</f>
        <v/>
      </c>
      <c r="L105" s="26" t="str">
        <f aca="false">IF(J105="Válida",K105/B105,"")</f>
        <v/>
      </c>
      <c r="M105" s="23" t="str">
        <f aca="false">IF(J105="Válida",(F105+B105)/2,"")</f>
        <v/>
      </c>
      <c r="N105" s="24" t="str">
        <f aca="false">IF(K105="","",IF(OR(K105&gt;Resumo!$B$16,K105&lt;Resumo!$B$15),"Sim","Não"))</f>
        <v/>
      </c>
      <c r="O105" s="22" t="e">
        <f aca="false">IF(A105="",NA(),A105)</f>
        <v>#N/A</v>
      </c>
      <c r="P105" s="23" t="e">
        <f aca="false">IF(A105="",NA(),B105)</f>
        <v>#N/A</v>
      </c>
      <c r="Q105" s="23" t="e">
        <f aca="false">IF(F105="",NA(),F105)</f>
        <v>#N/A</v>
      </c>
      <c r="R105" s="23" t="e">
        <f aca="false">IF(K105="",NA(),K105)</f>
        <v>#N/A</v>
      </c>
      <c r="S105" s="23" t="e">
        <f aca="false">IF(M105="",NA(),M105)</f>
        <v>#N/A</v>
      </c>
      <c r="T105" s="23" t="str">
        <f aca="false">IF(J105="Válida",B105,"")</f>
        <v/>
      </c>
      <c r="U105" s="23" t="str">
        <f aca="false">IF(J105="Válida",F105,"")</f>
        <v/>
      </c>
    </row>
    <row r="106" customFormat="false" ht="15" hidden="false" customHeight="false" outlineLevel="0" collapsed="false">
      <c r="A106" s="22" t="str">
        <f aca="false">IF(MES!A106="","",MES!A106)</f>
        <v/>
      </c>
      <c r="B106" s="23" t="str">
        <f aca="false">IF(A106="","",MES!B106)</f>
        <v/>
      </c>
      <c r="C106" s="22" t="str">
        <f aca="false">IF(A106="","",A106+Parametros!$B$3/24)</f>
        <v/>
      </c>
      <c r="D106" s="22" t="str">
        <f aca="false">IF(A106="","",C106+Parametros!$B$2/24)</f>
        <v/>
      </c>
      <c r="E106" s="24" t="str">
        <f aca="false">IF(A106="","",COUNTIFS(Modulo!$A$2:$A$5001,"&gt;="&amp;C106,Modulo!$A$2:$A$5001,"&lt;"&amp;D106,Modulo!$D$2:$D$5001,Parametros!$B$7))</f>
        <v/>
      </c>
      <c r="F106" s="23" t="str">
        <f aca="false">IF(A106="","",IF(E106=0,"",AVERAGEIFS(Modulo!$B$2:$B$5001,Modulo!$A$2:$A$5001,"&gt;="&amp;C106,Modulo!$A$2:$A$5001,"&lt;"&amp;D106,Modulo!$D$2:$D$5001,Parametros!$B$7)))</f>
        <v/>
      </c>
      <c r="G106" s="23" t="str">
        <f aca="false">IF(A106="","",IF(E106=0,"",AVERAGEIFS(Modulo!$C$2:$C$5001,Modulo!$A$2:$A$5001,"&gt;="&amp;C106,Modulo!$A$2:$A$5001,"&lt;"&amp;D106,Modulo!$D$2:$D$5001,Parametros!$B$7)))</f>
        <v/>
      </c>
      <c r="H106" s="25" t="str">
        <f aca="false">IF(A106="","",IFERROR(COUNTIFS(Amostragem!$A$2:$A$15003,"&gt;="&amp;C106,Amostragem!$A$2:$A$15003,"&lt;"&amp;D106,Amostragem!$B$2:$B$15003,"Automático",Amostragem!$C$2:$C$15003,"Automático",Amostragem!$D$2:$D$15003,0)/COUNTIFS(Amostragem!$A$2:$A$15003,"&gt;="&amp;C106,Amostragem!$A$2:$A$15003,"&lt;"&amp;D106),0))</f>
        <v/>
      </c>
      <c r="I106" s="23" t="str">
        <f aca="false">IF(A106="","",IFERROR(AVERAGEIFS(Amostragem!$E$2:$E$15003,Amostragem!$A$2:$A$15003,"&gt;="&amp;C106,Amostragem!$A$2:$A$15003,"&lt;"&amp;D106),""))</f>
        <v/>
      </c>
      <c r="J106" s="24" t="str">
        <f aca="false">IF(A106="","",IF(B106="","Inválida: sem resultado MES",IF(E106&lt;Parametros!$B$4,"Inválida: poucos ensaios do módulo",IF(H106&lt;Parametros!$B$5,"Inválida: amostragem em manual ou em falha",IF(OR(I106="",I106&lt;Parametros!$B$6),"Inválida: usina parada ou baixa alimentação","Válida")))))</f>
        <v/>
      </c>
      <c r="K106" s="23" t="str">
        <f aca="false">IF(J106="Válida",F106-B106,"")</f>
        <v/>
      </c>
      <c r="L106" s="26" t="str">
        <f aca="false">IF(J106="Válida",K106/B106,"")</f>
        <v/>
      </c>
      <c r="M106" s="23" t="str">
        <f aca="false">IF(J106="Válida",(F106+B106)/2,"")</f>
        <v/>
      </c>
      <c r="N106" s="24" t="str">
        <f aca="false">IF(K106="","",IF(OR(K106&gt;Resumo!$B$16,K106&lt;Resumo!$B$15),"Sim","Não"))</f>
        <v/>
      </c>
      <c r="O106" s="22" t="e">
        <f aca="false">IF(A106="",NA(),A106)</f>
        <v>#N/A</v>
      </c>
      <c r="P106" s="23" t="e">
        <f aca="false">IF(A106="",NA(),B106)</f>
        <v>#N/A</v>
      </c>
      <c r="Q106" s="23" t="e">
        <f aca="false">IF(F106="",NA(),F106)</f>
        <v>#N/A</v>
      </c>
      <c r="R106" s="23" t="e">
        <f aca="false">IF(K106="",NA(),K106)</f>
        <v>#N/A</v>
      </c>
      <c r="S106" s="23" t="e">
        <f aca="false">IF(M106="",NA(),M106)</f>
        <v>#N/A</v>
      </c>
      <c r="T106" s="23" t="str">
        <f aca="false">IF(J106="Válida",B106,"")</f>
        <v/>
      </c>
      <c r="U106" s="23" t="str">
        <f aca="false">IF(J106="Válida",F106,"")</f>
        <v/>
      </c>
    </row>
    <row r="107" customFormat="false" ht="15" hidden="false" customHeight="false" outlineLevel="0" collapsed="false">
      <c r="A107" s="22" t="str">
        <f aca="false">IF(MES!A107="","",MES!A107)</f>
        <v/>
      </c>
      <c r="B107" s="23" t="str">
        <f aca="false">IF(A107="","",MES!B107)</f>
        <v/>
      </c>
      <c r="C107" s="22" t="str">
        <f aca="false">IF(A107="","",A107+Parametros!$B$3/24)</f>
        <v/>
      </c>
      <c r="D107" s="22" t="str">
        <f aca="false">IF(A107="","",C107+Parametros!$B$2/24)</f>
        <v/>
      </c>
      <c r="E107" s="24" t="str">
        <f aca="false">IF(A107="","",COUNTIFS(Modulo!$A$2:$A$5001,"&gt;="&amp;C107,Modulo!$A$2:$A$5001,"&lt;"&amp;D107,Modulo!$D$2:$D$5001,Parametros!$B$7))</f>
        <v/>
      </c>
      <c r="F107" s="23" t="str">
        <f aca="false">IF(A107="","",IF(E107=0,"",AVERAGEIFS(Modulo!$B$2:$B$5001,Modulo!$A$2:$A$5001,"&gt;="&amp;C107,Modulo!$A$2:$A$5001,"&lt;"&amp;D107,Modulo!$D$2:$D$5001,Parametros!$B$7)))</f>
        <v/>
      </c>
      <c r="G107" s="23" t="str">
        <f aca="false">IF(A107="","",IF(E107=0,"",AVERAGEIFS(Modulo!$C$2:$C$5001,Modulo!$A$2:$A$5001,"&gt;="&amp;C107,Modulo!$A$2:$A$5001,"&lt;"&amp;D107,Modulo!$D$2:$D$5001,Parametros!$B$7)))</f>
        <v/>
      </c>
      <c r="H107" s="25" t="str">
        <f aca="false">IF(A107="","",IFERROR(COUNTIFS(Amostragem!$A$2:$A$15003,"&gt;="&amp;C107,Amostragem!$A$2:$A$15003,"&lt;"&amp;D107,Amostragem!$B$2:$B$15003,"Automático",Amostragem!$C$2:$C$15003,"Automático",Amostragem!$D$2:$D$15003,0)/COUNTIFS(Amostragem!$A$2:$A$15003,"&gt;="&amp;C107,Amostragem!$A$2:$A$15003,"&lt;"&amp;D107),0))</f>
        <v/>
      </c>
      <c r="I107" s="23" t="str">
        <f aca="false">IF(A107="","",IFERROR(AVERAGEIFS(Amostragem!$E$2:$E$15003,Amostragem!$A$2:$A$15003,"&gt;="&amp;C107,Amostragem!$A$2:$A$15003,"&lt;"&amp;D107),""))</f>
        <v/>
      </c>
      <c r="J107" s="24" t="str">
        <f aca="false">IF(A107="","",IF(B107="","Inválida: sem resultado MES",IF(E107&lt;Parametros!$B$4,"Inválida: poucos ensaios do módulo",IF(H107&lt;Parametros!$B$5,"Inválida: amostragem em manual ou em falha",IF(OR(I107="",I107&lt;Parametros!$B$6),"Inválida: usina parada ou baixa alimentação","Válida")))))</f>
        <v/>
      </c>
      <c r="K107" s="23" t="str">
        <f aca="false">IF(J107="Válida",F107-B107,"")</f>
        <v/>
      </c>
      <c r="L107" s="26" t="str">
        <f aca="false">IF(J107="Válida",K107/B107,"")</f>
        <v/>
      </c>
      <c r="M107" s="23" t="str">
        <f aca="false">IF(J107="Válida",(F107+B107)/2,"")</f>
        <v/>
      </c>
      <c r="N107" s="24" t="str">
        <f aca="false">IF(K107="","",IF(OR(K107&gt;Resumo!$B$16,K107&lt;Resumo!$B$15),"Sim","Não"))</f>
        <v/>
      </c>
      <c r="O107" s="22" t="e">
        <f aca="false">IF(A107="",NA(),A107)</f>
        <v>#N/A</v>
      </c>
      <c r="P107" s="23" t="e">
        <f aca="false">IF(A107="",NA(),B107)</f>
        <v>#N/A</v>
      </c>
      <c r="Q107" s="23" t="e">
        <f aca="false">IF(F107="",NA(),F107)</f>
        <v>#N/A</v>
      </c>
      <c r="R107" s="23" t="e">
        <f aca="false">IF(K107="",NA(),K107)</f>
        <v>#N/A</v>
      </c>
      <c r="S107" s="23" t="e">
        <f aca="false">IF(M107="",NA(),M107)</f>
        <v>#N/A</v>
      </c>
      <c r="T107" s="23" t="str">
        <f aca="false">IF(J107="Válida",B107,"")</f>
        <v/>
      </c>
      <c r="U107" s="23" t="str">
        <f aca="false">IF(J107="Válida",F107,"")</f>
        <v/>
      </c>
    </row>
    <row r="108" customFormat="false" ht="15" hidden="false" customHeight="false" outlineLevel="0" collapsed="false">
      <c r="A108" s="22" t="str">
        <f aca="false">IF(MES!A108="","",MES!A108)</f>
        <v/>
      </c>
      <c r="B108" s="23" t="str">
        <f aca="false">IF(A108="","",MES!B108)</f>
        <v/>
      </c>
      <c r="C108" s="22" t="str">
        <f aca="false">IF(A108="","",A108+Parametros!$B$3/24)</f>
        <v/>
      </c>
      <c r="D108" s="22" t="str">
        <f aca="false">IF(A108="","",C108+Parametros!$B$2/24)</f>
        <v/>
      </c>
      <c r="E108" s="24" t="str">
        <f aca="false">IF(A108="","",COUNTIFS(Modulo!$A$2:$A$5001,"&gt;="&amp;C108,Modulo!$A$2:$A$5001,"&lt;"&amp;D108,Modulo!$D$2:$D$5001,Parametros!$B$7))</f>
        <v/>
      </c>
      <c r="F108" s="23" t="str">
        <f aca="false">IF(A108="","",IF(E108=0,"",AVERAGEIFS(Modulo!$B$2:$B$5001,Modulo!$A$2:$A$5001,"&gt;="&amp;C108,Modulo!$A$2:$A$5001,"&lt;"&amp;D108,Modulo!$D$2:$D$5001,Parametros!$B$7)))</f>
        <v/>
      </c>
      <c r="G108" s="23" t="str">
        <f aca="false">IF(A108="","",IF(E108=0,"",AVERAGEIFS(Modulo!$C$2:$C$5001,Modulo!$A$2:$A$5001,"&gt;="&amp;C108,Modulo!$A$2:$A$5001,"&lt;"&amp;D108,Modulo!$D$2:$D$5001,Parametros!$B$7)))</f>
        <v/>
      </c>
      <c r="H108" s="25" t="str">
        <f aca="false">IF(A108="","",IFERROR(COUNTIFS(Amostragem!$A$2:$A$15003,"&gt;="&amp;C108,Amostragem!$A$2:$A$15003,"&lt;"&amp;D108,Amostragem!$B$2:$B$15003,"Automático",Amostragem!$C$2:$C$15003,"Automático",Amostragem!$D$2:$D$15003,0)/COUNTIFS(Amostragem!$A$2:$A$15003,"&gt;="&amp;C108,Amostragem!$A$2:$A$15003,"&lt;"&amp;D108),0))</f>
        <v/>
      </c>
      <c r="I108" s="23" t="str">
        <f aca="false">IF(A108="","",IFERROR(AVERAGEIFS(Amostragem!$E$2:$E$15003,Amostragem!$A$2:$A$15003,"&gt;="&amp;C108,Amostragem!$A$2:$A$15003,"&lt;"&amp;D108),""))</f>
        <v/>
      </c>
      <c r="J108" s="24" t="str">
        <f aca="false">IF(A108="","",IF(B108="","Inválida: sem resultado MES",IF(E108&lt;Parametros!$B$4,"Inválida: poucos ensaios do módulo",IF(H108&lt;Parametros!$B$5,"Inválida: amostragem em manual ou em falha",IF(OR(I108="",I108&lt;Parametros!$B$6),"Inválida: usina parada ou baixa alimentação","Válida")))))</f>
        <v/>
      </c>
      <c r="K108" s="23" t="str">
        <f aca="false">IF(J108="Válida",F108-B108,"")</f>
        <v/>
      </c>
      <c r="L108" s="26" t="str">
        <f aca="false">IF(J108="Válida",K108/B108,"")</f>
        <v/>
      </c>
      <c r="M108" s="23" t="str">
        <f aca="false">IF(J108="Válida",(F108+B108)/2,"")</f>
        <v/>
      </c>
      <c r="N108" s="24" t="str">
        <f aca="false">IF(K108="","",IF(OR(K108&gt;Resumo!$B$16,K108&lt;Resumo!$B$15),"Sim","Não"))</f>
        <v/>
      </c>
      <c r="O108" s="22" t="e">
        <f aca="false">IF(A108="",NA(),A108)</f>
        <v>#N/A</v>
      </c>
      <c r="P108" s="23" t="e">
        <f aca="false">IF(A108="",NA(),B108)</f>
        <v>#N/A</v>
      </c>
      <c r="Q108" s="23" t="e">
        <f aca="false">IF(F108="",NA(),F108)</f>
        <v>#N/A</v>
      </c>
      <c r="R108" s="23" t="e">
        <f aca="false">IF(K108="",NA(),K108)</f>
        <v>#N/A</v>
      </c>
      <c r="S108" s="23" t="e">
        <f aca="false">IF(M108="",NA(),M108)</f>
        <v>#N/A</v>
      </c>
      <c r="T108" s="23" t="str">
        <f aca="false">IF(J108="Válida",B108,"")</f>
        <v/>
      </c>
      <c r="U108" s="23" t="str">
        <f aca="false">IF(J108="Válida",F108,"")</f>
        <v/>
      </c>
    </row>
    <row r="109" customFormat="false" ht="15" hidden="false" customHeight="false" outlineLevel="0" collapsed="false">
      <c r="A109" s="22" t="str">
        <f aca="false">IF(MES!A109="","",MES!A109)</f>
        <v/>
      </c>
      <c r="B109" s="23" t="str">
        <f aca="false">IF(A109="","",MES!B109)</f>
        <v/>
      </c>
      <c r="C109" s="22" t="str">
        <f aca="false">IF(A109="","",A109+Parametros!$B$3/24)</f>
        <v/>
      </c>
      <c r="D109" s="22" t="str">
        <f aca="false">IF(A109="","",C109+Parametros!$B$2/24)</f>
        <v/>
      </c>
      <c r="E109" s="24" t="str">
        <f aca="false">IF(A109="","",COUNTIFS(Modulo!$A$2:$A$5001,"&gt;="&amp;C109,Modulo!$A$2:$A$5001,"&lt;"&amp;D109,Modulo!$D$2:$D$5001,Parametros!$B$7))</f>
        <v/>
      </c>
      <c r="F109" s="23" t="str">
        <f aca="false">IF(A109="","",IF(E109=0,"",AVERAGEIFS(Modulo!$B$2:$B$5001,Modulo!$A$2:$A$5001,"&gt;="&amp;C109,Modulo!$A$2:$A$5001,"&lt;"&amp;D109,Modulo!$D$2:$D$5001,Parametros!$B$7)))</f>
        <v/>
      </c>
      <c r="G109" s="23" t="str">
        <f aca="false">IF(A109="","",IF(E109=0,"",AVERAGEIFS(Modulo!$C$2:$C$5001,Modulo!$A$2:$A$5001,"&gt;="&amp;C109,Modulo!$A$2:$A$5001,"&lt;"&amp;D109,Modulo!$D$2:$D$5001,Parametros!$B$7)))</f>
        <v/>
      </c>
      <c r="H109" s="25" t="str">
        <f aca="false">IF(A109="","",IFERROR(COUNTIFS(Amostragem!$A$2:$A$15003,"&gt;="&amp;C109,Amostragem!$A$2:$A$15003,"&lt;"&amp;D109,Amostragem!$B$2:$B$15003,"Automático",Amostragem!$C$2:$C$15003,"Automático",Amostragem!$D$2:$D$15003,0)/COUNTIFS(Amostragem!$A$2:$A$15003,"&gt;="&amp;C109,Amostragem!$A$2:$A$15003,"&lt;"&amp;D109),0))</f>
        <v/>
      </c>
      <c r="I109" s="23" t="str">
        <f aca="false">IF(A109="","",IFERROR(AVERAGEIFS(Amostragem!$E$2:$E$15003,Amostragem!$A$2:$A$15003,"&gt;="&amp;C109,Amostragem!$A$2:$A$15003,"&lt;"&amp;D109),""))</f>
        <v/>
      </c>
      <c r="J109" s="24" t="str">
        <f aca="false">IF(A109="","",IF(B109="","Inválida: sem resultado MES",IF(E109&lt;Parametros!$B$4,"Inválida: poucos ensaios do módulo",IF(H109&lt;Parametros!$B$5,"Inválida: amostragem em manual ou em falha",IF(OR(I109="",I109&lt;Parametros!$B$6),"Inválida: usina parada ou baixa alimentação","Válida")))))</f>
        <v/>
      </c>
      <c r="K109" s="23" t="str">
        <f aca="false">IF(J109="Válida",F109-B109,"")</f>
        <v/>
      </c>
      <c r="L109" s="26" t="str">
        <f aca="false">IF(J109="Válida",K109/B109,"")</f>
        <v/>
      </c>
      <c r="M109" s="23" t="str">
        <f aca="false">IF(J109="Válida",(F109+B109)/2,"")</f>
        <v/>
      </c>
      <c r="N109" s="24" t="str">
        <f aca="false">IF(K109="","",IF(OR(K109&gt;Resumo!$B$16,K109&lt;Resumo!$B$15),"Sim","Não"))</f>
        <v/>
      </c>
      <c r="O109" s="22" t="e">
        <f aca="false">IF(A109="",NA(),A109)</f>
        <v>#N/A</v>
      </c>
      <c r="P109" s="23" t="e">
        <f aca="false">IF(A109="",NA(),B109)</f>
        <v>#N/A</v>
      </c>
      <c r="Q109" s="23" t="e">
        <f aca="false">IF(F109="",NA(),F109)</f>
        <v>#N/A</v>
      </c>
      <c r="R109" s="23" t="e">
        <f aca="false">IF(K109="",NA(),K109)</f>
        <v>#N/A</v>
      </c>
      <c r="S109" s="23" t="e">
        <f aca="false">IF(M109="",NA(),M109)</f>
        <v>#N/A</v>
      </c>
      <c r="T109" s="23" t="str">
        <f aca="false">IF(J109="Válida",B109,"")</f>
        <v/>
      </c>
      <c r="U109" s="23" t="str">
        <f aca="false">IF(J109="Válida",F109,"")</f>
        <v/>
      </c>
    </row>
    <row r="110" customFormat="false" ht="15" hidden="false" customHeight="false" outlineLevel="0" collapsed="false">
      <c r="A110" s="22" t="str">
        <f aca="false">IF(MES!A110="","",MES!A110)</f>
        <v/>
      </c>
      <c r="B110" s="23" t="str">
        <f aca="false">IF(A110="","",MES!B110)</f>
        <v/>
      </c>
      <c r="C110" s="22" t="str">
        <f aca="false">IF(A110="","",A110+Parametros!$B$3/24)</f>
        <v/>
      </c>
      <c r="D110" s="22" t="str">
        <f aca="false">IF(A110="","",C110+Parametros!$B$2/24)</f>
        <v/>
      </c>
      <c r="E110" s="24" t="str">
        <f aca="false">IF(A110="","",COUNTIFS(Modulo!$A$2:$A$5001,"&gt;="&amp;C110,Modulo!$A$2:$A$5001,"&lt;"&amp;D110,Modulo!$D$2:$D$5001,Parametros!$B$7))</f>
        <v/>
      </c>
      <c r="F110" s="23" t="str">
        <f aca="false">IF(A110="","",IF(E110=0,"",AVERAGEIFS(Modulo!$B$2:$B$5001,Modulo!$A$2:$A$5001,"&gt;="&amp;C110,Modulo!$A$2:$A$5001,"&lt;"&amp;D110,Modulo!$D$2:$D$5001,Parametros!$B$7)))</f>
        <v/>
      </c>
      <c r="G110" s="23" t="str">
        <f aca="false">IF(A110="","",IF(E110=0,"",AVERAGEIFS(Modulo!$C$2:$C$5001,Modulo!$A$2:$A$5001,"&gt;="&amp;C110,Modulo!$A$2:$A$5001,"&lt;"&amp;D110,Modulo!$D$2:$D$5001,Parametros!$B$7)))</f>
        <v/>
      </c>
      <c r="H110" s="25" t="str">
        <f aca="false">IF(A110="","",IFERROR(COUNTIFS(Amostragem!$A$2:$A$15003,"&gt;="&amp;C110,Amostragem!$A$2:$A$15003,"&lt;"&amp;D110,Amostragem!$B$2:$B$15003,"Automático",Amostragem!$C$2:$C$15003,"Automático",Amostragem!$D$2:$D$15003,0)/COUNTIFS(Amostragem!$A$2:$A$15003,"&gt;="&amp;C110,Amostragem!$A$2:$A$15003,"&lt;"&amp;D110),0))</f>
        <v/>
      </c>
      <c r="I110" s="23" t="str">
        <f aca="false">IF(A110="","",IFERROR(AVERAGEIFS(Amostragem!$E$2:$E$15003,Amostragem!$A$2:$A$15003,"&gt;="&amp;C110,Amostragem!$A$2:$A$15003,"&lt;"&amp;D110),""))</f>
        <v/>
      </c>
      <c r="J110" s="24" t="str">
        <f aca="false">IF(A110="","",IF(B110="","Inválida: sem resultado MES",IF(E110&lt;Parametros!$B$4,"Inválida: poucos ensaios do módulo",IF(H110&lt;Parametros!$B$5,"Inválida: amostragem em manual ou em falha",IF(OR(I110="",I110&lt;Parametros!$B$6),"Inválida: usina parada ou baixa alimentação","Válida")))))</f>
        <v/>
      </c>
      <c r="K110" s="23" t="str">
        <f aca="false">IF(J110="Válida",F110-B110,"")</f>
        <v/>
      </c>
      <c r="L110" s="26" t="str">
        <f aca="false">IF(J110="Válida",K110/B110,"")</f>
        <v/>
      </c>
      <c r="M110" s="23" t="str">
        <f aca="false">IF(J110="Válida",(F110+B110)/2,"")</f>
        <v/>
      </c>
      <c r="N110" s="24" t="str">
        <f aca="false">IF(K110="","",IF(OR(K110&gt;Resumo!$B$16,K110&lt;Resumo!$B$15),"Sim","Não"))</f>
        <v/>
      </c>
      <c r="O110" s="22" t="e">
        <f aca="false">IF(A110="",NA(),A110)</f>
        <v>#N/A</v>
      </c>
      <c r="P110" s="23" t="e">
        <f aca="false">IF(A110="",NA(),B110)</f>
        <v>#N/A</v>
      </c>
      <c r="Q110" s="23" t="e">
        <f aca="false">IF(F110="",NA(),F110)</f>
        <v>#N/A</v>
      </c>
      <c r="R110" s="23" t="e">
        <f aca="false">IF(K110="",NA(),K110)</f>
        <v>#N/A</v>
      </c>
      <c r="S110" s="23" t="e">
        <f aca="false">IF(M110="",NA(),M110)</f>
        <v>#N/A</v>
      </c>
      <c r="T110" s="23" t="str">
        <f aca="false">IF(J110="Válida",B110,"")</f>
        <v/>
      </c>
      <c r="U110" s="23" t="str">
        <f aca="false">IF(J110="Válida",F110,"")</f>
        <v/>
      </c>
    </row>
    <row r="111" customFormat="false" ht="15" hidden="false" customHeight="false" outlineLevel="0" collapsed="false">
      <c r="A111" s="22" t="str">
        <f aca="false">IF(MES!A111="","",MES!A111)</f>
        <v/>
      </c>
      <c r="B111" s="23" t="str">
        <f aca="false">IF(A111="","",MES!B111)</f>
        <v/>
      </c>
      <c r="C111" s="22" t="str">
        <f aca="false">IF(A111="","",A111+Parametros!$B$3/24)</f>
        <v/>
      </c>
      <c r="D111" s="22" t="str">
        <f aca="false">IF(A111="","",C111+Parametros!$B$2/24)</f>
        <v/>
      </c>
      <c r="E111" s="24" t="str">
        <f aca="false">IF(A111="","",COUNTIFS(Modulo!$A$2:$A$5001,"&gt;="&amp;C111,Modulo!$A$2:$A$5001,"&lt;"&amp;D111,Modulo!$D$2:$D$5001,Parametros!$B$7))</f>
        <v/>
      </c>
      <c r="F111" s="23" t="str">
        <f aca="false">IF(A111="","",IF(E111=0,"",AVERAGEIFS(Modulo!$B$2:$B$5001,Modulo!$A$2:$A$5001,"&gt;="&amp;C111,Modulo!$A$2:$A$5001,"&lt;"&amp;D111,Modulo!$D$2:$D$5001,Parametros!$B$7)))</f>
        <v/>
      </c>
      <c r="G111" s="23" t="str">
        <f aca="false">IF(A111="","",IF(E111=0,"",AVERAGEIFS(Modulo!$C$2:$C$5001,Modulo!$A$2:$A$5001,"&gt;="&amp;C111,Modulo!$A$2:$A$5001,"&lt;"&amp;D111,Modulo!$D$2:$D$5001,Parametros!$B$7)))</f>
        <v/>
      </c>
      <c r="H111" s="25" t="str">
        <f aca="false">IF(A111="","",IFERROR(COUNTIFS(Amostragem!$A$2:$A$15003,"&gt;="&amp;C111,Amostragem!$A$2:$A$15003,"&lt;"&amp;D111,Amostragem!$B$2:$B$15003,"Automático",Amostragem!$C$2:$C$15003,"Automático",Amostragem!$D$2:$D$15003,0)/COUNTIFS(Amostragem!$A$2:$A$15003,"&gt;="&amp;C111,Amostragem!$A$2:$A$15003,"&lt;"&amp;D111),0))</f>
        <v/>
      </c>
      <c r="I111" s="23" t="str">
        <f aca="false">IF(A111="","",IFERROR(AVERAGEIFS(Amostragem!$E$2:$E$15003,Amostragem!$A$2:$A$15003,"&gt;="&amp;C111,Amostragem!$A$2:$A$15003,"&lt;"&amp;D111),""))</f>
        <v/>
      </c>
      <c r="J111" s="24" t="str">
        <f aca="false">IF(A111="","",IF(B111="","Inválida: sem resultado MES",IF(E111&lt;Parametros!$B$4,"Inválida: poucos ensaios do módulo",IF(H111&lt;Parametros!$B$5,"Inválida: amostragem em manual ou em falha",IF(OR(I111="",I111&lt;Parametros!$B$6),"Inválida: usina parada ou baixa alimentação","Válida")))))</f>
        <v/>
      </c>
      <c r="K111" s="23" t="str">
        <f aca="false">IF(J111="Válida",F111-B111,"")</f>
        <v/>
      </c>
      <c r="L111" s="26" t="str">
        <f aca="false">IF(J111="Válida",K111/B111,"")</f>
        <v/>
      </c>
      <c r="M111" s="23" t="str">
        <f aca="false">IF(J111="Válida",(F111+B111)/2,"")</f>
        <v/>
      </c>
      <c r="N111" s="24" t="str">
        <f aca="false">IF(K111="","",IF(OR(K111&gt;Resumo!$B$16,K111&lt;Resumo!$B$15),"Sim","Não"))</f>
        <v/>
      </c>
      <c r="O111" s="22" t="e">
        <f aca="false">IF(A111="",NA(),A111)</f>
        <v>#N/A</v>
      </c>
      <c r="P111" s="23" t="e">
        <f aca="false">IF(A111="",NA(),B111)</f>
        <v>#N/A</v>
      </c>
      <c r="Q111" s="23" t="e">
        <f aca="false">IF(F111="",NA(),F111)</f>
        <v>#N/A</v>
      </c>
      <c r="R111" s="23" t="e">
        <f aca="false">IF(K111="",NA(),K111)</f>
        <v>#N/A</v>
      </c>
      <c r="S111" s="23" t="e">
        <f aca="false">IF(M111="",NA(),M111)</f>
        <v>#N/A</v>
      </c>
      <c r="T111" s="23" t="str">
        <f aca="false">IF(J111="Válida",B111,"")</f>
        <v/>
      </c>
      <c r="U111" s="23" t="str">
        <f aca="false">IF(J111="Válida",F111,"")</f>
        <v/>
      </c>
    </row>
    <row r="112" customFormat="false" ht="15" hidden="false" customHeight="false" outlineLevel="0" collapsed="false">
      <c r="A112" s="22" t="str">
        <f aca="false">IF(MES!A112="","",MES!A112)</f>
        <v/>
      </c>
      <c r="B112" s="23" t="str">
        <f aca="false">IF(A112="","",MES!B112)</f>
        <v/>
      </c>
      <c r="C112" s="22" t="str">
        <f aca="false">IF(A112="","",A112+Parametros!$B$3/24)</f>
        <v/>
      </c>
      <c r="D112" s="22" t="str">
        <f aca="false">IF(A112="","",C112+Parametros!$B$2/24)</f>
        <v/>
      </c>
      <c r="E112" s="24" t="str">
        <f aca="false">IF(A112="","",COUNTIFS(Modulo!$A$2:$A$5001,"&gt;="&amp;C112,Modulo!$A$2:$A$5001,"&lt;"&amp;D112,Modulo!$D$2:$D$5001,Parametros!$B$7))</f>
        <v/>
      </c>
      <c r="F112" s="23" t="str">
        <f aca="false">IF(A112="","",IF(E112=0,"",AVERAGEIFS(Modulo!$B$2:$B$5001,Modulo!$A$2:$A$5001,"&gt;="&amp;C112,Modulo!$A$2:$A$5001,"&lt;"&amp;D112,Modulo!$D$2:$D$5001,Parametros!$B$7)))</f>
        <v/>
      </c>
      <c r="G112" s="23" t="str">
        <f aca="false">IF(A112="","",IF(E112=0,"",AVERAGEIFS(Modulo!$C$2:$C$5001,Modulo!$A$2:$A$5001,"&gt;="&amp;C112,Modulo!$A$2:$A$5001,"&lt;"&amp;D112,Modulo!$D$2:$D$5001,Parametros!$B$7)))</f>
        <v/>
      </c>
      <c r="H112" s="25" t="str">
        <f aca="false">IF(A112="","",IFERROR(COUNTIFS(Amostragem!$A$2:$A$15003,"&gt;="&amp;C112,Amostragem!$A$2:$A$15003,"&lt;"&amp;D112,Amostragem!$B$2:$B$15003,"Automático",Amostragem!$C$2:$C$15003,"Automático",Amostragem!$D$2:$D$15003,0)/COUNTIFS(Amostragem!$A$2:$A$15003,"&gt;="&amp;C112,Amostragem!$A$2:$A$15003,"&lt;"&amp;D112),0))</f>
        <v/>
      </c>
      <c r="I112" s="23" t="str">
        <f aca="false">IF(A112="","",IFERROR(AVERAGEIFS(Amostragem!$E$2:$E$15003,Amostragem!$A$2:$A$15003,"&gt;="&amp;C112,Amostragem!$A$2:$A$15003,"&lt;"&amp;D112),""))</f>
        <v/>
      </c>
      <c r="J112" s="24" t="str">
        <f aca="false">IF(A112="","",IF(B112="","Inválida: sem resultado MES",IF(E112&lt;Parametros!$B$4,"Inválida: poucos ensaios do módulo",IF(H112&lt;Parametros!$B$5,"Inválida: amostragem em manual ou em falha",IF(OR(I112="",I112&lt;Parametros!$B$6),"Inválida: usina parada ou baixa alimentação","Válida")))))</f>
        <v/>
      </c>
      <c r="K112" s="23" t="str">
        <f aca="false">IF(J112="Válida",F112-B112,"")</f>
        <v/>
      </c>
      <c r="L112" s="26" t="str">
        <f aca="false">IF(J112="Válida",K112/B112,"")</f>
        <v/>
      </c>
      <c r="M112" s="23" t="str">
        <f aca="false">IF(J112="Válida",(F112+B112)/2,"")</f>
        <v/>
      </c>
      <c r="N112" s="24" t="str">
        <f aca="false">IF(K112="","",IF(OR(K112&gt;Resumo!$B$16,K112&lt;Resumo!$B$15),"Sim","Não"))</f>
        <v/>
      </c>
      <c r="O112" s="22" t="e">
        <f aca="false">IF(A112="",NA(),A112)</f>
        <v>#N/A</v>
      </c>
      <c r="P112" s="23" t="e">
        <f aca="false">IF(A112="",NA(),B112)</f>
        <v>#N/A</v>
      </c>
      <c r="Q112" s="23" t="e">
        <f aca="false">IF(F112="",NA(),F112)</f>
        <v>#N/A</v>
      </c>
      <c r="R112" s="23" t="e">
        <f aca="false">IF(K112="",NA(),K112)</f>
        <v>#N/A</v>
      </c>
      <c r="S112" s="23" t="e">
        <f aca="false">IF(M112="",NA(),M112)</f>
        <v>#N/A</v>
      </c>
      <c r="T112" s="23" t="str">
        <f aca="false">IF(J112="Válida",B112,"")</f>
        <v/>
      </c>
      <c r="U112" s="23" t="str">
        <f aca="false">IF(J112="Válida",F112,"")</f>
        <v/>
      </c>
    </row>
    <row r="113" customFormat="false" ht="15" hidden="false" customHeight="false" outlineLevel="0" collapsed="false">
      <c r="A113" s="22" t="str">
        <f aca="false">IF(MES!A113="","",MES!A113)</f>
        <v/>
      </c>
      <c r="B113" s="23" t="str">
        <f aca="false">IF(A113="","",MES!B113)</f>
        <v/>
      </c>
      <c r="C113" s="22" t="str">
        <f aca="false">IF(A113="","",A113+Parametros!$B$3/24)</f>
        <v/>
      </c>
      <c r="D113" s="22" t="str">
        <f aca="false">IF(A113="","",C113+Parametros!$B$2/24)</f>
        <v/>
      </c>
      <c r="E113" s="24" t="str">
        <f aca="false">IF(A113="","",COUNTIFS(Modulo!$A$2:$A$5001,"&gt;="&amp;C113,Modulo!$A$2:$A$5001,"&lt;"&amp;D113,Modulo!$D$2:$D$5001,Parametros!$B$7))</f>
        <v/>
      </c>
      <c r="F113" s="23" t="str">
        <f aca="false">IF(A113="","",IF(E113=0,"",AVERAGEIFS(Modulo!$B$2:$B$5001,Modulo!$A$2:$A$5001,"&gt;="&amp;C113,Modulo!$A$2:$A$5001,"&lt;"&amp;D113,Modulo!$D$2:$D$5001,Parametros!$B$7)))</f>
        <v/>
      </c>
      <c r="G113" s="23" t="str">
        <f aca="false">IF(A113="","",IF(E113=0,"",AVERAGEIFS(Modulo!$C$2:$C$5001,Modulo!$A$2:$A$5001,"&gt;="&amp;C113,Modulo!$A$2:$A$5001,"&lt;"&amp;D113,Modulo!$D$2:$D$5001,Parametros!$B$7)))</f>
        <v/>
      </c>
      <c r="H113" s="25" t="str">
        <f aca="false">IF(A113="","",IFERROR(COUNTIFS(Amostragem!$A$2:$A$15003,"&gt;="&amp;C113,Amostragem!$A$2:$A$15003,"&lt;"&amp;D113,Amostragem!$B$2:$B$15003,"Automático",Amostragem!$C$2:$C$15003,"Automático",Amostragem!$D$2:$D$15003,0)/COUNTIFS(Amostragem!$A$2:$A$15003,"&gt;="&amp;C113,Amostragem!$A$2:$A$15003,"&lt;"&amp;D113),0))</f>
        <v/>
      </c>
      <c r="I113" s="23" t="str">
        <f aca="false">IF(A113="","",IFERROR(AVERAGEIFS(Amostragem!$E$2:$E$15003,Amostragem!$A$2:$A$15003,"&gt;="&amp;C113,Amostragem!$A$2:$A$15003,"&lt;"&amp;D113),""))</f>
        <v/>
      </c>
      <c r="J113" s="24" t="str">
        <f aca="false">IF(A113="","",IF(B113="","Inválida: sem resultado MES",IF(E113&lt;Parametros!$B$4,"Inválida: poucos ensaios do módulo",IF(H113&lt;Parametros!$B$5,"Inválida: amostragem em manual ou em falha",IF(OR(I113="",I113&lt;Parametros!$B$6),"Inválida: usina parada ou baixa alimentação","Válida")))))</f>
        <v/>
      </c>
      <c r="K113" s="23" t="str">
        <f aca="false">IF(J113="Válida",F113-B113,"")</f>
        <v/>
      </c>
      <c r="L113" s="26" t="str">
        <f aca="false">IF(J113="Válida",K113/B113,"")</f>
        <v/>
      </c>
      <c r="M113" s="23" t="str">
        <f aca="false">IF(J113="Válida",(F113+B113)/2,"")</f>
        <v/>
      </c>
      <c r="N113" s="24" t="str">
        <f aca="false">IF(K113="","",IF(OR(K113&gt;Resumo!$B$16,K113&lt;Resumo!$B$15),"Sim","Não"))</f>
        <v/>
      </c>
      <c r="O113" s="22" t="e">
        <f aca="false">IF(A113="",NA(),A113)</f>
        <v>#N/A</v>
      </c>
      <c r="P113" s="23" t="e">
        <f aca="false">IF(A113="",NA(),B113)</f>
        <v>#N/A</v>
      </c>
      <c r="Q113" s="23" t="e">
        <f aca="false">IF(F113="",NA(),F113)</f>
        <v>#N/A</v>
      </c>
      <c r="R113" s="23" t="e">
        <f aca="false">IF(K113="",NA(),K113)</f>
        <v>#N/A</v>
      </c>
      <c r="S113" s="23" t="e">
        <f aca="false">IF(M113="",NA(),M113)</f>
        <v>#N/A</v>
      </c>
      <c r="T113" s="23" t="str">
        <f aca="false">IF(J113="Válida",B113,"")</f>
        <v/>
      </c>
      <c r="U113" s="23" t="str">
        <f aca="false">IF(J113="Válida",F113,"")</f>
        <v/>
      </c>
    </row>
    <row r="114" customFormat="false" ht="15" hidden="false" customHeight="false" outlineLevel="0" collapsed="false">
      <c r="A114" s="22" t="str">
        <f aca="false">IF(MES!A114="","",MES!A114)</f>
        <v/>
      </c>
      <c r="B114" s="23" t="str">
        <f aca="false">IF(A114="","",MES!B114)</f>
        <v/>
      </c>
      <c r="C114" s="22" t="str">
        <f aca="false">IF(A114="","",A114+Parametros!$B$3/24)</f>
        <v/>
      </c>
      <c r="D114" s="22" t="str">
        <f aca="false">IF(A114="","",C114+Parametros!$B$2/24)</f>
        <v/>
      </c>
      <c r="E114" s="24" t="str">
        <f aca="false">IF(A114="","",COUNTIFS(Modulo!$A$2:$A$5001,"&gt;="&amp;C114,Modulo!$A$2:$A$5001,"&lt;"&amp;D114,Modulo!$D$2:$D$5001,Parametros!$B$7))</f>
        <v/>
      </c>
      <c r="F114" s="23" t="str">
        <f aca="false">IF(A114="","",IF(E114=0,"",AVERAGEIFS(Modulo!$B$2:$B$5001,Modulo!$A$2:$A$5001,"&gt;="&amp;C114,Modulo!$A$2:$A$5001,"&lt;"&amp;D114,Modulo!$D$2:$D$5001,Parametros!$B$7)))</f>
        <v/>
      </c>
      <c r="G114" s="23" t="str">
        <f aca="false">IF(A114="","",IF(E114=0,"",AVERAGEIFS(Modulo!$C$2:$C$5001,Modulo!$A$2:$A$5001,"&gt;="&amp;C114,Modulo!$A$2:$A$5001,"&lt;"&amp;D114,Modulo!$D$2:$D$5001,Parametros!$B$7)))</f>
        <v/>
      </c>
      <c r="H114" s="25" t="str">
        <f aca="false">IF(A114="","",IFERROR(COUNTIFS(Amostragem!$A$2:$A$15003,"&gt;="&amp;C114,Amostragem!$A$2:$A$15003,"&lt;"&amp;D114,Amostragem!$B$2:$B$15003,"Automático",Amostragem!$C$2:$C$15003,"Automático",Amostragem!$D$2:$D$15003,0)/COUNTIFS(Amostragem!$A$2:$A$15003,"&gt;="&amp;C114,Amostragem!$A$2:$A$15003,"&lt;"&amp;D114),0))</f>
        <v/>
      </c>
      <c r="I114" s="23" t="str">
        <f aca="false">IF(A114="","",IFERROR(AVERAGEIFS(Amostragem!$E$2:$E$15003,Amostragem!$A$2:$A$15003,"&gt;="&amp;C114,Amostragem!$A$2:$A$15003,"&lt;"&amp;D114),""))</f>
        <v/>
      </c>
      <c r="J114" s="24" t="str">
        <f aca="false">IF(A114="","",IF(B114="","Inválida: sem resultado MES",IF(E114&lt;Parametros!$B$4,"Inválida: poucos ensaios do módulo",IF(H114&lt;Parametros!$B$5,"Inválida: amostragem em manual ou em falha",IF(OR(I114="",I114&lt;Parametros!$B$6),"Inválida: usina parada ou baixa alimentação","Válida")))))</f>
        <v/>
      </c>
      <c r="K114" s="23" t="str">
        <f aca="false">IF(J114="Válida",F114-B114,"")</f>
        <v/>
      </c>
      <c r="L114" s="26" t="str">
        <f aca="false">IF(J114="Válida",K114/B114,"")</f>
        <v/>
      </c>
      <c r="M114" s="23" t="str">
        <f aca="false">IF(J114="Válida",(F114+B114)/2,"")</f>
        <v/>
      </c>
      <c r="N114" s="24" t="str">
        <f aca="false">IF(K114="","",IF(OR(K114&gt;Resumo!$B$16,K114&lt;Resumo!$B$15),"Sim","Não"))</f>
        <v/>
      </c>
      <c r="O114" s="22" t="e">
        <f aca="false">IF(A114="",NA(),A114)</f>
        <v>#N/A</v>
      </c>
      <c r="P114" s="23" t="e">
        <f aca="false">IF(A114="",NA(),B114)</f>
        <v>#N/A</v>
      </c>
      <c r="Q114" s="23" t="e">
        <f aca="false">IF(F114="",NA(),F114)</f>
        <v>#N/A</v>
      </c>
      <c r="R114" s="23" t="e">
        <f aca="false">IF(K114="",NA(),K114)</f>
        <v>#N/A</v>
      </c>
      <c r="S114" s="23" t="e">
        <f aca="false">IF(M114="",NA(),M114)</f>
        <v>#N/A</v>
      </c>
      <c r="T114" s="23" t="str">
        <f aca="false">IF(J114="Válida",B114,"")</f>
        <v/>
      </c>
      <c r="U114" s="23" t="str">
        <f aca="false">IF(J114="Válida",F114,"")</f>
        <v/>
      </c>
    </row>
    <row r="115" customFormat="false" ht="15" hidden="false" customHeight="false" outlineLevel="0" collapsed="false">
      <c r="A115" s="22" t="str">
        <f aca="false">IF(MES!A115="","",MES!A115)</f>
        <v/>
      </c>
      <c r="B115" s="23" t="str">
        <f aca="false">IF(A115="","",MES!B115)</f>
        <v/>
      </c>
      <c r="C115" s="22" t="str">
        <f aca="false">IF(A115="","",A115+Parametros!$B$3/24)</f>
        <v/>
      </c>
      <c r="D115" s="22" t="str">
        <f aca="false">IF(A115="","",C115+Parametros!$B$2/24)</f>
        <v/>
      </c>
      <c r="E115" s="24" t="str">
        <f aca="false">IF(A115="","",COUNTIFS(Modulo!$A$2:$A$5001,"&gt;="&amp;C115,Modulo!$A$2:$A$5001,"&lt;"&amp;D115,Modulo!$D$2:$D$5001,Parametros!$B$7))</f>
        <v/>
      </c>
      <c r="F115" s="23" t="str">
        <f aca="false">IF(A115="","",IF(E115=0,"",AVERAGEIFS(Modulo!$B$2:$B$5001,Modulo!$A$2:$A$5001,"&gt;="&amp;C115,Modulo!$A$2:$A$5001,"&lt;"&amp;D115,Modulo!$D$2:$D$5001,Parametros!$B$7)))</f>
        <v/>
      </c>
      <c r="G115" s="23" t="str">
        <f aca="false">IF(A115="","",IF(E115=0,"",AVERAGEIFS(Modulo!$C$2:$C$5001,Modulo!$A$2:$A$5001,"&gt;="&amp;C115,Modulo!$A$2:$A$5001,"&lt;"&amp;D115,Modulo!$D$2:$D$5001,Parametros!$B$7)))</f>
        <v/>
      </c>
      <c r="H115" s="25" t="str">
        <f aca="false">IF(A115="","",IFERROR(COUNTIFS(Amostragem!$A$2:$A$15003,"&gt;="&amp;C115,Amostragem!$A$2:$A$15003,"&lt;"&amp;D115,Amostragem!$B$2:$B$15003,"Automático",Amostragem!$C$2:$C$15003,"Automático",Amostragem!$D$2:$D$15003,0)/COUNTIFS(Amostragem!$A$2:$A$15003,"&gt;="&amp;C115,Amostragem!$A$2:$A$15003,"&lt;"&amp;D115),0))</f>
        <v/>
      </c>
      <c r="I115" s="23" t="str">
        <f aca="false">IF(A115="","",IFERROR(AVERAGEIFS(Amostragem!$E$2:$E$15003,Amostragem!$A$2:$A$15003,"&gt;="&amp;C115,Amostragem!$A$2:$A$15003,"&lt;"&amp;D115),""))</f>
        <v/>
      </c>
      <c r="J115" s="24" t="str">
        <f aca="false">IF(A115="","",IF(B115="","Inválida: sem resultado MES",IF(E115&lt;Parametros!$B$4,"Inválida: poucos ensaios do módulo",IF(H115&lt;Parametros!$B$5,"Inválida: amostragem em manual ou em falha",IF(OR(I115="",I115&lt;Parametros!$B$6),"Inválida: usina parada ou baixa alimentação","Válida")))))</f>
        <v/>
      </c>
      <c r="K115" s="23" t="str">
        <f aca="false">IF(J115="Válida",F115-B115,"")</f>
        <v/>
      </c>
      <c r="L115" s="26" t="str">
        <f aca="false">IF(J115="Válida",K115/B115,"")</f>
        <v/>
      </c>
      <c r="M115" s="23" t="str">
        <f aca="false">IF(J115="Válida",(F115+B115)/2,"")</f>
        <v/>
      </c>
      <c r="N115" s="24" t="str">
        <f aca="false">IF(K115="","",IF(OR(K115&gt;Resumo!$B$16,K115&lt;Resumo!$B$15),"Sim","Não"))</f>
        <v/>
      </c>
      <c r="O115" s="22" t="e">
        <f aca="false">IF(A115="",NA(),A115)</f>
        <v>#N/A</v>
      </c>
      <c r="P115" s="23" t="e">
        <f aca="false">IF(A115="",NA(),B115)</f>
        <v>#N/A</v>
      </c>
      <c r="Q115" s="23" t="e">
        <f aca="false">IF(F115="",NA(),F115)</f>
        <v>#N/A</v>
      </c>
      <c r="R115" s="23" t="e">
        <f aca="false">IF(K115="",NA(),K115)</f>
        <v>#N/A</v>
      </c>
      <c r="S115" s="23" t="e">
        <f aca="false">IF(M115="",NA(),M115)</f>
        <v>#N/A</v>
      </c>
      <c r="T115" s="23" t="str">
        <f aca="false">IF(J115="Válida",B115,"")</f>
        <v/>
      </c>
      <c r="U115" s="23" t="str">
        <f aca="false">IF(J115="Válida",F115,"")</f>
        <v/>
      </c>
    </row>
    <row r="116" customFormat="false" ht="15" hidden="false" customHeight="false" outlineLevel="0" collapsed="false">
      <c r="A116" s="22" t="str">
        <f aca="false">IF(MES!A116="","",MES!A116)</f>
        <v/>
      </c>
      <c r="B116" s="23" t="str">
        <f aca="false">IF(A116="","",MES!B116)</f>
        <v/>
      </c>
      <c r="C116" s="22" t="str">
        <f aca="false">IF(A116="","",A116+Parametros!$B$3/24)</f>
        <v/>
      </c>
      <c r="D116" s="22" t="str">
        <f aca="false">IF(A116="","",C116+Parametros!$B$2/24)</f>
        <v/>
      </c>
      <c r="E116" s="24" t="str">
        <f aca="false">IF(A116="","",COUNTIFS(Modulo!$A$2:$A$5001,"&gt;="&amp;C116,Modulo!$A$2:$A$5001,"&lt;"&amp;D116,Modulo!$D$2:$D$5001,Parametros!$B$7))</f>
        <v/>
      </c>
      <c r="F116" s="23" t="str">
        <f aca="false">IF(A116="","",IF(E116=0,"",AVERAGEIFS(Modulo!$B$2:$B$5001,Modulo!$A$2:$A$5001,"&gt;="&amp;C116,Modulo!$A$2:$A$5001,"&lt;"&amp;D116,Modulo!$D$2:$D$5001,Parametros!$B$7)))</f>
        <v/>
      </c>
      <c r="G116" s="23" t="str">
        <f aca="false">IF(A116="","",IF(E116=0,"",AVERAGEIFS(Modulo!$C$2:$C$5001,Modulo!$A$2:$A$5001,"&gt;="&amp;C116,Modulo!$A$2:$A$5001,"&lt;"&amp;D116,Modulo!$D$2:$D$5001,Parametros!$B$7)))</f>
        <v/>
      </c>
      <c r="H116" s="25" t="str">
        <f aca="false">IF(A116="","",IFERROR(COUNTIFS(Amostragem!$A$2:$A$15003,"&gt;="&amp;C116,Amostragem!$A$2:$A$15003,"&lt;"&amp;D116,Amostragem!$B$2:$B$15003,"Automático",Amostragem!$C$2:$C$15003,"Automático",Amostragem!$D$2:$D$15003,0)/COUNTIFS(Amostragem!$A$2:$A$15003,"&gt;="&amp;C116,Amostragem!$A$2:$A$15003,"&lt;"&amp;D116),0))</f>
        <v/>
      </c>
      <c r="I116" s="23" t="str">
        <f aca="false">IF(A116="","",IFERROR(AVERAGEIFS(Amostragem!$E$2:$E$15003,Amostragem!$A$2:$A$15003,"&gt;="&amp;C116,Amostragem!$A$2:$A$15003,"&lt;"&amp;D116),""))</f>
        <v/>
      </c>
      <c r="J116" s="24" t="str">
        <f aca="false">IF(A116="","",IF(B116="","Inválida: sem resultado MES",IF(E116&lt;Parametros!$B$4,"Inválida: poucos ensaios do módulo",IF(H116&lt;Parametros!$B$5,"Inválida: amostragem em manual ou em falha",IF(OR(I116="",I116&lt;Parametros!$B$6),"Inválida: usina parada ou baixa alimentação","Válida")))))</f>
        <v/>
      </c>
      <c r="K116" s="23" t="str">
        <f aca="false">IF(J116="Válida",F116-B116,"")</f>
        <v/>
      </c>
      <c r="L116" s="26" t="str">
        <f aca="false">IF(J116="Válida",K116/B116,"")</f>
        <v/>
      </c>
      <c r="M116" s="23" t="str">
        <f aca="false">IF(J116="Válida",(F116+B116)/2,"")</f>
        <v/>
      </c>
      <c r="N116" s="24" t="str">
        <f aca="false">IF(K116="","",IF(OR(K116&gt;Resumo!$B$16,K116&lt;Resumo!$B$15),"Sim","Não"))</f>
        <v/>
      </c>
      <c r="O116" s="22" t="e">
        <f aca="false">IF(A116="",NA(),A116)</f>
        <v>#N/A</v>
      </c>
      <c r="P116" s="23" t="e">
        <f aca="false">IF(A116="",NA(),B116)</f>
        <v>#N/A</v>
      </c>
      <c r="Q116" s="23" t="e">
        <f aca="false">IF(F116="",NA(),F116)</f>
        <v>#N/A</v>
      </c>
      <c r="R116" s="23" t="e">
        <f aca="false">IF(K116="",NA(),K116)</f>
        <v>#N/A</v>
      </c>
      <c r="S116" s="23" t="e">
        <f aca="false">IF(M116="",NA(),M116)</f>
        <v>#N/A</v>
      </c>
      <c r="T116" s="23" t="str">
        <f aca="false">IF(J116="Válida",B116,"")</f>
        <v/>
      </c>
      <c r="U116" s="23" t="str">
        <f aca="false">IF(J116="Válida",F116,"")</f>
        <v/>
      </c>
    </row>
    <row r="117" customFormat="false" ht="15" hidden="false" customHeight="false" outlineLevel="0" collapsed="false">
      <c r="A117" s="22" t="str">
        <f aca="false">IF(MES!A117="","",MES!A117)</f>
        <v/>
      </c>
      <c r="B117" s="23" t="str">
        <f aca="false">IF(A117="","",MES!B117)</f>
        <v/>
      </c>
      <c r="C117" s="22" t="str">
        <f aca="false">IF(A117="","",A117+Parametros!$B$3/24)</f>
        <v/>
      </c>
      <c r="D117" s="22" t="str">
        <f aca="false">IF(A117="","",C117+Parametros!$B$2/24)</f>
        <v/>
      </c>
      <c r="E117" s="24" t="str">
        <f aca="false">IF(A117="","",COUNTIFS(Modulo!$A$2:$A$5001,"&gt;="&amp;C117,Modulo!$A$2:$A$5001,"&lt;"&amp;D117,Modulo!$D$2:$D$5001,Parametros!$B$7))</f>
        <v/>
      </c>
      <c r="F117" s="23" t="str">
        <f aca="false">IF(A117="","",IF(E117=0,"",AVERAGEIFS(Modulo!$B$2:$B$5001,Modulo!$A$2:$A$5001,"&gt;="&amp;C117,Modulo!$A$2:$A$5001,"&lt;"&amp;D117,Modulo!$D$2:$D$5001,Parametros!$B$7)))</f>
        <v/>
      </c>
      <c r="G117" s="23" t="str">
        <f aca="false">IF(A117="","",IF(E117=0,"",AVERAGEIFS(Modulo!$C$2:$C$5001,Modulo!$A$2:$A$5001,"&gt;="&amp;C117,Modulo!$A$2:$A$5001,"&lt;"&amp;D117,Modulo!$D$2:$D$5001,Parametros!$B$7)))</f>
        <v/>
      </c>
      <c r="H117" s="25" t="str">
        <f aca="false">IF(A117="","",IFERROR(COUNTIFS(Amostragem!$A$2:$A$15003,"&gt;="&amp;C117,Amostragem!$A$2:$A$15003,"&lt;"&amp;D117,Amostragem!$B$2:$B$15003,"Automático",Amostragem!$C$2:$C$15003,"Automático",Amostragem!$D$2:$D$15003,0)/COUNTIFS(Amostragem!$A$2:$A$15003,"&gt;="&amp;C117,Amostragem!$A$2:$A$15003,"&lt;"&amp;D117),0))</f>
        <v/>
      </c>
      <c r="I117" s="23" t="str">
        <f aca="false">IF(A117="","",IFERROR(AVERAGEIFS(Amostragem!$E$2:$E$15003,Amostragem!$A$2:$A$15003,"&gt;="&amp;C117,Amostragem!$A$2:$A$15003,"&lt;"&amp;D117),""))</f>
        <v/>
      </c>
      <c r="J117" s="24" t="str">
        <f aca="false">IF(A117="","",IF(B117="","Inválida: sem resultado MES",IF(E117&lt;Parametros!$B$4,"Inválida: poucos ensaios do módulo",IF(H117&lt;Parametros!$B$5,"Inválida: amostragem em manual ou em falha",IF(OR(I117="",I117&lt;Parametros!$B$6),"Inválida: usina parada ou baixa alimentação","Válida")))))</f>
        <v/>
      </c>
      <c r="K117" s="23" t="str">
        <f aca="false">IF(J117="Válida",F117-B117,"")</f>
        <v/>
      </c>
      <c r="L117" s="26" t="str">
        <f aca="false">IF(J117="Válida",K117/B117,"")</f>
        <v/>
      </c>
      <c r="M117" s="23" t="str">
        <f aca="false">IF(J117="Válida",(F117+B117)/2,"")</f>
        <v/>
      </c>
      <c r="N117" s="24" t="str">
        <f aca="false">IF(K117="","",IF(OR(K117&gt;Resumo!$B$16,K117&lt;Resumo!$B$15),"Sim","Não"))</f>
        <v/>
      </c>
      <c r="O117" s="22" t="e">
        <f aca="false">IF(A117="",NA(),A117)</f>
        <v>#N/A</v>
      </c>
      <c r="P117" s="23" t="e">
        <f aca="false">IF(A117="",NA(),B117)</f>
        <v>#N/A</v>
      </c>
      <c r="Q117" s="23" t="e">
        <f aca="false">IF(F117="",NA(),F117)</f>
        <v>#N/A</v>
      </c>
      <c r="R117" s="23" t="e">
        <f aca="false">IF(K117="",NA(),K117)</f>
        <v>#N/A</v>
      </c>
      <c r="S117" s="23" t="e">
        <f aca="false">IF(M117="",NA(),M117)</f>
        <v>#N/A</v>
      </c>
      <c r="T117" s="23" t="str">
        <f aca="false">IF(J117="Válida",B117,"")</f>
        <v/>
      </c>
      <c r="U117" s="23" t="str">
        <f aca="false">IF(J117="Válida",F117,"")</f>
        <v/>
      </c>
    </row>
    <row r="118" customFormat="false" ht="15" hidden="false" customHeight="false" outlineLevel="0" collapsed="false">
      <c r="A118" s="22" t="str">
        <f aca="false">IF(MES!A118="","",MES!A118)</f>
        <v/>
      </c>
      <c r="B118" s="23" t="str">
        <f aca="false">IF(A118="","",MES!B118)</f>
        <v/>
      </c>
      <c r="C118" s="22" t="str">
        <f aca="false">IF(A118="","",A118+Parametros!$B$3/24)</f>
        <v/>
      </c>
      <c r="D118" s="22" t="str">
        <f aca="false">IF(A118="","",C118+Parametros!$B$2/24)</f>
        <v/>
      </c>
      <c r="E118" s="24" t="str">
        <f aca="false">IF(A118="","",COUNTIFS(Modulo!$A$2:$A$5001,"&gt;="&amp;C118,Modulo!$A$2:$A$5001,"&lt;"&amp;D118,Modulo!$D$2:$D$5001,Parametros!$B$7))</f>
        <v/>
      </c>
      <c r="F118" s="23" t="str">
        <f aca="false">IF(A118="","",IF(E118=0,"",AVERAGEIFS(Modulo!$B$2:$B$5001,Modulo!$A$2:$A$5001,"&gt;="&amp;C118,Modulo!$A$2:$A$5001,"&lt;"&amp;D118,Modulo!$D$2:$D$5001,Parametros!$B$7)))</f>
        <v/>
      </c>
      <c r="G118" s="23" t="str">
        <f aca="false">IF(A118="","",IF(E118=0,"",AVERAGEIFS(Modulo!$C$2:$C$5001,Modulo!$A$2:$A$5001,"&gt;="&amp;C118,Modulo!$A$2:$A$5001,"&lt;"&amp;D118,Modulo!$D$2:$D$5001,Parametros!$B$7)))</f>
        <v/>
      </c>
      <c r="H118" s="25" t="str">
        <f aca="false">IF(A118="","",IFERROR(COUNTIFS(Amostragem!$A$2:$A$15003,"&gt;="&amp;C118,Amostragem!$A$2:$A$15003,"&lt;"&amp;D118,Amostragem!$B$2:$B$15003,"Automático",Amostragem!$C$2:$C$15003,"Automático",Amostragem!$D$2:$D$15003,0)/COUNTIFS(Amostragem!$A$2:$A$15003,"&gt;="&amp;C118,Amostragem!$A$2:$A$15003,"&lt;"&amp;D118),0))</f>
        <v/>
      </c>
      <c r="I118" s="23" t="str">
        <f aca="false">IF(A118="","",IFERROR(AVERAGEIFS(Amostragem!$E$2:$E$15003,Amostragem!$A$2:$A$15003,"&gt;="&amp;C118,Amostragem!$A$2:$A$15003,"&lt;"&amp;D118),""))</f>
        <v/>
      </c>
      <c r="J118" s="24" t="str">
        <f aca="false">IF(A118="","",IF(B118="","Inválida: sem resultado MES",IF(E118&lt;Parametros!$B$4,"Inválida: poucos ensaios do módulo",IF(H118&lt;Parametros!$B$5,"Inválida: amostragem em manual ou em falha",IF(OR(I118="",I118&lt;Parametros!$B$6),"Inválida: usina parada ou baixa alimentação","Válida")))))</f>
        <v/>
      </c>
      <c r="K118" s="23" t="str">
        <f aca="false">IF(J118="Válida",F118-B118,"")</f>
        <v/>
      </c>
      <c r="L118" s="26" t="str">
        <f aca="false">IF(J118="Válida",K118/B118,"")</f>
        <v/>
      </c>
      <c r="M118" s="23" t="str">
        <f aca="false">IF(J118="Válida",(F118+B118)/2,"")</f>
        <v/>
      </c>
      <c r="N118" s="24" t="str">
        <f aca="false">IF(K118="","",IF(OR(K118&gt;Resumo!$B$16,K118&lt;Resumo!$B$15),"Sim","Não"))</f>
        <v/>
      </c>
      <c r="O118" s="22" t="e">
        <f aca="false">IF(A118="",NA(),A118)</f>
        <v>#N/A</v>
      </c>
      <c r="P118" s="23" t="e">
        <f aca="false">IF(A118="",NA(),B118)</f>
        <v>#N/A</v>
      </c>
      <c r="Q118" s="23" t="e">
        <f aca="false">IF(F118="",NA(),F118)</f>
        <v>#N/A</v>
      </c>
      <c r="R118" s="23" t="e">
        <f aca="false">IF(K118="",NA(),K118)</f>
        <v>#N/A</v>
      </c>
      <c r="S118" s="23" t="e">
        <f aca="false">IF(M118="",NA(),M118)</f>
        <v>#N/A</v>
      </c>
      <c r="T118" s="23" t="str">
        <f aca="false">IF(J118="Válida",B118,"")</f>
        <v/>
      </c>
      <c r="U118" s="23" t="str">
        <f aca="false">IF(J118="Válida",F118,"")</f>
        <v/>
      </c>
    </row>
    <row r="119" customFormat="false" ht="15" hidden="false" customHeight="false" outlineLevel="0" collapsed="false">
      <c r="A119" s="22" t="str">
        <f aca="false">IF(MES!A119="","",MES!A119)</f>
        <v/>
      </c>
      <c r="B119" s="23" t="str">
        <f aca="false">IF(A119="","",MES!B119)</f>
        <v/>
      </c>
      <c r="C119" s="22" t="str">
        <f aca="false">IF(A119="","",A119+Parametros!$B$3/24)</f>
        <v/>
      </c>
      <c r="D119" s="22" t="str">
        <f aca="false">IF(A119="","",C119+Parametros!$B$2/24)</f>
        <v/>
      </c>
      <c r="E119" s="24" t="str">
        <f aca="false">IF(A119="","",COUNTIFS(Modulo!$A$2:$A$5001,"&gt;="&amp;C119,Modulo!$A$2:$A$5001,"&lt;"&amp;D119,Modulo!$D$2:$D$5001,Parametros!$B$7))</f>
        <v/>
      </c>
      <c r="F119" s="23" t="str">
        <f aca="false">IF(A119="","",IF(E119=0,"",AVERAGEIFS(Modulo!$B$2:$B$5001,Modulo!$A$2:$A$5001,"&gt;="&amp;C119,Modulo!$A$2:$A$5001,"&lt;"&amp;D119,Modulo!$D$2:$D$5001,Parametros!$B$7)))</f>
        <v/>
      </c>
      <c r="G119" s="23" t="str">
        <f aca="false">IF(A119="","",IF(E119=0,"",AVERAGEIFS(Modulo!$C$2:$C$5001,Modulo!$A$2:$A$5001,"&gt;="&amp;C119,Modulo!$A$2:$A$5001,"&lt;"&amp;D119,Modulo!$D$2:$D$5001,Parametros!$B$7)))</f>
        <v/>
      </c>
      <c r="H119" s="25" t="str">
        <f aca="false">IF(A119="","",IFERROR(COUNTIFS(Amostragem!$A$2:$A$15003,"&gt;="&amp;C119,Amostragem!$A$2:$A$15003,"&lt;"&amp;D119,Amostragem!$B$2:$B$15003,"Automático",Amostragem!$C$2:$C$15003,"Automático",Amostragem!$D$2:$D$15003,0)/COUNTIFS(Amostragem!$A$2:$A$15003,"&gt;="&amp;C119,Amostragem!$A$2:$A$15003,"&lt;"&amp;D119),0))</f>
        <v/>
      </c>
      <c r="I119" s="23" t="str">
        <f aca="false">IF(A119="","",IFERROR(AVERAGEIFS(Amostragem!$E$2:$E$15003,Amostragem!$A$2:$A$15003,"&gt;="&amp;C119,Amostragem!$A$2:$A$15003,"&lt;"&amp;D119),""))</f>
        <v/>
      </c>
      <c r="J119" s="24" t="str">
        <f aca="false">IF(A119="","",IF(B119="","Inválida: sem resultado MES",IF(E119&lt;Parametros!$B$4,"Inválida: poucos ensaios do módulo",IF(H119&lt;Parametros!$B$5,"Inválida: amostragem em manual ou em falha",IF(OR(I119="",I119&lt;Parametros!$B$6),"Inválida: usina parada ou baixa alimentação","Válida")))))</f>
        <v/>
      </c>
      <c r="K119" s="23" t="str">
        <f aca="false">IF(J119="Válida",F119-B119,"")</f>
        <v/>
      </c>
      <c r="L119" s="26" t="str">
        <f aca="false">IF(J119="Válida",K119/B119,"")</f>
        <v/>
      </c>
      <c r="M119" s="23" t="str">
        <f aca="false">IF(J119="Válida",(F119+B119)/2,"")</f>
        <v/>
      </c>
      <c r="N119" s="24" t="str">
        <f aca="false">IF(K119="","",IF(OR(K119&gt;Resumo!$B$16,K119&lt;Resumo!$B$15),"Sim","Não"))</f>
        <v/>
      </c>
      <c r="O119" s="22" t="e">
        <f aca="false">IF(A119="",NA(),A119)</f>
        <v>#N/A</v>
      </c>
      <c r="P119" s="23" t="e">
        <f aca="false">IF(A119="",NA(),B119)</f>
        <v>#N/A</v>
      </c>
      <c r="Q119" s="23" t="e">
        <f aca="false">IF(F119="",NA(),F119)</f>
        <v>#N/A</v>
      </c>
      <c r="R119" s="23" t="e">
        <f aca="false">IF(K119="",NA(),K119)</f>
        <v>#N/A</v>
      </c>
      <c r="S119" s="23" t="e">
        <f aca="false">IF(M119="",NA(),M119)</f>
        <v>#N/A</v>
      </c>
      <c r="T119" s="23" t="str">
        <f aca="false">IF(J119="Válida",B119,"")</f>
        <v/>
      </c>
      <c r="U119" s="23" t="str">
        <f aca="false">IF(J119="Válida",F119,"")</f>
        <v/>
      </c>
    </row>
    <row r="120" customFormat="false" ht="15" hidden="false" customHeight="false" outlineLevel="0" collapsed="false">
      <c r="A120" s="22" t="str">
        <f aca="false">IF(MES!A120="","",MES!A120)</f>
        <v/>
      </c>
      <c r="B120" s="23" t="str">
        <f aca="false">IF(A120="","",MES!B120)</f>
        <v/>
      </c>
      <c r="C120" s="22" t="str">
        <f aca="false">IF(A120="","",A120+Parametros!$B$3/24)</f>
        <v/>
      </c>
      <c r="D120" s="22" t="str">
        <f aca="false">IF(A120="","",C120+Parametros!$B$2/24)</f>
        <v/>
      </c>
      <c r="E120" s="24" t="str">
        <f aca="false">IF(A120="","",COUNTIFS(Modulo!$A$2:$A$5001,"&gt;="&amp;C120,Modulo!$A$2:$A$5001,"&lt;"&amp;D120,Modulo!$D$2:$D$5001,Parametros!$B$7))</f>
        <v/>
      </c>
      <c r="F120" s="23" t="str">
        <f aca="false">IF(A120="","",IF(E120=0,"",AVERAGEIFS(Modulo!$B$2:$B$5001,Modulo!$A$2:$A$5001,"&gt;="&amp;C120,Modulo!$A$2:$A$5001,"&lt;"&amp;D120,Modulo!$D$2:$D$5001,Parametros!$B$7)))</f>
        <v/>
      </c>
      <c r="G120" s="23" t="str">
        <f aca="false">IF(A120="","",IF(E120=0,"",AVERAGEIFS(Modulo!$C$2:$C$5001,Modulo!$A$2:$A$5001,"&gt;="&amp;C120,Modulo!$A$2:$A$5001,"&lt;"&amp;D120,Modulo!$D$2:$D$5001,Parametros!$B$7)))</f>
        <v/>
      </c>
      <c r="H120" s="25" t="str">
        <f aca="false">IF(A120="","",IFERROR(COUNTIFS(Amostragem!$A$2:$A$15003,"&gt;="&amp;C120,Amostragem!$A$2:$A$15003,"&lt;"&amp;D120,Amostragem!$B$2:$B$15003,"Automático",Amostragem!$C$2:$C$15003,"Automático",Amostragem!$D$2:$D$15003,0)/COUNTIFS(Amostragem!$A$2:$A$15003,"&gt;="&amp;C120,Amostragem!$A$2:$A$15003,"&lt;"&amp;D120),0))</f>
        <v/>
      </c>
      <c r="I120" s="23" t="str">
        <f aca="false">IF(A120="","",IFERROR(AVERAGEIFS(Amostragem!$E$2:$E$15003,Amostragem!$A$2:$A$15003,"&gt;="&amp;C120,Amostragem!$A$2:$A$15003,"&lt;"&amp;D120),""))</f>
        <v/>
      </c>
      <c r="J120" s="24" t="str">
        <f aca="false">IF(A120="","",IF(B120="","Inválida: sem resultado MES",IF(E120&lt;Parametros!$B$4,"Inválida: poucos ensaios do módulo",IF(H120&lt;Parametros!$B$5,"Inválida: amostragem em manual ou em falha",IF(OR(I120="",I120&lt;Parametros!$B$6),"Inválida: usina parada ou baixa alimentação","Válida")))))</f>
        <v/>
      </c>
      <c r="K120" s="23" t="str">
        <f aca="false">IF(J120="Válida",F120-B120,"")</f>
        <v/>
      </c>
      <c r="L120" s="26" t="str">
        <f aca="false">IF(J120="Válida",K120/B120,"")</f>
        <v/>
      </c>
      <c r="M120" s="23" t="str">
        <f aca="false">IF(J120="Válida",(F120+B120)/2,"")</f>
        <v/>
      </c>
      <c r="N120" s="24" t="str">
        <f aca="false">IF(K120="","",IF(OR(K120&gt;Resumo!$B$16,K120&lt;Resumo!$B$15),"Sim","Não"))</f>
        <v/>
      </c>
      <c r="O120" s="22" t="e">
        <f aca="false">IF(A120="",NA(),A120)</f>
        <v>#N/A</v>
      </c>
      <c r="P120" s="23" t="e">
        <f aca="false">IF(A120="",NA(),B120)</f>
        <v>#N/A</v>
      </c>
      <c r="Q120" s="23" t="e">
        <f aca="false">IF(F120="",NA(),F120)</f>
        <v>#N/A</v>
      </c>
      <c r="R120" s="23" t="e">
        <f aca="false">IF(K120="",NA(),K120)</f>
        <v>#N/A</v>
      </c>
      <c r="S120" s="23" t="e">
        <f aca="false">IF(M120="",NA(),M120)</f>
        <v>#N/A</v>
      </c>
      <c r="T120" s="23" t="str">
        <f aca="false">IF(J120="Válida",B120,"")</f>
        <v/>
      </c>
      <c r="U120" s="23" t="str">
        <f aca="false">IF(J120="Válida",F120,"")</f>
        <v/>
      </c>
    </row>
    <row r="121" customFormat="false" ht="15" hidden="false" customHeight="false" outlineLevel="0" collapsed="false">
      <c r="A121" s="22" t="str">
        <f aca="false">IF(MES!A121="","",MES!A121)</f>
        <v/>
      </c>
      <c r="B121" s="23" t="str">
        <f aca="false">IF(A121="","",MES!B121)</f>
        <v/>
      </c>
      <c r="C121" s="22" t="str">
        <f aca="false">IF(A121="","",A121+Parametros!$B$3/24)</f>
        <v/>
      </c>
      <c r="D121" s="22" t="str">
        <f aca="false">IF(A121="","",C121+Parametros!$B$2/24)</f>
        <v/>
      </c>
      <c r="E121" s="24" t="str">
        <f aca="false">IF(A121="","",COUNTIFS(Modulo!$A$2:$A$5001,"&gt;="&amp;C121,Modulo!$A$2:$A$5001,"&lt;"&amp;D121,Modulo!$D$2:$D$5001,Parametros!$B$7))</f>
        <v/>
      </c>
      <c r="F121" s="23" t="str">
        <f aca="false">IF(A121="","",IF(E121=0,"",AVERAGEIFS(Modulo!$B$2:$B$5001,Modulo!$A$2:$A$5001,"&gt;="&amp;C121,Modulo!$A$2:$A$5001,"&lt;"&amp;D121,Modulo!$D$2:$D$5001,Parametros!$B$7)))</f>
        <v/>
      </c>
      <c r="G121" s="23" t="str">
        <f aca="false">IF(A121="","",IF(E121=0,"",AVERAGEIFS(Modulo!$C$2:$C$5001,Modulo!$A$2:$A$5001,"&gt;="&amp;C121,Modulo!$A$2:$A$5001,"&lt;"&amp;D121,Modulo!$D$2:$D$5001,Parametros!$B$7)))</f>
        <v/>
      </c>
      <c r="H121" s="25" t="str">
        <f aca="false">IF(A121="","",IFERROR(COUNTIFS(Amostragem!$A$2:$A$15003,"&gt;="&amp;C121,Amostragem!$A$2:$A$15003,"&lt;"&amp;D121,Amostragem!$B$2:$B$15003,"Automático",Amostragem!$C$2:$C$15003,"Automático",Amostragem!$D$2:$D$15003,0)/COUNTIFS(Amostragem!$A$2:$A$15003,"&gt;="&amp;C121,Amostragem!$A$2:$A$15003,"&lt;"&amp;D121),0))</f>
        <v/>
      </c>
      <c r="I121" s="23" t="str">
        <f aca="false">IF(A121="","",IFERROR(AVERAGEIFS(Amostragem!$E$2:$E$15003,Amostragem!$A$2:$A$15003,"&gt;="&amp;C121,Amostragem!$A$2:$A$15003,"&lt;"&amp;D121),""))</f>
        <v/>
      </c>
      <c r="J121" s="24" t="str">
        <f aca="false">IF(A121="","",IF(B121="","Inválida: sem resultado MES",IF(E121&lt;Parametros!$B$4,"Inválida: poucos ensaios do módulo",IF(H121&lt;Parametros!$B$5,"Inválida: amostragem em manual ou em falha",IF(OR(I121="",I121&lt;Parametros!$B$6),"Inválida: usina parada ou baixa alimentação","Válida")))))</f>
        <v/>
      </c>
      <c r="K121" s="23" t="str">
        <f aca="false">IF(J121="Válida",F121-B121,"")</f>
        <v/>
      </c>
      <c r="L121" s="26" t="str">
        <f aca="false">IF(J121="Válida",K121/B121,"")</f>
        <v/>
      </c>
      <c r="M121" s="23" t="str">
        <f aca="false">IF(J121="Válida",(F121+B121)/2,"")</f>
        <v/>
      </c>
      <c r="N121" s="24" t="str">
        <f aca="false">IF(K121="","",IF(OR(K121&gt;Resumo!$B$16,K121&lt;Resumo!$B$15),"Sim","Não"))</f>
        <v/>
      </c>
      <c r="O121" s="22" t="e">
        <f aca="false">IF(A121="",NA(),A121)</f>
        <v>#N/A</v>
      </c>
      <c r="P121" s="23" t="e">
        <f aca="false">IF(A121="",NA(),B121)</f>
        <v>#N/A</v>
      </c>
      <c r="Q121" s="23" t="e">
        <f aca="false">IF(F121="",NA(),F121)</f>
        <v>#N/A</v>
      </c>
      <c r="R121" s="23" t="e">
        <f aca="false">IF(K121="",NA(),K121)</f>
        <v>#N/A</v>
      </c>
      <c r="S121" s="23" t="e">
        <f aca="false">IF(M121="",NA(),M121)</f>
        <v>#N/A</v>
      </c>
      <c r="T121" s="23" t="str">
        <f aca="false">IF(J121="Válida",B121,"")</f>
        <v/>
      </c>
      <c r="U121" s="23" t="str">
        <f aca="false">IF(J121="Válida",F121,"")</f>
        <v/>
      </c>
    </row>
    <row r="122" customFormat="false" ht="15" hidden="false" customHeight="false" outlineLevel="0" collapsed="false">
      <c r="A122" s="22" t="str">
        <f aca="false">IF(MES!A122="","",MES!A122)</f>
        <v/>
      </c>
      <c r="B122" s="23" t="str">
        <f aca="false">IF(A122="","",MES!B122)</f>
        <v/>
      </c>
      <c r="C122" s="22" t="str">
        <f aca="false">IF(A122="","",A122+Parametros!$B$3/24)</f>
        <v/>
      </c>
      <c r="D122" s="22" t="str">
        <f aca="false">IF(A122="","",C122+Parametros!$B$2/24)</f>
        <v/>
      </c>
      <c r="E122" s="24" t="str">
        <f aca="false">IF(A122="","",COUNTIFS(Modulo!$A$2:$A$5001,"&gt;="&amp;C122,Modulo!$A$2:$A$5001,"&lt;"&amp;D122,Modulo!$D$2:$D$5001,Parametros!$B$7))</f>
        <v/>
      </c>
      <c r="F122" s="23" t="str">
        <f aca="false">IF(A122="","",IF(E122=0,"",AVERAGEIFS(Modulo!$B$2:$B$5001,Modulo!$A$2:$A$5001,"&gt;="&amp;C122,Modulo!$A$2:$A$5001,"&lt;"&amp;D122,Modulo!$D$2:$D$5001,Parametros!$B$7)))</f>
        <v/>
      </c>
      <c r="G122" s="23" t="str">
        <f aca="false">IF(A122="","",IF(E122=0,"",AVERAGEIFS(Modulo!$C$2:$C$5001,Modulo!$A$2:$A$5001,"&gt;="&amp;C122,Modulo!$A$2:$A$5001,"&lt;"&amp;D122,Modulo!$D$2:$D$5001,Parametros!$B$7)))</f>
        <v/>
      </c>
      <c r="H122" s="25" t="str">
        <f aca="false">IF(A122="","",IFERROR(COUNTIFS(Amostragem!$A$2:$A$15003,"&gt;="&amp;C122,Amostragem!$A$2:$A$15003,"&lt;"&amp;D122,Amostragem!$B$2:$B$15003,"Automático",Amostragem!$C$2:$C$15003,"Automático",Amostragem!$D$2:$D$15003,0)/COUNTIFS(Amostragem!$A$2:$A$15003,"&gt;="&amp;C122,Amostragem!$A$2:$A$15003,"&lt;"&amp;D122),0))</f>
        <v/>
      </c>
      <c r="I122" s="23" t="str">
        <f aca="false">IF(A122="","",IFERROR(AVERAGEIFS(Amostragem!$E$2:$E$15003,Amostragem!$A$2:$A$15003,"&gt;="&amp;C122,Amostragem!$A$2:$A$15003,"&lt;"&amp;D122),""))</f>
        <v/>
      </c>
      <c r="J122" s="24" t="str">
        <f aca="false">IF(A122="","",IF(B122="","Inválida: sem resultado MES",IF(E122&lt;Parametros!$B$4,"Inválida: poucos ensaios do módulo",IF(H122&lt;Parametros!$B$5,"Inválida: amostragem em manual ou em falha",IF(OR(I122="",I122&lt;Parametros!$B$6),"Inválida: usina parada ou baixa alimentação","Válida")))))</f>
        <v/>
      </c>
      <c r="K122" s="23" t="str">
        <f aca="false">IF(J122="Válida",F122-B122,"")</f>
        <v/>
      </c>
      <c r="L122" s="26" t="str">
        <f aca="false">IF(J122="Válida",K122/B122,"")</f>
        <v/>
      </c>
      <c r="M122" s="23" t="str">
        <f aca="false">IF(J122="Válida",(F122+B122)/2,"")</f>
        <v/>
      </c>
      <c r="N122" s="24" t="str">
        <f aca="false">IF(K122="","",IF(OR(K122&gt;Resumo!$B$16,K122&lt;Resumo!$B$15),"Sim","Não"))</f>
        <v/>
      </c>
      <c r="O122" s="22" t="e">
        <f aca="false">IF(A122="",NA(),A122)</f>
        <v>#N/A</v>
      </c>
      <c r="P122" s="23" t="e">
        <f aca="false">IF(A122="",NA(),B122)</f>
        <v>#N/A</v>
      </c>
      <c r="Q122" s="23" t="e">
        <f aca="false">IF(F122="",NA(),F122)</f>
        <v>#N/A</v>
      </c>
      <c r="R122" s="23" t="e">
        <f aca="false">IF(K122="",NA(),K122)</f>
        <v>#N/A</v>
      </c>
      <c r="S122" s="23" t="e">
        <f aca="false">IF(M122="",NA(),M122)</f>
        <v>#N/A</v>
      </c>
      <c r="T122" s="23" t="str">
        <f aca="false">IF(J122="Válida",B122,"")</f>
        <v/>
      </c>
      <c r="U122" s="23" t="str">
        <f aca="false">IF(J122="Válida",F122,"")</f>
        <v/>
      </c>
    </row>
    <row r="123" customFormat="false" ht="15" hidden="false" customHeight="false" outlineLevel="0" collapsed="false">
      <c r="A123" s="22" t="str">
        <f aca="false">IF(MES!A123="","",MES!A123)</f>
        <v/>
      </c>
      <c r="B123" s="23" t="str">
        <f aca="false">IF(A123="","",MES!B123)</f>
        <v/>
      </c>
      <c r="C123" s="22" t="str">
        <f aca="false">IF(A123="","",A123+Parametros!$B$3/24)</f>
        <v/>
      </c>
      <c r="D123" s="22" t="str">
        <f aca="false">IF(A123="","",C123+Parametros!$B$2/24)</f>
        <v/>
      </c>
      <c r="E123" s="24" t="str">
        <f aca="false">IF(A123="","",COUNTIFS(Modulo!$A$2:$A$5001,"&gt;="&amp;C123,Modulo!$A$2:$A$5001,"&lt;"&amp;D123,Modulo!$D$2:$D$5001,Parametros!$B$7))</f>
        <v/>
      </c>
      <c r="F123" s="23" t="str">
        <f aca="false">IF(A123="","",IF(E123=0,"",AVERAGEIFS(Modulo!$B$2:$B$5001,Modulo!$A$2:$A$5001,"&gt;="&amp;C123,Modulo!$A$2:$A$5001,"&lt;"&amp;D123,Modulo!$D$2:$D$5001,Parametros!$B$7)))</f>
        <v/>
      </c>
      <c r="G123" s="23" t="str">
        <f aca="false">IF(A123="","",IF(E123=0,"",AVERAGEIFS(Modulo!$C$2:$C$5001,Modulo!$A$2:$A$5001,"&gt;="&amp;C123,Modulo!$A$2:$A$5001,"&lt;"&amp;D123,Modulo!$D$2:$D$5001,Parametros!$B$7)))</f>
        <v/>
      </c>
      <c r="H123" s="25" t="str">
        <f aca="false">IF(A123="","",IFERROR(COUNTIFS(Amostragem!$A$2:$A$15003,"&gt;="&amp;C123,Amostragem!$A$2:$A$15003,"&lt;"&amp;D123,Amostragem!$B$2:$B$15003,"Automático",Amostragem!$C$2:$C$15003,"Automático",Amostragem!$D$2:$D$15003,0)/COUNTIFS(Amostragem!$A$2:$A$15003,"&gt;="&amp;C123,Amostragem!$A$2:$A$15003,"&lt;"&amp;D123),0))</f>
        <v/>
      </c>
      <c r="I123" s="23" t="str">
        <f aca="false">IF(A123="","",IFERROR(AVERAGEIFS(Amostragem!$E$2:$E$15003,Amostragem!$A$2:$A$15003,"&gt;="&amp;C123,Amostragem!$A$2:$A$15003,"&lt;"&amp;D123),""))</f>
        <v/>
      </c>
      <c r="J123" s="24" t="str">
        <f aca="false">IF(A123="","",IF(B123="","Inválida: sem resultado MES",IF(E123&lt;Parametros!$B$4,"Inválida: poucos ensaios do módulo",IF(H123&lt;Parametros!$B$5,"Inválida: amostragem em manual ou em falha",IF(OR(I123="",I123&lt;Parametros!$B$6),"Inválida: usina parada ou baixa alimentação","Válida")))))</f>
        <v/>
      </c>
      <c r="K123" s="23" t="str">
        <f aca="false">IF(J123="Válida",F123-B123,"")</f>
        <v/>
      </c>
      <c r="L123" s="26" t="str">
        <f aca="false">IF(J123="Válida",K123/B123,"")</f>
        <v/>
      </c>
      <c r="M123" s="23" t="str">
        <f aca="false">IF(J123="Válida",(F123+B123)/2,"")</f>
        <v/>
      </c>
      <c r="N123" s="24" t="str">
        <f aca="false">IF(K123="","",IF(OR(K123&gt;Resumo!$B$16,K123&lt;Resumo!$B$15),"Sim","Não"))</f>
        <v/>
      </c>
      <c r="O123" s="22" t="e">
        <f aca="false">IF(A123="",NA(),A123)</f>
        <v>#N/A</v>
      </c>
      <c r="P123" s="23" t="e">
        <f aca="false">IF(A123="",NA(),B123)</f>
        <v>#N/A</v>
      </c>
      <c r="Q123" s="23" t="e">
        <f aca="false">IF(F123="",NA(),F123)</f>
        <v>#N/A</v>
      </c>
      <c r="R123" s="23" t="e">
        <f aca="false">IF(K123="",NA(),K123)</f>
        <v>#N/A</v>
      </c>
      <c r="S123" s="23" t="e">
        <f aca="false">IF(M123="",NA(),M123)</f>
        <v>#N/A</v>
      </c>
      <c r="T123" s="23" t="str">
        <f aca="false">IF(J123="Válida",B123,"")</f>
        <v/>
      </c>
      <c r="U123" s="23" t="str">
        <f aca="false">IF(J123="Válida",F123,"")</f>
        <v/>
      </c>
    </row>
    <row r="124" customFormat="false" ht="15" hidden="false" customHeight="false" outlineLevel="0" collapsed="false">
      <c r="A124" s="22" t="str">
        <f aca="false">IF(MES!A124="","",MES!A124)</f>
        <v/>
      </c>
      <c r="B124" s="23" t="str">
        <f aca="false">IF(A124="","",MES!B124)</f>
        <v/>
      </c>
      <c r="C124" s="22" t="str">
        <f aca="false">IF(A124="","",A124+Parametros!$B$3/24)</f>
        <v/>
      </c>
      <c r="D124" s="22" t="str">
        <f aca="false">IF(A124="","",C124+Parametros!$B$2/24)</f>
        <v/>
      </c>
      <c r="E124" s="24" t="str">
        <f aca="false">IF(A124="","",COUNTIFS(Modulo!$A$2:$A$5001,"&gt;="&amp;C124,Modulo!$A$2:$A$5001,"&lt;"&amp;D124,Modulo!$D$2:$D$5001,Parametros!$B$7))</f>
        <v/>
      </c>
      <c r="F124" s="23" t="str">
        <f aca="false">IF(A124="","",IF(E124=0,"",AVERAGEIFS(Modulo!$B$2:$B$5001,Modulo!$A$2:$A$5001,"&gt;="&amp;C124,Modulo!$A$2:$A$5001,"&lt;"&amp;D124,Modulo!$D$2:$D$5001,Parametros!$B$7)))</f>
        <v/>
      </c>
      <c r="G124" s="23" t="str">
        <f aca="false">IF(A124="","",IF(E124=0,"",AVERAGEIFS(Modulo!$C$2:$C$5001,Modulo!$A$2:$A$5001,"&gt;="&amp;C124,Modulo!$A$2:$A$5001,"&lt;"&amp;D124,Modulo!$D$2:$D$5001,Parametros!$B$7)))</f>
        <v/>
      </c>
      <c r="H124" s="25" t="str">
        <f aca="false">IF(A124="","",IFERROR(COUNTIFS(Amostragem!$A$2:$A$15003,"&gt;="&amp;C124,Amostragem!$A$2:$A$15003,"&lt;"&amp;D124,Amostragem!$B$2:$B$15003,"Automático",Amostragem!$C$2:$C$15003,"Automático",Amostragem!$D$2:$D$15003,0)/COUNTIFS(Amostragem!$A$2:$A$15003,"&gt;="&amp;C124,Amostragem!$A$2:$A$15003,"&lt;"&amp;D124),0))</f>
        <v/>
      </c>
      <c r="I124" s="23" t="str">
        <f aca="false">IF(A124="","",IFERROR(AVERAGEIFS(Amostragem!$E$2:$E$15003,Amostragem!$A$2:$A$15003,"&gt;="&amp;C124,Amostragem!$A$2:$A$15003,"&lt;"&amp;D124),""))</f>
        <v/>
      </c>
      <c r="J124" s="24" t="str">
        <f aca="false">IF(A124="","",IF(B124="","Inválida: sem resultado MES",IF(E124&lt;Parametros!$B$4,"Inválida: poucos ensaios do módulo",IF(H124&lt;Parametros!$B$5,"Inválida: amostragem em manual ou em falha",IF(OR(I124="",I124&lt;Parametros!$B$6),"Inválida: usina parada ou baixa alimentação","Válida")))))</f>
        <v/>
      </c>
      <c r="K124" s="23" t="str">
        <f aca="false">IF(J124="Válida",F124-B124,"")</f>
        <v/>
      </c>
      <c r="L124" s="26" t="str">
        <f aca="false">IF(J124="Válida",K124/B124,"")</f>
        <v/>
      </c>
      <c r="M124" s="23" t="str">
        <f aca="false">IF(J124="Válida",(F124+B124)/2,"")</f>
        <v/>
      </c>
      <c r="N124" s="24" t="str">
        <f aca="false">IF(K124="","",IF(OR(K124&gt;Resumo!$B$16,K124&lt;Resumo!$B$15),"Sim","Não"))</f>
        <v/>
      </c>
      <c r="O124" s="22" t="e">
        <f aca="false">IF(A124="",NA(),A124)</f>
        <v>#N/A</v>
      </c>
      <c r="P124" s="23" t="e">
        <f aca="false">IF(A124="",NA(),B124)</f>
        <v>#N/A</v>
      </c>
      <c r="Q124" s="23" t="e">
        <f aca="false">IF(F124="",NA(),F124)</f>
        <v>#N/A</v>
      </c>
      <c r="R124" s="23" t="e">
        <f aca="false">IF(K124="",NA(),K124)</f>
        <v>#N/A</v>
      </c>
      <c r="S124" s="23" t="e">
        <f aca="false">IF(M124="",NA(),M124)</f>
        <v>#N/A</v>
      </c>
      <c r="T124" s="23" t="str">
        <f aca="false">IF(J124="Válida",B124,"")</f>
        <v/>
      </c>
      <c r="U124" s="23" t="str">
        <f aca="false">IF(J124="Válida",F124,"")</f>
        <v/>
      </c>
    </row>
    <row r="125" customFormat="false" ht="15" hidden="false" customHeight="false" outlineLevel="0" collapsed="false">
      <c r="A125" s="22" t="str">
        <f aca="false">IF(MES!A125="","",MES!A125)</f>
        <v/>
      </c>
      <c r="B125" s="23" t="str">
        <f aca="false">IF(A125="","",MES!B125)</f>
        <v/>
      </c>
      <c r="C125" s="22" t="str">
        <f aca="false">IF(A125="","",A125+Parametros!$B$3/24)</f>
        <v/>
      </c>
      <c r="D125" s="22" t="str">
        <f aca="false">IF(A125="","",C125+Parametros!$B$2/24)</f>
        <v/>
      </c>
      <c r="E125" s="24" t="str">
        <f aca="false">IF(A125="","",COUNTIFS(Modulo!$A$2:$A$5001,"&gt;="&amp;C125,Modulo!$A$2:$A$5001,"&lt;"&amp;D125,Modulo!$D$2:$D$5001,Parametros!$B$7))</f>
        <v/>
      </c>
      <c r="F125" s="23" t="str">
        <f aca="false">IF(A125="","",IF(E125=0,"",AVERAGEIFS(Modulo!$B$2:$B$5001,Modulo!$A$2:$A$5001,"&gt;="&amp;C125,Modulo!$A$2:$A$5001,"&lt;"&amp;D125,Modulo!$D$2:$D$5001,Parametros!$B$7)))</f>
        <v/>
      </c>
      <c r="G125" s="23" t="str">
        <f aca="false">IF(A125="","",IF(E125=0,"",AVERAGEIFS(Modulo!$C$2:$C$5001,Modulo!$A$2:$A$5001,"&gt;="&amp;C125,Modulo!$A$2:$A$5001,"&lt;"&amp;D125,Modulo!$D$2:$D$5001,Parametros!$B$7)))</f>
        <v/>
      </c>
      <c r="H125" s="25" t="str">
        <f aca="false">IF(A125="","",IFERROR(COUNTIFS(Amostragem!$A$2:$A$15003,"&gt;="&amp;C125,Amostragem!$A$2:$A$15003,"&lt;"&amp;D125,Amostragem!$B$2:$B$15003,"Automático",Amostragem!$C$2:$C$15003,"Automático",Amostragem!$D$2:$D$15003,0)/COUNTIFS(Amostragem!$A$2:$A$15003,"&gt;="&amp;C125,Amostragem!$A$2:$A$15003,"&lt;"&amp;D125),0))</f>
        <v/>
      </c>
      <c r="I125" s="23" t="str">
        <f aca="false">IF(A125="","",IFERROR(AVERAGEIFS(Amostragem!$E$2:$E$15003,Amostragem!$A$2:$A$15003,"&gt;="&amp;C125,Amostragem!$A$2:$A$15003,"&lt;"&amp;D125),""))</f>
        <v/>
      </c>
      <c r="J125" s="24" t="str">
        <f aca="false">IF(A125="","",IF(B125="","Inválida: sem resultado MES",IF(E125&lt;Parametros!$B$4,"Inválida: poucos ensaios do módulo",IF(H125&lt;Parametros!$B$5,"Inválida: amostragem em manual ou em falha",IF(OR(I125="",I125&lt;Parametros!$B$6),"Inválida: usina parada ou baixa alimentação","Válida")))))</f>
        <v/>
      </c>
      <c r="K125" s="23" t="str">
        <f aca="false">IF(J125="Válida",F125-B125,"")</f>
        <v/>
      </c>
      <c r="L125" s="26" t="str">
        <f aca="false">IF(J125="Válida",K125/B125,"")</f>
        <v/>
      </c>
      <c r="M125" s="23" t="str">
        <f aca="false">IF(J125="Válida",(F125+B125)/2,"")</f>
        <v/>
      </c>
      <c r="N125" s="24" t="str">
        <f aca="false">IF(K125="","",IF(OR(K125&gt;Resumo!$B$16,K125&lt;Resumo!$B$15),"Sim","Não"))</f>
        <v/>
      </c>
      <c r="O125" s="22" t="e">
        <f aca="false">IF(A125="",NA(),A125)</f>
        <v>#N/A</v>
      </c>
      <c r="P125" s="23" t="e">
        <f aca="false">IF(A125="",NA(),B125)</f>
        <v>#N/A</v>
      </c>
      <c r="Q125" s="23" t="e">
        <f aca="false">IF(F125="",NA(),F125)</f>
        <v>#N/A</v>
      </c>
      <c r="R125" s="23" t="e">
        <f aca="false">IF(K125="",NA(),K125)</f>
        <v>#N/A</v>
      </c>
      <c r="S125" s="23" t="e">
        <f aca="false">IF(M125="",NA(),M125)</f>
        <v>#N/A</v>
      </c>
      <c r="T125" s="23" t="str">
        <f aca="false">IF(J125="Válida",B125,"")</f>
        <v/>
      </c>
      <c r="U125" s="23" t="str">
        <f aca="false">IF(J125="Válida",F125,"")</f>
        <v/>
      </c>
    </row>
    <row r="126" customFormat="false" ht="15" hidden="false" customHeight="false" outlineLevel="0" collapsed="false">
      <c r="A126" s="22" t="str">
        <f aca="false">IF(MES!A126="","",MES!A126)</f>
        <v/>
      </c>
      <c r="B126" s="23" t="str">
        <f aca="false">IF(A126="","",MES!B126)</f>
        <v/>
      </c>
      <c r="C126" s="22" t="str">
        <f aca="false">IF(A126="","",A126+Parametros!$B$3/24)</f>
        <v/>
      </c>
      <c r="D126" s="22" t="str">
        <f aca="false">IF(A126="","",C126+Parametros!$B$2/24)</f>
        <v/>
      </c>
      <c r="E126" s="24" t="str">
        <f aca="false">IF(A126="","",COUNTIFS(Modulo!$A$2:$A$5001,"&gt;="&amp;C126,Modulo!$A$2:$A$5001,"&lt;"&amp;D126,Modulo!$D$2:$D$5001,Parametros!$B$7))</f>
        <v/>
      </c>
      <c r="F126" s="23" t="str">
        <f aca="false">IF(A126="","",IF(E126=0,"",AVERAGEIFS(Modulo!$B$2:$B$5001,Modulo!$A$2:$A$5001,"&gt;="&amp;C126,Modulo!$A$2:$A$5001,"&lt;"&amp;D126,Modulo!$D$2:$D$5001,Parametros!$B$7)))</f>
        <v/>
      </c>
      <c r="G126" s="23" t="str">
        <f aca="false">IF(A126="","",IF(E126=0,"",AVERAGEIFS(Modulo!$C$2:$C$5001,Modulo!$A$2:$A$5001,"&gt;="&amp;C126,Modulo!$A$2:$A$5001,"&lt;"&amp;D126,Modulo!$D$2:$D$5001,Parametros!$B$7)))</f>
        <v/>
      </c>
      <c r="H126" s="25" t="str">
        <f aca="false">IF(A126="","",IFERROR(COUNTIFS(Amostragem!$A$2:$A$15003,"&gt;="&amp;C126,Amostragem!$A$2:$A$15003,"&lt;"&amp;D126,Amostragem!$B$2:$B$15003,"Automático",Amostragem!$C$2:$C$15003,"Automático",Amostragem!$D$2:$D$15003,0)/COUNTIFS(Amostragem!$A$2:$A$15003,"&gt;="&amp;C126,Amostragem!$A$2:$A$15003,"&lt;"&amp;D126),0))</f>
        <v/>
      </c>
      <c r="I126" s="23" t="str">
        <f aca="false">IF(A126="","",IFERROR(AVERAGEIFS(Amostragem!$E$2:$E$15003,Amostragem!$A$2:$A$15003,"&gt;="&amp;C126,Amostragem!$A$2:$A$15003,"&lt;"&amp;D126),""))</f>
        <v/>
      </c>
      <c r="J126" s="24" t="str">
        <f aca="false">IF(A126="","",IF(B126="","Inválida: sem resultado MES",IF(E126&lt;Parametros!$B$4,"Inválida: poucos ensaios do módulo",IF(H126&lt;Parametros!$B$5,"Inválida: amostragem em manual ou em falha",IF(OR(I126="",I126&lt;Parametros!$B$6),"Inválida: usina parada ou baixa alimentação","Válida")))))</f>
        <v/>
      </c>
      <c r="K126" s="23" t="str">
        <f aca="false">IF(J126="Válida",F126-B126,"")</f>
        <v/>
      </c>
      <c r="L126" s="26" t="str">
        <f aca="false">IF(J126="Válida",K126/B126,"")</f>
        <v/>
      </c>
      <c r="M126" s="23" t="str">
        <f aca="false">IF(J126="Válida",(F126+B126)/2,"")</f>
        <v/>
      </c>
      <c r="N126" s="24" t="str">
        <f aca="false">IF(K126="","",IF(OR(K126&gt;Resumo!$B$16,K126&lt;Resumo!$B$15),"Sim","Não"))</f>
        <v/>
      </c>
      <c r="O126" s="22" t="e">
        <f aca="false">IF(A126="",NA(),A126)</f>
        <v>#N/A</v>
      </c>
      <c r="P126" s="23" t="e">
        <f aca="false">IF(A126="",NA(),B126)</f>
        <v>#N/A</v>
      </c>
      <c r="Q126" s="23" t="e">
        <f aca="false">IF(F126="",NA(),F126)</f>
        <v>#N/A</v>
      </c>
      <c r="R126" s="23" t="e">
        <f aca="false">IF(K126="",NA(),K126)</f>
        <v>#N/A</v>
      </c>
      <c r="S126" s="23" t="e">
        <f aca="false">IF(M126="",NA(),M126)</f>
        <v>#N/A</v>
      </c>
      <c r="T126" s="23" t="str">
        <f aca="false">IF(J126="Válida",B126,"")</f>
        <v/>
      </c>
      <c r="U126" s="23" t="str">
        <f aca="false">IF(J126="Válida",F126,"")</f>
        <v/>
      </c>
    </row>
    <row r="127" customFormat="false" ht="15" hidden="false" customHeight="false" outlineLevel="0" collapsed="false">
      <c r="A127" s="22" t="str">
        <f aca="false">IF(MES!A127="","",MES!A127)</f>
        <v/>
      </c>
      <c r="B127" s="23" t="str">
        <f aca="false">IF(A127="","",MES!B127)</f>
        <v/>
      </c>
      <c r="C127" s="22" t="str">
        <f aca="false">IF(A127="","",A127+Parametros!$B$3/24)</f>
        <v/>
      </c>
      <c r="D127" s="22" t="str">
        <f aca="false">IF(A127="","",C127+Parametros!$B$2/24)</f>
        <v/>
      </c>
      <c r="E127" s="24" t="str">
        <f aca="false">IF(A127="","",COUNTIFS(Modulo!$A$2:$A$5001,"&gt;="&amp;C127,Modulo!$A$2:$A$5001,"&lt;"&amp;D127,Modulo!$D$2:$D$5001,Parametros!$B$7))</f>
        <v/>
      </c>
      <c r="F127" s="23" t="str">
        <f aca="false">IF(A127="","",IF(E127=0,"",AVERAGEIFS(Modulo!$B$2:$B$5001,Modulo!$A$2:$A$5001,"&gt;="&amp;C127,Modulo!$A$2:$A$5001,"&lt;"&amp;D127,Modulo!$D$2:$D$5001,Parametros!$B$7)))</f>
        <v/>
      </c>
      <c r="G127" s="23" t="str">
        <f aca="false">IF(A127="","",IF(E127=0,"",AVERAGEIFS(Modulo!$C$2:$C$5001,Modulo!$A$2:$A$5001,"&gt;="&amp;C127,Modulo!$A$2:$A$5001,"&lt;"&amp;D127,Modulo!$D$2:$D$5001,Parametros!$B$7)))</f>
        <v/>
      </c>
      <c r="H127" s="25" t="str">
        <f aca="false">IF(A127="","",IFERROR(COUNTIFS(Amostragem!$A$2:$A$15003,"&gt;="&amp;C127,Amostragem!$A$2:$A$15003,"&lt;"&amp;D127,Amostragem!$B$2:$B$15003,"Automático",Amostragem!$C$2:$C$15003,"Automático",Amostragem!$D$2:$D$15003,0)/COUNTIFS(Amostragem!$A$2:$A$15003,"&gt;="&amp;C127,Amostragem!$A$2:$A$15003,"&lt;"&amp;D127),0))</f>
        <v/>
      </c>
      <c r="I127" s="23" t="str">
        <f aca="false">IF(A127="","",IFERROR(AVERAGEIFS(Amostragem!$E$2:$E$15003,Amostragem!$A$2:$A$15003,"&gt;="&amp;C127,Amostragem!$A$2:$A$15003,"&lt;"&amp;D127),""))</f>
        <v/>
      </c>
      <c r="J127" s="24" t="str">
        <f aca="false">IF(A127="","",IF(B127="","Inválida: sem resultado MES",IF(E127&lt;Parametros!$B$4,"Inválida: poucos ensaios do módulo",IF(H127&lt;Parametros!$B$5,"Inválida: amostragem em manual ou em falha",IF(OR(I127="",I127&lt;Parametros!$B$6),"Inválida: usina parada ou baixa alimentação","Válida")))))</f>
        <v/>
      </c>
      <c r="K127" s="23" t="str">
        <f aca="false">IF(J127="Válida",F127-B127,"")</f>
        <v/>
      </c>
      <c r="L127" s="26" t="str">
        <f aca="false">IF(J127="Válida",K127/B127,"")</f>
        <v/>
      </c>
      <c r="M127" s="23" t="str">
        <f aca="false">IF(J127="Válida",(F127+B127)/2,"")</f>
        <v/>
      </c>
      <c r="N127" s="24" t="str">
        <f aca="false">IF(K127="","",IF(OR(K127&gt;Resumo!$B$16,K127&lt;Resumo!$B$15),"Sim","Não"))</f>
        <v/>
      </c>
      <c r="O127" s="22" t="e">
        <f aca="false">IF(A127="",NA(),A127)</f>
        <v>#N/A</v>
      </c>
      <c r="P127" s="23" t="e">
        <f aca="false">IF(A127="",NA(),B127)</f>
        <v>#N/A</v>
      </c>
      <c r="Q127" s="23" t="e">
        <f aca="false">IF(F127="",NA(),F127)</f>
        <v>#N/A</v>
      </c>
      <c r="R127" s="23" t="e">
        <f aca="false">IF(K127="",NA(),K127)</f>
        <v>#N/A</v>
      </c>
      <c r="S127" s="23" t="e">
        <f aca="false">IF(M127="",NA(),M127)</f>
        <v>#N/A</v>
      </c>
      <c r="T127" s="23" t="str">
        <f aca="false">IF(J127="Válida",B127,"")</f>
        <v/>
      </c>
      <c r="U127" s="23" t="str">
        <f aca="false">IF(J127="Válida",F127,"")</f>
        <v/>
      </c>
    </row>
    <row r="128" customFormat="false" ht="15" hidden="false" customHeight="false" outlineLevel="0" collapsed="false">
      <c r="A128" s="22" t="str">
        <f aca="false">IF(MES!A128="","",MES!A128)</f>
        <v/>
      </c>
      <c r="B128" s="23" t="str">
        <f aca="false">IF(A128="","",MES!B128)</f>
        <v/>
      </c>
      <c r="C128" s="22" t="str">
        <f aca="false">IF(A128="","",A128+Parametros!$B$3/24)</f>
        <v/>
      </c>
      <c r="D128" s="22" t="str">
        <f aca="false">IF(A128="","",C128+Parametros!$B$2/24)</f>
        <v/>
      </c>
      <c r="E128" s="24" t="str">
        <f aca="false">IF(A128="","",COUNTIFS(Modulo!$A$2:$A$5001,"&gt;="&amp;C128,Modulo!$A$2:$A$5001,"&lt;"&amp;D128,Modulo!$D$2:$D$5001,Parametros!$B$7))</f>
        <v/>
      </c>
      <c r="F128" s="23" t="str">
        <f aca="false">IF(A128="","",IF(E128=0,"",AVERAGEIFS(Modulo!$B$2:$B$5001,Modulo!$A$2:$A$5001,"&gt;="&amp;C128,Modulo!$A$2:$A$5001,"&lt;"&amp;D128,Modulo!$D$2:$D$5001,Parametros!$B$7)))</f>
        <v/>
      </c>
      <c r="G128" s="23" t="str">
        <f aca="false">IF(A128="","",IF(E128=0,"",AVERAGEIFS(Modulo!$C$2:$C$5001,Modulo!$A$2:$A$5001,"&gt;="&amp;C128,Modulo!$A$2:$A$5001,"&lt;"&amp;D128,Modulo!$D$2:$D$5001,Parametros!$B$7)))</f>
        <v/>
      </c>
      <c r="H128" s="25" t="str">
        <f aca="false">IF(A128="","",IFERROR(COUNTIFS(Amostragem!$A$2:$A$15003,"&gt;="&amp;C128,Amostragem!$A$2:$A$15003,"&lt;"&amp;D128,Amostragem!$B$2:$B$15003,"Automático",Amostragem!$C$2:$C$15003,"Automático",Amostragem!$D$2:$D$15003,0)/COUNTIFS(Amostragem!$A$2:$A$15003,"&gt;="&amp;C128,Amostragem!$A$2:$A$15003,"&lt;"&amp;D128),0))</f>
        <v/>
      </c>
      <c r="I128" s="23" t="str">
        <f aca="false">IF(A128="","",IFERROR(AVERAGEIFS(Amostragem!$E$2:$E$15003,Amostragem!$A$2:$A$15003,"&gt;="&amp;C128,Amostragem!$A$2:$A$15003,"&lt;"&amp;D128),""))</f>
        <v/>
      </c>
      <c r="J128" s="24" t="str">
        <f aca="false">IF(A128="","",IF(B128="","Inválida: sem resultado MES",IF(E128&lt;Parametros!$B$4,"Inválida: poucos ensaios do módulo",IF(H128&lt;Parametros!$B$5,"Inválida: amostragem em manual ou em falha",IF(OR(I128="",I128&lt;Parametros!$B$6),"Inválida: usina parada ou baixa alimentação","Válida")))))</f>
        <v/>
      </c>
      <c r="K128" s="23" t="str">
        <f aca="false">IF(J128="Válida",F128-B128,"")</f>
        <v/>
      </c>
      <c r="L128" s="26" t="str">
        <f aca="false">IF(J128="Válida",K128/B128,"")</f>
        <v/>
      </c>
      <c r="M128" s="23" t="str">
        <f aca="false">IF(J128="Válida",(F128+B128)/2,"")</f>
        <v/>
      </c>
      <c r="N128" s="24" t="str">
        <f aca="false">IF(K128="","",IF(OR(K128&gt;Resumo!$B$16,K128&lt;Resumo!$B$15),"Sim","Não"))</f>
        <v/>
      </c>
      <c r="O128" s="22" t="e">
        <f aca="false">IF(A128="",NA(),A128)</f>
        <v>#N/A</v>
      </c>
      <c r="P128" s="23" t="e">
        <f aca="false">IF(A128="",NA(),B128)</f>
        <v>#N/A</v>
      </c>
      <c r="Q128" s="23" t="e">
        <f aca="false">IF(F128="",NA(),F128)</f>
        <v>#N/A</v>
      </c>
      <c r="R128" s="23" t="e">
        <f aca="false">IF(K128="",NA(),K128)</f>
        <v>#N/A</v>
      </c>
      <c r="S128" s="23" t="e">
        <f aca="false">IF(M128="",NA(),M128)</f>
        <v>#N/A</v>
      </c>
      <c r="T128" s="23" t="str">
        <f aca="false">IF(J128="Válida",B128,"")</f>
        <v/>
      </c>
      <c r="U128" s="23" t="str">
        <f aca="false">IF(J128="Válida",F128,"")</f>
        <v/>
      </c>
    </row>
    <row r="129" customFormat="false" ht="15" hidden="false" customHeight="false" outlineLevel="0" collapsed="false">
      <c r="A129" s="22" t="str">
        <f aca="false">IF(MES!A129="","",MES!A129)</f>
        <v/>
      </c>
      <c r="B129" s="23" t="str">
        <f aca="false">IF(A129="","",MES!B129)</f>
        <v/>
      </c>
      <c r="C129" s="22" t="str">
        <f aca="false">IF(A129="","",A129+Parametros!$B$3/24)</f>
        <v/>
      </c>
      <c r="D129" s="22" t="str">
        <f aca="false">IF(A129="","",C129+Parametros!$B$2/24)</f>
        <v/>
      </c>
      <c r="E129" s="24" t="str">
        <f aca="false">IF(A129="","",COUNTIFS(Modulo!$A$2:$A$5001,"&gt;="&amp;C129,Modulo!$A$2:$A$5001,"&lt;"&amp;D129,Modulo!$D$2:$D$5001,Parametros!$B$7))</f>
        <v/>
      </c>
      <c r="F129" s="23" t="str">
        <f aca="false">IF(A129="","",IF(E129=0,"",AVERAGEIFS(Modulo!$B$2:$B$5001,Modulo!$A$2:$A$5001,"&gt;="&amp;C129,Modulo!$A$2:$A$5001,"&lt;"&amp;D129,Modulo!$D$2:$D$5001,Parametros!$B$7)))</f>
        <v/>
      </c>
      <c r="G129" s="23" t="str">
        <f aca="false">IF(A129="","",IF(E129=0,"",AVERAGEIFS(Modulo!$C$2:$C$5001,Modulo!$A$2:$A$5001,"&gt;="&amp;C129,Modulo!$A$2:$A$5001,"&lt;"&amp;D129,Modulo!$D$2:$D$5001,Parametros!$B$7)))</f>
        <v/>
      </c>
      <c r="H129" s="25" t="str">
        <f aca="false">IF(A129="","",IFERROR(COUNTIFS(Amostragem!$A$2:$A$15003,"&gt;="&amp;C129,Amostragem!$A$2:$A$15003,"&lt;"&amp;D129,Amostragem!$B$2:$B$15003,"Automático",Amostragem!$C$2:$C$15003,"Automático",Amostragem!$D$2:$D$15003,0)/COUNTIFS(Amostragem!$A$2:$A$15003,"&gt;="&amp;C129,Amostragem!$A$2:$A$15003,"&lt;"&amp;D129),0))</f>
        <v/>
      </c>
      <c r="I129" s="23" t="str">
        <f aca="false">IF(A129="","",IFERROR(AVERAGEIFS(Amostragem!$E$2:$E$15003,Amostragem!$A$2:$A$15003,"&gt;="&amp;C129,Amostragem!$A$2:$A$15003,"&lt;"&amp;D129),""))</f>
        <v/>
      </c>
      <c r="J129" s="24" t="str">
        <f aca="false">IF(A129="","",IF(B129="","Inválida: sem resultado MES",IF(E129&lt;Parametros!$B$4,"Inválida: poucos ensaios do módulo",IF(H129&lt;Parametros!$B$5,"Inválida: amostragem em manual ou em falha",IF(OR(I129="",I129&lt;Parametros!$B$6),"Inválida: usina parada ou baixa alimentação","Válida")))))</f>
        <v/>
      </c>
      <c r="K129" s="23" t="str">
        <f aca="false">IF(J129="Válida",F129-B129,"")</f>
        <v/>
      </c>
      <c r="L129" s="26" t="str">
        <f aca="false">IF(J129="Válida",K129/B129,"")</f>
        <v/>
      </c>
      <c r="M129" s="23" t="str">
        <f aca="false">IF(J129="Válida",(F129+B129)/2,"")</f>
        <v/>
      </c>
      <c r="N129" s="24" t="str">
        <f aca="false">IF(K129="","",IF(OR(K129&gt;Resumo!$B$16,K129&lt;Resumo!$B$15),"Sim","Não"))</f>
        <v/>
      </c>
      <c r="O129" s="22" t="e">
        <f aca="false">IF(A129="",NA(),A129)</f>
        <v>#N/A</v>
      </c>
      <c r="P129" s="23" t="e">
        <f aca="false">IF(A129="",NA(),B129)</f>
        <v>#N/A</v>
      </c>
      <c r="Q129" s="23" t="e">
        <f aca="false">IF(F129="",NA(),F129)</f>
        <v>#N/A</v>
      </c>
      <c r="R129" s="23" t="e">
        <f aca="false">IF(K129="",NA(),K129)</f>
        <v>#N/A</v>
      </c>
      <c r="S129" s="23" t="e">
        <f aca="false">IF(M129="",NA(),M129)</f>
        <v>#N/A</v>
      </c>
      <c r="T129" s="23" t="str">
        <f aca="false">IF(J129="Válida",B129,"")</f>
        <v/>
      </c>
      <c r="U129" s="23" t="str">
        <f aca="false">IF(J129="Válida",F129,"")</f>
        <v/>
      </c>
    </row>
    <row r="130" customFormat="false" ht="15" hidden="false" customHeight="false" outlineLevel="0" collapsed="false">
      <c r="A130" s="22" t="str">
        <f aca="false">IF(MES!A130="","",MES!A130)</f>
        <v/>
      </c>
      <c r="B130" s="23" t="str">
        <f aca="false">IF(A130="","",MES!B130)</f>
        <v/>
      </c>
      <c r="C130" s="22" t="str">
        <f aca="false">IF(A130="","",A130+Parametros!$B$3/24)</f>
        <v/>
      </c>
      <c r="D130" s="22" t="str">
        <f aca="false">IF(A130="","",C130+Parametros!$B$2/24)</f>
        <v/>
      </c>
      <c r="E130" s="24" t="str">
        <f aca="false">IF(A130="","",COUNTIFS(Modulo!$A$2:$A$5001,"&gt;="&amp;C130,Modulo!$A$2:$A$5001,"&lt;"&amp;D130,Modulo!$D$2:$D$5001,Parametros!$B$7))</f>
        <v/>
      </c>
      <c r="F130" s="23" t="str">
        <f aca="false">IF(A130="","",IF(E130=0,"",AVERAGEIFS(Modulo!$B$2:$B$5001,Modulo!$A$2:$A$5001,"&gt;="&amp;C130,Modulo!$A$2:$A$5001,"&lt;"&amp;D130,Modulo!$D$2:$D$5001,Parametros!$B$7)))</f>
        <v/>
      </c>
      <c r="G130" s="23" t="str">
        <f aca="false">IF(A130="","",IF(E130=0,"",AVERAGEIFS(Modulo!$C$2:$C$5001,Modulo!$A$2:$A$5001,"&gt;="&amp;C130,Modulo!$A$2:$A$5001,"&lt;"&amp;D130,Modulo!$D$2:$D$5001,Parametros!$B$7)))</f>
        <v/>
      </c>
      <c r="H130" s="25" t="str">
        <f aca="false">IF(A130="","",IFERROR(COUNTIFS(Amostragem!$A$2:$A$15003,"&gt;="&amp;C130,Amostragem!$A$2:$A$15003,"&lt;"&amp;D130,Amostragem!$B$2:$B$15003,"Automático",Amostragem!$C$2:$C$15003,"Automático",Amostragem!$D$2:$D$15003,0)/COUNTIFS(Amostragem!$A$2:$A$15003,"&gt;="&amp;C130,Amostragem!$A$2:$A$15003,"&lt;"&amp;D130),0))</f>
        <v/>
      </c>
      <c r="I130" s="23" t="str">
        <f aca="false">IF(A130="","",IFERROR(AVERAGEIFS(Amostragem!$E$2:$E$15003,Amostragem!$A$2:$A$15003,"&gt;="&amp;C130,Amostragem!$A$2:$A$15003,"&lt;"&amp;D130),""))</f>
        <v/>
      </c>
      <c r="J130" s="24" t="str">
        <f aca="false">IF(A130="","",IF(B130="","Inválida: sem resultado MES",IF(E130&lt;Parametros!$B$4,"Inválida: poucos ensaios do módulo",IF(H130&lt;Parametros!$B$5,"Inválida: amostragem em manual ou em falha",IF(OR(I130="",I130&lt;Parametros!$B$6),"Inválida: usina parada ou baixa alimentação","Válida")))))</f>
        <v/>
      </c>
      <c r="K130" s="23" t="str">
        <f aca="false">IF(J130="Válida",F130-B130,"")</f>
        <v/>
      </c>
      <c r="L130" s="26" t="str">
        <f aca="false">IF(J130="Válida",K130/B130,"")</f>
        <v/>
      </c>
      <c r="M130" s="23" t="str">
        <f aca="false">IF(J130="Válida",(F130+B130)/2,"")</f>
        <v/>
      </c>
      <c r="N130" s="24" t="str">
        <f aca="false">IF(K130="","",IF(OR(K130&gt;Resumo!$B$16,K130&lt;Resumo!$B$15),"Sim","Não"))</f>
        <v/>
      </c>
      <c r="O130" s="22" t="e">
        <f aca="false">IF(A130="",NA(),A130)</f>
        <v>#N/A</v>
      </c>
      <c r="P130" s="23" t="e">
        <f aca="false">IF(A130="",NA(),B130)</f>
        <v>#N/A</v>
      </c>
      <c r="Q130" s="23" t="e">
        <f aca="false">IF(F130="",NA(),F130)</f>
        <v>#N/A</v>
      </c>
      <c r="R130" s="23" t="e">
        <f aca="false">IF(K130="",NA(),K130)</f>
        <v>#N/A</v>
      </c>
      <c r="S130" s="23" t="e">
        <f aca="false">IF(M130="",NA(),M130)</f>
        <v>#N/A</v>
      </c>
      <c r="T130" s="23" t="str">
        <f aca="false">IF(J130="Válida",B130,"")</f>
        <v/>
      </c>
      <c r="U130" s="23" t="str">
        <f aca="false">IF(J130="Válida",F130,"")</f>
        <v/>
      </c>
    </row>
    <row r="131" customFormat="false" ht="15" hidden="false" customHeight="false" outlineLevel="0" collapsed="false">
      <c r="A131" s="22" t="str">
        <f aca="false">IF(MES!A131="","",MES!A131)</f>
        <v/>
      </c>
      <c r="B131" s="23" t="str">
        <f aca="false">IF(A131="","",MES!B131)</f>
        <v/>
      </c>
      <c r="C131" s="22" t="str">
        <f aca="false">IF(A131="","",A131+Parametros!$B$3/24)</f>
        <v/>
      </c>
      <c r="D131" s="22" t="str">
        <f aca="false">IF(A131="","",C131+Parametros!$B$2/24)</f>
        <v/>
      </c>
      <c r="E131" s="24" t="str">
        <f aca="false">IF(A131="","",COUNTIFS(Modulo!$A$2:$A$5001,"&gt;="&amp;C131,Modulo!$A$2:$A$5001,"&lt;"&amp;D131,Modulo!$D$2:$D$5001,Parametros!$B$7))</f>
        <v/>
      </c>
      <c r="F131" s="23" t="str">
        <f aca="false">IF(A131="","",IF(E131=0,"",AVERAGEIFS(Modulo!$B$2:$B$5001,Modulo!$A$2:$A$5001,"&gt;="&amp;C131,Modulo!$A$2:$A$5001,"&lt;"&amp;D131,Modulo!$D$2:$D$5001,Parametros!$B$7)))</f>
        <v/>
      </c>
      <c r="G131" s="23" t="str">
        <f aca="false">IF(A131="","",IF(E131=0,"",AVERAGEIFS(Modulo!$C$2:$C$5001,Modulo!$A$2:$A$5001,"&gt;="&amp;C131,Modulo!$A$2:$A$5001,"&lt;"&amp;D131,Modulo!$D$2:$D$5001,Parametros!$B$7)))</f>
        <v/>
      </c>
      <c r="H131" s="25" t="str">
        <f aca="false">IF(A131="","",IFERROR(COUNTIFS(Amostragem!$A$2:$A$15003,"&gt;="&amp;C131,Amostragem!$A$2:$A$15003,"&lt;"&amp;D131,Amostragem!$B$2:$B$15003,"Automático",Amostragem!$C$2:$C$15003,"Automático",Amostragem!$D$2:$D$15003,0)/COUNTIFS(Amostragem!$A$2:$A$15003,"&gt;="&amp;C131,Amostragem!$A$2:$A$15003,"&lt;"&amp;D131),0))</f>
        <v/>
      </c>
      <c r="I131" s="23" t="str">
        <f aca="false">IF(A131="","",IFERROR(AVERAGEIFS(Amostragem!$E$2:$E$15003,Amostragem!$A$2:$A$15003,"&gt;="&amp;C131,Amostragem!$A$2:$A$15003,"&lt;"&amp;D131),""))</f>
        <v/>
      </c>
      <c r="J131" s="24" t="str">
        <f aca="false">IF(A131="","",IF(B131="","Inválida: sem resultado MES",IF(E131&lt;Parametros!$B$4,"Inválida: poucos ensaios do módulo",IF(H131&lt;Parametros!$B$5,"Inválida: amostragem em manual ou em falha",IF(OR(I131="",I131&lt;Parametros!$B$6),"Inválida: usina parada ou baixa alimentação","Válida")))))</f>
        <v/>
      </c>
      <c r="K131" s="23" t="str">
        <f aca="false">IF(J131="Válida",F131-B131,"")</f>
        <v/>
      </c>
      <c r="L131" s="26" t="str">
        <f aca="false">IF(J131="Válida",K131/B131,"")</f>
        <v/>
      </c>
      <c r="M131" s="23" t="str">
        <f aca="false">IF(J131="Válida",(F131+B131)/2,"")</f>
        <v/>
      </c>
      <c r="N131" s="24" t="str">
        <f aca="false">IF(K131="","",IF(OR(K131&gt;Resumo!$B$16,K131&lt;Resumo!$B$15),"Sim","Não"))</f>
        <v/>
      </c>
      <c r="O131" s="22" t="e">
        <f aca="false">IF(A131="",NA(),A131)</f>
        <v>#N/A</v>
      </c>
      <c r="P131" s="23" t="e">
        <f aca="false">IF(A131="",NA(),B131)</f>
        <v>#N/A</v>
      </c>
      <c r="Q131" s="23" t="e">
        <f aca="false">IF(F131="",NA(),F131)</f>
        <v>#N/A</v>
      </c>
      <c r="R131" s="23" t="e">
        <f aca="false">IF(K131="",NA(),K131)</f>
        <v>#N/A</v>
      </c>
      <c r="S131" s="23" t="e">
        <f aca="false">IF(M131="",NA(),M131)</f>
        <v>#N/A</v>
      </c>
      <c r="T131" s="23" t="str">
        <f aca="false">IF(J131="Válida",B131,"")</f>
        <v/>
      </c>
      <c r="U131" s="23" t="str">
        <f aca="false">IF(J131="Válida",F131,"")</f>
        <v/>
      </c>
    </row>
    <row r="132" customFormat="false" ht="15" hidden="false" customHeight="false" outlineLevel="0" collapsed="false">
      <c r="A132" s="22" t="str">
        <f aca="false">IF(MES!A132="","",MES!A132)</f>
        <v/>
      </c>
      <c r="B132" s="23" t="str">
        <f aca="false">IF(A132="","",MES!B132)</f>
        <v/>
      </c>
      <c r="C132" s="22" t="str">
        <f aca="false">IF(A132="","",A132+Parametros!$B$3/24)</f>
        <v/>
      </c>
      <c r="D132" s="22" t="str">
        <f aca="false">IF(A132="","",C132+Parametros!$B$2/24)</f>
        <v/>
      </c>
      <c r="E132" s="24" t="str">
        <f aca="false">IF(A132="","",COUNTIFS(Modulo!$A$2:$A$5001,"&gt;="&amp;C132,Modulo!$A$2:$A$5001,"&lt;"&amp;D132,Modulo!$D$2:$D$5001,Parametros!$B$7))</f>
        <v/>
      </c>
      <c r="F132" s="23" t="str">
        <f aca="false">IF(A132="","",IF(E132=0,"",AVERAGEIFS(Modulo!$B$2:$B$5001,Modulo!$A$2:$A$5001,"&gt;="&amp;C132,Modulo!$A$2:$A$5001,"&lt;"&amp;D132,Modulo!$D$2:$D$5001,Parametros!$B$7)))</f>
        <v/>
      </c>
      <c r="G132" s="23" t="str">
        <f aca="false">IF(A132="","",IF(E132=0,"",AVERAGEIFS(Modulo!$C$2:$C$5001,Modulo!$A$2:$A$5001,"&gt;="&amp;C132,Modulo!$A$2:$A$5001,"&lt;"&amp;D132,Modulo!$D$2:$D$5001,Parametros!$B$7)))</f>
        <v/>
      </c>
      <c r="H132" s="25" t="str">
        <f aca="false">IF(A132="","",IFERROR(COUNTIFS(Amostragem!$A$2:$A$15003,"&gt;="&amp;C132,Amostragem!$A$2:$A$15003,"&lt;"&amp;D132,Amostragem!$B$2:$B$15003,"Automático",Amostragem!$C$2:$C$15003,"Automático",Amostragem!$D$2:$D$15003,0)/COUNTIFS(Amostragem!$A$2:$A$15003,"&gt;="&amp;C132,Amostragem!$A$2:$A$15003,"&lt;"&amp;D132),0))</f>
        <v/>
      </c>
      <c r="I132" s="23" t="str">
        <f aca="false">IF(A132="","",IFERROR(AVERAGEIFS(Amostragem!$E$2:$E$15003,Amostragem!$A$2:$A$15003,"&gt;="&amp;C132,Amostragem!$A$2:$A$15003,"&lt;"&amp;D132),""))</f>
        <v/>
      </c>
      <c r="J132" s="24" t="str">
        <f aca="false">IF(A132="","",IF(B132="","Inválida: sem resultado MES",IF(E132&lt;Parametros!$B$4,"Inválida: poucos ensaios do módulo",IF(H132&lt;Parametros!$B$5,"Inválida: amostragem em manual ou em falha",IF(OR(I132="",I132&lt;Parametros!$B$6),"Inválida: usina parada ou baixa alimentação","Válida")))))</f>
        <v/>
      </c>
      <c r="K132" s="23" t="str">
        <f aca="false">IF(J132="Válida",F132-B132,"")</f>
        <v/>
      </c>
      <c r="L132" s="26" t="str">
        <f aca="false">IF(J132="Válida",K132/B132,"")</f>
        <v/>
      </c>
      <c r="M132" s="23" t="str">
        <f aca="false">IF(J132="Válida",(F132+B132)/2,"")</f>
        <v/>
      </c>
      <c r="N132" s="24" t="str">
        <f aca="false">IF(K132="","",IF(OR(K132&gt;Resumo!$B$16,K132&lt;Resumo!$B$15),"Sim","Não"))</f>
        <v/>
      </c>
      <c r="O132" s="22" t="e">
        <f aca="false">IF(A132="",NA(),A132)</f>
        <v>#N/A</v>
      </c>
      <c r="P132" s="23" t="e">
        <f aca="false">IF(A132="",NA(),B132)</f>
        <v>#N/A</v>
      </c>
      <c r="Q132" s="23" t="e">
        <f aca="false">IF(F132="",NA(),F132)</f>
        <v>#N/A</v>
      </c>
      <c r="R132" s="23" t="e">
        <f aca="false">IF(K132="",NA(),K132)</f>
        <v>#N/A</v>
      </c>
      <c r="S132" s="23" t="e">
        <f aca="false">IF(M132="",NA(),M132)</f>
        <v>#N/A</v>
      </c>
      <c r="T132" s="23" t="str">
        <f aca="false">IF(J132="Válida",B132,"")</f>
        <v/>
      </c>
      <c r="U132" s="23" t="str">
        <f aca="false">IF(J132="Válida",F132,"")</f>
        <v/>
      </c>
    </row>
    <row r="133" customFormat="false" ht="15" hidden="false" customHeight="false" outlineLevel="0" collapsed="false">
      <c r="A133" s="22" t="str">
        <f aca="false">IF(MES!A133="","",MES!A133)</f>
        <v/>
      </c>
      <c r="B133" s="23" t="str">
        <f aca="false">IF(A133="","",MES!B133)</f>
        <v/>
      </c>
      <c r="C133" s="22" t="str">
        <f aca="false">IF(A133="","",A133+Parametros!$B$3/24)</f>
        <v/>
      </c>
      <c r="D133" s="22" t="str">
        <f aca="false">IF(A133="","",C133+Parametros!$B$2/24)</f>
        <v/>
      </c>
      <c r="E133" s="24" t="str">
        <f aca="false">IF(A133="","",COUNTIFS(Modulo!$A$2:$A$5001,"&gt;="&amp;C133,Modulo!$A$2:$A$5001,"&lt;"&amp;D133,Modulo!$D$2:$D$5001,Parametros!$B$7))</f>
        <v/>
      </c>
      <c r="F133" s="23" t="str">
        <f aca="false">IF(A133="","",IF(E133=0,"",AVERAGEIFS(Modulo!$B$2:$B$5001,Modulo!$A$2:$A$5001,"&gt;="&amp;C133,Modulo!$A$2:$A$5001,"&lt;"&amp;D133,Modulo!$D$2:$D$5001,Parametros!$B$7)))</f>
        <v/>
      </c>
      <c r="G133" s="23" t="str">
        <f aca="false">IF(A133="","",IF(E133=0,"",AVERAGEIFS(Modulo!$C$2:$C$5001,Modulo!$A$2:$A$5001,"&gt;="&amp;C133,Modulo!$A$2:$A$5001,"&lt;"&amp;D133,Modulo!$D$2:$D$5001,Parametros!$B$7)))</f>
        <v/>
      </c>
      <c r="H133" s="25" t="str">
        <f aca="false">IF(A133="","",IFERROR(COUNTIFS(Amostragem!$A$2:$A$15003,"&gt;="&amp;C133,Amostragem!$A$2:$A$15003,"&lt;"&amp;D133,Amostragem!$B$2:$B$15003,"Automático",Amostragem!$C$2:$C$15003,"Automático",Amostragem!$D$2:$D$15003,0)/COUNTIFS(Amostragem!$A$2:$A$15003,"&gt;="&amp;C133,Amostragem!$A$2:$A$15003,"&lt;"&amp;D133),0))</f>
        <v/>
      </c>
      <c r="I133" s="23" t="str">
        <f aca="false">IF(A133="","",IFERROR(AVERAGEIFS(Amostragem!$E$2:$E$15003,Amostragem!$A$2:$A$15003,"&gt;="&amp;C133,Amostragem!$A$2:$A$15003,"&lt;"&amp;D133),""))</f>
        <v/>
      </c>
      <c r="J133" s="24" t="str">
        <f aca="false">IF(A133="","",IF(B133="","Inválida: sem resultado MES",IF(E133&lt;Parametros!$B$4,"Inválida: poucos ensaios do módulo",IF(H133&lt;Parametros!$B$5,"Inválida: amostragem em manual ou em falha",IF(OR(I133="",I133&lt;Parametros!$B$6),"Inválida: usina parada ou baixa alimentação","Válida")))))</f>
        <v/>
      </c>
      <c r="K133" s="23" t="str">
        <f aca="false">IF(J133="Válida",F133-B133,"")</f>
        <v/>
      </c>
      <c r="L133" s="26" t="str">
        <f aca="false">IF(J133="Válida",K133/B133,"")</f>
        <v/>
      </c>
      <c r="M133" s="23" t="str">
        <f aca="false">IF(J133="Válida",(F133+B133)/2,"")</f>
        <v/>
      </c>
      <c r="N133" s="24" t="str">
        <f aca="false">IF(K133="","",IF(OR(K133&gt;Resumo!$B$16,K133&lt;Resumo!$B$15),"Sim","Não"))</f>
        <v/>
      </c>
      <c r="O133" s="22" t="e">
        <f aca="false">IF(A133="",NA(),A133)</f>
        <v>#N/A</v>
      </c>
      <c r="P133" s="23" t="e">
        <f aca="false">IF(A133="",NA(),B133)</f>
        <v>#N/A</v>
      </c>
      <c r="Q133" s="23" t="e">
        <f aca="false">IF(F133="",NA(),F133)</f>
        <v>#N/A</v>
      </c>
      <c r="R133" s="23" t="e">
        <f aca="false">IF(K133="",NA(),K133)</f>
        <v>#N/A</v>
      </c>
      <c r="S133" s="23" t="e">
        <f aca="false">IF(M133="",NA(),M133)</f>
        <v>#N/A</v>
      </c>
      <c r="T133" s="23" t="str">
        <f aca="false">IF(J133="Válida",B133,"")</f>
        <v/>
      </c>
      <c r="U133" s="23" t="str">
        <f aca="false">IF(J133="Válida",F133,"")</f>
        <v/>
      </c>
    </row>
    <row r="134" customFormat="false" ht="15" hidden="false" customHeight="false" outlineLevel="0" collapsed="false">
      <c r="A134" s="22" t="str">
        <f aca="false">IF(MES!A134="","",MES!A134)</f>
        <v/>
      </c>
      <c r="B134" s="23" t="str">
        <f aca="false">IF(A134="","",MES!B134)</f>
        <v/>
      </c>
      <c r="C134" s="22" t="str">
        <f aca="false">IF(A134="","",A134+Parametros!$B$3/24)</f>
        <v/>
      </c>
      <c r="D134" s="22" t="str">
        <f aca="false">IF(A134="","",C134+Parametros!$B$2/24)</f>
        <v/>
      </c>
      <c r="E134" s="24" t="str">
        <f aca="false">IF(A134="","",COUNTIFS(Modulo!$A$2:$A$5001,"&gt;="&amp;C134,Modulo!$A$2:$A$5001,"&lt;"&amp;D134,Modulo!$D$2:$D$5001,Parametros!$B$7))</f>
        <v/>
      </c>
      <c r="F134" s="23" t="str">
        <f aca="false">IF(A134="","",IF(E134=0,"",AVERAGEIFS(Modulo!$B$2:$B$5001,Modulo!$A$2:$A$5001,"&gt;="&amp;C134,Modulo!$A$2:$A$5001,"&lt;"&amp;D134,Modulo!$D$2:$D$5001,Parametros!$B$7)))</f>
        <v/>
      </c>
      <c r="G134" s="23" t="str">
        <f aca="false">IF(A134="","",IF(E134=0,"",AVERAGEIFS(Modulo!$C$2:$C$5001,Modulo!$A$2:$A$5001,"&gt;="&amp;C134,Modulo!$A$2:$A$5001,"&lt;"&amp;D134,Modulo!$D$2:$D$5001,Parametros!$B$7)))</f>
        <v/>
      </c>
      <c r="H134" s="25" t="str">
        <f aca="false">IF(A134="","",IFERROR(COUNTIFS(Amostragem!$A$2:$A$15003,"&gt;="&amp;C134,Amostragem!$A$2:$A$15003,"&lt;"&amp;D134,Amostragem!$B$2:$B$15003,"Automático",Amostragem!$C$2:$C$15003,"Automático",Amostragem!$D$2:$D$15003,0)/COUNTIFS(Amostragem!$A$2:$A$15003,"&gt;="&amp;C134,Amostragem!$A$2:$A$15003,"&lt;"&amp;D134),0))</f>
        <v/>
      </c>
      <c r="I134" s="23" t="str">
        <f aca="false">IF(A134="","",IFERROR(AVERAGEIFS(Amostragem!$E$2:$E$15003,Amostragem!$A$2:$A$15003,"&gt;="&amp;C134,Amostragem!$A$2:$A$15003,"&lt;"&amp;D134),""))</f>
        <v/>
      </c>
      <c r="J134" s="24" t="str">
        <f aca="false">IF(A134="","",IF(B134="","Inválida: sem resultado MES",IF(E134&lt;Parametros!$B$4,"Inválida: poucos ensaios do módulo",IF(H134&lt;Parametros!$B$5,"Inválida: amostragem em manual ou em falha",IF(OR(I134="",I134&lt;Parametros!$B$6),"Inválida: usina parada ou baixa alimentação","Válida")))))</f>
        <v/>
      </c>
      <c r="K134" s="23" t="str">
        <f aca="false">IF(J134="Válida",F134-B134,"")</f>
        <v/>
      </c>
      <c r="L134" s="26" t="str">
        <f aca="false">IF(J134="Válida",K134/B134,"")</f>
        <v/>
      </c>
      <c r="M134" s="23" t="str">
        <f aca="false">IF(J134="Válida",(F134+B134)/2,"")</f>
        <v/>
      </c>
      <c r="N134" s="24" t="str">
        <f aca="false">IF(K134="","",IF(OR(K134&gt;Resumo!$B$16,K134&lt;Resumo!$B$15),"Sim","Não"))</f>
        <v/>
      </c>
      <c r="O134" s="22" t="e">
        <f aca="false">IF(A134="",NA(),A134)</f>
        <v>#N/A</v>
      </c>
      <c r="P134" s="23" t="e">
        <f aca="false">IF(A134="",NA(),B134)</f>
        <v>#N/A</v>
      </c>
      <c r="Q134" s="23" t="e">
        <f aca="false">IF(F134="",NA(),F134)</f>
        <v>#N/A</v>
      </c>
      <c r="R134" s="23" t="e">
        <f aca="false">IF(K134="",NA(),K134)</f>
        <v>#N/A</v>
      </c>
      <c r="S134" s="23" t="e">
        <f aca="false">IF(M134="",NA(),M134)</f>
        <v>#N/A</v>
      </c>
      <c r="T134" s="23" t="str">
        <f aca="false">IF(J134="Válida",B134,"")</f>
        <v/>
      </c>
      <c r="U134" s="23" t="str">
        <f aca="false">IF(J134="Válida",F134,"")</f>
        <v/>
      </c>
    </row>
    <row r="135" customFormat="false" ht="15" hidden="false" customHeight="false" outlineLevel="0" collapsed="false">
      <c r="A135" s="22" t="str">
        <f aca="false">IF(MES!A135="","",MES!A135)</f>
        <v/>
      </c>
      <c r="B135" s="23" t="str">
        <f aca="false">IF(A135="","",MES!B135)</f>
        <v/>
      </c>
      <c r="C135" s="22" t="str">
        <f aca="false">IF(A135="","",A135+Parametros!$B$3/24)</f>
        <v/>
      </c>
      <c r="D135" s="22" t="str">
        <f aca="false">IF(A135="","",C135+Parametros!$B$2/24)</f>
        <v/>
      </c>
      <c r="E135" s="24" t="str">
        <f aca="false">IF(A135="","",COUNTIFS(Modulo!$A$2:$A$5001,"&gt;="&amp;C135,Modulo!$A$2:$A$5001,"&lt;"&amp;D135,Modulo!$D$2:$D$5001,Parametros!$B$7))</f>
        <v/>
      </c>
      <c r="F135" s="23" t="str">
        <f aca="false">IF(A135="","",IF(E135=0,"",AVERAGEIFS(Modulo!$B$2:$B$5001,Modulo!$A$2:$A$5001,"&gt;="&amp;C135,Modulo!$A$2:$A$5001,"&lt;"&amp;D135,Modulo!$D$2:$D$5001,Parametros!$B$7)))</f>
        <v/>
      </c>
      <c r="G135" s="23" t="str">
        <f aca="false">IF(A135="","",IF(E135=0,"",AVERAGEIFS(Modulo!$C$2:$C$5001,Modulo!$A$2:$A$5001,"&gt;="&amp;C135,Modulo!$A$2:$A$5001,"&lt;"&amp;D135,Modulo!$D$2:$D$5001,Parametros!$B$7)))</f>
        <v/>
      </c>
      <c r="H135" s="25" t="str">
        <f aca="false">IF(A135="","",IFERROR(COUNTIFS(Amostragem!$A$2:$A$15003,"&gt;="&amp;C135,Amostragem!$A$2:$A$15003,"&lt;"&amp;D135,Amostragem!$B$2:$B$15003,"Automático",Amostragem!$C$2:$C$15003,"Automático",Amostragem!$D$2:$D$15003,0)/COUNTIFS(Amostragem!$A$2:$A$15003,"&gt;="&amp;C135,Amostragem!$A$2:$A$15003,"&lt;"&amp;D135),0))</f>
        <v/>
      </c>
      <c r="I135" s="23" t="str">
        <f aca="false">IF(A135="","",IFERROR(AVERAGEIFS(Amostragem!$E$2:$E$15003,Amostragem!$A$2:$A$15003,"&gt;="&amp;C135,Amostragem!$A$2:$A$15003,"&lt;"&amp;D135),""))</f>
        <v/>
      </c>
      <c r="J135" s="24" t="str">
        <f aca="false">IF(A135="","",IF(B135="","Inválida: sem resultado MES",IF(E135&lt;Parametros!$B$4,"Inválida: poucos ensaios do módulo",IF(H135&lt;Parametros!$B$5,"Inválida: amostragem em manual ou em falha",IF(OR(I135="",I135&lt;Parametros!$B$6),"Inválida: usina parada ou baixa alimentação","Válida")))))</f>
        <v/>
      </c>
      <c r="K135" s="23" t="str">
        <f aca="false">IF(J135="Válida",F135-B135,"")</f>
        <v/>
      </c>
      <c r="L135" s="26" t="str">
        <f aca="false">IF(J135="Válida",K135/B135,"")</f>
        <v/>
      </c>
      <c r="M135" s="23" t="str">
        <f aca="false">IF(J135="Válida",(F135+B135)/2,"")</f>
        <v/>
      </c>
      <c r="N135" s="24" t="str">
        <f aca="false">IF(K135="","",IF(OR(K135&gt;Resumo!$B$16,K135&lt;Resumo!$B$15),"Sim","Não"))</f>
        <v/>
      </c>
      <c r="O135" s="22" t="e">
        <f aca="false">IF(A135="",NA(),A135)</f>
        <v>#N/A</v>
      </c>
      <c r="P135" s="23" t="e">
        <f aca="false">IF(A135="",NA(),B135)</f>
        <v>#N/A</v>
      </c>
      <c r="Q135" s="23" t="e">
        <f aca="false">IF(F135="",NA(),F135)</f>
        <v>#N/A</v>
      </c>
      <c r="R135" s="23" t="e">
        <f aca="false">IF(K135="",NA(),K135)</f>
        <v>#N/A</v>
      </c>
      <c r="S135" s="23" t="e">
        <f aca="false">IF(M135="",NA(),M135)</f>
        <v>#N/A</v>
      </c>
      <c r="T135" s="23" t="str">
        <f aca="false">IF(J135="Válida",B135,"")</f>
        <v/>
      </c>
      <c r="U135" s="23" t="str">
        <f aca="false">IF(J135="Válida",F135,"")</f>
        <v/>
      </c>
    </row>
    <row r="136" customFormat="false" ht="15" hidden="false" customHeight="false" outlineLevel="0" collapsed="false">
      <c r="A136" s="22" t="str">
        <f aca="false">IF(MES!A136="","",MES!A136)</f>
        <v/>
      </c>
      <c r="B136" s="23" t="str">
        <f aca="false">IF(A136="","",MES!B136)</f>
        <v/>
      </c>
      <c r="C136" s="22" t="str">
        <f aca="false">IF(A136="","",A136+Parametros!$B$3/24)</f>
        <v/>
      </c>
      <c r="D136" s="22" t="str">
        <f aca="false">IF(A136="","",C136+Parametros!$B$2/24)</f>
        <v/>
      </c>
      <c r="E136" s="24" t="str">
        <f aca="false">IF(A136="","",COUNTIFS(Modulo!$A$2:$A$5001,"&gt;="&amp;C136,Modulo!$A$2:$A$5001,"&lt;"&amp;D136,Modulo!$D$2:$D$5001,Parametros!$B$7))</f>
        <v/>
      </c>
      <c r="F136" s="23" t="str">
        <f aca="false">IF(A136="","",IF(E136=0,"",AVERAGEIFS(Modulo!$B$2:$B$5001,Modulo!$A$2:$A$5001,"&gt;="&amp;C136,Modulo!$A$2:$A$5001,"&lt;"&amp;D136,Modulo!$D$2:$D$5001,Parametros!$B$7)))</f>
        <v/>
      </c>
      <c r="G136" s="23" t="str">
        <f aca="false">IF(A136="","",IF(E136=0,"",AVERAGEIFS(Modulo!$C$2:$C$5001,Modulo!$A$2:$A$5001,"&gt;="&amp;C136,Modulo!$A$2:$A$5001,"&lt;"&amp;D136,Modulo!$D$2:$D$5001,Parametros!$B$7)))</f>
        <v/>
      </c>
      <c r="H136" s="25" t="str">
        <f aca="false">IF(A136="","",IFERROR(COUNTIFS(Amostragem!$A$2:$A$15003,"&gt;="&amp;C136,Amostragem!$A$2:$A$15003,"&lt;"&amp;D136,Amostragem!$B$2:$B$15003,"Automático",Amostragem!$C$2:$C$15003,"Automático",Amostragem!$D$2:$D$15003,0)/COUNTIFS(Amostragem!$A$2:$A$15003,"&gt;="&amp;C136,Amostragem!$A$2:$A$15003,"&lt;"&amp;D136),0))</f>
        <v/>
      </c>
      <c r="I136" s="23" t="str">
        <f aca="false">IF(A136="","",IFERROR(AVERAGEIFS(Amostragem!$E$2:$E$15003,Amostragem!$A$2:$A$15003,"&gt;="&amp;C136,Amostragem!$A$2:$A$15003,"&lt;"&amp;D136),""))</f>
        <v/>
      </c>
      <c r="J136" s="24" t="str">
        <f aca="false">IF(A136="","",IF(B136="","Inválida: sem resultado MES",IF(E136&lt;Parametros!$B$4,"Inválida: poucos ensaios do módulo",IF(H136&lt;Parametros!$B$5,"Inválida: amostragem em manual ou em falha",IF(OR(I136="",I136&lt;Parametros!$B$6),"Inválida: usina parada ou baixa alimentação","Válida")))))</f>
        <v/>
      </c>
      <c r="K136" s="23" t="str">
        <f aca="false">IF(J136="Válida",F136-B136,"")</f>
        <v/>
      </c>
      <c r="L136" s="26" t="str">
        <f aca="false">IF(J136="Válida",K136/B136,"")</f>
        <v/>
      </c>
      <c r="M136" s="23" t="str">
        <f aca="false">IF(J136="Válida",(F136+B136)/2,"")</f>
        <v/>
      </c>
      <c r="N136" s="24" t="str">
        <f aca="false">IF(K136="","",IF(OR(K136&gt;Resumo!$B$16,K136&lt;Resumo!$B$15),"Sim","Não"))</f>
        <v/>
      </c>
      <c r="O136" s="22" t="e">
        <f aca="false">IF(A136="",NA(),A136)</f>
        <v>#N/A</v>
      </c>
      <c r="P136" s="23" t="e">
        <f aca="false">IF(A136="",NA(),B136)</f>
        <v>#N/A</v>
      </c>
      <c r="Q136" s="23" t="e">
        <f aca="false">IF(F136="",NA(),F136)</f>
        <v>#N/A</v>
      </c>
      <c r="R136" s="23" t="e">
        <f aca="false">IF(K136="",NA(),K136)</f>
        <v>#N/A</v>
      </c>
      <c r="S136" s="23" t="e">
        <f aca="false">IF(M136="",NA(),M136)</f>
        <v>#N/A</v>
      </c>
      <c r="T136" s="23" t="str">
        <f aca="false">IF(J136="Válida",B136,"")</f>
        <v/>
      </c>
      <c r="U136" s="23" t="str">
        <f aca="false">IF(J136="Válida",F136,"")</f>
        <v/>
      </c>
    </row>
    <row r="137" customFormat="false" ht="15" hidden="false" customHeight="false" outlineLevel="0" collapsed="false">
      <c r="A137" s="22" t="str">
        <f aca="false">IF(MES!A137="","",MES!A137)</f>
        <v/>
      </c>
      <c r="B137" s="23" t="str">
        <f aca="false">IF(A137="","",MES!B137)</f>
        <v/>
      </c>
      <c r="C137" s="22" t="str">
        <f aca="false">IF(A137="","",A137+Parametros!$B$3/24)</f>
        <v/>
      </c>
      <c r="D137" s="22" t="str">
        <f aca="false">IF(A137="","",C137+Parametros!$B$2/24)</f>
        <v/>
      </c>
      <c r="E137" s="24" t="str">
        <f aca="false">IF(A137="","",COUNTIFS(Modulo!$A$2:$A$5001,"&gt;="&amp;C137,Modulo!$A$2:$A$5001,"&lt;"&amp;D137,Modulo!$D$2:$D$5001,Parametros!$B$7))</f>
        <v/>
      </c>
      <c r="F137" s="23" t="str">
        <f aca="false">IF(A137="","",IF(E137=0,"",AVERAGEIFS(Modulo!$B$2:$B$5001,Modulo!$A$2:$A$5001,"&gt;="&amp;C137,Modulo!$A$2:$A$5001,"&lt;"&amp;D137,Modulo!$D$2:$D$5001,Parametros!$B$7)))</f>
        <v/>
      </c>
      <c r="G137" s="23" t="str">
        <f aca="false">IF(A137="","",IF(E137=0,"",AVERAGEIFS(Modulo!$C$2:$C$5001,Modulo!$A$2:$A$5001,"&gt;="&amp;C137,Modulo!$A$2:$A$5001,"&lt;"&amp;D137,Modulo!$D$2:$D$5001,Parametros!$B$7)))</f>
        <v/>
      </c>
      <c r="H137" s="25" t="str">
        <f aca="false">IF(A137="","",IFERROR(COUNTIFS(Amostragem!$A$2:$A$15003,"&gt;="&amp;C137,Amostragem!$A$2:$A$15003,"&lt;"&amp;D137,Amostragem!$B$2:$B$15003,"Automático",Amostragem!$C$2:$C$15003,"Automático",Amostragem!$D$2:$D$15003,0)/COUNTIFS(Amostragem!$A$2:$A$15003,"&gt;="&amp;C137,Amostragem!$A$2:$A$15003,"&lt;"&amp;D137),0))</f>
        <v/>
      </c>
      <c r="I137" s="23" t="str">
        <f aca="false">IF(A137="","",IFERROR(AVERAGEIFS(Amostragem!$E$2:$E$15003,Amostragem!$A$2:$A$15003,"&gt;="&amp;C137,Amostragem!$A$2:$A$15003,"&lt;"&amp;D137),""))</f>
        <v/>
      </c>
      <c r="J137" s="24" t="str">
        <f aca="false">IF(A137="","",IF(B137="","Inválida: sem resultado MES",IF(E137&lt;Parametros!$B$4,"Inválida: poucos ensaios do módulo",IF(H137&lt;Parametros!$B$5,"Inválida: amostragem em manual ou em falha",IF(OR(I137="",I137&lt;Parametros!$B$6),"Inválida: usina parada ou baixa alimentação","Válida")))))</f>
        <v/>
      </c>
      <c r="K137" s="23" t="str">
        <f aca="false">IF(J137="Válida",F137-B137,"")</f>
        <v/>
      </c>
      <c r="L137" s="26" t="str">
        <f aca="false">IF(J137="Válida",K137/B137,"")</f>
        <v/>
      </c>
      <c r="M137" s="23" t="str">
        <f aca="false">IF(J137="Válida",(F137+B137)/2,"")</f>
        <v/>
      </c>
      <c r="N137" s="24" t="str">
        <f aca="false">IF(K137="","",IF(OR(K137&gt;Resumo!$B$16,K137&lt;Resumo!$B$15),"Sim","Não"))</f>
        <v/>
      </c>
      <c r="O137" s="22" t="e">
        <f aca="false">IF(A137="",NA(),A137)</f>
        <v>#N/A</v>
      </c>
      <c r="P137" s="23" t="e">
        <f aca="false">IF(A137="",NA(),B137)</f>
        <v>#N/A</v>
      </c>
      <c r="Q137" s="23" t="e">
        <f aca="false">IF(F137="",NA(),F137)</f>
        <v>#N/A</v>
      </c>
      <c r="R137" s="23" t="e">
        <f aca="false">IF(K137="",NA(),K137)</f>
        <v>#N/A</v>
      </c>
      <c r="S137" s="23" t="e">
        <f aca="false">IF(M137="",NA(),M137)</f>
        <v>#N/A</v>
      </c>
      <c r="T137" s="23" t="str">
        <f aca="false">IF(J137="Válida",B137,"")</f>
        <v/>
      </c>
      <c r="U137" s="23" t="str">
        <f aca="false">IF(J137="Válida",F137,"")</f>
        <v/>
      </c>
    </row>
    <row r="138" customFormat="false" ht="15" hidden="false" customHeight="false" outlineLevel="0" collapsed="false">
      <c r="A138" s="22" t="str">
        <f aca="false">IF(MES!A138="","",MES!A138)</f>
        <v/>
      </c>
      <c r="B138" s="23" t="str">
        <f aca="false">IF(A138="","",MES!B138)</f>
        <v/>
      </c>
      <c r="C138" s="22" t="str">
        <f aca="false">IF(A138="","",A138+Parametros!$B$3/24)</f>
        <v/>
      </c>
      <c r="D138" s="22" t="str">
        <f aca="false">IF(A138="","",C138+Parametros!$B$2/24)</f>
        <v/>
      </c>
      <c r="E138" s="24" t="str">
        <f aca="false">IF(A138="","",COUNTIFS(Modulo!$A$2:$A$5001,"&gt;="&amp;C138,Modulo!$A$2:$A$5001,"&lt;"&amp;D138,Modulo!$D$2:$D$5001,Parametros!$B$7))</f>
        <v/>
      </c>
      <c r="F138" s="23" t="str">
        <f aca="false">IF(A138="","",IF(E138=0,"",AVERAGEIFS(Modulo!$B$2:$B$5001,Modulo!$A$2:$A$5001,"&gt;="&amp;C138,Modulo!$A$2:$A$5001,"&lt;"&amp;D138,Modulo!$D$2:$D$5001,Parametros!$B$7)))</f>
        <v/>
      </c>
      <c r="G138" s="23" t="str">
        <f aca="false">IF(A138="","",IF(E138=0,"",AVERAGEIFS(Modulo!$C$2:$C$5001,Modulo!$A$2:$A$5001,"&gt;="&amp;C138,Modulo!$A$2:$A$5001,"&lt;"&amp;D138,Modulo!$D$2:$D$5001,Parametros!$B$7)))</f>
        <v/>
      </c>
      <c r="H138" s="25" t="str">
        <f aca="false">IF(A138="","",IFERROR(COUNTIFS(Amostragem!$A$2:$A$15003,"&gt;="&amp;C138,Amostragem!$A$2:$A$15003,"&lt;"&amp;D138,Amostragem!$B$2:$B$15003,"Automático",Amostragem!$C$2:$C$15003,"Automático",Amostragem!$D$2:$D$15003,0)/COUNTIFS(Amostragem!$A$2:$A$15003,"&gt;="&amp;C138,Amostragem!$A$2:$A$15003,"&lt;"&amp;D138),0))</f>
        <v/>
      </c>
      <c r="I138" s="23" t="str">
        <f aca="false">IF(A138="","",IFERROR(AVERAGEIFS(Amostragem!$E$2:$E$15003,Amostragem!$A$2:$A$15003,"&gt;="&amp;C138,Amostragem!$A$2:$A$15003,"&lt;"&amp;D138),""))</f>
        <v/>
      </c>
      <c r="J138" s="24" t="str">
        <f aca="false">IF(A138="","",IF(B138="","Inválida: sem resultado MES",IF(E138&lt;Parametros!$B$4,"Inválida: poucos ensaios do módulo",IF(H138&lt;Parametros!$B$5,"Inválida: amostragem em manual ou em falha",IF(OR(I138="",I138&lt;Parametros!$B$6),"Inválida: usina parada ou baixa alimentação","Válida")))))</f>
        <v/>
      </c>
      <c r="K138" s="23" t="str">
        <f aca="false">IF(J138="Válida",F138-B138,"")</f>
        <v/>
      </c>
      <c r="L138" s="26" t="str">
        <f aca="false">IF(J138="Válida",K138/B138,"")</f>
        <v/>
      </c>
      <c r="M138" s="23" t="str">
        <f aca="false">IF(J138="Válida",(F138+B138)/2,"")</f>
        <v/>
      </c>
      <c r="N138" s="24" t="str">
        <f aca="false">IF(K138="","",IF(OR(K138&gt;Resumo!$B$16,K138&lt;Resumo!$B$15),"Sim","Não"))</f>
        <v/>
      </c>
      <c r="O138" s="22" t="e">
        <f aca="false">IF(A138="",NA(),A138)</f>
        <v>#N/A</v>
      </c>
      <c r="P138" s="23" t="e">
        <f aca="false">IF(A138="",NA(),B138)</f>
        <v>#N/A</v>
      </c>
      <c r="Q138" s="23" t="e">
        <f aca="false">IF(F138="",NA(),F138)</f>
        <v>#N/A</v>
      </c>
      <c r="R138" s="23" t="e">
        <f aca="false">IF(K138="",NA(),K138)</f>
        <v>#N/A</v>
      </c>
      <c r="S138" s="23" t="e">
        <f aca="false">IF(M138="",NA(),M138)</f>
        <v>#N/A</v>
      </c>
      <c r="T138" s="23" t="str">
        <f aca="false">IF(J138="Válida",B138,"")</f>
        <v/>
      </c>
      <c r="U138" s="23" t="str">
        <f aca="false">IF(J138="Válida",F138,"")</f>
        <v/>
      </c>
    </row>
    <row r="139" customFormat="false" ht="15" hidden="false" customHeight="false" outlineLevel="0" collapsed="false">
      <c r="A139" s="22" t="str">
        <f aca="false">IF(MES!A139="","",MES!A139)</f>
        <v/>
      </c>
      <c r="B139" s="23" t="str">
        <f aca="false">IF(A139="","",MES!B139)</f>
        <v/>
      </c>
      <c r="C139" s="22" t="str">
        <f aca="false">IF(A139="","",A139+Parametros!$B$3/24)</f>
        <v/>
      </c>
      <c r="D139" s="22" t="str">
        <f aca="false">IF(A139="","",C139+Parametros!$B$2/24)</f>
        <v/>
      </c>
      <c r="E139" s="24" t="str">
        <f aca="false">IF(A139="","",COUNTIFS(Modulo!$A$2:$A$5001,"&gt;="&amp;C139,Modulo!$A$2:$A$5001,"&lt;"&amp;D139,Modulo!$D$2:$D$5001,Parametros!$B$7))</f>
        <v/>
      </c>
      <c r="F139" s="23" t="str">
        <f aca="false">IF(A139="","",IF(E139=0,"",AVERAGEIFS(Modulo!$B$2:$B$5001,Modulo!$A$2:$A$5001,"&gt;="&amp;C139,Modulo!$A$2:$A$5001,"&lt;"&amp;D139,Modulo!$D$2:$D$5001,Parametros!$B$7)))</f>
        <v/>
      </c>
      <c r="G139" s="23" t="str">
        <f aca="false">IF(A139="","",IF(E139=0,"",AVERAGEIFS(Modulo!$C$2:$C$5001,Modulo!$A$2:$A$5001,"&gt;="&amp;C139,Modulo!$A$2:$A$5001,"&lt;"&amp;D139,Modulo!$D$2:$D$5001,Parametros!$B$7)))</f>
        <v/>
      </c>
      <c r="H139" s="25" t="str">
        <f aca="false">IF(A139="","",IFERROR(COUNTIFS(Amostragem!$A$2:$A$15003,"&gt;="&amp;C139,Amostragem!$A$2:$A$15003,"&lt;"&amp;D139,Amostragem!$B$2:$B$15003,"Automático",Amostragem!$C$2:$C$15003,"Automático",Amostragem!$D$2:$D$15003,0)/COUNTIFS(Amostragem!$A$2:$A$15003,"&gt;="&amp;C139,Amostragem!$A$2:$A$15003,"&lt;"&amp;D139),0))</f>
        <v/>
      </c>
      <c r="I139" s="23" t="str">
        <f aca="false">IF(A139="","",IFERROR(AVERAGEIFS(Amostragem!$E$2:$E$15003,Amostragem!$A$2:$A$15003,"&gt;="&amp;C139,Amostragem!$A$2:$A$15003,"&lt;"&amp;D139),""))</f>
        <v/>
      </c>
      <c r="J139" s="24" t="str">
        <f aca="false">IF(A139="","",IF(B139="","Inválida: sem resultado MES",IF(E139&lt;Parametros!$B$4,"Inválida: poucos ensaios do módulo",IF(H139&lt;Parametros!$B$5,"Inválida: amostragem em manual ou em falha",IF(OR(I139="",I139&lt;Parametros!$B$6),"Inválida: usina parada ou baixa alimentação","Válida")))))</f>
        <v/>
      </c>
      <c r="K139" s="23" t="str">
        <f aca="false">IF(J139="Válida",F139-B139,"")</f>
        <v/>
      </c>
      <c r="L139" s="26" t="str">
        <f aca="false">IF(J139="Válida",K139/B139,"")</f>
        <v/>
      </c>
      <c r="M139" s="23" t="str">
        <f aca="false">IF(J139="Válida",(F139+B139)/2,"")</f>
        <v/>
      </c>
      <c r="N139" s="24" t="str">
        <f aca="false">IF(K139="","",IF(OR(K139&gt;Resumo!$B$16,K139&lt;Resumo!$B$15),"Sim","Não"))</f>
        <v/>
      </c>
      <c r="O139" s="22" t="e">
        <f aca="false">IF(A139="",NA(),A139)</f>
        <v>#N/A</v>
      </c>
      <c r="P139" s="23" t="e">
        <f aca="false">IF(A139="",NA(),B139)</f>
        <v>#N/A</v>
      </c>
      <c r="Q139" s="23" t="e">
        <f aca="false">IF(F139="",NA(),F139)</f>
        <v>#N/A</v>
      </c>
      <c r="R139" s="23" t="e">
        <f aca="false">IF(K139="",NA(),K139)</f>
        <v>#N/A</v>
      </c>
      <c r="S139" s="23" t="e">
        <f aca="false">IF(M139="",NA(),M139)</f>
        <v>#N/A</v>
      </c>
      <c r="T139" s="23" t="str">
        <f aca="false">IF(J139="Válida",B139,"")</f>
        <v/>
      </c>
      <c r="U139" s="23" t="str">
        <f aca="false">IF(J139="Válida",F139,"")</f>
        <v/>
      </c>
    </row>
    <row r="140" customFormat="false" ht="15" hidden="false" customHeight="false" outlineLevel="0" collapsed="false">
      <c r="A140" s="22" t="str">
        <f aca="false">IF(MES!A140="","",MES!A140)</f>
        <v/>
      </c>
      <c r="B140" s="23" t="str">
        <f aca="false">IF(A140="","",MES!B140)</f>
        <v/>
      </c>
      <c r="C140" s="22" t="str">
        <f aca="false">IF(A140="","",A140+Parametros!$B$3/24)</f>
        <v/>
      </c>
      <c r="D140" s="22" t="str">
        <f aca="false">IF(A140="","",C140+Parametros!$B$2/24)</f>
        <v/>
      </c>
      <c r="E140" s="24" t="str">
        <f aca="false">IF(A140="","",COUNTIFS(Modulo!$A$2:$A$5001,"&gt;="&amp;C140,Modulo!$A$2:$A$5001,"&lt;"&amp;D140,Modulo!$D$2:$D$5001,Parametros!$B$7))</f>
        <v/>
      </c>
      <c r="F140" s="23" t="str">
        <f aca="false">IF(A140="","",IF(E140=0,"",AVERAGEIFS(Modulo!$B$2:$B$5001,Modulo!$A$2:$A$5001,"&gt;="&amp;C140,Modulo!$A$2:$A$5001,"&lt;"&amp;D140,Modulo!$D$2:$D$5001,Parametros!$B$7)))</f>
        <v/>
      </c>
      <c r="G140" s="23" t="str">
        <f aca="false">IF(A140="","",IF(E140=0,"",AVERAGEIFS(Modulo!$C$2:$C$5001,Modulo!$A$2:$A$5001,"&gt;="&amp;C140,Modulo!$A$2:$A$5001,"&lt;"&amp;D140,Modulo!$D$2:$D$5001,Parametros!$B$7)))</f>
        <v/>
      </c>
      <c r="H140" s="25" t="str">
        <f aca="false">IF(A140="","",IFERROR(COUNTIFS(Amostragem!$A$2:$A$15003,"&gt;="&amp;C140,Amostragem!$A$2:$A$15003,"&lt;"&amp;D140,Amostragem!$B$2:$B$15003,"Automático",Amostragem!$C$2:$C$15003,"Automático",Amostragem!$D$2:$D$15003,0)/COUNTIFS(Amostragem!$A$2:$A$15003,"&gt;="&amp;C140,Amostragem!$A$2:$A$15003,"&lt;"&amp;D140),0))</f>
        <v/>
      </c>
      <c r="I140" s="23" t="str">
        <f aca="false">IF(A140="","",IFERROR(AVERAGEIFS(Amostragem!$E$2:$E$15003,Amostragem!$A$2:$A$15003,"&gt;="&amp;C140,Amostragem!$A$2:$A$15003,"&lt;"&amp;D140),""))</f>
        <v/>
      </c>
      <c r="J140" s="24" t="str">
        <f aca="false">IF(A140="","",IF(B140="","Inválida: sem resultado MES",IF(E140&lt;Parametros!$B$4,"Inválida: poucos ensaios do módulo",IF(H140&lt;Parametros!$B$5,"Inválida: amostragem em manual ou em falha",IF(OR(I140="",I140&lt;Parametros!$B$6),"Inválida: usina parada ou baixa alimentação","Válida")))))</f>
        <v/>
      </c>
      <c r="K140" s="23" t="str">
        <f aca="false">IF(J140="Válida",F140-B140,"")</f>
        <v/>
      </c>
      <c r="L140" s="26" t="str">
        <f aca="false">IF(J140="Válida",K140/B140,"")</f>
        <v/>
      </c>
      <c r="M140" s="23" t="str">
        <f aca="false">IF(J140="Válida",(F140+B140)/2,"")</f>
        <v/>
      </c>
      <c r="N140" s="24" t="str">
        <f aca="false">IF(K140="","",IF(OR(K140&gt;Resumo!$B$16,K140&lt;Resumo!$B$15),"Sim","Não"))</f>
        <v/>
      </c>
      <c r="O140" s="22" t="e">
        <f aca="false">IF(A140="",NA(),A140)</f>
        <v>#N/A</v>
      </c>
      <c r="P140" s="23" t="e">
        <f aca="false">IF(A140="",NA(),B140)</f>
        <v>#N/A</v>
      </c>
      <c r="Q140" s="23" t="e">
        <f aca="false">IF(F140="",NA(),F140)</f>
        <v>#N/A</v>
      </c>
      <c r="R140" s="23" t="e">
        <f aca="false">IF(K140="",NA(),K140)</f>
        <v>#N/A</v>
      </c>
      <c r="S140" s="23" t="e">
        <f aca="false">IF(M140="",NA(),M140)</f>
        <v>#N/A</v>
      </c>
      <c r="T140" s="23" t="str">
        <f aca="false">IF(J140="Válida",B140,"")</f>
        <v/>
      </c>
      <c r="U140" s="23" t="str">
        <f aca="false">IF(J140="Válida",F140,"")</f>
        <v/>
      </c>
    </row>
    <row r="141" customFormat="false" ht="15" hidden="false" customHeight="false" outlineLevel="0" collapsed="false">
      <c r="A141" s="22" t="str">
        <f aca="false">IF(MES!A141="","",MES!A141)</f>
        <v/>
      </c>
      <c r="B141" s="23" t="str">
        <f aca="false">IF(A141="","",MES!B141)</f>
        <v/>
      </c>
      <c r="C141" s="22" t="str">
        <f aca="false">IF(A141="","",A141+Parametros!$B$3/24)</f>
        <v/>
      </c>
      <c r="D141" s="22" t="str">
        <f aca="false">IF(A141="","",C141+Parametros!$B$2/24)</f>
        <v/>
      </c>
      <c r="E141" s="24" t="str">
        <f aca="false">IF(A141="","",COUNTIFS(Modulo!$A$2:$A$5001,"&gt;="&amp;C141,Modulo!$A$2:$A$5001,"&lt;"&amp;D141,Modulo!$D$2:$D$5001,Parametros!$B$7))</f>
        <v/>
      </c>
      <c r="F141" s="23" t="str">
        <f aca="false">IF(A141="","",IF(E141=0,"",AVERAGEIFS(Modulo!$B$2:$B$5001,Modulo!$A$2:$A$5001,"&gt;="&amp;C141,Modulo!$A$2:$A$5001,"&lt;"&amp;D141,Modulo!$D$2:$D$5001,Parametros!$B$7)))</f>
        <v/>
      </c>
      <c r="G141" s="23" t="str">
        <f aca="false">IF(A141="","",IF(E141=0,"",AVERAGEIFS(Modulo!$C$2:$C$5001,Modulo!$A$2:$A$5001,"&gt;="&amp;C141,Modulo!$A$2:$A$5001,"&lt;"&amp;D141,Modulo!$D$2:$D$5001,Parametros!$B$7)))</f>
        <v/>
      </c>
      <c r="H141" s="25" t="str">
        <f aca="false">IF(A141="","",IFERROR(COUNTIFS(Amostragem!$A$2:$A$15003,"&gt;="&amp;C141,Amostragem!$A$2:$A$15003,"&lt;"&amp;D141,Amostragem!$B$2:$B$15003,"Automático",Amostragem!$C$2:$C$15003,"Automático",Amostragem!$D$2:$D$15003,0)/COUNTIFS(Amostragem!$A$2:$A$15003,"&gt;="&amp;C141,Amostragem!$A$2:$A$15003,"&lt;"&amp;D141),0))</f>
        <v/>
      </c>
      <c r="I141" s="23" t="str">
        <f aca="false">IF(A141="","",IFERROR(AVERAGEIFS(Amostragem!$E$2:$E$15003,Amostragem!$A$2:$A$15003,"&gt;="&amp;C141,Amostragem!$A$2:$A$15003,"&lt;"&amp;D141),""))</f>
        <v/>
      </c>
      <c r="J141" s="24" t="str">
        <f aca="false">IF(A141="","",IF(B141="","Inválida: sem resultado MES",IF(E141&lt;Parametros!$B$4,"Inválida: poucos ensaios do módulo",IF(H141&lt;Parametros!$B$5,"Inválida: amostragem em manual ou em falha",IF(OR(I141="",I141&lt;Parametros!$B$6),"Inválida: usina parada ou baixa alimentação","Válida")))))</f>
        <v/>
      </c>
      <c r="K141" s="23" t="str">
        <f aca="false">IF(J141="Válida",F141-B141,"")</f>
        <v/>
      </c>
      <c r="L141" s="26" t="str">
        <f aca="false">IF(J141="Válida",K141/B141,"")</f>
        <v/>
      </c>
      <c r="M141" s="23" t="str">
        <f aca="false">IF(J141="Válida",(F141+B141)/2,"")</f>
        <v/>
      </c>
      <c r="N141" s="24" t="str">
        <f aca="false">IF(K141="","",IF(OR(K141&gt;Resumo!$B$16,K141&lt;Resumo!$B$15),"Sim","Não"))</f>
        <v/>
      </c>
      <c r="O141" s="22" t="e">
        <f aca="false">IF(A141="",NA(),A141)</f>
        <v>#N/A</v>
      </c>
      <c r="P141" s="23" t="e">
        <f aca="false">IF(A141="",NA(),B141)</f>
        <v>#N/A</v>
      </c>
      <c r="Q141" s="23" t="e">
        <f aca="false">IF(F141="",NA(),F141)</f>
        <v>#N/A</v>
      </c>
      <c r="R141" s="23" t="e">
        <f aca="false">IF(K141="",NA(),K141)</f>
        <v>#N/A</v>
      </c>
      <c r="S141" s="23" t="e">
        <f aca="false">IF(M141="",NA(),M141)</f>
        <v>#N/A</v>
      </c>
      <c r="T141" s="23" t="str">
        <f aca="false">IF(J141="Válida",B141,"")</f>
        <v/>
      </c>
      <c r="U141" s="23" t="str">
        <f aca="false">IF(J141="Válida",F141,"")</f>
        <v/>
      </c>
    </row>
    <row r="142" customFormat="false" ht="15" hidden="false" customHeight="false" outlineLevel="0" collapsed="false">
      <c r="A142" s="22" t="str">
        <f aca="false">IF(MES!A142="","",MES!A142)</f>
        <v/>
      </c>
      <c r="B142" s="23" t="str">
        <f aca="false">IF(A142="","",MES!B142)</f>
        <v/>
      </c>
      <c r="C142" s="22" t="str">
        <f aca="false">IF(A142="","",A142+Parametros!$B$3/24)</f>
        <v/>
      </c>
      <c r="D142" s="22" t="str">
        <f aca="false">IF(A142="","",C142+Parametros!$B$2/24)</f>
        <v/>
      </c>
      <c r="E142" s="24" t="str">
        <f aca="false">IF(A142="","",COUNTIFS(Modulo!$A$2:$A$5001,"&gt;="&amp;C142,Modulo!$A$2:$A$5001,"&lt;"&amp;D142,Modulo!$D$2:$D$5001,Parametros!$B$7))</f>
        <v/>
      </c>
      <c r="F142" s="23" t="str">
        <f aca="false">IF(A142="","",IF(E142=0,"",AVERAGEIFS(Modulo!$B$2:$B$5001,Modulo!$A$2:$A$5001,"&gt;="&amp;C142,Modulo!$A$2:$A$5001,"&lt;"&amp;D142,Modulo!$D$2:$D$5001,Parametros!$B$7)))</f>
        <v/>
      </c>
      <c r="G142" s="23" t="str">
        <f aca="false">IF(A142="","",IF(E142=0,"",AVERAGEIFS(Modulo!$C$2:$C$5001,Modulo!$A$2:$A$5001,"&gt;="&amp;C142,Modulo!$A$2:$A$5001,"&lt;"&amp;D142,Modulo!$D$2:$D$5001,Parametros!$B$7)))</f>
        <v/>
      </c>
      <c r="H142" s="25" t="str">
        <f aca="false">IF(A142="","",IFERROR(COUNTIFS(Amostragem!$A$2:$A$15003,"&gt;="&amp;C142,Amostragem!$A$2:$A$15003,"&lt;"&amp;D142,Amostragem!$B$2:$B$15003,"Automático",Amostragem!$C$2:$C$15003,"Automático",Amostragem!$D$2:$D$15003,0)/COUNTIFS(Amostragem!$A$2:$A$15003,"&gt;="&amp;C142,Amostragem!$A$2:$A$15003,"&lt;"&amp;D142),0))</f>
        <v/>
      </c>
      <c r="I142" s="23" t="str">
        <f aca="false">IF(A142="","",IFERROR(AVERAGEIFS(Amostragem!$E$2:$E$15003,Amostragem!$A$2:$A$15003,"&gt;="&amp;C142,Amostragem!$A$2:$A$15003,"&lt;"&amp;D142),""))</f>
        <v/>
      </c>
      <c r="J142" s="24" t="str">
        <f aca="false">IF(A142="","",IF(B142="","Inválida: sem resultado MES",IF(E142&lt;Parametros!$B$4,"Inválida: poucos ensaios do módulo",IF(H142&lt;Parametros!$B$5,"Inválida: amostragem em manual ou em falha",IF(OR(I142="",I142&lt;Parametros!$B$6),"Inválida: usina parada ou baixa alimentação","Válida")))))</f>
        <v/>
      </c>
      <c r="K142" s="23" t="str">
        <f aca="false">IF(J142="Válida",F142-B142,"")</f>
        <v/>
      </c>
      <c r="L142" s="26" t="str">
        <f aca="false">IF(J142="Válida",K142/B142,"")</f>
        <v/>
      </c>
      <c r="M142" s="23" t="str">
        <f aca="false">IF(J142="Válida",(F142+B142)/2,"")</f>
        <v/>
      </c>
      <c r="N142" s="24" t="str">
        <f aca="false">IF(K142="","",IF(OR(K142&gt;Resumo!$B$16,K142&lt;Resumo!$B$15),"Sim","Não"))</f>
        <v/>
      </c>
      <c r="O142" s="22" t="e">
        <f aca="false">IF(A142="",NA(),A142)</f>
        <v>#N/A</v>
      </c>
      <c r="P142" s="23" t="e">
        <f aca="false">IF(A142="",NA(),B142)</f>
        <v>#N/A</v>
      </c>
      <c r="Q142" s="23" t="e">
        <f aca="false">IF(F142="",NA(),F142)</f>
        <v>#N/A</v>
      </c>
      <c r="R142" s="23" t="e">
        <f aca="false">IF(K142="",NA(),K142)</f>
        <v>#N/A</v>
      </c>
      <c r="S142" s="23" t="e">
        <f aca="false">IF(M142="",NA(),M142)</f>
        <v>#N/A</v>
      </c>
      <c r="T142" s="23" t="str">
        <f aca="false">IF(J142="Válida",B142,"")</f>
        <v/>
      </c>
      <c r="U142" s="23" t="str">
        <f aca="false">IF(J142="Válida",F142,"")</f>
        <v/>
      </c>
    </row>
    <row r="143" customFormat="false" ht="15" hidden="false" customHeight="false" outlineLevel="0" collapsed="false">
      <c r="A143" s="22" t="str">
        <f aca="false">IF(MES!A143="","",MES!A143)</f>
        <v/>
      </c>
      <c r="B143" s="23" t="str">
        <f aca="false">IF(A143="","",MES!B143)</f>
        <v/>
      </c>
      <c r="C143" s="22" t="str">
        <f aca="false">IF(A143="","",A143+Parametros!$B$3/24)</f>
        <v/>
      </c>
      <c r="D143" s="22" t="str">
        <f aca="false">IF(A143="","",C143+Parametros!$B$2/24)</f>
        <v/>
      </c>
      <c r="E143" s="24" t="str">
        <f aca="false">IF(A143="","",COUNTIFS(Modulo!$A$2:$A$5001,"&gt;="&amp;C143,Modulo!$A$2:$A$5001,"&lt;"&amp;D143,Modulo!$D$2:$D$5001,Parametros!$B$7))</f>
        <v/>
      </c>
      <c r="F143" s="23" t="str">
        <f aca="false">IF(A143="","",IF(E143=0,"",AVERAGEIFS(Modulo!$B$2:$B$5001,Modulo!$A$2:$A$5001,"&gt;="&amp;C143,Modulo!$A$2:$A$5001,"&lt;"&amp;D143,Modulo!$D$2:$D$5001,Parametros!$B$7)))</f>
        <v/>
      </c>
      <c r="G143" s="23" t="str">
        <f aca="false">IF(A143="","",IF(E143=0,"",AVERAGEIFS(Modulo!$C$2:$C$5001,Modulo!$A$2:$A$5001,"&gt;="&amp;C143,Modulo!$A$2:$A$5001,"&lt;"&amp;D143,Modulo!$D$2:$D$5001,Parametros!$B$7)))</f>
        <v/>
      </c>
      <c r="H143" s="25" t="str">
        <f aca="false">IF(A143="","",IFERROR(COUNTIFS(Amostragem!$A$2:$A$15003,"&gt;="&amp;C143,Amostragem!$A$2:$A$15003,"&lt;"&amp;D143,Amostragem!$B$2:$B$15003,"Automático",Amostragem!$C$2:$C$15003,"Automático",Amostragem!$D$2:$D$15003,0)/COUNTIFS(Amostragem!$A$2:$A$15003,"&gt;="&amp;C143,Amostragem!$A$2:$A$15003,"&lt;"&amp;D143),0))</f>
        <v/>
      </c>
      <c r="I143" s="23" t="str">
        <f aca="false">IF(A143="","",IFERROR(AVERAGEIFS(Amostragem!$E$2:$E$15003,Amostragem!$A$2:$A$15003,"&gt;="&amp;C143,Amostragem!$A$2:$A$15003,"&lt;"&amp;D143),""))</f>
        <v/>
      </c>
      <c r="J143" s="24" t="str">
        <f aca="false">IF(A143="","",IF(B143="","Inválida: sem resultado MES",IF(E143&lt;Parametros!$B$4,"Inválida: poucos ensaios do módulo",IF(H143&lt;Parametros!$B$5,"Inválida: amostragem em manual ou em falha",IF(OR(I143="",I143&lt;Parametros!$B$6),"Inválida: usina parada ou baixa alimentação","Válida")))))</f>
        <v/>
      </c>
      <c r="K143" s="23" t="str">
        <f aca="false">IF(J143="Válida",F143-B143,"")</f>
        <v/>
      </c>
      <c r="L143" s="26" t="str">
        <f aca="false">IF(J143="Válida",K143/B143,"")</f>
        <v/>
      </c>
      <c r="M143" s="23" t="str">
        <f aca="false">IF(J143="Válida",(F143+B143)/2,"")</f>
        <v/>
      </c>
      <c r="N143" s="24" t="str">
        <f aca="false">IF(K143="","",IF(OR(K143&gt;Resumo!$B$16,K143&lt;Resumo!$B$15),"Sim","Não"))</f>
        <v/>
      </c>
      <c r="O143" s="22" t="e">
        <f aca="false">IF(A143="",NA(),A143)</f>
        <v>#N/A</v>
      </c>
      <c r="P143" s="23" t="e">
        <f aca="false">IF(A143="",NA(),B143)</f>
        <v>#N/A</v>
      </c>
      <c r="Q143" s="23" t="e">
        <f aca="false">IF(F143="",NA(),F143)</f>
        <v>#N/A</v>
      </c>
      <c r="R143" s="23" t="e">
        <f aca="false">IF(K143="",NA(),K143)</f>
        <v>#N/A</v>
      </c>
      <c r="S143" s="23" t="e">
        <f aca="false">IF(M143="",NA(),M143)</f>
        <v>#N/A</v>
      </c>
      <c r="T143" s="23" t="str">
        <f aca="false">IF(J143="Válida",B143,"")</f>
        <v/>
      </c>
      <c r="U143" s="23" t="str">
        <f aca="false">IF(J143="Válida",F143,"")</f>
        <v/>
      </c>
    </row>
    <row r="144" customFormat="false" ht="15" hidden="false" customHeight="false" outlineLevel="0" collapsed="false">
      <c r="A144" s="22" t="str">
        <f aca="false">IF(MES!A144="","",MES!A144)</f>
        <v/>
      </c>
      <c r="B144" s="23" t="str">
        <f aca="false">IF(A144="","",MES!B144)</f>
        <v/>
      </c>
      <c r="C144" s="22" t="str">
        <f aca="false">IF(A144="","",A144+Parametros!$B$3/24)</f>
        <v/>
      </c>
      <c r="D144" s="22" t="str">
        <f aca="false">IF(A144="","",C144+Parametros!$B$2/24)</f>
        <v/>
      </c>
      <c r="E144" s="24" t="str">
        <f aca="false">IF(A144="","",COUNTIFS(Modulo!$A$2:$A$5001,"&gt;="&amp;C144,Modulo!$A$2:$A$5001,"&lt;"&amp;D144,Modulo!$D$2:$D$5001,Parametros!$B$7))</f>
        <v/>
      </c>
      <c r="F144" s="23" t="str">
        <f aca="false">IF(A144="","",IF(E144=0,"",AVERAGEIFS(Modulo!$B$2:$B$5001,Modulo!$A$2:$A$5001,"&gt;="&amp;C144,Modulo!$A$2:$A$5001,"&lt;"&amp;D144,Modulo!$D$2:$D$5001,Parametros!$B$7)))</f>
        <v/>
      </c>
      <c r="G144" s="23" t="str">
        <f aca="false">IF(A144="","",IF(E144=0,"",AVERAGEIFS(Modulo!$C$2:$C$5001,Modulo!$A$2:$A$5001,"&gt;="&amp;C144,Modulo!$A$2:$A$5001,"&lt;"&amp;D144,Modulo!$D$2:$D$5001,Parametros!$B$7)))</f>
        <v/>
      </c>
      <c r="H144" s="25" t="str">
        <f aca="false">IF(A144="","",IFERROR(COUNTIFS(Amostragem!$A$2:$A$15003,"&gt;="&amp;C144,Amostragem!$A$2:$A$15003,"&lt;"&amp;D144,Amostragem!$B$2:$B$15003,"Automático",Amostragem!$C$2:$C$15003,"Automático",Amostragem!$D$2:$D$15003,0)/COUNTIFS(Amostragem!$A$2:$A$15003,"&gt;="&amp;C144,Amostragem!$A$2:$A$15003,"&lt;"&amp;D144),0))</f>
        <v/>
      </c>
      <c r="I144" s="23" t="str">
        <f aca="false">IF(A144="","",IFERROR(AVERAGEIFS(Amostragem!$E$2:$E$15003,Amostragem!$A$2:$A$15003,"&gt;="&amp;C144,Amostragem!$A$2:$A$15003,"&lt;"&amp;D144),""))</f>
        <v/>
      </c>
      <c r="J144" s="24" t="str">
        <f aca="false">IF(A144="","",IF(B144="","Inválida: sem resultado MES",IF(E144&lt;Parametros!$B$4,"Inválida: poucos ensaios do módulo",IF(H144&lt;Parametros!$B$5,"Inválida: amostragem em manual ou em falha",IF(OR(I144="",I144&lt;Parametros!$B$6),"Inválida: usina parada ou baixa alimentação","Válida")))))</f>
        <v/>
      </c>
      <c r="K144" s="23" t="str">
        <f aca="false">IF(J144="Válida",F144-B144,"")</f>
        <v/>
      </c>
      <c r="L144" s="26" t="str">
        <f aca="false">IF(J144="Válida",K144/B144,"")</f>
        <v/>
      </c>
      <c r="M144" s="23" t="str">
        <f aca="false">IF(J144="Válida",(F144+B144)/2,"")</f>
        <v/>
      </c>
      <c r="N144" s="24" t="str">
        <f aca="false">IF(K144="","",IF(OR(K144&gt;Resumo!$B$16,K144&lt;Resumo!$B$15),"Sim","Não"))</f>
        <v/>
      </c>
      <c r="O144" s="22" t="e">
        <f aca="false">IF(A144="",NA(),A144)</f>
        <v>#N/A</v>
      </c>
      <c r="P144" s="23" t="e">
        <f aca="false">IF(A144="",NA(),B144)</f>
        <v>#N/A</v>
      </c>
      <c r="Q144" s="23" t="e">
        <f aca="false">IF(F144="",NA(),F144)</f>
        <v>#N/A</v>
      </c>
      <c r="R144" s="23" t="e">
        <f aca="false">IF(K144="",NA(),K144)</f>
        <v>#N/A</v>
      </c>
      <c r="S144" s="23" t="e">
        <f aca="false">IF(M144="",NA(),M144)</f>
        <v>#N/A</v>
      </c>
      <c r="T144" s="23" t="str">
        <f aca="false">IF(J144="Válida",B144,"")</f>
        <v/>
      </c>
      <c r="U144" s="23" t="str">
        <f aca="false">IF(J144="Válida",F144,"")</f>
        <v/>
      </c>
    </row>
    <row r="145" customFormat="false" ht="15" hidden="false" customHeight="false" outlineLevel="0" collapsed="false">
      <c r="A145" s="22" t="str">
        <f aca="false">IF(MES!A145="","",MES!A145)</f>
        <v/>
      </c>
      <c r="B145" s="23" t="str">
        <f aca="false">IF(A145="","",MES!B145)</f>
        <v/>
      </c>
      <c r="C145" s="22" t="str">
        <f aca="false">IF(A145="","",A145+Parametros!$B$3/24)</f>
        <v/>
      </c>
      <c r="D145" s="22" t="str">
        <f aca="false">IF(A145="","",C145+Parametros!$B$2/24)</f>
        <v/>
      </c>
      <c r="E145" s="24" t="str">
        <f aca="false">IF(A145="","",COUNTIFS(Modulo!$A$2:$A$5001,"&gt;="&amp;C145,Modulo!$A$2:$A$5001,"&lt;"&amp;D145,Modulo!$D$2:$D$5001,Parametros!$B$7))</f>
        <v/>
      </c>
      <c r="F145" s="23" t="str">
        <f aca="false">IF(A145="","",IF(E145=0,"",AVERAGEIFS(Modulo!$B$2:$B$5001,Modulo!$A$2:$A$5001,"&gt;="&amp;C145,Modulo!$A$2:$A$5001,"&lt;"&amp;D145,Modulo!$D$2:$D$5001,Parametros!$B$7)))</f>
        <v/>
      </c>
      <c r="G145" s="23" t="str">
        <f aca="false">IF(A145="","",IF(E145=0,"",AVERAGEIFS(Modulo!$C$2:$C$5001,Modulo!$A$2:$A$5001,"&gt;="&amp;C145,Modulo!$A$2:$A$5001,"&lt;"&amp;D145,Modulo!$D$2:$D$5001,Parametros!$B$7)))</f>
        <v/>
      </c>
      <c r="H145" s="25" t="str">
        <f aca="false">IF(A145="","",IFERROR(COUNTIFS(Amostragem!$A$2:$A$15003,"&gt;="&amp;C145,Amostragem!$A$2:$A$15003,"&lt;"&amp;D145,Amostragem!$B$2:$B$15003,"Automático",Amostragem!$C$2:$C$15003,"Automático",Amostragem!$D$2:$D$15003,0)/COUNTIFS(Amostragem!$A$2:$A$15003,"&gt;="&amp;C145,Amostragem!$A$2:$A$15003,"&lt;"&amp;D145),0))</f>
        <v/>
      </c>
      <c r="I145" s="23" t="str">
        <f aca="false">IF(A145="","",IFERROR(AVERAGEIFS(Amostragem!$E$2:$E$15003,Amostragem!$A$2:$A$15003,"&gt;="&amp;C145,Amostragem!$A$2:$A$15003,"&lt;"&amp;D145),""))</f>
        <v/>
      </c>
      <c r="J145" s="24" t="str">
        <f aca="false">IF(A145="","",IF(B145="","Inválida: sem resultado MES",IF(E145&lt;Parametros!$B$4,"Inválida: poucos ensaios do módulo",IF(H145&lt;Parametros!$B$5,"Inválida: amostragem em manual ou em falha",IF(OR(I145="",I145&lt;Parametros!$B$6),"Inválida: usina parada ou baixa alimentação","Válida")))))</f>
        <v/>
      </c>
      <c r="K145" s="23" t="str">
        <f aca="false">IF(J145="Válida",F145-B145,"")</f>
        <v/>
      </c>
      <c r="L145" s="26" t="str">
        <f aca="false">IF(J145="Válida",K145/B145,"")</f>
        <v/>
      </c>
      <c r="M145" s="23" t="str">
        <f aca="false">IF(J145="Válida",(F145+B145)/2,"")</f>
        <v/>
      </c>
      <c r="N145" s="24" t="str">
        <f aca="false">IF(K145="","",IF(OR(K145&gt;Resumo!$B$16,K145&lt;Resumo!$B$15),"Sim","Não"))</f>
        <v/>
      </c>
      <c r="O145" s="22" t="e">
        <f aca="false">IF(A145="",NA(),A145)</f>
        <v>#N/A</v>
      </c>
      <c r="P145" s="23" t="e">
        <f aca="false">IF(A145="",NA(),B145)</f>
        <v>#N/A</v>
      </c>
      <c r="Q145" s="23" t="e">
        <f aca="false">IF(F145="",NA(),F145)</f>
        <v>#N/A</v>
      </c>
      <c r="R145" s="23" t="e">
        <f aca="false">IF(K145="",NA(),K145)</f>
        <v>#N/A</v>
      </c>
      <c r="S145" s="23" t="e">
        <f aca="false">IF(M145="",NA(),M145)</f>
        <v>#N/A</v>
      </c>
      <c r="T145" s="23" t="str">
        <f aca="false">IF(J145="Válida",B145,"")</f>
        <v/>
      </c>
      <c r="U145" s="23" t="str">
        <f aca="false">IF(J145="Válida",F145,"")</f>
        <v/>
      </c>
    </row>
    <row r="146" customFormat="false" ht="15" hidden="false" customHeight="false" outlineLevel="0" collapsed="false">
      <c r="A146" s="22" t="str">
        <f aca="false">IF(MES!A146="","",MES!A146)</f>
        <v/>
      </c>
      <c r="B146" s="23" t="str">
        <f aca="false">IF(A146="","",MES!B146)</f>
        <v/>
      </c>
      <c r="C146" s="22" t="str">
        <f aca="false">IF(A146="","",A146+Parametros!$B$3/24)</f>
        <v/>
      </c>
      <c r="D146" s="22" t="str">
        <f aca="false">IF(A146="","",C146+Parametros!$B$2/24)</f>
        <v/>
      </c>
      <c r="E146" s="24" t="str">
        <f aca="false">IF(A146="","",COUNTIFS(Modulo!$A$2:$A$5001,"&gt;="&amp;C146,Modulo!$A$2:$A$5001,"&lt;"&amp;D146,Modulo!$D$2:$D$5001,Parametros!$B$7))</f>
        <v/>
      </c>
      <c r="F146" s="23" t="str">
        <f aca="false">IF(A146="","",IF(E146=0,"",AVERAGEIFS(Modulo!$B$2:$B$5001,Modulo!$A$2:$A$5001,"&gt;="&amp;C146,Modulo!$A$2:$A$5001,"&lt;"&amp;D146,Modulo!$D$2:$D$5001,Parametros!$B$7)))</f>
        <v/>
      </c>
      <c r="G146" s="23" t="str">
        <f aca="false">IF(A146="","",IF(E146=0,"",AVERAGEIFS(Modulo!$C$2:$C$5001,Modulo!$A$2:$A$5001,"&gt;="&amp;C146,Modulo!$A$2:$A$5001,"&lt;"&amp;D146,Modulo!$D$2:$D$5001,Parametros!$B$7)))</f>
        <v/>
      </c>
      <c r="H146" s="25" t="str">
        <f aca="false">IF(A146="","",IFERROR(COUNTIFS(Amostragem!$A$2:$A$15003,"&gt;="&amp;C146,Amostragem!$A$2:$A$15003,"&lt;"&amp;D146,Amostragem!$B$2:$B$15003,"Automático",Amostragem!$C$2:$C$15003,"Automático",Amostragem!$D$2:$D$15003,0)/COUNTIFS(Amostragem!$A$2:$A$15003,"&gt;="&amp;C146,Amostragem!$A$2:$A$15003,"&lt;"&amp;D146),0))</f>
        <v/>
      </c>
      <c r="I146" s="23" t="str">
        <f aca="false">IF(A146="","",IFERROR(AVERAGEIFS(Amostragem!$E$2:$E$15003,Amostragem!$A$2:$A$15003,"&gt;="&amp;C146,Amostragem!$A$2:$A$15003,"&lt;"&amp;D146),""))</f>
        <v/>
      </c>
      <c r="J146" s="24" t="str">
        <f aca="false">IF(A146="","",IF(B146="","Inválida: sem resultado MES",IF(E146&lt;Parametros!$B$4,"Inválida: poucos ensaios do módulo",IF(H146&lt;Parametros!$B$5,"Inválida: amostragem em manual ou em falha",IF(OR(I146="",I146&lt;Parametros!$B$6),"Inválida: usina parada ou baixa alimentação","Válida")))))</f>
        <v/>
      </c>
      <c r="K146" s="23" t="str">
        <f aca="false">IF(J146="Válida",F146-B146,"")</f>
        <v/>
      </c>
      <c r="L146" s="26" t="str">
        <f aca="false">IF(J146="Válida",K146/B146,"")</f>
        <v/>
      </c>
      <c r="M146" s="23" t="str">
        <f aca="false">IF(J146="Válida",(F146+B146)/2,"")</f>
        <v/>
      </c>
      <c r="N146" s="24" t="str">
        <f aca="false">IF(K146="","",IF(OR(K146&gt;Resumo!$B$16,K146&lt;Resumo!$B$15),"Sim","Não"))</f>
        <v/>
      </c>
      <c r="O146" s="22" t="e">
        <f aca="false">IF(A146="",NA(),A146)</f>
        <v>#N/A</v>
      </c>
      <c r="P146" s="23" t="e">
        <f aca="false">IF(A146="",NA(),B146)</f>
        <v>#N/A</v>
      </c>
      <c r="Q146" s="23" t="e">
        <f aca="false">IF(F146="",NA(),F146)</f>
        <v>#N/A</v>
      </c>
      <c r="R146" s="23" t="e">
        <f aca="false">IF(K146="",NA(),K146)</f>
        <v>#N/A</v>
      </c>
      <c r="S146" s="23" t="e">
        <f aca="false">IF(M146="",NA(),M146)</f>
        <v>#N/A</v>
      </c>
      <c r="T146" s="23" t="str">
        <f aca="false">IF(J146="Válida",B146,"")</f>
        <v/>
      </c>
      <c r="U146" s="23" t="str">
        <f aca="false">IF(J146="Válida",F146,"")</f>
        <v/>
      </c>
    </row>
    <row r="147" customFormat="false" ht="15" hidden="false" customHeight="false" outlineLevel="0" collapsed="false">
      <c r="A147" s="22" t="str">
        <f aca="false">IF(MES!A147="","",MES!A147)</f>
        <v/>
      </c>
      <c r="B147" s="23" t="str">
        <f aca="false">IF(A147="","",MES!B147)</f>
        <v/>
      </c>
      <c r="C147" s="22" t="str">
        <f aca="false">IF(A147="","",A147+Parametros!$B$3/24)</f>
        <v/>
      </c>
      <c r="D147" s="22" t="str">
        <f aca="false">IF(A147="","",C147+Parametros!$B$2/24)</f>
        <v/>
      </c>
      <c r="E147" s="24" t="str">
        <f aca="false">IF(A147="","",COUNTIFS(Modulo!$A$2:$A$5001,"&gt;="&amp;C147,Modulo!$A$2:$A$5001,"&lt;"&amp;D147,Modulo!$D$2:$D$5001,Parametros!$B$7))</f>
        <v/>
      </c>
      <c r="F147" s="23" t="str">
        <f aca="false">IF(A147="","",IF(E147=0,"",AVERAGEIFS(Modulo!$B$2:$B$5001,Modulo!$A$2:$A$5001,"&gt;="&amp;C147,Modulo!$A$2:$A$5001,"&lt;"&amp;D147,Modulo!$D$2:$D$5001,Parametros!$B$7)))</f>
        <v/>
      </c>
      <c r="G147" s="23" t="str">
        <f aca="false">IF(A147="","",IF(E147=0,"",AVERAGEIFS(Modulo!$C$2:$C$5001,Modulo!$A$2:$A$5001,"&gt;="&amp;C147,Modulo!$A$2:$A$5001,"&lt;"&amp;D147,Modulo!$D$2:$D$5001,Parametros!$B$7)))</f>
        <v/>
      </c>
      <c r="H147" s="25" t="str">
        <f aca="false">IF(A147="","",IFERROR(COUNTIFS(Amostragem!$A$2:$A$15003,"&gt;="&amp;C147,Amostragem!$A$2:$A$15003,"&lt;"&amp;D147,Amostragem!$B$2:$B$15003,"Automático",Amostragem!$C$2:$C$15003,"Automático",Amostragem!$D$2:$D$15003,0)/COUNTIFS(Amostragem!$A$2:$A$15003,"&gt;="&amp;C147,Amostragem!$A$2:$A$15003,"&lt;"&amp;D147),0))</f>
        <v/>
      </c>
      <c r="I147" s="23" t="str">
        <f aca="false">IF(A147="","",IFERROR(AVERAGEIFS(Amostragem!$E$2:$E$15003,Amostragem!$A$2:$A$15003,"&gt;="&amp;C147,Amostragem!$A$2:$A$15003,"&lt;"&amp;D147),""))</f>
        <v/>
      </c>
      <c r="J147" s="24" t="str">
        <f aca="false">IF(A147="","",IF(B147="","Inválida: sem resultado MES",IF(E147&lt;Parametros!$B$4,"Inválida: poucos ensaios do módulo",IF(H147&lt;Parametros!$B$5,"Inválida: amostragem em manual ou em falha",IF(OR(I147="",I147&lt;Parametros!$B$6),"Inválida: usina parada ou baixa alimentação","Válida")))))</f>
        <v/>
      </c>
      <c r="K147" s="23" t="str">
        <f aca="false">IF(J147="Válida",F147-B147,"")</f>
        <v/>
      </c>
      <c r="L147" s="26" t="str">
        <f aca="false">IF(J147="Válida",K147/B147,"")</f>
        <v/>
      </c>
      <c r="M147" s="23" t="str">
        <f aca="false">IF(J147="Válida",(F147+B147)/2,"")</f>
        <v/>
      </c>
      <c r="N147" s="24" t="str">
        <f aca="false">IF(K147="","",IF(OR(K147&gt;Resumo!$B$16,K147&lt;Resumo!$B$15),"Sim","Não"))</f>
        <v/>
      </c>
      <c r="O147" s="22" t="e">
        <f aca="false">IF(A147="",NA(),A147)</f>
        <v>#N/A</v>
      </c>
      <c r="P147" s="23" t="e">
        <f aca="false">IF(A147="",NA(),B147)</f>
        <v>#N/A</v>
      </c>
      <c r="Q147" s="23" t="e">
        <f aca="false">IF(F147="",NA(),F147)</f>
        <v>#N/A</v>
      </c>
      <c r="R147" s="23" t="e">
        <f aca="false">IF(K147="",NA(),K147)</f>
        <v>#N/A</v>
      </c>
      <c r="S147" s="23" t="e">
        <f aca="false">IF(M147="",NA(),M147)</f>
        <v>#N/A</v>
      </c>
      <c r="T147" s="23" t="str">
        <f aca="false">IF(J147="Válida",B147,"")</f>
        <v/>
      </c>
      <c r="U147" s="23" t="str">
        <f aca="false">IF(J147="Válida",F147,"")</f>
        <v/>
      </c>
    </row>
    <row r="148" customFormat="false" ht="15" hidden="false" customHeight="false" outlineLevel="0" collapsed="false">
      <c r="A148" s="22" t="str">
        <f aca="false">IF(MES!A148="","",MES!A148)</f>
        <v/>
      </c>
      <c r="B148" s="23" t="str">
        <f aca="false">IF(A148="","",MES!B148)</f>
        <v/>
      </c>
      <c r="C148" s="22" t="str">
        <f aca="false">IF(A148="","",A148+Parametros!$B$3/24)</f>
        <v/>
      </c>
      <c r="D148" s="22" t="str">
        <f aca="false">IF(A148="","",C148+Parametros!$B$2/24)</f>
        <v/>
      </c>
      <c r="E148" s="24" t="str">
        <f aca="false">IF(A148="","",COUNTIFS(Modulo!$A$2:$A$5001,"&gt;="&amp;C148,Modulo!$A$2:$A$5001,"&lt;"&amp;D148,Modulo!$D$2:$D$5001,Parametros!$B$7))</f>
        <v/>
      </c>
      <c r="F148" s="23" t="str">
        <f aca="false">IF(A148="","",IF(E148=0,"",AVERAGEIFS(Modulo!$B$2:$B$5001,Modulo!$A$2:$A$5001,"&gt;="&amp;C148,Modulo!$A$2:$A$5001,"&lt;"&amp;D148,Modulo!$D$2:$D$5001,Parametros!$B$7)))</f>
        <v/>
      </c>
      <c r="G148" s="23" t="str">
        <f aca="false">IF(A148="","",IF(E148=0,"",AVERAGEIFS(Modulo!$C$2:$C$5001,Modulo!$A$2:$A$5001,"&gt;="&amp;C148,Modulo!$A$2:$A$5001,"&lt;"&amp;D148,Modulo!$D$2:$D$5001,Parametros!$B$7)))</f>
        <v/>
      </c>
      <c r="H148" s="25" t="str">
        <f aca="false">IF(A148="","",IFERROR(COUNTIFS(Amostragem!$A$2:$A$15003,"&gt;="&amp;C148,Amostragem!$A$2:$A$15003,"&lt;"&amp;D148,Amostragem!$B$2:$B$15003,"Automático",Amostragem!$C$2:$C$15003,"Automático",Amostragem!$D$2:$D$15003,0)/COUNTIFS(Amostragem!$A$2:$A$15003,"&gt;="&amp;C148,Amostragem!$A$2:$A$15003,"&lt;"&amp;D148),0))</f>
        <v/>
      </c>
      <c r="I148" s="23" t="str">
        <f aca="false">IF(A148="","",IFERROR(AVERAGEIFS(Amostragem!$E$2:$E$15003,Amostragem!$A$2:$A$15003,"&gt;="&amp;C148,Amostragem!$A$2:$A$15003,"&lt;"&amp;D148),""))</f>
        <v/>
      </c>
      <c r="J148" s="24" t="str">
        <f aca="false">IF(A148="","",IF(B148="","Inválida: sem resultado MES",IF(E148&lt;Parametros!$B$4,"Inválida: poucos ensaios do módulo",IF(H148&lt;Parametros!$B$5,"Inválida: amostragem em manual ou em falha",IF(OR(I148="",I148&lt;Parametros!$B$6),"Inválida: usina parada ou baixa alimentação","Válida")))))</f>
        <v/>
      </c>
      <c r="K148" s="23" t="str">
        <f aca="false">IF(J148="Válida",F148-B148,"")</f>
        <v/>
      </c>
      <c r="L148" s="26" t="str">
        <f aca="false">IF(J148="Válida",K148/B148,"")</f>
        <v/>
      </c>
      <c r="M148" s="23" t="str">
        <f aca="false">IF(J148="Válida",(F148+B148)/2,"")</f>
        <v/>
      </c>
      <c r="N148" s="24" t="str">
        <f aca="false">IF(K148="","",IF(OR(K148&gt;Resumo!$B$16,K148&lt;Resumo!$B$15),"Sim","Não"))</f>
        <v/>
      </c>
      <c r="O148" s="22" t="e">
        <f aca="false">IF(A148="",NA(),A148)</f>
        <v>#N/A</v>
      </c>
      <c r="P148" s="23" t="e">
        <f aca="false">IF(A148="",NA(),B148)</f>
        <v>#N/A</v>
      </c>
      <c r="Q148" s="23" t="e">
        <f aca="false">IF(F148="",NA(),F148)</f>
        <v>#N/A</v>
      </c>
      <c r="R148" s="23" t="e">
        <f aca="false">IF(K148="",NA(),K148)</f>
        <v>#N/A</v>
      </c>
      <c r="S148" s="23" t="e">
        <f aca="false">IF(M148="",NA(),M148)</f>
        <v>#N/A</v>
      </c>
      <c r="T148" s="23" t="str">
        <f aca="false">IF(J148="Válida",B148,"")</f>
        <v/>
      </c>
      <c r="U148" s="23" t="str">
        <f aca="false">IF(J148="Válida",F148,"")</f>
        <v/>
      </c>
    </row>
    <row r="149" customFormat="false" ht="15" hidden="false" customHeight="false" outlineLevel="0" collapsed="false">
      <c r="A149" s="22" t="str">
        <f aca="false">IF(MES!A149="","",MES!A149)</f>
        <v/>
      </c>
      <c r="B149" s="23" t="str">
        <f aca="false">IF(A149="","",MES!B149)</f>
        <v/>
      </c>
      <c r="C149" s="22" t="str">
        <f aca="false">IF(A149="","",A149+Parametros!$B$3/24)</f>
        <v/>
      </c>
      <c r="D149" s="22" t="str">
        <f aca="false">IF(A149="","",C149+Parametros!$B$2/24)</f>
        <v/>
      </c>
      <c r="E149" s="24" t="str">
        <f aca="false">IF(A149="","",COUNTIFS(Modulo!$A$2:$A$5001,"&gt;="&amp;C149,Modulo!$A$2:$A$5001,"&lt;"&amp;D149,Modulo!$D$2:$D$5001,Parametros!$B$7))</f>
        <v/>
      </c>
      <c r="F149" s="23" t="str">
        <f aca="false">IF(A149="","",IF(E149=0,"",AVERAGEIFS(Modulo!$B$2:$B$5001,Modulo!$A$2:$A$5001,"&gt;="&amp;C149,Modulo!$A$2:$A$5001,"&lt;"&amp;D149,Modulo!$D$2:$D$5001,Parametros!$B$7)))</f>
        <v/>
      </c>
      <c r="G149" s="23" t="str">
        <f aca="false">IF(A149="","",IF(E149=0,"",AVERAGEIFS(Modulo!$C$2:$C$5001,Modulo!$A$2:$A$5001,"&gt;="&amp;C149,Modulo!$A$2:$A$5001,"&lt;"&amp;D149,Modulo!$D$2:$D$5001,Parametros!$B$7)))</f>
        <v/>
      </c>
      <c r="H149" s="25" t="str">
        <f aca="false">IF(A149="","",IFERROR(COUNTIFS(Amostragem!$A$2:$A$15003,"&gt;="&amp;C149,Amostragem!$A$2:$A$15003,"&lt;"&amp;D149,Amostragem!$B$2:$B$15003,"Automático",Amostragem!$C$2:$C$15003,"Automático",Amostragem!$D$2:$D$15003,0)/COUNTIFS(Amostragem!$A$2:$A$15003,"&gt;="&amp;C149,Amostragem!$A$2:$A$15003,"&lt;"&amp;D149),0))</f>
        <v/>
      </c>
      <c r="I149" s="23" t="str">
        <f aca="false">IF(A149="","",IFERROR(AVERAGEIFS(Amostragem!$E$2:$E$15003,Amostragem!$A$2:$A$15003,"&gt;="&amp;C149,Amostragem!$A$2:$A$15003,"&lt;"&amp;D149),""))</f>
        <v/>
      </c>
      <c r="J149" s="24" t="str">
        <f aca="false">IF(A149="","",IF(B149="","Inválida: sem resultado MES",IF(E149&lt;Parametros!$B$4,"Inválida: poucos ensaios do módulo",IF(H149&lt;Parametros!$B$5,"Inválida: amostragem em manual ou em falha",IF(OR(I149="",I149&lt;Parametros!$B$6),"Inválida: usina parada ou baixa alimentação","Válida")))))</f>
        <v/>
      </c>
      <c r="K149" s="23" t="str">
        <f aca="false">IF(J149="Válida",F149-B149,"")</f>
        <v/>
      </c>
      <c r="L149" s="26" t="str">
        <f aca="false">IF(J149="Válida",K149/B149,"")</f>
        <v/>
      </c>
      <c r="M149" s="23" t="str">
        <f aca="false">IF(J149="Válida",(F149+B149)/2,"")</f>
        <v/>
      </c>
      <c r="N149" s="24" t="str">
        <f aca="false">IF(K149="","",IF(OR(K149&gt;Resumo!$B$16,K149&lt;Resumo!$B$15),"Sim","Não"))</f>
        <v/>
      </c>
      <c r="O149" s="22" t="e">
        <f aca="false">IF(A149="",NA(),A149)</f>
        <v>#N/A</v>
      </c>
      <c r="P149" s="23" t="e">
        <f aca="false">IF(A149="",NA(),B149)</f>
        <v>#N/A</v>
      </c>
      <c r="Q149" s="23" t="e">
        <f aca="false">IF(F149="",NA(),F149)</f>
        <v>#N/A</v>
      </c>
      <c r="R149" s="23" t="e">
        <f aca="false">IF(K149="",NA(),K149)</f>
        <v>#N/A</v>
      </c>
      <c r="S149" s="23" t="e">
        <f aca="false">IF(M149="",NA(),M149)</f>
        <v>#N/A</v>
      </c>
      <c r="T149" s="23" t="str">
        <f aca="false">IF(J149="Válida",B149,"")</f>
        <v/>
      </c>
      <c r="U149" s="23" t="str">
        <f aca="false">IF(J149="Válida",F149,"")</f>
        <v/>
      </c>
    </row>
    <row r="150" customFormat="false" ht="15" hidden="false" customHeight="false" outlineLevel="0" collapsed="false">
      <c r="A150" s="22" t="str">
        <f aca="false">IF(MES!A150="","",MES!A150)</f>
        <v/>
      </c>
      <c r="B150" s="23" t="str">
        <f aca="false">IF(A150="","",MES!B150)</f>
        <v/>
      </c>
      <c r="C150" s="22" t="str">
        <f aca="false">IF(A150="","",A150+Parametros!$B$3/24)</f>
        <v/>
      </c>
      <c r="D150" s="22" t="str">
        <f aca="false">IF(A150="","",C150+Parametros!$B$2/24)</f>
        <v/>
      </c>
      <c r="E150" s="24" t="str">
        <f aca="false">IF(A150="","",COUNTIFS(Modulo!$A$2:$A$5001,"&gt;="&amp;C150,Modulo!$A$2:$A$5001,"&lt;"&amp;D150,Modulo!$D$2:$D$5001,Parametros!$B$7))</f>
        <v/>
      </c>
      <c r="F150" s="23" t="str">
        <f aca="false">IF(A150="","",IF(E150=0,"",AVERAGEIFS(Modulo!$B$2:$B$5001,Modulo!$A$2:$A$5001,"&gt;="&amp;C150,Modulo!$A$2:$A$5001,"&lt;"&amp;D150,Modulo!$D$2:$D$5001,Parametros!$B$7)))</f>
        <v/>
      </c>
      <c r="G150" s="23" t="str">
        <f aca="false">IF(A150="","",IF(E150=0,"",AVERAGEIFS(Modulo!$C$2:$C$5001,Modulo!$A$2:$A$5001,"&gt;="&amp;C150,Modulo!$A$2:$A$5001,"&lt;"&amp;D150,Modulo!$D$2:$D$5001,Parametros!$B$7)))</f>
        <v/>
      </c>
      <c r="H150" s="25" t="str">
        <f aca="false">IF(A150="","",IFERROR(COUNTIFS(Amostragem!$A$2:$A$15003,"&gt;="&amp;C150,Amostragem!$A$2:$A$15003,"&lt;"&amp;D150,Amostragem!$B$2:$B$15003,"Automático",Amostragem!$C$2:$C$15003,"Automático",Amostragem!$D$2:$D$15003,0)/COUNTIFS(Amostragem!$A$2:$A$15003,"&gt;="&amp;C150,Amostragem!$A$2:$A$15003,"&lt;"&amp;D150),0))</f>
        <v/>
      </c>
      <c r="I150" s="23" t="str">
        <f aca="false">IF(A150="","",IFERROR(AVERAGEIFS(Amostragem!$E$2:$E$15003,Amostragem!$A$2:$A$15003,"&gt;="&amp;C150,Amostragem!$A$2:$A$15003,"&lt;"&amp;D150),""))</f>
        <v/>
      </c>
      <c r="J150" s="24" t="str">
        <f aca="false">IF(A150="","",IF(B150="","Inválida: sem resultado MES",IF(E150&lt;Parametros!$B$4,"Inválida: poucos ensaios do módulo",IF(H150&lt;Parametros!$B$5,"Inválida: amostragem em manual ou em falha",IF(OR(I150="",I150&lt;Parametros!$B$6),"Inválida: usina parada ou baixa alimentação","Válida")))))</f>
        <v/>
      </c>
      <c r="K150" s="23" t="str">
        <f aca="false">IF(J150="Válida",F150-B150,"")</f>
        <v/>
      </c>
      <c r="L150" s="26" t="str">
        <f aca="false">IF(J150="Válida",K150/B150,"")</f>
        <v/>
      </c>
      <c r="M150" s="23" t="str">
        <f aca="false">IF(J150="Válida",(F150+B150)/2,"")</f>
        <v/>
      </c>
      <c r="N150" s="24" t="str">
        <f aca="false">IF(K150="","",IF(OR(K150&gt;Resumo!$B$16,K150&lt;Resumo!$B$15),"Sim","Não"))</f>
        <v/>
      </c>
      <c r="O150" s="22" t="e">
        <f aca="false">IF(A150="",NA(),A150)</f>
        <v>#N/A</v>
      </c>
      <c r="P150" s="23" t="e">
        <f aca="false">IF(A150="",NA(),B150)</f>
        <v>#N/A</v>
      </c>
      <c r="Q150" s="23" t="e">
        <f aca="false">IF(F150="",NA(),F150)</f>
        <v>#N/A</v>
      </c>
      <c r="R150" s="23" t="e">
        <f aca="false">IF(K150="",NA(),K150)</f>
        <v>#N/A</v>
      </c>
      <c r="S150" s="23" t="e">
        <f aca="false">IF(M150="",NA(),M150)</f>
        <v>#N/A</v>
      </c>
      <c r="T150" s="23" t="str">
        <f aca="false">IF(J150="Válida",B150,"")</f>
        <v/>
      </c>
      <c r="U150" s="23" t="str">
        <f aca="false">IF(J150="Válida",F150,"")</f>
        <v/>
      </c>
    </row>
    <row r="151" customFormat="false" ht="15" hidden="false" customHeight="false" outlineLevel="0" collapsed="false">
      <c r="A151" s="22" t="str">
        <f aca="false">IF(MES!A151="","",MES!A151)</f>
        <v/>
      </c>
      <c r="B151" s="23" t="str">
        <f aca="false">IF(A151="","",MES!B151)</f>
        <v/>
      </c>
      <c r="C151" s="22" t="str">
        <f aca="false">IF(A151="","",A151+Parametros!$B$3/24)</f>
        <v/>
      </c>
      <c r="D151" s="22" t="str">
        <f aca="false">IF(A151="","",C151+Parametros!$B$2/24)</f>
        <v/>
      </c>
      <c r="E151" s="24" t="str">
        <f aca="false">IF(A151="","",COUNTIFS(Modulo!$A$2:$A$5001,"&gt;="&amp;C151,Modulo!$A$2:$A$5001,"&lt;"&amp;D151,Modulo!$D$2:$D$5001,Parametros!$B$7))</f>
        <v/>
      </c>
      <c r="F151" s="23" t="str">
        <f aca="false">IF(A151="","",IF(E151=0,"",AVERAGEIFS(Modulo!$B$2:$B$5001,Modulo!$A$2:$A$5001,"&gt;="&amp;C151,Modulo!$A$2:$A$5001,"&lt;"&amp;D151,Modulo!$D$2:$D$5001,Parametros!$B$7)))</f>
        <v/>
      </c>
      <c r="G151" s="23" t="str">
        <f aca="false">IF(A151="","",IF(E151=0,"",AVERAGEIFS(Modulo!$C$2:$C$5001,Modulo!$A$2:$A$5001,"&gt;="&amp;C151,Modulo!$A$2:$A$5001,"&lt;"&amp;D151,Modulo!$D$2:$D$5001,Parametros!$B$7)))</f>
        <v/>
      </c>
      <c r="H151" s="25" t="str">
        <f aca="false">IF(A151="","",IFERROR(COUNTIFS(Amostragem!$A$2:$A$15003,"&gt;="&amp;C151,Amostragem!$A$2:$A$15003,"&lt;"&amp;D151,Amostragem!$B$2:$B$15003,"Automático",Amostragem!$C$2:$C$15003,"Automático",Amostragem!$D$2:$D$15003,0)/COUNTIFS(Amostragem!$A$2:$A$15003,"&gt;="&amp;C151,Amostragem!$A$2:$A$15003,"&lt;"&amp;D151),0))</f>
        <v/>
      </c>
      <c r="I151" s="23" t="str">
        <f aca="false">IF(A151="","",IFERROR(AVERAGEIFS(Amostragem!$E$2:$E$15003,Amostragem!$A$2:$A$15003,"&gt;="&amp;C151,Amostragem!$A$2:$A$15003,"&lt;"&amp;D151),""))</f>
        <v/>
      </c>
      <c r="J151" s="24" t="str">
        <f aca="false">IF(A151="","",IF(B151="","Inválida: sem resultado MES",IF(E151&lt;Parametros!$B$4,"Inválida: poucos ensaios do módulo",IF(H151&lt;Parametros!$B$5,"Inválida: amostragem em manual ou em falha",IF(OR(I151="",I151&lt;Parametros!$B$6),"Inválida: usina parada ou baixa alimentação","Válida")))))</f>
        <v/>
      </c>
      <c r="K151" s="23" t="str">
        <f aca="false">IF(J151="Válida",F151-B151,"")</f>
        <v/>
      </c>
      <c r="L151" s="26" t="str">
        <f aca="false">IF(J151="Válida",K151/B151,"")</f>
        <v/>
      </c>
      <c r="M151" s="23" t="str">
        <f aca="false">IF(J151="Válida",(F151+B151)/2,"")</f>
        <v/>
      </c>
      <c r="N151" s="24" t="str">
        <f aca="false">IF(K151="","",IF(OR(K151&gt;Resumo!$B$16,K151&lt;Resumo!$B$15),"Sim","Não"))</f>
        <v/>
      </c>
      <c r="O151" s="22" t="e">
        <f aca="false">IF(A151="",NA(),A151)</f>
        <v>#N/A</v>
      </c>
      <c r="P151" s="23" t="e">
        <f aca="false">IF(A151="",NA(),B151)</f>
        <v>#N/A</v>
      </c>
      <c r="Q151" s="23" t="e">
        <f aca="false">IF(F151="",NA(),F151)</f>
        <v>#N/A</v>
      </c>
      <c r="R151" s="23" t="e">
        <f aca="false">IF(K151="",NA(),K151)</f>
        <v>#N/A</v>
      </c>
      <c r="S151" s="23" t="e">
        <f aca="false">IF(M151="",NA(),M151)</f>
        <v>#N/A</v>
      </c>
      <c r="T151" s="23" t="str">
        <f aca="false">IF(J151="Válida",B151,"")</f>
        <v/>
      </c>
      <c r="U151" s="23" t="str">
        <f aca="false">IF(J151="Válida",F151,"")</f>
        <v/>
      </c>
    </row>
    <row r="152" customFormat="false" ht="15" hidden="false" customHeight="false" outlineLevel="0" collapsed="false">
      <c r="A152" s="22" t="str">
        <f aca="false">IF(MES!A152="","",MES!A152)</f>
        <v/>
      </c>
      <c r="B152" s="23" t="str">
        <f aca="false">IF(A152="","",MES!B152)</f>
        <v/>
      </c>
      <c r="C152" s="22" t="str">
        <f aca="false">IF(A152="","",A152+Parametros!$B$3/24)</f>
        <v/>
      </c>
      <c r="D152" s="22" t="str">
        <f aca="false">IF(A152="","",C152+Parametros!$B$2/24)</f>
        <v/>
      </c>
      <c r="E152" s="24" t="str">
        <f aca="false">IF(A152="","",COUNTIFS(Modulo!$A$2:$A$5001,"&gt;="&amp;C152,Modulo!$A$2:$A$5001,"&lt;"&amp;D152,Modulo!$D$2:$D$5001,Parametros!$B$7))</f>
        <v/>
      </c>
      <c r="F152" s="23" t="str">
        <f aca="false">IF(A152="","",IF(E152=0,"",AVERAGEIFS(Modulo!$B$2:$B$5001,Modulo!$A$2:$A$5001,"&gt;="&amp;C152,Modulo!$A$2:$A$5001,"&lt;"&amp;D152,Modulo!$D$2:$D$5001,Parametros!$B$7)))</f>
        <v/>
      </c>
      <c r="G152" s="23" t="str">
        <f aca="false">IF(A152="","",IF(E152=0,"",AVERAGEIFS(Modulo!$C$2:$C$5001,Modulo!$A$2:$A$5001,"&gt;="&amp;C152,Modulo!$A$2:$A$5001,"&lt;"&amp;D152,Modulo!$D$2:$D$5001,Parametros!$B$7)))</f>
        <v/>
      </c>
      <c r="H152" s="25" t="str">
        <f aca="false">IF(A152="","",IFERROR(COUNTIFS(Amostragem!$A$2:$A$15003,"&gt;="&amp;C152,Amostragem!$A$2:$A$15003,"&lt;"&amp;D152,Amostragem!$B$2:$B$15003,"Automático",Amostragem!$C$2:$C$15003,"Automático",Amostragem!$D$2:$D$15003,0)/COUNTIFS(Amostragem!$A$2:$A$15003,"&gt;="&amp;C152,Amostragem!$A$2:$A$15003,"&lt;"&amp;D152),0))</f>
        <v/>
      </c>
      <c r="I152" s="23" t="str">
        <f aca="false">IF(A152="","",IFERROR(AVERAGEIFS(Amostragem!$E$2:$E$15003,Amostragem!$A$2:$A$15003,"&gt;="&amp;C152,Amostragem!$A$2:$A$15003,"&lt;"&amp;D152),""))</f>
        <v/>
      </c>
      <c r="J152" s="24" t="str">
        <f aca="false">IF(A152="","",IF(B152="","Inválida: sem resultado MES",IF(E152&lt;Parametros!$B$4,"Inválida: poucos ensaios do módulo",IF(H152&lt;Parametros!$B$5,"Inválida: amostragem em manual ou em falha",IF(OR(I152="",I152&lt;Parametros!$B$6),"Inválida: usina parada ou baixa alimentação","Válida")))))</f>
        <v/>
      </c>
      <c r="K152" s="23" t="str">
        <f aca="false">IF(J152="Válida",F152-B152,"")</f>
        <v/>
      </c>
      <c r="L152" s="26" t="str">
        <f aca="false">IF(J152="Válida",K152/B152,"")</f>
        <v/>
      </c>
      <c r="M152" s="23" t="str">
        <f aca="false">IF(J152="Válida",(F152+B152)/2,"")</f>
        <v/>
      </c>
      <c r="N152" s="24" t="str">
        <f aca="false">IF(K152="","",IF(OR(K152&gt;Resumo!$B$16,K152&lt;Resumo!$B$15),"Sim","Não"))</f>
        <v/>
      </c>
      <c r="O152" s="22" t="e">
        <f aca="false">IF(A152="",NA(),A152)</f>
        <v>#N/A</v>
      </c>
      <c r="P152" s="23" t="e">
        <f aca="false">IF(A152="",NA(),B152)</f>
        <v>#N/A</v>
      </c>
      <c r="Q152" s="23" t="e">
        <f aca="false">IF(F152="",NA(),F152)</f>
        <v>#N/A</v>
      </c>
      <c r="R152" s="23" t="e">
        <f aca="false">IF(K152="",NA(),K152)</f>
        <v>#N/A</v>
      </c>
      <c r="S152" s="23" t="e">
        <f aca="false">IF(M152="",NA(),M152)</f>
        <v>#N/A</v>
      </c>
      <c r="T152" s="23" t="str">
        <f aca="false">IF(J152="Válida",B152,"")</f>
        <v/>
      </c>
      <c r="U152" s="23" t="str">
        <f aca="false">IF(J152="Válida",F152,"")</f>
        <v/>
      </c>
    </row>
    <row r="153" customFormat="false" ht="15" hidden="false" customHeight="false" outlineLevel="0" collapsed="false">
      <c r="A153" s="22" t="str">
        <f aca="false">IF(MES!A153="","",MES!A153)</f>
        <v/>
      </c>
      <c r="B153" s="23" t="str">
        <f aca="false">IF(A153="","",MES!B153)</f>
        <v/>
      </c>
      <c r="C153" s="22" t="str">
        <f aca="false">IF(A153="","",A153+Parametros!$B$3/24)</f>
        <v/>
      </c>
      <c r="D153" s="22" t="str">
        <f aca="false">IF(A153="","",C153+Parametros!$B$2/24)</f>
        <v/>
      </c>
      <c r="E153" s="24" t="str">
        <f aca="false">IF(A153="","",COUNTIFS(Modulo!$A$2:$A$5001,"&gt;="&amp;C153,Modulo!$A$2:$A$5001,"&lt;"&amp;D153,Modulo!$D$2:$D$5001,Parametros!$B$7))</f>
        <v/>
      </c>
      <c r="F153" s="23" t="str">
        <f aca="false">IF(A153="","",IF(E153=0,"",AVERAGEIFS(Modulo!$B$2:$B$5001,Modulo!$A$2:$A$5001,"&gt;="&amp;C153,Modulo!$A$2:$A$5001,"&lt;"&amp;D153,Modulo!$D$2:$D$5001,Parametros!$B$7)))</f>
        <v/>
      </c>
      <c r="G153" s="23" t="str">
        <f aca="false">IF(A153="","",IF(E153=0,"",AVERAGEIFS(Modulo!$C$2:$C$5001,Modulo!$A$2:$A$5001,"&gt;="&amp;C153,Modulo!$A$2:$A$5001,"&lt;"&amp;D153,Modulo!$D$2:$D$5001,Parametros!$B$7)))</f>
        <v/>
      </c>
      <c r="H153" s="25" t="str">
        <f aca="false">IF(A153="","",IFERROR(COUNTIFS(Amostragem!$A$2:$A$15003,"&gt;="&amp;C153,Amostragem!$A$2:$A$15003,"&lt;"&amp;D153,Amostragem!$B$2:$B$15003,"Automático",Amostragem!$C$2:$C$15003,"Automático",Amostragem!$D$2:$D$15003,0)/COUNTIFS(Amostragem!$A$2:$A$15003,"&gt;="&amp;C153,Amostragem!$A$2:$A$15003,"&lt;"&amp;D153),0))</f>
        <v/>
      </c>
      <c r="I153" s="23" t="str">
        <f aca="false">IF(A153="","",IFERROR(AVERAGEIFS(Amostragem!$E$2:$E$15003,Amostragem!$A$2:$A$15003,"&gt;="&amp;C153,Amostragem!$A$2:$A$15003,"&lt;"&amp;D153),""))</f>
        <v/>
      </c>
      <c r="J153" s="24" t="str">
        <f aca="false">IF(A153="","",IF(B153="","Inválida: sem resultado MES",IF(E153&lt;Parametros!$B$4,"Inválida: poucos ensaios do módulo",IF(H153&lt;Parametros!$B$5,"Inválida: amostragem em manual ou em falha",IF(OR(I153="",I153&lt;Parametros!$B$6),"Inválida: usina parada ou baixa alimentação","Válida")))))</f>
        <v/>
      </c>
      <c r="K153" s="23" t="str">
        <f aca="false">IF(J153="Válida",F153-B153,"")</f>
        <v/>
      </c>
      <c r="L153" s="26" t="str">
        <f aca="false">IF(J153="Válida",K153/B153,"")</f>
        <v/>
      </c>
      <c r="M153" s="23" t="str">
        <f aca="false">IF(J153="Válida",(F153+B153)/2,"")</f>
        <v/>
      </c>
      <c r="N153" s="24" t="str">
        <f aca="false">IF(K153="","",IF(OR(K153&gt;Resumo!$B$16,K153&lt;Resumo!$B$15),"Sim","Não"))</f>
        <v/>
      </c>
      <c r="O153" s="22" t="e">
        <f aca="false">IF(A153="",NA(),A153)</f>
        <v>#N/A</v>
      </c>
      <c r="P153" s="23" t="e">
        <f aca="false">IF(A153="",NA(),B153)</f>
        <v>#N/A</v>
      </c>
      <c r="Q153" s="23" t="e">
        <f aca="false">IF(F153="",NA(),F153)</f>
        <v>#N/A</v>
      </c>
      <c r="R153" s="23" t="e">
        <f aca="false">IF(K153="",NA(),K153)</f>
        <v>#N/A</v>
      </c>
      <c r="S153" s="23" t="e">
        <f aca="false">IF(M153="",NA(),M153)</f>
        <v>#N/A</v>
      </c>
      <c r="T153" s="23" t="str">
        <f aca="false">IF(J153="Válida",B153,"")</f>
        <v/>
      </c>
      <c r="U153" s="23" t="str">
        <f aca="false">IF(J153="Válida",F153,"")</f>
        <v/>
      </c>
    </row>
    <row r="154" customFormat="false" ht="15" hidden="false" customHeight="false" outlineLevel="0" collapsed="false">
      <c r="A154" s="22" t="str">
        <f aca="false">IF(MES!A154="","",MES!A154)</f>
        <v/>
      </c>
      <c r="B154" s="23" t="str">
        <f aca="false">IF(A154="","",MES!B154)</f>
        <v/>
      </c>
      <c r="C154" s="22" t="str">
        <f aca="false">IF(A154="","",A154+Parametros!$B$3/24)</f>
        <v/>
      </c>
      <c r="D154" s="22" t="str">
        <f aca="false">IF(A154="","",C154+Parametros!$B$2/24)</f>
        <v/>
      </c>
      <c r="E154" s="24" t="str">
        <f aca="false">IF(A154="","",COUNTIFS(Modulo!$A$2:$A$5001,"&gt;="&amp;C154,Modulo!$A$2:$A$5001,"&lt;"&amp;D154,Modulo!$D$2:$D$5001,Parametros!$B$7))</f>
        <v/>
      </c>
      <c r="F154" s="23" t="str">
        <f aca="false">IF(A154="","",IF(E154=0,"",AVERAGEIFS(Modulo!$B$2:$B$5001,Modulo!$A$2:$A$5001,"&gt;="&amp;C154,Modulo!$A$2:$A$5001,"&lt;"&amp;D154,Modulo!$D$2:$D$5001,Parametros!$B$7)))</f>
        <v/>
      </c>
      <c r="G154" s="23" t="str">
        <f aca="false">IF(A154="","",IF(E154=0,"",AVERAGEIFS(Modulo!$C$2:$C$5001,Modulo!$A$2:$A$5001,"&gt;="&amp;C154,Modulo!$A$2:$A$5001,"&lt;"&amp;D154,Modulo!$D$2:$D$5001,Parametros!$B$7)))</f>
        <v/>
      </c>
      <c r="H154" s="25" t="str">
        <f aca="false">IF(A154="","",IFERROR(COUNTIFS(Amostragem!$A$2:$A$15003,"&gt;="&amp;C154,Amostragem!$A$2:$A$15003,"&lt;"&amp;D154,Amostragem!$B$2:$B$15003,"Automático",Amostragem!$C$2:$C$15003,"Automático",Amostragem!$D$2:$D$15003,0)/COUNTIFS(Amostragem!$A$2:$A$15003,"&gt;="&amp;C154,Amostragem!$A$2:$A$15003,"&lt;"&amp;D154),0))</f>
        <v/>
      </c>
      <c r="I154" s="23" t="str">
        <f aca="false">IF(A154="","",IFERROR(AVERAGEIFS(Amostragem!$E$2:$E$15003,Amostragem!$A$2:$A$15003,"&gt;="&amp;C154,Amostragem!$A$2:$A$15003,"&lt;"&amp;D154),""))</f>
        <v/>
      </c>
      <c r="J154" s="24" t="str">
        <f aca="false">IF(A154="","",IF(B154="","Inválida: sem resultado MES",IF(E154&lt;Parametros!$B$4,"Inválida: poucos ensaios do módulo",IF(H154&lt;Parametros!$B$5,"Inválida: amostragem em manual ou em falha",IF(OR(I154="",I154&lt;Parametros!$B$6),"Inválida: usina parada ou baixa alimentação","Válida")))))</f>
        <v/>
      </c>
      <c r="K154" s="23" t="str">
        <f aca="false">IF(J154="Válida",F154-B154,"")</f>
        <v/>
      </c>
      <c r="L154" s="26" t="str">
        <f aca="false">IF(J154="Válida",K154/B154,"")</f>
        <v/>
      </c>
      <c r="M154" s="23" t="str">
        <f aca="false">IF(J154="Válida",(F154+B154)/2,"")</f>
        <v/>
      </c>
      <c r="N154" s="24" t="str">
        <f aca="false">IF(K154="","",IF(OR(K154&gt;Resumo!$B$16,K154&lt;Resumo!$B$15),"Sim","Não"))</f>
        <v/>
      </c>
      <c r="O154" s="22" t="e">
        <f aca="false">IF(A154="",NA(),A154)</f>
        <v>#N/A</v>
      </c>
      <c r="P154" s="23" t="e">
        <f aca="false">IF(A154="",NA(),B154)</f>
        <v>#N/A</v>
      </c>
      <c r="Q154" s="23" t="e">
        <f aca="false">IF(F154="",NA(),F154)</f>
        <v>#N/A</v>
      </c>
      <c r="R154" s="23" t="e">
        <f aca="false">IF(K154="",NA(),K154)</f>
        <v>#N/A</v>
      </c>
      <c r="S154" s="23" t="e">
        <f aca="false">IF(M154="",NA(),M154)</f>
        <v>#N/A</v>
      </c>
      <c r="T154" s="23" t="str">
        <f aca="false">IF(J154="Válida",B154,"")</f>
        <v/>
      </c>
      <c r="U154" s="23" t="str">
        <f aca="false">IF(J154="Válida",F154,"")</f>
        <v/>
      </c>
    </row>
    <row r="155" customFormat="false" ht="15" hidden="false" customHeight="false" outlineLevel="0" collapsed="false">
      <c r="A155" s="22" t="str">
        <f aca="false">IF(MES!A155="","",MES!A155)</f>
        <v/>
      </c>
      <c r="B155" s="23" t="str">
        <f aca="false">IF(A155="","",MES!B155)</f>
        <v/>
      </c>
      <c r="C155" s="22" t="str">
        <f aca="false">IF(A155="","",A155+Parametros!$B$3/24)</f>
        <v/>
      </c>
      <c r="D155" s="22" t="str">
        <f aca="false">IF(A155="","",C155+Parametros!$B$2/24)</f>
        <v/>
      </c>
      <c r="E155" s="24" t="str">
        <f aca="false">IF(A155="","",COUNTIFS(Modulo!$A$2:$A$5001,"&gt;="&amp;C155,Modulo!$A$2:$A$5001,"&lt;"&amp;D155,Modulo!$D$2:$D$5001,Parametros!$B$7))</f>
        <v/>
      </c>
      <c r="F155" s="23" t="str">
        <f aca="false">IF(A155="","",IF(E155=0,"",AVERAGEIFS(Modulo!$B$2:$B$5001,Modulo!$A$2:$A$5001,"&gt;="&amp;C155,Modulo!$A$2:$A$5001,"&lt;"&amp;D155,Modulo!$D$2:$D$5001,Parametros!$B$7)))</f>
        <v/>
      </c>
      <c r="G155" s="23" t="str">
        <f aca="false">IF(A155="","",IF(E155=0,"",AVERAGEIFS(Modulo!$C$2:$C$5001,Modulo!$A$2:$A$5001,"&gt;="&amp;C155,Modulo!$A$2:$A$5001,"&lt;"&amp;D155,Modulo!$D$2:$D$5001,Parametros!$B$7)))</f>
        <v/>
      </c>
      <c r="H155" s="25" t="str">
        <f aca="false">IF(A155="","",IFERROR(COUNTIFS(Amostragem!$A$2:$A$15003,"&gt;="&amp;C155,Amostragem!$A$2:$A$15003,"&lt;"&amp;D155,Amostragem!$B$2:$B$15003,"Automático",Amostragem!$C$2:$C$15003,"Automático",Amostragem!$D$2:$D$15003,0)/COUNTIFS(Amostragem!$A$2:$A$15003,"&gt;="&amp;C155,Amostragem!$A$2:$A$15003,"&lt;"&amp;D155),0))</f>
        <v/>
      </c>
      <c r="I155" s="23" t="str">
        <f aca="false">IF(A155="","",IFERROR(AVERAGEIFS(Amostragem!$E$2:$E$15003,Amostragem!$A$2:$A$15003,"&gt;="&amp;C155,Amostragem!$A$2:$A$15003,"&lt;"&amp;D155),""))</f>
        <v/>
      </c>
      <c r="J155" s="24" t="str">
        <f aca="false">IF(A155="","",IF(B155="","Inválida: sem resultado MES",IF(E155&lt;Parametros!$B$4,"Inválida: poucos ensaios do módulo",IF(H155&lt;Parametros!$B$5,"Inválida: amostragem em manual ou em falha",IF(OR(I155="",I155&lt;Parametros!$B$6),"Inválida: usina parada ou baixa alimentação","Válida")))))</f>
        <v/>
      </c>
      <c r="K155" s="23" t="str">
        <f aca="false">IF(J155="Válida",F155-B155,"")</f>
        <v/>
      </c>
      <c r="L155" s="26" t="str">
        <f aca="false">IF(J155="Válida",K155/B155,"")</f>
        <v/>
      </c>
      <c r="M155" s="23" t="str">
        <f aca="false">IF(J155="Válida",(F155+B155)/2,"")</f>
        <v/>
      </c>
      <c r="N155" s="24" t="str">
        <f aca="false">IF(K155="","",IF(OR(K155&gt;Resumo!$B$16,K155&lt;Resumo!$B$15),"Sim","Não"))</f>
        <v/>
      </c>
      <c r="O155" s="22" t="e">
        <f aca="false">IF(A155="",NA(),A155)</f>
        <v>#N/A</v>
      </c>
      <c r="P155" s="23" t="e">
        <f aca="false">IF(A155="",NA(),B155)</f>
        <v>#N/A</v>
      </c>
      <c r="Q155" s="23" t="e">
        <f aca="false">IF(F155="",NA(),F155)</f>
        <v>#N/A</v>
      </c>
      <c r="R155" s="23" t="e">
        <f aca="false">IF(K155="",NA(),K155)</f>
        <v>#N/A</v>
      </c>
      <c r="S155" s="23" t="e">
        <f aca="false">IF(M155="",NA(),M155)</f>
        <v>#N/A</v>
      </c>
      <c r="T155" s="23" t="str">
        <f aca="false">IF(J155="Válida",B155,"")</f>
        <v/>
      </c>
      <c r="U155" s="23" t="str">
        <f aca="false">IF(J155="Válida",F155,"")</f>
        <v/>
      </c>
    </row>
    <row r="156" customFormat="false" ht="15" hidden="false" customHeight="false" outlineLevel="0" collapsed="false">
      <c r="A156" s="22" t="str">
        <f aca="false">IF(MES!A156="","",MES!A156)</f>
        <v/>
      </c>
      <c r="B156" s="23" t="str">
        <f aca="false">IF(A156="","",MES!B156)</f>
        <v/>
      </c>
      <c r="C156" s="22" t="str">
        <f aca="false">IF(A156="","",A156+Parametros!$B$3/24)</f>
        <v/>
      </c>
      <c r="D156" s="22" t="str">
        <f aca="false">IF(A156="","",C156+Parametros!$B$2/24)</f>
        <v/>
      </c>
      <c r="E156" s="24" t="str">
        <f aca="false">IF(A156="","",COUNTIFS(Modulo!$A$2:$A$5001,"&gt;="&amp;C156,Modulo!$A$2:$A$5001,"&lt;"&amp;D156,Modulo!$D$2:$D$5001,Parametros!$B$7))</f>
        <v/>
      </c>
      <c r="F156" s="23" t="str">
        <f aca="false">IF(A156="","",IF(E156=0,"",AVERAGEIFS(Modulo!$B$2:$B$5001,Modulo!$A$2:$A$5001,"&gt;="&amp;C156,Modulo!$A$2:$A$5001,"&lt;"&amp;D156,Modulo!$D$2:$D$5001,Parametros!$B$7)))</f>
        <v/>
      </c>
      <c r="G156" s="23" t="str">
        <f aca="false">IF(A156="","",IF(E156=0,"",AVERAGEIFS(Modulo!$C$2:$C$5001,Modulo!$A$2:$A$5001,"&gt;="&amp;C156,Modulo!$A$2:$A$5001,"&lt;"&amp;D156,Modulo!$D$2:$D$5001,Parametros!$B$7)))</f>
        <v/>
      </c>
      <c r="H156" s="25" t="str">
        <f aca="false">IF(A156="","",IFERROR(COUNTIFS(Amostragem!$A$2:$A$15003,"&gt;="&amp;C156,Amostragem!$A$2:$A$15003,"&lt;"&amp;D156,Amostragem!$B$2:$B$15003,"Automático",Amostragem!$C$2:$C$15003,"Automático",Amostragem!$D$2:$D$15003,0)/COUNTIFS(Amostragem!$A$2:$A$15003,"&gt;="&amp;C156,Amostragem!$A$2:$A$15003,"&lt;"&amp;D156),0))</f>
        <v/>
      </c>
      <c r="I156" s="23" t="str">
        <f aca="false">IF(A156="","",IFERROR(AVERAGEIFS(Amostragem!$E$2:$E$15003,Amostragem!$A$2:$A$15003,"&gt;="&amp;C156,Amostragem!$A$2:$A$15003,"&lt;"&amp;D156),""))</f>
        <v/>
      </c>
      <c r="J156" s="24" t="str">
        <f aca="false">IF(A156="","",IF(B156="","Inválida: sem resultado MES",IF(E156&lt;Parametros!$B$4,"Inválida: poucos ensaios do módulo",IF(H156&lt;Parametros!$B$5,"Inválida: amostragem em manual ou em falha",IF(OR(I156="",I156&lt;Parametros!$B$6),"Inválida: usina parada ou baixa alimentação","Válida")))))</f>
        <v/>
      </c>
      <c r="K156" s="23" t="str">
        <f aca="false">IF(J156="Válida",F156-B156,"")</f>
        <v/>
      </c>
      <c r="L156" s="26" t="str">
        <f aca="false">IF(J156="Válida",K156/B156,"")</f>
        <v/>
      </c>
      <c r="M156" s="23" t="str">
        <f aca="false">IF(J156="Válida",(F156+B156)/2,"")</f>
        <v/>
      </c>
      <c r="N156" s="24" t="str">
        <f aca="false">IF(K156="","",IF(OR(K156&gt;Resumo!$B$16,K156&lt;Resumo!$B$15),"Sim","Não"))</f>
        <v/>
      </c>
      <c r="O156" s="22" t="e">
        <f aca="false">IF(A156="",NA(),A156)</f>
        <v>#N/A</v>
      </c>
      <c r="P156" s="23" t="e">
        <f aca="false">IF(A156="",NA(),B156)</f>
        <v>#N/A</v>
      </c>
      <c r="Q156" s="23" t="e">
        <f aca="false">IF(F156="",NA(),F156)</f>
        <v>#N/A</v>
      </c>
      <c r="R156" s="23" t="e">
        <f aca="false">IF(K156="",NA(),K156)</f>
        <v>#N/A</v>
      </c>
      <c r="S156" s="23" t="e">
        <f aca="false">IF(M156="",NA(),M156)</f>
        <v>#N/A</v>
      </c>
      <c r="T156" s="23" t="str">
        <f aca="false">IF(J156="Válida",B156,"")</f>
        <v/>
      </c>
      <c r="U156" s="23" t="str">
        <f aca="false">IF(J156="Válida",F156,"")</f>
        <v/>
      </c>
    </row>
    <row r="157" customFormat="false" ht="15" hidden="false" customHeight="false" outlineLevel="0" collapsed="false">
      <c r="A157" s="22" t="str">
        <f aca="false">IF(MES!A157="","",MES!A157)</f>
        <v/>
      </c>
      <c r="B157" s="23" t="str">
        <f aca="false">IF(A157="","",MES!B157)</f>
        <v/>
      </c>
      <c r="C157" s="22" t="str">
        <f aca="false">IF(A157="","",A157+Parametros!$B$3/24)</f>
        <v/>
      </c>
      <c r="D157" s="22" t="str">
        <f aca="false">IF(A157="","",C157+Parametros!$B$2/24)</f>
        <v/>
      </c>
      <c r="E157" s="24" t="str">
        <f aca="false">IF(A157="","",COUNTIFS(Modulo!$A$2:$A$5001,"&gt;="&amp;C157,Modulo!$A$2:$A$5001,"&lt;"&amp;D157,Modulo!$D$2:$D$5001,Parametros!$B$7))</f>
        <v/>
      </c>
      <c r="F157" s="23" t="str">
        <f aca="false">IF(A157="","",IF(E157=0,"",AVERAGEIFS(Modulo!$B$2:$B$5001,Modulo!$A$2:$A$5001,"&gt;="&amp;C157,Modulo!$A$2:$A$5001,"&lt;"&amp;D157,Modulo!$D$2:$D$5001,Parametros!$B$7)))</f>
        <v/>
      </c>
      <c r="G157" s="23" t="str">
        <f aca="false">IF(A157="","",IF(E157=0,"",AVERAGEIFS(Modulo!$C$2:$C$5001,Modulo!$A$2:$A$5001,"&gt;="&amp;C157,Modulo!$A$2:$A$5001,"&lt;"&amp;D157,Modulo!$D$2:$D$5001,Parametros!$B$7)))</f>
        <v/>
      </c>
      <c r="H157" s="25" t="str">
        <f aca="false">IF(A157="","",IFERROR(COUNTIFS(Amostragem!$A$2:$A$15003,"&gt;="&amp;C157,Amostragem!$A$2:$A$15003,"&lt;"&amp;D157,Amostragem!$B$2:$B$15003,"Automático",Amostragem!$C$2:$C$15003,"Automático",Amostragem!$D$2:$D$15003,0)/COUNTIFS(Amostragem!$A$2:$A$15003,"&gt;="&amp;C157,Amostragem!$A$2:$A$15003,"&lt;"&amp;D157),0))</f>
        <v/>
      </c>
      <c r="I157" s="23" t="str">
        <f aca="false">IF(A157="","",IFERROR(AVERAGEIFS(Amostragem!$E$2:$E$15003,Amostragem!$A$2:$A$15003,"&gt;="&amp;C157,Amostragem!$A$2:$A$15003,"&lt;"&amp;D157),""))</f>
        <v/>
      </c>
      <c r="J157" s="24" t="str">
        <f aca="false">IF(A157="","",IF(B157="","Inválida: sem resultado MES",IF(E157&lt;Parametros!$B$4,"Inválida: poucos ensaios do módulo",IF(H157&lt;Parametros!$B$5,"Inválida: amostragem em manual ou em falha",IF(OR(I157="",I157&lt;Parametros!$B$6),"Inválida: usina parada ou baixa alimentação","Válida")))))</f>
        <v/>
      </c>
      <c r="K157" s="23" t="str">
        <f aca="false">IF(J157="Válida",F157-B157,"")</f>
        <v/>
      </c>
      <c r="L157" s="26" t="str">
        <f aca="false">IF(J157="Válida",K157/B157,"")</f>
        <v/>
      </c>
      <c r="M157" s="23" t="str">
        <f aca="false">IF(J157="Válida",(F157+B157)/2,"")</f>
        <v/>
      </c>
      <c r="N157" s="24" t="str">
        <f aca="false">IF(K157="","",IF(OR(K157&gt;Resumo!$B$16,K157&lt;Resumo!$B$15),"Sim","Não"))</f>
        <v/>
      </c>
      <c r="O157" s="22" t="e">
        <f aca="false">IF(A157="",NA(),A157)</f>
        <v>#N/A</v>
      </c>
      <c r="P157" s="23" t="e">
        <f aca="false">IF(A157="",NA(),B157)</f>
        <v>#N/A</v>
      </c>
      <c r="Q157" s="23" t="e">
        <f aca="false">IF(F157="",NA(),F157)</f>
        <v>#N/A</v>
      </c>
      <c r="R157" s="23" t="e">
        <f aca="false">IF(K157="",NA(),K157)</f>
        <v>#N/A</v>
      </c>
      <c r="S157" s="23" t="e">
        <f aca="false">IF(M157="",NA(),M157)</f>
        <v>#N/A</v>
      </c>
      <c r="T157" s="23" t="str">
        <f aca="false">IF(J157="Válida",B157,"")</f>
        <v/>
      </c>
      <c r="U157" s="23" t="str">
        <f aca="false">IF(J157="Válida",F157,"")</f>
        <v/>
      </c>
    </row>
    <row r="158" customFormat="false" ht="15" hidden="false" customHeight="false" outlineLevel="0" collapsed="false">
      <c r="A158" s="22" t="str">
        <f aca="false">IF(MES!A158="","",MES!A158)</f>
        <v/>
      </c>
      <c r="B158" s="23" t="str">
        <f aca="false">IF(A158="","",MES!B158)</f>
        <v/>
      </c>
      <c r="C158" s="22" t="str">
        <f aca="false">IF(A158="","",A158+Parametros!$B$3/24)</f>
        <v/>
      </c>
      <c r="D158" s="22" t="str">
        <f aca="false">IF(A158="","",C158+Parametros!$B$2/24)</f>
        <v/>
      </c>
      <c r="E158" s="24" t="str">
        <f aca="false">IF(A158="","",COUNTIFS(Modulo!$A$2:$A$5001,"&gt;="&amp;C158,Modulo!$A$2:$A$5001,"&lt;"&amp;D158,Modulo!$D$2:$D$5001,Parametros!$B$7))</f>
        <v/>
      </c>
      <c r="F158" s="23" t="str">
        <f aca="false">IF(A158="","",IF(E158=0,"",AVERAGEIFS(Modulo!$B$2:$B$5001,Modulo!$A$2:$A$5001,"&gt;="&amp;C158,Modulo!$A$2:$A$5001,"&lt;"&amp;D158,Modulo!$D$2:$D$5001,Parametros!$B$7)))</f>
        <v/>
      </c>
      <c r="G158" s="23" t="str">
        <f aca="false">IF(A158="","",IF(E158=0,"",AVERAGEIFS(Modulo!$C$2:$C$5001,Modulo!$A$2:$A$5001,"&gt;="&amp;C158,Modulo!$A$2:$A$5001,"&lt;"&amp;D158,Modulo!$D$2:$D$5001,Parametros!$B$7)))</f>
        <v/>
      </c>
      <c r="H158" s="25" t="str">
        <f aca="false">IF(A158="","",IFERROR(COUNTIFS(Amostragem!$A$2:$A$15003,"&gt;="&amp;C158,Amostragem!$A$2:$A$15003,"&lt;"&amp;D158,Amostragem!$B$2:$B$15003,"Automático",Amostragem!$C$2:$C$15003,"Automático",Amostragem!$D$2:$D$15003,0)/COUNTIFS(Amostragem!$A$2:$A$15003,"&gt;="&amp;C158,Amostragem!$A$2:$A$15003,"&lt;"&amp;D158),0))</f>
        <v/>
      </c>
      <c r="I158" s="23" t="str">
        <f aca="false">IF(A158="","",IFERROR(AVERAGEIFS(Amostragem!$E$2:$E$15003,Amostragem!$A$2:$A$15003,"&gt;="&amp;C158,Amostragem!$A$2:$A$15003,"&lt;"&amp;D158),""))</f>
        <v/>
      </c>
      <c r="J158" s="24" t="str">
        <f aca="false">IF(A158="","",IF(B158="","Inválida: sem resultado MES",IF(E158&lt;Parametros!$B$4,"Inválida: poucos ensaios do módulo",IF(H158&lt;Parametros!$B$5,"Inválida: amostragem em manual ou em falha",IF(OR(I158="",I158&lt;Parametros!$B$6),"Inválida: usina parada ou baixa alimentação","Válida")))))</f>
        <v/>
      </c>
      <c r="K158" s="23" t="str">
        <f aca="false">IF(J158="Válida",F158-B158,"")</f>
        <v/>
      </c>
      <c r="L158" s="26" t="str">
        <f aca="false">IF(J158="Válida",K158/B158,"")</f>
        <v/>
      </c>
      <c r="M158" s="23" t="str">
        <f aca="false">IF(J158="Válida",(F158+B158)/2,"")</f>
        <v/>
      </c>
      <c r="N158" s="24" t="str">
        <f aca="false">IF(K158="","",IF(OR(K158&gt;Resumo!$B$16,K158&lt;Resumo!$B$15),"Sim","Não"))</f>
        <v/>
      </c>
      <c r="O158" s="22" t="e">
        <f aca="false">IF(A158="",NA(),A158)</f>
        <v>#N/A</v>
      </c>
      <c r="P158" s="23" t="e">
        <f aca="false">IF(A158="",NA(),B158)</f>
        <v>#N/A</v>
      </c>
      <c r="Q158" s="23" t="e">
        <f aca="false">IF(F158="",NA(),F158)</f>
        <v>#N/A</v>
      </c>
      <c r="R158" s="23" t="e">
        <f aca="false">IF(K158="",NA(),K158)</f>
        <v>#N/A</v>
      </c>
      <c r="S158" s="23" t="e">
        <f aca="false">IF(M158="",NA(),M158)</f>
        <v>#N/A</v>
      </c>
      <c r="T158" s="23" t="str">
        <f aca="false">IF(J158="Válida",B158,"")</f>
        <v/>
      </c>
      <c r="U158" s="23" t="str">
        <f aca="false">IF(J158="Válida",F158,"")</f>
        <v/>
      </c>
    </row>
    <row r="159" customFormat="false" ht="15" hidden="false" customHeight="false" outlineLevel="0" collapsed="false">
      <c r="A159" s="22" t="str">
        <f aca="false">IF(MES!A159="","",MES!A159)</f>
        <v/>
      </c>
      <c r="B159" s="23" t="str">
        <f aca="false">IF(A159="","",MES!B159)</f>
        <v/>
      </c>
      <c r="C159" s="22" t="str">
        <f aca="false">IF(A159="","",A159+Parametros!$B$3/24)</f>
        <v/>
      </c>
      <c r="D159" s="22" t="str">
        <f aca="false">IF(A159="","",C159+Parametros!$B$2/24)</f>
        <v/>
      </c>
      <c r="E159" s="24" t="str">
        <f aca="false">IF(A159="","",COUNTIFS(Modulo!$A$2:$A$5001,"&gt;="&amp;C159,Modulo!$A$2:$A$5001,"&lt;"&amp;D159,Modulo!$D$2:$D$5001,Parametros!$B$7))</f>
        <v/>
      </c>
      <c r="F159" s="23" t="str">
        <f aca="false">IF(A159="","",IF(E159=0,"",AVERAGEIFS(Modulo!$B$2:$B$5001,Modulo!$A$2:$A$5001,"&gt;="&amp;C159,Modulo!$A$2:$A$5001,"&lt;"&amp;D159,Modulo!$D$2:$D$5001,Parametros!$B$7)))</f>
        <v/>
      </c>
      <c r="G159" s="23" t="str">
        <f aca="false">IF(A159="","",IF(E159=0,"",AVERAGEIFS(Modulo!$C$2:$C$5001,Modulo!$A$2:$A$5001,"&gt;="&amp;C159,Modulo!$A$2:$A$5001,"&lt;"&amp;D159,Modulo!$D$2:$D$5001,Parametros!$B$7)))</f>
        <v/>
      </c>
      <c r="H159" s="25" t="str">
        <f aca="false">IF(A159="","",IFERROR(COUNTIFS(Amostragem!$A$2:$A$15003,"&gt;="&amp;C159,Amostragem!$A$2:$A$15003,"&lt;"&amp;D159,Amostragem!$B$2:$B$15003,"Automático",Amostragem!$C$2:$C$15003,"Automático",Amostragem!$D$2:$D$15003,0)/COUNTIFS(Amostragem!$A$2:$A$15003,"&gt;="&amp;C159,Amostragem!$A$2:$A$15003,"&lt;"&amp;D159),0))</f>
        <v/>
      </c>
      <c r="I159" s="23" t="str">
        <f aca="false">IF(A159="","",IFERROR(AVERAGEIFS(Amostragem!$E$2:$E$15003,Amostragem!$A$2:$A$15003,"&gt;="&amp;C159,Amostragem!$A$2:$A$15003,"&lt;"&amp;D159),""))</f>
        <v/>
      </c>
      <c r="J159" s="24" t="str">
        <f aca="false">IF(A159="","",IF(B159="","Inválida: sem resultado MES",IF(E159&lt;Parametros!$B$4,"Inválida: poucos ensaios do módulo",IF(H159&lt;Parametros!$B$5,"Inválida: amostragem em manual ou em falha",IF(OR(I159="",I159&lt;Parametros!$B$6),"Inválida: usina parada ou baixa alimentação","Válida")))))</f>
        <v/>
      </c>
      <c r="K159" s="23" t="str">
        <f aca="false">IF(J159="Válida",F159-B159,"")</f>
        <v/>
      </c>
      <c r="L159" s="26" t="str">
        <f aca="false">IF(J159="Válida",K159/B159,"")</f>
        <v/>
      </c>
      <c r="M159" s="23" t="str">
        <f aca="false">IF(J159="Válida",(F159+B159)/2,"")</f>
        <v/>
      </c>
      <c r="N159" s="24" t="str">
        <f aca="false">IF(K159="","",IF(OR(K159&gt;Resumo!$B$16,K159&lt;Resumo!$B$15),"Sim","Não"))</f>
        <v/>
      </c>
      <c r="O159" s="22" t="e">
        <f aca="false">IF(A159="",NA(),A159)</f>
        <v>#N/A</v>
      </c>
      <c r="P159" s="23" t="e">
        <f aca="false">IF(A159="",NA(),B159)</f>
        <v>#N/A</v>
      </c>
      <c r="Q159" s="23" t="e">
        <f aca="false">IF(F159="",NA(),F159)</f>
        <v>#N/A</v>
      </c>
      <c r="R159" s="23" t="e">
        <f aca="false">IF(K159="",NA(),K159)</f>
        <v>#N/A</v>
      </c>
      <c r="S159" s="23" t="e">
        <f aca="false">IF(M159="",NA(),M159)</f>
        <v>#N/A</v>
      </c>
      <c r="T159" s="23" t="str">
        <f aca="false">IF(J159="Válida",B159,"")</f>
        <v/>
      </c>
      <c r="U159" s="23" t="str">
        <f aca="false">IF(J159="Válida",F159,"")</f>
        <v/>
      </c>
    </row>
    <row r="160" customFormat="false" ht="15" hidden="false" customHeight="false" outlineLevel="0" collapsed="false">
      <c r="A160" s="22" t="str">
        <f aca="false">IF(MES!A160="","",MES!A160)</f>
        <v/>
      </c>
      <c r="B160" s="23" t="str">
        <f aca="false">IF(A160="","",MES!B160)</f>
        <v/>
      </c>
      <c r="C160" s="22" t="str">
        <f aca="false">IF(A160="","",A160+Parametros!$B$3/24)</f>
        <v/>
      </c>
      <c r="D160" s="22" t="str">
        <f aca="false">IF(A160="","",C160+Parametros!$B$2/24)</f>
        <v/>
      </c>
      <c r="E160" s="24" t="str">
        <f aca="false">IF(A160="","",COUNTIFS(Modulo!$A$2:$A$5001,"&gt;="&amp;C160,Modulo!$A$2:$A$5001,"&lt;"&amp;D160,Modulo!$D$2:$D$5001,Parametros!$B$7))</f>
        <v/>
      </c>
      <c r="F160" s="23" t="str">
        <f aca="false">IF(A160="","",IF(E160=0,"",AVERAGEIFS(Modulo!$B$2:$B$5001,Modulo!$A$2:$A$5001,"&gt;="&amp;C160,Modulo!$A$2:$A$5001,"&lt;"&amp;D160,Modulo!$D$2:$D$5001,Parametros!$B$7)))</f>
        <v/>
      </c>
      <c r="G160" s="23" t="str">
        <f aca="false">IF(A160="","",IF(E160=0,"",AVERAGEIFS(Modulo!$C$2:$C$5001,Modulo!$A$2:$A$5001,"&gt;="&amp;C160,Modulo!$A$2:$A$5001,"&lt;"&amp;D160,Modulo!$D$2:$D$5001,Parametros!$B$7)))</f>
        <v/>
      </c>
      <c r="H160" s="25" t="str">
        <f aca="false">IF(A160="","",IFERROR(COUNTIFS(Amostragem!$A$2:$A$15003,"&gt;="&amp;C160,Amostragem!$A$2:$A$15003,"&lt;"&amp;D160,Amostragem!$B$2:$B$15003,"Automático",Amostragem!$C$2:$C$15003,"Automático",Amostragem!$D$2:$D$15003,0)/COUNTIFS(Amostragem!$A$2:$A$15003,"&gt;="&amp;C160,Amostragem!$A$2:$A$15003,"&lt;"&amp;D160),0))</f>
        <v/>
      </c>
      <c r="I160" s="23" t="str">
        <f aca="false">IF(A160="","",IFERROR(AVERAGEIFS(Amostragem!$E$2:$E$15003,Amostragem!$A$2:$A$15003,"&gt;="&amp;C160,Amostragem!$A$2:$A$15003,"&lt;"&amp;D160),""))</f>
        <v/>
      </c>
      <c r="J160" s="24" t="str">
        <f aca="false">IF(A160="","",IF(B160="","Inválida: sem resultado MES",IF(E160&lt;Parametros!$B$4,"Inválida: poucos ensaios do módulo",IF(H160&lt;Parametros!$B$5,"Inválida: amostragem em manual ou em falha",IF(OR(I160="",I160&lt;Parametros!$B$6),"Inválida: usina parada ou baixa alimentação","Válida")))))</f>
        <v/>
      </c>
      <c r="K160" s="23" t="str">
        <f aca="false">IF(J160="Válida",F160-B160,"")</f>
        <v/>
      </c>
      <c r="L160" s="26" t="str">
        <f aca="false">IF(J160="Válida",K160/B160,"")</f>
        <v/>
      </c>
      <c r="M160" s="23" t="str">
        <f aca="false">IF(J160="Válida",(F160+B160)/2,"")</f>
        <v/>
      </c>
      <c r="N160" s="24" t="str">
        <f aca="false">IF(K160="","",IF(OR(K160&gt;Resumo!$B$16,K160&lt;Resumo!$B$15),"Sim","Não"))</f>
        <v/>
      </c>
      <c r="O160" s="22" t="e">
        <f aca="false">IF(A160="",NA(),A160)</f>
        <v>#N/A</v>
      </c>
      <c r="P160" s="23" t="e">
        <f aca="false">IF(A160="",NA(),B160)</f>
        <v>#N/A</v>
      </c>
      <c r="Q160" s="23" t="e">
        <f aca="false">IF(F160="",NA(),F160)</f>
        <v>#N/A</v>
      </c>
      <c r="R160" s="23" t="e">
        <f aca="false">IF(K160="",NA(),K160)</f>
        <v>#N/A</v>
      </c>
      <c r="S160" s="23" t="e">
        <f aca="false">IF(M160="",NA(),M160)</f>
        <v>#N/A</v>
      </c>
      <c r="T160" s="23" t="str">
        <f aca="false">IF(J160="Válida",B160,"")</f>
        <v/>
      </c>
      <c r="U160" s="23" t="str">
        <f aca="false">IF(J160="Válida",F160,"")</f>
        <v/>
      </c>
    </row>
    <row r="161" customFormat="false" ht="15" hidden="false" customHeight="false" outlineLevel="0" collapsed="false">
      <c r="A161" s="22" t="str">
        <f aca="false">IF(MES!A161="","",MES!A161)</f>
        <v/>
      </c>
      <c r="B161" s="23" t="str">
        <f aca="false">IF(A161="","",MES!B161)</f>
        <v/>
      </c>
      <c r="C161" s="22" t="str">
        <f aca="false">IF(A161="","",A161+Parametros!$B$3/24)</f>
        <v/>
      </c>
      <c r="D161" s="22" t="str">
        <f aca="false">IF(A161="","",C161+Parametros!$B$2/24)</f>
        <v/>
      </c>
      <c r="E161" s="24" t="str">
        <f aca="false">IF(A161="","",COUNTIFS(Modulo!$A$2:$A$5001,"&gt;="&amp;C161,Modulo!$A$2:$A$5001,"&lt;"&amp;D161,Modulo!$D$2:$D$5001,Parametros!$B$7))</f>
        <v/>
      </c>
      <c r="F161" s="23" t="str">
        <f aca="false">IF(A161="","",IF(E161=0,"",AVERAGEIFS(Modulo!$B$2:$B$5001,Modulo!$A$2:$A$5001,"&gt;="&amp;C161,Modulo!$A$2:$A$5001,"&lt;"&amp;D161,Modulo!$D$2:$D$5001,Parametros!$B$7)))</f>
        <v/>
      </c>
      <c r="G161" s="23" t="str">
        <f aca="false">IF(A161="","",IF(E161=0,"",AVERAGEIFS(Modulo!$C$2:$C$5001,Modulo!$A$2:$A$5001,"&gt;="&amp;C161,Modulo!$A$2:$A$5001,"&lt;"&amp;D161,Modulo!$D$2:$D$5001,Parametros!$B$7)))</f>
        <v/>
      </c>
      <c r="H161" s="25" t="str">
        <f aca="false">IF(A161="","",IFERROR(COUNTIFS(Amostragem!$A$2:$A$15003,"&gt;="&amp;C161,Amostragem!$A$2:$A$15003,"&lt;"&amp;D161,Amostragem!$B$2:$B$15003,"Automático",Amostragem!$C$2:$C$15003,"Automático",Amostragem!$D$2:$D$15003,0)/COUNTIFS(Amostragem!$A$2:$A$15003,"&gt;="&amp;C161,Amostragem!$A$2:$A$15003,"&lt;"&amp;D161),0))</f>
        <v/>
      </c>
      <c r="I161" s="23" t="str">
        <f aca="false">IF(A161="","",IFERROR(AVERAGEIFS(Amostragem!$E$2:$E$15003,Amostragem!$A$2:$A$15003,"&gt;="&amp;C161,Amostragem!$A$2:$A$15003,"&lt;"&amp;D161),""))</f>
        <v/>
      </c>
      <c r="J161" s="24" t="str">
        <f aca="false">IF(A161="","",IF(B161="","Inválida: sem resultado MES",IF(E161&lt;Parametros!$B$4,"Inválida: poucos ensaios do módulo",IF(H161&lt;Parametros!$B$5,"Inválida: amostragem em manual ou em falha",IF(OR(I161="",I161&lt;Parametros!$B$6),"Inválida: usina parada ou baixa alimentação","Válida")))))</f>
        <v/>
      </c>
      <c r="K161" s="23" t="str">
        <f aca="false">IF(J161="Válida",F161-B161,"")</f>
        <v/>
      </c>
      <c r="L161" s="26" t="str">
        <f aca="false">IF(J161="Válida",K161/B161,"")</f>
        <v/>
      </c>
      <c r="M161" s="23" t="str">
        <f aca="false">IF(J161="Válida",(F161+B161)/2,"")</f>
        <v/>
      </c>
      <c r="N161" s="24" t="str">
        <f aca="false">IF(K161="","",IF(OR(K161&gt;Resumo!$B$16,K161&lt;Resumo!$B$15),"Sim","Não"))</f>
        <v/>
      </c>
      <c r="O161" s="22" t="e">
        <f aca="false">IF(A161="",NA(),A161)</f>
        <v>#N/A</v>
      </c>
      <c r="P161" s="23" t="e">
        <f aca="false">IF(A161="",NA(),B161)</f>
        <v>#N/A</v>
      </c>
      <c r="Q161" s="23" t="e">
        <f aca="false">IF(F161="",NA(),F161)</f>
        <v>#N/A</v>
      </c>
      <c r="R161" s="23" t="e">
        <f aca="false">IF(K161="",NA(),K161)</f>
        <v>#N/A</v>
      </c>
      <c r="S161" s="23" t="e">
        <f aca="false">IF(M161="",NA(),M161)</f>
        <v>#N/A</v>
      </c>
      <c r="T161" s="23" t="str">
        <f aca="false">IF(J161="Válida",B161,"")</f>
        <v/>
      </c>
      <c r="U161" s="23" t="str">
        <f aca="false">IF(J161="Válida",F161,"")</f>
        <v/>
      </c>
    </row>
    <row r="162" customFormat="false" ht="15" hidden="false" customHeight="false" outlineLevel="0" collapsed="false">
      <c r="A162" s="22" t="str">
        <f aca="false">IF(MES!A162="","",MES!A162)</f>
        <v/>
      </c>
      <c r="B162" s="23" t="str">
        <f aca="false">IF(A162="","",MES!B162)</f>
        <v/>
      </c>
      <c r="C162" s="22" t="str">
        <f aca="false">IF(A162="","",A162+Parametros!$B$3/24)</f>
        <v/>
      </c>
      <c r="D162" s="22" t="str">
        <f aca="false">IF(A162="","",C162+Parametros!$B$2/24)</f>
        <v/>
      </c>
      <c r="E162" s="24" t="str">
        <f aca="false">IF(A162="","",COUNTIFS(Modulo!$A$2:$A$5001,"&gt;="&amp;C162,Modulo!$A$2:$A$5001,"&lt;"&amp;D162,Modulo!$D$2:$D$5001,Parametros!$B$7))</f>
        <v/>
      </c>
      <c r="F162" s="23" t="str">
        <f aca="false">IF(A162="","",IF(E162=0,"",AVERAGEIFS(Modulo!$B$2:$B$5001,Modulo!$A$2:$A$5001,"&gt;="&amp;C162,Modulo!$A$2:$A$5001,"&lt;"&amp;D162,Modulo!$D$2:$D$5001,Parametros!$B$7)))</f>
        <v/>
      </c>
      <c r="G162" s="23" t="str">
        <f aca="false">IF(A162="","",IF(E162=0,"",AVERAGEIFS(Modulo!$C$2:$C$5001,Modulo!$A$2:$A$5001,"&gt;="&amp;C162,Modulo!$A$2:$A$5001,"&lt;"&amp;D162,Modulo!$D$2:$D$5001,Parametros!$B$7)))</f>
        <v/>
      </c>
      <c r="H162" s="25" t="str">
        <f aca="false">IF(A162="","",IFERROR(COUNTIFS(Amostragem!$A$2:$A$15003,"&gt;="&amp;C162,Amostragem!$A$2:$A$15003,"&lt;"&amp;D162,Amostragem!$B$2:$B$15003,"Automático",Amostragem!$C$2:$C$15003,"Automático",Amostragem!$D$2:$D$15003,0)/COUNTIFS(Amostragem!$A$2:$A$15003,"&gt;="&amp;C162,Amostragem!$A$2:$A$15003,"&lt;"&amp;D162),0))</f>
        <v/>
      </c>
      <c r="I162" s="23" t="str">
        <f aca="false">IF(A162="","",IFERROR(AVERAGEIFS(Amostragem!$E$2:$E$15003,Amostragem!$A$2:$A$15003,"&gt;="&amp;C162,Amostragem!$A$2:$A$15003,"&lt;"&amp;D162),""))</f>
        <v/>
      </c>
      <c r="J162" s="24" t="str">
        <f aca="false">IF(A162="","",IF(B162="","Inválida: sem resultado MES",IF(E162&lt;Parametros!$B$4,"Inválida: poucos ensaios do módulo",IF(H162&lt;Parametros!$B$5,"Inválida: amostragem em manual ou em falha",IF(OR(I162="",I162&lt;Parametros!$B$6),"Inválida: usina parada ou baixa alimentação","Válida")))))</f>
        <v/>
      </c>
      <c r="K162" s="23" t="str">
        <f aca="false">IF(J162="Válida",F162-B162,"")</f>
        <v/>
      </c>
      <c r="L162" s="26" t="str">
        <f aca="false">IF(J162="Válida",K162/B162,"")</f>
        <v/>
      </c>
      <c r="M162" s="23" t="str">
        <f aca="false">IF(J162="Válida",(F162+B162)/2,"")</f>
        <v/>
      </c>
      <c r="N162" s="24" t="str">
        <f aca="false">IF(K162="","",IF(OR(K162&gt;Resumo!$B$16,K162&lt;Resumo!$B$15),"Sim","Não"))</f>
        <v/>
      </c>
      <c r="O162" s="22" t="e">
        <f aca="false">IF(A162="",NA(),A162)</f>
        <v>#N/A</v>
      </c>
      <c r="P162" s="23" t="e">
        <f aca="false">IF(A162="",NA(),B162)</f>
        <v>#N/A</v>
      </c>
      <c r="Q162" s="23" t="e">
        <f aca="false">IF(F162="",NA(),F162)</f>
        <v>#N/A</v>
      </c>
      <c r="R162" s="23" t="e">
        <f aca="false">IF(K162="",NA(),K162)</f>
        <v>#N/A</v>
      </c>
      <c r="S162" s="23" t="e">
        <f aca="false">IF(M162="",NA(),M162)</f>
        <v>#N/A</v>
      </c>
      <c r="T162" s="23" t="str">
        <f aca="false">IF(J162="Válida",B162,"")</f>
        <v/>
      </c>
      <c r="U162" s="23" t="str">
        <f aca="false">IF(J162="Válida",F162,"")</f>
        <v/>
      </c>
    </row>
    <row r="163" customFormat="false" ht="15" hidden="false" customHeight="false" outlineLevel="0" collapsed="false">
      <c r="A163" s="22" t="str">
        <f aca="false">IF(MES!A163="","",MES!A163)</f>
        <v/>
      </c>
      <c r="B163" s="23" t="str">
        <f aca="false">IF(A163="","",MES!B163)</f>
        <v/>
      </c>
      <c r="C163" s="22" t="str">
        <f aca="false">IF(A163="","",A163+Parametros!$B$3/24)</f>
        <v/>
      </c>
      <c r="D163" s="22" t="str">
        <f aca="false">IF(A163="","",C163+Parametros!$B$2/24)</f>
        <v/>
      </c>
      <c r="E163" s="24" t="str">
        <f aca="false">IF(A163="","",COUNTIFS(Modulo!$A$2:$A$5001,"&gt;="&amp;C163,Modulo!$A$2:$A$5001,"&lt;"&amp;D163,Modulo!$D$2:$D$5001,Parametros!$B$7))</f>
        <v/>
      </c>
      <c r="F163" s="23" t="str">
        <f aca="false">IF(A163="","",IF(E163=0,"",AVERAGEIFS(Modulo!$B$2:$B$5001,Modulo!$A$2:$A$5001,"&gt;="&amp;C163,Modulo!$A$2:$A$5001,"&lt;"&amp;D163,Modulo!$D$2:$D$5001,Parametros!$B$7)))</f>
        <v/>
      </c>
      <c r="G163" s="23" t="str">
        <f aca="false">IF(A163="","",IF(E163=0,"",AVERAGEIFS(Modulo!$C$2:$C$5001,Modulo!$A$2:$A$5001,"&gt;="&amp;C163,Modulo!$A$2:$A$5001,"&lt;"&amp;D163,Modulo!$D$2:$D$5001,Parametros!$B$7)))</f>
        <v/>
      </c>
      <c r="H163" s="25" t="str">
        <f aca="false">IF(A163="","",IFERROR(COUNTIFS(Amostragem!$A$2:$A$15003,"&gt;="&amp;C163,Amostragem!$A$2:$A$15003,"&lt;"&amp;D163,Amostragem!$B$2:$B$15003,"Automático",Amostragem!$C$2:$C$15003,"Automático",Amostragem!$D$2:$D$15003,0)/COUNTIFS(Amostragem!$A$2:$A$15003,"&gt;="&amp;C163,Amostragem!$A$2:$A$15003,"&lt;"&amp;D163),0))</f>
        <v/>
      </c>
      <c r="I163" s="23" t="str">
        <f aca="false">IF(A163="","",IFERROR(AVERAGEIFS(Amostragem!$E$2:$E$15003,Amostragem!$A$2:$A$15003,"&gt;="&amp;C163,Amostragem!$A$2:$A$15003,"&lt;"&amp;D163),""))</f>
        <v/>
      </c>
      <c r="J163" s="24" t="str">
        <f aca="false">IF(A163="","",IF(B163="","Inválida: sem resultado MES",IF(E163&lt;Parametros!$B$4,"Inválida: poucos ensaios do módulo",IF(H163&lt;Parametros!$B$5,"Inválida: amostragem em manual ou em falha",IF(OR(I163="",I163&lt;Parametros!$B$6),"Inválida: usina parada ou baixa alimentação","Válida")))))</f>
        <v/>
      </c>
      <c r="K163" s="23" t="str">
        <f aca="false">IF(J163="Válida",F163-B163,"")</f>
        <v/>
      </c>
      <c r="L163" s="26" t="str">
        <f aca="false">IF(J163="Válida",K163/B163,"")</f>
        <v/>
      </c>
      <c r="M163" s="23" t="str">
        <f aca="false">IF(J163="Válida",(F163+B163)/2,"")</f>
        <v/>
      </c>
      <c r="N163" s="24" t="str">
        <f aca="false">IF(K163="","",IF(OR(K163&gt;Resumo!$B$16,K163&lt;Resumo!$B$15),"Sim","Não"))</f>
        <v/>
      </c>
      <c r="O163" s="22" t="e">
        <f aca="false">IF(A163="",NA(),A163)</f>
        <v>#N/A</v>
      </c>
      <c r="P163" s="23" t="e">
        <f aca="false">IF(A163="",NA(),B163)</f>
        <v>#N/A</v>
      </c>
      <c r="Q163" s="23" t="e">
        <f aca="false">IF(F163="",NA(),F163)</f>
        <v>#N/A</v>
      </c>
      <c r="R163" s="23" t="e">
        <f aca="false">IF(K163="",NA(),K163)</f>
        <v>#N/A</v>
      </c>
      <c r="S163" s="23" t="e">
        <f aca="false">IF(M163="",NA(),M163)</f>
        <v>#N/A</v>
      </c>
      <c r="T163" s="23" t="str">
        <f aca="false">IF(J163="Válida",B163,"")</f>
        <v/>
      </c>
      <c r="U163" s="23" t="str">
        <f aca="false">IF(J163="Válida",F163,"")</f>
        <v/>
      </c>
    </row>
    <row r="164" customFormat="false" ht="15" hidden="false" customHeight="false" outlineLevel="0" collapsed="false">
      <c r="A164" s="22" t="str">
        <f aca="false">IF(MES!A164="","",MES!A164)</f>
        <v/>
      </c>
      <c r="B164" s="23" t="str">
        <f aca="false">IF(A164="","",MES!B164)</f>
        <v/>
      </c>
      <c r="C164" s="22" t="str">
        <f aca="false">IF(A164="","",A164+Parametros!$B$3/24)</f>
        <v/>
      </c>
      <c r="D164" s="22" t="str">
        <f aca="false">IF(A164="","",C164+Parametros!$B$2/24)</f>
        <v/>
      </c>
      <c r="E164" s="24" t="str">
        <f aca="false">IF(A164="","",COUNTIFS(Modulo!$A$2:$A$5001,"&gt;="&amp;C164,Modulo!$A$2:$A$5001,"&lt;"&amp;D164,Modulo!$D$2:$D$5001,Parametros!$B$7))</f>
        <v/>
      </c>
      <c r="F164" s="23" t="str">
        <f aca="false">IF(A164="","",IF(E164=0,"",AVERAGEIFS(Modulo!$B$2:$B$5001,Modulo!$A$2:$A$5001,"&gt;="&amp;C164,Modulo!$A$2:$A$5001,"&lt;"&amp;D164,Modulo!$D$2:$D$5001,Parametros!$B$7)))</f>
        <v/>
      </c>
      <c r="G164" s="23" t="str">
        <f aca="false">IF(A164="","",IF(E164=0,"",AVERAGEIFS(Modulo!$C$2:$C$5001,Modulo!$A$2:$A$5001,"&gt;="&amp;C164,Modulo!$A$2:$A$5001,"&lt;"&amp;D164,Modulo!$D$2:$D$5001,Parametros!$B$7)))</f>
        <v/>
      </c>
      <c r="H164" s="25" t="str">
        <f aca="false">IF(A164="","",IFERROR(COUNTIFS(Amostragem!$A$2:$A$15003,"&gt;="&amp;C164,Amostragem!$A$2:$A$15003,"&lt;"&amp;D164,Amostragem!$B$2:$B$15003,"Automático",Amostragem!$C$2:$C$15003,"Automático",Amostragem!$D$2:$D$15003,0)/COUNTIFS(Amostragem!$A$2:$A$15003,"&gt;="&amp;C164,Amostragem!$A$2:$A$15003,"&lt;"&amp;D164),0))</f>
        <v/>
      </c>
      <c r="I164" s="23" t="str">
        <f aca="false">IF(A164="","",IFERROR(AVERAGEIFS(Amostragem!$E$2:$E$15003,Amostragem!$A$2:$A$15003,"&gt;="&amp;C164,Amostragem!$A$2:$A$15003,"&lt;"&amp;D164),""))</f>
        <v/>
      </c>
      <c r="J164" s="24" t="str">
        <f aca="false">IF(A164="","",IF(B164="","Inválida: sem resultado MES",IF(E164&lt;Parametros!$B$4,"Inválida: poucos ensaios do módulo",IF(H164&lt;Parametros!$B$5,"Inválida: amostragem em manual ou em falha",IF(OR(I164="",I164&lt;Parametros!$B$6),"Inválida: usina parada ou baixa alimentação","Válida")))))</f>
        <v/>
      </c>
      <c r="K164" s="23" t="str">
        <f aca="false">IF(J164="Válida",F164-B164,"")</f>
        <v/>
      </c>
      <c r="L164" s="26" t="str">
        <f aca="false">IF(J164="Válida",K164/B164,"")</f>
        <v/>
      </c>
      <c r="M164" s="23" t="str">
        <f aca="false">IF(J164="Válida",(F164+B164)/2,"")</f>
        <v/>
      </c>
      <c r="N164" s="24" t="str">
        <f aca="false">IF(K164="","",IF(OR(K164&gt;Resumo!$B$16,K164&lt;Resumo!$B$15),"Sim","Não"))</f>
        <v/>
      </c>
      <c r="O164" s="22" t="e">
        <f aca="false">IF(A164="",NA(),A164)</f>
        <v>#N/A</v>
      </c>
      <c r="P164" s="23" t="e">
        <f aca="false">IF(A164="",NA(),B164)</f>
        <v>#N/A</v>
      </c>
      <c r="Q164" s="23" t="e">
        <f aca="false">IF(F164="",NA(),F164)</f>
        <v>#N/A</v>
      </c>
      <c r="R164" s="23" t="e">
        <f aca="false">IF(K164="",NA(),K164)</f>
        <v>#N/A</v>
      </c>
      <c r="S164" s="23" t="e">
        <f aca="false">IF(M164="",NA(),M164)</f>
        <v>#N/A</v>
      </c>
      <c r="T164" s="23" t="str">
        <f aca="false">IF(J164="Válida",B164,"")</f>
        <v/>
      </c>
      <c r="U164" s="23" t="str">
        <f aca="false">IF(J164="Válida",F164,"")</f>
        <v/>
      </c>
    </row>
    <row r="165" customFormat="false" ht="15" hidden="false" customHeight="false" outlineLevel="0" collapsed="false">
      <c r="A165" s="22" t="str">
        <f aca="false">IF(MES!A165="","",MES!A165)</f>
        <v/>
      </c>
      <c r="B165" s="23" t="str">
        <f aca="false">IF(A165="","",MES!B165)</f>
        <v/>
      </c>
      <c r="C165" s="22" t="str">
        <f aca="false">IF(A165="","",A165+Parametros!$B$3/24)</f>
        <v/>
      </c>
      <c r="D165" s="22" t="str">
        <f aca="false">IF(A165="","",C165+Parametros!$B$2/24)</f>
        <v/>
      </c>
      <c r="E165" s="24" t="str">
        <f aca="false">IF(A165="","",COUNTIFS(Modulo!$A$2:$A$5001,"&gt;="&amp;C165,Modulo!$A$2:$A$5001,"&lt;"&amp;D165,Modulo!$D$2:$D$5001,Parametros!$B$7))</f>
        <v/>
      </c>
      <c r="F165" s="23" t="str">
        <f aca="false">IF(A165="","",IF(E165=0,"",AVERAGEIFS(Modulo!$B$2:$B$5001,Modulo!$A$2:$A$5001,"&gt;="&amp;C165,Modulo!$A$2:$A$5001,"&lt;"&amp;D165,Modulo!$D$2:$D$5001,Parametros!$B$7)))</f>
        <v/>
      </c>
      <c r="G165" s="23" t="str">
        <f aca="false">IF(A165="","",IF(E165=0,"",AVERAGEIFS(Modulo!$C$2:$C$5001,Modulo!$A$2:$A$5001,"&gt;="&amp;C165,Modulo!$A$2:$A$5001,"&lt;"&amp;D165,Modulo!$D$2:$D$5001,Parametros!$B$7)))</f>
        <v/>
      </c>
      <c r="H165" s="25" t="str">
        <f aca="false">IF(A165="","",IFERROR(COUNTIFS(Amostragem!$A$2:$A$15003,"&gt;="&amp;C165,Amostragem!$A$2:$A$15003,"&lt;"&amp;D165,Amostragem!$B$2:$B$15003,"Automático",Amostragem!$C$2:$C$15003,"Automático",Amostragem!$D$2:$D$15003,0)/COUNTIFS(Amostragem!$A$2:$A$15003,"&gt;="&amp;C165,Amostragem!$A$2:$A$15003,"&lt;"&amp;D165),0))</f>
        <v/>
      </c>
      <c r="I165" s="23" t="str">
        <f aca="false">IF(A165="","",IFERROR(AVERAGEIFS(Amostragem!$E$2:$E$15003,Amostragem!$A$2:$A$15003,"&gt;="&amp;C165,Amostragem!$A$2:$A$15003,"&lt;"&amp;D165),""))</f>
        <v/>
      </c>
      <c r="J165" s="24" t="str">
        <f aca="false">IF(A165="","",IF(B165="","Inválida: sem resultado MES",IF(E165&lt;Parametros!$B$4,"Inválida: poucos ensaios do módulo",IF(H165&lt;Parametros!$B$5,"Inválida: amostragem em manual ou em falha",IF(OR(I165="",I165&lt;Parametros!$B$6),"Inválida: usina parada ou baixa alimentação","Válida")))))</f>
        <v/>
      </c>
      <c r="K165" s="23" t="str">
        <f aca="false">IF(J165="Válida",F165-B165,"")</f>
        <v/>
      </c>
      <c r="L165" s="26" t="str">
        <f aca="false">IF(J165="Válida",K165/B165,"")</f>
        <v/>
      </c>
      <c r="M165" s="23" t="str">
        <f aca="false">IF(J165="Válida",(F165+B165)/2,"")</f>
        <v/>
      </c>
      <c r="N165" s="24" t="str">
        <f aca="false">IF(K165="","",IF(OR(K165&gt;Resumo!$B$16,K165&lt;Resumo!$B$15),"Sim","Não"))</f>
        <v/>
      </c>
      <c r="O165" s="22" t="e">
        <f aca="false">IF(A165="",NA(),A165)</f>
        <v>#N/A</v>
      </c>
      <c r="P165" s="23" t="e">
        <f aca="false">IF(A165="",NA(),B165)</f>
        <v>#N/A</v>
      </c>
      <c r="Q165" s="23" t="e">
        <f aca="false">IF(F165="",NA(),F165)</f>
        <v>#N/A</v>
      </c>
      <c r="R165" s="23" t="e">
        <f aca="false">IF(K165="",NA(),K165)</f>
        <v>#N/A</v>
      </c>
      <c r="S165" s="23" t="e">
        <f aca="false">IF(M165="",NA(),M165)</f>
        <v>#N/A</v>
      </c>
      <c r="T165" s="23" t="str">
        <f aca="false">IF(J165="Válida",B165,"")</f>
        <v/>
      </c>
      <c r="U165" s="23" t="str">
        <f aca="false">IF(J165="Válida",F165,"")</f>
        <v/>
      </c>
    </row>
    <row r="166" customFormat="false" ht="15" hidden="false" customHeight="false" outlineLevel="0" collapsed="false">
      <c r="A166" s="22" t="str">
        <f aca="false">IF(MES!A166="","",MES!A166)</f>
        <v/>
      </c>
      <c r="B166" s="23" t="str">
        <f aca="false">IF(A166="","",MES!B166)</f>
        <v/>
      </c>
      <c r="C166" s="22" t="str">
        <f aca="false">IF(A166="","",A166+Parametros!$B$3/24)</f>
        <v/>
      </c>
      <c r="D166" s="22" t="str">
        <f aca="false">IF(A166="","",C166+Parametros!$B$2/24)</f>
        <v/>
      </c>
      <c r="E166" s="24" t="str">
        <f aca="false">IF(A166="","",COUNTIFS(Modulo!$A$2:$A$5001,"&gt;="&amp;C166,Modulo!$A$2:$A$5001,"&lt;"&amp;D166,Modulo!$D$2:$D$5001,Parametros!$B$7))</f>
        <v/>
      </c>
      <c r="F166" s="23" t="str">
        <f aca="false">IF(A166="","",IF(E166=0,"",AVERAGEIFS(Modulo!$B$2:$B$5001,Modulo!$A$2:$A$5001,"&gt;="&amp;C166,Modulo!$A$2:$A$5001,"&lt;"&amp;D166,Modulo!$D$2:$D$5001,Parametros!$B$7)))</f>
        <v/>
      </c>
      <c r="G166" s="23" t="str">
        <f aca="false">IF(A166="","",IF(E166=0,"",AVERAGEIFS(Modulo!$C$2:$C$5001,Modulo!$A$2:$A$5001,"&gt;="&amp;C166,Modulo!$A$2:$A$5001,"&lt;"&amp;D166,Modulo!$D$2:$D$5001,Parametros!$B$7)))</f>
        <v/>
      </c>
      <c r="H166" s="25" t="str">
        <f aca="false">IF(A166="","",IFERROR(COUNTIFS(Amostragem!$A$2:$A$15003,"&gt;="&amp;C166,Amostragem!$A$2:$A$15003,"&lt;"&amp;D166,Amostragem!$B$2:$B$15003,"Automático",Amostragem!$C$2:$C$15003,"Automático",Amostragem!$D$2:$D$15003,0)/COUNTIFS(Amostragem!$A$2:$A$15003,"&gt;="&amp;C166,Amostragem!$A$2:$A$15003,"&lt;"&amp;D166),0))</f>
        <v/>
      </c>
      <c r="I166" s="23" t="str">
        <f aca="false">IF(A166="","",IFERROR(AVERAGEIFS(Amostragem!$E$2:$E$15003,Amostragem!$A$2:$A$15003,"&gt;="&amp;C166,Amostragem!$A$2:$A$15003,"&lt;"&amp;D166),""))</f>
        <v/>
      </c>
      <c r="J166" s="24" t="str">
        <f aca="false">IF(A166="","",IF(B166="","Inválida: sem resultado MES",IF(E166&lt;Parametros!$B$4,"Inválida: poucos ensaios do módulo",IF(H166&lt;Parametros!$B$5,"Inválida: amostragem em manual ou em falha",IF(OR(I166="",I166&lt;Parametros!$B$6),"Inválida: usina parada ou baixa alimentação","Válida")))))</f>
        <v/>
      </c>
      <c r="K166" s="23" t="str">
        <f aca="false">IF(J166="Válida",F166-B166,"")</f>
        <v/>
      </c>
      <c r="L166" s="26" t="str">
        <f aca="false">IF(J166="Válida",K166/B166,"")</f>
        <v/>
      </c>
      <c r="M166" s="23" t="str">
        <f aca="false">IF(J166="Válida",(F166+B166)/2,"")</f>
        <v/>
      </c>
      <c r="N166" s="24" t="str">
        <f aca="false">IF(K166="","",IF(OR(K166&gt;Resumo!$B$16,K166&lt;Resumo!$B$15),"Sim","Não"))</f>
        <v/>
      </c>
      <c r="O166" s="22" t="e">
        <f aca="false">IF(A166="",NA(),A166)</f>
        <v>#N/A</v>
      </c>
      <c r="P166" s="23" t="e">
        <f aca="false">IF(A166="",NA(),B166)</f>
        <v>#N/A</v>
      </c>
      <c r="Q166" s="23" t="e">
        <f aca="false">IF(F166="",NA(),F166)</f>
        <v>#N/A</v>
      </c>
      <c r="R166" s="23" t="e">
        <f aca="false">IF(K166="",NA(),K166)</f>
        <v>#N/A</v>
      </c>
      <c r="S166" s="23" t="e">
        <f aca="false">IF(M166="",NA(),M166)</f>
        <v>#N/A</v>
      </c>
      <c r="T166" s="23" t="str">
        <f aca="false">IF(J166="Válida",B166,"")</f>
        <v/>
      </c>
      <c r="U166" s="23" t="str">
        <f aca="false">IF(J166="Válida",F166,"")</f>
        <v/>
      </c>
    </row>
    <row r="167" customFormat="false" ht="15" hidden="false" customHeight="false" outlineLevel="0" collapsed="false">
      <c r="A167" s="22" t="str">
        <f aca="false">IF(MES!A167="","",MES!A167)</f>
        <v/>
      </c>
      <c r="B167" s="23" t="str">
        <f aca="false">IF(A167="","",MES!B167)</f>
        <v/>
      </c>
      <c r="C167" s="22" t="str">
        <f aca="false">IF(A167="","",A167+Parametros!$B$3/24)</f>
        <v/>
      </c>
      <c r="D167" s="22" t="str">
        <f aca="false">IF(A167="","",C167+Parametros!$B$2/24)</f>
        <v/>
      </c>
      <c r="E167" s="24" t="str">
        <f aca="false">IF(A167="","",COUNTIFS(Modulo!$A$2:$A$5001,"&gt;="&amp;C167,Modulo!$A$2:$A$5001,"&lt;"&amp;D167,Modulo!$D$2:$D$5001,Parametros!$B$7))</f>
        <v/>
      </c>
      <c r="F167" s="23" t="str">
        <f aca="false">IF(A167="","",IF(E167=0,"",AVERAGEIFS(Modulo!$B$2:$B$5001,Modulo!$A$2:$A$5001,"&gt;="&amp;C167,Modulo!$A$2:$A$5001,"&lt;"&amp;D167,Modulo!$D$2:$D$5001,Parametros!$B$7)))</f>
        <v/>
      </c>
      <c r="G167" s="23" t="str">
        <f aca="false">IF(A167="","",IF(E167=0,"",AVERAGEIFS(Modulo!$C$2:$C$5001,Modulo!$A$2:$A$5001,"&gt;="&amp;C167,Modulo!$A$2:$A$5001,"&lt;"&amp;D167,Modulo!$D$2:$D$5001,Parametros!$B$7)))</f>
        <v/>
      </c>
      <c r="H167" s="25" t="str">
        <f aca="false">IF(A167="","",IFERROR(COUNTIFS(Amostragem!$A$2:$A$15003,"&gt;="&amp;C167,Amostragem!$A$2:$A$15003,"&lt;"&amp;D167,Amostragem!$B$2:$B$15003,"Automático",Amostragem!$C$2:$C$15003,"Automático",Amostragem!$D$2:$D$15003,0)/COUNTIFS(Amostragem!$A$2:$A$15003,"&gt;="&amp;C167,Amostragem!$A$2:$A$15003,"&lt;"&amp;D167),0))</f>
        <v/>
      </c>
      <c r="I167" s="23" t="str">
        <f aca="false">IF(A167="","",IFERROR(AVERAGEIFS(Amostragem!$E$2:$E$15003,Amostragem!$A$2:$A$15003,"&gt;="&amp;C167,Amostragem!$A$2:$A$15003,"&lt;"&amp;D167),""))</f>
        <v/>
      </c>
      <c r="J167" s="24" t="str">
        <f aca="false">IF(A167="","",IF(B167="","Inválida: sem resultado MES",IF(E167&lt;Parametros!$B$4,"Inválida: poucos ensaios do módulo",IF(H167&lt;Parametros!$B$5,"Inválida: amostragem em manual ou em falha",IF(OR(I167="",I167&lt;Parametros!$B$6),"Inválida: usina parada ou baixa alimentação","Válida")))))</f>
        <v/>
      </c>
      <c r="K167" s="23" t="str">
        <f aca="false">IF(J167="Válida",F167-B167,"")</f>
        <v/>
      </c>
      <c r="L167" s="26" t="str">
        <f aca="false">IF(J167="Válida",K167/B167,"")</f>
        <v/>
      </c>
      <c r="M167" s="23" t="str">
        <f aca="false">IF(J167="Válida",(F167+B167)/2,"")</f>
        <v/>
      </c>
      <c r="N167" s="24" t="str">
        <f aca="false">IF(K167="","",IF(OR(K167&gt;Resumo!$B$16,K167&lt;Resumo!$B$15),"Sim","Não"))</f>
        <v/>
      </c>
      <c r="O167" s="22" t="e">
        <f aca="false">IF(A167="",NA(),A167)</f>
        <v>#N/A</v>
      </c>
      <c r="P167" s="23" t="e">
        <f aca="false">IF(A167="",NA(),B167)</f>
        <v>#N/A</v>
      </c>
      <c r="Q167" s="23" t="e">
        <f aca="false">IF(F167="",NA(),F167)</f>
        <v>#N/A</v>
      </c>
      <c r="R167" s="23" t="e">
        <f aca="false">IF(K167="",NA(),K167)</f>
        <v>#N/A</v>
      </c>
      <c r="S167" s="23" t="e">
        <f aca="false">IF(M167="",NA(),M167)</f>
        <v>#N/A</v>
      </c>
      <c r="T167" s="23" t="str">
        <f aca="false">IF(J167="Válida",B167,"")</f>
        <v/>
      </c>
      <c r="U167" s="23" t="str">
        <f aca="false">IF(J167="Válida",F167,"")</f>
        <v/>
      </c>
    </row>
    <row r="168" customFormat="false" ht="15" hidden="false" customHeight="false" outlineLevel="0" collapsed="false">
      <c r="A168" s="22" t="str">
        <f aca="false">IF(MES!A168="","",MES!A168)</f>
        <v/>
      </c>
      <c r="B168" s="23" t="str">
        <f aca="false">IF(A168="","",MES!B168)</f>
        <v/>
      </c>
      <c r="C168" s="22" t="str">
        <f aca="false">IF(A168="","",A168+Parametros!$B$3/24)</f>
        <v/>
      </c>
      <c r="D168" s="22" t="str">
        <f aca="false">IF(A168="","",C168+Parametros!$B$2/24)</f>
        <v/>
      </c>
      <c r="E168" s="24" t="str">
        <f aca="false">IF(A168="","",COUNTIFS(Modulo!$A$2:$A$5001,"&gt;="&amp;C168,Modulo!$A$2:$A$5001,"&lt;"&amp;D168,Modulo!$D$2:$D$5001,Parametros!$B$7))</f>
        <v/>
      </c>
      <c r="F168" s="23" t="str">
        <f aca="false">IF(A168="","",IF(E168=0,"",AVERAGEIFS(Modulo!$B$2:$B$5001,Modulo!$A$2:$A$5001,"&gt;="&amp;C168,Modulo!$A$2:$A$5001,"&lt;"&amp;D168,Modulo!$D$2:$D$5001,Parametros!$B$7)))</f>
        <v/>
      </c>
      <c r="G168" s="23" t="str">
        <f aca="false">IF(A168="","",IF(E168=0,"",AVERAGEIFS(Modulo!$C$2:$C$5001,Modulo!$A$2:$A$5001,"&gt;="&amp;C168,Modulo!$A$2:$A$5001,"&lt;"&amp;D168,Modulo!$D$2:$D$5001,Parametros!$B$7)))</f>
        <v/>
      </c>
      <c r="H168" s="25" t="str">
        <f aca="false">IF(A168="","",IFERROR(COUNTIFS(Amostragem!$A$2:$A$15003,"&gt;="&amp;C168,Amostragem!$A$2:$A$15003,"&lt;"&amp;D168,Amostragem!$B$2:$B$15003,"Automático",Amostragem!$C$2:$C$15003,"Automático",Amostragem!$D$2:$D$15003,0)/COUNTIFS(Amostragem!$A$2:$A$15003,"&gt;="&amp;C168,Amostragem!$A$2:$A$15003,"&lt;"&amp;D168),0))</f>
        <v/>
      </c>
      <c r="I168" s="23" t="str">
        <f aca="false">IF(A168="","",IFERROR(AVERAGEIFS(Amostragem!$E$2:$E$15003,Amostragem!$A$2:$A$15003,"&gt;="&amp;C168,Amostragem!$A$2:$A$15003,"&lt;"&amp;D168),""))</f>
        <v/>
      </c>
      <c r="J168" s="24" t="str">
        <f aca="false">IF(A168="","",IF(B168="","Inválida: sem resultado MES",IF(E168&lt;Parametros!$B$4,"Inválida: poucos ensaios do módulo",IF(H168&lt;Parametros!$B$5,"Inválida: amostragem em manual ou em falha",IF(OR(I168="",I168&lt;Parametros!$B$6),"Inválida: usina parada ou baixa alimentação","Válida")))))</f>
        <v/>
      </c>
      <c r="K168" s="23" t="str">
        <f aca="false">IF(J168="Válida",F168-B168,"")</f>
        <v/>
      </c>
      <c r="L168" s="26" t="str">
        <f aca="false">IF(J168="Válida",K168/B168,"")</f>
        <v/>
      </c>
      <c r="M168" s="23" t="str">
        <f aca="false">IF(J168="Válida",(F168+B168)/2,"")</f>
        <v/>
      </c>
      <c r="N168" s="24" t="str">
        <f aca="false">IF(K168="","",IF(OR(K168&gt;Resumo!$B$16,K168&lt;Resumo!$B$15),"Sim","Não"))</f>
        <v/>
      </c>
      <c r="O168" s="22" t="e">
        <f aca="false">IF(A168="",NA(),A168)</f>
        <v>#N/A</v>
      </c>
      <c r="P168" s="23" t="e">
        <f aca="false">IF(A168="",NA(),B168)</f>
        <v>#N/A</v>
      </c>
      <c r="Q168" s="23" t="e">
        <f aca="false">IF(F168="",NA(),F168)</f>
        <v>#N/A</v>
      </c>
      <c r="R168" s="23" t="e">
        <f aca="false">IF(K168="",NA(),K168)</f>
        <v>#N/A</v>
      </c>
      <c r="S168" s="23" t="e">
        <f aca="false">IF(M168="",NA(),M168)</f>
        <v>#N/A</v>
      </c>
      <c r="T168" s="23" t="str">
        <f aca="false">IF(J168="Válida",B168,"")</f>
        <v/>
      </c>
      <c r="U168" s="23" t="str">
        <f aca="false">IF(J168="Válida",F168,"")</f>
        <v/>
      </c>
    </row>
    <row r="169" customFormat="false" ht="15" hidden="false" customHeight="false" outlineLevel="0" collapsed="false">
      <c r="A169" s="22" t="str">
        <f aca="false">IF(MES!A169="","",MES!A169)</f>
        <v/>
      </c>
      <c r="B169" s="23" t="str">
        <f aca="false">IF(A169="","",MES!B169)</f>
        <v/>
      </c>
      <c r="C169" s="22" t="str">
        <f aca="false">IF(A169="","",A169+Parametros!$B$3/24)</f>
        <v/>
      </c>
      <c r="D169" s="22" t="str">
        <f aca="false">IF(A169="","",C169+Parametros!$B$2/24)</f>
        <v/>
      </c>
      <c r="E169" s="24" t="str">
        <f aca="false">IF(A169="","",COUNTIFS(Modulo!$A$2:$A$5001,"&gt;="&amp;C169,Modulo!$A$2:$A$5001,"&lt;"&amp;D169,Modulo!$D$2:$D$5001,Parametros!$B$7))</f>
        <v/>
      </c>
      <c r="F169" s="23" t="str">
        <f aca="false">IF(A169="","",IF(E169=0,"",AVERAGEIFS(Modulo!$B$2:$B$5001,Modulo!$A$2:$A$5001,"&gt;="&amp;C169,Modulo!$A$2:$A$5001,"&lt;"&amp;D169,Modulo!$D$2:$D$5001,Parametros!$B$7)))</f>
        <v/>
      </c>
      <c r="G169" s="23" t="str">
        <f aca="false">IF(A169="","",IF(E169=0,"",AVERAGEIFS(Modulo!$C$2:$C$5001,Modulo!$A$2:$A$5001,"&gt;="&amp;C169,Modulo!$A$2:$A$5001,"&lt;"&amp;D169,Modulo!$D$2:$D$5001,Parametros!$B$7)))</f>
        <v/>
      </c>
      <c r="H169" s="25" t="str">
        <f aca="false">IF(A169="","",IFERROR(COUNTIFS(Amostragem!$A$2:$A$15003,"&gt;="&amp;C169,Amostragem!$A$2:$A$15003,"&lt;"&amp;D169,Amostragem!$B$2:$B$15003,"Automático",Amostragem!$C$2:$C$15003,"Automático",Amostragem!$D$2:$D$15003,0)/COUNTIFS(Amostragem!$A$2:$A$15003,"&gt;="&amp;C169,Amostragem!$A$2:$A$15003,"&lt;"&amp;D169),0))</f>
        <v/>
      </c>
      <c r="I169" s="23" t="str">
        <f aca="false">IF(A169="","",IFERROR(AVERAGEIFS(Amostragem!$E$2:$E$15003,Amostragem!$A$2:$A$15003,"&gt;="&amp;C169,Amostragem!$A$2:$A$15003,"&lt;"&amp;D169),""))</f>
        <v/>
      </c>
      <c r="J169" s="24" t="str">
        <f aca="false">IF(A169="","",IF(B169="","Inválida: sem resultado MES",IF(E169&lt;Parametros!$B$4,"Inválida: poucos ensaios do módulo",IF(H169&lt;Parametros!$B$5,"Inválida: amostragem em manual ou em falha",IF(OR(I169="",I169&lt;Parametros!$B$6),"Inválida: usina parada ou baixa alimentação","Válida")))))</f>
        <v/>
      </c>
      <c r="K169" s="23" t="str">
        <f aca="false">IF(J169="Válida",F169-B169,"")</f>
        <v/>
      </c>
      <c r="L169" s="26" t="str">
        <f aca="false">IF(J169="Válida",K169/B169,"")</f>
        <v/>
      </c>
      <c r="M169" s="23" t="str">
        <f aca="false">IF(J169="Válida",(F169+B169)/2,"")</f>
        <v/>
      </c>
      <c r="N169" s="24" t="str">
        <f aca="false">IF(K169="","",IF(OR(K169&gt;Resumo!$B$16,K169&lt;Resumo!$B$15),"Sim","Não"))</f>
        <v/>
      </c>
      <c r="O169" s="22" t="e">
        <f aca="false">IF(A169="",NA(),A169)</f>
        <v>#N/A</v>
      </c>
      <c r="P169" s="23" t="e">
        <f aca="false">IF(A169="",NA(),B169)</f>
        <v>#N/A</v>
      </c>
      <c r="Q169" s="23" t="e">
        <f aca="false">IF(F169="",NA(),F169)</f>
        <v>#N/A</v>
      </c>
      <c r="R169" s="23" t="e">
        <f aca="false">IF(K169="",NA(),K169)</f>
        <v>#N/A</v>
      </c>
      <c r="S169" s="23" t="e">
        <f aca="false">IF(M169="",NA(),M169)</f>
        <v>#N/A</v>
      </c>
      <c r="T169" s="23" t="str">
        <f aca="false">IF(J169="Válida",B169,"")</f>
        <v/>
      </c>
      <c r="U169" s="23" t="str">
        <f aca="false">IF(J169="Válida",F169,"")</f>
        <v/>
      </c>
    </row>
    <row r="170" customFormat="false" ht="15" hidden="false" customHeight="false" outlineLevel="0" collapsed="false">
      <c r="A170" s="22" t="str">
        <f aca="false">IF(MES!A170="","",MES!A170)</f>
        <v/>
      </c>
      <c r="B170" s="23" t="str">
        <f aca="false">IF(A170="","",MES!B170)</f>
        <v/>
      </c>
      <c r="C170" s="22" t="str">
        <f aca="false">IF(A170="","",A170+Parametros!$B$3/24)</f>
        <v/>
      </c>
      <c r="D170" s="22" t="str">
        <f aca="false">IF(A170="","",C170+Parametros!$B$2/24)</f>
        <v/>
      </c>
      <c r="E170" s="24" t="str">
        <f aca="false">IF(A170="","",COUNTIFS(Modulo!$A$2:$A$5001,"&gt;="&amp;C170,Modulo!$A$2:$A$5001,"&lt;"&amp;D170,Modulo!$D$2:$D$5001,Parametros!$B$7))</f>
        <v/>
      </c>
      <c r="F170" s="23" t="str">
        <f aca="false">IF(A170="","",IF(E170=0,"",AVERAGEIFS(Modulo!$B$2:$B$5001,Modulo!$A$2:$A$5001,"&gt;="&amp;C170,Modulo!$A$2:$A$5001,"&lt;"&amp;D170,Modulo!$D$2:$D$5001,Parametros!$B$7)))</f>
        <v/>
      </c>
      <c r="G170" s="23" t="str">
        <f aca="false">IF(A170="","",IF(E170=0,"",AVERAGEIFS(Modulo!$C$2:$C$5001,Modulo!$A$2:$A$5001,"&gt;="&amp;C170,Modulo!$A$2:$A$5001,"&lt;"&amp;D170,Modulo!$D$2:$D$5001,Parametros!$B$7)))</f>
        <v/>
      </c>
      <c r="H170" s="25" t="str">
        <f aca="false">IF(A170="","",IFERROR(COUNTIFS(Amostragem!$A$2:$A$15003,"&gt;="&amp;C170,Amostragem!$A$2:$A$15003,"&lt;"&amp;D170,Amostragem!$B$2:$B$15003,"Automático",Amostragem!$C$2:$C$15003,"Automático",Amostragem!$D$2:$D$15003,0)/COUNTIFS(Amostragem!$A$2:$A$15003,"&gt;="&amp;C170,Amostragem!$A$2:$A$15003,"&lt;"&amp;D170),0))</f>
        <v/>
      </c>
      <c r="I170" s="23" t="str">
        <f aca="false">IF(A170="","",IFERROR(AVERAGEIFS(Amostragem!$E$2:$E$15003,Amostragem!$A$2:$A$15003,"&gt;="&amp;C170,Amostragem!$A$2:$A$15003,"&lt;"&amp;D170),""))</f>
        <v/>
      </c>
      <c r="J170" s="24" t="str">
        <f aca="false">IF(A170="","",IF(B170="","Inválida: sem resultado MES",IF(E170&lt;Parametros!$B$4,"Inválida: poucos ensaios do módulo",IF(H170&lt;Parametros!$B$5,"Inválida: amostragem em manual ou em falha",IF(OR(I170="",I170&lt;Parametros!$B$6),"Inválida: usina parada ou baixa alimentação","Válida")))))</f>
        <v/>
      </c>
      <c r="K170" s="23" t="str">
        <f aca="false">IF(J170="Válida",F170-B170,"")</f>
        <v/>
      </c>
      <c r="L170" s="26" t="str">
        <f aca="false">IF(J170="Válida",K170/B170,"")</f>
        <v/>
      </c>
      <c r="M170" s="23" t="str">
        <f aca="false">IF(J170="Válida",(F170+B170)/2,"")</f>
        <v/>
      </c>
      <c r="N170" s="24" t="str">
        <f aca="false">IF(K170="","",IF(OR(K170&gt;Resumo!$B$16,K170&lt;Resumo!$B$15),"Sim","Não"))</f>
        <v/>
      </c>
      <c r="O170" s="22" t="e">
        <f aca="false">IF(A170="",NA(),A170)</f>
        <v>#N/A</v>
      </c>
      <c r="P170" s="23" t="e">
        <f aca="false">IF(A170="",NA(),B170)</f>
        <v>#N/A</v>
      </c>
      <c r="Q170" s="23" t="e">
        <f aca="false">IF(F170="",NA(),F170)</f>
        <v>#N/A</v>
      </c>
      <c r="R170" s="23" t="e">
        <f aca="false">IF(K170="",NA(),K170)</f>
        <v>#N/A</v>
      </c>
      <c r="S170" s="23" t="e">
        <f aca="false">IF(M170="",NA(),M170)</f>
        <v>#N/A</v>
      </c>
      <c r="T170" s="23" t="str">
        <f aca="false">IF(J170="Válida",B170,"")</f>
        <v/>
      </c>
      <c r="U170" s="23" t="str">
        <f aca="false">IF(J170="Válida",F170,"")</f>
        <v/>
      </c>
    </row>
    <row r="171" customFormat="false" ht="15" hidden="false" customHeight="false" outlineLevel="0" collapsed="false">
      <c r="A171" s="22" t="str">
        <f aca="false">IF(MES!A171="","",MES!A171)</f>
        <v/>
      </c>
      <c r="B171" s="23" t="str">
        <f aca="false">IF(A171="","",MES!B171)</f>
        <v/>
      </c>
      <c r="C171" s="22" t="str">
        <f aca="false">IF(A171="","",A171+Parametros!$B$3/24)</f>
        <v/>
      </c>
      <c r="D171" s="22" t="str">
        <f aca="false">IF(A171="","",C171+Parametros!$B$2/24)</f>
        <v/>
      </c>
      <c r="E171" s="24" t="str">
        <f aca="false">IF(A171="","",COUNTIFS(Modulo!$A$2:$A$5001,"&gt;="&amp;C171,Modulo!$A$2:$A$5001,"&lt;"&amp;D171,Modulo!$D$2:$D$5001,Parametros!$B$7))</f>
        <v/>
      </c>
      <c r="F171" s="23" t="str">
        <f aca="false">IF(A171="","",IF(E171=0,"",AVERAGEIFS(Modulo!$B$2:$B$5001,Modulo!$A$2:$A$5001,"&gt;="&amp;C171,Modulo!$A$2:$A$5001,"&lt;"&amp;D171,Modulo!$D$2:$D$5001,Parametros!$B$7)))</f>
        <v/>
      </c>
      <c r="G171" s="23" t="str">
        <f aca="false">IF(A171="","",IF(E171=0,"",AVERAGEIFS(Modulo!$C$2:$C$5001,Modulo!$A$2:$A$5001,"&gt;="&amp;C171,Modulo!$A$2:$A$5001,"&lt;"&amp;D171,Modulo!$D$2:$D$5001,Parametros!$B$7)))</f>
        <v/>
      </c>
      <c r="H171" s="25" t="str">
        <f aca="false">IF(A171="","",IFERROR(COUNTIFS(Amostragem!$A$2:$A$15003,"&gt;="&amp;C171,Amostragem!$A$2:$A$15003,"&lt;"&amp;D171,Amostragem!$B$2:$B$15003,"Automático",Amostragem!$C$2:$C$15003,"Automático",Amostragem!$D$2:$D$15003,0)/COUNTIFS(Amostragem!$A$2:$A$15003,"&gt;="&amp;C171,Amostragem!$A$2:$A$15003,"&lt;"&amp;D171),0))</f>
        <v/>
      </c>
      <c r="I171" s="23" t="str">
        <f aca="false">IF(A171="","",IFERROR(AVERAGEIFS(Amostragem!$E$2:$E$15003,Amostragem!$A$2:$A$15003,"&gt;="&amp;C171,Amostragem!$A$2:$A$15003,"&lt;"&amp;D171),""))</f>
        <v/>
      </c>
      <c r="J171" s="24" t="str">
        <f aca="false">IF(A171="","",IF(B171="","Inválida: sem resultado MES",IF(E171&lt;Parametros!$B$4,"Inválida: poucos ensaios do módulo",IF(H171&lt;Parametros!$B$5,"Inválida: amostragem em manual ou em falha",IF(OR(I171="",I171&lt;Parametros!$B$6),"Inválida: usina parada ou baixa alimentação","Válida")))))</f>
        <v/>
      </c>
      <c r="K171" s="23" t="str">
        <f aca="false">IF(J171="Válida",F171-B171,"")</f>
        <v/>
      </c>
      <c r="L171" s="26" t="str">
        <f aca="false">IF(J171="Válida",K171/B171,"")</f>
        <v/>
      </c>
      <c r="M171" s="23" t="str">
        <f aca="false">IF(J171="Válida",(F171+B171)/2,"")</f>
        <v/>
      </c>
      <c r="N171" s="24" t="str">
        <f aca="false">IF(K171="","",IF(OR(K171&gt;Resumo!$B$16,K171&lt;Resumo!$B$15),"Sim","Não"))</f>
        <v/>
      </c>
      <c r="O171" s="22" t="e">
        <f aca="false">IF(A171="",NA(),A171)</f>
        <v>#N/A</v>
      </c>
      <c r="P171" s="23" t="e">
        <f aca="false">IF(A171="",NA(),B171)</f>
        <v>#N/A</v>
      </c>
      <c r="Q171" s="23" t="e">
        <f aca="false">IF(F171="",NA(),F171)</f>
        <v>#N/A</v>
      </c>
      <c r="R171" s="23" t="e">
        <f aca="false">IF(K171="",NA(),K171)</f>
        <v>#N/A</v>
      </c>
      <c r="S171" s="23" t="e">
        <f aca="false">IF(M171="",NA(),M171)</f>
        <v>#N/A</v>
      </c>
      <c r="T171" s="23" t="str">
        <f aca="false">IF(J171="Válida",B171,"")</f>
        <v/>
      </c>
      <c r="U171" s="23" t="str">
        <f aca="false">IF(J171="Válida",F171,"")</f>
        <v/>
      </c>
    </row>
    <row r="172" customFormat="false" ht="15" hidden="false" customHeight="false" outlineLevel="0" collapsed="false">
      <c r="A172" s="22" t="str">
        <f aca="false">IF(MES!A172="","",MES!A172)</f>
        <v/>
      </c>
      <c r="B172" s="23" t="str">
        <f aca="false">IF(A172="","",MES!B172)</f>
        <v/>
      </c>
      <c r="C172" s="22" t="str">
        <f aca="false">IF(A172="","",A172+Parametros!$B$3/24)</f>
        <v/>
      </c>
      <c r="D172" s="22" t="str">
        <f aca="false">IF(A172="","",C172+Parametros!$B$2/24)</f>
        <v/>
      </c>
      <c r="E172" s="24" t="str">
        <f aca="false">IF(A172="","",COUNTIFS(Modulo!$A$2:$A$5001,"&gt;="&amp;C172,Modulo!$A$2:$A$5001,"&lt;"&amp;D172,Modulo!$D$2:$D$5001,Parametros!$B$7))</f>
        <v/>
      </c>
      <c r="F172" s="23" t="str">
        <f aca="false">IF(A172="","",IF(E172=0,"",AVERAGEIFS(Modulo!$B$2:$B$5001,Modulo!$A$2:$A$5001,"&gt;="&amp;C172,Modulo!$A$2:$A$5001,"&lt;"&amp;D172,Modulo!$D$2:$D$5001,Parametros!$B$7)))</f>
        <v/>
      </c>
      <c r="G172" s="23" t="str">
        <f aca="false">IF(A172="","",IF(E172=0,"",AVERAGEIFS(Modulo!$C$2:$C$5001,Modulo!$A$2:$A$5001,"&gt;="&amp;C172,Modulo!$A$2:$A$5001,"&lt;"&amp;D172,Modulo!$D$2:$D$5001,Parametros!$B$7)))</f>
        <v/>
      </c>
      <c r="H172" s="25" t="str">
        <f aca="false">IF(A172="","",IFERROR(COUNTIFS(Amostragem!$A$2:$A$15003,"&gt;="&amp;C172,Amostragem!$A$2:$A$15003,"&lt;"&amp;D172,Amostragem!$B$2:$B$15003,"Automático",Amostragem!$C$2:$C$15003,"Automático",Amostragem!$D$2:$D$15003,0)/COUNTIFS(Amostragem!$A$2:$A$15003,"&gt;="&amp;C172,Amostragem!$A$2:$A$15003,"&lt;"&amp;D172),0))</f>
        <v/>
      </c>
      <c r="I172" s="23" t="str">
        <f aca="false">IF(A172="","",IFERROR(AVERAGEIFS(Amostragem!$E$2:$E$15003,Amostragem!$A$2:$A$15003,"&gt;="&amp;C172,Amostragem!$A$2:$A$15003,"&lt;"&amp;D172),""))</f>
        <v/>
      </c>
      <c r="J172" s="24" t="str">
        <f aca="false">IF(A172="","",IF(B172="","Inválida: sem resultado MES",IF(E172&lt;Parametros!$B$4,"Inválida: poucos ensaios do módulo",IF(H172&lt;Parametros!$B$5,"Inválida: amostragem em manual ou em falha",IF(OR(I172="",I172&lt;Parametros!$B$6),"Inválida: usina parada ou baixa alimentação","Válida")))))</f>
        <v/>
      </c>
      <c r="K172" s="23" t="str">
        <f aca="false">IF(J172="Válida",F172-B172,"")</f>
        <v/>
      </c>
      <c r="L172" s="26" t="str">
        <f aca="false">IF(J172="Válida",K172/B172,"")</f>
        <v/>
      </c>
      <c r="M172" s="23" t="str">
        <f aca="false">IF(J172="Válida",(F172+B172)/2,"")</f>
        <v/>
      </c>
      <c r="N172" s="24" t="str">
        <f aca="false">IF(K172="","",IF(OR(K172&gt;Resumo!$B$16,K172&lt;Resumo!$B$15),"Sim","Não"))</f>
        <v/>
      </c>
      <c r="O172" s="22" t="e">
        <f aca="false">IF(A172="",NA(),A172)</f>
        <v>#N/A</v>
      </c>
      <c r="P172" s="23" t="e">
        <f aca="false">IF(A172="",NA(),B172)</f>
        <v>#N/A</v>
      </c>
      <c r="Q172" s="23" t="e">
        <f aca="false">IF(F172="",NA(),F172)</f>
        <v>#N/A</v>
      </c>
      <c r="R172" s="23" t="e">
        <f aca="false">IF(K172="",NA(),K172)</f>
        <v>#N/A</v>
      </c>
      <c r="S172" s="23" t="e">
        <f aca="false">IF(M172="",NA(),M172)</f>
        <v>#N/A</v>
      </c>
      <c r="T172" s="23" t="str">
        <f aca="false">IF(J172="Válida",B172,"")</f>
        <v/>
      </c>
      <c r="U172" s="23" t="str">
        <f aca="false">IF(J172="Válida",F172,"")</f>
        <v/>
      </c>
    </row>
    <row r="173" customFormat="false" ht="15" hidden="false" customHeight="false" outlineLevel="0" collapsed="false">
      <c r="A173" s="22" t="str">
        <f aca="false">IF(MES!A173="","",MES!A173)</f>
        <v/>
      </c>
      <c r="B173" s="23" t="str">
        <f aca="false">IF(A173="","",MES!B173)</f>
        <v/>
      </c>
      <c r="C173" s="22" t="str">
        <f aca="false">IF(A173="","",A173+Parametros!$B$3/24)</f>
        <v/>
      </c>
      <c r="D173" s="22" t="str">
        <f aca="false">IF(A173="","",C173+Parametros!$B$2/24)</f>
        <v/>
      </c>
      <c r="E173" s="24" t="str">
        <f aca="false">IF(A173="","",COUNTIFS(Modulo!$A$2:$A$5001,"&gt;="&amp;C173,Modulo!$A$2:$A$5001,"&lt;"&amp;D173,Modulo!$D$2:$D$5001,Parametros!$B$7))</f>
        <v/>
      </c>
      <c r="F173" s="23" t="str">
        <f aca="false">IF(A173="","",IF(E173=0,"",AVERAGEIFS(Modulo!$B$2:$B$5001,Modulo!$A$2:$A$5001,"&gt;="&amp;C173,Modulo!$A$2:$A$5001,"&lt;"&amp;D173,Modulo!$D$2:$D$5001,Parametros!$B$7)))</f>
        <v/>
      </c>
      <c r="G173" s="23" t="str">
        <f aca="false">IF(A173="","",IF(E173=0,"",AVERAGEIFS(Modulo!$C$2:$C$5001,Modulo!$A$2:$A$5001,"&gt;="&amp;C173,Modulo!$A$2:$A$5001,"&lt;"&amp;D173,Modulo!$D$2:$D$5001,Parametros!$B$7)))</f>
        <v/>
      </c>
      <c r="H173" s="25" t="str">
        <f aca="false">IF(A173="","",IFERROR(COUNTIFS(Amostragem!$A$2:$A$15003,"&gt;="&amp;C173,Amostragem!$A$2:$A$15003,"&lt;"&amp;D173,Amostragem!$B$2:$B$15003,"Automático",Amostragem!$C$2:$C$15003,"Automático",Amostragem!$D$2:$D$15003,0)/COUNTIFS(Amostragem!$A$2:$A$15003,"&gt;="&amp;C173,Amostragem!$A$2:$A$15003,"&lt;"&amp;D173),0))</f>
        <v/>
      </c>
      <c r="I173" s="23" t="str">
        <f aca="false">IF(A173="","",IFERROR(AVERAGEIFS(Amostragem!$E$2:$E$15003,Amostragem!$A$2:$A$15003,"&gt;="&amp;C173,Amostragem!$A$2:$A$15003,"&lt;"&amp;D173),""))</f>
        <v/>
      </c>
      <c r="J173" s="24" t="str">
        <f aca="false">IF(A173="","",IF(B173="","Inválida: sem resultado MES",IF(E173&lt;Parametros!$B$4,"Inválida: poucos ensaios do módulo",IF(H173&lt;Parametros!$B$5,"Inválida: amostragem em manual ou em falha",IF(OR(I173="",I173&lt;Parametros!$B$6),"Inválida: usina parada ou baixa alimentação","Válida")))))</f>
        <v/>
      </c>
      <c r="K173" s="23" t="str">
        <f aca="false">IF(J173="Válida",F173-B173,"")</f>
        <v/>
      </c>
      <c r="L173" s="26" t="str">
        <f aca="false">IF(J173="Válida",K173/B173,"")</f>
        <v/>
      </c>
      <c r="M173" s="23" t="str">
        <f aca="false">IF(J173="Válida",(F173+B173)/2,"")</f>
        <v/>
      </c>
      <c r="N173" s="24" t="str">
        <f aca="false">IF(K173="","",IF(OR(K173&gt;Resumo!$B$16,K173&lt;Resumo!$B$15),"Sim","Não"))</f>
        <v/>
      </c>
      <c r="O173" s="22" t="e">
        <f aca="false">IF(A173="",NA(),A173)</f>
        <v>#N/A</v>
      </c>
      <c r="P173" s="23" t="e">
        <f aca="false">IF(A173="",NA(),B173)</f>
        <v>#N/A</v>
      </c>
      <c r="Q173" s="23" t="e">
        <f aca="false">IF(F173="",NA(),F173)</f>
        <v>#N/A</v>
      </c>
      <c r="R173" s="23" t="e">
        <f aca="false">IF(K173="",NA(),K173)</f>
        <v>#N/A</v>
      </c>
      <c r="S173" s="23" t="e">
        <f aca="false">IF(M173="",NA(),M173)</f>
        <v>#N/A</v>
      </c>
      <c r="T173" s="23" t="str">
        <f aca="false">IF(J173="Válida",B173,"")</f>
        <v/>
      </c>
      <c r="U173" s="23" t="str">
        <f aca="false">IF(J173="Válida",F173,"")</f>
        <v/>
      </c>
    </row>
    <row r="174" customFormat="false" ht="15" hidden="false" customHeight="false" outlineLevel="0" collapsed="false">
      <c r="A174" s="22" t="str">
        <f aca="false">IF(MES!A174="","",MES!A174)</f>
        <v/>
      </c>
      <c r="B174" s="23" t="str">
        <f aca="false">IF(A174="","",MES!B174)</f>
        <v/>
      </c>
      <c r="C174" s="22" t="str">
        <f aca="false">IF(A174="","",A174+Parametros!$B$3/24)</f>
        <v/>
      </c>
      <c r="D174" s="22" t="str">
        <f aca="false">IF(A174="","",C174+Parametros!$B$2/24)</f>
        <v/>
      </c>
      <c r="E174" s="24" t="str">
        <f aca="false">IF(A174="","",COUNTIFS(Modulo!$A$2:$A$5001,"&gt;="&amp;C174,Modulo!$A$2:$A$5001,"&lt;"&amp;D174,Modulo!$D$2:$D$5001,Parametros!$B$7))</f>
        <v/>
      </c>
      <c r="F174" s="23" t="str">
        <f aca="false">IF(A174="","",IF(E174=0,"",AVERAGEIFS(Modulo!$B$2:$B$5001,Modulo!$A$2:$A$5001,"&gt;="&amp;C174,Modulo!$A$2:$A$5001,"&lt;"&amp;D174,Modulo!$D$2:$D$5001,Parametros!$B$7)))</f>
        <v/>
      </c>
      <c r="G174" s="23" t="str">
        <f aca="false">IF(A174="","",IF(E174=0,"",AVERAGEIFS(Modulo!$C$2:$C$5001,Modulo!$A$2:$A$5001,"&gt;="&amp;C174,Modulo!$A$2:$A$5001,"&lt;"&amp;D174,Modulo!$D$2:$D$5001,Parametros!$B$7)))</f>
        <v/>
      </c>
      <c r="H174" s="25" t="str">
        <f aca="false">IF(A174="","",IFERROR(COUNTIFS(Amostragem!$A$2:$A$15003,"&gt;="&amp;C174,Amostragem!$A$2:$A$15003,"&lt;"&amp;D174,Amostragem!$B$2:$B$15003,"Automático",Amostragem!$C$2:$C$15003,"Automático",Amostragem!$D$2:$D$15003,0)/COUNTIFS(Amostragem!$A$2:$A$15003,"&gt;="&amp;C174,Amostragem!$A$2:$A$15003,"&lt;"&amp;D174),0))</f>
        <v/>
      </c>
      <c r="I174" s="23" t="str">
        <f aca="false">IF(A174="","",IFERROR(AVERAGEIFS(Amostragem!$E$2:$E$15003,Amostragem!$A$2:$A$15003,"&gt;="&amp;C174,Amostragem!$A$2:$A$15003,"&lt;"&amp;D174),""))</f>
        <v/>
      </c>
      <c r="J174" s="24" t="str">
        <f aca="false">IF(A174="","",IF(B174="","Inválida: sem resultado MES",IF(E174&lt;Parametros!$B$4,"Inválida: poucos ensaios do módulo",IF(H174&lt;Parametros!$B$5,"Inválida: amostragem em manual ou em falha",IF(OR(I174="",I174&lt;Parametros!$B$6),"Inválida: usina parada ou baixa alimentação","Válida")))))</f>
        <v/>
      </c>
      <c r="K174" s="23" t="str">
        <f aca="false">IF(J174="Válida",F174-B174,"")</f>
        <v/>
      </c>
      <c r="L174" s="26" t="str">
        <f aca="false">IF(J174="Válida",K174/B174,"")</f>
        <v/>
      </c>
      <c r="M174" s="23" t="str">
        <f aca="false">IF(J174="Válida",(F174+B174)/2,"")</f>
        <v/>
      </c>
      <c r="N174" s="24" t="str">
        <f aca="false">IF(K174="","",IF(OR(K174&gt;Resumo!$B$16,K174&lt;Resumo!$B$15),"Sim","Não"))</f>
        <v/>
      </c>
      <c r="O174" s="22" t="e">
        <f aca="false">IF(A174="",NA(),A174)</f>
        <v>#N/A</v>
      </c>
      <c r="P174" s="23" t="e">
        <f aca="false">IF(A174="",NA(),B174)</f>
        <v>#N/A</v>
      </c>
      <c r="Q174" s="23" t="e">
        <f aca="false">IF(F174="",NA(),F174)</f>
        <v>#N/A</v>
      </c>
      <c r="R174" s="23" t="e">
        <f aca="false">IF(K174="",NA(),K174)</f>
        <v>#N/A</v>
      </c>
      <c r="S174" s="23" t="e">
        <f aca="false">IF(M174="",NA(),M174)</f>
        <v>#N/A</v>
      </c>
      <c r="T174" s="23" t="str">
        <f aca="false">IF(J174="Válida",B174,"")</f>
        <v/>
      </c>
      <c r="U174" s="23" t="str">
        <f aca="false">IF(J174="Válida",F174,"")</f>
        <v/>
      </c>
    </row>
    <row r="175" customFormat="false" ht="15" hidden="false" customHeight="false" outlineLevel="0" collapsed="false">
      <c r="A175" s="22" t="str">
        <f aca="false">IF(MES!A175="","",MES!A175)</f>
        <v/>
      </c>
      <c r="B175" s="23" t="str">
        <f aca="false">IF(A175="","",MES!B175)</f>
        <v/>
      </c>
      <c r="C175" s="22" t="str">
        <f aca="false">IF(A175="","",A175+Parametros!$B$3/24)</f>
        <v/>
      </c>
      <c r="D175" s="22" t="str">
        <f aca="false">IF(A175="","",C175+Parametros!$B$2/24)</f>
        <v/>
      </c>
      <c r="E175" s="24" t="str">
        <f aca="false">IF(A175="","",COUNTIFS(Modulo!$A$2:$A$5001,"&gt;="&amp;C175,Modulo!$A$2:$A$5001,"&lt;"&amp;D175,Modulo!$D$2:$D$5001,Parametros!$B$7))</f>
        <v/>
      </c>
      <c r="F175" s="23" t="str">
        <f aca="false">IF(A175="","",IF(E175=0,"",AVERAGEIFS(Modulo!$B$2:$B$5001,Modulo!$A$2:$A$5001,"&gt;="&amp;C175,Modulo!$A$2:$A$5001,"&lt;"&amp;D175,Modulo!$D$2:$D$5001,Parametros!$B$7)))</f>
        <v/>
      </c>
      <c r="G175" s="23" t="str">
        <f aca="false">IF(A175="","",IF(E175=0,"",AVERAGEIFS(Modulo!$C$2:$C$5001,Modulo!$A$2:$A$5001,"&gt;="&amp;C175,Modulo!$A$2:$A$5001,"&lt;"&amp;D175,Modulo!$D$2:$D$5001,Parametros!$B$7)))</f>
        <v/>
      </c>
      <c r="H175" s="25" t="str">
        <f aca="false">IF(A175="","",IFERROR(COUNTIFS(Amostragem!$A$2:$A$15003,"&gt;="&amp;C175,Amostragem!$A$2:$A$15003,"&lt;"&amp;D175,Amostragem!$B$2:$B$15003,"Automático",Amostragem!$C$2:$C$15003,"Automático",Amostragem!$D$2:$D$15003,0)/COUNTIFS(Amostragem!$A$2:$A$15003,"&gt;="&amp;C175,Amostragem!$A$2:$A$15003,"&lt;"&amp;D175),0))</f>
        <v/>
      </c>
      <c r="I175" s="23" t="str">
        <f aca="false">IF(A175="","",IFERROR(AVERAGEIFS(Amostragem!$E$2:$E$15003,Amostragem!$A$2:$A$15003,"&gt;="&amp;C175,Amostragem!$A$2:$A$15003,"&lt;"&amp;D175),""))</f>
        <v/>
      </c>
      <c r="J175" s="24" t="str">
        <f aca="false">IF(A175="","",IF(B175="","Inválida: sem resultado MES",IF(E175&lt;Parametros!$B$4,"Inválida: poucos ensaios do módulo",IF(H175&lt;Parametros!$B$5,"Inválida: amostragem em manual ou em falha",IF(OR(I175="",I175&lt;Parametros!$B$6),"Inválida: usina parada ou baixa alimentação","Válida")))))</f>
        <v/>
      </c>
      <c r="K175" s="23" t="str">
        <f aca="false">IF(J175="Válida",F175-B175,"")</f>
        <v/>
      </c>
      <c r="L175" s="26" t="str">
        <f aca="false">IF(J175="Válida",K175/B175,"")</f>
        <v/>
      </c>
      <c r="M175" s="23" t="str">
        <f aca="false">IF(J175="Válida",(F175+B175)/2,"")</f>
        <v/>
      </c>
      <c r="N175" s="24" t="str">
        <f aca="false">IF(K175="","",IF(OR(K175&gt;Resumo!$B$16,K175&lt;Resumo!$B$15),"Sim","Não"))</f>
        <v/>
      </c>
      <c r="O175" s="22" t="e">
        <f aca="false">IF(A175="",NA(),A175)</f>
        <v>#N/A</v>
      </c>
      <c r="P175" s="23" t="e">
        <f aca="false">IF(A175="",NA(),B175)</f>
        <v>#N/A</v>
      </c>
      <c r="Q175" s="23" t="e">
        <f aca="false">IF(F175="",NA(),F175)</f>
        <v>#N/A</v>
      </c>
      <c r="R175" s="23" t="e">
        <f aca="false">IF(K175="",NA(),K175)</f>
        <v>#N/A</v>
      </c>
      <c r="S175" s="23" t="e">
        <f aca="false">IF(M175="",NA(),M175)</f>
        <v>#N/A</v>
      </c>
      <c r="T175" s="23" t="str">
        <f aca="false">IF(J175="Válida",B175,"")</f>
        <v/>
      </c>
      <c r="U175" s="23" t="str">
        <f aca="false">IF(J175="Válida",F175,"")</f>
        <v/>
      </c>
    </row>
    <row r="176" customFormat="false" ht="15" hidden="false" customHeight="false" outlineLevel="0" collapsed="false">
      <c r="A176" s="22" t="str">
        <f aca="false">IF(MES!A176="","",MES!A176)</f>
        <v/>
      </c>
      <c r="B176" s="23" t="str">
        <f aca="false">IF(A176="","",MES!B176)</f>
        <v/>
      </c>
      <c r="C176" s="22" t="str">
        <f aca="false">IF(A176="","",A176+Parametros!$B$3/24)</f>
        <v/>
      </c>
      <c r="D176" s="22" t="str">
        <f aca="false">IF(A176="","",C176+Parametros!$B$2/24)</f>
        <v/>
      </c>
      <c r="E176" s="24" t="str">
        <f aca="false">IF(A176="","",COUNTIFS(Modulo!$A$2:$A$5001,"&gt;="&amp;C176,Modulo!$A$2:$A$5001,"&lt;"&amp;D176,Modulo!$D$2:$D$5001,Parametros!$B$7))</f>
        <v/>
      </c>
      <c r="F176" s="23" t="str">
        <f aca="false">IF(A176="","",IF(E176=0,"",AVERAGEIFS(Modulo!$B$2:$B$5001,Modulo!$A$2:$A$5001,"&gt;="&amp;C176,Modulo!$A$2:$A$5001,"&lt;"&amp;D176,Modulo!$D$2:$D$5001,Parametros!$B$7)))</f>
        <v/>
      </c>
      <c r="G176" s="23" t="str">
        <f aca="false">IF(A176="","",IF(E176=0,"",AVERAGEIFS(Modulo!$C$2:$C$5001,Modulo!$A$2:$A$5001,"&gt;="&amp;C176,Modulo!$A$2:$A$5001,"&lt;"&amp;D176,Modulo!$D$2:$D$5001,Parametros!$B$7)))</f>
        <v/>
      </c>
      <c r="H176" s="25" t="str">
        <f aca="false">IF(A176="","",IFERROR(COUNTIFS(Amostragem!$A$2:$A$15003,"&gt;="&amp;C176,Amostragem!$A$2:$A$15003,"&lt;"&amp;D176,Amostragem!$B$2:$B$15003,"Automático",Amostragem!$C$2:$C$15003,"Automático",Amostragem!$D$2:$D$15003,0)/COUNTIFS(Amostragem!$A$2:$A$15003,"&gt;="&amp;C176,Amostragem!$A$2:$A$15003,"&lt;"&amp;D176),0))</f>
        <v/>
      </c>
      <c r="I176" s="23" t="str">
        <f aca="false">IF(A176="","",IFERROR(AVERAGEIFS(Amostragem!$E$2:$E$15003,Amostragem!$A$2:$A$15003,"&gt;="&amp;C176,Amostragem!$A$2:$A$15003,"&lt;"&amp;D176),""))</f>
        <v/>
      </c>
      <c r="J176" s="24" t="str">
        <f aca="false">IF(A176="","",IF(B176="","Inválida: sem resultado MES",IF(E176&lt;Parametros!$B$4,"Inválida: poucos ensaios do módulo",IF(H176&lt;Parametros!$B$5,"Inválida: amostragem em manual ou em falha",IF(OR(I176="",I176&lt;Parametros!$B$6),"Inválida: usina parada ou baixa alimentação","Válida")))))</f>
        <v/>
      </c>
      <c r="K176" s="23" t="str">
        <f aca="false">IF(J176="Válida",F176-B176,"")</f>
        <v/>
      </c>
      <c r="L176" s="26" t="str">
        <f aca="false">IF(J176="Válida",K176/B176,"")</f>
        <v/>
      </c>
      <c r="M176" s="23" t="str">
        <f aca="false">IF(J176="Válida",(F176+B176)/2,"")</f>
        <v/>
      </c>
      <c r="N176" s="24" t="str">
        <f aca="false">IF(K176="","",IF(OR(K176&gt;Resumo!$B$16,K176&lt;Resumo!$B$15),"Sim","Não"))</f>
        <v/>
      </c>
      <c r="O176" s="22" t="e">
        <f aca="false">IF(A176="",NA(),A176)</f>
        <v>#N/A</v>
      </c>
      <c r="P176" s="23" t="e">
        <f aca="false">IF(A176="",NA(),B176)</f>
        <v>#N/A</v>
      </c>
      <c r="Q176" s="23" t="e">
        <f aca="false">IF(F176="",NA(),F176)</f>
        <v>#N/A</v>
      </c>
      <c r="R176" s="23" t="e">
        <f aca="false">IF(K176="",NA(),K176)</f>
        <v>#N/A</v>
      </c>
      <c r="S176" s="23" t="e">
        <f aca="false">IF(M176="",NA(),M176)</f>
        <v>#N/A</v>
      </c>
      <c r="T176" s="23" t="str">
        <f aca="false">IF(J176="Válida",B176,"")</f>
        <v/>
      </c>
      <c r="U176" s="23" t="str">
        <f aca="false">IF(J176="Válida",F176,"")</f>
        <v/>
      </c>
    </row>
    <row r="177" customFormat="false" ht="15" hidden="false" customHeight="false" outlineLevel="0" collapsed="false">
      <c r="A177" s="22" t="str">
        <f aca="false">IF(MES!A177="","",MES!A177)</f>
        <v/>
      </c>
      <c r="B177" s="23" t="str">
        <f aca="false">IF(A177="","",MES!B177)</f>
        <v/>
      </c>
      <c r="C177" s="22" t="str">
        <f aca="false">IF(A177="","",A177+Parametros!$B$3/24)</f>
        <v/>
      </c>
      <c r="D177" s="22" t="str">
        <f aca="false">IF(A177="","",C177+Parametros!$B$2/24)</f>
        <v/>
      </c>
      <c r="E177" s="24" t="str">
        <f aca="false">IF(A177="","",COUNTIFS(Modulo!$A$2:$A$5001,"&gt;="&amp;C177,Modulo!$A$2:$A$5001,"&lt;"&amp;D177,Modulo!$D$2:$D$5001,Parametros!$B$7))</f>
        <v/>
      </c>
      <c r="F177" s="23" t="str">
        <f aca="false">IF(A177="","",IF(E177=0,"",AVERAGEIFS(Modulo!$B$2:$B$5001,Modulo!$A$2:$A$5001,"&gt;="&amp;C177,Modulo!$A$2:$A$5001,"&lt;"&amp;D177,Modulo!$D$2:$D$5001,Parametros!$B$7)))</f>
        <v/>
      </c>
      <c r="G177" s="23" t="str">
        <f aca="false">IF(A177="","",IF(E177=0,"",AVERAGEIFS(Modulo!$C$2:$C$5001,Modulo!$A$2:$A$5001,"&gt;="&amp;C177,Modulo!$A$2:$A$5001,"&lt;"&amp;D177,Modulo!$D$2:$D$5001,Parametros!$B$7)))</f>
        <v/>
      </c>
      <c r="H177" s="25" t="str">
        <f aca="false">IF(A177="","",IFERROR(COUNTIFS(Amostragem!$A$2:$A$15003,"&gt;="&amp;C177,Amostragem!$A$2:$A$15003,"&lt;"&amp;D177,Amostragem!$B$2:$B$15003,"Automático",Amostragem!$C$2:$C$15003,"Automático",Amostragem!$D$2:$D$15003,0)/COUNTIFS(Amostragem!$A$2:$A$15003,"&gt;="&amp;C177,Amostragem!$A$2:$A$15003,"&lt;"&amp;D177),0))</f>
        <v/>
      </c>
      <c r="I177" s="23" t="str">
        <f aca="false">IF(A177="","",IFERROR(AVERAGEIFS(Amostragem!$E$2:$E$15003,Amostragem!$A$2:$A$15003,"&gt;="&amp;C177,Amostragem!$A$2:$A$15003,"&lt;"&amp;D177),""))</f>
        <v/>
      </c>
      <c r="J177" s="24" t="str">
        <f aca="false">IF(A177="","",IF(B177="","Inválida: sem resultado MES",IF(E177&lt;Parametros!$B$4,"Inválida: poucos ensaios do módulo",IF(H177&lt;Parametros!$B$5,"Inválida: amostragem em manual ou em falha",IF(OR(I177="",I177&lt;Parametros!$B$6),"Inválida: usina parada ou baixa alimentação","Válida")))))</f>
        <v/>
      </c>
      <c r="K177" s="23" t="str">
        <f aca="false">IF(J177="Válida",F177-B177,"")</f>
        <v/>
      </c>
      <c r="L177" s="26" t="str">
        <f aca="false">IF(J177="Válida",K177/B177,"")</f>
        <v/>
      </c>
      <c r="M177" s="23" t="str">
        <f aca="false">IF(J177="Válida",(F177+B177)/2,"")</f>
        <v/>
      </c>
      <c r="N177" s="24" t="str">
        <f aca="false">IF(K177="","",IF(OR(K177&gt;Resumo!$B$16,K177&lt;Resumo!$B$15),"Sim","Não"))</f>
        <v/>
      </c>
      <c r="O177" s="22" t="e">
        <f aca="false">IF(A177="",NA(),A177)</f>
        <v>#N/A</v>
      </c>
      <c r="P177" s="23" t="e">
        <f aca="false">IF(A177="",NA(),B177)</f>
        <v>#N/A</v>
      </c>
      <c r="Q177" s="23" t="e">
        <f aca="false">IF(F177="",NA(),F177)</f>
        <v>#N/A</v>
      </c>
      <c r="R177" s="23" t="e">
        <f aca="false">IF(K177="",NA(),K177)</f>
        <v>#N/A</v>
      </c>
      <c r="S177" s="23" t="e">
        <f aca="false">IF(M177="",NA(),M177)</f>
        <v>#N/A</v>
      </c>
      <c r="T177" s="23" t="str">
        <f aca="false">IF(J177="Válida",B177,"")</f>
        <v/>
      </c>
      <c r="U177" s="23" t="str">
        <f aca="false">IF(J177="Válida",F177,"")</f>
        <v/>
      </c>
    </row>
    <row r="178" customFormat="false" ht="15" hidden="false" customHeight="false" outlineLevel="0" collapsed="false">
      <c r="A178" s="22" t="str">
        <f aca="false">IF(MES!A178="","",MES!A178)</f>
        <v/>
      </c>
      <c r="B178" s="23" t="str">
        <f aca="false">IF(A178="","",MES!B178)</f>
        <v/>
      </c>
      <c r="C178" s="22" t="str">
        <f aca="false">IF(A178="","",A178+Parametros!$B$3/24)</f>
        <v/>
      </c>
      <c r="D178" s="22" t="str">
        <f aca="false">IF(A178="","",C178+Parametros!$B$2/24)</f>
        <v/>
      </c>
      <c r="E178" s="24" t="str">
        <f aca="false">IF(A178="","",COUNTIFS(Modulo!$A$2:$A$5001,"&gt;="&amp;C178,Modulo!$A$2:$A$5001,"&lt;"&amp;D178,Modulo!$D$2:$D$5001,Parametros!$B$7))</f>
        <v/>
      </c>
      <c r="F178" s="23" t="str">
        <f aca="false">IF(A178="","",IF(E178=0,"",AVERAGEIFS(Modulo!$B$2:$B$5001,Modulo!$A$2:$A$5001,"&gt;="&amp;C178,Modulo!$A$2:$A$5001,"&lt;"&amp;D178,Modulo!$D$2:$D$5001,Parametros!$B$7)))</f>
        <v/>
      </c>
      <c r="G178" s="23" t="str">
        <f aca="false">IF(A178="","",IF(E178=0,"",AVERAGEIFS(Modulo!$C$2:$C$5001,Modulo!$A$2:$A$5001,"&gt;="&amp;C178,Modulo!$A$2:$A$5001,"&lt;"&amp;D178,Modulo!$D$2:$D$5001,Parametros!$B$7)))</f>
        <v/>
      </c>
      <c r="H178" s="25" t="str">
        <f aca="false">IF(A178="","",IFERROR(COUNTIFS(Amostragem!$A$2:$A$15003,"&gt;="&amp;C178,Amostragem!$A$2:$A$15003,"&lt;"&amp;D178,Amostragem!$B$2:$B$15003,"Automático",Amostragem!$C$2:$C$15003,"Automático",Amostragem!$D$2:$D$15003,0)/COUNTIFS(Amostragem!$A$2:$A$15003,"&gt;="&amp;C178,Amostragem!$A$2:$A$15003,"&lt;"&amp;D178),0))</f>
        <v/>
      </c>
      <c r="I178" s="23" t="str">
        <f aca="false">IF(A178="","",IFERROR(AVERAGEIFS(Amostragem!$E$2:$E$15003,Amostragem!$A$2:$A$15003,"&gt;="&amp;C178,Amostragem!$A$2:$A$15003,"&lt;"&amp;D178),""))</f>
        <v/>
      </c>
      <c r="J178" s="24" t="str">
        <f aca="false">IF(A178="","",IF(B178="","Inválida: sem resultado MES",IF(E178&lt;Parametros!$B$4,"Inválida: poucos ensaios do módulo",IF(H178&lt;Parametros!$B$5,"Inválida: amostragem em manual ou em falha",IF(OR(I178="",I178&lt;Parametros!$B$6),"Inválida: usina parada ou baixa alimentação","Válida")))))</f>
        <v/>
      </c>
      <c r="K178" s="23" t="str">
        <f aca="false">IF(J178="Válida",F178-B178,"")</f>
        <v/>
      </c>
      <c r="L178" s="26" t="str">
        <f aca="false">IF(J178="Válida",K178/B178,"")</f>
        <v/>
      </c>
      <c r="M178" s="23" t="str">
        <f aca="false">IF(J178="Válida",(F178+B178)/2,"")</f>
        <v/>
      </c>
      <c r="N178" s="24" t="str">
        <f aca="false">IF(K178="","",IF(OR(K178&gt;Resumo!$B$16,K178&lt;Resumo!$B$15),"Sim","Não"))</f>
        <v/>
      </c>
      <c r="O178" s="22" t="e">
        <f aca="false">IF(A178="",NA(),A178)</f>
        <v>#N/A</v>
      </c>
      <c r="P178" s="23" t="e">
        <f aca="false">IF(A178="",NA(),B178)</f>
        <v>#N/A</v>
      </c>
      <c r="Q178" s="23" t="e">
        <f aca="false">IF(F178="",NA(),F178)</f>
        <v>#N/A</v>
      </c>
      <c r="R178" s="23" t="e">
        <f aca="false">IF(K178="",NA(),K178)</f>
        <v>#N/A</v>
      </c>
      <c r="S178" s="23" t="e">
        <f aca="false">IF(M178="",NA(),M178)</f>
        <v>#N/A</v>
      </c>
      <c r="T178" s="23" t="str">
        <f aca="false">IF(J178="Válida",B178,"")</f>
        <v/>
      </c>
      <c r="U178" s="23" t="str">
        <f aca="false">IF(J178="Válida",F178,"")</f>
        <v/>
      </c>
    </row>
    <row r="179" customFormat="false" ht="15" hidden="false" customHeight="false" outlineLevel="0" collapsed="false">
      <c r="A179" s="22" t="str">
        <f aca="false">IF(MES!A179="","",MES!A179)</f>
        <v/>
      </c>
      <c r="B179" s="23" t="str">
        <f aca="false">IF(A179="","",MES!B179)</f>
        <v/>
      </c>
      <c r="C179" s="22" t="str">
        <f aca="false">IF(A179="","",A179+Parametros!$B$3/24)</f>
        <v/>
      </c>
      <c r="D179" s="22" t="str">
        <f aca="false">IF(A179="","",C179+Parametros!$B$2/24)</f>
        <v/>
      </c>
      <c r="E179" s="24" t="str">
        <f aca="false">IF(A179="","",COUNTIFS(Modulo!$A$2:$A$5001,"&gt;="&amp;C179,Modulo!$A$2:$A$5001,"&lt;"&amp;D179,Modulo!$D$2:$D$5001,Parametros!$B$7))</f>
        <v/>
      </c>
      <c r="F179" s="23" t="str">
        <f aca="false">IF(A179="","",IF(E179=0,"",AVERAGEIFS(Modulo!$B$2:$B$5001,Modulo!$A$2:$A$5001,"&gt;="&amp;C179,Modulo!$A$2:$A$5001,"&lt;"&amp;D179,Modulo!$D$2:$D$5001,Parametros!$B$7)))</f>
        <v/>
      </c>
      <c r="G179" s="23" t="str">
        <f aca="false">IF(A179="","",IF(E179=0,"",AVERAGEIFS(Modulo!$C$2:$C$5001,Modulo!$A$2:$A$5001,"&gt;="&amp;C179,Modulo!$A$2:$A$5001,"&lt;"&amp;D179,Modulo!$D$2:$D$5001,Parametros!$B$7)))</f>
        <v/>
      </c>
      <c r="H179" s="25" t="str">
        <f aca="false">IF(A179="","",IFERROR(COUNTIFS(Amostragem!$A$2:$A$15003,"&gt;="&amp;C179,Amostragem!$A$2:$A$15003,"&lt;"&amp;D179,Amostragem!$B$2:$B$15003,"Automático",Amostragem!$C$2:$C$15003,"Automático",Amostragem!$D$2:$D$15003,0)/COUNTIFS(Amostragem!$A$2:$A$15003,"&gt;="&amp;C179,Amostragem!$A$2:$A$15003,"&lt;"&amp;D179),0))</f>
        <v/>
      </c>
      <c r="I179" s="23" t="str">
        <f aca="false">IF(A179="","",IFERROR(AVERAGEIFS(Amostragem!$E$2:$E$15003,Amostragem!$A$2:$A$15003,"&gt;="&amp;C179,Amostragem!$A$2:$A$15003,"&lt;"&amp;D179),""))</f>
        <v/>
      </c>
      <c r="J179" s="24" t="str">
        <f aca="false">IF(A179="","",IF(B179="","Inválida: sem resultado MES",IF(E179&lt;Parametros!$B$4,"Inválida: poucos ensaios do módulo",IF(H179&lt;Parametros!$B$5,"Inválida: amostragem em manual ou em falha",IF(OR(I179="",I179&lt;Parametros!$B$6),"Inválida: usina parada ou baixa alimentação","Válida")))))</f>
        <v/>
      </c>
      <c r="K179" s="23" t="str">
        <f aca="false">IF(J179="Válida",F179-B179,"")</f>
        <v/>
      </c>
      <c r="L179" s="26" t="str">
        <f aca="false">IF(J179="Válida",K179/B179,"")</f>
        <v/>
      </c>
      <c r="M179" s="23" t="str">
        <f aca="false">IF(J179="Válida",(F179+B179)/2,"")</f>
        <v/>
      </c>
      <c r="N179" s="24" t="str">
        <f aca="false">IF(K179="","",IF(OR(K179&gt;Resumo!$B$16,K179&lt;Resumo!$B$15),"Sim","Não"))</f>
        <v/>
      </c>
      <c r="O179" s="22" t="e">
        <f aca="false">IF(A179="",NA(),A179)</f>
        <v>#N/A</v>
      </c>
      <c r="P179" s="23" t="e">
        <f aca="false">IF(A179="",NA(),B179)</f>
        <v>#N/A</v>
      </c>
      <c r="Q179" s="23" t="e">
        <f aca="false">IF(F179="",NA(),F179)</f>
        <v>#N/A</v>
      </c>
      <c r="R179" s="23" t="e">
        <f aca="false">IF(K179="",NA(),K179)</f>
        <v>#N/A</v>
      </c>
      <c r="S179" s="23" t="e">
        <f aca="false">IF(M179="",NA(),M179)</f>
        <v>#N/A</v>
      </c>
      <c r="T179" s="23" t="str">
        <f aca="false">IF(J179="Válida",B179,"")</f>
        <v/>
      </c>
      <c r="U179" s="23" t="str">
        <f aca="false">IF(J179="Válida",F179,"")</f>
        <v/>
      </c>
    </row>
    <row r="180" customFormat="false" ht="15" hidden="false" customHeight="false" outlineLevel="0" collapsed="false">
      <c r="A180" s="22" t="str">
        <f aca="false">IF(MES!A180="","",MES!A180)</f>
        <v/>
      </c>
      <c r="B180" s="23" t="str">
        <f aca="false">IF(A180="","",MES!B180)</f>
        <v/>
      </c>
      <c r="C180" s="22" t="str">
        <f aca="false">IF(A180="","",A180+Parametros!$B$3/24)</f>
        <v/>
      </c>
      <c r="D180" s="22" t="str">
        <f aca="false">IF(A180="","",C180+Parametros!$B$2/24)</f>
        <v/>
      </c>
      <c r="E180" s="24" t="str">
        <f aca="false">IF(A180="","",COUNTIFS(Modulo!$A$2:$A$5001,"&gt;="&amp;C180,Modulo!$A$2:$A$5001,"&lt;"&amp;D180,Modulo!$D$2:$D$5001,Parametros!$B$7))</f>
        <v/>
      </c>
      <c r="F180" s="23" t="str">
        <f aca="false">IF(A180="","",IF(E180=0,"",AVERAGEIFS(Modulo!$B$2:$B$5001,Modulo!$A$2:$A$5001,"&gt;="&amp;C180,Modulo!$A$2:$A$5001,"&lt;"&amp;D180,Modulo!$D$2:$D$5001,Parametros!$B$7)))</f>
        <v/>
      </c>
      <c r="G180" s="23" t="str">
        <f aca="false">IF(A180="","",IF(E180=0,"",AVERAGEIFS(Modulo!$C$2:$C$5001,Modulo!$A$2:$A$5001,"&gt;="&amp;C180,Modulo!$A$2:$A$5001,"&lt;"&amp;D180,Modulo!$D$2:$D$5001,Parametros!$B$7)))</f>
        <v/>
      </c>
      <c r="H180" s="25" t="str">
        <f aca="false">IF(A180="","",IFERROR(COUNTIFS(Amostragem!$A$2:$A$15003,"&gt;="&amp;C180,Amostragem!$A$2:$A$15003,"&lt;"&amp;D180,Amostragem!$B$2:$B$15003,"Automático",Amostragem!$C$2:$C$15003,"Automático",Amostragem!$D$2:$D$15003,0)/COUNTIFS(Amostragem!$A$2:$A$15003,"&gt;="&amp;C180,Amostragem!$A$2:$A$15003,"&lt;"&amp;D180),0))</f>
        <v/>
      </c>
      <c r="I180" s="23" t="str">
        <f aca="false">IF(A180="","",IFERROR(AVERAGEIFS(Amostragem!$E$2:$E$15003,Amostragem!$A$2:$A$15003,"&gt;="&amp;C180,Amostragem!$A$2:$A$15003,"&lt;"&amp;D180),""))</f>
        <v/>
      </c>
      <c r="J180" s="24" t="str">
        <f aca="false">IF(A180="","",IF(B180="","Inválida: sem resultado MES",IF(E180&lt;Parametros!$B$4,"Inválida: poucos ensaios do módulo",IF(H180&lt;Parametros!$B$5,"Inválida: amostragem em manual ou em falha",IF(OR(I180="",I180&lt;Parametros!$B$6),"Inválida: usina parada ou baixa alimentação","Válida")))))</f>
        <v/>
      </c>
      <c r="K180" s="23" t="str">
        <f aca="false">IF(J180="Válida",F180-B180,"")</f>
        <v/>
      </c>
      <c r="L180" s="26" t="str">
        <f aca="false">IF(J180="Válida",K180/B180,"")</f>
        <v/>
      </c>
      <c r="M180" s="23" t="str">
        <f aca="false">IF(J180="Válida",(F180+B180)/2,"")</f>
        <v/>
      </c>
      <c r="N180" s="24" t="str">
        <f aca="false">IF(K180="","",IF(OR(K180&gt;Resumo!$B$16,K180&lt;Resumo!$B$15),"Sim","Não"))</f>
        <v/>
      </c>
      <c r="O180" s="22" t="e">
        <f aca="false">IF(A180="",NA(),A180)</f>
        <v>#N/A</v>
      </c>
      <c r="P180" s="23" t="e">
        <f aca="false">IF(A180="",NA(),B180)</f>
        <v>#N/A</v>
      </c>
      <c r="Q180" s="23" t="e">
        <f aca="false">IF(F180="",NA(),F180)</f>
        <v>#N/A</v>
      </c>
      <c r="R180" s="23" t="e">
        <f aca="false">IF(K180="",NA(),K180)</f>
        <v>#N/A</v>
      </c>
      <c r="S180" s="23" t="e">
        <f aca="false">IF(M180="",NA(),M180)</f>
        <v>#N/A</v>
      </c>
      <c r="T180" s="23" t="str">
        <f aca="false">IF(J180="Válida",B180,"")</f>
        <v/>
      </c>
      <c r="U180" s="23" t="str">
        <f aca="false">IF(J180="Válida",F180,"")</f>
        <v/>
      </c>
    </row>
    <row r="181" customFormat="false" ht="15" hidden="false" customHeight="false" outlineLevel="0" collapsed="false">
      <c r="A181" s="22" t="str">
        <f aca="false">IF(MES!A181="","",MES!A181)</f>
        <v/>
      </c>
      <c r="B181" s="23" t="str">
        <f aca="false">IF(A181="","",MES!B181)</f>
        <v/>
      </c>
      <c r="C181" s="22" t="str">
        <f aca="false">IF(A181="","",A181+Parametros!$B$3/24)</f>
        <v/>
      </c>
      <c r="D181" s="22" t="str">
        <f aca="false">IF(A181="","",C181+Parametros!$B$2/24)</f>
        <v/>
      </c>
      <c r="E181" s="24" t="str">
        <f aca="false">IF(A181="","",COUNTIFS(Modulo!$A$2:$A$5001,"&gt;="&amp;C181,Modulo!$A$2:$A$5001,"&lt;"&amp;D181,Modulo!$D$2:$D$5001,Parametros!$B$7))</f>
        <v/>
      </c>
      <c r="F181" s="23" t="str">
        <f aca="false">IF(A181="","",IF(E181=0,"",AVERAGEIFS(Modulo!$B$2:$B$5001,Modulo!$A$2:$A$5001,"&gt;="&amp;C181,Modulo!$A$2:$A$5001,"&lt;"&amp;D181,Modulo!$D$2:$D$5001,Parametros!$B$7)))</f>
        <v/>
      </c>
      <c r="G181" s="23" t="str">
        <f aca="false">IF(A181="","",IF(E181=0,"",AVERAGEIFS(Modulo!$C$2:$C$5001,Modulo!$A$2:$A$5001,"&gt;="&amp;C181,Modulo!$A$2:$A$5001,"&lt;"&amp;D181,Modulo!$D$2:$D$5001,Parametros!$B$7)))</f>
        <v/>
      </c>
      <c r="H181" s="25" t="str">
        <f aca="false">IF(A181="","",IFERROR(COUNTIFS(Amostragem!$A$2:$A$15003,"&gt;="&amp;C181,Amostragem!$A$2:$A$15003,"&lt;"&amp;D181,Amostragem!$B$2:$B$15003,"Automático",Amostragem!$C$2:$C$15003,"Automático",Amostragem!$D$2:$D$15003,0)/COUNTIFS(Amostragem!$A$2:$A$15003,"&gt;="&amp;C181,Amostragem!$A$2:$A$15003,"&lt;"&amp;D181),0))</f>
        <v/>
      </c>
      <c r="I181" s="23" t="str">
        <f aca="false">IF(A181="","",IFERROR(AVERAGEIFS(Amostragem!$E$2:$E$15003,Amostragem!$A$2:$A$15003,"&gt;="&amp;C181,Amostragem!$A$2:$A$15003,"&lt;"&amp;D181),""))</f>
        <v/>
      </c>
      <c r="J181" s="24" t="str">
        <f aca="false">IF(A181="","",IF(B181="","Inválida: sem resultado MES",IF(E181&lt;Parametros!$B$4,"Inválida: poucos ensaios do módulo",IF(H181&lt;Parametros!$B$5,"Inválida: amostragem em manual ou em falha",IF(OR(I181="",I181&lt;Parametros!$B$6),"Inválida: usina parada ou baixa alimentação","Válida")))))</f>
        <v/>
      </c>
      <c r="K181" s="23" t="str">
        <f aca="false">IF(J181="Válida",F181-B181,"")</f>
        <v/>
      </c>
      <c r="L181" s="26" t="str">
        <f aca="false">IF(J181="Válida",K181/B181,"")</f>
        <v/>
      </c>
      <c r="M181" s="23" t="str">
        <f aca="false">IF(J181="Válida",(F181+B181)/2,"")</f>
        <v/>
      </c>
      <c r="N181" s="24" t="str">
        <f aca="false">IF(K181="","",IF(OR(K181&gt;Resumo!$B$16,K181&lt;Resumo!$B$15),"Sim","Não"))</f>
        <v/>
      </c>
      <c r="O181" s="22" t="e">
        <f aca="false">IF(A181="",NA(),A181)</f>
        <v>#N/A</v>
      </c>
      <c r="P181" s="23" t="e">
        <f aca="false">IF(A181="",NA(),B181)</f>
        <v>#N/A</v>
      </c>
      <c r="Q181" s="23" t="e">
        <f aca="false">IF(F181="",NA(),F181)</f>
        <v>#N/A</v>
      </c>
      <c r="R181" s="23" t="e">
        <f aca="false">IF(K181="",NA(),K181)</f>
        <v>#N/A</v>
      </c>
      <c r="S181" s="23" t="e">
        <f aca="false">IF(M181="",NA(),M181)</f>
        <v>#N/A</v>
      </c>
      <c r="T181" s="23" t="str">
        <f aca="false">IF(J181="Válida",B181,"")</f>
        <v/>
      </c>
      <c r="U181" s="23" t="str">
        <f aca="false">IF(J181="Válida",F181,"")</f>
        <v/>
      </c>
    </row>
    <row r="182" customFormat="false" ht="15" hidden="false" customHeight="false" outlineLevel="0" collapsed="false">
      <c r="A182" s="22" t="str">
        <f aca="false">IF(MES!A182="","",MES!A182)</f>
        <v/>
      </c>
      <c r="B182" s="23" t="str">
        <f aca="false">IF(A182="","",MES!B182)</f>
        <v/>
      </c>
      <c r="C182" s="22" t="str">
        <f aca="false">IF(A182="","",A182+Parametros!$B$3/24)</f>
        <v/>
      </c>
      <c r="D182" s="22" t="str">
        <f aca="false">IF(A182="","",C182+Parametros!$B$2/24)</f>
        <v/>
      </c>
      <c r="E182" s="24" t="str">
        <f aca="false">IF(A182="","",COUNTIFS(Modulo!$A$2:$A$5001,"&gt;="&amp;C182,Modulo!$A$2:$A$5001,"&lt;"&amp;D182,Modulo!$D$2:$D$5001,Parametros!$B$7))</f>
        <v/>
      </c>
      <c r="F182" s="23" t="str">
        <f aca="false">IF(A182="","",IF(E182=0,"",AVERAGEIFS(Modulo!$B$2:$B$5001,Modulo!$A$2:$A$5001,"&gt;="&amp;C182,Modulo!$A$2:$A$5001,"&lt;"&amp;D182,Modulo!$D$2:$D$5001,Parametros!$B$7)))</f>
        <v/>
      </c>
      <c r="G182" s="23" t="str">
        <f aca="false">IF(A182="","",IF(E182=0,"",AVERAGEIFS(Modulo!$C$2:$C$5001,Modulo!$A$2:$A$5001,"&gt;="&amp;C182,Modulo!$A$2:$A$5001,"&lt;"&amp;D182,Modulo!$D$2:$D$5001,Parametros!$B$7)))</f>
        <v/>
      </c>
      <c r="H182" s="25" t="str">
        <f aca="false">IF(A182="","",IFERROR(COUNTIFS(Amostragem!$A$2:$A$15003,"&gt;="&amp;C182,Amostragem!$A$2:$A$15003,"&lt;"&amp;D182,Amostragem!$B$2:$B$15003,"Automático",Amostragem!$C$2:$C$15003,"Automático",Amostragem!$D$2:$D$15003,0)/COUNTIFS(Amostragem!$A$2:$A$15003,"&gt;="&amp;C182,Amostragem!$A$2:$A$15003,"&lt;"&amp;D182),0))</f>
        <v/>
      </c>
      <c r="I182" s="23" t="str">
        <f aca="false">IF(A182="","",IFERROR(AVERAGEIFS(Amostragem!$E$2:$E$15003,Amostragem!$A$2:$A$15003,"&gt;="&amp;C182,Amostragem!$A$2:$A$15003,"&lt;"&amp;D182),""))</f>
        <v/>
      </c>
      <c r="J182" s="24" t="str">
        <f aca="false">IF(A182="","",IF(B182="","Inválida: sem resultado MES",IF(E182&lt;Parametros!$B$4,"Inválida: poucos ensaios do módulo",IF(H182&lt;Parametros!$B$5,"Inválida: amostragem em manual ou em falha",IF(OR(I182="",I182&lt;Parametros!$B$6),"Inválida: usina parada ou baixa alimentação","Válida")))))</f>
        <v/>
      </c>
      <c r="K182" s="23" t="str">
        <f aca="false">IF(J182="Válida",F182-B182,"")</f>
        <v/>
      </c>
      <c r="L182" s="26" t="str">
        <f aca="false">IF(J182="Válida",K182/B182,"")</f>
        <v/>
      </c>
      <c r="M182" s="23" t="str">
        <f aca="false">IF(J182="Válida",(F182+B182)/2,"")</f>
        <v/>
      </c>
      <c r="N182" s="24" t="str">
        <f aca="false">IF(K182="","",IF(OR(K182&gt;Resumo!$B$16,K182&lt;Resumo!$B$15),"Sim","Não"))</f>
        <v/>
      </c>
      <c r="O182" s="22" t="e">
        <f aca="false">IF(A182="",NA(),A182)</f>
        <v>#N/A</v>
      </c>
      <c r="P182" s="23" t="e">
        <f aca="false">IF(A182="",NA(),B182)</f>
        <v>#N/A</v>
      </c>
      <c r="Q182" s="23" t="e">
        <f aca="false">IF(F182="",NA(),F182)</f>
        <v>#N/A</v>
      </c>
      <c r="R182" s="23" t="e">
        <f aca="false">IF(K182="",NA(),K182)</f>
        <v>#N/A</v>
      </c>
      <c r="S182" s="23" t="e">
        <f aca="false">IF(M182="",NA(),M182)</f>
        <v>#N/A</v>
      </c>
      <c r="T182" s="23" t="str">
        <f aca="false">IF(J182="Válida",B182,"")</f>
        <v/>
      </c>
      <c r="U182" s="23" t="str">
        <f aca="false">IF(J182="Válida",F182,"")</f>
        <v/>
      </c>
    </row>
    <row r="183" customFormat="false" ht="15" hidden="false" customHeight="false" outlineLevel="0" collapsed="false">
      <c r="A183" s="22" t="str">
        <f aca="false">IF(MES!A183="","",MES!A183)</f>
        <v/>
      </c>
      <c r="B183" s="23" t="str">
        <f aca="false">IF(A183="","",MES!B183)</f>
        <v/>
      </c>
      <c r="C183" s="22" t="str">
        <f aca="false">IF(A183="","",A183+Parametros!$B$3/24)</f>
        <v/>
      </c>
      <c r="D183" s="22" t="str">
        <f aca="false">IF(A183="","",C183+Parametros!$B$2/24)</f>
        <v/>
      </c>
      <c r="E183" s="24" t="str">
        <f aca="false">IF(A183="","",COUNTIFS(Modulo!$A$2:$A$5001,"&gt;="&amp;C183,Modulo!$A$2:$A$5001,"&lt;"&amp;D183,Modulo!$D$2:$D$5001,Parametros!$B$7))</f>
        <v/>
      </c>
      <c r="F183" s="23" t="str">
        <f aca="false">IF(A183="","",IF(E183=0,"",AVERAGEIFS(Modulo!$B$2:$B$5001,Modulo!$A$2:$A$5001,"&gt;="&amp;C183,Modulo!$A$2:$A$5001,"&lt;"&amp;D183,Modulo!$D$2:$D$5001,Parametros!$B$7)))</f>
        <v/>
      </c>
      <c r="G183" s="23" t="str">
        <f aca="false">IF(A183="","",IF(E183=0,"",AVERAGEIFS(Modulo!$C$2:$C$5001,Modulo!$A$2:$A$5001,"&gt;="&amp;C183,Modulo!$A$2:$A$5001,"&lt;"&amp;D183,Modulo!$D$2:$D$5001,Parametros!$B$7)))</f>
        <v/>
      </c>
      <c r="H183" s="25" t="str">
        <f aca="false">IF(A183="","",IFERROR(COUNTIFS(Amostragem!$A$2:$A$15003,"&gt;="&amp;C183,Amostragem!$A$2:$A$15003,"&lt;"&amp;D183,Amostragem!$B$2:$B$15003,"Automático",Amostragem!$C$2:$C$15003,"Automático",Amostragem!$D$2:$D$15003,0)/COUNTIFS(Amostragem!$A$2:$A$15003,"&gt;="&amp;C183,Amostragem!$A$2:$A$15003,"&lt;"&amp;D183),0))</f>
        <v/>
      </c>
      <c r="I183" s="23" t="str">
        <f aca="false">IF(A183="","",IFERROR(AVERAGEIFS(Amostragem!$E$2:$E$15003,Amostragem!$A$2:$A$15003,"&gt;="&amp;C183,Amostragem!$A$2:$A$15003,"&lt;"&amp;D183),""))</f>
        <v/>
      </c>
      <c r="J183" s="24" t="str">
        <f aca="false">IF(A183="","",IF(B183="","Inválida: sem resultado MES",IF(E183&lt;Parametros!$B$4,"Inválida: poucos ensaios do módulo",IF(H183&lt;Parametros!$B$5,"Inválida: amostragem em manual ou em falha",IF(OR(I183="",I183&lt;Parametros!$B$6),"Inválida: usina parada ou baixa alimentação","Válida")))))</f>
        <v/>
      </c>
      <c r="K183" s="23" t="str">
        <f aca="false">IF(J183="Válida",F183-B183,"")</f>
        <v/>
      </c>
      <c r="L183" s="26" t="str">
        <f aca="false">IF(J183="Válida",K183/B183,"")</f>
        <v/>
      </c>
      <c r="M183" s="23" t="str">
        <f aca="false">IF(J183="Válida",(F183+B183)/2,"")</f>
        <v/>
      </c>
      <c r="N183" s="24" t="str">
        <f aca="false">IF(K183="","",IF(OR(K183&gt;Resumo!$B$16,K183&lt;Resumo!$B$15),"Sim","Não"))</f>
        <v/>
      </c>
      <c r="O183" s="22" t="e">
        <f aca="false">IF(A183="",NA(),A183)</f>
        <v>#N/A</v>
      </c>
      <c r="P183" s="23" t="e">
        <f aca="false">IF(A183="",NA(),B183)</f>
        <v>#N/A</v>
      </c>
      <c r="Q183" s="23" t="e">
        <f aca="false">IF(F183="",NA(),F183)</f>
        <v>#N/A</v>
      </c>
      <c r="R183" s="23" t="e">
        <f aca="false">IF(K183="",NA(),K183)</f>
        <v>#N/A</v>
      </c>
      <c r="S183" s="23" t="e">
        <f aca="false">IF(M183="",NA(),M183)</f>
        <v>#N/A</v>
      </c>
      <c r="T183" s="23" t="str">
        <f aca="false">IF(J183="Válida",B183,"")</f>
        <v/>
      </c>
      <c r="U183" s="23" t="str">
        <f aca="false">IF(J183="Válida",F183,"")</f>
        <v/>
      </c>
    </row>
    <row r="184" customFormat="false" ht="15" hidden="false" customHeight="false" outlineLevel="0" collapsed="false">
      <c r="A184" s="22" t="str">
        <f aca="false">IF(MES!A184="","",MES!A184)</f>
        <v/>
      </c>
      <c r="B184" s="23" t="str">
        <f aca="false">IF(A184="","",MES!B184)</f>
        <v/>
      </c>
      <c r="C184" s="22" t="str">
        <f aca="false">IF(A184="","",A184+Parametros!$B$3/24)</f>
        <v/>
      </c>
      <c r="D184" s="22" t="str">
        <f aca="false">IF(A184="","",C184+Parametros!$B$2/24)</f>
        <v/>
      </c>
      <c r="E184" s="24" t="str">
        <f aca="false">IF(A184="","",COUNTIFS(Modulo!$A$2:$A$5001,"&gt;="&amp;C184,Modulo!$A$2:$A$5001,"&lt;"&amp;D184,Modulo!$D$2:$D$5001,Parametros!$B$7))</f>
        <v/>
      </c>
      <c r="F184" s="23" t="str">
        <f aca="false">IF(A184="","",IF(E184=0,"",AVERAGEIFS(Modulo!$B$2:$B$5001,Modulo!$A$2:$A$5001,"&gt;="&amp;C184,Modulo!$A$2:$A$5001,"&lt;"&amp;D184,Modulo!$D$2:$D$5001,Parametros!$B$7)))</f>
        <v/>
      </c>
      <c r="G184" s="23" t="str">
        <f aca="false">IF(A184="","",IF(E184=0,"",AVERAGEIFS(Modulo!$C$2:$C$5001,Modulo!$A$2:$A$5001,"&gt;="&amp;C184,Modulo!$A$2:$A$5001,"&lt;"&amp;D184,Modulo!$D$2:$D$5001,Parametros!$B$7)))</f>
        <v/>
      </c>
      <c r="H184" s="25" t="str">
        <f aca="false">IF(A184="","",IFERROR(COUNTIFS(Amostragem!$A$2:$A$15003,"&gt;="&amp;C184,Amostragem!$A$2:$A$15003,"&lt;"&amp;D184,Amostragem!$B$2:$B$15003,"Automático",Amostragem!$C$2:$C$15003,"Automático",Amostragem!$D$2:$D$15003,0)/COUNTIFS(Amostragem!$A$2:$A$15003,"&gt;="&amp;C184,Amostragem!$A$2:$A$15003,"&lt;"&amp;D184),0))</f>
        <v/>
      </c>
      <c r="I184" s="23" t="str">
        <f aca="false">IF(A184="","",IFERROR(AVERAGEIFS(Amostragem!$E$2:$E$15003,Amostragem!$A$2:$A$15003,"&gt;="&amp;C184,Amostragem!$A$2:$A$15003,"&lt;"&amp;D184),""))</f>
        <v/>
      </c>
      <c r="J184" s="24" t="str">
        <f aca="false">IF(A184="","",IF(B184="","Inválida: sem resultado MES",IF(E184&lt;Parametros!$B$4,"Inválida: poucos ensaios do módulo",IF(H184&lt;Parametros!$B$5,"Inválida: amostragem em manual ou em falha",IF(OR(I184="",I184&lt;Parametros!$B$6),"Inválida: usina parada ou baixa alimentação","Válida")))))</f>
        <v/>
      </c>
      <c r="K184" s="23" t="str">
        <f aca="false">IF(J184="Válida",F184-B184,"")</f>
        <v/>
      </c>
      <c r="L184" s="26" t="str">
        <f aca="false">IF(J184="Válida",K184/B184,"")</f>
        <v/>
      </c>
      <c r="M184" s="23" t="str">
        <f aca="false">IF(J184="Válida",(F184+B184)/2,"")</f>
        <v/>
      </c>
      <c r="N184" s="24" t="str">
        <f aca="false">IF(K184="","",IF(OR(K184&gt;Resumo!$B$16,K184&lt;Resumo!$B$15),"Sim","Não"))</f>
        <v/>
      </c>
      <c r="O184" s="22" t="e">
        <f aca="false">IF(A184="",NA(),A184)</f>
        <v>#N/A</v>
      </c>
      <c r="P184" s="23" t="e">
        <f aca="false">IF(A184="",NA(),B184)</f>
        <v>#N/A</v>
      </c>
      <c r="Q184" s="23" t="e">
        <f aca="false">IF(F184="",NA(),F184)</f>
        <v>#N/A</v>
      </c>
      <c r="R184" s="23" t="e">
        <f aca="false">IF(K184="",NA(),K184)</f>
        <v>#N/A</v>
      </c>
      <c r="S184" s="23" t="e">
        <f aca="false">IF(M184="",NA(),M184)</f>
        <v>#N/A</v>
      </c>
      <c r="T184" s="23" t="str">
        <f aca="false">IF(J184="Válida",B184,"")</f>
        <v/>
      </c>
      <c r="U184" s="23" t="str">
        <f aca="false">IF(J184="Válida",F184,"")</f>
        <v/>
      </c>
    </row>
    <row r="185" customFormat="false" ht="15" hidden="false" customHeight="false" outlineLevel="0" collapsed="false">
      <c r="A185" s="22" t="str">
        <f aca="false">IF(MES!A185="","",MES!A185)</f>
        <v/>
      </c>
      <c r="B185" s="23" t="str">
        <f aca="false">IF(A185="","",MES!B185)</f>
        <v/>
      </c>
      <c r="C185" s="22" t="str">
        <f aca="false">IF(A185="","",A185+Parametros!$B$3/24)</f>
        <v/>
      </c>
      <c r="D185" s="22" t="str">
        <f aca="false">IF(A185="","",C185+Parametros!$B$2/24)</f>
        <v/>
      </c>
      <c r="E185" s="24" t="str">
        <f aca="false">IF(A185="","",COUNTIFS(Modulo!$A$2:$A$5001,"&gt;="&amp;C185,Modulo!$A$2:$A$5001,"&lt;"&amp;D185,Modulo!$D$2:$D$5001,Parametros!$B$7))</f>
        <v/>
      </c>
      <c r="F185" s="23" t="str">
        <f aca="false">IF(A185="","",IF(E185=0,"",AVERAGEIFS(Modulo!$B$2:$B$5001,Modulo!$A$2:$A$5001,"&gt;="&amp;C185,Modulo!$A$2:$A$5001,"&lt;"&amp;D185,Modulo!$D$2:$D$5001,Parametros!$B$7)))</f>
        <v/>
      </c>
      <c r="G185" s="23" t="str">
        <f aca="false">IF(A185="","",IF(E185=0,"",AVERAGEIFS(Modulo!$C$2:$C$5001,Modulo!$A$2:$A$5001,"&gt;="&amp;C185,Modulo!$A$2:$A$5001,"&lt;"&amp;D185,Modulo!$D$2:$D$5001,Parametros!$B$7)))</f>
        <v/>
      </c>
      <c r="H185" s="25" t="str">
        <f aca="false">IF(A185="","",IFERROR(COUNTIFS(Amostragem!$A$2:$A$15003,"&gt;="&amp;C185,Amostragem!$A$2:$A$15003,"&lt;"&amp;D185,Amostragem!$B$2:$B$15003,"Automático",Amostragem!$C$2:$C$15003,"Automático",Amostragem!$D$2:$D$15003,0)/COUNTIFS(Amostragem!$A$2:$A$15003,"&gt;="&amp;C185,Amostragem!$A$2:$A$15003,"&lt;"&amp;D185),0))</f>
        <v/>
      </c>
      <c r="I185" s="23" t="str">
        <f aca="false">IF(A185="","",IFERROR(AVERAGEIFS(Amostragem!$E$2:$E$15003,Amostragem!$A$2:$A$15003,"&gt;="&amp;C185,Amostragem!$A$2:$A$15003,"&lt;"&amp;D185),""))</f>
        <v/>
      </c>
      <c r="J185" s="24" t="str">
        <f aca="false">IF(A185="","",IF(B185="","Inválida: sem resultado MES",IF(E185&lt;Parametros!$B$4,"Inválida: poucos ensaios do módulo",IF(H185&lt;Parametros!$B$5,"Inválida: amostragem em manual ou em falha",IF(OR(I185="",I185&lt;Parametros!$B$6),"Inválida: usina parada ou baixa alimentação","Válida")))))</f>
        <v/>
      </c>
      <c r="K185" s="23" t="str">
        <f aca="false">IF(J185="Válida",F185-B185,"")</f>
        <v/>
      </c>
      <c r="L185" s="26" t="str">
        <f aca="false">IF(J185="Válida",K185/B185,"")</f>
        <v/>
      </c>
      <c r="M185" s="23" t="str">
        <f aca="false">IF(J185="Válida",(F185+B185)/2,"")</f>
        <v/>
      </c>
      <c r="N185" s="24" t="str">
        <f aca="false">IF(K185="","",IF(OR(K185&gt;Resumo!$B$16,K185&lt;Resumo!$B$15),"Sim","Não"))</f>
        <v/>
      </c>
      <c r="O185" s="22" t="e">
        <f aca="false">IF(A185="",NA(),A185)</f>
        <v>#N/A</v>
      </c>
      <c r="P185" s="23" t="e">
        <f aca="false">IF(A185="",NA(),B185)</f>
        <v>#N/A</v>
      </c>
      <c r="Q185" s="23" t="e">
        <f aca="false">IF(F185="",NA(),F185)</f>
        <v>#N/A</v>
      </c>
      <c r="R185" s="23" t="e">
        <f aca="false">IF(K185="",NA(),K185)</f>
        <v>#N/A</v>
      </c>
      <c r="S185" s="23" t="e">
        <f aca="false">IF(M185="",NA(),M185)</f>
        <v>#N/A</v>
      </c>
      <c r="T185" s="23" t="str">
        <f aca="false">IF(J185="Válida",B185,"")</f>
        <v/>
      </c>
      <c r="U185" s="23" t="str">
        <f aca="false">IF(J185="Válida",F185,"")</f>
        <v/>
      </c>
    </row>
    <row r="186" customFormat="false" ht="15" hidden="false" customHeight="false" outlineLevel="0" collapsed="false">
      <c r="A186" s="22" t="str">
        <f aca="false">IF(MES!A186="","",MES!A186)</f>
        <v/>
      </c>
      <c r="B186" s="23" t="str">
        <f aca="false">IF(A186="","",MES!B186)</f>
        <v/>
      </c>
      <c r="C186" s="22" t="str">
        <f aca="false">IF(A186="","",A186+Parametros!$B$3/24)</f>
        <v/>
      </c>
      <c r="D186" s="22" t="str">
        <f aca="false">IF(A186="","",C186+Parametros!$B$2/24)</f>
        <v/>
      </c>
      <c r="E186" s="24" t="str">
        <f aca="false">IF(A186="","",COUNTIFS(Modulo!$A$2:$A$5001,"&gt;="&amp;C186,Modulo!$A$2:$A$5001,"&lt;"&amp;D186,Modulo!$D$2:$D$5001,Parametros!$B$7))</f>
        <v/>
      </c>
      <c r="F186" s="23" t="str">
        <f aca="false">IF(A186="","",IF(E186=0,"",AVERAGEIFS(Modulo!$B$2:$B$5001,Modulo!$A$2:$A$5001,"&gt;="&amp;C186,Modulo!$A$2:$A$5001,"&lt;"&amp;D186,Modulo!$D$2:$D$5001,Parametros!$B$7)))</f>
        <v/>
      </c>
      <c r="G186" s="23" t="str">
        <f aca="false">IF(A186="","",IF(E186=0,"",AVERAGEIFS(Modulo!$C$2:$C$5001,Modulo!$A$2:$A$5001,"&gt;="&amp;C186,Modulo!$A$2:$A$5001,"&lt;"&amp;D186,Modulo!$D$2:$D$5001,Parametros!$B$7)))</f>
        <v/>
      </c>
      <c r="H186" s="25" t="str">
        <f aca="false">IF(A186="","",IFERROR(COUNTIFS(Amostragem!$A$2:$A$15003,"&gt;="&amp;C186,Amostragem!$A$2:$A$15003,"&lt;"&amp;D186,Amostragem!$B$2:$B$15003,"Automático",Amostragem!$C$2:$C$15003,"Automático",Amostragem!$D$2:$D$15003,0)/COUNTIFS(Amostragem!$A$2:$A$15003,"&gt;="&amp;C186,Amostragem!$A$2:$A$15003,"&lt;"&amp;D186),0))</f>
        <v/>
      </c>
      <c r="I186" s="23" t="str">
        <f aca="false">IF(A186="","",IFERROR(AVERAGEIFS(Amostragem!$E$2:$E$15003,Amostragem!$A$2:$A$15003,"&gt;="&amp;C186,Amostragem!$A$2:$A$15003,"&lt;"&amp;D186),""))</f>
        <v/>
      </c>
      <c r="J186" s="24" t="str">
        <f aca="false">IF(A186="","",IF(B186="","Inválida: sem resultado MES",IF(E186&lt;Parametros!$B$4,"Inválida: poucos ensaios do módulo",IF(H186&lt;Parametros!$B$5,"Inválida: amostragem em manual ou em falha",IF(OR(I186="",I186&lt;Parametros!$B$6),"Inválida: usina parada ou baixa alimentação","Válida")))))</f>
        <v/>
      </c>
      <c r="K186" s="23" t="str">
        <f aca="false">IF(J186="Válida",F186-B186,"")</f>
        <v/>
      </c>
      <c r="L186" s="26" t="str">
        <f aca="false">IF(J186="Válida",K186/B186,"")</f>
        <v/>
      </c>
      <c r="M186" s="23" t="str">
        <f aca="false">IF(J186="Válida",(F186+B186)/2,"")</f>
        <v/>
      </c>
      <c r="N186" s="24" t="str">
        <f aca="false">IF(K186="","",IF(OR(K186&gt;Resumo!$B$16,K186&lt;Resumo!$B$15),"Sim","Não"))</f>
        <v/>
      </c>
      <c r="O186" s="22" t="e">
        <f aca="false">IF(A186="",NA(),A186)</f>
        <v>#N/A</v>
      </c>
      <c r="P186" s="23" t="e">
        <f aca="false">IF(A186="",NA(),B186)</f>
        <v>#N/A</v>
      </c>
      <c r="Q186" s="23" t="e">
        <f aca="false">IF(F186="",NA(),F186)</f>
        <v>#N/A</v>
      </c>
      <c r="R186" s="23" t="e">
        <f aca="false">IF(K186="",NA(),K186)</f>
        <v>#N/A</v>
      </c>
      <c r="S186" s="23" t="e">
        <f aca="false">IF(M186="",NA(),M186)</f>
        <v>#N/A</v>
      </c>
      <c r="T186" s="23" t="str">
        <f aca="false">IF(J186="Válida",B186,"")</f>
        <v/>
      </c>
      <c r="U186" s="23" t="str">
        <f aca="false">IF(J186="Válida",F186,"")</f>
        <v/>
      </c>
    </row>
    <row r="187" customFormat="false" ht="15" hidden="false" customHeight="false" outlineLevel="0" collapsed="false">
      <c r="A187" s="22" t="str">
        <f aca="false">IF(MES!A187="","",MES!A187)</f>
        <v/>
      </c>
      <c r="B187" s="23" t="str">
        <f aca="false">IF(A187="","",MES!B187)</f>
        <v/>
      </c>
      <c r="C187" s="22" t="str">
        <f aca="false">IF(A187="","",A187+Parametros!$B$3/24)</f>
        <v/>
      </c>
      <c r="D187" s="22" t="str">
        <f aca="false">IF(A187="","",C187+Parametros!$B$2/24)</f>
        <v/>
      </c>
      <c r="E187" s="24" t="str">
        <f aca="false">IF(A187="","",COUNTIFS(Modulo!$A$2:$A$5001,"&gt;="&amp;C187,Modulo!$A$2:$A$5001,"&lt;"&amp;D187,Modulo!$D$2:$D$5001,Parametros!$B$7))</f>
        <v/>
      </c>
      <c r="F187" s="23" t="str">
        <f aca="false">IF(A187="","",IF(E187=0,"",AVERAGEIFS(Modulo!$B$2:$B$5001,Modulo!$A$2:$A$5001,"&gt;="&amp;C187,Modulo!$A$2:$A$5001,"&lt;"&amp;D187,Modulo!$D$2:$D$5001,Parametros!$B$7)))</f>
        <v/>
      </c>
      <c r="G187" s="23" t="str">
        <f aca="false">IF(A187="","",IF(E187=0,"",AVERAGEIFS(Modulo!$C$2:$C$5001,Modulo!$A$2:$A$5001,"&gt;="&amp;C187,Modulo!$A$2:$A$5001,"&lt;"&amp;D187,Modulo!$D$2:$D$5001,Parametros!$B$7)))</f>
        <v/>
      </c>
      <c r="H187" s="25" t="str">
        <f aca="false">IF(A187="","",IFERROR(COUNTIFS(Amostragem!$A$2:$A$15003,"&gt;="&amp;C187,Amostragem!$A$2:$A$15003,"&lt;"&amp;D187,Amostragem!$B$2:$B$15003,"Automático",Amostragem!$C$2:$C$15003,"Automático",Amostragem!$D$2:$D$15003,0)/COUNTIFS(Amostragem!$A$2:$A$15003,"&gt;="&amp;C187,Amostragem!$A$2:$A$15003,"&lt;"&amp;D187),0))</f>
        <v/>
      </c>
      <c r="I187" s="23" t="str">
        <f aca="false">IF(A187="","",IFERROR(AVERAGEIFS(Amostragem!$E$2:$E$15003,Amostragem!$A$2:$A$15003,"&gt;="&amp;C187,Amostragem!$A$2:$A$15003,"&lt;"&amp;D187),""))</f>
        <v/>
      </c>
      <c r="J187" s="24" t="str">
        <f aca="false">IF(A187="","",IF(B187="","Inválida: sem resultado MES",IF(E187&lt;Parametros!$B$4,"Inválida: poucos ensaios do módulo",IF(H187&lt;Parametros!$B$5,"Inválida: amostragem em manual ou em falha",IF(OR(I187="",I187&lt;Parametros!$B$6),"Inválida: usina parada ou baixa alimentação","Válida")))))</f>
        <v/>
      </c>
      <c r="K187" s="23" t="str">
        <f aca="false">IF(J187="Válida",F187-B187,"")</f>
        <v/>
      </c>
      <c r="L187" s="26" t="str">
        <f aca="false">IF(J187="Válida",K187/B187,"")</f>
        <v/>
      </c>
      <c r="M187" s="23" t="str">
        <f aca="false">IF(J187="Válida",(F187+B187)/2,"")</f>
        <v/>
      </c>
      <c r="N187" s="24" t="str">
        <f aca="false">IF(K187="","",IF(OR(K187&gt;Resumo!$B$16,K187&lt;Resumo!$B$15),"Sim","Não"))</f>
        <v/>
      </c>
      <c r="O187" s="22" t="e">
        <f aca="false">IF(A187="",NA(),A187)</f>
        <v>#N/A</v>
      </c>
      <c r="P187" s="23" t="e">
        <f aca="false">IF(A187="",NA(),B187)</f>
        <v>#N/A</v>
      </c>
      <c r="Q187" s="23" t="e">
        <f aca="false">IF(F187="",NA(),F187)</f>
        <v>#N/A</v>
      </c>
      <c r="R187" s="23" t="e">
        <f aca="false">IF(K187="",NA(),K187)</f>
        <v>#N/A</v>
      </c>
      <c r="S187" s="23" t="e">
        <f aca="false">IF(M187="",NA(),M187)</f>
        <v>#N/A</v>
      </c>
      <c r="T187" s="23" t="str">
        <f aca="false">IF(J187="Válida",B187,"")</f>
        <v/>
      </c>
      <c r="U187" s="23" t="str">
        <f aca="false">IF(J187="Válida",F187,"")</f>
        <v/>
      </c>
    </row>
    <row r="188" customFormat="false" ht="15" hidden="false" customHeight="false" outlineLevel="0" collapsed="false">
      <c r="A188" s="22" t="str">
        <f aca="false">IF(MES!A188="","",MES!A188)</f>
        <v/>
      </c>
      <c r="B188" s="23" t="str">
        <f aca="false">IF(A188="","",MES!B188)</f>
        <v/>
      </c>
      <c r="C188" s="22" t="str">
        <f aca="false">IF(A188="","",A188+Parametros!$B$3/24)</f>
        <v/>
      </c>
      <c r="D188" s="22" t="str">
        <f aca="false">IF(A188="","",C188+Parametros!$B$2/24)</f>
        <v/>
      </c>
      <c r="E188" s="24" t="str">
        <f aca="false">IF(A188="","",COUNTIFS(Modulo!$A$2:$A$5001,"&gt;="&amp;C188,Modulo!$A$2:$A$5001,"&lt;"&amp;D188,Modulo!$D$2:$D$5001,Parametros!$B$7))</f>
        <v/>
      </c>
      <c r="F188" s="23" t="str">
        <f aca="false">IF(A188="","",IF(E188=0,"",AVERAGEIFS(Modulo!$B$2:$B$5001,Modulo!$A$2:$A$5001,"&gt;="&amp;C188,Modulo!$A$2:$A$5001,"&lt;"&amp;D188,Modulo!$D$2:$D$5001,Parametros!$B$7)))</f>
        <v/>
      </c>
      <c r="G188" s="23" t="str">
        <f aca="false">IF(A188="","",IF(E188=0,"",AVERAGEIFS(Modulo!$C$2:$C$5001,Modulo!$A$2:$A$5001,"&gt;="&amp;C188,Modulo!$A$2:$A$5001,"&lt;"&amp;D188,Modulo!$D$2:$D$5001,Parametros!$B$7)))</f>
        <v/>
      </c>
      <c r="H188" s="25" t="str">
        <f aca="false">IF(A188="","",IFERROR(COUNTIFS(Amostragem!$A$2:$A$15003,"&gt;="&amp;C188,Amostragem!$A$2:$A$15003,"&lt;"&amp;D188,Amostragem!$B$2:$B$15003,"Automático",Amostragem!$C$2:$C$15003,"Automático",Amostragem!$D$2:$D$15003,0)/COUNTIFS(Amostragem!$A$2:$A$15003,"&gt;="&amp;C188,Amostragem!$A$2:$A$15003,"&lt;"&amp;D188),0))</f>
        <v/>
      </c>
      <c r="I188" s="23" t="str">
        <f aca="false">IF(A188="","",IFERROR(AVERAGEIFS(Amostragem!$E$2:$E$15003,Amostragem!$A$2:$A$15003,"&gt;="&amp;C188,Amostragem!$A$2:$A$15003,"&lt;"&amp;D188),""))</f>
        <v/>
      </c>
      <c r="J188" s="24" t="str">
        <f aca="false">IF(A188="","",IF(B188="","Inválida: sem resultado MES",IF(E188&lt;Parametros!$B$4,"Inválida: poucos ensaios do módulo",IF(H188&lt;Parametros!$B$5,"Inválida: amostragem em manual ou em falha",IF(OR(I188="",I188&lt;Parametros!$B$6),"Inválida: usina parada ou baixa alimentação","Válida")))))</f>
        <v/>
      </c>
      <c r="K188" s="23" t="str">
        <f aca="false">IF(J188="Válida",F188-B188,"")</f>
        <v/>
      </c>
      <c r="L188" s="26" t="str">
        <f aca="false">IF(J188="Válida",K188/B188,"")</f>
        <v/>
      </c>
      <c r="M188" s="23" t="str">
        <f aca="false">IF(J188="Válida",(F188+B188)/2,"")</f>
        <v/>
      </c>
      <c r="N188" s="24" t="str">
        <f aca="false">IF(K188="","",IF(OR(K188&gt;Resumo!$B$16,K188&lt;Resumo!$B$15),"Sim","Não"))</f>
        <v/>
      </c>
      <c r="O188" s="22" t="e">
        <f aca="false">IF(A188="",NA(),A188)</f>
        <v>#N/A</v>
      </c>
      <c r="P188" s="23" t="e">
        <f aca="false">IF(A188="",NA(),B188)</f>
        <v>#N/A</v>
      </c>
      <c r="Q188" s="23" t="e">
        <f aca="false">IF(F188="",NA(),F188)</f>
        <v>#N/A</v>
      </c>
      <c r="R188" s="23" t="e">
        <f aca="false">IF(K188="",NA(),K188)</f>
        <v>#N/A</v>
      </c>
      <c r="S188" s="23" t="e">
        <f aca="false">IF(M188="",NA(),M188)</f>
        <v>#N/A</v>
      </c>
      <c r="T188" s="23" t="str">
        <f aca="false">IF(J188="Válida",B188,"")</f>
        <v/>
      </c>
      <c r="U188" s="23" t="str">
        <f aca="false">IF(J188="Válida",F188,"")</f>
        <v/>
      </c>
    </row>
    <row r="189" customFormat="false" ht="15" hidden="false" customHeight="false" outlineLevel="0" collapsed="false">
      <c r="A189" s="22" t="str">
        <f aca="false">IF(MES!A189="","",MES!A189)</f>
        <v/>
      </c>
      <c r="B189" s="23" t="str">
        <f aca="false">IF(A189="","",MES!B189)</f>
        <v/>
      </c>
      <c r="C189" s="22" t="str">
        <f aca="false">IF(A189="","",A189+Parametros!$B$3/24)</f>
        <v/>
      </c>
      <c r="D189" s="22" t="str">
        <f aca="false">IF(A189="","",C189+Parametros!$B$2/24)</f>
        <v/>
      </c>
      <c r="E189" s="24" t="str">
        <f aca="false">IF(A189="","",COUNTIFS(Modulo!$A$2:$A$5001,"&gt;="&amp;C189,Modulo!$A$2:$A$5001,"&lt;"&amp;D189,Modulo!$D$2:$D$5001,Parametros!$B$7))</f>
        <v/>
      </c>
      <c r="F189" s="23" t="str">
        <f aca="false">IF(A189="","",IF(E189=0,"",AVERAGEIFS(Modulo!$B$2:$B$5001,Modulo!$A$2:$A$5001,"&gt;="&amp;C189,Modulo!$A$2:$A$5001,"&lt;"&amp;D189,Modulo!$D$2:$D$5001,Parametros!$B$7)))</f>
        <v/>
      </c>
      <c r="G189" s="23" t="str">
        <f aca="false">IF(A189="","",IF(E189=0,"",AVERAGEIFS(Modulo!$C$2:$C$5001,Modulo!$A$2:$A$5001,"&gt;="&amp;C189,Modulo!$A$2:$A$5001,"&lt;"&amp;D189,Modulo!$D$2:$D$5001,Parametros!$B$7)))</f>
        <v/>
      </c>
      <c r="H189" s="25" t="str">
        <f aca="false">IF(A189="","",IFERROR(COUNTIFS(Amostragem!$A$2:$A$15003,"&gt;="&amp;C189,Amostragem!$A$2:$A$15003,"&lt;"&amp;D189,Amostragem!$B$2:$B$15003,"Automático",Amostragem!$C$2:$C$15003,"Automático",Amostragem!$D$2:$D$15003,0)/COUNTIFS(Amostragem!$A$2:$A$15003,"&gt;="&amp;C189,Amostragem!$A$2:$A$15003,"&lt;"&amp;D189),0))</f>
        <v/>
      </c>
      <c r="I189" s="23" t="str">
        <f aca="false">IF(A189="","",IFERROR(AVERAGEIFS(Amostragem!$E$2:$E$15003,Amostragem!$A$2:$A$15003,"&gt;="&amp;C189,Amostragem!$A$2:$A$15003,"&lt;"&amp;D189),""))</f>
        <v/>
      </c>
      <c r="J189" s="24" t="str">
        <f aca="false">IF(A189="","",IF(B189="","Inválida: sem resultado MES",IF(E189&lt;Parametros!$B$4,"Inválida: poucos ensaios do módulo",IF(H189&lt;Parametros!$B$5,"Inválida: amostragem em manual ou em falha",IF(OR(I189="",I189&lt;Parametros!$B$6),"Inválida: usina parada ou baixa alimentação","Válida")))))</f>
        <v/>
      </c>
      <c r="K189" s="23" t="str">
        <f aca="false">IF(J189="Válida",F189-B189,"")</f>
        <v/>
      </c>
      <c r="L189" s="26" t="str">
        <f aca="false">IF(J189="Válida",K189/B189,"")</f>
        <v/>
      </c>
      <c r="M189" s="23" t="str">
        <f aca="false">IF(J189="Válida",(F189+B189)/2,"")</f>
        <v/>
      </c>
      <c r="N189" s="24" t="str">
        <f aca="false">IF(K189="","",IF(OR(K189&gt;Resumo!$B$16,K189&lt;Resumo!$B$15),"Sim","Não"))</f>
        <v/>
      </c>
      <c r="O189" s="22" t="e">
        <f aca="false">IF(A189="",NA(),A189)</f>
        <v>#N/A</v>
      </c>
      <c r="P189" s="23" t="e">
        <f aca="false">IF(A189="",NA(),B189)</f>
        <v>#N/A</v>
      </c>
      <c r="Q189" s="23" t="e">
        <f aca="false">IF(F189="",NA(),F189)</f>
        <v>#N/A</v>
      </c>
      <c r="R189" s="23" t="e">
        <f aca="false">IF(K189="",NA(),K189)</f>
        <v>#N/A</v>
      </c>
      <c r="S189" s="23" t="e">
        <f aca="false">IF(M189="",NA(),M189)</f>
        <v>#N/A</v>
      </c>
      <c r="T189" s="23" t="str">
        <f aca="false">IF(J189="Válida",B189,"")</f>
        <v/>
      </c>
      <c r="U189" s="23" t="str">
        <f aca="false">IF(J189="Válida",F189,"")</f>
        <v/>
      </c>
    </row>
    <row r="190" customFormat="false" ht="15" hidden="false" customHeight="false" outlineLevel="0" collapsed="false">
      <c r="A190" s="22" t="str">
        <f aca="false">IF(MES!A190="","",MES!A190)</f>
        <v/>
      </c>
      <c r="B190" s="23" t="str">
        <f aca="false">IF(A190="","",MES!B190)</f>
        <v/>
      </c>
      <c r="C190" s="22" t="str">
        <f aca="false">IF(A190="","",A190+Parametros!$B$3/24)</f>
        <v/>
      </c>
      <c r="D190" s="22" t="str">
        <f aca="false">IF(A190="","",C190+Parametros!$B$2/24)</f>
        <v/>
      </c>
      <c r="E190" s="24" t="str">
        <f aca="false">IF(A190="","",COUNTIFS(Modulo!$A$2:$A$5001,"&gt;="&amp;C190,Modulo!$A$2:$A$5001,"&lt;"&amp;D190,Modulo!$D$2:$D$5001,Parametros!$B$7))</f>
        <v/>
      </c>
      <c r="F190" s="23" t="str">
        <f aca="false">IF(A190="","",IF(E190=0,"",AVERAGEIFS(Modulo!$B$2:$B$5001,Modulo!$A$2:$A$5001,"&gt;="&amp;C190,Modulo!$A$2:$A$5001,"&lt;"&amp;D190,Modulo!$D$2:$D$5001,Parametros!$B$7)))</f>
        <v/>
      </c>
      <c r="G190" s="23" t="str">
        <f aca="false">IF(A190="","",IF(E190=0,"",AVERAGEIFS(Modulo!$C$2:$C$5001,Modulo!$A$2:$A$5001,"&gt;="&amp;C190,Modulo!$A$2:$A$5001,"&lt;"&amp;D190,Modulo!$D$2:$D$5001,Parametros!$B$7)))</f>
        <v/>
      </c>
      <c r="H190" s="25" t="str">
        <f aca="false">IF(A190="","",IFERROR(COUNTIFS(Amostragem!$A$2:$A$15003,"&gt;="&amp;C190,Amostragem!$A$2:$A$15003,"&lt;"&amp;D190,Amostragem!$B$2:$B$15003,"Automático",Amostragem!$C$2:$C$15003,"Automático",Amostragem!$D$2:$D$15003,0)/COUNTIFS(Amostragem!$A$2:$A$15003,"&gt;="&amp;C190,Amostragem!$A$2:$A$15003,"&lt;"&amp;D190),0))</f>
        <v/>
      </c>
      <c r="I190" s="23" t="str">
        <f aca="false">IF(A190="","",IFERROR(AVERAGEIFS(Amostragem!$E$2:$E$15003,Amostragem!$A$2:$A$15003,"&gt;="&amp;C190,Amostragem!$A$2:$A$15003,"&lt;"&amp;D190),""))</f>
        <v/>
      </c>
      <c r="J190" s="24" t="str">
        <f aca="false">IF(A190="","",IF(B190="","Inválida: sem resultado MES",IF(E190&lt;Parametros!$B$4,"Inválida: poucos ensaios do módulo",IF(H190&lt;Parametros!$B$5,"Inválida: amostragem em manual ou em falha",IF(OR(I190="",I190&lt;Parametros!$B$6),"Inválida: usina parada ou baixa alimentação","Válida")))))</f>
        <v/>
      </c>
      <c r="K190" s="23" t="str">
        <f aca="false">IF(J190="Válida",F190-B190,"")</f>
        <v/>
      </c>
      <c r="L190" s="26" t="str">
        <f aca="false">IF(J190="Válida",K190/B190,"")</f>
        <v/>
      </c>
      <c r="M190" s="23" t="str">
        <f aca="false">IF(J190="Válida",(F190+B190)/2,"")</f>
        <v/>
      </c>
      <c r="N190" s="24" t="str">
        <f aca="false">IF(K190="","",IF(OR(K190&gt;Resumo!$B$16,K190&lt;Resumo!$B$15),"Sim","Não"))</f>
        <v/>
      </c>
      <c r="O190" s="22" t="e">
        <f aca="false">IF(A190="",NA(),A190)</f>
        <v>#N/A</v>
      </c>
      <c r="P190" s="23" t="e">
        <f aca="false">IF(A190="",NA(),B190)</f>
        <v>#N/A</v>
      </c>
      <c r="Q190" s="23" t="e">
        <f aca="false">IF(F190="",NA(),F190)</f>
        <v>#N/A</v>
      </c>
      <c r="R190" s="23" t="e">
        <f aca="false">IF(K190="",NA(),K190)</f>
        <v>#N/A</v>
      </c>
      <c r="S190" s="23" t="e">
        <f aca="false">IF(M190="",NA(),M190)</f>
        <v>#N/A</v>
      </c>
      <c r="T190" s="23" t="str">
        <f aca="false">IF(J190="Válida",B190,"")</f>
        <v/>
      </c>
      <c r="U190" s="23" t="str">
        <f aca="false">IF(J190="Válida",F190,"")</f>
        <v/>
      </c>
    </row>
    <row r="191" customFormat="false" ht="15" hidden="false" customHeight="false" outlineLevel="0" collapsed="false">
      <c r="A191" s="22" t="str">
        <f aca="false">IF(MES!A191="","",MES!A191)</f>
        <v/>
      </c>
      <c r="B191" s="23" t="str">
        <f aca="false">IF(A191="","",MES!B191)</f>
        <v/>
      </c>
      <c r="C191" s="22" t="str">
        <f aca="false">IF(A191="","",A191+Parametros!$B$3/24)</f>
        <v/>
      </c>
      <c r="D191" s="22" t="str">
        <f aca="false">IF(A191="","",C191+Parametros!$B$2/24)</f>
        <v/>
      </c>
      <c r="E191" s="24" t="str">
        <f aca="false">IF(A191="","",COUNTIFS(Modulo!$A$2:$A$5001,"&gt;="&amp;C191,Modulo!$A$2:$A$5001,"&lt;"&amp;D191,Modulo!$D$2:$D$5001,Parametros!$B$7))</f>
        <v/>
      </c>
      <c r="F191" s="23" t="str">
        <f aca="false">IF(A191="","",IF(E191=0,"",AVERAGEIFS(Modulo!$B$2:$B$5001,Modulo!$A$2:$A$5001,"&gt;="&amp;C191,Modulo!$A$2:$A$5001,"&lt;"&amp;D191,Modulo!$D$2:$D$5001,Parametros!$B$7)))</f>
        <v/>
      </c>
      <c r="G191" s="23" t="str">
        <f aca="false">IF(A191="","",IF(E191=0,"",AVERAGEIFS(Modulo!$C$2:$C$5001,Modulo!$A$2:$A$5001,"&gt;="&amp;C191,Modulo!$A$2:$A$5001,"&lt;"&amp;D191,Modulo!$D$2:$D$5001,Parametros!$B$7)))</f>
        <v/>
      </c>
      <c r="H191" s="25" t="str">
        <f aca="false">IF(A191="","",IFERROR(COUNTIFS(Amostragem!$A$2:$A$15003,"&gt;="&amp;C191,Amostragem!$A$2:$A$15003,"&lt;"&amp;D191,Amostragem!$B$2:$B$15003,"Automático",Amostragem!$C$2:$C$15003,"Automático",Amostragem!$D$2:$D$15003,0)/COUNTIFS(Amostragem!$A$2:$A$15003,"&gt;="&amp;C191,Amostragem!$A$2:$A$15003,"&lt;"&amp;D191),0))</f>
        <v/>
      </c>
      <c r="I191" s="23" t="str">
        <f aca="false">IF(A191="","",IFERROR(AVERAGEIFS(Amostragem!$E$2:$E$15003,Amostragem!$A$2:$A$15003,"&gt;="&amp;C191,Amostragem!$A$2:$A$15003,"&lt;"&amp;D191),""))</f>
        <v/>
      </c>
      <c r="J191" s="24" t="str">
        <f aca="false">IF(A191="","",IF(B191="","Inválida: sem resultado MES",IF(E191&lt;Parametros!$B$4,"Inválida: poucos ensaios do módulo",IF(H191&lt;Parametros!$B$5,"Inválida: amostragem em manual ou em falha",IF(OR(I191="",I191&lt;Parametros!$B$6),"Inválida: usina parada ou baixa alimentação","Válida")))))</f>
        <v/>
      </c>
      <c r="K191" s="23" t="str">
        <f aca="false">IF(J191="Válida",F191-B191,"")</f>
        <v/>
      </c>
      <c r="L191" s="26" t="str">
        <f aca="false">IF(J191="Válida",K191/B191,"")</f>
        <v/>
      </c>
      <c r="M191" s="23" t="str">
        <f aca="false">IF(J191="Válida",(F191+B191)/2,"")</f>
        <v/>
      </c>
      <c r="N191" s="24" t="str">
        <f aca="false">IF(K191="","",IF(OR(K191&gt;Resumo!$B$16,K191&lt;Resumo!$B$15),"Sim","Não"))</f>
        <v/>
      </c>
      <c r="O191" s="22" t="e">
        <f aca="false">IF(A191="",NA(),A191)</f>
        <v>#N/A</v>
      </c>
      <c r="P191" s="23" t="e">
        <f aca="false">IF(A191="",NA(),B191)</f>
        <v>#N/A</v>
      </c>
      <c r="Q191" s="23" t="e">
        <f aca="false">IF(F191="",NA(),F191)</f>
        <v>#N/A</v>
      </c>
      <c r="R191" s="23" t="e">
        <f aca="false">IF(K191="",NA(),K191)</f>
        <v>#N/A</v>
      </c>
      <c r="S191" s="23" t="e">
        <f aca="false">IF(M191="",NA(),M191)</f>
        <v>#N/A</v>
      </c>
      <c r="T191" s="23" t="str">
        <f aca="false">IF(J191="Válida",B191,"")</f>
        <v/>
      </c>
      <c r="U191" s="23" t="str">
        <f aca="false">IF(J191="Válida",F191,"")</f>
        <v/>
      </c>
    </row>
    <row r="192" customFormat="false" ht="15" hidden="false" customHeight="false" outlineLevel="0" collapsed="false">
      <c r="A192" s="22" t="str">
        <f aca="false">IF(MES!A192="","",MES!A192)</f>
        <v/>
      </c>
      <c r="B192" s="23" t="str">
        <f aca="false">IF(A192="","",MES!B192)</f>
        <v/>
      </c>
      <c r="C192" s="22" t="str">
        <f aca="false">IF(A192="","",A192+Parametros!$B$3/24)</f>
        <v/>
      </c>
      <c r="D192" s="22" t="str">
        <f aca="false">IF(A192="","",C192+Parametros!$B$2/24)</f>
        <v/>
      </c>
      <c r="E192" s="24" t="str">
        <f aca="false">IF(A192="","",COUNTIFS(Modulo!$A$2:$A$5001,"&gt;="&amp;C192,Modulo!$A$2:$A$5001,"&lt;"&amp;D192,Modulo!$D$2:$D$5001,Parametros!$B$7))</f>
        <v/>
      </c>
      <c r="F192" s="23" t="str">
        <f aca="false">IF(A192="","",IF(E192=0,"",AVERAGEIFS(Modulo!$B$2:$B$5001,Modulo!$A$2:$A$5001,"&gt;="&amp;C192,Modulo!$A$2:$A$5001,"&lt;"&amp;D192,Modulo!$D$2:$D$5001,Parametros!$B$7)))</f>
        <v/>
      </c>
      <c r="G192" s="23" t="str">
        <f aca="false">IF(A192="","",IF(E192=0,"",AVERAGEIFS(Modulo!$C$2:$C$5001,Modulo!$A$2:$A$5001,"&gt;="&amp;C192,Modulo!$A$2:$A$5001,"&lt;"&amp;D192,Modulo!$D$2:$D$5001,Parametros!$B$7)))</f>
        <v/>
      </c>
      <c r="H192" s="25" t="str">
        <f aca="false">IF(A192="","",IFERROR(COUNTIFS(Amostragem!$A$2:$A$15003,"&gt;="&amp;C192,Amostragem!$A$2:$A$15003,"&lt;"&amp;D192,Amostragem!$B$2:$B$15003,"Automático",Amostragem!$C$2:$C$15003,"Automático",Amostragem!$D$2:$D$15003,0)/COUNTIFS(Amostragem!$A$2:$A$15003,"&gt;="&amp;C192,Amostragem!$A$2:$A$15003,"&lt;"&amp;D192),0))</f>
        <v/>
      </c>
      <c r="I192" s="23" t="str">
        <f aca="false">IF(A192="","",IFERROR(AVERAGEIFS(Amostragem!$E$2:$E$15003,Amostragem!$A$2:$A$15003,"&gt;="&amp;C192,Amostragem!$A$2:$A$15003,"&lt;"&amp;D192),""))</f>
        <v/>
      </c>
      <c r="J192" s="24" t="str">
        <f aca="false">IF(A192="","",IF(B192="","Inválida: sem resultado MES",IF(E192&lt;Parametros!$B$4,"Inválida: poucos ensaios do módulo",IF(H192&lt;Parametros!$B$5,"Inválida: amostragem em manual ou em falha",IF(OR(I192="",I192&lt;Parametros!$B$6),"Inválida: usina parada ou baixa alimentação","Válida")))))</f>
        <v/>
      </c>
      <c r="K192" s="23" t="str">
        <f aca="false">IF(J192="Válida",F192-B192,"")</f>
        <v/>
      </c>
      <c r="L192" s="26" t="str">
        <f aca="false">IF(J192="Válida",K192/B192,"")</f>
        <v/>
      </c>
      <c r="M192" s="23" t="str">
        <f aca="false">IF(J192="Válida",(F192+B192)/2,"")</f>
        <v/>
      </c>
      <c r="N192" s="24" t="str">
        <f aca="false">IF(K192="","",IF(OR(K192&gt;Resumo!$B$16,K192&lt;Resumo!$B$15),"Sim","Não"))</f>
        <v/>
      </c>
      <c r="O192" s="22" t="e">
        <f aca="false">IF(A192="",NA(),A192)</f>
        <v>#N/A</v>
      </c>
      <c r="P192" s="23" t="e">
        <f aca="false">IF(A192="",NA(),B192)</f>
        <v>#N/A</v>
      </c>
      <c r="Q192" s="23" t="e">
        <f aca="false">IF(F192="",NA(),F192)</f>
        <v>#N/A</v>
      </c>
      <c r="R192" s="23" t="e">
        <f aca="false">IF(K192="",NA(),K192)</f>
        <v>#N/A</v>
      </c>
      <c r="S192" s="23" t="e">
        <f aca="false">IF(M192="",NA(),M192)</f>
        <v>#N/A</v>
      </c>
      <c r="T192" s="23" t="str">
        <f aca="false">IF(J192="Válida",B192,"")</f>
        <v/>
      </c>
      <c r="U192" s="23" t="str">
        <f aca="false">IF(J192="Válida",F192,"")</f>
        <v/>
      </c>
    </row>
    <row r="193" customFormat="false" ht="15" hidden="false" customHeight="false" outlineLevel="0" collapsed="false">
      <c r="A193" s="22" t="str">
        <f aca="false">IF(MES!A193="","",MES!A193)</f>
        <v/>
      </c>
      <c r="B193" s="23" t="str">
        <f aca="false">IF(A193="","",MES!B193)</f>
        <v/>
      </c>
      <c r="C193" s="22" t="str">
        <f aca="false">IF(A193="","",A193+Parametros!$B$3/24)</f>
        <v/>
      </c>
      <c r="D193" s="22" t="str">
        <f aca="false">IF(A193="","",C193+Parametros!$B$2/24)</f>
        <v/>
      </c>
      <c r="E193" s="24" t="str">
        <f aca="false">IF(A193="","",COUNTIFS(Modulo!$A$2:$A$5001,"&gt;="&amp;C193,Modulo!$A$2:$A$5001,"&lt;"&amp;D193,Modulo!$D$2:$D$5001,Parametros!$B$7))</f>
        <v/>
      </c>
      <c r="F193" s="23" t="str">
        <f aca="false">IF(A193="","",IF(E193=0,"",AVERAGEIFS(Modulo!$B$2:$B$5001,Modulo!$A$2:$A$5001,"&gt;="&amp;C193,Modulo!$A$2:$A$5001,"&lt;"&amp;D193,Modulo!$D$2:$D$5001,Parametros!$B$7)))</f>
        <v/>
      </c>
      <c r="G193" s="23" t="str">
        <f aca="false">IF(A193="","",IF(E193=0,"",AVERAGEIFS(Modulo!$C$2:$C$5001,Modulo!$A$2:$A$5001,"&gt;="&amp;C193,Modulo!$A$2:$A$5001,"&lt;"&amp;D193,Modulo!$D$2:$D$5001,Parametros!$B$7)))</f>
        <v/>
      </c>
      <c r="H193" s="25" t="str">
        <f aca="false">IF(A193="","",IFERROR(COUNTIFS(Amostragem!$A$2:$A$15003,"&gt;="&amp;C193,Amostragem!$A$2:$A$15003,"&lt;"&amp;D193,Amostragem!$B$2:$B$15003,"Automático",Amostragem!$C$2:$C$15003,"Automático",Amostragem!$D$2:$D$15003,0)/COUNTIFS(Amostragem!$A$2:$A$15003,"&gt;="&amp;C193,Amostragem!$A$2:$A$15003,"&lt;"&amp;D193),0))</f>
        <v/>
      </c>
      <c r="I193" s="23" t="str">
        <f aca="false">IF(A193="","",IFERROR(AVERAGEIFS(Amostragem!$E$2:$E$15003,Amostragem!$A$2:$A$15003,"&gt;="&amp;C193,Amostragem!$A$2:$A$15003,"&lt;"&amp;D193),""))</f>
        <v/>
      </c>
      <c r="J193" s="24" t="str">
        <f aca="false">IF(A193="","",IF(B193="","Inválida: sem resultado MES",IF(E193&lt;Parametros!$B$4,"Inválida: poucos ensaios do módulo",IF(H193&lt;Parametros!$B$5,"Inválida: amostragem em manual ou em falha",IF(OR(I193="",I193&lt;Parametros!$B$6),"Inválida: usina parada ou baixa alimentação","Válida")))))</f>
        <v/>
      </c>
      <c r="K193" s="23" t="str">
        <f aca="false">IF(J193="Válida",F193-B193,"")</f>
        <v/>
      </c>
      <c r="L193" s="26" t="str">
        <f aca="false">IF(J193="Válida",K193/B193,"")</f>
        <v/>
      </c>
      <c r="M193" s="23" t="str">
        <f aca="false">IF(J193="Válida",(F193+B193)/2,"")</f>
        <v/>
      </c>
      <c r="N193" s="24" t="str">
        <f aca="false">IF(K193="","",IF(OR(K193&gt;Resumo!$B$16,K193&lt;Resumo!$B$15),"Sim","Não"))</f>
        <v/>
      </c>
      <c r="O193" s="22" t="e">
        <f aca="false">IF(A193="",NA(),A193)</f>
        <v>#N/A</v>
      </c>
      <c r="P193" s="23" t="e">
        <f aca="false">IF(A193="",NA(),B193)</f>
        <v>#N/A</v>
      </c>
      <c r="Q193" s="23" t="e">
        <f aca="false">IF(F193="",NA(),F193)</f>
        <v>#N/A</v>
      </c>
      <c r="R193" s="23" t="e">
        <f aca="false">IF(K193="",NA(),K193)</f>
        <v>#N/A</v>
      </c>
      <c r="S193" s="23" t="e">
        <f aca="false">IF(M193="",NA(),M193)</f>
        <v>#N/A</v>
      </c>
      <c r="T193" s="23" t="str">
        <f aca="false">IF(J193="Válida",B193,"")</f>
        <v/>
      </c>
      <c r="U193" s="23" t="str">
        <f aca="false">IF(J193="Válida",F193,"")</f>
        <v/>
      </c>
    </row>
    <row r="194" customFormat="false" ht="15" hidden="false" customHeight="false" outlineLevel="0" collapsed="false">
      <c r="A194" s="22" t="str">
        <f aca="false">IF(MES!A194="","",MES!A194)</f>
        <v/>
      </c>
      <c r="B194" s="23" t="str">
        <f aca="false">IF(A194="","",MES!B194)</f>
        <v/>
      </c>
      <c r="C194" s="22" t="str">
        <f aca="false">IF(A194="","",A194+Parametros!$B$3/24)</f>
        <v/>
      </c>
      <c r="D194" s="22" t="str">
        <f aca="false">IF(A194="","",C194+Parametros!$B$2/24)</f>
        <v/>
      </c>
      <c r="E194" s="24" t="str">
        <f aca="false">IF(A194="","",COUNTIFS(Modulo!$A$2:$A$5001,"&gt;="&amp;C194,Modulo!$A$2:$A$5001,"&lt;"&amp;D194,Modulo!$D$2:$D$5001,Parametros!$B$7))</f>
        <v/>
      </c>
      <c r="F194" s="23" t="str">
        <f aca="false">IF(A194="","",IF(E194=0,"",AVERAGEIFS(Modulo!$B$2:$B$5001,Modulo!$A$2:$A$5001,"&gt;="&amp;C194,Modulo!$A$2:$A$5001,"&lt;"&amp;D194,Modulo!$D$2:$D$5001,Parametros!$B$7)))</f>
        <v/>
      </c>
      <c r="G194" s="23" t="str">
        <f aca="false">IF(A194="","",IF(E194=0,"",AVERAGEIFS(Modulo!$C$2:$C$5001,Modulo!$A$2:$A$5001,"&gt;="&amp;C194,Modulo!$A$2:$A$5001,"&lt;"&amp;D194,Modulo!$D$2:$D$5001,Parametros!$B$7)))</f>
        <v/>
      </c>
      <c r="H194" s="25" t="str">
        <f aca="false">IF(A194="","",IFERROR(COUNTIFS(Amostragem!$A$2:$A$15003,"&gt;="&amp;C194,Amostragem!$A$2:$A$15003,"&lt;"&amp;D194,Amostragem!$B$2:$B$15003,"Automático",Amostragem!$C$2:$C$15003,"Automático",Amostragem!$D$2:$D$15003,0)/COUNTIFS(Amostragem!$A$2:$A$15003,"&gt;="&amp;C194,Amostragem!$A$2:$A$15003,"&lt;"&amp;D194),0))</f>
        <v/>
      </c>
      <c r="I194" s="23" t="str">
        <f aca="false">IF(A194="","",IFERROR(AVERAGEIFS(Amostragem!$E$2:$E$15003,Amostragem!$A$2:$A$15003,"&gt;="&amp;C194,Amostragem!$A$2:$A$15003,"&lt;"&amp;D194),""))</f>
        <v/>
      </c>
      <c r="J194" s="24" t="str">
        <f aca="false">IF(A194="","",IF(B194="","Inválida: sem resultado MES",IF(E194&lt;Parametros!$B$4,"Inválida: poucos ensaios do módulo",IF(H194&lt;Parametros!$B$5,"Inválida: amostragem em manual ou em falha",IF(OR(I194="",I194&lt;Parametros!$B$6),"Inválida: usina parada ou baixa alimentação","Válida")))))</f>
        <v/>
      </c>
      <c r="K194" s="23" t="str">
        <f aca="false">IF(J194="Válida",F194-B194,"")</f>
        <v/>
      </c>
      <c r="L194" s="26" t="str">
        <f aca="false">IF(J194="Válida",K194/B194,"")</f>
        <v/>
      </c>
      <c r="M194" s="23" t="str">
        <f aca="false">IF(J194="Válida",(F194+B194)/2,"")</f>
        <v/>
      </c>
      <c r="N194" s="24" t="str">
        <f aca="false">IF(K194="","",IF(OR(K194&gt;Resumo!$B$16,K194&lt;Resumo!$B$15),"Sim","Não"))</f>
        <v/>
      </c>
      <c r="O194" s="22" t="e">
        <f aca="false">IF(A194="",NA(),A194)</f>
        <v>#N/A</v>
      </c>
      <c r="P194" s="23" t="e">
        <f aca="false">IF(A194="",NA(),B194)</f>
        <v>#N/A</v>
      </c>
      <c r="Q194" s="23" t="e">
        <f aca="false">IF(F194="",NA(),F194)</f>
        <v>#N/A</v>
      </c>
      <c r="R194" s="23" t="e">
        <f aca="false">IF(K194="",NA(),K194)</f>
        <v>#N/A</v>
      </c>
      <c r="S194" s="23" t="e">
        <f aca="false">IF(M194="",NA(),M194)</f>
        <v>#N/A</v>
      </c>
      <c r="T194" s="23" t="str">
        <f aca="false">IF(J194="Válida",B194,"")</f>
        <v/>
      </c>
      <c r="U194" s="23" t="str">
        <f aca="false">IF(J194="Válida",F194,"")</f>
        <v/>
      </c>
    </row>
    <row r="195" customFormat="false" ht="15" hidden="false" customHeight="false" outlineLevel="0" collapsed="false">
      <c r="A195" s="22" t="str">
        <f aca="false">IF(MES!A195="","",MES!A195)</f>
        <v/>
      </c>
      <c r="B195" s="23" t="str">
        <f aca="false">IF(A195="","",MES!B195)</f>
        <v/>
      </c>
      <c r="C195" s="22" t="str">
        <f aca="false">IF(A195="","",A195+Parametros!$B$3/24)</f>
        <v/>
      </c>
      <c r="D195" s="22" t="str">
        <f aca="false">IF(A195="","",C195+Parametros!$B$2/24)</f>
        <v/>
      </c>
      <c r="E195" s="24" t="str">
        <f aca="false">IF(A195="","",COUNTIFS(Modulo!$A$2:$A$5001,"&gt;="&amp;C195,Modulo!$A$2:$A$5001,"&lt;"&amp;D195,Modulo!$D$2:$D$5001,Parametros!$B$7))</f>
        <v/>
      </c>
      <c r="F195" s="23" t="str">
        <f aca="false">IF(A195="","",IF(E195=0,"",AVERAGEIFS(Modulo!$B$2:$B$5001,Modulo!$A$2:$A$5001,"&gt;="&amp;C195,Modulo!$A$2:$A$5001,"&lt;"&amp;D195,Modulo!$D$2:$D$5001,Parametros!$B$7)))</f>
        <v/>
      </c>
      <c r="G195" s="23" t="str">
        <f aca="false">IF(A195="","",IF(E195=0,"",AVERAGEIFS(Modulo!$C$2:$C$5001,Modulo!$A$2:$A$5001,"&gt;="&amp;C195,Modulo!$A$2:$A$5001,"&lt;"&amp;D195,Modulo!$D$2:$D$5001,Parametros!$B$7)))</f>
        <v/>
      </c>
      <c r="H195" s="25" t="str">
        <f aca="false">IF(A195="","",IFERROR(COUNTIFS(Amostragem!$A$2:$A$15003,"&gt;="&amp;C195,Amostragem!$A$2:$A$15003,"&lt;"&amp;D195,Amostragem!$B$2:$B$15003,"Automático",Amostragem!$C$2:$C$15003,"Automático",Amostragem!$D$2:$D$15003,0)/COUNTIFS(Amostragem!$A$2:$A$15003,"&gt;="&amp;C195,Amostragem!$A$2:$A$15003,"&lt;"&amp;D195),0))</f>
        <v/>
      </c>
      <c r="I195" s="23" t="str">
        <f aca="false">IF(A195="","",IFERROR(AVERAGEIFS(Amostragem!$E$2:$E$15003,Amostragem!$A$2:$A$15003,"&gt;="&amp;C195,Amostragem!$A$2:$A$15003,"&lt;"&amp;D195),""))</f>
        <v/>
      </c>
      <c r="J195" s="24" t="str">
        <f aca="false">IF(A195="","",IF(B195="","Inválida: sem resultado MES",IF(E195&lt;Parametros!$B$4,"Inválida: poucos ensaios do módulo",IF(H195&lt;Parametros!$B$5,"Inválida: amostragem em manual ou em falha",IF(OR(I195="",I195&lt;Parametros!$B$6),"Inválida: usina parada ou baixa alimentação","Válida")))))</f>
        <v/>
      </c>
      <c r="K195" s="23" t="str">
        <f aca="false">IF(J195="Válida",F195-B195,"")</f>
        <v/>
      </c>
      <c r="L195" s="26" t="str">
        <f aca="false">IF(J195="Válida",K195/B195,"")</f>
        <v/>
      </c>
      <c r="M195" s="23" t="str">
        <f aca="false">IF(J195="Válida",(F195+B195)/2,"")</f>
        <v/>
      </c>
      <c r="N195" s="24" t="str">
        <f aca="false">IF(K195="","",IF(OR(K195&gt;Resumo!$B$16,K195&lt;Resumo!$B$15),"Sim","Não"))</f>
        <v/>
      </c>
      <c r="O195" s="22" t="e">
        <f aca="false">IF(A195="",NA(),A195)</f>
        <v>#N/A</v>
      </c>
      <c r="P195" s="23" t="e">
        <f aca="false">IF(A195="",NA(),B195)</f>
        <v>#N/A</v>
      </c>
      <c r="Q195" s="23" t="e">
        <f aca="false">IF(F195="",NA(),F195)</f>
        <v>#N/A</v>
      </c>
      <c r="R195" s="23" t="e">
        <f aca="false">IF(K195="",NA(),K195)</f>
        <v>#N/A</v>
      </c>
      <c r="S195" s="23" t="e">
        <f aca="false">IF(M195="",NA(),M195)</f>
        <v>#N/A</v>
      </c>
      <c r="T195" s="23" t="str">
        <f aca="false">IF(J195="Válida",B195,"")</f>
        <v/>
      </c>
      <c r="U195" s="23" t="str">
        <f aca="false">IF(J195="Válida",F195,"")</f>
        <v/>
      </c>
    </row>
    <row r="196" customFormat="false" ht="15" hidden="false" customHeight="false" outlineLevel="0" collapsed="false">
      <c r="A196" s="22" t="str">
        <f aca="false">IF(MES!A196="","",MES!A196)</f>
        <v/>
      </c>
      <c r="B196" s="23" t="str">
        <f aca="false">IF(A196="","",MES!B196)</f>
        <v/>
      </c>
      <c r="C196" s="22" t="str">
        <f aca="false">IF(A196="","",A196+Parametros!$B$3/24)</f>
        <v/>
      </c>
      <c r="D196" s="22" t="str">
        <f aca="false">IF(A196="","",C196+Parametros!$B$2/24)</f>
        <v/>
      </c>
      <c r="E196" s="24" t="str">
        <f aca="false">IF(A196="","",COUNTIFS(Modulo!$A$2:$A$5001,"&gt;="&amp;C196,Modulo!$A$2:$A$5001,"&lt;"&amp;D196,Modulo!$D$2:$D$5001,Parametros!$B$7))</f>
        <v/>
      </c>
      <c r="F196" s="23" t="str">
        <f aca="false">IF(A196="","",IF(E196=0,"",AVERAGEIFS(Modulo!$B$2:$B$5001,Modulo!$A$2:$A$5001,"&gt;="&amp;C196,Modulo!$A$2:$A$5001,"&lt;"&amp;D196,Modulo!$D$2:$D$5001,Parametros!$B$7)))</f>
        <v/>
      </c>
      <c r="G196" s="23" t="str">
        <f aca="false">IF(A196="","",IF(E196=0,"",AVERAGEIFS(Modulo!$C$2:$C$5001,Modulo!$A$2:$A$5001,"&gt;="&amp;C196,Modulo!$A$2:$A$5001,"&lt;"&amp;D196,Modulo!$D$2:$D$5001,Parametros!$B$7)))</f>
        <v/>
      </c>
      <c r="H196" s="25" t="str">
        <f aca="false">IF(A196="","",IFERROR(COUNTIFS(Amostragem!$A$2:$A$15003,"&gt;="&amp;C196,Amostragem!$A$2:$A$15003,"&lt;"&amp;D196,Amostragem!$B$2:$B$15003,"Automático",Amostragem!$C$2:$C$15003,"Automático",Amostragem!$D$2:$D$15003,0)/COUNTIFS(Amostragem!$A$2:$A$15003,"&gt;="&amp;C196,Amostragem!$A$2:$A$15003,"&lt;"&amp;D196),0))</f>
        <v/>
      </c>
      <c r="I196" s="23" t="str">
        <f aca="false">IF(A196="","",IFERROR(AVERAGEIFS(Amostragem!$E$2:$E$15003,Amostragem!$A$2:$A$15003,"&gt;="&amp;C196,Amostragem!$A$2:$A$15003,"&lt;"&amp;D196),""))</f>
        <v/>
      </c>
      <c r="J196" s="24" t="str">
        <f aca="false">IF(A196="","",IF(B196="","Inválida: sem resultado MES",IF(E196&lt;Parametros!$B$4,"Inválida: poucos ensaios do módulo",IF(H196&lt;Parametros!$B$5,"Inválida: amostragem em manual ou em falha",IF(OR(I196="",I196&lt;Parametros!$B$6),"Inválida: usina parada ou baixa alimentação","Válida")))))</f>
        <v/>
      </c>
      <c r="K196" s="23" t="str">
        <f aca="false">IF(J196="Válida",F196-B196,"")</f>
        <v/>
      </c>
      <c r="L196" s="26" t="str">
        <f aca="false">IF(J196="Válida",K196/B196,"")</f>
        <v/>
      </c>
      <c r="M196" s="23" t="str">
        <f aca="false">IF(J196="Válida",(F196+B196)/2,"")</f>
        <v/>
      </c>
      <c r="N196" s="24" t="str">
        <f aca="false">IF(K196="","",IF(OR(K196&gt;Resumo!$B$16,K196&lt;Resumo!$B$15),"Sim","Não"))</f>
        <v/>
      </c>
      <c r="O196" s="22" t="e">
        <f aca="false">IF(A196="",NA(),A196)</f>
        <v>#N/A</v>
      </c>
      <c r="P196" s="23" t="e">
        <f aca="false">IF(A196="",NA(),B196)</f>
        <v>#N/A</v>
      </c>
      <c r="Q196" s="23" t="e">
        <f aca="false">IF(F196="",NA(),F196)</f>
        <v>#N/A</v>
      </c>
      <c r="R196" s="23" t="e">
        <f aca="false">IF(K196="",NA(),K196)</f>
        <v>#N/A</v>
      </c>
      <c r="S196" s="23" t="e">
        <f aca="false">IF(M196="",NA(),M196)</f>
        <v>#N/A</v>
      </c>
      <c r="T196" s="23" t="str">
        <f aca="false">IF(J196="Válida",B196,"")</f>
        <v/>
      </c>
      <c r="U196" s="23" t="str">
        <f aca="false">IF(J196="Válida",F196,"")</f>
        <v/>
      </c>
    </row>
    <row r="197" customFormat="false" ht="15" hidden="false" customHeight="false" outlineLevel="0" collapsed="false">
      <c r="A197" s="22" t="str">
        <f aca="false">IF(MES!A197="","",MES!A197)</f>
        <v/>
      </c>
      <c r="B197" s="23" t="str">
        <f aca="false">IF(A197="","",MES!B197)</f>
        <v/>
      </c>
      <c r="C197" s="22" t="str">
        <f aca="false">IF(A197="","",A197+Parametros!$B$3/24)</f>
        <v/>
      </c>
      <c r="D197" s="22" t="str">
        <f aca="false">IF(A197="","",C197+Parametros!$B$2/24)</f>
        <v/>
      </c>
      <c r="E197" s="24" t="str">
        <f aca="false">IF(A197="","",COUNTIFS(Modulo!$A$2:$A$5001,"&gt;="&amp;C197,Modulo!$A$2:$A$5001,"&lt;"&amp;D197,Modulo!$D$2:$D$5001,Parametros!$B$7))</f>
        <v/>
      </c>
      <c r="F197" s="23" t="str">
        <f aca="false">IF(A197="","",IF(E197=0,"",AVERAGEIFS(Modulo!$B$2:$B$5001,Modulo!$A$2:$A$5001,"&gt;="&amp;C197,Modulo!$A$2:$A$5001,"&lt;"&amp;D197,Modulo!$D$2:$D$5001,Parametros!$B$7)))</f>
        <v/>
      </c>
      <c r="G197" s="23" t="str">
        <f aca="false">IF(A197="","",IF(E197=0,"",AVERAGEIFS(Modulo!$C$2:$C$5001,Modulo!$A$2:$A$5001,"&gt;="&amp;C197,Modulo!$A$2:$A$5001,"&lt;"&amp;D197,Modulo!$D$2:$D$5001,Parametros!$B$7)))</f>
        <v/>
      </c>
      <c r="H197" s="25" t="str">
        <f aca="false">IF(A197="","",IFERROR(COUNTIFS(Amostragem!$A$2:$A$15003,"&gt;="&amp;C197,Amostragem!$A$2:$A$15003,"&lt;"&amp;D197,Amostragem!$B$2:$B$15003,"Automático",Amostragem!$C$2:$C$15003,"Automático",Amostragem!$D$2:$D$15003,0)/COUNTIFS(Amostragem!$A$2:$A$15003,"&gt;="&amp;C197,Amostragem!$A$2:$A$15003,"&lt;"&amp;D197),0))</f>
        <v/>
      </c>
      <c r="I197" s="23" t="str">
        <f aca="false">IF(A197="","",IFERROR(AVERAGEIFS(Amostragem!$E$2:$E$15003,Amostragem!$A$2:$A$15003,"&gt;="&amp;C197,Amostragem!$A$2:$A$15003,"&lt;"&amp;D197),""))</f>
        <v/>
      </c>
      <c r="J197" s="24" t="str">
        <f aca="false">IF(A197="","",IF(B197="","Inválida: sem resultado MES",IF(E197&lt;Parametros!$B$4,"Inválida: poucos ensaios do módulo",IF(H197&lt;Parametros!$B$5,"Inválida: amostragem em manual ou em falha",IF(OR(I197="",I197&lt;Parametros!$B$6),"Inválida: usina parada ou baixa alimentação","Válida")))))</f>
        <v/>
      </c>
      <c r="K197" s="23" t="str">
        <f aca="false">IF(J197="Válida",F197-B197,"")</f>
        <v/>
      </c>
      <c r="L197" s="26" t="str">
        <f aca="false">IF(J197="Válida",K197/B197,"")</f>
        <v/>
      </c>
      <c r="M197" s="23" t="str">
        <f aca="false">IF(J197="Válida",(F197+B197)/2,"")</f>
        <v/>
      </c>
      <c r="N197" s="24" t="str">
        <f aca="false">IF(K197="","",IF(OR(K197&gt;Resumo!$B$16,K197&lt;Resumo!$B$15),"Sim","Não"))</f>
        <v/>
      </c>
      <c r="O197" s="22" t="e">
        <f aca="false">IF(A197="",NA(),A197)</f>
        <v>#N/A</v>
      </c>
      <c r="P197" s="23" t="e">
        <f aca="false">IF(A197="",NA(),B197)</f>
        <v>#N/A</v>
      </c>
      <c r="Q197" s="23" t="e">
        <f aca="false">IF(F197="",NA(),F197)</f>
        <v>#N/A</v>
      </c>
      <c r="R197" s="23" t="e">
        <f aca="false">IF(K197="",NA(),K197)</f>
        <v>#N/A</v>
      </c>
      <c r="S197" s="23" t="e">
        <f aca="false">IF(M197="",NA(),M197)</f>
        <v>#N/A</v>
      </c>
      <c r="T197" s="23" t="str">
        <f aca="false">IF(J197="Válida",B197,"")</f>
        <v/>
      </c>
      <c r="U197" s="23" t="str">
        <f aca="false">IF(J197="Válida",F197,"")</f>
        <v/>
      </c>
    </row>
    <row r="198" customFormat="false" ht="15" hidden="false" customHeight="false" outlineLevel="0" collapsed="false">
      <c r="A198" s="22" t="str">
        <f aca="false">IF(MES!A198="","",MES!A198)</f>
        <v/>
      </c>
      <c r="B198" s="23" t="str">
        <f aca="false">IF(A198="","",MES!B198)</f>
        <v/>
      </c>
      <c r="C198" s="22" t="str">
        <f aca="false">IF(A198="","",A198+Parametros!$B$3/24)</f>
        <v/>
      </c>
      <c r="D198" s="22" t="str">
        <f aca="false">IF(A198="","",C198+Parametros!$B$2/24)</f>
        <v/>
      </c>
      <c r="E198" s="24" t="str">
        <f aca="false">IF(A198="","",COUNTIFS(Modulo!$A$2:$A$5001,"&gt;="&amp;C198,Modulo!$A$2:$A$5001,"&lt;"&amp;D198,Modulo!$D$2:$D$5001,Parametros!$B$7))</f>
        <v/>
      </c>
      <c r="F198" s="23" t="str">
        <f aca="false">IF(A198="","",IF(E198=0,"",AVERAGEIFS(Modulo!$B$2:$B$5001,Modulo!$A$2:$A$5001,"&gt;="&amp;C198,Modulo!$A$2:$A$5001,"&lt;"&amp;D198,Modulo!$D$2:$D$5001,Parametros!$B$7)))</f>
        <v/>
      </c>
      <c r="G198" s="23" t="str">
        <f aca="false">IF(A198="","",IF(E198=0,"",AVERAGEIFS(Modulo!$C$2:$C$5001,Modulo!$A$2:$A$5001,"&gt;="&amp;C198,Modulo!$A$2:$A$5001,"&lt;"&amp;D198,Modulo!$D$2:$D$5001,Parametros!$B$7)))</f>
        <v/>
      </c>
      <c r="H198" s="25" t="str">
        <f aca="false">IF(A198="","",IFERROR(COUNTIFS(Amostragem!$A$2:$A$15003,"&gt;="&amp;C198,Amostragem!$A$2:$A$15003,"&lt;"&amp;D198,Amostragem!$B$2:$B$15003,"Automático",Amostragem!$C$2:$C$15003,"Automático",Amostragem!$D$2:$D$15003,0)/COUNTIFS(Amostragem!$A$2:$A$15003,"&gt;="&amp;C198,Amostragem!$A$2:$A$15003,"&lt;"&amp;D198),0))</f>
        <v/>
      </c>
      <c r="I198" s="23" t="str">
        <f aca="false">IF(A198="","",IFERROR(AVERAGEIFS(Amostragem!$E$2:$E$15003,Amostragem!$A$2:$A$15003,"&gt;="&amp;C198,Amostragem!$A$2:$A$15003,"&lt;"&amp;D198),""))</f>
        <v/>
      </c>
      <c r="J198" s="24" t="str">
        <f aca="false">IF(A198="","",IF(B198="","Inválida: sem resultado MES",IF(E198&lt;Parametros!$B$4,"Inválida: poucos ensaios do módulo",IF(H198&lt;Parametros!$B$5,"Inválida: amostragem em manual ou em falha",IF(OR(I198="",I198&lt;Parametros!$B$6),"Inválida: usina parada ou baixa alimentação","Válida")))))</f>
        <v/>
      </c>
      <c r="K198" s="23" t="str">
        <f aca="false">IF(J198="Válida",F198-B198,"")</f>
        <v/>
      </c>
      <c r="L198" s="26" t="str">
        <f aca="false">IF(J198="Válida",K198/B198,"")</f>
        <v/>
      </c>
      <c r="M198" s="23" t="str">
        <f aca="false">IF(J198="Válida",(F198+B198)/2,"")</f>
        <v/>
      </c>
      <c r="N198" s="24" t="str">
        <f aca="false">IF(K198="","",IF(OR(K198&gt;Resumo!$B$16,K198&lt;Resumo!$B$15),"Sim","Não"))</f>
        <v/>
      </c>
      <c r="O198" s="22" t="e">
        <f aca="false">IF(A198="",NA(),A198)</f>
        <v>#N/A</v>
      </c>
      <c r="P198" s="23" t="e">
        <f aca="false">IF(A198="",NA(),B198)</f>
        <v>#N/A</v>
      </c>
      <c r="Q198" s="23" t="e">
        <f aca="false">IF(F198="",NA(),F198)</f>
        <v>#N/A</v>
      </c>
      <c r="R198" s="23" t="e">
        <f aca="false">IF(K198="",NA(),K198)</f>
        <v>#N/A</v>
      </c>
      <c r="S198" s="23" t="e">
        <f aca="false">IF(M198="",NA(),M198)</f>
        <v>#N/A</v>
      </c>
      <c r="T198" s="23" t="str">
        <f aca="false">IF(J198="Válida",B198,"")</f>
        <v/>
      </c>
      <c r="U198" s="23" t="str">
        <f aca="false">IF(J198="Válida",F198,"")</f>
        <v/>
      </c>
    </row>
    <row r="199" customFormat="false" ht="15" hidden="false" customHeight="false" outlineLevel="0" collapsed="false">
      <c r="A199" s="22" t="str">
        <f aca="false">IF(MES!A199="","",MES!A199)</f>
        <v/>
      </c>
      <c r="B199" s="23" t="str">
        <f aca="false">IF(A199="","",MES!B199)</f>
        <v/>
      </c>
      <c r="C199" s="22" t="str">
        <f aca="false">IF(A199="","",A199+Parametros!$B$3/24)</f>
        <v/>
      </c>
      <c r="D199" s="22" t="str">
        <f aca="false">IF(A199="","",C199+Parametros!$B$2/24)</f>
        <v/>
      </c>
      <c r="E199" s="24" t="str">
        <f aca="false">IF(A199="","",COUNTIFS(Modulo!$A$2:$A$5001,"&gt;="&amp;C199,Modulo!$A$2:$A$5001,"&lt;"&amp;D199,Modulo!$D$2:$D$5001,Parametros!$B$7))</f>
        <v/>
      </c>
      <c r="F199" s="23" t="str">
        <f aca="false">IF(A199="","",IF(E199=0,"",AVERAGEIFS(Modulo!$B$2:$B$5001,Modulo!$A$2:$A$5001,"&gt;="&amp;C199,Modulo!$A$2:$A$5001,"&lt;"&amp;D199,Modulo!$D$2:$D$5001,Parametros!$B$7)))</f>
        <v/>
      </c>
      <c r="G199" s="23" t="str">
        <f aca="false">IF(A199="","",IF(E199=0,"",AVERAGEIFS(Modulo!$C$2:$C$5001,Modulo!$A$2:$A$5001,"&gt;="&amp;C199,Modulo!$A$2:$A$5001,"&lt;"&amp;D199,Modulo!$D$2:$D$5001,Parametros!$B$7)))</f>
        <v/>
      </c>
      <c r="H199" s="25" t="str">
        <f aca="false">IF(A199="","",IFERROR(COUNTIFS(Amostragem!$A$2:$A$15003,"&gt;="&amp;C199,Amostragem!$A$2:$A$15003,"&lt;"&amp;D199,Amostragem!$B$2:$B$15003,"Automático",Amostragem!$C$2:$C$15003,"Automático",Amostragem!$D$2:$D$15003,0)/COUNTIFS(Amostragem!$A$2:$A$15003,"&gt;="&amp;C199,Amostragem!$A$2:$A$15003,"&lt;"&amp;D199),0))</f>
        <v/>
      </c>
      <c r="I199" s="23" t="str">
        <f aca="false">IF(A199="","",IFERROR(AVERAGEIFS(Amostragem!$E$2:$E$15003,Amostragem!$A$2:$A$15003,"&gt;="&amp;C199,Amostragem!$A$2:$A$15003,"&lt;"&amp;D199),""))</f>
        <v/>
      </c>
      <c r="J199" s="24" t="str">
        <f aca="false">IF(A199="","",IF(B199="","Inválida: sem resultado MES",IF(E199&lt;Parametros!$B$4,"Inválida: poucos ensaios do módulo",IF(H199&lt;Parametros!$B$5,"Inválida: amostragem em manual ou em falha",IF(OR(I199="",I199&lt;Parametros!$B$6),"Inválida: usina parada ou baixa alimentação","Válida")))))</f>
        <v/>
      </c>
      <c r="K199" s="23" t="str">
        <f aca="false">IF(J199="Válida",F199-B199,"")</f>
        <v/>
      </c>
      <c r="L199" s="26" t="str">
        <f aca="false">IF(J199="Válida",K199/B199,"")</f>
        <v/>
      </c>
      <c r="M199" s="23" t="str">
        <f aca="false">IF(J199="Válida",(F199+B199)/2,"")</f>
        <v/>
      </c>
      <c r="N199" s="24" t="str">
        <f aca="false">IF(K199="","",IF(OR(K199&gt;Resumo!$B$16,K199&lt;Resumo!$B$15),"Sim","Não"))</f>
        <v/>
      </c>
      <c r="O199" s="22" t="e">
        <f aca="false">IF(A199="",NA(),A199)</f>
        <v>#N/A</v>
      </c>
      <c r="P199" s="23" t="e">
        <f aca="false">IF(A199="",NA(),B199)</f>
        <v>#N/A</v>
      </c>
      <c r="Q199" s="23" t="e">
        <f aca="false">IF(F199="",NA(),F199)</f>
        <v>#N/A</v>
      </c>
      <c r="R199" s="23" t="e">
        <f aca="false">IF(K199="",NA(),K199)</f>
        <v>#N/A</v>
      </c>
      <c r="S199" s="23" t="e">
        <f aca="false">IF(M199="",NA(),M199)</f>
        <v>#N/A</v>
      </c>
      <c r="T199" s="23" t="str">
        <f aca="false">IF(J199="Válida",B199,"")</f>
        <v/>
      </c>
      <c r="U199" s="23" t="str">
        <f aca="false">IF(J199="Válida",F199,"")</f>
        <v/>
      </c>
    </row>
    <row r="200" customFormat="false" ht="15" hidden="false" customHeight="false" outlineLevel="0" collapsed="false">
      <c r="A200" s="22" t="str">
        <f aca="false">IF(MES!A200="","",MES!A200)</f>
        <v/>
      </c>
      <c r="B200" s="23" t="str">
        <f aca="false">IF(A200="","",MES!B200)</f>
        <v/>
      </c>
      <c r="C200" s="22" t="str">
        <f aca="false">IF(A200="","",A200+Parametros!$B$3/24)</f>
        <v/>
      </c>
      <c r="D200" s="22" t="str">
        <f aca="false">IF(A200="","",C200+Parametros!$B$2/24)</f>
        <v/>
      </c>
      <c r="E200" s="24" t="str">
        <f aca="false">IF(A200="","",COUNTIFS(Modulo!$A$2:$A$5001,"&gt;="&amp;C200,Modulo!$A$2:$A$5001,"&lt;"&amp;D200,Modulo!$D$2:$D$5001,Parametros!$B$7))</f>
        <v/>
      </c>
      <c r="F200" s="23" t="str">
        <f aca="false">IF(A200="","",IF(E200=0,"",AVERAGEIFS(Modulo!$B$2:$B$5001,Modulo!$A$2:$A$5001,"&gt;="&amp;C200,Modulo!$A$2:$A$5001,"&lt;"&amp;D200,Modulo!$D$2:$D$5001,Parametros!$B$7)))</f>
        <v/>
      </c>
      <c r="G200" s="23" t="str">
        <f aca="false">IF(A200="","",IF(E200=0,"",AVERAGEIFS(Modulo!$C$2:$C$5001,Modulo!$A$2:$A$5001,"&gt;="&amp;C200,Modulo!$A$2:$A$5001,"&lt;"&amp;D200,Modulo!$D$2:$D$5001,Parametros!$B$7)))</f>
        <v/>
      </c>
      <c r="H200" s="25" t="str">
        <f aca="false">IF(A200="","",IFERROR(COUNTIFS(Amostragem!$A$2:$A$15003,"&gt;="&amp;C200,Amostragem!$A$2:$A$15003,"&lt;"&amp;D200,Amostragem!$B$2:$B$15003,"Automático",Amostragem!$C$2:$C$15003,"Automático",Amostragem!$D$2:$D$15003,0)/COUNTIFS(Amostragem!$A$2:$A$15003,"&gt;="&amp;C200,Amostragem!$A$2:$A$15003,"&lt;"&amp;D200),0))</f>
        <v/>
      </c>
      <c r="I200" s="23" t="str">
        <f aca="false">IF(A200="","",IFERROR(AVERAGEIFS(Amostragem!$E$2:$E$15003,Amostragem!$A$2:$A$15003,"&gt;="&amp;C200,Amostragem!$A$2:$A$15003,"&lt;"&amp;D200),""))</f>
        <v/>
      </c>
      <c r="J200" s="24" t="str">
        <f aca="false">IF(A200="","",IF(B200="","Inválida: sem resultado MES",IF(E200&lt;Parametros!$B$4,"Inválida: poucos ensaios do módulo",IF(H200&lt;Parametros!$B$5,"Inválida: amostragem em manual ou em falha",IF(OR(I200="",I200&lt;Parametros!$B$6),"Inválida: usina parada ou baixa alimentação","Válida")))))</f>
        <v/>
      </c>
      <c r="K200" s="23" t="str">
        <f aca="false">IF(J200="Válida",F200-B200,"")</f>
        <v/>
      </c>
      <c r="L200" s="26" t="str">
        <f aca="false">IF(J200="Válida",K200/B200,"")</f>
        <v/>
      </c>
      <c r="M200" s="23" t="str">
        <f aca="false">IF(J200="Válida",(F200+B200)/2,"")</f>
        <v/>
      </c>
      <c r="N200" s="24" t="str">
        <f aca="false">IF(K200="","",IF(OR(K200&gt;Resumo!$B$16,K200&lt;Resumo!$B$15),"Sim","Não"))</f>
        <v/>
      </c>
      <c r="O200" s="22" t="e">
        <f aca="false">IF(A200="",NA(),A200)</f>
        <v>#N/A</v>
      </c>
      <c r="P200" s="23" t="e">
        <f aca="false">IF(A200="",NA(),B200)</f>
        <v>#N/A</v>
      </c>
      <c r="Q200" s="23" t="e">
        <f aca="false">IF(F200="",NA(),F200)</f>
        <v>#N/A</v>
      </c>
      <c r="R200" s="23" t="e">
        <f aca="false">IF(K200="",NA(),K200)</f>
        <v>#N/A</v>
      </c>
      <c r="S200" s="23" t="e">
        <f aca="false">IF(M200="",NA(),M200)</f>
        <v>#N/A</v>
      </c>
      <c r="T200" s="23" t="str">
        <f aca="false">IF(J200="Válida",B200,"")</f>
        <v/>
      </c>
      <c r="U200" s="23" t="str">
        <f aca="false">IF(J200="Válida",F200,"")</f>
        <v/>
      </c>
    </row>
    <row r="201" customFormat="false" ht="15" hidden="false" customHeight="false" outlineLevel="0" collapsed="false">
      <c r="A201" s="22" t="str">
        <f aca="false">IF(MES!A201="","",MES!A201)</f>
        <v/>
      </c>
      <c r="B201" s="23" t="str">
        <f aca="false">IF(A201="","",MES!B201)</f>
        <v/>
      </c>
      <c r="C201" s="22" t="str">
        <f aca="false">IF(A201="","",A201+Parametros!$B$3/24)</f>
        <v/>
      </c>
      <c r="D201" s="22" t="str">
        <f aca="false">IF(A201="","",C201+Parametros!$B$2/24)</f>
        <v/>
      </c>
      <c r="E201" s="24" t="str">
        <f aca="false">IF(A201="","",COUNTIFS(Modulo!$A$2:$A$5001,"&gt;="&amp;C201,Modulo!$A$2:$A$5001,"&lt;"&amp;D201,Modulo!$D$2:$D$5001,Parametros!$B$7))</f>
        <v/>
      </c>
      <c r="F201" s="23" t="str">
        <f aca="false">IF(A201="","",IF(E201=0,"",AVERAGEIFS(Modulo!$B$2:$B$5001,Modulo!$A$2:$A$5001,"&gt;="&amp;C201,Modulo!$A$2:$A$5001,"&lt;"&amp;D201,Modulo!$D$2:$D$5001,Parametros!$B$7)))</f>
        <v/>
      </c>
      <c r="G201" s="23" t="str">
        <f aca="false">IF(A201="","",IF(E201=0,"",AVERAGEIFS(Modulo!$C$2:$C$5001,Modulo!$A$2:$A$5001,"&gt;="&amp;C201,Modulo!$A$2:$A$5001,"&lt;"&amp;D201,Modulo!$D$2:$D$5001,Parametros!$B$7)))</f>
        <v/>
      </c>
      <c r="H201" s="25" t="str">
        <f aca="false">IF(A201="","",IFERROR(COUNTIFS(Amostragem!$A$2:$A$15003,"&gt;="&amp;C201,Amostragem!$A$2:$A$15003,"&lt;"&amp;D201,Amostragem!$B$2:$B$15003,"Automático",Amostragem!$C$2:$C$15003,"Automático",Amostragem!$D$2:$D$15003,0)/COUNTIFS(Amostragem!$A$2:$A$15003,"&gt;="&amp;C201,Amostragem!$A$2:$A$15003,"&lt;"&amp;D201),0))</f>
        <v/>
      </c>
      <c r="I201" s="23" t="str">
        <f aca="false">IF(A201="","",IFERROR(AVERAGEIFS(Amostragem!$E$2:$E$15003,Amostragem!$A$2:$A$15003,"&gt;="&amp;C201,Amostragem!$A$2:$A$15003,"&lt;"&amp;D201),""))</f>
        <v/>
      </c>
      <c r="J201" s="24" t="str">
        <f aca="false">IF(A201="","",IF(B201="","Inválida: sem resultado MES",IF(E201&lt;Parametros!$B$4,"Inválida: poucos ensaios do módulo",IF(H201&lt;Parametros!$B$5,"Inválida: amostragem em manual ou em falha",IF(OR(I201="",I201&lt;Parametros!$B$6),"Inválida: usina parada ou baixa alimentação","Válida")))))</f>
        <v/>
      </c>
      <c r="K201" s="23" t="str">
        <f aca="false">IF(J201="Válida",F201-B201,"")</f>
        <v/>
      </c>
      <c r="L201" s="26" t="str">
        <f aca="false">IF(J201="Válida",K201/B201,"")</f>
        <v/>
      </c>
      <c r="M201" s="23" t="str">
        <f aca="false">IF(J201="Válida",(F201+B201)/2,"")</f>
        <v/>
      </c>
      <c r="N201" s="24" t="str">
        <f aca="false">IF(K201="","",IF(OR(K201&gt;Resumo!$B$16,K201&lt;Resumo!$B$15),"Sim","Não"))</f>
        <v/>
      </c>
      <c r="O201" s="22" t="e">
        <f aca="false">IF(A201="",NA(),A201)</f>
        <v>#N/A</v>
      </c>
      <c r="P201" s="23" t="e">
        <f aca="false">IF(A201="",NA(),B201)</f>
        <v>#N/A</v>
      </c>
      <c r="Q201" s="23" t="e">
        <f aca="false">IF(F201="",NA(),F201)</f>
        <v>#N/A</v>
      </c>
      <c r="R201" s="23" t="e">
        <f aca="false">IF(K201="",NA(),K201)</f>
        <v>#N/A</v>
      </c>
      <c r="S201" s="23" t="e">
        <f aca="false">IF(M201="",NA(),M201)</f>
        <v>#N/A</v>
      </c>
      <c r="T201" s="23" t="str">
        <f aca="false">IF(J201="Válida",B201,"")</f>
        <v/>
      </c>
      <c r="U201" s="23" t="str">
        <f aca="false">IF(J201="Válida",F201,"")</f>
        <v/>
      </c>
    </row>
    <row r="202" customFormat="false" ht="15" hidden="false" customHeight="false" outlineLevel="0" collapsed="false">
      <c r="A202" s="22" t="str">
        <f aca="false">IF(MES!A202="","",MES!A202)</f>
        <v/>
      </c>
      <c r="B202" s="23" t="str">
        <f aca="false">IF(A202="","",MES!B202)</f>
        <v/>
      </c>
      <c r="C202" s="22" t="str">
        <f aca="false">IF(A202="","",A202+Parametros!$B$3/24)</f>
        <v/>
      </c>
      <c r="D202" s="22" t="str">
        <f aca="false">IF(A202="","",C202+Parametros!$B$2/24)</f>
        <v/>
      </c>
      <c r="E202" s="24" t="str">
        <f aca="false">IF(A202="","",COUNTIFS(Modulo!$A$2:$A$5001,"&gt;="&amp;C202,Modulo!$A$2:$A$5001,"&lt;"&amp;D202,Modulo!$D$2:$D$5001,Parametros!$B$7))</f>
        <v/>
      </c>
      <c r="F202" s="23" t="str">
        <f aca="false">IF(A202="","",IF(E202=0,"",AVERAGEIFS(Modulo!$B$2:$B$5001,Modulo!$A$2:$A$5001,"&gt;="&amp;C202,Modulo!$A$2:$A$5001,"&lt;"&amp;D202,Modulo!$D$2:$D$5001,Parametros!$B$7)))</f>
        <v/>
      </c>
      <c r="G202" s="23" t="str">
        <f aca="false">IF(A202="","",IF(E202=0,"",AVERAGEIFS(Modulo!$C$2:$C$5001,Modulo!$A$2:$A$5001,"&gt;="&amp;C202,Modulo!$A$2:$A$5001,"&lt;"&amp;D202,Modulo!$D$2:$D$5001,Parametros!$B$7)))</f>
        <v/>
      </c>
      <c r="H202" s="25" t="str">
        <f aca="false">IF(A202="","",IFERROR(COUNTIFS(Amostragem!$A$2:$A$15003,"&gt;="&amp;C202,Amostragem!$A$2:$A$15003,"&lt;"&amp;D202,Amostragem!$B$2:$B$15003,"Automático",Amostragem!$C$2:$C$15003,"Automático",Amostragem!$D$2:$D$15003,0)/COUNTIFS(Amostragem!$A$2:$A$15003,"&gt;="&amp;C202,Amostragem!$A$2:$A$15003,"&lt;"&amp;D202),0))</f>
        <v/>
      </c>
      <c r="I202" s="23" t="str">
        <f aca="false">IF(A202="","",IFERROR(AVERAGEIFS(Amostragem!$E$2:$E$15003,Amostragem!$A$2:$A$15003,"&gt;="&amp;C202,Amostragem!$A$2:$A$15003,"&lt;"&amp;D202),""))</f>
        <v/>
      </c>
      <c r="J202" s="24" t="str">
        <f aca="false">IF(A202="","",IF(B202="","Inválida: sem resultado MES",IF(E202&lt;Parametros!$B$4,"Inválida: poucos ensaios do módulo",IF(H202&lt;Parametros!$B$5,"Inválida: amostragem em manual ou em falha",IF(OR(I202="",I202&lt;Parametros!$B$6),"Inválida: usina parada ou baixa alimentação","Válida")))))</f>
        <v/>
      </c>
      <c r="K202" s="23" t="str">
        <f aca="false">IF(J202="Válida",F202-B202,"")</f>
        <v/>
      </c>
      <c r="L202" s="26" t="str">
        <f aca="false">IF(J202="Válida",K202/B202,"")</f>
        <v/>
      </c>
      <c r="M202" s="23" t="str">
        <f aca="false">IF(J202="Válida",(F202+B202)/2,"")</f>
        <v/>
      </c>
      <c r="N202" s="24" t="str">
        <f aca="false">IF(K202="","",IF(OR(K202&gt;Resumo!$B$16,K202&lt;Resumo!$B$15),"Sim","Não"))</f>
        <v/>
      </c>
      <c r="O202" s="22" t="e">
        <f aca="false">IF(A202="",NA(),A202)</f>
        <v>#N/A</v>
      </c>
      <c r="P202" s="23" t="e">
        <f aca="false">IF(A202="",NA(),B202)</f>
        <v>#N/A</v>
      </c>
      <c r="Q202" s="23" t="e">
        <f aca="false">IF(F202="",NA(),F202)</f>
        <v>#N/A</v>
      </c>
      <c r="R202" s="23" t="e">
        <f aca="false">IF(K202="",NA(),K202)</f>
        <v>#N/A</v>
      </c>
      <c r="S202" s="23" t="e">
        <f aca="false">IF(M202="",NA(),M202)</f>
        <v>#N/A</v>
      </c>
      <c r="T202" s="23" t="str">
        <f aca="false">IF(J202="Válida",B202,"")</f>
        <v/>
      </c>
      <c r="U202" s="23" t="str">
        <f aca="false">IF(J202="Válida",F202,"")</f>
        <v/>
      </c>
    </row>
    <row r="203" customFormat="false" ht="15" hidden="false" customHeight="false" outlineLevel="0" collapsed="false">
      <c r="A203" s="22" t="str">
        <f aca="false">IF(MES!A203="","",MES!A203)</f>
        <v/>
      </c>
      <c r="B203" s="23" t="str">
        <f aca="false">IF(A203="","",MES!B203)</f>
        <v/>
      </c>
      <c r="C203" s="22" t="str">
        <f aca="false">IF(A203="","",A203+Parametros!$B$3/24)</f>
        <v/>
      </c>
      <c r="D203" s="22" t="str">
        <f aca="false">IF(A203="","",C203+Parametros!$B$2/24)</f>
        <v/>
      </c>
      <c r="E203" s="24" t="str">
        <f aca="false">IF(A203="","",COUNTIFS(Modulo!$A$2:$A$5001,"&gt;="&amp;C203,Modulo!$A$2:$A$5001,"&lt;"&amp;D203,Modulo!$D$2:$D$5001,Parametros!$B$7))</f>
        <v/>
      </c>
      <c r="F203" s="23" t="str">
        <f aca="false">IF(A203="","",IF(E203=0,"",AVERAGEIFS(Modulo!$B$2:$B$5001,Modulo!$A$2:$A$5001,"&gt;="&amp;C203,Modulo!$A$2:$A$5001,"&lt;"&amp;D203,Modulo!$D$2:$D$5001,Parametros!$B$7)))</f>
        <v/>
      </c>
      <c r="G203" s="23" t="str">
        <f aca="false">IF(A203="","",IF(E203=0,"",AVERAGEIFS(Modulo!$C$2:$C$5001,Modulo!$A$2:$A$5001,"&gt;="&amp;C203,Modulo!$A$2:$A$5001,"&lt;"&amp;D203,Modulo!$D$2:$D$5001,Parametros!$B$7)))</f>
        <v/>
      </c>
      <c r="H203" s="25" t="str">
        <f aca="false">IF(A203="","",IFERROR(COUNTIFS(Amostragem!$A$2:$A$15003,"&gt;="&amp;C203,Amostragem!$A$2:$A$15003,"&lt;"&amp;D203,Amostragem!$B$2:$B$15003,"Automático",Amostragem!$C$2:$C$15003,"Automático",Amostragem!$D$2:$D$15003,0)/COUNTIFS(Amostragem!$A$2:$A$15003,"&gt;="&amp;C203,Amostragem!$A$2:$A$15003,"&lt;"&amp;D203),0))</f>
        <v/>
      </c>
      <c r="I203" s="23" t="str">
        <f aca="false">IF(A203="","",IFERROR(AVERAGEIFS(Amostragem!$E$2:$E$15003,Amostragem!$A$2:$A$15003,"&gt;="&amp;C203,Amostragem!$A$2:$A$15003,"&lt;"&amp;D203),""))</f>
        <v/>
      </c>
      <c r="J203" s="24" t="str">
        <f aca="false">IF(A203="","",IF(B203="","Inválida: sem resultado MES",IF(E203&lt;Parametros!$B$4,"Inválida: poucos ensaios do módulo",IF(H203&lt;Parametros!$B$5,"Inválida: amostragem em manual ou em falha",IF(OR(I203="",I203&lt;Parametros!$B$6),"Inválida: usina parada ou baixa alimentação","Válida")))))</f>
        <v/>
      </c>
      <c r="K203" s="23" t="str">
        <f aca="false">IF(J203="Válida",F203-B203,"")</f>
        <v/>
      </c>
      <c r="L203" s="26" t="str">
        <f aca="false">IF(J203="Válida",K203/B203,"")</f>
        <v/>
      </c>
      <c r="M203" s="23" t="str">
        <f aca="false">IF(J203="Válida",(F203+B203)/2,"")</f>
        <v/>
      </c>
      <c r="N203" s="24" t="str">
        <f aca="false">IF(K203="","",IF(OR(K203&gt;Resumo!$B$16,K203&lt;Resumo!$B$15),"Sim","Não"))</f>
        <v/>
      </c>
      <c r="O203" s="22" t="e">
        <f aca="false">IF(A203="",NA(),A203)</f>
        <v>#N/A</v>
      </c>
      <c r="P203" s="23" t="e">
        <f aca="false">IF(A203="",NA(),B203)</f>
        <v>#N/A</v>
      </c>
      <c r="Q203" s="23" t="e">
        <f aca="false">IF(F203="",NA(),F203)</f>
        <v>#N/A</v>
      </c>
      <c r="R203" s="23" t="e">
        <f aca="false">IF(K203="",NA(),K203)</f>
        <v>#N/A</v>
      </c>
      <c r="S203" s="23" t="e">
        <f aca="false">IF(M203="",NA(),M203)</f>
        <v>#N/A</v>
      </c>
      <c r="T203" s="23" t="str">
        <f aca="false">IF(J203="Válida",B203,"")</f>
        <v/>
      </c>
      <c r="U203" s="23" t="str">
        <f aca="false">IF(J203="Válida",F203,"")</f>
        <v/>
      </c>
    </row>
    <row r="204" customFormat="false" ht="15" hidden="false" customHeight="false" outlineLevel="0" collapsed="false">
      <c r="A204" s="22" t="str">
        <f aca="false">IF(MES!A204="","",MES!A204)</f>
        <v/>
      </c>
      <c r="B204" s="23" t="str">
        <f aca="false">IF(A204="","",MES!B204)</f>
        <v/>
      </c>
      <c r="C204" s="22" t="str">
        <f aca="false">IF(A204="","",A204+Parametros!$B$3/24)</f>
        <v/>
      </c>
      <c r="D204" s="22" t="str">
        <f aca="false">IF(A204="","",C204+Parametros!$B$2/24)</f>
        <v/>
      </c>
      <c r="E204" s="24" t="str">
        <f aca="false">IF(A204="","",COUNTIFS(Modulo!$A$2:$A$5001,"&gt;="&amp;C204,Modulo!$A$2:$A$5001,"&lt;"&amp;D204,Modulo!$D$2:$D$5001,Parametros!$B$7))</f>
        <v/>
      </c>
      <c r="F204" s="23" t="str">
        <f aca="false">IF(A204="","",IF(E204=0,"",AVERAGEIFS(Modulo!$B$2:$B$5001,Modulo!$A$2:$A$5001,"&gt;="&amp;C204,Modulo!$A$2:$A$5001,"&lt;"&amp;D204,Modulo!$D$2:$D$5001,Parametros!$B$7)))</f>
        <v/>
      </c>
      <c r="G204" s="23" t="str">
        <f aca="false">IF(A204="","",IF(E204=0,"",AVERAGEIFS(Modulo!$C$2:$C$5001,Modulo!$A$2:$A$5001,"&gt;="&amp;C204,Modulo!$A$2:$A$5001,"&lt;"&amp;D204,Modulo!$D$2:$D$5001,Parametros!$B$7)))</f>
        <v/>
      </c>
      <c r="H204" s="25" t="str">
        <f aca="false">IF(A204="","",IFERROR(COUNTIFS(Amostragem!$A$2:$A$15003,"&gt;="&amp;C204,Amostragem!$A$2:$A$15003,"&lt;"&amp;D204,Amostragem!$B$2:$B$15003,"Automático",Amostragem!$C$2:$C$15003,"Automático",Amostragem!$D$2:$D$15003,0)/COUNTIFS(Amostragem!$A$2:$A$15003,"&gt;="&amp;C204,Amostragem!$A$2:$A$15003,"&lt;"&amp;D204),0))</f>
        <v/>
      </c>
      <c r="I204" s="23" t="str">
        <f aca="false">IF(A204="","",IFERROR(AVERAGEIFS(Amostragem!$E$2:$E$15003,Amostragem!$A$2:$A$15003,"&gt;="&amp;C204,Amostragem!$A$2:$A$15003,"&lt;"&amp;D204),""))</f>
        <v/>
      </c>
      <c r="J204" s="24" t="str">
        <f aca="false">IF(A204="","",IF(B204="","Inválida: sem resultado MES",IF(E204&lt;Parametros!$B$4,"Inválida: poucos ensaios do módulo",IF(H204&lt;Parametros!$B$5,"Inválida: amostragem em manual ou em falha",IF(OR(I204="",I204&lt;Parametros!$B$6),"Inválida: usina parada ou baixa alimentação","Válida")))))</f>
        <v/>
      </c>
      <c r="K204" s="23" t="str">
        <f aca="false">IF(J204="Válida",F204-B204,"")</f>
        <v/>
      </c>
      <c r="L204" s="26" t="str">
        <f aca="false">IF(J204="Válida",K204/B204,"")</f>
        <v/>
      </c>
      <c r="M204" s="23" t="str">
        <f aca="false">IF(J204="Válida",(F204+B204)/2,"")</f>
        <v/>
      </c>
      <c r="N204" s="24" t="str">
        <f aca="false">IF(K204="","",IF(OR(K204&gt;Resumo!$B$16,K204&lt;Resumo!$B$15),"Sim","Não"))</f>
        <v/>
      </c>
      <c r="O204" s="22" t="e">
        <f aca="false">IF(A204="",NA(),A204)</f>
        <v>#N/A</v>
      </c>
      <c r="P204" s="23" t="e">
        <f aca="false">IF(A204="",NA(),B204)</f>
        <v>#N/A</v>
      </c>
      <c r="Q204" s="23" t="e">
        <f aca="false">IF(F204="",NA(),F204)</f>
        <v>#N/A</v>
      </c>
      <c r="R204" s="23" t="e">
        <f aca="false">IF(K204="",NA(),K204)</f>
        <v>#N/A</v>
      </c>
      <c r="S204" s="23" t="e">
        <f aca="false">IF(M204="",NA(),M204)</f>
        <v>#N/A</v>
      </c>
      <c r="T204" s="23" t="str">
        <f aca="false">IF(J204="Válida",B204,"")</f>
        <v/>
      </c>
      <c r="U204" s="23" t="str">
        <f aca="false">IF(J204="Válida",F204,"")</f>
        <v/>
      </c>
    </row>
    <row r="205" customFormat="false" ht="15" hidden="false" customHeight="false" outlineLevel="0" collapsed="false">
      <c r="A205" s="22" t="str">
        <f aca="false">IF(MES!A205="","",MES!A205)</f>
        <v/>
      </c>
      <c r="B205" s="23" t="str">
        <f aca="false">IF(A205="","",MES!B205)</f>
        <v/>
      </c>
      <c r="C205" s="22" t="str">
        <f aca="false">IF(A205="","",A205+Parametros!$B$3/24)</f>
        <v/>
      </c>
      <c r="D205" s="22" t="str">
        <f aca="false">IF(A205="","",C205+Parametros!$B$2/24)</f>
        <v/>
      </c>
      <c r="E205" s="24" t="str">
        <f aca="false">IF(A205="","",COUNTIFS(Modulo!$A$2:$A$5001,"&gt;="&amp;C205,Modulo!$A$2:$A$5001,"&lt;"&amp;D205,Modulo!$D$2:$D$5001,Parametros!$B$7))</f>
        <v/>
      </c>
      <c r="F205" s="23" t="str">
        <f aca="false">IF(A205="","",IF(E205=0,"",AVERAGEIFS(Modulo!$B$2:$B$5001,Modulo!$A$2:$A$5001,"&gt;="&amp;C205,Modulo!$A$2:$A$5001,"&lt;"&amp;D205,Modulo!$D$2:$D$5001,Parametros!$B$7)))</f>
        <v/>
      </c>
      <c r="G205" s="23" t="str">
        <f aca="false">IF(A205="","",IF(E205=0,"",AVERAGEIFS(Modulo!$C$2:$C$5001,Modulo!$A$2:$A$5001,"&gt;="&amp;C205,Modulo!$A$2:$A$5001,"&lt;"&amp;D205,Modulo!$D$2:$D$5001,Parametros!$B$7)))</f>
        <v/>
      </c>
      <c r="H205" s="25" t="str">
        <f aca="false">IF(A205="","",IFERROR(COUNTIFS(Amostragem!$A$2:$A$15003,"&gt;="&amp;C205,Amostragem!$A$2:$A$15003,"&lt;"&amp;D205,Amostragem!$B$2:$B$15003,"Automático",Amostragem!$C$2:$C$15003,"Automático",Amostragem!$D$2:$D$15003,0)/COUNTIFS(Amostragem!$A$2:$A$15003,"&gt;="&amp;C205,Amostragem!$A$2:$A$15003,"&lt;"&amp;D205),0))</f>
        <v/>
      </c>
      <c r="I205" s="23" t="str">
        <f aca="false">IF(A205="","",IFERROR(AVERAGEIFS(Amostragem!$E$2:$E$15003,Amostragem!$A$2:$A$15003,"&gt;="&amp;C205,Amostragem!$A$2:$A$15003,"&lt;"&amp;D205),""))</f>
        <v/>
      </c>
      <c r="J205" s="24" t="str">
        <f aca="false">IF(A205="","",IF(B205="","Inválida: sem resultado MES",IF(E205&lt;Parametros!$B$4,"Inválida: poucos ensaios do módulo",IF(H205&lt;Parametros!$B$5,"Inválida: amostragem em manual ou em falha",IF(OR(I205="",I205&lt;Parametros!$B$6),"Inválida: usina parada ou baixa alimentação","Válida")))))</f>
        <v/>
      </c>
      <c r="K205" s="23" t="str">
        <f aca="false">IF(J205="Válida",F205-B205,"")</f>
        <v/>
      </c>
      <c r="L205" s="26" t="str">
        <f aca="false">IF(J205="Válida",K205/B205,"")</f>
        <v/>
      </c>
      <c r="M205" s="23" t="str">
        <f aca="false">IF(J205="Válida",(F205+B205)/2,"")</f>
        <v/>
      </c>
      <c r="N205" s="24" t="str">
        <f aca="false">IF(K205="","",IF(OR(K205&gt;Resumo!$B$16,K205&lt;Resumo!$B$15),"Sim","Não"))</f>
        <v/>
      </c>
      <c r="O205" s="22" t="e">
        <f aca="false">IF(A205="",NA(),A205)</f>
        <v>#N/A</v>
      </c>
      <c r="P205" s="23" t="e">
        <f aca="false">IF(A205="",NA(),B205)</f>
        <v>#N/A</v>
      </c>
      <c r="Q205" s="23" t="e">
        <f aca="false">IF(F205="",NA(),F205)</f>
        <v>#N/A</v>
      </c>
      <c r="R205" s="23" t="e">
        <f aca="false">IF(K205="",NA(),K205)</f>
        <v>#N/A</v>
      </c>
      <c r="S205" s="23" t="e">
        <f aca="false">IF(M205="",NA(),M205)</f>
        <v>#N/A</v>
      </c>
      <c r="T205" s="23" t="str">
        <f aca="false">IF(J205="Válida",B205,"")</f>
        <v/>
      </c>
      <c r="U205" s="23" t="str">
        <f aca="false">IF(J205="Válida",F205,"")</f>
        <v/>
      </c>
    </row>
    <row r="206" customFormat="false" ht="15" hidden="false" customHeight="false" outlineLevel="0" collapsed="false">
      <c r="A206" s="22" t="str">
        <f aca="false">IF(MES!A206="","",MES!A206)</f>
        <v/>
      </c>
      <c r="B206" s="23" t="str">
        <f aca="false">IF(A206="","",MES!B206)</f>
        <v/>
      </c>
      <c r="C206" s="22" t="str">
        <f aca="false">IF(A206="","",A206+Parametros!$B$3/24)</f>
        <v/>
      </c>
      <c r="D206" s="22" t="str">
        <f aca="false">IF(A206="","",C206+Parametros!$B$2/24)</f>
        <v/>
      </c>
      <c r="E206" s="24" t="str">
        <f aca="false">IF(A206="","",COUNTIFS(Modulo!$A$2:$A$5001,"&gt;="&amp;C206,Modulo!$A$2:$A$5001,"&lt;"&amp;D206,Modulo!$D$2:$D$5001,Parametros!$B$7))</f>
        <v/>
      </c>
      <c r="F206" s="23" t="str">
        <f aca="false">IF(A206="","",IF(E206=0,"",AVERAGEIFS(Modulo!$B$2:$B$5001,Modulo!$A$2:$A$5001,"&gt;="&amp;C206,Modulo!$A$2:$A$5001,"&lt;"&amp;D206,Modulo!$D$2:$D$5001,Parametros!$B$7)))</f>
        <v/>
      </c>
      <c r="G206" s="23" t="str">
        <f aca="false">IF(A206="","",IF(E206=0,"",AVERAGEIFS(Modulo!$C$2:$C$5001,Modulo!$A$2:$A$5001,"&gt;="&amp;C206,Modulo!$A$2:$A$5001,"&lt;"&amp;D206,Modulo!$D$2:$D$5001,Parametros!$B$7)))</f>
        <v/>
      </c>
      <c r="H206" s="25" t="str">
        <f aca="false">IF(A206="","",IFERROR(COUNTIFS(Amostragem!$A$2:$A$15003,"&gt;="&amp;C206,Amostragem!$A$2:$A$15003,"&lt;"&amp;D206,Amostragem!$B$2:$B$15003,"Automático",Amostragem!$C$2:$C$15003,"Automático",Amostragem!$D$2:$D$15003,0)/COUNTIFS(Amostragem!$A$2:$A$15003,"&gt;="&amp;C206,Amostragem!$A$2:$A$15003,"&lt;"&amp;D206),0))</f>
        <v/>
      </c>
      <c r="I206" s="23" t="str">
        <f aca="false">IF(A206="","",IFERROR(AVERAGEIFS(Amostragem!$E$2:$E$15003,Amostragem!$A$2:$A$15003,"&gt;="&amp;C206,Amostragem!$A$2:$A$15003,"&lt;"&amp;D206),""))</f>
        <v/>
      </c>
      <c r="J206" s="24" t="str">
        <f aca="false">IF(A206="","",IF(B206="","Inválida: sem resultado MES",IF(E206&lt;Parametros!$B$4,"Inválida: poucos ensaios do módulo",IF(H206&lt;Parametros!$B$5,"Inválida: amostragem em manual ou em falha",IF(OR(I206="",I206&lt;Parametros!$B$6),"Inválida: usina parada ou baixa alimentação","Válida")))))</f>
        <v/>
      </c>
      <c r="K206" s="23" t="str">
        <f aca="false">IF(J206="Válida",F206-B206,"")</f>
        <v/>
      </c>
      <c r="L206" s="26" t="str">
        <f aca="false">IF(J206="Válida",K206/B206,"")</f>
        <v/>
      </c>
      <c r="M206" s="23" t="str">
        <f aca="false">IF(J206="Válida",(F206+B206)/2,"")</f>
        <v/>
      </c>
      <c r="N206" s="24" t="str">
        <f aca="false">IF(K206="","",IF(OR(K206&gt;Resumo!$B$16,K206&lt;Resumo!$B$15),"Sim","Não"))</f>
        <v/>
      </c>
      <c r="O206" s="22" t="e">
        <f aca="false">IF(A206="",NA(),A206)</f>
        <v>#N/A</v>
      </c>
      <c r="P206" s="23" t="e">
        <f aca="false">IF(A206="",NA(),B206)</f>
        <v>#N/A</v>
      </c>
      <c r="Q206" s="23" t="e">
        <f aca="false">IF(F206="",NA(),F206)</f>
        <v>#N/A</v>
      </c>
      <c r="R206" s="23" t="e">
        <f aca="false">IF(K206="",NA(),K206)</f>
        <v>#N/A</v>
      </c>
      <c r="S206" s="23" t="e">
        <f aca="false">IF(M206="",NA(),M206)</f>
        <v>#N/A</v>
      </c>
      <c r="T206" s="23" t="str">
        <f aca="false">IF(J206="Válida",B206,"")</f>
        <v/>
      </c>
      <c r="U206" s="23" t="str">
        <f aca="false">IF(J206="Válida",F206,"")</f>
        <v/>
      </c>
    </row>
    <row r="207" customFormat="false" ht="15" hidden="false" customHeight="false" outlineLevel="0" collapsed="false">
      <c r="A207" s="22" t="str">
        <f aca="false">IF(MES!A207="","",MES!A207)</f>
        <v/>
      </c>
      <c r="B207" s="23" t="str">
        <f aca="false">IF(A207="","",MES!B207)</f>
        <v/>
      </c>
      <c r="C207" s="22" t="str">
        <f aca="false">IF(A207="","",A207+Parametros!$B$3/24)</f>
        <v/>
      </c>
      <c r="D207" s="22" t="str">
        <f aca="false">IF(A207="","",C207+Parametros!$B$2/24)</f>
        <v/>
      </c>
      <c r="E207" s="24" t="str">
        <f aca="false">IF(A207="","",COUNTIFS(Modulo!$A$2:$A$5001,"&gt;="&amp;C207,Modulo!$A$2:$A$5001,"&lt;"&amp;D207,Modulo!$D$2:$D$5001,Parametros!$B$7))</f>
        <v/>
      </c>
      <c r="F207" s="23" t="str">
        <f aca="false">IF(A207="","",IF(E207=0,"",AVERAGEIFS(Modulo!$B$2:$B$5001,Modulo!$A$2:$A$5001,"&gt;="&amp;C207,Modulo!$A$2:$A$5001,"&lt;"&amp;D207,Modulo!$D$2:$D$5001,Parametros!$B$7)))</f>
        <v/>
      </c>
      <c r="G207" s="23" t="str">
        <f aca="false">IF(A207="","",IF(E207=0,"",AVERAGEIFS(Modulo!$C$2:$C$5001,Modulo!$A$2:$A$5001,"&gt;="&amp;C207,Modulo!$A$2:$A$5001,"&lt;"&amp;D207,Modulo!$D$2:$D$5001,Parametros!$B$7)))</f>
        <v/>
      </c>
      <c r="H207" s="25" t="str">
        <f aca="false">IF(A207="","",IFERROR(COUNTIFS(Amostragem!$A$2:$A$15003,"&gt;="&amp;C207,Amostragem!$A$2:$A$15003,"&lt;"&amp;D207,Amostragem!$B$2:$B$15003,"Automático",Amostragem!$C$2:$C$15003,"Automático",Amostragem!$D$2:$D$15003,0)/COUNTIFS(Amostragem!$A$2:$A$15003,"&gt;="&amp;C207,Amostragem!$A$2:$A$15003,"&lt;"&amp;D207),0))</f>
        <v/>
      </c>
      <c r="I207" s="23" t="str">
        <f aca="false">IF(A207="","",IFERROR(AVERAGEIFS(Amostragem!$E$2:$E$15003,Amostragem!$A$2:$A$15003,"&gt;="&amp;C207,Amostragem!$A$2:$A$15003,"&lt;"&amp;D207),""))</f>
        <v/>
      </c>
      <c r="J207" s="24" t="str">
        <f aca="false">IF(A207="","",IF(B207="","Inválida: sem resultado MES",IF(E207&lt;Parametros!$B$4,"Inválida: poucos ensaios do módulo",IF(H207&lt;Parametros!$B$5,"Inválida: amostragem em manual ou em falha",IF(OR(I207="",I207&lt;Parametros!$B$6),"Inválida: usina parada ou baixa alimentação","Válida")))))</f>
        <v/>
      </c>
      <c r="K207" s="23" t="str">
        <f aca="false">IF(J207="Válida",F207-B207,"")</f>
        <v/>
      </c>
      <c r="L207" s="26" t="str">
        <f aca="false">IF(J207="Válida",K207/B207,"")</f>
        <v/>
      </c>
      <c r="M207" s="23" t="str">
        <f aca="false">IF(J207="Válida",(F207+B207)/2,"")</f>
        <v/>
      </c>
      <c r="N207" s="24" t="str">
        <f aca="false">IF(K207="","",IF(OR(K207&gt;Resumo!$B$16,K207&lt;Resumo!$B$15),"Sim","Não"))</f>
        <v/>
      </c>
      <c r="O207" s="22" t="e">
        <f aca="false">IF(A207="",NA(),A207)</f>
        <v>#N/A</v>
      </c>
      <c r="P207" s="23" t="e">
        <f aca="false">IF(A207="",NA(),B207)</f>
        <v>#N/A</v>
      </c>
      <c r="Q207" s="23" t="e">
        <f aca="false">IF(F207="",NA(),F207)</f>
        <v>#N/A</v>
      </c>
      <c r="R207" s="23" t="e">
        <f aca="false">IF(K207="",NA(),K207)</f>
        <v>#N/A</v>
      </c>
      <c r="S207" s="23" t="e">
        <f aca="false">IF(M207="",NA(),M207)</f>
        <v>#N/A</v>
      </c>
      <c r="T207" s="23" t="str">
        <f aca="false">IF(J207="Válida",B207,"")</f>
        <v/>
      </c>
      <c r="U207" s="23" t="str">
        <f aca="false">IF(J207="Válida",F207,"")</f>
        <v/>
      </c>
    </row>
    <row r="208" customFormat="false" ht="15" hidden="false" customHeight="false" outlineLevel="0" collapsed="false">
      <c r="A208" s="22" t="str">
        <f aca="false">IF(MES!A208="","",MES!A208)</f>
        <v/>
      </c>
      <c r="B208" s="23" t="str">
        <f aca="false">IF(A208="","",MES!B208)</f>
        <v/>
      </c>
      <c r="C208" s="22" t="str">
        <f aca="false">IF(A208="","",A208+Parametros!$B$3/24)</f>
        <v/>
      </c>
      <c r="D208" s="22" t="str">
        <f aca="false">IF(A208="","",C208+Parametros!$B$2/24)</f>
        <v/>
      </c>
      <c r="E208" s="24" t="str">
        <f aca="false">IF(A208="","",COUNTIFS(Modulo!$A$2:$A$5001,"&gt;="&amp;C208,Modulo!$A$2:$A$5001,"&lt;"&amp;D208,Modulo!$D$2:$D$5001,Parametros!$B$7))</f>
        <v/>
      </c>
      <c r="F208" s="23" t="str">
        <f aca="false">IF(A208="","",IF(E208=0,"",AVERAGEIFS(Modulo!$B$2:$B$5001,Modulo!$A$2:$A$5001,"&gt;="&amp;C208,Modulo!$A$2:$A$5001,"&lt;"&amp;D208,Modulo!$D$2:$D$5001,Parametros!$B$7)))</f>
        <v/>
      </c>
      <c r="G208" s="23" t="str">
        <f aca="false">IF(A208="","",IF(E208=0,"",AVERAGEIFS(Modulo!$C$2:$C$5001,Modulo!$A$2:$A$5001,"&gt;="&amp;C208,Modulo!$A$2:$A$5001,"&lt;"&amp;D208,Modulo!$D$2:$D$5001,Parametros!$B$7)))</f>
        <v/>
      </c>
      <c r="H208" s="25" t="str">
        <f aca="false">IF(A208="","",IFERROR(COUNTIFS(Amostragem!$A$2:$A$15003,"&gt;="&amp;C208,Amostragem!$A$2:$A$15003,"&lt;"&amp;D208,Amostragem!$B$2:$B$15003,"Automático",Amostragem!$C$2:$C$15003,"Automático",Amostragem!$D$2:$D$15003,0)/COUNTIFS(Amostragem!$A$2:$A$15003,"&gt;="&amp;C208,Amostragem!$A$2:$A$15003,"&lt;"&amp;D208),0))</f>
        <v/>
      </c>
      <c r="I208" s="23" t="str">
        <f aca="false">IF(A208="","",IFERROR(AVERAGEIFS(Amostragem!$E$2:$E$15003,Amostragem!$A$2:$A$15003,"&gt;="&amp;C208,Amostragem!$A$2:$A$15003,"&lt;"&amp;D208),""))</f>
        <v/>
      </c>
      <c r="J208" s="24" t="str">
        <f aca="false">IF(A208="","",IF(B208="","Inválida: sem resultado MES",IF(E208&lt;Parametros!$B$4,"Inválida: poucos ensaios do módulo",IF(H208&lt;Parametros!$B$5,"Inválida: amostragem em manual ou em falha",IF(OR(I208="",I208&lt;Parametros!$B$6),"Inválida: usina parada ou baixa alimentação","Válida")))))</f>
        <v/>
      </c>
      <c r="K208" s="23" t="str">
        <f aca="false">IF(J208="Válida",F208-B208,"")</f>
        <v/>
      </c>
      <c r="L208" s="26" t="str">
        <f aca="false">IF(J208="Válida",K208/B208,"")</f>
        <v/>
      </c>
      <c r="M208" s="23" t="str">
        <f aca="false">IF(J208="Válida",(F208+B208)/2,"")</f>
        <v/>
      </c>
      <c r="N208" s="24" t="str">
        <f aca="false">IF(K208="","",IF(OR(K208&gt;Resumo!$B$16,K208&lt;Resumo!$B$15),"Sim","Não"))</f>
        <v/>
      </c>
      <c r="O208" s="22" t="e">
        <f aca="false">IF(A208="",NA(),A208)</f>
        <v>#N/A</v>
      </c>
      <c r="P208" s="23" t="e">
        <f aca="false">IF(A208="",NA(),B208)</f>
        <v>#N/A</v>
      </c>
      <c r="Q208" s="23" t="e">
        <f aca="false">IF(F208="",NA(),F208)</f>
        <v>#N/A</v>
      </c>
      <c r="R208" s="23" t="e">
        <f aca="false">IF(K208="",NA(),K208)</f>
        <v>#N/A</v>
      </c>
      <c r="S208" s="23" t="e">
        <f aca="false">IF(M208="",NA(),M208)</f>
        <v>#N/A</v>
      </c>
      <c r="T208" s="23" t="str">
        <f aca="false">IF(J208="Válida",B208,"")</f>
        <v/>
      </c>
      <c r="U208" s="23" t="str">
        <f aca="false">IF(J208="Válida",F208,"")</f>
        <v/>
      </c>
    </row>
    <row r="209" customFormat="false" ht="15" hidden="false" customHeight="false" outlineLevel="0" collapsed="false">
      <c r="A209" s="22" t="str">
        <f aca="false">IF(MES!A209="","",MES!A209)</f>
        <v/>
      </c>
      <c r="B209" s="23" t="str">
        <f aca="false">IF(A209="","",MES!B209)</f>
        <v/>
      </c>
      <c r="C209" s="22" t="str">
        <f aca="false">IF(A209="","",A209+Parametros!$B$3/24)</f>
        <v/>
      </c>
      <c r="D209" s="22" t="str">
        <f aca="false">IF(A209="","",C209+Parametros!$B$2/24)</f>
        <v/>
      </c>
      <c r="E209" s="24" t="str">
        <f aca="false">IF(A209="","",COUNTIFS(Modulo!$A$2:$A$5001,"&gt;="&amp;C209,Modulo!$A$2:$A$5001,"&lt;"&amp;D209,Modulo!$D$2:$D$5001,Parametros!$B$7))</f>
        <v/>
      </c>
      <c r="F209" s="23" t="str">
        <f aca="false">IF(A209="","",IF(E209=0,"",AVERAGEIFS(Modulo!$B$2:$B$5001,Modulo!$A$2:$A$5001,"&gt;="&amp;C209,Modulo!$A$2:$A$5001,"&lt;"&amp;D209,Modulo!$D$2:$D$5001,Parametros!$B$7)))</f>
        <v/>
      </c>
      <c r="G209" s="23" t="str">
        <f aca="false">IF(A209="","",IF(E209=0,"",AVERAGEIFS(Modulo!$C$2:$C$5001,Modulo!$A$2:$A$5001,"&gt;="&amp;C209,Modulo!$A$2:$A$5001,"&lt;"&amp;D209,Modulo!$D$2:$D$5001,Parametros!$B$7)))</f>
        <v/>
      </c>
      <c r="H209" s="25" t="str">
        <f aca="false">IF(A209="","",IFERROR(COUNTIFS(Amostragem!$A$2:$A$15003,"&gt;="&amp;C209,Amostragem!$A$2:$A$15003,"&lt;"&amp;D209,Amostragem!$B$2:$B$15003,"Automático",Amostragem!$C$2:$C$15003,"Automático",Amostragem!$D$2:$D$15003,0)/COUNTIFS(Amostragem!$A$2:$A$15003,"&gt;="&amp;C209,Amostragem!$A$2:$A$15003,"&lt;"&amp;D209),0))</f>
        <v/>
      </c>
      <c r="I209" s="23" t="str">
        <f aca="false">IF(A209="","",IFERROR(AVERAGEIFS(Amostragem!$E$2:$E$15003,Amostragem!$A$2:$A$15003,"&gt;="&amp;C209,Amostragem!$A$2:$A$15003,"&lt;"&amp;D209),""))</f>
        <v/>
      </c>
      <c r="J209" s="24" t="str">
        <f aca="false">IF(A209="","",IF(B209="","Inválida: sem resultado MES",IF(E209&lt;Parametros!$B$4,"Inválida: poucos ensaios do módulo",IF(H209&lt;Parametros!$B$5,"Inválida: amostragem em manual ou em falha",IF(OR(I209="",I209&lt;Parametros!$B$6),"Inválida: usina parada ou baixa alimentação","Válida")))))</f>
        <v/>
      </c>
      <c r="K209" s="23" t="str">
        <f aca="false">IF(J209="Válida",F209-B209,"")</f>
        <v/>
      </c>
      <c r="L209" s="26" t="str">
        <f aca="false">IF(J209="Válida",K209/B209,"")</f>
        <v/>
      </c>
      <c r="M209" s="23" t="str">
        <f aca="false">IF(J209="Válida",(F209+B209)/2,"")</f>
        <v/>
      </c>
      <c r="N209" s="24" t="str">
        <f aca="false">IF(K209="","",IF(OR(K209&gt;Resumo!$B$16,K209&lt;Resumo!$B$15),"Sim","Não"))</f>
        <v/>
      </c>
      <c r="O209" s="22" t="e">
        <f aca="false">IF(A209="",NA(),A209)</f>
        <v>#N/A</v>
      </c>
      <c r="P209" s="23" t="e">
        <f aca="false">IF(A209="",NA(),B209)</f>
        <v>#N/A</v>
      </c>
      <c r="Q209" s="23" t="e">
        <f aca="false">IF(F209="",NA(),F209)</f>
        <v>#N/A</v>
      </c>
      <c r="R209" s="23" t="e">
        <f aca="false">IF(K209="",NA(),K209)</f>
        <v>#N/A</v>
      </c>
      <c r="S209" s="23" t="e">
        <f aca="false">IF(M209="",NA(),M209)</f>
        <v>#N/A</v>
      </c>
      <c r="T209" s="23" t="str">
        <f aca="false">IF(J209="Válida",B209,"")</f>
        <v/>
      </c>
      <c r="U209" s="23" t="str">
        <f aca="false">IF(J209="Válida",F209,"")</f>
        <v/>
      </c>
    </row>
    <row r="210" customFormat="false" ht="15" hidden="false" customHeight="false" outlineLevel="0" collapsed="false">
      <c r="A210" s="22" t="str">
        <f aca="false">IF(MES!A210="","",MES!A210)</f>
        <v/>
      </c>
      <c r="B210" s="23" t="str">
        <f aca="false">IF(A210="","",MES!B210)</f>
        <v/>
      </c>
      <c r="C210" s="22" t="str">
        <f aca="false">IF(A210="","",A210+Parametros!$B$3/24)</f>
        <v/>
      </c>
      <c r="D210" s="22" t="str">
        <f aca="false">IF(A210="","",C210+Parametros!$B$2/24)</f>
        <v/>
      </c>
      <c r="E210" s="24" t="str">
        <f aca="false">IF(A210="","",COUNTIFS(Modulo!$A$2:$A$5001,"&gt;="&amp;C210,Modulo!$A$2:$A$5001,"&lt;"&amp;D210,Modulo!$D$2:$D$5001,Parametros!$B$7))</f>
        <v/>
      </c>
      <c r="F210" s="23" t="str">
        <f aca="false">IF(A210="","",IF(E210=0,"",AVERAGEIFS(Modulo!$B$2:$B$5001,Modulo!$A$2:$A$5001,"&gt;="&amp;C210,Modulo!$A$2:$A$5001,"&lt;"&amp;D210,Modulo!$D$2:$D$5001,Parametros!$B$7)))</f>
        <v/>
      </c>
      <c r="G210" s="23" t="str">
        <f aca="false">IF(A210="","",IF(E210=0,"",AVERAGEIFS(Modulo!$C$2:$C$5001,Modulo!$A$2:$A$5001,"&gt;="&amp;C210,Modulo!$A$2:$A$5001,"&lt;"&amp;D210,Modulo!$D$2:$D$5001,Parametros!$B$7)))</f>
        <v/>
      </c>
      <c r="H210" s="25" t="str">
        <f aca="false">IF(A210="","",IFERROR(COUNTIFS(Amostragem!$A$2:$A$15003,"&gt;="&amp;C210,Amostragem!$A$2:$A$15003,"&lt;"&amp;D210,Amostragem!$B$2:$B$15003,"Automático",Amostragem!$C$2:$C$15003,"Automático",Amostragem!$D$2:$D$15003,0)/COUNTIFS(Amostragem!$A$2:$A$15003,"&gt;="&amp;C210,Amostragem!$A$2:$A$15003,"&lt;"&amp;D210),0))</f>
        <v/>
      </c>
      <c r="I210" s="23" t="str">
        <f aca="false">IF(A210="","",IFERROR(AVERAGEIFS(Amostragem!$E$2:$E$15003,Amostragem!$A$2:$A$15003,"&gt;="&amp;C210,Amostragem!$A$2:$A$15003,"&lt;"&amp;D210),""))</f>
        <v/>
      </c>
      <c r="J210" s="24" t="str">
        <f aca="false">IF(A210="","",IF(B210="","Inválida: sem resultado MES",IF(E210&lt;Parametros!$B$4,"Inválida: poucos ensaios do módulo",IF(H210&lt;Parametros!$B$5,"Inválida: amostragem em manual ou em falha",IF(OR(I210="",I210&lt;Parametros!$B$6),"Inválida: usina parada ou baixa alimentação","Válida")))))</f>
        <v/>
      </c>
      <c r="K210" s="23" t="str">
        <f aca="false">IF(J210="Válida",F210-B210,"")</f>
        <v/>
      </c>
      <c r="L210" s="26" t="str">
        <f aca="false">IF(J210="Válida",K210/B210,"")</f>
        <v/>
      </c>
      <c r="M210" s="23" t="str">
        <f aca="false">IF(J210="Válida",(F210+B210)/2,"")</f>
        <v/>
      </c>
      <c r="N210" s="24" t="str">
        <f aca="false">IF(K210="","",IF(OR(K210&gt;Resumo!$B$16,K210&lt;Resumo!$B$15),"Sim","Não"))</f>
        <v/>
      </c>
      <c r="O210" s="22" t="e">
        <f aca="false">IF(A210="",NA(),A210)</f>
        <v>#N/A</v>
      </c>
      <c r="P210" s="23" t="e">
        <f aca="false">IF(A210="",NA(),B210)</f>
        <v>#N/A</v>
      </c>
      <c r="Q210" s="23" t="e">
        <f aca="false">IF(F210="",NA(),F210)</f>
        <v>#N/A</v>
      </c>
      <c r="R210" s="23" t="e">
        <f aca="false">IF(K210="",NA(),K210)</f>
        <v>#N/A</v>
      </c>
      <c r="S210" s="23" t="e">
        <f aca="false">IF(M210="",NA(),M210)</f>
        <v>#N/A</v>
      </c>
      <c r="T210" s="23" t="str">
        <f aca="false">IF(J210="Válida",B210,"")</f>
        <v/>
      </c>
      <c r="U210" s="23" t="str">
        <f aca="false">IF(J210="Válida",F210,"")</f>
        <v/>
      </c>
    </row>
    <row r="211" customFormat="false" ht="15" hidden="false" customHeight="false" outlineLevel="0" collapsed="false">
      <c r="A211" s="22" t="str">
        <f aca="false">IF(MES!A211="","",MES!A211)</f>
        <v/>
      </c>
      <c r="B211" s="23" t="str">
        <f aca="false">IF(A211="","",MES!B211)</f>
        <v/>
      </c>
      <c r="C211" s="22" t="str">
        <f aca="false">IF(A211="","",A211+Parametros!$B$3/24)</f>
        <v/>
      </c>
      <c r="D211" s="22" t="str">
        <f aca="false">IF(A211="","",C211+Parametros!$B$2/24)</f>
        <v/>
      </c>
      <c r="E211" s="24" t="str">
        <f aca="false">IF(A211="","",COUNTIFS(Modulo!$A$2:$A$5001,"&gt;="&amp;C211,Modulo!$A$2:$A$5001,"&lt;"&amp;D211,Modulo!$D$2:$D$5001,Parametros!$B$7))</f>
        <v/>
      </c>
      <c r="F211" s="23" t="str">
        <f aca="false">IF(A211="","",IF(E211=0,"",AVERAGEIFS(Modulo!$B$2:$B$5001,Modulo!$A$2:$A$5001,"&gt;="&amp;C211,Modulo!$A$2:$A$5001,"&lt;"&amp;D211,Modulo!$D$2:$D$5001,Parametros!$B$7)))</f>
        <v/>
      </c>
      <c r="G211" s="23" t="str">
        <f aca="false">IF(A211="","",IF(E211=0,"",AVERAGEIFS(Modulo!$C$2:$C$5001,Modulo!$A$2:$A$5001,"&gt;="&amp;C211,Modulo!$A$2:$A$5001,"&lt;"&amp;D211,Modulo!$D$2:$D$5001,Parametros!$B$7)))</f>
        <v/>
      </c>
      <c r="H211" s="25" t="str">
        <f aca="false">IF(A211="","",IFERROR(COUNTIFS(Amostragem!$A$2:$A$15003,"&gt;="&amp;C211,Amostragem!$A$2:$A$15003,"&lt;"&amp;D211,Amostragem!$B$2:$B$15003,"Automático",Amostragem!$C$2:$C$15003,"Automático",Amostragem!$D$2:$D$15003,0)/COUNTIFS(Amostragem!$A$2:$A$15003,"&gt;="&amp;C211,Amostragem!$A$2:$A$15003,"&lt;"&amp;D211),0))</f>
        <v/>
      </c>
      <c r="I211" s="23" t="str">
        <f aca="false">IF(A211="","",IFERROR(AVERAGEIFS(Amostragem!$E$2:$E$15003,Amostragem!$A$2:$A$15003,"&gt;="&amp;C211,Amostragem!$A$2:$A$15003,"&lt;"&amp;D211),""))</f>
        <v/>
      </c>
      <c r="J211" s="24" t="str">
        <f aca="false">IF(A211="","",IF(B211="","Inválida: sem resultado MES",IF(E211&lt;Parametros!$B$4,"Inválida: poucos ensaios do módulo",IF(H211&lt;Parametros!$B$5,"Inválida: amostragem em manual ou em falha",IF(OR(I211="",I211&lt;Parametros!$B$6),"Inválida: usina parada ou baixa alimentação","Válida")))))</f>
        <v/>
      </c>
      <c r="K211" s="23" t="str">
        <f aca="false">IF(J211="Válida",F211-B211,"")</f>
        <v/>
      </c>
      <c r="L211" s="26" t="str">
        <f aca="false">IF(J211="Válida",K211/B211,"")</f>
        <v/>
      </c>
      <c r="M211" s="23" t="str">
        <f aca="false">IF(J211="Válida",(F211+B211)/2,"")</f>
        <v/>
      </c>
      <c r="N211" s="24" t="str">
        <f aca="false">IF(K211="","",IF(OR(K211&gt;Resumo!$B$16,K211&lt;Resumo!$B$15),"Sim","Não"))</f>
        <v/>
      </c>
      <c r="O211" s="22" t="e">
        <f aca="false">IF(A211="",NA(),A211)</f>
        <v>#N/A</v>
      </c>
      <c r="P211" s="23" t="e">
        <f aca="false">IF(A211="",NA(),B211)</f>
        <v>#N/A</v>
      </c>
      <c r="Q211" s="23" t="e">
        <f aca="false">IF(F211="",NA(),F211)</f>
        <v>#N/A</v>
      </c>
      <c r="R211" s="23" t="e">
        <f aca="false">IF(K211="",NA(),K211)</f>
        <v>#N/A</v>
      </c>
      <c r="S211" s="23" t="e">
        <f aca="false">IF(M211="",NA(),M211)</f>
        <v>#N/A</v>
      </c>
      <c r="T211" s="23" t="str">
        <f aca="false">IF(J211="Válida",B211,"")</f>
        <v/>
      </c>
      <c r="U211" s="23" t="str">
        <f aca="false">IF(J211="Válida",F211,"")</f>
        <v/>
      </c>
    </row>
    <row r="212" customFormat="false" ht="15" hidden="false" customHeight="false" outlineLevel="0" collapsed="false">
      <c r="A212" s="22" t="str">
        <f aca="false">IF(MES!A212="","",MES!A212)</f>
        <v/>
      </c>
      <c r="B212" s="23" t="str">
        <f aca="false">IF(A212="","",MES!B212)</f>
        <v/>
      </c>
      <c r="C212" s="22" t="str">
        <f aca="false">IF(A212="","",A212+Parametros!$B$3/24)</f>
        <v/>
      </c>
      <c r="D212" s="22" t="str">
        <f aca="false">IF(A212="","",C212+Parametros!$B$2/24)</f>
        <v/>
      </c>
      <c r="E212" s="24" t="str">
        <f aca="false">IF(A212="","",COUNTIFS(Modulo!$A$2:$A$5001,"&gt;="&amp;C212,Modulo!$A$2:$A$5001,"&lt;"&amp;D212,Modulo!$D$2:$D$5001,Parametros!$B$7))</f>
        <v/>
      </c>
      <c r="F212" s="23" t="str">
        <f aca="false">IF(A212="","",IF(E212=0,"",AVERAGEIFS(Modulo!$B$2:$B$5001,Modulo!$A$2:$A$5001,"&gt;="&amp;C212,Modulo!$A$2:$A$5001,"&lt;"&amp;D212,Modulo!$D$2:$D$5001,Parametros!$B$7)))</f>
        <v/>
      </c>
      <c r="G212" s="23" t="str">
        <f aca="false">IF(A212="","",IF(E212=0,"",AVERAGEIFS(Modulo!$C$2:$C$5001,Modulo!$A$2:$A$5001,"&gt;="&amp;C212,Modulo!$A$2:$A$5001,"&lt;"&amp;D212,Modulo!$D$2:$D$5001,Parametros!$B$7)))</f>
        <v/>
      </c>
      <c r="H212" s="25" t="str">
        <f aca="false">IF(A212="","",IFERROR(COUNTIFS(Amostragem!$A$2:$A$15003,"&gt;="&amp;C212,Amostragem!$A$2:$A$15003,"&lt;"&amp;D212,Amostragem!$B$2:$B$15003,"Automático",Amostragem!$C$2:$C$15003,"Automático",Amostragem!$D$2:$D$15003,0)/COUNTIFS(Amostragem!$A$2:$A$15003,"&gt;="&amp;C212,Amostragem!$A$2:$A$15003,"&lt;"&amp;D212),0))</f>
        <v/>
      </c>
      <c r="I212" s="23" t="str">
        <f aca="false">IF(A212="","",IFERROR(AVERAGEIFS(Amostragem!$E$2:$E$15003,Amostragem!$A$2:$A$15003,"&gt;="&amp;C212,Amostragem!$A$2:$A$15003,"&lt;"&amp;D212),""))</f>
        <v/>
      </c>
      <c r="J212" s="24" t="str">
        <f aca="false">IF(A212="","",IF(B212="","Inválida: sem resultado MES",IF(E212&lt;Parametros!$B$4,"Inválida: poucos ensaios do módulo",IF(H212&lt;Parametros!$B$5,"Inválida: amostragem em manual ou em falha",IF(OR(I212="",I212&lt;Parametros!$B$6),"Inválida: usina parada ou baixa alimentação","Válida")))))</f>
        <v/>
      </c>
      <c r="K212" s="23" t="str">
        <f aca="false">IF(J212="Válida",F212-B212,"")</f>
        <v/>
      </c>
      <c r="L212" s="26" t="str">
        <f aca="false">IF(J212="Válida",K212/B212,"")</f>
        <v/>
      </c>
      <c r="M212" s="23" t="str">
        <f aca="false">IF(J212="Válida",(F212+B212)/2,"")</f>
        <v/>
      </c>
      <c r="N212" s="24" t="str">
        <f aca="false">IF(K212="","",IF(OR(K212&gt;Resumo!$B$16,K212&lt;Resumo!$B$15),"Sim","Não"))</f>
        <v/>
      </c>
      <c r="O212" s="22" t="e">
        <f aca="false">IF(A212="",NA(),A212)</f>
        <v>#N/A</v>
      </c>
      <c r="P212" s="23" t="e">
        <f aca="false">IF(A212="",NA(),B212)</f>
        <v>#N/A</v>
      </c>
      <c r="Q212" s="23" t="e">
        <f aca="false">IF(F212="",NA(),F212)</f>
        <v>#N/A</v>
      </c>
      <c r="R212" s="23" t="e">
        <f aca="false">IF(K212="",NA(),K212)</f>
        <v>#N/A</v>
      </c>
      <c r="S212" s="23" t="e">
        <f aca="false">IF(M212="",NA(),M212)</f>
        <v>#N/A</v>
      </c>
      <c r="T212" s="23" t="str">
        <f aca="false">IF(J212="Válida",B212,"")</f>
        <v/>
      </c>
      <c r="U212" s="23" t="str">
        <f aca="false">IF(J212="Válida",F212,"")</f>
        <v/>
      </c>
    </row>
    <row r="213" customFormat="false" ht="15" hidden="false" customHeight="false" outlineLevel="0" collapsed="false">
      <c r="A213" s="22" t="str">
        <f aca="false">IF(MES!A213="","",MES!A213)</f>
        <v/>
      </c>
      <c r="B213" s="23" t="str">
        <f aca="false">IF(A213="","",MES!B213)</f>
        <v/>
      </c>
      <c r="C213" s="22" t="str">
        <f aca="false">IF(A213="","",A213+Parametros!$B$3/24)</f>
        <v/>
      </c>
      <c r="D213" s="22" t="str">
        <f aca="false">IF(A213="","",C213+Parametros!$B$2/24)</f>
        <v/>
      </c>
      <c r="E213" s="24" t="str">
        <f aca="false">IF(A213="","",COUNTIFS(Modulo!$A$2:$A$5001,"&gt;="&amp;C213,Modulo!$A$2:$A$5001,"&lt;"&amp;D213,Modulo!$D$2:$D$5001,Parametros!$B$7))</f>
        <v/>
      </c>
      <c r="F213" s="23" t="str">
        <f aca="false">IF(A213="","",IF(E213=0,"",AVERAGEIFS(Modulo!$B$2:$B$5001,Modulo!$A$2:$A$5001,"&gt;="&amp;C213,Modulo!$A$2:$A$5001,"&lt;"&amp;D213,Modulo!$D$2:$D$5001,Parametros!$B$7)))</f>
        <v/>
      </c>
      <c r="G213" s="23" t="str">
        <f aca="false">IF(A213="","",IF(E213=0,"",AVERAGEIFS(Modulo!$C$2:$C$5001,Modulo!$A$2:$A$5001,"&gt;="&amp;C213,Modulo!$A$2:$A$5001,"&lt;"&amp;D213,Modulo!$D$2:$D$5001,Parametros!$B$7)))</f>
        <v/>
      </c>
      <c r="H213" s="25" t="str">
        <f aca="false">IF(A213="","",IFERROR(COUNTIFS(Amostragem!$A$2:$A$15003,"&gt;="&amp;C213,Amostragem!$A$2:$A$15003,"&lt;"&amp;D213,Amostragem!$B$2:$B$15003,"Automático",Amostragem!$C$2:$C$15003,"Automático",Amostragem!$D$2:$D$15003,0)/COUNTIFS(Amostragem!$A$2:$A$15003,"&gt;="&amp;C213,Amostragem!$A$2:$A$15003,"&lt;"&amp;D213),0))</f>
        <v/>
      </c>
      <c r="I213" s="23" t="str">
        <f aca="false">IF(A213="","",IFERROR(AVERAGEIFS(Amostragem!$E$2:$E$15003,Amostragem!$A$2:$A$15003,"&gt;="&amp;C213,Amostragem!$A$2:$A$15003,"&lt;"&amp;D213),""))</f>
        <v/>
      </c>
      <c r="J213" s="24" t="str">
        <f aca="false">IF(A213="","",IF(B213="","Inválida: sem resultado MES",IF(E213&lt;Parametros!$B$4,"Inválida: poucos ensaios do módulo",IF(H213&lt;Parametros!$B$5,"Inválida: amostragem em manual ou em falha",IF(OR(I213="",I213&lt;Parametros!$B$6),"Inválida: usina parada ou baixa alimentação","Válida")))))</f>
        <v/>
      </c>
      <c r="K213" s="23" t="str">
        <f aca="false">IF(J213="Válida",F213-B213,"")</f>
        <v/>
      </c>
      <c r="L213" s="26" t="str">
        <f aca="false">IF(J213="Válida",K213/B213,"")</f>
        <v/>
      </c>
      <c r="M213" s="23" t="str">
        <f aca="false">IF(J213="Válida",(F213+B213)/2,"")</f>
        <v/>
      </c>
      <c r="N213" s="24" t="str">
        <f aca="false">IF(K213="","",IF(OR(K213&gt;Resumo!$B$16,K213&lt;Resumo!$B$15),"Sim","Não"))</f>
        <v/>
      </c>
      <c r="O213" s="22" t="e">
        <f aca="false">IF(A213="",NA(),A213)</f>
        <v>#N/A</v>
      </c>
      <c r="P213" s="23" t="e">
        <f aca="false">IF(A213="",NA(),B213)</f>
        <v>#N/A</v>
      </c>
      <c r="Q213" s="23" t="e">
        <f aca="false">IF(F213="",NA(),F213)</f>
        <v>#N/A</v>
      </c>
      <c r="R213" s="23" t="e">
        <f aca="false">IF(K213="",NA(),K213)</f>
        <v>#N/A</v>
      </c>
      <c r="S213" s="23" t="e">
        <f aca="false">IF(M213="",NA(),M213)</f>
        <v>#N/A</v>
      </c>
      <c r="T213" s="23" t="str">
        <f aca="false">IF(J213="Válida",B213,"")</f>
        <v/>
      </c>
      <c r="U213" s="23" t="str">
        <f aca="false">IF(J213="Válida",F213,"")</f>
        <v/>
      </c>
    </row>
    <row r="214" customFormat="false" ht="15" hidden="false" customHeight="false" outlineLevel="0" collapsed="false">
      <c r="A214" s="22" t="str">
        <f aca="false">IF(MES!A214="","",MES!A214)</f>
        <v/>
      </c>
      <c r="B214" s="23" t="str">
        <f aca="false">IF(A214="","",MES!B214)</f>
        <v/>
      </c>
      <c r="C214" s="22" t="str">
        <f aca="false">IF(A214="","",A214+Parametros!$B$3/24)</f>
        <v/>
      </c>
      <c r="D214" s="22" t="str">
        <f aca="false">IF(A214="","",C214+Parametros!$B$2/24)</f>
        <v/>
      </c>
      <c r="E214" s="24" t="str">
        <f aca="false">IF(A214="","",COUNTIFS(Modulo!$A$2:$A$5001,"&gt;="&amp;C214,Modulo!$A$2:$A$5001,"&lt;"&amp;D214,Modulo!$D$2:$D$5001,Parametros!$B$7))</f>
        <v/>
      </c>
      <c r="F214" s="23" t="str">
        <f aca="false">IF(A214="","",IF(E214=0,"",AVERAGEIFS(Modulo!$B$2:$B$5001,Modulo!$A$2:$A$5001,"&gt;="&amp;C214,Modulo!$A$2:$A$5001,"&lt;"&amp;D214,Modulo!$D$2:$D$5001,Parametros!$B$7)))</f>
        <v/>
      </c>
      <c r="G214" s="23" t="str">
        <f aca="false">IF(A214="","",IF(E214=0,"",AVERAGEIFS(Modulo!$C$2:$C$5001,Modulo!$A$2:$A$5001,"&gt;="&amp;C214,Modulo!$A$2:$A$5001,"&lt;"&amp;D214,Modulo!$D$2:$D$5001,Parametros!$B$7)))</f>
        <v/>
      </c>
      <c r="H214" s="25" t="str">
        <f aca="false">IF(A214="","",IFERROR(COUNTIFS(Amostragem!$A$2:$A$15003,"&gt;="&amp;C214,Amostragem!$A$2:$A$15003,"&lt;"&amp;D214,Amostragem!$B$2:$B$15003,"Automático",Amostragem!$C$2:$C$15003,"Automático",Amostragem!$D$2:$D$15003,0)/COUNTIFS(Amostragem!$A$2:$A$15003,"&gt;="&amp;C214,Amostragem!$A$2:$A$15003,"&lt;"&amp;D214),0))</f>
        <v/>
      </c>
      <c r="I214" s="23" t="str">
        <f aca="false">IF(A214="","",IFERROR(AVERAGEIFS(Amostragem!$E$2:$E$15003,Amostragem!$A$2:$A$15003,"&gt;="&amp;C214,Amostragem!$A$2:$A$15003,"&lt;"&amp;D214),""))</f>
        <v/>
      </c>
      <c r="J214" s="24" t="str">
        <f aca="false">IF(A214="","",IF(B214="","Inválida: sem resultado MES",IF(E214&lt;Parametros!$B$4,"Inválida: poucos ensaios do módulo",IF(H214&lt;Parametros!$B$5,"Inválida: amostragem em manual ou em falha",IF(OR(I214="",I214&lt;Parametros!$B$6),"Inválida: usina parada ou baixa alimentação","Válida")))))</f>
        <v/>
      </c>
      <c r="K214" s="23" t="str">
        <f aca="false">IF(J214="Válida",F214-B214,"")</f>
        <v/>
      </c>
      <c r="L214" s="26" t="str">
        <f aca="false">IF(J214="Válida",K214/B214,"")</f>
        <v/>
      </c>
      <c r="M214" s="23" t="str">
        <f aca="false">IF(J214="Válida",(F214+B214)/2,"")</f>
        <v/>
      </c>
      <c r="N214" s="24" t="str">
        <f aca="false">IF(K214="","",IF(OR(K214&gt;Resumo!$B$16,K214&lt;Resumo!$B$15),"Sim","Não"))</f>
        <v/>
      </c>
      <c r="O214" s="22" t="e">
        <f aca="false">IF(A214="",NA(),A214)</f>
        <v>#N/A</v>
      </c>
      <c r="P214" s="23" t="e">
        <f aca="false">IF(A214="",NA(),B214)</f>
        <v>#N/A</v>
      </c>
      <c r="Q214" s="23" t="e">
        <f aca="false">IF(F214="",NA(),F214)</f>
        <v>#N/A</v>
      </c>
      <c r="R214" s="23" t="e">
        <f aca="false">IF(K214="",NA(),K214)</f>
        <v>#N/A</v>
      </c>
      <c r="S214" s="23" t="e">
        <f aca="false">IF(M214="",NA(),M214)</f>
        <v>#N/A</v>
      </c>
      <c r="T214" s="23" t="str">
        <f aca="false">IF(J214="Válida",B214,"")</f>
        <v/>
      </c>
      <c r="U214" s="23" t="str">
        <f aca="false">IF(J214="Válida",F214,"")</f>
        <v/>
      </c>
    </row>
    <row r="215" customFormat="false" ht="15" hidden="false" customHeight="false" outlineLevel="0" collapsed="false">
      <c r="A215" s="22" t="str">
        <f aca="false">IF(MES!A215="","",MES!A215)</f>
        <v/>
      </c>
      <c r="B215" s="23" t="str">
        <f aca="false">IF(A215="","",MES!B215)</f>
        <v/>
      </c>
      <c r="C215" s="22" t="str">
        <f aca="false">IF(A215="","",A215+Parametros!$B$3/24)</f>
        <v/>
      </c>
      <c r="D215" s="22" t="str">
        <f aca="false">IF(A215="","",C215+Parametros!$B$2/24)</f>
        <v/>
      </c>
      <c r="E215" s="24" t="str">
        <f aca="false">IF(A215="","",COUNTIFS(Modulo!$A$2:$A$5001,"&gt;="&amp;C215,Modulo!$A$2:$A$5001,"&lt;"&amp;D215,Modulo!$D$2:$D$5001,Parametros!$B$7))</f>
        <v/>
      </c>
      <c r="F215" s="23" t="str">
        <f aca="false">IF(A215="","",IF(E215=0,"",AVERAGEIFS(Modulo!$B$2:$B$5001,Modulo!$A$2:$A$5001,"&gt;="&amp;C215,Modulo!$A$2:$A$5001,"&lt;"&amp;D215,Modulo!$D$2:$D$5001,Parametros!$B$7)))</f>
        <v/>
      </c>
      <c r="G215" s="23" t="str">
        <f aca="false">IF(A215="","",IF(E215=0,"",AVERAGEIFS(Modulo!$C$2:$C$5001,Modulo!$A$2:$A$5001,"&gt;="&amp;C215,Modulo!$A$2:$A$5001,"&lt;"&amp;D215,Modulo!$D$2:$D$5001,Parametros!$B$7)))</f>
        <v/>
      </c>
      <c r="H215" s="25" t="str">
        <f aca="false">IF(A215="","",IFERROR(COUNTIFS(Amostragem!$A$2:$A$15003,"&gt;="&amp;C215,Amostragem!$A$2:$A$15003,"&lt;"&amp;D215,Amostragem!$B$2:$B$15003,"Automático",Amostragem!$C$2:$C$15003,"Automático",Amostragem!$D$2:$D$15003,0)/COUNTIFS(Amostragem!$A$2:$A$15003,"&gt;="&amp;C215,Amostragem!$A$2:$A$15003,"&lt;"&amp;D215),0))</f>
        <v/>
      </c>
      <c r="I215" s="23" t="str">
        <f aca="false">IF(A215="","",IFERROR(AVERAGEIFS(Amostragem!$E$2:$E$15003,Amostragem!$A$2:$A$15003,"&gt;="&amp;C215,Amostragem!$A$2:$A$15003,"&lt;"&amp;D215),""))</f>
        <v/>
      </c>
      <c r="J215" s="24" t="str">
        <f aca="false">IF(A215="","",IF(B215="","Inválida: sem resultado MES",IF(E215&lt;Parametros!$B$4,"Inválida: poucos ensaios do módulo",IF(H215&lt;Parametros!$B$5,"Inválida: amostragem em manual ou em falha",IF(OR(I215="",I215&lt;Parametros!$B$6),"Inválida: usina parada ou baixa alimentação","Válida")))))</f>
        <v/>
      </c>
      <c r="K215" s="23" t="str">
        <f aca="false">IF(J215="Válida",F215-B215,"")</f>
        <v/>
      </c>
      <c r="L215" s="26" t="str">
        <f aca="false">IF(J215="Válida",K215/B215,"")</f>
        <v/>
      </c>
      <c r="M215" s="23" t="str">
        <f aca="false">IF(J215="Válida",(F215+B215)/2,"")</f>
        <v/>
      </c>
      <c r="N215" s="24" t="str">
        <f aca="false">IF(K215="","",IF(OR(K215&gt;Resumo!$B$16,K215&lt;Resumo!$B$15),"Sim","Não"))</f>
        <v/>
      </c>
      <c r="O215" s="22" t="e">
        <f aca="false">IF(A215="",NA(),A215)</f>
        <v>#N/A</v>
      </c>
      <c r="P215" s="23" t="e">
        <f aca="false">IF(A215="",NA(),B215)</f>
        <v>#N/A</v>
      </c>
      <c r="Q215" s="23" t="e">
        <f aca="false">IF(F215="",NA(),F215)</f>
        <v>#N/A</v>
      </c>
      <c r="R215" s="23" t="e">
        <f aca="false">IF(K215="",NA(),K215)</f>
        <v>#N/A</v>
      </c>
      <c r="S215" s="23" t="e">
        <f aca="false">IF(M215="",NA(),M215)</f>
        <v>#N/A</v>
      </c>
      <c r="T215" s="23" t="str">
        <f aca="false">IF(J215="Válida",B215,"")</f>
        <v/>
      </c>
      <c r="U215" s="23" t="str">
        <f aca="false">IF(J215="Válida",F215,"")</f>
        <v/>
      </c>
    </row>
    <row r="216" customFormat="false" ht="15" hidden="false" customHeight="false" outlineLevel="0" collapsed="false">
      <c r="A216" s="22" t="str">
        <f aca="false">IF(MES!A216="","",MES!A216)</f>
        <v/>
      </c>
      <c r="B216" s="23" t="str">
        <f aca="false">IF(A216="","",MES!B216)</f>
        <v/>
      </c>
      <c r="C216" s="22" t="str">
        <f aca="false">IF(A216="","",A216+Parametros!$B$3/24)</f>
        <v/>
      </c>
      <c r="D216" s="22" t="str">
        <f aca="false">IF(A216="","",C216+Parametros!$B$2/24)</f>
        <v/>
      </c>
      <c r="E216" s="24" t="str">
        <f aca="false">IF(A216="","",COUNTIFS(Modulo!$A$2:$A$5001,"&gt;="&amp;C216,Modulo!$A$2:$A$5001,"&lt;"&amp;D216,Modulo!$D$2:$D$5001,Parametros!$B$7))</f>
        <v/>
      </c>
      <c r="F216" s="23" t="str">
        <f aca="false">IF(A216="","",IF(E216=0,"",AVERAGEIFS(Modulo!$B$2:$B$5001,Modulo!$A$2:$A$5001,"&gt;="&amp;C216,Modulo!$A$2:$A$5001,"&lt;"&amp;D216,Modulo!$D$2:$D$5001,Parametros!$B$7)))</f>
        <v/>
      </c>
      <c r="G216" s="23" t="str">
        <f aca="false">IF(A216="","",IF(E216=0,"",AVERAGEIFS(Modulo!$C$2:$C$5001,Modulo!$A$2:$A$5001,"&gt;="&amp;C216,Modulo!$A$2:$A$5001,"&lt;"&amp;D216,Modulo!$D$2:$D$5001,Parametros!$B$7)))</f>
        <v/>
      </c>
      <c r="H216" s="25" t="str">
        <f aca="false">IF(A216="","",IFERROR(COUNTIFS(Amostragem!$A$2:$A$15003,"&gt;="&amp;C216,Amostragem!$A$2:$A$15003,"&lt;"&amp;D216,Amostragem!$B$2:$B$15003,"Automático",Amostragem!$C$2:$C$15003,"Automático",Amostragem!$D$2:$D$15003,0)/COUNTIFS(Amostragem!$A$2:$A$15003,"&gt;="&amp;C216,Amostragem!$A$2:$A$15003,"&lt;"&amp;D216),0))</f>
        <v/>
      </c>
      <c r="I216" s="23" t="str">
        <f aca="false">IF(A216="","",IFERROR(AVERAGEIFS(Amostragem!$E$2:$E$15003,Amostragem!$A$2:$A$15003,"&gt;="&amp;C216,Amostragem!$A$2:$A$15003,"&lt;"&amp;D216),""))</f>
        <v/>
      </c>
      <c r="J216" s="24" t="str">
        <f aca="false">IF(A216="","",IF(B216="","Inválida: sem resultado MES",IF(E216&lt;Parametros!$B$4,"Inválida: poucos ensaios do módulo",IF(H216&lt;Parametros!$B$5,"Inválida: amostragem em manual ou em falha",IF(OR(I216="",I216&lt;Parametros!$B$6),"Inválida: usina parada ou baixa alimentação","Válida")))))</f>
        <v/>
      </c>
      <c r="K216" s="23" t="str">
        <f aca="false">IF(J216="Válida",F216-B216,"")</f>
        <v/>
      </c>
      <c r="L216" s="26" t="str">
        <f aca="false">IF(J216="Válida",K216/B216,"")</f>
        <v/>
      </c>
      <c r="M216" s="23" t="str">
        <f aca="false">IF(J216="Válida",(F216+B216)/2,"")</f>
        <v/>
      </c>
      <c r="N216" s="24" t="str">
        <f aca="false">IF(K216="","",IF(OR(K216&gt;Resumo!$B$16,K216&lt;Resumo!$B$15),"Sim","Não"))</f>
        <v/>
      </c>
      <c r="O216" s="22" t="e">
        <f aca="false">IF(A216="",NA(),A216)</f>
        <v>#N/A</v>
      </c>
      <c r="P216" s="23" t="e">
        <f aca="false">IF(A216="",NA(),B216)</f>
        <v>#N/A</v>
      </c>
      <c r="Q216" s="23" t="e">
        <f aca="false">IF(F216="",NA(),F216)</f>
        <v>#N/A</v>
      </c>
      <c r="R216" s="23" t="e">
        <f aca="false">IF(K216="",NA(),K216)</f>
        <v>#N/A</v>
      </c>
      <c r="S216" s="23" t="e">
        <f aca="false">IF(M216="",NA(),M216)</f>
        <v>#N/A</v>
      </c>
      <c r="T216" s="23" t="str">
        <f aca="false">IF(J216="Válida",B216,"")</f>
        <v/>
      </c>
      <c r="U216" s="23" t="str">
        <f aca="false">IF(J216="Válida",F216,"")</f>
        <v/>
      </c>
    </row>
    <row r="217" customFormat="false" ht="15" hidden="false" customHeight="false" outlineLevel="0" collapsed="false">
      <c r="A217" s="22" t="str">
        <f aca="false">IF(MES!A217="","",MES!A217)</f>
        <v/>
      </c>
      <c r="B217" s="23" t="str">
        <f aca="false">IF(A217="","",MES!B217)</f>
        <v/>
      </c>
      <c r="C217" s="22" t="str">
        <f aca="false">IF(A217="","",A217+Parametros!$B$3/24)</f>
        <v/>
      </c>
      <c r="D217" s="22" t="str">
        <f aca="false">IF(A217="","",C217+Parametros!$B$2/24)</f>
        <v/>
      </c>
      <c r="E217" s="24" t="str">
        <f aca="false">IF(A217="","",COUNTIFS(Modulo!$A$2:$A$5001,"&gt;="&amp;C217,Modulo!$A$2:$A$5001,"&lt;"&amp;D217,Modulo!$D$2:$D$5001,Parametros!$B$7))</f>
        <v/>
      </c>
      <c r="F217" s="23" t="str">
        <f aca="false">IF(A217="","",IF(E217=0,"",AVERAGEIFS(Modulo!$B$2:$B$5001,Modulo!$A$2:$A$5001,"&gt;="&amp;C217,Modulo!$A$2:$A$5001,"&lt;"&amp;D217,Modulo!$D$2:$D$5001,Parametros!$B$7)))</f>
        <v/>
      </c>
      <c r="G217" s="23" t="str">
        <f aca="false">IF(A217="","",IF(E217=0,"",AVERAGEIFS(Modulo!$C$2:$C$5001,Modulo!$A$2:$A$5001,"&gt;="&amp;C217,Modulo!$A$2:$A$5001,"&lt;"&amp;D217,Modulo!$D$2:$D$5001,Parametros!$B$7)))</f>
        <v/>
      </c>
      <c r="H217" s="25" t="str">
        <f aca="false">IF(A217="","",IFERROR(COUNTIFS(Amostragem!$A$2:$A$15003,"&gt;="&amp;C217,Amostragem!$A$2:$A$15003,"&lt;"&amp;D217,Amostragem!$B$2:$B$15003,"Automático",Amostragem!$C$2:$C$15003,"Automático",Amostragem!$D$2:$D$15003,0)/COUNTIFS(Amostragem!$A$2:$A$15003,"&gt;="&amp;C217,Amostragem!$A$2:$A$15003,"&lt;"&amp;D217),0))</f>
        <v/>
      </c>
      <c r="I217" s="23" t="str">
        <f aca="false">IF(A217="","",IFERROR(AVERAGEIFS(Amostragem!$E$2:$E$15003,Amostragem!$A$2:$A$15003,"&gt;="&amp;C217,Amostragem!$A$2:$A$15003,"&lt;"&amp;D217),""))</f>
        <v/>
      </c>
      <c r="J217" s="24" t="str">
        <f aca="false">IF(A217="","",IF(B217="","Inválida: sem resultado MES",IF(E217&lt;Parametros!$B$4,"Inválida: poucos ensaios do módulo",IF(H217&lt;Parametros!$B$5,"Inválida: amostragem em manual ou em falha",IF(OR(I217="",I217&lt;Parametros!$B$6),"Inválida: usina parada ou baixa alimentação","Válida")))))</f>
        <v/>
      </c>
      <c r="K217" s="23" t="str">
        <f aca="false">IF(J217="Válida",F217-B217,"")</f>
        <v/>
      </c>
      <c r="L217" s="26" t="str">
        <f aca="false">IF(J217="Válida",K217/B217,"")</f>
        <v/>
      </c>
      <c r="M217" s="23" t="str">
        <f aca="false">IF(J217="Válida",(F217+B217)/2,"")</f>
        <v/>
      </c>
      <c r="N217" s="24" t="str">
        <f aca="false">IF(K217="","",IF(OR(K217&gt;Resumo!$B$16,K217&lt;Resumo!$B$15),"Sim","Não"))</f>
        <v/>
      </c>
      <c r="O217" s="22" t="e">
        <f aca="false">IF(A217="",NA(),A217)</f>
        <v>#N/A</v>
      </c>
      <c r="P217" s="23" t="e">
        <f aca="false">IF(A217="",NA(),B217)</f>
        <v>#N/A</v>
      </c>
      <c r="Q217" s="23" t="e">
        <f aca="false">IF(F217="",NA(),F217)</f>
        <v>#N/A</v>
      </c>
      <c r="R217" s="23" t="e">
        <f aca="false">IF(K217="",NA(),K217)</f>
        <v>#N/A</v>
      </c>
      <c r="S217" s="23" t="e">
        <f aca="false">IF(M217="",NA(),M217)</f>
        <v>#N/A</v>
      </c>
      <c r="T217" s="23" t="str">
        <f aca="false">IF(J217="Válida",B217,"")</f>
        <v/>
      </c>
      <c r="U217" s="23" t="str">
        <f aca="false">IF(J217="Válida",F217,"")</f>
        <v/>
      </c>
    </row>
    <row r="218" customFormat="false" ht="15" hidden="false" customHeight="false" outlineLevel="0" collapsed="false">
      <c r="A218" s="22" t="str">
        <f aca="false">IF(MES!A218="","",MES!A218)</f>
        <v/>
      </c>
      <c r="B218" s="23" t="str">
        <f aca="false">IF(A218="","",MES!B218)</f>
        <v/>
      </c>
      <c r="C218" s="22" t="str">
        <f aca="false">IF(A218="","",A218+Parametros!$B$3/24)</f>
        <v/>
      </c>
      <c r="D218" s="22" t="str">
        <f aca="false">IF(A218="","",C218+Parametros!$B$2/24)</f>
        <v/>
      </c>
      <c r="E218" s="24" t="str">
        <f aca="false">IF(A218="","",COUNTIFS(Modulo!$A$2:$A$5001,"&gt;="&amp;C218,Modulo!$A$2:$A$5001,"&lt;"&amp;D218,Modulo!$D$2:$D$5001,Parametros!$B$7))</f>
        <v/>
      </c>
      <c r="F218" s="23" t="str">
        <f aca="false">IF(A218="","",IF(E218=0,"",AVERAGEIFS(Modulo!$B$2:$B$5001,Modulo!$A$2:$A$5001,"&gt;="&amp;C218,Modulo!$A$2:$A$5001,"&lt;"&amp;D218,Modulo!$D$2:$D$5001,Parametros!$B$7)))</f>
        <v/>
      </c>
      <c r="G218" s="23" t="str">
        <f aca="false">IF(A218="","",IF(E218=0,"",AVERAGEIFS(Modulo!$C$2:$C$5001,Modulo!$A$2:$A$5001,"&gt;="&amp;C218,Modulo!$A$2:$A$5001,"&lt;"&amp;D218,Modulo!$D$2:$D$5001,Parametros!$B$7)))</f>
        <v/>
      </c>
      <c r="H218" s="25" t="str">
        <f aca="false">IF(A218="","",IFERROR(COUNTIFS(Amostragem!$A$2:$A$15003,"&gt;="&amp;C218,Amostragem!$A$2:$A$15003,"&lt;"&amp;D218,Amostragem!$B$2:$B$15003,"Automático",Amostragem!$C$2:$C$15003,"Automático",Amostragem!$D$2:$D$15003,0)/COUNTIFS(Amostragem!$A$2:$A$15003,"&gt;="&amp;C218,Amostragem!$A$2:$A$15003,"&lt;"&amp;D218),0))</f>
        <v/>
      </c>
      <c r="I218" s="23" t="str">
        <f aca="false">IF(A218="","",IFERROR(AVERAGEIFS(Amostragem!$E$2:$E$15003,Amostragem!$A$2:$A$15003,"&gt;="&amp;C218,Amostragem!$A$2:$A$15003,"&lt;"&amp;D218),""))</f>
        <v/>
      </c>
      <c r="J218" s="24" t="str">
        <f aca="false">IF(A218="","",IF(B218="","Inválida: sem resultado MES",IF(E218&lt;Parametros!$B$4,"Inválida: poucos ensaios do módulo",IF(H218&lt;Parametros!$B$5,"Inválida: amostragem em manual ou em falha",IF(OR(I218="",I218&lt;Parametros!$B$6),"Inválida: usina parada ou baixa alimentação","Válida")))))</f>
        <v/>
      </c>
      <c r="K218" s="23" t="str">
        <f aca="false">IF(J218="Válida",F218-B218,"")</f>
        <v/>
      </c>
      <c r="L218" s="26" t="str">
        <f aca="false">IF(J218="Válida",K218/B218,"")</f>
        <v/>
      </c>
      <c r="M218" s="23" t="str">
        <f aca="false">IF(J218="Válida",(F218+B218)/2,"")</f>
        <v/>
      </c>
      <c r="N218" s="24" t="str">
        <f aca="false">IF(K218="","",IF(OR(K218&gt;Resumo!$B$16,K218&lt;Resumo!$B$15),"Sim","Não"))</f>
        <v/>
      </c>
      <c r="O218" s="22" t="e">
        <f aca="false">IF(A218="",NA(),A218)</f>
        <v>#N/A</v>
      </c>
      <c r="P218" s="23" t="e">
        <f aca="false">IF(A218="",NA(),B218)</f>
        <v>#N/A</v>
      </c>
      <c r="Q218" s="23" t="e">
        <f aca="false">IF(F218="",NA(),F218)</f>
        <v>#N/A</v>
      </c>
      <c r="R218" s="23" t="e">
        <f aca="false">IF(K218="",NA(),K218)</f>
        <v>#N/A</v>
      </c>
      <c r="S218" s="23" t="e">
        <f aca="false">IF(M218="",NA(),M218)</f>
        <v>#N/A</v>
      </c>
      <c r="T218" s="23" t="str">
        <f aca="false">IF(J218="Válida",B218,"")</f>
        <v/>
      </c>
      <c r="U218" s="23" t="str">
        <f aca="false">IF(J218="Válida",F218,"")</f>
        <v/>
      </c>
    </row>
    <row r="219" customFormat="false" ht="15" hidden="false" customHeight="false" outlineLevel="0" collapsed="false">
      <c r="A219" s="22" t="str">
        <f aca="false">IF(MES!A219="","",MES!A219)</f>
        <v/>
      </c>
      <c r="B219" s="23" t="str">
        <f aca="false">IF(A219="","",MES!B219)</f>
        <v/>
      </c>
      <c r="C219" s="22" t="str">
        <f aca="false">IF(A219="","",A219+Parametros!$B$3/24)</f>
        <v/>
      </c>
      <c r="D219" s="22" t="str">
        <f aca="false">IF(A219="","",C219+Parametros!$B$2/24)</f>
        <v/>
      </c>
      <c r="E219" s="24" t="str">
        <f aca="false">IF(A219="","",COUNTIFS(Modulo!$A$2:$A$5001,"&gt;="&amp;C219,Modulo!$A$2:$A$5001,"&lt;"&amp;D219,Modulo!$D$2:$D$5001,Parametros!$B$7))</f>
        <v/>
      </c>
      <c r="F219" s="23" t="str">
        <f aca="false">IF(A219="","",IF(E219=0,"",AVERAGEIFS(Modulo!$B$2:$B$5001,Modulo!$A$2:$A$5001,"&gt;="&amp;C219,Modulo!$A$2:$A$5001,"&lt;"&amp;D219,Modulo!$D$2:$D$5001,Parametros!$B$7)))</f>
        <v/>
      </c>
      <c r="G219" s="23" t="str">
        <f aca="false">IF(A219="","",IF(E219=0,"",AVERAGEIFS(Modulo!$C$2:$C$5001,Modulo!$A$2:$A$5001,"&gt;="&amp;C219,Modulo!$A$2:$A$5001,"&lt;"&amp;D219,Modulo!$D$2:$D$5001,Parametros!$B$7)))</f>
        <v/>
      </c>
      <c r="H219" s="25" t="str">
        <f aca="false">IF(A219="","",IFERROR(COUNTIFS(Amostragem!$A$2:$A$15003,"&gt;="&amp;C219,Amostragem!$A$2:$A$15003,"&lt;"&amp;D219,Amostragem!$B$2:$B$15003,"Automático",Amostragem!$C$2:$C$15003,"Automático",Amostragem!$D$2:$D$15003,0)/COUNTIFS(Amostragem!$A$2:$A$15003,"&gt;="&amp;C219,Amostragem!$A$2:$A$15003,"&lt;"&amp;D219),0))</f>
        <v/>
      </c>
      <c r="I219" s="23" t="str">
        <f aca="false">IF(A219="","",IFERROR(AVERAGEIFS(Amostragem!$E$2:$E$15003,Amostragem!$A$2:$A$15003,"&gt;="&amp;C219,Amostragem!$A$2:$A$15003,"&lt;"&amp;D219),""))</f>
        <v/>
      </c>
      <c r="J219" s="24" t="str">
        <f aca="false">IF(A219="","",IF(B219="","Inválida: sem resultado MES",IF(E219&lt;Parametros!$B$4,"Inválida: poucos ensaios do módulo",IF(H219&lt;Parametros!$B$5,"Inválida: amostragem em manual ou em falha",IF(OR(I219="",I219&lt;Parametros!$B$6),"Inválida: usina parada ou baixa alimentação","Válida")))))</f>
        <v/>
      </c>
      <c r="K219" s="23" t="str">
        <f aca="false">IF(J219="Válida",F219-B219,"")</f>
        <v/>
      </c>
      <c r="L219" s="26" t="str">
        <f aca="false">IF(J219="Válida",K219/B219,"")</f>
        <v/>
      </c>
      <c r="M219" s="23" t="str">
        <f aca="false">IF(J219="Válida",(F219+B219)/2,"")</f>
        <v/>
      </c>
      <c r="N219" s="24" t="str">
        <f aca="false">IF(K219="","",IF(OR(K219&gt;Resumo!$B$16,K219&lt;Resumo!$B$15),"Sim","Não"))</f>
        <v/>
      </c>
      <c r="O219" s="22" t="e">
        <f aca="false">IF(A219="",NA(),A219)</f>
        <v>#N/A</v>
      </c>
      <c r="P219" s="23" t="e">
        <f aca="false">IF(A219="",NA(),B219)</f>
        <v>#N/A</v>
      </c>
      <c r="Q219" s="23" t="e">
        <f aca="false">IF(F219="",NA(),F219)</f>
        <v>#N/A</v>
      </c>
      <c r="R219" s="23" t="e">
        <f aca="false">IF(K219="",NA(),K219)</f>
        <v>#N/A</v>
      </c>
      <c r="S219" s="23" t="e">
        <f aca="false">IF(M219="",NA(),M219)</f>
        <v>#N/A</v>
      </c>
      <c r="T219" s="23" t="str">
        <f aca="false">IF(J219="Válida",B219,"")</f>
        <v/>
      </c>
      <c r="U219" s="23" t="str">
        <f aca="false">IF(J219="Válida",F219,"")</f>
        <v/>
      </c>
    </row>
    <row r="220" customFormat="false" ht="15" hidden="false" customHeight="false" outlineLevel="0" collapsed="false">
      <c r="A220" s="22" t="str">
        <f aca="false">IF(MES!A220="","",MES!A220)</f>
        <v/>
      </c>
      <c r="B220" s="23" t="str">
        <f aca="false">IF(A220="","",MES!B220)</f>
        <v/>
      </c>
      <c r="C220" s="22" t="str">
        <f aca="false">IF(A220="","",A220+Parametros!$B$3/24)</f>
        <v/>
      </c>
      <c r="D220" s="22" t="str">
        <f aca="false">IF(A220="","",C220+Parametros!$B$2/24)</f>
        <v/>
      </c>
      <c r="E220" s="24" t="str">
        <f aca="false">IF(A220="","",COUNTIFS(Modulo!$A$2:$A$5001,"&gt;="&amp;C220,Modulo!$A$2:$A$5001,"&lt;"&amp;D220,Modulo!$D$2:$D$5001,Parametros!$B$7))</f>
        <v/>
      </c>
      <c r="F220" s="23" t="str">
        <f aca="false">IF(A220="","",IF(E220=0,"",AVERAGEIFS(Modulo!$B$2:$B$5001,Modulo!$A$2:$A$5001,"&gt;="&amp;C220,Modulo!$A$2:$A$5001,"&lt;"&amp;D220,Modulo!$D$2:$D$5001,Parametros!$B$7)))</f>
        <v/>
      </c>
      <c r="G220" s="23" t="str">
        <f aca="false">IF(A220="","",IF(E220=0,"",AVERAGEIFS(Modulo!$C$2:$C$5001,Modulo!$A$2:$A$5001,"&gt;="&amp;C220,Modulo!$A$2:$A$5001,"&lt;"&amp;D220,Modulo!$D$2:$D$5001,Parametros!$B$7)))</f>
        <v/>
      </c>
      <c r="H220" s="25" t="str">
        <f aca="false">IF(A220="","",IFERROR(COUNTIFS(Amostragem!$A$2:$A$15003,"&gt;="&amp;C220,Amostragem!$A$2:$A$15003,"&lt;"&amp;D220,Amostragem!$B$2:$B$15003,"Automático",Amostragem!$C$2:$C$15003,"Automático",Amostragem!$D$2:$D$15003,0)/COUNTIFS(Amostragem!$A$2:$A$15003,"&gt;="&amp;C220,Amostragem!$A$2:$A$15003,"&lt;"&amp;D220),0))</f>
        <v/>
      </c>
      <c r="I220" s="23" t="str">
        <f aca="false">IF(A220="","",IFERROR(AVERAGEIFS(Amostragem!$E$2:$E$15003,Amostragem!$A$2:$A$15003,"&gt;="&amp;C220,Amostragem!$A$2:$A$15003,"&lt;"&amp;D220),""))</f>
        <v/>
      </c>
      <c r="J220" s="24" t="str">
        <f aca="false">IF(A220="","",IF(B220="","Inválida: sem resultado MES",IF(E220&lt;Parametros!$B$4,"Inválida: poucos ensaios do módulo",IF(H220&lt;Parametros!$B$5,"Inválida: amostragem em manual ou em falha",IF(OR(I220="",I220&lt;Parametros!$B$6),"Inválida: usina parada ou baixa alimentação","Válida")))))</f>
        <v/>
      </c>
      <c r="K220" s="23" t="str">
        <f aca="false">IF(J220="Válida",F220-B220,"")</f>
        <v/>
      </c>
      <c r="L220" s="26" t="str">
        <f aca="false">IF(J220="Válida",K220/B220,"")</f>
        <v/>
      </c>
      <c r="M220" s="23" t="str">
        <f aca="false">IF(J220="Válida",(F220+B220)/2,"")</f>
        <v/>
      </c>
      <c r="N220" s="24" t="str">
        <f aca="false">IF(K220="","",IF(OR(K220&gt;Resumo!$B$16,K220&lt;Resumo!$B$15),"Sim","Não"))</f>
        <v/>
      </c>
      <c r="O220" s="22" t="e">
        <f aca="false">IF(A220="",NA(),A220)</f>
        <v>#N/A</v>
      </c>
      <c r="P220" s="23" t="e">
        <f aca="false">IF(A220="",NA(),B220)</f>
        <v>#N/A</v>
      </c>
      <c r="Q220" s="23" t="e">
        <f aca="false">IF(F220="",NA(),F220)</f>
        <v>#N/A</v>
      </c>
      <c r="R220" s="23" t="e">
        <f aca="false">IF(K220="",NA(),K220)</f>
        <v>#N/A</v>
      </c>
      <c r="S220" s="23" t="e">
        <f aca="false">IF(M220="",NA(),M220)</f>
        <v>#N/A</v>
      </c>
      <c r="T220" s="23" t="str">
        <f aca="false">IF(J220="Válida",B220,"")</f>
        <v/>
      </c>
      <c r="U220" s="23" t="str">
        <f aca="false">IF(J220="Válida",F220,"")</f>
        <v/>
      </c>
    </row>
    <row r="221" customFormat="false" ht="15" hidden="false" customHeight="false" outlineLevel="0" collapsed="false">
      <c r="A221" s="22" t="str">
        <f aca="false">IF(MES!A221="","",MES!A221)</f>
        <v/>
      </c>
      <c r="B221" s="23" t="str">
        <f aca="false">IF(A221="","",MES!B221)</f>
        <v/>
      </c>
      <c r="C221" s="22" t="str">
        <f aca="false">IF(A221="","",A221+Parametros!$B$3/24)</f>
        <v/>
      </c>
      <c r="D221" s="22" t="str">
        <f aca="false">IF(A221="","",C221+Parametros!$B$2/24)</f>
        <v/>
      </c>
      <c r="E221" s="24" t="str">
        <f aca="false">IF(A221="","",COUNTIFS(Modulo!$A$2:$A$5001,"&gt;="&amp;C221,Modulo!$A$2:$A$5001,"&lt;"&amp;D221,Modulo!$D$2:$D$5001,Parametros!$B$7))</f>
        <v/>
      </c>
      <c r="F221" s="23" t="str">
        <f aca="false">IF(A221="","",IF(E221=0,"",AVERAGEIFS(Modulo!$B$2:$B$5001,Modulo!$A$2:$A$5001,"&gt;="&amp;C221,Modulo!$A$2:$A$5001,"&lt;"&amp;D221,Modulo!$D$2:$D$5001,Parametros!$B$7)))</f>
        <v/>
      </c>
      <c r="G221" s="23" t="str">
        <f aca="false">IF(A221="","",IF(E221=0,"",AVERAGEIFS(Modulo!$C$2:$C$5001,Modulo!$A$2:$A$5001,"&gt;="&amp;C221,Modulo!$A$2:$A$5001,"&lt;"&amp;D221,Modulo!$D$2:$D$5001,Parametros!$B$7)))</f>
        <v/>
      </c>
      <c r="H221" s="25" t="str">
        <f aca="false">IF(A221="","",IFERROR(COUNTIFS(Amostragem!$A$2:$A$15003,"&gt;="&amp;C221,Amostragem!$A$2:$A$15003,"&lt;"&amp;D221,Amostragem!$B$2:$B$15003,"Automático",Amostragem!$C$2:$C$15003,"Automático",Amostragem!$D$2:$D$15003,0)/COUNTIFS(Amostragem!$A$2:$A$15003,"&gt;="&amp;C221,Amostragem!$A$2:$A$15003,"&lt;"&amp;D221),0))</f>
        <v/>
      </c>
      <c r="I221" s="23" t="str">
        <f aca="false">IF(A221="","",IFERROR(AVERAGEIFS(Amostragem!$E$2:$E$15003,Amostragem!$A$2:$A$15003,"&gt;="&amp;C221,Amostragem!$A$2:$A$15003,"&lt;"&amp;D221),""))</f>
        <v/>
      </c>
      <c r="J221" s="24" t="str">
        <f aca="false">IF(A221="","",IF(B221="","Inválida: sem resultado MES",IF(E221&lt;Parametros!$B$4,"Inválida: poucos ensaios do módulo",IF(H221&lt;Parametros!$B$5,"Inválida: amostragem em manual ou em falha",IF(OR(I221="",I221&lt;Parametros!$B$6),"Inválida: usina parada ou baixa alimentação","Válida")))))</f>
        <v/>
      </c>
      <c r="K221" s="23" t="str">
        <f aca="false">IF(J221="Válida",F221-B221,"")</f>
        <v/>
      </c>
      <c r="L221" s="26" t="str">
        <f aca="false">IF(J221="Válida",K221/B221,"")</f>
        <v/>
      </c>
      <c r="M221" s="23" t="str">
        <f aca="false">IF(J221="Válida",(F221+B221)/2,"")</f>
        <v/>
      </c>
      <c r="N221" s="24" t="str">
        <f aca="false">IF(K221="","",IF(OR(K221&gt;Resumo!$B$16,K221&lt;Resumo!$B$15),"Sim","Não"))</f>
        <v/>
      </c>
      <c r="O221" s="22" t="e">
        <f aca="false">IF(A221="",NA(),A221)</f>
        <v>#N/A</v>
      </c>
      <c r="P221" s="23" t="e">
        <f aca="false">IF(A221="",NA(),B221)</f>
        <v>#N/A</v>
      </c>
      <c r="Q221" s="23" t="e">
        <f aca="false">IF(F221="",NA(),F221)</f>
        <v>#N/A</v>
      </c>
      <c r="R221" s="23" t="e">
        <f aca="false">IF(K221="",NA(),K221)</f>
        <v>#N/A</v>
      </c>
      <c r="S221" s="23" t="e">
        <f aca="false">IF(M221="",NA(),M221)</f>
        <v>#N/A</v>
      </c>
      <c r="T221" s="23" t="str">
        <f aca="false">IF(J221="Válida",B221,"")</f>
        <v/>
      </c>
      <c r="U221" s="23" t="str">
        <f aca="false">IF(J221="Válida",F221,"")</f>
        <v/>
      </c>
    </row>
    <row r="222" customFormat="false" ht="15" hidden="false" customHeight="false" outlineLevel="0" collapsed="false">
      <c r="A222" s="22" t="str">
        <f aca="false">IF(MES!A222="","",MES!A222)</f>
        <v/>
      </c>
      <c r="B222" s="23" t="str">
        <f aca="false">IF(A222="","",MES!B222)</f>
        <v/>
      </c>
      <c r="C222" s="22" t="str">
        <f aca="false">IF(A222="","",A222+Parametros!$B$3/24)</f>
        <v/>
      </c>
      <c r="D222" s="22" t="str">
        <f aca="false">IF(A222="","",C222+Parametros!$B$2/24)</f>
        <v/>
      </c>
      <c r="E222" s="24" t="str">
        <f aca="false">IF(A222="","",COUNTIFS(Modulo!$A$2:$A$5001,"&gt;="&amp;C222,Modulo!$A$2:$A$5001,"&lt;"&amp;D222,Modulo!$D$2:$D$5001,Parametros!$B$7))</f>
        <v/>
      </c>
      <c r="F222" s="23" t="str">
        <f aca="false">IF(A222="","",IF(E222=0,"",AVERAGEIFS(Modulo!$B$2:$B$5001,Modulo!$A$2:$A$5001,"&gt;="&amp;C222,Modulo!$A$2:$A$5001,"&lt;"&amp;D222,Modulo!$D$2:$D$5001,Parametros!$B$7)))</f>
        <v/>
      </c>
      <c r="G222" s="23" t="str">
        <f aca="false">IF(A222="","",IF(E222=0,"",AVERAGEIFS(Modulo!$C$2:$C$5001,Modulo!$A$2:$A$5001,"&gt;="&amp;C222,Modulo!$A$2:$A$5001,"&lt;"&amp;D222,Modulo!$D$2:$D$5001,Parametros!$B$7)))</f>
        <v/>
      </c>
      <c r="H222" s="25" t="str">
        <f aca="false">IF(A222="","",IFERROR(COUNTIFS(Amostragem!$A$2:$A$15003,"&gt;="&amp;C222,Amostragem!$A$2:$A$15003,"&lt;"&amp;D222,Amostragem!$B$2:$B$15003,"Automático",Amostragem!$C$2:$C$15003,"Automático",Amostragem!$D$2:$D$15003,0)/COUNTIFS(Amostragem!$A$2:$A$15003,"&gt;="&amp;C222,Amostragem!$A$2:$A$15003,"&lt;"&amp;D222),0))</f>
        <v/>
      </c>
      <c r="I222" s="23" t="str">
        <f aca="false">IF(A222="","",IFERROR(AVERAGEIFS(Amostragem!$E$2:$E$15003,Amostragem!$A$2:$A$15003,"&gt;="&amp;C222,Amostragem!$A$2:$A$15003,"&lt;"&amp;D222),""))</f>
        <v/>
      </c>
      <c r="J222" s="24" t="str">
        <f aca="false">IF(A222="","",IF(B222="","Inválida: sem resultado MES",IF(E222&lt;Parametros!$B$4,"Inválida: poucos ensaios do módulo",IF(H222&lt;Parametros!$B$5,"Inválida: amostragem em manual ou em falha",IF(OR(I222="",I222&lt;Parametros!$B$6),"Inválida: usina parada ou baixa alimentação","Válida")))))</f>
        <v/>
      </c>
      <c r="K222" s="23" t="str">
        <f aca="false">IF(J222="Válida",F222-B222,"")</f>
        <v/>
      </c>
      <c r="L222" s="26" t="str">
        <f aca="false">IF(J222="Válida",K222/B222,"")</f>
        <v/>
      </c>
      <c r="M222" s="23" t="str">
        <f aca="false">IF(J222="Válida",(F222+B222)/2,"")</f>
        <v/>
      </c>
      <c r="N222" s="24" t="str">
        <f aca="false">IF(K222="","",IF(OR(K222&gt;Resumo!$B$16,K222&lt;Resumo!$B$15),"Sim","Não"))</f>
        <v/>
      </c>
      <c r="O222" s="22" t="e">
        <f aca="false">IF(A222="",NA(),A222)</f>
        <v>#N/A</v>
      </c>
      <c r="P222" s="23" t="e">
        <f aca="false">IF(A222="",NA(),B222)</f>
        <v>#N/A</v>
      </c>
      <c r="Q222" s="23" t="e">
        <f aca="false">IF(F222="",NA(),F222)</f>
        <v>#N/A</v>
      </c>
      <c r="R222" s="23" t="e">
        <f aca="false">IF(K222="",NA(),K222)</f>
        <v>#N/A</v>
      </c>
      <c r="S222" s="23" t="e">
        <f aca="false">IF(M222="",NA(),M222)</f>
        <v>#N/A</v>
      </c>
      <c r="T222" s="23" t="str">
        <f aca="false">IF(J222="Válida",B222,"")</f>
        <v/>
      </c>
      <c r="U222" s="23" t="str">
        <f aca="false">IF(J222="Válida",F222,"")</f>
        <v/>
      </c>
    </row>
    <row r="223" customFormat="false" ht="15" hidden="false" customHeight="false" outlineLevel="0" collapsed="false">
      <c r="A223" s="22" t="str">
        <f aca="false">IF(MES!A223="","",MES!A223)</f>
        <v/>
      </c>
      <c r="B223" s="23" t="str">
        <f aca="false">IF(A223="","",MES!B223)</f>
        <v/>
      </c>
      <c r="C223" s="22" t="str">
        <f aca="false">IF(A223="","",A223+Parametros!$B$3/24)</f>
        <v/>
      </c>
      <c r="D223" s="22" t="str">
        <f aca="false">IF(A223="","",C223+Parametros!$B$2/24)</f>
        <v/>
      </c>
      <c r="E223" s="24" t="str">
        <f aca="false">IF(A223="","",COUNTIFS(Modulo!$A$2:$A$5001,"&gt;="&amp;C223,Modulo!$A$2:$A$5001,"&lt;"&amp;D223,Modulo!$D$2:$D$5001,Parametros!$B$7))</f>
        <v/>
      </c>
      <c r="F223" s="23" t="str">
        <f aca="false">IF(A223="","",IF(E223=0,"",AVERAGEIFS(Modulo!$B$2:$B$5001,Modulo!$A$2:$A$5001,"&gt;="&amp;C223,Modulo!$A$2:$A$5001,"&lt;"&amp;D223,Modulo!$D$2:$D$5001,Parametros!$B$7)))</f>
        <v/>
      </c>
      <c r="G223" s="23" t="str">
        <f aca="false">IF(A223="","",IF(E223=0,"",AVERAGEIFS(Modulo!$C$2:$C$5001,Modulo!$A$2:$A$5001,"&gt;="&amp;C223,Modulo!$A$2:$A$5001,"&lt;"&amp;D223,Modulo!$D$2:$D$5001,Parametros!$B$7)))</f>
        <v/>
      </c>
      <c r="H223" s="25" t="str">
        <f aca="false">IF(A223="","",IFERROR(COUNTIFS(Amostragem!$A$2:$A$15003,"&gt;="&amp;C223,Amostragem!$A$2:$A$15003,"&lt;"&amp;D223,Amostragem!$B$2:$B$15003,"Automático",Amostragem!$C$2:$C$15003,"Automático",Amostragem!$D$2:$D$15003,0)/COUNTIFS(Amostragem!$A$2:$A$15003,"&gt;="&amp;C223,Amostragem!$A$2:$A$15003,"&lt;"&amp;D223),0))</f>
        <v/>
      </c>
      <c r="I223" s="23" t="str">
        <f aca="false">IF(A223="","",IFERROR(AVERAGEIFS(Amostragem!$E$2:$E$15003,Amostragem!$A$2:$A$15003,"&gt;="&amp;C223,Amostragem!$A$2:$A$15003,"&lt;"&amp;D223),""))</f>
        <v/>
      </c>
      <c r="J223" s="24" t="str">
        <f aca="false">IF(A223="","",IF(B223="","Inválida: sem resultado MES",IF(E223&lt;Parametros!$B$4,"Inválida: poucos ensaios do módulo",IF(H223&lt;Parametros!$B$5,"Inválida: amostragem em manual ou em falha",IF(OR(I223="",I223&lt;Parametros!$B$6),"Inválida: usina parada ou baixa alimentação","Válida")))))</f>
        <v/>
      </c>
      <c r="K223" s="23" t="str">
        <f aca="false">IF(J223="Válida",F223-B223,"")</f>
        <v/>
      </c>
      <c r="L223" s="26" t="str">
        <f aca="false">IF(J223="Válida",K223/B223,"")</f>
        <v/>
      </c>
      <c r="M223" s="23" t="str">
        <f aca="false">IF(J223="Válida",(F223+B223)/2,"")</f>
        <v/>
      </c>
      <c r="N223" s="24" t="str">
        <f aca="false">IF(K223="","",IF(OR(K223&gt;Resumo!$B$16,K223&lt;Resumo!$B$15),"Sim","Não"))</f>
        <v/>
      </c>
      <c r="O223" s="22" t="e">
        <f aca="false">IF(A223="",NA(),A223)</f>
        <v>#N/A</v>
      </c>
      <c r="P223" s="23" t="e">
        <f aca="false">IF(A223="",NA(),B223)</f>
        <v>#N/A</v>
      </c>
      <c r="Q223" s="23" t="e">
        <f aca="false">IF(F223="",NA(),F223)</f>
        <v>#N/A</v>
      </c>
      <c r="R223" s="23" t="e">
        <f aca="false">IF(K223="",NA(),K223)</f>
        <v>#N/A</v>
      </c>
      <c r="S223" s="23" t="e">
        <f aca="false">IF(M223="",NA(),M223)</f>
        <v>#N/A</v>
      </c>
      <c r="T223" s="23" t="str">
        <f aca="false">IF(J223="Válida",B223,"")</f>
        <v/>
      </c>
      <c r="U223" s="23" t="str">
        <f aca="false">IF(J223="Válida",F223,"")</f>
        <v/>
      </c>
    </row>
    <row r="224" customFormat="false" ht="15" hidden="false" customHeight="false" outlineLevel="0" collapsed="false">
      <c r="A224" s="22" t="str">
        <f aca="false">IF(MES!A224="","",MES!A224)</f>
        <v/>
      </c>
      <c r="B224" s="23" t="str">
        <f aca="false">IF(A224="","",MES!B224)</f>
        <v/>
      </c>
      <c r="C224" s="22" t="str">
        <f aca="false">IF(A224="","",A224+Parametros!$B$3/24)</f>
        <v/>
      </c>
      <c r="D224" s="22" t="str">
        <f aca="false">IF(A224="","",C224+Parametros!$B$2/24)</f>
        <v/>
      </c>
      <c r="E224" s="24" t="str">
        <f aca="false">IF(A224="","",COUNTIFS(Modulo!$A$2:$A$5001,"&gt;="&amp;C224,Modulo!$A$2:$A$5001,"&lt;"&amp;D224,Modulo!$D$2:$D$5001,Parametros!$B$7))</f>
        <v/>
      </c>
      <c r="F224" s="23" t="str">
        <f aca="false">IF(A224="","",IF(E224=0,"",AVERAGEIFS(Modulo!$B$2:$B$5001,Modulo!$A$2:$A$5001,"&gt;="&amp;C224,Modulo!$A$2:$A$5001,"&lt;"&amp;D224,Modulo!$D$2:$D$5001,Parametros!$B$7)))</f>
        <v/>
      </c>
      <c r="G224" s="23" t="str">
        <f aca="false">IF(A224="","",IF(E224=0,"",AVERAGEIFS(Modulo!$C$2:$C$5001,Modulo!$A$2:$A$5001,"&gt;="&amp;C224,Modulo!$A$2:$A$5001,"&lt;"&amp;D224,Modulo!$D$2:$D$5001,Parametros!$B$7)))</f>
        <v/>
      </c>
      <c r="H224" s="25" t="str">
        <f aca="false">IF(A224="","",IFERROR(COUNTIFS(Amostragem!$A$2:$A$15003,"&gt;="&amp;C224,Amostragem!$A$2:$A$15003,"&lt;"&amp;D224,Amostragem!$B$2:$B$15003,"Automático",Amostragem!$C$2:$C$15003,"Automático",Amostragem!$D$2:$D$15003,0)/COUNTIFS(Amostragem!$A$2:$A$15003,"&gt;="&amp;C224,Amostragem!$A$2:$A$15003,"&lt;"&amp;D224),0))</f>
        <v/>
      </c>
      <c r="I224" s="23" t="str">
        <f aca="false">IF(A224="","",IFERROR(AVERAGEIFS(Amostragem!$E$2:$E$15003,Amostragem!$A$2:$A$15003,"&gt;="&amp;C224,Amostragem!$A$2:$A$15003,"&lt;"&amp;D224),""))</f>
        <v/>
      </c>
      <c r="J224" s="24" t="str">
        <f aca="false">IF(A224="","",IF(B224="","Inválida: sem resultado MES",IF(E224&lt;Parametros!$B$4,"Inválida: poucos ensaios do módulo",IF(H224&lt;Parametros!$B$5,"Inválida: amostragem em manual ou em falha",IF(OR(I224="",I224&lt;Parametros!$B$6),"Inválida: usina parada ou baixa alimentação","Válida")))))</f>
        <v/>
      </c>
      <c r="K224" s="23" t="str">
        <f aca="false">IF(J224="Válida",F224-B224,"")</f>
        <v/>
      </c>
      <c r="L224" s="26" t="str">
        <f aca="false">IF(J224="Válida",K224/B224,"")</f>
        <v/>
      </c>
      <c r="M224" s="23" t="str">
        <f aca="false">IF(J224="Válida",(F224+B224)/2,"")</f>
        <v/>
      </c>
      <c r="N224" s="24" t="str">
        <f aca="false">IF(K224="","",IF(OR(K224&gt;Resumo!$B$16,K224&lt;Resumo!$B$15),"Sim","Não"))</f>
        <v/>
      </c>
      <c r="O224" s="22" t="e">
        <f aca="false">IF(A224="",NA(),A224)</f>
        <v>#N/A</v>
      </c>
      <c r="P224" s="23" t="e">
        <f aca="false">IF(A224="",NA(),B224)</f>
        <v>#N/A</v>
      </c>
      <c r="Q224" s="23" t="e">
        <f aca="false">IF(F224="",NA(),F224)</f>
        <v>#N/A</v>
      </c>
      <c r="R224" s="23" t="e">
        <f aca="false">IF(K224="",NA(),K224)</f>
        <v>#N/A</v>
      </c>
      <c r="S224" s="23" t="e">
        <f aca="false">IF(M224="",NA(),M224)</f>
        <v>#N/A</v>
      </c>
      <c r="T224" s="23" t="str">
        <f aca="false">IF(J224="Válida",B224,"")</f>
        <v/>
      </c>
      <c r="U224" s="23" t="str">
        <f aca="false">IF(J224="Válida",F224,"")</f>
        <v/>
      </c>
    </row>
    <row r="225" customFormat="false" ht="15" hidden="false" customHeight="false" outlineLevel="0" collapsed="false">
      <c r="A225" s="22" t="str">
        <f aca="false">IF(MES!A225="","",MES!A225)</f>
        <v/>
      </c>
      <c r="B225" s="23" t="str">
        <f aca="false">IF(A225="","",MES!B225)</f>
        <v/>
      </c>
      <c r="C225" s="22" t="str">
        <f aca="false">IF(A225="","",A225+Parametros!$B$3/24)</f>
        <v/>
      </c>
      <c r="D225" s="22" t="str">
        <f aca="false">IF(A225="","",C225+Parametros!$B$2/24)</f>
        <v/>
      </c>
      <c r="E225" s="24" t="str">
        <f aca="false">IF(A225="","",COUNTIFS(Modulo!$A$2:$A$5001,"&gt;="&amp;C225,Modulo!$A$2:$A$5001,"&lt;"&amp;D225,Modulo!$D$2:$D$5001,Parametros!$B$7))</f>
        <v/>
      </c>
      <c r="F225" s="23" t="str">
        <f aca="false">IF(A225="","",IF(E225=0,"",AVERAGEIFS(Modulo!$B$2:$B$5001,Modulo!$A$2:$A$5001,"&gt;="&amp;C225,Modulo!$A$2:$A$5001,"&lt;"&amp;D225,Modulo!$D$2:$D$5001,Parametros!$B$7)))</f>
        <v/>
      </c>
      <c r="G225" s="23" t="str">
        <f aca="false">IF(A225="","",IF(E225=0,"",AVERAGEIFS(Modulo!$C$2:$C$5001,Modulo!$A$2:$A$5001,"&gt;="&amp;C225,Modulo!$A$2:$A$5001,"&lt;"&amp;D225,Modulo!$D$2:$D$5001,Parametros!$B$7)))</f>
        <v/>
      </c>
      <c r="H225" s="25" t="str">
        <f aca="false">IF(A225="","",IFERROR(COUNTIFS(Amostragem!$A$2:$A$15003,"&gt;="&amp;C225,Amostragem!$A$2:$A$15003,"&lt;"&amp;D225,Amostragem!$B$2:$B$15003,"Automático",Amostragem!$C$2:$C$15003,"Automático",Amostragem!$D$2:$D$15003,0)/COUNTIFS(Amostragem!$A$2:$A$15003,"&gt;="&amp;C225,Amostragem!$A$2:$A$15003,"&lt;"&amp;D225),0))</f>
        <v/>
      </c>
      <c r="I225" s="23" t="str">
        <f aca="false">IF(A225="","",IFERROR(AVERAGEIFS(Amostragem!$E$2:$E$15003,Amostragem!$A$2:$A$15003,"&gt;="&amp;C225,Amostragem!$A$2:$A$15003,"&lt;"&amp;D225),""))</f>
        <v/>
      </c>
      <c r="J225" s="24" t="str">
        <f aca="false">IF(A225="","",IF(B225="","Inválida: sem resultado MES",IF(E225&lt;Parametros!$B$4,"Inválida: poucos ensaios do módulo",IF(H225&lt;Parametros!$B$5,"Inválida: amostragem em manual ou em falha",IF(OR(I225="",I225&lt;Parametros!$B$6),"Inválida: usina parada ou baixa alimentação","Válida")))))</f>
        <v/>
      </c>
      <c r="K225" s="23" t="str">
        <f aca="false">IF(J225="Válida",F225-B225,"")</f>
        <v/>
      </c>
      <c r="L225" s="26" t="str">
        <f aca="false">IF(J225="Válida",K225/B225,"")</f>
        <v/>
      </c>
      <c r="M225" s="23" t="str">
        <f aca="false">IF(J225="Válida",(F225+B225)/2,"")</f>
        <v/>
      </c>
      <c r="N225" s="24" t="str">
        <f aca="false">IF(K225="","",IF(OR(K225&gt;Resumo!$B$16,K225&lt;Resumo!$B$15),"Sim","Não"))</f>
        <v/>
      </c>
      <c r="O225" s="22" t="e">
        <f aca="false">IF(A225="",NA(),A225)</f>
        <v>#N/A</v>
      </c>
      <c r="P225" s="23" t="e">
        <f aca="false">IF(A225="",NA(),B225)</f>
        <v>#N/A</v>
      </c>
      <c r="Q225" s="23" t="e">
        <f aca="false">IF(F225="",NA(),F225)</f>
        <v>#N/A</v>
      </c>
      <c r="R225" s="23" t="e">
        <f aca="false">IF(K225="",NA(),K225)</f>
        <v>#N/A</v>
      </c>
      <c r="S225" s="23" t="e">
        <f aca="false">IF(M225="",NA(),M225)</f>
        <v>#N/A</v>
      </c>
      <c r="T225" s="23" t="str">
        <f aca="false">IF(J225="Válida",B225,"")</f>
        <v/>
      </c>
      <c r="U225" s="23" t="str">
        <f aca="false">IF(J225="Válida",F225,"")</f>
        <v/>
      </c>
    </row>
    <row r="226" customFormat="false" ht="15" hidden="false" customHeight="false" outlineLevel="0" collapsed="false">
      <c r="A226" s="22" t="str">
        <f aca="false">IF(MES!A226="","",MES!A226)</f>
        <v/>
      </c>
      <c r="B226" s="23" t="str">
        <f aca="false">IF(A226="","",MES!B226)</f>
        <v/>
      </c>
      <c r="C226" s="22" t="str">
        <f aca="false">IF(A226="","",A226+Parametros!$B$3/24)</f>
        <v/>
      </c>
      <c r="D226" s="22" t="str">
        <f aca="false">IF(A226="","",C226+Parametros!$B$2/24)</f>
        <v/>
      </c>
      <c r="E226" s="24" t="str">
        <f aca="false">IF(A226="","",COUNTIFS(Modulo!$A$2:$A$5001,"&gt;="&amp;C226,Modulo!$A$2:$A$5001,"&lt;"&amp;D226,Modulo!$D$2:$D$5001,Parametros!$B$7))</f>
        <v/>
      </c>
      <c r="F226" s="23" t="str">
        <f aca="false">IF(A226="","",IF(E226=0,"",AVERAGEIFS(Modulo!$B$2:$B$5001,Modulo!$A$2:$A$5001,"&gt;="&amp;C226,Modulo!$A$2:$A$5001,"&lt;"&amp;D226,Modulo!$D$2:$D$5001,Parametros!$B$7)))</f>
        <v/>
      </c>
      <c r="G226" s="23" t="str">
        <f aca="false">IF(A226="","",IF(E226=0,"",AVERAGEIFS(Modulo!$C$2:$C$5001,Modulo!$A$2:$A$5001,"&gt;="&amp;C226,Modulo!$A$2:$A$5001,"&lt;"&amp;D226,Modulo!$D$2:$D$5001,Parametros!$B$7)))</f>
        <v/>
      </c>
      <c r="H226" s="25" t="str">
        <f aca="false">IF(A226="","",IFERROR(COUNTIFS(Amostragem!$A$2:$A$15003,"&gt;="&amp;C226,Amostragem!$A$2:$A$15003,"&lt;"&amp;D226,Amostragem!$B$2:$B$15003,"Automático",Amostragem!$C$2:$C$15003,"Automático",Amostragem!$D$2:$D$15003,0)/COUNTIFS(Amostragem!$A$2:$A$15003,"&gt;="&amp;C226,Amostragem!$A$2:$A$15003,"&lt;"&amp;D226),0))</f>
        <v/>
      </c>
      <c r="I226" s="23" t="str">
        <f aca="false">IF(A226="","",IFERROR(AVERAGEIFS(Amostragem!$E$2:$E$15003,Amostragem!$A$2:$A$15003,"&gt;="&amp;C226,Amostragem!$A$2:$A$15003,"&lt;"&amp;D226),""))</f>
        <v/>
      </c>
      <c r="J226" s="24" t="str">
        <f aca="false">IF(A226="","",IF(B226="","Inválida: sem resultado MES",IF(E226&lt;Parametros!$B$4,"Inválida: poucos ensaios do módulo",IF(H226&lt;Parametros!$B$5,"Inválida: amostragem em manual ou em falha",IF(OR(I226="",I226&lt;Parametros!$B$6),"Inválida: usina parada ou baixa alimentação","Válida")))))</f>
        <v/>
      </c>
      <c r="K226" s="23" t="str">
        <f aca="false">IF(J226="Válida",F226-B226,"")</f>
        <v/>
      </c>
      <c r="L226" s="26" t="str">
        <f aca="false">IF(J226="Válida",K226/B226,"")</f>
        <v/>
      </c>
      <c r="M226" s="23" t="str">
        <f aca="false">IF(J226="Válida",(F226+B226)/2,"")</f>
        <v/>
      </c>
      <c r="N226" s="24" t="str">
        <f aca="false">IF(K226="","",IF(OR(K226&gt;Resumo!$B$16,K226&lt;Resumo!$B$15),"Sim","Não"))</f>
        <v/>
      </c>
      <c r="O226" s="22" t="e">
        <f aca="false">IF(A226="",NA(),A226)</f>
        <v>#N/A</v>
      </c>
      <c r="P226" s="23" t="e">
        <f aca="false">IF(A226="",NA(),B226)</f>
        <v>#N/A</v>
      </c>
      <c r="Q226" s="23" t="e">
        <f aca="false">IF(F226="",NA(),F226)</f>
        <v>#N/A</v>
      </c>
      <c r="R226" s="23" t="e">
        <f aca="false">IF(K226="",NA(),K226)</f>
        <v>#N/A</v>
      </c>
      <c r="S226" s="23" t="e">
        <f aca="false">IF(M226="",NA(),M226)</f>
        <v>#N/A</v>
      </c>
      <c r="T226" s="23" t="str">
        <f aca="false">IF(J226="Válida",B226,"")</f>
        <v/>
      </c>
      <c r="U226" s="23" t="str">
        <f aca="false">IF(J226="Válida",F226,"")</f>
        <v/>
      </c>
    </row>
    <row r="227" customFormat="false" ht="15" hidden="false" customHeight="false" outlineLevel="0" collapsed="false">
      <c r="A227" s="22" t="str">
        <f aca="false">IF(MES!A227="","",MES!A227)</f>
        <v/>
      </c>
      <c r="B227" s="23" t="str">
        <f aca="false">IF(A227="","",MES!B227)</f>
        <v/>
      </c>
      <c r="C227" s="22" t="str">
        <f aca="false">IF(A227="","",A227+Parametros!$B$3/24)</f>
        <v/>
      </c>
      <c r="D227" s="22" t="str">
        <f aca="false">IF(A227="","",C227+Parametros!$B$2/24)</f>
        <v/>
      </c>
      <c r="E227" s="24" t="str">
        <f aca="false">IF(A227="","",COUNTIFS(Modulo!$A$2:$A$5001,"&gt;="&amp;C227,Modulo!$A$2:$A$5001,"&lt;"&amp;D227,Modulo!$D$2:$D$5001,Parametros!$B$7))</f>
        <v/>
      </c>
      <c r="F227" s="23" t="str">
        <f aca="false">IF(A227="","",IF(E227=0,"",AVERAGEIFS(Modulo!$B$2:$B$5001,Modulo!$A$2:$A$5001,"&gt;="&amp;C227,Modulo!$A$2:$A$5001,"&lt;"&amp;D227,Modulo!$D$2:$D$5001,Parametros!$B$7)))</f>
        <v/>
      </c>
      <c r="G227" s="23" t="str">
        <f aca="false">IF(A227="","",IF(E227=0,"",AVERAGEIFS(Modulo!$C$2:$C$5001,Modulo!$A$2:$A$5001,"&gt;="&amp;C227,Modulo!$A$2:$A$5001,"&lt;"&amp;D227,Modulo!$D$2:$D$5001,Parametros!$B$7)))</f>
        <v/>
      </c>
      <c r="H227" s="25" t="str">
        <f aca="false">IF(A227="","",IFERROR(COUNTIFS(Amostragem!$A$2:$A$15003,"&gt;="&amp;C227,Amostragem!$A$2:$A$15003,"&lt;"&amp;D227,Amostragem!$B$2:$B$15003,"Automático",Amostragem!$C$2:$C$15003,"Automático",Amostragem!$D$2:$D$15003,0)/COUNTIFS(Amostragem!$A$2:$A$15003,"&gt;="&amp;C227,Amostragem!$A$2:$A$15003,"&lt;"&amp;D227),0))</f>
        <v/>
      </c>
      <c r="I227" s="23" t="str">
        <f aca="false">IF(A227="","",IFERROR(AVERAGEIFS(Amostragem!$E$2:$E$15003,Amostragem!$A$2:$A$15003,"&gt;="&amp;C227,Amostragem!$A$2:$A$15003,"&lt;"&amp;D227),""))</f>
        <v/>
      </c>
      <c r="J227" s="24" t="str">
        <f aca="false">IF(A227="","",IF(B227="","Inválida: sem resultado MES",IF(E227&lt;Parametros!$B$4,"Inválida: poucos ensaios do módulo",IF(H227&lt;Parametros!$B$5,"Inválida: amostragem em manual ou em falha",IF(OR(I227="",I227&lt;Parametros!$B$6),"Inválida: usina parada ou baixa alimentação","Válida")))))</f>
        <v/>
      </c>
      <c r="K227" s="23" t="str">
        <f aca="false">IF(J227="Válida",F227-B227,"")</f>
        <v/>
      </c>
      <c r="L227" s="26" t="str">
        <f aca="false">IF(J227="Válida",K227/B227,"")</f>
        <v/>
      </c>
      <c r="M227" s="23" t="str">
        <f aca="false">IF(J227="Válida",(F227+B227)/2,"")</f>
        <v/>
      </c>
      <c r="N227" s="24" t="str">
        <f aca="false">IF(K227="","",IF(OR(K227&gt;Resumo!$B$16,K227&lt;Resumo!$B$15),"Sim","Não"))</f>
        <v/>
      </c>
      <c r="O227" s="22" t="e">
        <f aca="false">IF(A227="",NA(),A227)</f>
        <v>#N/A</v>
      </c>
      <c r="P227" s="23" t="e">
        <f aca="false">IF(A227="",NA(),B227)</f>
        <v>#N/A</v>
      </c>
      <c r="Q227" s="23" t="e">
        <f aca="false">IF(F227="",NA(),F227)</f>
        <v>#N/A</v>
      </c>
      <c r="R227" s="23" t="e">
        <f aca="false">IF(K227="",NA(),K227)</f>
        <v>#N/A</v>
      </c>
      <c r="S227" s="23" t="e">
        <f aca="false">IF(M227="",NA(),M227)</f>
        <v>#N/A</v>
      </c>
      <c r="T227" s="23" t="str">
        <f aca="false">IF(J227="Válida",B227,"")</f>
        <v/>
      </c>
      <c r="U227" s="23" t="str">
        <f aca="false">IF(J227="Válida",F227,"")</f>
        <v/>
      </c>
    </row>
    <row r="228" customFormat="false" ht="15" hidden="false" customHeight="false" outlineLevel="0" collapsed="false">
      <c r="A228" s="22" t="str">
        <f aca="false">IF(MES!A228="","",MES!A228)</f>
        <v/>
      </c>
      <c r="B228" s="23" t="str">
        <f aca="false">IF(A228="","",MES!B228)</f>
        <v/>
      </c>
      <c r="C228" s="22" t="str">
        <f aca="false">IF(A228="","",A228+Parametros!$B$3/24)</f>
        <v/>
      </c>
      <c r="D228" s="22" t="str">
        <f aca="false">IF(A228="","",C228+Parametros!$B$2/24)</f>
        <v/>
      </c>
      <c r="E228" s="24" t="str">
        <f aca="false">IF(A228="","",COUNTIFS(Modulo!$A$2:$A$5001,"&gt;="&amp;C228,Modulo!$A$2:$A$5001,"&lt;"&amp;D228,Modulo!$D$2:$D$5001,Parametros!$B$7))</f>
        <v/>
      </c>
      <c r="F228" s="23" t="str">
        <f aca="false">IF(A228="","",IF(E228=0,"",AVERAGEIFS(Modulo!$B$2:$B$5001,Modulo!$A$2:$A$5001,"&gt;="&amp;C228,Modulo!$A$2:$A$5001,"&lt;"&amp;D228,Modulo!$D$2:$D$5001,Parametros!$B$7)))</f>
        <v/>
      </c>
      <c r="G228" s="23" t="str">
        <f aca="false">IF(A228="","",IF(E228=0,"",AVERAGEIFS(Modulo!$C$2:$C$5001,Modulo!$A$2:$A$5001,"&gt;="&amp;C228,Modulo!$A$2:$A$5001,"&lt;"&amp;D228,Modulo!$D$2:$D$5001,Parametros!$B$7)))</f>
        <v/>
      </c>
      <c r="H228" s="25" t="str">
        <f aca="false">IF(A228="","",IFERROR(COUNTIFS(Amostragem!$A$2:$A$15003,"&gt;="&amp;C228,Amostragem!$A$2:$A$15003,"&lt;"&amp;D228,Amostragem!$B$2:$B$15003,"Automático",Amostragem!$C$2:$C$15003,"Automático",Amostragem!$D$2:$D$15003,0)/COUNTIFS(Amostragem!$A$2:$A$15003,"&gt;="&amp;C228,Amostragem!$A$2:$A$15003,"&lt;"&amp;D228),0))</f>
        <v/>
      </c>
      <c r="I228" s="23" t="str">
        <f aca="false">IF(A228="","",IFERROR(AVERAGEIFS(Amostragem!$E$2:$E$15003,Amostragem!$A$2:$A$15003,"&gt;="&amp;C228,Amostragem!$A$2:$A$15003,"&lt;"&amp;D228),""))</f>
        <v/>
      </c>
      <c r="J228" s="24" t="str">
        <f aca="false">IF(A228="","",IF(B228="","Inválida: sem resultado MES",IF(E228&lt;Parametros!$B$4,"Inválida: poucos ensaios do módulo",IF(H228&lt;Parametros!$B$5,"Inválida: amostragem em manual ou em falha",IF(OR(I228="",I228&lt;Parametros!$B$6),"Inválida: usina parada ou baixa alimentação","Válida")))))</f>
        <v/>
      </c>
      <c r="K228" s="23" t="str">
        <f aca="false">IF(J228="Válida",F228-B228,"")</f>
        <v/>
      </c>
      <c r="L228" s="26" t="str">
        <f aca="false">IF(J228="Válida",K228/B228,"")</f>
        <v/>
      </c>
      <c r="M228" s="23" t="str">
        <f aca="false">IF(J228="Válida",(F228+B228)/2,"")</f>
        <v/>
      </c>
      <c r="N228" s="24" t="str">
        <f aca="false">IF(K228="","",IF(OR(K228&gt;Resumo!$B$16,K228&lt;Resumo!$B$15),"Sim","Não"))</f>
        <v/>
      </c>
      <c r="O228" s="22" t="e">
        <f aca="false">IF(A228="",NA(),A228)</f>
        <v>#N/A</v>
      </c>
      <c r="P228" s="23" t="e">
        <f aca="false">IF(A228="",NA(),B228)</f>
        <v>#N/A</v>
      </c>
      <c r="Q228" s="23" t="e">
        <f aca="false">IF(F228="",NA(),F228)</f>
        <v>#N/A</v>
      </c>
      <c r="R228" s="23" t="e">
        <f aca="false">IF(K228="",NA(),K228)</f>
        <v>#N/A</v>
      </c>
      <c r="S228" s="23" t="e">
        <f aca="false">IF(M228="",NA(),M228)</f>
        <v>#N/A</v>
      </c>
      <c r="T228" s="23" t="str">
        <f aca="false">IF(J228="Válida",B228,"")</f>
        <v/>
      </c>
      <c r="U228" s="23" t="str">
        <f aca="false">IF(J228="Válida",F228,"")</f>
        <v/>
      </c>
    </row>
    <row r="229" customFormat="false" ht="15" hidden="false" customHeight="false" outlineLevel="0" collapsed="false">
      <c r="A229" s="22" t="str">
        <f aca="false">IF(MES!A229="","",MES!A229)</f>
        <v/>
      </c>
      <c r="B229" s="23" t="str">
        <f aca="false">IF(A229="","",MES!B229)</f>
        <v/>
      </c>
      <c r="C229" s="22" t="str">
        <f aca="false">IF(A229="","",A229+Parametros!$B$3/24)</f>
        <v/>
      </c>
      <c r="D229" s="22" t="str">
        <f aca="false">IF(A229="","",C229+Parametros!$B$2/24)</f>
        <v/>
      </c>
      <c r="E229" s="24" t="str">
        <f aca="false">IF(A229="","",COUNTIFS(Modulo!$A$2:$A$5001,"&gt;="&amp;C229,Modulo!$A$2:$A$5001,"&lt;"&amp;D229,Modulo!$D$2:$D$5001,Parametros!$B$7))</f>
        <v/>
      </c>
      <c r="F229" s="23" t="str">
        <f aca="false">IF(A229="","",IF(E229=0,"",AVERAGEIFS(Modulo!$B$2:$B$5001,Modulo!$A$2:$A$5001,"&gt;="&amp;C229,Modulo!$A$2:$A$5001,"&lt;"&amp;D229,Modulo!$D$2:$D$5001,Parametros!$B$7)))</f>
        <v/>
      </c>
      <c r="G229" s="23" t="str">
        <f aca="false">IF(A229="","",IF(E229=0,"",AVERAGEIFS(Modulo!$C$2:$C$5001,Modulo!$A$2:$A$5001,"&gt;="&amp;C229,Modulo!$A$2:$A$5001,"&lt;"&amp;D229,Modulo!$D$2:$D$5001,Parametros!$B$7)))</f>
        <v/>
      </c>
      <c r="H229" s="25" t="str">
        <f aca="false">IF(A229="","",IFERROR(COUNTIFS(Amostragem!$A$2:$A$15003,"&gt;="&amp;C229,Amostragem!$A$2:$A$15003,"&lt;"&amp;D229,Amostragem!$B$2:$B$15003,"Automático",Amostragem!$C$2:$C$15003,"Automático",Amostragem!$D$2:$D$15003,0)/COUNTIFS(Amostragem!$A$2:$A$15003,"&gt;="&amp;C229,Amostragem!$A$2:$A$15003,"&lt;"&amp;D229),0))</f>
        <v/>
      </c>
      <c r="I229" s="23" t="str">
        <f aca="false">IF(A229="","",IFERROR(AVERAGEIFS(Amostragem!$E$2:$E$15003,Amostragem!$A$2:$A$15003,"&gt;="&amp;C229,Amostragem!$A$2:$A$15003,"&lt;"&amp;D229),""))</f>
        <v/>
      </c>
      <c r="J229" s="24" t="str">
        <f aca="false">IF(A229="","",IF(B229="","Inválida: sem resultado MES",IF(E229&lt;Parametros!$B$4,"Inválida: poucos ensaios do módulo",IF(H229&lt;Parametros!$B$5,"Inválida: amostragem em manual ou em falha",IF(OR(I229="",I229&lt;Parametros!$B$6),"Inválida: usina parada ou baixa alimentação","Válida")))))</f>
        <v/>
      </c>
      <c r="K229" s="23" t="str">
        <f aca="false">IF(J229="Válida",F229-B229,"")</f>
        <v/>
      </c>
      <c r="L229" s="26" t="str">
        <f aca="false">IF(J229="Válida",K229/B229,"")</f>
        <v/>
      </c>
      <c r="M229" s="23" t="str">
        <f aca="false">IF(J229="Válida",(F229+B229)/2,"")</f>
        <v/>
      </c>
      <c r="N229" s="24" t="str">
        <f aca="false">IF(K229="","",IF(OR(K229&gt;Resumo!$B$16,K229&lt;Resumo!$B$15),"Sim","Não"))</f>
        <v/>
      </c>
      <c r="O229" s="22" t="e">
        <f aca="false">IF(A229="",NA(),A229)</f>
        <v>#N/A</v>
      </c>
      <c r="P229" s="23" t="e">
        <f aca="false">IF(A229="",NA(),B229)</f>
        <v>#N/A</v>
      </c>
      <c r="Q229" s="23" t="e">
        <f aca="false">IF(F229="",NA(),F229)</f>
        <v>#N/A</v>
      </c>
      <c r="R229" s="23" t="e">
        <f aca="false">IF(K229="",NA(),K229)</f>
        <v>#N/A</v>
      </c>
      <c r="S229" s="23" t="e">
        <f aca="false">IF(M229="",NA(),M229)</f>
        <v>#N/A</v>
      </c>
      <c r="T229" s="23" t="str">
        <f aca="false">IF(J229="Válida",B229,"")</f>
        <v/>
      </c>
      <c r="U229" s="23" t="str">
        <f aca="false">IF(J229="Válida",F229,"")</f>
        <v/>
      </c>
    </row>
    <row r="230" customFormat="false" ht="15" hidden="false" customHeight="false" outlineLevel="0" collapsed="false">
      <c r="A230" s="22" t="str">
        <f aca="false">IF(MES!A230="","",MES!A230)</f>
        <v/>
      </c>
      <c r="B230" s="23" t="str">
        <f aca="false">IF(A230="","",MES!B230)</f>
        <v/>
      </c>
      <c r="C230" s="22" t="str">
        <f aca="false">IF(A230="","",A230+Parametros!$B$3/24)</f>
        <v/>
      </c>
      <c r="D230" s="22" t="str">
        <f aca="false">IF(A230="","",C230+Parametros!$B$2/24)</f>
        <v/>
      </c>
      <c r="E230" s="24" t="str">
        <f aca="false">IF(A230="","",COUNTIFS(Modulo!$A$2:$A$5001,"&gt;="&amp;C230,Modulo!$A$2:$A$5001,"&lt;"&amp;D230,Modulo!$D$2:$D$5001,Parametros!$B$7))</f>
        <v/>
      </c>
      <c r="F230" s="23" t="str">
        <f aca="false">IF(A230="","",IF(E230=0,"",AVERAGEIFS(Modulo!$B$2:$B$5001,Modulo!$A$2:$A$5001,"&gt;="&amp;C230,Modulo!$A$2:$A$5001,"&lt;"&amp;D230,Modulo!$D$2:$D$5001,Parametros!$B$7)))</f>
        <v/>
      </c>
      <c r="G230" s="23" t="str">
        <f aca="false">IF(A230="","",IF(E230=0,"",AVERAGEIFS(Modulo!$C$2:$C$5001,Modulo!$A$2:$A$5001,"&gt;="&amp;C230,Modulo!$A$2:$A$5001,"&lt;"&amp;D230,Modulo!$D$2:$D$5001,Parametros!$B$7)))</f>
        <v/>
      </c>
      <c r="H230" s="25" t="str">
        <f aca="false">IF(A230="","",IFERROR(COUNTIFS(Amostragem!$A$2:$A$15003,"&gt;="&amp;C230,Amostragem!$A$2:$A$15003,"&lt;"&amp;D230,Amostragem!$B$2:$B$15003,"Automático",Amostragem!$C$2:$C$15003,"Automático",Amostragem!$D$2:$D$15003,0)/COUNTIFS(Amostragem!$A$2:$A$15003,"&gt;="&amp;C230,Amostragem!$A$2:$A$15003,"&lt;"&amp;D230),0))</f>
        <v/>
      </c>
      <c r="I230" s="23" t="str">
        <f aca="false">IF(A230="","",IFERROR(AVERAGEIFS(Amostragem!$E$2:$E$15003,Amostragem!$A$2:$A$15003,"&gt;="&amp;C230,Amostragem!$A$2:$A$15003,"&lt;"&amp;D230),""))</f>
        <v/>
      </c>
      <c r="J230" s="24" t="str">
        <f aca="false">IF(A230="","",IF(B230="","Inválida: sem resultado MES",IF(E230&lt;Parametros!$B$4,"Inválida: poucos ensaios do módulo",IF(H230&lt;Parametros!$B$5,"Inválida: amostragem em manual ou em falha",IF(OR(I230="",I230&lt;Parametros!$B$6),"Inválida: usina parada ou baixa alimentação","Válida")))))</f>
        <v/>
      </c>
      <c r="K230" s="23" t="str">
        <f aca="false">IF(J230="Válida",F230-B230,"")</f>
        <v/>
      </c>
      <c r="L230" s="26" t="str">
        <f aca="false">IF(J230="Válida",K230/B230,"")</f>
        <v/>
      </c>
      <c r="M230" s="23" t="str">
        <f aca="false">IF(J230="Válida",(F230+B230)/2,"")</f>
        <v/>
      </c>
      <c r="N230" s="24" t="str">
        <f aca="false">IF(K230="","",IF(OR(K230&gt;Resumo!$B$16,K230&lt;Resumo!$B$15),"Sim","Não"))</f>
        <v/>
      </c>
      <c r="O230" s="22" t="e">
        <f aca="false">IF(A230="",NA(),A230)</f>
        <v>#N/A</v>
      </c>
      <c r="P230" s="23" t="e">
        <f aca="false">IF(A230="",NA(),B230)</f>
        <v>#N/A</v>
      </c>
      <c r="Q230" s="23" t="e">
        <f aca="false">IF(F230="",NA(),F230)</f>
        <v>#N/A</v>
      </c>
      <c r="R230" s="23" t="e">
        <f aca="false">IF(K230="",NA(),K230)</f>
        <v>#N/A</v>
      </c>
      <c r="S230" s="23" t="e">
        <f aca="false">IF(M230="",NA(),M230)</f>
        <v>#N/A</v>
      </c>
      <c r="T230" s="23" t="str">
        <f aca="false">IF(J230="Válida",B230,"")</f>
        <v/>
      </c>
      <c r="U230" s="23" t="str">
        <f aca="false">IF(J230="Válida",F230,"")</f>
        <v/>
      </c>
    </row>
    <row r="231" customFormat="false" ht="15" hidden="false" customHeight="false" outlineLevel="0" collapsed="false">
      <c r="A231" s="22" t="str">
        <f aca="false">IF(MES!A231="","",MES!A231)</f>
        <v/>
      </c>
      <c r="B231" s="23" t="str">
        <f aca="false">IF(A231="","",MES!B231)</f>
        <v/>
      </c>
      <c r="C231" s="22" t="str">
        <f aca="false">IF(A231="","",A231+Parametros!$B$3/24)</f>
        <v/>
      </c>
      <c r="D231" s="22" t="str">
        <f aca="false">IF(A231="","",C231+Parametros!$B$2/24)</f>
        <v/>
      </c>
      <c r="E231" s="24" t="str">
        <f aca="false">IF(A231="","",COUNTIFS(Modulo!$A$2:$A$5001,"&gt;="&amp;C231,Modulo!$A$2:$A$5001,"&lt;"&amp;D231,Modulo!$D$2:$D$5001,Parametros!$B$7))</f>
        <v/>
      </c>
      <c r="F231" s="23" t="str">
        <f aca="false">IF(A231="","",IF(E231=0,"",AVERAGEIFS(Modulo!$B$2:$B$5001,Modulo!$A$2:$A$5001,"&gt;="&amp;C231,Modulo!$A$2:$A$5001,"&lt;"&amp;D231,Modulo!$D$2:$D$5001,Parametros!$B$7)))</f>
        <v/>
      </c>
      <c r="G231" s="23" t="str">
        <f aca="false">IF(A231="","",IF(E231=0,"",AVERAGEIFS(Modulo!$C$2:$C$5001,Modulo!$A$2:$A$5001,"&gt;="&amp;C231,Modulo!$A$2:$A$5001,"&lt;"&amp;D231,Modulo!$D$2:$D$5001,Parametros!$B$7)))</f>
        <v/>
      </c>
      <c r="H231" s="25" t="str">
        <f aca="false">IF(A231="","",IFERROR(COUNTIFS(Amostragem!$A$2:$A$15003,"&gt;="&amp;C231,Amostragem!$A$2:$A$15003,"&lt;"&amp;D231,Amostragem!$B$2:$B$15003,"Automático",Amostragem!$C$2:$C$15003,"Automático",Amostragem!$D$2:$D$15003,0)/COUNTIFS(Amostragem!$A$2:$A$15003,"&gt;="&amp;C231,Amostragem!$A$2:$A$15003,"&lt;"&amp;D231),0))</f>
        <v/>
      </c>
      <c r="I231" s="23" t="str">
        <f aca="false">IF(A231="","",IFERROR(AVERAGEIFS(Amostragem!$E$2:$E$15003,Amostragem!$A$2:$A$15003,"&gt;="&amp;C231,Amostragem!$A$2:$A$15003,"&lt;"&amp;D231),""))</f>
        <v/>
      </c>
      <c r="J231" s="24" t="str">
        <f aca="false">IF(A231="","",IF(B231="","Inválida: sem resultado MES",IF(E231&lt;Parametros!$B$4,"Inválida: poucos ensaios do módulo",IF(H231&lt;Parametros!$B$5,"Inválida: amostragem em manual ou em falha",IF(OR(I231="",I231&lt;Parametros!$B$6),"Inválida: usina parada ou baixa alimentação","Válida")))))</f>
        <v/>
      </c>
      <c r="K231" s="23" t="str">
        <f aca="false">IF(J231="Válida",F231-B231,"")</f>
        <v/>
      </c>
      <c r="L231" s="26" t="str">
        <f aca="false">IF(J231="Válida",K231/B231,"")</f>
        <v/>
      </c>
      <c r="M231" s="23" t="str">
        <f aca="false">IF(J231="Válida",(F231+B231)/2,"")</f>
        <v/>
      </c>
      <c r="N231" s="24" t="str">
        <f aca="false">IF(K231="","",IF(OR(K231&gt;Resumo!$B$16,K231&lt;Resumo!$B$15),"Sim","Não"))</f>
        <v/>
      </c>
      <c r="O231" s="22" t="e">
        <f aca="false">IF(A231="",NA(),A231)</f>
        <v>#N/A</v>
      </c>
      <c r="P231" s="23" t="e">
        <f aca="false">IF(A231="",NA(),B231)</f>
        <v>#N/A</v>
      </c>
      <c r="Q231" s="23" t="e">
        <f aca="false">IF(F231="",NA(),F231)</f>
        <v>#N/A</v>
      </c>
      <c r="R231" s="23" t="e">
        <f aca="false">IF(K231="",NA(),K231)</f>
        <v>#N/A</v>
      </c>
      <c r="S231" s="23" t="e">
        <f aca="false">IF(M231="",NA(),M231)</f>
        <v>#N/A</v>
      </c>
      <c r="T231" s="23" t="str">
        <f aca="false">IF(J231="Válida",B231,"")</f>
        <v/>
      </c>
      <c r="U231" s="23" t="str">
        <f aca="false">IF(J231="Válida",F231,"")</f>
        <v/>
      </c>
    </row>
    <row r="232" customFormat="false" ht="15" hidden="false" customHeight="false" outlineLevel="0" collapsed="false">
      <c r="A232" s="22" t="str">
        <f aca="false">IF(MES!A232="","",MES!A232)</f>
        <v/>
      </c>
      <c r="B232" s="23" t="str">
        <f aca="false">IF(A232="","",MES!B232)</f>
        <v/>
      </c>
      <c r="C232" s="22" t="str">
        <f aca="false">IF(A232="","",A232+Parametros!$B$3/24)</f>
        <v/>
      </c>
      <c r="D232" s="22" t="str">
        <f aca="false">IF(A232="","",C232+Parametros!$B$2/24)</f>
        <v/>
      </c>
      <c r="E232" s="24" t="str">
        <f aca="false">IF(A232="","",COUNTIFS(Modulo!$A$2:$A$5001,"&gt;="&amp;C232,Modulo!$A$2:$A$5001,"&lt;"&amp;D232,Modulo!$D$2:$D$5001,Parametros!$B$7))</f>
        <v/>
      </c>
      <c r="F232" s="23" t="str">
        <f aca="false">IF(A232="","",IF(E232=0,"",AVERAGEIFS(Modulo!$B$2:$B$5001,Modulo!$A$2:$A$5001,"&gt;="&amp;C232,Modulo!$A$2:$A$5001,"&lt;"&amp;D232,Modulo!$D$2:$D$5001,Parametros!$B$7)))</f>
        <v/>
      </c>
      <c r="G232" s="23" t="str">
        <f aca="false">IF(A232="","",IF(E232=0,"",AVERAGEIFS(Modulo!$C$2:$C$5001,Modulo!$A$2:$A$5001,"&gt;="&amp;C232,Modulo!$A$2:$A$5001,"&lt;"&amp;D232,Modulo!$D$2:$D$5001,Parametros!$B$7)))</f>
        <v/>
      </c>
      <c r="H232" s="25" t="str">
        <f aca="false">IF(A232="","",IFERROR(COUNTIFS(Amostragem!$A$2:$A$15003,"&gt;="&amp;C232,Amostragem!$A$2:$A$15003,"&lt;"&amp;D232,Amostragem!$B$2:$B$15003,"Automático",Amostragem!$C$2:$C$15003,"Automático",Amostragem!$D$2:$D$15003,0)/COUNTIFS(Amostragem!$A$2:$A$15003,"&gt;="&amp;C232,Amostragem!$A$2:$A$15003,"&lt;"&amp;D232),0))</f>
        <v/>
      </c>
      <c r="I232" s="23" t="str">
        <f aca="false">IF(A232="","",IFERROR(AVERAGEIFS(Amostragem!$E$2:$E$15003,Amostragem!$A$2:$A$15003,"&gt;="&amp;C232,Amostragem!$A$2:$A$15003,"&lt;"&amp;D232),""))</f>
        <v/>
      </c>
      <c r="J232" s="24" t="str">
        <f aca="false">IF(A232="","",IF(B232="","Inválida: sem resultado MES",IF(E232&lt;Parametros!$B$4,"Inválida: poucos ensaios do módulo",IF(H232&lt;Parametros!$B$5,"Inválida: amostragem em manual ou em falha",IF(OR(I232="",I232&lt;Parametros!$B$6),"Inválida: usina parada ou baixa alimentação","Válida")))))</f>
        <v/>
      </c>
      <c r="K232" s="23" t="str">
        <f aca="false">IF(J232="Válida",F232-B232,"")</f>
        <v/>
      </c>
      <c r="L232" s="26" t="str">
        <f aca="false">IF(J232="Válida",K232/B232,"")</f>
        <v/>
      </c>
      <c r="M232" s="23" t="str">
        <f aca="false">IF(J232="Válida",(F232+B232)/2,"")</f>
        <v/>
      </c>
      <c r="N232" s="24" t="str">
        <f aca="false">IF(K232="","",IF(OR(K232&gt;Resumo!$B$16,K232&lt;Resumo!$B$15),"Sim","Não"))</f>
        <v/>
      </c>
      <c r="O232" s="22" t="e">
        <f aca="false">IF(A232="",NA(),A232)</f>
        <v>#N/A</v>
      </c>
      <c r="P232" s="23" t="e">
        <f aca="false">IF(A232="",NA(),B232)</f>
        <v>#N/A</v>
      </c>
      <c r="Q232" s="23" t="e">
        <f aca="false">IF(F232="",NA(),F232)</f>
        <v>#N/A</v>
      </c>
      <c r="R232" s="23" t="e">
        <f aca="false">IF(K232="",NA(),K232)</f>
        <v>#N/A</v>
      </c>
      <c r="S232" s="23" t="e">
        <f aca="false">IF(M232="",NA(),M232)</f>
        <v>#N/A</v>
      </c>
      <c r="T232" s="23" t="str">
        <f aca="false">IF(J232="Válida",B232,"")</f>
        <v/>
      </c>
      <c r="U232" s="23" t="str">
        <f aca="false">IF(J232="Válida",F232,"")</f>
        <v/>
      </c>
    </row>
    <row r="233" customFormat="false" ht="15" hidden="false" customHeight="false" outlineLevel="0" collapsed="false">
      <c r="A233" s="22" t="str">
        <f aca="false">IF(MES!A233="","",MES!A233)</f>
        <v/>
      </c>
      <c r="B233" s="23" t="str">
        <f aca="false">IF(A233="","",MES!B233)</f>
        <v/>
      </c>
      <c r="C233" s="22" t="str">
        <f aca="false">IF(A233="","",A233+Parametros!$B$3/24)</f>
        <v/>
      </c>
      <c r="D233" s="22" t="str">
        <f aca="false">IF(A233="","",C233+Parametros!$B$2/24)</f>
        <v/>
      </c>
      <c r="E233" s="24" t="str">
        <f aca="false">IF(A233="","",COUNTIFS(Modulo!$A$2:$A$5001,"&gt;="&amp;C233,Modulo!$A$2:$A$5001,"&lt;"&amp;D233,Modulo!$D$2:$D$5001,Parametros!$B$7))</f>
        <v/>
      </c>
      <c r="F233" s="23" t="str">
        <f aca="false">IF(A233="","",IF(E233=0,"",AVERAGEIFS(Modulo!$B$2:$B$5001,Modulo!$A$2:$A$5001,"&gt;="&amp;C233,Modulo!$A$2:$A$5001,"&lt;"&amp;D233,Modulo!$D$2:$D$5001,Parametros!$B$7)))</f>
        <v/>
      </c>
      <c r="G233" s="23" t="str">
        <f aca="false">IF(A233="","",IF(E233=0,"",AVERAGEIFS(Modulo!$C$2:$C$5001,Modulo!$A$2:$A$5001,"&gt;="&amp;C233,Modulo!$A$2:$A$5001,"&lt;"&amp;D233,Modulo!$D$2:$D$5001,Parametros!$B$7)))</f>
        <v/>
      </c>
      <c r="H233" s="25" t="str">
        <f aca="false">IF(A233="","",IFERROR(COUNTIFS(Amostragem!$A$2:$A$15003,"&gt;="&amp;C233,Amostragem!$A$2:$A$15003,"&lt;"&amp;D233,Amostragem!$B$2:$B$15003,"Automático",Amostragem!$C$2:$C$15003,"Automático",Amostragem!$D$2:$D$15003,0)/COUNTIFS(Amostragem!$A$2:$A$15003,"&gt;="&amp;C233,Amostragem!$A$2:$A$15003,"&lt;"&amp;D233),0))</f>
        <v/>
      </c>
      <c r="I233" s="23" t="str">
        <f aca="false">IF(A233="","",IFERROR(AVERAGEIFS(Amostragem!$E$2:$E$15003,Amostragem!$A$2:$A$15003,"&gt;="&amp;C233,Amostragem!$A$2:$A$15003,"&lt;"&amp;D233),""))</f>
        <v/>
      </c>
      <c r="J233" s="24" t="str">
        <f aca="false">IF(A233="","",IF(B233="","Inválida: sem resultado MES",IF(E233&lt;Parametros!$B$4,"Inválida: poucos ensaios do módulo",IF(H233&lt;Parametros!$B$5,"Inválida: amostragem em manual ou em falha",IF(OR(I233="",I233&lt;Parametros!$B$6),"Inválida: usina parada ou baixa alimentação","Válida")))))</f>
        <v/>
      </c>
      <c r="K233" s="23" t="str">
        <f aca="false">IF(J233="Válida",F233-B233,"")</f>
        <v/>
      </c>
      <c r="L233" s="26" t="str">
        <f aca="false">IF(J233="Válida",K233/B233,"")</f>
        <v/>
      </c>
      <c r="M233" s="23" t="str">
        <f aca="false">IF(J233="Válida",(F233+B233)/2,"")</f>
        <v/>
      </c>
      <c r="N233" s="24" t="str">
        <f aca="false">IF(K233="","",IF(OR(K233&gt;Resumo!$B$16,K233&lt;Resumo!$B$15),"Sim","Não"))</f>
        <v/>
      </c>
      <c r="O233" s="22" t="e">
        <f aca="false">IF(A233="",NA(),A233)</f>
        <v>#N/A</v>
      </c>
      <c r="P233" s="23" t="e">
        <f aca="false">IF(A233="",NA(),B233)</f>
        <v>#N/A</v>
      </c>
      <c r="Q233" s="23" t="e">
        <f aca="false">IF(F233="",NA(),F233)</f>
        <v>#N/A</v>
      </c>
      <c r="R233" s="23" t="e">
        <f aca="false">IF(K233="",NA(),K233)</f>
        <v>#N/A</v>
      </c>
      <c r="S233" s="23" t="e">
        <f aca="false">IF(M233="",NA(),M233)</f>
        <v>#N/A</v>
      </c>
      <c r="T233" s="23" t="str">
        <f aca="false">IF(J233="Válida",B233,"")</f>
        <v/>
      </c>
      <c r="U233" s="23" t="str">
        <f aca="false">IF(J233="Válida",F233,"")</f>
        <v/>
      </c>
    </row>
    <row r="234" customFormat="false" ht="15" hidden="false" customHeight="false" outlineLevel="0" collapsed="false">
      <c r="A234" s="22" t="str">
        <f aca="false">IF(MES!A234="","",MES!A234)</f>
        <v/>
      </c>
      <c r="B234" s="23" t="str">
        <f aca="false">IF(A234="","",MES!B234)</f>
        <v/>
      </c>
      <c r="C234" s="22" t="str">
        <f aca="false">IF(A234="","",A234+Parametros!$B$3/24)</f>
        <v/>
      </c>
      <c r="D234" s="22" t="str">
        <f aca="false">IF(A234="","",C234+Parametros!$B$2/24)</f>
        <v/>
      </c>
      <c r="E234" s="24" t="str">
        <f aca="false">IF(A234="","",COUNTIFS(Modulo!$A$2:$A$5001,"&gt;="&amp;C234,Modulo!$A$2:$A$5001,"&lt;"&amp;D234,Modulo!$D$2:$D$5001,Parametros!$B$7))</f>
        <v/>
      </c>
      <c r="F234" s="23" t="str">
        <f aca="false">IF(A234="","",IF(E234=0,"",AVERAGEIFS(Modulo!$B$2:$B$5001,Modulo!$A$2:$A$5001,"&gt;="&amp;C234,Modulo!$A$2:$A$5001,"&lt;"&amp;D234,Modulo!$D$2:$D$5001,Parametros!$B$7)))</f>
        <v/>
      </c>
      <c r="G234" s="23" t="str">
        <f aca="false">IF(A234="","",IF(E234=0,"",AVERAGEIFS(Modulo!$C$2:$C$5001,Modulo!$A$2:$A$5001,"&gt;="&amp;C234,Modulo!$A$2:$A$5001,"&lt;"&amp;D234,Modulo!$D$2:$D$5001,Parametros!$B$7)))</f>
        <v/>
      </c>
      <c r="H234" s="25" t="str">
        <f aca="false">IF(A234="","",IFERROR(COUNTIFS(Amostragem!$A$2:$A$15003,"&gt;="&amp;C234,Amostragem!$A$2:$A$15003,"&lt;"&amp;D234,Amostragem!$B$2:$B$15003,"Automático",Amostragem!$C$2:$C$15003,"Automático",Amostragem!$D$2:$D$15003,0)/COUNTIFS(Amostragem!$A$2:$A$15003,"&gt;="&amp;C234,Amostragem!$A$2:$A$15003,"&lt;"&amp;D234),0))</f>
        <v/>
      </c>
      <c r="I234" s="23" t="str">
        <f aca="false">IF(A234="","",IFERROR(AVERAGEIFS(Amostragem!$E$2:$E$15003,Amostragem!$A$2:$A$15003,"&gt;="&amp;C234,Amostragem!$A$2:$A$15003,"&lt;"&amp;D234),""))</f>
        <v/>
      </c>
      <c r="J234" s="24" t="str">
        <f aca="false">IF(A234="","",IF(B234="","Inválida: sem resultado MES",IF(E234&lt;Parametros!$B$4,"Inválida: poucos ensaios do módulo",IF(H234&lt;Parametros!$B$5,"Inválida: amostragem em manual ou em falha",IF(OR(I234="",I234&lt;Parametros!$B$6),"Inválida: usina parada ou baixa alimentação","Válida")))))</f>
        <v/>
      </c>
      <c r="K234" s="23" t="str">
        <f aca="false">IF(J234="Válida",F234-B234,"")</f>
        <v/>
      </c>
      <c r="L234" s="26" t="str">
        <f aca="false">IF(J234="Válida",K234/B234,"")</f>
        <v/>
      </c>
      <c r="M234" s="23" t="str">
        <f aca="false">IF(J234="Válida",(F234+B234)/2,"")</f>
        <v/>
      </c>
      <c r="N234" s="24" t="str">
        <f aca="false">IF(K234="","",IF(OR(K234&gt;Resumo!$B$16,K234&lt;Resumo!$B$15),"Sim","Não"))</f>
        <v/>
      </c>
      <c r="O234" s="22" t="e">
        <f aca="false">IF(A234="",NA(),A234)</f>
        <v>#N/A</v>
      </c>
      <c r="P234" s="23" t="e">
        <f aca="false">IF(A234="",NA(),B234)</f>
        <v>#N/A</v>
      </c>
      <c r="Q234" s="23" t="e">
        <f aca="false">IF(F234="",NA(),F234)</f>
        <v>#N/A</v>
      </c>
      <c r="R234" s="23" t="e">
        <f aca="false">IF(K234="",NA(),K234)</f>
        <v>#N/A</v>
      </c>
      <c r="S234" s="23" t="e">
        <f aca="false">IF(M234="",NA(),M234)</f>
        <v>#N/A</v>
      </c>
      <c r="T234" s="23" t="str">
        <f aca="false">IF(J234="Válida",B234,"")</f>
        <v/>
      </c>
      <c r="U234" s="23" t="str">
        <f aca="false">IF(J234="Válida",F234,"")</f>
        <v/>
      </c>
    </row>
    <row r="235" customFormat="false" ht="15" hidden="false" customHeight="false" outlineLevel="0" collapsed="false">
      <c r="A235" s="22" t="str">
        <f aca="false">IF(MES!A235="","",MES!A235)</f>
        <v/>
      </c>
      <c r="B235" s="23" t="str">
        <f aca="false">IF(A235="","",MES!B235)</f>
        <v/>
      </c>
      <c r="C235" s="22" t="str">
        <f aca="false">IF(A235="","",A235+Parametros!$B$3/24)</f>
        <v/>
      </c>
      <c r="D235" s="22" t="str">
        <f aca="false">IF(A235="","",C235+Parametros!$B$2/24)</f>
        <v/>
      </c>
      <c r="E235" s="24" t="str">
        <f aca="false">IF(A235="","",COUNTIFS(Modulo!$A$2:$A$5001,"&gt;="&amp;C235,Modulo!$A$2:$A$5001,"&lt;"&amp;D235,Modulo!$D$2:$D$5001,Parametros!$B$7))</f>
        <v/>
      </c>
      <c r="F235" s="23" t="str">
        <f aca="false">IF(A235="","",IF(E235=0,"",AVERAGEIFS(Modulo!$B$2:$B$5001,Modulo!$A$2:$A$5001,"&gt;="&amp;C235,Modulo!$A$2:$A$5001,"&lt;"&amp;D235,Modulo!$D$2:$D$5001,Parametros!$B$7)))</f>
        <v/>
      </c>
      <c r="G235" s="23" t="str">
        <f aca="false">IF(A235="","",IF(E235=0,"",AVERAGEIFS(Modulo!$C$2:$C$5001,Modulo!$A$2:$A$5001,"&gt;="&amp;C235,Modulo!$A$2:$A$5001,"&lt;"&amp;D235,Modulo!$D$2:$D$5001,Parametros!$B$7)))</f>
        <v/>
      </c>
      <c r="H235" s="25" t="str">
        <f aca="false">IF(A235="","",IFERROR(COUNTIFS(Amostragem!$A$2:$A$15003,"&gt;="&amp;C235,Amostragem!$A$2:$A$15003,"&lt;"&amp;D235,Amostragem!$B$2:$B$15003,"Automático",Amostragem!$C$2:$C$15003,"Automático",Amostragem!$D$2:$D$15003,0)/COUNTIFS(Amostragem!$A$2:$A$15003,"&gt;="&amp;C235,Amostragem!$A$2:$A$15003,"&lt;"&amp;D235),0))</f>
        <v/>
      </c>
      <c r="I235" s="23" t="str">
        <f aca="false">IF(A235="","",IFERROR(AVERAGEIFS(Amostragem!$E$2:$E$15003,Amostragem!$A$2:$A$15003,"&gt;="&amp;C235,Amostragem!$A$2:$A$15003,"&lt;"&amp;D235),""))</f>
        <v/>
      </c>
      <c r="J235" s="24" t="str">
        <f aca="false">IF(A235="","",IF(B235="","Inválida: sem resultado MES",IF(E235&lt;Parametros!$B$4,"Inválida: poucos ensaios do módulo",IF(H235&lt;Parametros!$B$5,"Inválida: amostragem em manual ou em falha",IF(OR(I235="",I235&lt;Parametros!$B$6),"Inválida: usina parada ou baixa alimentação","Válida")))))</f>
        <v/>
      </c>
      <c r="K235" s="23" t="str">
        <f aca="false">IF(J235="Válida",F235-B235,"")</f>
        <v/>
      </c>
      <c r="L235" s="26" t="str">
        <f aca="false">IF(J235="Válida",K235/B235,"")</f>
        <v/>
      </c>
      <c r="M235" s="23" t="str">
        <f aca="false">IF(J235="Válida",(F235+B235)/2,"")</f>
        <v/>
      </c>
      <c r="N235" s="24" t="str">
        <f aca="false">IF(K235="","",IF(OR(K235&gt;Resumo!$B$16,K235&lt;Resumo!$B$15),"Sim","Não"))</f>
        <v/>
      </c>
      <c r="O235" s="22" t="e">
        <f aca="false">IF(A235="",NA(),A235)</f>
        <v>#N/A</v>
      </c>
      <c r="P235" s="23" t="e">
        <f aca="false">IF(A235="",NA(),B235)</f>
        <v>#N/A</v>
      </c>
      <c r="Q235" s="23" t="e">
        <f aca="false">IF(F235="",NA(),F235)</f>
        <v>#N/A</v>
      </c>
      <c r="R235" s="23" t="e">
        <f aca="false">IF(K235="",NA(),K235)</f>
        <v>#N/A</v>
      </c>
      <c r="S235" s="23" t="e">
        <f aca="false">IF(M235="",NA(),M235)</f>
        <v>#N/A</v>
      </c>
      <c r="T235" s="23" t="str">
        <f aca="false">IF(J235="Válida",B235,"")</f>
        <v/>
      </c>
      <c r="U235" s="23" t="str">
        <f aca="false">IF(J235="Válida",F235,"")</f>
        <v/>
      </c>
    </row>
    <row r="236" customFormat="false" ht="15" hidden="false" customHeight="false" outlineLevel="0" collapsed="false">
      <c r="A236" s="22" t="str">
        <f aca="false">IF(MES!A236="","",MES!A236)</f>
        <v/>
      </c>
      <c r="B236" s="23" t="str">
        <f aca="false">IF(A236="","",MES!B236)</f>
        <v/>
      </c>
      <c r="C236" s="22" t="str">
        <f aca="false">IF(A236="","",A236+Parametros!$B$3/24)</f>
        <v/>
      </c>
      <c r="D236" s="22" t="str">
        <f aca="false">IF(A236="","",C236+Parametros!$B$2/24)</f>
        <v/>
      </c>
      <c r="E236" s="24" t="str">
        <f aca="false">IF(A236="","",COUNTIFS(Modulo!$A$2:$A$5001,"&gt;="&amp;C236,Modulo!$A$2:$A$5001,"&lt;"&amp;D236,Modulo!$D$2:$D$5001,Parametros!$B$7))</f>
        <v/>
      </c>
      <c r="F236" s="23" t="str">
        <f aca="false">IF(A236="","",IF(E236=0,"",AVERAGEIFS(Modulo!$B$2:$B$5001,Modulo!$A$2:$A$5001,"&gt;="&amp;C236,Modulo!$A$2:$A$5001,"&lt;"&amp;D236,Modulo!$D$2:$D$5001,Parametros!$B$7)))</f>
        <v/>
      </c>
      <c r="G236" s="23" t="str">
        <f aca="false">IF(A236="","",IF(E236=0,"",AVERAGEIFS(Modulo!$C$2:$C$5001,Modulo!$A$2:$A$5001,"&gt;="&amp;C236,Modulo!$A$2:$A$5001,"&lt;"&amp;D236,Modulo!$D$2:$D$5001,Parametros!$B$7)))</f>
        <v/>
      </c>
      <c r="H236" s="25" t="str">
        <f aca="false">IF(A236="","",IFERROR(COUNTIFS(Amostragem!$A$2:$A$15003,"&gt;="&amp;C236,Amostragem!$A$2:$A$15003,"&lt;"&amp;D236,Amostragem!$B$2:$B$15003,"Automático",Amostragem!$C$2:$C$15003,"Automático",Amostragem!$D$2:$D$15003,0)/COUNTIFS(Amostragem!$A$2:$A$15003,"&gt;="&amp;C236,Amostragem!$A$2:$A$15003,"&lt;"&amp;D236),0))</f>
        <v/>
      </c>
      <c r="I236" s="23" t="str">
        <f aca="false">IF(A236="","",IFERROR(AVERAGEIFS(Amostragem!$E$2:$E$15003,Amostragem!$A$2:$A$15003,"&gt;="&amp;C236,Amostragem!$A$2:$A$15003,"&lt;"&amp;D236),""))</f>
        <v/>
      </c>
      <c r="J236" s="24" t="str">
        <f aca="false">IF(A236="","",IF(B236="","Inválida: sem resultado MES",IF(E236&lt;Parametros!$B$4,"Inválida: poucos ensaios do módulo",IF(H236&lt;Parametros!$B$5,"Inválida: amostragem em manual ou em falha",IF(OR(I236="",I236&lt;Parametros!$B$6),"Inválida: usina parada ou baixa alimentação","Válida")))))</f>
        <v/>
      </c>
      <c r="K236" s="23" t="str">
        <f aca="false">IF(J236="Válida",F236-B236,"")</f>
        <v/>
      </c>
      <c r="L236" s="26" t="str">
        <f aca="false">IF(J236="Válida",K236/B236,"")</f>
        <v/>
      </c>
      <c r="M236" s="23" t="str">
        <f aca="false">IF(J236="Válida",(F236+B236)/2,"")</f>
        <v/>
      </c>
      <c r="N236" s="24" t="str">
        <f aca="false">IF(K236="","",IF(OR(K236&gt;Resumo!$B$16,K236&lt;Resumo!$B$15),"Sim","Não"))</f>
        <v/>
      </c>
      <c r="O236" s="22" t="e">
        <f aca="false">IF(A236="",NA(),A236)</f>
        <v>#N/A</v>
      </c>
      <c r="P236" s="23" t="e">
        <f aca="false">IF(A236="",NA(),B236)</f>
        <v>#N/A</v>
      </c>
      <c r="Q236" s="23" t="e">
        <f aca="false">IF(F236="",NA(),F236)</f>
        <v>#N/A</v>
      </c>
      <c r="R236" s="23" t="e">
        <f aca="false">IF(K236="",NA(),K236)</f>
        <v>#N/A</v>
      </c>
      <c r="S236" s="23" t="e">
        <f aca="false">IF(M236="",NA(),M236)</f>
        <v>#N/A</v>
      </c>
      <c r="T236" s="23" t="str">
        <f aca="false">IF(J236="Válida",B236,"")</f>
        <v/>
      </c>
      <c r="U236" s="23" t="str">
        <f aca="false">IF(J236="Válida",F236,"")</f>
        <v/>
      </c>
    </row>
    <row r="237" customFormat="false" ht="15" hidden="false" customHeight="false" outlineLevel="0" collapsed="false">
      <c r="A237" s="22" t="str">
        <f aca="false">IF(MES!A237="","",MES!A237)</f>
        <v/>
      </c>
      <c r="B237" s="23" t="str">
        <f aca="false">IF(A237="","",MES!B237)</f>
        <v/>
      </c>
      <c r="C237" s="22" t="str">
        <f aca="false">IF(A237="","",A237+Parametros!$B$3/24)</f>
        <v/>
      </c>
      <c r="D237" s="22" t="str">
        <f aca="false">IF(A237="","",C237+Parametros!$B$2/24)</f>
        <v/>
      </c>
      <c r="E237" s="24" t="str">
        <f aca="false">IF(A237="","",COUNTIFS(Modulo!$A$2:$A$5001,"&gt;="&amp;C237,Modulo!$A$2:$A$5001,"&lt;"&amp;D237,Modulo!$D$2:$D$5001,Parametros!$B$7))</f>
        <v/>
      </c>
      <c r="F237" s="23" t="str">
        <f aca="false">IF(A237="","",IF(E237=0,"",AVERAGEIFS(Modulo!$B$2:$B$5001,Modulo!$A$2:$A$5001,"&gt;="&amp;C237,Modulo!$A$2:$A$5001,"&lt;"&amp;D237,Modulo!$D$2:$D$5001,Parametros!$B$7)))</f>
        <v/>
      </c>
      <c r="G237" s="23" t="str">
        <f aca="false">IF(A237="","",IF(E237=0,"",AVERAGEIFS(Modulo!$C$2:$C$5001,Modulo!$A$2:$A$5001,"&gt;="&amp;C237,Modulo!$A$2:$A$5001,"&lt;"&amp;D237,Modulo!$D$2:$D$5001,Parametros!$B$7)))</f>
        <v/>
      </c>
      <c r="H237" s="25" t="str">
        <f aca="false">IF(A237="","",IFERROR(COUNTIFS(Amostragem!$A$2:$A$15003,"&gt;="&amp;C237,Amostragem!$A$2:$A$15003,"&lt;"&amp;D237,Amostragem!$B$2:$B$15003,"Automático",Amostragem!$C$2:$C$15003,"Automático",Amostragem!$D$2:$D$15003,0)/COUNTIFS(Amostragem!$A$2:$A$15003,"&gt;="&amp;C237,Amostragem!$A$2:$A$15003,"&lt;"&amp;D237),0))</f>
        <v/>
      </c>
      <c r="I237" s="23" t="str">
        <f aca="false">IF(A237="","",IFERROR(AVERAGEIFS(Amostragem!$E$2:$E$15003,Amostragem!$A$2:$A$15003,"&gt;="&amp;C237,Amostragem!$A$2:$A$15003,"&lt;"&amp;D237),""))</f>
        <v/>
      </c>
      <c r="J237" s="24" t="str">
        <f aca="false">IF(A237="","",IF(B237="","Inválida: sem resultado MES",IF(E237&lt;Parametros!$B$4,"Inválida: poucos ensaios do módulo",IF(H237&lt;Parametros!$B$5,"Inválida: amostragem em manual ou em falha",IF(OR(I237="",I237&lt;Parametros!$B$6),"Inválida: usina parada ou baixa alimentação","Válida")))))</f>
        <v/>
      </c>
      <c r="K237" s="23" t="str">
        <f aca="false">IF(J237="Válida",F237-B237,"")</f>
        <v/>
      </c>
      <c r="L237" s="26" t="str">
        <f aca="false">IF(J237="Válida",K237/B237,"")</f>
        <v/>
      </c>
      <c r="M237" s="23" t="str">
        <f aca="false">IF(J237="Válida",(F237+B237)/2,"")</f>
        <v/>
      </c>
      <c r="N237" s="24" t="str">
        <f aca="false">IF(K237="","",IF(OR(K237&gt;Resumo!$B$16,K237&lt;Resumo!$B$15),"Sim","Não"))</f>
        <v/>
      </c>
      <c r="O237" s="22" t="e">
        <f aca="false">IF(A237="",NA(),A237)</f>
        <v>#N/A</v>
      </c>
      <c r="P237" s="23" t="e">
        <f aca="false">IF(A237="",NA(),B237)</f>
        <v>#N/A</v>
      </c>
      <c r="Q237" s="23" t="e">
        <f aca="false">IF(F237="",NA(),F237)</f>
        <v>#N/A</v>
      </c>
      <c r="R237" s="23" t="e">
        <f aca="false">IF(K237="",NA(),K237)</f>
        <v>#N/A</v>
      </c>
      <c r="S237" s="23" t="e">
        <f aca="false">IF(M237="",NA(),M237)</f>
        <v>#N/A</v>
      </c>
      <c r="T237" s="23" t="str">
        <f aca="false">IF(J237="Válida",B237,"")</f>
        <v/>
      </c>
      <c r="U237" s="23" t="str">
        <f aca="false">IF(J237="Válida",F237,"")</f>
        <v/>
      </c>
    </row>
    <row r="238" customFormat="false" ht="15" hidden="false" customHeight="false" outlineLevel="0" collapsed="false">
      <c r="A238" s="22" t="str">
        <f aca="false">IF(MES!A238="","",MES!A238)</f>
        <v/>
      </c>
      <c r="B238" s="23" t="str">
        <f aca="false">IF(A238="","",MES!B238)</f>
        <v/>
      </c>
      <c r="C238" s="22" t="str">
        <f aca="false">IF(A238="","",A238+Parametros!$B$3/24)</f>
        <v/>
      </c>
      <c r="D238" s="22" t="str">
        <f aca="false">IF(A238="","",C238+Parametros!$B$2/24)</f>
        <v/>
      </c>
      <c r="E238" s="24" t="str">
        <f aca="false">IF(A238="","",COUNTIFS(Modulo!$A$2:$A$5001,"&gt;="&amp;C238,Modulo!$A$2:$A$5001,"&lt;"&amp;D238,Modulo!$D$2:$D$5001,Parametros!$B$7))</f>
        <v/>
      </c>
      <c r="F238" s="23" t="str">
        <f aca="false">IF(A238="","",IF(E238=0,"",AVERAGEIFS(Modulo!$B$2:$B$5001,Modulo!$A$2:$A$5001,"&gt;="&amp;C238,Modulo!$A$2:$A$5001,"&lt;"&amp;D238,Modulo!$D$2:$D$5001,Parametros!$B$7)))</f>
        <v/>
      </c>
      <c r="G238" s="23" t="str">
        <f aca="false">IF(A238="","",IF(E238=0,"",AVERAGEIFS(Modulo!$C$2:$C$5001,Modulo!$A$2:$A$5001,"&gt;="&amp;C238,Modulo!$A$2:$A$5001,"&lt;"&amp;D238,Modulo!$D$2:$D$5001,Parametros!$B$7)))</f>
        <v/>
      </c>
      <c r="H238" s="25" t="str">
        <f aca="false">IF(A238="","",IFERROR(COUNTIFS(Amostragem!$A$2:$A$15003,"&gt;="&amp;C238,Amostragem!$A$2:$A$15003,"&lt;"&amp;D238,Amostragem!$B$2:$B$15003,"Automático",Amostragem!$C$2:$C$15003,"Automático",Amostragem!$D$2:$D$15003,0)/COUNTIFS(Amostragem!$A$2:$A$15003,"&gt;="&amp;C238,Amostragem!$A$2:$A$15003,"&lt;"&amp;D238),0))</f>
        <v/>
      </c>
      <c r="I238" s="23" t="str">
        <f aca="false">IF(A238="","",IFERROR(AVERAGEIFS(Amostragem!$E$2:$E$15003,Amostragem!$A$2:$A$15003,"&gt;="&amp;C238,Amostragem!$A$2:$A$15003,"&lt;"&amp;D238),""))</f>
        <v/>
      </c>
      <c r="J238" s="24" t="str">
        <f aca="false">IF(A238="","",IF(B238="","Inválida: sem resultado MES",IF(E238&lt;Parametros!$B$4,"Inválida: poucos ensaios do módulo",IF(H238&lt;Parametros!$B$5,"Inválida: amostragem em manual ou em falha",IF(OR(I238="",I238&lt;Parametros!$B$6),"Inválida: usina parada ou baixa alimentação","Válida")))))</f>
        <v/>
      </c>
      <c r="K238" s="23" t="str">
        <f aca="false">IF(J238="Válida",F238-B238,"")</f>
        <v/>
      </c>
      <c r="L238" s="26" t="str">
        <f aca="false">IF(J238="Válida",K238/B238,"")</f>
        <v/>
      </c>
      <c r="M238" s="23" t="str">
        <f aca="false">IF(J238="Válida",(F238+B238)/2,"")</f>
        <v/>
      </c>
      <c r="N238" s="24" t="str">
        <f aca="false">IF(K238="","",IF(OR(K238&gt;Resumo!$B$16,K238&lt;Resumo!$B$15),"Sim","Não"))</f>
        <v/>
      </c>
      <c r="O238" s="22" t="e">
        <f aca="false">IF(A238="",NA(),A238)</f>
        <v>#N/A</v>
      </c>
      <c r="P238" s="23" t="e">
        <f aca="false">IF(A238="",NA(),B238)</f>
        <v>#N/A</v>
      </c>
      <c r="Q238" s="23" t="e">
        <f aca="false">IF(F238="",NA(),F238)</f>
        <v>#N/A</v>
      </c>
      <c r="R238" s="23" t="e">
        <f aca="false">IF(K238="",NA(),K238)</f>
        <v>#N/A</v>
      </c>
      <c r="S238" s="23" t="e">
        <f aca="false">IF(M238="",NA(),M238)</f>
        <v>#N/A</v>
      </c>
      <c r="T238" s="23" t="str">
        <f aca="false">IF(J238="Válida",B238,"")</f>
        <v/>
      </c>
      <c r="U238" s="23" t="str">
        <f aca="false">IF(J238="Válida",F238,"")</f>
        <v/>
      </c>
    </row>
    <row r="239" customFormat="false" ht="15" hidden="false" customHeight="false" outlineLevel="0" collapsed="false">
      <c r="A239" s="22" t="str">
        <f aca="false">IF(MES!A239="","",MES!A239)</f>
        <v/>
      </c>
      <c r="B239" s="23" t="str">
        <f aca="false">IF(A239="","",MES!B239)</f>
        <v/>
      </c>
      <c r="C239" s="22" t="str">
        <f aca="false">IF(A239="","",A239+Parametros!$B$3/24)</f>
        <v/>
      </c>
      <c r="D239" s="22" t="str">
        <f aca="false">IF(A239="","",C239+Parametros!$B$2/24)</f>
        <v/>
      </c>
      <c r="E239" s="24" t="str">
        <f aca="false">IF(A239="","",COUNTIFS(Modulo!$A$2:$A$5001,"&gt;="&amp;C239,Modulo!$A$2:$A$5001,"&lt;"&amp;D239,Modulo!$D$2:$D$5001,Parametros!$B$7))</f>
        <v/>
      </c>
      <c r="F239" s="23" t="str">
        <f aca="false">IF(A239="","",IF(E239=0,"",AVERAGEIFS(Modulo!$B$2:$B$5001,Modulo!$A$2:$A$5001,"&gt;="&amp;C239,Modulo!$A$2:$A$5001,"&lt;"&amp;D239,Modulo!$D$2:$D$5001,Parametros!$B$7)))</f>
        <v/>
      </c>
      <c r="G239" s="23" t="str">
        <f aca="false">IF(A239="","",IF(E239=0,"",AVERAGEIFS(Modulo!$C$2:$C$5001,Modulo!$A$2:$A$5001,"&gt;="&amp;C239,Modulo!$A$2:$A$5001,"&lt;"&amp;D239,Modulo!$D$2:$D$5001,Parametros!$B$7)))</f>
        <v/>
      </c>
      <c r="H239" s="25" t="str">
        <f aca="false">IF(A239="","",IFERROR(COUNTIFS(Amostragem!$A$2:$A$15003,"&gt;="&amp;C239,Amostragem!$A$2:$A$15003,"&lt;"&amp;D239,Amostragem!$B$2:$B$15003,"Automático",Amostragem!$C$2:$C$15003,"Automático",Amostragem!$D$2:$D$15003,0)/COUNTIFS(Amostragem!$A$2:$A$15003,"&gt;="&amp;C239,Amostragem!$A$2:$A$15003,"&lt;"&amp;D239),0))</f>
        <v/>
      </c>
      <c r="I239" s="23" t="str">
        <f aca="false">IF(A239="","",IFERROR(AVERAGEIFS(Amostragem!$E$2:$E$15003,Amostragem!$A$2:$A$15003,"&gt;="&amp;C239,Amostragem!$A$2:$A$15003,"&lt;"&amp;D239),""))</f>
        <v/>
      </c>
      <c r="J239" s="24" t="str">
        <f aca="false">IF(A239="","",IF(B239="","Inválida: sem resultado MES",IF(E239&lt;Parametros!$B$4,"Inválida: poucos ensaios do módulo",IF(H239&lt;Parametros!$B$5,"Inválida: amostragem em manual ou em falha",IF(OR(I239="",I239&lt;Parametros!$B$6),"Inválida: usina parada ou baixa alimentação","Válida")))))</f>
        <v/>
      </c>
      <c r="K239" s="23" t="str">
        <f aca="false">IF(J239="Válida",F239-B239,"")</f>
        <v/>
      </c>
      <c r="L239" s="26" t="str">
        <f aca="false">IF(J239="Válida",K239/B239,"")</f>
        <v/>
      </c>
      <c r="M239" s="23" t="str">
        <f aca="false">IF(J239="Válida",(F239+B239)/2,"")</f>
        <v/>
      </c>
      <c r="N239" s="24" t="str">
        <f aca="false">IF(K239="","",IF(OR(K239&gt;Resumo!$B$16,K239&lt;Resumo!$B$15),"Sim","Não"))</f>
        <v/>
      </c>
      <c r="O239" s="22" t="e">
        <f aca="false">IF(A239="",NA(),A239)</f>
        <v>#N/A</v>
      </c>
      <c r="P239" s="23" t="e">
        <f aca="false">IF(A239="",NA(),B239)</f>
        <v>#N/A</v>
      </c>
      <c r="Q239" s="23" t="e">
        <f aca="false">IF(F239="",NA(),F239)</f>
        <v>#N/A</v>
      </c>
      <c r="R239" s="23" t="e">
        <f aca="false">IF(K239="",NA(),K239)</f>
        <v>#N/A</v>
      </c>
      <c r="S239" s="23" t="e">
        <f aca="false">IF(M239="",NA(),M239)</f>
        <v>#N/A</v>
      </c>
      <c r="T239" s="23" t="str">
        <f aca="false">IF(J239="Válida",B239,"")</f>
        <v/>
      </c>
      <c r="U239" s="23" t="str">
        <f aca="false">IF(J239="Válida",F239,"")</f>
        <v/>
      </c>
    </row>
    <row r="240" customFormat="false" ht="15" hidden="false" customHeight="false" outlineLevel="0" collapsed="false">
      <c r="A240" s="22" t="str">
        <f aca="false">IF(MES!A240="","",MES!A240)</f>
        <v/>
      </c>
      <c r="B240" s="23" t="str">
        <f aca="false">IF(A240="","",MES!B240)</f>
        <v/>
      </c>
      <c r="C240" s="22" t="str">
        <f aca="false">IF(A240="","",A240+Parametros!$B$3/24)</f>
        <v/>
      </c>
      <c r="D240" s="22" t="str">
        <f aca="false">IF(A240="","",C240+Parametros!$B$2/24)</f>
        <v/>
      </c>
      <c r="E240" s="24" t="str">
        <f aca="false">IF(A240="","",COUNTIFS(Modulo!$A$2:$A$5001,"&gt;="&amp;C240,Modulo!$A$2:$A$5001,"&lt;"&amp;D240,Modulo!$D$2:$D$5001,Parametros!$B$7))</f>
        <v/>
      </c>
      <c r="F240" s="23" t="str">
        <f aca="false">IF(A240="","",IF(E240=0,"",AVERAGEIFS(Modulo!$B$2:$B$5001,Modulo!$A$2:$A$5001,"&gt;="&amp;C240,Modulo!$A$2:$A$5001,"&lt;"&amp;D240,Modulo!$D$2:$D$5001,Parametros!$B$7)))</f>
        <v/>
      </c>
      <c r="G240" s="23" t="str">
        <f aca="false">IF(A240="","",IF(E240=0,"",AVERAGEIFS(Modulo!$C$2:$C$5001,Modulo!$A$2:$A$5001,"&gt;="&amp;C240,Modulo!$A$2:$A$5001,"&lt;"&amp;D240,Modulo!$D$2:$D$5001,Parametros!$B$7)))</f>
        <v/>
      </c>
      <c r="H240" s="25" t="str">
        <f aca="false">IF(A240="","",IFERROR(COUNTIFS(Amostragem!$A$2:$A$15003,"&gt;="&amp;C240,Amostragem!$A$2:$A$15003,"&lt;"&amp;D240,Amostragem!$B$2:$B$15003,"Automático",Amostragem!$C$2:$C$15003,"Automático",Amostragem!$D$2:$D$15003,0)/COUNTIFS(Amostragem!$A$2:$A$15003,"&gt;="&amp;C240,Amostragem!$A$2:$A$15003,"&lt;"&amp;D240),0))</f>
        <v/>
      </c>
      <c r="I240" s="23" t="str">
        <f aca="false">IF(A240="","",IFERROR(AVERAGEIFS(Amostragem!$E$2:$E$15003,Amostragem!$A$2:$A$15003,"&gt;="&amp;C240,Amostragem!$A$2:$A$15003,"&lt;"&amp;D240),""))</f>
        <v/>
      </c>
      <c r="J240" s="24" t="str">
        <f aca="false">IF(A240="","",IF(B240="","Inválida: sem resultado MES",IF(E240&lt;Parametros!$B$4,"Inválida: poucos ensaios do módulo",IF(H240&lt;Parametros!$B$5,"Inválida: amostragem em manual ou em falha",IF(OR(I240="",I240&lt;Parametros!$B$6),"Inválida: usina parada ou baixa alimentação","Válida")))))</f>
        <v/>
      </c>
      <c r="K240" s="23" t="str">
        <f aca="false">IF(J240="Válida",F240-B240,"")</f>
        <v/>
      </c>
      <c r="L240" s="26" t="str">
        <f aca="false">IF(J240="Válida",K240/B240,"")</f>
        <v/>
      </c>
      <c r="M240" s="23" t="str">
        <f aca="false">IF(J240="Válida",(F240+B240)/2,"")</f>
        <v/>
      </c>
      <c r="N240" s="24" t="str">
        <f aca="false">IF(K240="","",IF(OR(K240&gt;Resumo!$B$16,K240&lt;Resumo!$B$15),"Sim","Não"))</f>
        <v/>
      </c>
      <c r="O240" s="22" t="e">
        <f aca="false">IF(A240="",NA(),A240)</f>
        <v>#N/A</v>
      </c>
      <c r="P240" s="23" t="e">
        <f aca="false">IF(A240="",NA(),B240)</f>
        <v>#N/A</v>
      </c>
      <c r="Q240" s="23" t="e">
        <f aca="false">IF(F240="",NA(),F240)</f>
        <v>#N/A</v>
      </c>
      <c r="R240" s="23" t="e">
        <f aca="false">IF(K240="",NA(),K240)</f>
        <v>#N/A</v>
      </c>
      <c r="S240" s="23" t="e">
        <f aca="false">IF(M240="",NA(),M240)</f>
        <v>#N/A</v>
      </c>
      <c r="T240" s="23" t="str">
        <f aca="false">IF(J240="Válida",B240,"")</f>
        <v/>
      </c>
      <c r="U240" s="23" t="str">
        <f aca="false">IF(J240="Válida",F240,"")</f>
        <v/>
      </c>
    </row>
    <row r="241" customFormat="false" ht="15" hidden="false" customHeight="false" outlineLevel="0" collapsed="false">
      <c r="A241" s="22" t="str">
        <f aca="false">IF(MES!A241="","",MES!A241)</f>
        <v/>
      </c>
      <c r="B241" s="23" t="str">
        <f aca="false">IF(A241="","",MES!B241)</f>
        <v/>
      </c>
      <c r="C241" s="22" t="str">
        <f aca="false">IF(A241="","",A241+Parametros!$B$3/24)</f>
        <v/>
      </c>
      <c r="D241" s="22" t="str">
        <f aca="false">IF(A241="","",C241+Parametros!$B$2/24)</f>
        <v/>
      </c>
      <c r="E241" s="24" t="str">
        <f aca="false">IF(A241="","",COUNTIFS(Modulo!$A$2:$A$5001,"&gt;="&amp;C241,Modulo!$A$2:$A$5001,"&lt;"&amp;D241,Modulo!$D$2:$D$5001,Parametros!$B$7))</f>
        <v/>
      </c>
      <c r="F241" s="23" t="str">
        <f aca="false">IF(A241="","",IF(E241=0,"",AVERAGEIFS(Modulo!$B$2:$B$5001,Modulo!$A$2:$A$5001,"&gt;="&amp;C241,Modulo!$A$2:$A$5001,"&lt;"&amp;D241,Modulo!$D$2:$D$5001,Parametros!$B$7)))</f>
        <v/>
      </c>
      <c r="G241" s="23" t="str">
        <f aca="false">IF(A241="","",IF(E241=0,"",AVERAGEIFS(Modulo!$C$2:$C$5001,Modulo!$A$2:$A$5001,"&gt;="&amp;C241,Modulo!$A$2:$A$5001,"&lt;"&amp;D241,Modulo!$D$2:$D$5001,Parametros!$B$7)))</f>
        <v/>
      </c>
      <c r="H241" s="25" t="str">
        <f aca="false">IF(A241="","",IFERROR(COUNTIFS(Amostragem!$A$2:$A$15003,"&gt;="&amp;C241,Amostragem!$A$2:$A$15003,"&lt;"&amp;D241,Amostragem!$B$2:$B$15003,"Automático",Amostragem!$C$2:$C$15003,"Automático",Amostragem!$D$2:$D$15003,0)/COUNTIFS(Amostragem!$A$2:$A$15003,"&gt;="&amp;C241,Amostragem!$A$2:$A$15003,"&lt;"&amp;D241),0))</f>
        <v/>
      </c>
      <c r="I241" s="23" t="str">
        <f aca="false">IF(A241="","",IFERROR(AVERAGEIFS(Amostragem!$E$2:$E$15003,Amostragem!$A$2:$A$15003,"&gt;="&amp;C241,Amostragem!$A$2:$A$15003,"&lt;"&amp;D241),""))</f>
        <v/>
      </c>
      <c r="J241" s="24" t="str">
        <f aca="false">IF(A241="","",IF(B241="","Inválida: sem resultado MES",IF(E241&lt;Parametros!$B$4,"Inválida: poucos ensaios do módulo",IF(H241&lt;Parametros!$B$5,"Inválida: amostragem em manual ou em falha",IF(OR(I241="",I241&lt;Parametros!$B$6),"Inválida: usina parada ou baixa alimentação","Válida")))))</f>
        <v/>
      </c>
      <c r="K241" s="23" t="str">
        <f aca="false">IF(J241="Válida",F241-B241,"")</f>
        <v/>
      </c>
      <c r="L241" s="26" t="str">
        <f aca="false">IF(J241="Válida",K241/B241,"")</f>
        <v/>
      </c>
      <c r="M241" s="23" t="str">
        <f aca="false">IF(J241="Válida",(F241+B241)/2,"")</f>
        <v/>
      </c>
      <c r="N241" s="24" t="str">
        <f aca="false">IF(K241="","",IF(OR(K241&gt;Resumo!$B$16,K241&lt;Resumo!$B$15),"Sim","Não"))</f>
        <v/>
      </c>
      <c r="O241" s="22" t="e">
        <f aca="false">IF(A241="",NA(),A241)</f>
        <v>#N/A</v>
      </c>
      <c r="P241" s="23" t="e">
        <f aca="false">IF(A241="",NA(),B241)</f>
        <v>#N/A</v>
      </c>
      <c r="Q241" s="23" t="e">
        <f aca="false">IF(F241="",NA(),F241)</f>
        <v>#N/A</v>
      </c>
      <c r="R241" s="23" t="e">
        <f aca="false">IF(K241="",NA(),K241)</f>
        <v>#N/A</v>
      </c>
      <c r="S241" s="23" t="e">
        <f aca="false">IF(M241="",NA(),M241)</f>
        <v>#N/A</v>
      </c>
      <c r="T241" s="23" t="str">
        <f aca="false">IF(J241="Válida",B241,"")</f>
        <v/>
      </c>
      <c r="U241" s="23" t="str">
        <f aca="false">IF(J241="Válida",F241,"")</f>
        <v/>
      </c>
    </row>
    <row r="242" customFormat="false" ht="15" hidden="false" customHeight="false" outlineLevel="0" collapsed="false">
      <c r="A242" s="22" t="str">
        <f aca="false">IF(MES!A242="","",MES!A242)</f>
        <v/>
      </c>
      <c r="B242" s="23" t="str">
        <f aca="false">IF(A242="","",MES!B242)</f>
        <v/>
      </c>
      <c r="C242" s="22" t="str">
        <f aca="false">IF(A242="","",A242+Parametros!$B$3/24)</f>
        <v/>
      </c>
      <c r="D242" s="22" t="str">
        <f aca="false">IF(A242="","",C242+Parametros!$B$2/24)</f>
        <v/>
      </c>
      <c r="E242" s="24" t="str">
        <f aca="false">IF(A242="","",COUNTIFS(Modulo!$A$2:$A$5001,"&gt;="&amp;C242,Modulo!$A$2:$A$5001,"&lt;"&amp;D242,Modulo!$D$2:$D$5001,Parametros!$B$7))</f>
        <v/>
      </c>
      <c r="F242" s="23" t="str">
        <f aca="false">IF(A242="","",IF(E242=0,"",AVERAGEIFS(Modulo!$B$2:$B$5001,Modulo!$A$2:$A$5001,"&gt;="&amp;C242,Modulo!$A$2:$A$5001,"&lt;"&amp;D242,Modulo!$D$2:$D$5001,Parametros!$B$7)))</f>
        <v/>
      </c>
      <c r="G242" s="23" t="str">
        <f aca="false">IF(A242="","",IF(E242=0,"",AVERAGEIFS(Modulo!$C$2:$C$5001,Modulo!$A$2:$A$5001,"&gt;="&amp;C242,Modulo!$A$2:$A$5001,"&lt;"&amp;D242,Modulo!$D$2:$D$5001,Parametros!$B$7)))</f>
        <v/>
      </c>
      <c r="H242" s="25" t="str">
        <f aca="false">IF(A242="","",IFERROR(COUNTIFS(Amostragem!$A$2:$A$15003,"&gt;="&amp;C242,Amostragem!$A$2:$A$15003,"&lt;"&amp;D242,Amostragem!$B$2:$B$15003,"Automático",Amostragem!$C$2:$C$15003,"Automático",Amostragem!$D$2:$D$15003,0)/COUNTIFS(Amostragem!$A$2:$A$15003,"&gt;="&amp;C242,Amostragem!$A$2:$A$15003,"&lt;"&amp;D242),0))</f>
        <v/>
      </c>
      <c r="I242" s="23" t="str">
        <f aca="false">IF(A242="","",IFERROR(AVERAGEIFS(Amostragem!$E$2:$E$15003,Amostragem!$A$2:$A$15003,"&gt;="&amp;C242,Amostragem!$A$2:$A$15003,"&lt;"&amp;D242),""))</f>
        <v/>
      </c>
      <c r="J242" s="24" t="str">
        <f aca="false">IF(A242="","",IF(B242="","Inválida: sem resultado MES",IF(E242&lt;Parametros!$B$4,"Inválida: poucos ensaios do módulo",IF(H242&lt;Parametros!$B$5,"Inválida: amostragem em manual ou em falha",IF(OR(I242="",I242&lt;Parametros!$B$6),"Inválida: usina parada ou baixa alimentação","Válida")))))</f>
        <v/>
      </c>
      <c r="K242" s="23" t="str">
        <f aca="false">IF(J242="Válida",F242-B242,"")</f>
        <v/>
      </c>
      <c r="L242" s="26" t="str">
        <f aca="false">IF(J242="Válida",K242/B242,"")</f>
        <v/>
      </c>
      <c r="M242" s="23" t="str">
        <f aca="false">IF(J242="Válida",(F242+B242)/2,"")</f>
        <v/>
      </c>
      <c r="N242" s="24" t="str">
        <f aca="false">IF(K242="","",IF(OR(K242&gt;Resumo!$B$16,K242&lt;Resumo!$B$15),"Sim","Não"))</f>
        <v/>
      </c>
      <c r="O242" s="22" t="e">
        <f aca="false">IF(A242="",NA(),A242)</f>
        <v>#N/A</v>
      </c>
      <c r="P242" s="23" t="e">
        <f aca="false">IF(A242="",NA(),B242)</f>
        <v>#N/A</v>
      </c>
      <c r="Q242" s="23" t="e">
        <f aca="false">IF(F242="",NA(),F242)</f>
        <v>#N/A</v>
      </c>
      <c r="R242" s="23" t="e">
        <f aca="false">IF(K242="",NA(),K242)</f>
        <v>#N/A</v>
      </c>
      <c r="S242" s="23" t="e">
        <f aca="false">IF(M242="",NA(),M242)</f>
        <v>#N/A</v>
      </c>
      <c r="T242" s="23" t="str">
        <f aca="false">IF(J242="Válida",B242,"")</f>
        <v/>
      </c>
      <c r="U242" s="23" t="str">
        <f aca="false">IF(J242="Válida",F242,"")</f>
        <v/>
      </c>
    </row>
    <row r="243" customFormat="false" ht="15" hidden="false" customHeight="false" outlineLevel="0" collapsed="false">
      <c r="A243" s="22" t="str">
        <f aca="false">IF(MES!A243="","",MES!A243)</f>
        <v/>
      </c>
      <c r="B243" s="23" t="str">
        <f aca="false">IF(A243="","",MES!B243)</f>
        <v/>
      </c>
      <c r="C243" s="22" t="str">
        <f aca="false">IF(A243="","",A243+Parametros!$B$3/24)</f>
        <v/>
      </c>
      <c r="D243" s="22" t="str">
        <f aca="false">IF(A243="","",C243+Parametros!$B$2/24)</f>
        <v/>
      </c>
      <c r="E243" s="24" t="str">
        <f aca="false">IF(A243="","",COUNTIFS(Modulo!$A$2:$A$5001,"&gt;="&amp;C243,Modulo!$A$2:$A$5001,"&lt;"&amp;D243,Modulo!$D$2:$D$5001,Parametros!$B$7))</f>
        <v/>
      </c>
      <c r="F243" s="23" t="str">
        <f aca="false">IF(A243="","",IF(E243=0,"",AVERAGEIFS(Modulo!$B$2:$B$5001,Modulo!$A$2:$A$5001,"&gt;="&amp;C243,Modulo!$A$2:$A$5001,"&lt;"&amp;D243,Modulo!$D$2:$D$5001,Parametros!$B$7)))</f>
        <v/>
      </c>
      <c r="G243" s="23" t="str">
        <f aca="false">IF(A243="","",IF(E243=0,"",AVERAGEIFS(Modulo!$C$2:$C$5001,Modulo!$A$2:$A$5001,"&gt;="&amp;C243,Modulo!$A$2:$A$5001,"&lt;"&amp;D243,Modulo!$D$2:$D$5001,Parametros!$B$7)))</f>
        <v/>
      </c>
      <c r="H243" s="25" t="str">
        <f aca="false">IF(A243="","",IFERROR(COUNTIFS(Amostragem!$A$2:$A$15003,"&gt;="&amp;C243,Amostragem!$A$2:$A$15003,"&lt;"&amp;D243,Amostragem!$B$2:$B$15003,"Automático",Amostragem!$C$2:$C$15003,"Automático",Amostragem!$D$2:$D$15003,0)/COUNTIFS(Amostragem!$A$2:$A$15003,"&gt;="&amp;C243,Amostragem!$A$2:$A$15003,"&lt;"&amp;D243),0))</f>
        <v/>
      </c>
      <c r="I243" s="23" t="str">
        <f aca="false">IF(A243="","",IFERROR(AVERAGEIFS(Amostragem!$E$2:$E$15003,Amostragem!$A$2:$A$15003,"&gt;="&amp;C243,Amostragem!$A$2:$A$15003,"&lt;"&amp;D243),""))</f>
        <v/>
      </c>
      <c r="J243" s="24" t="str">
        <f aca="false">IF(A243="","",IF(B243="","Inválida: sem resultado MES",IF(E243&lt;Parametros!$B$4,"Inválida: poucos ensaios do módulo",IF(H243&lt;Parametros!$B$5,"Inválida: amostragem em manual ou em falha",IF(OR(I243="",I243&lt;Parametros!$B$6),"Inválida: usina parada ou baixa alimentação","Válida")))))</f>
        <v/>
      </c>
      <c r="K243" s="23" t="str">
        <f aca="false">IF(J243="Válida",F243-B243,"")</f>
        <v/>
      </c>
      <c r="L243" s="26" t="str">
        <f aca="false">IF(J243="Válida",K243/B243,"")</f>
        <v/>
      </c>
      <c r="M243" s="23" t="str">
        <f aca="false">IF(J243="Válida",(F243+B243)/2,"")</f>
        <v/>
      </c>
      <c r="N243" s="24" t="str">
        <f aca="false">IF(K243="","",IF(OR(K243&gt;Resumo!$B$16,K243&lt;Resumo!$B$15),"Sim","Não"))</f>
        <v/>
      </c>
      <c r="O243" s="22" t="e">
        <f aca="false">IF(A243="",NA(),A243)</f>
        <v>#N/A</v>
      </c>
      <c r="P243" s="23" t="e">
        <f aca="false">IF(A243="",NA(),B243)</f>
        <v>#N/A</v>
      </c>
      <c r="Q243" s="23" t="e">
        <f aca="false">IF(F243="",NA(),F243)</f>
        <v>#N/A</v>
      </c>
      <c r="R243" s="23" t="e">
        <f aca="false">IF(K243="",NA(),K243)</f>
        <v>#N/A</v>
      </c>
      <c r="S243" s="23" t="e">
        <f aca="false">IF(M243="",NA(),M243)</f>
        <v>#N/A</v>
      </c>
      <c r="T243" s="23" t="str">
        <f aca="false">IF(J243="Válida",B243,"")</f>
        <v/>
      </c>
      <c r="U243" s="23" t="str">
        <f aca="false">IF(J243="Válida",F243,"")</f>
        <v/>
      </c>
    </row>
    <row r="244" customFormat="false" ht="15" hidden="false" customHeight="false" outlineLevel="0" collapsed="false">
      <c r="A244" s="22" t="str">
        <f aca="false">IF(MES!A244="","",MES!A244)</f>
        <v/>
      </c>
      <c r="B244" s="23" t="str">
        <f aca="false">IF(A244="","",MES!B244)</f>
        <v/>
      </c>
      <c r="C244" s="22" t="str">
        <f aca="false">IF(A244="","",A244+Parametros!$B$3/24)</f>
        <v/>
      </c>
      <c r="D244" s="22" t="str">
        <f aca="false">IF(A244="","",C244+Parametros!$B$2/24)</f>
        <v/>
      </c>
      <c r="E244" s="24" t="str">
        <f aca="false">IF(A244="","",COUNTIFS(Modulo!$A$2:$A$5001,"&gt;="&amp;C244,Modulo!$A$2:$A$5001,"&lt;"&amp;D244,Modulo!$D$2:$D$5001,Parametros!$B$7))</f>
        <v/>
      </c>
      <c r="F244" s="23" t="str">
        <f aca="false">IF(A244="","",IF(E244=0,"",AVERAGEIFS(Modulo!$B$2:$B$5001,Modulo!$A$2:$A$5001,"&gt;="&amp;C244,Modulo!$A$2:$A$5001,"&lt;"&amp;D244,Modulo!$D$2:$D$5001,Parametros!$B$7)))</f>
        <v/>
      </c>
      <c r="G244" s="23" t="str">
        <f aca="false">IF(A244="","",IF(E244=0,"",AVERAGEIFS(Modulo!$C$2:$C$5001,Modulo!$A$2:$A$5001,"&gt;="&amp;C244,Modulo!$A$2:$A$5001,"&lt;"&amp;D244,Modulo!$D$2:$D$5001,Parametros!$B$7)))</f>
        <v/>
      </c>
      <c r="H244" s="25" t="str">
        <f aca="false">IF(A244="","",IFERROR(COUNTIFS(Amostragem!$A$2:$A$15003,"&gt;="&amp;C244,Amostragem!$A$2:$A$15003,"&lt;"&amp;D244,Amostragem!$B$2:$B$15003,"Automático",Amostragem!$C$2:$C$15003,"Automático",Amostragem!$D$2:$D$15003,0)/COUNTIFS(Amostragem!$A$2:$A$15003,"&gt;="&amp;C244,Amostragem!$A$2:$A$15003,"&lt;"&amp;D244),0))</f>
        <v/>
      </c>
      <c r="I244" s="23" t="str">
        <f aca="false">IF(A244="","",IFERROR(AVERAGEIFS(Amostragem!$E$2:$E$15003,Amostragem!$A$2:$A$15003,"&gt;="&amp;C244,Amostragem!$A$2:$A$15003,"&lt;"&amp;D244),""))</f>
        <v/>
      </c>
      <c r="J244" s="24" t="str">
        <f aca="false">IF(A244="","",IF(B244="","Inválida: sem resultado MES",IF(E244&lt;Parametros!$B$4,"Inválida: poucos ensaios do módulo",IF(H244&lt;Parametros!$B$5,"Inválida: amostragem em manual ou em falha",IF(OR(I244="",I244&lt;Parametros!$B$6),"Inválida: usina parada ou baixa alimentação","Válida")))))</f>
        <v/>
      </c>
      <c r="K244" s="23" t="str">
        <f aca="false">IF(J244="Válida",F244-B244,"")</f>
        <v/>
      </c>
      <c r="L244" s="26" t="str">
        <f aca="false">IF(J244="Válida",K244/B244,"")</f>
        <v/>
      </c>
      <c r="M244" s="23" t="str">
        <f aca="false">IF(J244="Válida",(F244+B244)/2,"")</f>
        <v/>
      </c>
      <c r="N244" s="24" t="str">
        <f aca="false">IF(K244="","",IF(OR(K244&gt;Resumo!$B$16,K244&lt;Resumo!$B$15),"Sim","Não"))</f>
        <v/>
      </c>
      <c r="O244" s="22" t="e">
        <f aca="false">IF(A244="",NA(),A244)</f>
        <v>#N/A</v>
      </c>
      <c r="P244" s="23" t="e">
        <f aca="false">IF(A244="",NA(),B244)</f>
        <v>#N/A</v>
      </c>
      <c r="Q244" s="23" t="e">
        <f aca="false">IF(F244="",NA(),F244)</f>
        <v>#N/A</v>
      </c>
      <c r="R244" s="23" t="e">
        <f aca="false">IF(K244="",NA(),K244)</f>
        <v>#N/A</v>
      </c>
      <c r="S244" s="23" t="e">
        <f aca="false">IF(M244="",NA(),M244)</f>
        <v>#N/A</v>
      </c>
      <c r="T244" s="23" t="str">
        <f aca="false">IF(J244="Válida",B244,"")</f>
        <v/>
      </c>
      <c r="U244" s="23" t="str">
        <f aca="false">IF(J244="Válida",F244,"")</f>
        <v/>
      </c>
    </row>
    <row r="245" customFormat="false" ht="15" hidden="false" customHeight="false" outlineLevel="0" collapsed="false">
      <c r="A245" s="22" t="str">
        <f aca="false">IF(MES!A245="","",MES!A245)</f>
        <v/>
      </c>
      <c r="B245" s="23" t="str">
        <f aca="false">IF(A245="","",MES!B245)</f>
        <v/>
      </c>
      <c r="C245" s="22" t="str">
        <f aca="false">IF(A245="","",A245+Parametros!$B$3/24)</f>
        <v/>
      </c>
      <c r="D245" s="22" t="str">
        <f aca="false">IF(A245="","",C245+Parametros!$B$2/24)</f>
        <v/>
      </c>
      <c r="E245" s="24" t="str">
        <f aca="false">IF(A245="","",COUNTIFS(Modulo!$A$2:$A$5001,"&gt;="&amp;C245,Modulo!$A$2:$A$5001,"&lt;"&amp;D245,Modulo!$D$2:$D$5001,Parametros!$B$7))</f>
        <v/>
      </c>
      <c r="F245" s="23" t="str">
        <f aca="false">IF(A245="","",IF(E245=0,"",AVERAGEIFS(Modulo!$B$2:$B$5001,Modulo!$A$2:$A$5001,"&gt;="&amp;C245,Modulo!$A$2:$A$5001,"&lt;"&amp;D245,Modulo!$D$2:$D$5001,Parametros!$B$7)))</f>
        <v/>
      </c>
      <c r="G245" s="23" t="str">
        <f aca="false">IF(A245="","",IF(E245=0,"",AVERAGEIFS(Modulo!$C$2:$C$5001,Modulo!$A$2:$A$5001,"&gt;="&amp;C245,Modulo!$A$2:$A$5001,"&lt;"&amp;D245,Modulo!$D$2:$D$5001,Parametros!$B$7)))</f>
        <v/>
      </c>
      <c r="H245" s="25" t="str">
        <f aca="false">IF(A245="","",IFERROR(COUNTIFS(Amostragem!$A$2:$A$15003,"&gt;="&amp;C245,Amostragem!$A$2:$A$15003,"&lt;"&amp;D245,Amostragem!$B$2:$B$15003,"Automático",Amostragem!$C$2:$C$15003,"Automático",Amostragem!$D$2:$D$15003,0)/COUNTIFS(Amostragem!$A$2:$A$15003,"&gt;="&amp;C245,Amostragem!$A$2:$A$15003,"&lt;"&amp;D245),0))</f>
        <v/>
      </c>
      <c r="I245" s="23" t="str">
        <f aca="false">IF(A245="","",IFERROR(AVERAGEIFS(Amostragem!$E$2:$E$15003,Amostragem!$A$2:$A$15003,"&gt;="&amp;C245,Amostragem!$A$2:$A$15003,"&lt;"&amp;D245),""))</f>
        <v/>
      </c>
      <c r="J245" s="24" t="str">
        <f aca="false">IF(A245="","",IF(B245="","Inválida: sem resultado MES",IF(E245&lt;Parametros!$B$4,"Inválida: poucos ensaios do módulo",IF(H245&lt;Parametros!$B$5,"Inválida: amostragem em manual ou em falha",IF(OR(I245="",I245&lt;Parametros!$B$6),"Inválida: usina parada ou baixa alimentação","Válida")))))</f>
        <v/>
      </c>
      <c r="K245" s="23" t="str">
        <f aca="false">IF(J245="Válida",F245-B245,"")</f>
        <v/>
      </c>
      <c r="L245" s="26" t="str">
        <f aca="false">IF(J245="Válida",K245/B245,"")</f>
        <v/>
      </c>
      <c r="M245" s="23" t="str">
        <f aca="false">IF(J245="Válida",(F245+B245)/2,"")</f>
        <v/>
      </c>
      <c r="N245" s="24" t="str">
        <f aca="false">IF(K245="","",IF(OR(K245&gt;Resumo!$B$16,K245&lt;Resumo!$B$15),"Sim","Não"))</f>
        <v/>
      </c>
      <c r="O245" s="22" t="e">
        <f aca="false">IF(A245="",NA(),A245)</f>
        <v>#N/A</v>
      </c>
      <c r="P245" s="23" t="e">
        <f aca="false">IF(A245="",NA(),B245)</f>
        <v>#N/A</v>
      </c>
      <c r="Q245" s="23" t="e">
        <f aca="false">IF(F245="",NA(),F245)</f>
        <v>#N/A</v>
      </c>
      <c r="R245" s="23" t="e">
        <f aca="false">IF(K245="",NA(),K245)</f>
        <v>#N/A</v>
      </c>
      <c r="S245" s="23" t="e">
        <f aca="false">IF(M245="",NA(),M245)</f>
        <v>#N/A</v>
      </c>
      <c r="T245" s="23" t="str">
        <f aca="false">IF(J245="Válida",B245,"")</f>
        <v/>
      </c>
      <c r="U245" s="23" t="str">
        <f aca="false">IF(J245="Válida",F245,"")</f>
        <v/>
      </c>
    </row>
    <row r="246" customFormat="false" ht="15" hidden="false" customHeight="false" outlineLevel="0" collapsed="false">
      <c r="A246" s="22" t="str">
        <f aca="false">IF(MES!A246="","",MES!A246)</f>
        <v/>
      </c>
      <c r="B246" s="23" t="str">
        <f aca="false">IF(A246="","",MES!B246)</f>
        <v/>
      </c>
      <c r="C246" s="22" t="str">
        <f aca="false">IF(A246="","",A246+Parametros!$B$3/24)</f>
        <v/>
      </c>
      <c r="D246" s="22" t="str">
        <f aca="false">IF(A246="","",C246+Parametros!$B$2/24)</f>
        <v/>
      </c>
      <c r="E246" s="24" t="str">
        <f aca="false">IF(A246="","",COUNTIFS(Modulo!$A$2:$A$5001,"&gt;="&amp;C246,Modulo!$A$2:$A$5001,"&lt;"&amp;D246,Modulo!$D$2:$D$5001,Parametros!$B$7))</f>
        <v/>
      </c>
      <c r="F246" s="23" t="str">
        <f aca="false">IF(A246="","",IF(E246=0,"",AVERAGEIFS(Modulo!$B$2:$B$5001,Modulo!$A$2:$A$5001,"&gt;="&amp;C246,Modulo!$A$2:$A$5001,"&lt;"&amp;D246,Modulo!$D$2:$D$5001,Parametros!$B$7)))</f>
        <v/>
      </c>
      <c r="G246" s="23" t="str">
        <f aca="false">IF(A246="","",IF(E246=0,"",AVERAGEIFS(Modulo!$C$2:$C$5001,Modulo!$A$2:$A$5001,"&gt;="&amp;C246,Modulo!$A$2:$A$5001,"&lt;"&amp;D246,Modulo!$D$2:$D$5001,Parametros!$B$7)))</f>
        <v/>
      </c>
      <c r="H246" s="25" t="str">
        <f aca="false">IF(A246="","",IFERROR(COUNTIFS(Amostragem!$A$2:$A$15003,"&gt;="&amp;C246,Amostragem!$A$2:$A$15003,"&lt;"&amp;D246,Amostragem!$B$2:$B$15003,"Automático",Amostragem!$C$2:$C$15003,"Automático",Amostragem!$D$2:$D$15003,0)/COUNTIFS(Amostragem!$A$2:$A$15003,"&gt;="&amp;C246,Amostragem!$A$2:$A$15003,"&lt;"&amp;D246),0))</f>
        <v/>
      </c>
      <c r="I246" s="23" t="str">
        <f aca="false">IF(A246="","",IFERROR(AVERAGEIFS(Amostragem!$E$2:$E$15003,Amostragem!$A$2:$A$15003,"&gt;="&amp;C246,Amostragem!$A$2:$A$15003,"&lt;"&amp;D246),""))</f>
        <v/>
      </c>
      <c r="J246" s="24" t="str">
        <f aca="false">IF(A246="","",IF(B246="","Inválida: sem resultado MES",IF(E246&lt;Parametros!$B$4,"Inválida: poucos ensaios do módulo",IF(H246&lt;Parametros!$B$5,"Inválida: amostragem em manual ou em falha",IF(OR(I246="",I246&lt;Parametros!$B$6),"Inválida: usina parada ou baixa alimentação","Válida")))))</f>
        <v/>
      </c>
      <c r="K246" s="23" t="str">
        <f aca="false">IF(J246="Válida",F246-B246,"")</f>
        <v/>
      </c>
      <c r="L246" s="26" t="str">
        <f aca="false">IF(J246="Válida",K246/B246,"")</f>
        <v/>
      </c>
      <c r="M246" s="23" t="str">
        <f aca="false">IF(J246="Válida",(F246+B246)/2,"")</f>
        <v/>
      </c>
      <c r="N246" s="24" t="str">
        <f aca="false">IF(K246="","",IF(OR(K246&gt;Resumo!$B$16,K246&lt;Resumo!$B$15),"Sim","Não"))</f>
        <v/>
      </c>
      <c r="O246" s="22" t="e">
        <f aca="false">IF(A246="",NA(),A246)</f>
        <v>#N/A</v>
      </c>
      <c r="P246" s="23" t="e">
        <f aca="false">IF(A246="",NA(),B246)</f>
        <v>#N/A</v>
      </c>
      <c r="Q246" s="23" t="e">
        <f aca="false">IF(F246="",NA(),F246)</f>
        <v>#N/A</v>
      </c>
      <c r="R246" s="23" t="e">
        <f aca="false">IF(K246="",NA(),K246)</f>
        <v>#N/A</v>
      </c>
      <c r="S246" s="23" t="e">
        <f aca="false">IF(M246="",NA(),M246)</f>
        <v>#N/A</v>
      </c>
      <c r="T246" s="23" t="str">
        <f aca="false">IF(J246="Válida",B246,"")</f>
        <v/>
      </c>
      <c r="U246" s="23" t="str">
        <f aca="false">IF(J246="Válida",F246,"")</f>
        <v/>
      </c>
    </row>
    <row r="247" customFormat="false" ht="15" hidden="false" customHeight="false" outlineLevel="0" collapsed="false">
      <c r="A247" s="22" t="str">
        <f aca="false">IF(MES!A247="","",MES!A247)</f>
        <v/>
      </c>
      <c r="B247" s="23" t="str">
        <f aca="false">IF(A247="","",MES!B247)</f>
        <v/>
      </c>
      <c r="C247" s="22" t="str">
        <f aca="false">IF(A247="","",A247+Parametros!$B$3/24)</f>
        <v/>
      </c>
      <c r="D247" s="22" t="str">
        <f aca="false">IF(A247="","",C247+Parametros!$B$2/24)</f>
        <v/>
      </c>
      <c r="E247" s="24" t="str">
        <f aca="false">IF(A247="","",COUNTIFS(Modulo!$A$2:$A$5001,"&gt;="&amp;C247,Modulo!$A$2:$A$5001,"&lt;"&amp;D247,Modulo!$D$2:$D$5001,Parametros!$B$7))</f>
        <v/>
      </c>
      <c r="F247" s="23" t="str">
        <f aca="false">IF(A247="","",IF(E247=0,"",AVERAGEIFS(Modulo!$B$2:$B$5001,Modulo!$A$2:$A$5001,"&gt;="&amp;C247,Modulo!$A$2:$A$5001,"&lt;"&amp;D247,Modulo!$D$2:$D$5001,Parametros!$B$7)))</f>
        <v/>
      </c>
      <c r="G247" s="23" t="str">
        <f aca="false">IF(A247="","",IF(E247=0,"",AVERAGEIFS(Modulo!$C$2:$C$5001,Modulo!$A$2:$A$5001,"&gt;="&amp;C247,Modulo!$A$2:$A$5001,"&lt;"&amp;D247,Modulo!$D$2:$D$5001,Parametros!$B$7)))</f>
        <v/>
      </c>
      <c r="H247" s="25" t="str">
        <f aca="false">IF(A247="","",IFERROR(COUNTIFS(Amostragem!$A$2:$A$15003,"&gt;="&amp;C247,Amostragem!$A$2:$A$15003,"&lt;"&amp;D247,Amostragem!$B$2:$B$15003,"Automático",Amostragem!$C$2:$C$15003,"Automático",Amostragem!$D$2:$D$15003,0)/COUNTIFS(Amostragem!$A$2:$A$15003,"&gt;="&amp;C247,Amostragem!$A$2:$A$15003,"&lt;"&amp;D247),0))</f>
        <v/>
      </c>
      <c r="I247" s="23" t="str">
        <f aca="false">IF(A247="","",IFERROR(AVERAGEIFS(Amostragem!$E$2:$E$15003,Amostragem!$A$2:$A$15003,"&gt;="&amp;C247,Amostragem!$A$2:$A$15003,"&lt;"&amp;D247),""))</f>
        <v/>
      </c>
      <c r="J247" s="24" t="str">
        <f aca="false">IF(A247="","",IF(B247="","Inválida: sem resultado MES",IF(E247&lt;Parametros!$B$4,"Inválida: poucos ensaios do módulo",IF(H247&lt;Parametros!$B$5,"Inválida: amostragem em manual ou em falha",IF(OR(I247="",I247&lt;Parametros!$B$6),"Inválida: usina parada ou baixa alimentação","Válida")))))</f>
        <v/>
      </c>
      <c r="K247" s="23" t="str">
        <f aca="false">IF(J247="Válida",F247-B247,"")</f>
        <v/>
      </c>
      <c r="L247" s="26" t="str">
        <f aca="false">IF(J247="Válida",K247/B247,"")</f>
        <v/>
      </c>
      <c r="M247" s="23" t="str">
        <f aca="false">IF(J247="Válida",(F247+B247)/2,"")</f>
        <v/>
      </c>
      <c r="N247" s="24" t="str">
        <f aca="false">IF(K247="","",IF(OR(K247&gt;Resumo!$B$16,K247&lt;Resumo!$B$15),"Sim","Não"))</f>
        <v/>
      </c>
      <c r="O247" s="22" t="e">
        <f aca="false">IF(A247="",NA(),A247)</f>
        <v>#N/A</v>
      </c>
      <c r="P247" s="23" t="e">
        <f aca="false">IF(A247="",NA(),B247)</f>
        <v>#N/A</v>
      </c>
      <c r="Q247" s="23" t="e">
        <f aca="false">IF(F247="",NA(),F247)</f>
        <v>#N/A</v>
      </c>
      <c r="R247" s="23" t="e">
        <f aca="false">IF(K247="",NA(),K247)</f>
        <v>#N/A</v>
      </c>
      <c r="S247" s="23" t="e">
        <f aca="false">IF(M247="",NA(),M247)</f>
        <v>#N/A</v>
      </c>
      <c r="T247" s="23" t="str">
        <f aca="false">IF(J247="Válida",B247,"")</f>
        <v/>
      </c>
      <c r="U247" s="23" t="str">
        <f aca="false">IF(J247="Válida",F247,"")</f>
        <v/>
      </c>
    </row>
    <row r="248" customFormat="false" ht="15" hidden="false" customHeight="false" outlineLevel="0" collapsed="false">
      <c r="A248" s="22" t="str">
        <f aca="false">IF(MES!A248="","",MES!A248)</f>
        <v/>
      </c>
      <c r="B248" s="23" t="str">
        <f aca="false">IF(A248="","",MES!B248)</f>
        <v/>
      </c>
      <c r="C248" s="22" t="str">
        <f aca="false">IF(A248="","",A248+Parametros!$B$3/24)</f>
        <v/>
      </c>
      <c r="D248" s="22" t="str">
        <f aca="false">IF(A248="","",C248+Parametros!$B$2/24)</f>
        <v/>
      </c>
      <c r="E248" s="24" t="str">
        <f aca="false">IF(A248="","",COUNTIFS(Modulo!$A$2:$A$5001,"&gt;="&amp;C248,Modulo!$A$2:$A$5001,"&lt;"&amp;D248,Modulo!$D$2:$D$5001,Parametros!$B$7))</f>
        <v/>
      </c>
      <c r="F248" s="23" t="str">
        <f aca="false">IF(A248="","",IF(E248=0,"",AVERAGEIFS(Modulo!$B$2:$B$5001,Modulo!$A$2:$A$5001,"&gt;="&amp;C248,Modulo!$A$2:$A$5001,"&lt;"&amp;D248,Modulo!$D$2:$D$5001,Parametros!$B$7)))</f>
        <v/>
      </c>
      <c r="G248" s="23" t="str">
        <f aca="false">IF(A248="","",IF(E248=0,"",AVERAGEIFS(Modulo!$C$2:$C$5001,Modulo!$A$2:$A$5001,"&gt;="&amp;C248,Modulo!$A$2:$A$5001,"&lt;"&amp;D248,Modulo!$D$2:$D$5001,Parametros!$B$7)))</f>
        <v/>
      </c>
      <c r="H248" s="25" t="str">
        <f aca="false">IF(A248="","",IFERROR(COUNTIFS(Amostragem!$A$2:$A$15003,"&gt;="&amp;C248,Amostragem!$A$2:$A$15003,"&lt;"&amp;D248,Amostragem!$B$2:$B$15003,"Automático",Amostragem!$C$2:$C$15003,"Automático",Amostragem!$D$2:$D$15003,0)/COUNTIFS(Amostragem!$A$2:$A$15003,"&gt;="&amp;C248,Amostragem!$A$2:$A$15003,"&lt;"&amp;D248),0))</f>
        <v/>
      </c>
      <c r="I248" s="23" t="str">
        <f aca="false">IF(A248="","",IFERROR(AVERAGEIFS(Amostragem!$E$2:$E$15003,Amostragem!$A$2:$A$15003,"&gt;="&amp;C248,Amostragem!$A$2:$A$15003,"&lt;"&amp;D248),""))</f>
        <v/>
      </c>
      <c r="J248" s="24" t="str">
        <f aca="false">IF(A248="","",IF(B248="","Inválida: sem resultado MES",IF(E248&lt;Parametros!$B$4,"Inválida: poucos ensaios do módulo",IF(H248&lt;Parametros!$B$5,"Inválida: amostragem em manual ou em falha",IF(OR(I248="",I248&lt;Parametros!$B$6),"Inválida: usina parada ou baixa alimentação","Válida")))))</f>
        <v/>
      </c>
      <c r="K248" s="23" t="str">
        <f aca="false">IF(J248="Válida",F248-B248,"")</f>
        <v/>
      </c>
      <c r="L248" s="26" t="str">
        <f aca="false">IF(J248="Válida",K248/B248,"")</f>
        <v/>
      </c>
      <c r="M248" s="23" t="str">
        <f aca="false">IF(J248="Válida",(F248+B248)/2,"")</f>
        <v/>
      </c>
      <c r="N248" s="24" t="str">
        <f aca="false">IF(K248="","",IF(OR(K248&gt;Resumo!$B$16,K248&lt;Resumo!$B$15),"Sim","Não"))</f>
        <v/>
      </c>
      <c r="O248" s="22" t="e">
        <f aca="false">IF(A248="",NA(),A248)</f>
        <v>#N/A</v>
      </c>
      <c r="P248" s="23" t="e">
        <f aca="false">IF(A248="",NA(),B248)</f>
        <v>#N/A</v>
      </c>
      <c r="Q248" s="23" t="e">
        <f aca="false">IF(F248="",NA(),F248)</f>
        <v>#N/A</v>
      </c>
      <c r="R248" s="23" t="e">
        <f aca="false">IF(K248="",NA(),K248)</f>
        <v>#N/A</v>
      </c>
      <c r="S248" s="23" t="e">
        <f aca="false">IF(M248="",NA(),M248)</f>
        <v>#N/A</v>
      </c>
      <c r="T248" s="23" t="str">
        <f aca="false">IF(J248="Válida",B248,"")</f>
        <v/>
      </c>
      <c r="U248" s="23" t="str">
        <f aca="false">IF(J248="Válida",F248,"")</f>
        <v/>
      </c>
    </row>
    <row r="249" customFormat="false" ht="15" hidden="false" customHeight="false" outlineLevel="0" collapsed="false">
      <c r="A249" s="22" t="str">
        <f aca="false">IF(MES!A249="","",MES!A249)</f>
        <v/>
      </c>
      <c r="B249" s="23" t="str">
        <f aca="false">IF(A249="","",MES!B249)</f>
        <v/>
      </c>
      <c r="C249" s="22" t="str">
        <f aca="false">IF(A249="","",A249+Parametros!$B$3/24)</f>
        <v/>
      </c>
      <c r="D249" s="22" t="str">
        <f aca="false">IF(A249="","",C249+Parametros!$B$2/24)</f>
        <v/>
      </c>
      <c r="E249" s="24" t="str">
        <f aca="false">IF(A249="","",COUNTIFS(Modulo!$A$2:$A$5001,"&gt;="&amp;C249,Modulo!$A$2:$A$5001,"&lt;"&amp;D249,Modulo!$D$2:$D$5001,Parametros!$B$7))</f>
        <v/>
      </c>
      <c r="F249" s="23" t="str">
        <f aca="false">IF(A249="","",IF(E249=0,"",AVERAGEIFS(Modulo!$B$2:$B$5001,Modulo!$A$2:$A$5001,"&gt;="&amp;C249,Modulo!$A$2:$A$5001,"&lt;"&amp;D249,Modulo!$D$2:$D$5001,Parametros!$B$7)))</f>
        <v/>
      </c>
      <c r="G249" s="23" t="str">
        <f aca="false">IF(A249="","",IF(E249=0,"",AVERAGEIFS(Modulo!$C$2:$C$5001,Modulo!$A$2:$A$5001,"&gt;="&amp;C249,Modulo!$A$2:$A$5001,"&lt;"&amp;D249,Modulo!$D$2:$D$5001,Parametros!$B$7)))</f>
        <v/>
      </c>
      <c r="H249" s="25" t="str">
        <f aca="false">IF(A249="","",IFERROR(COUNTIFS(Amostragem!$A$2:$A$15003,"&gt;="&amp;C249,Amostragem!$A$2:$A$15003,"&lt;"&amp;D249,Amostragem!$B$2:$B$15003,"Automático",Amostragem!$C$2:$C$15003,"Automático",Amostragem!$D$2:$D$15003,0)/COUNTIFS(Amostragem!$A$2:$A$15003,"&gt;="&amp;C249,Amostragem!$A$2:$A$15003,"&lt;"&amp;D249),0))</f>
        <v/>
      </c>
      <c r="I249" s="23" t="str">
        <f aca="false">IF(A249="","",IFERROR(AVERAGEIFS(Amostragem!$E$2:$E$15003,Amostragem!$A$2:$A$15003,"&gt;="&amp;C249,Amostragem!$A$2:$A$15003,"&lt;"&amp;D249),""))</f>
        <v/>
      </c>
      <c r="J249" s="24" t="str">
        <f aca="false">IF(A249="","",IF(B249="","Inválida: sem resultado MES",IF(E249&lt;Parametros!$B$4,"Inválida: poucos ensaios do módulo",IF(H249&lt;Parametros!$B$5,"Inválida: amostragem em manual ou em falha",IF(OR(I249="",I249&lt;Parametros!$B$6),"Inválida: usina parada ou baixa alimentação","Válida")))))</f>
        <v/>
      </c>
      <c r="K249" s="23" t="str">
        <f aca="false">IF(J249="Válida",F249-B249,"")</f>
        <v/>
      </c>
      <c r="L249" s="26" t="str">
        <f aca="false">IF(J249="Válida",K249/B249,"")</f>
        <v/>
      </c>
      <c r="M249" s="23" t="str">
        <f aca="false">IF(J249="Válida",(F249+B249)/2,"")</f>
        <v/>
      </c>
      <c r="N249" s="24" t="str">
        <f aca="false">IF(K249="","",IF(OR(K249&gt;Resumo!$B$16,K249&lt;Resumo!$B$15),"Sim","Não"))</f>
        <v/>
      </c>
      <c r="O249" s="22" t="e">
        <f aca="false">IF(A249="",NA(),A249)</f>
        <v>#N/A</v>
      </c>
      <c r="P249" s="23" t="e">
        <f aca="false">IF(A249="",NA(),B249)</f>
        <v>#N/A</v>
      </c>
      <c r="Q249" s="23" t="e">
        <f aca="false">IF(F249="",NA(),F249)</f>
        <v>#N/A</v>
      </c>
      <c r="R249" s="23" t="e">
        <f aca="false">IF(K249="",NA(),K249)</f>
        <v>#N/A</v>
      </c>
      <c r="S249" s="23" t="e">
        <f aca="false">IF(M249="",NA(),M249)</f>
        <v>#N/A</v>
      </c>
      <c r="T249" s="23" t="str">
        <f aca="false">IF(J249="Válida",B249,"")</f>
        <v/>
      </c>
      <c r="U249" s="23" t="str">
        <f aca="false">IF(J249="Válida",F249,"")</f>
        <v/>
      </c>
    </row>
    <row r="250" customFormat="false" ht="15" hidden="false" customHeight="false" outlineLevel="0" collapsed="false">
      <c r="A250" s="22" t="str">
        <f aca="false">IF(MES!A250="","",MES!A250)</f>
        <v/>
      </c>
      <c r="B250" s="23" t="str">
        <f aca="false">IF(A250="","",MES!B250)</f>
        <v/>
      </c>
      <c r="C250" s="22" t="str">
        <f aca="false">IF(A250="","",A250+Parametros!$B$3/24)</f>
        <v/>
      </c>
      <c r="D250" s="22" t="str">
        <f aca="false">IF(A250="","",C250+Parametros!$B$2/24)</f>
        <v/>
      </c>
      <c r="E250" s="24" t="str">
        <f aca="false">IF(A250="","",COUNTIFS(Modulo!$A$2:$A$5001,"&gt;="&amp;C250,Modulo!$A$2:$A$5001,"&lt;"&amp;D250,Modulo!$D$2:$D$5001,Parametros!$B$7))</f>
        <v/>
      </c>
      <c r="F250" s="23" t="str">
        <f aca="false">IF(A250="","",IF(E250=0,"",AVERAGEIFS(Modulo!$B$2:$B$5001,Modulo!$A$2:$A$5001,"&gt;="&amp;C250,Modulo!$A$2:$A$5001,"&lt;"&amp;D250,Modulo!$D$2:$D$5001,Parametros!$B$7)))</f>
        <v/>
      </c>
      <c r="G250" s="23" t="str">
        <f aca="false">IF(A250="","",IF(E250=0,"",AVERAGEIFS(Modulo!$C$2:$C$5001,Modulo!$A$2:$A$5001,"&gt;="&amp;C250,Modulo!$A$2:$A$5001,"&lt;"&amp;D250,Modulo!$D$2:$D$5001,Parametros!$B$7)))</f>
        <v/>
      </c>
      <c r="H250" s="25" t="str">
        <f aca="false">IF(A250="","",IFERROR(COUNTIFS(Amostragem!$A$2:$A$15003,"&gt;="&amp;C250,Amostragem!$A$2:$A$15003,"&lt;"&amp;D250,Amostragem!$B$2:$B$15003,"Automático",Amostragem!$C$2:$C$15003,"Automático",Amostragem!$D$2:$D$15003,0)/COUNTIFS(Amostragem!$A$2:$A$15003,"&gt;="&amp;C250,Amostragem!$A$2:$A$15003,"&lt;"&amp;D250),0))</f>
        <v/>
      </c>
      <c r="I250" s="23" t="str">
        <f aca="false">IF(A250="","",IFERROR(AVERAGEIFS(Amostragem!$E$2:$E$15003,Amostragem!$A$2:$A$15003,"&gt;="&amp;C250,Amostragem!$A$2:$A$15003,"&lt;"&amp;D250),""))</f>
        <v/>
      </c>
      <c r="J250" s="24" t="str">
        <f aca="false">IF(A250="","",IF(B250="","Inválida: sem resultado MES",IF(E250&lt;Parametros!$B$4,"Inválida: poucos ensaios do módulo",IF(H250&lt;Parametros!$B$5,"Inválida: amostragem em manual ou em falha",IF(OR(I250="",I250&lt;Parametros!$B$6),"Inválida: usina parada ou baixa alimentação","Válida")))))</f>
        <v/>
      </c>
      <c r="K250" s="23" t="str">
        <f aca="false">IF(J250="Válida",F250-B250,"")</f>
        <v/>
      </c>
      <c r="L250" s="26" t="str">
        <f aca="false">IF(J250="Válida",K250/B250,"")</f>
        <v/>
      </c>
      <c r="M250" s="23" t="str">
        <f aca="false">IF(J250="Válida",(F250+B250)/2,"")</f>
        <v/>
      </c>
      <c r="N250" s="24" t="str">
        <f aca="false">IF(K250="","",IF(OR(K250&gt;Resumo!$B$16,K250&lt;Resumo!$B$15),"Sim","Não"))</f>
        <v/>
      </c>
      <c r="O250" s="22" t="e">
        <f aca="false">IF(A250="",NA(),A250)</f>
        <v>#N/A</v>
      </c>
      <c r="P250" s="23" t="e">
        <f aca="false">IF(A250="",NA(),B250)</f>
        <v>#N/A</v>
      </c>
      <c r="Q250" s="23" t="e">
        <f aca="false">IF(F250="",NA(),F250)</f>
        <v>#N/A</v>
      </c>
      <c r="R250" s="23" t="e">
        <f aca="false">IF(K250="",NA(),K250)</f>
        <v>#N/A</v>
      </c>
      <c r="S250" s="23" t="e">
        <f aca="false">IF(M250="",NA(),M250)</f>
        <v>#N/A</v>
      </c>
      <c r="T250" s="23" t="str">
        <f aca="false">IF(J250="Válida",B250,"")</f>
        <v/>
      </c>
      <c r="U250" s="23" t="str">
        <f aca="false">IF(J250="Válida",F250,"")</f>
        <v/>
      </c>
    </row>
    <row r="251" customFormat="false" ht="15" hidden="false" customHeight="false" outlineLevel="0" collapsed="false">
      <c r="A251" s="22" t="str">
        <f aca="false">IF(MES!A251="","",MES!A251)</f>
        <v/>
      </c>
      <c r="B251" s="23" t="str">
        <f aca="false">IF(A251="","",MES!B251)</f>
        <v/>
      </c>
      <c r="C251" s="22" t="str">
        <f aca="false">IF(A251="","",A251+Parametros!$B$3/24)</f>
        <v/>
      </c>
      <c r="D251" s="22" t="str">
        <f aca="false">IF(A251="","",C251+Parametros!$B$2/24)</f>
        <v/>
      </c>
      <c r="E251" s="24" t="str">
        <f aca="false">IF(A251="","",COUNTIFS(Modulo!$A$2:$A$5001,"&gt;="&amp;C251,Modulo!$A$2:$A$5001,"&lt;"&amp;D251,Modulo!$D$2:$D$5001,Parametros!$B$7))</f>
        <v/>
      </c>
      <c r="F251" s="23" t="str">
        <f aca="false">IF(A251="","",IF(E251=0,"",AVERAGEIFS(Modulo!$B$2:$B$5001,Modulo!$A$2:$A$5001,"&gt;="&amp;C251,Modulo!$A$2:$A$5001,"&lt;"&amp;D251,Modulo!$D$2:$D$5001,Parametros!$B$7)))</f>
        <v/>
      </c>
      <c r="G251" s="23" t="str">
        <f aca="false">IF(A251="","",IF(E251=0,"",AVERAGEIFS(Modulo!$C$2:$C$5001,Modulo!$A$2:$A$5001,"&gt;="&amp;C251,Modulo!$A$2:$A$5001,"&lt;"&amp;D251,Modulo!$D$2:$D$5001,Parametros!$B$7)))</f>
        <v/>
      </c>
      <c r="H251" s="25" t="str">
        <f aca="false">IF(A251="","",IFERROR(COUNTIFS(Amostragem!$A$2:$A$15003,"&gt;="&amp;C251,Amostragem!$A$2:$A$15003,"&lt;"&amp;D251,Amostragem!$B$2:$B$15003,"Automático",Amostragem!$C$2:$C$15003,"Automático",Amostragem!$D$2:$D$15003,0)/COUNTIFS(Amostragem!$A$2:$A$15003,"&gt;="&amp;C251,Amostragem!$A$2:$A$15003,"&lt;"&amp;D251),0))</f>
        <v/>
      </c>
      <c r="I251" s="23" t="str">
        <f aca="false">IF(A251="","",IFERROR(AVERAGEIFS(Amostragem!$E$2:$E$15003,Amostragem!$A$2:$A$15003,"&gt;="&amp;C251,Amostragem!$A$2:$A$15003,"&lt;"&amp;D251),""))</f>
        <v/>
      </c>
      <c r="J251" s="24" t="str">
        <f aca="false">IF(A251="","",IF(B251="","Inválida: sem resultado MES",IF(E251&lt;Parametros!$B$4,"Inválida: poucos ensaios do módulo",IF(H251&lt;Parametros!$B$5,"Inválida: amostragem em manual ou em falha",IF(OR(I251="",I251&lt;Parametros!$B$6),"Inválida: usina parada ou baixa alimentação","Válida")))))</f>
        <v/>
      </c>
      <c r="K251" s="23" t="str">
        <f aca="false">IF(J251="Válida",F251-B251,"")</f>
        <v/>
      </c>
      <c r="L251" s="26" t="str">
        <f aca="false">IF(J251="Válida",K251/B251,"")</f>
        <v/>
      </c>
      <c r="M251" s="23" t="str">
        <f aca="false">IF(J251="Válida",(F251+B251)/2,"")</f>
        <v/>
      </c>
      <c r="N251" s="24" t="str">
        <f aca="false">IF(K251="","",IF(OR(K251&gt;Resumo!$B$16,K251&lt;Resumo!$B$15),"Sim","Não"))</f>
        <v/>
      </c>
      <c r="O251" s="22" t="e">
        <f aca="false">IF(A251="",NA(),A251)</f>
        <v>#N/A</v>
      </c>
      <c r="P251" s="23" t="e">
        <f aca="false">IF(A251="",NA(),B251)</f>
        <v>#N/A</v>
      </c>
      <c r="Q251" s="23" t="e">
        <f aca="false">IF(F251="",NA(),F251)</f>
        <v>#N/A</v>
      </c>
      <c r="R251" s="23" t="e">
        <f aca="false">IF(K251="",NA(),K251)</f>
        <v>#N/A</v>
      </c>
      <c r="S251" s="23" t="e">
        <f aca="false">IF(M251="",NA(),M251)</f>
        <v>#N/A</v>
      </c>
      <c r="T251" s="23" t="str">
        <f aca="false">IF(J251="Válida",B251,"")</f>
        <v/>
      </c>
      <c r="U251" s="23" t="str">
        <f aca="false">IF(J251="Válida",F251,"")</f>
        <v/>
      </c>
    </row>
    <row r="252" customFormat="false" ht="15" hidden="false" customHeight="false" outlineLevel="0" collapsed="false">
      <c r="A252" s="22" t="str">
        <f aca="false">IF(MES!A252="","",MES!A252)</f>
        <v/>
      </c>
      <c r="B252" s="23" t="str">
        <f aca="false">IF(A252="","",MES!B252)</f>
        <v/>
      </c>
      <c r="C252" s="22" t="str">
        <f aca="false">IF(A252="","",A252+Parametros!$B$3/24)</f>
        <v/>
      </c>
      <c r="D252" s="22" t="str">
        <f aca="false">IF(A252="","",C252+Parametros!$B$2/24)</f>
        <v/>
      </c>
      <c r="E252" s="24" t="str">
        <f aca="false">IF(A252="","",COUNTIFS(Modulo!$A$2:$A$5001,"&gt;="&amp;C252,Modulo!$A$2:$A$5001,"&lt;"&amp;D252,Modulo!$D$2:$D$5001,Parametros!$B$7))</f>
        <v/>
      </c>
      <c r="F252" s="23" t="str">
        <f aca="false">IF(A252="","",IF(E252=0,"",AVERAGEIFS(Modulo!$B$2:$B$5001,Modulo!$A$2:$A$5001,"&gt;="&amp;C252,Modulo!$A$2:$A$5001,"&lt;"&amp;D252,Modulo!$D$2:$D$5001,Parametros!$B$7)))</f>
        <v/>
      </c>
      <c r="G252" s="23" t="str">
        <f aca="false">IF(A252="","",IF(E252=0,"",AVERAGEIFS(Modulo!$C$2:$C$5001,Modulo!$A$2:$A$5001,"&gt;="&amp;C252,Modulo!$A$2:$A$5001,"&lt;"&amp;D252,Modulo!$D$2:$D$5001,Parametros!$B$7)))</f>
        <v/>
      </c>
      <c r="H252" s="25" t="str">
        <f aca="false">IF(A252="","",IFERROR(COUNTIFS(Amostragem!$A$2:$A$15003,"&gt;="&amp;C252,Amostragem!$A$2:$A$15003,"&lt;"&amp;D252,Amostragem!$B$2:$B$15003,"Automático",Amostragem!$C$2:$C$15003,"Automático",Amostragem!$D$2:$D$15003,0)/COUNTIFS(Amostragem!$A$2:$A$15003,"&gt;="&amp;C252,Amostragem!$A$2:$A$15003,"&lt;"&amp;D252),0))</f>
        <v/>
      </c>
      <c r="I252" s="23" t="str">
        <f aca="false">IF(A252="","",IFERROR(AVERAGEIFS(Amostragem!$E$2:$E$15003,Amostragem!$A$2:$A$15003,"&gt;="&amp;C252,Amostragem!$A$2:$A$15003,"&lt;"&amp;D252),""))</f>
        <v/>
      </c>
      <c r="J252" s="24" t="str">
        <f aca="false">IF(A252="","",IF(B252="","Inválida: sem resultado MES",IF(E252&lt;Parametros!$B$4,"Inválida: poucos ensaios do módulo",IF(H252&lt;Parametros!$B$5,"Inválida: amostragem em manual ou em falha",IF(OR(I252="",I252&lt;Parametros!$B$6),"Inválida: usina parada ou baixa alimentação","Válida")))))</f>
        <v/>
      </c>
      <c r="K252" s="23" t="str">
        <f aca="false">IF(J252="Válida",F252-B252,"")</f>
        <v/>
      </c>
      <c r="L252" s="26" t="str">
        <f aca="false">IF(J252="Válida",K252/B252,"")</f>
        <v/>
      </c>
      <c r="M252" s="23" t="str">
        <f aca="false">IF(J252="Válida",(F252+B252)/2,"")</f>
        <v/>
      </c>
      <c r="N252" s="24" t="str">
        <f aca="false">IF(K252="","",IF(OR(K252&gt;Resumo!$B$16,K252&lt;Resumo!$B$15),"Sim","Não"))</f>
        <v/>
      </c>
      <c r="O252" s="22" t="e">
        <f aca="false">IF(A252="",NA(),A252)</f>
        <v>#N/A</v>
      </c>
      <c r="P252" s="23" t="e">
        <f aca="false">IF(A252="",NA(),B252)</f>
        <v>#N/A</v>
      </c>
      <c r="Q252" s="23" t="e">
        <f aca="false">IF(F252="",NA(),F252)</f>
        <v>#N/A</v>
      </c>
      <c r="R252" s="23" t="e">
        <f aca="false">IF(K252="",NA(),K252)</f>
        <v>#N/A</v>
      </c>
      <c r="S252" s="23" t="e">
        <f aca="false">IF(M252="",NA(),M252)</f>
        <v>#N/A</v>
      </c>
      <c r="T252" s="23" t="str">
        <f aca="false">IF(J252="Válida",B252,"")</f>
        <v/>
      </c>
      <c r="U252" s="23" t="str">
        <f aca="false">IF(J252="Válida",F252,"")</f>
        <v/>
      </c>
    </row>
    <row r="253" customFormat="false" ht="15" hidden="false" customHeight="false" outlineLevel="0" collapsed="false">
      <c r="A253" s="22" t="str">
        <f aca="false">IF(MES!A253="","",MES!A253)</f>
        <v/>
      </c>
      <c r="B253" s="23" t="str">
        <f aca="false">IF(A253="","",MES!B253)</f>
        <v/>
      </c>
      <c r="C253" s="22" t="str">
        <f aca="false">IF(A253="","",A253+Parametros!$B$3/24)</f>
        <v/>
      </c>
      <c r="D253" s="22" t="str">
        <f aca="false">IF(A253="","",C253+Parametros!$B$2/24)</f>
        <v/>
      </c>
      <c r="E253" s="24" t="str">
        <f aca="false">IF(A253="","",COUNTIFS(Modulo!$A$2:$A$5001,"&gt;="&amp;C253,Modulo!$A$2:$A$5001,"&lt;"&amp;D253,Modulo!$D$2:$D$5001,Parametros!$B$7))</f>
        <v/>
      </c>
      <c r="F253" s="23" t="str">
        <f aca="false">IF(A253="","",IF(E253=0,"",AVERAGEIFS(Modulo!$B$2:$B$5001,Modulo!$A$2:$A$5001,"&gt;="&amp;C253,Modulo!$A$2:$A$5001,"&lt;"&amp;D253,Modulo!$D$2:$D$5001,Parametros!$B$7)))</f>
        <v/>
      </c>
      <c r="G253" s="23" t="str">
        <f aca="false">IF(A253="","",IF(E253=0,"",AVERAGEIFS(Modulo!$C$2:$C$5001,Modulo!$A$2:$A$5001,"&gt;="&amp;C253,Modulo!$A$2:$A$5001,"&lt;"&amp;D253,Modulo!$D$2:$D$5001,Parametros!$B$7)))</f>
        <v/>
      </c>
      <c r="H253" s="25" t="str">
        <f aca="false">IF(A253="","",IFERROR(COUNTIFS(Amostragem!$A$2:$A$15003,"&gt;="&amp;C253,Amostragem!$A$2:$A$15003,"&lt;"&amp;D253,Amostragem!$B$2:$B$15003,"Automático",Amostragem!$C$2:$C$15003,"Automático",Amostragem!$D$2:$D$15003,0)/COUNTIFS(Amostragem!$A$2:$A$15003,"&gt;="&amp;C253,Amostragem!$A$2:$A$15003,"&lt;"&amp;D253),0))</f>
        <v/>
      </c>
      <c r="I253" s="23" t="str">
        <f aca="false">IF(A253="","",IFERROR(AVERAGEIFS(Amostragem!$E$2:$E$15003,Amostragem!$A$2:$A$15003,"&gt;="&amp;C253,Amostragem!$A$2:$A$15003,"&lt;"&amp;D253),""))</f>
        <v/>
      </c>
      <c r="J253" s="24" t="str">
        <f aca="false">IF(A253="","",IF(B253="","Inválida: sem resultado MES",IF(E253&lt;Parametros!$B$4,"Inválida: poucos ensaios do módulo",IF(H253&lt;Parametros!$B$5,"Inválida: amostragem em manual ou em falha",IF(OR(I253="",I253&lt;Parametros!$B$6),"Inválida: usina parada ou baixa alimentação","Válida")))))</f>
        <v/>
      </c>
      <c r="K253" s="23" t="str">
        <f aca="false">IF(J253="Válida",F253-B253,"")</f>
        <v/>
      </c>
      <c r="L253" s="26" t="str">
        <f aca="false">IF(J253="Válida",K253/B253,"")</f>
        <v/>
      </c>
      <c r="M253" s="23" t="str">
        <f aca="false">IF(J253="Válida",(F253+B253)/2,"")</f>
        <v/>
      </c>
      <c r="N253" s="24" t="str">
        <f aca="false">IF(K253="","",IF(OR(K253&gt;Resumo!$B$16,K253&lt;Resumo!$B$15),"Sim","Não"))</f>
        <v/>
      </c>
      <c r="O253" s="22" t="e">
        <f aca="false">IF(A253="",NA(),A253)</f>
        <v>#N/A</v>
      </c>
      <c r="P253" s="23" t="e">
        <f aca="false">IF(A253="",NA(),B253)</f>
        <v>#N/A</v>
      </c>
      <c r="Q253" s="23" t="e">
        <f aca="false">IF(F253="",NA(),F253)</f>
        <v>#N/A</v>
      </c>
      <c r="R253" s="23" t="e">
        <f aca="false">IF(K253="",NA(),K253)</f>
        <v>#N/A</v>
      </c>
      <c r="S253" s="23" t="e">
        <f aca="false">IF(M253="",NA(),M253)</f>
        <v>#N/A</v>
      </c>
      <c r="T253" s="23" t="str">
        <f aca="false">IF(J253="Válida",B253,"")</f>
        <v/>
      </c>
      <c r="U253" s="23" t="str">
        <f aca="false">IF(J253="Válida",F253,"")</f>
        <v/>
      </c>
    </row>
    <row r="254" customFormat="false" ht="15" hidden="false" customHeight="false" outlineLevel="0" collapsed="false">
      <c r="A254" s="22" t="str">
        <f aca="false">IF(MES!A254="","",MES!A254)</f>
        <v/>
      </c>
      <c r="B254" s="23" t="str">
        <f aca="false">IF(A254="","",MES!B254)</f>
        <v/>
      </c>
      <c r="C254" s="22" t="str">
        <f aca="false">IF(A254="","",A254+Parametros!$B$3/24)</f>
        <v/>
      </c>
      <c r="D254" s="22" t="str">
        <f aca="false">IF(A254="","",C254+Parametros!$B$2/24)</f>
        <v/>
      </c>
      <c r="E254" s="24" t="str">
        <f aca="false">IF(A254="","",COUNTIFS(Modulo!$A$2:$A$5001,"&gt;="&amp;C254,Modulo!$A$2:$A$5001,"&lt;"&amp;D254,Modulo!$D$2:$D$5001,Parametros!$B$7))</f>
        <v/>
      </c>
      <c r="F254" s="23" t="str">
        <f aca="false">IF(A254="","",IF(E254=0,"",AVERAGEIFS(Modulo!$B$2:$B$5001,Modulo!$A$2:$A$5001,"&gt;="&amp;C254,Modulo!$A$2:$A$5001,"&lt;"&amp;D254,Modulo!$D$2:$D$5001,Parametros!$B$7)))</f>
        <v/>
      </c>
      <c r="G254" s="23" t="str">
        <f aca="false">IF(A254="","",IF(E254=0,"",AVERAGEIFS(Modulo!$C$2:$C$5001,Modulo!$A$2:$A$5001,"&gt;="&amp;C254,Modulo!$A$2:$A$5001,"&lt;"&amp;D254,Modulo!$D$2:$D$5001,Parametros!$B$7)))</f>
        <v/>
      </c>
      <c r="H254" s="25" t="str">
        <f aca="false">IF(A254="","",IFERROR(COUNTIFS(Amostragem!$A$2:$A$15003,"&gt;="&amp;C254,Amostragem!$A$2:$A$15003,"&lt;"&amp;D254,Amostragem!$B$2:$B$15003,"Automático",Amostragem!$C$2:$C$15003,"Automático",Amostragem!$D$2:$D$15003,0)/COUNTIFS(Amostragem!$A$2:$A$15003,"&gt;="&amp;C254,Amostragem!$A$2:$A$15003,"&lt;"&amp;D254),0))</f>
        <v/>
      </c>
      <c r="I254" s="23" t="str">
        <f aca="false">IF(A254="","",IFERROR(AVERAGEIFS(Amostragem!$E$2:$E$15003,Amostragem!$A$2:$A$15003,"&gt;="&amp;C254,Amostragem!$A$2:$A$15003,"&lt;"&amp;D254),""))</f>
        <v/>
      </c>
      <c r="J254" s="24" t="str">
        <f aca="false">IF(A254="","",IF(B254="","Inválida: sem resultado MES",IF(E254&lt;Parametros!$B$4,"Inválida: poucos ensaios do módulo",IF(H254&lt;Parametros!$B$5,"Inválida: amostragem em manual ou em falha",IF(OR(I254="",I254&lt;Parametros!$B$6),"Inválida: usina parada ou baixa alimentação","Válida")))))</f>
        <v/>
      </c>
      <c r="K254" s="23" t="str">
        <f aca="false">IF(J254="Válida",F254-B254,"")</f>
        <v/>
      </c>
      <c r="L254" s="26" t="str">
        <f aca="false">IF(J254="Válida",K254/B254,"")</f>
        <v/>
      </c>
      <c r="M254" s="23" t="str">
        <f aca="false">IF(J254="Válida",(F254+B254)/2,"")</f>
        <v/>
      </c>
      <c r="N254" s="24" t="str">
        <f aca="false">IF(K254="","",IF(OR(K254&gt;Resumo!$B$16,K254&lt;Resumo!$B$15),"Sim","Não"))</f>
        <v/>
      </c>
      <c r="O254" s="22" t="e">
        <f aca="false">IF(A254="",NA(),A254)</f>
        <v>#N/A</v>
      </c>
      <c r="P254" s="23" t="e">
        <f aca="false">IF(A254="",NA(),B254)</f>
        <v>#N/A</v>
      </c>
      <c r="Q254" s="23" t="e">
        <f aca="false">IF(F254="",NA(),F254)</f>
        <v>#N/A</v>
      </c>
      <c r="R254" s="23" t="e">
        <f aca="false">IF(K254="",NA(),K254)</f>
        <v>#N/A</v>
      </c>
      <c r="S254" s="23" t="e">
        <f aca="false">IF(M254="",NA(),M254)</f>
        <v>#N/A</v>
      </c>
      <c r="T254" s="23" t="str">
        <f aca="false">IF(J254="Válida",B254,"")</f>
        <v/>
      </c>
      <c r="U254" s="23" t="str">
        <f aca="false">IF(J254="Válida",F254,"")</f>
        <v/>
      </c>
    </row>
    <row r="255" customFormat="false" ht="15" hidden="false" customHeight="false" outlineLevel="0" collapsed="false">
      <c r="A255" s="22" t="str">
        <f aca="false">IF(MES!A255="","",MES!A255)</f>
        <v/>
      </c>
      <c r="B255" s="23" t="str">
        <f aca="false">IF(A255="","",MES!B255)</f>
        <v/>
      </c>
      <c r="C255" s="22" t="str">
        <f aca="false">IF(A255="","",A255+Parametros!$B$3/24)</f>
        <v/>
      </c>
      <c r="D255" s="22" t="str">
        <f aca="false">IF(A255="","",C255+Parametros!$B$2/24)</f>
        <v/>
      </c>
      <c r="E255" s="24" t="str">
        <f aca="false">IF(A255="","",COUNTIFS(Modulo!$A$2:$A$5001,"&gt;="&amp;C255,Modulo!$A$2:$A$5001,"&lt;"&amp;D255,Modulo!$D$2:$D$5001,Parametros!$B$7))</f>
        <v/>
      </c>
      <c r="F255" s="23" t="str">
        <f aca="false">IF(A255="","",IF(E255=0,"",AVERAGEIFS(Modulo!$B$2:$B$5001,Modulo!$A$2:$A$5001,"&gt;="&amp;C255,Modulo!$A$2:$A$5001,"&lt;"&amp;D255,Modulo!$D$2:$D$5001,Parametros!$B$7)))</f>
        <v/>
      </c>
      <c r="G255" s="23" t="str">
        <f aca="false">IF(A255="","",IF(E255=0,"",AVERAGEIFS(Modulo!$C$2:$C$5001,Modulo!$A$2:$A$5001,"&gt;="&amp;C255,Modulo!$A$2:$A$5001,"&lt;"&amp;D255,Modulo!$D$2:$D$5001,Parametros!$B$7)))</f>
        <v/>
      </c>
      <c r="H255" s="25" t="str">
        <f aca="false">IF(A255="","",IFERROR(COUNTIFS(Amostragem!$A$2:$A$15003,"&gt;="&amp;C255,Amostragem!$A$2:$A$15003,"&lt;"&amp;D255,Amostragem!$B$2:$B$15003,"Automático",Amostragem!$C$2:$C$15003,"Automático",Amostragem!$D$2:$D$15003,0)/COUNTIFS(Amostragem!$A$2:$A$15003,"&gt;="&amp;C255,Amostragem!$A$2:$A$15003,"&lt;"&amp;D255),0))</f>
        <v/>
      </c>
      <c r="I255" s="23" t="str">
        <f aca="false">IF(A255="","",IFERROR(AVERAGEIFS(Amostragem!$E$2:$E$15003,Amostragem!$A$2:$A$15003,"&gt;="&amp;C255,Amostragem!$A$2:$A$15003,"&lt;"&amp;D255),""))</f>
        <v/>
      </c>
      <c r="J255" s="24" t="str">
        <f aca="false">IF(A255="","",IF(B255="","Inválida: sem resultado MES",IF(E255&lt;Parametros!$B$4,"Inválida: poucos ensaios do módulo",IF(H255&lt;Parametros!$B$5,"Inválida: amostragem em manual ou em falha",IF(OR(I255="",I255&lt;Parametros!$B$6),"Inválida: usina parada ou baixa alimentação","Válida")))))</f>
        <v/>
      </c>
      <c r="K255" s="23" t="str">
        <f aca="false">IF(J255="Válida",F255-B255,"")</f>
        <v/>
      </c>
      <c r="L255" s="26" t="str">
        <f aca="false">IF(J255="Válida",K255/B255,"")</f>
        <v/>
      </c>
      <c r="M255" s="23" t="str">
        <f aca="false">IF(J255="Válida",(F255+B255)/2,"")</f>
        <v/>
      </c>
      <c r="N255" s="24" t="str">
        <f aca="false">IF(K255="","",IF(OR(K255&gt;Resumo!$B$16,K255&lt;Resumo!$B$15),"Sim","Não"))</f>
        <v/>
      </c>
      <c r="O255" s="22" t="e">
        <f aca="false">IF(A255="",NA(),A255)</f>
        <v>#N/A</v>
      </c>
      <c r="P255" s="23" t="e">
        <f aca="false">IF(A255="",NA(),B255)</f>
        <v>#N/A</v>
      </c>
      <c r="Q255" s="23" t="e">
        <f aca="false">IF(F255="",NA(),F255)</f>
        <v>#N/A</v>
      </c>
      <c r="R255" s="23" t="e">
        <f aca="false">IF(K255="",NA(),K255)</f>
        <v>#N/A</v>
      </c>
      <c r="S255" s="23" t="e">
        <f aca="false">IF(M255="",NA(),M255)</f>
        <v>#N/A</v>
      </c>
      <c r="T255" s="23" t="str">
        <f aca="false">IF(J255="Válida",B255,"")</f>
        <v/>
      </c>
      <c r="U255" s="23" t="str">
        <f aca="false">IF(J255="Válida",F255,"")</f>
        <v/>
      </c>
    </row>
    <row r="256" customFormat="false" ht="15" hidden="false" customHeight="false" outlineLevel="0" collapsed="false">
      <c r="A256" s="22" t="str">
        <f aca="false">IF(MES!A256="","",MES!A256)</f>
        <v/>
      </c>
      <c r="B256" s="23" t="str">
        <f aca="false">IF(A256="","",MES!B256)</f>
        <v/>
      </c>
      <c r="C256" s="22" t="str">
        <f aca="false">IF(A256="","",A256+Parametros!$B$3/24)</f>
        <v/>
      </c>
      <c r="D256" s="22" t="str">
        <f aca="false">IF(A256="","",C256+Parametros!$B$2/24)</f>
        <v/>
      </c>
      <c r="E256" s="24" t="str">
        <f aca="false">IF(A256="","",COUNTIFS(Modulo!$A$2:$A$5001,"&gt;="&amp;C256,Modulo!$A$2:$A$5001,"&lt;"&amp;D256,Modulo!$D$2:$D$5001,Parametros!$B$7))</f>
        <v/>
      </c>
      <c r="F256" s="23" t="str">
        <f aca="false">IF(A256="","",IF(E256=0,"",AVERAGEIFS(Modulo!$B$2:$B$5001,Modulo!$A$2:$A$5001,"&gt;="&amp;C256,Modulo!$A$2:$A$5001,"&lt;"&amp;D256,Modulo!$D$2:$D$5001,Parametros!$B$7)))</f>
        <v/>
      </c>
      <c r="G256" s="23" t="str">
        <f aca="false">IF(A256="","",IF(E256=0,"",AVERAGEIFS(Modulo!$C$2:$C$5001,Modulo!$A$2:$A$5001,"&gt;="&amp;C256,Modulo!$A$2:$A$5001,"&lt;"&amp;D256,Modulo!$D$2:$D$5001,Parametros!$B$7)))</f>
        <v/>
      </c>
      <c r="H256" s="25" t="str">
        <f aca="false">IF(A256="","",IFERROR(COUNTIFS(Amostragem!$A$2:$A$15003,"&gt;="&amp;C256,Amostragem!$A$2:$A$15003,"&lt;"&amp;D256,Amostragem!$B$2:$B$15003,"Automático",Amostragem!$C$2:$C$15003,"Automático",Amostragem!$D$2:$D$15003,0)/COUNTIFS(Amostragem!$A$2:$A$15003,"&gt;="&amp;C256,Amostragem!$A$2:$A$15003,"&lt;"&amp;D256),0))</f>
        <v/>
      </c>
      <c r="I256" s="23" t="str">
        <f aca="false">IF(A256="","",IFERROR(AVERAGEIFS(Amostragem!$E$2:$E$15003,Amostragem!$A$2:$A$15003,"&gt;="&amp;C256,Amostragem!$A$2:$A$15003,"&lt;"&amp;D256),""))</f>
        <v/>
      </c>
      <c r="J256" s="24" t="str">
        <f aca="false">IF(A256="","",IF(B256="","Inválida: sem resultado MES",IF(E256&lt;Parametros!$B$4,"Inválida: poucos ensaios do módulo",IF(H256&lt;Parametros!$B$5,"Inválida: amostragem em manual ou em falha",IF(OR(I256="",I256&lt;Parametros!$B$6),"Inválida: usina parada ou baixa alimentação","Válida")))))</f>
        <v/>
      </c>
      <c r="K256" s="23" t="str">
        <f aca="false">IF(J256="Válida",F256-B256,"")</f>
        <v/>
      </c>
      <c r="L256" s="26" t="str">
        <f aca="false">IF(J256="Válida",K256/B256,"")</f>
        <v/>
      </c>
      <c r="M256" s="23" t="str">
        <f aca="false">IF(J256="Válida",(F256+B256)/2,"")</f>
        <v/>
      </c>
      <c r="N256" s="24" t="str">
        <f aca="false">IF(K256="","",IF(OR(K256&gt;Resumo!$B$16,K256&lt;Resumo!$B$15),"Sim","Não"))</f>
        <v/>
      </c>
      <c r="O256" s="22" t="e">
        <f aca="false">IF(A256="",NA(),A256)</f>
        <v>#N/A</v>
      </c>
      <c r="P256" s="23" t="e">
        <f aca="false">IF(A256="",NA(),B256)</f>
        <v>#N/A</v>
      </c>
      <c r="Q256" s="23" t="e">
        <f aca="false">IF(F256="",NA(),F256)</f>
        <v>#N/A</v>
      </c>
      <c r="R256" s="23" t="e">
        <f aca="false">IF(K256="",NA(),K256)</f>
        <v>#N/A</v>
      </c>
      <c r="S256" s="23" t="e">
        <f aca="false">IF(M256="",NA(),M256)</f>
        <v>#N/A</v>
      </c>
      <c r="T256" s="23" t="str">
        <f aca="false">IF(J256="Válida",B256,"")</f>
        <v/>
      </c>
      <c r="U256" s="23" t="str">
        <f aca="false">IF(J256="Válida",F256,"")</f>
        <v/>
      </c>
    </row>
    <row r="257" customFormat="false" ht="15" hidden="false" customHeight="false" outlineLevel="0" collapsed="false">
      <c r="A257" s="22" t="str">
        <f aca="false">IF(MES!A257="","",MES!A257)</f>
        <v/>
      </c>
      <c r="B257" s="23" t="str">
        <f aca="false">IF(A257="","",MES!B257)</f>
        <v/>
      </c>
      <c r="C257" s="22" t="str">
        <f aca="false">IF(A257="","",A257+Parametros!$B$3/24)</f>
        <v/>
      </c>
      <c r="D257" s="22" t="str">
        <f aca="false">IF(A257="","",C257+Parametros!$B$2/24)</f>
        <v/>
      </c>
      <c r="E257" s="24" t="str">
        <f aca="false">IF(A257="","",COUNTIFS(Modulo!$A$2:$A$5001,"&gt;="&amp;C257,Modulo!$A$2:$A$5001,"&lt;"&amp;D257,Modulo!$D$2:$D$5001,Parametros!$B$7))</f>
        <v/>
      </c>
      <c r="F257" s="23" t="str">
        <f aca="false">IF(A257="","",IF(E257=0,"",AVERAGEIFS(Modulo!$B$2:$B$5001,Modulo!$A$2:$A$5001,"&gt;="&amp;C257,Modulo!$A$2:$A$5001,"&lt;"&amp;D257,Modulo!$D$2:$D$5001,Parametros!$B$7)))</f>
        <v/>
      </c>
      <c r="G257" s="23" t="str">
        <f aca="false">IF(A257="","",IF(E257=0,"",AVERAGEIFS(Modulo!$C$2:$C$5001,Modulo!$A$2:$A$5001,"&gt;="&amp;C257,Modulo!$A$2:$A$5001,"&lt;"&amp;D257,Modulo!$D$2:$D$5001,Parametros!$B$7)))</f>
        <v/>
      </c>
      <c r="H257" s="25" t="str">
        <f aca="false">IF(A257="","",IFERROR(COUNTIFS(Amostragem!$A$2:$A$15003,"&gt;="&amp;C257,Amostragem!$A$2:$A$15003,"&lt;"&amp;D257,Amostragem!$B$2:$B$15003,"Automático",Amostragem!$C$2:$C$15003,"Automático",Amostragem!$D$2:$D$15003,0)/COUNTIFS(Amostragem!$A$2:$A$15003,"&gt;="&amp;C257,Amostragem!$A$2:$A$15003,"&lt;"&amp;D257),0))</f>
        <v/>
      </c>
      <c r="I257" s="23" t="str">
        <f aca="false">IF(A257="","",IFERROR(AVERAGEIFS(Amostragem!$E$2:$E$15003,Amostragem!$A$2:$A$15003,"&gt;="&amp;C257,Amostragem!$A$2:$A$15003,"&lt;"&amp;D257),""))</f>
        <v/>
      </c>
      <c r="J257" s="24" t="str">
        <f aca="false">IF(A257="","",IF(B257="","Inválida: sem resultado MES",IF(E257&lt;Parametros!$B$4,"Inválida: poucos ensaios do módulo",IF(H257&lt;Parametros!$B$5,"Inválida: amostragem em manual ou em falha",IF(OR(I257="",I257&lt;Parametros!$B$6),"Inválida: usina parada ou baixa alimentação","Válida")))))</f>
        <v/>
      </c>
      <c r="K257" s="23" t="str">
        <f aca="false">IF(J257="Válida",F257-B257,"")</f>
        <v/>
      </c>
      <c r="L257" s="26" t="str">
        <f aca="false">IF(J257="Válida",K257/B257,"")</f>
        <v/>
      </c>
      <c r="M257" s="23" t="str">
        <f aca="false">IF(J257="Válida",(F257+B257)/2,"")</f>
        <v/>
      </c>
      <c r="N257" s="24" t="str">
        <f aca="false">IF(K257="","",IF(OR(K257&gt;Resumo!$B$16,K257&lt;Resumo!$B$15),"Sim","Não"))</f>
        <v/>
      </c>
      <c r="O257" s="22" t="e">
        <f aca="false">IF(A257="",NA(),A257)</f>
        <v>#N/A</v>
      </c>
      <c r="P257" s="23" t="e">
        <f aca="false">IF(A257="",NA(),B257)</f>
        <v>#N/A</v>
      </c>
      <c r="Q257" s="23" t="e">
        <f aca="false">IF(F257="",NA(),F257)</f>
        <v>#N/A</v>
      </c>
      <c r="R257" s="23" t="e">
        <f aca="false">IF(K257="",NA(),K257)</f>
        <v>#N/A</v>
      </c>
      <c r="S257" s="23" t="e">
        <f aca="false">IF(M257="",NA(),M257)</f>
        <v>#N/A</v>
      </c>
      <c r="T257" s="23" t="str">
        <f aca="false">IF(J257="Válida",B257,"")</f>
        <v/>
      </c>
      <c r="U257" s="23" t="str">
        <f aca="false">IF(J257="Válida",F257,"")</f>
        <v/>
      </c>
    </row>
    <row r="258" customFormat="false" ht="15" hidden="false" customHeight="false" outlineLevel="0" collapsed="false">
      <c r="A258" s="22" t="str">
        <f aca="false">IF(MES!A258="","",MES!A258)</f>
        <v/>
      </c>
      <c r="B258" s="23" t="str">
        <f aca="false">IF(A258="","",MES!B258)</f>
        <v/>
      </c>
      <c r="C258" s="22" t="str">
        <f aca="false">IF(A258="","",A258+Parametros!$B$3/24)</f>
        <v/>
      </c>
      <c r="D258" s="22" t="str">
        <f aca="false">IF(A258="","",C258+Parametros!$B$2/24)</f>
        <v/>
      </c>
      <c r="E258" s="24" t="str">
        <f aca="false">IF(A258="","",COUNTIFS(Modulo!$A$2:$A$5001,"&gt;="&amp;C258,Modulo!$A$2:$A$5001,"&lt;"&amp;D258,Modulo!$D$2:$D$5001,Parametros!$B$7))</f>
        <v/>
      </c>
      <c r="F258" s="23" t="str">
        <f aca="false">IF(A258="","",IF(E258=0,"",AVERAGEIFS(Modulo!$B$2:$B$5001,Modulo!$A$2:$A$5001,"&gt;="&amp;C258,Modulo!$A$2:$A$5001,"&lt;"&amp;D258,Modulo!$D$2:$D$5001,Parametros!$B$7)))</f>
        <v/>
      </c>
      <c r="G258" s="23" t="str">
        <f aca="false">IF(A258="","",IF(E258=0,"",AVERAGEIFS(Modulo!$C$2:$C$5001,Modulo!$A$2:$A$5001,"&gt;="&amp;C258,Modulo!$A$2:$A$5001,"&lt;"&amp;D258,Modulo!$D$2:$D$5001,Parametros!$B$7)))</f>
        <v/>
      </c>
      <c r="H258" s="25" t="str">
        <f aca="false">IF(A258="","",IFERROR(COUNTIFS(Amostragem!$A$2:$A$15003,"&gt;="&amp;C258,Amostragem!$A$2:$A$15003,"&lt;"&amp;D258,Amostragem!$B$2:$B$15003,"Automático",Amostragem!$C$2:$C$15003,"Automático",Amostragem!$D$2:$D$15003,0)/COUNTIFS(Amostragem!$A$2:$A$15003,"&gt;="&amp;C258,Amostragem!$A$2:$A$15003,"&lt;"&amp;D258),0))</f>
        <v/>
      </c>
      <c r="I258" s="23" t="str">
        <f aca="false">IF(A258="","",IFERROR(AVERAGEIFS(Amostragem!$E$2:$E$15003,Amostragem!$A$2:$A$15003,"&gt;="&amp;C258,Amostragem!$A$2:$A$15003,"&lt;"&amp;D258),""))</f>
        <v/>
      </c>
      <c r="J258" s="24" t="str">
        <f aca="false">IF(A258="","",IF(B258="","Inválida: sem resultado MES",IF(E258&lt;Parametros!$B$4,"Inválida: poucos ensaios do módulo",IF(H258&lt;Parametros!$B$5,"Inválida: amostragem em manual ou em falha",IF(OR(I258="",I258&lt;Parametros!$B$6),"Inválida: usina parada ou baixa alimentação","Válida")))))</f>
        <v/>
      </c>
      <c r="K258" s="23" t="str">
        <f aca="false">IF(J258="Válida",F258-B258,"")</f>
        <v/>
      </c>
      <c r="L258" s="26" t="str">
        <f aca="false">IF(J258="Válida",K258/B258,"")</f>
        <v/>
      </c>
      <c r="M258" s="23" t="str">
        <f aca="false">IF(J258="Válida",(F258+B258)/2,"")</f>
        <v/>
      </c>
      <c r="N258" s="24" t="str">
        <f aca="false">IF(K258="","",IF(OR(K258&gt;Resumo!$B$16,K258&lt;Resumo!$B$15),"Sim","Não"))</f>
        <v/>
      </c>
      <c r="O258" s="22" t="e">
        <f aca="false">IF(A258="",NA(),A258)</f>
        <v>#N/A</v>
      </c>
      <c r="P258" s="23" t="e">
        <f aca="false">IF(A258="",NA(),B258)</f>
        <v>#N/A</v>
      </c>
      <c r="Q258" s="23" t="e">
        <f aca="false">IF(F258="",NA(),F258)</f>
        <v>#N/A</v>
      </c>
      <c r="R258" s="23" t="e">
        <f aca="false">IF(K258="",NA(),K258)</f>
        <v>#N/A</v>
      </c>
      <c r="S258" s="23" t="e">
        <f aca="false">IF(M258="",NA(),M258)</f>
        <v>#N/A</v>
      </c>
      <c r="T258" s="23" t="str">
        <f aca="false">IF(J258="Válida",B258,"")</f>
        <v/>
      </c>
      <c r="U258" s="23" t="str">
        <f aca="false">IF(J258="Válida",F258,"")</f>
        <v/>
      </c>
    </row>
    <row r="259" customFormat="false" ht="15" hidden="false" customHeight="false" outlineLevel="0" collapsed="false">
      <c r="A259" s="22" t="str">
        <f aca="false">IF(MES!A259="","",MES!A259)</f>
        <v/>
      </c>
      <c r="B259" s="23" t="str">
        <f aca="false">IF(A259="","",MES!B259)</f>
        <v/>
      </c>
      <c r="C259" s="22" t="str">
        <f aca="false">IF(A259="","",A259+Parametros!$B$3/24)</f>
        <v/>
      </c>
      <c r="D259" s="22" t="str">
        <f aca="false">IF(A259="","",C259+Parametros!$B$2/24)</f>
        <v/>
      </c>
      <c r="E259" s="24" t="str">
        <f aca="false">IF(A259="","",COUNTIFS(Modulo!$A$2:$A$5001,"&gt;="&amp;C259,Modulo!$A$2:$A$5001,"&lt;"&amp;D259,Modulo!$D$2:$D$5001,Parametros!$B$7))</f>
        <v/>
      </c>
      <c r="F259" s="23" t="str">
        <f aca="false">IF(A259="","",IF(E259=0,"",AVERAGEIFS(Modulo!$B$2:$B$5001,Modulo!$A$2:$A$5001,"&gt;="&amp;C259,Modulo!$A$2:$A$5001,"&lt;"&amp;D259,Modulo!$D$2:$D$5001,Parametros!$B$7)))</f>
        <v/>
      </c>
      <c r="G259" s="23" t="str">
        <f aca="false">IF(A259="","",IF(E259=0,"",AVERAGEIFS(Modulo!$C$2:$C$5001,Modulo!$A$2:$A$5001,"&gt;="&amp;C259,Modulo!$A$2:$A$5001,"&lt;"&amp;D259,Modulo!$D$2:$D$5001,Parametros!$B$7)))</f>
        <v/>
      </c>
      <c r="H259" s="25" t="str">
        <f aca="false">IF(A259="","",IFERROR(COUNTIFS(Amostragem!$A$2:$A$15003,"&gt;="&amp;C259,Amostragem!$A$2:$A$15003,"&lt;"&amp;D259,Amostragem!$B$2:$B$15003,"Automático",Amostragem!$C$2:$C$15003,"Automático",Amostragem!$D$2:$D$15003,0)/COUNTIFS(Amostragem!$A$2:$A$15003,"&gt;="&amp;C259,Amostragem!$A$2:$A$15003,"&lt;"&amp;D259),0))</f>
        <v/>
      </c>
      <c r="I259" s="23" t="str">
        <f aca="false">IF(A259="","",IFERROR(AVERAGEIFS(Amostragem!$E$2:$E$15003,Amostragem!$A$2:$A$15003,"&gt;="&amp;C259,Amostragem!$A$2:$A$15003,"&lt;"&amp;D259),""))</f>
        <v/>
      </c>
      <c r="J259" s="24" t="str">
        <f aca="false">IF(A259="","",IF(B259="","Inválida: sem resultado MES",IF(E259&lt;Parametros!$B$4,"Inválida: poucos ensaios do módulo",IF(H259&lt;Parametros!$B$5,"Inválida: amostragem em manual ou em falha",IF(OR(I259="",I259&lt;Parametros!$B$6),"Inválida: usina parada ou baixa alimentação","Válida")))))</f>
        <v/>
      </c>
      <c r="K259" s="23" t="str">
        <f aca="false">IF(J259="Válida",F259-B259,"")</f>
        <v/>
      </c>
      <c r="L259" s="26" t="str">
        <f aca="false">IF(J259="Válida",K259/B259,"")</f>
        <v/>
      </c>
      <c r="M259" s="23" t="str">
        <f aca="false">IF(J259="Válida",(F259+B259)/2,"")</f>
        <v/>
      </c>
      <c r="N259" s="24" t="str">
        <f aca="false">IF(K259="","",IF(OR(K259&gt;Resumo!$B$16,K259&lt;Resumo!$B$15),"Sim","Não"))</f>
        <v/>
      </c>
      <c r="O259" s="22" t="e">
        <f aca="false">IF(A259="",NA(),A259)</f>
        <v>#N/A</v>
      </c>
      <c r="P259" s="23" t="e">
        <f aca="false">IF(A259="",NA(),B259)</f>
        <v>#N/A</v>
      </c>
      <c r="Q259" s="23" t="e">
        <f aca="false">IF(F259="",NA(),F259)</f>
        <v>#N/A</v>
      </c>
      <c r="R259" s="23" t="e">
        <f aca="false">IF(K259="",NA(),K259)</f>
        <v>#N/A</v>
      </c>
      <c r="S259" s="23" t="e">
        <f aca="false">IF(M259="",NA(),M259)</f>
        <v>#N/A</v>
      </c>
      <c r="T259" s="23" t="str">
        <f aca="false">IF(J259="Válida",B259,"")</f>
        <v/>
      </c>
      <c r="U259" s="23" t="str">
        <f aca="false">IF(J259="Válida",F259,"")</f>
        <v/>
      </c>
    </row>
    <row r="260" customFormat="false" ht="15" hidden="false" customHeight="false" outlineLevel="0" collapsed="false">
      <c r="A260" s="22" t="str">
        <f aca="false">IF(MES!A260="","",MES!A260)</f>
        <v/>
      </c>
      <c r="B260" s="23" t="str">
        <f aca="false">IF(A260="","",MES!B260)</f>
        <v/>
      </c>
      <c r="C260" s="22" t="str">
        <f aca="false">IF(A260="","",A260+Parametros!$B$3/24)</f>
        <v/>
      </c>
      <c r="D260" s="22" t="str">
        <f aca="false">IF(A260="","",C260+Parametros!$B$2/24)</f>
        <v/>
      </c>
      <c r="E260" s="24" t="str">
        <f aca="false">IF(A260="","",COUNTIFS(Modulo!$A$2:$A$5001,"&gt;="&amp;C260,Modulo!$A$2:$A$5001,"&lt;"&amp;D260,Modulo!$D$2:$D$5001,Parametros!$B$7))</f>
        <v/>
      </c>
      <c r="F260" s="23" t="str">
        <f aca="false">IF(A260="","",IF(E260=0,"",AVERAGEIFS(Modulo!$B$2:$B$5001,Modulo!$A$2:$A$5001,"&gt;="&amp;C260,Modulo!$A$2:$A$5001,"&lt;"&amp;D260,Modulo!$D$2:$D$5001,Parametros!$B$7)))</f>
        <v/>
      </c>
      <c r="G260" s="23" t="str">
        <f aca="false">IF(A260="","",IF(E260=0,"",AVERAGEIFS(Modulo!$C$2:$C$5001,Modulo!$A$2:$A$5001,"&gt;="&amp;C260,Modulo!$A$2:$A$5001,"&lt;"&amp;D260,Modulo!$D$2:$D$5001,Parametros!$B$7)))</f>
        <v/>
      </c>
      <c r="H260" s="25" t="str">
        <f aca="false">IF(A260="","",IFERROR(COUNTIFS(Amostragem!$A$2:$A$15003,"&gt;="&amp;C260,Amostragem!$A$2:$A$15003,"&lt;"&amp;D260,Amostragem!$B$2:$B$15003,"Automático",Amostragem!$C$2:$C$15003,"Automático",Amostragem!$D$2:$D$15003,0)/COUNTIFS(Amostragem!$A$2:$A$15003,"&gt;="&amp;C260,Amostragem!$A$2:$A$15003,"&lt;"&amp;D260),0))</f>
        <v/>
      </c>
      <c r="I260" s="23" t="str">
        <f aca="false">IF(A260="","",IFERROR(AVERAGEIFS(Amostragem!$E$2:$E$15003,Amostragem!$A$2:$A$15003,"&gt;="&amp;C260,Amostragem!$A$2:$A$15003,"&lt;"&amp;D260),""))</f>
        <v/>
      </c>
      <c r="J260" s="24" t="str">
        <f aca="false">IF(A260="","",IF(B260="","Inválida: sem resultado MES",IF(E260&lt;Parametros!$B$4,"Inválida: poucos ensaios do módulo",IF(H260&lt;Parametros!$B$5,"Inválida: amostragem em manual ou em falha",IF(OR(I260="",I260&lt;Parametros!$B$6),"Inválida: usina parada ou baixa alimentação","Válida")))))</f>
        <v/>
      </c>
      <c r="K260" s="23" t="str">
        <f aca="false">IF(J260="Válida",F260-B260,"")</f>
        <v/>
      </c>
      <c r="L260" s="26" t="str">
        <f aca="false">IF(J260="Válida",K260/B260,"")</f>
        <v/>
      </c>
      <c r="M260" s="23" t="str">
        <f aca="false">IF(J260="Válida",(F260+B260)/2,"")</f>
        <v/>
      </c>
      <c r="N260" s="24" t="str">
        <f aca="false">IF(K260="","",IF(OR(K260&gt;Resumo!$B$16,K260&lt;Resumo!$B$15),"Sim","Não"))</f>
        <v/>
      </c>
      <c r="O260" s="22" t="e">
        <f aca="false">IF(A260="",NA(),A260)</f>
        <v>#N/A</v>
      </c>
      <c r="P260" s="23" t="e">
        <f aca="false">IF(A260="",NA(),B260)</f>
        <v>#N/A</v>
      </c>
      <c r="Q260" s="23" t="e">
        <f aca="false">IF(F260="",NA(),F260)</f>
        <v>#N/A</v>
      </c>
      <c r="R260" s="23" t="e">
        <f aca="false">IF(K260="",NA(),K260)</f>
        <v>#N/A</v>
      </c>
      <c r="S260" s="23" t="e">
        <f aca="false">IF(M260="",NA(),M260)</f>
        <v>#N/A</v>
      </c>
      <c r="T260" s="23" t="str">
        <f aca="false">IF(J260="Válida",B260,"")</f>
        <v/>
      </c>
      <c r="U260" s="23" t="str">
        <f aca="false">IF(J260="Válida",F260,"")</f>
        <v/>
      </c>
    </row>
    <row r="261" customFormat="false" ht="15" hidden="false" customHeight="false" outlineLevel="0" collapsed="false">
      <c r="A261" s="22" t="str">
        <f aca="false">IF(MES!A261="","",MES!A261)</f>
        <v/>
      </c>
      <c r="B261" s="23" t="str">
        <f aca="false">IF(A261="","",MES!B261)</f>
        <v/>
      </c>
      <c r="C261" s="22" t="str">
        <f aca="false">IF(A261="","",A261+Parametros!$B$3/24)</f>
        <v/>
      </c>
      <c r="D261" s="22" t="str">
        <f aca="false">IF(A261="","",C261+Parametros!$B$2/24)</f>
        <v/>
      </c>
      <c r="E261" s="24" t="str">
        <f aca="false">IF(A261="","",COUNTIFS(Modulo!$A$2:$A$5001,"&gt;="&amp;C261,Modulo!$A$2:$A$5001,"&lt;"&amp;D261,Modulo!$D$2:$D$5001,Parametros!$B$7))</f>
        <v/>
      </c>
      <c r="F261" s="23" t="str">
        <f aca="false">IF(A261="","",IF(E261=0,"",AVERAGEIFS(Modulo!$B$2:$B$5001,Modulo!$A$2:$A$5001,"&gt;="&amp;C261,Modulo!$A$2:$A$5001,"&lt;"&amp;D261,Modulo!$D$2:$D$5001,Parametros!$B$7)))</f>
        <v/>
      </c>
      <c r="G261" s="23" t="str">
        <f aca="false">IF(A261="","",IF(E261=0,"",AVERAGEIFS(Modulo!$C$2:$C$5001,Modulo!$A$2:$A$5001,"&gt;="&amp;C261,Modulo!$A$2:$A$5001,"&lt;"&amp;D261,Modulo!$D$2:$D$5001,Parametros!$B$7)))</f>
        <v/>
      </c>
      <c r="H261" s="25" t="str">
        <f aca="false">IF(A261="","",IFERROR(COUNTIFS(Amostragem!$A$2:$A$15003,"&gt;="&amp;C261,Amostragem!$A$2:$A$15003,"&lt;"&amp;D261,Amostragem!$B$2:$B$15003,"Automático",Amostragem!$C$2:$C$15003,"Automático",Amostragem!$D$2:$D$15003,0)/COUNTIFS(Amostragem!$A$2:$A$15003,"&gt;="&amp;C261,Amostragem!$A$2:$A$15003,"&lt;"&amp;D261),0))</f>
        <v/>
      </c>
      <c r="I261" s="23" t="str">
        <f aca="false">IF(A261="","",IFERROR(AVERAGEIFS(Amostragem!$E$2:$E$15003,Amostragem!$A$2:$A$15003,"&gt;="&amp;C261,Amostragem!$A$2:$A$15003,"&lt;"&amp;D261),""))</f>
        <v/>
      </c>
      <c r="J261" s="24" t="str">
        <f aca="false">IF(A261="","",IF(B261="","Inválida: sem resultado MES",IF(E261&lt;Parametros!$B$4,"Inválida: poucos ensaios do módulo",IF(H261&lt;Parametros!$B$5,"Inválida: amostragem em manual ou em falha",IF(OR(I261="",I261&lt;Parametros!$B$6),"Inválida: usina parada ou baixa alimentação","Válida")))))</f>
        <v/>
      </c>
      <c r="K261" s="23" t="str">
        <f aca="false">IF(J261="Válida",F261-B261,"")</f>
        <v/>
      </c>
      <c r="L261" s="26" t="str">
        <f aca="false">IF(J261="Válida",K261/B261,"")</f>
        <v/>
      </c>
      <c r="M261" s="23" t="str">
        <f aca="false">IF(J261="Válida",(F261+B261)/2,"")</f>
        <v/>
      </c>
      <c r="N261" s="24" t="str">
        <f aca="false">IF(K261="","",IF(OR(K261&gt;Resumo!$B$16,K261&lt;Resumo!$B$15),"Sim","Não"))</f>
        <v/>
      </c>
      <c r="O261" s="22" t="e">
        <f aca="false">IF(A261="",NA(),A261)</f>
        <v>#N/A</v>
      </c>
      <c r="P261" s="23" t="e">
        <f aca="false">IF(A261="",NA(),B261)</f>
        <v>#N/A</v>
      </c>
      <c r="Q261" s="23" t="e">
        <f aca="false">IF(F261="",NA(),F261)</f>
        <v>#N/A</v>
      </c>
      <c r="R261" s="23" t="e">
        <f aca="false">IF(K261="",NA(),K261)</f>
        <v>#N/A</v>
      </c>
      <c r="S261" s="23" t="e">
        <f aca="false">IF(M261="",NA(),M261)</f>
        <v>#N/A</v>
      </c>
      <c r="T261" s="23" t="str">
        <f aca="false">IF(J261="Válida",B261,"")</f>
        <v/>
      </c>
      <c r="U261" s="23" t="str">
        <f aca="false">IF(J261="Válida",F261,"")</f>
        <v/>
      </c>
    </row>
    <row r="262" customFormat="false" ht="15" hidden="false" customHeight="false" outlineLevel="0" collapsed="false">
      <c r="A262" s="22" t="str">
        <f aca="false">IF(MES!A262="","",MES!A262)</f>
        <v/>
      </c>
      <c r="B262" s="23" t="str">
        <f aca="false">IF(A262="","",MES!B262)</f>
        <v/>
      </c>
      <c r="C262" s="22" t="str">
        <f aca="false">IF(A262="","",A262+Parametros!$B$3/24)</f>
        <v/>
      </c>
      <c r="D262" s="22" t="str">
        <f aca="false">IF(A262="","",C262+Parametros!$B$2/24)</f>
        <v/>
      </c>
      <c r="E262" s="24" t="str">
        <f aca="false">IF(A262="","",COUNTIFS(Modulo!$A$2:$A$5001,"&gt;="&amp;C262,Modulo!$A$2:$A$5001,"&lt;"&amp;D262,Modulo!$D$2:$D$5001,Parametros!$B$7))</f>
        <v/>
      </c>
      <c r="F262" s="23" t="str">
        <f aca="false">IF(A262="","",IF(E262=0,"",AVERAGEIFS(Modulo!$B$2:$B$5001,Modulo!$A$2:$A$5001,"&gt;="&amp;C262,Modulo!$A$2:$A$5001,"&lt;"&amp;D262,Modulo!$D$2:$D$5001,Parametros!$B$7)))</f>
        <v/>
      </c>
      <c r="G262" s="23" t="str">
        <f aca="false">IF(A262="","",IF(E262=0,"",AVERAGEIFS(Modulo!$C$2:$C$5001,Modulo!$A$2:$A$5001,"&gt;="&amp;C262,Modulo!$A$2:$A$5001,"&lt;"&amp;D262,Modulo!$D$2:$D$5001,Parametros!$B$7)))</f>
        <v/>
      </c>
      <c r="H262" s="25" t="str">
        <f aca="false">IF(A262="","",IFERROR(COUNTIFS(Amostragem!$A$2:$A$15003,"&gt;="&amp;C262,Amostragem!$A$2:$A$15003,"&lt;"&amp;D262,Amostragem!$B$2:$B$15003,"Automático",Amostragem!$C$2:$C$15003,"Automático",Amostragem!$D$2:$D$15003,0)/COUNTIFS(Amostragem!$A$2:$A$15003,"&gt;="&amp;C262,Amostragem!$A$2:$A$15003,"&lt;"&amp;D262),0))</f>
        <v/>
      </c>
      <c r="I262" s="23" t="str">
        <f aca="false">IF(A262="","",IFERROR(AVERAGEIFS(Amostragem!$E$2:$E$15003,Amostragem!$A$2:$A$15003,"&gt;="&amp;C262,Amostragem!$A$2:$A$15003,"&lt;"&amp;D262),""))</f>
        <v/>
      </c>
      <c r="J262" s="24" t="str">
        <f aca="false">IF(A262="","",IF(B262="","Inválida: sem resultado MES",IF(E262&lt;Parametros!$B$4,"Inválida: poucos ensaios do módulo",IF(H262&lt;Parametros!$B$5,"Inválida: amostragem em manual ou em falha",IF(OR(I262="",I262&lt;Parametros!$B$6),"Inválida: usina parada ou baixa alimentação","Válida")))))</f>
        <v/>
      </c>
      <c r="K262" s="23" t="str">
        <f aca="false">IF(J262="Válida",F262-B262,"")</f>
        <v/>
      </c>
      <c r="L262" s="26" t="str">
        <f aca="false">IF(J262="Válida",K262/B262,"")</f>
        <v/>
      </c>
      <c r="M262" s="23" t="str">
        <f aca="false">IF(J262="Válida",(F262+B262)/2,"")</f>
        <v/>
      </c>
      <c r="N262" s="24" t="str">
        <f aca="false">IF(K262="","",IF(OR(K262&gt;Resumo!$B$16,K262&lt;Resumo!$B$15),"Sim","Não"))</f>
        <v/>
      </c>
      <c r="O262" s="22" t="e">
        <f aca="false">IF(A262="",NA(),A262)</f>
        <v>#N/A</v>
      </c>
      <c r="P262" s="23" t="e">
        <f aca="false">IF(A262="",NA(),B262)</f>
        <v>#N/A</v>
      </c>
      <c r="Q262" s="23" t="e">
        <f aca="false">IF(F262="",NA(),F262)</f>
        <v>#N/A</v>
      </c>
      <c r="R262" s="23" t="e">
        <f aca="false">IF(K262="",NA(),K262)</f>
        <v>#N/A</v>
      </c>
      <c r="S262" s="23" t="e">
        <f aca="false">IF(M262="",NA(),M262)</f>
        <v>#N/A</v>
      </c>
      <c r="T262" s="23" t="str">
        <f aca="false">IF(J262="Válida",B262,"")</f>
        <v/>
      </c>
      <c r="U262" s="23" t="str">
        <f aca="false">IF(J262="Válida",F262,"")</f>
        <v/>
      </c>
    </row>
    <row r="263" customFormat="false" ht="15" hidden="false" customHeight="false" outlineLevel="0" collapsed="false">
      <c r="A263" s="22" t="str">
        <f aca="false">IF(MES!A263="","",MES!A263)</f>
        <v/>
      </c>
      <c r="B263" s="23" t="str">
        <f aca="false">IF(A263="","",MES!B263)</f>
        <v/>
      </c>
      <c r="C263" s="22" t="str">
        <f aca="false">IF(A263="","",A263+Parametros!$B$3/24)</f>
        <v/>
      </c>
      <c r="D263" s="22" t="str">
        <f aca="false">IF(A263="","",C263+Parametros!$B$2/24)</f>
        <v/>
      </c>
      <c r="E263" s="24" t="str">
        <f aca="false">IF(A263="","",COUNTIFS(Modulo!$A$2:$A$5001,"&gt;="&amp;C263,Modulo!$A$2:$A$5001,"&lt;"&amp;D263,Modulo!$D$2:$D$5001,Parametros!$B$7))</f>
        <v/>
      </c>
      <c r="F263" s="23" t="str">
        <f aca="false">IF(A263="","",IF(E263=0,"",AVERAGEIFS(Modulo!$B$2:$B$5001,Modulo!$A$2:$A$5001,"&gt;="&amp;C263,Modulo!$A$2:$A$5001,"&lt;"&amp;D263,Modulo!$D$2:$D$5001,Parametros!$B$7)))</f>
        <v/>
      </c>
      <c r="G263" s="23" t="str">
        <f aca="false">IF(A263="","",IF(E263=0,"",AVERAGEIFS(Modulo!$C$2:$C$5001,Modulo!$A$2:$A$5001,"&gt;="&amp;C263,Modulo!$A$2:$A$5001,"&lt;"&amp;D263,Modulo!$D$2:$D$5001,Parametros!$B$7)))</f>
        <v/>
      </c>
      <c r="H263" s="25" t="str">
        <f aca="false">IF(A263="","",IFERROR(COUNTIFS(Amostragem!$A$2:$A$15003,"&gt;="&amp;C263,Amostragem!$A$2:$A$15003,"&lt;"&amp;D263,Amostragem!$B$2:$B$15003,"Automático",Amostragem!$C$2:$C$15003,"Automático",Amostragem!$D$2:$D$15003,0)/COUNTIFS(Amostragem!$A$2:$A$15003,"&gt;="&amp;C263,Amostragem!$A$2:$A$15003,"&lt;"&amp;D263),0))</f>
        <v/>
      </c>
      <c r="I263" s="23" t="str">
        <f aca="false">IF(A263="","",IFERROR(AVERAGEIFS(Amostragem!$E$2:$E$15003,Amostragem!$A$2:$A$15003,"&gt;="&amp;C263,Amostragem!$A$2:$A$15003,"&lt;"&amp;D263),""))</f>
        <v/>
      </c>
      <c r="J263" s="24" t="str">
        <f aca="false">IF(A263="","",IF(B263="","Inválida: sem resultado MES",IF(E263&lt;Parametros!$B$4,"Inválida: poucos ensaios do módulo",IF(H263&lt;Parametros!$B$5,"Inválida: amostragem em manual ou em falha",IF(OR(I263="",I263&lt;Parametros!$B$6),"Inválida: usina parada ou baixa alimentação","Válida")))))</f>
        <v/>
      </c>
      <c r="K263" s="23" t="str">
        <f aca="false">IF(J263="Válida",F263-B263,"")</f>
        <v/>
      </c>
      <c r="L263" s="26" t="str">
        <f aca="false">IF(J263="Válida",K263/B263,"")</f>
        <v/>
      </c>
      <c r="M263" s="23" t="str">
        <f aca="false">IF(J263="Válida",(F263+B263)/2,"")</f>
        <v/>
      </c>
      <c r="N263" s="24" t="str">
        <f aca="false">IF(K263="","",IF(OR(K263&gt;Resumo!$B$16,K263&lt;Resumo!$B$15),"Sim","Não"))</f>
        <v/>
      </c>
      <c r="O263" s="22" t="e">
        <f aca="false">IF(A263="",NA(),A263)</f>
        <v>#N/A</v>
      </c>
      <c r="P263" s="23" t="e">
        <f aca="false">IF(A263="",NA(),B263)</f>
        <v>#N/A</v>
      </c>
      <c r="Q263" s="23" t="e">
        <f aca="false">IF(F263="",NA(),F263)</f>
        <v>#N/A</v>
      </c>
      <c r="R263" s="23" t="e">
        <f aca="false">IF(K263="",NA(),K263)</f>
        <v>#N/A</v>
      </c>
      <c r="S263" s="23" t="e">
        <f aca="false">IF(M263="",NA(),M263)</f>
        <v>#N/A</v>
      </c>
      <c r="T263" s="23" t="str">
        <f aca="false">IF(J263="Válida",B263,"")</f>
        <v/>
      </c>
      <c r="U263" s="23" t="str">
        <f aca="false">IF(J263="Válida",F263,"")</f>
        <v/>
      </c>
    </row>
    <row r="264" customFormat="false" ht="15" hidden="false" customHeight="false" outlineLevel="0" collapsed="false">
      <c r="A264" s="22" t="str">
        <f aca="false">IF(MES!A264="","",MES!A264)</f>
        <v/>
      </c>
      <c r="B264" s="23" t="str">
        <f aca="false">IF(A264="","",MES!B264)</f>
        <v/>
      </c>
      <c r="C264" s="22" t="str">
        <f aca="false">IF(A264="","",A264+Parametros!$B$3/24)</f>
        <v/>
      </c>
      <c r="D264" s="22" t="str">
        <f aca="false">IF(A264="","",C264+Parametros!$B$2/24)</f>
        <v/>
      </c>
      <c r="E264" s="24" t="str">
        <f aca="false">IF(A264="","",COUNTIFS(Modulo!$A$2:$A$5001,"&gt;="&amp;C264,Modulo!$A$2:$A$5001,"&lt;"&amp;D264,Modulo!$D$2:$D$5001,Parametros!$B$7))</f>
        <v/>
      </c>
      <c r="F264" s="23" t="str">
        <f aca="false">IF(A264="","",IF(E264=0,"",AVERAGEIFS(Modulo!$B$2:$B$5001,Modulo!$A$2:$A$5001,"&gt;="&amp;C264,Modulo!$A$2:$A$5001,"&lt;"&amp;D264,Modulo!$D$2:$D$5001,Parametros!$B$7)))</f>
        <v/>
      </c>
      <c r="G264" s="23" t="str">
        <f aca="false">IF(A264="","",IF(E264=0,"",AVERAGEIFS(Modulo!$C$2:$C$5001,Modulo!$A$2:$A$5001,"&gt;="&amp;C264,Modulo!$A$2:$A$5001,"&lt;"&amp;D264,Modulo!$D$2:$D$5001,Parametros!$B$7)))</f>
        <v/>
      </c>
      <c r="H264" s="25" t="str">
        <f aca="false">IF(A264="","",IFERROR(COUNTIFS(Amostragem!$A$2:$A$15003,"&gt;="&amp;C264,Amostragem!$A$2:$A$15003,"&lt;"&amp;D264,Amostragem!$B$2:$B$15003,"Automático",Amostragem!$C$2:$C$15003,"Automático",Amostragem!$D$2:$D$15003,0)/COUNTIFS(Amostragem!$A$2:$A$15003,"&gt;="&amp;C264,Amostragem!$A$2:$A$15003,"&lt;"&amp;D264),0))</f>
        <v/>
      </c>
      <c r="I264" s="23" t="str">
        <f aca="false">IF(A264="","",IFERROR(AVERAGEIFS(Amostragem!$E$2:$E$15003,Amostragem!$A$2:$A$15003,"&gt;="&amp;C264,Amostragem!$A$2:$A$15003,"&lt;"&amp;D264),""))</f>
        <v/>
      </c>
      <c r="J264" s="24" t="str">
        <f aca="false">IF(A264="","",IF(B264="","Inválida: sem resultado MES",IF(E264&lt;Parametros!$B$4,"Inválida: poucos ensaios do módulo",IF(H264&lt;Parametros!$B$5,"Inválida: amostragem em manual ou em falha",IF(OR(I264="",I264&lt;Parametros!$B$6),"Inválida: usina parada ou baixa alimentação","Válida")))))</f>
        <v/>
      </c>
      <c r="K264" s="23" t="str">
        <f aca="false">IF(J264="Válida",F264-B264,"")</f>
        <v/>
      </c>
      <c r="L264" s="26" t="str">
        <f aca="false">IF(J264="Válida",K264/B264,"")</f>
        <v/>
      </c>
      <c r="M264" s="23" t="str">
        <f aca="false">IF(J264="Válida",(F264+B264)/2,"")</f>
        <v/>
      </c>
      <c r="N264" s="24" t="str">
        <f aca="false">IF(K264="","",IF(OR(K264&gt;Resumo!$B$16,K264&lt;Resumo!$B$15),"Sim","Não"))</f>
        <v/>
      </c>
      <c r="O264" s="22" t="e">
        <f aca="false">IF(A264="",NA(),A264)</f>
        <v>#N/A</v>
      </c>
      <c r="P264" s="23" t="e">
        <f aca="false">IF(A264="",NA(),B264)</f>
        <v>#N/A</v>
      </c>
      <c r="Q264" s="23" t="e">
        <f aca="false">IF(F264="",NA(),F264)</f>
        <v>#N/A</v>
      </c>
      <c r="R264" s="23" t="e">
        <f aca="false">IF(K264="",NA(),K264)</f>
        <v>#N/A</v>
      </c>
      <c r="S264" s="23" t="e">
        <f aca="false">IF(M264="",NA(),M264)</f>
        <v>#N/A</v>
      </c>
      <c r="T264" s="23" t="str">
        <f aca="false">IF(J264="Válida",B264,"")</f>
        <v/>
      </c>
      <c r="U264" s="23" t="str">
        <f aca="false">IF(J264="Válida",F264,"")</f>
        <v/>
      </c>
    </row>
    <row r="265" customFormat="false" ht="15" hidden="false" customHeight="false" outlineLevel="0" collapsed="false">
      <c r="A265" s="22" t="str">
        <f aca="false">IF(MES!A265="","",MES!A265)</f>
        <v/>
      </c>
      <c r="B265" s="23" t="str">
        <f aca="false">IF(A265="","",MES!B265)</f>
        <v/>
      </c>
      <c r="C265" s="22" t="str">
        <f aca="false">IF(A265="","",A265+Parametros!$B$3/24)</f>
        <v/>
      </c>
      <c r="D265" s="22" t="str">
        <f aca="false">IF(A265="","",C265+Parametros!$B$2/24)</f>
        <v/>
      </c>
      <c r="E265" s="24" t="str">
        <f aca="false">IF(A265="","",COUNTIFS(Modulo!$A$2:$A$5001,"&gt;="&amp;C265,Modulo!$A$2:$A$5001,"&lt;"&amp;D265,Modulo!$D$2:$D$5001,Parametros!$B$7))</f>
        <v/>
      </c>
      <c r="F265" s="23" t="str">
        <f aca="false">IF(A265="","",IF(E265=0,"",AVERAGEIFS(Modulo!$B$2:$B$5001,Modulo!$A$2:$A$5001,"&gt;="&amp;C265,Modulo!$A$2:$A$5001,"&lt;"&amp;D265,Modulo!$D$2:$D$5001,Parametros!$B$7)))</f>
        <v/>
      </c>
      <c r="G265" s="23" t="str">
        <f aca="false">IF(A265="","",IF(E265=0,"",AVERAGEIFS(Modulo!$C$2:$C$5001,Modulo!$A$2:$A$5001,"&gt;="&amp;C265,Modulo!$A$2:$A$5001,"&lt;"&amp;D265,Modulo!$D$2:$D$5001,Parametros!$B$7)))</f>
        <v/>
      </c>
      <c r="H265" s="25" t="str">
        <f aca="false">IF(A265="","",IFERROR(COUNTIFS(Amostragem!$A$2:$A$15003,"&gt;="&amp;C265,Amostragem!$A$2:$A$15003,"&lt;"&amp;D265,Amostragem!$B$2:$B$15003,"Automático",Amostragem!$C$2:$C$15003,"Automático",Amostragem!$D$2:$D$15003,0)/COUNTIFS(Amostragem!$A$2:$A$15003,"&gt;="&amp;C265,Amostragem!$A$2:$A$15003,"&lt;"&amp;D265),0))</f>
        <v/>
      </c>
      <c r="I265" s="23" t="str">
        <f aca="false">IF(A265="","",IFERROR(AVERAGEIFS(Amostragem!$E$2:$E$15003,Amostragem!$A$2:$A$15003,"&gt;="&amp;C265,Amostragem!$A$2:$A$15003,"&lt;"&amp;D265),""))</f>
        <v/>
      </c>
      <c r="J265" s="24" t="str">
        <f aca="false">IF(A265="","",IF(B265="","Inválida: sem resultado MES",IF(E265&lt;Parametros!$B$4,"Inválida: poucos ensaios do módulo",IF(H265&lt;Parametros!$B$5,"Inválida: amostragem em manual ou em falha",IF(OR(I265="",I265&lt;Parametros!$B$6),"Inválida: usina parada ou baixa alimentação","Válida")))))</f>
        <v/>
      </c>
      <c r="K265" s="23" t="str">
        <f aca="false">IF(J265="Válida",F265-B265,"")</f>
        <v/>
      </c>
      <c r="L265" s="26" t="str">
        <f aca="false">IF(J265="Válida",K265/B265,"")</f>
        <v/>
      </c>
      <c r="M265" s="23" t="str">
        <f aca="false">IF(J265="Válida",(F265+B265)/2,"")</f>
        <v/>
      </c>
      <c r="N265" s="24" t="str">
        <f aca="false">IF(K265="","",IF(OR(K265&gt;Resumo!$B$16,K265&lt;Resumo!$B$15),"Sim","Não"))</f>
        <v/>
      </c>
      <c r="O265" s="22" t="e">
        <f aca="false">IF(A265="",NA(),A265)</f>
        <v>#N/A</v>
      </c>
      <c r="P265" s="23" t="e">
        <f aca="false">IF(A265="",NA(),B265)</f>
        <v>#N/A</v>
      </c>
      <c r="Q265" s="23" t="e">
        <f aca="false">IF(F265="",NA(),F265)</f>
        <v>#N/A</v>
      </c>
      <c r="R265" s="23" t="e">
        <f aca="false">IF(K265="",NA(),K265)</f>
        <v>#N/A</v>
      </c>
      <c r="S265" s="23" t="e">
        <f aca="false">IF(M265="",NA(),M265)</f>
        <v>#N/A</v>
      </c>
      <c r="T265" s="23" t="str">
        <f aca="false">IF(J265="Válida",B265,"")</f>
        <v/>
      </c>
      <c r="U265" s="23" t="str">
        <f aca="false">IF(J265="Válida",F265,"")</f>
        <v/>
      </c>
    </row>
    <row r="266" customFormat="false" ht="15" hidden="false" customHeight="false" outlineLevel="0" collapsed="false">
      <c r="A266" s="22" t="str">
        <f aca="false">IF(MES!A266="","",MES!A266)</f>
        <v/>
      </c>
      <c r="B266" s="23" t="str">
        <f aca="false">IF(A266="","",MES!B266)</f>
        <v/>
      </c>
      <c r="C266" s="22" t="str">
        <f aca="false">IF(A266="","",A266+Parametros!$B$3/24)</f>
        <v/>
      </c>
      <c r="D266" s="22" t="str">
        <f aca="false">IF(A266="","",C266+Parametros!$B$2/24)</f>
        <v/>
      </c>
      <c r="E266" s="24" t="str">
        <f aca="false">IF(A266="","",COUNTIFS(Modulo!$A$2:$A$5001,"&gt;="&amp;C266,Modulo!$A$2:$A$5001,"&lt;"&amp;D266,Modulo!$D$2:$D$5001,Parametros!$B$7))</f>
        <v/>
      </c>
      <c r="F266" s="23" t="str">
        <f aca="false">IF(A266="","",IF(E266=0,"",AVERAGEIFS(Modulo!$B$2:$B$5001,Modulo!$A$2:$A$5001,"&gt;="&amp;C266,Modulo!$A$2:$A$5001,"&lt;"&amp;D266,Modulo!$D$2:$D$5001,Parametros!$B$7)))</f>
        <v/>
      </c>
      <c r="G266" s="23" t="str">
        <f aca="false">IF(A266="","",IF(E266=0,"",AVERAGEIFS(Modulo!$C$2:$C$5001,Modulo!$A$2:$A$5001,"&gt;="&amp;C266,Modulo!$A$2:$A$5001,"&lt;"&amp;D266,Modulo!$D$2:$D$5001,Parametros!$B$7)))</f>
        <v/>
      </c>
      <c r="H266" s="25" t="str">
        <f aca="false">IF(A266="","",IFERROR(COUNTIFS(Amostragem!$A$2:$A$15003,"&gt;="&amp;C266,Amostragem!$A$2:$A$15003,"&lt;"&amp;D266,Amostragem!$B$2:$B$15003,"Automático",Amostragem!$C$2:$C$15003,"Automático",Amostragem!$D$2:$D$15003,0)/COUNTIFS(Amostragem!$A$2:$A$15003,"&gt;="&amp;C266,Amostragem!$A$2:$A$15003,"&lt;"&amp;D266),0))</f>
        <v/>
      </c>
      <c r="I266" s="23" t="str">
        <f aca="false">IF(A266="","",IFERROR(AVERAGEIFS(Amostragem!$E$2:$E$15003,Amostragem!$A$2:$A$15003,"&gt;="&amp;C266,Amostragem!$A$2:$A$15003,"&lt;"&amp;D266),""))</f>
        <v/>
      </c>
      <c r="J266" s="24" t="str">
        <f aca="false">IF(A266="","",IF(B266="","Inválida: sem resultado MES",IF(E266&lt;Parametros!$B$4,"Inválida: poucos ensaios do módulo",IF(H266&lt;Parametros!$B$5,"Inválida: amostragem em manual ou em falha",IF(OR(I266="",I266&lt;Parametros!$B$6),"Inválida: usina parada ou baixa alimentação","Válida")))))</f>
        <v/>
      </c>
      <c r="K266" s="23" t="str">
        <f aca="false">IF(J266="Válida",F266-B266,"")</f>
        <v/>
      </c>
      <c r="L266" s="26" t="str">
        <f aca="false">IF(J266="Válida",K266/B266,"")</f>
        <v/>
      </c>
      <c r="M266" s="23" t="str">
        <f aca="false">IF(J266="Válida",(F266+B266)/2,"")</f>
        <v/>
      </c>
      <c r="N266" s="24" t="str">
        <f aca="false">IF(K266="","",IF(OR(K266&gt;Resumo!$B$16,K266&lt;Resumo!$B$15),"Sim","Não"))</f>
        <v/>
      </c>
      <c r="O266" s="22" t="e">
        <f aca="false">IF(A266="",NA(),A266)</f>
        <v>#N/A</v>
      </c>
      <c r="P266" s="23" t="e">
        <f aca="false">IF(A266="",NA(),B266)</f>
        <v>#N/A</v>
      </c>
      <c r="Q266" s="23" t="e">
        <f aca="false">IF(F266="",NA(),F266)</f>
        <v>#N/A</v>
      </c>
      <c r="R266" s="23" t="e">
        <f aca="false">IF(K266="",NA(),K266)</f>
        <v>#N/A</v>
      </c>
      <c r="S266" s="23" t="e">
        <f aca="false">IF(M266="",NA(),M266)</f>
        <v>#N/A</v>
      </c>
      <c r="T266" s="23" t="str">
        <f aca="false">IF(J266="Válida",B266,"")</f>
        <v/>
      </c>
      <c r="U266" s="23" t="str">
        <f aca="false">IF(J266="Válida",F266,"")</f>
        <v/>
      </c>
    </row>
    <row r="267" customFormat="false" ht="15" hidden="false" customHeight="false" outlineLevel="0" collapsed="false">
      <c r="A267" s="22" t="str">
        <f aca="false">IF(MES!A267="","",MES!A267)</f>
        <v/>
      </c>
      <c r="B267" s="23" t="str">
        <f aca="false">IF(A267="","",MES!B267)</f>
        <v/>
      </c>
      <c r="C267" s="22" t="str">
        <f aca="false">IF(A267="","",A267+Parametros!$B$3/24)</f>
        <v/>
      </c>
      <c r="D267" s="22" t="str">
        <f aca="false">IF(A267="","",C267+Parametros!$B$2/24)</f>
        <v/>
      </c>
      <c r="E267" s="24" t="str">
        <f aca="false">IF(A267="","",COUNTIFS(Modulo!$A$2:$A$5001,"&gt;="&amp;C267,Modulo!$A$2:$A$5001,"&lt;"&amp;D267,Modulo!$D$2:$D$5001,Parametros!$B$7))</f>
        <v/>
      </c>
      <c r="F267" s="23" t="str">
        <f aca="false">IF(A267="","",IF(E267=0,"",AVERAGEIFS(Modulo!$B$2:$B$5001,Modulo!$A$2:$A$5001,"&gt;="&amp;C267,Modulo!$A$2:$A$5001,"&lt;"&amp;D267,Modulo!$D$2:$D$5001,Parametros!$B$7)))</f>
        <v/>
      </c>
      <c r="G267" s="23" t="str">
        <f aca="false">IF(A267="","",IF(E267=0,"",AVERAGEIFS(Modulo!$C$2:$C$5001,Modulo!$A$2:$A$5001,"&gt;="&amp;C267,Modulo!$A$2:$A$5001,"&lt;"&amp;D267,Modulo!$D$2:$D$5001,Parametros!$B$7)))</f>
        <v/>
      </c>
      <c r="H267" s="25" t="str">
        <f aca="false">IF(A267="","",IFERROR(COUNTIFS(Amostragem!$A$2:$A$15003,"&gt;="&amp;C267,Amostragem!$A$2:$A$15003,"&lt;"&amp;D267,Amostragem!$B$2:$B$15003,"Automático",Amostragem!$C$2:$C$15003,"Automático",Amostragem!$D$2:$D$15003,0)/COUNTIFS(Amostragem!$A$2:$A$15003,"&gt;="&amp;C267,Amostragem!$A$2:$A$15003,"&lt;"&amp;D267),0))</f>
        <v/>
      </c>
      <c r="I267" s="23" t="str">
        <f aca="false">IF(A267="","",IFERROR(AVERAGEIFS(Amostragem!$E$2:$E$15003,Amostragem!$A$2:$A$15003,"&gt;="&amp;C267,Amostragem!$A$2:$A$15003,"&lt;"&amp;D267),""))</f>
        <v/>
      </c>
      <c r="J267" s="24" t="str">
        <f aca="false">IF(A267="","",IF(B267="","Inválida: sem resultado MES",IF(E267&lt;Parametros!$B$4,"Inválida: poucos ensaios do módulo",IF(H267&lt;Parametros!$B$5,"Inválida: amostragem em manual ou em falha",IF(OR(I267="",I267&lt;Parametros!$B$6),"Inválida: usina parada ou baixa alimentação","Válida")))))</f>
        <v/>
      </c>
      <c r="K267" s="23" t="str">
        <f aca="false">IF(J267="Válida",F267-B267,"")</f>
        <v/>
      </c>
      <c r="L267" s="26" t="str">
        <f aca="false">IF(J267="Válida",K267/B267,"")</f>
        <v/>
      </c>
      <c r="M267" s="23" t="str">
        <f aca="false">IF(J267="Válida",(F267+B267)/2,"")</f>
        <v/>
      </c>
      <c r="N267" s="24" t="str">
        <f aca="false">IF(K267="","",IF(OR(K267&gt;Resumo!$B$16,K267&lt;Resumo!$B$15),"Sim","Não"))</f>
        <v/>
      </c>
      <c r="O267" s="22" t="e">
        <f aca="false">IF(A267="",NA(),A267)</f>
        <v>#N/A</v>
      </c>
      <c r="P267" s="23" t="e">
        <f aca="false">IF(A267="",NA(),B267)</f>
        <v>#N/A</v>
      </c>
      <c r="Q267" s="23" t="e">
        <f aca="false">IF(F267="",NA(),F267)</f>
        <v>#N/A</v>
      </c>
      <c r="R267" s="23" t="e">
        <f aca="false">IF(K267="",NA(),K267)</f>
        <v>#N/A</v>
      </c>
      <c r="S267" s="23" t="e">
        <f aca="false">IF(M267="",NA(),M267)</f>
        <v>#N/A</v>
      </c>
      <c r="T267" s="23" t="str">
        <f aca="false">IF(J267="Válida",B267,"")</f>
        <v/>
      </c>
      <c r="U267" s="23" t="str">
        <f aca="false">IF(J267="Válida",F267,"")</f>
        <v/>
      </c>
    </row>
    <row r="268" customFormat="false" ht="15" hidden="false" customHeight="false" outlineLevel="0" collapsed="false">
      <c r="A268" s="22" t="str">
        <f aca="false">IF(MES!A268="","",MES!A268)</f>
        <v/>
      </c>
      <c r="B268" s="23" t="str">
        <f aca="false">IF(A268="","",MES!B268)</f>
        <v/>
      </c>
      <c r="C268" s="22" t="str">
        <f aca="false">IF(A268="","",A268+Parametros!$B$3/24)</f>
        <v/>
      </c>
      <c r="D268" s="22" t="str">
        <f aca="false">IF(A268="","",C268+Parametros!$B$2/24)</f>
        <v/>
      </c>
      <c r="E268" s="24" t="str">
        <f aca="false">IF(A268="","",COUNTIFS(Modulo!$A$2:$A$5001,"&gt;="&amp;C268,Modulo!$A$2:$A$5001,"&lt;"&amp;D268,Modulo!$D$2:$D$5001,Parametros!$B$7))</f>
        <v/>
      </c>
      <c r="F268" s="23" t="str">
        <f aca="false">IF(A268="","",IF(E268=0,"",AVERAGEIFS(Modulo!$B$2:$B$5001,Modulo!$A$2:$A$5001,"&gt;="&amp;C268,Modulo!$A$2:$A$5001,"&lt;"&amp;D268,Modulo!$D$2:$D$5001,Parametros!$B$7)))</f>
        <v/>
      </c>
      <c r="G268" s="23" t="str">
        <f aca="false">IF(A268="","",IF(E268=0,"",AVERAGEIFS(Modulo!$C$2:$C$5001,Modulo!$A$2:$A$5001,"&gt;="&amp;C268,Modulo!$A$2:$A$5001,"&lt;"&amp;D268,Modulo!$D$2:$D$5001,Parametros!$B$7)))</f>
        <v/>
      </c>
      <c r="H268" s="25" t="str">
        <f aca="false">IF(A268="","",IFERROR(COUNTIFS(Amostragem!$A$2:$A$15003,"&gt;="&amp;C268,Amostragem!$A$2:$A$15003,"&lt;"&amp;D268,Amostragem!$B$2:$B$15003,"Automático",Amostragem!$C$2:$C$15003,"Automático",Amostragem!$D$2:$D$15003,0)/COUNTIFS(Amostragem!$A$2:$A$15003,"&gt;="&amp;C268,Amostragem!$A$2:$A$15003,"&lt;"&amp;D268),0))</f>
        <v/>
      </c>
      <c r="I268" s="23" t="str">
        <f aca="false">IF(A268="","",IFERROR(AVERAGEIFS(Amostragem!$E$2:$E$15003,Amostragem!$A$2:$A$15003,"&gt;="&amp;C268,Amostragem!$A$2:$A$15003,"&lt;"&amp;D268),""))</f>
        <v/>
      </c>
      <c r="J268" s="24" t="str">
        <f aca="false">IF(A268="","",IF(B268="","Inválida: sem resultado MES",IF(E268&lt;Parametros!$B$4,"Inválida: poucos ensaios do módulo",IF(H268&lt;Parametros!$B$5,"Inválida: amostragem em manual ou em falha",IF(OR(I268="",I268&lt;Parametros!$B$6),"Inválida: usina parada ou baixa alimentação","Válida")))))</f>
        <v/>
      </c>
      <c r="K268" s="23" t="str">
        <f aca="false">IF(J268="Válida",F268-B268,"")</f>
        <v/>
      </c>
      <c r="L268" s="26" t="str">
        <f aca="false">IF(J268="Válida",K268/B268,"")</f>
        <v/>
      </c>
      <c r="M268" s="23" t="str">
        <f aca="false">IF(J268="Válida",(F268+B268)/2,"")</f>
        <v/>
      </c>
      <c r="N268" s="24" t="str">
        <f aca="false">IF(K268="","",IF(OR(K268&gt;Resumo!$B$16,K268&lt;Resumo!$B$15),"Sim","Não"))</f>
        <v/>
      </c>
      <c r="O268" s="22" t="e">
        <f aca="false">IF(A268="",NA(),A268)</f>
        <v>#N/A</v>
      </c>
      <c r="P268" s="23" t="e">
        <f aca="false">IF(A268="",NA(),B268)</f>
        <v>#N/A</v>
      </c>
      <c r="Q268" s="23" t="e">
        <f aca="false">IF(F268="",NA(),F268)</f>
        <v>#N/A</v>
      </c>
      <c r="R268" s="23" t="e">
        <f aca="false">IF(K268="",NA(),K268)</f>
        <v>#N/A</v>
      </c>
      <c r="S268" s="23" t="e">
        <f aca="false">IF(M268="",NA(),M268)</f>
        <v>#N/A</v>
      </c>
      <c r="T268" s="23" t="str">
        <f aca="false">IF(J268="Válida",B268,"")</f>
        <v/>
      </c>
      <c r="U268" s="23" t="str">
        <f aca="false">IF(J268="Válida",F268,"")</f>
        <v/>
      </c>
    </row>
    <row r="269" customFormat="false" ht="15" hidden="false" customHeight="false" outlineLevel="0" collapsed="false">
      <c r="A269" s="22" t="str">
        <f aca="false">IF(MES!A269="","",MES!A269)</f>
        <v/>
      </c>
      <c r="B269" s="23" t="str">
        <f aca="false">IF(A269="","",MES!B269)</f>
        <v/>
      </c>
      <c r="C269" s="22" t="str">
        <f aca="false">IF(A269="","",A269+Parametros!$B$3/24)</f>
        <v/>
      </c>
      <c r="D269" s="22" t="str">
        <f aca="false">IF(A269="","",C269+Parametros!$B$2/24)</f>
        <v/>
      </c>
      <c r="E269" s="24" t="str">
        <f aca="false">IF(A269="","",COUNTIFS(Modulo!$A$2:$A$5001,"&gt;="&amp;C269,Modulo!$A$2:$A$5001,"&lt;"&amp;D269,Modulo!$D$2:$D$5001,Parametros!$B$7))</f>
        <v/>
      </c>
      <c r="F269" s="23" t="str">
        <f aca="false">IF(A269="","",IF(E269=0,"",AVERAGEIFS(Modulo!$B$2:$B$5001,Modulo!$A$2:$A$5001,"&gt;="&amp;C269,Modulo!$A$2:$A$5001,"&lt;"&amp;D269,Modulo!$D$2:$D$5001,Parametros!$B$7)))</f>
        <v/>
      </c>
      <c r="G269" s="23" t="str">
        <f aca="false">IF(A269="","",IF(E269=0,"",AVERAGEIFS(Modulo!$C$2:$C$5001,Modulo!$A$2:$A$5001,"&gt;="&amp;C269,Modulo!$A$2:$A$5001,"&lt;"&amp;D269,Modulo!$D$2:$D$5001,Parametros!$B$7)))</f>
        <v/>
      </c>
      <c r="H269" s="25" t="str">
        <f aca="false">IF(A269="","",IFERROR(COUNTIFS(Amostragem!$A$2:$A$15003,"&gt;="&amp;C269,Amostragem!$A$2:$A$15003,"&lt;"&amp;D269,Amostragem!$B$2:$B$15003,"Automático",Amostragem!$C$2:$C$15003,"Automático",Amostragem!$D$2:$D$15003,0)/COUNTIFS(Amostragem!$A$2:$A$15003,"&gt;="&amp;C269,Amostragem!$A$2:$A$15003,"&lt;"&amp;D269),0))</f>
        <v/>
      </c>
      <c r="I269" s="23" t="str">
        <f aca="false">IF(A269="","",IFERROR(AVERAGEIFS(Amostragem!$E$2:$E$15003,Amostragem!$A$2:$A$15003,"&gt;="&amp;C269,Amostragem!$A$2:$A$15003,"&lt;"&amp;D269),""))</f>
        <v/>
      </c>
      <c r="J269" s="24" t="str">
        <f aca="false">IF(A269="","",IF(B269="","Inválida: sem resultado MES",IF(E269&lt;Parametros!$B$4,"Inválida: poucos ensaios do módulo",IF(H269&lt;Parametros!$B$5,"Inválida: amostragem em manual ou em falha",IF(OR(I269="",I269&lt;Parametros!$B$6),"Inválida: usina parada ou baixa alimentação","Válida")))))</f>
        <v/>
      </c>
      <c r="K269" s="23" t="str">
        <f aca="false">IF(J269="Válida",F269-B269,"")</f>
        <v/>
      </c>
      <c r="L269" s="26" t="str">
        <f aca="false">IF(J269="Válida",K269/B269,"")</f>
        <v/>
      </c>
      <c r="M269" s="23" t="str">
        <f aca="false">IF(J269="Válida",(F269+B269)/2,"")</f>
        <v/>
      </c>
      <c r="N269" s="24" t="str">
        <f aca="false">IF(K269="","",IF(OR(K269&gt;Resumo!$B$16,K269&lt;Resumo!$B$15),"Sim","Não"))</f>
        <v/>
      </c>
      <c r="O269" s="22" t="e">
        <f aca="false">IF(A269="",NA(),A269)</f>
        <v>#N/A</v>
      </c>
      <c r="P269" s="23" t="e">
        <f aca="false">IF(A269="",NA(),B269)</f>
        <v>#N/A</v>
      </c>
      <c r="Q269" s="23" t="e">
        <f aca="false">IF(F269="",NA(),F269)</f>
        <v>#N/A</v>
      </c>
      <c r="R269" s="23" t="e">
        <f aca="false">IF(K269="",NA(),K269)</f>
        <v>#N/A</v>
      </c>
      <c r="S269" s="23" t="e">
        <f aca="false">IF(M269="",NA(),M269)</f>
        <v>#N/A</v>
      </c>
      <c r="T269" s="23" t="str">
        <f aca="false">IF(J269="Válida",B269,"")</f>
        <v/>
      </c>
      <c r="U269" s="23" t="str">
        <f aca="false">IF(J269="Válida",F269,"")</f>
        <v/>
      </c>
    </row>
    <row r="270" customFormat="false" ht="15" hidden="false" customHeight="false" outlineLevel="0" collapsed="false">
      <c r="A270" s="22" t="str">
        <f aca="false">IF(MES!A270="","",MES!A270)</f>
        <v/>
      </c>
      <c r="B270" s="23" t="str">
        <f aca="false">IF(A270="","",MES!B270)</f>
        <v/>
      </c>
      <c r="C270" s="22" t="str">
        <f aca="false">IF(A270="","",A270+Parametros!$B$3/24)</f>
        <v/>
      </c>
      <c r="D270" s="22" t="str">
        <f aca="false">IF(A270="","",C270+Parametros!$B$2/24)</f>
        <v/>
      </c>
      <c r="E270" s="24" t="str">
        <f aca="false">IF(A270="","",COUNTIFS(Modulo!$A$2:$A$5001,"&gt;="&amp;C270,Modulo!$A$2:$A$5001,"&lt;"&amp;D270,Modulo!$D$2:$D$5001,Parametros!$B$7))</f>
        <v/>
      </c>
      <c r="F270" s="23" t="str">
        <f aca="false">IF(A270="","",IF(E270=0,"",AVERAGEIFS(Modulo!$B$2:$B$5001,Modulo!$A$2:$A$5001,"&gt;="&amp;C270,Modulo!$A$2:$A$5001,"&lt;"&amp;D270,Modulo!$D$2:$D$5001,Parametros!$B$7)))</f>
        <v/>
      </c>
      <c r="G270" s="23" t="str">
        <f aca="false">IF(A270="","",IF(E270=0,"",AVERAGEIFS(Modulo!$C$2:$C$5001,Modulo!$A$2:$A$5001,"&gt;="&amp;C270,Modulo!$A$2:$A$5001,"&lt;"&amp;D270,Modulo!$D$2:$D$5001,Parametros!$B$7)))</f>
        <v/>
      </c>
      <c r="H270" s="25" t="str">
        <f aca="false">IF(A270="","",IFERROR(COUNTIFS(Amostragem!$A$2:$A$15003,"&gt;="&amp;C270,Amostragem!$A$2:$A$15003,"&lt;"&amp;D270,Amostragem!$B$2:$B$15003,"Automático",Amostragem!$C$2:$C$15003,"Automático",Amostragem!$D$2:$D$15003,0)/COUNTIFS(Amostragem!$A$2:$A$15003,"&gt;="&amp;C270,Amostragem!$A$2:$A$15003,"&lt;"&amp;D270),0))</f>
        <v/>
      </c>
      <c r="I270" s="23" t="str">
        <f aca="false">IF(A270="","",IFERROR(AVERAGEIFS(Amostragem!$E$2:$E$15003,Amostragem!$A$2:$A$15003,"&gt;="&amp;C270,Amostragem!$A$2:$A$15003,"&lt;"&amp;D270),""))</f>
        <v/>
      </c>
      <c r="J270" s="24" t="str">
        <f aca="false">IF(A270="","",IF(B270="","Inválida: sem resultado MES",IF(E270&lt;Parametros!$B$4,"Inválida: poucos ensaios do módulo",IF(H270&lt;Parametros!$B$5,"Inválida: amostragem em manual ou em falha",IF(OR(I270="",I270&lt;Parametros!$B$6),"Inválida: usina parada ou baixa alimentação","Válida")))))</f>
        <v/>
      </c>
      <c r="K270" s="23" t="str">
        <f aca="false">IF(J270="Válida",F270-B270,"")</f>
        <v/>
      </c>
      <c r="L270" s="26" t="str">
        <f aca="false">IF(J270="Válida",K270/B270,"")</f>
        <v/>
      </c>
      <c r="M270" s="23" t="str">
        <f aca="false">IF(J270="Válida",(F270+B270)/2,"")</f>
        <v/>
      </c>
      <c r="N270" s="24" t="str">
        <f aca="false">IF(K270="","",IF(OR(K270&gt;Resumo!$B$16,K270&lt;Resumo!$B$15),"Sim","Não"))</f>
        <v/>
      </c>
      <c r="O270" s="22" t="e">
        <f aca="false">IF(A270="",NA(),A270)</f>
        <v>#N/A</v>
      </c>
      <c r="P270" s="23" t="e">
        <f aca="false">IF(A270="",NA(),B270)</f>
        <v>#N/A</v>
      </c>
      <c r="Q270" s="23" t="e">
        <f aca="false">IF(F270="",NA(),F270)</f>
        <v>#N/A</v>
      </c>
      <c r="R270" s="23" t="e">
        <f aca="false">IF(K270="",NA(),K270)</f>
        <v>#N/A</v>
      </c>
      <c r="S270" s="23" t="e">
        <f aca="false">IF(M270="",NA(),M270)</f>
        <v>#N/A</v>
      </c>
      <c r="T270" s="23" t="str">
        <f aca="false">IF(J270="Válida",B270,"")</f>
        <v/>
      </c>
      <c r="U270" s="23" t="str">
        <f aca="false">IF(J270="Válida",F270,"")</f>
        <v/>
      </c>
    </row>
    <row r="271" customFormat="false" ht="15" hidden="false" customHeight="false" outlineLevel="0" collapsed="false">
      <c r="A271" s="22" t="str">
        <f aca="false">IF(MES!A271="","",MES!A271)</f>
        <v/>
      </c>
      <c r="B271" s="23" t="str">
        <f aca="false">IF(A271="","",MES!B271)</f>
        <v/>
      </c>
      <c r="C271" s="22" t="str">
        <f aca="false">IF(A271="","",A271+Parametros!$B$3/24)</f>
        <v/>
      </c>
      <c r="D271" s="22" t="str">
        <f aca="false">IF(A271="","",C271+Parametros!$B$2/24)</f>
        <v/>
      </c>
      <c r="E271" s="24" t="str">
        <f aca="false">IF(A271="","",COUNTIFS(Modulo!$A$2:$A$5001,"&gt;="&amp;C271,Modulo!$A$2:$A$5001,"&lt;"&amp;D271,Modulo!$D$2:$D$5001,Parametros!$B$7))</f>
        <v/>
      </c>
      <c r="F271" s="23" t="str">
        <f aca="false">IF(A271="","",IF(E271=0,"",AVERAGEIFS(Modulo!$B$2:$B$5001,Modulo!$A$2:$A$5001,"&gt;="&amp;C271,Modulo!$A$2:$A$5001,"&lt;"&amp;D271,Modulo!$D$2:$D$5001,Parametros!$B$7)))</f>
        <v/>
      </c>
      <c r="G271" s="23" t="str">
        <f aca="false">IF(A271="","",IF(E271=0,"",AVERAGEIFS(Modulo!$C$2:$C$5001,Modulo!$A$2:$A$5001,"&gt;="&amp;C271,Modulo!$A$2:$A$5001,"&lt;"&amp;D271,Modulo!$D$2:$D$5001,Parametros!$B$7)))</f>
        <v/>
      </c>
      <c r="H271" s="25" t="str">
        <f aca="false">IF(A271="","",IFERROR(COUNTIFS(Amostragem!$A$2:$A$15003,"&gt;="&amp;C271,Amostragem!$A$2:$A$15003,"&lt;"&amp;D271,Amostragem!$B$2:$B$15003,"Automático",Amostragem!$C$2:$C$15003,"Automático",Amostragem!$D$2:$D$15003,0)/COUNTIFS(Amostragem!$A$2:$A$15003,"&gt;="&amp;C271,Amostragem!$A$2:$A$15003,"&lt;"&amp;D271),0))</f>
        <v/>
      </c>
      <c r="I271" s="23" t="str">
        <f aca="false">IF(A271="","",IFERROR(AVERAGEIFS(Amostragem!$E$2:$E$15003,Amostragem!$A$2:$A$15003,"&gt;="&amp;C271,Amostragem!$A$2:$A$15003,"&lt;"&amp;D271),""))</f>
        <v/>
      </c>
      <c r="J271" s="24" t="str">
        <f aca="false">IF(A271="","",IF(B271="","Inválida: sem resultado MES",IF(E271&lt;Parametros!$B$4,"Inválida: poucos ensaios do módulo",IF(H271&lt;Parametros!$B$5,"Inválida: amostragem em manual ou em falha",IF(OR(I271="",I271&lt;Parametros!$B$6),"Inválida: usina parada ou baixa alimentação","Válida")))))</f>
        <v/>
      </c>
      <c r="K271" s="23" t="str">
        <f aca="false">IF(J271="Válida",F271-B271,"")</f>
        <v/>
      </c>
      <c r="L271" s="26" t="str">
        <f aca="false">IF(J271="Válida",K271/B271,"")</f>
        <v/>
      </c>
      <c r="M271" s="23" t="str">
        <f aca="false">IF(J271="Válida",(F271+B271)/2,"")</f>
        <v/>
      </c>
      <c r="N271" s="24" t="str">
        <f aca="false">IF(K271="","",IF(OR(K271&gt;Resumo!$B$16,K271&lt;Resumo!$B$15),"Sim","Não"))</f>
        <v/>
      </c>
      <c r="O271" s="22" t="e">
        <f aca="false">IF(A271="",NA(),A271)</f>
        <v>#N/A</v>
      </c>
      <c r="P271" s="23" t="e">
        <f aca="false">IF(A271="",NA(),B271)</f>
        <v>#N/A</v>
      </c>
      <c r="Q271" s="23" t="e">
        <f aca="false">IF(F271="",NA(),F271)</f>
        <v>#N/A</v>
      </c>
      <c r="R271" s="23" t="e">
        <f aca="false">IF(K271="",NA(),K271)</f>
        <v>#N/A</v>
      </c>
      <c r="S271" s="23" t="e">
        <f aca="false">IF(M271="",NA(),M271)</f>
        <v>#N/A</v>
      </c>
      <c r="T271" s="23" t="str">
        <f aca="false">IF(J271="Válida",B271,"")</f>
        <v/>
      </c>
      <c r="U271" s="23" t="str">
        <f aca="false">IF(J271="Válida",F271,"")</f>
        <v/>
      </c>
    </row>
    <row r="272" customFormat="false" ht="15" hidden="false" customHeight="false" outlineLevel="0" collapsed="false">
      <c r="A272" s="22" t="str">
        <f aca="false">IF(MES!A272="","",MES!A272)</f>
        <v/>
      </c>
      <c r="B272" s="23" t="str">
        <f aca="false">IF(A272="","",MES!B272)</f>
        <v/>
      </c>
      <c r="C272" s="22" t="str">
        <f aca="false">IF(A272="","",A272+Parametros!$B$3/24)</f>
        <v/>
      </c>
      <c r="D272" s="22" t="str">
        <f aca="false">IF(A272="","",C272+Parametros!$B$2/24)</f>
        <v/>
      </c>
      <c r="E272" s="24" t="str">
        <f aca="false">IF(A272="","",COUNTIFS(Modulo!$A$2:$A$5001,"&gt;="&amp;C272,Modulo!$A$2:$A$5001,"&lt;"&amp;D272,Modulo!$D$2:$D$5001,Parametros!$B$7))</f>
        <v/>
      </c>
      <c r="F272" s="23" t="str">
        <f aca="false">IF(A272="","",IF(E272=0,"",AVERAGEIFS(Modulo!$B$2:$B$5001,Modulo!$A$2:$A$5001,"&gt;="&amp;C272,Modulo!$A$2:$A$5001,"&lt;"&amp;D272,Modulo!$D$2:$D$5001,Parametros!$B$7)))</f>
        <v/>
      </c>
      <c r="G272" s="23" t="str">
        <f aca="false">IF(A272="","",IF(E272=0,"",AVERAGEIFS(Modulo!$C$2:$C$5001,Modulo!$A$2:$A$5001,"&gt;="&amp;C272,Modulo!$A$2:$A$5001,"&lt;"&amp;D272,Modulo!$D$2:$D$5001,Parametros!$B$7)))</f>
        <v/>
      </c>
      <c r="H272" s="25" t="str">
        <f aca="false">IF(A272="","",IFERROR(COUNTIFS(Amostragem!$A$2:$A$15003,"&gt;="&amp;C272,Amostragem!$A$2:$A$15003,"&lt;"&amp;D272,Amostragem!$B$2:$B$15003,"Automático",Amostragem!$C$2:$C$15003,"Automático",Amostragem!$D$2:$D$15003,0)/COUNTIFS(Amostragem!$A$2:$A$15003,"&gt;="&amp;C272,Amostragem!$A$2:$A$15003,"&lt;"&amp;D272),0))</f>
        <v/>
      </c>
      <c r="I272" s="23" t="str">
        <f aca="false">IF(A272="","",IFERROR(AVERAGEIFS(Amostragem!$E$2:$E$15003,Amostragem!$A$2:$A$15003,"&gt;="&amp;C272,Amostragem!$A$2:$A$15003,"&lt;"&amp;D272),""))</f>
        <v/>
      </c>
      <c r="J272" s="24" t="str">
        <f aca="false">IF(A272="","",IF(B272="","Inválida: sem resultado MES",IF(E272&lt;Parametros!$B$4,"Inválida: poucos ensaios do módulo",IF(H272&lt;Parametros!$B$5,"Inválida: amostragem em manual ou em falha",IF(OR(I272="",I272&lt;Parametros!$B$6),"Inválida: usina parada ou baixa alimentação","Válida")))))</f>
        <v/>
      </c>
      <c r="K272" s="23" t="str">
        <f aca="false">IF(J272="Válida",F272-B272,"")</f>
        <v/>
      </c>
      <c r="L272" s="26" t="str">
        <f aca="false">IF(J272="Válida",K272/B272,"")</f>
        <v/>
      </c>
      <c r="M272" s="23" t="str">
        <f aca="false">IF(J272="Válida",(F272+B272)/2,"")</f>
        <v/>
      </c>
      <c r="N272" s="24" t="str">
        <f aca="false">IF(K272="","",IF(OR(K272&gt;Resumo!$B$16,K272&lt;Resumo!$B$15),"Sim","Não"))</f>
        <v/>
      </c>
      <c r="O272" s="22" t="e">
        <f aca="false">IF(A272="",NA(),A272)</f>
        <v>#N/A</v>
      </c>
      <c r="P272" s="23" t="e">
        <f aca="false">IF(A272="",NA(),B272)</f>
        <v>#N/A</v>
      </c>
      <c r="Q272" s="23" t="e">
        <f aca="false">IF(F272="",NA(),F272)</f>
        <v>#N/A</v>
      </c>
      <c r="R272" s="23" t="e">
        <f aca="false">IF(K272="",NA(),K272)</f>
        <v>#N/A</v>
      </c>
      <c r="S272" s="23" t="e">
        <f aca="false">IF(M272="",NA(),M272)</f>
        <v>#N/A</v>
      </c>
      <c r="T272" s="23" t="str">
        <f aca="false">IF(J272="Válida",B272,"")</f>
        <v/>
      </c>
      <c r="U272" s="23" t="str">
        <f aca="false">IF(J272="Válida",F272,"")</f>
        <v/>
      </c>
    </row>
    <row r="273" customFormat="false" ht="15" hidden="false" customHeight="false" outlineLevel="0" collapsed="false">
      <c r="A273" s="22" t="str">
        <f aca="false">IF(MES!A273="","",MES!A273)</f>
        <v/>
      </c>
      <c r="B273" s="23" t="str">
        <f aca="false">IF(A273="","",MES!B273)</f>
        <v/>
      </c>
      <c r="C273" s="22" t="str">
        <f aca="false">IF(A273="","",A273+Parametros!$B$3/24)</f>
        <v/>
      </c>
      <c r="D273" s="22" t="str">
        <f aca="false">IF(A273="","",C273+Parametros!$B$2/24)</f>
        <v/>
      </c>
      <c r="E273" s="24" t="str">
        <f aca="false">IF(A273="","",COUNTIFS(Modulo!$A$2:$A$5001,"&gt;="&amp;C273,Modulo!$A$2:$A$5001,"&lt;"&amp;D273,Modulo!$D$2:$D$5001,Parametros!$B$7))</f>
        <v/>
      </c>
      <c r="F273" s="23" t="str">
        <f aca="false">IF(A273="","",IF(E273=0,"",AVERAGEIFS(Modulo!$B$2:$B$5001,Modulo!$A$2:$A$5001,"&gt;="&amp;C273,Modulo!$A$2:$A$5001,"&lt;"&amp;D273,Modulo!$D$2:$D$5001,Parametros!$B$7)))</f>
        <v/>
      </c>
      <c r="G273" s="23" t="str">
        <f aca="false">IF(A273="","",IF(E273=0,"",AVERAGEIFS(Modulo!$C$2:$C$5001,Modulo!$A$2:$A$5001,"&gt;="&amp;C273,Modulo!$A$2:$A$5001,"&lt;"&amp;D273,Modulo!$D$2:$D$5001,Parametros!$B$7)))</f>
        <v/>
      </c>
      <c r="H273" s="25" t="str">
        <f aca="false">IF(A273="","",IFERROR(COUNTIFS(Amostragem!$A$2:$A$15003,"&gt;="&amp;C273,Amostragem!$A$2:$A$15003,"&lt;"&amp;D273,Amostragem!$B$2:$B$15003,"Automático",Amostragem!$C$2:$C$15003,"Automático",Amostragem!$D$2:$D$15003,0)/COUNTIFS(Amostragem!$A$2:$A$15003,"&gt;="&amp;C273,Amostragem!$A$2:$A$15003,"&lt;"&amp;D273),0))</f>
        <v/>
      </c>
      <c r="I273" s="23" t="str">
        <f aca="false">IF(A273="","",IFERROR(AVERAGEIFS(Amostragem!$E$2:$E$15003,Amostragem!$A$2:$A$15003,"&gt;="&amp;C273,Amostragem!$A$2:$A$15003,"&lt;"&amp;D273),""))</f>
        <v/>
      </c>
      <c r="J273" s="24" t="str">
        <f aca="false">IF(A273="","",IF(B273="","Inválida: sem resultado MES",IF(E273&lt;Parametros!$B$4,"Inválida: poucos ensaios do módulo",IF(H273&lt;Parametros!$B$5,"Inválida: amostragem em manual ou em falha",IF(OR(I273="",I273&lt;Parametros!$B$6),"Inválida: usina parada ou baixa alimentação","Válida")))))</f>
        <v/>
      </c>
      <c r="K273" s="23" t="str">
        <f aca="false">IF(J273="Válida",F273-B273,"")</f>
        <v/>
      </c>
      <c r="L273" s="26" t="str">
        <f aca="false">IF(J273="Válida",K273/B273,"")</f>
        <v/>
      </c>
      <c r="M273" s="23" t="str">
        <f aca="false">IF(J273="Válida",(F273+B273)/2,"")</f>
        <v/>
      </c>
      <c r="N273" s="24" t="str">
        <f aca="false">IF(K273="","",IF(OR(K273&gt;Resumo!$B$16,K273&lt;Resumo!$B$15),"Sim","Não"))</f>
        <v/>
      </c>
      <c r="O273" s="22" t="e">
        <f aca="false">IF(A273="",NA(),A273)</f>
        <v>#N/A</v>
      </c>
      <c r="P273" s="23" t="e">
        <f aca="false">IF(A273="",NA(),B273)</f>
        <v>#N/A</v>
      </c>
      <c r="Q273" s="23" t="e">
        <f aca="false">IF(F273="",NA(),F273)</f>
        <v>#N/A</v>
      </c>
      <c r="R273" s="23" t="e">
        <f aca="false">IF(K273="",NA(),K273)</f>
        <v>#N/A</v>
      </c>
      <c r="S273" s="23" t="e">
        <f aca="false">IF(M273="",NA(),M273)</f>
        <v>#N/A</v>
      </c>
      <c r="T273" s="23" t="str">
        <f aca="false">IF(J273="Válida",B273,"")</f>
        <v/>
      </c>
      <c r="U273" s="23" t="str">
        <f aca="false">IF(J273="Válida",F273,"")</f>
        <v/>
      </c>
    </row>
    <row r="274" customFormat="false" ht="15" hidden="false" customHeight="false" outlineLevel="0" collapsed="false">
      <c r="A274" s="22" t="str">
        <f aca="false">IF(MES!A274="","",MES!A274)</f>
        <v/>
      </c>
      <c r="B274" s="23" t="str">
        <f aca="false">IF(A274="","",MES!B274)</f>
        <v/>
      </c>
      <c r="C274" s="22" t="str">
        <f aca="false">IF(A274="","",A274+Parametros!$B$3/24)</f>
        <v/>
      </c>
      <c r="D274" s="22" t="str">
        <f aca="false">IF(A274="","",C274+Parametros!$B$2/24)</f>
        <v/>
      </c>
      <c r="E274" s="24" t="str">
        <f aca="false">IF(A274="","",COUNTIFS(Modulo!$A$2:$A$5001,"&gt;="&amp;C274,Modulo!$A$2:$A$5001,"&lt;"&amp;D274,Modulo!$D$2:$D$5001,Parametros!$B$7))</f>
        <v/>
      </c>
      <c r="F274" s="23" t="str">
        <f aca="false">IF(A274="","",IF(E274=0,"",AVERAGEIFS(Modulo!$B$2:$B$5001,Modulo!$A$2:$A$5001,"&gt;="&amp;C274,Modulo!$A$2:$A$5001,"&lt;"&amp;D274,Modulo!$D$2:$D$5001,Parametros!$B$7)))</f>
        <v/>
      </c>
      <c r="G274" s="23" t="str">
        <f aca="false">IF(A274="","",IF(E274=0,"",AVERAGEIFS(Modulo!$C$2:$C$5001,Modulo!$A$2:$A$5001,"&gt;="&amp;C274,Modulo!$A$2:$A$5001,"&lt;"&amp;D274,Modulo!$D$2:$D$5001,Parametros!$B$7)))</f>
        <v/>
      </c>
      <c r="H274" s="25" t="str">
        <f aca="false">IF(A274="","",IFERROR(COUNTIFS(Amostragem!$A$2:$A$15003,"&gt;="&amp;C274,Amostragem!$A$2:$A$15003,"&lt;"&amp;D274,Amostragem!$B$2:$B$15003,"Automático",Amostragem!$C$2:$C$15003,"Automático",Amostragem!$D$2:$D$15003,0)/COUNTIFS(Amostragem!$A$2:$A$15003,"&gt;="&amp;C274,Amostragem!$A$2:$A$15003,"&lt;"&amp;D274),0))</f>
        <v/>
      </c>
      <c r="I274" s="23" t="str">
        <f aca="false">IF(A274="","",IFERROR(AVERAGEIFS(Amostragem!$E$2:$E$15003,Amostragem!$A$2:$A$15003,"&gt;="&amp;C274,Amostragem!$A$2:$A$15003,"&lt;"&amp;D274),""))</f>
        <v/>
      </c>
      <c r="J274" s="24" t="str">
        <f aca="false">IF(A274="","",IF(B274="","Inválida: sem resultado MES",IF(E274&lt;Parametros!$B$4,"Inválida: poucos ensaios do módulo",IF(H274&lt;Parametros!$B$5,"Inválida: amostragem em manual ou em falha",IF(OR(I274="",I274&lt;Parametros!$B$6),"Inválida: usina parada ou baixa alimentação","Válida")))))</f>
        <v/>
      </c>
      <c r="K274" s="23" t="str">
        <f aca="false">IF(J274="Válida",F274-B274,"")</f>
        <v/>
      </c>
      <c r="L274" s="26" t="str">
        <f aca="false">IF(J274="Válida",K274/B274,"")</f>
        <v/>
      </c>
      <c r="M274" s="23" t="str">
        <f aca="false">IF(J274="Válida",(F274+B274)/2,"")</f>
        <v/>
      </c>
      <c r="N274" s="24" t="str">
        <f aca="false">IF(K274="","",IF(OR(K274&gt;Resumo!$B$16,K274&lt;Resumo!$B$15),"Sim","Não"))</f>
        <v/>
      </c>
      <c r="O274" s="22" t="e">
        <f aca="false">IF(A274="",NA(),A274)</f>
        <v>#N/A</v>
      </c>
      <c r="P274" s="23" t="e">
        <f aca="false">IF(A274="",NA(),B274)</f>
        <v>#N/A</v>
      </c>
      <c r="Q274" s="23" t="e">
        <f aca="false">IF(F274="",NA(),F274)</f>
        <v>#N/A</v>
      </c>
      <c r="R274" s="23" t="e">
        <f aca="false">IF(K274="",NA(),K274)</f>
        <v>#N/A</v>
      </c>
      <c r="S274" s="23" t="e">
        <f aca="false">IF(M274="",NA(),M274)</f>
        <v>#N/A</v>
      </c>
      <c r="T274" s="23" t="str">
        <f aca="false">IF(J274="Válida",B274,"")</f>
        <v/>
      </c>
      <c r="U274" s="23" t="str">
        <f aca="false">IF(J274="Válida",F274,"")</f>
        <v/>
      </c>
    </row>
    <row r="275" customFormat="false" ht="15" hidden="false" customHeight="false" outlineLevel="0" collapsed="false">
      <c r="A275" s="22" t="str">
        <f aca="false">IF(MES!A275="","",MES!A275)</f>
        <v/>
      </c>
      <c r="B275" s="23" t="str">
        <f aca="false">IF(A275="","",MES!B275)</f>
        <v/>
      </c>
      <c r="C275" s="22" t="str">
        <f aca="false">IF(A275="","",A275+Parametros!$B$3/24)</f>
        <v/>
      </c>
      <c r="D275" s="22" t="str">
        <f aca="false">IF(A275="","",C275+Parametros!$B$2/24)</f>
        <v/>
      </c>
      <c r="E275" s="24" t="str">
        <f aca="false">IF(A275="","",COUNTIFS(Modulo!$A$2:$A$5001,"&gt;="&amp;C275,Modulo!$A$2:$A$5001,"&lt;"&amp;D275,Modulo!$D$2:$D$5001,Parametros!$B$7))</f>
        <v/>
      </c>
      <c r="F275" s="23" t="str">
        <f aca="false">IF(A275="","",IF(E275=0,"",AVERAGEIFS(Modulo!$B$2:$B$5001,Modulo!$A$2:$A$5001,"&gt;="&amp;C275,Modulo!$A$2:$A$5001,"&lt;"&amp;D275,Modulo!$D$2:$D$5001,Parametros!$B$7)))</f>
        <v/>
      </c>
      <c r="G275" s="23" t="str">
        <f aca="false">IF(A275="","",IF(E275=0,"",AVERAGEIFS(Modulo!$C$2:$C$5001,Modulo!$A$2:$A$5001,"&gt;="&amp;C275,Modulo!$A$2:$A$5001,"&lt;"&amp;D275,Modulo!$D$2:$D$5001,Parametros!$B$7)))</f>
        <v/>
      </c>
      <c r="H275" s="25" t="str">
        <f aca="false">IF(A275="","",IFERROR(COUNTIFS(Amostragem!$A$2:$A$15003,"&gt;="&amp;C275,Amostragem!$A$2:$A$15003,"&lt;"&amp;D275,Amostragem!$B$2:$B$15003,"Automático",Amostragem!$C$2:$C$15003,"Automático",Amostragem!$D$2:$D$15003,0)/COUNTIFS(Amostragem!$A$2:$A$15003,"&gt;="&amp;C275,Amostragem!$A$2:$A$15003,"&lt;"&amp;D275),0))</f>
        <v/>
      </c>
      <c r="I275" s="23" t="str">
        <f aca="false">IF(A275="","",IFERROR(AVERAGEIFS(Amostragem!$E$2:$E$15003,Amostragem!$A$2:$A$15003,"&gt;="&amp;C275,Amostragem!$A$2:$A$15003,"&lt;"&amp;D275),""))</f>
        <v/>
      </c>
      <c r="J275" s="24" t="str">
        <f aca="false">IF(A275="","",IF(B275="","Inválida: sem resultado MES",IF(E275&lt;Parametros!$B$4,"Inválida: poucos ensaios do módulo",IF(H275&lt;Parametros!$B$5,"Inválida: amostragem em manual ou em falha",IF(OR(I275="",I275&lt;Parametros!$B$6),"Inválida: usina parada ou baixa alimentação","Válida")))))</f>
        <v/>
      </c>
      <c r="K275" s="23" t="str">
        <f aca="false">IF(J275="Válida",F275-B275,"")</f>
        <v/>
      </c>
      <c r="L275" s="26" t="str">
        <f aca="false">IF(J275="Válida",K275/B275,"")</f>
        <v/>
      </c>
      <c r="M275" s="23" t="str">
        <f aca="false">IF(J275="Válida",(F275+B275)/2,"")</f>
        <v/>
      </c>
      <c r="N275" s="24" t="str">
        <f aca="false">IF(K275="","",IF(OR(K275&gt;Resumo!$B$16,K275&lt;Resumo!$B$15),"Sim","Não"))</f>
        <v/>
      </c>
      <c r="O275" s="22" t="e">
        <f aca="false">IF(A275="",NA(),A275)</f>
        <v>#N/A</v>
      </c>
      <c r="P275" s="23" t="e">
        <f aca="false">IF(A275="",NA(),B275)</f>
        <v>#N/A</v>
      </c>
      <c r="Q275" s="23" t="e">
        <f aca="false">IF(F275="",NA(),F275)</f>
        <v>#N/A</v>
      </c>
      <c r="R275" s="23" t="e">
        <f aca="false">IF(K275="",NA(),K275)</f>
        <v>#N/A</v>
      </c>
      <c r="S275" s="23" t="e">
        <f aca="false">IF(M275="",NA(),M275)</f>
        <v>#N/A</v>
      </c>
      <c r="T275" s="23" t="str">
        <f aca="false">IF(J275="Válida",B275,"")</f>
        <v/>
      </c>
      <c r="U275" s="23" t="str">
        <f aca="false">IF(J275="Válida",F275,"")</f>
        <v/>
      </c>
    </row>
    <row r="276" customFormat="false" ht="15" hidden="false" customHeight="false" outlineLevel="0" collapsed="false">
      <c r="A276" s="22" t="str">
        <f aca="false">IF(MES!A276="","",MES!A276)</f>
        <v/>
      </c>
      <c r="B276" s="23" t="str">
        <f aca="false">IF(A276="","",MES!B276)</f>
        <v/>
      </c>
      <c r="C276" s="22" t="str">
        <f aca="false">IF(A276="","",A276+Parametros!$B$3/24)</f>
        <v/>
      </c>
      <c r="D276" s="22" t="str">
        <f aca="false">IF(A276="","",C276+Parametros!$B$2/24)</f>
        <v/>
      </c>
      <c r="E276" s="24" t="str">
        <f aca="false">IF(A276="","",COUNTIFS(Modulo!$A$2:$A$5001,"&gt;="&amp;C276,Modulo!$A$2:$A$5001,"&lt;"&amp;D276,Modulo!$D$2:$D$5001,Parametros!$B$7))</f>
        <v/>
      </c>
      <c r="F276" s="23" t="str">
        <f aca="false">IF(A276="","",IF(E276=0,"",AVERAGEIFS(Modulo!$B$2:$B$5001,Modulo!$A$2:$A$5001,"&gt;="&amp;C276,Modulo!$A$2:$A$5001,"&lt;"&amp;D276,Modulo!$D$2:$D$5001,Parametros!$B$7)))</f>
        <v/>
      </c>
      <c r="G276" s="23" t="str">
        <f aca="false">IF(A276="","",IF(E276=0,"",AVERAGEIFS(Modulo!$C$2:$C$5001,Modulo!$A$2:$A$5001,"&gt;="&amp;C276,Modulo!$A$2:$A$5001,"&lt;"&amp;D276,Modulo!$D$2:$D$5001,Parametros!$B$7)))</f>
        <v/>
      </c>
      <c r="H276" s="25" t="str">
        <f aca="false">IF(A276="","",IFERROR(COUNTIFS(Amostragem!$A$2:$A$15003,"&gt;="&amp;C276,Amostragem!$A$2:$A$15003,"&lt;"&amp;D276,Amostragem!$B$2:$B$15003,"Automático",Amostragem!$C$2:$C$15003,"Automático",Amostragem!$D$2:$D$15003,0)/COUNTIFS(Amostragem!$A$2:$A$15003,"&gt;="&amp;C276,Amostragem!$A$2:$A$15003,"&lt;"&amp;D276),0))</f>
        <v/>
      </c>
      <c r="I276" s="23" t="str">
        <f aca="false">IF(A276="","",IFERROR(AVERAGEIFS(Amostragem!$E$2:$E$15003,Amostragem!$A$2:$A$15003,"&gt;="&amp;C276,Amostragem!$A$2:$A$15003,"&lt;"&amp;D276),""))</f>
        <v/>
      </c>
      <c r="J276" s="24" t="str">
        <f aca="false">IF(A276="","",IF(B276="","Inválida: sem resultado MES",IF(E276&lt;Parametros!$B$4,"Inválida: poucos ensaios do módulo",IF(H276&lt;Parametros!$B$5,"Inválida: amostragem em manual ou em falha",IF(OR(I276="",I276&lt;Parametros!$B$6),"Inválida: usina parada ou baixa alimentação","Válida")))))</f>
        <v/>
      </c>
      <c r="K276" s="23" t="str">
        <f aca="false">IF(J276="Válida",F276-B276,"")</f>
        <v/>
      </c>
      <c r="L276" s="26" t="str">
        <f aca="false">IF(J276="Válida",K276/B276,"")</f>
        <v/>
      </c>
      <c r="M276" s="23" t="str">
        <f aca="false">IF(J276="Válida",(F276+B276)/2,"")</f>
        <v/>
      </c>
      <c r="N276" s="24" t="str">
        <f aca="false">IF(K276="","",IF(OR(K276&gt;Resumo!$B$16,K276&lt;Resumo!$B$15),"Sim","Não"))</f>
        <v/>
      </c>
      <c r="O276" s="22" t="e">
        <f aca="false">IF(A276="",NA(),A276)</f>
        <v>#N/A</v>
      </c>
      <c r="P276" s="23" t="e">
        <f aca="false">IF(A276="",NA(),B276)</f>
        <v>#N/A</v>
      </c>
      <c r="Q276" s="23" t="e">
        <f aca="false">IF(F276="",NA(),F276)</f>
        <v>#N/A</v>
      </c>
      <c r="R276" s="23" t="e">
        <f aca="false">IF(K276="",NA(),K276)</f>
        <v>#N/A</v>
      </c>
      <c r="S276" s="23" t="e">
        <f aca="false">IF(M276="",NA(),M276)</f>
        <v>#N/A</v>
      </c>
      <c r="T276" s="23" t="str">
        <f aca="false">IF(J276="Válida",B276,"")</f>
        <v/>
      </c>
      <c r="U276" s="23" t="str">
        <f aca="false">IF(J276="Válida",F276,"")</f>
        <v/>
      </c>
    </row>
    <row r="277" customFormat="false" ht="15" hidden="false" customHeight="false" outlineLevel="0" collapsed="false">
      <c r="A277" s="22" t="str">
        <f aca="false">IF(MES!A277="","",MES!A277)</f>
        <v/>
      </c>
      <c r="B277" s="23" t="str">
        <f aca="false">IF(A277="","",MES!B277)</f>
        <v/>
      </c>
      <c r="C277" s="22" t="str">
        <f aca="false">IF(A277="","",A277+Parametros!$B$3/24)</f>
        <v/>
      </c>
      <c r="D277" s="22" t="str">
        <f aca="false">IF(A277="","",C277+Parametros!$B$2/24)</f>
        <v/>
      </c>
      <c r="E277" s="24" t="str">
        <f aca="false">IF(A277="","",COUNTIFS(Modulo!$A$2:$A$5001,"&gt;="&amp;C277,Modulo!$A$2:$A$5001,"&lt;"&amp;D277,Modulo!$D$2:$D$5001,Parametros!$B$7))</f>
        <v/>
      </c>
      <c r="F277" s="23" t="str">
        <f aca="false">IF(A277="","",IF(E277=0,"",AVERAGEIFS(Modulo!$B$2:$B$5001,Modulo!$A$2:$A$5001,"&gt;="&amp;C277,Modulo!$A$2:$A$5001,"&lt;"&amp;D277,Modulo!$D$2:$D$5001,Parametros!$B$7)))</f>
        <v/>
      </c>
      <c r="G277" s="23" t="str">
        <f aca="false">IF(A277="","",IF(E277=0,"",AVERAGEIFS(Modulo!$C$2:$C$5001,Modulo!$A$2:$A$5001,"&gt;="&amp;C277,Modulo!$A$2:$A$5001,"&lt;"&amp;D277,Modulo!$D$2:$D$5001,Parametros!$B$7)))</f>
        <v/>
      </c>
      <c r="H277" s="25" t="str">
        <f aca="false">IF(A277="","",IFERROR(COUNTIFS(Amostragem!$A$2:$A$15003,"&gt;="&amp;C277,Amostragem!$A$2:$A$15003,"&lt;"&amp;D277,Amostragem!$B$2:$B$15003,"Automático",Amostragem!$C$2:$C$15003,"Automático",Amostragem!$D$2:$D$15003,0)/COUNTIFS(Amostragem!$A$2:$A$15003,"&gt;="&amp;C277,Amostragem!$A$2:$A$15003,"&lt;"&amp;D277),0))</f>
        <v/>
      </c>
      <c r="I277" s="23" t="str">
        <f aca="false">IF(A277="","",IFERROR(AVERAGEIFS(Amostragem!$E$2:$E$15003,Amostragem!$A$2:$A$15003,"&gt;="&amp;C277,Amostragem!$A$2:$A$15003,"&lt;"&amp;D277),""))</f>
        <v/>
      </c>
      <c r="J277" s="24" t="str">
        <f aca="false">IF(A277="","",IF(B277="","Inválida: sem resultado MES",IF(E277&lt;Parametros!$B$4,"Inválida: poucos ensaios do módulo",IF(H277&lt;Parametros!$B$5,"Inválida: amostragem em manual ou em falha",IF(OR(I277="",I277&lt;Parametros!$B$6),"Inválida: usina parada ou baixa alimentação","Válida")))))</f>
        <v/>
      </c>
      <c r="K277" s="23" t="str">
        <f aca="false">IF(J277="Válida",F277-B277,"")</f>
        <v/>
      </c>
      <c r="L277" s="26" t="str">
        <f aca="false">IF(J277="Válida",K277/B277,"")</f>
        <v/>
      </c>
      <c r="M277" s="23" t="str">
        <f aca="false">IF(J277="Válida",(F277+B277)/2,"")</f>
        <v/>
      </c>
      <c r="N277" s="24" t="str">
        <f aca="false">IF(K277="","",IF(OR(K277&gt;Resumo!$B$16,K277&lt;Resumo!$B$15),"Sim","Não"))</f>
        <v/>
      </c>
      <c r="O277" s="22" t="e">
        <f aca="false">IF(A277="",NA(),A277)</f>
        <v>#N/A</v>
      </c>
      <c r="P277" s="23" t="e">
        <f aca="false">IF(A277="",NA(),B277)</f>
        <v>#N/A</v>
      </c>
      <c r="Q277" s="23" t="e">
        <f aca="false">IF(F277="",NA(),F277)</f>
        <v>#N/A</v>
      </c>
      <c r="R277" s="23" t="e">
        <f aca="false">IF(K277="",NA(),K277)</f>
        <v>#N/A</v>
      </c>
      <c r="S277" s="23" t="e">
        <f aca="false">IF(M277="",NA(),M277)</f>
        <v>#N/A</v>
      </c>
      <c r="T277" s="23" t="str">
        <f aca="false">IF(J277="Válida",B277,"")</f>
        <v/>
      </c>
      <c r="U277" s="23" t="str">
        <f aca="false">IF(J277="Válida",F277,"")</f>
        <v/>
      </c>
    </row>
    <row r="278" customFormat="false" ht="15" hidden="false" customHeight="false" outlineLevel="0" collapsed="false">
      <c r="A278" s="22" t="str">
        <f aca="false">IF(MES!A278="","",MES!A278)</f>
        <v/>
      </c>
      <c r="B278" s="23" t="str">
        <f aca="false">IF(A278="","",MES!B278)</f>
        <v/>
      </c>
      <c r="C278" s="22" t="str">
        <f aca="false">IF(A278="","",A278+Parametros!$B$3/24)</f>
        <v/>
      </c>
      <c r="D278" s="22" t="str">
        <f aca="false">IF(A278="","",C278+Parametros!$B$2/24)</f>
        <v/>
      </c>
      <c r="E278" s="24" t="str">
        <f aca="false">IF(A278="","",COUNTIFS(Modulo!$A$2:$A$5001,"&gt;="&amp;C278,Modulo!$A$2:$A$5001,"&lt;"&amp;D278,Modulo!$D$2:$D$5001,Parametros!$B$7))</f>
        <v/>
      </c>
      <c r="F278" s="23" t="str">
        <f aca="false">IF(A278="","",IF(E278=0,"",AVERAGEIFS(Modulo!$B$2:$B$5001,Modulo!$A$2:$A$5001,"&gt;="&amp;C278,Modulo!$A$2:$A$5001,"&lt;"&amp;D278,Modulo!$D$2:$D$5001,Parametros!$B$7)))</f>
        <v/>
      </c>
      <c r="G278" s="23" t="str">
        <f aca="false">IF(A278="","",IF(E278=0,"",AVERAGEIFS(Modulo!$C$2:$C$5001,Modulo!$A$2:$A$5001,"&gt;="&amp;C278,Modulo!$A$2:$A$5001,"&lt;"&amp;D278,Modulo!$D$2:$D$5001,Parametros!$B$7)))</f>
        <v/>
      </c>
      <c r="H278" s="25" t="str">
        <f aca="false">IF(A278="","",IFERROR(COUNTIFS(Amostragem!$A$2:$A$15003,"&gt;="&amp;C278,Amostragem!$A$2:$A$15003,"&lt;"&amp;D278,Amostragem!$B$2:$B$15003,"Automático",Amostragem!$C$2:$C$15003,"Automático",Amostragem!$D$2:$D$15003,0)/COUNTIFS(Amostragem!$A$2:$A$15003,"&gt;="&amp;C278,Amostragem!$A$2:$A$15003,"&lt;"&amp;D278),0))</f>
        <v/>
      </c>
      <c r="I278" s="23" t="str">
        <f aca="false">IF(A278="","",IFERROR(AVERAGEIFS(Amostragem!$E$2:$E$15003,Amostragem!$A$2:$A$15003,"&gt;="&amp;C278,Amostragem!$A$2:$A$15003,"&lt;"&amp;D278),""))</f>
        <v/>
      </c>
      <c r="J278" s="24" t="str">
        <f aca="false">IF(A278="","",IF(B278="","Inválida: sem resultado MES",IF(E278&lt;Parametros!$B$4,"Inválida: poucos ensaios do módulo",IF(H278&lt;Parametros!$B$5,"Inválida: amostragem em manual ou em falha",IF(OR(I278="",I278&lt;Parametros!$B$6),"Inválida: usina parada ou baixa alimentação","Válida")))))</f>
        <v/>
      </c>
      <c r="K278" s="23" t="str">
        <f aca="false">IF(J278="Válida",F278-B278,"")</f>
        <v/>
      </c>
      <c r="L278" s="26" t="str">
        <f aca="false">IF(J278="Válida",K278/B278,"")</f>
        <v/>
      </c>
      <c r="M278" s="23" t="str">
        <f aca="false">IF(J278="Válida",(F278+B278)/2,"")</f>
        <v/>
      </c>
      <c r="N278" s="24" t="str">
        <f aca="false">IF(K278="","",IF(OR(K278&gt;Resumo!$B$16,K278&lt;Resumo!$B$15),"Sim","Não"))</f>
        <v/>
      </c>
      <c r="O278" s="22" t="e">
        <f aca="false">IF(A278="",NA(),A278)</f>
        <v>#N/A</v>
      </c>
      <c r="P278" s="23" t="e">
        <f aca="false">IF(A278="",NA(),B278)</f>
        <v>#N/A</v>
      </c>
      <c r="Q278" s="23" t="e">
        <f aca="false">IF(F278="",NA(),F278)</f>
        <v>#N/A</v>
      </c>
      <c r="R278" s="23" t="e">
        <f aca="false">IF(K278="",NA(),K278)</f>
        <v>#N/A</v>
      </c>
      <c r="S278" s="23" t="e">
        <f aca="false">IF(M278="",NA(),M278)</f>
        <v>#N/A</v>
      </c>
      <c r="T278" s="23" t="str">
        <f aca="false">IF(J278="Válida",B278,"")</f>
        <v/>
      </c>
      <c r="U278" s="23" t="str">
        <f aca="false">IF(J278="Válida",F278,"")</f>
        <v/>
      </c>
    </row>
    <row r="279" customFormat="false" ht="15" hidden="false" customHeight="false" outlineLevel="0" collapsed="false">
      <c r="A279" s="22" t="str">
        <f aca="false">IF(MES!A279="","",MES!A279)</f>
        <v/>
      </c>
      <c r="B279" s="23" t="str">
        <f aca="false">IF(A279="","",MES!B279)</f>
        <v/>
      </c>
      <c r="C279" s="22" t="str">
        <f aca="false">IF(A279="","",A279+Parametros!$B$3/24)</f>
        <v/>
      </c>
      <c r="D279" s="22" t="str">
        <f aca="false">IF(A279="","",C279+Parametros!$B$2/24)</f>
        <v/>
      </c>
      <c r="E279" s="24" t="str">
        <f aca="false">IF(A279="","",COUNTIFS(Modulo!$A$2:$A$5001,"&gt;="&amp;C279,Modulo!$A$2:$A$5001,"&lt;"&amp;D279,Modulo!$D$2:$D$5001,Parametros!$B$7))</f>
        <v/>
      </c>
      <c r="F279" s="23" t="str">
        <f aca="false">IF(A279="","",IF(E279=0,"",AVERAGEIFS(Modulo!$B$2:$B$5001,Modulo!$A$2:$A$5001,"&gt;="&amp;C279,Modulo!$A$2:$A$5001,"&lt;"&amp;D279,Modulo!$D$2:$D$5001,Parametros!$B$7)))</f>
        <v/>
      </c>
      <c r="G279" s="23" t="str">
        <f aca="false">IF(A279="","",IF(E279=0,"",AVERAGEIFS(Modulo!$C$2:$C$5001,Modulo!$A$2:$A$5001,"&gt;="&amp;C279,Modulo!$A$2:$A$5001,"&lt;"&amp;D279,Modulo!$D$2:$D$5001,Parametros!$B$7)))</f>
        <v/>
      </c>
      <c r="H279" s="25" t="str">
        <f aca="false">IF(A279="","",IFERROR(COUNTIFS(Amostragem!$A$2:$A$15003,"&gt;="&amp;C279,Amostragem!$A$2:$A$15003,"&lt;"&amp;D279,Amostragem!$B$2:$B$15003,"Automático",Amostragem!$C$2:$C$15003,"Automático",Amostragem!$D$2:$D$15003,0)/COUNTIFS(Amostragem!$A$2:$A$15003,"&gt;="&amp;C279,Amostragem!$A$2:$A$15003,"&lt;"&amp;D279),0))</f>
        <v/>
      </c>
      <c r="I279" s="23" t="str">
        <f aca="false">IF(A279="","",IFERROR(AVERAGEIFS(Amostragem!$E$2:$E$15003,Amostragem!$A$2:$A$15003,"&gt;="&amp;C279,Amostragem!$A$2:$A$15003,"&lt;"&amp;D279),""))</f>
        <v/>
      </c>
      <c r="J279" s="24" t="str">
        <f aca="false">IF(A279="","",IF(B279="","Inválida: sem resultado MES",IF(E279&lt;Parametros!$B$4,"Inválida: poucos ensaios do módulo",IF(H279&lt;Parametros!$B$5,"Inválida: amostragem em manual ou em falha",IF(OR(I279="",I279&lt;Parametros!$B$6),"Inválida: usina parada ou baixa alimentação","Válida")))))</f>
        <v/>
      </c>
      <c r="K279" s="23" t="str">
        <f aca="false">IF(J279="Válida",F279-B279,"")</f>
        <v/>
      </c>
      <c r="L279" s="26" t="str">
        <f aca="false">IF(J279="Válida",K279/B279,"")</f>
        <v/>
      </c>
      <c r="M279" s="23" t="str">
        <f aca="false">IF(J279="Válida",(F279+B279)/2,"")</f>
        <v/>
      </c>
      <c r="N279" s="24" t="str">
        <f aca="false">IF(K279="","",IF(OR(K279&gt;Resumo!$B$16,K279&lt;Resumo!$B$15),"Sim","Não"))</f>
        <v/>
      </c>
      <c r="O279" s="22" t="e">
        <f aca="false">IF(A279="",NA(),A279)</f>
        <v>#N/A</v>
      </c>
      <c r="P279" s="23" t="e">
        <f aca="false">IF(A279="",NA(),B279)</f>
        <v>#N/A</v>
      </c>
      <c r="Q279" s="23" t="e">
        <f aca="false">IF(F279="",NA(),F279)</f>
        <v>#N/A</v>
      </c>
      <c r="R279" s="23" t="e">
        <f aca="false">IF(K279="",NA(),K279)</f>
        <v>#N/A</v>
      </c>
      <c r="S279" s="23" t="e">
        <f aca="false">IF(M279="",NA(),M279)</f>
        <v>#N/A</v>
      </c>
      <c r="T279" s="23" t="str">
        <f aca="false">IF(J279="Válida",B279,"")</f>
        <v/>
      </c>
      <c r="U279" s="23" t="str">
        <f aca="false">IF(J279="Válida",F279,"")</f>
        <v/>
      </c>
    </row>
    <row r="280" customFormat="false" ht="15" hidden="false" customHeight="false" outlineLevel="0" collapsed="false">
      <c r="A280" s="22" t="str">
        <f aca="false">IF(MES!A280="","",MES!A280)</f>
        <v/>
      </c>
      <c r="B280" s="23" t="str">
        <f aca="false">IF(A280="","",MES!B280)</f>
        <v/>
      </c>
      <c r="C280" s="22" t="str">
        <f aca="false">IF(A280="","",A280+Parametros!$B$3/24)</f>
        <v/>
      </c>
      <c r="D280" s="22" t="str">
        <f aca="false">IF(A280="","",C280+Parametros!$B$2/24)</f>
        <v/>
      </c>
      <c r="E280" s="24" t="str">
        <f aca="false">IF(A280="","",COUNTIFS(Modulo!$A$2:$A$5001,"&gt;="&amp;C280,Modulo!$A$2:$A$5001,"&lt;"&amp;D280,Modulo!$D$2:$D$5001,Parametros!$B$7))</f>
        <v/>
      </c>
      <c r="F280" s="23" t="str">
        <f aca="false">IF(A280="","",IF(E280=0,"",AVERAGEIFS(Modulo!$B$2:$B$5001,Modulo!$A$2:$A$5001,"&gt;="&amp;C280,Modulo!$A$2:$A$5001,"&lt;"&amp;D280,Modulo!$D$2:$D$5001,Parametros!$B$7)))</f>
        <v/>
      </c>
      <c r="G280" s="23" t="str">
        <f aca="false">IF(A280="","",IF(E280=0,"",AVERAGEIFS(Modulo!$C$2:$C$5001,Modulo!$A$2:$A$5001,"&gt;="&amp;C280,Modulo!$A$2:$A$5001,"&lt;"&amp;D280,Modulo!$D$2:$D$5001,Parametros!$B$7)))</f>
        <v/>
      </c>
      <c r="H280" s="25" t="str">
        <f aca="false">IF(A280="","",IFERROR(COUNTIFS(Amostragem!$A$2:$A$15003,"&gt;="&amp;C280,Amostragem!$A$2:$A$15003,"&lt;"&amp;D280,Amostragem!$B$2:$B$15003,"Automático",Amostragem!$C$2:$C$15003,"Automático",Amostragem!$D$2:$D$15003,0)/COUNTIFS(Amostragem!$A$2:$A$15003,"&gt;="&amp;C280,Amostragem!$A$2:$A$15003,"&lt;"&amp;D280),0))</f>
        <v/>
      </c>
      <c r="I280" s="23" t="str">
        <f aca="false">IF(A280="","",IFERROR(AVERAGEIFS(Amostragem!$E$2:$E$15003,Amostragem!$A$2:$A$15003,"&gt;="&amp;C280,Amostragem!$A$2:$A$15003,"&lt;"&amp;D280),""))</f>
        <v/>
      </c>
      <c r="J280" s="24" t="str">
        <f aca="false">IF(A280="","",IF(B280="","Inválida: sem resultado MES",IF(E280&lt;Parametros!$B$4,"Inválida: poucos ensaios do módulo",IF(H280&lt;Parametros!$B$5,"Inválida: amostragem em manual ou em falha",IF(OR(I280="",I280&lt;Parametros!$B$6),"Inválida: usina parada ou baixa alimentação","Válida")))))</f>
        <v/>
      </c>
      <c r="K280" s="23" t="str">
        <f aca="false">IF(J280="Válida",F280-B280,"")</f>
        <v/>
      </c>
      <c r="L280" s="26" t="str">
        <f aca="false">IF(J280="Válida",K280/B280,"")</f>
        <v/>
      </c>
      <c r="M280" s="23" t="str">
        <f aca="false">IF(J280="Válida",(F280+B280)/2,"")</f>
        <v/>
      </c>
      <c r="N280" s="24" t="str">
        <f aca="false">IF(K280="","",IF(OR(K280&gt;Resumo!$B$16,K280&lt;Resumo!$B$15),"Sim","Não"))</f>
        <v/>
      </c>
      <c r="O280" s="22" t="e">
        <f aca="false">IF(A280="",NA(),A280)</f>
        <v>#N/A</v>
      </c>
      <c r="P280" s="23" t="e">
        <f aca="false">IF(A280="",NA(),B280)</f>
        <v>#N/A</v>
      </c>
      <c r="Q280" s="23" t="e">
        <f aca="false">IF(F280="",NA(),F280)</f>
        <v>#N/A</v>
      </c>
      <c r="R280" s="23" t="e">
        <f aca="false">IF(K280="",NA(),K280)</f>
        <v>#N/A</v>
      </c>
      <c r="S280" s="23" t="e">
        <f aca="false">IF(M280="",NA(),M280)</f>
        <v>#N/A</v>
      </c>
      <c r="T280" s="23" t="str">
        <f aca="false">IF(J280="Válida",B280,"")</f>
        <v/>
      </c>
      <c r="U280" s="23" t="str">
        <f aca="false">IF(J280="Válida",F280,"")</f>
        <v/>
      </c>
    </row>
    <row r="281" customFormat="false" ht="15" hidden="false" customHeight="false" outlineLevel="0" collapsed="false">
      <c r="A281" s="22" t="str">
        <f aca="false">IF(MES!A281="","",MES!A281)</f>
        <v/>
      </c>
      <c r="B281" s="23" t="str">
        <f aca="false">IF(A281="","",MES!B281)</f>
        <v/>
      </c>
      <c r="C281" s="22" t="str">
        <f aca="false">IF(A281="","",A281+Parametros!$B$3/24)</f>
        <v/>
      </c>
      <c r="D281" s="22" t="str">
        <f aca="false">IF(A281="","",C281+Parametros!$B$2/24)</f>
        <v/>
      </c>
      <c r="E281" s="24" t="str">
        <f aca="false">IF(A281="","",COUNTIFS(Modulo!$A$2:$A$5001,"&gt;="&amp;C281,Modulo!$A$2:$A$5001,"&lt;"&amp;D281,Modulo!$D$2:$D$5001,Parametros!$B$7))</f>
        <v/>
      </c>
      <c r="F281" s="23" t="str">
        <f aca="false">IF(A281="","",IF(E281=0,"",AVERAGEIFS(Modulo!$B$2:$B$5001,Modulo!$A$2:$A$5001,"&gt;="&amp;C281,Modulo!$A$2:$A$5001,"&lt;"&amp;D281,Modulo!$D$2:$D$5001,Parametros!$B$7)))</f>
        <v/>
      </c>
      <c r="G281" s="23" t="str">
        <f aca="false">IF(A281="","",IF(E281=0,"",AVERAGEIFS(Modulo!$C$2:$C$5001,Modulo!$A$2:$A$5001,"&gt;="&amp;C281,Modulo!$A$2:$A$5001,"&lt;"&amp;D281,Modulo!$D$2:$D$5001,Parametros!$B$7)))</f>
        <v/>
      </c>
      <c r="H281" s="25" t="str">
        <f aca="false">IF(A281="","",IFERROR(COUNTIFS(Amostragem!$A$2:$A$15003,"&gt;="&amp;C281,Amostragem!$A$2:$A$15003,"&lt;"&amp;D281,Amostragem!$B$2:$B$15003,"Automático",Amostragem!$C$2:$C$15003,"Automático",Amostragem!$D$2:$D$15003,0)/COUNTIFS(Amostragem!$A$2:$A$15003,"&gt;="&amp;C281,Amostragem!$A$2:$A$15003,"&lt;"&amp;D281),0))</f>
        <v/>
      </c>
      <c r="I281" s="23" t="str">
        <f aca="false">IF(A281="","",IFERROR(AVERAGEIFS(Amostragem!$E$2:$E$15003,Amostragem!$A$2:$A$15003,"&gt;="&amp;C281,Amostragem!$A$2:$A$15003,"&lt;"&amp;D281),""))</f>
        <v/>
      </c>
      <c r="J281" s="24" t="str">
        <f aca="false">IF(A281="","",IF(B281="","Inválida: sem resultado MES",IF(E281&lt;Parametros!$B$4,"Inválida: poucos ensaios do módulo",IF(H281&lt;Parametros!$B$5,"Inválida: amostragem em manual ou em falha",IF(OR(I281="",I281&lt;Parametros!$B$6),"Inválida: usina parada ou baixa alimentação","Válida")))))</f>
        <v/>
      </c>
      <c r="K281" s="23" t="str">
        <f aca="false">IF(J281="Válida",F281-B281,"")</f>
        <v/>
      </c>
      <c r="L281" s="26" t="str">
        <f aca="false">IF(J281="Válida",K281/B281,"")</f>
        <v/>
      </c>
      <c r="M281" s="23" t="str">
        <f aca="false">IF(J281="Válida",(F281+B281)/2,"")</f>
        <v/>
      </c>
      <c r="N281" s="24" t="str">
        <f aca="false">IF(K281="","",IF(OR(K281&gt;Resumo!$B$16,K281&lt;Resumo!$B$15),"Sim","Não"))</f>
        <v/>
      </c>
      <c r="O281" s="22" t="e">
        <f aca="false">IF(A281="",NA(),A281)</f>
        <v>#N/A</v>
      </c>
      <c r="P281" s="23" t="e">
        <f aca="false">IF(A281="",NA(),B281)</f>
        <v>#N/A</v>
      </c>
      <c r="Q281" s="23" t="e">
        <f aca="false">IF(F281="",NA(),F281)</f>
        <v>#N/A</v>
      </c>
      <c r="R281" s="23" t="e">
        <f aca="false">IF(K281="",NA(),K281)</f>
        <v>#N/A</v>
      </c>
      <c r="S281" s="23" t="e">
        <f aca="false">IF(M281="",NA(),M281)</f>
        <v>#N/A</v>
      </c>
      <c r="T281" s="23" t="str">
        <f aca="false">IF(J281="Válida",B281,"")</f>
        <v/>
      </c>
      <c r="U281" s="23" t="str">
        <f aca="false">IF(J281="Válida",F281,"")</f>
        <v/>
      </c>
    </row>
    <row r="282" customFormat="false" ht="15" hidden="false" customHeight="false" outlineLevel="0" collapsed="false">
      <c r="A282" s="22" t="str">
        <f aca="false">IF(MES!A282="","",MES!A282)</f>
        <v/>
      </c>
      <c r="B282" s="23" t="str">
        <f aca="false">IF(A282="","",MES!B282)</f>
        <v/>
      </c>
      <c r="C282" s="22" t="str">
        <f aca="false">IF(A282="","",A282+Parametros!$B$3/24)</f>
        <v/>
      </c>
      <c r="D282" s="22" t="str">
        <f aca="false">IF(A282="","",C282+Parametros!$B$2/24)</f>
        <v/>
      </c>
      <c r="E282" s="24" t="str">
        <f aca="false">IF(A282="","",COUNTIFS(Modulo!$A$2:$A$5001,"&gt;="&amp;C282,Modulo!$A$2:$A$5001,"&lt;"&amp;D282,Modulo!$D$2:$D$5001,Parametros!$B$7))</f>
        <v/>
      </c>
      <c r="F282" s="23" t="str">
        <f aca="false">IF(A282="","",IF(E282=0,"",AVERAGEIFS(Modulo!$B$2:$B$5001,Modulo!$A$2:$A$5001,"&gt;="&amp;C282,Modulo!$A$2:$A$5001,"&lt;"&amp;D282,Modulo!$D$2:$D$5001,Parametros!$B$7)))</f>
        <v/>
      </c>
      <c r="G282" s="23" t="str">
        <f aca="false">IF(A282="","",IF(E282=0,"",AVERAGEIFS(Modulo!$C$2:$C$5001,Modulo!$A$2:$A$5001,"&gt;="&amp;C282,Modulo!$A$2:$A$5001,"&lt;"&amp;D282,Modulo!$D$2:$D$5001,Parametros!$B$7)))</f>
        <v/>
      </c>
      <c r="H282" s="25" t="str">
        <f aca="false">IF(A282="","",IFERROR(COUNTIFS(Amostragem!$A$2:$A$15003,"&gt;="&amp;C282,Amostragem!$A$2:$A$15003,"&lt;"&amp;D282,Amostragem!$B$2:$B$15003,"Automático",Amostragem!$C$2:$C$15003,"Automático",Amostragem!$D$2:$D$15003,0)/COUNTIFS(Amostragem!$A$2:$A$15003,"&gt;="&amp;C282,Amostragem!$A$2:$A$15003,"&lt;"&amp;D282),0))</f>
        <v/>
      </c>
      <c r="I282" s="23" t="str">
        <f aca="false">IF(A282="","",IFERROR(AVERAGEIFS(Amostragem!$E$2:$E$15003,Amostragem!$A$2:$A$15003,"&gt;="&amp;C282,Amostragem!$A$2:$A$15003,"&lt;"&amp;D282),""))</f>
        <v/>
      </c>
      <c r="J282" s="24" t="str">
        <f aca="false">IF(A282="","",IF(B282="","Inválida: sem resultado MES",IF(E282&lt;Parametros!$B$4,"Inválida: poucos ensaios do módulo",IF(H282&lt;Parametros!$B$5,"Inválida: amostragem em manual ou em falha",IF(OR(I282="",I282&lt;Parametros!$B$6),"Inválida: usina parada ou baixa alimentação","Válida")))))</f>
        <v/>
      </c>
      <c r="K282" s="23" t="str">
        <f aca="false">IF(J282="Válida",F282-B282,"")</f>
        <v/>
      </c>
      <c r="L282" s="26" t="str">
        <f aca="false">IF(J282="Válida",K282/B282,"")</f>
        <v/>
      </c>
      <c r="M282" s="23" t="str">
        <f aca="false">IF(J282="Válida",(F282+B282)/2,"")</f>
        <v/>
      </c>
      <c r="N282" s="24" t="str">
        <f aca="false">IF(K282="","",IF(OR(K282&gt;Resumo!$B$16,K282&lt;Resumo!$B$15),"Sim","Não"))</f>
        <v/>
      </c>
      <c r="O282" s="22" t="e">
        <f aca="false">IF(A282="",NA(),A282)</f>
        <v>#N/A</v>
      </c>
      <c r="P282" s="23" t="e">
        <f aca="false">IF(A282="",NA(),B282)</f>
        <v>#N/A</v>
      </c>
      <c r="Q282" s="23" t="e">
        <f aca="false">IF(F282="",NA(),F282)</f>
        <v>#N/A</v>
      </c>
      <c r="R282" s="23" t="e">
        <f aca="false">IF(K282="",NA(),K282)</f>
        <v>#N/A</v>
      </c>
      <c r="S282" s="23" t="e">
        <f aca="false">IF(M282="",NA(),M282)</f>
        <v>#N/A</v>
      </c>
      <c r="T282" s="23" t="str">
        <f aca="false">IF(J282="Válida",B282,"")</f>
        <v/>
      </c>
      <c r="U282" s="23" t="str">
        <f aca="false">IF(J282="Válida",F282,"")</f>
        <v/>
      </c>
    </row>
    <row r="283" customFormat="false" ht="15" hidden="false" customHeight="false" outlineLevel="0" collapsed="false">
      <c r="A283" s="22" t="str">
        <f aca="false">IF(MES!A283="","",MES!A283)</f>
        <v/>
      </c>
      <c r="B283" s="23" t="str">
        <f aca="false">IF(A283="","",MES!B283)</f>
        <v/>
      </c>
      <c r="C283" s="22" t="str">
        <f aca="false">IF(A283="","",A283+Parametros!$B$3/24)</f>
        <v/>
      </c>
      <c r="D283" s="22" t="str">
        <f aca="false">IF(A283="","",C283+Parametros!$B$2/24)</f>
        <v/>
      </c>
      <c r="E283" s="24" t="str">
        <f aca="false">IF(A283="","",COUNTIFS(Modulo!$A$2:$A$5001,"&gt;="&amp;C283,Modulo!$A$2:$A$5001,"&lt;"&amp;D283,Modulo!$D$2:$D$5001,Parametros!$B$7))</f>
        <v/>
      </c>
      <c r="F283" s="23" t="str">
        <f aca="false">IF(A283="","",IF(E283=0,"",AVERAGEIFS(Modulo!$B$2:$B$5001,Modulo!$A$2:$A$5001,"&gt;="&amp;C283,Modulo!$A$2:$A$5001,"&lt;"&amp;D283,Modulo!$D$2:$D$5001,Parametros!$B$7)))</f>
        <v/>
      </c>
      <c r="G283" s="23" t="str">
        <f aca="false">IF(A283="","",IF(E283=0,"",AVERAGEIFS(Modulo!$C$2:$C$5001,Modulo!$A$2:$A$5001,"&gt;="&amp;C283,Modulo!$A$2:$A$5001,"&lt;"&amp;D283,Modulo!$D$2:$D$5001,Parametros!$B$7)))</f>
        <v/>
      </c>
      <c r="H283" s="25" t="str">
        <f aca="false">IF(A283="","",IFERROR(COUNTIFS(Amostragem!$A$2:$A$15003,"&gt;="&amp;C283,Amostragem!$A$2:$A$15003,"&lt;"&amp;D283,Amostragem!$B$2:$B$15003,"Automático",Amostragem!$C$2:$C$15003,"Automático",Amostragem!$D$2:$D$15003,0)/COUNTIFS(Amostragem!$A$2:$A$15003,"&gt;="&amp;C283,Amostragem!$A$2:$A$15003,"&lt;"&amp;D283),0))</f>
        <v/>
      </c>
      <c r="I283" s="23" t="str">
        <f aca="false">IF(A283="","",IFERROR(AVERAGEIFS(Amostragem!$E$2:$E$15003,Amostragem!$A$2:$A$15003,"&gt;="&amp;C283,Amostragem!$A$2:$A$15003,"&lt;"&amp;D283),""))</f>
        <v/>
      </c>
      <c r="J283" s="24" t="str">
        <f aca="false">IF(A283="","",IF(B283="","Inválida: sem resultado MES",IF(E283&lt;Parametros!$B$4,"Inválida: poucos ensaios do módulo",IF(H283&lt;Parametros!$B$5,"Inválida: amostragem em manual ou em falha",IF(OR(I283="",I283&lt;Parametros!$B$6),"Inválida: usina parada ou baixa alimentação","Válida")))))</f>
        <v/>
      </c>
      <c r="K283" s="23" t="str">
        <f aca="false">IF(J283="Válida",F283-B283,"")</f>
        <v/>
      </c>
      <c r="L283" s="26" t="str">
        <f aca="false">IF(J283="Válida",K283/B283,"")</f>
        <v/>
      </c>
      <c r="M283" s="23" t="str">
        <f aca="false">IF(J283="Válida",(F283+B283)/2,"")</f>
        <v/>
      </c>
      <c r="N283" s="24" t="str">
        <f aca="false">IF(K283="","",IF(OR(K283&gt;Resumo!$B$16,K283&lt;Resumo!$B$15),"Sim","Não"))</f>
        <v/>
      </c>
      <c r="O283" s="22" t="e">
        <f aca="false">IF(A283="",NA(),A283)</f>
        <v>#N/A</v>
      </c>
      <c r="P283" s="23" t="e">
        <f aca="false">IF(A283="",NA(),B283)</f>
        <v>#N/A</v>
      </c>
      <c r="Q283" s="23" t="e">
        <f aca="false">IF(F283="",NA(),F283)</f>
        <v>#N/A</v>
      </c>
      <c r="R283" s="23" t="e">
        <f aca="false">IF(K283="",NA(),K283)</f>
        <v>#N/A</v>
      </c>
      <c r="S283" s="23" t="e">
        <f aca="false">IF(M283="",NA(),M283)</f>
        <v>#N/A</v>
      </c>
      <c r="T283" s="23" t="str">
        <f aca="false">IF(J283="Válida",B283,"")</f>
        <v/>
      </c>
      <c r="U283" s="23" t="str">
        <f aca="false">IF(J283="Válida",F283,"")</f>
        <v/>
      </c>
    </row>
    <row r="284" customFormat="false" ht="15" hidden="false" customHeight="false" outlineLevel="0" collapsed="false">
      <c r="A284" s="22" t="str">
        <f aca="false">IF(MES!A284="","",MES!A284)</f>
        <v/>
      </c>
      <c r="B284" s="23" t="str">
        <f aca="false">IF(A284="","",MES!B284)</f>
        <v/>
      </c>
      <c r="C284" s="22" t="str">
        <f aca="false">IF(A284="","",A284+Parametros!$B$3/24)</f>
        <v/>
      </c>
      <c r="D284" s="22" t="str">
        <f aca="false">IF(A284="","",C284+Parametros!$B$2/24)</f>
        <v/>
      </c>
      <c r="E284" s="24" t="str">
        <f aca="false">IF(A284="","",COUNTIFS(Modulo!$A$2:$A$5001,"&gt;="&amp;C284,Modulo!$A$2:$A$5001,"&lt;"&amp;D284,Modulo!$D$2:$D$5001,Parametros!$B$7))</f>
        <v/>
      </c>
      <c r="F284" s="23" t="str">
        <f aca="false">IF(A284="","",IF(E284=0,"",AVERAGEIFS(Modulo!$B$2:$B$5001,Modulo!$A$2:$A$5001,"&gt;="&amp;C284,Modulo!$A$2:$A$5001,"&lt;"&amp;D284,Modulo!$D$2:$D$5001,Parametros!$B$7)))</f>
        <v/>
      </c>
      <c r="G284" s="23" t="str">
        <f aca="false">IF(A284="","",IF(E284=0,"",AVERAGEIFS(Modulo!$C$2:$C$5001,Modulo!$A$2:$A$5001,"&gt;="&amp;C284,Modulo!$A$2:$A$5001,"&lt;"&amp;D284,Modulo!$D$2:$D$5001,Parametros!$B$7)))</f>
        <v/>
      </c>
      <c r="H284" s="25" t="str">
        <f aca="false">IF(A284="","",IFERROR(COUNTIFS(Amostragem!$A$2:$A$15003,"&gt;="&amp;C284,Amostragem!$A$2:$A$15003,"&lt;"&amp;D284,Amostragem!$B$2:$B$15003,"Automático",Amostragem!$C$2:$C$15003,"Automático",Amostragem!$D$2:$D$15003,0)/COUNTIFS(Amostragem!$A$2:$A$15003,"&gt;="&amp;C284,Amostragem!$A$2:$A$15003,"&lt;"&amp;D284),0))</f>
        <v/>
      </c>
      <c r="I284" s="23" t="str">
        <f aca="false">IF(A284="","",IFERROR(AVERAGEIFS(Amostragem!$E$2:$E$15003,Amostragem!$A$2:$A$15003,"&gt;="&amp;C284,Amostragem!$A$2:$A$15003,"&lt;"&amp;D284),""))</f>
        <v/>
      </c>
      <c r="J284" s="24" t="str">
        <f aca="false">IF(A284="","",IF(B284="","Inválida: sem resultado MES",IF(E284&lt;Parametros!$B$4,"Inválida: poucos ensaios do módulo",IF(H284&lt;Parametros!$B$5,"Inválida: amostragem em manual ou em falha",IF(OR(I284="",I284&lt;Parametros!$B$6),"Inválida: usina parada ou baixa alimentação","Válida")))))</f>
        <v/>
      </c>
      <c r="K284" s="23" t="str">
        <f aca="false">IF(J284="Válida",F284-B284,"")</f>
        <v/>
      </c>
      <c r="L284" s="26" t="str">
        <f aca="false">IF(J284="Válida",K284/B284,"")</f>
        <v/>
      </c>
      <c r="M284" s="23" t="str">
        <f aca="false">IF(J284="Válida",(F284+B284)/2,"")</f>
        <v/>
      </c>
      <c r="N284" s="24" t="str">
        <f aca="false">IF(K284="","",IF(OR(K284&gt;Resumo!$B$16,K284&lt;Resumo!$B$15),"Sim","Não"))</f>
        <v/>
      </c>
      <c r="O284" s="22" t="e">
        <f aca="false">IF(A284="",NA(),A284)</f>
        <v>#N/A</v>
      </c>
      <c r="P284" s="23" t="e">
        <f aca="false">IF(A284="",NA(),B284)</f>
        <v>#N/A</v>
      </c>
      <c r="Q284" s="23" t="e">
        <f aca="false">IF(F284="",NA(),F284)</f>
        <v>#N/A</v>
      </c>
      <c r="R284" s="23" t="e">
        <f aca="false">IF(K284="",NA(),K284)</f>
        <v>#N/A</v>
      </c>
      <c r="S284" s="23" t="e">
        <f aca="false">IF(M284="",NA(),M284)</f>
        <v>#N/A</v>
      </c>
      <c r="T284" s="23" t="str">
        <f aca="false">IF(J284="Válida",B284,"")</f>
        <v/>
      </c>
      <c r="U284" s="23" t="str">
        <f aca="false">IF(J284="Válida",F284,"")</f>
        <v/>
      </c>
    </row>
    <row r="285" customFormat="false" ht="15" hidden="false" customHeight="false" outlineLevel="0" collapsed="false">
      <c r="A285" s="22" t="str">
        <f aca="false">IF(MES!A285="","",MES!A285)</f>
        <v/>
      </c>
      <c r="B285" s="23" t="str">
        <f aca="false">IF(A285="","",MES!B285)</f>
        <v/>
      </c>
      <c r="C285" s="22" t="str">
        <f aca="false">IF(A285="","",A285+Parametros!$B$3/24)</f>
        <v/>
      </c>
      <c r="D285" s="22" t="str">
        <f aca="false">IF(A285="","",C285+Parametros!$B$2/24)</f>
        <v/>
      </c>
      <c r="E285" s="24" t="str">
        <f aca="false">IF(A285="","",COUNTIFS(Modulo!$A$2:$A$5001,"&gt;="&amp;C285,Modulo!$A$2:$A$5001,"&lt;"&amp;D285,Modulo!$D$2:$D$5001,Parametros!$B$7))</f>
        <v/>
      </c>
      <c r="F285" s="23" t="str">
        <f aca="false">IF(A285="","",IF(E285=0,"",AVERAGEIFS(Modulo!$B$2:$B$5001,Modulo!$A$2:$A$5001,"&gt;="&amp;C285,Modulo!$A$2:$A$5001,"&lt;"&amp;D285,Modulo!$D$2:$D$5001,Parametros!$B$7)))</f>
        <v/>
      </c>
      <c r="G285" s="23" t="str">
        <f aca="false">IF(A285="","",IF(E285=0,"",AVERAGEIFS(Modulo!$C$2:$C$5001,Modulo!$A$2:$A$5001,"&gt;="&amp;C285,Modulo!$A$2:$A$5001,"&lt;"&amp;D285,Modulo!$D$2:$D$5001,Parametros!$B$7)))</f>
        <v/>
      </c>
      <c r="H285" s="25" t="str">
        <f aca="false">IF(A285="","",IFERROR(COUNTIFS(Amostragem!$A$2:$A$15003,"&gt;="&amp;C285,Amostragem!$A$2:$A$15003,"&lt;"&amp;D285,Amostragem!$B$2:$B$15003,"Automático",Amostragem!$C$2:$C$15003,"Automático",Amostragem!$D$2:$D$15003,0)/COUNTIFS(Amostragem!$A$2:$A$15003,"&gt;="&amp;C285,Amostragem!$A$2:$A$15003,"&lt;"&amp;D285),0))</f>
        <v/>
      </c>
      <c r="I285" s="23" t="str">
        <f aca="false">IF(A285="","",IFERROR(AVERAGEIFS(Amostragem!$E$2:$E$15003,Amostragem!$A$2:$A$15003,"&gt;="&amp;C285,Amostragem!$A$2:$A$15003,"&lt;"&amp;D285),""))</f>
        <v/>
      </c>
      <c r="J285" s="24" t="str">
        <f aca="false">IF(A285="","",IF(B285="","Inválida: sem resultado MES",IF(E285&lt;Parametros!$B$4,"Inválida: poucos ensaios do módulo",IF(H285&lt;Parametros!$B$5,"Inválida: amostragem em manual ou em falha",IF(OR(I285="",I285&lt;Parametros!$B$6),"Inválida: usina parada ou baixa alimentação","Válida")))))</f>
        <v/>
      </c>
      <c r="K285" s="23" t="str">
        <f aca="false">IF(J285="Válida",F285-B285,"")</f>
        <v/>
      </c>
      <c r="L285" s="26" t="str">
        <f aca="false">IF(J285="Válida",K285/B285,"")</f>
        <v/>
      </c>
      <c r="M285" s="23" t="str">
        <f aca="false">IF(J285="Válida",(F285+B285)/2,"")</f>
        <v/>
      </c>
      <c r="N285" s="24" t="str">
        <f aca="false">IF(K285="","",IF(OR(K285&gt;Resumo!$B$16,K285&lt;Resumo!$B$15),"Sim","Não"))</f>
        <v/>
      </c>
      <c r="O285" s="22" t="e">
        <f aca="false">IF(A285="",NA(),A285)</f>
        <v>#N/A</v>
      </c>
      <c r="P285" s="23" t="e">
        <f aca="false">IF(A285="",NA(),B285)</f>
        <v>#N/A</v>
      </c>
      <c r="Q285" s="23" t="e">
        <f aca="false">IF(F285="",NA(),F285)</f>
        <v>#N/A</v>
      </c>
      <c r="R285" s="23" t="e">
        <f aca="false">IF(K285="",NA(),K285)</f>
        <v>#N/A</v>
      </c>
      <c r="S285" s="23" t="e">
        <f aca="false">IF(M285="",NA(),M285)</f>
        <v>#N/A</v>
      </c>
      <c r="T285" s="23" t="str">
        <f aca="false">IF(J285="Válida",B285,"")</f>
        <v/>
      </c>
      <c r="U285" s="23" t="str">
        <f aca="false">IF(J285="Válida",F285,"")</f>
        <v/>
      </c>
    </row>
    <row r="286" customFormat="false" ht="15" hidden="false" customHeight="false" outlineLevel="0" collapsed="false">
      <c r="A286" s="22" t="str">
        <f aca="false">IF(MES!A286="","",MES!A286)</f>
        <v/>
      </c>
      <c r="B286" s="23" t="str">
        <f aca="false">IF(A286="","",MES!B286)</f>
        <v/>
      </c>
      <c r="C286" s="22" t="str">
        <f aca="false">IF(A286="","",A286+Parametros!$B$3/24)</f>
        <v/>
      </c>
      <c r="D286" s="22" t="str">
        <f aca="false">IF(A286="","",C286+Parametros!$B$2/24)</f>
        <v/>
      </c>
      <c r="E286" s="24" t="str">
        <f aca="false">IF(A286="","",COUNTIFS(Modulo!$A$2:$A$5001,"&gt;="&amp;C286,Modulo!$A$2:$A$5001,"&lt;"&amp;D286,Modulo!$D$2:$D$5001,Parametros!$B$7))</f>
        <v/>
      </c>
      <c r="F286" s="23" t="str">
        <f aca="false">IF(A286="","",IF(E286=0,"",AVERAGEIFS(Modulo!$B$2:$B$5001,Modulo!$A$2:$A$5001,"&gt;="&amp;C286,Modulo!$A$2:$A$5001,"&lt;"&amp;D286,Modulo!$D$2:$D$5001,Parametros!$B$7)))</f>
        <v/>
      </c>
      <c r="G286" s="23" t="str">
        <f aca="false">IF(A286="","",IF(E286=0,"",AVERAGEIFS(Modulo!$C$2:$C$5001,Modulo!$A$2:$A$5001,"&gt;="&amp;C286,Modulo!$A$2:$A$5001,"&lt;"&amp;D286,Modulo!$D$2:$D$5001,Parametros!$B$7)))</f>
        <v/>
      </c>
      <c r="H286" s="25" t="str">
        <f aca="false">IF(A286="","",IFERROR(COUNTIFS(Amostragem!$A$2:$A$15003,"&gt;="&amp;C286,Amostragem!$A$2:$A$15003,"&lt;"&amp;D286,Amostragem!$B$2:$B$15003,"Automático",Amostragem!$C$2:$C$15003,"Automático",Amostragem!$D$2:$D$15003,0)/COUNTIFS(Amostragem!$A$2:$A$15003,"&gt;="&amp;C286,Amostragem!$A$2:$A$15003,"&lt;"&amp;D286),0))</f>
        <v/>
      </c>
      <c r="I286" s="23" t="str">
        <f aca="false">IF(A286="","",IFERROR(AVERAGEIFS(Amostragem!$E$2:$E$15003,Amostragem!$A$2:$A$15003,"&gt;="&amp;C286,Amostragem!$A$2:$A$15003,"&lt;"&amp;D286),""))</f>
        <v/>
      </c>
      <c r="J286" s="24" t="str">
        <f aca="false">IF(A286="","",IF(B286="","Inválida: sem resultado MES",IF(E286&lt;Parametros!$B$4,"Inválida: poucos ensaios do módulo",IF(H286&lt;Parametros!$B$5,"Inválida: amostragem em manual ou em falha",IF(OR(I286="",I286&lt;Parametros!$B$6),"Inválida: usina parada ou baixa alimentação","Válida")))))</f>
        <v/>
      </c>
      <c r="K286" s="23" t="str">
        <f aca="false">IF(J286="Válida",F286-B286,"")</f>
        <v/>
      </c>
      <c r="L286" s="26" t="str">
        <f aca="false">IF(J286="Válida",K286/B286,"")</f>
        <v/>
      </c>
      <c r="M286" s="23" t="str">
        <f aca="false">IF(J286="Válida",(F286+B286)/2,"")</f>
        <v/>
      </c>
      <c r="N286" s="24" t="str">
        <f aca="false">IF(K286="","",IF(OR(K286&gt;Resumo!$B$16,K286&lt;Resumo!$B$15),"Sim","Não"))</f>
        <v/>
      </c>
      <c r="O286" s="22" t="e">
        <f aca="false">IF(A286="",NA(),A286)</f>
        <v>#N/A</v>
      </c>
      <c r="P286" s="23" t="e">
        <f aca="false">IF(A286="",NA(),B286)</f>
        <v>#N/A</v>
      </c>
      <c r="Q286" s="23" t="e">
        <f aca="false">IF(F286="",NA(),F286)</f>
        <v>#N/A</v>
      </c>
      <c r="R286" s="23" t="e">
        <f aca="false">IF(K286="",NA(),K286)</f>
        <v>#N/A</v>
      </c>
      <c r="S286" s="23" t="e">
        <f aca="false">IF(M286="",NA(),M286)</f>
        <v>#N/A</v>
      </c>
      <c r="T286" s="23" t="str">
        <f aca="false">IF(J286="Válida",B286,"")</f>
        <v/>
      </c>
      <c r="U286" s="23" t="str">
        <f aca="false">IF(J286="Válida",F286,"")</f>
        <v/>
      </c>
    </row>
    <row r="287" customFormat="false" ht="15" hidden="false" customHeight="false" outlineLevel="0" collapsed="false">
      <c r="A287" s="22" t="str">
        <f aca="false">IF(MES!A287="","",MES!A287)</f>
        <v/>
      </c>
      <c r="B287" s="23" t="str">
        <f aca="false">IF(A287="","",MES!B287)</f>
        <v/>
      </c>
      <c r="C287" s="22" t="str">
        <f aca="false">IF(A287="","",A287+Parametros!$B$3/24)</f>
        <v/>
      </c>
      <c r="D287" s="22" t="str">
        <f aca="false">IF(A287="","",C287+Parametros!$B$2/24)</f>
        <v/>
      </c>
      <c r="E287" s="24" t="str">
        <f aca="false">IF(A287="","",COUNTIFS(Modulo!$A$2:$A$5001,"&gt;="&amp;C287,Modulo!$A$2:$A$5001,"&lt;"&amp;D287,Modulo!$D$2:$D$5001,Parametros!$B$7))</f>
        <v/>
      </c>
      <c r="F287" s="23" t="str">
        <f aca="false">IF(A287="","",IF(E287=0,"",AVERAGEIFS(Modulo!$B$2:$B$5001,Modulo!$A$2:$A$5001,"&gt;="&amp;C287,Modulo!$A$2:$A$5001,"&lt;"&amp;D287,Modulo!$D$2:$D$5001,Parametros!$B$7)))</f>
        <v/>
      </c>
      <c r="G287" s="23" t="str">
        <f aca="false">IF(A287="","",IF(E287=0,"",AVERAGEIFS(Modulo!$C$2:$C$5001,Modulo!$A$2:$A$5001,"&gt;="&amp;C287,Modulo!$A$2:$A$5001,"&lt;"&amp;D287,Modulo!$D$2:$D$5001,Parametros!$B$7)))</f>
        <v/>
      </c>
      <c r="H287" s="25" t="str">
        <f aca="false">IF(A287="","",IFERROR(COUNTIFS(Amostragem!$A$2:$A$15003,"&gt;="&amp;C287,Amostragem!$A$2:$A$15003,"&lt;"&amp;D287,Amostragem!$B$2:$B$15003,"Automático",Amostragem!$C$2:$C$15003,"Automático",Amostragem!$D$2:$D$15003,0)/COUNTIFS(Amostragem!$A$2:$A$15003,"&gt;="&amp;C287,Amostragem!$A$2:$A$15003,"&lt;"&amp;D287),0))</f>
        <v/>
      </c>
      <c r="I287" s="23" t="str">
        <f aca="false">IF(A287="","",IFERROR(AVERAGEIFS(Amostragem!$E$2:$E$15003,Amostragem!$A$2:$A$15003,"&gt;="&amp;C287,Amostragem!$A$2:$A$15003,"&lt;"&amp;D287),""))</f>
        <v/>
      </c>
      <c r="J287" s="24" t="str">
        <f aca="false">IF(A287="","",IF(B287="","Inválida: sem resultado MES",IF(E287&lt;Parametros!$B$4,"Inválida: poucos ensaios do módulo",IF(H287&lt;Parametros!$B$5,"Inválida: amostragem em manual ou em falha",IF(OR(I287="",I287&lt;Parametros!$B$6),"Inválida: usina parada ou baixa alimentação","Válida")))))</f>
        <v/>
      </c>
      <c r="K287" s="23" t="str">
        <f aca="false">IF(J287="Válida",F287-B287,"")</f>
        <v/>
      </c>
      <c r="L287" s="26" t="str">
        <f aca="false">IF(J287="Válida",K287/B287,"")</f>
        <v/>
      </c>
      <c r="M287" s="23" t="str">
        <f aca="false">IF(J287="Válida",(F287+B287)/2,"")</f>
        <v/>
      </c>
      <c r="N287" s="24" t="str">
        <f aca="false">IF(K287="","",IF(OR(K287&gt;Resumo!$B$16,K287&lt;Resumo!$B$15),"Sim","Não"))</f>
        <v/>
      </c>
      <c r="O287" s="22" t="e">
        <f aca="false">IF(A287="",NA(),A287)</f>
        <v>#N/A</v>
      </c>
      <c r="P287" s="23" t="e">
        <f aca="false">IF(A287="",NA(),B287)</f>
        <v>#N/A</v>
      </c>
      <c r="Q287" s="23" t="e">
        <f aca="false">IF(F287="",NA(),F287)</f>
        <v>#N/A</v>
      </c>
      <c r="R287" s="23" t="e">
        <f aca="false">IF(K287="",NA(),K287)</f>
        <v>#N/A</v>
      </c>
      <c r="S287" s="23" t="e">
        <f aca="false">IF(M287="",NA(),M287)</f>
        <v>#N/A</v>
      </c>
      <c r="T287" s="23" t="str">
        <f aca="false">IF(J287="Válida",B287,"")</f>
        <v/>
      </c>
      <c r="U287" s="23" t="str">
        <f aca="false">IF(J287="Válida",F287,"")</f>
        <v/>
      </c>
    </row>
    <row r="288" customFormat="false" ht="15" hidden="false" customHeight="false" outlineLevel="0" collapsed="false">
      <c r="A288" s="22" t="str">
        <f aca="false">IF(MES!A288="","",MES!A288)</f>
        <v/>
      </c>
      <c r="B288" s="23" t="str">
        <f aca="false">IF(A288="","",MES!B288)</f>
        <v/>
      </c>
      <c r="C288" s="22" t="str">
        <f aca="false">IF(A288="","",A288+Parametros!$B$3/24)</f>
        <v/>
      </c>
      <c r="D288" s="22" t="str">
        <f aca="false">IF(A288="","",C288+Parametros!$B$2/24)</f>
        <v/>
      </c>
      <c r="E288" s="24" t="str">
        <f aca="false">IF(A288="","",COUNTIFS(Modulo!$A$2:$A$5001,"&gt;="&amp;C288,Modulo!$A$2:$A$5001,"&lt;"&amp;D288,Modulo!$D$2:$D$5001,Parametros!$B$7))</f>
        <v/>
      </c>
      <c r="F288" s="23" t="str">
        <f aca="false">IF(A288="","",IF(E288=0,"",AVERAGEIFS(Modulo!$B$2:$B$5001,Modulo!$A$2:$A$5001,"&gt;="&amp;C288,Modulo!$A$2:$A$5001,"&lt;"&amp;D288,Modulo!$D$2:$D$5001,Parametros!$B$7)))</f>
        <v/>
      </c>
      <c r="G288" s="23" t="str">
        <f aca="false">IF(A288="","",IF(E288=0,"",AVERAGEIFS(Modulo!$C$2:$C$5001,Modulo!$A$2:$A$5001,"&gt;="&amp;C288,Modulo!$A$2:$A$5001,"&lt;"&amp;D288,Modulo!$D$2:$D$5001,Parametros!$B$7)))</f>
        <v/>
      </c>
      <c r="H288" s="25" t="str">
        <f aca="false">IF(A288="","",IFERROR(COUNTIFS(Amostragem!$A$2:$A$15003,"&gt;="&amp;C288,Amostragem!$A$2:$A$15003,"&lt;"&amp;D288,Amostragem!$B$2:$B$15003,"Automático",Amostragem!$C$2:$C$15003,"Automático",Amostragem!$D$2:$D$15003,0)/COUNTIFS(Amostragem!$A$2:$A$15003,"&gt;="&amp;C288,Amostragem!$A$2:$A$15003,"&lt;"&amp;D288),0))</f>
        <v/>
      </c>
      <c r="I288" s="23" t="str">
        <f aca="false">IF(A288="","",IFERROR(AVERAGEIFS(Amostragem!$E$2:$E$15003,Amostragem!$A$2:$A$15003,"&gt;="&amp;C288,Amostragem!$A$2:$A$15003,"&lt;"&amp;D288),""))</f>
        <v/>
      </c>
      <c r="J288" s="24" t="str">
        <f aca="false">IF(A288="","",IF(B288="","Inválida: sem resultado MES",IF(E288&lt;Parametros!$B$4,"Inválida: poucos ensaios do módulo",IF(H288&lt;Parametros!$B$5,"Inválida: amostragem em manual ou em falha",IF(OR(I288="",I288&lt;Parametros!$B$6),"Inválida: usina parada ou baixa alimentação","Válida")))))</f>
        <v/>
      </c>
      <c r="K288" s="23" t="str">
        <f aca="false">IF(J288="Válida",F288-B288,"")</f>
        <v/>
      </c>
      <c r="L288" s="26" t="str">
        <f aca="false">IF(J288="Válida",K288/B288,"")</f>
        <v/>
      </c>
      <c r="M288" s="23" t="str">
        <f aca="false">IF(J288="Válida",(F288+B288)/2,"")</f>
        <v/>
      </c>
      <c r="N288" s="24" t="str">
        <f aca="false">IF(K288="","",IF(OR(K288&gt;Resumo!$B$16,K288&lt;Resumo!$B$15),"Sim","Não"))</f>
        <v/>
      </c>
      <c r="O288" s="22" t="e">
        <f aca="false">IF(A288="",NA(),A288)</f>
        <v>#N/A</v>
      </c>
      <c r="P288" s="23" t="e">
        <f aca="false">IF(A288="",NA(),B288)</f>
        <v>#N/A</v>
      </c>
      <c r="Q288" s="23" t="e">
        <f aca="false">IF(F288="",NA(),F288)</f>
        <v>#N/A</v>
      </c>
      <c r="R288" s="23" t="e">
        <f aca="false">IF(K288="",NA(),K288)</f>
        <v>#N/A</v>
      </c>
      <c r="S288" s="23" t="e">
        <f aca="false">IF(M288="",NA(),M288)</f>
        <v>#N/A</v>
      </c>
      <c r="T288" s="23" t="str">
        <f aca="false">IF(J288="Válida",B288,"")</f>
        <v/>
      </c>
      <c r="U288" s="23" t="str">
        <f aca="false">IF(J288="Válida",F288,"")</f>
        <v/>
      </c>
    </row>
    <row r="289" customFormat="false" ht="15" hidden="false" customHeight="false" outlineLevel="0" collapsed="false">
      <c r="A289" s="22" t="str">
        <f aca="false">IF(MES!A289="","",MES!A289)</f>
        <v/>
      </c>
      <c r="B289" s="23" t="str">
        <f aca="false">IF(A289="","",MES!B289)</f>
        <v/>
      </c>
      <c r="C289" s="22" t="str">
        <f aca="false">IF(A289="","",A289+Parametros!$B$3/24)</f>
        <v/>
      </c>
      <c r="D289" s="22" t="str">
        <f aca="false">IF(A289="","",C289+Parametros!$B$2/24)</f>
        <v/>
      </c>
      <c r="E289" s="24" t="str">
        <f aca="false">IF(A289="","",COUNTIFS(Modulo!$A$2:$A$5001,"&gt;="&amp;C289,Modulo!$A$2:$A$5001,"&lt;"&amp;D289,Modulo!$D$2:$D$5001,Parametros!$B$7))</f>
        <v/>
      </c>
      <c r="F289" s="23" t="str">
        <f aca="false">IF(A289="","",IF(E289=0,"",AVERAGEIFS(Modulo!$B$2:$B$5001,Modulo!$A$2:$A$5001,"&gt;="&amp;C289,Modulo!$A$2:$A$5001,"&lt;"&amp;D289,Modulo!$D$2:$D$5001,Parametros!$B$7)))</f>
        <v/>
      </c>
      <c r="G289" s="23" t="str">
        <f aca="false">IF(A289="","",IF(E289=0,"",AVERAGEIFS(Modulo!$C$2:$C$5001,Modulo!$A$2:$A$5001,"&gt;="&amp;C289,Modulo!$A$2:$A$5001,"&lt;"&amp;D289,Modulo!$D$2:$D$5001,Parametros!$B$7)))</f>
        <v/>
      </c>
      <c r="H289" s="25" t="str">
        <f aca="false">IF(A289="","",IFERROR(COUNTIFS(Amostragem!$A$2:$A$15003,"&gt;="&amp;C289,Amostragem!$A$2:$A$15003,"&lt;"&amp;D289,Amostragem!$B$2:$B$15003,"Automático",Amostragem!$C$2:$C$15003,"Automático",Amostragem!$D$2:$D$15003,0)/COUNTIFS(Amostragem!$A$2:$A$15003,"&gt;="&amp;C289,Amostragem!$A$2:$A$15003,"&lt;"&amp;D289),0))</f>
        <v/>
      </c>
      <c r="I289" s="23" t="str">
        <f aca="false">IF(A289="","",IFERROR(AVERAGEIFS(Amostragem!$E$2:$E$15003,Amostragem!$A$2:$A$15003,"&gt;="&amp;C289,Amostragem!$A$2:$A$15003,"&lt;"&amp;D289),""))</f>
        <v/>
      </c>
      <c r="J289" s="24" t="str">
        <f aca="false">IF(A289="","",IF(B289="","Inválida: sem resultado MES",IF(E289&lt;Parametros!$B$4,"Inválida: poucos ensaios do módulo",IF(H289&lt;Parametros!$B$5,"Inválida: amostragem em manual ou em falha",IF(OR(I289="",I289&lt;Parametros!$B$6),"Inválida: usina parada ou baixa alimentação","Válida")))))</f>
        <v/>
      </c>
      <c r="K289" s="23" t="str">
        <f aca="false">IF(J289="Válida",F289-B289,"")</f>
        <v/>
      </c>
      <c r="L289" s="26" t="str">
        <f aca="false">IF(J289="Válida",K289/B289,"")</f>
        <v/>
      </c>
      <c r="M289" s="23" t="str">
        <f aca="false">IF(J289="Válida",(F289+B289)/2,"")</f>
        <v/>
      </c>
      <c r="N289" s="24" t="str">
        <f aca="false">IF(K289="","",IF(OR(K289&gt;Resumo!$B$16,K289&lt;Resumo!$B$15),"Sim","Não"))</f>
        <v/>
      </c>
      <c r="O289" s="22" t="e">
        <f aca="false">IF(A289="",NA(),A289)</f>
        <v>#N/A</v>
      </c>
      <c r="P289" s="23" t="e">
        <f aca="false">IF(A289="",NA(),B289)</f>
        <v>#N/A</v>
      </c>
      <c r="Q289" s="23" t="e">
        <f aca="false">IF(F289="",NA(),F289)</f>
        <v>#N/A</v>
      </c>
      <c r="R289" s="23" t="e">
        <f aca="false">IF(K289="",NA(),K289)</f>
        <v>#N/A</v>
      </c>
      <c r="S289" s="23" t="e">
        <f aca="false">IF(M289="",NA(),M289)</f>
        <v>#N/A</v>
      </c>
      <c r="T289" s="23" t="str">
        <f aca="false">IF(J289="Válida",B289,"")</f>
        <v/>
      </c>
      <c r="U289" s="23" t="str">
        <f aca="false">IF(J289="Válida",F289,"")</f>
        <v/>
      </c>
    </row>
    <row r="290" customFormat="false" ht="15" hidden="false" customHeight="false" outlineLevel="0" collapsed="false">
      <c r="A290" s="22" t="str">
        <f aca="false">IF(MES!A290="","",MES!A290)</f>
        <v/>
      </c>
      <c r="B290" s="23" t="str">
        <f aca="false">IF(A290="","",MES!B290)</f>
        <v/>
      </c>
      <c r="C290" s="22" t="str">
        <f aca="false">IF(A290="","",A290+Parametros!$B$3/24)</f>
        <v/>
      </c>
      <c r="D290" s="22" t="str">
        <f aca="false">IF(A290="","",C290+Parametros!$B$2/24)</f>
        <v/>
      </c>
      <c r="E290" s="24" t="str">
        <f aca="false">IF(A290="","",COUNTIFS(Modulo!$A$2:$A$5001,"&gt;="&amp;C290,Modulo!$A$2:$A$5001,"&lt;"&amp;D290,Modulo!$D$2:$D$5001,Parametros!$B$7))</f>
        <v/>
      </c>
      <c r="F290" s="23" t="str">
        <f aca="false">IF(A290="","",IF(E290=0,"",AVERAGEIFS(Modulo!$B$2:$B$5001,Modulo!$A$2:$A$5001,"&gt;="&amp;C290,Modulo!$A$2:$A$5001,"&lt;"&amp;D290,Modulo!$D$2:$D$5001,Parametros!$B$7)))</f>
        <v/>
      </c>
      <c r="G290" s="23" t="str">
        <f aca="false">IF(A290="","",IF(E290=0,"",AVERAGEIFS(Modulo!$C$2:$C$5001,Modulo!$A$2:$A$5001,"&gt;="&amp;C290,Modulo!$A$2:$A$5001,"&lt;"&amp;D290,Modulo!$D$2:$D$5001,Parametros!$B$7)))</f>
        <v/>
      </c>
      <c r="H290" s="25" t="str">
        <f aca="false">IF(A290="","",IFERROR(COUNTIFS(Amostragem!$A$2:$A$15003,"&gt;="&amp;C290,Amostragem!$A$2:$A$15003,"&lt;"&amp;D290,Amostragem!$B$2:$B$15003,"Automático",Amostragem!$C$2:$C$15003,"Automático",Amostragem!$D$2:$D$15003,0)/COUNTIFS(Amostragem!$A$2:$A$15003,"&gt;="&amp;C290,Amostragem!$A$2:$A$15003,"&lt;"&amp;D290),0))</f>
        <v/>
      </c>
      <c r="I290" s="23" t="str">
        <f aca="false">IF(A290="","",IFERROR(AVERAGEIFS(Amostragem!$E$2:$E$15003,Amostragem!$A$2:$A$15003,"&gt;="&amp;C290,Amostragem!$A$2:$A$15003,"&lt;"&amp;D290),""))</f>
        <v/>
      </c>
      <c r="J290" s="24" t="str">
        <f aca="false">IF(A290="","",IF(B290="","Inválida: sem resultado MES",IF(E290&lt;Parametros!$B$4,"Inválida: poucos ensaios do módulo",IF(H290&lt;Parametros!$B$5,"Inválida: amostragem em manual ou em falha",IF(OR(I290="",I290&lt;Parametros!$B$6),"Inválida: usina parada ou baixa alimentação","Válida")))))</f>
        <v/>
      </c>
      <c r="K290" s="23" t="str">
        <f aca="false">IF(J290="Válida",F290-B290,"")</f>
        <v/>
      </c>
      <c r="L290" s="26" t="str">
        <f aca="false">IF(J290="Válida",K290/B290,"")</f>
        <v/>
      </c>
      <c r="M290" s="23" t="str">
        <f aca="false">IF(J290="Válida",(F290+B290)/2,"")</f>
        <v/>
      </c>
      <c r="N290" s="24" t="str">
        <f aca="false">IF(K290="","",IF(OR(K290&gt;Resumo!$B$16,K290&lt;Resumo!$B$15),"Sim","Não"))</f>
        <v/>
      </c>
      <c r="O290" s="22" t="e">
        <f aca="false">IF(A290="",NA(),A290)</f>
        <v>#N/A</v>
      </c>
      <c r="P290" s="23" t="e">
        <f aca="false">IF(A290="",NA(),B290)</f>
        <v>#N/A</v>
      </c>
      <c r="Q290" s="23" t="e">
        <f aca="false">IF(F290="",NA(),F290)</f>
        <v>#N/A</v>
      </c>
      <c r="R290" s="23" t="e">
        <f aca="false">IF(K290="",NA(),K290)</f>
        <v>#N/A</v>
      </c>
      <c r="S290" s="23" t="e">
        <f aca="false">IF(M290="",NA(),M290)</f>
        <v>#N/A</v>
      </c>
      <c r="T290" s="23" t="str">
        <f aca="false">IF(J290="Válida",B290,"")</f>
        <v/>
      </c>
      <c r="U290" s="23" t="str">
        <f aca="false">IF(J290="Válida",F290,"")</f>
        <v/>
      </c>
    </row>
    <row r="291" customFormat="false" ht="15" hidden="false" customHeight="false" outlineLevel="0" collapsed="false">
      <c r="A291" s="22" t="str">
        <f aca="false">IF(MES!A291="","",MES!A291)</f>
        <v/>
      </c>
      <c r="B291" s="23" t="str">
        <f aca="false">IF(A291="","",MES!B291)</f>
        <v/>
      </c>
      <c r="C291" s="22" t="str">
        <f aca="false">IF(A291="","",A291+Parametros!$B$3/24)</f>
        <v/>
      </c>
      <c r="D291" s="22" t="str">
        <f aca="false">IF(A291="","",C291+Parametros!$B$2/24)</f>
        <v/>
      </c>
      <c r="E291" s="24" t="str">
        <f aca="false">IF(A291="","",COUNTIFS(Modulo!$A$2:$A$5001,"&gt;="&amp;C291,Modulo!$A$2:$A$5001,"&lt;"&amp;D291,Modulo!$D$2:$D$5001,Parametros!$B$7))</f>
        <v/>
      </c>
      <c r="F291" s="23" t="str">
        <f aca="false">IF(A291="","",IF(E291=0,"",AVERAGEIFS(Modulo!$B$2:$B$5001,Modulo!$A$2:$A$5001,"&gt;="&amp;C291,Modulo!$A$2:$A$5001,"&lt;"&amp;D291,Modulo!$D$2:$D$5001,Parametros!$B$7)))</f>
        <v/>
      </c>
      <c r="G291" s="23" t="str">
        <f aca="false">IF(A291="","",IF(E291=0,"",AVERAGEIFS(Modulo!$C$2:$C$5001,Modulo!$A$2:$A$5001,"&gt;="&amp;C291,Modulo!$A$2:$A$5001,"&lt;"&amp;D291,Modulo!$D$2:$D$5001,Parametros!$B$7)))</f>
        <v/>
      </c>
      <c r="H291" s="25" t="str">
        <f aca="false">IF(A291="","",IFERROR(COUNTIFS(Amostragem!$A$2:$A$15003,"&gt;="&amp;C291,Amostragem!$A$2:$A$15003,"&lt;"&amp;D291,Amostragem!$B$2:$B$15003,"Automático",Amostragem!$C$2:$C$15003,"Automático",Amostragem!$D$2:$D$15003,0)/COUNTIFS(Amostragem!$A$2:$A$15003,"&gt;="&amp;C291,Amostragem!$A$2:$A$15003,"&lt;"&amp;D291),0))</f>
        <v/>
      </c>
      <c r="I291" s="23" t="str">
        <f aca="false">IF(A291="","",IFERROR(AVERAGEIFS(Amostragem!$E$2:$E$15003,Amostragem!$A$2:$A$15003,"&gt;="&amp;C291,Amostragem!$A$2:$A$15003,"&lt;"&amp;D291),""))</f>
        <v/>
      </c>
      <c r="J291" s="24" t="str">
        <f aca="false">IF(A291="","",IF(B291="","Inválida: sem resultado MES",IF(E291&lt;Parametros!$B$4,"Inválida: poucos ensaios do módulo",IF(H291&lt;Parametros!$B$5,"Inválida: amostragem em manual ou em falha",IF(OR(I291="",I291&lt;Parametros!$B$6),"Inválida: usina parada ou baixa alimentação","Válida")))))</f>
        <v/>
      </c>
      <c r="K291" s="23" t="str">
        <f aca="false">IF(J291="Válida",F291-B291,"")</f>
        <v/>
      </c>
      <c r="L291" s="26" t="str">
        <f aca="false">IF(J291="Válida",K291/B291,"")</f>
        <v/>
      </c>
      <c r="M291" s="23" t="str">
        <f aca="false">IF(J291="Válida",(F291+B291)/2,"")</f>
        <v/>
      </c>
      <c r="N291" s="24" t="str">
        <f aca="false">IF(K291="","",IF(OR(K291&gt;Resumo!$B$16,K291&lt;Resumo!$B$15),"Sim","Não"))</f>
        <v/>
      </c>
      <c r="O291" s="22" t="e">
        <f aca="false">IF(A291="",NA(),A291)</f>
        <v>#N/A</v>
      </c>
      <c r="P291" s="23" t="e">
        <f aca="false">IF(A291="",NA(),B291)</f>
        <v>#N/A</v>
      </c>
      <c r="Q291" s="23" t="e">
        <f aca="false">IF(F291="",NA(),F291)</f>
        <v>#N/A</v>
      </c>
      <c r="R291" s="23" t="e">
        <f aca="false">IF(K291="",NA(),K291)</f>
        <v>#N/A</v>
      </c>
      <c r="S291" s="23" t="e">
        <f aca="false">IF(M291="",NA(),M291)</f>
        <v>#N/A</v>
      </c>
      <c r="T291" s="23" t="str">
        <f aca="false">IF(J291="Válida",B291,"")</f>
        <v/>
      </c>
      <c r="U291" s="23" t="str">
        <f aca="false">IF(J291="Válida",F291,"")</f>
        <v/>
      </c>
    </row>
    <row r="292" customFormat="false" ht="15" hidden="false" customHeight="false" outlineLevel="0" collapsed="false">
      <c r="A292" s="22" t="str">
        <f aca="false">IF(MES!A292="","",MES!A292)</f>
        <v/>
      </c>
      <c r="B292" s="23" t="str">
        <f aca="false">IF(A292="","",MES!B292)</f>
        <v/>
      </c>
      <c r="C292" s="22" t="str">
        <f aca="false">IF(A292="","",A292+Parametros!$B$3/24)</f>
        <v/>
      </c>
      <c r="D292" s="22" t="str">
        <f aca="false">IF(A292="","",C292+Parametros!$B$2/24)</f>
        <v/>
      </c>
      <c r="E292" s="24" t="str">
        <f aca="false">IF(A292="","",COUNTIFS(Modulo!$A$2:$A$5001,"&gt;="&amp;C292,Modulo!$A$2:$A$5001,"&lt;"&amp;D292,Modulo!$D$2:$D$5001,Parametros!$B$7))</f>
        <v/>
      </c>
      <c r="F292" s="23" t="str">
        <f aca="false">IF(A292="","",IF(E292=0,"",AVERAGEIFS(Modulo!$B$2:$B$5001,Modulo!$A$2:$A$5001,"&gt;="&amp;C292,Modulo!$A$2:$A$5001,"&lt;"&amp;D292,Modulo!$D$2:$D$5001,Parametros!$B$7)))</f>
        <v/>
      </c>
      <c r="G292" s="23" t="str">
        <f aca="false">IF(A292="","",IF(E292=0,"",AVERAGEIFS(Modulo!$C$2:$C$5001,Modulo!$A$2:$A$5001,"&gt;="&amp;C292,Modulo!$A$2:$A$5001,"&lt;"&amp;D292,Modulo!$D$2:$D$5001,Parametros!$B$7)))</f>
        <v/>
      </c>
      <c r="H292" s="25" t="str">
        <f aca="false">IF(A292="","",IFERROR(COUNTIFS(Amostragem!$A$2:$A$15003,"&gt;="&amp;C292,Amostragem!$A$2:$A$15003,"&lt;"&amp;D292,Amostragem!$B$2:$B$15003,"Automático",Amostragem!$C$2:$C$15003,"Automático",Amostragem!$D$2:$D$15003,0)/COUNTIFS(Amostragem!$A$2:$A$15003,"&gt;="&amp;C292,Amostragem!$A$2:$A$15003,"&lt;"&amp;D292),0))</f>
        <v/>
      </c>
      <c r="I292" s="23" t="str">
        <f aca="false">IF(A292="","",IFERROR(AVERAGEIFS(Amostragem!$E$2:$E$15003,Amostragem!$A$2:$A$15003,"&gt;="&amp;C292,Amostragem!$A$2:$A$15003,"&lt;"&amp;D292),""))</f>
        <v/>
      </c>
      <c r="J292" s="24" t="str">
        <f aca="false">IF(A292="","",IF(B292="","Inválida: sem resultado MES",IF(E292&lt;Parametros!$B$4,"Inválida: poucos ensaios do módulo",IF(H292&lt;Parametros!$B$5,"Inválida: amostragem em manual ou em falha",IF(OR(I292="",I292&lt;Parametros!$B$6),"Inválida: usina parada ou baixa alimentação","Válida")))))</f>
        <v/>
      </c>
      <c r="K292" s="23" t="str">
        <f aca="false">IF(J292="Válida",F292-B292,"")</f>
        <v/>
      </c>
      <c r="L292" s="26" t="str">
        <f aca="false">IF(J292="Válida",K292/B292,"")</f>
        <v/>
      </c>
      <c r="M292" s="23" t="str">
        <f aca="false">IF(J292="Válida",(F292+B292)/2,"")</f>
        <v/>
      </c>
      <c r="N292" s="24" t="str">
        <f aca="false">IF(K292="","",IF(OR(K292&gt;Resumo!$B$16,K292&lt;Resumo!$B$15),"Sim","Não"))</f>
        <v/>
      </c>
      <c r="O292" s="22" t="e">
        <f aca="false">IF(A292="",NA(),A292)</f>
        <v>#N/A</v>
      </c>
      <c r="P292" s="23" t="e">
        <f aca="false">IF(A292="",NA(),B292)</f>
        <v>#N/A</v>
      </c>
      <c r="Q292" s="23" t="e">
        <f aca="false">IF(F292="",NA(),F292)</f>
        <v>#N/A</v>
      </c>
      <c r="R292" s="23" t="e">
        <f aca="false">IF(K292="",NA(),K292)</f>
        <v>#N/A</v>
      </c>
      <c r="S292" s="23" t="e">
        <f aca="false">IF(M292="",NA(),M292)</f>
        <v>#N/A</v>
      </c>
      <c r="T292" s="23" t="str">
        <f aca="false">IF(J292="Válida",B292,"")</f>
        <v/>
      </c>
      <c r="U292" s="23" t="str">
        <f aca="false">IF(J292="Válida",F292,"")</f>
        <v/>
      </c>
    </row>
    <row r="293" customFormat="false" ht="15" hidden="false" customHeight="false" outlineLevel="0" collapsed="false">
      <c r="A293" s="22" t="str">
        <f aca="false">IF(MES!A293="","",MES!A293)</f>
        <v/>
      </c>
      <c r="B293" s="23" t="str">
        <f aca="false">IF(A293="","",MES!B293)</f>
        <v/>
      </c>
      <c r="C293" s="22" t="str">
        <f aca="false">IF(A293="","",A293+Parametros!$B$3/24)</f>
        <v/>
      </c>
      <c r="D293" s="22" t="str">
        <f aca="false">IF(A293="","",C293+Parametros!$B$2/24)</f>
        <v/>
      </c>
      <c r="E293" s="24" t="str">
        <f aca="false">IF(A293="","",COUNTIFS(Modulo!$A$2:$A$5001,"&gt;="&amp;C293,Modulo!$A$2:$A$5001,"&lt;"&amp;D293,Modulo!$D$2:$D$5001,Parametros!$B$7))</f>
        <v/>
      </c>
      <c r="F293" s="23" t="str">
        <f aca="false">IF(A293="","",IF(E293=0,"",AVERAGEIFS(Modulo!$B$2:$B$5001,Modulo!$A$2:$A$5001,"&gt;="&amp;C293,Modulo!$A$2:$A$5001,"&lt;"&amp;D293,Modulo!$D$2:$D$5001,Parametros!$B$7)))</f>
        <v/>
      </c>
      <c r="G293" s="23" t="str">
        <f aca="false">IF(A293="","",IF(E293=0,"",AVERAGEIFS(Modulo!$C$2:$C$5001,Modulo!$A$2:$A$5001,"&gt;="&amp;C293,Modulo!$A$2:$A$5001,"&lt;"&amp;D293,Modulo!$D$2:$D$5001,Parametros!$B$7)))</f>
        <v/>
      </c>
      <c r="H293" s="25" t="str">
        <f aca="false">IF(A293="","",IFERROR(COUNTIFS(Amostragem!$A$2:$A$15003,"&gt;="&amp;C293,Amostragem!$A$2:$A$15003,"&lt;"&amp;D293,Amostragem!$B$2:$B$15003,"Automático",Amostragem!$C$2:$C$15003,"Automático",Amostragem!$D$2:$D$15003,0)/COUNTIFS(Amostragem!$A$2:$A$15003,"&gt;="&amp;C293,Amostragem!$A$2:$A$15003,"&lt;"&amp;D293),0))</f>
        <v/>
      </c>
      <c r="I293" s="23" t="str">
        <f aca="false">IF(A293="","",IFERROR(AVERAGEIFS(Amostragem!$E$2:$E$15003,Amostragem!$A$2:$A$15003,"&gt;="&amp;C293,Amostragem!$A$2:$A$15003,"&lt;"&amp;D293),""))</f>
        <v/>
      </c>
      <c r="J293" s="24" t="str">
        <f aca="false">IF(A293="","",IF(B293="","Inválida: sem resultado MES",IF(E293&lt;Parametros!$B$4,"Inválida: poucos ensaios do módulo",IF(H293&lt;Parametros!$B$5,"Inválida: amostragem em manual ou em falha",IF(OR(I293="",I293&lt;Parametros!$B$6),"Inválida: usina parada ou baixa alimentação","Válida")))))</f>
        <v/>
      </c>
      <c r="K293" s="23" t="str">
        <f aca="false">IF(J293="Válida",F293-B293,"")</f>
        <v/>
      </c>
      <c r="L293" s="26" t="str">
        <f aca="false">IF(J293="Válida",K293/B293,"")</f>
        <v/>
      </c>
      <c r="M293" s="23" t="str">
        <f aca="false">IF(J293="Válida",(F293+B293)/2,"")</f>
        <v/>
      </c>
      <c r="N293" s="24" t="str">
        <f aca="false">IF(K293="","",IF(OR(K293&gt;Resumo!$B$16,K293&lt;Resumo!$B$15),"Sim","Não"))</f>
        <v/>
      </c>
      <c r="O293" s="22" t="e">
        <f aca="false">IF(A293="",NA(),A293)</f>
        <v>#N/A</v>
      </c>
      <c r="P293" s="23" t="e">
        <f aca="false">IF(A293="",NA(),B293)</f>
        <v>#N/A</v>
      </c>
      <c r="Q293" s="23" t="e">
        <f aca="false">IF(F293="",NA(),F293)</f>
        <v>#N/A</v>
      </c>
      <c r="R293" s="23" t="e">
        <f aca="false">IF(K293="",NA(),K293)</f>
        <v>#N/A</v>
      </c>
      <c r="S293" s="23" t="e">
        <f aca="false">IF(M293="",NA(),M293)</f>
        <v>#N/A</v>
      </c>
      <c r="T293" s="23" t="str">
        <f aca="false">IF(J293="Válida",B293,"")</f>
        <v/>
      </c>
      <c r="U293" s="23" t="str">
        <f aca="false">IF(J293="Válida",F293,"")</f>
        <v/>
      </c>
    </row>
    <row r="294" customFormat="false" ht="15" hidden="false" customHeight="false" outlineLevel="0" collapsed="false">
      <c r="A294" s="22" t="str">
        <f aca="false">IF(MES!A294="","",MES!A294)</f>
        <v/>
      </c>
      <c r="B294" s="23" t="str">
        <f aca="false">IF(A294="","",MES!B294)</f>
        <v/>
      </c>
      <c r="C294" s="22" t="str">
        <f aca="false">IF(A294="","",A294+Parametros!$B$3/24)</f>
        <v/>
      </c>
      <c r="D294" s="22" t="str">
        <f aca="false">IF(A294="","",C294+Parametros!$B$2/24)</f>
        <v/>
      </c>
      <c r="E294" s="24" t="str">
        <f aca="false">IF(A294="","",COUNTIFS(Modulo!$A$2:$A$5001,"&gt;="&amp;C294,Modulo!$A$2:$A$5001,"&lt;"&amp;D294,Modulo!$D$2:$D$5001,Parametros!$B$7))</f>
        <v/>
      </c>
      <c r="F294" s="23" t="str">
        <f aca="false">IF(A294="","",IF(E294=0,"",AVERAGEIFS(Modulo!$B$2:$B$5001,Modulo!$A$2:$A$5001,"&gt;="&amp;C294,Modulo!$A$2:$A$5001,"&lt;"&amp;D294,Modulo!$D$2:$D$5001,Parametros!$B$7)))</f>
        <v/>
      </c>
      <c r="G294" s="23" t="str">
        <f aca="false">IF(A294="","",IF(E294=0,"",AVERAGEIFS(Modulo!$C$2:$C$5001,Modulo!$A$2:$A$5001,"&gt;="&amp;C294,Modulo!$A$2:$A$5001,"&lt;"&amp;D294,Modulo!$D$2:$D$5001,Parametros!$B$7)))</f>
        <v/>
      </c>
      <c r="H294" s="25" t="str">
        <f aca="false">IF(A294="","",IFERROR(COUNTIFS(Amostragem!$A$2:$A$15003,"&gt;="&amp;C294,Amostragem!$A$2:$A$15003,"&lt;"&amp;D294,Amostragem!$B$2:$B$15003,"Automático",Amostragem!$C$2:$C$15003,"Automático",Amostragem!$D$2:$D$15003,0)/COUNTIFS(Amostragem!$A$2:$A$15003,"&gt;="&amp;C294,Amostragem!$A$2:$A$15003,"&lt;"&amp;D294),0))</f>
        <v/>
      </c>
      <c r="I294" s="23" t="str">
        <f aca="false">IF(A294="","",IFERROR(AVERAGEIFS(Amostragem!$E$2:$E$15003,Amostragem!$A$2:$A$15003,"&gt;="&amp;C294,Amostragem!$A$2:$A$15003,"&lt;"&amp;D294),""))</f>
        <v/>
      </c>
      <c r="J294" s="24" t="str">
        <f aca="false">IF(A294="","",IF(B294="","Inválida: sem resultado MES",IF(E294&lt;Parametros!$B$4,"Inválida: poucos ensaios do módulo",IF(H294&lt;Parametros!$B$5,"Inválida: amostragem em manual ou em falha",IF(OR(I294="",I294&lt;Parametros!$B$6),"Inválida: usina parada ou baixa alimentação","Válida")))))</f>
        <v/>
      </c>
      <c r="K294" s="23" t="str">
        <f aca="false">IF(J294="Válida",F294-B294,"")</f>
        <v/>
      </c>
      <c r="L294" s="26" t="str">
        <f aca="false">IF(J294="Válida",K294/B294,"")</f>
        <v/>
      </c>
      <c r="M294" s="23" t="str">
        <f aca="false">IF(J294="Válida",(F294+B294)/2,"")</f>
        <v/>
      </c>
      <c r="N294" s="24" t="str">
        <f aca="false">IF(K294="","",IF(OR(K294&gt;Resumo!$B$16,K294&lt;Resumo!$B$15),"Sim","Não"))</f>
        <v/>
      </c>
      <c r="O294" s="22" t="e">
        <f aca="false">IF(A294="",NA(),A294)</f>
        <v>#N/A</v>
      </c>
      <c r="P294" s="23" t="e">
        <f aca="false">IF(A294="",NA(),B294)</f>
        <v>#N/A</v>
      </c>
      <c r="Q294" s="23" t="e">
        <f aca="false">IF(F294="",NA(),F294)</f>
        <v>#N/A</v>
      </c>
      <c r="R294" s="23" t="e">
        <f aca="false">IF(K294="",NA(),K294)</f>
        <v>#N/A</v>
      </c>
      <c r="S294" s="23" t="e">
        <f aca="false">IF(M294="",NA(),M294)</f>
        <v>#N/A</v>
      </c>
      <c r="T294" s="23" t="str">
        <f aca="false">IF(J294="Válida",B294,"")</f>
        <v/>
      </c>
      <c r="U294" s="23" t="str">
        <f aca="false">IF(J294="Válida",F294,"")</f>
        <v/>
      </c>
    </row>
    <row r="295" customFormat="false" ht="15" hidden="false" customHeight="false" outlineLevel="0" collapsed="false">
      <c r="A295" s="22" t="str">
        <f aca="false">IF(MES!A295="","",MES!A295)</f>
        <v/>
      </c>
      <c r="B295" s="23" t="str">
        <f aca="false">IF(A295="","",MES!B295)</f>
        <v/>
      </c>
      <c r="C295" s="22" t="str">
        <f aca="false">IF(A295="","",A295+Parametros!$B$3/24)</f>
        <v/>
      </c>
      <c r="D295" s="22" t="str">
        <f aca="false">IF(A295="","",C295+Parametros!$B$2/24)</f>
        <v/>
      </c>
      <c r="E295" s="24" t="str">
        <f aca="false">IF(A295="","",COUNTIFS(Modulo!$A$2:$A$5001,"&gt;="&amp;C295,Modulo!$A$2:$A$5001,"&lt;"&amp;D295,Modulo!$D$2:$D$5001,Parametros!$B$7))</f>
        <v/>
      </c>
      <c r="F295" s="23" t="str">
        <f aca="false">IF(A295="","",IF(E295=0,"",AVERAGEIFS(Modulo!$B$2:$B$5001,Modulo!$A$2:$A$5001,"&gt;="&amp;C295,Modulo!$A$2:$A$5001,"&lt;"&amp;D295,Modulo!$D$2:$D$5001,Parametros!$B$7)))</f>
        <v/>
      </c>
      <c r="G295" s="23" t="str">
        <f aca="false">IF(A295="","",IF(E295=0,"",AVERAGEIFS(Modulo!$C$2:$C$5001,Modulo!$A$2:$A$5001,"&gt;="&amp;C295,Modulo!$A$2:$A$5001,"&lt;"&amp;D295,Modulo!$D$2:$D$5001,Parametros!$B$7)))</f>
        <v/>
      </c>
      <c r="H295" s="25" t="str">
        <f aca="false">IF(A295="","",IFERROR(COUNTIFS(Amostragem!$A$2:$A$15003,"&gt;="&amp;C295,Amostragem!$A$2:$A$15003,"&lt;"&amp;D295,Amostragem!$B$2:$B$15003,"Automático",Amostragem!$C$2:$C$15003,"Automático",Amostragem!$D$2:$D$15003,0)/COUNTIFS(Amostragem!$A$2:$A$15003,"&gt;="&amp;C295,Amostragem!$A$2:$A$15003,"&lt;"&amp;D295),0))</f>
        <v/>
      </c>
      <c r="I295" s="23" t="str">
        <f aca="false">IF(A295="","",IFERROR(AVERAGEIFS(Amostragem!$E$2:$E$15003,Amostragem!$A$2:$A$15003,"&gt;="&amp;C295,Amostragem!$A$2:$A$15003,"&lt;"&amp;D295),""))</f>
        <v/>
      </c>
      <c r="J295" s="24" t="str">
        <f aca="false">IF(A295="","",IF(B295="","Inválida: sem resultado MES",IF(E295&lt;Parametros!$B$4,"Inválida: poucos ensaios do módulo",IF(H295&lt;Parametros!$B$5,"Inválida: amostragem em manual ou em falha",IF(OR(I295="",I295&lt;Parametros!$B$6),"Inválida: usina parada ou baixa alimentação","Válida")))))</f>
        <v/>
      </c>
      <c r="K295" s="23" t="str">
        <f aca="false">IF(J295="Válida",F295-B295,"")</f>
        <v/>
      </c>
      <c r="L295" s="26" t="str">
        <f aca="false">IF(J295="Válida",K295/B295,"")</f>
        <v/>
      </c>
      <c r="M295" s="23" t="str">
        <f aca="false">IF(J295="Válida",(F295+B295)/2,"")</f>
        <v/>
      </c>
      <c r="N295" s="24" t="str">
        <f aca="false">IF(K295="","",IF(OR(K295&gt;Resumo!$B$16,K295&lt;Resumo!$B$15),"Sim","Não"))</f>
        <v/>
      </c>
      <c r="O295" s="22" t="e">
        <f aca="false">IF(A295="",NA(),A295)</f>
        <v>#N/A</v>
      </c>
      <c r="P295" s="23" t="e">
        <f aca="false">IF(A295="",NA(),B295)</f>
        <v>#N/A</v>
      </c>
      <c r="Q295" s="23" t="e">
        <f aca="false">IF(F295="",NA(),F295)</f>
        <v>#N/A</v>
      </c>
      <c r="R295" s="23" t="e">
        <f aca="false">IF(K295="",NA(),K295)</f>
        <v>#N/A</v>
      </c>
      <c r="S295" s="23" t="e">
        <f aca="false">IF(M295="",NA(),M295)</f>
        <v>#N/A</v>
      </c>
      <c r="T295" s="23" t="str">
        <f aca="false">IF(J295="Válida",B295,"")</f>
        <v/>
      </c>
      <c r="U295" s="23" t="str">
        <f aca="false">IF(J295="Válida",F295,"")</f>
        <v/>
      </c>
    </row>
    <row r="296" customFormat="false" ht="15" hidden="false" customHeight="false" outlineLevel="0" collapsed="false">
      <c r="A296" s="22" t="str">
        <f aca="false">IF(MES!A296="","",MES!A296)</f>
        <v/>
      </c>
      <c r="B296" s="23" t="str">
        <f aca="false">IF(A296="","",MES!B296)</f>
        <v/>
      </c>
      <c r="C296" s="22" t="str">
        <f aca="false">IF(A296="","",A296+Parametros!$B$3/24)</f>
        <v/>
      </c>
      <c r="D296" s="22" t="str">
        <f aca="false">IF(A296="","",C296+Parametros!$B$2/24)</f>
        <v/>
      </c>
      <c r="E296" s="24" t="str">
        <f aca="false">IF(A296="","",COUNTIFS(Modulo!$A$2:$A$5001,"&gt;="&amp;C296,Modulo!$A$2:$A$5001,"&lt;"&amp;D296,Modulo!$D$2:$D$5001,Parametros!$B$7))</f>
        <v/>
      </c>
      <c r="F296" s="23" t="str">
        <f aca="false">IF(A296="","",IF(E296=0,"",AVERAGEIFS(Modulo!$B$2:$B$5001,Modulo!$A$2:$A$5001,"&gt;="&amp;C296,Modulo!$A$2:$A$5001,"&lt;"&amp;D296,Modulo!$D$2:$D$5001,Parametros!$B$7)))</f>
        <v/>
      </c>
      <c r="G296" s="23" t="str">
        <f aca="false">IF(A296="","",IF(E296=0,"",AVERAGEIFS(Modulo!$C$2:$C$5001,Modulo!$A$2:$A$5001,"&gt;="&amp;C296,Modulo!$A$2:$A$5001,"&lt;"&amp;D296,Modulo!$D$2:$D$5001,Parametros!$B$7)))</f>
        <v/>
      </c>
      <c r="H296" s="25" t="str">
        <f aca="false">IF(A296="","",IFERROR(COUNTIFS(Amostragem!$A$2:$A$15003,"&gt;="&amp;C296,Amostragem!$A$2:$A$15003,"&lt;"&amp;D296,Amostragem!$B$2:$B$15003,"Automático",Amostragem!$C$2:$C$15003,"Automático",Amostragem!$D$2:$D$15003,0)/COUNTIFS(Amostragem!$A$2:$A$15003,"&gt;="&amp;C296,Amostragem!$A$2:$A$15003,"&lt;"&amp;D296),0))</f>
        <v/>
      </c>
      <c r="I296" s="23" t="str">
        <f aca="false">IF(A296="","",IFERROR(AVERAGEIFS(Amostragem!$E$2:$E$15003,Amostragem!$A$2:$A$15003,"&gt;="&amp;C296,Amostragem!$A$2:$A$15003,"&lt;"&amp;D296),""))</f>
        <v/>
      </c>
      <c r="J296" s="24" t="str">
        <f aca="false">IF(A296="","",IF(B296="","Inválida: sem resultado MES",IF(E296&lt;Parametros!$B$4,"Inválida: poucos ensaios do módulo",IF(H296&lt;Parametros!$B$5,"Inválida: amostragem em manual ou em falha",IF(OR(I296="",I296&lt;Parametros!$B$6),"Inválida: usina parada ou baixa alimentação","Válida")))))</f>
        <v/>
      </c>
      <c r="K296" s="23" t="str">
        <f aca="false">IF(J296="Válida",F296-B296,"")</f>
        <v/>
      </c>
      <c r="L296" s="26" t="str">
        <f aca="false">IF(J296="Válida",K296/B296,"")</f>
        <v/>
      </c>
      <c r="M296" s="23" t="str">
        <f aca="false">IF(J296="Válida",(F296+B296)/2,"")</f>
        <v/>
      </c>
      <c r="N296" s="24" t="str">
        <f aca="false">IF(K296="","",IF(OR(K296&gt;Resumo!$B$16,K296&lt;Resumo!$B$15),"Sim","Não"))</f>
        <v/>
      </c>
      <c r="O296" s="22" t="e">
        <f aca="false">IF(A296="",NA(),A296)</f>
        <v>#N/A</v>
      </c>
      <c r="P296" s="23" t="e">
        <f aca="false">IF(A296="",NA(),B296)</f>
        <v>#N/A</v>
      </c>
      <c r="Q296" s="23" t="e">
        <f aca="false">IF(F296="",NA(),F296)</f>
        <v>#N/A</v>
      </c>
      <c r="R296" s="23" t="e">
        <f aca="false">IF(K296="",NA(),K296)</f>
        <v>#N/A</v>
      </c>
      <c r="S296" s="23" t="e">
        <f aca="false">IF(M296="",NA(),M296)</f>
        <v>#N/A</v>
      </c>
      <c r="T296" s="23" t="str">
        <f aca="false">IF(J296="Válida",B296,"")</f>
        <v/>
      </c>
      <c r="U296" s="23" t="str">
        <f aca="false">IF(J296="Válida",F296,"")</f>
        <v/>
      </c>
    </row>
    <row r="297" customFormat="false" ht="15" hidden="false" customHeight="false" outlineLevel="0" collapsed="false">
      <c r="A297" s="22" t="str">
        <f aca="false">IF(MES!A297="","",MES!A297)</f>
        <v/>
      </c>
      <c r="B297" s="23" t="str">
        <f aca="false">IF(A297="","",MES!B297)</f>
        <v/>
      </c>
      <c r="C297" s="22" t="str">
        <f aca="false">IF(A297="","",A297+Parametros!$B$3/24)</f>
        <v/>
      </c>
      <c r="D297" s="22" t="str">
        <f aca="false">IF(A297="","",C297+Parametros!$B$2/24)</f>
        <v/>
      </c>
      <c r="E297" s="24" t="str">
        <f aca="false">IF(A297="","",COUNTIFS(Modulo!$A$2:$A$5001,"&gt;="&amp;C297,Modulo!$A$2:$A$5001,"&lt;"&amp;D297,Modulo!$D$2:$D$5001,Parametros!$B$7))</f>
        <v/>
      </c>
      <c r="F297" s="23" t="str">
        <f aca="false">IF(A297="","",IF(E297=0,"",AVERAGEIFS(Modulo!$B$2:$B$5001,Modulo!$A$2:$A$5001,"&gt;="&amp;C297,Modulo!$A$2:$A$5001,"&lt;"&amp;D297,Modulo!$D$2:$D$5001,Parametros!$B$7)))</f>
        <v/>
      </c>
      <c r="G297" s="23" t="str">
        <f aca="false">IF(A297="","",IF(E297=0,"",AVERAGEIFS(Modulo!$C$2:$C$5001,Modulo!$A$2:$A$5001,"&gt;="&amp;C297,Modulo!$A$2:$A$5001,"&lt;"&amp;D297,Modulo!$D$2:$D$5001,Parametros!$B$7)))</f>
        <v/>
      </c>
      <c r="H297" s="25" t="str">
        <f aca="false">IF(A297="","",IFERROR(COUNTIFS(Amostragem!$A$2:$A$15003,"&gt;="&amp;C297,Amostragem!$A$2:$A$15003,"&lt;"&amp;D297,Amostragem!$B$2:$B$15003,"Automático",Amostragem!$C$2:$C$15003,"Automático",Amostragem!$D$2:$D$15003,0)/COUNTIFS(Amostragem!$A$2:$A$15003,"&gt;="&amp;C297,Amostragem!$A$2:$A$15003,"&lt;"&amp;D297),0))</f>
        <v/>
      </c>
      <c r="I297" s="23" t="str">
        <f aca="false">IF(A297="","",IFERROR(AVERAGEIFS(Amostragem!$E$2:$E$15003,Amostragem!$A$2:$A$15003,"&gt;="&amp;C297,Amostragem!$A$2:$A$15003,"&lt;"&amp;D297),""))</f>
        <v/>
      </c>
      <c r="J297" s="24" t="str">
        <f aca="false">IF(A297="","",IF(B297="","Inválida: sem resultado MES",IF(E297&lt;Parametros!$B$4,"Inválida: poucos ensaios do módulo",IF(H297&lt;Parametros!$B$5,"Inválida: amostragem em manual ou em falha",IF(OR(I297="",I297&lt;Parametros!$B$6),"Inválida: usina parada ou baixa alimentação","Válida")))))</f>
        <v/>
      </c>
      <c r="K297" s="23" t="str">
        <f aca="false">IF(J297="Válida",F297-B297,"")</f>
        <v/>
      </c>
      <c r="L297" s="26" t="str">
        <f aca="false">IF(J297="Válida",K297/B297,"")</f>
        <v/>
      </c>
      <c r="M297" s="23" t="str">
        <f aca="false">IF(J297="Válida",(F297+B297)/2,"")</f>
        <v/>
      </c>
      <c r="N297" s="24" t="str">
        <f aca="false">IF(K297="","",IF(OR(K297&gt;Resumo!$B$16,K297&lt;Resumo!$B$15),"Sim","Não"))</f>
        <v/>
      </c>
      <c r="O297" s="22" t="e">
        <f aca="false">IF(A297="",NA(),A297)</f>
        <v>#N/A</v>
      </c>
      <c r="P297" s="23" t="e">
        <f aca="false">IF(A297="",NA(),B297)</f>
        <v>#N/A</v>
      </c>
      <c r="Q297" s="23" t="e">
        <f aca="false">IF(F297="",NA(),F297)</f>
        <v>#N/A</v>
      </c>
      <c r="R297" s="23" t="e">
        <f aca="false">IF(K297="",NA(),K297)</f>
        <v>#N/A</v>
      </c>
      <c r="S297" s="23" t="e">
        <f aca="false">IF(M297="",NA(),M297)</f>
        <v>#N/A</v>
      </c>
      <c r="T297" s="23" t="str">
        <f aca="false">IF(J297="Válida",B297,"")</f>
        <v/>
      </c>
      <c r="U297" s="23" t="str">
        <f aca="false">IF(J297="Válida",F297,"")</f>
        <v/>
      </c>
    </row>
    <row r="298" customFormat="false" ht="15" hidden="false" customHeight="false" outlineLevel="0" collapsed="false">
      <c r="A298" s="22" t="str">
        <f aca="false">IF(MES!A298="","",MES!A298)</f>
        <v/>
      </c>
      <c r="B298" s="23" t="str">
        <f aca="false">IF(A298="","",MES!B298)</f>
        <v/>
      </c>
      <c r="C298" s="22" t="str">
        <f aca="false">IF(A298="","",A298+Parametros!$B$3/24)</f>
        <v/>
      </c>
      <c r="D298" s="22" t="str">
        <f aca="false">IF(A298="","",C298+Parametros!$B$2/24)</f>
        <v/>
      </c>
      <c r="E298" s="24" t="str">
        <f aca="false">IF(A298="","",COUNTIFS(Modulo!$A$2:$A$5001,"&gt;="&amp;C298,Modulo!$A$2:$A$5001,"&lt;"&amp;D298,Modulo!$D$2:$D$5001,Parametros!$B$7))</f>
        <v/>
      </c>
      <c r="F298" s="23" t="str">
        <f aca="false">IF(A298="","",IF(E298=0,"",AVERAGEIFS(Modulo!$B$2:$B$5001,Modulo!$A$2:$A$5001,"&gt;="&amp;C298,Modulo!$A$2:$A$5001,"&lt;"&amp;D298,Modulo!$D$2:$D$5001,Parametros!$B$7)))</f>
        <v/>
      </c>
      <c r="G298" s="23" t="str">
        <f aca="false">IF(A298="","",IF(E298=0,"",AVERAGEIFS(Modulo!$C$2:$C$5001,Modulo!$A$2:$A$5001,"&gt;="&amp;C298,Modulo!$A$2:$A$5001,"&lt;"&amp;D298,Modulo!$D$2:$D$5001,Parametros!$B$7)))</f>
        <v/>
      </c>
      <c r="H298" s="25" t="str">
        <f aca="false">IF(A298="","",IFERROR(COUNTIFS(Amostragem!$A$2:$A$15003,"&gt;="&amp;C298,Amostragem!$A$2:$A$15003,"&lt;"&amp;D298,Amostragem!$B$2:$B$15003,"Automático",Amostragem!$C$2:$C$15003,"Automático",Amostragem!$D$2:$D$15003,0)/COUNTIFS(Amostragem!$A$2:$A$15003,"&gt;="&amp;C298,Amostragem!$A$2:$A$15003,"&lt;"&amp;D298),0))</f>
        <v/>
      </c>
      <c r="I298" s="23" t="str">
        <f aca="false">IF(A298="","",IFERROR(AVERAGEIFS(Amostragem!$E$2:$E$15003,Amostragem!$A$2:$A$15003,"&gt;="&amp;C298,Amostragem!$A$2:$A$15003,"&lt;"&amp;D298),""))</f>
        <v/>
      </c>
      <c r="J298" s="24" t="str">
        <f aca="false">IF(A298="","",IF(B298="","Inválida: sem resultado MES",IF(E298&lt;Parametros!$B$4,"Inválida: poucos ensaios do módulo",IF(H298&lt;Parametros!$B$5,"Inválida: amostragem em manual ou em falha",IF(OR(I298="",I298&lt;Parametros!$B$6),"Inválida: usina parada ou baixa alimentação","Válida")))))</f>
        <v/>
      </c>
      <c r="K298" s="23" t="str">
        <f aca="false">IF(J298="Válida",F298-B298,"")</f>
        <v/>
      </c>
      <c r="L298" s="26" t="str">
        <f aca="false">IF(J298="Válida",K298/B298,"")</f>
        <v/>
      </c>
      <c r="M298" s="23" t="str">
        <f aca="false">IF(J298="Válida",(F298+B298)/2,"")</f>
        <v/>
      </c>
      <c r="N298" s="24" t="str">
        <f aca="false">IF(K298="","",IF(OR(K298&gt;Resumo!$B$16,K298&lt;Resumo!$B$15),"Sim","Não"))</f>
        <v/>
      </c>
      <c r="O298" s="22" t="e">
        <f aca="false">IF(A298="",NA(),A298)</f>
        <v>#N/A</v>
      </c>
      <c r="P298" s="23" t="e">
        <f aca="false">IF(A298="",NA(),B298)</f>
        <v>#N/A</v>
      </c>
      <c r="Q298" s="23" t="e">
        <f aca="false">IF(F298="",NA(),F298)</f>
        <v>#N/A</v>
      </c>
      <c r="R298" s="23" t="e">
        <f aca="false">IF(K298="",NA(),K298)</f>
        <v>#N/A</v>
      </c>
      <c r="S298" s="23" t="e">
        <f aca="false">IF(M298="",NA(),M298)</f>
        <v>#N/A</v>
      </c>
      <c r="T298" s="23" t="str">
        <f aca="false">IF(J298="Válida",B298,"")</f>
        <v/>
      </c>
      <c r="U298" s="23" t="str">
        <f aca="false">IF(J298="Válida",F298,"")</f>
        <v/>
      </c>
    </row>
    <row r="299" customFormat="false" ht="15" hidden="false" customHeight="false" outlineLevel="0" collapsed="false">
      <c r="A299" s="22" t="str">
        <f aca="false">IF(MES!A299="","",MES!A299)</f>
        <v/>
      </c>
      <c r="B299" s="23" t="str">
        <f aca="false">IF(A299="","",MES!B299)</f>
        <v/>
      </c>
      <c r="C299" s="22" t="str">
        <f aca="false">IF(A299="","",A299+Parametros!$B$3/24)</f>
        <v/>
      </c>
      <c r="D299" s="22" t="str">
        <f aca="false">IF(A299="","",C299+Parametros!$B$2/24)</f>
        <v/>
      </c>
      <c r="E299" s="24" t="str">
        <f aca="false">IF(A299="","",COUNTIFS(Modulo!$A$2:$A$5001,"&gt;="&amp;C299,Modulo!$A$2:$A$5001,"&lt;"&amp;D299,Modulo!$D$2:$D$5001,Parametros!$B$7))</f>
        <v/>
      </c>
      <c r="F299" s="23" t="str">
        <f aca="false">IF(A299="","",IF(E299=0,"",AVERAGEIFS(Modulo!$B$2:$B$5001,Modulo!$A$2:$A$5001,"&gt;="&amp;C299,Modulo!$A$2:$A$5001,"&lt;"&amp;D299,Modulo!$D$2:$D$5001,Parametros!$B$7)))</f>
        <v/>
      </c>
      <c r="G299" s="23" t="str">
        <f aca="false">IF(A299="","",IF(E299=0,"",AVERAGEIFS(Modulo!$C$2:$C$5001,Modulo!$A$2:$A$5001,"&gt;="&amp;C299,Modulo!$A$2:$A$5001,"&lt;"&amp;D299,Modulo!$D$2:$D$5001,Parametros!$B$7)))</f>
        <v/>
      </c>
      <c r="H299" s="25" t="str">
        <f aca="false">IF(A299="","",IFERROR(COUNTIFS(Amostragem!$A$2:$A$15003,"&gt;="&amp;C299,Amostragem!$A$2:$A$15003,"&lt;"&amp;D299,Amostragem!$B$2:$B$15003,"Automático",Amostragem!$C$2:$C$15003,"Automático",Amostragem!$D$2:$D$15003,0)/COUNTIFS(Amostragem!$A$2:$A$15003,"&gt;="&amp;C299,Amostragem!$A$2:$A$15003,"&lt;"&amp;D299),0))</f>
        <v/>
      </c>
      <c r="I299" s="23" t="str">
        <f aca="false">IF(A299="","",IFERROR(AVERAGEIFS(Amostragem!$E$2:$E$15003,Amostragem!$A$2:$A$15003,"&gt;="&amp;C299,Amostragem!$A$2:$A$15003,"&lt;"&amp;D299),""))</f>
        <v/>
      </c>
      <c r="J299" s="24" t="str">
        <f aca="false">IF(A299="","",IF(B299="","Inválida: sem resultado MES",IF(E299&lt;Parametros!$B$4,"Inválida: poucos ensaios do módulo",IF(H299&lt;Parametros!$B$5,"Inválida: amostragem em manual ou em falha",IF(OR(I299="",I299&lt;Parametros!$B$6),"Inválida: usina parada ou baixa alimentação","Válida")))))</f>
        <v/>
      </c>
      <c r="K299" s="23" t="str">
        <f aca="false">IF(J299="Válida",F299-B299,"")</f>
        <v/>
      </c>
      <c r="L299" s="26" t="str">
        <f aca="false">IF(J299="Válida",K299/B299,"")</f>
        <v/>
      </c>
      <c r="M299" s="23" t="str">
        <f aca="false">IF(J299="Válida",(F299+B299)/2,"")</f>
        <v/>
      </c>
      <c r="N299" s="24" t="str">
        <f aca="false">IF(K299="","",IF(OR(K299&gt;Resumo!$B$16,K299&lt;Resumo!$B$15),"Sim","Não"))</f>
        <v/>
      </c>
      <c r="O299" s="22" t="e">
        <f aca="false">IF(A299="",NA(),A299)</f>
        <v>#N/A</v>
      </c>
      <c r="P299" s="23" t="e">
        <f aca="false">IF(A299="",NA(),B299)</f>
        <v>#N/A</v>
      </c>
      <c r="Q299" s="23" t="e">
        <f aca="false">IF(F299="",NA(),F299)</f>
        <v>#N/A</v>
      </c>
      <c r="R299" s="23" t="e">
        <f aca="false">IF(K299="",NA(),K299)</f>
        <v>#N/A</v>
      </c>
      <c r="S299" s="23" t="e">
        <f aca="false">IF(M299="",NA(),M299)</f>
        <v>#N/A</v>
      </c>
      <c r="T299" s="23" t="str">
        <f aca="false">IF(J299="Válida",B299,"")</f>
        <v/>
      </c>
      <c r="U299" s="23" t="str">
        <f aca="false">IF(J299="Válida",F299,"")</f>
        <v/>
      </c>
    </row>
    <row r="300" customFormat="false" ht="15" hidden="false" customHeight="false" outlineLevel="0" collapsed="false">
      <c r="A300" s="22" t="str">
        <f aca="false">IF(MES!A300="","",MES!A300)</f>
        <v/>
      </c>
      <c r="B300" s="23" t="str">
        <f aca="false">IF(A300="","",MES!B300)</f>
        <v/>
      </c>
      <c r="C300" s="22" t="str">
        <f aca="false">IF(A300="","",A300+Parametros!$B$3/24)</f>
        <v/>
      </c>
      <c r="D300" s="22" t="str">
        <f aca="false">IF(A300="","",C300+Parametros!$B$2/24)</f>
        <v/>
      </c>
      <c r="E300" s="24" t="str">
        <f aca="false">IF(A300="","",COUNTIFS(Modulo!$A$2:$A$5001,"&gt;="&amp;C300,Modulo!$A$2:$A$5001,"&lt;"&amp;D300,Modulo!$D$2:$D$5001,Parametros!$B$7))</f>
        <v/>
      </c>
      <c r="F300" s="23" t="str">
        <f aca="false">IF(A300="","",IF(E300=0,"",AVERAGEIFS(Modulo!$B$2:$B$5001,Modulo!$A$2:$A$5001,"&gt;="&amp;C300,Modulo!$A$2:$A$5001,"&lt;"&amp;D300,Modulo!$D$2:$D$5001,Parametros!$B$7)))</f>
        <v/>
      </c>
      <c r="G300" s="23" t="str">
        <f aca="false">IF(A300="","",IF(E300=0,"",AVERAGEIFS(Modulo!$C$2:$C$5001,Modulo!$A$2:$A$5001,"&gt;="&amp;C300,Modulo!$A$2:$A$5001,"&lt;"&amp;D300,Modulo!$D$2:$D$5001,Parametros!$B$7)))</f>
        <v/>
      </c>
      <c r="H300" s="25" t="str">
        <f aca="false">IF(A300="","",IFERROR(COUNTIFS(Amostragem!$A$2:$A$15003,"&gt;="&amp;C300,Amostragem!$A$2:$A$15003,"&lt;"&amp;D300,Amostragem!$B$2:$B$15003,"Automático",Amostragem!$C$2:$C$15003,"Automático",Amostragem!$D$2:$D$15003,0)/COUNTIFS(Amostragem!$A$2:$A$15003,"&gt;="&amp;C300,Amostragem!$A$2:$A$15003,"&lt;"&amp;D300),0))</f>
        <v/>
      </c>
      <c r="I300" s="23" t="str">
        <f aca="false">IF(A300="","",IFERROR(AVERAGEIFS(Amostragem!$E$2:$E$15003,Amostragem!$A$2:$A$15003,"&gt;="&amp;C300,Amostragem!$A$2:$A$15003,"&lt;"&amp;D300),""))</f>
        <v/>
      </c>
      <c r="J300" s="24" t="str">
        <f aca="false">IF(A300="","",IF(B300="","Inválida: sem resultado MES",IF(E300&lt;Parametros!$B$4,"Inválida: poucos ensaios do módulo",IF(H300&lt;Parametros!$B$5,"Inválida: amostragem em manual ou em falha",IF(OR(I300="",I300&lt;Parametros!$B$6),"Inválida: usina parada ou baixa alimentação","Válida")))))</f>
        <v/>
      </c>
      <c r="K300" s="23" t="str">
        <f aca="false">IF(J300="Válida",F300-B300,"")</f>
        <v/>
      </c>
      <c r="L300" s="26" t="str">
        <f aca="false">IF(J300="Válida",K300/B300,"")</f>
        <v/>
      </c>
      <c r="M300" s="23" t="str">
        <f aca="false">IF(J300="Válida",(F300+B300)/2,"")</f>
        <v/>
      </c>
      <c r="N300" s="24" t="str">
        <f aca="false">IF(K300="","",IF(OR(K300&gt;Resumo!$B$16,K300&lt;Resumo!$B$15),"Sim","Não"))</f>
        <v/>
      </c>
      <c r="O300" s="22" t="e">
        <f aca="false">IF(A300="",NA(),A300)</f>
        <v>#N/A</v>
      </c>
      <c r="P300" s="23" t="e">
        <f aca="false">IF(A300="",NA(),B300)</f>
        <v>#N/A</v>
      </c>
      <c r="Q300" s="23" t="e">
        <f aca="false">IF(F300="",NA(),F300)</f>
        <v>#N/A</v>
      </c>
      <c r="R300" s="23" t="e">
        <f aca="false">IF(K300="",NA(),K300)</f>
        <v>#N/A</v>
      </c>
      <c r="S300" s="23" t="e">
        <f aca="false">IF(M300="",NA(),M300)</f>
        <v>#N/A</v>
      </c>
      <c r="T300" s="23" t="str">
        <f aca="false">IF(J300="Válida",B300,"")</f>
        <v/>
      </c>
      <c r="U300" s="23" t="str">
        <f aca="false">IF(J300="Válida",F300,"")</f>
        <v/>
      </c>
    </row>
    <row r="301" customFormat="false" ht="15" hidden="false" customHeight="false" outlineLevel="0" collapsed="false">
      <c r="A301" s="22" t="str">
        <f aca="false">IF(MES!A301="","",MES!A301)</f>
        <v/>
      </c>
      <c r="B301" s="23" t="str">
        <f aca="false">IF(A301="","",MES!B301)</f>
        <v/>
      </c>
      <c r="C301" s="22" t="str">
        <f aca="false">IF(A301="","",A301+Parametros!$B$3/24)</f>
        <v/>
      </c>
      <c r="D301" s="22" t="str">
        <f aca="false">IF(A301="","",C301+Parametros!$B$2/24)</f>
        <v/>
      </c>
      <c r="E301" s="24" t="str">
        <f aca="false">IF(A301="","",COUNTIFS(Modulo!$A$2:$A$5001,"&gt;="&amp;C301,Modulo!$A$2:$A$5001,"&lt;"&amp;D301,Modulo!$D$2:$D$5001,Parametros!$B$7))</f>
        <v/>
      </c>
      <c r="F301" s="23" t="str">
        <f aca="false">IF(A301="","",IF(E301=0,"",AVERAGEIFS(Modulo!$B$2:$B$5001,Modulo!$A$2:$A$5001,"&gt;="&amp;C301,Modulo!$A$2:$A$5001,"&lt;"&amp;D301,Modulo!$D$2:$D$5001,Parametros!$B$7)))</f>
        <v/>
      </c>
      <c r="G301" s="23" t="str">
        <f aca="false">IF(A301="","",IF(E301=0,"",AVERAGEIFS(Modulo!$C$2:$C$5001,Modulo!$A$2:$A$5001,"&gt;="&amp;C301,Modulo!$A$2:$A$5001,"&lt;"&amp;D301,Modulo!$D$2:$D$5001,Parametros!$B$7)))</f>
        <v/>
      </c>
      <c r="H301" s="25" t="str">
        <f aca="false">IF(A301="","",IFERROR(COUNTIFS(Amostragem!$A$2:$A$15003,"&gt;="&amp;C301,Amostragem!$A$2:$A$15003,"&lt;"&amp;D301,Amostragem!$B$2:$B$15003,"Automático",Amostragem!$C$2:$C$15003,"Automático",Amostragem!$D$2:$D$15003,0)/COUNTIFS(Amostragem!$A$2:$A$15003,"&gt;="&amp;C301,Amostragem!$A$2:$A$15003,"&lt;"&amp;D301),0))</f>
        <v/>
      </c>
      <c r="I301" s="23" t="str">
        <f aca="false">IF(A301="","",IFERROR(AVERAGEIFS(Amostragem!$E$2:$E$15003,Amostragem!$A$2:$A$15003,"&gt;="&amp;C301,Amostragem!$A$2:$A$15003,"&lt;"&amp;D301),""))</f>
        <v/>
      </c>
      <c r="J301" s="24" t="str">
        <f aca="false">IF(A301="","",IF(B301="","Inválida: sem resultado MES",IF(E301&lt;Parametros!$B$4,"Inválida: poucos ensaios do módulo",IF(H301&lt;Parametros!$B$5,"Inválida: amostragem em manual ou em falha",IF(OR(I301="",I301&lt;Parametros!$B$6),"Inválida: usina parada ou baixa alimentação","Válida")))))</f>
        <v/>
      </c>
      <c r="K301" s="23" t="str">
        <f aca="false">IF(J301="Válida",F301-B301,"")</f>
        <v/>
      </c>
      <c r="L301" s="26" t="str">
        <f aca="false">IF(J301="Válida",K301/B301,"")</f>
        <v/>
      </c>
      <c r="M301" s="23" t="str">
        <f aca="false">IF(J301="Válida",(F301+B301)/2,"")</f>
        <v/>
      </c>
      <c r="N301" s="24" t="str">
        <f aca="false">IF(K301="","",IF(OR(K301&gt;Resumo!$B$16,K301&lt;Resumo!$B$15),"Sim","Não"))</f>
        <v/>
      </c>
      <c r="O301" s="22" t="e">
        <f aca="false">IF(A301="",NA(),A301)</f>
        <v>#N/A</v>
      </c>
      <c r="P301" s="23" t="e">
        <f aca="false">IF(A301="",NA(),B301)</f>
        <v>#N/A</v>
      </c>
      <c r="Q301" s="23" t="e">
        <f aca="false">IF(F301="",NA(),F301)</f>
        <v>#N/A</v>
      </c>
      <c r="R301" s="23" t="e">
        <f aca="false">IF(K301="",NA(),K301)</f>
        <v>#N/A</v>
      </c>
      <c r="S301" s="23" t="e">
        <f aca="false">IF(M301="",NA(),M301)</f>
        <v>#N/A</v>
      </c>
      <c r="T301" s="23" t="str">
        <f aca="false">IF(J301="Válida",B301,"")</f>
        <v/>
      </c>
      <c r="U301" s="23" t="str">
        <f aca="false">IF(J301="Válida",F301,"")</f>
        <v/>
      </c>
    </row>
    <row r="302" customFormat="false" ht="15" hidden="false" customHeight="false" outlineLevel="0" collapsed="false">
      <c r="A302" s="22" t="str">
        <f aca="false">IF(MES!A302="","",MES!A302)</f>
        <v/>
      </c>
      <c r="B302" s="23" t="str">
        <f aca="false">IF(A302="","",MES!B302)</f>
        <v/>
      </c>
      <c r="C302" s="22" t="str">
        <f aca="false">IF(A302="","",A302+Parametros!$B$3/24)</f>
        <v/>
      </c>
      <c r="D302" s="22" t="str">
        <f aca="false">IF(A302="","",C302+Parametros!$B$2/24)</f>
        <v/>
      </c>
      <c r="E302" s="24" t="str">
        <f aca="false">IF(A302="","",COUNTIFS(Modulo!$A$2:$A$5001,"&gt;="&amp;C302,Modulo!$A$2:$A$5001,"&lt;"&amp;D302,Modulo!$D$2:$D$5001,Parametros!$B$7))</f>
        <v/>
      </c>
      <c r="F302" s="23" t="str">
        <f aca="false">IF(A302="","",IF(E302=0,"",AVERAGEIFS(Modulo!$B$2:$B$5001,Modulo!$A$2:$A$5001,"&gt;="&amp;C302,Modulo!$A$2:$A$5001,"&lt;"&amp;D302,Modulo!$D$2:$D$5001,Parametros!$B$7)))</f>
        <v/>
      </c>
      <c r="G302" s="23" t="str">
        <f aca="false">IF(A302="","",IF(E302=0,"",AVERAGEIFS(Modulo!$C$2:$C$5001,Modulo!$A$2:$A$5001,"&gt;="&amp;C302,Modulo!$A$2:$A$5001,"&lt;"&amp;D302,Modulo!$D$2:$D$5001,Parametros!$B$7)))</f>
        <v/>
      </c>
      <c r="H302" s="25" t="str">
        <f aca="false">IF(A302="","",IFERROR(COUNTIFS(Amostragem!$A$2:$A$15003,"&gt;="&amp;C302,Amostragem!$A$2:$A$15003,"&lt;"&amp;D302,Amostragem!$B$2:$B$15003,"Automático",Amostragem!$C$2:$C$15003,"Automático",Amostragem!$D$2:$D$15003,0)/COUNTIFS(Amostragem!$A$2:$A$15003,"&gt;="&amp;C302,Amostragem!$A$2:$A$15003,"&lt;"&amp;D302),0))</f>
        <v/>
      </c>
      <c r="I302" s="23" t="str">
        <f aca="false">IF(A302="","",IFERROR(AVERAGEIFS(Amostragem!$E$2:$E$15003,Amostragem!$A$2:$A$15003,"&gt;="&amp;C302,Amostragem!$A$2:$A$15003,"&lt;"&amp;D302),""))</f>
        <v/>
      </c>
      <c r="J302" s="24" t="str">
        <f aca="false">IF(A302="","",IF(B302="","Inválida: sem resultado MES",IF(E302&lt;Parametros!$B$4,"Inválida: poucos ensaios do módulo",IF(H302&lt;Parametros!$B$5,"Inválida: amostragem em manual ou em falha",IF(OR(I302="",I302&lt;Parametros!$B$6),"Inválida: usina parada ou baixa alimentação","Válida")))))</f>
        <v/>
      </c>
      <c r="K302" s="23" t="str">
        <f aca="false">IF(J302="Válida",F302-B302,"")</f>
        <v/>
      </c>
      <c r="L302" s="26" t="str">
        <f aca="false">IF(J302="Válida",K302/B302,"")</f>
        <v/>
      </c>
      <c r="M302" s="23" t="str">
        <f aca="false">IF(J302="Válida",(F302+B302)/2,"")</f>
        <v/>
      </c>
      <c r="N302" s="24" t="str">
        <f aca="false">IF(K302="","",IF(OR(K302&gt;Resumo!$B$16,K302&lt;Resumo!$B$15),"Sim","Não"))</f>
        <v/>
      </c>
      <c r="O302" s="22" t="e">
        <f aca="false">IF(A302="",NA(),A302)</f>
        <v>#N/A</v>
      </c>
      <c r="P302" s="23" t="e">
        <f aca="false">IF(A302="",NA(),B302)</f>
        <v>#N/A</v>
      </c>
      <c r="Q302" s="23" t="e">
        <f aca="false">IF(F302="",NA(),F302)</f>
        <v>#N/A</v>
      </c>
      <c r="R302" s="23" t="e">
        <f aca="false">IF(K302="",NA(),K302)</f>
        <v>#N/A</v>
      </c>
      <c r="S302" s="23" t="e">
        <f aca="false">IF(M302="",NA(),M302)</f>
        <v>#N/A</v>
      </c>
      <c r="T302" s="23" t="str">
        <f aca="false">IF(J302="Válida",B302,"")</f>
        <v/>
      </c>
      <c r="U302" s="23" t="str">
        <f aca="false">IF(J302="Válida",F302,"")</f>
        <v/>
      </c>
    </row>
    <row r="303" customFormat="false" ht="15" hidden="false" customHeight="false" outlineLevel="0" collapsed="false">
      <c r="A303" s="22" t="str">
        <f aca="false">IF(MES!A303="","",MES!A303)</f>
        <v/>
      </c>
      <c r="B303" s="23" t="str">
        <f aca="false">IF(A303="","",MES!B303)</f>
        <v/>
      </c>
      <c r="C303" s="22" t="str">
        <f aca="false">IF(A303="","",A303+Parametros!$B$3/24)</f>
        <v/>
      </c>
      <c r="D303" s="22" t="str">
        <f aca="false">IF(A303="","",C303+Parametros!$B$2/24)</f>
        <v/>
      </c>
      <c r="E303" s="24" t="str">
        <f aca="false">IF(A303="","",COUNTIFS(Modulo!$A$2:$A$5001,"&gt;="&amp;C303,Modulo!$A$2:$A$5001,"&lt;"&amp;D303,Modulo!$D$2:$D$5001,Parametros!$B$7))</f>
        <v/>
      </c>
      <c r="F303" s="23" t="str">
        <f aca="false">IF(A303="","",IF(E303=0,"",AVERAGEIFS(Modulo!$B$2:$B$5001,Modulo!$A$2:$A$5001,"&gt;="&amp;C303,Modulo!$A$2:$A$5001,"&lt;"&amp;D303,Modulo!$D$2:$D$5001,Parametros!$B$7)))</f>
        <v/>
      </c>
      <c r="G303" s="23" t="str">
        <f aca="false">IF(A303="","",IF(E303=0,"",AVERAGEIFS(Modulo!$C$2:$C$5001,Modulo!$A$2:$A$5001,"&gt;="&amp;C303,Modulo!$A$2:$A$5001,"&lt;"&amp;D303,Modulo!$D$2:$D$5001,Parametros!$B$7)))</f>
        <v/>
      </c>
      <c r="H303" s="25" t="str">
        <f aca="false">IF(A303="","",IFERROR(COUNTIFS(Amostragem!$A$2:$A$15003,"&gt;="&amp;C303,Amostragem!$A$2:$A$15003,"&lt;"&amp;D303,Amostragem!$B$2:$B$15003,"Automático",Amostragem!$C$2:$C$15003,"Automático",Amostragem!$D$2:$D$15003,0)/COUNTIFS(Amostragem!$A$2:$A$15003,"&gt;="&amp;C303,Amostragem!$A$2:$A$15003,"&lt;"&amp;D303),0))</f>
        <v/>
      </c>
      <c r="I303" s="23" t="str">
        <f aca="false">IF(A303="","",IFERROR(AVERAGEIFS(Amostragem!$E$2:$E$15003,Amostragem!$A$2:$A$15003,"&gt;="&amp;C303,Amostragem!$A$2:$A$15003,"&lt;"&amp;D303),""))</f>
        <v/>
      </c>
      <c r="J303" s="24" t="str">
        <f aca="false">IF(A303="","",IF(B303="","Inválida: sem resultado MES",IF(E303&lt;Parametros!$B$4,"Inválida: poucos ensaios do módulo",IF(H303&lt;Parametros!$B$5,"Inválida: amostragem em manual ou em falha",IF(OR(I303="",I303&lt;Parametros!$B$6),"Inválida: usina parada ou baixa alimentação","Válida")))))</f>
        <v/>
      </c>
      <c r="K303" s="23" t="str">
        <f aca="false">IF(J303="Válida",F303-B303,"")</f>
        <v/>
      </c>
      <c r="L303" s="26" t="str">
        <f aca="false">IF(J303="Válida",K303/B303,"")</f>
        <v/>
      </c>
      <c r="M303" s="23" t="str">
        <f aca="false">IF(J303="Válida",(F303+B303)/2,"")</f>
        <v/>
      </c>
      <c r="N303" s="24" t="str">
        <f aca="false">IF(K303="","",IF(OR(K303&gt;Resumo!$B$16,K303&lt;Resumo!$B$15),"Sim","Não"))</f>
        <v/>
      </c>
      <c r="O303" s="22" t="e">
        <f aca="false">IF(A303="",NA(),A303)</f>
        <v>#N/A</v>
      </c>
      <c r="P303" s="23" t="e">
        <f aca="false">IF(A303="",NA(),B303)</f>
        <v>#N/A</v>
      </c>
      <c r="Q303" s="23" t="e">
        <f aca="false">IF(F303="",NA(),F303)</f>
        <v>#N/A</v>
      </c>
      <c r="R303" s="23" t="e">
        <f aca="false">IF(K303="",NA(),K303)</f>
        <v>#N/A</v>
      </c>
      <c r="S303" s="23" t="e">
        <f aca="false">IF(M303="",NA(),M303)</f>
        <v>#N/A</v>
      </c>
      <c r="T303" s="23" t="str">
        <f aca="false">IF(J303="Válida",B303,"")</f>
        <v/>
      </c>
      <c r="U303" s="23" t="str">
        <f aca="false">IF(J303="Válida",F303,"")</f>
        <v/>
      </c>
    </row>
    <row r="304" customFormat="false" ht="15" hidden="false" customHeight="false" outlineLevel="0" collapsed="false">
      <c r="A304" s="22" t="str">
        <f aca="false">IF(MES!A304="","",MES!A304)</f>
        <v/>
      </c>
      <c r="B304" s="23" t="str">
        <f aca="false">IF(A304="","",MES!B304)</f>
        <v/>
      </c>
      <c r="C304" s="22" t="str">
        <f aca="false">IF(A304="","",A304+Parametros!$B$3/24)</f>
        <v/>
      </c>
      <c r="D304" s="22" t="str">
        <f aca="false">IF(A304="","",C304+Parametros!$B$2/24)</f>
        <v/>
      </c>
      <c r="E304" s="24" t="str">
        <f aca="false">IF(A304="","",COUNTIFS(Modulo!$A$2:$A$5001,"&gt;="&amp;C304,Modulo!$A$2:$A$5001,"&lt;"&amp;D304,Modulo!$D$2:$D$5001,Parametros!$B$7))</f>
        <v/>
      </c>
      <c r="F304" s="23" t="str">
        <f aca="false">IF(A304="","",IF(E304=0,"",AVERAGEIFS(Modulo!$B$2:$B$5001,Modulo!$A$2:$A$5001,"&gt;="&amp;C304,Modulo!$A$2:$A$5001,"&lt;"&amp;D304,Modulo!$D$2:$D$5001,Parametros!$B$7)))</f>
        <v/>
      </c>
      <c r="G304" s="23" t="str">
        <f aca="false">IF(A304="","",IF(E304=0,"",AVERAGEIFS(Modulo!$C$2:$C$5001,Modulo!$A$2:$A$5001,"&gt;="&amp;C304,Modulo!$A$2:$A$5001,"&lt;"&amp;D304,Modulo!$D$2:$D$5001,Parametros!$B$7)))</f>
        <v/>
      </c>
      <c r="H304" s="25" t="str">
        <f aca="false">IF(A304="","",IFERROR(COUNTIFS(Amostragem!$A$2:$A$15003,"&gt;="&amp;C304,Amostragem!$A$2:$A$15003,"&lt;"&amp;D304,Amostragem!$B$2:$B$15003,"Automático",Amostragem!$C$2:$C$15003,"Automático",Amostragem!$D$2:$D$15003,0)/COUNTIFS(Amostragem!$A$2:$A$15003,"&gt;="&amp;C304,Amostragem!$A$2:$A$15003,"&lt;"&amp;D304),0))</f>
        <v/>
      </c>
      <c r="I304" s="23" t="str">
        <f aca="false">IF(A304="","",IFERROR(AVERAGEIFS(Amostragem!$E$2:$E$15003,Amostragem!$A$2:$A$15003,"&gt;="&amp;C304,Amostragem!$A$2:$A$15003,"&lt;"&amp;D304),""))</f>
        <v/>
      </c>
      <c r="J304" s="24" t="str">
        <f aca="false">IF(A304="","",IF(B304="","Inválida: sem resultado MES",IF(E304&lt;Parametros!$B$4,"Inválida: poucos ensaios do módulo",IF(H304&lt;Parametros!$B$5,"Inválida: amostragem em manual ou em falha",IF(OR(I304="",I304&lt;Parametros!$B$6),"Inválida: usina parada ou baixa alimentação","Válida")))))</f>
        <v/>
      </c>
      <c r="K304" s="23" t="str">
        <f aca="false">IF(J304="Válida",F304-B304,"")</f>
        <v/>
      </c>
      <c r="L304" s="26" t="str">
        <f aca="false">IF(J304="Válida",K304/B304,"")</f>
        <v/>
      </c>
      <c r="M304" s="23" t="str">
        <f aca="false">IF(J304="Válida",(F304+B304)/2,"")</f>
        <v/>
      </c>
      <c r="N304" s="24" t="str">
        <f aca="false">IF(K304="","",IF(OR(K304&gt;Resumo!$B$16,K304&lt;Resumo!$B$15),"Sim","Não"))</f>
        <v/>
      </c>
      <c r="O304" s="22" t="e">
        <f aca="false">IF(A304="",NA(),A304)</f>
        <v>#N/A</v>
      </c>
      <c r="P304" s="23" t="e">
        <f aca="false">IF(A304="",NA(),B304)</f>
        <v>#N/A</v>
      </c>
      <c r="Q304" s="23" t="e">
        <f aca="false">IF(F304="",NA(),F304)</f>
        <v>#N/A</v>
      </c>
      <c r="R304" s="23" t="e">
        <f aca="false">IF(K304="",NA(),K304)</f>
        <v>#N/A</v>
      </c>
      <c r="S304" s="23" t="e">
        <f aca="false">IF(M304="",NA(),M304)</f>
        <v>#N/A</v>
      </c>
      <c r="T304" s="23" t="str">
        <f aca="false">IF(J304="Válida",B304,"")</f>
        <v/>
      </c>
      <c r="U304" s="23" t="str">
        <f aca="false">IF(J304="Válida",F304,"")</f>
        <v/>
      </c>
    </row>
    <row r="305" customFormat="false" ht="15" hidden="false" customHeight="false" outlineLevel="0" collapsed="false">
      <c r="A305" s="22" t="str">
        <f aca="false">IF(MES!A305="","",MES!A305)</f>
        <v/>
      </c>
      <c r="B305" s="23" t="str">
        <f aca="false">IF(A305="","",MES!B305)</f>
        <v/>
      </c>
      <c r="C305" s="22" t="str">
        <f aca="false">IF(A305="","",A305+Parametros!$B$3/24)</f>
        <v/>
      </c>
      <c r="D305" s="22" t="str">
        <f aca="false">IF(A305="","",C305+Parametros!$B$2/24)</f>
        <v/>
      </c>
      <c r="E305" s="24" t="str">
        <f aca="false">IF(A305="","",COUNTIFS(Modulo!$A$2:$A$5001,"&gt;="&amp;C305,Modulo!$A$2:$A$5001,"&lt;"&amp;D305,Modulo!$D$2:$D$5001,Parametros!$B$7))</f>
        <v/>
      </c>
      <c r="F305" s="23" t="str">
        <f aca="false">IF(A305="","",IF(E305=0,"",AVERAGEIFS(Modulo!$B$2:$B$5001,Modulo!$A$2:$A$5001,"&gt;="&amp;C305,Modulo!$A$2:$A$5001,"&lt;"&amp;D305,Modulo!$D$2:$D$5001,Parametros!$B$7)))</f>
        <v/>
      </c>
      <c r="G305" s="23" t="str">
        <f aca="false">IF(A305="","",IF(E305=0,"",AVERAGEIFS(Modulo!$C$2:$C$5001,Modulo!$A$2:$A$5001,"&gt;="&amp;C305,Modulo!$A$2:$A$5001,"&lt;"&amp;D305,Modulo!$D$2:$D$5001,Parametros!$B$7)))</f>
        <v/>
      </c>
      <c r="H305" s="25" t="str">
        <f aca="false">IF(A305="","",IFERROR(COUNTIFS(Amostragem!$A$2:$A$15003,"&gt;="&amp;C305,Amostragem!$A$2:$A$15003,"&lt;"&amp;D305,Amostragem!$B$2:$B$15003,"Automático",Amostragem!$C$2:$C$15003,"Automático",Amostragem!$D$2:$D$15003,0)/COUNTIFS(Amostragem!$A$2:$A$15003,"&gt;="&amp;C305,Amostragem!$A$2:$A$15003,"&lt;"&amp;D305),0))</f>
        <v/>
      </c>
      <c r="I305" s="23" t="str">
        <f aca="false">IF(A305="","",IFERROR(AVERAGEIFS(Amostragem!$E$2:$E$15003,Amostragem!$A$2:$A$15003,"&gt;="&amp;C305,Amostragem!$A$2:$A$15003,"&lt;"&amp;D305),""))</f>
        <v/>
      </c>
      <c r="J305" s="24" t="str">
        <f aca="false">IF(A305="","",IF(B305="","Inválida: sem resultado MES",IF(E305&lt;Parametros!$B$4,"Inválida: poucos ensaios do módulo",IF(H305&lt;Parametros!$B$5,"Inválida: amostragem em manual ou em falha",IF(OR(I305="",I305&lt;Parametros!$B$6),"Inválida: usina parada ou baixa alimentação","Válida")))))</f>
        <v/>
      </c>
      <c r="K305" s="23" t="str">
        <f aca="false">IF(J305="Válida",F305-B305,"")</f>
        <v/>
      </c>
      <c r="L305" s="26" t="str">
        <f aca="false">IF(J305="Válida",K305/B305,"")</f>
        <v/>
      </c>
      <c r="M305" s="23" t="str">
        <f aca="false">IF(J305="Válida",(F305+B305)/2,"")</f>
        <v/>
      </c>
      <c r="N305" s="24" t="str">
        <f aca="false">IF(K305="","",IF(OR(K305&gt;Resumo!$B$16,K305&lt;Resumo!$B$15),"Sim","Não"))</f>
        <v/>
      </c>
      <c r="O305" s="22" t="e">
        <f aca="false">IF(A305="",NA(),A305)</f>
        <v>#N/A</v>
      </c>
      <c r="P305" s="23" t="e">
        <f aca="false">IF(A305="",NA(),B305)</f>
        <v>#N/A</v>
      </c>
      <c r="Q305" s="23" t="e">
        <f aca="false">IF(F305="",NA(),F305)</f>
        <v>#N/A</v>
      </c>
      <c r="R305" s="23" t="e">
        <f aca="false">IF(K305="",NA(),K305)</f>
        <v>#N/A</v>
      </c>
      <c r="S305" s="23" t="e">
        <f aca="false">IF(M305="",NA(),M305)</f>
        <v>#N/A</v>
      </c>
      <c r="T305" s="23" t="str">
        <f aca="false">IF(J305="Válida",B305,"")</f>
        <v/>
      </c>
      <c r="U305" s="23" t="str">
        <f aca="false">IF(J305="Válida",F305,"")</f>
        <v/>
      </c>
    </row>
    <row r="306" customFormat="false" ht="15" hidden="false" customHeight="false" outlineLevel="0" collapsed="false">
      <c r="A306" s="22" t="str">
        <f aca="false">IF(MES!A306="","",MES!A306)</f>
        <v/>
      </c>
      <c r="B306" s="23" t="str">
        <f aca="false">IF(A306="","",MES!B306)</f>
        <v/>
      </c>
      <c r="C306" s="22" t="str">
        <f aca="false">IF(A306="","",A306+Parametros!$B$3/24)</f>
        <v/>
      </c>
      <c r="D306" s="22" t="str">
        <f aca="false">IF(A306="","",C306+Parametros!$B$2/24)</f>
        <v/>
      </c>
      <c r="E306" s="24" t="str">
        <f aca="false">IF(A306="","",COUNTIFS(Modulo!$A$2:$A$5001,"&gt;="&amp;C306,Modulo!$A$2:$A$5001,"&lt;"&amp;D306,Modulo!$D$2:$D$5001,Parametros!$B$7))</f>
        <v/>
      </c>
      <c r="F306" s="23" t="str">
        <f aca="false">IF(A306="","",IF(E306=0,"",AVERAGEIFS(Modulo!$B$2:$B$5001,Modulo!$A$2:$A$5001,"&gt;="&amp;C306,Modulo!$A$2:$A$5001,"&lt;"&amp;D306,Modulo!$D$2:$D$5001,Parametros!$B$7)))</f>
        <v/>
      </c>
      <c r="G306" s="23" t="str">
        <f aca="false">IF(A306="","",IF(E306=0,"",AVERAGEIFS(Modulo!$C$2:$C$5001,Modulo!$A$2:$A$5001,"&gt;="&amp;C306,Modulo!$A$2:$A$5001,"&lt;"&amp;D306,Modulo!$D$2:$D$5001,Parametros!$B$7)))</f>
        <v/>
      </c>
      <c r="H306" s="25" t="str">
        <f aca="false">IF(A306="","",IFERROR(COUNTIFS(Amostragem!$A$2:$A$15003,"&gt;="&amp;C306,Amostragem!$A$2:$A$15003,"&lt;"&amp;D306,Amostragem!$B$2:$B$15003,"Automático",Amostragem!$C$2:$C$15003,"Automático",Amostragem!$D$2:$D$15003,0)/COUNTIFS(Amostragem!$A$2:$A$15003,"&gt;="&amp;C306,Amostragem!$A$2:$A$15003,"&lt;"&amp;D306),0))</f>
        <v/>
      </c>
      <c r="I306" s="23" t="str">
        <f aca="false">IF(A306="","",IFERROR(AVERAGEIFS(Amostragem!$E$2:$E$15003,Amostragem!$A$2:$A$15003,"&gt;="&amp;C306,Amostragem!$A$2:$A$15003,"&lt;"&amp;D306),""))</f>
        <v/>
      </c>
      <c r="J306" s="24" t="str">
        <f aca="false">IF(A306="","",IF(B306="","Inválida: sem resultado MES",IF(E306&lt;Parametros!$B$4,"Inválida: poucos ensaios do módulo",IF(H306&lt;Parametros!$B$5,"Inválida: amostragem em manual ou em falha",IF(OR(I306="",I306&lt;Parametros!$B$6),"Inválida: usina parada ou baixa alimentação","Válida")))))</f>
        <v/>
      </c>
      <c r="K306" s="23" t="str">
        <f aca="false">IF(J306="Válida",F306-B306,"")</f>
        <v/>
      </c>
      <c r="L306" s="26" t="str">
        <f aca="false">IF(J306="Válida",K306/B306,"")</f>
        <v/>
      </c>
      <c r="M306" s="23" t="str">
        <f aca="false">IF(J306="Válida",(F306+B306)/2,"")</f>
        <v/>
      </c>
      <c r="N306" s="24" t="str">
        <f aca="false">IF(K306="","",IF(OR(K306&gt;Resumo!$B$16,K306&lt;Resumo!$B$15),"Sim","Não"))</f>
        <v/>
      </c>
      <c r="O306" s="22" t="e">
        <f aca="false">IF(A306="",NA(),A306)</f>
        <v>#N/A</v>
      </c>
      <c r="P306" s="23" t="e">
        <f aca="false">IF(A306="",NA(),B306)</f>
        <v>#N/A</v>
      </c>
      <c r="Q306" s="23" t="e">
        <f aca="false">IF(F306="",NA(),F306)</f>
        <v>#N/A</v>
      </c>
      <c r="R306" s="23" t="e">
        <f aca="false">IF(K306="",NA(),K306)</f>
        <v>#N/A</v>
      </c>
      <c r="S306" s="23" t="e">
        <f aca="false">IF(M306="",NA(),M306)</f>
        <v>#N/A</v>
      </c>
      <c r="T306" s="23" t="str">
        <f aca="false">IF(J306="Válida",B306,"")</f>
        <v/>
      </c>
      <c r="U306" s="23" t="str">
        <f aca="false">IF(J306="Válida",F306,"")</f>
        <v/>
      </c>
    </row>
    <row r="307" customFormat="false" ht="15" hidden="false" customHeight="false" outlineLevel="0" collapsed="false">
      <c r="A307" s="22" t="str">
        <f aca="false">IF(MES!A307="","",MES!A307)</f>
        <v/>
      </c>
      <c r="B307" s="23" t="str">
        <f aca="false">IF(A307="","",MES!B307)</f>
        <v/>
      </c>
      <c r="C307" s="22" t="str">
        <f aca="false">IF(A307="","",A307+Parametros!$B$3/24)</f>
        <v/>
      </c>
      <c r="D307" s="22" t="str">
        <f aca="false">IF(A307="","",C307+Parametros!$B$2/24)</f>
        <v/>
      </c>
      <c r="E307" s="24" t="str">
        <f aca="false">IF(A307="","",COUNTIFS(Modulo!$A$2:$A$5001,"&gt;="&amp;C307,Modulo!$A$2:$A$5001,"&lt;"&amp;D307,Modulo!$D$2:$D$5001,Parametros!$B$7))</f>
        <v/>
      </c>
      <c r="F307" s="23" t="str">
        <f aca="false">IF(A307="","",IF(E307=0,"",AVERAGEIFS(Modulo!$B$2:$B$5001,Modulo!$A$2:$A$5001,"&gt;="&amp;C307,Modulo!$A$2:$A$5001,"&lt;"&amp;D307,Modulo!$D$2:$D$5001,Parametros!$B$7)))</f>
        <v/>
      </c>
      <c r="G307" s="23" t="str">
        <f aca="false">IF(A307="","",IF(E307=0,"",AVERAGEIFS(Modulo!$C$2:$C$5001,Modulo!$A$2:$A$5001,"&gt;="&amp;C307,Modulo!$A$2:$A$5001,"&lt;"&amp;D307,Modulo!$D$2:$D$5001,Parametros!$B$7)))</f>
        <v/>
      </c>
      <c r="H307" s="25" t="str">
        <f aca="false">IF(A307="","",IFERROR(COUNTIFS(Amostragem!$A$2:$A$15003,"&gt;="&amp;C307,Amostragem!$A$2:$A$15003,"&lt;"&amp;D307,Amostragem!$B$2:$B$15003,"Automático",Amostragem!$C$2:$C$15003,"Automático",Amostragem!$D$2:$D$15003,0)/COUNTIFS(Amostragem!$A$2:$A$15003,"&gt;="&amp;C307,Amostragem!$A$2:$A$15003,"&lt;"&amp;D307),0))</f>
        <v/>
      </c>
      <c r="I307" s="23" t="str">
        <f aca="false">IF(A307="","",IFERROR(AVERAGEIFS(Amostragem!$E$2:$E$15003,Amostragem!$A$2:$A$15003,"&gt;="&amp;C307,Amostragem!$A$2:$A$15003,"&lt;"&amp;D307),""))</f>
        <v/>
      </c>
      <c r="J307" s="24" t="str">
        <f aca="false">IF(A307="","",IF(B307="","Inválida: sem resultado MES",IF(E307&lt;Parametros!$B$4,"Inválida: poucos ensaios do módulo",IF(H307&lt;Parametros!$B$5,"Inválida: amostragem em manual ou em falha",IF(OR(I307="",I307&lt;Parametros!$B$6),"Inválida: usina parada ou baixa alimentação","Válida")))))</f>
        <v/>
      </c>
      <c r="K307" s="23" t="str">
        <f aca="false">IF(J307="Válida",F307-B307,"")</f>
        <v/>
      </c>
      <c r="L307" s="26" t="str">
        <f aca="false">IF(J307="Válida",K307/B307,"")</f>
        <v/>
      </c>
      <c r="M307" s="23" t="str">
        <f aca="false">IF(J307="Válida",(F307+B307)/2,"")</f>
        <v/>
      </c>
      <c r="N307" s="24" t="str">
        <f aca="false">IF(K307="","",IF(OR(K307&gt;Resumo!$B$16,K307&lt;Resumo!$B$15),"Sim","Não"))</f>
        <v/>
      </c>
      <c r="O307" s="22" t="e">
        <f aca="false">IF(A307="",NA(),A307)</f>
        <v>#N/A</v>
      </c>
      <c r="P307" s="23" t="e">
        <f aca="false">IF(A307="",NA(),B307)</f>
        <v>#N/A</v>
      </c>
      <c r="Q307" s="23" t="e">
        <f aca="false">IF(F307="",NA(),F307)</f>
        <v>#N/A</v>
      </c>
      <c r="R307" s="23" t="e">
        <f aca="false">IF(K307="",NA(),K307)</f>
        <v>#N/A</v>
      </c>
      <c r="S307" s="23" t="e">
        <f aca="false">IF(M307="",NA(),M307)</f>
        <v>#N/A</v>
      </c>
      <c r="T307" s="23" t="str">
        <f aca="false">IF(J307="Válida",B307,"")</f>
        <v/>
      </c>
      <c r="U307" s="23" t="str">
        <f aca="false">IF(J307="Válida",F307,"")</f>
        <v/>
      </c>
    </row>
    <row r="308" customFormat="false" ht="15" hidden="false" customHeight="false" outlineLevel="0" collapsed="false">
      <c r="A308" s="22" t="str">
        <f aca="false">IF(MES!A308="","",MES!A308)</f>
        <v/>
      </c>
      <c r="B308" s="23" t="str">
        <f aca="false">IF(A308="","",MES!B308)</f>
        <v/>
      </c>
      <c r="C308" s="22" t="str">
        <f aca="false">IF(A308="","",A308+Parametros!$B$3/24)</f>
        <v/>
      </c>
      <c r="D308" s="22" t="str">
        <f aca="false">IF(A308="","",C308+Parametros!$B$2/24)</f>
        <v/>
      </c>
      <c r="E308" s="24" t="str">
        <f aca="false">IF(A308="","",COUNTIFS(Modulo!$A$2:$A$5001,"&gt;="&amp;C308,Modulo!$A$2:$A$5001,"&lt;"&amp;D308,Modulo!$D$2:$D$5001,Parametros!$B$7))</f>
        <v/>
      </c>
      <c r="F308" s="23" t="str">
        <f aca="false">IF(A308="","",IF(E308=0,"",AVERAGEIFS(Modulo!$B$2:$B$5001,Modulo!$A$2:$A$5001,"&gt;="&amp;C308,Modulo!$A$2:$A$5001,"&lt;"&amp;D308,Modulo!$D$2:$D$5001,Parametros!$B$7)))</f>
        <v/>
      </c>
      <c r="G308" s="23" t="str">
        <f aca="false">IF(A308="","",IF(E308=0,"",AVERAGEIFS(Modulo!$C$2:$C$5001,Modulo!$A$2:$A$5001,"&gt;="&amp;C308,Modulo!$A$2:$A$5001,"&lt;"&amp;D308,Modulo!$D$2:$D$5001,Parametros!$B$7)))</f>
        <v/>
      </c>
      <c r="H308" s="25" t="str">
        <f aca="false">IF(A308="","",IFERROR(COUNTIFS(Amostragem!$A$2:$A$15003,"&gt;="&amp;C308,Amostragem!$A$2:$A$15003,"&lt;"&amp;D308,Amostragem!$B$2:$B$15003,"Automático",Amostragem!$C$2:$C$15003,"Automático",Amostragem!$D$2:$D$15003,0)/COUNTIFS(Amostragem!$A$2:$A$15003,"&gt;="&amp;C308,Amostragem!$A$2:$A$15003,"&lt;"&amp;D308),0))</f>
        <v/>
      </c>
      <c r="I308" s="23" t="str">
        <f aca="false">IF(A308="","",IFERROR(AVERAGEIFS(Amostragem!$E$2:$E$15003,Amostragem!$A$2:$A$15003,"&gt;="&amp;C308,Amostragem!$A$2:$A$15003,"&lt;"&amp;D308),""))</f>
        <v/>
      </c>
      <c r="J308" s="24" t="str">
        <f aca="false">IF(A308="","",IF(B308="","Inválida: sem resultado MES",IF(E308&lt;Parametros!$B$4,"Inválida: poucos ensaios do módulo",IF(H308&lt;Parametros!$B$5,"Inválida: amostragem em manual ou em falha",IF(OR(I308="",I308&lt;Parametros!$B$6),"Inválida: usina parada ou baixa alimentação","Válida")))))</f>
        <v/>
      </c>
      <c r="K308" s="23" t="str">
        <f aca="false">IF(J308="Válida",F308-B308,"")</f>
        <v/>
      </c>
      <c r="L308" s="26" t="str">
        <f aca="false">IF(J308="Válida",K308/B308,"")</f>
        <v/>
      </c>
      <c r="M308" s="23" t="str">
        <f aca="false">IF(J308="Válida",(F308+B308)/2,"")</f>
        <v/>
      </c>
      <c r="N308" s="24" t="str">
        <f aca="false">IF(K308="","",IF(OR(K308&gt;Resumo!$B$16,K308&lt;Resumo!$B$15),"Sim","Não"))</f>
        <v/>
      </c>
      <c r="O308" s="22" t="e">
        <f aca="false">IF(A308="",NA(),A308)</f>
        <v>#N/A</v>
      </c>
      <c r="P308" s="23" t="e">
        <f aca="false">IF(A308="",NA(),B308)</f>
        <v>#N/A</v>
      </c>
      <c r="Q308" s="23" t="e">
        <f aca="false">IF(F308="",NA(),F308)</f>
        <v>#N/A</v>
      </c>
      <c r="R308" s="23" t="e">
        <f aca="false">IF(K308="",NA(),K308)</f>
        <v>#N/A</v>
      </c>
      <c r="S308" s="23" t="e">
        <f aca="false">IF(M308="",NA(),M308)</f>
        <v>#N/A</v>
      </c>
      <c r="T308" s="23" t="str">
        <f aca="false">IF(J308="Válida",B308,"")</f>
        <v/>
      </c>
      <c r="U308" s="23" t="str">
        <f aca="false">IF(J308="Válida",F308,"")</f>
        <v/>
      </c>
    </row>
    <row r="309" customFormat="false" ht="15" hidden="false" customHeight="false" outlineLevel="0" collapsed="false">
      <c r="A309" s="22" t="str">
        <f aca="false">IF(MES!A309="","",MES!A309)</f>
        <v/>
      </c>
      <c r="B309" s="23" t="str">
        <f aca="false">IF(A309="","",MES!B309)</f>
        <v/>
      </c>
      <c r="C309" s="22" t="str">
        <f aca="false">IF(A309="","",A309+Parametros!$B$3/24)</f>
        <v/>
      </c>
      <c r="D309" s="22" t="str">
        <f aca="false">IF(A309="","",C309+Parametros!$B$2/24)</f>
        <v/>
      </c>
      <c r="E309" s="24" t="str">
        <f aca="false">IF(A309="","",COUNTIFS(Modulo!$A$2:$A$5001,"&gt;="&amp;C309,Modulo!$A$2:$A$5001,"&lt;"&amp;D309,Modulo!$D$2:$D$5001,Parametros!$B$7))</f>
        <v/>
      </c>
      <c r="F309" s="23" t="str">
        <f aca="false">IF(A309="","",IF(E309=0,"",AVERAGEIFS(Modulo!$B$2:$B$5001,Modulo!$A$2:$A$5001,"&gt;="&amp;C309,Modulo!$A$2:$A$5001,"&lt;"&amp;D309,Modulo!$D$2:$D$5001,Parametros!$B$7)))</f>
        <v/>
      </c>
      <c r="G309" s="23" t="str">
        <f aca="false">IF(A309="","",IF(E309=0,"",AVERAGEIFS(Modulo!$C$2:$C$5001,Modulo!$A$2:$A$5001,"&gt;="&amp;C309,Modulo!$A$2:$A$5001,"&lt;"&amp;D309,Modulo!$D$2:$D$5001,Parametros!$B$7)))</f>
        <v/>
      </c>
      <c r="H309" s="25" t="str">
        <f aca="false">IF(A309="","",IFERROR(COUNTIFS(Amostragem!$A$2:$A$15003,"&gt;="&amp;C309,Amostragem!$A$2:$A$15003,"&lt;"&amp;D309,Amostragem!$B$2:$B$15003,"Automático",Amostragem!$C$2:$C$15003,"Automático",Amostragem!$D$2:$D$15003,0)/COUNTIFS(Amostragem!$A$2:$A$15003,"&gt;="&amp;C309,Amostragem!$A$2:$A$15003,"&lt;"&amp;D309),0))</f>
        <v/>
      </c>
      <c r="I309" s="23" t="str">
        <f aca="false">IF(A309="","",IFERROR(AVERAGEIFS(Amostragem!$E$2:$E$15003,Amostragem!$A$2:$A$15003,"&gt;="&amp;C309,Amostragem!$A$2:$A$15003,"&lt;"&amp;D309),""))</f>
        <v/>
      </c>
      <c r="J309" s="24" t="str">
        <f aca="false">IF(A309="","",IF(B309="","Inválida: sem resultado MES",IF(E309&lt;Parametros!$B$4,"Inválida: poucos ensaios do módulo",IF(H309&lt;Parametros!$B$5,"Inválida: amostragem em manual ou em falha",IF(OR(I309="",I309&lt;Parametros!$B$6),"Inválida: usina parada ou baixa alimentação","Válida")))))</f>
        <v/>
      </c>
      <c r="K309" s="23" t="str">
        <f aca="false">IF(J309="Válida",F309-B309,"")</f>
        <v/>
      </c>
      <c r="L309" s="26" t="str">
        <f aca="false">IF(J309="Válida",K309/B309,"")</f>
        <v/>
      </c>
      <c r="M309" s="23" t="str">
        <f aca="false">IF(J309="Válida",(F309+B309)/2,"")</f>
        <v/>
      </c>
      <c r="N309" s="24" t="str">
        <f aca="false">IF(K309="","",IF(OR(K309&gt;Resumo!$B$16,K309&lt;Resumo!$B$15),"Sim","Não"))</f>
        <v/>
      </c>
      <c r="O309" s="22" t="e">
        <f aca="false">IF(A309="",NA(),A309)</f>
        <v>#N/A</v>
      </c>
      <c r="P309" s="23" t="e">
        <f aca="false">IF(A309="",NA(),B309)</f>
        <v>#N/A</v>
      </c>
      <c r="Q309" s="23" t="e">
        <f aca="false">IF(F309="",NA(),F309)</f>
        <v>#N/A</v>
      </c>
      <c r="R309" s="23" t="e">
        <f aca="false">IF(K309="",NA(),K309)</f>
        <v>#N/A</v>
      </c>
      <c r="S309" s="23" t="e">
        <f aca="false">IF(M309="",NA(),M309)</f>
        <v>#N/A</v>
      </c>
      <c r="T309" s="23" t="str">
        <f aca="false">IF(J309="Válida",B309,"")</f>
        <v/>
      </c>
      <c r="U309" s="23" t="str">
        <f aca="false">IF(J309="Válida",F309,"")</f>
        <v/>
      </c>
    </row>
    <row r="310" customFormat="false" ht="15" hidden="false" customHeight="false" outlineLevel="0" collapsed="false">
      <c r="A310" s="22" t="str">
        <f aca="false">IF(MES!A310="","",MES!A310)</f>
        <v/>
      </c>
      <c r="B310" s="23" t="str">
        <f aca="false">IF(A310="","",MES!B310)</f>
        <v/>
      </c>
      <c r="C310" s="22" t="str">
        <f aca="false">IF(A310="","",A310+Parametros!$B$3/24)</f>
        <v/>
      </c>
      <c r="D310" s="22" t="str">
        <f aca="false">IF(A310="","",C310+Parametros!$B$2/24)</f>
        <v/>
      </c>
      <c r="E310" s="24" t="str">
        <f aca="false">IF(A310="","",COUNTIFS(Modulo!$A$2:$A$5001,"&gt;="&amp;C310,Modulo!$A$2:$A$5001,"&lt;"&amp;D310,Modulo!$D$2:$D$5001,Parametros!$B$7))</f>
        <v/>
      </c>
      <c r="F310" s="23" t="str">
        <f aca="false">IF(A310="","",IF(E310=0,"",AVERAGEIFS(Modulo!$B$2:$B$5001,Modulo!$A$2:$A$5001,"&gt;="&amp;C310,Modulo!$A$2:$A$5001,"&lt;"&amp;D310,Modulo!$D$2:$D$5001,Parametros!$B$7)))</f>
        <v/>
      </c>
      <c r="G310" s="23" t="str">
        <f aca="false">IF(A310="","",IF(E310=0,"",AVERAGEIFS(Modulo!$C$2:$C$5001,Modulo!$A$2:$A$5001,"&gt;="&amp;C310,Modulo!$A$2:$A$5001,"&lt;"&amp;D310,Modulo!$D$2:$D$5001,Parametros!$B$7)))</f>
        <v/>
      </c>
      <c r="H310" s="25" t="str">
        <f aca="false">IF(A310="","",IFERROR(COUNTIFS(Amostragem!$A$2:$A$15003,"&gt;="&amp;C310,Amostragem!$A$2:$A$15003,"&lt;"&amp;D310,Amostragem!$B$2:$B$15003,"Automático",Amostragem!$C$2:$C$15003,"Automático",Amostragem!$D$2:$D$15003,0)/COUNTIFS(Amostragem!$A$2:$A$15003,"&gt;="&amp;C310,Amostragem!$A$2:$A$15003,"&lt;"&amp;D310),0))</f>
        <v/>
      </c>
      <c r="I310" s="23" t="str">
        <f aca="false">IF(A310="","",IFERROR(AVERAGEIFS(Amostragem!$E$2:$E$15003,Amostragem!$A$2:$A$15003,"&gt;="&amp;C310,Amostragem!$A$2:$A$15003,"&lt;"&amp;D310),""))</f>
        <v/>
      </c>
      <c r="J310" s="24" t="str">
        <f aca="false">IF(A310="","",IF(B310="","Inválida: sem resultado MES",IF(E310&lt;Parametros!$B$4,"Inválida: poucos ensaios do módulo",IF(H310&lt;Parametros!$B$5,"Inválida: amostragem em manual ou em falha",IF(OR(I310="",I310&lt;Parametros!$B$6),"Inválida: usina parada ou baixa alimentação","Válida")))))</f>
        <v/>
      </c>
      <c r="K310" s="23" t="str">
        <f aca="false">IF(J310="Válida",F310-B310,"")</f>
        <v/>
      </c>
      <c r="L310" s="26" t="str">
        <f aca="false">IF(J310="Válida",K310/B310,"")</f>
        <v/>
      </c>
      <c r="M310" s="23" t="str">
        <f aca="false">IF(J310="Válida",(F310+B310)/2,"")</f>
        <v/>
      </c>
      <c r="N310" s="24" t="str">
        <f aca="false">IF(K310="","",IF(OR(K310&gt;Resumo!$B$16,K310&lt;Resumo!$B$15),"Sim","Não"))</f>
        <v/>
      </c>
      <c r="O310" s="22" t="e">
        <f aca="false">IF(A310="",NA(),A310)</f>
        <v>#N/A</v>
      </c>
      <c r="P310" s="23" t="e">
        <f aca="false">IF(A310="",NA(),B310)</f>
        <v>#N/A</v>
      </c>
      <c r="Q310" s="23" t="e">
        <f aca="false">IF(F310="",NA(),F310)</f>
        <v>#N/A</v>
      </c>
      <c r="R310" s="23" t="e">
        <f aca="false">IF(K310="",NA(),K310)</f>
        <v>#N/A</v>
      </c>
      <c r="S310" s="23" t="e">
        <f aca="false">IF(M310="",NA(),M310)</f>
        <v>#N/A</v>
      </c>
      <c r="T310" s="23" t="str">
        <f aca="false">IF(J310="Válida",B310,"")</f>
        <v/>
      </c>
      <c r="U310" s="23" t="str">
        <f aca="false">IF(J310="Válida",F310,"")</f>
        <v/>
      </c>
    </row>
    <row r="311" customFormat="false" ht="15" hidden="false" customHeight="false" outlineLevel="0" collapsed="false">
      <c r="A311" s="22" t="str">
        <f aca="false">IF(MES!A311="","",MES!A311)</f>
        <v/>
      </c>
      <c r="B311" s="23" t="str">
        <f aca="false">IF(A311="","",MES!B311)</f>
        <v/>
      </c>
      <c r="C311" s="22" t="str">
        <f aca="false">IF(A311="","",A311+Parametros!$B$3/24)</f>
        <v/>
      </c>
      <c r="D311" s="22" t="str">
        <f aca="false">IF(A311="","",C311+Parametros!$B$2/24)</f>
        <v/>
      </c>
      <c r="E311" s="24" t="str">
        <f aca="false">IF(A311="","",COUNTIFS(Modulo!$A$2:$A$5001,"&gt;="&amp;C311,Modulo!$A$2:$A$5001,"&lt;"&amp;D311,Modulo!$D$2:$D$5001,Parametros!$B$7))</f>
        <v/>
      </c>
      <c r="F311" s="23" t="str">
        <f aca="false">IF(A311="","",IF(E311=0,"",AVERAGEIFS(Modulo!$B$2:$B$5001,Modulo!$A$2:$A$5001,"&gt;="&amp;C311,Modulo!$A$2:$A$5001,"&lt;"&amp;D311,Modulo!$D$2:$D$5001,Parametros!$B$7)))</f>
        <v/>
      </c>
      <c r="G311" s="23" t="str">
        <f aca="false">IF(A311="","",IF(E311=0,"",AVERAGEIFS(Modulo!$C$2:$C$5001,Modulo!$A$2:$A$5001,"&gt;="&amp;C311,Modulo!$A$2:$A$5001,"&lt;"&amp;D311,Modulo!$D$2:$D$5001,Parametros!$B$7)))</f>
        <v/>
      </c>
      <c r="H311" s="25" t="str">
        <f aca="false">IF(A311="","",IFERROR(COUNTIFS(Amostragem!$A$2:$A$15003,"&gt;="&amp;C311,Amostragem!$A$2:$A$15003,"&lt;"&amp;D311,Amostragem!$B$2:$B$15003,"Automático",Amostragem!$C$2:$C$15003,"Automático",Amostragem!$D$2:$D$15003,0)/COUNTIFS(Amostragem!$A$2:$A$15003,"&gt;="&amp;C311,Amostragem!$A$2:$A$15003,"&lt;"&amp;D311),0))</f>
        <v/>
      </c>
      <c r="I311" s="23" t="str">
        <f aca="false">IF(A311="","",IFERROR(AVERAGEIFS(Amostragem!$E$2:$E$15003,Amostragem!$A$2:$A$15003,"&gt;="&amp;C311,Amostragem!$A$2:$A$15003,"&lt;"&amp;D311),""))</f>
        <v/>
      </c>
      <c r="J311" s="24" t="str">
        <f aca="false">IF(A311="","",IF(B311="","Inválida: sem resultado MES",IF(E311&lt;Parametros!$B$4,"Inválida: poucos ensaios do módulo",IF(H311&lt;Parametros!$B$5,"Inválida: amostragem em manual ou em falha",IF(OR(I311="",I311&lt;Parametros!$B$6),"Inválida: usina parada ou baixa alimentação","Válida")))))</f>
        <v/>
      </c>
      <c r="K311" s="23" t="str">
        <f aca="false">IF(J311="Válida",F311-B311,"")</f>
        <v/>
      </c>
      <c r="L311" s="26" t="str">
        <f aca="false">IF(J311="Válida",K311/B311,"")</f>
        <v/>
      </c>
      <c r="M311" s="23" t="str">
        <f aca="false">IF(J311="Válida",(F311+B311)/2,"")</f>
        <v/>
      </c>
      <c r="N311" s="24" t="str">
        <f aca="false">IF(K311="","",IF(OR(K311&gt;Resumo!$B$16,K311&lt;Resumo!$B$15),"Sim","Não"))</f>
        <v/>
      </c>
      <c r="O311" s="22" t="e">
        <f aca="false">IF(A311="",NA(),A311)</f>
        <v>#N/A</v>
      </c>
      <c r="P311" s="23" t="e">
        <f aca="false">IF(A311="",NA(),B311)</f>
        <v>#N/A</v>
      </c>
      <c r="Q311" s="23" t="e">
        <f aca="false">IF(F311="",NA(),F311)</f>
        <v>#N/A</v>
      </c>
      <c r="R311" s="23" t="e">
        <f aca="false">IF(K311="",NA(),K311)</f>
        <v>#N/A</v>
      </c>
      <c r="S311" s="23" t="e">
        <f aca="false">IF(M311="",NA(),M311)</f>
        <v>#N/A</v>
      </c>
      <c r="T311" s="23" t="str">
        <f aca="false">IF(J311="Válida",B311,"")</f>
        <v/>
      </c>
      <c r="U311" s="23" t="str">
        <f aca="false">IF(J311="Válida",F311,"")</f>
        <v/>
      </c>
    </row>
    <row r="312" customFormat="false" ht="15" hidden="false" customHeight="false" outlineLevel="0" collapsed="false">
      <c r="A312" s="22" t="str">
        <f aca="false">IF(MES!A312="","",MES!A312)</f>
        <v/>
      </c>
      <c r="B312" s="23" t="str">
        <f aca="false">IF(A312="","",MES!B312)</f>
        <v/>
      </c>
      <c r="C312" s="22" t="str">
        <f aca="false">IF(A312="","",A312+Parametros!$B$3/24)</f>
        <v/>
      </c>
      <c r="D312" s="22" t="str">
        <f aca="false">IF(A312="","",C312+Parametros!$B$2/24)</f>
        <v/>
      </c>
      <c r="E312" s="24" t="str">
        <f aca="false">IF(A312="","",COUNTIFS(Modulo!$A$2:$A$5001,"&gt;="&amp;C312,Modulo!$A$2:$A$5001,"&lt;"&amp;D312,Modulo!$D$2:$D$5001,Parametros!$B$7))</f>
        <v/>
      </c>
      <c r="F312" s="23" t="str">
        <f aca="false">IF(A312="","",IF(E312=0,"",AVERAGEIFS(Modulo!$B$2:$B$5001,Modulo!$A$2:$A$5001,"&gt;="&amp;C312,Modulo!$A$2:$A$5001,"&lt;"&amp;D312,Modulo!$D$2:$D$5001,Parametros!$B$7)))</f>
        <v/>
      </c>
      <c r="G312" s="23" t="str">
        <f aca="false">IF(A312="","",IF(E312=0,"",AVERAGEIFS(Modulo!$C$2:$C$5001,Modulo!$A$2:$A$5001,"&gt;="&amp;C312,Modulo!$A$2:$A$5001,"&lt;"&amp;D312,Modulo!$D$2:$D$5001,Parametros!$B$7)))</f>
        <v/>
      </c>
      <c r="H312" s="25" t="str">
        <f aca="false">IF(A312="","",IFERROR(COUNTIFS(Amostragem!$A$2:$A$15003,"&gt;="&amp;C312,Amostragem!$A$2:$A$15003,"&lt;"&amp;D312,Amostragem!$B$2:$B$15003,"Automático",Amostragem!$C$2:$C$15003,"Automático",Amostragem!$D$2:$D$15003,0)/COUNTIFS(Amostragem!$A$2:$A$15003,"&gt;="&amp;C312,Amostragem!$A$2:$A$15003,"&lt;"&amp;D312),0))</f>
        <v/>
      </c>
      <c r="I312" s="23" t="str">
        <f aca="false">IF(A312="","",IFERROR(AVERAGEIFS(Amostragem!$E$2:$E$15003,Amostragem!$A$2:$A$15003,"&gt;="&amp;C312,Amostragem!$A$2:$A$15003,"&lt;"&amp;D312),""))</f>
        <v/>
      </c>
      <c r="J312" s="24" t="str">
        <f aca="false">IF(A312="","",IF(B312="","Inválida: sem resultado MES",IF(E312&lt;Parametros!$B$4,"Inválida: poucos ensaios do módulo",IF(H312&lt;Parametros!$B$5,"Inválida: amostragem em manual ou em falha",IF(OR(I312="",I312&lt;Parametros!$B$6),"Inválida: usina parada ou baixa alimentação","Válida")))))</f>
        <v/>
      </c>
      <c r="K312" s="23" t="str">
        <f aca="false">IF(J312="Válida",F312-B312,"")</f>
        <v/>
      </c>
      <c r="L312" s="26" t="str">
        <f aca="false">IF(J312="Válida",K312/B312,"")</f>
        <v/>
      </c>
      <c r="M312" s="23" t="str">
        <f aca="false">IF(J312="Válida",(F312+B312)/2,"")</f>
        <v/>
      </c>
      <c r="N312" s="24" t="str">
        <f aca="false">IF(K312="","",IF(OR(K312&gt;Resumo!$B$16,K312&lt;Resumo!$B$15),"Sim","Não"))</f>
        <v/>
      </c>
      <c r="O312" s="22" t="e">
        <f aca="false">IF(A312="",NA(),A312)</f>
        <v>#N/A</v>
      </c>
      <c r="P312" s="23" t="e">
        <f aca="false">IF(A312="",NA(),B312)</f>
        <v>#N/A</v>
      </c>
      <c r="Q312" s="23" t="e">
        <f aca="false">IF(F312="",NA(),F312)</f>
        <v>#N/A</v>
      </c>
      <c r="R312" s="23" t="e">
        <f aca="false">IF(K312="",NA(),K312)</f>
        <v>#N/A</v>
      </c>
      <c r="S312" s="23" t="e">
        <f aca="false">IF(M312="",NA(),M312)</f>
        <v>#N/A</v>
      </c>
      <c r="T312" s="23" t="str">
        <f aca="false">IF(J312="Válida",B312,"")</f>
        <v/>
      </c>
      <c r="U312" s="23" t="str">
        <f aca="false">IF(J312="Válida",F312,"")</f>
        <v/>
      </c>
    </row>
    <row r="313" customFormat="false" ht="15" hidden="false" customHeight="false" outlineLevel="0" collapsed="false">
      <c r="A313" s="22" t="str">
        <f aca="false">IF(MES!A313="","",MES!A313)</f>
        <v/>
      </c>
      <c r="B313" s="23" t="str">
        <f aca="false">IF(A313="","",MES!B313)</f>
        <v/>
      </c>
      <c r="C313" s="22" t="str">
        <f aca="false">IF(A313="","",A313+Parametros!$B$3/24)</f>
        <v/>
      </c>
      <c r="D313" s="22" t="str">
        <f aca="false">IF(A313="","",C313+Parametros!$B$2/24)</f>
        <v/>
      </c>
      <c r="E313" s="24" t="str">
        <f aca="false">IF(A313="","",COUNTIFS(Modulo!$A$2:$A$5001,"&gt;="&amp;C313,Modulo!$A$2:$A$5001,"&lt;"&amp;D313,Modulo!$D$2:$D$5001,Parametros!$B$7))</f>
        <v/>
      </c>
      <c r="F313" s="23" t="str">
        <f aca="false">IF(A313="","",IF(E313=0,"",AVERAGEIFS(Modulo!$B$2:$B$5001,Modulo!$A$2:$A$5001,"&gt;="&amp;C313,Modulo!$A$2:$A$5001,"&lt;"&amp;D313,Modulo!$D$2:$D$5001,Parametros!$B$7)))</f>
        <v/>
      </c>
      <c r="G313" s="23" t="str">
        <f aca="false">IF(A313="","",IF(E313=0,"",AVERAGEIFS(Modulo!$C$2:$C$5001,Modulo!$A$2:$A$5001,"&gt;="&amp;C313,Modulo!$A$2:$A$5001,"&lt;"&amp;D313,Modulo!$D$2:$D$5001,Parametros!$B$7)))</f>
        <v/>
      </c>
      <c r="H313" s="25" t="str">
        <f aca="false">IF(A313="","",IFERROR(COUNTIFS(Amostragem!$A$2:$A$15003,"&gt;="&amp;C313,Amostragem!$A$2:$A$15003,"&lt;"&amp;D313,Amostragem!$B$2:$B$15003,"Automático",Amostragem!$C$2:$C$15003,"Automático",Amostragem!$D$2:$D$15003,0)/COUNTIFS(Amostragem!$A$2:$A$15003,"&gt;="&amp;C313,Amostragem!$A$2:$A$15003,"&lt;"&amp;D313),0))</f>
        <v/>
      </c>
      <c r="I313" s="23" t="str">
        <f aca="false">IF(A313="","",IFERROR(AVERAGEIFS(Amostragem!$E$2:$E$15003,Amostragem!$A$2:$A$15003,"&gt;="&amp;C313,Amostragem!$A$2:$A$15003,"&lt;"&amp;D313),""))</f>
        <v/>
      </c>
      <c r="J313" s="24" t="str">
        <f aca="false">IF(A313="","",IF(B313="","Inválida: sem resultado MES",IF(E313&lt;Parametros!$B$4,"Inválida: poucos ensaios do módulo",IF(H313&lt;Parametros!$B$5,"Inválida: amostragem em manual ou em falha",IF(OR(I313="",I313&lt;Parametros!$B$6),"Inválida: usina parada ou baixa alimentação","Válida")))))</f>
        <v/>
      </c>
      <c r="K313" s="23" t="str">
        <f aca="false">IF(J313="Válida",F313-B313,"")</f>
        <v/>
      </c>
      <c r="L313" s="26" t="str">
        <f aca="false">IF(J313="Válida",K313/B313,"")</f>
        <v/>
      </c>
      <c r="M313" s="23" t="str">
        <f aca="false">IF(J313="Válida",(F313+B313)/2,"")</f>
        <v/>
      </c>
      <c r="N313" s="24" t="str">
        <f aca="false">IF(K313="","",IF(OR(K313&gt;Resumo!$B$16,K313&lt;Resumo!$B$15),"Sim","Não"))</f>
        <v/>
      </c>
      <c r="O313" s="22" t="e">
        <f aca="false">IF(A313="",NA(),A313)</f>
        <v>#N/A</v>
      </c>
      <c r="P313" s="23" t="e">
        <f aca="false">IF(A313="",NA(),B313)</f>
        <v>#N/A</v>
      </c>
      <c r="Q313" s="23" t="e">
        <f aca="false">IF(F313="",NA(),F313)</f>
        <v>#N/A</v>
      </c>
      <c r="R313" s="23" t="e">
        <f aca="false">IF(K313="",NA(),K313)</f>
        <v>#N/A</v>
      </c>
      <c r="S313" s="23" t="e">
        <f aca="false">IF(M313="",NA(),M313)</f>
        <v>#N/A</v>
      </c>
      <c r="T313" s="23" t="str">
        <f aca="false">IF(J313="Válida",B313,"")</f>
        <v/>
      </c>
      <c r="U313" s="23" t="str">
        <f aca="false">IF(J313="Válida",F313,"")</f>
        <v/>
      </c>
    </row>
    <row r="314" customFormat="false" ht="15" hidden="false" customHeight="false" outlineLevel="0" collapsed="false">
      <c r="A314" s="22" t="str">
        <f aca="false">IF(MES!A314="","",MES!A314)</f>
        <v/>
      </c>
      <c r="B314" s="23" t="str">
        <f aca="false">IF(A314="","",MES!B314)</f>
        <v/>
      </c>
      <c r="C314" s="22" t="str">
        <f aca="false">IF(A314="","",A314+Parametros!$B$3/24)</f>
        <v/>
      </c>
      <c r="D314" s="22" t="str">
        <f aca="false">IF(A314="","",C314+Parametros!$B$2/24)</f>
        <v/>
      </c>
      <c r="E314" s="24" t="str">
        <f aca="false">IF(A314="","",COUNTIFS(Modulo!$A$2:$A$5001,"&gt;="&amp;C314,Modulo!$A$2:$A$5001,"&lt;"&amp;D314,Modulo!$D$2:$D$5001,Parametros!$B$7))</f>
        <v/>
      </c>
      <c r="F314" s="23" t="str">
        <f aca="false">IF(A314="","",IF(E314=0,"",AVERAGEIFS(Modulo!$B$2:$B$5001,Modulo!$A$2:$A$5001,"&gt;="&amp;C314,Modulo!$A$2:$A$5001,"&lt;"&amp;D314,Modulo!$D$2:$D$5001,Parametros!$B$7)))</f>
        <v/>
      </c>
      <c r="G314" s="23" t="str">
        <f aca="false">IF(A314="","",IF(E314=0,"",AVERAGEIFS(Modulo!$C$2:$C$5001,Modulo!$A$2:$A$5001,"&gt;="&amp;C314,Modulo!$A$2:$A$5001,"&lt;"&amp;D314,Modulo!$D$2:$D$5001,Parametros!$B$7)))</f>
        <v/>
      </c>
      <c r="H314" s="25" t="str">
        <f aca="false">IF(A314="","",IFERROR(COUNTIFS(Amostragem!$A$2:$A$15003,"&gt;="&amp;C314,Amostragem!$A$2:$A$15003,"&lt;"&amp;D314,Amostragem!$B$2:$B$15003,"Automático",Amostragem!$C$2:$C$15003,"Automático",Amostragem!$D$2:$D$15003,0)/COUNTIFS(Amostragem!$A$2:$A$15003,"&gt;="&amp;C314,Amostragem!$A$2:$A$15003,"&lt;"&amp;D314),0))</f>
        <v/>
      </c>
      <c r="I314" s="23" t="str">
        <f aca="false">IF(A314="","",IFERROR(AVERAGEIFS(Amostragem!$E$2:$E$15003,Amostragem!$A$2:$A$15003,"&gt;="&amp;C314,Amostragem!$A$2:$A$15003,"&lt;"&amp;D314),""))</f>
        <v/>
      </c>
      <c r="J314" s="24" t="str">
        <f aca="false">IF(A314="","",IF(B314="","Inválida: sem resultado MES",IF(E314&lt;Parametros!$B$4,"Inválida: poucos ensaios do módulo",IF(H314&lt;Parametros!$B$5,"Inválida: amostragem em manual ou em falha",IF(OR(I314="",I314&lt;Parametros!$B$6),"Inválida: usina parada ou baixa alimentação","Válida")))))</f>
        <v/>
      </c>
      <c r="K314" s="23" t="str">
        <f aca="false">IF(J314="Válida",F314-B314,"")</f>
        <v/>
      </c>
      <c r="L314" s="26" t="str">
        <f aca="false">IF(J314="Válida",K314/B314,"")</f>
        <v/>
      </c>
      <c r="M314" s="23" t="str">
        <f aca="false">IF(J314="Válida",(F314+B314)/2,"")</f>
        <v/>
      </c>
      <c r="N314" s="24" t="str">
        <f aca="false">IF(K314="","",IF(OR(K314&gt;Resumo!$B$16,K314&lt;Resumo!$B$15),"Sim","Não"))</f>
        <v/>
      </c>
      <c r="O314" s="22" t="e">
        <f aca="false">IF(A314="",NA(),A314)</f>
        <v>#N/A</v>
      </c>
      <c r="P314" s="23" t="e">
        <f aca="false">IF(A314="",NA(),B314)</f>
        <v>#N/A</v>
      </c>
      <c r="Q314" s="23" t="e">
        <f aca="false">IF(F314="",NA(),F314)</f>
        <v>#N/A</v>
      </c>
      <c r="R314" s="23" t="e">
        <f aca="false">IF(K314="",NA(),K314)</f>
        <v>#N/A</v>
      </c>
      <c r="S314" s="23" t="e">
        <f aca="false">IF(M314="",NA(),M314)</f>
        <v>#N/A</v>
      </c>
      <c r="T314" s="23" t="str">
        <f aca="false">IF(J314="Válida",B314,"")</f>
        <v/>
      </c>
      <c r="U314" s="23" t="str">
        <f aca="false">IF(J314="Válida",F314,"")</f>
        <v/>
      </c>
    </row>
    <row r="315" customFormat="false" ht="15" hidden="false" customHeight="false" outlineLevel="0" collapsed="false">
      <c r="A315" s="22" t="str">
        <f aca="false">IF(MES!A315="","",MES!A315)</f>
        <v/>
      </c>
      <c r="B315" s="23" t="str">
        <f aca="false">IF(A315="","",MES!B315)</f>
        <v/>
      </c>
      <c r="C315" s="22" t="str">
        <f aca="false">IF(A315="","",A315+Parametros!$B$3/24)</f>
        <v/>
      </c>
      <c r="D315" s="22" t="str">
        <f aca="false">IF(A315="","",C315+Parametros!$B$2/24)</f>
        <v/>
      </c>
      <c r="E315" s="24" t="str">
        <f aca="false">IF(A315="","",COUNTIFS(Modulo!$A$2:$A$5001,"&gt;="&amp;C315,Modulo!$A$2:$A$5001,"&lt;"&amp;D315,Modulo!$D$2:$D$5001,Parametros!$B$7))</f>
        <v/>
      </c>
      <c r="F315" s="23" t="str">
        <f aca="false">IF(A315="","",IF(E315=0,"",AVERAGEIFS(Modulo!$B$2:$B$5001,Modulo!$A$2:$A$5001,"&gt;="&amp;C315,Modulo!$A$2:$A$5001,"&lt;"&amp;D315,Modulo!$D$2:$D$5001,Parametros!$B$7)))</f>
        <v/>
      </c>
      <c r="G315" s="23" t="str">
        <f aca="false">IF(A315="","",IF(E315=0,"",AVERAGEIFS(Modulo!$C$2:$C$5001,Modulo!$A$2:$A$5001,"&gt;="&amp;C315,Modulo!$A$2:$A$5001,"&lt;"&amp;D315,Modulo!$D$2:$D$5001,Parametros!$B$7)))</f>
        <v/>
      </c>
      <c r="H315" s="25" t="str">
        <f aca="false">IF(A315="","",IFERROR(COUNTIFS(Amostragem!$A$2:$A$15003,"&gt;="&amp;C315,Amostragem!$A$2:$A$15003,"&lt;"&amp;D315,Amostragem!$B$2:$B$15003,"Automático",Amostragem!$C$2:$C$15003,"Automático",Amostragem!$D$2:$D$15003,0)/COUNTIFS(Amostragem!$A$2:$A$15003,"&gt;="&amp;C315,Amostragem!$A$2:$A$15003,"&lt;"&amp;D315),0))</f>
        <v/>
      </c>
      <c r="I315" s="23" t="str">
        <f aca="false">IF(A315="","",IFERROR(AVERAGEIFS(Amostragem!$E$2:$E$15003,Amostragem!$A$2:$A$15003,"&gt;="&amp;C315,Amostragem!$A$2:$A$15003,"&lt;"&amp;D315),""))</f>
        <v/>
      </c>
      <c r="J315" s="24" t="str">
        <f aca="false">IF(A315="","",IF(B315="","Inválida: sem resultado MES",IF(E315&lt;Parametros!$B$4,"Inválida: poucos ensaios do módulo",IF(H315&lt;Parametros!$B$5,"Inválida: amostragem em manual ou em falha",IF(OR(I315="",I315&lt;Parametros!$B$6),"Inválida: usina parada ou baixa alimentação","Válida")))))</f>
        <v/>
      </c>
      <c r="K315" s="23" t="str">
        <f aca="false">IF(J315="Válida",F315-B315,"")</f>
        <v/>
      </c>
      <c r="L315" s="26" t="str">
        <f aca="false">IF(J315="Válida",K315/B315,"")</f>
        <v/>
      </c>
      <c r="M315" s="23" t="str">
        <f aca="false">IF(J315="Válida",(F315+B315)/2,"")</f>
        <v/>
      </c>
      <c r="N315" s="24" t="str">
        <f aca="false">IF(K315="","",IF(OR(K315&gt;Resumo!$B$16,K315&lt;Resumo!$B$15),"Sim","Não"))</f>
        <v/>
      </c>
      <c r="O315" s="22" t="e">
        <f aca="false">IF(A315="",NA(),A315)</f>
        <v>#N/A</v>
      </c>
      <c r="P315" s="23" t="e">
        <f aca="false">IF(A315="",NA(),B315)</f>
        <v>#N/A</v>
      </c>
      <c r="Q315" s="23" t="e">
        <f aca="false">IF(F315="",NA(),F315)</f>
        <v>#N/A</v>
      </c>
      <c r="R315" s="23" t="e">
        <f aca="false">IF(K315="",NA(),K315)</f>
        <v>#N/A</v>
      </c>
      <c r="S315" s="23" t="e">
        <f aca="false">IF(M315="",NA(),M315)</f>
        <v>#N/A</v>
      </c>
      <c r="T315" s="23" t="str">
        <f aca="false">IF(J315="Válida",B315,"")</f>
        <v/>
      </c>
      <c r="U315" s="23" t="str">
        <f aca="false">IF(J315="Válida",F315,"")</f>
        <v/>
      </c>
    </row>
    <row r="316" customFormat="false" ht="15" hidden="false" customHeight="false" outlineLevel="0" collapsed="false">
      <c r="A316" s="22" t="str">
        <f aca="false">IF(MES!A316="","",MES!A316)</f>
        <v/>
      </c>
      <c r="B316" s="23" t="str">
        <f aca="false">IF(A316="","",MES!B316)</f>
        <v/>
      </c>
      <c r="C316" s="22" t="str">
        <f aca="false">IF(A316="","",A316+Parametros!$B$3/24)</f>
        <v/>
      </c>
      <c r="D316" s="22" t="str">
        <f aca="false">IF(A316="","",C316+Parametros!$B$2/24)</f>
        <v/>
      </c>
      <c r="E316" s="24" t="str">
        <f aca="false">IF(A316="","",COUNTIFS(Modulo!$A$2:$A$5001,"&gt;="&amp;C316,Modulo!$A$2:$A$5001,"&lt;"&amp;D316,Modulo!$D$2:$D$5001,Parametros!$B$7))</f>
        <v/>
      </c>
      <c r="F316" s="23" t="str">
        <f aca="false">IF(A316="","",IF(E316=0,"",AVERAGEIFS(Modulo!$B$2:$B$5001,Modulo!$A$2:$A$5001,"&gt;="&amp;C316,Modulo!$A$2:$A$5001,"&lt;"&amp;D316,Modulo!$D$2:$D$5001,Parametros!$B$7)))</f>
        <v/>
      </c>
      <c r="G316" s="23" t="str">
        <f aca="false">IF(A316="","",IF(E316=0,"",AVERAGEIFS(Modulo!$C$2:$C$5001,Modulo!$A$2:$A$5001,"&gt;="&amp;C316,Modulo!$A$2:$A$5001,"&lt;"&amp;D316,Modulo!$D$2:$D$5001,Parametros!$B$7)))</f>
        <v/>
      </c>
      <c r="H316" s="25" t="str">
        <f aca="false">IF(A316="","",IFERROR(COUNTIFS(Amostragem!$A$2:$A$15003,"&gt;="&amp;C316,Amostragem!$A$2:$A$15003,"&lt;"&amp;D316,Amostragem!$B$2:$B$15003,"Automático",Amostragem!$C$2:$C$15003,"Automático",Amostragem!$D$2:$D$15003,0)/COUNTIFS(Amostragem!$A$2:$A$15003,"&gt;="&amp;C316,Amostragem!$A$2:$A$15003,"&lt;"&amp;D316),0))</f>
        <v/>
      </c>
      <c r="I316" s="23" t="str">
        <f aca="false">IF(A316="","",IFERROR(AVERAGEIFS(Amostragem!$E$2:$E$15003,Amostragem!$A$2:$A$15003,"&gt;="&amp;C316,Amostragem!$A$2:$A$15003,"&lt;"&amp;D316),""))</f>
        <v/>
      </c>
      <c r="J316" s="24" t="str">
        <f aca="false">IF(A316="","",IF(B316="","Inválida: sem resultado MES",IF(E316&lt;Parametros!$B$4,"Inválida: poucos ensaios do módulo",IF(H316&lt;Parametros!$B$5,"Inválida: amostragem em manual ou em falha",IF(OR(I316="",I316&lt;Parametros!$B$6),"Inválida: usina parada ou baixa alimentação","Válida")))))</f>
        <v/>
      </c>
      <c r="K316" s="23" t="str">
        <f aca="false">IF(J316="Válida",F316-B316,"")</f>
        <v/>
      </c>
      <c r="L316" s="26" t="str">
        <f aca="false">IF(J316="Válida",K316/B316,"")</f>
        <v/>
      </c>
      <c r="M316" s="23" t="str">
        <f aca="false">IF(J316="Válida",(F316+B316)/2,"")</f>
        <v/>
      </c>
      <c r="N316" s="24" t="str">
        <f aca="false">IF(K316="","",IF(OR(K316&gt;Resumo!$B$16,K316&lt;Resumo!$B$15),"Sim","Não"))</f>
        <v/>
      </c>
      <c r="O316" s="22" t="e">
        <f aca="false">IF(A316="",NA(),A316)</f>
        <v>#N/A</v>
      </c>
      <c r="P316" s="23" t="e">
        <f aca="false">IF(A316="",NA(),B316)</f>
        <v>#N/A</v>
      </c>
      <c r="Q316" s="23" t="e">
        <f aca="false">IF(F316="",NA(),F316)</f>
        <v>#N/A</v>
      </c>
      <c r="R316" s="23" t="e">
        <f aca="false">IF(K316="",NA(),K316)</f>
        <v>#N/A</v>
      </c>
      <c r="S316" s="23" t="e">
        <f aca="false">IF(M316="",NA(),M316)</f>
        <v>#N/A</v>
      </c>
      <c r="T316" s="23" t="str">
        <f aca="false">IF(J316="Válida",B316,"")</f>
        <v/>
      </c>
      <c r="U316" s="23" t="str">
        <f aca="false">IF(J316="Válida",F316,"")</f>
        <v/>
      </c>
    </row>
    <row r="317" customFormat="false" ht="15" hidden="false" customHeight="false" outlineLevel="0" collapsed="false">
      <c r="A317" s="22" t="str">
        <f aca="false">IF(MES!A317="","",MES!A317)</f>
        <v/>
      </c>
      <c r="B317" s="23" t="str">
        <f aca="false">IF(A317="","",MES!B317)</f>
        <v/>
      </c>
      <c r="C317" s="22" t="str">
        <f aca="false">IF(A317="","",A317+Parametros!$B$3/24)</f>
        <v/>
      </c>
      <c r="D317" s="22" t="str">
        <f aca="false">IF(A317="","",C317+Parametros!$B$2/24)</f>
        <v/>
      </c>
      <c r="E317" s="24" t="str">
        <f aca="false">IF(A317="","",COUNTIFS(Modulo!$A$2:$A$5001,"&gt;="&amp;C317,Modulo!$A$2:$A$5001,"&lt;"&amp;D317,Modulo!$D$2:$D$5001,Parametros!$B$7))</f>
        <v/>
      </c>
      <c r="F317" s="23" t="str">
        <f aca="false">IF(A317="","",IF(E317=0,"",AVERAGEIFS(Modulo!$B$2:$B$5001,Modulo!$A$2:$A$5001,"&gt;="&amp;C317,Modulo!$A$2:$A$5001,"&lt;"&amp;D317,Modulo!$D$2:$D$5001,Parametros!$B$7)))</f>
        <v/>
      </c>
      <c r="G317" s="23" t="str">
        <f aca="false">IF(A317="","",IF(E317=0,"",AVERAGEIFS(Modulo!$C$2:$C$5001,Modulo!$A$2:$A$5001,"&gt;="&amp;C317,Modulo!$A$2:$A$5001,"&lt;"&amp;D317,Modulo!$D$2:$D$5001,Parametros!$B$7)))</f>
        <v/>
      </c>
      <c r="H317" s="25" t="str">
        <f aca="false">IF(A317="","",IFERROR(COUNTIFS(Amostragem!$A$2:$A$15003,"&gt;="&amp;C317,Amostragem!$A$2:$A$15003,"&lt;"&amp;D317,Amostragem!$B$2:$B$15003,"Automático",Amostragem!$C$2:$C$15003,"Automático",Amostragem!$D$2:$D$15003,0)/COUNTIFS(Amostragem!$A$2:$A$15003,"&gt;="&amp;C317,Amostragem!$A$2:$A$15003,"&lt;"&amp;D317),0))</f>
        <v/>
      </c>
      <c r="I317" s="23" t="str">
        <f aca="false">IF(A317="","",IFERROR(AVERAGEIFS(Amostragem!$E$2:$E$15003,Amostragem!$A$2:$A$15003,"&gt;="&amp;C317,Amostragem!$A$2:$A$15003,"&lt;"&amp;D317),""))</f>
        <v/>
      </c>
      <c r="J317" s="24" t="str">
        <f aca="false">IF(A317="","",IF(B317="","Inválida: sem resultado MES",IF(E317&lt;Parametros!$B$4,"Inválida: poucos ensaios do módulo",IF(H317&lt;Parametros!$B$5,"Inválida: amostragem em manual ou em falha",IF(OR(I317="",I317&lt;Parametros!$B$6),"Inválida: usina parada ou baixa alimentação","Válida")))))</f>
        <v/>
      </c>
      <c r="K317" s="23" t="str">
        <f aca="false">IF(J317="Válida",F317-B317,"")</f>
        <v/>
      </c>
      <c r="L317" s="26" t="str">
        <f aca="false">IF(J317="Válida",K317/B317,"")</f>
        <v/>
      </c>
      <c r="M317" s="23" t="str">
        <f aca="false">IF(J317="Válida",(F317+B317)/2,"")</f>
        <v/>
      </c>
      <c r="N317" s="24" t="str">
        <f aca="false">IF(K317="","",IF(OR(K317&gt;Resumo!$B$16,K317&lt;Resumo!$B$15),"Sim","Não"))</f>
        <v/>
      </c>
      <c r="O317" s="22" t="e">
        <f aca="false">IF(A317="",NA(),A317)</f>
        <v>#N/A</v>
      </c>
      <c r="P317" s="23" t="e">
        <f aca="false">IF(A317="",NA(),B317)</f>
        <v>#N/A</v>
      </c>
      <c r="Q317" s="23" t="e">
        <f aca="false">IF(F317="",NA(),F317)</f>
        <v>#N/A</v>
      </c>
      <c r="R317" s="23" t="e">
        <f aca="false">IF(K317="",NA(),K317)</f>
        <v>#N/A</v>
      </c>
      <c r="S317" s="23" t="e">
        <f aca="false">IF(M317="",NA(),M317)</f>
        <v>#N/A</v>
      </c>
      <c r="T317" s="23" t="str">
        <f aca="false">IF(J317="Válida",B317,"")</f>
        <v/>
      </c>
      <c r="U317" s="23" t="str">
        <f aca="false">IF(J317="Válida",F317,"")</f>
        <v/>
      </c>
    </row>
    <row r="318" customFormat="false" ht="15" hidden="false" customHeight="false" outlineLevel="0" collapsed="false">
      <c r="A318" s="22" t="str">
        <f aca="false">IF(MES!A318="","",MES!A318)</f>
        <v/>
      </c>
      <c r="B318" s="23" t="str">
        <f aca="false">IF(A318="","",MES!B318)</f>
        <v/>
      </c>
      <c r="C318" s="22" t="str">
        <f aca="false">IF(A318="","",A318+Parametros!$B$3/24)</f>
        <v/>
      </c>
      <c r="D318" s="22" t="str">
        <f aca="false">IF(A318="","",C318+Parametros!$B$2/24)</f>
        <v/>
      </c>
      <c r="E318" s="24" t="str">
        <f aca="false">IF(A318="","",COUNTIFS(Modulo!$A$2:$A$5001,"&gt;="&amp;C318,Modulo!$A$2:$A$5001,"&lt;"&amp;D318,Modulo!$D$2:$D$5001,Parametros!$B$7))</f>
        <v/>
      </c>
      <c r="F318" s="23" t="str">
        <f aca="false">IF(A318="","",IF(E318=0,"",AVERAGEIFS(Modulo!$B$2:$B$5001,Modulo!$A$2:$A$5001,"&gt;="&amp;C318,Modulo!$A$2:$A$5001,"&lt;"&amp;D318,Modulo!$D$2:$D$5001,Parametros!$B$7)))</f>
        <v/>
      </c>
      <c r="G318" s="23" t="str">
        <f aca="false">IF(A318="","",IF(E318=0,"",AVERAGEIFS(Modulo!$C$2:$C$5001,Modulo!$A$2:$A$5001,"&gt;="&amp;C318,Modulo!$A$2:$A$5001,"&lt;"&amp;D318,Modulo!$D$2:$D$5001,Parametros!$B$7)))</f>
        <v/>
      </c>
      <c r="H318" s="25" t="str">
        <f aca="false">IF(A318="","",IFERROR(COUNTIFS(Amostragem!$A$2:$A$15003,"&gt;="&amp;C318,Amostragem!$A$2:$A$15003,"&lt;"&amp;D318,Amostragem!$B$2:$B$15003,"Automático",Amostragem!$C$2:$C$15003,"Automático",Amostragem!$D$2:$D$15003,0)/COUNTIFS(Amostragem!$A$2:$A$15003,"&gt;="&amp;C318,Amostragem!$A$2:$A$15003,"&lt;"&amp;D318),0))</f>
        <v/>
      </c>
      <c r="I318" s="23" t="str">
        <f aca="false">IF(A318="","",IFERROR(AVERAGEIFS(Amostragem!$E$2:$E$15003,Amostragem!$A$2:$A$15003,"&gt;="&amp;C318,Amostragem!$A$2:$A$15003,"&lt;"&amp;D318),""))</f>
        <v/>
      </c>
      <c r="J318" s="24" t="str">
        <f aca="false">IF(A318="","",IF(B318="","Inválida: sem resultado MES",IF(E318&lt;Parametros!$B$4,"Inválida: poucos ensaios do módulo",IF(H318&lt;Parametros!$B$5,"Inválida: amostragem em manual ou em falha",IF(OR(I318="",I318&lt;Parametros!$B$6),"Inválida: usina parada ou baixa alimentação","Válida")))))</f>
        <v/>
      </c>
      <c r="K318" s="23" t="str">
        <f aca="false">IF(J318="Válida",F318-B318,"")</f>
        <v/>
      </c>
      <c r="L318" s="26" t="str">
        <f aca="false">IF(J318="Válida",K318/B318,"")</f>
        <v/>
      </c>
      <c r="M318" s="23" t="str">
        <f aca="false">IF(J318="Válida",(F318+B318)/2,"")</f>
        <v/>
      </c>
      <c r="N318" s="24" t="str">
        <f aca="false">IF(K318="","",IF(OR(K318&gt;Resumo!$B$16,K318&lt;Resumo!$B$15),"Sim","Não"))</f>
        <v/>
      </c>
      <c r="O318" s="22" t="e">
        <f aca="false">IF(A318="",NA(),A318)</f>
        <v>#N/A</v>
      </c>
      <c r="P318" s="23" t="e">
        <f aca="false">IF(A318="",NA(),B318)</f>
        <v>#N/A</v>
      </c>
      <c r="Q318" s="23" t="e">
        <f aca="false">IF(F318="",NA(),F318)</f>
        <v>#N/A</v>
      </c>
      <c r="R318" s="23" t="e">
        <f aca="false">IF(K318="",NA(),K318)</f>
        <v>#N/A</v>
      </c>
      <c r="S318" s="23" t="e">
        <f aca="false">IF(M318="",NA(),M318)</f>
        <v>#N/A</v>
      </c>
      <c r="T318" s="23" t="str">
        <f aca="false">IF(J318="Válida",B318,"")</f>
        <v/>
      </c>
      <c r="U318" s="23" t="str">
        <f aca="false">IF(J318="Válida",F318,"")</f>
        <v/>
      </c>
    </row>
    <row r="319" customFormat="false" ht="15" hidden="false" customHeight="false" outlineLevel="0" collapsed="false">
      <c r="A319" s="22" t="str">
        <f aca="false">IF(MES!A319="","",MES!A319)</f>
        <v/>
      </c>
      <c r="B319" s="23" t="str">
        <f aca="false">IF(A319="","",MES!B319)</f>
        <v/>
      </c>
      <c r="C319" s="22" t="str">
        <f aca="false">IF(A319="","",A319+Parametros!$B$3/24)</f>
        <v/>
      </c>
      <c r="D319" s="22" t="str">
        <f aca="false">IF(A319="","",C319+Parametros!$B$2/24)</f>
        <v/>
      </c>
      <c r="E319" s="24" t="str">
        <f aca="false">IF(A319="","",COUNTIFS(Modulo!$A$2:$A$5001,"&gt;="&amp;C319,Modulo!$A$2:$A$5001,"&lt;"&amp;D319,Modulo!$D$2:$D$5001,Parametros!$B$7))</f>
        <v/>
      </c>
      <c r="F319" s="23" t="str">
        <f aca="false">IF(A319="","",IF(E319=0,"",AVERAGEIFS(Modulo!$B$2:$B$5001,Modulo!$A$2:$A$5001,"&gt;="&amp;C319,Modulo!$A$2:$A$5001,"&lt;"&amp;D319,Modulo!$D$2:$D$5001,Parametros!$B$7)))</f>
        <v/>
      </c>
      <c r="G319" s="23" t="str">
        <f aca="false">IF(A319="","",IF(E319=0,"",AVERAGEIFS(Modulo!$C$2:$C$5001,Modulo!$A$2:$A$5001,"&gt;="&amp;C319,Modulo!$A$2:$A$5001,"&lt;"&amp;D319,Modulo!$D$2:$D$5001,Parametros!$B$7)))</f>
        <v/>
      </c>
      <c r="H319" s="25" t="str">
        <f aca="false">IF(A319="","",IFERROR(COUNTIFS(Amostragem!$A$2:$A$15003,"&gt;="&amp;C319,Amostragem!$A$2:$A$15003,"&lt;"&amp;D319,Amostragem!$B$2:$B$15003,"Automático",Amostragem!$C$2:$C$15003,"Automático",Amostragem!$D$2:$D$15003,0)/COUNTIFS(Amostragem!$A$2:$A$15003,"&gt;="&amp;C319,Amostragem!$A$2:$A$15003,"&lt;"&amp;D319),0))</f>
        <v/>
      </c>
      <c r="I319" s="23" t="str">
        <f aca="false">IF(A319="","",IFERROR(AVERAGEIFS(Amostragem!$E$2:$E$15003,Amostragem!$A$2:$A$15003,"&gt;="&amp;C319,Amostragem!$A$2:$A$15003,"&lt;"&amp;D319),""))</f>
        <v/>
      </c>
      <c r="J319" s="24" t="str">
        <f aca="false">IF(A319="","",IF(B319="","Inválida: sem resultado MES",IF(E319&lt;Parametros!$B$4,"Inválida: poucos ensaios do módulo",IF(H319&lt;Parametros!$B$5,"Inválida: amostragem em manual ou em falha",IF(OR(I319="",I319&lt;Parametros!$B$6),"Inválida: usina parada ou baixa alimentação","Válida")))))</f>
        <v/>
      </c>
      <c r="K319" s="23" t="str">
        <f aca="false">IF(J319="Válida",F319-B319,"")</f>
        <v/>
      </c>
      <c r="L319" s="26" t="str">
        <f aca="false">IF(J319="Válida",K319/B319,"")</f>
        <v/>
      </c>
      <c r="M319" s="23" t="str">
        <f aca="false">IF(J319="Válida",(F319+B319)/2,"")</f>
        <v/>
      </c>
      <c r="N319" s="24" t="str">
        <f aca="false">IF(K319="","",IF(OR(K319&gt;Resumo!$B$16,K319&lt;Resumo!$B$15),"Sim","Não"))</f>
        <v/>
      </c>
      <c r="O319" s="22" t="e">
        <f aca="false">IF(A319="",NA(),A319)</f>
        <v>#N/A</v>
      </c>
      <c r="P319" s="23" t="e">
        <f aca="false">IF(A319="",NA(),B319)</f>
        <v>#N/A</v>
      </c>
      <c r="Q319" s="23" t="e">
        <f aca="false">IF(F319="",NA(),F319)</f>
        <v>#N/A</v>
      </c>
      <c r="R319" s="23" t="e">
        <f aca="false">IF(K319="",NA(),K319)</f>
        <v>#N/A</v>
      </c>
      <c r="S319" s="23" t="e">
        <f aca="false">IF(M319="",NA(),M319)</f>
        <v>#N/A</v>
      </c>
      <c r="T319" s="23" t="str">
        <f aca="false">IF(J319="Válida",B319,"")</f>
        <v/>
      </c>
      <c r="U319" s="23" t="str">
        <f aca="false">IF(J319="Válida",F319,"")</f>
        <v/>
      </c>
    </row>
    <row r="320" customFormat="false" ht="15" hidden="false" customHeight="false" outlineLevel="0" collapsed="false">
      <c r="A320" s="22" t="str">
        <f aca="false">IF(MES!A320="","",MES!A320)</f>
        <v/>
      </c>
      <c r="B320" s="23" t="str">
        <f aca="false">IF(A320="","",MES!B320)</f>
        <v/>
      </c>
      <c r="C320" s="22" t="str">
        <f aca="false">IF(A320="","",A320+Parametros!$B$3/24)</f>
        <v/>
      </c>
      <c r="D320" s="22" t="str">
        <f aca="false">IF(A320="","",C320+Parametros!$B$2/24)</f>
        <v/>
      </c>
      <c r="E320" s="24" t="str">
        <f aca="false">IF(A320="","",COUNTIFS(Modulo!$A$2:$A$5001,"&gt;="&amp;C320,Modulo!$A$2:$A$5001,"&lt;"&amp;D320,Modulo!$D$2:$D$5001,Parametros!$B$7))</f>
        <v/>
      </c>
      <c r="F320" s="23" t="str">
        <f aca="false">IF(A320="","",IF(E320=0,"",AVERAGEIFS(Modulo!$B$2:$B$5001,Modulo!$A$2:$A$5001,"&gt;="&amp;C320,Modulo!$A$2:$A$5001,"&lt;"&amp;D320,Modulo!$D$2:$D$5001,Parametros!$B$7)))</f>
        <v/>
      </c>
      <c r="G320" s="23" t="str">
        <f aca="false">IF(A320="","",IF(E320=0,"",AVERAGEIFS(Modulo!$C$2:$C$5001,Modulo!$A$2:$A$5001,"&gt;="&amp;C320,Modulo!$A$2:$A$5001,"&lt;"&amp;D320,Modulo!$D$2:$D$5001,Parametros!$B$7)))</f>
        <v/>
      </c>
      <c r="H320" s="25" t="str">
        <f aca="false">IF(A320="","",IFERROR(COUNTIFS(Amostragem!$A$2:$A$15003,"&gt;="&amp;C320,Amostragem!$A$2:$A$15003,"&lt;"&amp;D320,Amostragem!$B$2:$B$15003,"Automático",Amostragem!$C$2:$C$15003,"Automático",Amostragem!$D$2:$D$15003,0)/COUNTIFS(Amostragem!$A$2:$A$15003,"&gt;="&amp;C320,Amostragem!$A$2:$A$15003,"&lt;"&amp;D320),0))</f>
        <v/>
      </c>
      <c r="I320" s="23" t="str">
        <f aca="false">IF(A320="","",IFERROR(AVERAGEIFS(Amostragem!$E$2:$E$15003,Amostragem!$A$2:$A$15003,"&gt;="&amp;C320,Amostragem!$A$2:$A$15003,"&lt;"&amp;D320),""))</f>
        <v/>
      </c>
      <c r="J320" s="24" t="str">
        <f aca="false">IF(A320="","",IF(B320="","Inválida: sem resultado MES",IF(E320&lt;Parametros!$B$4,"Inválida: poucos ensaios do módulo",IF(H320&lt;Parametros!$B$5,"Inválida: amostragem em manual ou em falha",IF(OR(I320="",I320&lt;Parametros!$B$6),"Inválida: usina parada ou baixa alimentação","Válida")))))</f>
        <v/>
      </c>
      <c r="K320" s="23" t="str">
        <f aca="false">IF(J320="Válida",F320-B320,"")</f>
        <v/>
      </c>
      <c r="L320" s="26" t="str">
        <f aca="false">IF(J320="Válida",K320/B320,"")</f>
        <v/>
      </c>
      <c r="M320" s="23" t="str">
        <f aca="false">IF(J320="Válida",(F320+B320)/2,"")</f>
        <v/>
      </c>
      <c r="N320" s="24" t="str">
        <f aca="false">IF(K320="","",IF(OR(K320&gt;Resumo!$B$16,K320&lt;Resumo!$B$15),"Sim","Não"))</f>
        <v/>
      </c>
      <c r="O320" s="22" t="e">
        <f aca="false">IF(A320="",NA(),A320)</f>
        <v>#N/A</v>
      </c>
      <c r="P320" s="23" t="e">
        <f aca="false">IF(A320="",NA(),B320)</f>
        <v>#N/A</v>
      </c>
      <c r="Q320" s="23" t="e">
        <f aca="false">IF(F320="",NA(),F320)</f>
        <v>#N/A</v>
      </c>
      <c r="R320" s="23" t="e">
        <f aca="false">IF(K320="",NA(),K320)</f>
        <v>#N/A</v>
      </c>
      <c r="S320" s="23" t="e">
        <f aca="false">IF(M320="",NA(),M320)</f>
        <v>#N/A</v>
      </c>
      <c r="T320" s="23" t="str">
        <f aca="false">IF(J320="Válida",B320,"")</f>
        <v/>
      </c>
      <c r="U320" s="23" t="str">
        <f aca="false">IF(J320="Válida",F320,"")</f>
        <v/>
      </c>
    </row>
    <row r="321" customFormat="false" ht="15" hidden="false" customHeight="false" outlineLevel="0" collapsed="false">
      <c r="A321" s="22" t="str">
        <f aca="false">IF(MES!A321="","",MES!A321)</f>
        <v/>
      </c>
      <c r="B321" s="23" t="str">
        <f aca="false">IF(A321="","",MES!B321)</f>
        <v/>
      </c>
      <c r="C321" s="22" t="str">
        <f aca="false">IF(A321="","",A321+Parametros!$B$3/24)</f>
        <v/>
      </c>
      <c r="D321" s="22" t="str">
        <f aca="false">IF(A321="","",C321+Parametros!$B$2/24)</f>
        <v/>
      </c>
      <c r="E321" s="24" t="str">
        <f aca="false">IF(A321="","",COUNTIFS(Modulo!$A$2:$A$5001,"&gt;="&amp;C321,Modulo!$A$2:$A$5001,"&lt;"&amp;D321,Modulo!$D$2:$D$5001,Parametros!$B$7))</f>
        <v/>
      </c>
      <c r="F321" s="23" t="str">
        <f aca="false">IF(A321="","",IF(E321=0,"",AVERAGEIFS(Modulo!$B$2:$B$5001,Modulo!$A$2:$A$5001,"&gt;="&amp;C321,Modulo!$A$2:$A$5001,"&lt;"&amp;D321,Modulo!$D$2:$D$5001,Parametros!$B$7)))</f>
        <v/>
      </c>
      <c r="G321" s="23" t="str">
        <f aca="false">IF(A321="","",IF(E321=0,"",AVERAGEIFS(Modulo!$C$2:$C$5001,Modulo!$A$2:$A$5001,"&gt;="&amp;C321,Modulo!$A$2:$A$5001,"&lt;"&amp;D321,Modulo!$D$2:$D$5001,Parametros!$B$7)))</f>
        <v/>
      </c>
      <c r="H321" s="25" t="str">
        <f aca="false">IF(A321="","",IFERROR(COUNTIFS(Amostragem!$A$2:$A$15003,"&gt;="&amp;C321,Amostragem!$A$2:$A$15003,"&lt;"&amp;D321,Amostragem!$B$2:$B$15003,"Automático",Amostragem!$C$2:$C$15003,"Automático",Amostragem!$D$2:$D$15003,0)/COUNTIFS(Amostragem!$A$2:$A$15003,"&gt;="&amp;C321,Amostragem!$A$2:$A$15003,"&lt;"&amp;D321),0))</f>
        <v/>
      </c>
      <c r="I321" s="23" t="str">
        <f aca="false">IF(A321="","",IFERROR(AVERAGEIFS(Amostragem!$E$2:$E$15003,Amostragem!$A$2:$A$15003,"&gt;="&amp;C321,Amostragem!$A$2:$A$15003,"&lt;"&amp;D321),""))</f>
        <v/>
      </c>
      <c r="J321" s="24" t="str">
        <f aca="false">IF(A321="","",IF(B321="","Inválida: sem resultado MES",IF(E321&lt;Parametros!$B$4,"Inválida: poucos ensaios do módulo",IF(H321&lt;Parametros!$B$5,"Inválida: amostragem em manual ou em falha",IF(OR(I321="",I321&lt;Parametros!$B$6),"Inválida: usina parada ou baixa alimentação","Válida")))))</f>
        <v/>
      </c>
      <c r="K321" s="23" t="str">
        <f aca="false">IF(J321="Válida",F321-B321,"")</f>
        <v/>
      </c>
      <c r="L321" s="26" t="str">
        <f aca="false">IF(J321="Válida",K321/B321,"")</f>
        <v/>
      </c>
      <c r="M321" s="23" t="str">
        <f aca="false">IF(J321="Válida",(F321+B321)/2,"")</f>
        <v/>
      </c>
      <c r="N321" s="24" t="str">
        <f aca="false">IF(K321="","",IF(OR(K321&gt;Resumo!$B$16,K321&lt;Resumo!$B$15),"Sim","Não"))</f>
        <v/>
      </c>
      <c r="O321" s="22" t="e">
        <f aca="false">IF(A321="",NA(),A321)</f>
        <v>#N/A</v>
      </c>
      <c r="P321" s="23" t="e">
        <f aca="false">IF(A321="",NA(),B321)</f>
        <v>#N/A</v>
      </c>
      <c r="Q321" s="23" t="e">
        <f aca="false">IF(F321="",NA(),F321)</f>
        <v>#N/A</v>
      </c>
      <c r="R321" s="23" t="e">
        <f aca="false">IF(K321="",NA(),K321)</f>
        <v>#N/A</v>
      </c>
      <c r="S321" s="23" t="e">
        <f aca="false">IF(M321="",NA(),M321)</f>
        <v>#N/A</v>
      </c>
      <c r="T321" s="23" t="str">
        <f aca="false">IF(J321="Válida",B321,"")</f>
        <v/>
      </c>
      <c r="U321" s="23" t="str">
        <f aca="false">IF(J321="Válida",F321,"")</f>
        <v/>
      </c>
    </row>
    <row r="322" customFormat="false" ht="15" hidden="false" customHeight="false" outlineLevel="0" collapsed="false">
      <c r="A322" s="22" t="str">
        <f aca="false">IF(MES!A322="","",MES!A322)</f>
        <v/>
      </c>
      <c r="B322" s="23" t="str">
        <f aca="false">IF(A322="","",MES!B322)</f>
        <v/>
      </c>
      <c r="C322" s="22" t="str">
        <f aca="false">IF(A322="","",A322+Parametros!$B$3/24)</f>
        <v/>
      </c>
      <c r="D322" s="22" t="str">
        <f aca="false">IF(A322="","",C322+Parametros!$B$2/24)</f>
        <v/>
      </c>
      <c r="E322" s="24" t="str">
        <f aca="false">IF(A322="","",COUNTIFS(Modulo!$A$2:$A$5001,"&gt;="&amp;C322,Modulo!$A$2:$A$5001,"&lt;"&amp;D322,Modulo!$D$2:$D$5001,Parametros!$B$7))</f>
        <v/>
      </c>
      <c r="F322" s="23" t="str">
        <f aca="false">IF(A322="","",IF(E322=0,"",AVERAGEIFS(Modulo!$B$2:$B$5001,Modulo!$A$2:$A$5001,"&gt;="&amp;C322,Modulo!$A$2:$A$5001,"&lt;"&amp;D322,Modulo!$D$2:$D$5001,Parametros!$B$7)))</f>
        <v/>
      </c>
      <c r="G322" s="23" t="str">
        <f aca="false">IF(A322="","",IF(E322=0,"",AVERAGEIFS(Modulo!$C$2:$C$5001,Modulo!$A$2:$A$5001,"&gt;="&amp;C322,Modulo!$A$2:$A$5001,"&lt;"&amp;D322,Modulo!$D$2:$D$5001,Parametros!$B$7)))</f>
        <v/>
      </c>
      <c r="H322" s="25" t="str">
        <f aca="false">IF(A322="","",IFERROR(COUNTIFS(Amostragem!$A$2:$A$15003,"&gt;="&amp;C322,Amostragem!$A$2:$A$15003,"&lt;"&amp;D322,Amostragem!$B$2:$B$15003,"Automático",Amostragem!$C$2:$C$15003,"Automático",Amostragem!$D$2:$D$15003,0)/COUNTIFS(Amostragem!$A$2:$A$15003,"&gt;="&amp;C322,Amostragem!$A$2:$A$15003,"&lt;"&amp;D322),0))</f>
        <v/>
      </c>
      <c r="I322" s="23" t="str">
        <f aca="false">IF(A322="","",IFERROR(AVERAGEIFS(Amostragem!$E$2:$E$15003,Amostragem!$A$2:$A$15003,"&gt;="&amp;C322,Amostragem!$A$2:$A$15003,"&lt;"&amp;D322),""))</f>
        <v/>
      </c>
      <c r="J322" s="24" t="str">
        <f aca="false">IF(A322="","",IF(B322="","Inválida: sem resultado MES",IF(E322&lt;Parametros!$B$4,"Inválida: poucos ensaios do módulo",IF(H322&lt;Parametros!$B$5,"Inválida: amostragem em manual ou em falha",IF(OR(I322="",I322&lt;Parametros!$B$6),"Inválida: usina parada ou baixa alimentação","Válida")))))</f>
        <v/>
      </c>
      <c r="K322" s="23" t="str">
        <f aca="false">IF(J322="Válida",F322-B322,"")</f>
        <v/>
      </c>
      <c r="L322" s="26" t="str">
        <f aca="false">IF(J322="Válida",K322/B322,"")</f>
        <v/>
      </c>
      <c r="M322" s="23" t="str">
        <f aca="false">IF(J322="Válida",(F322+B322)/2,"")</f>
        <v/>
      </c>
      <c r="N322" s="24" t="str">
        <f aca="false">IF(K322="","",IF(OR(K322&gt;Resumo!$B$16,K322&lt;Resumo!$B$15),"Sim","Não"))</f>
        <v/>
      </c>
      <c r="O322" s="22" t="e">
        <f aca="false">IF(A322="",NA(),A322)</f>
        <v>#N/A</v>
      </c>
      <c r="P322" s="23" t="e">
        <f aca="false">IF(A322="",NA(),B322)</f>
        <v>#N/A</v>
      </c>
      <c r="Q322" s="23" t="e">
        <f aca="false">IF(F322="",NA(),F322)</f>
        <v>#N/A</v>
      </c>
      <c r="R322" s="23" t="e">
        <f aca="false">IF(K322="",NA(),K322)</f>
        <v>#N/A</v>
      </c>
      <c r="S322" s="23" t="e">
        <f aca="false">IF(M322="",NA(),M322)</f>
        <v>#N/A</v>
      </c>
      <c r="T322" s="23" t="str">
        <f aca="false">IF(J322="Válida",B322,"")</f>
        <v/>
      </c>
      <c r="U322" s="23" t="str">
        <f aca="false">IF(J322="Válida",F322,"")</f>
        <v/>
      </c>
    </row>
    <row r="323" customFormat="false" ht="15" hidden="false" customHeight="false" outlineLevel="0" collapsed="false">
      <c r="A323" s="22" t="str">
        <f aca="false">IF(MES!A323="","",MES!A323)</f>
        <v/>
      </c>
      <c r="B323" s="23" t="str">
        <f aca="false">IF(A323="","",MES!B323)</f>
        <v/>
      </c>
      <c r="C323" s="22" t="str">
        <f aca="false">IF(A323="","",A323+Parametros!$B$3/24)</f>
        <v/>
      </c>
      <c r="D323" s="22" t="str">
        <f aca="false">IF(A323="","",C323+Parametros!$B$2/24)</f>
        <v/>
      </c>
      <c r="E323" s="24" t="str">
        <f aca="false">IF(A323="","",COUNTIFS(Modulo!$A$2:$A$5001,"&gt;="&amp;C323,Modulo!$A$2:$A$5001,"&lt;"&amp;D323,Modulo!$D$2:$D$5001,Parametros!$B$7))</f>
        <v/>
      </c>
      <c r="F323" s="23" t="str">
        <f aca="false">IF(A323="","",IF(E323=0,"",AVERAGEIFS(Modulo!$B$2:$B$5001,Modulo!$A$2:$A$5001,"&gt;="&amp;C323,Modulo!$A$2:$A$5001,"&lt;"&amp;D323,Modulo!$D$2:$D$5001,Parametros!$B$7)))</f>
        <v/>
      </c>
      <c r="G323" s="23" t="str">
        <f aca="false">IF(A323="","",IF(E323=0,"",AVERAGEIFS(Modulo!$C$2:$C$5001,Modulo!$A$2:$A$5001,"&gt;="&amp;C323,Modulo!$A$2:$A$5001,"&lt;"&amp;D323,Modulo!$D$2:$D$5001,Parametros!$B$7)))</f>
        <v/>
      </c>
      <c r="H323" s="25" t="str">
        <f aca="false">IF(A323="","",IFERROR(COUNTIFS(Amostragem!$A$2:$A$15003,"&gt;="&amp;C323,Amostragem!$A$2:$A$15003,"&lt;"&amp;D323,Amostragem!$B$2:$B$15003,"Automático",Amostragem!$C$2:$C$15003,"Automático",Amostragem!$D$2:$D$15003,0)/COUNTIFS(Amostragem!$A$2:$A$15003,"&gt;="&amp;C323,Amostragem!$A$2:$A$15003,"&lt;"&amp;D323),0))</f>
        <v/>
      </c>
      <c r="I323" s="23" t="str">
        <f aca="false">IF(A323="","",IFERROR(AVERAGEIFS(Amostragem!$E$2:$E$15003,Amostragem!$A$2:$A$15003,"&gt;="&amp;C323,Amostragem!$A$2:$A$15003,"&lt;"&amp;D323),""))</f>
        <v/>
      </c>
      <c r="J323" s="24" t="str">
        <f aca="false">IF(A323="","",IF(B323="","Inválida: sem resultado MES",IF(E323&lt;Parametros!$B$4,"Inválida: poucos ensaios do módulo",IF(H323&lt;Parametros!$B$5,"Inválida: amostragem em manual ou em falha",IF(OR(I323="",I323&lt;Parametros!$B$6),"Inválida: usina parada ou baixa alimentação","Válida")))))</f>
        <v/>
      </c>
      <c r="K323" s="23" t="str">
        <f aca="false">IF(J323="Válida",F323-B323,"")</f>
        <v/>
      </c>
      <c r="L323" s="26" t="str">
        <f aca="false">IF(J323="Válida",K323/B323,"")</f>
        <v/>
      </c>
      <c r="M323" s="23" t="str">
        <f aca="false">IF(J323="Válida",(F323+B323)/2,"")</f>
        <v/>
      </c>
      <c r="N323" s="24" t="str">
        <f aca="false">IF(K323="","",IF(OR(K323&gt;Resumo!$B$16,K323&lt;Resumo!$B$15),"Sim","Não"))</f>
        <v/>
      </c>
      <c r="O323" s="22" t="e">
        <f aca="false">IF(A323="",NA(),A323)</f>
        <v>#N/A</v>
      </c>
      <c r="P323" s="23" t="e">
        <f aca="false">IF(A323="",NA(),B323)</f>
        <v>#N/A</v>
      </c>
      <c r="Q323" s="23" t="e">
        <f aca="false">IF(F323="",NA(),F323)</f>
        <v>#N/A</v>
      </c>
      <c r="R323" s="23" t="e">
        <f aca="false">IF(K323="",NA(),K323)</f>
        <v>#N/A</v>
      </c>
      <c r="S323" s="23" t="e">
        <f aca="false">IF(M323="",NA(),M323)</f>
        <v>#N/A</v>
      </c>
      <c r="T323" s="23" t="str">
        <f aca="false">IF(J323="Válida",B323,"")</f>
        <v/>
      </c>
      <c r="U323" s="23" t="str">
        <f aca="false">IF(J323="Válida",F323,"")</f>
        <v/>
      </c>
    </row>
    <row r="324" customFormat="false" ht="15" hidden="false" customHeight="false" outlineLevel="0" collapsed="false">
      <c r="A324" s="22" t="str">
        <f aca="false">IF(MES!A324="","",MES!A324)</f>
        <v/>
      </c>
      <c r="B324" s="23" t="str">
        <f aca="false">IF(A324="","",MES!B324)</f>
        <v/>
      </c>
      <c r="C324" s="22" t="str">
        <f aca="false">IF(A324="","",A324+Parametros!$B$3/24)</f>
        <v/>
      </c>
      <c r="D324" s="22" t="str">
        <f aca="false">IF(A324="","",C324+Parametros!$B$2/24)</f>
        <v/>
      </c>
      <c r="E324" s="24" t="str">
        <f aca="false">IF(A324="","",COUNTIFS(Modulo!$A$2:$A$5001,"&gt;="&amp;C324,Modulo!$A$2:$A$5001,"&lt;"&amp;D324,Modulo!$D$2:$D$5001,Parametros!$B$7))</f>
        <v/>
      </c>
      <c r="F324" s="23" t="str">
        <f aca="false">IF(A324="","",IF(E324=0,"",AVERAGEIFS(Modulo!$B$2:$B$5001,Modulo!$A$2:$A$5001,"&gt;="&amp;C324,Modulo!$A$2:$A$5001,"&lt;"&amp;D324,Modulo!$D$2:$D$5001,Parametros!$B$7)))</f>
        <v/>
      </c>
      <c r="G324" s="23" t="str">
        <f aca="false">IF(A324="","",IF(E324=0,"",AVERAGEIFS(Modulo!$C$2:$C$5001,Modulo!$A$2:$A$5001,"&gt;="&amp;C324,Modulo!$A$2:$A$5001,"&lt;"&amp;D324,Modulo!$D$2:$D$5001,Parametros!$B$7)))</f>
        <v/>
      </c>
      <c r="H324" s="25" t="str">
        <f aca="false">IF(A324="","",IFERROR(COUNTIFS(Amostragem!$A$2:$A$15003,"&gt;="&amp;C324,Amostragem!$A$2:$A$15003,"&lt;"&amp;D324,Amostragem!$B$2:$B$15003,"Automático",Amostragem!$C$2:$C$15003,"Automático",Amostragem!$D$2:$D$15003,0)/COUNTIFS(Amostragem!$A$2:$A$15003,"&gt;="&amp;C324,Amostragem!$A$2:$A$15003,"&lt;"&amp;D324),0))</f>
        <v/>
      </c>
      <c r="I324" s="23" t="str">
        <f aca="false">IF(A324="","",IFERROR(AVERAGEIFS(Amostragem!$E$2:$E$15003,Amostragem!$A$2:$A$15003,"&gt;="&amp;C324,Amostragem!$A$2:$A$15003,"&lt;"&amp;D324),""))</f>
        <v/>
      </c>
      <c r="J324" s="24" t="str">
        <f aca="false">IF(A324="","",IF(B324="","Inválida: sem resultado MES",IF(E324&lt;Parametros!$B$4,"Inválida: poucos ensaios do módulo",IF(H324&lt;Parametros!$B$5,"Inválida: amostragem em manual ou em falha",IF(OR(I324="",I324&lt;Parametros!$B$6),"Inválida: usina parada ou baixa alimentação","Válida")))))</f>
        <v/>
      </c>
      <c r="K324" s="23" t="str">
        <f aca="false">IF(J324="Válida",F324-B324,"")</f>
        <v/>
      </c>
      <c r="L324" s="26" t="str">
        <f aca="false">IF(J324="Válida",K324/B324,"")</f>
        <v/>
      </c>
      <c r="M324" s="23" t="str">
        <f aca="false">IF(J324="Válida",(F324+B324)/2,"")</f>
        <v/>
      </c>
      <c r="N324" s="24" t="str">
        <f aca="false">IF(K324="","",IF(OR(K324&gt;Resumo!$B$16,K324&lt;Resumo!$B$15),"Sim","Não"))</f>
        <v/>
      </c>
      <c r="O324" s="22" t="e">
        <f aca="false">IF(A324="",NA(),A324)</f>
        <v>#N/A</v>
      </c>
      <c r="P324" s="23" t="e">
        <f aca="false">IF(A324="",NA(),B324)</f>
        <v>#N/A</v>
      </c>
      <c r="Q324" s="23" t="e">
        <f aca="false">IF(F324="",NA(),F324)</f>
        <v>#N/A</v>
      </c>
      <c r="R324" s="23" t="e">
        <f aca="false">IF(K324="",NA(),K324)</f>
        <v>#N/A</v>
      </c>
      <c r="S324" s="23" t="e">
        <f aca="false">IF(M324="",NA(),M324)</f>
        <v>#N/A</v>
      </c>
      <c r="T324" s="23" t="str">
        <f aca="false">IF(J324="Válida",B324,"")</f>
        <v/>
      </c>
      <c r="U324" s="23" t="str">
        <f aca="false">IF(J324="Válida",F324,"")</f>
        <v/>
      </c>
    </row>
    <row r="325" customFormat="false" ht="15" hidden="false" customHeight="false" outlineLevel="0" collapsed="false">
      <c r="A325" s="22" t="str">
        <f aca="false">IF(MES!A325="","",MES!A325)</f>
        <v/>
      </c>
      <c r="B325" s="23" t="str">
        <f aca="false">IF(A325="","",MES!B325)</f>
        <v/>
      </c>
      <c r="C325" s="22" t="str">
        <f aca="false">IF(A325="","",A325+Parametros!$B$3/24)</f>
        <v/>
      </c>
      <c r="D325" s="22" t="str">
        <f aca="false">IF(A325="","",C325+Parametros!$B$2/24)</f>
        <v/>
      </c>
      <c r="E325" s="24" t="str">
        <f aca="false">IF(A325="","",COUNTIFS(Modulo!$A$2:$A$5001,"&gt;="&amp;C325,Modulo!$A$2:$A$5001,"&lt;"&amp;D325,Modulo!$D$2:$D$5001,Parametros!$B$7))</f>
        <v/>
      </c>
      <c r="F325" s="23" t="str">
        <f aca="false">IF(A325="","",IF(E325=0,"",AVERAGEIFS(Modulo!$B$2:$B$5001,Modulo!$A$2:$A$5001,"&gt;="&amp;C325,Modulo!$A$2:$A$5001,"&lt;"&amp;D325,Modulo!$D$2:$D$5001,Parametros!$B$7)))</f>
        <v/>
      </c>
      <c r="G325" s="23" t="str">
        <f aca="false">IF(A325="","",IF(E325=0,"",AVERAGEIFS(Modulo!$C$2:$C$5001,Modulo!$A$2:$A$5001,"&gt;="&amp;C325,Modulo!$A$2:$A$5001,"&lt;"&amp;D325,Modulo!$D$2:$D$5001,Parametros!$B$7)))</f>
        <v/>
      </c>
      <c r="H325" s="25" t="str">
        <f aca="false">IF(A325="","",IFERROR(COUNTIFS(Amostragem!$A$2:$A$15003,"&gt;="&amp;C325,Amostragem!$A$2:$A$15003,"&lt;"&amp;D325,Amostragem!$B$2:$B$15003,"Automático",Amostragem!$C$2:$C$15003,"Automático",Amostragem!$D$2:$D$15003,0)/COUNTIFS(Amostragem!$A$2:$A$15003,"&gt;="&amp;C325,Amostragem!$A$2:$A$15003,"&lt;"&amp;D325),0))</f>
        <v/>
      </c>
      <c r="I325" s="23" t="str">
        <f aca="false">IF(A325="","",IFERROR(AVERAGEIFS(Amostragem!$E$2:$E$15003,Amostragem!$A$2:$A$15003,"&gt;="&amp;C325,Amostragem!$A$2:$A$15003,"&lt;"&amp;D325),""))</f>
        <v/>
      </c>
      <c r="J325" s="24" t="str">
        <f aca="false">IF(A325="","",IF(B325="","Inválida: sem resultado MES",IF(E325&lt;Parametros!$B$4,"Inválida: poucos ensaios do módulo",IF(H325&lt;Parametros!$B$5,"Inválida: amostragem em manual ou em falha",IF(OR(I325="",I325&lt;Parametros!$B$6),"Inválida: usina parada ou baixa alimentação","Válida")))))</f>
        <v/>
      </c>
      <c r="K325" s="23" t="str">
        <f aca="false">IF(J325="Válida",F325-B325,"")</f>
        <v/>
      </c>
      <c r="L325" s="26" t="str">
        <f aca="false">IF(J325="Válida",K325/B325,"")</f>
        <v/>
      </c>
      <c r="M325" s="23" t="str">
        <f aca="false">IF(J325="Válida",(F325+B325)/2,"")</f>
        <v/>
      </c>
      <c r="N325" s="24" t="str">
        <f aca="false">IF(K325="","",IF(OR(K325&gt;Resumo!$B$16,K325&lt;Resumo!$B$15),"Sim","Não"))</f>
        <v/>
      </c>
      <c r="O325" s="22" t="e">
        <f aca="false">IF(A325="",NA(),A325)</f>
        <v>#N/A</v>
      </c>
      <c r="P325" s="23" t="e">
        <f aca="false">IF(A325="",NA(),B325)</f>
        <v>#N/A</v>
      </c>
      <c r="Q325" s="23" t="e">
        <f aca="false">IF(F325="",NA(),F325)</f>
        <v>#N/A</v>
      </c>
      <c r="R325" s="23" t="e">
        <f aca="false">IF(K325="",NA(),K325)</f>
        <v>#N/A</v>
      </c>
      <c r="S325" s="23" t="e">
        <f aca="false">IF(M325="",NA(),M325)</f>
        <v>#N/A</v>
      </c>
      <c r="T325" s="23" t="str">
        <f aca="false">IF(J325="Válida",B325,"")</f>
        <v/>
      </c>
      <c r="U325" s="23" t="str">
        <f aca="false">IF(J325="Válida",F325,"")</f>
        <v/>
      </c>
    </row>
    <row r="326" customFormat="false" ht="15" hidden="false" customHeight="false" outlineLevel="0" collapsed="false">
      <c r="A326" s="22" t="str">
        <f aca="false">IF(MES!A326="","",MES!A326)</f>
        <v/>
      </c>
      <c r="B326" s="23" t="str">
        <f aca="false">IF(A326="","",MES!B326)</f>
        <v/>
      </c>
      <c r="C326" s="22" t="str">
        <f aca="false">IF(A326="","",A326+Parametros!$B$3/24)</f>
        <v/>
      </c>
      <c r="D326" s="22" t="str">
        <f aca="false">IF(A326="","",C326+Parametros!$B$2/24)</f>
        <v/>
      </c>
      <c r="E326" s="24" t="str">
        <f aca="false">IF(A326="","",COUNTIFS(Modulo!$A$2:$A$5001,"&gt;="&amp;C326,Modulo!$A$2:$A$5001,"&lt;"&amp;D326,Modulo!$D$2:$D$5001,Parametros!$B$7))</f>
        <v/>
      </c>
      <c r="F326" s="23" t="str">
        <f aca="false">IF(A326="","",IF(E326=0,"",AVERAGEIFS(Modulo!$B$2:$B$5001,Modulo!$A$2:$A$5001,"&gt;="&amp;C326,Modulo!$A$2:$A$5001,"&lt;"&amp;D326,Modulo!$D$2:$D$5001,Parametros!$B$7)))</f>
        <v/>
      </c>
      <c r="G326" s="23" t="str">
        <f aca="false">IF(A326="","",IF(E326=0,"",AVERAGEIFS(Modulo!$C$2:$C$5001,Modulo!$A$2:$A$5001,"&gt;="&amp;C326,Modulo!$A$2:$A$5001,"&lt;"&amp;D326,Modulo!$D$2:$D$5001,Parametros!$B$7)))</f>
        <v/>
      </c>
      <c r="H326" s="25" t="str">
        <f aca="false">IF(A326="","",IFERROR(COUNTIFS(Amostragem!$A$2:$A$15003,"&gt;="&amp;C326,Amostragem!$A$2:$A$15003,"&lt;"&amp;D326,Amostragem!$B$2:$B$15003,"Automático",Amostragem!$C$2:$C$15003,"Automático",Amostragem!$D$2:$D$15003,0)/COUNTIFS(Amostragem!$A$2:$A$15003,"&gt;="&amp;C326,Amostragem!$A$2:$A$15003,"&lt;"&amp;D326),0))</f>
        <v/>
      </c>
      <c r="I326" s="23" t="str">
        <f aca="false">IF(A326="","",IFERROR(AVERAGEIFS(Amostragem!$E$2:$E$15003,Amostragem!$A$2:$A$15003,"&gt;="&amp;C326,Amostragem!$A$2:$A$15003,"&lt;"&amp;D326),""))</f>
        <v/>
      </c>
      <c r="J326" s="24" t="str">
        <f aca="false">IF(A326="","",IF(B326="","Inválida: sem resultado MES",IF(E326&lt;Parametros!$B$4,"Inválida: poucos ensaios do módulo",IF(H326&lt;Parametros!$B$5,"Inválida: amostragem em manual ou em falha",IF(OR(I326="",I326&lt;Parametros!$B$6),"Inválida: usina parada ou baixa alimentação","Válida")))))</f>
        <v/>
      </c>
      <c r="K326" s="23" t="str">
        <f aca="false">IF(J326="Válida",F326-B326,"")</f>
        <v/>
      </c>
      <c r="L326" s="26" t="str">
        <f aca="false">IF(J326="Válida",K326/B326,"")</f>
        <v/>
      </c>
      <c r="M326" s="23" t="str">
        <f aca="false">IF(J326="Válida",(F326+B326)/2,"")</f>
        <v/>
      </c>
      <c r="N326" s="24" t="str">
        <f aca="false">IF(K326="","",IF(OR(K326&gt;Resumo!$B$16,K326&lt;Resumo!$B$15),"Sim","Não"))</f>
        <v/>
      </c>
      <c r="O326" s="22" t="e">
        <f aca="false">IF(A326="",NA(),A326)</f>
        <v>#N/A</v>
      </c>
      <c r="P326" s="23" t="e">
        <f aca="false">IF(A326="",NA(),B326)</f>
        <v>#N/A</v>
      </c>
      <c r="Q326" s="23" t="e">
        <f aca="false">IF(F326="",NA(),F326)</f>
        <v>#N/A</v>
      </c>
      <c r="R326" s="23" t="e">
        <f aca="false">IF(K326="",NA(),K326)</f>
        <v>#N/A</v>
      </c>
      <c r="S326" s="23" t="e">
        <f aca="false">IF(M326="",NA(),M326)</f>
        <v>#N/A</v>
      </c>
      <c r="T326" s="23" t="str">
        <f aca="false">IF(J326="Válida",B326,"")</f>
        <v/>
      </c>
      <c r="U326" s="23" t="str">
        <f aca="false">IF(J326="Válida",F326,"")</f>
        <v/>
      </c>
    </row>
    <row r="327" customFormat="false" ht="15" hidden="false" customHeight="false" outlineLevel="0" collapsed="false">
      <c r="A327" s="22" t="str">
        <f aca="false">IF(MES!A327="","",MES!A327)</f>
        <v/>
      </c>
      <c r="B327" s="23" t="str">
        <f aca="false">IF(A327="","",MES!B327)</f>
        <v/>
      </c>
      <c r="C327" s="22" t="str">
        <f aca="false">IF(A327="","",A327+Parametros!$B$3/24)</f>
        <v/>
      </c>
      <c r="D327" s="22" t="str">
        <f aca="false">IF(A327="","",C327+Parametros!$B$2/24)</f>
        <v/>
      </c>
      <c r="E327" s="24" t="str">
        <f aca="false">IF(A327="","",COUNTIFS(Modulo!$A$2:$A$5001,"&gt;="&amp;C327,Modulo!$A$2:$A$5001,"&lt;"&amp;D327,Modulo!$D$2:$D$5001,Parametros!$B$7))</f>
        <v/>
      </c>
      <c r="F327" s="23" t="str">
        <f aca="false">IF(A327="","",IF(E327=0,"",AVERAGEIFS(Modulo!$B$2:$B$5001,Modulo!$A$2:$A$5001,"&gt;="&amp;C327,Modulo!$A$2:$A$5001,"&lt;"&amp;D327,Modulo!$D$2:$D$5001,Parametros!$B$7)))</f>
        <v/>
      </c>
      <c r="G327" s="23" t="str">
        <f aca="false">IF(A327="","",IF(E327=0,"",AVERAGEIFS(Modulo!$C$2:$C$5001,Modulo!$A$2:$A$5001,"&gt;="&amp;C327,Modulo!$A$2:$A$5001,"&lt;"&amp;D327,Modulo!$D$2:$D$5001,Parametros!$B$7)))</f>
        <v/>
      </c>
      <c r="H327" s="25" t="str">
        <f aca="false">IF(A327="","",IFERROR(COUNTIFS(Amostragem!$A$2:$A$15003,"&gt;="&amp;C327,Amostragem!$A$2:$A$15003,"&lt;"&amp;D327,Amostragem!$B$2:$B$15003,"Automático",Amostragem!$C$2:$C$15003,"Automático",Amostragem!$D$2:$D$15003,0)/COUNTIFS(Amostragem!$A$2:$A$15003,"&gt;="&amp;C327,Amostragem!$A$2:$A$15003,"&lt;"&amp;D327),0))</f>
        <v/>
      </c>
      <c r="I327" s="23" t="str">
        <f aca="false">IF(A327="","",IFERROR(AVERAGEIFS(Amostragem!$E$2:$E$15003,Amostragem!$A$2:$A$15003,"&gt;="&amp;C327,Amostragem!$A$2:$A$15003,"&lt;"&amp;D327),""))</f>
        <v/>
      </c>
      <c r="J327" s="24" t="str">
        <f aca="false">IF(A327="","",IF(B327="","Inválida: sem resultado MES",IF(E327&lt;Parametros!$B$4,"Inválida: poucos ensaios do módulo",IF(H327&lt;Parametros!$B$5,"Inválida: amostragem em manual ou em falha",IF(OR(I327="",I327&lt;Parametros!$B$6),"Inválida: usina parada ou baixa alimentação","Válida")))))</f>
        <v/>
      </c>
      <c r="K327" s="23" t="str">
        <f aca="false">IF(J327="Válida",F327-B327,"")</f>
        <v/>
      </c>
      <c r="L327" s="26" t="str">
        <f aca="false">IF(J327="Válida",K327/B327,"")</f>
        <v/>
      </c>
      <c r="M327" s="23" t="str">
        <f aca="false">IF(J327="Válida",(F327+B327)/2,"")</f>
        <v/>
      </c>
      <c r="N327" s="24" t="str">
        <f aca="false">IF(K327="","",IF(OR(K327&gt;Resumo!$B$16,K327&lt;Resumo!$B$15),"Sim","Não"))</f>
        <v/>
      </c>
      <c r="O327" s="22" t="e">
        <f aca="false">IF(A327="",NA(),A327)</f>
        <v>#N/A</v>
      </c>
      <c r="P327" s="23" t="e">
        <f aca="false">IF(A327="",NA(),B327)</f>
        <v>#N/A</v>
      </c>
      <c r="Q327" s="23" t="e">
        <f aca="false">IF(F327="",NA(),F327)</f>
        <v>#N/A</v>
      </c>
      <c r="R327" s="23" t="e">
        <f aca="false">IF(K327="",NA(),K327)</f>
        <v>#N/A</v>
      </c>
      <c r="S327" s="23" t="e">
        <f aca="false">IF(M327="",NA(),M327)</f>
        <v>#N/A</v>
      </c>
      <c r="T327" s="23" t="str">
        <f aca="false">IF(J327="Válida",B327,"")</f>
        <v/>
      </c>
      <c r="U327" s="23" t="str">
        <f aca="false">IF(J327="Válida",F327,"")</f>
        <v/>
      </c>
    </row>
    <row r="328" customFormat="false" ht="15" hidden="false" customHeight="false" outlineLevel="0" collapsed="false">
      <c r="A328" s="22" t="str">
        <f aca="false">IF(MES!A328="","",MES!A328)</f>
        <v/>
      </c>
      <c r="B328" s="23" t="str">
        <f aca="false">IF(A328="","",MES!B328)</f>
        <v/>
      </c>
      <c r="C328" s="22" t="str">
        <f aca="false">IF(A328="","",A328+Parametros!$B$3/24)</f>
        <v/>
      </c>
      <c r="D328" s="22" t="str">
        <f aca="false">IF(A328="","",C328+Parametros!$B$2/24)</f>
        <v/>
      </c>
      <c r="E328" s="24" t="str">
        <f aca="false">IF(A328="","",COUNTIFS(Modulo!$A$2:$A$5001,"&gt;="&amp;C328,Modulo!$A$2:$A$5001,"&lt;"&amp;D328,Modulo!$D$2:$D$5001,Parametros!$B$7))</f>
        <v/>
      </c>
      <c r="F328" s="23" t="str">
        <f aca="false">IF(A328="","",IF(E328=0,"",AVERAGEIFS(Modulo!$B$2:$B$5001,Modulo!$A$2:$A$5001,"&gt;="&amp;C328,Modulo!$A$2:$A$5001,"&lt;"&amp;D328,Modulo!$D$2:$D$5001,Parametros!$B$7)))</f>
        <v/>
      </c>
      <c r="G328" s="23" t="str">
        <f aca="false">IF(A328="","",IF(E328=0,"",AVERAGEIFS(Modulo!$C$2:$C$5001,Modulo!$A$2:$A$5001,"&gt;="&amp;C328,Modulo!$A$2:$A$5001,"&lt;"&amp;D328,Modulo!$D$2:$D$5001,Parametros!$B$7)))</f>
        <v/>
      </c>
      <c r="H328" s="25" t="str">
        <f aca="false">IF(A328="","",IFERROR(COUNTIFS(Amostragem!$A$2:$A$15003,"&gt;="&amp;C328,Amostragem!$A$2:$A$15003,"&lt;"&amp;D328,Amostragem!$B$2:$B$15003,"Automático",Amostragem!$C$2:$C$15003,"Automático",Amostragem!$D$2:$D$15003,0)/COUNTIFS(Amostragem!$A$2:$A$15003,"&gt;="&amp;C328,Amostragem!$A$2:$A$15003,"&lt;"&amp;D328),0))</f>
        <v/>
      </c>
      <c r="I328" s="23" t="str">
        <f aca="false">IF(A328="","",IFERROR(AVERAGEIFS(Amostragem!$E$2:$E$15003,Amostragem!$A$2:$A$15003,"&gt;="&amp;C328,Amostragem!$A$2:$A$15003,"&lt;"&amp;D328),""))</f>
        <v/>
      </c>
      <c r="J328" s="24" t="str">
        <f aca="false">IF(A328="","",IF(B328="","Inválida: sem resultado MES",IF(E328&lt;Parametros!$B$4,"Inválida: poucos ensaios do módulo",IF(H328&lt;Parametros!$B$5,"Inválida: amostragem em manual ou em falha",IF(OR(I328="",I328&lt;Parametros!$B$6),"Inválida: usina parada ou baixa alimentação","Válida")))))</f>
        <v/>
      </c>
      <c r="K328" s="23" t="str">
        <f aca="false">IF(J328="Válida",F328-B328,"")</f>
        <v/>
      </c>
      <c r="L328" s="26" t="str">
        <f aca="false">IF(J328="Válida",K328/B328,"")</f>
        <v/>
      </c>
      <c r="M328" s="23" t="str">
        <f aca="false">IF(J328="Válida",(F328+B328)/2,"")</f>
        <v/>
      </c>
      <c r="N328" s="24" t="str">
        <f aca="false">IF(K328="","",IF(OR(K328&gt;Resumo!$B$16,K328&lt;Resumo!$B$15),"Sim","Não"))</f>
        <v/>
      </c>
      <c r="O328" s="22" t="e">
        <f aca="false">IF(A328="",NA(),A328)</f>
        <v>#N/A</v>
      </c>
      <c r="P328" s="23" t="e">
        <f aca="false">IF(A328="",NA(),B328)</f>
        <v>#N/A</v>
      </c>
      <c r="Q328" s="23" t="e">
        <f aca="false">IF(F328="",NA(),F328)</f>
        <v>#N/A</v>
      </c>
      <c r="R328" s="23" t="e">
        <f aca="false">IF(K328="",NA(),K328)</f>
        <v>#N/A</v>
      </c>
      <c r="S328" s="23" t="e">
        <f aca="false">IF(M328="",NA(),M328)</f>
        <v>#N/A</v>
      </c>
      <c r="T328" s="23" t="str">
        <f aca="false">IF(J328="Válida",B328,"")</f>
        <v/>
      </c>
      <c r="U328" s="23" t="str">
        <f aca="false">IF(J328="Válida",F328,"")</f>
        <v/>
      </c>
    </row>
    <row r="329" customFormat="false" ht="15" hidden="false" customHeight="false" outlineLevel="0" collapsed="false">
      <c r="A329" s="22" t="str">
        <f aca="false">IF(MES!A329="","",MES!A329)</f>
        <v/>
      </c>
      <c r="B329" s="23" t="str">
        <f aca="false">IF(A329="","",MES!B329)</f>
        <v/>
      </c>
      <c r="C329" s="22" t="str">
        <f aca="false">IF(A329="","",A329+Parametros!$B$3/24)</f>
        <v/>
      </c>
      <c r="D329" s="22" t="str">
        <f aca="false">IF(A329="","",C329+Parametros!$B$2/24)</f>
        <v/>
      </c>
      <c r="E329" s="24" t="str">
        <f aca="false">IF(A329="","",COUNTIFS(Modulo!$A$2:$A$5001,"&gt;="&amp;C329,Modulo!$A$2:$A$5001,"&lt;"&amp;D329,Modulo!$D$2:$D$5001,Parametros!$B$7))</f>
        <v/>
      </c>
      <c r="F329" s="23" t="str">
        <f aca="false">IF(A329="","",IF(E329=0,"",AVERAGEIFS(Modulo!$B$2:$B$5001,Modulo!$A$2:$A$5001,"&gt;="&amp;C329,Modulo!$A$2:$A$5001,"&lt;"&amp;D329,Modulo!$D$2:$D$5001,Parametros!$B$7)))</f>
        <v/>
      </c>
      <c r="G329" s="23" t="str">
        <f aca="false">IF(A329="","",IF(E329=0,"",AVERAGEIFS(Modulo!$C$2:$C$5001,Modulo!$A$2:$A$5001,"&gt;="&amp;C329,Modulo!$A$2:$A$5001,"&lt;"&amp;D329,Modulo!$D$2:$D$5001,Parametros!$B$7)))</f>
        <v/>
      </c>
      <c r="H329" s="25" t="str">
        <f aca="false">IF(A329="","",IFERROR(COUNTIFS(Amostragem!$A$2:$A$15003,"&gt;="&amp;C329,Amostragem!$A$2:$A$15003,"&lt;"&amp;D329,Amostragem!$B$2:$B$15003,"Automático",Amostragem!$C$2:$C$15003,"Automático",Amostragem!$D$2:$D$15003,0)/COUNTIFS(Amostragem!$A$2:$A$15003,"&gt;="&amp;C329,Amostragem!$A$2:$A$15003,"&lt;"&amp;D329),0))</f>
        <v/>
      </c>
      <c r="I329" s="23" t="str">
        <f aca="false">IF(A329="","",IFERROR(AVERAGEIFS(Amostragem!$E$2:$E$15003,Amostragem!$A$2:$A$15003,"&gt;="&amp;C329,Amostragem!$A$2:$A$15003,"&lt;"&amp;D329),""))</f>
        <v/>
      </c>
      <c r="J329" s="24" t="str">
        <f aca="false">IF(A329="","",IF(B329="","Inválida: sem resultado MES",IF(E329&lt;Parametros!$B$4,"Inválida: poucos ensaios do módulo",IF(H329&lt;Parametros!$B$5,"Inválida: amostragem em manual ou em falha",IF(OR(I329="",I329&lt;Parametros!$B$6),"Inválida: usina parada ou baixa alimentação","Válida")))))</f>
        <v/>
      </c>
      <c r="K329" s="23" t="str">
        <f aca="false">IF(J329="Válida",F329-B329,"")</f>
        <v/>
      </c>
      <c r="L329" s="26" t="str">
        <f aca="false">IF(J329="Válida",K329/B329,"")</f>
        <v/>
      </c>
      <c r="M329" s="23" t="str">
        <f aca="false">IF(J329="Válida",(F329+B329)/2,"")</f>
        <v/>
      </c>
      <c r="N329" s="24" t="str">
        <f aca="false">IF(K329="","",IF(OR(K329&gt;Resumo!$B$16,K329&lt;Resumo!$B$15),"Sim","Não"))</f>
        <v/>
      </c>
      <c r="O329" s="22" t="e">
        <f aca="false">IF(A329="",NA(),A329)</f>
        <v>#N/A</v>
      </c>
      <c r="P329" s="23" t="e">
        <f aca="false">IF(A329="",NA(),B329)</f>
        <v>#N/A</v>
      </c>
      <c r="Q329" s="23" t="e">
        <f aca="false">IF(F329="",NA(),F329)</f>
        <v>#N/A</v>
      </c>
      <c r="R329" s="23" t="e">
        <f aca="false">IF(K329="",NA(),K329)</f>
        <v>#N/A</v>
      </c>
      <c r="S329" s="23" t="e">
        <f aca="false">IF(M329="",NA(),M329)</f>
        <v>#N/A</v>
      </c>
      <c r="T329" s="23" t="str">
        <f aca="false">IF(J329="Válida",B329,"")</f>
        <v/>
      </c>
      <c r="U329" s="23" t="str">
        <f aca="false">IF(J329="Válida",F329,"")</f>
        <v/>
      </c>
    </row>
    <row r="330" customFormat="false" ht="15" hidden="false" customHeight="false" outlineLevel="0" collapsed="false">
      <c r="A330" s="22" t="str">
        <f aca="false">IF(MES!A330="","",MES!A330)</f>
        <v/>
      </c>
      <c r="B330" s="23" t="str">
        <f aca="false">IF(A330="","",MES!B330)</f>
        <v/>
      </c>
      <c r="C330" s="22" t="str">
        <f aca="false">IF(A330="","",A330+Parametros!$B$3/24)</f>
        <v/>
      </c>
      <c r="D330" s="22" t="str">
        <f aca="false">IF(A330="","",C330+Parametros!$B$2/24)</f>
        <v/>
      </c>
      <c r="E330" s="24" t="str">
        <f aca="false">IF(A330="","",COUNTIFS(Modulo!$A$2:$A$5001,"&gt;="&amp;C330,Modulo!$A$2:$A$5001,"&lt;"&amp;D330,Modulo!$D$2:$D$5001,Parametros!$B$7))</f>
        <v/>
      </c>
      <c r="F330" s="23" t="str">
        <f aca="false">IF(A330="","",IF(E330=0,"",AVERAGEIFS(Modulo!$B$2:$B$5001,Modulo!$A$2:$A$5001,"&gt;="&amp;C330,Modulo!$A$2:$A$5001,"&lt;"&amp;D330,Modulo!$D$2:$D$5001,Parametros!$B$7)))</f>
        <v/>
      </c>
      <c r="G330" s="23" t="str">
        <f aca="false">IF(A330="","",IF(E330=0,"",AVERAGEIFS(Modulo!$C$2:$C$5001,Modulo!$A$2:$A$5001,"&gt;="&amp;C330,Modulo!$A$2:$A$5001,"&lt;"&amp;D330,Modulo!$D$2:$D$5001,Parametros!$B$7)))</f>
        <v/>
      </c>
      <c r="H330" s="25" t="str">
        <f aca="false">IF(A330="","",IFERROR(COUNTIFS(Amostragem!$A$2:$A$15003,"&gt;="&amp;C330,Amostragem!$A$2:$A$15003,"&lt;"&amp;D330,Amostragem!$B$2:$B$15003,"Automático",Amostragem!$C$2:$C$15003,"Automático",Amostragem!$D$2:$D$15003,0)/COUNTIFS(Amostragem!$A$2:$A$15003,"&gt;="&amp;C330,Amostragem!$A$2:$A$15003,"&lt;"&amp;D330),0))</f>
        <v/>
      </c>
      <c r="I330" s="23" t="str">
        <f aca="false">IF(A330="","",IFERROR(AVERAGEIFS(Amostragem!$E$2:$E$15003,Amostragem!$A$2:$A$15003,"&gt;="&amp;C330,Amostragem!$A$2:$A$15003,"&lt;"&amp;D330),""))</f>
        <v/>
      </c>
      <c r="J330" s="24" t="str">
        <f aca="false">IF(A330="","",IF(B330="","Inválida: sem resultado MES",IF(E330&lt;Parametros!$B$4,"Inválida: poucos ensaios do módulo",IF(H330&lt;Parametros!$B$5,"Inválida: amostragem em manual ou em falha",IF(OR(I330="",I330&lt;Parametros!$B$6),"Inválida: usina parada ou baixa alimentação","Válida")))))</f>
        <v/>
      </c>
      <c r="K330" s="23" t="str">
        <f aca="false">IF(J330="Válida",F330-B330,"")</f>
        <v/>
      </c>
      <c r="L330" s="26" t="str">
        <f aca="false">IF(J330="Válida",K330/B330,"")</f>
        <v/>
      </c>
      <c r="M330" s="23" t="str">
        <f aca="false">IF(J330="Válida",(F330+B330)/2,"")</f>
        <v/>
      </c>
      <c r="N330" s="24" t="str">
        <f aca="false">IF(K330="","",IF(OR(K330&gt;Resumo!$B$16,K330&lt;Resumo!$B$15),"Sim","Não"))</f>
        <v/>
      </c>
      <c r="O330" s="22" t="e">
        <f aca="false">IF(A330="",NA(),A330)</f>
        <v>#N/A</v>
      </c>
      <c r="P330" s="23" t="e">
        <f aca="false">IF(A330="",NA(),B330)</f>
        <v>#N/A</v>
      </c>
      <c r="Q330" s="23" t="e">
        <f aca="false">IF(F330="",NA(),F330)</f>
        <v>#N/A</v>
      </c>
      <c r="R330" s="23" t="e">
        <f aca="false">IF(K330="",NA(),K330)</f>
        <v>#N/A</v>
      </c>
      <c r="S330" s="23" t="e">
        <f aca="false">IF(M330="",NA(),M330)</f>
        <v>#N/A</v>
      </c>
      <c r="T330" s="23" t="str">
        <f aca="false">IF(J330="Válida",B330,"")</f>
        <v/>
      </c>
      <c r="U330" s="23" t="str">
        <f aca="false">IF(J330="Válida",F330,"")</f>
        <v/>
      </c>
    </row>
    <row r="331" customFormat="false" ht="15" hidden="false" customHeight="false" outlineLevel="0" collapsed="false">
      <c r="A331" s="22" t="str">
        <f aca="false">IF(MES!A331="","",MES!A331)</f>
        <v/>
      </c>
      <c r="B331" s="23" t="str">
        <f aca="false">IF(A331="","",MES!B331)</f>
        <v/>
      </c>
      <c r="C331" s="22" t="str">
        <f aca="false">IF(A331="","",A331+Parametros!$B$3/24)</f>
        <v/>
      </c>
      <c r="D331" s="22" t="str">
        <f aca="false">IF(A331="","",C331+Parametros!$B$2/24)</f>
        <v/>
      </c>
      <c r="E331" s="24" t="str">
        <f aca="false">IF(A331="","",COUNTIFS(Modulo!$A$2:$A$5001,"&gt;="&amp;C331,Modulo!$A$2:$A$5001,"&lt;"&amp;D331,Modulo!$D$2:$D$5001,Parametros!$B$7))</f>
        <v/>
      </c>
      <c r="F331" s="23" t="str">
        <f aca="false">IF(A331="","",IF(E331=0,"",AVERAGEIFS(Modulo!$B$2:$B$5001,Modulo!$A$2:$A$5001,"&gt;="&amp;C331,Modulo!$A$2:$A$5001,"&lt;"&amp;D331,Modulo!$D$2:$D$5001,Parametros!$B$7)))</f>
        <v/>
      </c>
      <c r="G331" s="23" t="str">
        <f aca="false">IF(A331="","",IF(E331=0,"",AVERAGEIFS(Modulo!$C$2:$C$5001,Modulo!$A$2:$A$5001,"&gt;="&amp;C331,Modulo!$A$2:$A$5001,"&lt;"&amp;D331,Modulo!$D$2:$D$5001,Parametros!$B$7)))</f>
        <v/>
      </c>
      <c r="H331" s="25" t="str">
        <f aca="false">IF(A331="","",IFERROR(COUNTIFS(Amostragem!$A$2:$A$15003,"&gt;="&amp;C331,Amostragem!$A$2:$A$15003,"&lt;"&amp;D331,Amostragem!$B$2:$B$15003,"Automático",Amostragem!$C$2:$C$15003,"Automático",Amostragem!$D$2:$D$15003,0)/COUNTIFS(Amostragem!$A$2:$A$15003,"&gt;="&amp;C331,Amostragem!$A$2:$A$15003,"&lt;"&amp;D331),0))</f>
        <v/>
      </c>
      <c r="I331" s="23" t="str">
        <f aca="false">IF(A331="","",IFERROR(AVERAGEIFS(Amostragem!$E$2:$E$15003,Amostragem!$A$2:$A$15003,"&gt;="&amp;C331,Amostragem!$A$2:$A$15003,"&lt;"&amp;D331),""))</f>
        <v/>
      </c>
      <c r="J331" s="24" t="str">
        <f aca="false">IF(A331="","",IF(B331="","Inválida: sem resultado MES",IF(E331&lt;Parametros!$B$4,"Inválida: poucos ensaios do módulo",IF(H331&lt;Parametros!$B$5,"Inválida: amostragem em manual ou em falha",IF(OR(I331="",I331&lt;Parametros!$B$6),"Inválida: usina parada ou baixa alimentação","Válida")))))</f>
        <v/>
      </c>
      <c r="K331" s="23" t="str">
        <f aca="false">IF(J331="Válida",F331-B331,"")</f>
        <v/>
      </c>
      <c r="L331" s="26" t="str">
        <f aca="false">IF(J331="Válida",K331/B331,"")</f>
        <v/>
      </c>
      <c r="M331" s="23" t="str">
        <f aca="false">IF(J331="Válida",(F331+B331)/2,"")</f>
        <v/>
      </c>
      <c r="N331" s="24" t="str">
        <f aca="false">IF(K331="","",IF(OR(K331&gt;Resumo!$B$16,K331&lt;Resumo!$B$15),"Sim","Não"))</f>
        <v/>
      </c>
      <c r="O331" s="22" t="e">
        <f aca="false">IF(A331="",NA(),A331)</f>
        <v>#N/A</v>
      </c>
      <c r="P331" s="23" t="e">
        <f aca="false">IF(A331="",NA(),B331)</f>
        <v>#N/A</v>
      </c>
      <c r="Q331" s="23" t="e">
        <f aca="false">IF(F331="",NA(),F331)</f>
        <v>#N/A</v>
      </c>
      <c r="R331" s="23" t="e">
        <f aca="false">IF(K331="",NA(),K331)</f>
        <v>#N/A</v>
      </c>
      <c r="S331" s="23" t="e">
        <f aca="false">IF(M331="",NA(),M331)</f>
        <v>#N/A</v>
      </c>
      <c r="T331" s="23" t="str">
        <f aca="false">IF(J331="Válida",B331,"")</f>
        <v/>
      </c>
      <c r="U331" s="23" t="str">
        <f aca="false">IF(J331="Válida",F331,"")</f>
        <v/>
      </c>
    </row>
    <row r="332" customFormat="false" ht="15" hidden="false" customHeight="false" outlineLevel="0" collapsed="false">
      <c r="A332" s="22" t="str">
        <f aca="false">IF(MES!A332="","",MES!A332)</f>
        <v/>
      </c>
      <c r="B332" s="23" t="str">
        <f aca="false">IF(A332="","",MES!B332)</f>
        <v/>
      </c>
      <c r="C332" s="22" t="str">
        <f aca="false">IF(A332="","",A332+Parametros!$B$3/24)</f>
        <v/>
      </c>
      <c r="D332" s="22" t="str">
        <f aca="false">IF(A332="","",C332+Parametros!$B$2/24)</f>
        <v/>
      </c>
      <c r="E332" s="24" t="str">
        <f aca="false">IF(A332="","",COUNTIFS(Modulo!$A$2:$A$5001,"&gt;="&amp;C332,Modulo!$A$2:$A$5001,"&lt;"&amp;D332,Modulo!$D$2:$D$5001,Parametros!$B$7))</f>
        <v/>
      </c>
      <c r="F332" s="23" t="str">
        <f aca="false">IF(A332="","",IF(E332=0,"",AVERAGEIFS(Modulo!$B$2:$B$5001,Modulo!$A$2:$A$5001,"&gt;="&amp;C332,Modulo!$A$2:$A$5001,"&lt;"&amp;D332,Modulo!$D$2:$D$5001,Parametros!$B$7)))</f>
        <v/>
      </c>
      <c r="G332" s="23" t="str">
        <f aca="false">IF(A332="","",IF(E332=0,"",AVERAGEIFS(Modulo!$C$2:$C$5001,Modulo!$A$2:$A$5001,"&gt;="&amp;C332,Modulo!$A$2:$A$5001,"&lt;"&amp;D332,Modulo!$D$2:$D$5001,Parametros!$B$7)))</f>
        <v/>
      </c>
      <c r="H332" s="25" t="str">
        <f aca="false">IF(A332="","",IFERROR(COUNTIFS(Amostragem!$A$2:$A$15003,"&gt;="&amp;C332,Amostragem!$A$2:$A$15003,"&lt;"&amp;D332,Amostragem!$B$2:$B$15003,"Automático",Amostragem!$C$2:$C$15003,"Automático",Amostragem!$D$2:$D$15003,0)/COUNTIFS(Amostragem!$A$2:$A$15003,"&gt;="&amp;C332,Amostragem!$A$2:$A$15003,"&lt;"&amp;D332),0))</f>
        <v/>
      </c>
      <c r="I332" s="23" t="str">
        <f aca="false">IF(A332="","",IFERROR(AVERAGEIFS(Amostragem!$E$2:$E$15003,Amostragem!$A$2:$A$15003,"&gt;="&amp;C332,Amostragem!$A$2:$A$15003,"&lt;"&amp;D332),""))</f>
        <v/>
      </c>
      <c r="J332" s="24" t="str">
        <f aca="false">IF(A332="","",IF(B332="","Inválida: sem resultado MES",IF(E332&lt;Parametros!$B$4,"Inválida: poucos ensaios do módulo",IF(H332&lt;Parametros!$B$5,"Inválida: amostragem em manual ou em falha",IF(OR(I332="",I332&lt;Parametros!$B$6),"Inválida: usina parada ou baixa alimentação","Válida")))))</f>
        <v/>
      </c>
      <c r="K332" s="23" t="str">
        <f aca="false">IF(J332="Válida",F332-B332,"")</f>
        <v/>
      </c>
      <c r="L332" s="26" t="str">
        <f aca="false">IF(J332="Válida",K332/B332,"")</f>
        <v/>
      </c>
      <c r="M332" s="23" t="str">
        <f aca="false">IF(J332="Válida",(F332+B332)/2,"")</f>
        <v/>
      </c>
      <c r="N332" s="24" t="str">
        <f aca="false">IF(K332="","",IF(OR(K332&gt;Resumo!$B$16,K332&lt;Resumo!$B$15),"Sim","Não"))</f>
        <v/>
      </c>
      <c r="O332" s="22" t="e">
        <f aca="false">IF(A332="",NA(),A332)</f>
        <v>#N/A</v>
      </c>
      <c r="P332" s="23" t="e">
        <f aca="false">IF(A332="",NA(),B332)</f>
        <v>#N/A</v>
      </c>
      <c r="Q332" s="23" t="e">
        <f aca="false">IF(F332="",NA(),F332)</f>
        <v>#N/A</v>
      </c>
      <c r="R332" s="23" t="e">
        <f aca="false">IF(K332="",NA(),K332)</f>
        <v>#N/A</v>
      </c>
      <c r="S332" s="23" t="e">
        <f aca="false">IF(M332="",NA(),M332)</f>
        <v>#N/A</v>
      </c>
      <c r="T332" s="23" t="str">
        <f aca="false">IF(J332="Válida",B332,"")</f>
        <v/>
      </c>
      <c r="U332" s="23" t="str">
        <f aca="false">IF(J332="Válida",F332,"")</f>
        <v/>
      </c>
    </row>
    <row r="333" customFormat="false" ht="15" hidden="false" customHeight="false" outlineLevel="0" collapsed="false">
      <c r="A333" s="22" t="str">
        <f aca="false">IF(MES!A333="","",MES!A333)</f>
        <v/>
      </c>
      <c r="B333" s="23" t="str">
        <f aca="false">IF(A333="","",MES!B333)</f>
        <v/>
      </c>
      <c r="C333" s="22" t="str">
        <f aca="false">IF(A333="","",A333+Parametros!$B$3/24)</f>
        <v/>
      </c>
      <c r="D333" s="22" t="str">
        <f aca="false">IF(A333="","",C333+Parametros!$B$2/24)</f>
        <v/>
      </c>
      <c r="E333" s="24" t="str">
        <f aca="false">IF(A333="","",COUNTIFS(Modulo!$A$2:$A$5001,"&gt;="&amp;C333,Modulo!$A$2:$A$5001,"&lt;"&amp;D333,Modulo!$D$2:$D$5001,Parametros!$B$7))</f>
        <v/>
      </c>
      <c r="F333" s="23" t="str">
        <f aca="false">IF(A333="","",IF(E333=0,"",AVERAGEIFS(Modulo!$B$2:$B$5001,Modulo!$A$2:$A$5001,"&gt;="&amp;C333,Modulo!$A$2:$A$5001,"&lt;"&amp;D333,Modulo!$D$2:$D$5001,Parametros!$B$7)))</f>
        <v/>
      </c>
      <c r="G333" s="23" t="str">
        <f aca="false">IF(A333="","",IF(E333=0,"",AVERAGEIFS(Modulo!$C$2:$C$5001,Modulo!$A$2:$A$5001,"&gt;="&amp;C333,Modulo!$A$2:$A$5001,"&lt;"&amp;D333,Modulo!$D$2:$D$5001,Parametros!$B$7)))</f>
        <v/>
      </c>
      <c r="H333" s="25" t="str">
        <f aca="false">IF(A333="","",IFERROR(COUNTIFS(Amostragem!$A$2:$A$15003,"&gt;="&amp;C333,Amostragem!$A$2:$A$15003,"&lt;"&amp;D333,Amostragem!$B$2:$B$15003,"Automático",Amostragem!$C$2:$C$15003,"Automático",Amostragem!$D$2:$D$15003,0)/COUNTIFS(Amostragem!$A$2:$A$15003,"&gt;="&amp;C333,Amostragem!$A$2:$A$15003,"&lt;"&amp;D333),0))</f>
        <v/>
      </c>
      <c r="I333" s="23" t="str">
        <f aca="false">IF(A333="","",IFERROR(AVERAGEIFS(Amostragem!$E$2:$E$15003,Amostragem!$A$2:$A$15003,"&gt;="&amp;C333,Amostragem!$A$2:$A$15003,"&lt;"&amp;D333),""))</f>
        <v/>
      </c>
      <c r="J333" s="24" t="str">
        <f aca="false">IF(A333="","",IF(B333="","Inválida: sem resultado MES",IF(E333&lt;Parametros!$B$4,"Inválida: poucos ensaios do módulo",IF(H333&lt;Parametros!$B$5,"Inválida: amostragem em manual ou em falha",IF(OR(I333="",I333&lt;Parametros!$B$6),"Inválida: usina parada ou baixa alimentação","Válida")))))</f>
        <v/>
      </c>
      <c r="K333" s="23" t="str">
        <f aca="false">IF(J333="Válida",F333-B333,"")</f>
        <v/>
      </c>
      <c r="L333" s="26" t="str">
        <f aca="false">IF(J333="Válida",K333/B333,"")</f>
        <v/>
      </c>
      <c r="M333" s="23" t="str">
        <f aca="false">IF(J333="Válida",(F333+B333)/2,"")</f>
        <v/>
      </c>
      <c r="N333" s="24" t="str">
        <f aca="false">IF(K333="","",IF(OR(K333&gt;Resumo!$B$16,K333&lt;Resumo!$B$15),"Sim","Não"))</f>
        <v/>
      </c>
      <c r="O333" s="22" t="e">
        <f aca="false">IF(A333="",NA(),A333)</f>
        <v>#N/A</v>
      </c>
      <c r="P333" s="23" t="e">
        <f aca="false">IF(A333="",NA(),B333)</f>
        <v>#N/A</v>
      </c>
      <c r="Q333" s="23" t="e">
        <f aca="false">IF(F333="",NA(),F333)</f>
        <v>#N/A</v>
      </c>
      <c r="R333" s="23" t="e">
        <f aca="false">IF(K333="",NA(),K333)</f>
        <v>#N/A</v>
      </c>
      <c r="S333" s="23" t="e">
        <f aca="false">IF(M333="",NA(),M333)</f>
        <v>#N/A</v>
      </c>
      <c r="T333" s="23" t="str">
        <f aca="false">IF(J333="Válida",B333,"")</f>
        <v/>
      </c>
      <c r="U333" s="23" t="str">
        <f aca="false">IF(J333="Válida",F333,"")</f>
        <v/>
      </c>
    </row>
    <row r="334" customFormat="false" ht="15" hidden="false" customHeight="false" outlineLevel="0" collapsed="false">
      <c r="A334" s="22" t="str">
        <f aca="false">IF(MES!A334="","",MES!A334)</f>
        <v/>
      </c>
      <c r="B334" s="23" t="str">
        <f aca="false">IF(A334="","",MES!B334)</f>
        <v/>
      </c>
      <c r="C334" s="22" t="str">
        <f aca="false">IF(A334="","",A334+Parametros!$B$3/24)</f>
        <v/>
      </c>
      <c r="D334" s="22" t="str">
        <f aca="false">IF(A334="","",C334+Parametros!$B$2/24)</f>
        <v/>
      </c>
      <c r="E334" s="24" t="str">
        <f aca="false">IF(A334="","",COUNTIFS(Modulo!$A$2:$A$5001,"&gt;="&amp;C334,Modulo!$A$2:$A$5001,"&lt;"&amp;D334,Modulo!$D$2:$D$5001,Parametros!$B$7))</f>
        <v/>
      </c>
      <c r="F334" s="23" t="str">
        <f aca="false">IF(A334="","",IF(E334=0,"",AVERAGEIFS(Modulo!$B$2:$B$5001,Modulo!$A$2:$A$5001,"&gt;="&amp;C334,Modulo!$A$2:$A$5001,"&lt;"&amp;D334,Modulo!$D$2:$D$5001,Parametros!$B$7)))</f>
        <v/>
      </c>
      <c r="G334" s="23" t="str">
        <f aca="false">IF(A334="","",IF(E334=0,"",AVERAGEIFS(Modulo!$C$2:$C$5001,Modulo!$A$2:$A$5001,"&gt;="&amp;C334,Modulo!$A$2:$A$5001,"&lt;"&amp;D334,Modulo!$D$2:$D$5001,Parametros!$B$7)))</f>
        <v/>
      </c>
      <c r="H334" s="25" t="str">
        <f aca="false">IF(A334="","",IFERROR(COUNTIFS(Amostragem!$A$2:$A$15003,"&gt;="&amp;C334,Amostragem!$A$2:$A$15003,"&lt;"&amp;D334,Amostragem!$B$2:$B$15003,"Automático",Amostragem!$C$2:$C$15003,"Automático",Amostragem!$D$2:$D$15003,0)/COUNTIFS(Amostragem!$A$2:$A$15003,"&gt;="&amp;C334,Amostragem!$A$2:$A$15003,"&lt;"&amp;D334),0))</f>
        <v/>
      </c>
      <c r="I334" s="23" t="str">
        <f aca="false">IF(A334="","",IFERROR(AVERAGEIFS(Amostragem!$E$2:$E$15003,Amostragem!$A$2:$A$15003,"&gt;="&amp;C334,Amostragem!$A$2:$A$15003,"&lt;"&amp;D334),""))</f>
        <v/>
      </c>
      <c r="J334" s="24" t="str">
        <f aca="false">IF(A334="","",IF(B334="","Inválida: sem resultado MES",IF(E334&lt;Parametros!$B$4,"Inválida: poucos ensaios do módulo",IF(H334&lt;Parametros!$B$5,"Inválida: amostragem em manual ou em falha",IF(OR(I334="",I334&lt;Parametros!$B$6),"Inválida: usina parada ou baixa alimentação","Válida")))))</f>
        <v/>
      </c>
      <c r="K334" s="23" t="str">
        <f aca="false">IF(J334="Válida",F334-B334,"")</f>
        <v/>
      </c>
      <c r="L334" s="26" t="str">
        <f aca="false">IF(J334="Válida",K334/B334,"")</f>
        <v/>
      </c>
      <c r="M334" s="23" t="str">
        <f aca="false">IF(J334="Válida",(F334+B334)/2,"")</f>
        <v/>
      </c>
      <c r="N334" s="24" t="str">
        <f aca="false">IF(K334="","",IF(OR(K334&gt;Resumo!$B$16,K334&lt;Resumo!$B$15),"Sim","Não"))</f>
        <v/>
      </c>
      <c r="O334" s="22" t="e">
        <f aca="false">IF(A334="",NA(),A334)</f>
        <v>#N/A</v>
      </c>
      <c r="P334" s="23" t="e">
        <f aca="false">IF(A334="",NA(),B334)</f>
        <v>#N/A</v>
      </c>
      <c r="Q334" s="23" t="e">
        <f aca="false">IF(F334="",NA(),F334)</f>
        <v>#N/A</v>
      </c>
      <c r="R334" s="23" t="e">
        <f aca="false">IF(K334="",NA(),K334)</f>
        <v>#N/A</v>
      </c>
      <c r="S334" s="23" t="e">
        <f aca="false">IF(M334="",NA(),M334)</f>
        <v>#N/A</v>
      </c>
      <c r="T334" s="23" t="str">
        <f aca="false">IF(J334="Válida",B334,"")</f>
        <v/>
      </c>
      <c r="U334" s="23" t="str">
        <f aca="false">IF(J334="Válida",F334,"")</f>
        <v/>
      </c>
    </row>
    <row r="335" customFormat="false" ht="15" hidden="false" customHeight="false" outlineLevel="0" collapsed="false">
      <c r="A335" s="22" t="str">
        <f aca="false">IF(MES!A335="","",MES!A335)</f>
        <v/>
      </c>
      <c r="B335" s="23" t="str">
        <f aca="false">IF(A335="","",MES!B335)</f>
        <v/>
      </c>
      <c r="C335" s="22" t="str">
        <f aca="false">IF(A335="","",A335+Parametros!$B$3/24)</f>
        <v/>
      </c>
      <c r="D335" s="22" t="str">
        <f aca="false">IF(A335="","",C335+Parametros!$B$2/24)</f>
        <v/>
      </c>
      <c r="E335" s="24" t="str">
        <f aca="false">IF(A335="","",COUNTIFS(Modulo!$A$2:$A$5001,"&gt;="&amp;C335,Modulo!$A$2:$A$5001,"&lt;"&amp;D335,Modulo!$D$2:$D$5001,Parametros!$B$7))</f>
        <v/>
      </c>
      <c r="F335" s="23" t="str">
        <f aca="false">IF(A335="","",IF(E335=0,"",AVERAGEIFS(Modulo!$B$2:$B$5001,Modulo!$A$2:$A$5001,"&gt;="&amp;C335,Modulo!$A$2:$A$5001,"&lt;"&amp;D335,Modulo!$D$2:$D$5001,Parametros!$B$7)))</f>
        <v/>
      </c>
      <c r="G335" s="23" t="str">
        <f aca="false">IF(A335="","",IF(E335=0,"",AVERAGEIFS(Modulo!$C$2:$C$5001,Modulo!$A$2:$A$5001,"&gt;="&amp;C335,Modulo!$A$2:$A$5001,"&lt;"&amp;D335,Modulo!$D$2:$D$5001,Parametros!$B$7)))</f>
        <v/>
      </c>
      <c r="H335" s="25" t="str">
        <f aca="false">IF(A335="","",IFERROR(COUNTIFS(Amostragem!$A$2:$A$15003,"&gt;="&amp;C335,Amostragem!$A$2:$A$15003,"&lt;"&amp;D335,Amostragem!$B$2:$B$15003,"Automático",Amostragem!$C$2:$C$15003,"Automático",Amostragem!$D$2:$D$15003,0)/COUNTIFS(Amostragem!$A$2:$A$15003,"&gt;="&amp;C335,Amostragem!$A$2:$A$15003,"&lt;"&amp;D335),0))</f>
        <v/>
      </c>
      <c r="I335" s="23" t="str">
        <f aca="false">IF(A335="","",IFERROR(AVERAGEIFS(Amostragem!$E$2:$E$15003,Amostragem!$A$2:$A$15003,"&gt;="&amp;C335,Amostragem!$A$2:$A$15003,"&lt;"&amp;D335),""))</f>
        <v/>
      </c>
      <c r="J335" s="24" t="str">
        <f aca="false">IF(A335="","",IF(B335="","Inválida: sem resultado MES",IF(E335&lt;Parametros!$B$4,"Inválida: poucos ensaios do módulo",IF(H335&lt;Parametros!$B$5,"Inválida: amostragem em manual ou em falha",IF(OR(I335="",I335&lt;Parametros!$B$6),"Inválida: usina parada ou baixa alimentação","Válida")))))</f>
        <v/>
      </c>
      <c r="K335" s="23" t="str">
        <f aca="false">IF(J335="Válida",F335-B335,"")</f>
        <v/>
      </c>
      <c r="L335" s="26" t="str">
        <f aca="false">IF(J335="Válida",K335/B335,"")</f>
        <v/>
      </c>
      <c r="M335" s="23" t="str">
        <f aca="false">IF(J335="Válida",(F335+B335)/2,"")</f>
        <v/>
      </c>
      <c r="N335" s="24" t="str">
        <f aca="false">IF(K335="","",IF(OR(K335&gt;Resumo!$B$16,K335&lt;Resumo!$B$15),"Sim","Não"))</f>
        <v/>
      </c>
      <c r="O335" s="22" t="e">
        <f aca="false">IF(A335="",NA(),A335)</f>
        <v>#N/A</v>
      </c>
      <c r="P335" s="23" t="e">
        <f aca="false">IF(A335="",NA(),B335)</f>
        <v>#N/A</v>
      </c>
      <c r="Q335" s="23" t="e">
        <f aca="false">IF(F335="",NA(),F335)</f>
        <v>#N/A</v>
      </c>
      <c r="R335" s="23" t="e">
        <f aca="false">IF(K335="",NA(),K335)</f>
        <v>#N/A</v>
      </c>
      <c r="S335" s="23" t="e">
        <f aca="false">IF(M335="",NA(),M335)</f>
        <v>#N/A</v>
      </c>
      <c r="T335" s="23" t="str">
        <f aca="false">IF(J335="Válida",B335,"")</f>
        <v/>
      </c>
      <c r="U335" s="23" t="str">
        <f aca="false">IF(J335="Válida",F335,"")</f>
        <v/>
      </c>
    </row>
    <row r="336" customFormat="false" ht="15" hidden="false" customHeight="false" outlineLevel="0" collapsed="false">
      <c r="A336" s="22" t="str">
        <f aca="false">IF(MES!A336="","",MES!A336)</f>
        <v/>
      </c>
      <c r="B336" s="23" t="str">
        <f aca="false">IF(A336="","",MES!B336)</f>
        <v/>
      </c>
      <c r="C336" s="22" t="str">
        <f aca="false">IF(A336="","",A336+Parametros!$B$3/24)</f>
        <v/>
      </c>
      <c r="D336" s="22" t="str">
        <f aca="false">IF(A336="","",C336+Parametros!$B$2/24)</f>
        <v/>
      </c>
      <c r="E336" s="24" t="str">
        <f aca="false">IF(A336="","",COUNTIFS(Modulo!$A$2:$A$5001,"&gt;="&amp;C336,Modulo!$A$2:$A$5001,"&lt;"&amp;D336,Modulo!$D$2:$D$5001,Parametros!$B$7))</f>
        <v/>
      </c>
      <c r="F336" s="23" t="str">
        <f aca="false">IF(A336="","",IF(E336=0,"",AVERAGEIFS(Modulo!$B$2:$B$5001,Modulo!$A$2:$A$5001,"&gt;="&amp;C336,Modulo!$A$2:$A$5001,"&lt;"&amp;D336,Modulo!$D$2:$D$5001,Parametros!$B$7)))</f>
        <v/>
      </c>
      <c r="G336" s="23" t="str">
        <f aca="false">IF(A336="","",IF(E336=0,"",AVERAGEIFS(Modulo!$C$2:$C$5001,Modulo!$A$2:$A$5001,"&gt;="&amp;C336,Modulo!$A$2:$A$5001,"&lt;"&amp;D336,Modulo!$D$2:$D$5001,Parametros!$B$7)))</f>
        <v/>
      </c>
      <c r="H336" s="25" t="str">
        <f aca="false">IF(A336="","",IFERROR(COUNTIFS(Amostragem!$A$2:$A$15003,"&gt;="&amp;C336,Amostragem!$A$2:$A$15003,"&lt;"&amp;D336,Amostragem!$B$2:$B$15003,"Automático",Amostragem!$C$2:$C$15003,"Automático",Amostragem!$D$2:$D$15003,0)/COUNTIFS(Amostragem!$A$2:$A$15003,"&gt;="&amp;C336,Amostragem!$A$2:$A$15003,"&lt;"&amp;D336),0))</f>
        <v/>
      </c>
      <c r="I336" s="23" t="str">
        <f aca="false">IF(A336="","",IFERROR(AVERAGEIFS(Amostragem!$E$2:$E$15003,Amostragem!$A$2:$A$15003,"&gt;="&amp;C336,Amostragem!$A$2:$A$15003,"&lt;"&amp;D336),""))</f>
        <v/>
      </c>
      <c r="J336" s="24" t="str">
        <f aca="false">IF(A336="","",IF(B336="","Inválida: sem resultado MES",IF(E336&lt;Parametros!$B$4,"Inválida: poucos ensaios do módulo",IF(H336&lt;Parametros!$B$5,"Inválida: amostragem em manual ou em falha",IF(OR(I336="",I336&lt;Parametros!$B$6),"Inválida: usina parada ou baixa alimentação","Válida")))))</f>
        <v/>
      </c>
      <c r="K336" s="23" t="str">
        <f aca="false">IF(J336="Válida",F336-B336,"")</f>
        <v/>
      </c>
      <c r="L336" s="26" t="str">
        <f aca="false">IF(J336="Válida",K336/B336,"")</f>
        <v/>
      </c>
      <c r="M336" s="23" t="str">
        <f aca="false">IF(J336="Válida",(F336+B336)/2,"")</f>
        <v/>
      </c>
      <c r="N336" s="24" t="str">
        <f aca="false">IF(K336="","",IF(OR(K336&gt;Resumo!$B$16,K336&lt;Resumo!$B$15),"Sim","Não"))</f>
        <v/>
      </c>
      <c r="O336" s="22" t="e">
        <f aca="false">IF(A336="",NA(),A336)</f>
        <v>#N/A</v>
      </c>
      <c r="P336" s="23" t="e">
        <f aca="false">IF(A336="",NA(),B336)</f>
        <v>#N/A</v>
      </c>
      <c r="Q336" s="23" t="e">
        <f aca="false">IF(F336="",NA(),F336)</f>
        <v>#N/A</v>
      </c>
      <c r="R336" s="23" t="e">
        <f aca="false">IF(K336="",NA(),K336)</f>
        <v>#N/A</v>
      </c>
      <c r="S336" s="23" t="e">
        <f aca="false">IF(M336="",NA(),M336)</f>
        <v>#N/A</v>
      </c>
      <c r="T336" s="23" t="str">
        <f aca="false">IF(J336="Válida",B336,"")</f>
        <v/>
      </c>
      <c r="U336" s="23" t="str">
        <f aca="false">IF(J336="Válida",F336,"")</f>
        <v/>
      </c>
    </row>
    <row r="337" customFormat="false" ht="15" hidden="false" customHeight="false" outlineLevel="0" collapsed="false">
      <c r="A337" s="22" t="str">
        <f aca="false">IF(MES!A337="","",MES!A337)</f>
        <v/>
      </c>
      <c r="B337" s="23" t="str">
        <f aca="false">IF(A337="","",MES!B337)</f>
        <v/>
      </c>
      <c r="C337" s="22" t="str">
        <f aca="false">IF(A337="","",A337+Parametros!$B$3/24)</f>
        <v/>
      </c>
      <c r="D337" s="22" t="str">
        <f aca="false">IF(A337="","",C337+Parametros!$B$2/24)</f>
        <v/>
      </c>
      <c r="E337" s="24" t="str">
        <f aca="false">IF(A337="","",COUNTIFS(Modulo!$A$2:$A$5001,"&gt;="&amp;C337,Modulo!$A$2:$A$5001,"&lt;"&amp;D337,Modulo!$D$2:$D$5001,Parametros!$B$7))</f>
        <v/>
      </c>
      <c r="F337" s="23" t="str">
        <f aca="false">IF(A337="","",IF(E337=0,"",AVERAGEIFS(Modulo!$B$2:$B$5001,Modulo!$A$2:$A$5001,"&gt;="&amp;C337,Modulo!$A$2:$A$5001,"&lt;"&amp;D337,Modulo!$D$2:$D$5001,Parametros!$B$7)))</f>
        <v/>
      </c>
      <c r="G337" s="23" t="str">
        <f aca="false">IF(A337="","",IF(E337=0,"",AVERAGEIFS(Modulo!$C$2:$C$5001,Modulo!$A$2:$A$5001,"&gt;="&amp;C337,Modulo!$A$2:$A$5001,"&lt;"&amp;D337,Modulo!$D$2:$D$5001,Parametros!$B$7)))</f>
        <v/>
      </c>
      <c r="H337" s="25" t="str">
        <f aca="false">IF(A337="","",IFERROR(COUNTIFS(Amostragem!$A$2:$A$15003,"&gt;="&amp;C337,Amostragem!$A$2:$A$15003,"&lt;"&amp;D337,Amostragem!$B$2:$B$15003,"Automático",Amostragem!$C$2:$C$15003,"Automático",Amostragem!$D$2:$D$15003,0)/COUNTIFS(Amostragem!$A$2:$A$15003,"&gt;="&amp;C337,Amostragem!$A$2:$A$15003,"&lt;"&amp;D337),0))</f>
        <v/>
      </c>
      <c r="I337" s="23" t="str">
        <f aca="false">IF(A337="","",IFERROR(AVERAGEIFS(Amostragem!$E$2:$E$15003,Amostragem!$A$2:$A$15003,"&gt;="&amp;C337,Amostragem!$A$2:$A$15003,"&lt;"&amp;D337),""))</f>
        <v/>
      </c>
      <c r="J337" s="24" t="str">
        <f aca="false">IF(A337="","",IF(B337="","Inválida: sem resultado MES",IF(E337&lt;Parametros!$B$4,"Inválida: poucos ensaios do módulo",IF(H337&lt;Parametros!$B$5,"Inválida: amostragem em manual ou em falha",IF(OR(I337="",I337&lt;Parametros!$B$6),"Inválida: usina parada ou baixa alimentação","Válida")))))</f>
        <v/>
      </c>
      <c r="K337" s="23" t="str">
        <f aca="false">IF(J337="Válida",F337-B337,"")</f>
        <v/>
      </c>
      <c r="L337" s="26" t="str">
        <f aca="false">IF(J337="Válida",K337/B337,"")</f>
        <v/>
      </c>
      <c r="M337" s="23" t="str">
        <f aca="false">IF(J337="Válida",(F337+B337)/2,"")</f>
        <v/>
      </c>
      <c r="N337" s="24" t="str">
        <f aca="false">IF(K337="","",IF(OR(K337&gt;Resumo!$B$16,K337&lt;Resumo!$B$15),"Sim","Não"))</f>
        <v/>
      </c>
      <c r="O337" s="22" t="e">
        <f aca="false">IF(A337="",NA(),A337)</f>
        <v>#N/A</v>
      </c>
      <c r="P337" s="23" t="e">
        <f aca="false">IF(A337="",NA(),B337)</f>
        <v>#N/A</v>
      </c>
      <c r="Q337" s="23" t="e">
        <f aca="false">IF(F337="",NA(),F337)</f>
        <v>#N/A</v>
      </c>
      <c r="R337" s="23" t="e">
        <f aca="false">IF(K337="",NA(),K337)</f>
        <v>#N/A</v>
      </c>
      <c r="S337" s="23" t="e">
        <f aca="false">IF(M337="",NA(),M337)</f>
        <v>#N/A</v>
      </c>
      <c r="T337" s="23" t="str">
        <f aca="false">IF(J337="Válida",B337,"")</f>
        <v/>
      </c>
      <c r="U337" s="23" t="str">
        <f aca="false">IF(J337="Válida",F337,"")</f>
        <v/>
      </c>
    </row>
    <row r="338" customFormat="false" ht="15" hidden="false" customHeight="false" outlineLevel="0" collapsed="false">
      <c r="A338" s="22" t="str">
        <f aca="false">IF(MES!A338="","",MES!A338)</f>
        <v/>
      </c>
      <c r="B338" s="23" t="str">
        <f aca="false">IF(A338="","",MES!B338)</f>
        <v/>
      </c>
      <c r="C338" s="22" t="str">
        <f aca="false">IF(A338="","",A338+Parametros!$B$3/24)</f>
        <v/>
      </c>
      <c r="D338" s="22" t="str">
        <f aca="false">IF(A338="","",C338+Parametros!$B$2/24)</f>
        <v/>
      </c>
      <c r="E338" s="24" t="str">
        <f aca="false">IF(A338="","",COUNTIFS(Modulo!$A$2:$A$5001,"&gt;="&amp;C338,Modulo!$A$2:$A$5001,"&lt;"&amp;D338,Modulo!$D$2:$D$5001,Parametros!$B$7))</f>
        <v/>
      </c>
      <c r="F338" s="23" t="str">
        <f aca="false">IF(A338="","",IF(E338=0,"",AVERAGEIFS(Modulo!$B$2:$B$5001,Modulo!$A$2:$A$5001,"&gt;="&amp;C338,Modulo!$A$2:$A$5001,"&lt;"&amp;D338,Modulo!$D$2:$D$5001,Parametros!$B$7)))</f>
        <v/>
      </c>
      <c r="G338" s="23" t="str">
        <f aca="false">IF(A338="","",IF(E338=0,"",AVERAGEIFS(Modulo!$C$2:$C$5001,Modulo!$A$2:$A$5001,"&gt;="&amp;C338,Modulo!$A$2:$A$5001,"&lt;"&amp;D338,Modulo!$D$2:$D$5001,Parametros!$B$7)))</f>
        <v/>
      </c>
      <c r="H338" s="25" t="str">
        <f aca="false">IF(A338="","",IFERROR(COUNTIFS(Amostragem!$A$2:$A$15003,"&gt;="&amp;C338,Amostragem!$A$2:$A$15003,"&lt;"&amp;D338,Amostragem!$B$2:$B$15003,"Automático",Amostragem!$C$2:$C$15003,"Automático",Amostragem!$D$2:$D$15003,0)/COUNTIFS(Amostragem!$A$2:$A$15003,"&gt;="&amp;C338,Amostragem!$A$2:$A$15003,"&lt;"&amp;D338),0))</f>
        <v/>
      </c>
      <c r="I338" s="23" t="str">
        <f aca="false">IF(A338="","",IFERROR(AVERAGEIFS(Amostragem!$E$2:$E$15003,Amostragem!$A$2:$A$15003,"&gt;="&amp;C338,Amostragem!$A$2:$A$15003,"&lt;"&amp;D338),""))</f>
        <v/>
      </c>
      <c r="J338" s="24" t="str">
        <f aca="false">IF(A338="","",IF(B338="","Inválida: sem resultado MES",IF(E338&lt;Parametros!$B$4,"Inválida: poucos ensaios do módulo",IF(H338&lt;Parametros!$B$5,"Inválida: amostragem em manual ou em falha",IF(OR(I338="",I338&lt;Parametros!$B$6),"Inválida: usina parada ou baixa alimentação","Válida")))))</f>
        <v/>
      </c>
      <c r="K338" s="23" t="str">
        <f aca="false">IF(J338="Válida",F338-B338,"")</f>
        <v/>
      </c>
      <c r="L338" s="26" t="str">
        <f aca="false">IF(J338="Válida",K338/B338,"")</f>
        <v/>
      </c>
      <c r="M338" s="23" t="str">
        <f aca="false">IF(J338="Válida",(F338+B338)/2,"")</f>
        <v/>
      </c>
      <c r="N338" s="24" t="str">
        <f aca="false">IF(K338="","",IF(OR(K338&gt;Resumo!$B$16,K338&lt;Resumo!$B$15),"Sim","Não"))</f>
        <v/>
      </c>
      <c r="O338" s="22" t="e">
        <f aca="false">IF(A338="",NA(),A338)</f>
        <v>#N/A</v>
      </c>
      <c r="P338" s="23" t="e">
        <f aca="false">IF(A338="",NA(),B338)</f>
        <v>#N/A</v>
      </c>
      <c r="Q338" s="23" t="e">
        <f aca="false">IF(F338="",NA(),F338)</f>
        <v>#N/A</v>
      </c>
      <c r="R338" s="23" t="e">
        <f aca="false">IF(K338="",NA(),K338)</f>
        <v>#N/A</v>
      </c>
      <c r="S338" s="23" t="e">
        <f aca="false">IF(M338="",NA(),M338)</f>
        <v>#N/A</v>
      </c>
      <c r="T338" s="23" t="str">
        <f aca="false">IF(J338="Válida",B338,"")</f>
        <v/>
      </c>
      <c r="U338" s="23" t="str">
        <f aca="false">IF(J338="Válida",F338,"")</f>
        <v/>
      </c>
    </row>
    <row r="339" customFormat="false" ht="15" hidden="false" customHeight="false" outlineLevel="0" collapsed="false">
      <c r="A339" s="22" t="str">
        <f aca="false">IF(MES!A339="","",MES!A339)</f>
        <v/>
      </c>
      <c r="B339" s="23" t="str">
        <f aca="false">IF(A339="","",MES!B339)</f>
        <v/>
      </c>
      <c r="C339" s="22" t="str">
        <f aca="false">IF(A339="","",A339+Parametros!$B$3/24)</f>
        <v/>
      </c>
      <c r="D339" s="22" t="str">
        <f aca="false">IF(A339="","",C339+Parametros!$B$2/24)</f>
        <v/>
      </c>
      <c r="E339" s="24" t="str">
        <f aca="false">IF(A339="","",COUNTIFS(Modulo!$A$2:$A$5001,"&gt;="&amp;C339,Modulo!$A$2:$A$5001,"&lt;"&amp;D339,Modulo!$D$2:$D$5001,Parametros!$B$7))</f>
        <v/>
      </c>
      <c r="F339" s="23" t="str">
        <f aca="false">IF(A339="","",IF(E339=0,"",AVERAGEIFS(Modulo!$B$2:$B$5001,Modulo!$A$2:$A$5001,"&gt;="&amp;C339,Modulo!$A$2:$A$5001,"&lt;"&amp;D339,Modulo!$D$2:$D$5001,Parametros!$B$7)))</f>
        <v/>
      </c>
      <c r="G339" s="23" t="str">
        <f aca="false">IF(A339="","",IF(E339=0,"",AVERAGEIFS(Modulo!$C$2:$C$5001,Modulo!$A$2:$A$5001,"&gt;="&amp;C339,Modulo!$A$2:$A$5001,"&lt;"&amp;D339,Modulo!$D$2:$D$5001,Parametros!$B$7)))</f>
        <v/>
      </c>
      <c r="H339" s="25" t="str">
        <f aca="false">IF(A339="","",IFERROR(COUNTIFS(Amostragem!$A$2:$A$15003,"&gt;="&amp;C339,Amostragem!$A$2:$A$15003,"&lt;"&amp;D339,Amostragem!$B$2:$B$15003,"Automático",Amostragem!$C$2:$C$15003,"Automático",Amostragem!$D$2:$D$15003,0)/COUNTIFS(Amostragem!$A$2:$A$15003,"&gt;="&amp;C339,Amostragem!$A$2:$A$15003,"&lt;"&amp;D339),0))</f>
        <v/>
      </c>
      <c r="I339" s="23" t="str">
        <f aca="false">IF(A339="","",IFERROR(AVERAGEIFS(Amostragem!$E$2:$E$15003,Amostragem!$A$2:$A$15003,"&gt;="&amp;C339,Amostragem!$A$2:$A$15003,"&lt;"&amp;D339),""))</f>
        <v/>
      </c>
      <c r="J339" s="24" t="str">
        <f aca="false">IF(A339="","",IF(B339="","Inválida: sem resultado MES",IF(E339&lt;Parametros!$B$4,"Inválida: poucos ensaios do módulo",IF(H339&lt;Parametros!$B$5,"Inválida: amostragem em manual ou em falha",IF(OR(I339="",I339&lt;Parametros!$B$6),"Inválida: usina parada ou baixa alimentação","Válida")))))</f>
        <v/>
      </c>
      <c r="K339" s="23" t="str">
        <f aca="false">IF(J339="Válida",F339-B339,"")</f>
        <v/>
      </c>
      <c r="L339" s="26" t="str">
        <f aca="false">IF(J339="Válida",K339/B339,"")</f>
        <v/>
      </c>
      <c r="M339" s="23" t="str">
        <f aca="false">IF(J339="Válida",(F339+B339)/2,"")</f>
        <v/>
      </c>
      <c r="N339" s="24" t="str">
        <f aca="false">IF(K339="","",IF(OR(K339&gt;Resumo!$B$16,K339&lt;Resumo!$B$15),"Sim","Não"))</f>
        <v/>
      </c>
      <c r="O339" s="22" t="e">
        <f aca="false">IF(A339="",NA(),A339)</f>
        <v>#N/A</v>
      </c>
      <c r="P339" s="23" t="e">
        <f aca="false">IF(A339="",NA(),B339)</f>
        <v>#N/A</v>
      </c>
      <c r="Q339" s="23" t="e">
        <f aca="false">IF(F339="",NA(),F339)</f>
        <v>#N/A</v>
      </c>
      <c r="R339" s="23" t="e">
        <f aca="false">IF(K339="",NA(),K339)</f>
        <v>#N/A</v>
      </c>
      <c r="S339" s="23" t="e">
        <f aca="false">IF(M339="",NA(),M339)</f>
        <v>#N/A</v>
      </c>
      <c r="T339" s="23" t="str">
        <f aca="false">IF(J339="Válida",B339,"")</f>
        <v/>
      </c>
      <c r="U339" s="23" t="str">
        <f aca="false">IF(J339="Válida",F339,"")</f>
        <v/>
      </c>
    </row>
    <row r="340" customFormat="false" ht="15" hidden="false" customHeight="false" outlineLevel="0" collapsed="false">
      <c r="A340" s="22" t="str">
        <f aca="false">IF(MES!A340="","",MES!A340)</f>
        <v/>
      </c>
      <c r="B340" s="23" t="str">
        <f aca="false">IF(A340="","",MES!B340)</f>
        <v/>
      </c>
      <c r="C340" s="22" t="str">
        <f aca="false">IF(A340="","",A340+Parametros!$B$3/24)</f>
        <v/>
      </c>
      <c r="D340" s="22" t="str">
        <f aca="false">IF(A340="","",C340+Parametros!$B$2/24)</f>
        <v/>
      </c>
      <c r="E340" s="24" t="str">
        <f aca="false">IF(A340="","",COUNTIFS(Modulo!$A$2:$A$5001,"&gt;="&amp;C340,Modulo!$A$2:$A$5001,"&lt;"&amp;D340,Modulo!$D$2:$D$5001,Parametros!$B$7))</f>
        <v/>
      </c>
      <c r="F340" s="23" t="str">
        <f aca="false">IF(A340="","",IF(E340=0,"",AVERAGEIFS(Modulo!$B$2:$B$5001,Modulo!$A$2:$A$5001,"&gt;="&amp;C340,Modulo!$A$2:$A$5001,"&lt;"&amp;D340,Modulo!$D$2:$D$5001,Parametros!$B$7)))</f>
        <v/>
      </c>
      <c r="G340" s="23" t="str">
        <f aca="false">IF(A340="","",IF(E340=0,"",AVERAGEIFS(Modulo!$C$2:$C$5001,Modulo!$A$2:$A$5001,"&gt;="&amp;C340,Modulo!$A$2:$A$5001,"&lt;"&amp;D340,Modulo!$D$2:$D$5001,Parametros!$B$7)))</f>
        <v/>
      </c>
      <c r="H340" s="25" t="str">
        <f aca="false">IF(A340="","",IFERROR(COUNTIFS(Amostragem!$A$2:$A$15003,"&gt;="&amp;C340,Amostragem!$A$2:$A$15003,"&lt;"&amp;D340,Amostragem!$B$2:$B$15003,"Automático",Amostragem!$C$2:$C$15003,"Automático",Amostragem!$D$2:$D$15003,0)/COUNTIFS(Amostragem!$A$2:$A$15003,"&gt;="&amp;C340,Amostragem!$A$2:$A$15003,"&lt;"&amp;D340),0))</f>
        <v/>
      </c>
      <c r="I340" s="23" t="str">
        <f aca="false">IF(A340="","",IFERROR(AVERAGEIFS(Amostragem!$E$2:$E$15003,Amostragem!$A$2:$A$15003,"&gt;="&amp;C340,Amostragem!$A$2:$A$15003,"&lt;"&amp;D340),""))</f>
        <v/>
      </c>
      <c r="J340" s="24" t="str">
        <f aca="false">IF(A340="","",IF(B340="","Inválida: sem resultado MES",IF(E340&lt;Parametros!$B$4,"Inválida: poucos ensaios do módulo",IF(H340&lt;Parametros!$B$5,"Inválida: amostragem em manual ou em falha",IF(OR(I340="",I340&lt;Parametros!$B$6),"Inválida: usina parada ou baixa alimentação","Válida")))))</f>
        <v/>
      </c>
      <c r="K340" s="23" t="str">
        <f aca="false">IF(J340="Válida",F340-B340,"")</f>
        <v/>
      </c>
      <c r="L340" s="26" t="str">
        <f aca="false">IF(J340="Válida",K340/B340,"")</f>
        <v/>
      </c>
      <c r="M340" s="23" t="str">
        <f aca="false">IF(J340="Válida",(F340+B340)/2,"")</f>
        <v/>
      </c>
      <c r="N340" s="24" t="str">
        <f aca="false">IF(K340="","",IF(OR(K340&gt;Resumo!$B$16,K340&lt;Resumo!$B$15),"Sim","Não"))</f>
        <v/>
      </c>
      <c r="O340" s="22" t="e">
        <f aca="false">IF(A340="",NA(),A340)</f>
        <v>#N/A</v>
      </c>
      <c r="P340" s="23" t="e">
        <f aca="false">IF(A340="",NA(),B340)</f>
        <v>#N/A</v>
      </c>
      <c r="Q340" s="23" t="e">
        <f aca="false">IF(F340="",NA(),F340)</f>
        <v>#N/A</v>
      </c>
      <c r="R340" s="23" t="e">
        <f aca="false">IF(K340="",NA(),K340)</f>
        <v>#N/A</v>
      </c>
      <c r="S340" s="23" t="e">
        <f aca="false">IF(M340="",NA(),M340)</f>
        <v>#N/A</v>
      </c>
      <c r="T340" s="23" t="str">
        <f aca="false">IF(J340="Válida",B340,"")</f>
        <v/>
      </c>
      <c r="U340" s="23" t="str">
        <f aca="false">IF(J340="Válida",F340,"")</f>
        <v/>
      </c>
    </row>
    <row r="341" customFormat="false" ht="15" hidden="false" customHeight="false" outlineLevel="0" collapsed="false">
      <c r="A341" s="22" t="str">
        <f aca="false">IF(MES!A341="","",MES!A341)</f>
        <v/>
      </c>
      <c r="B341" s="23" t="str">
        <f aca="false">IF(A341="","",MES!B341)</f>
        <v/>
      </c>
      <c r="C341" s="22" t="str">
        <f aca="false">IF(A341="","",A341+Parametros!$B$3/24)</f>
        <v/>
      </c>
      <c r="D341" s="22" t="str">
        <f aca="false">IF(A341="","",C341+Parametros!$B$2/24)</f>
        <v/>
      </c>
      <c r="E341" s="24" t="str">
        <f aca="false">IF(A341="","",COUNTIFS(Modulo!$A$2:$A$5001,"&gt;="&amp;C341,Modulo!$A$2:$A$5001,"&lt;"&amp;D341,Modulo!$D$2:$D$5001,Parametros!$B$7))</f>
        <v/>
      </c>
      <c r="F341" s="23" t="str">
        <f aca="false">IF(A341="","",IF(E341=0,"",AVERAGEIFS(Modulo!$B$2:$B$5001,Modulo!$A$2:$A$5001,"&gt;="&amp;C341,Modulo!$A$2:$A$5001,"&lt;"&amp;D341,Modulo!$D$2:$D$5001,Parametros!$B$7)))</f>
        <v/>
      </c>
      <c r="G341" s="23" t="str">
        <f aca="false">IF(A341="","",IF(E341=0,"",AVERAGEIFS(Modulo!$C$2:$C$5001,Modulo!$A$2:$A$5001,"&gt;="&amp;C341,Modulo!$A$2:$A$5001,"&lt;"&amp;D341,Modulo!$D$2:$D$5001,Parametros!$B$7)))</f>
        <v/>
      </c>
      <c r="H341" s="25" t="str">
        <f aca="false">IF(A341="","",IFERROR(COUNTIFS(Amostragem!$A$2:$A$15003,"&gt;="&amp;C341,Amostragem!$A$2:$A$15003,"&lt;"&amp;D341,Amostragem!$B$2:$B$15003,"Automático",Amostragem!$C$2:$C$15003,"Automático",Amostragem!$D$2:$D$15003,0)/COUNTIFS(Amostragem!$A$2:$A$15003,"&gt;="&amp;C341,Amostragem!$A$2:$A$15003,"&lt;"&amp;D341),0))</f>
        <v/>
      </c>
      <c r="I341" s="23" t="str">
        <f aca="false">IF(A341="","",IFERROR(AVERAGEIFS(Amostragem!$E$2:$E$15003,Amostragem!$A$2:$A$15003,"&gt;="&amp;C341,Amostragem!$A$2:$A$15003,"&lt;"&amp;D341),""))</f>
        <v/>
      </c>
      <c r="J341" s="24" t="str">
        <f aca="false">IF(A341="","",IF(B341="","Inválida: sem resultado MES",IF(E341&lt;Parametros!$B$4,"Inválida: poucos ensaios do módulo",IF(H341&lt;Parametros!$B$5,"Inválida: amostragem em manual ou em falha",IF(OR(I341="",I341&lt;Parametros!$B$6),"Inválida: usina parada ou baixa alimentação","Válida")))))</f>
        <v/>
      </c>
      <c r="K341" s="23" t="str">
        <f aca="false">IF(J341="Válida",F341-B341,"")</f>
        <v/>
      </c>
      <c r="L341" s="26" t="str">
        <f aca="false">IF(J341="Válida",K341/B341,"")</f>
        <v/>
      </c>
      <c r="M341" s="23" t="str">
        <f aca="false">IF(J341="Válida",(F341+B341)/2,"")</f>
        <v/>
      </c>
      <c r="N341" s="24" t="str">
        <f aca="false">IF(K341="","",IF(OR(K341&gt;Resumo!$B$16,K341&lt;Resumo!$B$15),"Sim","Não"))</f>
        <v/>
      </c>
      <c r="O341" s="22" t="e">
        <f aca="false">IF(A341="",NA(),A341)</f>
        <v>#N/A</v>
      </c>
      <c r="P341" s="23" t="e">
        <f aca="false">IF(A341="",NA(),B341)</f>
        <v>#N/A</v>
      </c>
      <c r="Q341" s="23" t="e">
        <f aca="false">IF(F341="",NA(),F341)</f>
        <v>#N/A</v>
      </c>
      <c r="R341" s="23" t="e">
        <f aca="false">IF(K341="",NA(),K341)</f>
        <v>#N/A</v>
      </c>
      <c r="S341" s="23" t="e">
        <f aca="false">IF(M341="",NA(),M341)</f>
        <v>#N/A</v>
      </c>
      <c r="T341" s="23" t="str">
        <f aca="false">IF(J341="Válida",B341,"")</f>
        <v/>
      </c>
      <c r="U341" s="23" t="str">
        <f aca="false">IF(J341="Válida",F341,"")</f>
        <v/>
      </c>
    </row>
    <row r="342" customFormat="false" ht="15" hidden="false" customHeight="false" outlineLevel="0" collapsed="false">
      <c r="A342" s="22" t="str">
        <f aca="false">IF(MES!A342="","",MES!A342)</f>
        <v/>
      </c>
      <c r="B342" s="23" t="str">
        <f aca="false">IF(A342="","",MES!B342)</f>
        <v/>
      </c>
      <c r="C342" s="22" t="str">
        <f aca="false">IF(A342="","",A342+Parametros!$B$3/24)</f>
        <v/>
      </c>
      <c r="D342" s="22" t="str">
        <f aca="false">IF(A342="","",C342+Parametros!$B$2/24)</f>
        <v/>
      </c>
      <c r="E342" s="24" t="str">
        <f aca="false">IF(A342="","",COUNTIFS(Modulo!$A$2:$A$5001,"&gt;="&amp;C342,Modulo!$A$2:$A$5001,"&lt;"&amp;D342,Modulo!$D$2:$D$5001,Parametros!$B$7))</f>
        <v/>
      </c>
      <c r="F342" s="23" t="str">
        <f aca="false">IF(A342="","",IF(E342=0,"",AVERAGEIFS(Modulo!$B$2:$B$5001,Modulo!$A$2:$A$5001,"&gt;="&amp;C342,Modulo!$A$2:$A$5001,"&lt;"&amp;D342,Modulo!$D$2:$D$5001,Parametros!$B$7)))</f>
        <v/>
      </c>
      <c r="G342" s="23" t="str">
        <f aca="false">IF(A342="","",IF(E342=0,"",AVERAGEIFS(Modulo!$C$2:$C$5001,Modulo!$A$2:$A$5001,"&gt;="&amp;C342,Modulo!$A$2:$A$5001,"&lt;"&amp;D342,Modulo!$D$2:$D$5001,Parametros!$B$7)))</f>
        <v/>
      </c>
      <c r="H342" s="25" t="str">
        <f aca="false">IF(A342="","",IFERROR(COUNTIFS(Amostragem!$A$2:$A$15003,"&gt;="&amp;C342,Amostragem!$A$2:$A$15003,"&lt;"&amp;D342,Amostragem!$B$2:$B$15003,"Automático",Amostragem!$C$2:$C$15003,"Automático",Amostragem!$D$2:$D$15003,0)/COUNTIFS(Amostragem!$A$2:$A$15003,"&gt;="&amp;C342,Amostragem!$A$2:$A$15003,"&lt;"&amp;D342),0))</f>
        <v/>
      </c>
      <c r="I342" s="23" t="str">
        <f aca="false">IF(A342="","",IFERROR(AVERAGEIFS(Amostragem!$E$2:$E$15003,Amostragem!$A$2:$A$15003,"&gt;="&amp;C342,Amostragem!$A$2:$A$15003,"&lt;"&amp;D342),""))</f>
        <v/>
      </c>
      <c r="J342" s="24" t="str">
        <f aca="false">IF(A342="","",IF(B342="","Inválida: sem resultado MES",IF(E342&lt;Parametros!$B$4,"Inválida: poucos ensaios do módulo",IF(H342&lt;Parametros!$B$5,"Inválida: amostragem em manual ou em falha",IF(OR(I342="",I342&lt;Parametros!$B$6),"Inválida: usina parada ou baixa alimentação","Válida")))))</f>
        <v/>
      </c>
      <c r="K342" s="23" t="str">
        <f aca="false">IF(J342="Válida",F342-B342,"")</f>
        <v/>
      </c>
      <c r="L342" s="26" t="str">
        <f aca="false">IF(J342="Válida",K342/B342,"")</f>
        <v/>
      </c>
      <c r="M342" s="23" t="str">
        <f aca="false">IF(J342="Válida",(F342+B342)/2,"")</f>
        <v/>
      </c>
      <c r="N342" s="24" t="str">
        <f aca="false">IF(K342="","",IF(OR(K342&gt;Resumo!$B$16,K342&lt;Resumo!$B$15),"Sim","Não"))</f>
        <v/>
      </c>
      <c r="O342" s="22" t="e">
        <f aca="false">IF(A342="",NA(),A342)</f>
        <v>#N/A</v>
      </c>
      <c r="P342" s="23" t="e">
        <f aca="false">IF(A342="",NA(),B342)</f>
        <v>#N/A</v>
      </c>
      <c r="Q342" s="23" t="e">
        <f aca="false">IF(F342="",NA(),F342)</f>
        <v>#N/A</v>
      </c>
      <c r="R342" s="23" t="e">
        <f aca="false">IF(K342="",NA(),K342)</f>
        <v>#N/A</v>
      </c>
      <c r="S342" s="23" t="e">
        <f aca="false">IF(M342="",NA(),M342)</f>
        <v>#N/A</v>
      </c>
      <c r="T342" s="23" t="str">
        <f aca="false">IF(J342="Válida",B342,"")</f>
        <v/>
      </c>
      <c r="U342" s="23" t="str">
        <f aca="false">IF(J342="Válida",F342,"")</f>
        <v/>
      </c>
    </row>
    <row r="343" customFormat="false" ht="15" hidden="false" customHeight="false" outlineLevel="0" collapsed="false">
      <c r="A343" s="22" t="str">
        <f aca="false">IF(MES!A343="","",MES!A343)</f>
        <v/>
      </c>
      <c r="B343" s="23" t="str">
        <f aca="false">IF(A343="","",MES!B343)</f>
        <v/>
      </c>
      <c r="C343" s="22" t="str">
        <f aca="false">IF(A343="","",A343+Parametros!$B$3/24)</f>
        <v/>
      </c>
      <c r="D343" s="22" t="str">
        <f aca="false">IF(A343="","",C343+Parametros!$B$2/24)</f>
        <v/>
      </c>
      <c r="E343" s="24" t="str">
        <f aca="false">IF(A343="","",COUNTIFS(Modulo!$A$2:$A$5001,"&gt;="&amp;C343,Modulo!$A$2:$A$5001,"&lt;"&amp;D343,Modulo!$D$2:$D$5001,Parametros!$B$7))</f>
        <v/>
      </c>
      <c r="F343" s="23" t="str">
        <f aca="false">IF(A343="","",IF(E343=0,"",AVERAGEIFS(Modulo!$B$2:$B$5001,Modulo!$A$2:$A$5001,"&gt;="&amp;C343,Modulo!$A$2:$A$5001,"&lt;"&amp;D343,Modulo!$D$2:$D$5001,Parametros!$B$7)))</f>
        <v/>
      </c>
      <c r="G343" s="23" t="str">
        <f aca="false">IF(A343="","",IF(E343=0,"",AVERAGEIFS(Modulo!$C$2:$C$5001,Modulo!$A$2:$A$5001,"&gt;="&amp;C343,Modulo!$A$2:$A$5001,"&lt;"&amp;D343,Modulo!$D$2:$D$5001,Parametros!$B$7)))</f>
        <v/>
      </c>
      <c r="H343" s="25" t="str">
        <f aca="false">IF(A343="","",IFERROR(COUNTIFS(Amostragem!$A$2:$A$15003,"&gt;="&amp;C343,Amostragem!$A$2:$A$15003,"&lt;"&amp;D343,Amostragem!$B$2:$B$15003,"Automático",Amostragem!$C$2:$C$15003,"Automático",Amostragem!$D$2:$D$15003,0)/COUNTIFS(Amostragem!$A$2:$A$15003,"&gt;="&amp;C343,Amostragem!$A$2:$A$15003,"&lt;"&amp;D343),0))</f>
        <v/>
      </c>
      <c r="I343" s="23" t="str">
        <f aca="false">IF(A343="","",IFERROR(AVERAGEIFS(Amostragem!$E$2:$E$15003,Amostragem!$A$2:$A$15003,"&gt;="&amp;C343,Amostragem!$A$2:$A$15003,"&lt;"&amp;D343),""))</f>
        <v/>
      </c>
      <c r="J343" s="24" t="str">
        <f aca="false">IF(A343="","",IF(B343="","Inválida: sem resultado MES",IF(E343&lt;Parametros!$B$4,"Inválida: poucos ensaios do módulo",IF(H343&lt;Parametros!$B$5,"Inválida: amostragem em manual ou em falha",IF(OR(I343="",I343&lt;Parametros!$B$6),"Inválida: usina parada ou baixa alimentação","Válida")))))</f>
        <v/>
      </c>
      <c r="K343" s="23" t="str">
        <f aca="false">IF(J343="Válida",F343-B343,"")</f>
        <v/>
      </c>
      <c r="L343" s="26" t="str">
        <f aca="false">IF(J343="Válida",K343/B343,"")</f>
        <v/>
      </c>
      <c r="M343" s="23" t="str">
        <f aca="false">IF(J343="Válida",(F343+B343)/2,"")</f>
        <v/>
      </c>
      <c r="N343" s="24" t="str">
        <f aca="false">IF(K343="","",IF(OR(K343&gt;Resumo!$B$16,K343&lt;Resumo!$B$15),"Sim","Não"))</f>
        <v/>
      </c>
      <c r="O343" s="22" t="e">
        <f aca="false">IF(A343="",NA(),A343)</f>
        <v>#N/A</v>
      </c>
      <c r="P343" s="23" t="e">
        <f aca="false">IF(A343="",NA(),B343)</f>
        <v>#N/A</v>
      </c>
      <c r="Q343" s="23" t="e">
        <f aca="false">IF(F343="",NA(),F343)</f>
        <v>#N/A</v>
      </c>
      <c r="R343" s="23" t="e">
        <f aca="false">IF(K343="",NA(),K343)</f>
        <v>#N/A</v>
      </c>
      <c r="S343" s="23" t="e">
        <f aca="false">IF(M343="",NA(),M343)</f>
        <v>#N/A</v>
      </c>
      <c r="T343" s="23" t="str">
        <f aca="false">IF(J343="Válida",B343,"")</f>
        <v/>
      </c>
      <c r="U343" s="23" t="str">
        <f aca="false">IF(J343="Válida",F343,"")</f>
        <v/>
      </c>
    </row>
    <row r="344" customFormat="false" ht="15" hidden="false" customHeight="false" outlineLevel="0" collapsed="false">
      <c r="A344" s="22" t="str">
        <f aca="false">IF(MES!A344="","",MES!A344)</f>
        <v/>
      </c>
      <c r="B344" s="23" t="str">
        <f aca="false">IF(A344="","",MES!B344)</f>
        <v/>
      </c>
      <c r="C344" s="22" t="str">
        <f aca="false">IF(A344="","",A344+Parametros!$B$3/24)</f>
        <v/>
      </c>
      <c r="D344" s="22" t="str">
        <f aca="false">IF(A344="","",C344+Parametros!$B$2/24)</f>
        <v/>
      </c>
      <c r="E344" s="24" t="str">
        <f aca="false">IF(A344="","",COUNTIFS(Modulo!$A$2:$A$5001,"&gt;="&amp;C344,Modulo!$A$2:$A$5001,"&lt;"&amp;D344,Modulo!$D$2:$D$5001,Parametros!$B$7))</f>
        <v/>
      </c>
      <c r="F344" s="23" t="str">
        <f aca="false">IF(A344="","",IF(E344=0,"",AVERAGEIFS(Modulo!$B$2:$B$5001,Modulo!$A$2:$A$5001,"&gt;="&amp;C344,Modulo!$A$2:$A$5001,"&lt;"&amp;D344,Modulo!$D$2:$D$5001,Parametros!$B$7)))</f>
        <v/>
      </c>
      <c r="G344" s="23" t="str">
        <f aca="false">IF(A344="","",IF(E344=0,"",AVERAGEIFS(Modulo!$C$2:$C$5001,Modulo!$A$2:$A$5001,"&gt;="&amp;C344,Modulo!$A$2:$A$5001,"&lt;"&amp;D344,Modulo!$D$2:$D$5001,Parametros!$B$7)))</f>
        <v/>
      </c>
      <c r="H344" s="25" t="str">
        <f aca="false">IF(A344="","",IFERROR(COUNTIFS(Amostragem!$A$2:$A$15003,"&gt;="&amp;C344,Amostragem!$A$2:$A$15003,"&lt;"&amp;D344,Amostragem!$B$2:$B$15003,"Automático",Amostragem!$C$2:$C$15003,"Automático",Amostragem!$D$2:$D$15003,0)/COUNTIFS(Amostragem!$A$2:$A$15003,"&gt;="&amp;C344,Amostragem!$A$2:$A$15003,"&lt;"&amp;D344),0))</f>
        <v/>
      </c>
      <c r="I344" s="23" t="str">
        <f aca="false">IF(A344="","",IFERROR(AVERAGEIFS(Amostragem!$E$2:$E$15003,Amostragem!$A$2:$A$15003,"&gt;="&amp;C344,Amostragem!$A$2:$A$15003,"&lt;"&amp;D344),""))</f>
        <v/>
      </c>
      <c r="J344" s="24" t="str">
        <f aca="false">IF(A344="","",IF(B344="","Inválida: sem resultado MES",IF(E344&lt;Parametros!$B$4,"Inválida: poucos ensaios do módulo",IF(H344&lt;Parametros!$B$5,"Inválida: amostragem em manual ou em falha",IF(OR(I344="",I344&lt;Parametros!$B$6),"Inválida: usina parada ou baixa alimentação","Válida")))))</f>
        <v/>
      </c>
      <c r="K344" s="23" t="str">
        <f aca="false">IF(J344="Válida",F344-B344,"")</f>
        <v/>
      </c>
      <c r="L344" s="26" t="str">
        <f aca="false">IF(J344="Válida",K344/B344,"")</f>
        <v/>
      </c>
      <c r="M344" s="23" t="str">
        <f aca="false">IF(J344="Válida",(F344+B344)/2,"")</f>
        <v/>
      </c>
      <c r="N344" s="24" t="str">
        <f aca="false">IF(K344="","",IF(OR(K344&gt;Resumo!$B$16,K344&lt;Resumo!$B$15),"Sim","Não"))</f>
        <v/>
      </c>
      <c r="O344" s="22" t="e">
        <f aca="false">IF(A344="",NA(),A344)</f>
        <v>#N/A</v>
      </c>
      <c r="P344" s="23" t="e">
        <f aca="false">IF(A344="",NA(),B344)</f>
        <v>#N/A</v>
      </c>
      <c r="Q344" s="23" t="e">
        <f aca="false">IF(F344="",NA(),F344)</f>
        <v>#N/A</v>
      </c>
      <c r="R344" s="23" t="e">
        <f aca="false">IF(K344="",NA(),K344)</f>
        <v>#N/A</v>
      </c>
      <c r="S344" s="23" t="e">
        <f aca="false">IF(M344="",NA(),M344)</f>
        <v>#N/A</v>
      </c>
      <c r="T344" s="23" t="str">
        <f aca="false">IF(J344="Válida",B344,"")</f>
        <v/>
      </c>
      <c r="U344" s="23" t="str">
        <f aca="false">IF(J344="Válida",F344,"")</f>
        <v/>
      </c>
    </row>
    <row r="345" customFormat="false" ht="15" hidden="false" customHeight="false" outlineLevel="0" collapsed="false">
      <c r="A345" s="22" t="str">
        <f aca="false">IF(MES!A345="","",MES!A345)</f>
        <v/>
      </c>
      <c r="B345" s="23" t="str">
        <f aca="false">IF(A345="","",MES!B345)</f>
        <v/>
      </c>
      <c r="C345" s="22" t="str">
        <f aca="false">IF(A345="","",A345+Parametros!$B$3/24)</f>
        <v/>
      </c>
      <c r="D345" s="22" t="str">
        <f aca="false">IF(A345="","",C345+Parametros!$B$2/24)</f>
        <v/>
      </c>
      <c r="E345" s="24" t="str">
        <f aca="false">IF(A345="","",COUNTIFS(Modulo!$A$2:$A$5001,"&gt;="&amp;C345,Modulo!$A$2:$A$5001,"&lt;"&amp;D345,Modulo!$D$2:$D$5001,Parametros!$B$7))</f>
        <v/>
      </c>
      <c r="F345" s="23" t="str">
        <f aca="false">IF(A345="","",IF(E345=0,"",AVERAGEIFS(Modulo!$B$2:$B$5001,Modulo!$A$2:$A$5001,"&gt;="&amp;C345,Modulo!$A$2:$A$5001,"&lt;"&amp;D345,Modulo!$D$2:$D$5001,Parametros!$B$7)))</f>
        <v/>
      </c>
      <c r="G345" s="23" t="str">
        <f aca="false">IF(A345="","",IF(E345=0,"",AVERAGEIFS(Modulo!$C$2:$C$5001,Modulo!$A$2:$A$5001,"&gt;="&amp;C345,Modulo!$A$2:$A$5001,"&lt;"&amp;D345,Modulo!$D$2:$D$5001,Parametros!$B$7)))</f>
        <v/>
      </c>
      <c r="H345" s="25" t="str">
        <f aca="false">IF(A345="","",IFERROR(COUNTIFS(Amostragem!$A$2:$A$15003,"&gt;="&amp;C345,Amostragem!$A$2:$A$15003,"&lt;"&amp;D345,Amostragem!$B$2:$B$15003,"Automático",Amostragem!$C$2:$C$15003,"Automático",Amostragem!$D$2:$D$15003,0)/COUNTIFS(Amostragem!$A$2:$A$15003,"&gt;="&amp;C345,Amostragem!$A$2:$A$15003,"&lt;"&amp;D345),0))</f>
        <v/>
      </c>
      <c r="I345" s="23" t="str">
        <f aca="false">IF(A345="","",IFERROR(AVERAGEIFS(Amostragem!$E$2:$E$15003,Amostragem!$A$2:$A$15003,"&gt;="&amp;C345,Amostragem!$A$2:$A$15003,"&lt;"&amp;D345),""))</f>
        <v/>
      </c>
      <c r="J345" s="24" t="str">
        <f aca="false">IF(A345="","",IF(B345="","Inválida: sem resultado MES",IF(E345&lt;Parametros!$B$4,"Inválida: poucos ensaios do módulo",IF(H345&lt;Parametros!$B$5,"Inválida: amostragem em manual ou em falha",IF(OR(I345="",I345&lt;Parametros!$B$6),"Inválida: usina parada ou baixa alimentação","Válida")))))</f>
        <v/>
      </c>
      <c r="K345" s="23" t="str">
        <f aca="false">IF(J345="Válida",F345-B345,"")</f>
        <v/>
      </c>
      <c r="L345" s="26" t="str">
        <f aca="false">IF(J345="Válida",K345/B345,"")</f>
        <v/>
      </c>
      <c r="M345" s="23" t="str">
        <f aca="false">IF(J345="Válida",(F345+B345)/2,"")</f>
        <v/>
      </c>
      <c r="N345" s="24" t="str">
        <f aca="false">IF(K345="","",IF(OR(K345&gt;Resumo!$B$16,K345&lt;Resumo!$B$15),"Sim","Não"))</f>
        <v/>
      </c>
      <c r="O345" s="22" t="e">
        <f aca="false">IF(A345="",NA(),A345)</f>
        <v>#N/A</v>
      </c>
      <c r="P345" s="23" t="e">
        <f aca="false">IF(A345="",NA(),B345)</f>
        <v>#N/A</v>
      </c>
      <c r="Q345" s="23" t="e">
        <f aca="false">IF(F345="",NA(),F345)</f>
        <v>#N/A</v>
      </c>
      <c r="R345" s="23" t="e">
        <f aca="false">IF(K345="",NA(),K345)</f>
        <v>#N/A</v>
      </c>
      <c r="S345" s="23" t="e">
        <f aca="false">IF(M345="",NA(),M345)</f>
        <v>#N/A</v>
      </c>
      <c r="T345" s="23" t="str">
        <f aca="false">IF(J345="Válida",B345,"")</f>
        <v/>
      </c>
      <c r="U345" s="23" t="str">
        <f aca="false">IF(J345="Válida",F345,"")</f>
        <v/>
      </c>
    </row>
    <row r="346" customFormat="false" ht="15" hidden="false" customHeight="false" outlineLevel="0" collapsed="false">
      <c r="A346" s="22" t="str">
        <f aca="false">IF(MES!A346="","",MES!A346)</f>
        <v/>
      </c>
      <c r="B346" s="23" t="str">
        <f aca="false">IF(A346="","",MES!B346)</f>
        <v/>
      </c>
      <c r="C346" s="22" t="str">
        <f aca="false">IF(A346="","",A346+Parametros!$B$3/24)</f>
        <v/>
      </c>
      <c r="D346" s="22" t="str">
        <f aca="false">IF(A346="","",C346+Parametros!$B$2/24)</f>
        <v/>
      </c>
      <c r="E346" s="24" t="str">
        <f aca="false">IF(A346="","",COUNTIFS(Modulo!$A$2:$A$5001,"&gt;="&amp;C346,Modulo!$A$2:$A$5001,"&lt;"&amp;D346,Modulo!$D$2:$D$5001,Parametros!$B$7))</f>
        <v/>
      </c>
      <c r="F346" s="23" t="str">
        <f aca="false">IF(A346="","",IF(E346=0,"",AVERAGEIFS(Modulo!$B$2:$B$5001,Modulo!$A$2:$A$5001,"&gt;="&amp;C346,Modulo!$A$2:$A$5001,"&lt;"&amp;D346,Modulo!$D$2:$D$5001,Parametros!$B$7)))</f>
        <v/>
      </c>
      <c r="G346" s="23" t="str">
        <f aca="false">IF(A346="","",IF(E346=0,"",AVERAGEIFS(Modulo!$C$2:$C$5001,Modulo!$A$2:$A$5001,"&gt;="&amp;C346,Modulo!$A$2:$A$5001,"&lt;"&amp;D346,Modulo!$D$2:$D$5001,Parametros!$B$7)))</f>
        <v/>
      </c>
      <c r="H346" s="25" t="str">
        <f aca="false">IF(A346="","",IFERROR(COUNTIFS(Amostragem!$A$2:$A$15003,"&gt;="&amp;C346,Amostragem!$A$2:$A$15003,"&lt;"&amp;D346,Amostragem!$B$2:$B$15003,"Automático",Amostragem!$C$2:$C$15003,"Automático",Amostragem!$D$2:$D$15003,0)/COUNTIFS(Amostragem!$A$2:$A$15003,"&gt;="&amp;C346,Amostragem!$A$2:$A$15003,"&lt;"&amp;D346),0))</f>
        <v/>
      </c>
      <c r="I346" s="23" t="str">
        <f aca="false">IF(A346="","",IFERROR(AVERAGEIFS(Amostragem!$E$2:$E$15003,Amostragem!$A$2:$A$15003,"&gt;="&amp;C346,Amostragem!$A$2:$A$15003,"&lt;"&amp;D346),""))</f>
        <v/>
      </c>
      <c r="J346" s="24" t="str">
        <f aca="false">IF(A346="","",IF(B346="","Inválida: sem resultado MES",IF(E346&lt;Parametros!$B$4,"Inválida: poucos ensaios do módulo",IF(H346&lt;Parametros!$B$5,"Inválida: amostragem em manual ou em falha",IF(OR(I346="",I346&lt;Parametros!$B$6),"Inválida: usina parada ou baixa alimentação","Válida")))))</f>
        <v/>
      </c>
      <c r="K346" s="23" t="str">
        <f aca="false">IF(J346="Válida",F346-B346,"")</f>
        <v/>
      </c>
      <c r="L346" s="26" t="str">
        <f aca="false">IF(J346="Válida",K346/B346,"")</f>
        <v/>
      </c>
      <c r="M346" s="23" t="str">
        <f aca="false">IF(J346="Válida",(F346+B346)/2,"")</f>
        <v/>
      </c>
      <c r="N346" s="24" t="str">
        <f aca="false">IF(K346="","",IF(OR(K346&gt;Resumo!$B$16,K346&lt;Resumo!$B$15),"Sim","Não"))</f>
        <v/>
      </c>
      <c r="O346" s="22" t="e">
        <f aca="false">IF(A346="",NA(),A346)</f>
        <v>#N/A</v>
      </c>
      <c r="P346" s="23" t="e">
        <f aca="false">IF(A346="",NA(),B346)</f>
        <v>#N/A</v>
      </c>
      <c r="Q346" s="23" t="e">
        <f aca="false">IF(F346="",NA(),F346)</f>
        <v>#N/A</v>
      </c>
      <c r="R346" s="23" t="e">
        <f aca="false">IF(K346="",NA(),K346)</f>
        <v>#N/A</v>
      </c>
      <c r="S346" s="23" t="e">
        <f aca="false">IF(M346="",NA(),M346)</f>
        <v>#N/A</v>
      </c>
      <c r="T346" s="23" t="str">
        <f aca="false">IF(J346="Válida",B346,"")</f>
        <v/>
      </c>
      <c r="U346" s="23" t="str">
        <f aca="false">IF(J346="Válida",F346,"")</f>
        <v/>
      </c>
    </row>
    <row r="347" customFormat="false" ht="15" hidden="false" customHeight="false" outlineLevel="0" collapsed="false">
      <c r="A347" s="22" t="str">
        <f aca="false">IF(MES!A347="","",MES!A347)</f>
        <v/>
      </c>
      <c r="B347" s="23" t="str">
        <f aca="false">IF(A347="","",MES!B347)</f>
        <v/>
      </c>
      <c r="C347" s="22" t="str">
        <f aca="false">IF(A347="","",A347+Parametros!$B$3/24)</f>
        <v/>
      </c>
      <c r="D347" s="22" t="str">
        <f aca="false">IF(A347="","",C347+Parametros!$B$2/24)</f>
        <v/>
      </c>
      <c r="E347" s="24" t="str">
        <f aca="false">IF(A347="","",COUNTIFS(Modulo!$A$2:$A$5001,"&gt;="&amp;C347,Modulo!$A$2:$A$5001,"&lt;"&amp;D347,Modulo!$D$2:$D$5001,Parametros!$B$7))</f>
        <v/>
      </c>
      <c r="F347" s="23" t="str">
        <f aca="false">IF(A347="","",IF(E347=0,"",AVERAGEIFS(Modulo!$B$2:$B$5001,Modulo!$A$2:$A$5001,"&gt;="&amp;C347,Modulo!$A$2:$A$5001,"&lt;"&amp;D347,Modulo!$D$2:$D$5001,Parametros!$B$7)))</f>
        <v/>
      </c>
      <c r="G347" s="23" t="str">
        <f aca="false">IF(A347="","",IF(E347=0,"",AVERAGEIFS(Modulo!$C$2:$C$5001,Modulo!$A$2:$A$5001,"&gt;="&amp;C347,Modulo!$A$2:$A$5001,"&lt;"&amp;D347,Modulo!$D$2:$D$5001,Parametros!$B$7)))</f>
        <v/>
      </c>
      <c r="H347" s="25" t="str">
        <f aca="false">IF(A347="","",IFERROR(COUNTIFS(Amostragem!$A$2:$A$15003,"&gt;="&amp;C347,Amostragem!$A$2:$A$15003,"&lt;"&amp;D347,Amostragem!$B$2:$B$15003,"Automático",Amostragem!$C$2:$C$15003,"Automático",Amostragem!$D$2:$D$15003,0)/COUNTIFS(Amostragem!$A$2:$A$15003,"&gt;="&amp;C347,Amostragem!$A$2:$A$15003,"&lt;"&amp;D347),0))</f>
        <v/>
      </c>
      <c r="I347" s="23" t="str">
        <f aca="false">IF(A347="","",IFERROR(AVERAGEIFS(Amostragem!$E$2:$E$15003,Amostragem!$A$2:$A$15003,"&gt;="&amp;C347,Amostragem!$A$2:$A$15003,"&lt;"&amp;D347),""))</f>
        <v/>
      </c>
      <c r="J347" s="24" t="str">
        <f aca="false">IF(A347="","",IF(B347="","Inválida: sem resultado MES",IF(E347&lt;Parametros!$B$4,"Inválida: poucos ensaios do módulo",IF(H347&lt;Parametros!$B$5,"Inválida: amostragem em manual ou em falha",IF(OR(I347="",I347&lt;Parametros!$B$6),"Inválida: usina parada ou baixa alimentação","Válida")))))</f>
        <v/>
      </c>
      <c r="K347" s="23" t="str">
        <f aca="false">IF(J347="Válida",F347-B347,"")</f>
        <v/>
      </c>
      <c r="L347" s="26" t="str">
        <f aca="false">IF(J347="Válida",K347/B347,"")</f>
        <v/>
      </c>
      <c r="M347" s="23" t="str">
        <f aca="false">IF(J347="Válida",(F347+B347)/2,"")</f>
        <v/>
      </c>
      <c r="N347" s="24" t="str">
        <f aca="false">IF(K347="","",IF(OR(K347&gt;Resumo!$B$16,K347&lt;Resumo!$B$15),"Sim","Não"))</f>
        <v/>
      </c>
      <c r="O347" s="22" t="e">
        <f aca="false">IF(A347="",NA(),A347)</f>
        <v>#N/A</v>
      </c>
      <c r="P347" s="23" t="e">
        <f aca="false">IF(A347="",NA(),B347)</f>
        <v>#N/A</v>
      </c>
      <c r="Q347" s="23" t="e">
        <f aca="false">IF(F347="",NA(),F347)</f>
        <v>#N/A</v>
      </c>
      <c r="R347" s="23" t="e">
        <f aca="false">IF(K347="",NA(),K347)</f>
        <v>#N/A</v>
      </c>
      <c r="S347" s="23" t="e">
        <f aca="false">IF(M347="",NA(),M347)</f>
        <v>#N/A</v>
      </c>
      <c r="T347" s="23" t="str">
        <f aca="false">IF(J347="Válida",B347,"")</f>
        <v/>
      </c>
      <c r="U347" s="23" t="str">
        <f aca="false">IF(J347="Válida",F347,"")</f>
        <v/>
      </c>
    </row>
    <row r="348" customFormat="false" ht="15" hidden="false" customHeight="false" outlineLevel="0" collapsed="false">
      <c r="A348" s="22" t="str">
        <f aca="false">IF(MES!A348="","",MES!A348)</f>
        <v/>
      </c>
      <c r="B348" s="23" t="str">
        <f aca="false">IF(A348="","",MES!B348)</f>
        <v/>
      </c>
      <c r="C348" s="22" t="str">
        <f aca="false">IF(A348="","",A348+Parametros!$B$3/24)</f>
        <v/>
      </c>
      <c r="D348" s="22" t="str">
        <f aca="false">IF(A348="","",C348+Parametros!$B$2/24)</f>
        <v/>
      </c>
      <c r="E348" s="24" t="str">
        <f aca="false">IF(A348="","",COUNTIFS(Modulo!$A$2:$A$5001,"&gt;="&amp;C348,Modulo!$A$2:$A$5001,"&lt;"&amp;D348,Modulo!$D$2:$D$5001,Parametros!$B$7))</f>
        <v/>
      </c>
      <c r="F348" s="23" t="str">
        <f aca="false">IF(A348="","",IF(E348=0,"",AVERAGEIFS(Modulo!$B$2:$B$5001,Modulo!$A$2:$A$5001,"&gt;="&amp;C348,Modulo!$A$2:$A$5001,"&lt;"&amp;D348,Modulo!$D$2:$D$5001,Parametros!$B$7)))</f>
        <v/>
      </c>
      <c r="G348" s="23" t="str">
        <f aca="false">IF(A348="","",IF(E348=0,"",AVERAGEIFS(Modulo!$C$2:$C$5001,Modulo!$A$2:$A$5001,"&gt;="&amp;C348,Modulo!$A$2:$A$5001,"&lt;"&amp;D348,Modulo!$D$2:$D$5001,Parametros!$B$7)))</f>
        <v/>
      </c>
      <c r="H348" s="25" t="str">
        <f aca="false">IF(A348="","",IFERROR(COUNTIFS(Amostragem!$A$2:$A$15003,"&gt;="&amp;C348,Amostragem!$A$2:$A$15003,"&lt;"&amp;D348,Amostragem!$B$2:$B$15003,"Automático",Amostragem!$C$2:$C$15003,"Automático",Amostragem!$D$2:$D$15003,0)/COUNTIFS(Amostragem!$A$2:$A$15003,"&gt;="&amp;C348,Amostragem!$A$2:$A$15003,"&lt;"&amp;D348),0))</f>
        <v/>
      </c>
      <c r="I348" s="23" t="str">
        <f aca="false">IF(A348="","",IFERROR(AVERAGEIFS(Amostragem!$E$2:$E$15003,Amostragem!$A$2:$A$15003,"&gt;="&amp;C348,Amostragem!$A$2:$A$15003,"&lt;"&amp;D348),""))</f>
        <v/>
      </c>
      <c r="J348" s="24" t="str">
        <f aca="false">IF(A348="","",IF(B348="","Inválida: sem resultado MES",IF(E348&lt;Parametros!$B$4,"Inválida: poucos ensaios do módulo",IF(H348&lt;Parametros!$B$5,"Inválida: amostragem em manual ou em falha",IF(OR(I348="",I348&lt;Parametros!$B$6),"Inválida: usina parada ou baixa alimentação","Válida")))))</f>
        <v/>
      </c>
      <c r="K348" s="23" t="str">
        <f aca="false">IF(J348="Válida",F348-B348,"")</f>
        <v/>
      </c>
      <c r="L348" s="26" t="str">
        <f aca="false">IF(J348="Válida",K348/B348,"")</f>
        <v/>
      </c>
      <c r="M348" s="23" t="str">
        <f aca="false">IF(J348="Válida",(F348+B348)/2,"")</f>
        <v/>
      </c>
      <c r="N348" s="24" t="str">
        <f aca="false">IF(K348="","",IF(OR(K348&gt;Resumo!$B$16,K348&lt;Resumo!$B$15),"Sim","Não"))</f>
        <v/>
      </c>
      <c r="O348" s="22" t="e">
        <f aca="false">IF(A348="",NA(),A348)</f>
        <v>#N/A</v>
      </c>
      <c r="P348" s="23" t="e">
        <f aca="false">IF(A348="",NA(),B348)</f>
        <v>#N/A</v>
      </c>
      <c r="Q348" s="23" t="e">
        <f aca="false">IF(F348="",NA(),F348)</f>
        <v>#N/A</v>
      </c>
      <c r="R348" s="23" t="e">
        <f aca="false">IF(K348="",NA(),K348)</f>
        <v>#N/A</v>
      </c>
      <c r="S348" s="23" t="e">
        <f aca="false">IF(M348="",NA(),M348)</f>
        <v>#N/A</v>
      </c>
      <c r="T348" s="23" t="str">
        <f aca="false">IF(J348="Válida",B348,"")</f>
        <v/>
      </c>
      <c r="U348" s="23" t="str">
        <f aca="false">IF(J348="Válida",F348,"")</f>
        <v/>
      </c>
    </row>
    <row r="349" customFormat="false" ht="15" hidden="false" customHeight="false" outlineLevel="0" collapsed="false">
      <c r="A349" s="22" t="str">
        <f aca="false">IF(MES!A349="","",MES!A349)</f>
        <v/>
      </c>
      <c r="B349" s="23" t="str">
        <f aca="false">IF(A349="","",MES!B349)</f>
        <v/>
      </c>
      <c r="C349" s="22" t="str">
        <f aca="false">IF(A349="","",A349+Parametros!$B$3/24)</f>
        <v/>
      </c>
      <c r="D349" s="22" t="str">
        <f aca="false">IF(A349="","",C349+Parametros!$B$2/24)</f>
        <v/>
      </c>
      <c r="E349" s="24" t="str">
        <f aca="false">IF(A349="","",COUNTIFS(Modulo!$A$2:$A$5001,"&gt;="&amp;C349,Modulo!$A$2:$A$5001,"&lt;"&amp;D349,Modulo!$D$2:$D$5001,Parametros!$B$7))</f>
        <v/>
      </c>
      <c r="F349" s="23" t="str">
        <f aca="false">IF(A349="","",IF(E349=0,"",AVERAGEIFS(Modulo!$B$2:$B$5001,Modulo!$A$2:$A$5001,"&gt;="&amp;C349,Modulo!$A$2:$A$5001,"&lt;"&amp;D349,Modulo!$D$2:$D$5001,Parametros!$B$7)))</f>
        <v/>
      </c>
      <c r="G349" s="23" t="str">
        <f aca="false">IF(A349="","",IF(E349=0,"",AVERAGEIFS(Modulo!$C$2:$C$5001,Modulo!$A$2:$A$5001,"&gt;="&amp;C349,Modulo!$A$2:$A$5001,"&lt;"&amp;D349,Modulo!$D$2:$D$5001,Parametros!$B$7)))</f>
        <v/>
      </c>
      <c r="H349" s="25" t="str">
        <f aca="false">IF(A349="","",IFERROR(COUNTIFS(Amostragem!$A$2:$A$15003,"&gt;="&amp;C349,Amostragem!$A$2:$A$15003,"&lt;"&amp;D349,Amostragem!$B$2:$B$15003,"Automático",Amostragem!$C$2:$C$15003,"Automático",Amostragem!$D$2:$D$15003,0)/COUNTIFS(Amostragem!$A$2:$A$15003,"&gt;="&amp;C349,Amostragem!$A$2:$A$15003,"&lt;"&amp;D349),0))</f>
        <v/>
      </c>
      <c r="I349" s="23" t="str">
        <f aca="false">IF(A349="","",IFERROR(AVERAGEIFS(Amostragem!$E$2:$E$15003,Amostragem!$A$2:$A$15003,"&gt;="&amp;C349,Amostragem!$A$2:$A$15003,"&lt;"&amp;D349),""))</f>
        <v/>
      </c>
      <c r="J349" s="24" t="str">
        <f aca="false">IF(A349="","",IF(B349="","Inválida: sem resultado MES",IF(E349&lt;Parametros!$B$4,"Inválida: poucos ensaios do módulo",IF(H349&lt;Parametros!$B$5,"Inválida: amostragem em manual ou em falha",IF(OR(I349="",I349&lt;Parametros!$B$6),"Inválida: usina parada ou baixa alimentação","Válida")))))</f>
        <v/>
      </c>
      <c r="K349" s="23" t="str">
        <f aca="false">IF(J349="Válida",F349-B349,"")</f>
        <v/>
      </c>
      <c r="L349" s="26" t="str">
        <f aca="false">IF(J349="Válida",K349/B349,"")</f>
        <v/>
      </c>
      <c r="M349" s="23" t="str">
        <f aca="false">IF(J349="Válida",(F349+B349)/2,"")</f>
        <v/>
      </c>
      <c r="N349" s="24" t="str">
        <f aca="false">IF(K349="","",IF(OR(K349&gt;Resumo!$B$16,K349&lt;Resumo!$B$15),"Sim","Não"))</f>
        <v/>
      </c>
      <c r="O349" s="22" t="e">
        <f aca="false">IF(A349="",NA(),A349)</f>
        <v>#N/A</v>
      </c>
      <c r="P349" s="23" t="e">
        <f aca="false">IF(A349="",NA(),B349)</f>
        <v>#N/A</v>
      </c>
      <c r="Q349" s="23" t="e">
        <f aca="false">IF(F349="",NA(),F349)</f>
        <v>#N/A</v>
      </c>
      <c r="R349" s="23" t="e">
        <f aca="false">IF(K349="",NA(),K349)</f>
        <v>#N/A</v>
      </c>
      <c r="S349" s="23" t="e">
        <f aca="false">IF(M349="",NA(),M349)</f>
        <v>#N/A</v>
      </c>
      <c r="T349" s="23" t="str">
        <f aca="false">IF(J349="Válida",B349,"")</f>
        <v/>
      </c>
      <c r="U349" s="23" t="str">
        <f aca="false">IF(J349="Válida",F349,"")</f>
        <v/>
      </c>
    </row>
    <row r="350" customFormat="false" ht="15" hidden="false" customHeight="false" outlineLevel="0" collapsed="false">
      <c r="A350" s="22" t="str">
        <f aca="false">IF(MES!A350="","",MES!A350)</f>
        <v/>
      </c>
      <c r="B350" s="23" t="str">
        <f aca="false">IF(A350="","",MES!B350)</f>
        <v/>
      </c>
      <c r="C350" s="22" t="str">
        <f aca="false">IF(A350="","",A350+Parametros!$B$3/24)</f>
        <v/>
      </c>
      <c r="D350" s="22" t="str">
        <f aca="false">IF(A350="","",C350+Parametros!$B$2/24)</f>
        <v/>
      </c>
      <c r="E350" s="24" t="str">
        <f aca="false">IF(A350="","",COUNTIFS(Modulo!$A$2:$A$5001,"&gt;="&amp;C350,Modulo!$A$2:$A$5001,"&lt;"&amp;D350,Modulo!$D$2:$D$5001,Parametros!$B$7))</f>
        <v/>
      </c>
      <c r="F350" s="23" t="str">
        <f aca="false">IF(A350="","",IF(E350=0,"",AVERAGEIFS(Modulo!$B$2:$B$5001,Modulo!$A$2:$A$5001,"&gt;="&amp;C350,Modulo!$A$2:$A$5001,"&lt;"&amp;D350,Modulo!$D$2:$D$5001,Parametros!$B$7)))</f>
        <v/>
      </c>
      <c r="G350" s="23" t="str">
        <f aca="false">IF(A350="","",IF(E350=0,"",AVERAGEIFS(Modulo!$C$2:$C$5001,Modulo!$A$2:$A$5001,"&gt;="&amp;C350,Modulo!$A$2:$A$5001,"&lt;"&amp;D350,Modulo!$D$2:$D$5001,Parametros!$B$7)))</f>
        <v/>
      </c>
      <c r="H350" s="25" t="str">
        <f aca="false">IF(A350="","",IFERROR(COUNTIFS(Amostragem!$A$2:$A$15003,"&gt;="&amp;C350,Amostragem!$A$2:$A$15003,"&lt;"&amp;D350,Amostragem!$B$2:$B$15003,"Automático",Amostragem!$C$2:$C$15003,"Automático",Amostragem!$D$2:$D$15003,0)/COUNTIFS(Amostragem!$A$2:$A$15003,"&gt;="&amp;C350,Amostragem!$A$2:$A$15003,"&lt;"&amp;D350),0))</f>
        <v/>
      </c>
      <c r="I350" s="23" t="str">
        <f aca="false">IF(A350="","",IFERROR(AVERAGEIFS(Amostragem!$E$2:$E$15003,Amostragem!$A$2:$A$15003,"&gt;="&amp;C350,Amostragem!$A$2:$A$15003,"&lt;"&amp;D350),""))</f>
        <v/>
      </c>
      <c r="J350" s="24" t="str">
        <f aca="false">IF(A350="","",IF(B350="","Inválida: sem resultado MES",IF(E350&lt;Parametros!$B$4,"Inválida: poucos ensaios do módulo",IF(H350&lt;Parametros!$B$5,"Inválida: amostragem em manual ou em falha",IF(OR(I350="",I350&lt;Parametros!$B$6),"Inválida: usina parada ou baixa alimentação","Válida")))))</f>
        <v/>
      </c>
      <c r="K350" s="23" t="str">
        <f aca="false">IF(J350="Válida",F350-B350,"")</f>
        <v/>
      </c>
      <c r="L350" s="26" t="str">
        <f aca="false">IF(J350="Válida",K350/B350,"")</f>
        <v/>
      </c>
      <c r="M350" s="23" t="str">
        <f aca="false">IF(J350="Válida",(F350+B350)/2,"")</f>
        <v/>
      </c>
      <c r="N350" s="24" t="str">
        <f aca="false">IF(K350="","",IF(OR(K350&gt;Resumo!$B$16,K350&lt;Resumo!$B$15),"Sim","Não"))</f>
        <v/>
      </c>
      <c r="O350" s="22" t="e">
        <f aca="false">IF(A350="",NA(),A350)</f>
        <v>#N/A</v>
      </c>
      <c r="P350" s="23" t="e">
        <f aca="false">IF(A350="",NA(),B350)</f>
        <v>#N/A</v>
      </c>
      <c r="Q350" s="23" t="e">
        <f aca="false">IF(F350="",NA(),F350)</f>
        <v>#N/A</v>
      </c>
      <c r="R350" s="23" t="e">
        <f aca="false">IF(K350="",NA(),K350)</f>
        <v>#N/A</v>
      </c>
      <c r="S350" s="23" t="e">
        <f aca="false">IF(M350="",NA(),M350)</f>
        <v>#N/A</v>
      </c>
      <c r="T350" s="23" t="str">
        <f aca="false">IF(J350="Válida",B350,"")</f>
        <v/>
      </c>
      <c r="U350" s="23" t="str">
        <f aca="false">IF(J350="Válida",F350,"")</f>
        <v/>
      </c>
    </row>
    <row r="351" customFormat="false" ht="15" hidden="false" customHeight="false" outlineLevel="0" collapsed="false">
      <c r="A351" s="22" t="str">
        <f aca="false">IF(MES!A351="","",MES!A351)</f>
        <v/>
      </c>
      <c r="B351" s="23" t="str">
        <f aca="false">IF(A351="","",MES!B351)</f>
        <v/>
      </c>
      <c r="C351" s="22" t="str">
        <f aca="false">IF(A351="","",A351+Parametros!$B$3/24)</f>
        <v/>
      </c>
      <c r="D351" s="22" t="str">
        <f aca="false">IF(A351="","",C351+Parametros!$B$2/24)</f>
        <v/>
      </c>
      <c r="E351" s="24" t="str">
        <f aca="false">IF(A351="","",COUNTIFS(Modulo!$A$2:$A$5001,"&gt;="&amp;C351,Modulo!$A$2:$A$5001,"&lt;"&amp;D351,Modulo!$D$2:$D$5001,Parametros!$B$7))</f>
        <v/>
      </c>
      <c r="F351" s="23" t="str">
        <f aca="false">IF(A351="","",IF(E351=0,"",AVERAGEIFS(Modulo!$B$2:$B$5001,Modulo!$A$2:$A$5001,"&gt;="&amp;C351,Modulo!$A$2:$A$5001,"&lt;"&amp;D351,Modulo!$D$2:$D$5001,Parametros!$B$7)))</f>
        <v/>
      </c>
      <c r="G351" s="23" t="str">
        <f aca="false">IF(A351="","",IF(E351=0,"",AVERAGEIFS(Modulo!$C$2:$C$5001,Modulo!$A$2:$A$5001,"&gt;="&amp;C351,Modulo!$A$2:$A$5001,"&lt;"&amp;D351,Modulo!$D$2:$D$5001,Parametros!$B$7)))</f>
        <v/>
      </c>
      <c r="H351" s="25" t="str">
        <f aca="false">IF(A351="","",IFERROR(COUNTIFS(Amostragem!$A$2:$A$15003,"&gt;="&amp;C351,Amostragem!$A$2:$A$15003,"&lt;"&amp;D351,Amostragem!$B$2:$B$15003,"Automático",Amostragem!$C$2:$C$15003,"Automático",Amostragem!$D$2:$D$15003,0)/COUNTIFS(Amostragem!$A$2:$A$15003,"&gt;="&amp;C351,Amostragem!$A$2:$A$15003,"&lt;"&amp;D351),0))</f>
        <v/>
      </c>
      <c r="I351" s="23" t="str">
        <f aca="false">IF(A351="","",IFERROR(AVERAGEIFS(Amostragem!$E$2:$E$15003,Amostragem!$A$2:$A$15003,"&gt;="&amp;C351,Amostragem!$A$2:$A$15003,"&lt;"&amp;D351),""))</f>
        <v/>
      </c>
      <c r="J351" s="24" t="str">
        <f aca="false">IF(A351="","",IF(B351="","Inválida: sem resultado MES",IF(E351&lt;Parametros!$B$4,"Inválida: poucos ensaios do módulo",IF(H351&lt;Parametros!$B$5,"Inválida: amostragem em manual ou em falha",IF(OR(I351="",I351&lt;Parametros!$B$6),"Inválida: usina parada ou baixa alimentação","Válida")))))</f>
        <v/>
      </c>
      <c r="K351" s="23" t="str">
        <f aca="false">IF(J351="Válida",F351-B351,"")</f>
        <v/>
      </c>
      <c r="L351" s="26" t="str">
        <f aca="false">IF(J351="Válida",K351/B351,"")</f>
        <v/>
      </c>
      <c r="M351" s="23" t="str">
        <f aca="false">IF(J351="Válida",(F351+B351)/2,"")</f>
        <v/>
      </c>
      <c r="N351" s="24" t="str">
        <f aca="false">IF(K351="","",IF(OR(K351&gt;Resumo!$B$16,K351&lt;Resumo!$B$15),"Sim","Não"))</f>
        <v/>
      </c>
      <c r="O351" s="22" t="e">
        <f aca="false">IF(A351="",NA(),A351)</f>
        <v>#N/A</v>
      </c>
      <c r="P351" s="23" t="e">
        <f aca="false">IF(A351="",NA(),B351)</f>
        <v>#N/A</v>
      </c>
      <c r="Q351" s="23" t="e">
        <f aca="false">IF(F351="",NA(),F351)</f>
        <v>#N/A</v>
      </c>
      <c r="R351" s="23" t="e">
        <f aca="false">IF(K351="",NA(),K351)</f>
        <v>#N/A</v>
      </c>
      <c r="S351" s="23" t="e">
        <f aca="false">IF(M351="",NA(),M351)</f>
        <v>#N/A</v>
      </c>
      <c r="T351" s="23" t="str">
        <f aca="false">IF(J351="Válida",B351,"")</f>
        <v/>
      </c>
      <c r="U351" s="23" t="str">
        <f aca="false">IF(J351="Válida",F351,"")</f>
        <v/>
      </c>
    </row>
    <row r="352" customFormat="false" ht="15" hidden="false" customHeight="false" outlineLevel="0" collapsed="false">
      <c r="A352" s="22" t="str">
        <f aca="false">IF(MES!A352="","",MES!A352)</f>
        <v/>
      </c>
      <c r="B352" s="23" t="str">
        <f aca="false">IF(A352="","",MES!B352)</f>
        <v/>
      </c>
      <c r="C352" s="22" t="str">
        <f aca="false">IF(A352="","",A352+Parametros!$B$3/24)</f>
        <v/>
      </c>
      <c r="D352" s="22" t="str">
        <f aca="false">IF(A352="","",C352+Parametros!$B$2/24)</f>
        <v/>
      </c>
      <c r="E352" s="24" t="str">
        <f aca="false">IF(A352="","",COUNTIFS(Modulo!$A$2:$A$5001,"&gt;="&amp;C352,Modulo!$A$2:$A$5001,"&lt;"&amp;D352,Modulo!$D$2:$D$5001,Parametros!$B$7))</f>
        <v/>
      </c>
      <c r="F352" s="23" t="str">
        <f aca="false">IF(A352="","",IF(E352=0,"",AVERAGEIFS(Modulo!$B$2:$B$5001,Modulo!$A$2:$A$5001,"&gt;="&amp;C352,Modulo!$A$2:$A$5001,"&lt;"&amp;D352,Modulo!$D$2:$D$5001,Parametros!$B$7)))</f>
        <v/>
      </c>
      <c r="G352" s="23" t="str">
        <f aca="false">IF(A352="","",IF(E352=0,"",AVERAGEIFS(Modulo!$C$2:$C$5001,Modulo!$A$2:$A$5001,"&gt;="&amp;C352,Modulo!$A$2:$A$5001,"&lt;"&amp;D352,Modulo!$D$2:$D$5001,Parametros!$B$7)))</f>
        <v/>
      </c>
      <c r="H352" s="25" t="str">
        <f aca="false">IF(A352="","",IFERROR(COUNTIFS(Amostragem!$A$2:$A$15003,"&gt;="&amp;C352,Amostragem!$A$2:$A$15003,"&lt;"&amp;D352,Amostragem!$B$2:$B$15003,"Automático",Amostragem!$C$2:$C$15003,"Automático",Amostragem!$D$2:$D$15003,0)/COUNTIFS(Amostragem!$A$2:$A$15003,"&gt;="&amp;C352,Amostragem!$A$2:$A$15003,"&lt;"&amp;D352),0))</f>
        <v/>
      </c>
      <c r="I352" s="23" t="str">
        <f aca="false">IF(A352="","",IFERROR(AVERAGEIFS(Amostragem!$E$2:$E$15003,Amostragem!$A$2:$A$15003,"&gt;="&amp;C352,Amostragem!$A$2:$A$15003,"&lt;"&amp;D352),""))</f>
        <v/>
      </c>
      <c r="J352" s="24" t="str">
        <f aca="false">IF(A352="","",IF(B352="","Inválida: sem resultado MES",IF(E352&lt;Parametros!$B$4,"Inválida: poucos ensaios do módulo",IF(H352&lt;Parametros!$B$5,"Inválida: amostragem em manual ou em falha",IF(OR(I352="",I352&lt;Parametros!$B$6),"Inválida: usina parada ou baixa alimentação","Válida")))))</f>
        <v/>
      </c>
      <c r="K352" s="23" t="str">
        <f aca="false">IF(J352="Válida",F352-B352,"")</f>
        <v/>
      </c>
      <c r="L352" s="26" t="str">
        <f aca="false">IF(J352="Válida",K352/B352,"")</f>
        <v/>
      </c>
      <c r="M352" s="23" t="str">
        <f aca="false">IF(J352="Válida",(F352+B352)/2,"")</f>
        <v/>
      </c>
      <c r="N352" s="24" t="str">
        <f aca="false">IF(K352="","",IF(OR(K352&gt;Resumo!$B$16,K352&lt;Resumo!$B$15),"Sim","Não"))</f>
        <v/>
      </c>
      <c r="O352" s="22" t="e">
        <f aca="false">IF(A352="",NA(),A352)</f>
        <v>#N/A</v>
      </c>
      <c r="P352" s="23" t="e">
        <f aca="false">IF(A352="",NA(),B352)</f>
        <v>#N/A</v>
      </c>
      <c r="Q352" s="23" t="e">
        <f aca="false">IF(F352="",NA(),F352)</f>
        <v>#N/A</v>
      </c>
      <c r="R352" s="23" t="e">
        <f aca="false">IF(K352="",NA(),K352)</f>
        <v>#N/A</v>
      </c>
      <c r="S352" s="23" t="e">
        <f aca="false">IF(M352="",NA(),M352)</f>
        <v>#N/A</v>
      </c>
      <c r="T352" s="23" t="str">
        <f aca="false">IF(J352="Válida",B352,"")</f>
        <v/>
      </c>
      <c r="U352" s="23" t="str">
        <f aca="false">IF(J352="Válida",F352,"")</f>
        <v/>
      </c>
    </row>
    <row r="353" customFormat="false" ht="15" hidden="false" customHeight="false" outlineLevel="0" collapsed="false">
      <c r="A353" s="22" t="str">
        <f aca="false">IF(MES!A353="","",MES!A353)</f>
        <v/>
      </c>
      <c r="B353" s="23" t="str">
        <f aca="false">IF(A353="","",MES!B353)</f>
        <v/>
      </c>
      <c r="C353" s="22" t="str">
        <f aca="false">IF(A353="","",A353+Parametros!$B$3/24)</f>
        <v/>
      </c>
      <c r="D353" s="22" t="str">
        <f aca="false">IF(A353="","",C353+Parametros!$B$2/24)</f>
        <v/>
      </c>
      <c r="E353" s="24" t="str">
        <f aca="false">IF(A353="","",COUNTIFS(Modulo!$A$2:$A$5001,"&gt;="&amp;C353,Modulo!$A$2:$A$5001,"&lt;"&amp;D353,Modulo!$D$2:$D$5001,Parametros!$B$7))</f>
        <v/>
      </c>
      <c r="F353" s="23" t="str">
        <f aca="false">IF(A353="","",IF(E353=0,"",AVERAGEIFS(Modulo!$B$2:$B$5001,Modulo!$A$2:$A$5001,"&gt;="&amp;C353,Modulo!$A$2:$A$5001,"&lt;"&amp;D353,Modulo!$D$2:$D$5001,Parametros!$B$7)))</f>
        <v/>
      </c>
      <c r="G353" s="23" t="str">
        <f aca="false">IF(A353="","",IF(E353=0,"",AVERAGEIFS(Modulo!$C$2:$C$5001,Modulo!$A$2:$A$5001,"&gt;="&amp;C353,Modulo!$A$2:$A$5001,"&lt;"&amp;D353,Modulo!$D$2:$D$5001,Parametros!$B$7)))</f>
        <v/>
      </c>
      <c r="H353" s="25" t="str">
        <f aca="false">IF(A353="","",IFERROR(COUNTIFS(Amostragem!$A$2:$A$15003,"&gt;="&amp;C353,Amostragem!$A$2:$A$15003,"&lt;"&amp;D353,Amostragem!$B$2:$B$15003,"Automático",Amostragem!$C$2:$C$15003,"Automático",Amostragem!$D$2:$D$15003,0)/COUNTIFS(Amostragem!$A$2:$A$15003,"&gt;="&amp;C353,Amostragem!$A$2:$A$15003,"&lt;"&amp;D353),0))</f>
        <v/>
      </c>
      <c r="I353" s="23" t="str">
        <f aca="false">IF(A353="","",IFERROR(AVERAGEIFS(Amostragem!$E$2:$E$15003,Amostragem!$A$2:$A$15003,"&gt;="&amp;C353,Amostragem!$A$2:$A$15003,"&lt;"&amp;D353),""))</f>
        <v/>
      </c>
      <c r="J353" s="24" t="str">
        <f aca="false">IF(A353="","",IF(B353="","Inválida: sem resultado MES",IF(E353&lt;Parametros!$B$4,"Inválida: poucos ensaios do módulo",IF(H353&lt;Parametros!$B$5,"Inválida: amostragem em manual ou em falha",IF(OR(I353="",I353&lt;Parametros!$B$6),"Inválida: usina parada ou baixa alimentação","Válida")))))</f>
        <v/>
      </c>
      <c r="K353" s="23" t="str">
        <f aca="false">IF(J353="Válida",F353-B353,"")</f>
        <v/>
      </c>
      <c r="L353" s="26" t="str">
        <f aca="false">IF(J353="Válida",K353/B353,"")</f>
        <v/>
      </c>
      <c r="M353" s="23" t="str">
        <f aca="false">IF(J353="Válida",(F353+B353)/2,"")</f>
        <v/>
      </c>
      <c r="N353" s="24" t="str">
        <f aca="false">IF(K353="","",IF(OR(K353&gt;Resumo!$B$16,K353&lt;Resumo!$B$15),"Sim","Não"))</f>
        <v/>
      </c>
      <c r="O353" s="22" t="e">
        <f aca="false">IF(A353="",NA(),A353)</f>
        <v>#N/A</v>
      </c>
      <c r="P353" s="23" t="e">
        <f aca="false">IF(A353="",NA(),B353)</f>
        <v>#N/A</v>
      </c>
      <c r="Q353" s="23" t="e">
        <f aca="false">IF(F353="",NA(),F353)</f>
        <v>#N/A</v>
      </c>
      <c r="R353" s="23" t="e">
        <f aca="false">IF(K353="",NA(),K353)</f>
        <v>#N/A</v>
      </c>
      <c r="S353" s="23" t="e">
        <f aca="false">IF(M353="",NA(),M353)</f>
        <v>#N/A</v>
      </c>
      <c r="T353" s="23" t="str">
        <f aca="false">IF(J353="Válida",B353,"")</f>
        <v/>
      </c>
      <c r="U353" s="23" t="str">
        <f aca="false">IF(J353="Válida",F353,"")</f>
        <v/>
      </c>
    </row>
    <row r="354" customFormat="false" ht="15" hidden="false" customHeight="false" outlineLevel="0" collapsed="false">
      <c r="A354" s="22" t="str">
        <f aca="false">IF(MES!A354="","",MES!A354)</f>
        <v/>
      </c>
      <c r="B354" s="23" t="str">
        <f aca="false">IF(A354="","",MES!B354)</f>
        <v/>
      </c>
      <c r="C354" s="22" t="str">
        <f aca="false">IF(A354="","",A354+Parametros!$B$3/24)</f>
        <v/>
      </c>
      <c r="D354" s="22" t="str">
        <f aca="false">IF(A354="","",C354+Parametros!$B$2/24)</f>
        <v/>
      </c>
      <c r="E354" s="24" t="str">
        <f aca="false">IF(A354="","",COUNTIFS(Modulo!$A$2:$A$5001,"&gt;="&amp;C354,Modulo!$A$2:$A$5001,"&lt;"&amp;D354,Modulo!$D$2:$D$5001,Parametros!$B$7))</f>
        <v/>
      </c>
      <c r="F354" s="23" t="str">
        <f aca="false">IF(A354="","",IF(E354=0,"",AVERAGEIFS(Modulo!$B$2:$B$5001,Modulo!$A$2:$A$5001,"&gt;="&amp;C354,Modulo!$A$2:$A$5001,"&lt;"&amp;D354,Modulo!$D$2:$D$5001,Parametros!$B$7)))</f>
        <v/>
      </c>
      <c r="G354" s="23" t="str">
        <f aca="false">IF(A354="","",IF(E354=0,"",AVERAGEIFS(Modulo!$C$2:$C$5001,Modulo!$A$2:$A$5001,"&gt;="&amp;C354,Modulo!$A$2:$A$5001,"&lt;"&amp;D354,Modulo!$D$2:$D$5001,Parametros!$B$7)))</f>
        <v/>
      </c>
      <c r="H354" s="25" t="str">
        <f aca="false">IF(A354="","",IFERROR(COUNTIFS(Amostragem!$A$2:$A$15003,"&gt;="&amp;C354,Amostragem!$A$2:$A$15003,"&lt;"&amp;D354,Amostragem!$B$2:$B$15003,"Automático",Amostragem!$C$2:$C$15003,"Automático",Amostragem!$D$2:$D$15003,0)/COUNTIFS(Amostragem!$A$2:$A$15003,"&gt;="&amp;C354,Amostragem!$A$2:$A$15003,"&lt;"&amp;D354),0))</f>
        <v/>
      </c>
      <c r="I354" s="23" t="str">
        <f aca="false">IF(A354="","",IFERROR(AVERAGEIFS(Amostragem!$E$2:$E$15003,Amostragem!$A$2:$A$15003,"&gt;="&amp;C354,Amostragem!$A$2:$A$15003,"&lt;"&amp;D354),""))</f>
        <v/>
      </c>
      <c r="J354" s="24" t="str">
        <f aca="false">IF(A354="","",IF(B354="","Inválida: sem resultado MES",IF(E354&lt;Parametros!$B$4,"Inválida: poucos ensaios do módulo",IF(H354&lt;Parametros!$B$5,"Inválida: amostragem em manual ou em falha",IF(OR(I354="",I354&lt;Parametros!$B$6),"Inválida: usina parada ou baixa alimentação","Válida")))))</f>
        <v/>
      </c>
      <c r="K354" s="23" t="str">
        <f aca="false">IF(J354="Válida",F354-B354,"")</f>
        <v/>
      </c>
      <c r="L354" s="26" t="str">
        <f aca="false">IF(J354="Válida",K354/B354,"")</f>
        <v/>
      </c>
      <c r="M354" s="23" t="str">
        <f aca="false">IF(J354="Válida",(F354+B354)/2,"")</f>
        <v/>
      </c>
      <c r="N354" s="24" t="str">
        <f aca="false">IF(K354="","",IF(OR(K354&gt;Resumo!$B$16,K354&lt;Resumo!$B$15),"Sim","Não"))</f>
        <v/>
      </c>
      <c r="O354" s="22" t="e">
        <f aca="false">IF(A354="",NA(),A354)</f>
        <v>#N/A</v>
      </c>
      <c r="P354" s="23" t="e">
        <f aca="false">IF(A354="",NA(),B354)</f>
        <v>#N/A</v>
      </c>
      <c r="Q354" s="23" t="e">
        <f aca="false">IF(F354="",NA(),F354)</f>
        <v>#N/A</v>
      </c>
      <c r="R354" s="23" t="e">
        <f aca="false">IF(K354="",NA(),K354)</f>
        <v>#N/A</v>
      </c>
      <c r="S354" s="23" t="e">
        <f aca="false">IF(M354="",NA(),M354)</f>
        <v>#N/A</v>
      </c>
      <c r="T354" s="23" t="str">
        <f aca="false">IF(J354="Válida",B354,"")</f>
        <v/>
      </c>
      <c r="U354" s="23" t="str">
        <f aca="false">IF(J354="Válida",F354,"")</f>
        <v/>
      </c>
    </row>
    <row r="355" customFormat="false" ht="15" hidden="false" customHeight="false" outlineLevel="0" collapsed="false">
      <c r="A355" s="22" t="str">
        <f aca="false">IF(MES!A355="","",MES!A355)</f>
        <v/>
      </c>
      <c r="B355" s="23" t="str">
        <f aca="false">IF(A355="","",MES!B355)</f>
        <v/>
      </c>
      <c r="C355" s="22" t="str">
        <f aca="false">IF(A355="","",A355+Parametros!$B$3/24)</f>
        <v/>
      </c>
      <c r="D355" s="22" t="str">
        <f aca="false">IF(A355="","",C355+Parametros!$B$2/24)</f>
        <v/>
      </c>
      <c r="E355" s="24" t="str">
        <f aca="false">IF(A355="","",COUNTIFS(Modulo!$A$2:$A$5001,"&gt;="&amp;C355,Modulo!$A$2:$A$5001,"&lt;"&amp;D355,Modulo!$D$2:$D$5001,Parametros!$B$7))</f>
        <v/>
      </c>
      <c r="F355" s="23" t="str">
        <f aca="false">IF(A355="","",IF(E355=0,"",AVERAGEIFS(Modulo!$B$2:$B$5001,Modulo!$A$2:$A$5001,"&gt;="&amp;C355,Modulo!$A$2:$A$5001,"&lt;"&amp;D355,Modulo!$D$2:$D$5001,Parametros!$B$7)))</f>
        <v/>
      </c>
      <c r="G355" s="23" t="str">
        <f aca="false">IF(A355="","",IF(E355=0,"",AVERAGEIFS(Modulo!$C$2:$C$5001,Modulo!$A$2:$A$5001,"&gt;="&amp;C355,Modulo!$A$2:$A$5001,"&lt;"&amp;D355,Modulo!$D$2:$D$5001,Parametros!$B$7)))</f>
        <v/>
      </c>
      <c r="H355" s="25" t="str">
        <f aca="false">IF(A355="","",IFERROR(COUNTIFS(Amostragem!$A$2:$A$15003,"&gt;="&amp;C355,Amostragem!$A$2:$A$15003,"&lt;"&amp;D355,Amostragem!$B$2:$B$15003,"Automático",Amostragem!$C$2:$C$15003,"Automático",Amostragem!$D$2:$D$15003,0)/COUNTIFS(Amostragem!$A$2:$A$15003,"&gt;="&amp;C355,Amostragem!$A$2:$A$15003,"&lt;"&amp;D355),0))</f>
        <v/>
      </c>
      <c r="I355" s="23" t="str">
        <f aca="false">IF(A355="","",IFERROR(AVERAGEIFS(Amostragem!$E$2:$E$15003,Amostragem!$A$2:$A$15003,"&gt;="&amp;C355,Amostragem!$A$2:$A$15003,"&lt;"&amp;D355),""))</f>
        <v/>
      </c>
      <c r="J355" s="24" t="str">
        <f aca="false">IF(A355="","",IF(B355="","Inválida: sem resultado MES",IF(E355&lt;Parametros!$B$4,"Inválida: poucos ensaios do módulo",IF(H355&lt;Parametros!$B$5,"Inválida: amostragem em manual ou em falha",IF(OR(I355="",I355&lt;Parametros!$B$6),"Inválida: usina parada ou baixa alimentação","Válida")))))</f>
        <v/>
      </c>
      <c r="K355" s="23" t="str">
        <f aca="false">IF(J355="Válida",F355-B355,"")</f>
        <v/>
      </c>
      <c r="L355" s="26" t="str">
        <f aca="false">IF(J355="Válida",K355/B355,"")</f>
        <v/>
      </c>
      <c r="M355" s="23" t="str">
        <f aca="false">IF(J355="Válida",(F355+B355)/2,"")</f>
        <v/>
      </c>
      <c r="N355" s="24" t="str">
        <f aca="false">IF(K355="","",IF(OR(K355&gt;Resumo!$B$16,K355&lt;Resumo!$B$15),"Sim","Não"))</f>
        <v/>
      </c>
      <c r="O355" s="22" t="e">
        <f aca="false">IF(A355="",NA(),A355)</f>
        <v>#N/A</v>
      </c>
      <c r="P355" s="23" t="e">
        <f aca="false">IF(A355="",NA(),B355)</f>
        <v>#N/A</v>
      </c>
      <c r="Q355" s="23" t="e">
        <f aca="false">IF(F355="",NA(),F355)</f>
        <v>#N/A</v>
      </c>
      <c r="R355" s="23" t="e">
        <f aca="false">IF(K355="",NA(),K355)</f>
        <v>#N/A</v>
      </c>
      <c r="S355" s="23" t="e">
        <f aca="false">IF(M355="",NA(),M355)</f>
        <v>#N/A</v>
      </c>
      <c r="T355" s="23" t="str">
        <f aca="false">IF(J355="Válida",B355,"")</f>
        <v/>
      </c>
      <c r="U355" s="23" t="str">
        <f aca="false">IF(J355="Válida",F355,"")</f>
        <v/>
      </c>
    </row>
    <row r="356" customFormat="false" ht="15" hidden="false" customHeight="false" outlineLevel="0" collapsed="false">
      <c r="A356" s="22" t="str">
        <f aca="false">IF(MES!A356="","",MES!A356)</f>
        <v/>
      </c>
      <c r="B356" s="23" t="str">
        <f aca="false">IF(A356="","",MES!B356)</f>
        <v/>
      </c>
      <c r="C356" s="22" t="str">
        <f aca="false">IF(A356="","",A356+Parametros!$B$3/24)</f>
        <v/>
      </c>
      <c r="D356" s="22" t="str">
        <f aca="false">IF(A356="","",C356+Parametros!$B$2/24)</f>
        <v/>
      </c>
      <c r="E356" s="24" t="str">
        <f aca="false">IF(A356="","",COUNTIFS(Modulo!$A$2:$A$5001,"&gt;="&amp;C356,Modulo!$A$2:$A$5001,"&lt;"&amp;D356,Modulo!$D$2:$D$5001,Parametros!$B$7))</f>
        <v/>
      </c>
      <c r="F356" s="23" t="str">
        <f aca="false">IF(A356="","",IF(E356=0,"",AVERAGEIFS(Modulo!$B$2:$B$5001,Modulo!$A$2:$A$5001,"&gt;="&amp;C356,Modulo!$A$2:$A$5001,"&lt;"&amp;D356,Modulo!$D$2:$D$5001,Parametros!$B$7)))</f>
        <v/>
      </c>
      <c r="G356" s="23" t="str">
        <f aca="false">IF(A356="","",IF(E356=0,"",AVERAGEIFS(Modulo!$C$2:$C$5001,Modulo!$A$2:$A$5001,"&gt;="&amp;C356,Modulo!$A$2:$A$5001,"&lt;"&amp;D356,Modulo!$D$2:$D$5001,Parametros!$B$7)))</f>
        <v/>
      </c>
      <c r="H356" s="25" t="str">
        <f aca="false">IF(A356="","",IFERROR(COUNTIFS(Amostragem!$A$2:$A$15003,"&gt;="&amp;C356,Amostragem!$A$2:$A$15003,"&lt;"&amp;D356,Amostragem!$B$2:$B$15003,"Automático",Amostragem!$C$2:$C$15003,"Automático",Amostragem!$D$2:$D$15003,0)/COUNTIFS(Amostragem!$A$2:$A$15003,"&gt;="&amp;C356,Amostragem!$A$2:$A$15003,"&lt;"&amp;D356),0))</f>
        <v/>
      </c>
      <c r="I356" s="23" t="str">
        <f aca="false">IF(A356="","",IFERROR(AVERAGEIFS(Amostragem!$E$2:$E$15003,Amostragem!$A$2:$A$15003,"&gt;="&amp;C356,Amostragem!$A$2:$A$15003,"&lt;"&amp;D356),""))</f>
        <v/>
      </c>
      <c r="J356" s="24" t="str">
        <f aca="false">IF(A356="","",IF(B356="","Inválida: sem resultado MES",IF(E356&lt;Parametros!$B$4,"Inválida: poucos ensaios do módulo",IF(H356&lt;Parametros!$B$5,"Inválida: amostragem em manual ou em falha",IF(OR(I356="",I356&lt;Parametros!$B$6),"Inválida: usina parada ou baixa alimentação","Válida")))))</f>
        <v/>
      </c>
      <c r="K356" s="23" t="str">
        <f aca="false">IF(J356="Válida",F356-B356,"")</f>
        <v/>
      </c>
      <c r="L356" s="26" t="str">
        <f aca="false">IF(J356="Válida",K356/B356,"")</f>
        <v/>
      </c>
      <c r="M356" s="23" t="str">
        <f aca="false">IF(J356="Válida",(F356+B356)/2,"")</f>
        <v/>
      </c>
      <c r="N356" s="24" t="str">
        <f aca="false">IF(K356="","",IF(OR(K356&gt;Resumo!$B$16,K356&lt;Resumo!$B$15),"Sim","Não"))</f>
        <v/>
      </c>
      <c r="O356" s="22" t="e">
        <f aca="false">IF(A356="",NA(),A356)</f>
        <v>#N/A</v>
      </c>
      <c r="P356" s="23" t="e">
        <f aca="false">IF(A356="",NA(),B356)</f>
        <v>#N/A</v>
      </c>
      <c r="Q356" s="23" t="e">
        <f aca="false">IF(F356="",NA(),F356)</f>
        <v>#N/A</v>
      </c>
      <c r="R356" s="23" t="e">
        <f aca="false">IF(K356="",NA(),K356)</f>
        <v>#N/A</v>
      </c>
      <c r="S356" s="23" t="e">
        <f aca="false">IF(M356="",NA(),M356)</f>
        <v>#N/A</v>
      </c>
      <c r="T356" s="23" t="str">
        <f aca="false">IF(J356="Válida",B356,"")</f>
        <v/>
      </c>
      <c r="U356" s="23" t="str">
        <f aca="false">IF(J356="Válida",F356,"")</f>
        <v/>
      </c>
    </row>
    <row r="357" customFormat="false" ht="15" hidden="false" customHeight="false" outlineLevel="0" collapsed="false">
      <c r="A357" s="22" t="str">
        <f aca="false">IF(MES!A357="","",MES!A357)</f>
        <v/>
      </c>
      <c r="B357" s="23" t="str">
        <f aca="false">IF(A357="","",MES!B357)</f>
        <v/>
      </c>
      <c r="C357" s="22" t="str">
        <f aca="false">IF(A357="","",A357+Parametros!$B$3/24)</f>
        <v/>
      </c>
      <c r="D357" s="22" t="str">
        <f aca="false">IF(A357="","",C357+Parametros!$B$2/24)</f>
        <v/>
      </c>
      <c r="E357" s="24" t="str">
        <f aca="false">IF(A357="","",COUNTIFS(Modulo!$A$2:$A$5001,"&gt;="&amp;C357,Modulo!$A$2:$A$5001,"&lt;"&amp;D357,Modulo!$D$2:$D$5001,Parametros!$B$7))</f>
        <v/>
      </c>
      <c r="F357" s="23" t="str">
        <f aca="false">IF(A357="","",IF(E357=0,"",AVERAGEIFS(Modulo!$B$2:$B$5001,Modulo!$A$2:$A$5001,"&gt;="&amp;C357,Modulo!$A$2:$A$5001,"&lt;"&amp;D357,Modulo!$D$2:$D$5001,Parametros!$B$7)))</f>
        <v/>
      </c>
      <c r="G357" s="23" t="str">
        <f aca="false">IF(A357="","",IF(E357=0,"",AVERAGEIFS(Modulo!$C$2:$C$5001,Modulo!$A$2:$A$5001,"&gt;="&amp;C357,Modulo!$A$2:$A$5001,"&lt;"&amp;D357,Modulo!$D$2:$D$5001,Parametros!$B$7)))</f>
        <v/>
      </c>
      <c r="H357" s="25" t="str">
        <f aca="false">IF(A357="","",IFERROR(COUNTIFS(Amostragem!$A$2:$A$15003,"&gt;="&amp;C357,Amostragem!$A$2:$A$15003,"&lt;"&amp;D357,Amostragem!$B$2:$B$15003,"Automático",Amostragem!$C$2:$C$15003,"Automático",Amostragem!$D$2:$D$15003,0)/COUNTIFS(Amostragem!$A$2:$A$15003,"&gt;="&amp;C357,Amostragem!$A$2:$A$15003,"&lt;"&amp;D357),0))</f>
        <v/>
      </c>
      <c r="I357" s="23" t="str">
        <f aca="false">IF(A357="","",IFERROR(AVERAGEIFS(Amostragem!$E$2:$E$15003,Amostragem!$A$2:$A$15003,"&gt;="&amp;C357,Amostragem!$A$2:$A$15003,"&lt;"&amp;D357),""))</f>
        <v/>
      </c>
      <c r="J357" s="24" t="str">
        <f aca="false">IF(A357="","",IF(B357="","Inválida: sem resultado MES",IF(E357&lt;Parametros!$B$4,"Inválida: poucos ensaios do módulo",IF(H357&lt;Parametros!$B$5,"Inválida: amostragem em manual ou em falha",IF(OR(I357="",I357&lt;Parametros!$B$6),"Inválida: usina parada ou baixa alimentação","Válida")))))</f>
        <v/>
      </c>
      <c r="K357" s="23" t="str">
        <f aca="false">IF(J357="Válida",F357-B357,"")</f>
        <v/>
      </c>
      <c r="L357" s="26" t="str">
        <f aca="false">IF(J357="Válida",K357/B357,"")</f>
        <v/>
      </c>
      <c r="M357" s="23" t="str">
        <f aca="false">IF(J357="Válida",(F357+B357)/2,"")</f>
        <v/>
      </c>
      <c r="N357" s="24" t="str">
        <f aca="false">IF(K357="","",IF(OR(K357&gt;Resumo!$B$16,K357&lt;Resumo!$B$15),"Sim","Não"))</f>
        <v/>
      </c>
      <c r="O357" s="22" t="e">
        <f aca="false">IF(A357="",NA(),A357)</f>
        <v>#N/A</v>
      </c>
      <c r="P357" s="23" t="e">
        <f aca="false">IF(A357="",NA(),B357)</f>
        <v>#N/A</v>
      </c>
      <c r="Q357" s="23" t="e">
        <f aca="false">IF(F357="",NA(),F357)</f>
        <v>#N/A</v>
      </c>
      <c r="R357" s="23" t="e">
        <f aca="false">IF(K357="",NA(),K357)</f>
        <v>#N/A</v>
      </c>
      <c r="S357" s="23" t="e">
        <f aca="false">IF(M357="",NA(),M357)</f>
        <v>#N/A</v>
      </c>
      <c r="T357" s="23" t="str">
        <f aca="false">IF(J357="Válida",B357,"")</f>
        <v/>
      </c>
      <c r="U357" s="23" t="str">
        <f aca="false">IF(J357="Válida",F357,"")</f>
        <v/>
      </c>
    </row>
    <row r="358" customFormat="false" ht="15" hidden="false" customHeight="false" outlineLevel="0" collapsed="false">
      <c r="A358" s="22" t="str">
        <f aca="false">IF(MES!A358="","",MES!A358)</f>
        <v/>
      </c>
      <c r="B358" s="23" t="str">
        <f aca="false">IF(A358="","",MES!B358)</f>
        <v/>
      </c>
      <c r="C358" s="22" t="str">
        <f aca="false">IF(A358="","",A358+Parametros!$B$3/24)</f>
        <v/>
      </c>
      <c r="D358" s="22" t="str">
        <f aca="false">IF(A358="","",C358+Parametros!$B$2/24)</f>
        <v/>
      </c>
      <c r="E358" s="24" t="str">
        <f aca="false">IF(A358="","",COUNTIFS(Modulo!$A$2:$A$5001,"&gt;="&amp;C358,Modulo!$A$2:$A$5001,"&lt;"&amp;D358,Modulo!$D$2:$D$5001,Parametros!$B$7))</f>
        <v/>
      </c>
      <c r="F358" s="23" t="str">
        <f aca="false">IF(A358="","",IF(E358=0,"",AVERAGEIFS(Modulo!$B$2:$B$5001,Modulo!$A$2:$A$5001,"&gt;="&amp;C358,Modulo!$A$2:$A$5001,"&lt;"&amp;D358,Modulo!$D$2:$D$5001,Parametros!$B$7)))</f>
        <v/>
      </c>
      <c r="G358" s="23" t="str">
        <f aca="false">IF(A358="","",IF(E358=0,"",AVERAGEIFS(Modulo!$C$2:$C$5001,Modulo!$A$2:$A$5001,"&gt;="&amp;C358,Modulo!$A$2:$A$5001,"&lt;"&amp;D358,Modulo!$D$2:$D$5001,Parametros!$B$7)))</f>
        <v/>
      </c>
      <c r="H358" s="25" t="str">
        <f aca="false">IF(A358="","",IFERROR(COUNTIFS(Amostragem!$A$2:$A$15003,"&gt;="&amp;C358,Amostragem!$A$2:$A$15003,"&lt;"&amp;D358,Amostragem!$B$2:$B$15003,"Automático",Amostragem!$C$2:$C$15003,"Automático",Amostragem!$D$2:$D$15003,0)/COUNTIFS(Amostragem!$A$2:$A$15003,"&gt;="&amp;C358,Amostragem!$A$2:$A$15003,"&lt;"&amp;D358),0))</f>
        <v/>
      </c>
      <c r="I358" s="23" t="str">
        <f aca="false">IF(A358="","",IFERROR(AVERAGEIFS(Amostragem!$E$2:$E$15003,Amostragem!$A$2:$A$15003,"&gt;="&amp;C358,Amostragem!$A$2:$A$15003,"&lt;"&amp;D358),""))</f>
        <v/>
      </c>
      <c r="J358" s="24" t="str">
        <f aca="false">IF(A358="","",IF(B358="","Inválida: sem resultado MES",IF(E358&lt;Parametros!$B$4,"Inválida: poucos ensaios do módulo",IF(H358&lt;Parametros!$B$5,"Inválida: amostragem em manual ou em falha",IF(OR(I358="",I358&lt;Parametros!$B$6),"Inválida: usina parada ou baixa alimentação","Válida")))))</f>
        <v/>
      </c>
      <c r="K358" s="23" t="str">
        <f aca="false">IF(J358="Válida",F358-B358,"")</f>
        <v/>
      </c>
      <c r="L358" s="26" t="str">
        <f aca="false">IF(J358="Válida",K358/B358,"")</f>
        <v/>
      </c>
      <c r="M358" s="23" t="str">
        <f aca="false">IF(J358="Válida",(F358+B358)/2,"")</f>
        <v/>
      </c>
      <c r="N358" s="24" t="str">
        <f aca="false">IF(K358="","",IF(OR(K358&gt;Resumo!$B$16,K358&lt;Resumo!$B$15),"Sim","Não"))</f>
        <v/>
      </c>
      <c r="O358" s="22" t="e">
        <f aca="false">IF(A358="",NA(),A358)</f>
        <v>#N/A</v>
      </c>
      <c r="P358" s="23" t="e">
        <f aca="false">IF(A358="",NA(),B358)</f>
        <v>#N/A</v>
      </c>
      <c r="Q358" s="23" t="e">
        <f aca="false">IF(F358="",NA(),F358)</f>
        <v>#N/A</v>
      </c>
      <c r="R358" s="23" t="e">
        <f aca="false">IF(K358="",NA(),K358)</f>
        <v>#N/A</v>
      </c>
      <c r="S358" s="23" t="e">
        <f aca="false">IF(M358="",NA(),M358)</f>
        <v>#N/A</v>
      </c>
      <c r="T358" s="23" t="str">
        <f aca="false">IF(J358="Válida",B358,"")</f>
        <v/>
      </c>
      <c r="U358" s="23" t="str">
        <f aca="false">IF(J358="Válida",F358,"")</f>
        <v/>
      </c>
    </row>
    <row r="359" customFormat="false" ht="15" hidden="false" customHeight="false" outlineLevel="0" collapsed="false">
      <c r="A359" s="22" t="str">
        <f aca="false">IF(MES!A359="","",MES!A359)</f>
        <v/>
      </c>
      <c r="B359" s="23" t="str">
        <f aca="false">IF(A359="","",MES!B359)</f>
        <v/>
      </c>
      <c r="C359" s="22" t="str">
        <f aca="false">IF(A359="","",A359+Parametros!$B$3/24)</f>
        <v/>
      </c>
      <c r="D359" s="22" t="str">
        <f aca="false">IF(A359="","",C359+Parametros!$B$2/24)</f>
        <v/>
      </c>
      <c r="E359" s="24" t="str">
        <f aca="false">IF(A359="","",COUNTIFS(Modulo!$A$2:$A$5001,"&gt;="&amp;C359,Modulo!$A$2:$A$5001,"&lt;"&amp;D359,Modulo!$D$2:$D$5001,Parametros!$B$7))</f>
        <v/>
      </c>
      <c r="F359" s="23" t="str">
        <f aca="false">IF(A359="","",IF(E359=0,"",AVERAGEIFS(Modulo!$B$2:$B$5001,Modulo!$A$2:$A$5001,"&gt;="&amp;C359,Modulo!$A$2:$A$5001,"&lt;"&amp;D359,Modulo!$D$2:$D$5001,Parametros!$B$7)))</f>
        <v/>
      </c>
      <c r="G359" s="23" t="str">
        <f aca="false">IF(A359="","",IF(E359=0,"",AVERAGEIFS(Modulo!$C$2:$C$5001,Modulo!$A$2:$A$5001,"&gt;="&amp;C359,Modulo!$A$2:$A$5001,"&lt;"&amp;D359,Modulo!$D$2:$D$5001,Parametros!$B$7)))</f>
        <v/>
      </c>
      <c r="H359" s="25" t="str">
        <f aca="false">IF(A359="","",IFERROR(COUNTIFS(Amostragem!$A$2:$A$15003,"&gt;="&amp;C359,Amostragem!$A$2:$A$15003,"&lt;"&amp;D359,Amostragem!$B$2:$B$15003,"Automático",Amostragem!$C$2:$C$15003,"Automático",Amostragem!$D$2:$D$15003,0)/COUNTIFS(Amostragem!$A$2:$A$15003,"&gt;="&amp;C359,Amostragem!$A$2:$A$15003,"&lt;"&amp;D359),0))</f>
        <v/>
      </c>
      <c r="I359" s="23" t="str">
        <f aca="false">IF(A359="","",IFERROR(AVERAGEIFS(Amostragem!$E$2:$E$15003,Amostragem!$A$2:$A$15003,"&gt;="&amp;C359,Amostragem!$A$2:$A$15003,"&lt;"&amp;D359),""))</f>
        <v/>
      </c>
      <c r="J359" s="24" t="str">
        <f aca="false">IF(A359="","",IF(B359="","Inválida: sem resultado MES",IF(E359&lt;Parametros!$B$4,"Inválida: poucos ensaios do módulo",IF(H359&lt;Parametros!$B$5,"Inválida: amostragem em manual ou em falha",IF(OR(I359="",I359&lt;Parametros!$B$6),"Inválida: usina parada ou baixa alimentação","Válida")))))</f>
        <v/>
      </c>
      <c r="K359" s="23" t="str">
        <f aca="false">IF(J359="Válida",F359-B359,"")</f>
        <v/>
      </c>
      <c r="L359" s="26" t="str">
        <f aca="false">IF(J359="Válida",K359/B359,"")</f>
        <v/>
      </c>
      <c r="M359" s="23" t="str">
        <f aca="false">IF(J359="Válida",(F359+B359)/2,"")</f>
        <v/>
      </c>
      <c r="N359" s="24" t="str">
        <f aca="false">IF(K359="","",IF(OR(K359&gt;Resumo!$B$16,K359&lt;Resumo!$B$15),"Sim","Não"))</f>
        <v/>
      </c>
      <c r="O359" s="22" t="e">
        <f aca="false">IF(A359="",NA(),A359)</f>
        <v>#N/A</v>
      </c>
      <c r="P359" s="23" t="e">
        <f aca="false">IF(A359="",NA(),B359)</f>
        <v>#N/A</v>
      </c>
      <c r="Q359" s="23" t="e">
        <f aca="false">IF(F359="",NA(),F359)</f>
        <v>#N/A</v>
      </c>
      <c r="R359" s="23" t="e">
        <f aca="false">IF(K359="",NA(),K359)</f>
        <v>#N/A</v>
      </c>
      <c r="S359" s="23" t="e">
        <f aca="false">IF(M359="",NA(),M359)</f>
        <v>#N/A</v>
      </c>
      <c r="T359" s="23" t="str">
        <f aca="false">IF(J359="Válida",B359,"")</f>
        <v/>
      </c>
      <c r="U359" s="23" t="str">
        <f aca="false">IF(J359="Válida",F359,"")</f>
        <v/>
      </c>
    </row>
    <row r="360" customFormat="false" ht="15" hidden="false" customHeight="false" outlineLevel="0" collapsed="false">
      <c r="A360" s="22" t="str">
        <f aca="false">IF(MES!A360="","",MES!A360)</f>
        <v/>
      </c>
      <c r="B360" s="23" t="str">
        <f aca="false">IF(A360="","",MES!B360)</f>
        <v/>
      </c>
      <c r="C360" s="22" t="str">
        <f aca="false">IF(A360="","",A360+Parametros!$B$3/24)</f>
        <v/>
      </c>
      <c r="D360" s="22" t="str">
        <f aca="false">IF(A360="","",C360+Parametros!$B$2/24)</f>
        <v/>
      </c>
      <c r="E360" s="24" t="str">
        <f aca="false">IF(A360="","",COUNTIFS(Modulo!$A$2:$A$5001,"&gt;="&amp;C360,Modulo!$A$2:$A$5001,"&lt;"&amp;D360,Modulo!$D$2:$D$5001,Parametros!$B$7))</f>
        <v/>
      </c>
      <c r="F360" s="23" t="str">
        <f aca="false">IF(A360="","",IF(E360=0,"",AVERAGEIFS(Modulo!$B$2:$B$5001,Modulo!$A$2:$A$5001,"&gt;="&amp;C360,Modulo!$A$2:$A$5001,"&lt;"&amp;D360,Modulo!$D$2:$D$5001,Parametros!$B$7)))</f>
        <v/>
      </c>
      <c r="G360" s="23" t="str">
        <f aca="false">IF(A360="","",IF(E360=0,"",AVERAGEIFS(Modulo!$C$2:$C$5001,Modulo!$A$2:$A$5001,"&gt;="&amp;C360,Modulo!$A$2:$A$5001,"&lt;"&amp;D360,Modulo!$D$2:$D$5001,Parametros!$B$7)))</f>
        <v/>
      </c>
      <c r="H360" s="25" t="str">
        <f aca="false">IF(A360="","",IFERROR(COUNTIFS(Amostragem!$A$2:$A$15003,"&gt;="&amp;C360,Amostragem!$A$2:$A$15003,"&lt;"&amp;D360,Amostragem!$B$2:$B$15003,"Automático",Amostragem!$C$2:$C$15003,"Automático",Amostragem!$D$2:$D$15003,0)/COUNTIFS(Amostragem!$A$2:$A$15003,"&gt;="&amp;C360,Amostragem!$A$2:$A$15003,"&lt;"&amp;D360),0))</f>
        <v/>
      </c>
      <c r="I360" s="23" t="str">
        <f aca="false">IF(A360="","",IFERROR(AVERAGEIFS(Amostragem!$E$2:$E$15003,Amostragem!$A$2:$A$15003,"&gt;="&amp;C360,Amostragem!$A$2:$A$15003,"&lt;"&amp;D360),""))</f>
        <v/>
      </c>
      <c r="J360" s="24" t="str">
        <f aca="false">IF(A360="","",IF(B360="","Inválida: sem resultado MES",IF(E360&lt;Parametros!$B$4,"Inválida: poucos ensaios do módulo",IF(H360&lt;Parametros!$B$5,"Inválida: amostragem em manual ou em falha",IF(OR(I360="",I360&lt;Parametros!$B$6),"Inválida: usina parada ou baixa alimentação","Válida")))))</f>
        <v/>
      </c>
      <c r="K360" s="23" t="str">
        <f aca="false">IF(J360="Válida",F360-B360,"")</f>
        <v/>
      </c>
      <c r="L360" s="26" t="str">
        <f aca="false">IF(J360="Válida",K360/B360,"")</f>
        <v/>
      </c>
      <c r="M360" s="23" t="str">
        <f aca="false">IF(J360="Válida",(F360+B360)/2,"")</f>
        <v/>
      </c>
      <c r="N360" s="24" t="str">
        <f aca="false">IF(K360="","",IF(OR(K360&gt;Resumo!$B$16,K360&lt;Resumo!$B$15),"Sim","Não"))</f>
        <v/>
      </c>
      <c r="O360" s="22" t="e">
        <f aca="false">IF(A360="",NA(),A360)</f>
        <v>#N/A</v>
      </c>
      <c r="P360" s="23" t="e">
        <f aca="false">IF(A360="",NA(),B360)</f>
        <v>#N/A</v>
      </c>
      <c r="Q360" s="23" t="e">
        <f aca="false">IF(F360="",NA(),F360)</f>
        <v>#N/A</v>
      </c>
      <c r="R360" s="23" t="e">
        <f aca="false">IF(K360="",NA(),K360)</f>
        <v>#N/A</v>
      </c>
      <c r="S360" s="23" t="e">
        <f aca="false">IF(M360="",NA(),M360)</f>
        <v>#N/A</v>
      </c>
      <c r="T360" s="23" t="str">
        <f aca="false">IF(J360="Válida",B360,"")</f>
        <v/>
      </c>
      <c r="U360" s="23" t="str">
        <f aca="false">IF(J360="Válida",F360,"")</f>
        <v/>
      </c>
    </row>
    <row r="361" customFormat="false" ht="15" hidden="false" customHeight="false" outlineLevel="0" collapsed="false">
      <c r="A361" s="22" t="str">
        <f aca="false">IF(MES!A361="","",MES!A361)</f>
        <v/>
      </c>
      <c r="B361" s="23" t="str">
        <f aca="false">IF(A361="","",MES!B361)</f>
        <v/>
      </c>
      <c r="C361" s="22" t="str">
        <f aca="false">IF(A361="","",A361+Parametros!$B$3/24)</f>
        <v/>
      </c>
      <c r="D361" s="22" t="str">
        <f aca="false">IF(A361="","",C361+Parametros!$B$2/24)</f>
        <v/>
      </c>
      <c r="E361" s="24" t="str">
        <f aca="false">IF(A361="","",COUNTIFS(Modulo!$A$2:$A$5001,"&gt;="&amp;C361,Modulo!$A$2:$A$5001,"&lt;"&amp;D361,Modulo!$D$2:$D$5001,Parametros!$B$7))</f>
        <v/>
      </c>
      <c r="F361" s="23" t="str">
        <f aca="false">IF(A361="","",IF(E361=0,"",AVERAGEIFS(Modulo!$B$2:$B$5001,Modulo!$A$2:$A$5001,"&gt;="&amp;C361,Modulo!$A$2:$A$5001,"&lt;"&amp;D361,Modulo!$D$2:$D$5001,Parametros!$B$7)))</f>
        <v/>
      </c>
      <c r="G361" s="23" t="str">
        <f aca="false">IF(A361="","",IF(E361=0,"",AVERAGEIFS(Modulo!$C$2:$C$5001,Modulo!$A$2:$A$5001,"&gt;="&amp;C361,Modulo!$A$2:$A$5001,"&lt;"&amp;D361,Modulo!$D$2:$D$5001,Parametros!$B$7)))</f>
        <v/>
      </c>
      <c r="H361" s="25" t="str">
        <f aca="false">IF(A361="","",IFERROR(COUNTIFS(Amostragem!$A$2:$A$15003,"&gt;="&amp;C361,Amostragem!$A$2:$A$15003,"&lt;"&amp;D361,Amostragem!$B$2:$B$15003,"Automático",Amostragem!$C$2:$C$15003,"Automático",Amostragem!$D$2:$D$15003,0)/COUNTIFS(Amostragem!$A$2:$A$15003,"&gt;="&amp;C361,Amostragem!$A$2:$A$15003,"&lt;"&amp;D361),0))</f>
        <v/>
      </c>
      <c r="I361" s="23" t="str">
        <f aca="false">IF(A361="","",IFERROR(AVERAGEIFS(Amostragem!$E$2:$E$15003,Amostragem!$A$2:$A$15003,"&gt;="&amp;C361,Amostragem!$A$2:$A$15003,"&lt;"&amp;D361),""))</f>
        <v/>
      </c>
      <c r="J361" s="24" t="str">
        <f aca="false">IF(A361="","",IF(B361="","Inválida: sem resultado MES",IF(E361&lt;Parametros!$B$4,"Inválida: poucos ensaios do módulo",IF(H361&lt;Parametros!$B$5,"Inválida: amostragem em manual ou em falha",IF(OR(I361="",I361&lt;Parametros!$B$6),"Inválida: usina parada ou baixa alimentação","Válida")))))</f>
        <v/>
      </c>
      <c r="K361" s="23" t="str">
        <f aca="false">IF(J361="Válida",F361-B361,"")</f>
        <v/>
      </c>
      <c r="L361" s="26" t="str">
        <f aca="false">IF(J361="Válida",K361/B361,"")</f>
        <v/>
      </c>
      <c r="M361" s="23" t="str">
        <f aca="false">IF(J361="Válida",(F361+B361)/2,"")</f>
        <v/>
      </c>
      <c r="N361" s="24" t="str">
        <f aca="false">IF(K361="","",IF(OR(K361&gt;Resumo!$B$16,K361&lt;Resumo!$B$15),"Sim","Não"))</f>
        <v/>
      </c>
      <c r="O361" s="22" t="e">
        <f aca="false">IF(A361="",NA(),A361)</f>
        <v>#N/A</v>
      </c>
      <c r="P361" s="23" t="e">
        <f aca="false">IF(A361="",NA(),B361)</f>
        <v>#N/A</v>
      </c>
      <c r="Q361" s="23" t="e">
        <f aca="false">IF(F361="",NA(),F361)</f>
        <v>#N/A</v>
      </c>
      <c r="R361" s="23" t="e">
        <f aca="false">IF(K361="",NA(),K361)</f>
        <v>#N/A</v>
      </c>
      <c r="S361" s="23" t="e">
        <f aca="false">IF(M361="",NA(),M361)</f>
        <v>#N/A</v>
      </c>
      <c r="T361" s="23" t="str">
        <f aca="false">IF(J361="Válida",B361,"")</f>
        <v/>
      </c>
      <c r="U361" s="23" t="str">
        <f aca="false">IF(J361="Válida",F361,"")</f>
        <v/>
      </c>
    </row>
    <row r="362" customFormat="false" ht="15" hidden="false" customHeight="false" outlineLevel="0" collapsed="false">
      <c r="A362" s="22" t="str">
        <f aca="false">IF(MES!A362="","",MES!A362)</f>
        <v/>
      </c>
      <c r="B362" s="23" t="str">
        <f aca="false">IF(A362="","",MES!B362)</f>
        <v/>
      </c>
      <c r="C362" s="22" t="str">
        <f aca="false">IF(A362="","",A362+Parametros!$B$3/24)</f>
        <v/>
      </c>
      <c r="D362" s="22" t="str">
        <f aca="false">IF(A362="","",C362+Parametros!$B$2/24)</f>
        <v/>
      </c>
      <c r="E362" s="24" t="str">
        <f aca="false">IF(A362="","",COUNTIFS(Modulo!$A$2:$A$5001,"&gt;="&amp;C362,Modulo!$A$2:$A$5001,"&lt;"&amp;D362,Modulo!$D$2:$D$5001,Parametros!$B$7))</f>
        <v/>
      </c>
      <c r="F362" s="23" t="str">
        <f aca="false">IF(A362="","",IF(E362=0,"",AVERAGEIFS(Modulo!$B$2:$B$5001,Modulo!$A$2:$A$5001,"&gt;="&amp;C362,Modulo!$A$2:$A$5001,"&lt;"&amp;D362,Modulo!$D$2:$D$5001,Parametros!$B$7)))</f>
        <v/>
      </c>
      <c r="G362" s="23" t="str">
        <f aca="false">IF(A362="","",IF(E362=0,"",AVERAGEIFS(Modulo!$C$2:$C$5001,Modulo!$A$2:$A$5001,"&gt;="&amp;C362,Modulo!$A$2:$A$5001,"&lt;"&amp;D362,Modulo!$D$2:$D$5001,Parametros!$B$7)))</f>
        <v/>
      </c>
      <c r="H362" s="25" t="str">
        <f aca="false">IF(A362="","",IFERROR(COUNTIFS(Amostragem!$A$2:$A$15003,"&gt;="&amp;C362,Amostragem!$A$2:$A$15003,"&lt;"&amp;D362,Amostragem!$B$2:$B$15003,"Automático",Amostragem!$C$2:$C$15003,"Automático",Amostragem!$D$2:$D$15003,0)/COUNTIFS(Amostragem!$A$2:$A$15003,"&gt;="&amp;C362,Amostragem!$A$2:$A$15003,"&lt;"&amp;D362),0))</f>
        <v/>
      </c>
      <c r="I362" s="23" t="str">
        <f aca="false">IF(A362="","",IFERROR(AVERAGEIFS(Amostragem!$E$2:$E$15003,Amostragem!$A$2:$A$15003,"&gt;="&amp;C362,Amostragem!$A$2:$A$15003,"&lt;"&amp;D362),""))</f>
        <v/>
      </c>
      <c r="J362" s="24" t="str">
        <f aca="false">IF(A362="","",IF(B362="","Inválida: sem resultado MES",IF(E362&lt;Parametros!$B$4,"Inválida: poucos ensaios do módulo",IF(H362&lt;Parametros!$B$5,"Inválida: amostragem em manual ou em falha",IF(OR(I362="",I362&lt;Parametros!$B$6),"Inválida: usina parada ou baixa alimentação","Válida")))))</f>
        <v/>
      </c>
      <c r="K362" s="23" t="str">
        <f aca="false">IF(J362="Válida",F362-B362,"")</f>
        <v/>
      </c>
      <c r="L362" s="26" t="str">
        <f aca="false">IF(J362="Válida",K362/B362,"")</f>
        <v/>
      </c>
      <c r="M362" s="23" t="str">
        <f aca="false">IF(J362="Válida",(F362+B362)/2,"")</f>
        <v/>
      </c>
      <c r="N362" s="24" t="str">
        <f aca="false">IF(K362="","",IF(OR(K362&gt;Resumo!$B$16,K362&lt;Resumo!$B$15),"Sim","Não"))</f>
        <v/>
      </c>
      <c r="O362" s="22" t="e">
        <f aca="false">IF(A362="",NA(),A362)</f>
        <v>#N/A</v>
      </c>
      <c r="P362" s="23" t="e">
        <f aca="false">IF(A362="",NA(),B362)</f>
        <v>#N/A</v>
      </c>
      <c r="Q362" s="23" t="e">
        <f aca="false">IF(F362="",NA(),F362)</f>
        <v>#N/A</v>
      </c>
      <c r="R362" s="23" t="e">
        <f aca="false">IF(K362="",NA(),K362)</f>
        <v>#N/A</v>
      </c>
      <c r="S362" s="23" t="e">
        <f aca="false">IF(M362="",NA(),M362)</f>
        <v>#N/A</v>
      </c>
      <c r="T362" s="23" t="str">
        <f aca="false">IF(J362="Válida",B362,"")</f>
        <v/>
      </c>
      <c r="U362" s="23" t="str">
        <f aca="false">IF(J362="Válida",F362,"")</f>
        <v/>
      </c>
    </row>
    <row r="363" customFormat="false" ht="15" hidden="false" customHeight="false" outlineLevel="0" collapsed="false">
      <c r="A363" s="22" t="str">
        <f aca="false">IF(MES!A363="","",MES!A363)</f>
        <v/>
      </c>
      <c r="B363" s="23" t="str">
        <f aca="false">IF(A363="","",MES!B363)</f>
        <v/>
      </c>
      <c r="C363" s="22" t="str">
        <f aca="false">IF(A363="","",A363+Parametros!$B$3/24)</f>
        <v/>
      </c>
      <c r="D363" s="22" t="str">
        <f aca="false">IF(A363="","",C363+Parametros!$B$2/24)</f>
        <v/>
      </c>
      <c r="E363" s="24" t="str">
        <f aca="false">IF(A363="","",COUNTIFS(Modulo!$A$2:$A$5001,"&gt;="&amp;C363,Modulo!$A$2:$A$5001,"&lt;"&amp;D363,Modulo!$D$2:$D$5001,Parametros!$B$7))</f>
        <v/>
      </c>
      <c r="F363" s="23" t="str">
        <f aca="false">IF(A363="","",IF(E363=0,"",AVERAGEIFS(Modulo!$B$2:$B$5001,Modulo!$A$2:$A$5001,"&gt;="&amp;C363,Modulo!$A$2:$A$5001,"&lt;"&amp;D363,Modulo!$D$2:$D$5001,Parametros!$B$7)))</f>
        <v/>
      </c>
      <c r="G363" s="23" t="str">
        <f aca="false">IF(A363="","",IF(E363=0,"",AVERAGEIFS(Modulo!$C$2:$C$5001,Modulo!$A$2:$A$5001,"&gt;="&amp;C363,Modulo!$A$2:$A$5001,"&lt;"&amp;D363,Modulo!$D$2:$D$5001,Parametros!$B$7)))</f>
        <v/>
      </c>
      <c r="H363" s="25" t="str">
        <f aca="false">IF(A363="","",IFERROR(COUNTIFS(Amostragem!$A$2:$A$15003,"&gt;="&amp;C363,Amostragem!$A$2:$A$15003,"&lt;"&amp;D363,Amostragem!$B$2:$B$15003,"Automático",Amostragem!$C$2:$C$15003,"Automático",Amostragem!$D$2:$D$15003,0)/COUNTIFS(Amostragem!$A$2:$A$15003,"&gt;="&amp;C363,Amostragem!$A$2:$A$15003,"&lt;"&amp;D363),0))</f>
        <v/>
      </c>
      <c r="I363" s="23" t="str">
        <f aca="false">IF(A363="","",IFERROR(AVERAGEIFS(Amostragem!$E$2:$E$15003,Amostragem!$A$2:$A$15003,"&gt;="&amp;C363,Amostragem!$A$2:$A$15003,"&lt;"&amp;D363),""))</f>
        <v/>
      </c>
      <c r="J363" s="24" t="str">
        <f aca="false">IF(A363="","",IF(B363="","Inválida: sem resultado MES",IF(E363&lt;Parametros!$B$4,"Inválida: poucos ensaios do módulo",IF(H363&lt;Parametros!$B$5,"Inválida: amostragem em manual ou em falha",IF(OR(I363="",I363&lt;Parametros!$B$6),"Inválida: usina parada ou baixa alimentação","Válida")))))</f>
        <v/>
      </c>
      <c r="K363" s="23" t="str">
        <f aca="false">IF(J363="Válida",F363-B363,"")</f>
        <v/>
      </c>
      <c r="L363" s="26" t="str">
        <f aca="false">IF(J363="Válida",K363/B363,"")</f>
        <v/>
      </c>
      <c r="M363" s="23" t="str">
        <f aca="false">IF(J363="Válida",(F363+B363)/2,"")</f>
        <v/>
      </c>
      <c r="N363" s="24" t="str">
        <f aca="false">IF(K363="","",IF(OR(K363&gt;Resumo!$B$16,K363&lt;Resumo!$B$15),"Sim","Não"))</f>
        <v/>
      </c>
      <c r="O363" s="22" t="e">
        <f aca="false">IF(A363="",NA(),A363)</f>
        <v>#N/A</v>
      </c>
      <c r="P363" s="23" t="e">
        <f aca="false">IF(A363="",NA(),B363)</f>
        <v>#N/A</v>
      </c>
      <c r="Q363" s="23" t="e">
        <f aca="false">IF(F363="",NA(),F363)</f>
        <v>#N/A</v>
      </c>
      <c r="R363" s="23" t="e">
        <f aca="false">IF(K363="",NA(),K363)</f>
        <v>#N/A</v>
      </c>
      <c r="S363" s="23" t="e">
        <f aca="false">IF(M363="",NA(),M363)</f>
        <v>#N/A</v>
      </c>
      <c r="T363" s="23" t="str">
        <f aca="false">IF(J363="Válida",B363,"")</f>
        <v/>
      </c>
      <c r="U363" s="23" t="str">
        <f aca="false">IF(J363="Válida",F363,"")</f>
        <v/>
      </c>
    </row>
    <row r="364" customFormat="false" ht="15" hidden="false" customHeight="false" outlineLevel="0" collapsed="false">
      <c r="A364" s="22" t="str">
        <f aca="false">IF(MES!A364="","",MES!A364)</f>
        <v/>
      </c>
      <c r="B364" s="23" t="str">
        <f aca="false">IF(A364="","",MES!B364)</f>
        <v/>
      </c>
      <c r="C364" s="22" t="str">
        <f aca="false">IF(A364="","",A364+Parametros!$B$3/24)</f>
        <v/>
      </c>
      <c r="D364" s="22" t="str">
        <f aca="false">IF(A364="","",C364+Parametros!$B$2/24)</f>
        <v/>
      </c>
      <c r="E364" s="24" t="str">
        <f aca="false">IF(A364="","",COUNTIFS(Modulo!$A$2:$A$5001,"&gt;="&amp;C364,Modulo!$A$2:$A$5001,"&lt;"&amp;D364,Modulo!$D$2:$D$5001,Parametros!$B$7))</f>
        <v/>
      </c>
      <c r="F364" s="23" t="str">
        <f aca="false">IF(A364="","",IF(E364=0,"",AVERAGEIFS(Modulo!$B$2:$B$5001,Modulo!$A$2:$A$5001,"&gt;="&amp;C364,Modulo!$A$2:$A$5001,"&lt;"&amp;D364,Modulo!$D$2:$D$5001,Parametros!$B$7)))</f>
        <v/>
      </c>
      <c r="G364" s="23" t="str">
        <f aca="false">IF(A364="","",IF(E364=0,"",AVERAGEIFS(Modulo!$C$2:$C$5001,Modulo!$A$2:$A$5001,"&gt;="&amp;C364,Modulo!$A$2:$A$5001,"&lt;"&amp;D364,Modulo!$D$2:$D$5001,Parametros!$B$7)))</f>
        <v/>
      </c>
      <c r="H364" s="25" t="str">
        <f aca="false">IF(A364="","",IFERROR(COUNTIFS(Amostragem!$A$2:$A$15003,"&gt;="&amp;C364,Amostragem!$A$2:$A$15003,"&lt;"&amp;D364,Amostragem!$B$2:$B$15003,"Automático",Amostragem!$C$2:$C$15003,"Automático",Amostragem!$D$2:$D$15003,0)/COUNTIFS(Amostragem!$A$2:$A$15003,"&gt;="&amp;C364,Amostragem!$A$2:$A$15003,"&lt;"&amp;D364),0))</f>
        <v/>
      </c>
      <c r="I364" s="23" t="str">
        <f aca="false">IF(A364="","",IFERROR(AVERAGEIFS(Amostragem!$E$2:$E$15003,Amostragem!$A$2:$A$15003,"&gt;="&amp;C364,Amostragem!$A$2:$A$15003,"&lt;"&amp;D364),""))</f>
        <v/>
      </c>
      <c r="J364" s="24" t="str">
        <f aca="false">IF(A364="","",IF(B364="","Inválida: sem resultado MES",IF(E364&lt;Parametros!$B$4,"Inválida: poucos ensaios do módulo",IF(H364&lt;Parametros!$B$5,"Inválida: amostragem em manual ou em falha",IF(OR(I364="",I364&lt;Parametros!$B$6),"Inválida: usina parada ou baixa alimentação","Válida")))))</f>
        <v/>
      </c>
      <c r="K364" s="23" t="str">
        <f aca="false">IF(J364="Válida",F364-B364,"")</f>
        <v/>
      </c>
      <c r="L364" s="26" t="str">
        <f aca="false">IF(J364="Válida",K364/B364,"")</f>
        <v/>
      </c>
      <c r="M364" s="23" t="str">
        <f aca="false">IF(J364="Válida",(F364+B364)/2,"")</f>
        <v/>
      </c>
      <c r="N364" s="24" t="str">
        <f aca="false">IF(K364="","",IF(OR(K364&gt;Resumo!$B$16,K364&lt;Resumo!$B$15),"Sim","Não"))</f>
        <v/>
      </c>
      <c r="O364" s="22" t="e">
        <f aca="false">IF(A364="",NA(),A364)</f>
        <v>#N/A</v>
      </c>
      <c r="P364" s="23" t="e">
        <f aca="false">IF(A364="",NA(),B364)</f>
        <v>#N/A</v>
      </c>
      <c r="Q364" s="23" t="e">
        <f aca="false">IF(F364="",NA(),F364)</f>
        <v>#N/A</v>
      </c>
      <c r="R364" s="23" t="e">
        <f aca="false">IF(K364="",NA(),K364)</f>
        <v>#N/A</v>
      </c>
      <c r="S364" s="23" t="e">
        <f aca="false">IF(M364="",NA(),M364)</f>
        <v>#N/A</v>
      </c>
      <c r="T364" s="23" t="str">
        <f aca="false">IF(J364="Válida",B364,"")</f>
        <v/>
      </c>
      <c r="U364" s="23" t="str">
        <f aca="false">IF(J364="Válida",F364,"")</f>
        <v/>
      </c>
    </row>
    <row r="365" customFormat="false" ht="15" hidden="false" customHeight="false" outlineLevel="0" collapsed="false">
      <c r="A365" s="22" t="str">
        <f aca="false">IF(MES!A365="","",MES!A365)</f>
        <v/>
      </c>
      <c r="B365" s="23" t="str">
        <f aca="false">IF(A365="","",MES!B365)</f>
        <v/>
      </c>
      <c r="C365" s="22" t="str">
        <f aca="false">IF(A365="","",A365+Parametros!$B$3/24)</f>
        <v/>
      </c>
      <c r="D365" s="22" t="str">
        <f aca="false">IF(A365="","",C365+Parametros!$B$2/24)</f>
        <v/>
      </c>
      <c r="E365" s="24" t="str">
        <f aca="false">IF(A365="","",COUNTIFS(Modulo!$A$2:$A$5001,"&gt;="&amp;C365,Modulo!$A$2:$A$5001,"&lt;"&amp;D365,Modulo!$D$2:$D$5001,Parametros!$B$7))</f>
        <v/>
      </c>
      <c r="F365" s="23" t="str">
        <f aca="false">IF(A365="","",IF(E365=0,"",AVERAGEIFS(Modulo!$B$2:$B$5001,Modulo!$A$2:$A$5001,"&gt;="&amp;C365,Modulo!$A$2:$A$5001,"&lt;"&amp;D365,Modulo!$D$2:$D$5001,Parametros!$B$7)))</f>
        <v/>
      </c>
      <c r="G365" s="23" t="str">
        <f aca="false">IF(A365="","",IF(E365=0,"",AVERAGEIFS(Modulo!$C$2:$C$5001,Modulo!$A$2:$A$5001,"&gt;="&amp;C365,Modulo!$A$2:$A$5001,"&lt;"&amp;D365,Modulo!$D$2:$D$5001,Parametros!$B$7)))</f>
        <v/>
      </c>
      <c r="H365" s="25" t="str">
        <f aca="false">IF(A365="","",IFERROR(COUNTIFS(Amostragem!$A$2:$A$15003,"&gt;="&amp;C365,Amostragem!$A$2:$A$15003,"&lt;"&amp;D365,Amostragem!$B$2:$B$15003,"Automático",Amostragem!$C$2:$C$15003,"Automático",Amostragem!$D$2:$D$15003,0)/COUNTIFS(Amostragem!$A$2:$A$15003,"&gt;="&amp;C365,Amostragem!$A$2:$A$15003,"&lt;"&amp;D365),0))</f>
        <v/>
      </c>
      <c r="I365" s="23" t="str">
        <f aca="false">IF(A365="","",IFERROR(AVERAGEIFS(Amostragem!$E$2:$E$15003,Amostragem!$A$2:$A$15003,"&gt;="&amp;C365,Amostragem!$A$2:$A$15003,"&lt;"&amp;D365),""))</f>
        <v/>
      </c>
      <c r="J365" s="24" t="str">
        <f aca="false">IF(A365="","",IF(B365="","Inválida: sem resultado MES",IF(E365&lt;Parametros!$B$4,"Inválida: poucos ensaios do módulo",IF(H365&lt;Parametros!$B$5,"Inválida: amostragem em manual ou em falha",IF(OR(I365="",I365&lt;Parametros!$B$6),"Inválida: usina parada ou baixa alimentação","Válida")))))</f>
        <v/>
      </c>
      <c r="K365" s="23" t="str">
        <f aca="false">IF(J365="Válida",F365-B365,"")</f>
        <v/>
      </c>
      <c r="L365" s="26" t="str">
        <f aca="false">IF(J365="Válida",K365/B365,"")</f>
        <v/>
      </c>
      <c r="M365" s="23" t="str">
        <f aca="false">IF(J365="Válida",(F365+B365)/2,"")</f>
        <v/>
      </c>
      <c r="N365" s="24" t="str">
        <f aca="false">IF(K365="","",IF(OR(K365&gt;Resumo!$B$16,K365&lt;Resumo!$B$15),"Sim","Não"))</f>
        <v/>
      </c>
      <c r="O365" s="22" t="e">
        <f aca="false">IF(A365="",NA(),A365)</f>
        <v>#N/A</v>
      </c>
      <c r="P365" s="23" t="e">
        <f aca="false">IF(A365="",NA(),B365)</f>
        <v>#N/A</v>
      </c>
      <c r="Q365" s="23" t="e">
        <f aca="false">IF(F365="",NA(),F365)</f>
        <v>#N/A</v>
      </c>
      <c r="R365" s="23" t="e">
        <f aca="false">IF(K365="",NA(),K365)</f>
        <v>#N/A</v>
      </c>
      <c r="S365" s="23" t="e">
        <f aca="false">IF(M365="",NA(),M365)</f>
        <v>#N/A</v>
      </c>
      <c r="T365" s="23" t="str">
        <f aca="false">IF(J365="Válida",B365,"")</f>
        <v/>
      </c>
      <c r="U365" s="23" t="str">
        <f aca="false">IF(J365="Válida",F365,"")</f>
        <v/>
      </c>
    </row>
    <row r="366" customFormat="false" ht="15" hidden="false" customHeight="false" outlineLevel="0" collapsed="false">
      <c r="A366" s="22" t="str">
        <f aca="false">IF(MES!A366="","",MES!A366)</f>
        <v/>
      </c>
      <c r="B366" s="23" t="str">
        <f aca="false">IF(A366="","",MES!B366)</f>
        <v/>
      </c>
      <c r="C366" s="22" t="str">
        <f aca="false">IF(A366="","",A366+Parametros!$B$3/24)</f>
        <v/>
      </c>
      <c r="D366" s="22" t="str">
        <f aca="false">IF(A366="","",C366+Parametros!$B$2/24)</f>
        <v/>
      </c>
      <c r="E366" s="24" t="str">
        <f aca="false">IF(A366="","",COUNTIFS(Modulo!$A$2:$A$5001,"&gt;="&amp;C366,Modulo!$A$2:$A$5001,"&lt;"&amp;D366,Modulo!$D$2:$D$5001,Parametros!$B$7))</f>
        <v/>
      </c>
      <c r="F366" s="23" t="str">
        <f aca="false">IF(A366="","",IF(E366=0,"",AVERAGEIFS(Modulo!$B$2:$B$5001,Modulo!$A$2:$A$5001,"&gt;="&amp;C366,Modulo!$A$2:$A$5001,"&lt;"&amp;D366,Modulo!$D$2:$D$5001,Parametros!$B$7)))</f>
        <v/>
      </c>
      <c r="G366" s="23" t="str">
        <f aca="false">IF(A366="","",IF(E366=0,"",AVERAGEIFS(Modulo!$C$2:$C$5001,Modulo!$A$2:$A$5001,"&gt;="&amp;C366,Modulo!$A$2:$A$5001,"&lt;"&amp;D366,Modulo!$D$2:$D$5001,Parametros!$B$7)))</f>
        <v/>
      </c>
      <c r="H366" s="25" t="str">
        <f aca="false">IF(A366="","",IFERROR(COUNTIFS(Amostragem!$A$2:$A$15003,"&gt;="&amp;C366,Amostragem!$A$2:$A$15003,"&lt;"&amp;D366,Amostragem!$B$2:$B$15003,"Automático",Amostragem!$C$2:$C$15003,"Automático",Amostragem!$D$2:$D$15003,0)/COUNTIFS(Amostragem!$A$2:$A$15003,"&gt;="&amp;C366,Amostragem!$A$2:$A$15003,"&lt;"&amp;D366),0))</f>
        <v/>
      </c>
      <c r="I366" s="23" t="str">
        <f aca="false">IF(A366="","",IFERROR(AVERAGEIFS(Amostragem!$E$2:$E$15003,Amostragem!$A$2:$A$15003,"&gt;="&amp;C366,Amostragem!$A$2:$A$15003,"&lt;"&amp;D366),""))</f>
        <v/>
      </c>
      <c r="J366" s="24" t="str">
        <f aca="false">IF(A366="","",IF(B366="","Inválida: sem resultado MES",IF(E366&lt;Parametros!$B$4,"Inválida: poucos ensaios do módulo",IF(H366&lt;Parametros!$B$5,"Inválida: amostragem em manual ou em falha",IF(OR(I366="",I366&lt;Parametros!$B$6),"Inválida: usina parada ou baixa alimentação","Válida")))))</f>
        <v/>
      </c>
      <c r="K366" s="23" t="str">
        <f aca="false">IF(J366="Válida",F366-B366,"")</f>
        <v/>
      </c>
      <c r="L366" s="26" t="str">
        <f aca="false">IF(J366="Válida",K366/B366,"")</f>
        <v/>
      </c>
      <c r="M366" s="23" t="str">
        <f aca="false">IF(J366="Válida",(F366+B366)/2,"")</f>
        <v/>
      </c>
      <c r="N366" s="24" t="str">
        <f aca="false">IF(K366="","",IF(OR(K366&gt;Resumo!$B$16,K366&lt;Resumo!$B$15),"Sim","Não"))</f>
        <v/>
      </c>
      <c r="O366" s="22" t="e">
        <f aca="false">IF(A366="",NA(),A366)</f>
        <v>#N/A</v>
      </c>
      <c r="P366" s="23" t="e">
        <f aca="false">IF(A366="",NA(),B366)</f>
        <v>#N/A</v>
      </c>
      <c r="Q366" s="23" t="e">
        <f aca="false">IF(F366="",NA(),F366)</f>
        <v>#N/A</v>
      </c>
      <c r="R366" s="23" t="e">
        <f aca="false">IF(K366="",NA(),K366)</f>
        <v>#N/A</v>
      </c>
      <c r="S366" s="23" t="e">
        <f aca="false">IF(M366="",NA(),M366)</f>
        <v>#N/A</v>
      </c>
      <c r="T366" s="23" t="str">
        <f aca="false">IF(J366="Válida",B366,"")</f>
        <v/>
      </c>
      <c r="U366" s="23" t="str">
        <f aca="false">IF(J366="Válida",F366,"")</f>
        <v/>
      </c>
    </row>
    <row r="367" customFormat="false" ht="15" hidden="false" customHeight="false" outlineLevel="0" collapsed="false">
      <c r="A367" s="22" t="str">
        <f aca="false">IF(MES!A367="","",MES!A367)</f>
        <v/>
      </c>
      <c r="B367" s="23" t="str">
        <f aca="false">IF(A367="","",MES!B367)</f>
        <v/>
      </c>
      <c r="C367" s="22" t="str">
        <f aca="false">IF(A367="","",A367+Parametros!$B$3/24)</f>
        <v/>
      </c>
      <c r="D367" s="22" t="str">
        <f aca="false">IF(A367="","",C367+Parametros!$B$2/24)</f>
        <v/>
      </c>
      <c r="E367" s="24" t="str">
        <f aca="false">IF(A367="","",COUNTIFS(Modulo!$A$2:$A$5001,"&gt;="&amp;C367,Modulo!$A$2:$A$5001,"&lt;"&amp;D367,Modulo!$D$2:$D$5001,Parametros!$B$7))</f>
        <v/>
      </c>
      <c r="F367" s="23" t="str">
        <f aca="false">IF(A367="","",IF(E367=0,"",AVERAGEIFS(Modulo!$B$2:$B$5001,Modulo!$A$2:$A$5001,"&gt;="&amp;C367,Modulo!$A$2:$A$5001,"&lt;"&amp;D367,Modulo!$D$2:$D$5001,Parametros!$B$7)))</f>
        <v/>
      </c>
      <c r="G367" s="23" t="str">
        <f aca="false">IF(A367="","",IF(E367=0,"",AVERAGEIFS(Modulo!$C$2:$C$5001,Modulo!$A$2:$A$5001,"&gt;="&amp;C367,Modulo!$A$2:$A$5001,"&lt;"&amp;D367,Modulo!$D$2:$D$5001,Parametros!$B$7)))</f>
        <v/>
      </c>
      <c r="H367" s="25" t="str">
        <f aca="false">IF(A367="","",IFERROR(COUNTIFS(Amostragem!$A$2:$A$15003,"&gt;="&amp;C367,Amostragem!$A$2:$A$15003,"&lt;"&amp;D367,Amostragem!$B$2:$B$15003,"Automático",Amostragem!$C$2:$C$15003,"Automático",Amostragem!$D$2:$D$15003,0)/COUNTIFS(Amostragem!$A$2:$A$15003,"&gt;="&amp;C367,Amostragem!$A$2:$A$15003,"&lt;"&amp;D367),0))</f>
        <v/>
      </c>
      <c r="I367" s="23" t="str">
        <f aca="false">IF(A367="","",IFERROR(AVERAGEIFS(Amostragem!$E$2:$E$15003,Amostragem!$A$2:$A$15003,"&gt;="&amp;C367,Amostragem!$A$2:$A$15003,"&lt;"&amp;D367),""))</f>
        <v/>
      </c>
      <c r="J367" s="24" t="str">
        <f aca="false">IF(A367="","",IF(B367="","Inválida: sem resultado MES",IF(E367&lt;Parametros!$B$4,"Inválida: poucos ensaios do módulo",IF(H367&lt;Parametros!$B$5,"Inválida: amostragem em manual ou em falha",IF(OR(I367="",I367&lt;Parametros!$B$6),"Inválida: usina parada ou baixa alimentação","Válida")))))</f>
        <v/>
      </c>
      <c r="K367" s="23" t="str">
        <f aca="false">IF(J367="Válida",F367-B367,"")</f>
        <v/>
      </c>
      <c r="L367" s="26" t="str">
        <f aca="false">IF(J367="Válida",K367/B367,"")</f>
        <v/>
      </c>
      <c r="M367" s="23" t="str">
        <f aca="false">IF(J367="Válida",(F367+B367)/2,"")</f>
        <v/>
      </c>
      <c r="N367" s="24" t="str">
        <f aca="false">IF(K367="","",IF(OR(K367&gt;Resumo!$B$16,K367&lt;Resumo!$B$15),"Sim","Não"))</f>
        <v/>
      </c>
      <c r="O367" s="22" t="e">
        <f aca="false">IF(A367="",NA(),A367)</f>
        <v>#N/A</v>
      </c>
      <c r="P367" s="23" t="e">
        <f aca="false">IF(A367="",NA(),B367)</f>
        <v>#N/A</v>
      </c>
      <c r="Q367" s="23" t="e">
        <f aca="false">IF(F367="",NA(),F367)</f>
        <v>#N/A</v>
      </c>
      <c r="R367" s="23" t="e">
        <f aca="false">IF(K367="",NA(),K367)</f>
        <v>#N/A</v>
      </c>
      <c r="S367" s="23" t="e">
        <f aca="false">IF(M367="",NA(),M367)</f>
        <v>#N/A</v>
      </c>
      <c r="T367" s="23" t="str">
        <f aca="false">IF(J367="Válida",B367,"")</f>
        <v/>
      </c>
      <c r="U367" s="23" t="str">
        <f aca="false">IF(J367="Válida",F367,"")</f>
        <v/>
      </c>
    </row>
    <row r="368" customFormat="false" ht="15" hidden="false" customHeight="false" outlineLevel="0" collapsed="false">
      <c r="A368" s="22" t="str">
        <f aca="false">IF(MES!A368="","",MES!A368)</f>
        <v/>
      </c>
      <c r="B368" s="23" t="str">
        <f aca="false">IF(A368="","",MES!B368)</f>
        <v/>
      </c>
      <c r="C368" s="22" t="str">
        <f aca="false">IF(A368="","",A368+Parametros!$B$3/24)</f>
        <v/>
      </c>
      <c r="D368" s="22" t="str">
        <f aca="false">IF(A368="","",C368+Parametros!$B$2/24)</f>
        <v/>
      </c>
      <c r="E368" s="24" t="str">
        <f aca="false">IF(A368="","",COUNTIFS(Modulo!$A$2:$A$5001,"&gt;="&amp;C368,Modulo!$A$2:$A$5001,"&lt;"&amp;D368,Modulo!$D$2:$D$5001,Parametros!$B$7))</f>
        <v/>
      </c>
      <c r="F368" s="23" t="str">
        <f aca="false">IF(A368="","",IF(E368=0,"",AVERAGEIFS(Modulo!$B$2:$B$5001,Modulo!$A$2:$A$5001,"&gt;="&amp;C368,Modulo!$A$2:$A$5001,"&lt;"&amp;D368,Modulo!$D$2:$D$5001,Parametros!$B$7)))</f>
        <v/>
      </c>
      <c r="G368" s="23" t="str">
        <f aca="false">IF(A368="","",IF(E368=0,"",AVERAGEIFS(Modulo!$C$2:$C$5001,Modulo!$A$2:$A$5001,"&gt;="&amp;C368,Modulo!$A$2:$A$5001,"&lt;"&amp;D368,Modulo!$D$2:$D$5001,Parametros!$B$7)))</f>
        <v/>
      </c>
      <c r="H368" s="25" t="str">
        <f aca="false">IF(A368="","",IFERROR(COUNTIFS(Amostragem!$A$2:$A$15003,"&gt;="&amp;C368,Amostragem!$A$2:$A$15003,"&lt;"&amp;D368,Amostragem!$B$2:$B$15003,"Automático",Amostragem!$C$2:$C$15003,"Automático",Amostragem!$D$2:$D$15003,0)/COUNTIFS(Amostragem!$A$2:$A$15003,"&gt;="&amp;C368,Amostragem!$A$2:$A$15003,"&lt;"&amp;D368),0))</f>
        <v/>
      </c>
      <c r="I368" s="23" t="str">
        <f aca="false">IF(A368="","",IFERROR(AVERAGEIFS(Amostragem!$E$2:$E$15003,Amostragem!$A$2:$A$15003,"&gt;="&amp;C368,Amostragem!$A$2:$A$15003,"&lt;"&amp;D368),""))</f>
        <v/>
      </c>
      <c r="J368" s="24" t="str">
        <f aca="false">IF(A368="","",IF(B368="","Inválida: sem resultado MES",IF(E368&lt;Parametros!$B$4,"Inválida: poucos ensaios do módulo",IF(H368&lt;Parametros!$B$5,"Inválida: amostragem em manual ou em falha",IF(OR(I368="",I368&lt;Parametros!$B$6),"Inválida: usina parada ou baixa alimentação","Válida")))))</f>
        <v/>
      </c>
      <c r="K368" s="23" t="str">
        <f aca="false">IF(J368="Válida",F368-B368,"")</f>
        <v/>
      </c>
      <c r="L368" s="26" t="str">
        <f aca="false">IF(J368="Válida",K368/B368,"")</f>
        <v/>
      </c>
      <c r="M368" s="23" t="str">
        <f aca="false">IF(J368="Válida",(F368+B368)/2,"")</f>
        <v/>
      </c>
      <c r="N368" s="24" t="str">
        <f aca="false">IF(K368="","",IF(OR(K368&gt;Resumo!$B$16,K368&lt;Resumo!$B$15),"Sim","Não"))</f>
        <v/>
      </c>
      <c r="O368" s="22" t="e">
        <f aca="false">IF(A368="",NA(),A368)</f>
        <v>#N/A</v>
      </c>
      <c r="P368" s="23" t="e">
        <f aca="false">IF(A368="",NA(),B368)</f>
        <v>#N/A</v>
      </c>
      <c r="Q368" s="23" t="e">
        <f aca="false">IF(F368="",NA(),F368)</f>
        <v>#N/A</v>
      </c>
      <c r="R368" s="23" t="e">
        <f aca="false">IF(K368="",NA(),K368)</f>
        <v>#N/A</v>
      </c>
      <c r="S368" s="23" t="e">
        <f aca="false">IF(M368="",NA(),M368)</f>
        <v>#N/A</v>
      </c>
      <c r="T368" s="23" t="str">
        <f aca="false">IF(J368="Válida",B368,"")</f>
        <v/>
      </c>
      <c r="U368" s="23" t="str">
        <f aca="false">IF(J368="Válida",F368,"")</f>
        <v/>
      </c>
    </row>
    <row r="369" customFormat="false" ht="15" hidden="false" customHeight="false" outlineLevel="0" collapsed="false">
      <c r="A369" s="22" t="str">
        <f aca="false">IF(MES!A369="","",MES!A369)</f>
        <v/>
      </c>
      <c r="B369" s="23" t="str">
        <f aca="false">IF(A369="","",MES!B369)</f>
        <v/>
      </c>
      <c r="C369" s="22" t="str">
        <f aca="false">IF(A369="","",A369+Parametros!$B$3/24)</f>
        <v/>
      </c>
      <c r="D369" s="22" t="str">
        <f aca="false">IF(A369="","",C369+Parametros!$B$2/24)</f>
        <v/>
      </c>
      <c r="E369" s="24" t="str">
        <f aca="false">IF(A369="","",COUNTIFS(Modulo!$A$2:$A$5001,"&gt;="&amp;C369,Modulo!$A$2:$A$5001,"&lt;"&amp;D369,Modulo!$D$2:$D$5001,Parametros!$B$7))</f>
        <v/>
      </c>
      <c r="F369" s="23" t="str">
        <f aca="false">IF(A369="","",IF(E369=0,"",AVERAGEIFS(Modulo!$B$2:$B$5001,Modulo!$A$2:$A$5001,"&gt;="&amp;C369,Modulo!$A$2:$A$5001,"&lt;"&amp;D369,Modulo!$D$2:$D$5001,Parametros!$B$7)))</f>
        <v/>
      </c>
      <c r="G369" s="23" t="str">
        <f aca="false">IF(A369="","",IF(E369=0,"",AVERAGEIFS(Modulo!$C$2:$C$5001,Modulo!$A$2:$A$5001,"&gt;="&amp;C369,Modulo!$A$2:$A$5001,"&lt;"&amp;D369,Modulo!$D$2:$D$5001,Parametros!$B$7)))</f>
        <v/>
      </c>
      <c r="H369" s="25" t="str">
        <f aca="false">IF(A369="","",IFERROR(COUNTIFS(Amostragem!$A$2:$A$15003,"&gt;="&amp;C369,Amostragem!$A$2:$A$15003,"&lt;"&amp;D369,Amostragem!$B$2:$B$15003,"Automático",Amostragem!$C$2:$C$15003,"Automático",Amostragem!$D$2:$D$15003,0)/COUNTIFS(Amostragem!$A$2:$A$15003,"&gt;="&amp;C369,Amostragem!$A$2:$A$15003,"&lt;"&amp;D369),0))</f>
        <v/>
      </c>
      <c r="I369" s="23" t="str">
        <f aca="false">IF(A369="","",IFERROR(AVERAGEIFS(Amostragem!$E$2:$E$15003,Amostragem!$A$2:$A$15003,"&gt;="&amp;C369,Amostragem!$A$2:$A$15003,"&lt;"&amp;D369),""))</f>
        <v/>
      </c>
      <c r="J369" s="24" t="str">
        <f aca="false">IF(A369="","",IF(B369="","Inválida: sem resultado MES",IF(E369&lt;Parametros!$B$4,"Inválida: poucos ensaios do módulo",IF(H369&lt;Parametros!$B$5,"Inválida: amostragem em manual ou em falha",IF(OR(I369="",I369&lt;Parametros!$B$6),"Inválida: usina parada ou baixa alimentação","Válida")))))</f>
        <v/>
      </c>
      <c r="K369" s="23" t="str">
        <f aca="false">IF(J369="Válida",F369-B369,"")</f>
        <v/>
      </c>
      <c r="L369" s="26" t="str">
        <f aca="false">IF(J369="Válida",K369/B369,"")</f>
        <v/>
      </c>
      <c r="M369" s="23" t="str">
        <f aca="false">IF(J369="Válida",(F369+B369)/2,"")</f>
        <v/>
      </c>
      <c r="N369" s="24" t="str">
        <f aca="false">IF(K369="","",IF(OR(K369&gt;Resumo!$B$16,K369&lt;Resumo!$B$15),"Sim","Não"))</f>
        <v/>
      </c>
      <c r="O369" s="22" t="e">
        <f aca="false">IF(A369="",NA(),A369)</f>
        <v>#N/A</v>
      </c>
      <c r="P369" s="23" t="e">
        <f aca="false">IF(A369="",NA(),B369)</f>
        <v>#N/A</v>
      </c>
      <c r="Q369" s="23" t="e">
        <f aca="false">IF(F369="",NA(),F369)</f>
        <v>#N/A</v>
      </c>
      <c r="R369" s="23" t="e">
        <f aca="false">IF(K369="",NA(),K369)</f>
        <v>#N/A</v>
      </c>
      <c r="S369" s="23" t="e">
        <f aca="false">IF(M369="",NA(),M369)</f>
        <v>#N/A</v>
      </c>
      <c r="T369" s="23" t="str">
        <f aca="false">IF(J369="Válida",B369,"")</f>
        <v/>
      </c>
      <c r="U369" s="23" t="str">
        <f aca="false">IF(J369="Válida",F369,"")</f>
        <v/>
      </c>
    </row>
    <row r="370" customFormat="false" ht="15" hidden="false" customHeight="false" outlineLevel="0" collapsed="false">
      <c r="A370" s="22" t="str">
        <f aca="false">IF(MES!A370="","",MES!A370)</f>
        <v/>
      </c>
      <c r="B370" s="23" t="str">
        <f aca="false">IF(A370="","",MES!B370)</f>
        <v/>
      </c>
      <c r="C370" s="22" t="str">
        <f aca="false">IF(A370="","",A370+Parametros!$B$3/24)</f>
        <v/>
      </c>
      <c r="D370" s="22" t="str">
        <f aca="false">IF(A370="","",C370+Parametros!$B$2/24)</f>
        <v/>
      </c>
      <c r="E370" s="24" t="str">
        <f aca="false">IF(A370="","",COUNTIFS(Modulo!$A$2:$A$5001,"&gt;="&amp;C370,Modulo!$A$2:$A$5001,"&lt;"&amp;D370,Modulo!$D$2:$D$5001,Parametros!$B$7))</f>
        <v/>
      </c>
      <c r="F370" s="23" t="str">
        <f aca="false">IF(A370="","",IF(E370=0,"",AVERAGEIFS(Modulo!$B$2:$B$5001,Modulo!$A$2:$A$5001,"&gt;="&amp;C370,Modulo!$A$2:$A$5001,"&lt;"&amp;D370,Modulo!$D$2:$D$5001,Parametros!$B$7)))</f>
        <v/>
      </c>
      <c r="G370" s="23" t="str">
        <f aca="false">IF(A370="","",IF(E370=0,"",AVERAGEIFS(Modulo!$C$2:$C$5001,Modulo!$A$2:$A$5001,"&gt;="&amp;C370,Modulo!$A$2:$A$5001,"&lt;"&amp;D370,Modulo!$D$2:$D$5001,Parametros!$B$7)))</f>
        <v/>
      </c>
      <c r="H370" s="25" t="str">
        <f aca="false">IF(A370="","",IFERROR(COUNTIFS(Amostragem!$A$2:$A$15003,"&gt;="&amp;C370,Amostragem!$A$2:$A$15003,"&lt;"&amp;D370,Amostragem!$B$2:$B$15003,"Automático",Amostragem!$C$2:$C$15003,"Automático",Amostragem!$D$2:$D$15003,0)/COUNTIFS(Amostragem!$A$2:$A$15003,"&gt;="&amp;C370,Amostragem!$A$2:$A$15003,"&lt;"&amp;D370),0))</f>
        <v/>
      </c>
      <c r="I370" s="23" t="str">
        <f aca="false">IF(A370="","",IFERROR(AVERAGEIFS(Amostragem!$E$2:$E$15003,Amostragem!$A$2:$A$15003,"&gt;="&amp;C370,Amostragem!$A$2:$A$15003,"&lt;"&amp;D370),""))</f>
        <v/>
      </c>
      <c r="J370" s="24" t="str">
        <f aca="false">IF(A370="","",IF(B370="","Inválida: sem resultado MES",IF(E370&lt;Parametros!$B$4,"Inválida: poucos ensaios do módulo",IF(H370&lt;Parametros!$B$5,"Inválida: amostragem em manual ou em falha",IF(OR(I370="",I370&lt;Parametros!$B$6),"Inválida: usina parada ou baixa alimentação","Válida")))))</f>
        <v/>
      </c>
      <c r="K370" s="23" t="str">
        <f aca="false">IF(J370="Válida",F370-B370,"")</f>
        <v/>
      </c>
      <c r="L370" s="26" t="str">
        <f aca="false">IF(J370="Válida",K370/B370,"")</f>
        <v/>
      </c>
      <c r="M370" s="23" t="str">
        <f aca="false">IF(J370="Válida",(F370+B370)/2,"")</f>
        <v/>
      </c>
      <c r="N370" s="24" t="str">
        <f aca="false">IF(K370="","",IF(OR(K370&gt;Resumo!$B$16,K370&lt;Resumo!$B$15),"Sim","Não"))</f>
        <v/>
      </c>
      <c r="O370" s="22" t="e">
        <f aca="false">IF(A370="",NA(),A370)</f>
        <v>#N/A</v>
      </c>
      <c r="P370" s="23" t="e">
        <f aca="false">IF(A370="",NA(),B370)</f>
        <v>#N/A</v>
      </c>
      <c r="Q370" s="23" t="e">
        <f aca="false">IF(F370="",NA(),F370)</f>
        <v>#N/A</v>
      </c>
      <c r="R370" s="23" t="e">
        <f aca="false">IF(K370="",NA(),K370)</f>
        <v>#N/A</v>
      </c>
      <c r="S370" s="23" t="e">
        <f aca="false">IF(M370="",NA(),M370)</f>
        <v>#N/A</v>
      </c>
      <c r="T370" s="23" t="str">
        <f aca="false">IF(J370="Válida",B370,"")</f>
        <v/>
      </c>
      <c r="U370" s="23" t="str">
        <f aca="false">IF(J370="Válida",F370,"")</f>
        <v/>
      </c>
    </row>
    <row r="371" customFormat="false" ht="15" hidden="false" customHeight="false" outlineLevel="0" collapsed="false">
      <c r="A371" s="22" t="str">
        <f aca="false">IF(MES!A371="","",MES!A371)</f>
        <v/>
      </c>
      <c r="B371" s="23" t="str">
        <f aca="false">IF(A371="","",MES!B371)</f>
        <v/>
      </c>
      <c r="C371" s="22" t="str">
        <f aca="false">IF(A371="","",A371+Parametros!$B$3/24)</f>
        <v/>
      </c>
      <c r="D371" s="22" t="str">
        <f aca="false">IF(A371="","",C371+Parametros!$B$2/24)</f>
        <v/>
      </c>
      <c r="E371" s="24" t="str">
        <f aca="false">IF(A371="","",COUNTIFS(Modulo!$A$2:$A$5001,"&gt;="&amp;C371,Modulo!$A$2:$A$5001,"&lt;"&amp;D371,Modulo!$D$2:$D$5001,Parametros!$B$7))</f>
        <v/>
      </c>
      <c r="F371" s="23" t="str">
        <f aca="false">IF(A371="","",IF(E371=0,"",AVERAGEIFS(Modulo!$B$2:$B$5001,Modulo!$A$2:$A$5001,"&gt;="&amp;C371,Modulo!$A$2:$A$5001,"&lt;"&amp;D371,Modulo!$D$2:$D$5001,Parametros!$B$7)))</f>
        <v/>
      </c>
      <c r="G371" s="23" t="str">
        <f aca="false">IF(A371="","",IF(E371=0,"",AVERAGEIFS(Modulo!$C$2:$C$5001,Modulo!$A$2:$A$5001,"&gt;="&amp;C371,Modulo!$A$2:$A$5001,"&lt;"&amp;D371,Modulo!$D$2:$D$5001,Parametros!$B$7)))</f>
        <v/>
      </c>
      <c r="H371" s="25" t="str">
        <f aca="false">IF(A371="","",IFERROR(COUNTIFS(Amostragem!$A$2:$A$15003,"&gt;="&amp;C371,Amostragem!$A$2:$A$15003,"&lt;"&amp;D371,Amostragem!$B$2:$B$15003,"Automático",Amostragem!$C$2:$C$15003,"Automático",Amostragem!$D$2:$D$15003,0)/COUNTIFS(Amostragem!$A$2:$A$15003,"&gt;="&amp;C371,Amostragem!$A$2:$A$15003,"&lt;"&amp;D371),0))</f>
        <v/>
      </c>
      <c r="I371" s="23" t="str">
        <f aca="false">IF(A371="","",IFERROR(AVERAGEIFS(Amostragem!$E$2:$E$15003,Amostragem!$A$2:$A$15003,"&gt;="&amp;C371,Amostragem!$A$2:$A$15003,"&lt;"&amp;D371),""))</f>
        <v/>
      </c>
      <c r="J371" s="24" t="str">
        <f aca="false">IF(A371="","",IF(B371="","Inválida: sem resultado MES",IF(E371&lt;Parametros!$B$4,"Inválida: poucos ensaios do módulo",IF(H371&lt;Parametros!$B$5,"Inválida: amostragem em manual ou em falha",IF(OR(I371="",I371&lt;Parametros!$B$6),"Inválida: usina parada ou baixa alimentação","Válida")))))</f>
        <v/>
      </c>
      <c r="K371" s="23" t="str">
        <f aca="false">IF(J371="Válida",F371-B371,"")</f>
        <v/>
      </c>
      <c r="L371" s="26" t="str">
        <f aca="false">IF(J371="Válida",K371/B371,"")</f>
        <v/>
      </c>
      <c r="M371" s="23" t="str">
        <f aca="false">IF(J371="Válida",(F371+B371)/2,"")</f>
        <v/>
      </c>
      <c r="N371" s="24" t="str">
        <f aca="false">IF(K371="","",IF(OR(K371&gt;Resumo!$B$16,K371&lt;Resumo!$B$15),"Sim","Não"))</f>
        <v/>
      </c>
      <c r="O371" s="22" t="e">
        <f aca="false">IF(A371="",NA(),A371)</f>
        <v>#N/A</v>
      </c>
      <c r="P371" s="23" t="e">
        <f aca="false">IF(A371="",NA(),B371)</f>
        <v>#N/A</v>
      </c>
      <c r="Q371" s="23" t="e">
        <f aca="false">IF(F371="",NA(),F371)</f>
        <v>#N/A</v>
      </c>
      <c r="R371" s="23" t="e">
        <f aca="false">IF(K371="",NA(),K371)</f>
        <v>#N/A</v>
      </c>
      <c r="S371" s="23" t="e">
        <f aca="false">IF(M371="",NA(),M371)</f>
        <v>#N/A</v>
      </c>
      <c r="T371" s="23" t="str">
        <f aca="false">IF(J371="Válida",B371,"")</f>
        <v/>
      </c>
      <c r="U371" s="23" t="str">
        <f aca="false">IF(J371="Válida",F371,"")</f>
        <v/>
      </c>
    </row>
    <row r="372" customFormat="false" ht="15" hidden="false" customHeight="false" outlineLevel="0" collapsed="false">
      <c r="A372" s="22" t="str">
        <f aca="false">IF(MES!A372="","",MES!A372)</f>
        <v/>
      </c>
      <c r="B372" s="23" t="str">
        <f aca="false">IF(A372="","",MES!B372)</f>
        <v/>
      </c>
      <c r="C372" s="22" t="str">
        <f aca="false">IF(A372="","",A372+Parametros!$B$3/24)</f>
        <v/>
      </c>
      <c r="D372" s="22" t="str">
        <f aca="false">IF(A372="","",C372+Parametros!$B$2/24)</f>
        <v/>
      </c>
      <c r="E372" s="24" t="str">
        <f aca="false">IF(A372="","",COUNTIFS(Modulo!$A$2:$A$5001,"&gt;="&amp;C372,Modulo!$A$2:$A$5001,"&lt;"&amp;D372,Modulo!$D$2:$D$5001,Parametros!$B$7))</f>
        <v/>
      </c>
      <c r="F372" s="23" t="str">
        <f aca="false">IF(A372="","",IF(E372=0,"",AVERAGEIFS(Modulo!$B$2:$B$5001,Modulo!$A$2:$A$5001,"&gt;="&amp;C372,Modulo!$A$2:$A$5001,"&lt;"&amp;D372,Modulo!$D$2:$D$5001,Parametros!$B$7)))</f>
        <v/>
      </c>
      <c r="G372" s="23" t="str">
        <f aca="false">IF(A372="","",IF(E372=0,"",AVERAGEIFS(Modulo!$C$2:$C$5001,Modulo!$A$2:$A$5001,"&gt;="&amp;C372,Modulo!$A$2:$A$5001,"&lt;"&amp;D372,Modulo!$D$2:$D$5001,Parametros!$B$7)))</f>
        <v/>
      </c>
      <c r="H372" s="25" t="str">
        <f aca="false">IF(A372="","",IFERROR(COUNTIFS(Amostragem!$A$2:$A$15003,"&gt;="&amp;C372,Amostragem!$A$2:$A$15003,"&lt;"&amp;D372,Amostragem!$B$2:$B$15003,"Automático",Amostragem!$C$2:$C$15003,"Automático",Amostragem!$D$2:$D$15003,0)/COUNTIFS(Amostragem!$A$2:$A$15003,"&gt;="&amp;C372,Amostragem!$A$2:$A$15003,"&lt;"&amp;D372),0))</f>
        <v/>
      </c>
      <c r="I372" s="23" t="str">
        <f aca="false">IF(A372="","",IFERROR(AVERAGEIFS(Amostragem!$E$2:$E$15003,Amostragem!$A$2:$A$15003,"&gt;="&amp;C372,Amostragem!$A$2:$A$15003,"&lt;"&amp;D372),""))</f>
        <v/>
      </c>
      <c r="J372" s="24" t="str">
        <f aca="false">IF(A372="","",IF(B372="","Inválida: sem resultado MES",IF(E372&lt;Parametros!$B$4,"Inválida: poucos ensaios do módulo",IF(H372&lt;Parametros!$B$5,"Inválida: amostragem em manual ou em falha",IF(OR(I372="",I372&lt;Parametros!$B$6),"Inválida: usina parada ou baixa alimentação","Válida")))))</f>
        <v/>
      </c>
      <c r="K372" s="23" t="str">
        <f aca="false">IF(J372="Válida",F372-B372,"")</f>
        <v/>
      </c>
      <c r="L372" s="26" t="str">
        <f aca="false">IF(J372="Válida",K372/B372,"")</f>
        <v/>
      </c>
      <c r="M372" s="23" t="str">
        <f aca="false">IF(J372="Válida",(F372+B372)/2,"")</f>
        <v/>
      </c>
      <c r="N372" s="24" t="str">
        <f aca="false">IF(K372="","",IF(OR(K372&gt;Resumo!$B$16,K372&lt;Resumo!$B$15),"Sim","Não"))</f>
        <v/>
      </c>
      <c r="O372" s="22" t="e">
        <f aca="false">IF(A372="",NA(),A372)</f>
        <v>#N/A</v>
      </c>
      <c r="P372" s="23" t="e">
        <f aca="false">IF(A372="",NA(),B372)</f>
        <v>#N/A</v>
      </c>
      <c r="Q372" s="23" t="e">
        <f aca="false">IF(F372="",NA(),F372)</f>
        <v>#N/A</v>
      </c>
      <c r="R372" s="23" t="e">
        <f aca="false">IF(K372="",NA(),K372)</f>
        <v>#N/A</v>
      </c>
      <c r="S372" s="23" t="e">
        <f aca="false">IF(M372="",NA(),M372)</f>
        <v>#N/A</v>
      </c>
      <c r="T372" s="23" t="str">
        <f aca="false">IF(J372="Válida",B372,"")</f>
        <v/>
      </c>
      <c r="U372" s="23" t="str">
        <f aca="false">IF(J372="Válida",F372,"")</f>
        <v/>
      </c>
    </row>
    <row r="373" customFormat="false" ht="15" hidden="false" customHeight="false" outlineLevel="0" collapsed="false">
      <c r="A373" s="22" t="str">
        <f aca="false">IF(MES!A373="","",MES!A373)</f>
        <v/>
      </c>
      <c r="B373" s="23" t="str">
        <f aca="false">IF(A373="","",MES!B373)</f>
        <v/>
      </c>
      <c r="C373" s="22" t="str">
        <f aca="false">IF(A373="","",A373+Parametros!$B$3/24)</f>
        <v/>
      </c>
      <c r="D373" s="22" t="str">
        <f aca="false">IF(A373="","",C373+Parametros!$B$2/24)</f>
        <v/>
      </c>
      <c r="E373" s="24" t="str">
        <f aca="false">IF(A373="","",COUNTIFS(Modulo!$A$2:$A$5001,"&gt;="&amp;C373,Modulo!$A$2:$A$5001,"&lt;"&amp;D373,Modulo!$D$2:$D$5001,Parametros!$B$7))</f>
        <v/>
      </c>
      <c r="F373" s="23" t="str">
        <f aca="false">IF(A373="","",IF(E373=0,"",AVERAGEIFS(Modulo!$B$2:$B$5001,Modulo!$A$2:$A$5001,"&gt;="&amp;C373,Modulo!$A$2:$A$5001,"&lt;"&amp;D373,Modulo!$D$2:$D$5001,Parametros!$B$7)))</f>
        <v/>
      </c>
      <c r="G373" s="23" t="str">
        <f aca="false">IF(A373="","",IF(E373=0,"",AVERAGEIFS(Modulo!$C$2:$C$5001,Modulo!$A$2:$A$5001,"&gt;="&amp;C373,Modulo!$A$2:$A$5001,"&lt;"&amp;D373,Modulo!$D$2:$D$5001,Parametros!$B$7)))</f>
        <v/>
      </c>
      <c r="H373" s="25" t="str">
        <f aca="false">IF(A373="","",IFERROR(COUNTIFS(Amostragem!$A$2:$A$15003,"&gt;="&amp;C373,Amostragem!$A$2:$A$15003,"&lt;"&amp;D373,Amostragem!$B$2:$B$15003,"Automático",Amostragem!$C$2:$C$15003,"Automático",Amostragem!$D$2:$D$15003,0)/COUNTIFS(Amostragem!$A$2:$A$15003,"&gt;="&amp;C373,Amostragem!$A$2:$A$15003,"&lt;"&amp;D373),0))</f>
        <v/>
      </c>
      <c r="I373" s="23" t="str">
        <f aca="false">IF(A373="","",IFERROR(AVERAGEIFS(Amostragem!$E$2:$E$15003,Amostragem!$A$2:$A$15003,"&gt;="&amp;C373,Amostragem!$A$2:$A$15003,"&lt;"&amp;D373),""))</f>
        <v/>
      </c>
      <c r="J373" s="24" t="str">
        <f aca="false">IF(A373="","",IF(B373="","Inválida: sem resultado MES",IF(E373&lt;Parametros!$B$4,"Inválida: poucos ensaios do módulo",IF(H373&lt;Parametros!$B$5,"Inválida: amostragem em manual ou em falha",IF(OR(I373="",I373&lt;Parametros!$B$6),"Inválida: usina parada ou baixa alimentação","Válida")))))</f>
        <v/>
      </c>
      <c r="K373" s="23" t="str">
        <f aca="false">IF(J373="Válida",F373-B373,"")</f>
        <v/>
      </c>
      <c r="L373" s="26" t="str">
        <f aca="false">IF(J373="Válida",K373/B373,"")</f>
        <v/>
      </c>
      <c r="M373" s="23" t="str">
        <f aca="false">IF(J373="Válida",(F373+B373)/2,"")</f>
        <v/>
      </c>
      <c r="N373" s="24" t="str">
        <f aca="false">IF(K373="","",IF(OR(K373&gt;Resumo!$B$16,K373&lt;Resumo!$B$15),"Sim","Não"))</f>
        <v/>
      </c>
      <c r="O373" s="22" t="e">
        <f aca="false">IF(A373="",NA(),A373)</f>
        <v>#N/A</v>
      </c>
      <c r="P373" s="23" t="e">
        <f aca="false">IF(A373="",NA(),B373)</f>
        <v>#N/A</v>
      </c>
      <c r="Q373" s="23" t="e">
        <f aca="false">IF(F373="",NA(),F373)</f>
        <v>#N/A</v>
      </c>
      <c r="R373" s="23" t="e">
        <f aca="false">IF(K373="",NA(),K373)</f>
        <v>#N/A</v>
      </c>
      <c r="S373" s="23" t="e">
        <f aca="false">IF(M373="",NA(),M373)</f>
        <v>#N/A</v>
      </c>
      <c r="T373" s="23" t="str">
        <f aca="false">IF(J373="Válida",B373,"")</f>
        <v/>
      </c>
      <c r="U373" s="23" t="str">
        <f aca="false">IF(J373="Válida",F373,"")</f>
        <v/>
      </c>
    </row>
    <row r="374" customFormat="false" ht="15" hidden="false" customHeight="false" outlineLevel="0" collapsed="false">
      <c r="A374" s="22" t="str">
        <f aca="false">IF(MES!A374="","",MES!A374)</f>
        <v/>
      </c>
      <c r="B374" s="23" t="str">
        <f aca="false">IF(A374="","",MES!B374)</f>
        <v/>
      </c>
      <c r="C374" s="22" t="str">
        <f aca="false">IF(A374="","",A374+Parametros!$B$3/24)</f>
        <v/>
      </c>
      <c r="D374" s="22" t="str">
        <f aca="false">IF(A374="","",C374+Parametros!$B$2/24)</f>
        <v/>
      </c>
      <c r="E374" s="24" t="str">
        <f aca="false">IF(A374="","",COUNTIFS(Modulo!$A$2:$A$5001,"&gt;="&amp;C374,Modulo!$A$2:$A$5001,"&lt;"&amp;D374,Modulo!$D$2:$D$5001,Parametros!$B$7))</f>
        <v/>
      </c>
      <c r="F374" s="23" t="str">
        <f aca="false">IF(A374="","",IF(E374=0,"",AVERAGEIFS(Modulo!$B$2:$B$5001,Modulo!$A$2:$A$5001,"&gt;="&amp;C374,Modulo!$A$2:$A$5001,"&lt;"&amp;D374,Modulo!$D$2:$D$5001,Parametros!$B$7)))</f>
        <v/>
      </c>
      <c r="G374" s="23" t="str">
        <f aca="false">IF(A374="","",IF(E374=0,"",AVERAGEIFS(Modulo!$C$2:$C$5001,Modulo!$A$2:$A$5001,"&gt;="&amp;C374,Modulo!$A$2:$A$5001,"&lt;"&amp;D374,Modulo!$D$2:$D$5001,Parametros!$B$7)))</f>
        <v/>
      </c>
      <c r="H374" s="25" t="str">
        <f aca="false">IF(A374="","",IFERROR(COUNTIFS(Amostragem!$A$2:$A$15003,"&gt;="&amp;C374,Amostragem!$A$2:$A$15003,"&lt;"&amp;D374,Amostragem!$B$2:$B$15003,"Automático",Amostragem!$C$2:$C$15003,"Automático",Amostragem!$D$2:$D$15003,0)/COUNTIFS(Amostragem!$A$2:$A$15003,"&gt;="&amp;C374,Amostragem!$A$2:$A$15003,"&lt;"&amp;D374),0))</f>
        <v/>
      </c>
      <c r="I374" s="23" t="str">
        <f aca="false">IF(A374="","",IFERROR(AVERAGEIFS(Amostragem!$E$2:$E$15003,Amostragem!$A$2:$A$15003,"&gt;="&amp;C374,Amostragem!$A$2:$A$15003,"&lt;"&amp;D374),""))</f>
        <v/>
      </c>
      <c r="J374" s="24" t="str">
        <f aca="false">IF(A374="","",IF(B374="","Inválida: sem resultado MES",IF(E374&lt;Parametros!$B$4,"Inválida: poucos ensaios do módulo",IF(H374&lt;Parametros!$B$5,"Inválida: amostragem em manual ou em falha",IF(OR(I374="",I374&lt;Parametros!$B$6),"Inválida: usina parada ou baixa alimentação","Válida")))))</f>
        <v/>
      </c>
      <c r="K374" s="23" t="str">
        <f aca="false">IF(J374="Válida",F374-B374,"")</f>
        <v/>
      </c>
      <c r="L374" s="26" t="str">
        <f aca="false">IF(J374="Válida",K374/B374,"")</f>
        <v/>
      </c>
      <c r="M374" s="23" t="str">
        <f aca="false">IF(J374="Válida",(F374+B374)/2,"")</f>
        <v/>
      </c>
      <c r="N374" s="24" t="str">
        <f aca="false">IF(K374="","",IF(OR(K374&gt;Resumo!$B$16,K374&lt;Resumo!$B$15),"Sim","Não"))</f>
        <v/>
      </c>
      <c r="O374" s="22" t="e">
        <f aca="false">IF(A374="",NA(),A374)</f>
        <v>#N/A</v>
      </c>
      <c r="P374" s="23" t="e">
        <f aca="false">IF(A374="",NA(),B374)</f>
        <v>#N/A</v>
      </c>
      <c r="Q374" s="23" t="e">
        <f aca="false">IF(F374="",NA(),F374)</f>
        <v>#N/A</v>
      </c>
      <c r="R374" s="23" t="e">
        <f aca="false">IF(K374="",NA(),K374)</f>
        <v>#N/A</v>
      </c>
      <c r="S374" s="23" t="e">
        <f aca="false">IF(M374="",NA(),M374)</f>
        <v>#N/A</v>
      </c>
      <c r="T374" s="23" t="str">
        <f aca="false">IF(J374="Válida",B374,"")</f>
        <v/>
      </c>
      <c r="U374" s="23" t="str">
        <f aca="false">IF(J374="Válida",F374,"")</f>
        <v/>
      </c>
    </row>
    <row r="375" customFormat="false" ht="15" hidden="false" customHeight="false" outlineLevel="0" collapsed="false">
      <c r="A375" s="22" t="str">
        <f aca="false">IF(MES!A375="","",MES!A375)</f>
        <v/>
      </c>
      <c r="B375" s="23" t="str">
        <f aca="false">IF(A375="","",MES!B375)</f>
        <v/>
      </c>
      <c r="C375" s="22" t="str">
        <f aca="false">IF(A375="","",A375+Parametros!$B$3/24)</f>
        <v/>
      </c>
      <c r="D375" s="22" t="str">
        <f aca="false">IF(A375="","",C375+Parametros!$B$2/24)</f>
        <v/>
      </c>
      <c r="E375" s="24" t="str">
        <f aca="false">IF(A375="","",COUNTIFS(Modulo!$A$2:$A$5001,"&gt;="&amp;C375,Modulo!$A$2:$A$5001,"&lt;"&amp;D375,Modulo!$D$2:$D$5001,Parametros!$B$7))</f>
        <v/>
      </c>
      <c r="F375" s="23" t="str">
        <f aca="false">IF(A375="","",IF(E375=0,"",AVERAGEIFS(Modulo!$B$2:$B$5001,Modulo!$A$2:$A$5001,"&gt;="&amp;C375,Modulo!$A$2:$A$5001,"&lt;"&amp;D375,Modulo!$D$2:$D$5001,Parametros!$B$7)))</f>
        <v/>
      </c>
      <c r="G375" s="23" t="str">
        <f aca="false">IF(A375="","",IF(E375=0,"",AVERAGEIFS(Modulo!$C$2:$C$5001,Modulo!$A$2:$A$5001,"&gt;="&amp;C375,Modulo!$A$2:$A$5001,"&lt;"&amp;D375,Modulo!$D$2:$D$5001,Parametros!$B$7)))</f>
        <v/>
      </c>
      <c r="H375" s="25" t="str">
        <f aca="false">IF(A375="","",IFERROR(COUNTIFS(Amostragem!$A$2:$A$15003,"&gt;="&amp;C375,Amostragem!$A$2:$A$15003,"&lt;"&amp;D375,Amostragem!$B$2:$B$15003,"Automático",Amostragem!$C$2:$C$15003,"Automático",Amostragem!$D$2:$D$15003,0)/COUNTIFS(Amostragem!$A$2:$A$15003,"&gt;="&amp;C375,Amostragem!$A$2:$A$15003,"&lt;"&amp;D375),0))</f>
        <v/>
      </c>
      <c r="I375" s="23" t="str">
        <f aca="false">IF(A375="","",IFERROR(AVERAGEIFS(Amostragem!$E$2:$E$15003,Amostragem!$A$2:$A$15003,"&gt;="&amp;C375,Amostragem!$A$2:$A$15003,"&lt;"&amp;D375),""))</f>
        <v/>
      </c>
      <c r="J375" s="24" t="str">
        <f aca="false">IF(A375="","",IF(B375="","Inválida: sem resultado MES",IF(E375&lt;Parametros!$B$4,"Inválida: poucos ensaios do módulo",IF(H375&lt;Parametros!$B$5,"Inválida: amostragem em manual ou em falha",IF(OR(I375="",I375&lt;Parametros!$B$6),"Inválida: usina parada ou baixa alimentação","Válida")))))</f>
        <v/>
      </c>
      <c r="K375" s="23" t="str">
        <f aca="false">IF(J375="Válida",F375-B375,"")</f>
        <v/>
      </c>
      <c r="L375" s="26" t="str">
        <f aca="false">IF(J375="Válida",K375/B375,"")</f>
        <v/>
      </c>
      <c r="M375" s="23" t="str">
        <f aca="false">IF(J375="Válida",(F375+B375)/2,"")</f>
        <v/>
      </c>
      <c r="N375" s="24" t="str">
        <f aca="false">IF(K375="","",IF(OR(K375&gt;Resumo!$B$16,K375&lt;Resumo!$B$15),"Sim","Não"))</f>
        <v/>
      </c>
      <c r="O375" s="22" t="e">
        <f aca="false">IF(A375="",NA(),A375)</f>
        <v>#N/A</v>
      </c>
      <c r="P375" s="23" t="e">
        <f aca="false">IF(A375="",NA(),B375)</f>
        <v>#N/A</v>
      </c>
      <c r="Q375" s="23" t="e">
        <f aca="false">IF(F375="",NA(),F375)</f>
        <v>#N/A</v>
      </c>
      <c r="R375" s="23" t="e">
        <f aca="false">IF(K375="",NA(),K375)</f>
        <v>#N/A</v>
      </c>
      <c r="S375" s="23" t="e">
        <f aca="false">IF(M375="",NA(),M375)</f>
        <v>#N/A</v>
      </c>
      <c r="T375" s="23" t="str">
        <f aca="false">IF(J375="Válida",B375,"")</f>
        <v/>
      </c>
      <c r="U375" s="23" t="str">
        <f aca="false">IF(J375="Válida",F375,"")</f>
        <v/>
      </c>
    </row>
    <row r="376" customFormat="false" ht="15" hidden="false" customHeight="false" outlineLevel="0" collapsed="false">
      <c r="A376" s="22" t="str">
        <f aca="false">IF(MES!A376="","",MES!A376)</f>
        <v/>
      </c>
      <c r="B376" s="23" t="str">
        <f aca="false">IF(A376="","",MES!B376)</f>
        <v/>
      </c>
      <c r="C376" s="22" t="str">
        <f aca="false">IF(A376="","",A376+Parametros!$B$3/24)</f>
        <v/>
      </c>
      <c r="D376" s="22" t="str">
        <f aca="false">IF(A376="","",C376+Parametros!$B$2/24)</f>
        <v/>
      </c>
      <c r="E376" s="24" t="str">
        <f aca="false">IF(A376="","",COUNTIFS(Modulo!$A$2:$A$5001,"&gt;="&amp;C376,Modulo!$A$2:$A$5001,"&lt;"&amp;D376,Modulo!$D$2:$D$5001,Parametros!$B$7))</f>
        <v/>
      </c>
      <c r="F376" s="23" t="str">
        <f aca="false">IF(A376="","",IF(E376=0,"",AVERAGEIFS(Modulo!$B$2:$B$5001,Modulo!$A$2:$A$5001,"&gt;="&amp;C376,Modulo!$A$2:$A$5001,"&lt;"&amp;D376,Modulo!$D$2:$D$5001,Parametros!$B$7)))</f>
        <v/>
      </c>
      <c r="G376" s="23" t="str">
        <f aca="false">IF(A376="","",IF(E376=0,"",AVERAGEIFS(Modulo!$C$2:$C$5001,Modulo!$A$2:$A$5001,"&gt;="&amp;C376,Modulo!$A$2:$A$5001,"&lt;"&amp;D376,Modulo!$D$2:$D$5001,Parametros!$B$7)))</f>
        <v/>
      </c>
      <c r="H376" s="25" t="str">
        <f aca="false">IF(A376="","",IFERROR(COUNTIFS(Amostragem!$A$2:$A$15003,"&gt;="&amp;C376,Amostragem!$A$2:$A$15003,"&lt;"&amp;D376,Amostragem!$B$2:$B$15003,"Automático",Amostragem!$C$2:$C$15003,"Automático",Amostragem!$D$2:$D$15003,0)/COUNTIFS(Amostragem!$A$2:$A$15003,"&gt;="&amp;C376,Amostragem!$A$2:$A$15003,"&lt;"&amp;D376),0))</f>
        <v/>
      </c>
      <c r="I376" s="23" t="str">
        <f aca="false">IF(A376="","",IFERROR(AVERAGEIFS(Amostragem!$E$2:$E$15003,Amostragem!$A$2:$A$15003,"&gt;="&amp;C376,Amostragem!$A$2:$A$15003,"&lt;"&amp;D376),""))</f>
        <v/>
      </c>
      <c r="J376" s="24" t="str">
        <f aca="false">IF(A376="","",IF(B376="","Inválida: sem resultado MES",IF(E376&lt;Parametros!$B$4,"Inválida: poucos ensaios do módulo",IF(H376&lt;Parametros!$B$5,"Inválida: amostragem em manual ou em falha",IF(OR(I376="",I376&lt;Parametros!$B$6),"Inválida: usina parada ou baixa alimentação","Válida")))))</f>
        <v/>
      </c>
      <c r="K376" s="23" t="str">
        <f aca="false">IF(J376="Válida",F376-B376,"")</f>
        <v/>
      </c>
      <c r="L376" s="26" t="str">
        <f aca="false">IF(J376="Válida",K376/B376,"")</f>
        <v/>
      </c>
      <c r="M376" s="23" t="str">
        <f aca="false">IF(J376="Válida",(F376+B376)/2,"")</f>
        <v/>
      </c>
      <c r="N376" s="24" t="str">
        <f aca="false">IF(K376="","",IF(OR(K376&gt;Resumo!$B$16,K376&lt;Resumo!$B$15),"Sim","Não"))</f>
        <v/>
      </c>
      <c r="O376" s="22" t="e">
        <f aca="false">IF(A376="",NA(),A376)</f>
        <v>#N/A</v>
      </c>
      <c r="P376" s="23" t="e">
        <f aca="false">IF(A376="",NA(),B376)</f>
        <v>#N/A</v>
      </c>
      <c r="Q376" s="23" t="e">
        <f aca="false">IF(F376="",NA(),F376)</f>
        <v>#N/A</v>
      </c>
      <c r="R376" s="23" t="e">
        <f aca="false">IF(K376="",NA(),K376)</f>
        <v>#N/A</v>
      </c>
      <c r="S376" s="23" t="e">
        <f aca="false">IF(M376="",NA(),M376)</f>
        <v>#N/A</v>
      </c>
      <c r="T376" s="23" t="str">
        <f aca="false">IF(J376="Válida",B376,"")</f>
        <v/>
      </c>
      <c r="U376" s="23" t="str">
        <f aca="false">IF(J376="Válida",F376,"")</f>
        <v/>
      </c>
    </row>
    <row r="377" customFormat="false" ht="15" hidden="false" customHeight="false" outlineLevel="0" collapsed="false">
      <c r="A377" s="22" t="str">
        <f aca="false">IF(MES!A377="","",MES!A377)</f>
        <v/>
      </c>
      <c r="B377" s="23" t="str">
        <f aca="false">IF(A377="","",MES!B377)</f>
        <v/>
      </c>
      <c r="C377" s="22" t="str">
        <f aca="false">IF(A377="","",A377+Parametros!$B$3/24)</f>
        <v/>
      </c>
      <c r="D377" s="22" t="str">
        <f aca="false">IF(A377="","",C377+Parametros!$B$2/24)</f>
        <v/>
      </c>
      <c r="E377" s="24" t="str">
        <f aca="false">IF(A377="","",COUNTIFS(Modulo!$A$2:$A$5001,"&gt;="&amp;C377,Modulo!$A$2:$A$5001,"&lt;"&amp;D377,Modulo!$D$2:$D$5001,Parametros!$B$7))</f>
        <v/>
      </c>
      <c r="F377" s="23" t="str">
        <f aca="false">IF(A377="","",IF(E377=0,"",AVERAGEIFS(Modulo!$B$2:$B$5001,Modulo!$A$2:$A$5001,"&gt;="&amp;C377,Modulo!$A$2:$A$5001,"&lt;"&amp;D377,Modulo!$D$2:$D$5001,Parametros!$B$7)))</f>
        <v/>
      </c>
      <c r="G377" s="23" t="str">
        <f aca="false">IF(A377="","",IF(E377=0,"",AVERAGEIFS(Modulo!$C$2:$C$5001,Modulo!$A$2:$A$5001,"&gt;="&amp;C377,Modulo!$A$2:$A$5001,"&lt;"&amp;D377,Modulo!$D$2:$D$5001,Parametros!$B$7)))</f>
        <v/>
      </c>
      <c r="H377" s="25" t="str">
        <f aca="false">IF(A377="","",IFERROR(COUNTIFS(Amostragem!$A$2:$A$15003,"&gt;="&amp;C377,Amostragem!$A$2:$A$15003,"&lt;"&amp;D377,Amostragem!$B$2:$B$15003,"Automático",Amostragem!$C$2:$C$15003,"Automático",Amostragem!$D$2:$D$15003,0)/COUNTIFS(Amostragem!$A$2:$A$15003,"&gt;="&amp;C377,Amostragem!$A$2:$A$15003,"&lt;"&amp;D377),0))</f>
        <v/>
      </c>
      <c r="I377" s="23" t="str">
        <f aca="false">IF(A377="","",IFERROR(AVERAGEIFS(Amostragem!$E$2:$E$15003,Amostragem!$A$2:$A$15003,"&gt;="&amp;C377,Amostragem!$A$2:$A$15003,"&lt;"&amp;D377),""))</f>
        <v/>
      </c>
      <c r="J377" s="24" t="str">
        <f aca="false">IF(A377="","",IF(B377="","Inválida: sem resultado MES",IF(E377&lt;Parametros!$B$4,"Inválida: poucos ensaios do módulo",IF(H377&lt;Parametros!$B$5,"Inválida: amostragem em manual ou em falha",IF(OR(I377="",I377&lt;Parametros!$B$6),"Inválida: usina parada ou baixa alimentação","Válida")))))</f>
        <v/>
      </c>
      <c r="K377" s="23" t="str">
        <f aca="false">IF(J377="Válida",F377-B377,"")</f>
        <v/>
      </c>
      <c r="L377" s="26" t="str">
        <f aca="false">IF(J377="Válida",K377/B377,"")</f>
        <v/>
      </c>
      <c r="M377" s="23" t="str">
        <f aca="false">IF(J377="Válida",(F377+B377)/2,"")</f>
        <v/>
      </c>
      <c r="N377" s="24" t="str">
        <f aca="false">IF(K377="","",IF(OR(K377&gt;Resumo!$B$16,K377&lt;Resumo!$B$15),"Sim","Não"))</f>
        <v/>
      </c>
      <c r="O377" s="22" t="e">
        <f aca="false">IF(A377="",NA(),A377)</f>
        <v>#N/A</v>
      </c>
      <c r="P377" s="23" t="e">
        <f aca="false">IF(A377="",NA(),B377)</f>
        <v>#N/A</v>
      </c>
      <c r="Q377" s="23" t="e">
        <f aca="false">IF(F377="",NA(),F377)</f>
        <v>#N/A</v>
      </c>
      <c r="R377" s="23" t="e">
        <f aca="false">IF(K377="",NA(),K377)</f>
        <v>#N/A</v>
      </c>
      <c r="S377" s="23" t="e">
        <f aca="false">IF(M377="",NA(),M377)</f>
        <v>#N/A</v>
      </c>
      <c r="T377" s="23" t="str">
        <f aca="false">IF(J377="Válida",B377,"")</f>
        <v/>
      </c>
      <c r="U377" s="23" t="str">
        <f aca="false">IF(J377="Válida",F377,"")</f>
        <v/>
      </c>
    </row>
    <row r="378" customFormat="false" ht="15" hidden="false" customHeight="false" outlineLevel="0" collapsed="false">
      <c r="A378" s="22" t="str">
        <f aca="false">IF(MES!A378="","",MES!A378)</f>
        <v/>
      </c>
      <c r="B378" s="23" t="str">
        <f aca="false">IF(A378="","",MES!B378)</f>
        <v/>
      </c>
      <c r="C378" s="22" t="str">
        <f aca="false">IF(A378="","",A378+Parametros!$B$3/24)</f>
        <v/>
      </c>
      <c r="D378" s="22" t="str">
        <f aca="false">IF(A378="","",C378+Parametros!$B$2/24)</f>
        <v/>
      </c>
      <c r="E378" s="24" t="str">
        <f aca="false">IF(A378="","",COUNTIFS(Modulo!$A$2:$A$5001,"&gt;="&amp;C378,Modulo!$A$2:$A$5001,"&lt;"&amp;D378,Modulo!$D$2:$D$5001,Parametros!$B$7))</f>
        <v/>
      </c>
      <c r="F378" s="23" t="str">
        <f aca="false">IF(A378="","",IF(E378=0,"",AVERAGEIFS(Modulo!$B$2:$B$5001,Modulo!$A$2:$A$5001,"&gt;="&amp;C378,Modulo!$A$2:$A$5001,"&lt;"&amp;D378,Modulo!$D$2:$D$5001,Parametros!$B$7)))</f>
        <v/>
      </c>
      <c r="G378" s="23" t="str">
        <f aca="false">IF(A378="","",IF(E378=0,"",AVERAGEIFS(Modulo!$C$2:$C$5001,Modulo!$A$2:$A$5001,"&gt;="&amp;C378,Modulo!$A$2:$A$5001,"&lt;"&amp;D378,Modulo!$D$2:$D$5001,Parametros!$B$7)))</f>
        <v/>
      </c>
      <c r="H378" s="25" t="str">
        <f aca="false">IF(A378="","",IFERROR(COUNTIFS(Amostragem!$A$2:$A$15003,"&gt;="&amp;C378,Amostragem!$A$2:$A$15003,"&lt;"&amp;D378,Amostragem!$B$2:$B$15003,"Automático",Amostragem!$C$2:$C$15003,"Automático",Amostragem!$D$2:$D$15003,0)/COUNTIFS(Amostragem!$A$2:$A$15003,"&gt;="&amp;C378,Amostragem!$A$2:$A$15003,"&lt;"&amp;D378),0))</f>
        <v/>
      </c>
      <c r="I378" s="23" t="str">
        <f aca="false">IF(A378="","",IFERROR(AVERAGEIFS(Amostragem!$E$2:$E$15003,Amostragem!$A$2:$A$15003,"&gt;="&amp;C378,Amostragem!$A$2:$A$15003,"&lt;"&amp;D378),""))</f>
        <v/>
      </c>
      <c r="J378" s="24" t="str">
        <f aca="false">IF(A378="","",IF(B378="","Inválida: sem resultado MES",IF(E378&lt;Parametros!$B$4,"Inválida: poucos ensaios do módulo",IF(H378&lt;Parametros!$B$5,"Inválida: amostragem em manual ou em falha",IF(OR(I378="",I378&lt;Parametros!$B$6),"Inválida: usina parada ou baixa alimentação","Válida")))))</f>
        <v/>
      </c>
      <c r="K378" s="23" t="str">
        <f aca="false">IF(J378="Válida",F378-B378,"")</f>
        <v/>
      </c>
      <c r="L378" s="26" t="str">
        <f aca="false">IF(J378="Válida",K378/B378,"")</f>
        <v/>
      </c>
      <c r="M378" s="23" t="str">
        <f aca="false">IF(J378="Válida",(F378+B378)/2,"")</f>
        <v/>
      </c>
      <c r="N378" s="24" t="str">
        <f aca="false">IF(K378="","",IF(OR(K378&gt;Resumo!$B$16,K378&lt;Resumo!$B$15),"Sim","Não"))</f>
        <v/>
      </c>
      <c r="O378" s="22" t="e">
        <f aca="false">IF(A378="",NA(),A378)</f>
        <v>#N/A</v>
      </c>
      <c r="P378" s="23" t="e">
        <f aca="false">IF(A378="",NA(),B378)</f>
        <v>#N/A</v>
      </c>
      <c r="Q378" s="23" t="e">
        <f aca="false">IF(F378="",NA(),F378)</f>
        <v>#N/A</v>
      </c>
      <c r="R378" s="23" t="e">
        <f aca="false">IF(K378="",NA(),K378)</f>
        <v>#N/A</v>
      </c>
      <c r="S378" s="23" t="e">
        <f aca="false">IF(M378="",NA(),M378)</f>
        <v>#N/A</v>
      </c>
      <c r="T378" s="23" t="str">
        <f aca="false">IF(J378="Válida",B378,"")</f>
        <v/>
      </c>
      <c r="U378" s="23" t="str">
        <f aca="false">IF(J378="Válida",F378,"")</f>
        <v/>
      </c>
    </row>
    <row r="379" customFormat="false" ht="15" hidden="false" customHeight="false" outlineLevel="0" collapsed="false">
      <c r="A379" s="22" t="str">
        <f aca="false">IF(MES!A379="","",MES!A379)</f>
        <v/>
      </c>
      <c r="B379" s="23" t="str">
        <f aca="false">IF(A379="","",MES!B379)</f>
        <v/>
      </c>
      <c r="C379" s="22" t="str">
        <f aca="false">IF(A379="","",A379+Parametros!$B$3/24)</f>
        <v/>
      </c>
      <c r="D379" s="22" t="str">
        <f aca="false">IF(A379="","",C379+Parametros!$B$2/24)</f>
        <v/>
      </c>
      <c r="E379" s="24" t="str">
        <f aca="false">IF(A379="","",COUNTIFS(Modulo!$A$2:$A$5001,"&gt;="&amp;C379,Modulo!$A$2:$A$5001,"&lt;"&amp;D379,Modulo!$D$2:$D$5001,Parametros!$B$7))</f>
        <v/>
      </c>
      <c r="F379" s="23" t="str">
        <f aca="false">IF(A379="","",IF(E379=0,"",AVERAGEIFS(Modulo!$B$2:$B$5001,Modulo!$A$2:$A$5001,"&gt;="&amp;C379,Modulo!$A$2:$A$5001,"&lt;"&amp;D379,Modulo!$D$2:$D$5001,Parametros!$B$7)))</f>
        <v/>
      </c>
      <c r="G379" s="23" t="str">
        <f aca="false">IF(A379="","",IF(E379=0,"",AVERAGEIFS(Modulo!$C$2:$C$5001,Modulo!$A$2:$A$5001,"&gt;="&amp;C379,Modulo!$A$2:$A$5001,"&lt;"&amp;D379,Modulo!$D$2:$D$5001,Parametros!$B$7)))</f>
        <v/>
      </c>
      <c r="H379" s="25" t="str">
        <f aca="false">IF(A379="","",IFERROR(COUNTIFS(Amostragem!$A$2:$A$15003,"&gt;="&amp;C379,Amostragem!$A$2:$A$15003,"&lt;"&amp;D379,Amostragem!$B$2:$B$15003,"Automático",Amostragem!$C$2:$C$15003,"Automático",Amostragem!$D$2:$D$15003,0)/COUNTIFS(Amostragem!$A$2:$A$15003,"&gt;="&amp;C379,Amostragem!$A$2:$A$15003,"&lt;"&amp;D379),0))</f>
        <v/>
      </c>
      <c r="I379" s="23" t="str">
        <f aca="false">IF(A379="","",IFERROR(AVERAGEIFS(Amostragem!$E$2:$E$15003,Amostragem!$A$2:$A$15003,"&gt;="&amp;C379,Amostragem!$A$2:$A$15003,"&lt;"&amp;D379),""))</f>
        <v/>
      </c>
      <c r="J379" s="24" t="str">
        <f aca="false">IF(A379="","",IF(B379="","Inválida: sem resultado MES",IF(E379&lt;Parametros!$B$4,"Inválida: poucos ensaios do módulo",IF(H379&lt;Parametros!$B$5,"Inválida: amostragem em manual ou em falha",IF(OR(I379="",I379&lt;Parametros!$B$6),"Inválida: usina parada ou baixa alimentação","Válida")))))</f>
        <v/>
      </c>
      <c r="K379" s="23" t="str">
        <f aca="false">IF(J379="Válida",F379-B379,"")</f>
        <v/>
      </c>
      <c r="L379" s="26" t="str">
        <f aca="false">IF(J379="Válida",K379/B379,"")</f>
        <v/>
      </c>
      <c r="M379" s="23" t="str">
        <f aca="false">IF(J379="Válida",(F379+B379)/2,"")</f>
        <v/>
      </c>
      <c r="N379" s="24" t="str">
        <f aca="false">IF(K379="","",IF(OR(K379&gt;Resumo!$B$16,K379&lt;Resumo!$B$15),"Sim","Não"))</f>
        <v/>
      </c>
      <c r="O379" s="22" t="e">
        <f aca="false">IF(A379="",NA(),A379)</f>
        <v>#N/A</v>
      </c>
      <c r="P379" s="23" t="e">
        <f aca="false">IF(A379="",NA(),B379)</f>
        <v>#N/A</v>
      </c>
      <c r="Q379" s="23" t="e">
        <f aca="false">IF(F379="",NA(),F379)</f>
        <v>#N/A</v>
      </c>
      <c r="R379" s="23" t="e">
        <f aca="false">IF(K379="",NA(),K379)</f>
        <v>#N/A</v>
      </c>
      <c r="S379" s="23" t="e">
        <f aca="false">IF(M379="",NA(),M379)</f>
        <v>#N/A</v>
      </c>
      <c r="T379" s="23" t="str">
        <f aca="false">IF(J379="Válida",B379,"")</f>
        <v/>
      </c>
      <c r="U379" s="23" t="str">
        <f aca="false">IF(J379="Válida",F379,"")</f>
        <v/>
      </c>
    </row>
    <row r="380" customFormat="false" ht="15" hidden="false" customHeight="false" outlineLevel="0" collapsed="false">
      <c r="A380" s="22" t="str">
        <f aca="false">IF(MES!A380="","",MES!A380)</f>
        <v/>
      </c>
      <c r="B380" s="23" t="str">
        <f aca="false">IF(A380="","",MES!B380)</f>
        <v/>
      </c>
      <c r="C380" s="22" t="str">
        <f aca="false">IF(A380="","",A380+Parametros!$B$3/24)</f>
        <v/>
      </c>
      <c r="D380" s="22" t="str">
        <f aca="false">IF(A380="","",C380+Parametros!$B$2/24)</f>
        <v/>
      </c>
      <c r="E380" s="24" t="str">
        <f aca="false">IF(A380="","",COUNTIFS(Modulo!$A$2:$A$5001,"&gt;="&amp;C380,Modulo!$A$2:$A$5001,"&lt;"&amp;D380,Modulo!$D$2:$D$5001,Parametros!$B$7))</f>
        <v/>
      </c>
      <c r="F380" s="23" t="str">
        <f aca="false">IF(A380="","",IF(E380=0,"",AVERAGEIFS(Modulo!$B$2:$B$5001,Modulo!$A$2:$A$5001,"&gt;="&amp;C380,Modulo!$A$2:$A$5001,"&lt;"&amp;D380,Modulo!$D$2:$D$5001,Parametros!$B$7)))</f>
        <v/>
      </c>
      <c r="G380" s="23" t="str">
        <f aca="false">IF(A380="","",IF(E380=0,"",AVERAGEIFS(Modulo!$C$2:$C$5001,Modulo!$A$2:$A$5001,"&gt;="&amp;C380,Modulo!$A$2:$A$5001,"&lt;"&amp;D380,Modulo!$D$2:$D$5001,Parametros!$B$7)))</f>
        <v/>
      </c>
      <c r="H380" s="25" t="str">
        <f aca="false">IF(A380="","",IFERROR(COUNTIFS(Amostragem!$A$2:$A$15003,"&gt;="&amp;C380,Amostragem!$A$2:$A$15003,"&lt;"&amp;D380,Amostragem!$B$2:$B$15003,"Automático",Amostragem!$C$2:$C$15003,"Automático",Amostragem!$D$2:$D$15003,0)/COUNTIFS(Amostragem!$A$2:$A$15003,"&gt;="&amp;C380,Amostragem!$A$2:$A$15003,"&lt;"&amp;D380),0))</f>
        <v/>
      </c>
      <c r="I380" s="23" t="str">
        <f aca="false">IF(A380="","",IFERROR(AVERAGEIFS(Amostragem!$E$2:$E$15003,Amostragem!$A$2:$A$15003,"&gt;="&amp;C380,Amostragem!$A$2:$A$15003,"&lt;"&amp;D380),""))</f>
        <v/>
      </c>
      <c r="J380" s="24" t="str">
        <f aca="false">IF(A380="","",IF(B380="","Inválida: sem resultado MES",IF(E380&lt;Parametros!$B$4,"Inválida: poucos ensaios do módulo",IF(H380&lt;Parametros!$B$5,"Inválida: amostragem em manual ou em falha",IF(OR(I380="",I380&lt;Parametros!$B$6),"Inválida: usina parada ou baixa alimentação","Válida")))))</f>
        <v/>
      </c>
      <c r="K380" s="23" t="str">
        <f aca="false">IF(J380="Válida",F380-B380,"")</f>
        <v/>
      </c>
      <c r="L380" s="26" t="str">
        <f aca="false">IF(J380="Válida",K380/B380,"")</f>
        <v/>
      </c>
      <c r="M380" s="23" t="str">
        <f aca="false">IF(J380="Válida",(F380+B380)/2,"")</f>
        <v/>
      </c>
      <c r="N380" s="24" t="str">
        <f aca="false">IF(K380="","",IF(OR(K380&gt;Resumo!$B$16,K380&lt;Resumo!$B$15),"Sim","Não"))</f>
        <v/>
      </c>
      <c r="O380" s="22" t="e">
        <f aca="false">IF(A380="",NA(),A380)</f>
        <v>#N/A</v>
      </c>
      <c r="P380" s="23" t="e">
        <f aca="false">IF(A380="",NA(),B380)</f>
        <v>#N/A</v>
      </c>
      <c r="Q380" s="23" t="e">
        <f aca="false">IF(F380="",NA(),F380)</f>
        <v>#N/A</v>
      </c>
      <c r="R380" s="23" t="e">
        <f aca="false">IF(K380="",NA(),K380)</f>
        <v>#N/A</v>
      </c>
      <c r="S380" s="23" t="e">
        <f aca="false">IF(M380="",NA(),M380)</f>
        <v>#N/A</v>
      </c>
      <c r="T380" s="23" t="str">
        <f aca="false">IF(J380="Válida",B380,"")</f>
        <v/>
      </c>
      <c r="U380" s="23" t="str">
        <f aca="false">IF(J380="Válida",F380,"")</f>
        <v/>
      </c>
    </row>
    <row r="381" customFormat="false" ht="15" hidden="false" customHeight="false" outlineLevel="0" collapsed="false">
      <c r="A381" s="22" t="str">
        <f aca="false">IF(MES!A381="","",MES!A381)</f>
        <v/>
      </c>
      <c r="B381" s="23" t="str">
        <f aca="false">IF(A381="","",MES!B381)</f>
        <v/>
      </c>
      <c r="C381" s="22" t="str">
        <f aca="false">IF(A381="","",A381+Parametros!$B$3/24)</f>
        <v/>
      </c>
      <c r="D381" s="22" t="str">
        <f aca="false">IF(A381="","",C381+Parametros!$B$2/24)</f>
        <v/>
      </c>
      <c r="E381" s="24" t="str">
        <f aca="false">IF(A381="","",COUNTIFS(Modulo!$A$2:$A$5001,"&gt;="&amp;C381,Modulo!$A$2:$A$5001,"&lt;"&amp;D381,Modulo!$D$2:$D$5001,Parametros!$B$7))</f>
        <v/>
      </c>
      <c r="F381" s="23" t="str">
        <f aca="false">IF(A381="","",IF(E381=0,"",AVERAGEIFS(Modulo!$B$2:$B$5001,Modulo!$A$2:$A$5001,"&gt;="&amp;C381,Modulo!$A$2:$A$5001,"&lt;"&amp;D381,Modulo!$D$2:$D$5001,Parametros!$B$7)))</f>
        <v/>
      </c>
      <c r="G381" s="23" t="str">
        <f aca="false">IF(A381="","",IF(E381=0,"",AVERAGEIFS(Modulo!$C$2:$C$5001,Modulo!$A$2:$A$5001,"&gt;="&amp;C381,Modulo!$A$2:$A$5001,"&lt;"&amp;D381,Modulo!$D$2:$D$5001,Parametros!$B$7)))</f>
        <v/>
      </c>
      <c r="H381" s="25" t="str">
        <f aca="false">IF(A381="","",IFERROR(COUNTIFS(Amostragem!$A$2:$A$15003,"&gt;="&amp;C381,Amostragem!$A$2:$A$15003,"&lt;"&amp;D381,Amostragem!$B$2:$B$15003,"Automático",Amostragem!$C$2:$C$15003,"Automático",Amostragem!$D$2:$D$15003,0)/COUNTIFS(Amostragem!$A$2:$A$15003,"&gt;="&amp;C381,Amostragem!$A$2:$A$15003,"&lt;"&amp;D381),0))</f>
        <v/>
      </c>
      <c r="I381" s="23" t="str">
        <f aca="false">IF(A381="","",IFERROR(AVERAGEIFS(Amostragem!$E$2:$E$15003,Amostragem!$A$2:$A$15003,"&gt;="&amp;C381,Amostragem!$A$2:$A$15003,"&lt;"&amp;D381),""))</f>
        <v/>
      </c>
      <c r="J381" s="24" t="str">
        <f aca="false">IF(A381="","",IF(B381="","Inválida: sem resultado MES",IF(E381&lt;Parametros!$B$4,"Inválida: poucos ensaios do módulo",IF(H381&lt;Parametros!$B$5,"Inválida: amostragem em manual ou em falha",IF(OR(I381="",I381&lt;Parametros!$B$6),"Inválida: usina parada ou baixa alimentação","Válida")))))</f>
        <v/>
      </c>
      <c r="K381" s="23" t="str">
        <f aca="false">IF(J381="Válida",F381-B381,"")</f>
        <v/>
      </c>
      <c r="L381" s="26" t="str">
        <f aca="false">IF(J381="Válida",K381/B381,"")</f>
        <v/>
      </c>
      <c r="M381" s="23" t="str">
        <f aca="false">IF(J381="Válida",(F381+B381)/2,"")</f>
        <v/>
      </c>
      <c r="N381" s="24" t="str">
        <f aca="false">IF(K381="","",IF(OR(K381&gt;Resumo!$B$16,K381&lt;Resumo!$B$15),"Sim","Não"))</f>
        <v/>
      </c>
      <c r="O381" s="22" t="e">
        <f aca="false">IF(A381="",NA(),A381)</f>
        <v>#N/A</v>
      </c>
      <c r="P381" s="23" t="e">
        <f aca="false">IF(A381="",NA(),B381)</f>
        <v>#N/A</v>
      </c>
      <c r="Q381" s="23" t="e">
        <f aca="false">IF(F381="",NA(),F381)</f>
        <v>#N/A</v>
      </c>
      <c r="R381" s="23" t="e">
        <f aca="false">IF(K381="",NA(),K381)</f>
        <v>#N/A</v>
      </c>
      <c r="S381" s="23" t="e">
        <f aca="false">IF(M381="",NA(),M381)</f>
        <v>#N/A</v>
      </c>
      <c r="T381" s="23" t="str">
        <f aca="false">IF(J381="Válida",B381,"")</f>
        <v/>
      </c>
      <c r="U381" s="23" t="str">
        <f aca="false">IF(J381="Válida",F381,"")</f>
        <v/>
      </c>
    </row>
    <row r="382" customFormat="false" ht="15" hidden="false" customHeight="false" outlineLevel="0" collapsed="false">
      <c r="A382" s="22" t="str">
        <f aca="false">IF(MES!A382="","",MES!A382)</f>
        <v/>
      </c>
      <c r="B382" s="23" t="str">
        <f aca="false">IF(A382="","",MES!B382)</f>
        <v/>
      </c>
      <c r="C382" s="22" t="str">
        <f aca="false">IF(A382="","",A382+Parametros!$B$3/24)</f>
        <v/>
      </c>
      <c r="D382" s="22" t="str">
        <f aca="false">IF(A382="","",C382+Parametros!$B$2/24)</f>
        <v/>
      </c>
      <c r="E382" s="24" t="str">
        <f aca="false">IF(A382="","",COUNTIFS(Modulo!$A$2:$A$5001,"&gt;="&amp;C382,Modulo!$A$2:$A$5001,"&lt;"&amp;D382,Modulo!$D$2:$D$5001,Parametros!$B$7))</f>
        <v/>
      </c>
      <c r="F382" s="23" t="str">
        <f aca="false">IF(A382="","",IF(E382=0,"",AVERAGEIFS(Modulo!$B$2:$B$5001,Modulo!$A$2:$A$5001,"&gt;="&amp;C382,Modulo!$A$2:$A$5001,"&lt;"&amp;D382,Modulo!$D$2:$D$5001,Parametros!$B$7)))</f>
        <v/>
      </c>
      <c r="G382" s="23" t="str">
        <f aca="false">IF(A382="","",IF(E382=0,"",AVERAGEIFS(Modulo!$C$2:$C$5001,Modulo!$A$2:$A$5001,"&gt;="&amp;C382,Modulo!$A$2:$A$5001,"&lt;"&amp;D382,Modulo!$D$2:$D$5001,Parametros!$B$7)))</f>
        <v/>
      </c>
      <c r="H382" s="25" t="str">
        <f aca="false">IF(A382="","",IFERROR(COUNTIFS(Amostragem!$A$2:$A$15003,"&gt;="&amp;C382,Amostragem!$A$2:$A$15003,"&lt;"&amp;D382,Amostragem!$B$2:$B$15003,"Automático",Amostragem!$C$2:$C$15003,"Automático",Amostragem!$D$2:$D$15003,0)/COUNTIFS(Amostragem!$A$2:$A$15003,"&gt;="&amp;C382,Amostragem!$A$2:$A$15003,"&lt;"&amp;D382),0))</f>
        <v/>
      </c>
      <c r="I382" s="23" t="str">
        <f aca="false">IF(A382="","",IFERROR(AVERAGEIFS(Amostragem!$E$2:$E$15003,Amostragem!$A$2:$A$15003,"&gt;="&amp;C382,Amostragem!$A$2:$A$15003,"&lt;"&amp;D382),""))</f>
        <v/>
      </c>
      <c r="J382" s="24" t="str">
        <f aca="false">IF(A382="","",IF(B382="","Inválida: sem resultado MES",IF(E382&lt;Parametros!$B$4,"Inválida: poucos ensaios do módulo",IF(H382&lt;Parametros!$B$5,"Inválida: amostragem em manual ou em falha",IF(OR(I382="",I382&lt;Parametros!$B$6),"Inválida: usina parada ou baixa alimentação","Válida")))))</f>
        <v/>
      </c>
      <c r="K382" s="23" t="str">
        <f aca="false">IF(J382="Válida",F382-B382,"")</f>
        <v/>
      </c>
      <c r="L382" s="26" t="str">
        <f aca="false">IF(J382="Válida",K382/B382,"")</f>
        <v/>
      </c>
      <c r="M382" s="23" t="str">
        <f aca="false">IF(J382="Válida",(F382+B382)/2,"")</f>
        <v/>
      </c>
      <c r="N382" s="24" t="str">
        <f aca="false">IF(K382="","",IF(OR(K382&gt;Resumo!$B$16,K382&lt;Resumo!$B$15),"Sim","Não"))</f>
        <v/>
      </c>
      <c r="O382" s="22" t="e">
        <f aca="false">IF(A382="",NA(),A382)</f>
        <v>#N/A</v>
      </c>
      <c r="P382" s="23" t="e">
        <f aca="false">IF(A382="",NA(),B382)</f>
        <v>#N/A</v>
      </c>
      <c r="Q382" s="23" t="e">
        <f aca="false">IF(F382="",NA(),F382)</f>
        <v>#N/A</v>
      </c>
      <c r="R382" s="23" t="e">
        <f aca="false">IF(K382="",NA(),K382)</f>
        <v>#N/A</v>
      </c>
      <c r="S382" s="23" t="e">
        <f aca="false">IF(M382="",NA(),M382)</f>
        <v>#N/A</v>
      </c>
      <c r="T382" s="23" t="str">
        <f aca="false">IF(J382="Válida",B382,"")</f>
        <v/>
      </c>
      <c r="U382" s="23" t="str">
        <f aca="false">IF(J382="Válida",F382,"")</f>
        <v/>
      </c>
    </row>
    <row r="383" customFormat="false" ht="15" hidden="false" customHeight="false" outlineLevel="0" collapsed="false">
      <c r="A383" s="22" t="str">
        <f aca="false">IF(MES!A383="","",MES!A383)</f>
        <v/>
      </c>
      <c r="B383" s="23" t="str">
        <f aca="false">IF(A383="","",MES!B383)</f>
        <v/>
      </c>
      <c r="C383" s="22" t="str">
        <f aca="false">IF(A383="","",A383+Parametros!$B$3/24)</f>
        <v/>
      </c>
      <c r="D383" s="22" t="str">
        <f aca="false">IF(A383="","",C383+Parametros!$B$2/24)</f>
        <v/>
      </c>
      <c r="E383" s="24" t="str">
        <f aca="false">IF(A383="","",COUNTIFS(Modulo!$A$2:$A$5001,"&gt;="&amp;C383,Modulo!$A$2:$A$5001,"&lt;"&amp;D383,Modulo!$D$2:$D$5001,Parametros!$B$7))</f>
        <v/>
      </c>
      <c r="F383" s="23" t="str">
        <f aca="false">IF(A383="","",IF(E383=0,"",AVERAGEIFS(Modulo!$B$2:$B$5001,Modulo!$A$2:$A$5001,"&gt;="&amp;C383,Modulo!$A$2:$A$5001,"&lt;"&amp;D383,Modulo!$D$2:$D$5001,Parametros!$B$7)))</f>
        <v/>
      </c>
      <c r="G383" s="23" t="str">
        <f aca="false">IF(A383="","",IF(E383=0,"",AVERAGEIFS(Modulo!$C$2:$C$5001,Modulo!$A$2:$A$5001,"&gt;="&amp;C383,Modulo!$A$2:$A$5001,"&lt;"&amp;D383,Modulo!$D$2:$D$5001,Parametros!$B$7)))</f>
        <v/>
      </c>
      <c r="H383" s="25" t="str">
        <f aca="false">IF(A383="","",IFERROR(COUNTIFS(Amostragem!$A$2:$A$15003,"&gt;="&amp;C383,Amostragem!$A$2:$A$15003,"&lt;"&amp;D383,Amostragem!$B$2:$B$15003,"Automático",Amostragem!$C$2:$C$15003,"Automático",Amostragem!$D$2:$D$15003,0)/COUNTIFS(Amostragem!$A$2:$A$15003,"&gt;="&amp;C383,Amostragem!$A$2:$A$15003,"&lt;"&amp;D383),0))</f>
        <v/>
      </c>
      <c r="I383" s="23" t="str">
        <f aca="false">IF(A383="","",IFERROR(AVERAGEIFS(Amostragem!$E$2:$E$15003,Amostragem!$A$2:$A$15003,"&gt;="&amp;C383,Amostragem!$A$2:$A$15003,"&lt;"&amp;D383),""))</f>
        <v/>
      </c>
      <c r="J383" s="24" t="str">
        <f aca="false">IF(A383="","",IF(B383="","Inválida: sem resultado MES",IF(E383&lt;Parametros!$B$4,"Inválida: poucos ensaios do módulo",IF(H383&lt;Parametros!$B$5,"Inválida: amostragem em manual ou em falha",IF(OR(I383="",I383&lt;Parametros!$B$6),"Inválida: usina parada ou baixa alimentação","Válida")))))</f>
        <v/>
      </c>
      <c r="K383" s="23" t="str">
        <f aca="false">IF(J383="Válida",F383-B383,"")</f>
        <v/>
      </c>
      <c r="L383" s="26" t="str">
        <f aca="false">IF(J383="Válida",K383/B383,"")</f>
        <v/>
      </c>
      <c r="M383" s="23" t="str">
        <f aca="false">IF(J383="Válida",(F383+B383)/2,"")</f>
        <v/>
      </c>
      <c r="N383" s="24" t="str">
        <f aca="false">IF(K383="","",IF(OR(K383&gt;Resumo!$B$16,K383&lt;Resumo!$B$15),"Sim","Não"))</f>
        <v/>
      </c>
      <c r="O383" s="22" t="e">
        <f aca="false">IF(A383="",NA(),A383)</f>
        <v>#N/A</v>
      </c>
      <c r="P383" s="23" t="e">
        <f aca="false">IF(A383="",NA(),B383)</f>
        <v>#N/A</v>
      </c>
      <c r="Q383" s="23" t="e">
        <f aca="false">IF(F383="",NA(),F383)</f>
        <v>#N/A</v>
      </c>
      <c r="R383" s="23" t="e">
        <f aca="false">IF(K383="",NA(),K383)</f>
        <v>#N/A</v>
      </c>
      <c r="S383" s="23" t="e">
        <f aca="false">IF(M383="",NA(),M383)</f>
        <v>#N/A</v>
      </c>
      <c r="T383" s="23" t="str">
        <f aca="false">IF(J383="Válida",B383,"")</f>
        <v/>
      </c>
      <c r="U383" s="23" t="str">
        <f aca="false">IF(J383="Válida",F383,"")</f>
        <v/>
      </c>
    </row>
    <row r="384" customFormat="false" ht="15" hidden="false" customHeight="false" outlineLevel="0" collapsed="false">
      <c r="A384" s="22" t="str">
        <f aca="false">IF(MES!A384="","",MES!A384)</f>
        <v/>
      </c>
      <c r="B384" s="23" t="str">
        <f aca="false">IF(A384="","",MES!B384)</f>
        <v/>
      </c>
      <c r="C384" s="22" t="str">
        <f aca="false">IF(A384="","",A384+Parametros!$B$3/24)</f>
        <v/>
      </c>
      <c r="D384" s="22" t="str">
        <f aca="false">IF(A384="","",C384+Parametros!$B$2/24)</f>
        <v/>
      </c>
      <c r="E384" s="24" t="str">
        <f aca="false">IF(A384="","",COUNTIFS(Modulo!$A$2:$A$5001,"&gt;="&amp;C384,Modulo!$A$2:$A$5001,"&lt;"&amp;D384,Modulo!$D$2:$D$5001,Parametros!$B$7))</f>
        <v/>
      </c>
      <c r="F384" s="23" t="str">
        <f aca="false">IF(A384="","",IF(E384=0,"",AVERAGEIFS(Modulo!$B$2:$B$5001,Modulo!$A$2:$A$5001,"&gt;="&amp;C384,Modulo!$A$2:$A$5001,"&lt;"&amp;D384,Modulo!$D$2:$D$5001,Parametros!$B$7)))</f>
        <v/>
      </c>
      <c r="G384" s="23" t="str">
        <f aca="false">IF(A384="","",IF(E384=0,"",AVERAGEIFS(Modulo!$C$2:$C$5001,Modulo!$A$2:$A$5001,"&gt;="&amp;C384,Modulo!$A$2:$A$5001,"&lt;"&amp;D384,Modulo!$D$2:$D$5001,Parametros!$B$7)))</f>
        <v/>
      </c>
      <c r="H384" s="25" t="str">
        <f aca="false">IF(A384="","",IFERROR(COUNTIFS(Amostragem!$A$2:$A$15003,"&gt;="&amp;C384,Amostragem!$A$2:$A$15003,"&lt;"&amp;D384,Amostragem!$B$2:$B$15003,"Automático",Amostragem!$C$2:$C$15003,"Automático",Amostragem!$D$2:$D$15003,0)/COUNTIFS(Amostragem!$A$2:$A$15003,"&gt;="&amp;C384,Amostragem!$A$2:$A$15003,"&lt;"&amp;D384),0))</f>
        <v/>
      </c>
      <c r="I384" s="23" t="str">
        <f aca="false">IF(A384="","",IFERROR(AVERAGEIFS(Amostragem!$E$2:$E$15003,Amostragem!$A$2:$A$15003,"&gt;="&amp;C384,Amostragem!$A$2:$A$15003,"&lt;"&amp;D384),""))</f>
        <v/>
      </c>
      <c r="J384" s="24" t="str">
        <f aca="false">IF(A384="","",IF(B384="","Inválida: sem resultado MES",IF(E384&lt;Parametros!$B$4,"Inválida: poucos ensaios do módulo",IF(H384&lt;Parametros!$B$5,"Inválida: amostragem em manual ou em falha",IF(OR(I384="",I384&lt;Parametros!$B$6),"Inválida: usina parada ou baixa alimentação","Válida")))))</f>
        <v/>
      </c>
      <c r="K384" s="23" t="str">
        <f aca="false">IF(J384="Válida",F384-B384,"")</f>
        <v/>
      </c>
      <c r="L384" s="26" t="str">
        <f aca="false">IF(J384="Válida",K384/B384,"")</f>
        <v/>
      </c>
      <c r="M384" s="23" t="str">
        <f aca="false">IF(J384="Válida",(F384+B384)/2,"")</f>
        <v/>
      </c>
      <c r="N384" s="24" t="str">
        <f aca="false">IF(K384="","",IF(OR(K384&gt;Resumo!$B$16,K384&lt;Resumo!$B$15),"Sim","Não"))</f>
        <v/>
      </c>
      <c r="O384" s="22" t="e">
        <f aca="false">IF(A384="",NA(),A384)</f>
        <v>#N/A</v>
      </c>
      <c r="P384" s="23" t="e">
        <f aca="false">IF(A384="",NA(),B384)</f>
        <v>#N/A</v>
      </c>
      <c r="Q384" s="23" t="e">
        <f aca="false">IF(F384="",NA(),F384)</f>
        <v>#N/A</v>
      </c>
      <c r="R384" s="23" t="e">
        <f aca="false">IF(K384="",NA(),K384)</f>
        <v>#N/A</v>
      </c>
      <c r="S384" s="23" t="e">
        <f aca="false">IF(M384="",NA(),M384)</f>
        <v>#N/A</v>
      </c>
      <c r="T384" s="23" t="str">
        <f aca="false">IF(J384="Válida",B384,"")</f>
        <v/>
      </c>
      <c r="U384" s="23" t="str">
        <f aca="false">IF(J384="Válida",F384,"")</f>
        <v/>
      </c>
    </row>
    <row r="385" customFormat="false" ht="15" hidden="false" customHeight="false" outlineLevel="0" collapsed="false">
      <c r="A385" s="22" t="str">
        <f aca="false">IF(MES!A385="","",MES!A385)</f>
        <v/>
      </c>
      <c r="B385" s="23" t="str">
        <f aca="false">IF(A385="","",MES!B385)</f>
        <v/>
      </c>
      <c r="C385" s="22" t="str">
        <f aca="false">IF(A385="","",A385+Parametros!$B$3/24)</f>
        <v/>
      </c>
      <c r="D385" s="22" t="str">
        <f aca="false">IF(A385="","",C385+Parametros!$B$2/24)</f>
        <v/>
      </c>
      <c r="E385" s="24" t="str">
        <f aca="false">IF(A385="","",COUNTIFS(Modulo!$A$2:$A$5001,"&gt;="&amp;C385,Modulo!$A$2:$A$5001,"&lt;"&amp;D385,Modulo!$D$2:$D$5001,Parametros!$B$7))</f>
        <v/>
      </c>
      <c r="F385" s="23" t="str">
        <f aca="false">IF(A385="","",IF(E385=0,"",AVERAGEIFS(Modulo!$B$2:$B$5001,Modulo!$A$2:$A$5001,"&gt;="&amp;C385,Modulo!$A$2:$A$5001,"&lt;"&amp;D385,Modulo!$D$2:$D$5001,Parametros!$B$7)))</f>
        <v/>
      </c>
      <c r="G385" s="23" t="str">
        <f aca="false">IF(A385="","",IF(E385=0,"",AVERAGEIFS(Modulo!$C$2:$C$5001,Modulo!$A$2:$A$5001,"&gt;="&amp;C385,Modulo!$A$2:$A$5001,"&lt;"&amp;D385,Modulo!$D$2:$D$5001,Parametros!$B$7)))</f>
        <v/>
      </c>
      <c r="H385" s="25" t="str">
        <f aca="false">IF(A385="","",IFERROR(COUNTIFS(Amostragem!$A$2:$A$15003,"&gt;="&amp;C385,Amostragem!$A$2:$A$15003,"&lt;"&amp;D385,Amostragem!$B$2:$B$15003,"Automático",Amostragem!$C$2:$C$15003,"Automático",Amostragem!$D$2:$D$15003,0)/COUNTIFS(Amostragem!$A$2:$A$15003,"&gt;="&amp;C385,Amostragem!$A$2:$A$15003,"&lt;"&amp;D385),0))</f>
        <v/>
      </c>
      <c r="I385" s="23" t="str">
        <f aca="false">IF(A385="","",IFERROR(AVERAGEIFS(Amostragem!$E$2:$E$15003,Amostragem!$A$2:$A$15003,"&gt;="&amp;C385,Amostragem!$A$2:$A$15003,"&lt;"&amp;D385),""))</f>
        <v/>
      </c>
      <c r="J385" s="24" t="str">
        <f aca="false">IF(A385="","",IF(B385="","Inválida: sem resultado MES",IF(E385&lt;Parametros!$B$4,"Inválida: poucos ensaios do módulo",IF(H385&lt;Parametros!$B$5,"Inválida: amostragem em manual ou em falha",IF(OR(I385="",I385&lt;Parametros!$B$6),"Inválida: usina parada ou baixa alimentação","Válida")))))</f>
        <v/>
      </c>
      <c r="K385" s="23" t="str">
        <f aca="false">IF(J385="Válida",F385-B385,"")</f>
        <v/>
      </c>
      <c r="L385" s="26" t="str">
        <f aca="false">IF(J385="Válida",K385/B385,"")</f>
        <v/>
      </c>
      <c r="M385" s="23" t="str">
        <f aca="false">IF(J385="Válida",(F385+B385)/2,"")</f>
        <v/>
      </c>
      <c r="N385" s="24" t="str">
        <f aca="false">IF(K385="","",IF(OR(K385&gt;Resumo!$B$16,K385&lt;Resumo!$B$15),"Sim","Não"))</f>
        <v/>
      </c>
      <c r="O385" s="22" t="e">
        <f aca="false">IF(A385="",NA(),A385)</f>
        <v>#N/A</v>
      </c>
      <c r="P385" s="23" t="e">
        <f aca="false">IF(A385="",NA(),B385)</f>
        <v>#N/A</v>
      </c>
      <c r="Q385" s="23" t="e">
        <f aca="false">IF(F385="",NA(),F385)</f>
        <v>#N/A</v>
      </c>
      <c r="R385" s="23" t="e">
        <f aca="false">IF(K385="",NA(),K385)</f>
        <v>#N/A</v>
      </c>
      <c r="S385" s="23" t="e">
        <f aca="false">IF(M385="",NA(),M385)</f>
        <v>#N/A</v>
      </c>
      <c r="T385" s="23" t="str">
        <f aca="false">IF(J385="Válida",B385,"")</f>
        <v/>
      </c>
      <c r="U385" s="23" t="str">
        <f aca="false">IF(J385="Válida",F385,"")</f>
        <v/>
      </c>
    </row>
    <row r="386" customFormat="false" ht="15" hidden="false" customHeight="false" outlineLevel="0" collapsed="false">
      <c r="A386" s="22" t="str">
        <f aca="false">IF(MES!A386="","",MES!A386)</f>
        <v/>
      </c>
      <c r="B386" s="23" t="str">
        <f aca="false">IF(A386="","",MES!B386)</f>
        <v/>
      </c>
      <c r="C386" s="22" t="str">
        <f aca="false">IF(A386="","",A386+Parametros!$B$3/24)</f>
        <v/>
      </c>
      <c r="D386" s="22" t="str">
        <f aca="false">IF(A386="","",C386+Parametros!$B$2/24)</f>
        <v/>
      </c>
      <c r="E386" s="24" t="str">
        <f aca="false">IF(A386="","",COUNTIFS(Modulo!$A$2:$A$5001,"&gt;="&amp;C386,Modulo!$A$2:$A$5001,"&lt;"&amp;D386,Modulo!$D$2:$D$5001,Parametros!$B$7))</f>
        <v/>
      </c>
      <c r="F386" s="23" t="str">
        <f aca="false">IF(A386="","",IF(E386=0,"",AVERAGEIFS(Modulo!$B$2:$B$5001,Modulo!$A$2:$A$5001,"&gt;="&amp;C386,Modulo!$A$2:$A$5001,"&lt;"&amp;D386,Modulo!$D$2:$D$5001,Parametros!$B$7)))</f>
        <v/>
      </c>
      <c r="G386" s="23" t="str">
        <f aca="false">IF(A386="","",IF(E386=0,"",AVERAGEIFS(Modulo!$C$2:$C$5001,Modulo!$A$2:$A$5001,"&gt;="&amp;C386,Modulo!$A$2:$A$5001,"&lt;"&amp;D386,Modulo!$D$2:$D$5001,Parametros!$B$7)))</f>
        <v/>
      </c>
      <c r="H386" s="25" t="str">
        <f aca="false">IF(A386="","",IFERROR(COUNTIFS(Amostragem!$A$2:$A$15003,"&gt;="&amp;C386,Amostragem!$A$2:$A$15003,"&lt;"&amp;D386,Amostragem!$B$2:$B$15003,"Automático",Amostragem!$C$2:$C$15003,"Automático",Amostragem!$D$2:$D$15003,0)/COUNTIFS(Amostragem!$A$2:$A$15003,"&gt;="&amp;C386,Amostragem!$A$2:$A$15003,"&lt;"&amp;D386),0))</f>
        <v/>
      </c>
      <c r="I386" s="23" t="str">
        <f aca="false">IF(A386="","",IFERROR(AVERAGEIFS(Amostragem!$E$2:$E$15003,Amostragem!$A$2:$A$15003,"&gt;="&amp;C386,Amostragem!$A$2:$A$15003,"&lt;"&amp;D386),""))</f>
        <v/>
      </c>
      <c r="J386" s="24" t="str">
        <f aca="false">IF(A386="","",IF(B386="","Inválida: sem resultado MES",IF(E386&lt;Parametros!$B$4,"Inválida: poucos ensaios do módulo",IF(H386&lt;Parametros!$B$5,"Inválida: amostragem em manual ou em falha",IF(OR(I386="",I386&lt;Parametros!$B$6),"Inválida: usina parada ou baixa alimentação","Válida")))))</f>
        <v/>
      </c>
      <c r="K386" s="23" t="str">
        <f aca="false">IF(J386="Válida",F386-B386,"")</f>
        <v/>
      </c>
      <c r="L386" s="26" t="str">
        <f aca="false">IF(J386="Válida",K386/B386,"")</f>
        <v/>
      </c>
      <c r="M386" s="23" t="str">
        <f aca="false">IF(J386="Válida",(F386+B386)/2,"")</f>
        <v/>
      </c>
      <c r="N386" s="24" t="str">
        <f aca="false">IF(K386="","",IF(OR(K386&gt;Resumo!$B$16,K386&lt;Resumo!$B$15),"Sim","Não"))</f>
        <v/>
      </c>
      <c r="O386" s="22" t="e">
        <f aca="false">IF(A386="",NA(),A386)</f>
        <v>#N/A</v>
      </c>
      <c r="P386" s="23" t="e">
        <f aca="false">IF(A386="",NA(),B386)</f>
        <v>#N/A</v>
      </c>
      <c r="Q386" s="23" t="e">
        <f aca="false">IF(F386="",NA(),F386)</f>
        <v>#N/A</v>
      </c>
      <c r="R386" s="23" t="e">
        <f aca="false">IF(K386="",NA(),K386)</f>
        <v>#N/A</v>
      </c>
      <c r="S386" s="23" t="e">
        <f aca="false">IF(M386="",NA(),M386)</f>
        <v>#N/A</v>
      </c>
      <c r="T386" s="23" t="str">
        <f aca="false">IF(J386="Válida",B386,"")</f>
        <v/>
      </c>
      <c r="U386" s="23" t="str">
        <f aca="false">IF(J386="Válida",F386,"")</f>
        <v/>
      </c>
    </row>
    <row r="387" customFormat="false" ht="15" hidden="false" customHeight="false" outlineLevel="0" collapsed="false">
      <c r="A387" s="22" t="str">
        <f aca="false">IF(MES!A387="","",MES!A387)</f>
        <v/>
      </c>
      <c r="B387" s="23" t="str">
        <f aca="false">IF(A387="","",MES!B387)</f>
        <v/>
      </c>
      <c r="C387" s="22" t="str">
        <f aca="false">IF(A387="","",A387+Parametros!$B$3/24)</f>
        <v/>
      </c>
      <c r="D387" s="22" t="str">
        <f aca="false">IF(A387="","",C387+Parametros!$B$2/24)</f>
        <v/>
      </c>
      <c r="E387" s="24" t="str">
        <f aca="false">IF(A387="","",COUNTIFS(Modulo!$A$2:$A$5001,"&gt;="&amp;C387,Modulo!$A$2:$A$5001,"&lt;"&amp;D387,Modulo!$D$2:$D$5001,Parametros!$B$7))</f>
        <v/>
      </c>
      <c r="F387" s="23" t="str">
        <f aca="false">IF(A387="","",IF(E387=0,"",AVERAGEIFS(Modulo!$B$2:$B$5001,Modulo!$A$2:$A$5001,"&gt;="&amp;C387,Modulo!$A$2:$A$5001,"&lt;"&amp;D387,Modulo!$D$2:$D$5001,Parametros!$B$7)))</f>
        <v/>
      </c>
      <c r="G387" s="23" t="str">
        <f aca="false">IF(A387="","",IF(E387=0,"",AVERAGEIFS(Modulo!$C$2:$C$5001,Modulo!$A$2:$A$5001,"&gt;="&amp;C387,Modulo!$A$2:$A$5001,"&lt;"&amp;D387,Modulo!$D$2:$D$5001,Parametros!$B$7)))</f>
        <v/>
      </c>
      <c r="H387" s="25" t="str">
        <f aca="false">IF(A387="","",IFERROR(COUNTIFS(Amostragem!$A$2:$A$15003,"&gt;="&amp;C387,Amostragem!$A$2:$A$15003,"&lt;"&amp;D387,Amostragem!$B$2:$B$15003,"Automático",Amostragem!$C$2:$C$15003,"Automático",Amostragem!$D$2:$D$15003,0)/COUNTIFS(Amostragem!$A$2:$A$15003,"&gt;="&amp;C387,Amostragem!$A$2:$A$15003,"&lt;"&amp;D387),0))</f>
        <v/>
      </c>
      <c r="I387" s="23" t="str">
        <f aca="false">IF(A387="","",IFERROR(AVERAGEIFS(Amostragem!$E$2:$E$15003,Amostragem!$A$2:$A$15003,"&gt;="&amp;C387,Amostragem!$A$2:$A$15003,"&lt;"&amp;D387),""))</f>
        <v/>
      </c>
      <c r="J387" s="24" t="str">
        <f aca="false">IF(A387="","",IF(B387="","Inválida: sem resultado MES",IF(E387&lt;Parametros!$B$4,"Inválida: poucos ensaios do módulo",IF(H387&lt;Parametros!$B$5,"Inválida: amostragem em manual ou em falha",IF(OR(I387="",I387&lt;Parametros!$B$6),"Inválida: usina parada ou baixa alimentação","Válida")))))</f>
        <v/>
      </c>
      <c r="K387" s="23" t="str">
        <f aca="false">IF(J387="Válida",F387-B387,"")</f>
        <v/>
      </c>
      <c r="L387" s="26" t="str">
        <f aca="false">IF(J387="Válida",K387/B387,"")</f>
        <v/>
      </c>
      <c r="M387" s="23" t="str">
        <f aca="false">IF(J387="Válida",(F387+B387)/2,"")</f>
        <v/>
      </c>
      <c r="N387" s="24" t="str">
        <f aca="false">IF(K387="","",IF(OR(K387&gt;Resumo!$B$16,K387&lt;Resumo!$B$15),"Sim","Não"))</f>
        <v/>
      </c>
      <c r="O387" s="22" t="e">
        <f aca="false">IF(A387="",NA(),A387)</f>
        <v>#N/A</v>
      </c>
      <c r="P387" s="23" t="e">
        <f aca="false">IF(A387="",NA(),B387)</f>
        <v>#N/A</v>
      </c>
      <c r="Q387" s="23" t="e">
        <f aca="false">IF(F387="",NA(),F387)</f>
        <v>#N/A</v>
      </c>
      <c r="R387" s="23" t="e">
        <f aca="false">IF(K387="",NA(),K387)</f>
        <v>#N/A</v>
      </c>
      <c r="S387" s="23" t="e">
        <f aca="false">IF(M387="",NA(),M387)</f>
        <v>#N/A</v>
      </c>
      <c r="T387" s="23" t="str">
        <f aca="false">IF(J387="Válida",B387,"")</f>
        <v/>
      </c>
      <c r="U387" s="23" t="str">
        <f aca="false">IF(J387="Válida",F387,"")</f>
        <v/>
      </c>
    </row>
    <row r="388" customFormat="false" ht="15" hidden="false" customHeight="false" outlineLevel="0" collapsed="false">
      <c r="A388" s="22" t="str">
        <f aca="false">IF(MES!A388="","",MES!A388)</f>
        <v/>
      </c>
      <c r="B388" s="23" t="str">
        <f aca="false">IF(A388="","",MES!B388)</f>
        <v/>
      </c>
      <c r="C388" s="22" t="str">
        <f aca="false">IF(A388="","",A388+Parametros!$B$3/24)</f>
        <v/>
      </c>
      <c r="D388" s="22" t="str">
        <f aca="false">IF(A388="","",C388+Parametros!$B$2/24)</f>
        <v/>
      </c>
      <c r="E388" s="24" t="str">
        <f aca="false">IF(A388="","",COUNTIFS(Modulo!$A$2:$A$5001,"&gt;="&amp;C388,Modulo!$A$2:$A$5001,"&lt;"&amp;D388,Modulo!$D$2:$D$5001,Parametros!$B$7))</f>
        <v/>
      </c>
      <c r="F388" s="23" t="str">
        <f aca="false">IF(A388="","",IF(E388=0,"",AVERAGEIFS(Modulo!$B$2:$B$5001,Modulo!$A$2:$A$5001,"&gt;="&amp;C388,Modulo!$A$2:$A$5001,"&lt;"&amp;D388,Modulo!$D$2:$D$5001,Parametros!$B$7)))</f>
        <v/>
      </c>
      <c r="G388" s="23" t="str">
        <f aca="false">IF(A388="","",IF(E388=0,"",AVERAGEIFS(Modulo!$C$2:$C$5001,Modulo!$A$2:$A$5001,"&gt;="&amp;C388,Modulo!$A$2:$A$5001,"&lt;"&amp;D388,Modulo!$D$2:$D$5001,Parametros!$B$7)))</f>
        <v/>
      </c>
      <c r="H388" s="25" t="str">
        <f aca="false">IF(A388="","",IFERROR(COUNTIFS(Amostragem!$A$2:$A$15003,"&gt;="&amp;C388,Amostragem!$A$2:$A$15003,"&lt;"&amp;D388,Amostragem!$B$2:$B$15003,"Automático",Amostragem!$C$2:$C$15003,"Automático",Amostragem!$D$2:$D$15003,0)/COUNTIFS(Amostragem!$A$2:$A$15003,"&gt;="&amp;C388,Amostragem!$A$2:$A$15003,"&lt;"&amp;D388),0))</f>
        <v/>
      </c>
      <c r="I388" s="23" t="str">
        <f aca="false">IF(A388="","",IFERROR(AVERAGEIFS(Amostragem!$E$2:$E$15003,Amostragem!$A$2:$A$15003,"&gt;="&amp;C388,Amostragem!$A$2:$A$15003,"&lt;"&amp;D388),""))</f>
        <v/>
      </c>
      <c r="J388" s="24" t="str">
        <f aca="false">IF(A388="","",IF(B388="","Inválida: sem resultado MES",IF(E388&lt;Parametros!$B$4,"Inválida: poucos ensaios do módulo",IF(H388&lt;Parametros!$B$5,"Inválida: amostragem em manual ou em falha",IF(OR(I388="",I388&lt;Parametros!$B$6),"Inválida: usina parada ou baixa alimentação","Válida")))))</f>
        <v/>
      </c>
      <c r="K388" s="23" t="str">
        <f aca="false">IF(J388="Válida",F388-B388,"")</f>
        <v/>
      </c>
      <c r="L388" s="26" t="str">
        <f aca="false">IF(J388="Válida",K388/B388,"")</f>
        <v/>
      </c>
      <c r="M388" s="23" t="str">
        <f aca="false">IF(J388="Válida",(F388+B388)/2,"")</f>
        <v/>
      </c>
      <c r="N388" s="24" t="str">
        <f aca="false">IF(K388="","",IF(OR(K388&gt;Resumo!$B$16,K388&lt;Resumo!$B$15),"Sim","Não"))</f>
        <v/>
      </c>
      <c r="O388" s="22" t="e">
        <f aca="false">IF(A388="",NA(),A388)</f>
        <v>#N/A</v>
      </c>
      <c r="P388" s="23" t="e">
        <f aca="false">IF(A388="",NA(),B388)</f>
        <v>#N/A</v>
      </c>
      <c r="Q388" s="23" t="e">
        <f aca="false">IF(F388="",NA(),F388)</f>
        <v>#N/A</v>
      </c>
      <c r="R388" s="23" t="e">
        <f aca="false">IF(K388="",NA(),K388)</f>
        <v>#N/A</v>
      </c>
      <c r="S388" s="23" t="e">
        <f aca="false">IF(M388="",NA(),M388)</f>
        <v>#N/A</v>
      </c>
      <c r="T388" s="23" t="str">
        <f aca="false">IF(J388="Válida",B388,"")</f>
        <v/>
      </c>
      <c r="U388" s="23" t="str">
        <f aca="false">IF(J388="Válida",F388,"")</f>
        <v/>
      </c>
    </row>
    <row r="389" customFormat="false" ht="15" hidden="false" customHeight="false" outlineLevel="0" collapsed="false">
      <c r="A389" s="22" t="str">
        <f aca="false">IF(MES!A389="","",MES!A389)</f>
        <v/>
      </c>
      <c r="B389" s="23" t="str">
        <f aca="false">IF(A389="","",MES!B389)</f>
        <v/>
      </c>
      <c r="C389" s="22" t="str">
        <f aca="false">IF(A389="","",A389+Parametros!$B$3/24)</f>
        <v/>
      </c>
      <c r="D389" s="22" t="str">
        <f aca="false">IF(A389="","",C389+Parametros!$B$2/24)</f>
        <v/>
      </c>
      <c r="E389" s="24" t="str">
        <f aca="false">IF(A389="","",COUNTIFS(Modulo!$A$2:$A$5001,"&gt;="&amp;C389,Modulo!$A$2:$A$5001,"&lt;"&amp;D389,Modulo!$D$2:$D$5001,Parametros!$B$7))</f>
        <v/>
      </c>
      <c r="F389" s="23" t="str">
        <f aca="false">IF(A389="","",IF(E389=0,"",AVERAGEIFS(Modulo!$B$2:$B$5001,Modulo!$A$2:$A$5001,"&gt;="&amp;C389,Modulo!$A$2:$A$5001,"&lt;"&amp;D389,Modulo!$D$2:$D$5001,Parametros!$B$7)))</f>
        <v/>
      </c>
      <c r="G389" s="23" t="str">
        <f aca="false">IF(A389="","",IF(E389=0,"",AVERAGEIFS(Modulo!$C$2:$C$5001,Modulo!$A$2:$A$5001,"&gt;="&amp;C389,Modulo!$A$2:$A$5001,"&lt;"&amp;D389,Modulo!$D$2:$D$5001,Parametros!$B$7)))</f>
        <v/>
      </c>
      <c r="H389" s="25" t="str">
        <f aca="false">IF(A389="","",IFERROR(COUNTIFS(Amostragem!$A$2:$A$15003,"&gt;="&amp;C389,Amostragem!$A$2:$A$15003,"&lt;"&amp;D389,Amostragem!$B$2:$B$15003,"Automático",Amostragem!$C$2:$C$15003,"Automático",Amostragem!$D$2:$D$15003,0)/COUNTIFS(Amostragem!$A$2:$A$15003,"&gt;="&amp;C389,Amostragem!$A$2:$A$15003,"&lt;"&amp;D389),0))</f>
        <v/>
      </c>
      <c r="I389" s="23" t="str">
        <f aca="false">IF(A389="","",IFERROR(AVERAGEIFS(Amostragem!$E$2:$E$15003,Amostragem!$A$2:$A$15003,"&gt;="&amp;C389,Amostragem!$A$2:$A$15003,"&lt;"&amp;D389),""))</f>
        <v/>
      </c>
      <c r="J389" s="24" t="str">
        <f aca="false">IF(A389="","",IF(B389="","Inválida: sem resultado MES",IF(E389&lt;Parametros!$B$4,"Inválida: poucos ensaios do módulo",IF(H389&lt;Parametros!$B$5,"Inválida: amostragem em manual ou em falha",IF(OR(I389="",I389&lt;Parametros!$B$6),"Inválida: usina parada ou baixa alimentação","Válida")))))</f>
        <v/>
      </c>
      <c r="K389" s="23" t="str">
        <f aca="false">IF(J389="Válida",F389-B389,"")</f>
        <v/>
      </c>
      <c r="L389" s="26" t="str">
        <f aca="false">IF(J389="Válida",K389/B389,"")</f>
        <v/>
      </c>
      <c r="M389" s="23" t="str">
        <f aca="false">IF(J389="Válida",(F389+B389)/2,"")</f>
        <v/>
      </c>
      <c r="N389" s="24" t="str">
        <f aca="false">IF(K389="","",IF(OR(K389&gt;Resumo!$B$16,K389&lt;Resumo!$B$15),"Sim","Não"))</f>
        <v/>
      </c>
      <c r="O389" s="22" t="e">
        <f aca="false">IF(A389="",NA(),A389)</f>
        <v>#N/A</v>
      </c>
      <c r="P389" s="23" t="e">
        <f aca="false">IF(A389="",NA(),B389)</f>
        <v>#N/A</v>
      </c>
      <c r="Q389" s="23" t="e">
        <f aca="false">IF(F389="",NA(),F389)</f>
        <v>#N/A</v>
      </c>
      <c r="R389" s="23" t="e">
        <f aca="false">IF(K389="",NA(),K389)</f>
        <v>#N/A</v>
      </c>
      <c r="S389" s="23" t="e">
        <f aca="false">IF(M389="",NA(),M389)</f>
        <v>#N/A</v>
      </c>
      <c r="T389" s="23" t="str">
        <f aca="false">IF(J389="Válida",B389,"")</f>
        <v/>
      </c>
      <c r="U389" s="23" t="str">
        <f aca="false">IF(J389="Válida",F389,"")</f>
        <v/>
      </c>
    </row>
    <row r="390" customFormat="false" ht="15" hidden="false" customHeight="false" outlineLevel="0" collapsed="false">
      <c r="A390" s="22" t="str">
        <f aca="false">IF(MES!A390="","",MES!A390)</f>
        <v/>
      </c>
      <c r="B390" s="23" t="str">
        <f aca="false">IF(A390="","",MES!B390)</f>
        <v/>
      </c>
      <c r="C390" s="22" t="str">
        <f aca="false">IF(A390="","",A390+Parametros!$B$3/24)</f>
        <v/>
      </c>
      <c r="D390" s="22" t="str">
        <f aca="false">IF(A390="","",C390+Parametros!$B$2/24)</f>
        <v/>
      </c>
      <c r="E390" s="24" t="str">
        <f aca="false">IF(A390="","",COUNTIFS(Modulo!$A$2:$A$5001,"&gt;="&amp;C390,Modulo!$A$2:$A$5001,"&lt;"&amp;D390,Modulo!$D$2:$D$5001,Parametros!$B$7))</f>
        <v/>
      </c>
      <c r="F390" s="23" t="str">
        <f aca="false">IF(A390="","",IF(E390=0,"",AVERAGEIFS(Modulo!$B$2:$B$5001,Modulo!$A$2:$A$5001,"&gt;="&amp;C390,Modulo!$A$2:$A$5001,"&lt;"&amp;D390,Modulo!$D$2:$D$5001,Parametros!$B$7)))</f>
        <v/>
      </c>
      <c r="G390" s="23" t="str">
        <f aca="false">IF(A390="","",IF(E390=0,"",AVERAGEIFS(Modulo!$C$2:$C$5001,Modulo!$A$2:$A$5001,"&gt;="&amp;C390,Modulo!$A$2:$A$5001,"&lt;"&amp;D390,Modulo!$D$2:$D$5001,Parametros!$B$7)))</f>
        <v/>
      </c>
      <c r="H390" s="25" t="str">
        <f aca="false">IF(A390="","",IFERROR(COUNTIFS(Amostragem!$A$2:$A$15003,"&gt;="&amp;C390,Amostragem!$A$2:$A$15003,"&lt;"&amp;D390,Amostragem!$B$2:$B$15003,"Automático",Amostragem!$C$2:$C$15003,"Automático",Amostragem!$D$2:$D$15003,0)/COUNTIFS(Amostragem!$A$2:$A$15003,"&gt;="&amp;C390,Amostragem!$A$2:$A$15003,"&lt;"&amp;D390),0))</f>
        <v/>
      </c>
      <c r="I390" s="23" t="str">
        <f aca="false">IF(A390="","",IFERROR(AVERAGEIFS(Amostragem!$E$2:$E$15003,Amostragem!$A$2:$A$15003,"&gt;="&amp;C390,Amostragem!$A$2:$A$15003,"&lt;"&amp;D390),""))</f>
        <v/>
      </c>
      <c r="J390" s="24" t="str">
        <f aca="false">IF(A390="","",IF(B390="","Inválida: sem resultado MES",IF(E390&lt;Parametros!$B$4,"Inválida: poucos ensaios do módulo",IF(H390&lt;Parametros!$B$5,"Inválida: amostragem em manual ou em falha",IF(OR(I390="",I390&lt;Parametros!$B$6),"Inválida: usina parada ou baixa alimentação","Válida")))))</f>
        <v/>
      </c>
      <c r="K390" s="23" t="str">
        <f aca="false">IF(J390="Válida",F390-B390,"")</f>
        <v/>
      </c>
      <c r="L390" s="26" t="str">
        <f aca="false">IF(J390="Válida",K390/B390,"")</f>
        <v/>
      </c>
      <c r="M390" s="23" t="str">
        <f aca="false">IF(J390="Válida",(F390+B390)/2,"")</f>
        <v/>
      </c>
      <c r="N390" s="24" t="str">
        <f aca="false">IF(K390="","",IF(OR(K390&gt;Resumo!$B$16,K390&lt;Resumo!$B$15),"Sim","Não"))</f>
        <v/>
      </c>
      <c r="O390" s="22" t="e">
        <f aca="false">IF(A390="",NA(),A390)</f>
        <v>#N/A</v>
      </c>
      <c r="P390" s="23" t="e">
        <f aca="false">IF(A390="",NA(),B390)</f>
        <v>#N/A</v>
      </c>
      <c r="Q390" s="23" t="e">
        <f aca="false">IF(F390="",NA(),F390)</f>
        <v>#N/A</v>
      </c>
      <c r="R390" s="23" t="e">
        <f aca="false">IF(K390="",NA(),K390)</f>
        <v>#N/A</v>
      </c>
      <c r="S390" s="23" t="e">
        <f aca="false">IF(M390="",NA(),M390)</f>
        <v>#N/A</v>
      </c>
      <c r="T390" s="23" t="str">
        <f aca="false">IF(J390="Válida",B390,"")</f>
        <v/>
      </c>
      <c r="U390" s="23" t="str">
        <f aca="false">IF(J390="Válida",F390,"")</f>
        <v/>
      </c>
    </row>
    <row r="391" customFormat="false" ht="15" hidden="false" customHeight="false" outlineLevel="0" collapsed="false">
      <c r="A391" s="22" t="str">
        <f aca="false">IF(MES!A391="","",MES!A391)</f>
        <v/>
      </c>
      <c r="B391" s="23" t="str">
        <f aca="false">IF(A391="","",MES!B391)</f>
        <v/>
      </c>
      <c r="C391" s="22" t="str">
        <f aca="false">IF(A391="","",A391+Parametros!$B$3/24)</f>
        <v/>
      </c>
      <c r="D391" s="22" t="str">
        <f aca="false">IF(A391="","",C391+Parametros!$B$2/24)</f>
        <v/>
      </c>
      <c r="E391" s="24" t="str">
        <f aca="false">IF(A391="","",COUNTIFS(Modulo!$A$2:$A$5001,"&gt;="&amp;C391,Modulo!$A$2:$A$5001,"&lt;"&amp;D391,Modulo!$D$2:$D$5001,Parametros!$B$7))</f>
        <v/>
      </c>
      <c r="F391" s="23" t="str">
        <f aca="false">IF(A391="","",IF(E391=0,"",AVERAGEIFS(Modulo!$B$2:$B$5001,Modulo!$A$2:$A$5001,"&gt;="&amp;C391,Modulo!$A$2:$A$5001,"&lt;"&amp;D391,Modulo!$D$2:$D$5001,Parametros!$B$7)))</f>
        <v/>
      </c>
      <c r="G391" s="23" t="str">
        <f aca="false">IF(A391="","",IF(E391=0,"",AVERAGEIFS(Modulo!$C$2:$C$5001,Modulo!$A$2:$A$5001,"&gt;="&amp;C391,Modulo!$A$2:$A$5001,"&lt;"&amp;D391,Modulo!$D$2:$D$5001,Parametros!$B$7)))</f>
        <v/>
      </c>
      <c r="H391" s="25" t="str">
        <f aca="false">IF(A391="","",IFERROR(COUNTIFS(Amostragem!$A$2:$A$15003,"&gt;="&amp;C391,Amostragem!$A$2:$A$15003,"&lt;"&amp;D391,Amostragem!$B$2:$B$15003,"Automático",Amostragem!$C$2:$C$15003,"Automático",Amostragem!$D$2:$D$15003,0)/COUNTIFS(Amostragem!$A$2:$A$15003,"&gt;="&amp;C391,Amostragem!$A$2:$A$15003,"&lt;"&amp;D391),0))</f>
        <v/>
      </c>
      <c r="I391" s="23" t="str">
        <f aca="false">IF(A391="","",IFERROR(AVERAGEIFS(Amostragem!$E$2:$E$15003,Amostragem!$A$2:$A$15003,"&gt;="&amp;C391,Amostragem!$A$2:$A$15003,"&lt;"&amp;D391),""))</f>
        <v/>
      </c>
      <c r="J391" s="24" t="str">
        <f aca="false">IF(A391="","",IF(B391="","Inválida: sem resultado MES",IF(E391&lt;Parametros!$B$4,"Inválida: poucos ensaios do módulo",IF(H391&lt;Parametros!$B$5,"Inválida: amostragem em manual ou em falha",IF(OR(I391="",I391&lt;Parametros!$B$6),"Inválida: usina parada ou baixa alimentação","Válida")))))</f>
        <v/>
      </c>
      <c r="K391" s="23" t="str">
        <f aca="false">IF(J391="Válida",F391-B391,"")</f>
        <v/>
      </c>
      <c r="L391" s="26" t="str">
        <f aca="false">IF(J391="Válida",K391/B391,"")</f>
        <v/>
      </c>
      <c r="M391" s="23" t="str">
        <f aca="false">IF(J391="Válida",(F391+B391)/2,"")</f>
        <v/>
      </c>
      <c r="N391" s="24" t="str">
        <f aca="false">IF(K391="","",IF(OR(K391&gt;Resumo!$B$16,K391&lt;Resumo!$B$15),"Sim","Não"))</f>
        <v/>
      </c>
      <c r="O391" s="22" t="e">
        <f aca="false">IF(A391="",NA(),A391)</f>
        <v>#N/A</v>
      </c>
      <c r="P391" s="23" t="e">
        <f aca="false">IF(A391="",NA(),B391)</f>
        <v>#N/A</v>
      </c>
      <c r="Q391" s="23" t="e">
        <f aca="false">IF(F391="",NA(),F391)</f>
        <v>#N/A</v>
      </c>
      <c r="R391" s="23" t="e">
        <f aca="false">IF(K391="",NA(),K391)</f>
        <v>#N/A</v>
      </c>
      <c r="S391" s="23" t="e">
        <f aca="false">IF(M391="",NA(),M391)</f>
        <v>#N/A</v>
      </c>
      <c r="T391" s="23" t="str">
        <f aca="false">IF(J391="Válida",B391,"")</f>
        <v/>
      </c>
      <c r="U391" s="23" t="str">
        <f aca="false">IF(J391="Válida",F391,"")</f>
        <v/>
      </c>
    </row>
    <row r="392" customFormat="false" ht="15" hidden="false" customHeight="false" outlineLevel="0" collapsed="false">
      <c r="A392" s="22" t="str">
        <f aca="false">IF(MES!A392="","",MES!A392)</f>
        <v/>
      </c>
      <c r="B392" s="23" t="str">
        <f aca="false">IF(A392="","",MES!B392)</f>
        <v/>
      </c>
      <c r="C392" s="22" t="str">
        <f aca="false">IF(A392="","",A392+Parametros!$B$3/24)</f>
        <v/>
      </c>
      <c r="D392" s="22" t="str">
        <f aca="false">IF(A392="","",C392+Parametros!$B$2/24)</f>
        <v/>
      </c>
      <c r="E392" s="24" t="str">
        <f aca="false">IF(A392="","",COUNTIFS(Modulo!$A$2:$A$5001,"&gt;="&amp;C392,Modulo!$A$2:$A$5001,"&lt;"&amp;D392,Modulo!$D$2:$D$5001,Parametros!$B$7))</f>
        <v/>
      </c>
      <c r="F392" s="23" t="str">
        <f aca="false">IF(A392="","",IF(E392=0,"",AVERAGEIFS(Modulo!$B$2:$B$5001,Modulo!$A$2:$A$5001,"&gt;="&amp;C392,Modulo!$A$2:$A$5001,"&lt;"&amp;D392,Modulo!$D$2:$D$5001,Parametros!$B$7)))</f>
        <v/>
      </c>
      <c r="G392" s="23" t="str">
        <f aca="false">IF(A392="","",IF(E392=0,"",AVERAGEIFS(Modulo!$C$2:$C$5001,Modulo!$A$2:$A$5001,"&gt;="&amp;C392,Modulo!$A$2:$A$5001,"&lt;"&amp;D392,Modulo!$D$2:$D$5001,Parametros!$B$7)))</f>
        <v/>
      </c>
      <c r="H392" s="25" t="str">
        <f aca="false">IF(A392="","",IFERROR(COUNTIFS(Amostragem!$A$2:$A$15003,"&gt;="&amp;C392,Amostragem!$A$2:$A$15003,"&lt;"&amp;D392,Amostragem!$B$2:$B$15003,"Automático",Amostragem!$C$2:$C$15003,"Automático",Amostragem!$D$2:$D$15003,0)/COUNTIFS(Amostragem!$A$2:$A$15003,"&gt;="&amp;C392,Amostragem!$A$2:$A$15003,"&lt;"&amp;D392),0))</f>
        <v/>
      </c>
      <c r="I392" s="23" t="str">
        <f aca="false">IF(A392="","",IFERROR(AVERAGEIFS(Amostragem!$E$2:$E$15003,Amostragem!$A$2:$A$15003,"&gt;="&amp;C392,Amostragem!$A$2:$A$15003,"&lt;"&amp;D392),""))</f>
        <v/>
      </c>
      <c r="J392" s="24" t="str">
        <f aca="false">IF(A392="","",IF(B392="","Inválida: sem resultado MES",IF(E392&lt;Parametros!$B$4,"Inválida: poucos ensaios do módulo",IF(H392&lt;Parametros!$B$5,"Inválida: amostragem em manual ou em falha",IF(OR(I392="",I392&lt;Parametros!$B$6),"Inválida: usina parada ou baixa alimentação","Válida")))))</f>
        <v/>
      </c>
      <c r="K392" s="23" t="str">
        <f aca="false">IF(J392="Válida",F392-B392,"")</f>
        <v/>
      </c>
      <c r="L392" s="26" t="str">
        <f aca="false">IF(J392="Válida",K392/B392,"")</f>
        <v/>
      </c>
      <c r="M392" s="23" t="str">
        <f aca="false">IF(J392="Válida",(F392+B392)/2,"")</f>
        <v/>
      </c>
      <c r="N392" s="24" t="str">
        <f aca="false">IF(K392="","",IF(OR(K392&gt;Resumo!$B$16,K392&lt;Resumo!$B$15),"Sim","Não"))</f>
        <v/>
      </c>
      <c r="O392" s="22" t="e">
        <f aca="false">IF(A392="",NA(),A392)</f>
        <v>#N/A</v>
      </c>
      <c r="P392" s="23" t="e">
        <f aca="false">IF(A392="",NA(),B392)</f>
        <v>#N/A</v>
      </c>
      <c r="Q392" s="23" t="e">
        <f aca="false">IF(F392="",NA(),F392)</f>
        <v>#N/A</v>
      </c>
      <c r="R392" s="23" t="e">
        <f aca="false">IF(K392="",NA(),K392)</f>
        <v>#N/A</v>
      </c>
      <c r="S392" s="23" t="e">
        <f aca="false">IF(M392="",NA(),M392)</f>
        <v>#N/A</v>
      </c>
      <c r="T392" s="23" t="str">
        <f aca="false">IF(J392="Válida",B392,"")</f>
        <v/>
      </c>
      <c r="U392" s="23" t="str">
        <f aca="false">IF(J392="Válida",F392,"")</f>
        <v/>
      </c>
    </row>
    <row r="393" customFormat="false" ht="15" hidden="false" customHeight="false" outlineLevel="0" collapsed="false">
      <c r="A393" s="22" t="str">
        <f aca="false">IF(MES!A393="","",MES!A393)</f>
        <v/>
      </c>
      <c r="B393" s="23" t="str">
        <f aca="false">IF(A393="","",MES!B393)</f>
        <v/>
      </c>
      <c r="C393" s="22" t="str">
        <f aca="false">IF(A393="","",A393+Parametros!$B$3/24)</f>
        <v/>
      </c>
      <c r="D393" s="22" t="str">
        <f aca="false">IF(A393="","",C393+Parametros!$B$2/24)</f>
        <v/>
      </c>
      <c r="E393" s="24" t="str">
        <f aca="false">IF(A393="","",COUNTIFS(Modulo!$A$2:$A$5001,"&gt;="&amp;C393,Modulo!$A$2:$A$5001,"&lt;"&amp;D393,Modulo!$D$2:$D$5001,Parametros!$B$7))</f>
        <v/>
      </c>
      <c r="F393" s="23" t="str">
        <f aca="false">IF(A393="","",IF(E393=0,"",AVERAGEIFS(Modulo!$B$2:$B$5001,Modulo!$A$2:$A$5001,"&gt;="&amp;C393,Modulo!$A$2:$A$5001,"&lt;"&amp;D393,Modulo!$D$2:$D$5001,Parametros!$B$7)))</f>
        <v/>
      </c>
      <c r="G393" s="23" t="str">
        <f aca="false">IF(A393="","",IF(E393=0,"",AVERAGEIFS(Modulo!$C$2:$C$5001,Modulo!$A$2:$A$5001,"&gt;="&amp;C393,Modulo!$A$2:$A$5001,"&lt;"&amp;D393,Modulo!$D$2:$D$5001,Parametros!$B$7)))</f>
        <v/>
      </c>
      <c r="H393" s="25" t="str">
        <f aca="false">IF(A393="","",IFERROR(COUNTIFS(Amostragem!$A$2:$A$15003,"&gt;="&amp;C393,Amostragem!$A$2:$A$15003,"&lt;"&amp;D393,Amostragem!$B$2:$B$15003,"Automático",Amostragem!$C$2:$C$15003,"Automático",Amostragem!$D$2:$D$15003,0)/COUNTIFS(Amostragem!$A$2:$A$15003,"&gt;="&amp;C393,Amostragem!$A$2:$A$15003,"&lt;"&amp;D393),0))</f>
        <v/>
      </c>
      <c r="I393" s="23" t="str">
        <f aca="false">IF(A393="","",IFERROR(AVERAGEIFS(Amostragem!$E$2:$E$15003,Amostragem!$A$2:$A$15003,"&gt;="&amp;C393,Amostragem!$A$2:$A$15003,"&lt;"&amp;D393),""))</f>
        <v/>
      </c>
      <c r="J393" s="24" t="str">
        <f aca="false">IF(A393="","",IF(B393="","Inválida: sem resultado MES",IF(E393&lt;Parametros!$B$4,"Inválida: poucos ensaios do módulo",IF(H393&lt;Parametros!$B$5,"Inválida: amostragem em manual ou em falha",IF(OR(I393="",I393&lt;Parametros!$B$6),"Inválida: usina parada ou baixa alimentação","Válida")))))</f>
        <v/>
      </c>
      <c r="K393" s="23" t="str">
        <f aca="false">IF(J393="Válida",F393-B393,"")</f>
        <v/>
      </c>
      <c r="L393" s="26" t="str">
        <f aca="false">IF(J393="Válida",K393/B393,"")</f>
        <v/>
      </c>
      <c r="M393" s="23" t="str">
        <f aca="false">IF(J393="Válida",(F393+B393)/2,"")</f>
        <v/>
      </c>
      <c r="N393" s="24" t="str">
        <f aca="false">IF(K393="","",IF(OR(K393&gt;Resumo!$B$16,K393&lt;Resumo!$B$15),"Sim","Não"))</f>
        <v/>
      </c>
      <c r="O393" s="22" t="e">
        <f aca="false">IF(A393="",NA(),A393)</f>
        <v>#N/A</v>
      </c>
      <c r="P393" s="23" t="e">
        <f aca="false">IF(A393="",NA(),B393)</f>
        <v>#N/A</v>
      </c>
      <c r="Q393" s="23" t="e">
        <f aca="false">IF(F393="",NA(),F393)</f>
        <v>#N/A</v>
      </c>
      <c r="R393" s="23" t="e">
        <f aca="false">IF(K393="",NA(),K393)</f>
        <v>#N/A</v>
      </c>
      <c r="S393" s="23" t="e">
        <f aca="false">IF(M393="",NA(),M393)</f>
        <v>#N/A</v>
      </c>
      <c r="T393" s="23" t="str">
        <f aca="false">IF(J393="Válida",B393,"")</f>
        <v/>
      </c>
      <c r="U393" s="23" t="str">
        <f aca="false">IF(J393="Válida",F393,"")</f>
        <v/>
      </c>
    </row>
    <row r="394" customFormat="false" ht="15" hidden="false" customHeight="false" outlineLevel="0" collapsed="false">
      <c r="A394" s="22" t="str">
        <f aca="false">IF(MES!A394="","",MES!A394)</f>
        <v/>
      </c>
      <c r="B394" s="23" t="str">
        <f aca="false">IF(A394="","",MES!B394)</f>
        <v/>
      </c>
      <c r="C394" s="22" t="str">
        <f aca="false">IF(A394="","",A394+Parametros!$B$3/24)</f>
        <v/>
      </c>
      <c r="D394" s="22" t="str">
        <f aca="false">IF(A394="","",C394+Parametros!$B$2/24)</f>
        <v/>
      </c>
      <c r="E394" s="24" t="str">
        <f aca="false">IF(A394="","",COUNTIFS(Modulo!$A$2:$A$5001,"&gt;="&amp;C394,Modulo!$A$2:$A$5001,"&lt;"&amp;D394,Modulo!$D$2:$D$5001,Parametros!$B$7))</f>
        <v/>
      </c>
      <c r="F394" s="23" t="str">
        <f aca="false">IF(A394="","",IF(E394=0,"",AVERAGEIFS(Modulo!$B$2:$B$5001,Modulo!$A$2:$A$5001,"&gt;="&amp;C394,Modulo!$A$2:$A$5001,"&lt;"&amp;D394,Modulo!$D$2:$D$5001,Parametros!$B$7)))</f>
        <v/>
      </c>
      <c r="G394" s="23" t="str">
        <f aca="false">IF(A394="","",IF(E394=0,"",AVERAGEIFS(Modulo!$C$2:$C$5001,Modulo!$A$2:$A$5001,"&gt;="&amp;C394,Modulo!$A$2:$A$5001,"&lt;"&amp;D394,Modulo!$D$2:$D$5001,Parametros!$B$7)))</f>
        <v/>
      </c>
      <c r="H394" s="25" t="str">
        <f aca="false">IF(A394="","",IFERROR(COUNTIFS(Amostragem!$A$2:$A$15003,"&gt;="&amp;C394,Amostragem!$A$2:$A$15003,"&lt;"&amp;D394,Amostragem!$B$2:$B$15003,"Automático",Amostragem!$C$2:$C$15003,"Automático",Amostragem!$D$2:$D$15003,0)/COUNTIFS(Amostragem!$A$2:$A$15003,"&gt;="&amp;C394,Amostragem!$A$2:$A$15003,"&lt;"&amp;D394),0))</f>
        <v/>
      </c>
      <c r="I394" s="23" t="str">
        <f aca="false">IF(A394="","",IFERROR(AVERAGEIFS(Amostragem!$E$2:$E$15003,Amostragem!$A$2:$A$15003,"&gt;="&amp;C394,Amostragem!$A$2:$A$15003,"&lt;"&amp;D394),""))</f>
        <v/>
      </c>
      <c r="J394" s="24" t="str">
        <f aca="false">IF(A394="","",IF(B394="","Inválida: sem resultado MES",IF(E394&lt;Parametros!$B$4,"Inválida: poucos ensaios do módulo",IF(H394&lt;Parametros!$B$5,"Inválida: amostragem em manual ou em falha",IF(OR(I394="",I394&lt;Parametros!$B$6),"Inválida: usina parada ou baixa alimentação","Válida")))))</f>
        <v/>
      </c>
      <c r="K394" s="23" t="str">
        <f aca="false">IF(J394="Válida",F394-B394,"")</f>
        <v/>
      </c>
      <c r="L394" s="26" t="str">
        <f aca="false">IF(J394="Válida",K394/B394,"")</f>
        <v/>
      </c>
      <c r="M394" s="23" t="str">
        <f aca="false">IF(J394="Válida",(F394+B394)/2,"")</f>
        <v/>
      </c>
      <c r="N394" s="24" t="str">
        <f aca="false">IF(K394="","",IF(OR(K394&gt;Resumo!$B$16,K394&lt;Resumo!$B$15),"Sim","Não"))</f>
        <v/>
      </c>
      <c r="O394" s="22" t="e">
        <f aca="false">IF(A394="",NA(),A394)</f>
        <v>#N/A</v>
      </c>
      <c r="P394" s="23" t="e">
        <f aca="false">IF(A394="",NA(),B394)</f>
        <v>#N/A</v>
      </c>
      <c r="Q394" s="23" t="e">
        <f aca="false">IF(F394="",NA(),F394)</f>
        <v>#N/A</v>
      </c>
      <c r="R394" s="23" t="e">
        <f aca="false">IF(K394="",NA(),K394)</f>
        <v>#N/A</v>
      </c>
      <c r="S394" s="23" t="e">
        <f aca="false">IF(M394="",NA(),M394)</f>
        <v>#N/A</v>
      </c>
      <c r="T394" s="23" t="str">
        <f aca="false">IF(J394="Válida",B394,"")</f>
        <v/>
      </c>
      <c r="U394" s="23" t="str">
        <f aca="false">IF(J394="Válida",F394,"")</f>
        <v/>
      </c>
    </row>
    <row r="395" customFormat="false" ht="15" hidden="false" customHeight="false" outlineLevel="0" collapsed="false">
      <c r="A395" s="22" t="str">
        <f aca="false">IF(MES!A395="","",MES!A395)</f>
        <v/>
      </c>
      <c r="B395" s="23" t="str">
        <f aca="false">IF(A395="","",MES!B395)</f>
        <v/>
      </c>
      <c r="C395" s="22" t="str">
        <f aca="false">IF(A395="","",A395+Parametros!$B$3/24)</f>
        <v/>
      </c>
      <c r="D395" s="22" t="str">
        <f aca="false">IF(A395="","",C395+Parametros!$B$2/24)</f>
        <v/>
      </c>
      <c r="E395" s="24" t="str">
        <f aca="false">IF(A395="","",COUNTIFS(Modulo!$A$2:$A$5001,"&gt;="&amp;C395,Modulo!$A$2:$A$5001,"&lt;"&amp;D395,Modulo!$D$2:$D$5001,Parametros!$B$7))</f>
        <v/>
      </c>
      <c r="F395" s="23" t="str">
        <f aca="false">IF(A395="","",IF(E395=0,"",AVERAGEIFS(Modulo!$B$2:$B$5001,Modulo!$A$2:$A$5001,"&gt;="&amp;C395,Modulo!$A$2:$A$5001,"&lt;"&amp;D395,Modulo!$D$2:$D$5001,Parametros!$B$7)))</f>
        <v/>
      </c>
      <c r="G395" s="23" t="str">
        <f aca="false">IF(A395="","",IF(E395=0,"",AVERAGEIFS(Modulo!$C$2:$C$5001,Modulo!$A$2:$A$5001,"&gt;="&amp;C395,Modulo!$A$2:$A$5001,"&lt;"&amp;D395,Modulo!$D$2:$D$5001,Parametros!$B$7)))</f>
        <v/>
      </c>
      <c r="H395" s="25" t="str">
        <f aca="false">IF(A395="","",IFERROR(COUNTIFS(Amostragem!$A$2:$A$15003,"&gt;="&amp;C395,Amostragem!$A$2:$A$15003,"&lt;"&amp;D395,Amostragem!$B$2:$B$15003,"Automático",Amostragem!$C$2:$C$15003,"Automático",Amostragem!$D$2:$D$15003,0)/COUNTIFS(Amostragem!$A$2:$A$15003,"&gt;="&amp;C395,Amostragem!$A$2:$A$15003,"&lt;"&amp;D395),0))</f>
        <v/>
      </c>
      <c r="I395" s="23" t="str">
        <f aca="false">IF(A395="","",IFERROR(AVERAGEIFS(Amostragem!$E$2:$E$15003,Amostragem!$A$2:$A$15003,"&gt;="&amp;C395,Amostragem!$A$2:$A$15003,"&lt;"&amp;D395),""))</f>
        <v/>
      </c>
      <c r="J395" s="24" t="str">
        <f aca="false">IF(A395="","",IF(B395="","Inválida: sem resultado MES",IF(E395&lt;Parametros!$B$4,"Inválida: poucos ensaios do módulo",IF(H395&lt;Parametros!$B$5,"Inválida: amostragem em manual ou em falha",IF(OR(I395="",I395&lt;Parametros!$B$6),"Inválida: usina parada ou baixa alimentação","Válida")))))</f>
        <v/>
      </c>
      <c r="K395" s="23" t="str">
        <f aca="false">IF(J395="Válida",F395-B395,"")</f>
        <v/>
      </c>
      <c r="L395" s="26" t="str">
        <f aca="false">IF(J395="Válida",K395/B395,"")</f>
        <v/>
      </c>
      <c r="M395" s="23" t="str">
        <f aca="false">IF(J395="Válida",(F395+B395)/2,"")</f>
        <v/>
      </c>
      <c r="N395" s="24" t="str">
        <f aca="false">IF(K395="","",IF(OR(K395&gt;Resumo!$B$16,K395&lt;Resumo!$B$15),"Sim","Não"))</f>
        <v/>
      </c>
      <c r="O395" s="22" t="e">
        <f aca="false">IF(A395="",NA(),A395)</f>
        <v>#N/A</v>
      </c>
      <c r="P395" s="23" t="e">
        <f aca="false">IF(A395="",NA(),B395)</f>
        <v>#N/A</v>
      </c>
      <c r="Q395" s="23" t="e">
        <f aca="false">IF(F395="",NA(),F395)</f>
        <v>#N/A</v>
      </c>
      <c r="R395" s="23" t="e">
        <f aca="false">IF(K395="",NA(),K395)</f>
        <v>#N/A</v>
      </c>
      <c r="S395" s="23" t="e">
        <f aca="false">IF(M395="",NA(),M395)</f>
        <v>#N/A</v>
      </c>
      <c r="T395" s="23" t="str">
        <f aca="false">IF(J395="Válida",B395,"")</f>
        <v/>
      </c>
      <c r="U395" s="23" t="str">
        <f aca="false">IF(J395="Válida",F395,"")</f>
        <v/>
      </c>
    </row>
    <row r="396" customFormat="false" ht="15" hidden="false" customHeight="false" outlineLevel="0" collapsed="false">
      <c r="A396" s="22" t="str">
        <f aca="false">IF(MES!A396="","",MES!A396)</f>
        <v/>
      </c>
      <c r="B396" s="23" t="str">
        <f aca="false">IF(A396="","",MES!B396)</f>
        <v/>
      </c>
      <c r="C396" s="22" t="str">
        <f aca="false">IF(A396="","",A396+Parametros!$B$3/24)</f>
        <v/>
      </c>
      <c r="D396" s="22" t="str">
        <f aca="false">IF(A396="","",C396+Parametros!$B$2/24)</f>
        <v/>
      </c>
      <c r="E396" s="24" t="str">
        <f aca="false">IF(A396="","",COUNTIFS(Modulo!$A$2:$A$5001,"&gt;="&amp;C396,Modulo!$A$2:$A$5001,"&lt;"&amp;D396,Modulo!$D$2:$D$5001,Parametros!$B$7))</f>
        <v/>
      </c>
      <c r="F396" s="23" t="str">
        <f aca="false">IF(A396="","",IF(E396=0,"",AVERAGEIFS(Modulo!$B$2:$B$5001,Modulo!$A$2:$A$5001,"&gt;="&amp;C396,Modulo!$A$2:$A$5001,"&lt;"&amp;D396,Modulo!$D$2:$D$5001,Parametros!$B$7)))</f>
        <v/>
      </c>
      <c r="G396" s="23" t="str">
        <f aca="false">IF(A396="","",IF(E396=0,"",AVERAGEIFS(Modulo!$C$2:$C$5001,Modulo!$A$2:$A$5001,"&gt;="&amp;C396,Modulo!$A$2:$A$5001,"&lt;"&amp;D396,Modulo!$D$2:$D$5001,Parametros!$B$7)))</f>
        <v/>
      </c>
      <c r="H396" s="25" t="str">
        <f aca="false">IF(A396="","",IFERROR(COUNTIFS(Amostragem!$A$2:$A$15003,"&gt;="&amp;C396,Amostragem!$A$2:$A$15003,"&lt;"&amp;D396,Amostragem!$B$2:$B$15003,"Automático",Amostragem!$C$2:$C$15003,"Automático",Amostragem!$D$2:$D$15003,0)/COUNTIFS(Amostragem!$A$2:$A$15003,"&gt;="&amp;C396,Amostragem!$A$2:$A$15003,"&lt;"&amp;D396),0))</f>
        <v/>
      </c>
      <c r="I396" s="23" t="str">
        <f aca="false">IF(A396="","",IFERROR(AVERAGEIFS(Amostragem!$E$2:$E$15003,Amostragem!$A$2:$A$15003,"&gt;="&amp;C396,Amostragem!$A$2:$A$15003,"&lt;"&amp;D396),""))</f>
        <v/>
      </c>
      <c r="J396" s="24" t="str">
        <f aca="false">IF(A396="","",IF(B396="","Inválida: sem resultado MES",IF(E396&lt;Parametros!$B$4,"Inválida: poucos ensaios do módulo",IF(H396&lt;Parametros!$B$5,"Inválida: amostragem em manual ou em falha",IF(OR(I396="",I396&lt;Parametros!$B$6),"Inválida: usina parada ou baixa alimentação","Válida")))))</f>
        <v/>
      </c>
      <c r="K396" s="23" t="str">
        <f aca="false">IF(J396="Válida",F396-B396,"")</f>
        <v/>
      </c>
      <c r="L396" s="26" t="str">
        <f aca="false">IF(J396="Válida",K396/B396,"")</f>
        <v/>
      </c>
      <c r="M396" s="23" t="str">
        <f aca="false">IF(J396="Válida",(F396+B396)/2,"")</f>
        <v/>
      </c>
      <c r="N396" s="24" t="str">
        <f aca="false">IF(K396="","",IF(OR(K396&gt;Resumo!$B$16,K396&lt;Resumo!$B$15),"Sim","Não"))</f>
        <v/>
      </c>
      <c r="O396" s="22" t="e">
        <f aca="false">IF(A396="",NA(),A396)</f>
        <v>#N/A</v>
      </c>
      <c r="P396" s="23" t="e">
        <f aca="false">IF(A396="",NA(),B396)</f>
        <v>#N/A</v>
      </c>
      <c r="Q396" s="23" t="e">
        <f aca="false">IF(F396="",NA(),F396)</f>
        <v>#N/A</v>
      </c>
      <c r="R396" s="23" t="e">
        <f aca="false">IF(K396="",NA(),K396)</f>
        <v>#N/A</v>
      </c>
      <c r="S396" s="23" t="e">
        <f aca="false">IF(M396="",NA(),M396)</f>
        <v>#N/A</v>
      </c>
      <c r="T396" s="23" t="str">
        <f aca="false">IF(J396="Válida",B396,"")</f>
        <v/>
      </c>
      <c r="U396" s="23" t="str">
        <f aca="false">IF(J396="Válida",F396,"")</f>
        <v/>
      </c>
    </row>
    <row r="397" customFormat="false" ht="15" hidden="false" customHeight="false" outlineLevel="0" collapsed="false">
      <c r="A397" s="22" t="str">
        <f aca="false">IF(MES!A397="","",MES!A397)</f>
        <v/>
      </c>
      <c r="B397" s="23" t="str">
        <f aca="false">IF(A397="","",MES!B397)</f>
        <v/>
      </c>
      <c r="C397" s="22" t="str">
        <f aca="false">IF(A397="","",A397+Parametros!$B$3/24)</f>
        <v/>
      </c>
      <c r="D397" s="22" t="str">
        <f aca="false">IF(A397="","",C397+Parametros!$B$2/24)</f>
        <v/>
      </c>
      <c r="E397" s="24" t="str">
        <f aca="false">IF(A397="","",COUNTIFS(Modulo!$A$2:$A$5001,"&gt;="&amp;C397,Modulo!$A$2:$A$5001,"&lt;"&amp;D397,Modulo!$D$2:$D$5001,Parametros!$B$7))</f>
        <v/>
      </c>
      <c r="F397" s="23" t="str">
        <f aca="false">IF(A397="","",IF(E397=0,"",AVERAGEIFS(Modulo!$B$2:$B$5001,Modulo!$A$2:$A$5001,"&gt;="&amp;C397,Modulo!$A$2:$A$5001,"&lt;"&amp;D397,Modulo!$D$2:$D$5001,Parametros!$B$7)))</f>
        <v/>
      </c>
      <c r="G397" s="23" t="str">
        <f aca="false">IF(A397="","",IF(E397=0,"",AVERAGEIFS(Modulo!$C$2:$C$5001,Modulo!$A$2:$A$5001,"&gt;="&amp;C397,Modulo!$A$2:$A$5001,"&lt;"&amp;D397,Modulo!$D$2:$D$5001,Parametros!$B$7)))</f>
        <v/>
      </c>
      <c r="H397" s="25" t="str">
        <f aca="false">IF(A397="","",IFERROR(COUNTIFS(Amostragem!$A$2:$A$15003,"&gt;="&amp;C397,Amostragem!$A$2:$A$15003,"&lt;"&amp;D397,Amostragem!$B$2:$B$15003,"Automático",Amostragem!$C$2:$C$15003,"Automático",Amostragem!$D$2:$D$15003,0)/COUNTIFS(Amostragem!$A$2:$A$15003,"&gt;="&amp;C397,Amostragem!$A$2:$A$15003,"&lt;"&amp;D397),0))</f>
        <v/>
      </c>
      <c r="I397" s="23" t="str">
        <f aca="false">IF(A397="","",IFERROR(AVERAGEIFS(Amostragem!$E$2:$E$15003,Amostragem!$A$2:$A$15003,"&gt;="&amp;C397,Amostragem!$A$2:$A$15003,"&lt;"&amp;D397),""))</f>
        <v/>
      </c>
      <c r="J397" s="24" t="str">
        <f aca="false">IF(A397="","",IF(B397="","Inválida: sem resultado MES",IF(E397&lt;Parametros!$B$4,"Inválida: poucos ensaios do módulo",IF(H397&lt;Parametros!$B$5,"Inválida: amostragem em manual ou em falha",IF(OR(I397="",I397&lt;Parametros!$B$6),"Inválida: usina parada ou baixa alimentação","Válida")))))</f>
        <v/>
      </c>
      <c r="K397" s="23" t="str">
        <f aca="false">IF(J397="Válida",F397-B397,"")</f>
        <v/>
      </c>
      <c r="L397" s="26" t="str">
        <f aca="false">IF(J397="Válida",K397/B397,"")</f>
        <v/>
      </c>
      <c r="M397" s="23" t="str">
        <f aca="false">IF(J397="Válida",(F397+B397)/2,"")</f>
        <v/>
      </c>
      <c r="N397" s="24" t="str">
        <f aca="false">IF(K397="","",IF(OR(K397&gt;Resumo!$B$16,K397&lt;Resumo!$B$15),"Sim","Não"))</f>
        <v/>
      </c>
      <c r="O397" s="22" t="e">
        <f aca="false">IF(A397="",NA(),A397)</f>
        <v>#N/A</v>
      </c>
      <c r="P397" s="23" t="e">
        <f aca="false">IF(A397="",NA(),B397)</f>
        <v>#N/A</v>
      </c>
      <c r="Q397" s="23" t="e">
        <f aca="false">IF(F397="",NA(),F397)</f>
        <v>#N/A</v>
      </c>
      <c r="R397" s="23" t="e">
        <f aca="false">IF(K397="",NA(),K397)</f>
        <v>#N/A</v>
      </c>
      <c r="S397" s="23" t="e">
        <f aca="false">IF(M397="",NA(),M397)</f>
        <v>#N/A</v>
      </c>
      <c r="T397" s="23" t="str">
        <f aca="false">IF(J397="Válida",B397,"")</f>
        <v/>
      </c>
      <c r="U397" s="23" t="str">
        <f aca="false">IF(J397="Válida",F397,"")</f>
        <v/>
      </c>
    </row>
    <row r="398" customFormat="false" ht="15" hidden="false" customHeight="false" outlineLevel="0" collapsed="false">
      <c r="A398" s="22" t="str">
        <f aca="false">IF(MES!A398="","",MES!A398)</f>
        <v/>
      </c>
      <c r="B398" s="23" t="str">
        <f aca="false">IF(A398="","",MES!B398)</f>
        <v/>
      </c>
      <c r="C398" s="22" t="str">
        <f aca="false">IF(A398="","",A398+Parametros!$B$3/24)</f>
        <v/>
      </c>
      <c r="D398" s="22" t="str">
        <f aca="false">IF(A398="","",C398+Parametros!$B$2/24)</f>
        <v/>
      </c>
      <c r="E398" s="24" t="str">
        <f aca="false">IF(A398="","",COUNTIFS(Modulo!$A$2:$A$5001,"&gt;="&amp;C398,Modulo!$A$2:$A$5001,"&lt;"&amp;D398,Modulo!$D$2:$D$5001,Parametros!$B$7))</f>
        <v/>
      </c>
      <c r="F398" s="23" t="str">
        <f aca="false">IF(A398="","",IF(E398=0,"",AVERAGEIFS(Modulo!$B$2:$B$5001,Modulo!$A$2:$A$5001,"&gt;="&amp;C398,Modulo!$A$2:$A$5001,"&lt;"&amp;D398,Modulo!$D$2:$D$5001,Parametros!$B$7)))</f>
        <v/>
      </c>
      <c r="G398" s="23" t="str">
        <f aca="false">IF(A398="","",IF(E398=0,"",AVERAGEIFS(Modulo!$C$2:$C$5001,Modulo!$A$2:$A$5001,"&gt;="&amp;C398,Modulo!$A$2:$A$5001,"&lt;"&amp;D398,Modulo!$D$2:$D$5001,Parametros!$B$7)))</f>
        <v/>
      </c>
      <c r="H398" s="25" t="str">
        <f aca="false">IF(A398="","",IFERROR(COUNTIFS(Amostragem!$A$2:$A$15003,"&gt;="&amp;C398,Amostragem!$A$2:$A$15003,"&lt;"&amp;D398,Amostragem!$B$2:$B$15003,"Automático",Amostragem!$C$2:$C$15003,"Automático",Amostragem!$D$2:$D$15003,0)/COUNTIFS(Amostragem!$A$2:$A$15003,"&gt;="&amp;C398,Amostragem!$A$2:$A$15003,"&lt;"&amp;D398),0))</f>
        <v/>
      </c>
      <c r="I398" s="23" t="str">
        <f aca="false">IF(A398="","",IFERROR(AVERAGEIFS(Amostragem!$E$2:$E$15003,Amostragem!$A$2:$A$15003,"&gt;="&amp;C398,Amostragem!$A$2:$A$15003,"&lt;"&amp;D398),""))</f>
        <v/>
      </c>
      <c r="J398" s="24" t="str">
        <f aca="false">IF(A398="","",IF(B398="","Inválida: sem resultado MES",IF(E398&lt;Parametros!$B$4,"Inválida: poucos ensaios do módulo",IF(H398&lt;Parametros!$B$5,"Inválida: amostragem em manual ou em falha",IF(OR(I398="",I398&lt;Parametros!$B$6),"Inválida: usina parada ou baixa alimentação","Válida")))))</f>
        <v/>
      </c>
      <c r="K398" s="23" t="str">
        <f aca="false">IF(J398="Válida",F398-B398,"")</f>
        <v/>
      </c>
      <c r="L398" s="26" t="str">
        <f aca="false">IF(J398="Válida",K398/B398,"")</f>
        <v/>
      </c>
      <c r="M398" s="23" t="str">
        <f aca="false">IF(J398="Válida",(F398+B398)/2,"")</f>
        <v/>
      </c>
      <c r="N398" s="24" t="str">
        <f aca="false">IF(K398="","",IF(OR(K398&gt;Resumo!$B$16,K398&lt;Resumo!$B$15),"Sim","Não"))</f>
        <v/>
      </c>
      <c r="O398" s="22" t="e">
        <f aca="false">IF(A398="",NA(),A398)</f>
        <v>#N/A</v>
      </c>
      <c r="P398" s="23" t="e">
        <f aca="false">IF(A398="",NA(),B398)</f>
        <v>#N/A</v>
      </c>
      <c r="Q398" s="23" t="e">
        <f aca="false">IF(F398="",NA(),F398)</f>
        <v>#N/A</v>
      </c>
      <c r="R398" s="23" t="e">
        <f aca="false">IF(K398="",NA(),K398)</f>
        <v>#N/A</v>
      </c>
      <c r="S398" s="23" t="e">
        <f aca="false">IF(M398="",NA(),M398)</f>
        <v>#N/A</v>
      </c>
      <c r="T398" s="23" t="str">
        <f aca="false">IF(J398="Válida",B398,"")</f>
        <v/>
      </c>
      <c r="U398" s="23" t="str">
        <f aca="false">IF(J398="Válida",F398,"")</f>
        <v/>
      </c>
    </row>
    <row r="399" customFormat="false" ht="15" hidden="false" customHeight="false" outlineLevel="0" collapsed="false">
      <c r="A399" s="22" t="str">
        <f aca="false">IF(MES!A399="","",MES!A399)</f>
        <v/>
      </c>
      <c r="B399" s="23" t="str">
        <f aca="false">IF(A399="","",MES!B399)</f>
        <v/>
      </c>
      <c r="C399" s="22" t="str">
        <f aca="false">IF(A399="","",A399+Parametros!$B$3/24)</f>
        <v/>
      </c>
      <c r="D399" s="22" t="str">
        <f aca="false">IF(A399="","",C399+Parametros!$B$2/24)</f>
        <v/>
      </c>
      <c r="E399" s="24" t="str">
        <f aca="false">IF(A399="","",COUNTIFS(Modulo!$A$2:$A$5001,"&gt;="&amp;C399,Modulo!$A$2:$A$5001,"&lt;"&amp;D399,Modulo!$D$2:$D$5001,Parametros!$B$7))</f>
        <v/>
      </c>
      <c r="F399" s="23" t="str">
        <f aca="false">IF(A399="","",IF(E399=0,"",AVERAGEIFS(Modulo!$B$2:$B$5001,Modulo!$A$2:$A$5001,"&gt;="&amp;C399,Modulo!$A$2:$A$5001,"&lt;"&amp;D399,Modulo!$D$2:$D$5001,Parametros!$B$7)))</f>
        <v/>
      </c>
      <c r="G399" s="23" t="str">
        <f aca="false">IF(A399="","",IF(E399=0,"",AVERAGEIFS(Modulo!$C$2:$C$5001,Modulo!$A$2:$A$5001,"&gt;="&amp;C399,Modulo!$A$2:$A$5001,"&lt;"&amp;D399,Modulo!$D$2:$D$5001,Parametros!$B$7)))</f>
        <v/>
      </c>
      <c r="H399" s="25" t="str">
        <f aca="false">IF(A399="","",IFERROR(COUNTIFS(Amostragem!$A$2:$A$15003,"&gt;="&amp;C399,Amostragem!$A$2:$A$15003,"&lt;"&amp;D399,Amostragem!$B$2:$B$15003,"Automático",Amostragem!$C$2:$C$15003,"Automático",Amostragem!$D$2:$D$15003,0)/COUNTIFS(Amostragem!$A$2:$A$15003,"&gt;="&amp;C399,Amostragem!$A$2:$A$15003,"&lt;"&amp;D399),0))</f>
        <v/>
      </c>
      <c r="I399" s="23" t="str">
        <f aca="false">IF(A399="","",IFERROR(AVERAGEIFS(Amostragem!$E$2:$E$15003,Amostragem!$A$2:$A$15003,"&gt;="&amp;C399,Amostragem!$A$2:$A$15003,"&lt;"&amp;D399),""))</f>
        <v/>
      </c>
      <c r="J399" s="24" t="str">
        <f aca="false">IF(A399="","",IF(B399="","Inválida: sem resultado MES",IF(E399&lt;Parametros!$B$4,"Inválida: poucos ensaios do módulo",IF(H399&lt;Parametros!$B$5,"Inválida: amostragem em manual ou em falha",IF(OR(I399="",I399&lt;Parametros!$B$6),"Inválida: usina parada ou baixa alimentação","Válida")))))</f>
        <v/>
      </c>
      <c r="K399" s="23" t="str">
        <f aca="false">IF(J399="Válida",F399-B399,"")</f>
        <v/>
      </c>
      <c r="L399" s="26" t="str">
        <f aca="false">IF(J399="Válida",K399/B399,"")</f>
        <v/>
      </c>
      <c r="M399" s="23" t="str">
        <f aca="false">IF(J399="Válida",(F399+B399)/2,"")</f>
        <v/>
      </c>
      <c r="N399" s="24" t="str">
        <f aca="false">IF(K399="","",IF(OR(K399&gt;Resumo!$B$16,K399&lt;Resumo!$B$15),"Sim","Não"))</f>
        <v/>
      </c>
      <c r="O399" s="22" t="e">
        <f aca="false">IF(A399="",NA(),A399)</f>
        <v>#N/A</v>
      </c>
      <c r="P399" s="23" t="e">
        <f aca="false">IF(A399="",NA(),B399)</f>
        <v>#N/A</v>
      </c>
      <c r="Q399" s="23" t="e">
        <f aca="false">IF(F399="",NA(),F399)</f>
        <v>#N/A</v>
      </c>
      <c r="R399" s="23" t="e">
        <f aca="false">IF(K399="",NA(),K399)</f>
        <v>#N/A</v>
      </c>
      <c r="S399" s="23" t="e">
        <f aca="false">IF(M399="",NA(),M399)</f>
        <v>#N/A</v>
      </c>
      <c r="T399" s="23" t="str">
        <f aca="false">IF(J399="Válida",B399,"")</f>
        <v/>
      </c>
      <c r="U399" s="23" t="str">
        <f aca="false">IF(J399="Válida",F399,"")</f>
        <v/>
      </c>
    </row>
    <row r="400" customFormat="false" ht="15" hidden="false" customHeight="false" outlineLevel="0" collapsed="false">
      <c r="A400" s="22" t="str">
        <f aca="false">IF(MES!A400="","",MES!A400)</f>
        <v/>
      </c>
      <c r="B400" s="23" t="str">
        <f aca="false">IF(A400="","",MES!B400)</f>
        <v/>
      </c>
      <c r="C400" s="22" t="str">
        <f aca="false">IF(A400="","",A400+Parametros!$B$3/24)</f>
        <v/>
      </c>
      <c r="D400" s="22" t="str">
        <f aca="false">IF(A400="","",C400+Parametros!$B$2/24)</f>
        <v/>
      </c>
      <c r="E400" s="24" t="str">
        <f aca="false">IF(A400="","",COUNTIFS(Modulo!$A$2:$A$5001,"&gt;="&amp;C400,Modulo!$A$2:$A$5001,"&lt;"&amp;D400,Modulo!$D$2:$D$5001,Parametros!$B$7))</f>
        <v/>
      </c>
      <c r="F400" s="23" t="str">
        <f aca="false">IF(A400="","",IF(E400=0,"",AVERAGEIFS(Modulo!$B$2:$B$5001,Modulo!$A$2:$A$5001,"&gt;="&amp;C400,Modulo!$A$2:$A$5001,"&lt;"&amp;D400,Modulo!$D$2:$D$5001,Parametros!$B$7)))</f>
        <v/>
      </c>
      <c r="G400" s="23" t="str">
        <f aca="false">IF(A400="","",IF(E400=0,"",AVERAGEIFS(Modulo!$C$2:$C$5001,Modulo!$A$2:$A$5001,"&gt;="&amp;C400,Modulo!$A$2:$A$5001,"&lt;"&amp;D400,Modulo!$D$2:$D$5001,Parametros!$B$7)))</f>
        <v/>
      </c>
      <c r="H400" s="25" t="str">
        <f aca="false">IF(A400="","",IFERROR(COUNTIFS(Amostragem!$A$2:$A$15003,"&gt;="&amp;C400,Amostragem!$A$2:$A$15003,"&lt;"&amp;D400,Amostragem!$B$2:$B$15003,"Automático",Amostragem!$C$2:$C$15003,"Automático",Amostragem!$D$2:$D$15003,0)/COUNTIFS(Amostragem!$A$2:$A$15003,"&gt;="&amp;C400,Amostragem!$A$2:$A$15003,"&lt;"&amp;D400),0))</f>
        <v/>
      </c>
      <c r="I400" s="23" t="str">
        <f aca="false">IF(A400="","",IFERROR(AVERAGEIFS(Amostragem!$E$2:$E$15003,Amostragem!$A$2:$A$15003,"&gt;="&amp;C400,Amostragem!$A$2:$A$15003,"&lt;"&amp;D400),""))</f>
        <v/>
      </c>
      <c r="J400" s="24" t="str">
        <f aca="false">IF(A400="","",IF(B400="","Inválida: sem resultado MES",IF(E400&lt;Parametros!$B$4,"Inválida: poucos ensaios do módulo",IF(H400&lt;Parametros!$B$5,"Inválida: amostragem em manual ou em falha",IF(OR(I400="",I400&lt;Parametros!$B$6),"Inválida: usina parada ou baixa alimentação","Válida")))))</f>
        <v/>
      </c>
      <c r="K400" s="23" t="str">
        <f aca="false">IF(J400="Válida",F400-B400,"")</f>
        <v/>
      </c>
      <c r="L400" s="26" t="str">
        <f aca="false">IF(J400="Válida",K400/B400,"")</f>
        <v/>
      </c>
      <c r="M400" s="23" t="str">
        <f aca="false">IF(J400="Válida",(F400+B400)/2,"")</f>
        <v/>
      </c>
      <c r="N400" s="24" t="str">
        <f aca="false">IF(K400="","",IF(OR(K400&gt;Resumo!$B$16,K400&lt;Resumo!$B$15),"Sim","Não"))</f>
        <v/>
      </c>
      <c r="O400" s="22" t="e">
        <f aca="false">IF(A400="",NA(),A400)</f>
        <v>#N/A</v>
      </c>
      <c r="P400" s="23" t="e">
        <f aca="false">IF(A400="",NA(),B400)</f>
        <v>#N/A</v>
      </c>
      <c r="Q400" s="23" t="e">
        <f aca="false">IF(F400="",NA(),F400)</f>
        <v>#N/A</v>
      </c>
      <c r="R400" s="23" t="e">
        <f aca="false">IF(K400="",NA(),K400)</f>
        <v>#N/A</v>
      </c>
      <c r="S400" s="23" t="e">
        <f aca="false">IF(M400="",NA(),M400)</f>
        <v>#N/A</v>
      </c>
      <c r="T400" s="23" t="str">
        <f aca="false">IF(J400="Válida",B400,"")</f>
        <v/>
      </c>
      <c r="U400" s="23" t="str">
        <f aca="false">IF(J400="Válida",F400,"")</f>
        <v/>
      </c>
    </row>
    <row r="401" customFormat="false" ht="15" hidden="false" customHeight="false" outlineLevel="0" collapsed="false">
      <c r="A401" s="22" t="str">
        <f aca="false">IF(MES!A401="","",MES!A401)</f>
        <v/>
      </c>
      <c r="B401" s="23" t="str">
        <f aca="false">IF(A401="","",MES!B401)</f>
        <v/>
      </c>
      <c r="C401" s="22" t="str">
        <f aca="false">IF(A401="","",A401+Parametros!$B$3/24)</f>
        <v/>
      </c>
      <c r="D401" s="22" t="str">
        <f aca="false">IF(A401="","",C401+Parametros!$B$2/24)</f>
        <v/>
      </c>
      <c r="E401" s="24" t="str">
        <f aca="false">IF(A401="","",COUNTIFS(Modulo!$A$2:$A$5001,"&gt;="&amp;C401,Modulo!$A$2:$A$5001,"&lt;"&amp;D401,Modulo!$D$2:$D$5001,Parametros!$B$7))</f>
        <v/>
      </c>
      <c r="F401" s="23" t="str">
        <f aca="false">IF(A401="","",IF(E401=0,"",AVERAGEIFS(Modulo!$B$2:$B$5001,Modulo!$A$2:$A$5001,"&gt;="&amp;C401,Modulo!$A$2:$A$5001,"&lt;"&amp;D401,Modulo!$D$2:$D$5001,Parametros!$B$7)))</f>
        <v/>
      </c>
      <c r="G401" s="23" t="str">
        <f aca="false">IF(A401="","",IF(E401=0,"",AVERAGEIFS(Modulo!$C$2:$C$5001,Modulo!$A$2:$A$5001,"&gt;="&amp;C401,Modulo!$A$2:$A$5001,"&lt;"&amp;D401,Modulo!$D$2:$D$5001,Parametros!$B$7)))</f>
        <v/>
      </c>
      <c r="H401" s="25" t="str">
        <f aca="false">IF(A401="","",IFERROR(COUNTIFS(Amostragem!$A$2:$A$15003,"&gt;="&amp;C401,Amostragem!$A$2:$A$15003,"&lt;"&amp;D401,Amostragem!$B$2:$B$15003,"Automático",Amostragem!$C$2:$C$15003,"Automático",Amostragem!$D$2:$D$15003,0)/COUNTIFS(Amostragem!$A$2:$A$15003,"&gt;="&amp;C401,Amostragem!$A$2:$A$15003,"&lt;"&amp;D401),0))</f>
        <v/>
      </c>
      <c r="I401" s="23" t="str">
        <f aca="false">IF(A401="","",IFERROR(AVERAGEIFS(Amostragem!$E$2:$E$15003,Amostragem!$A$2:$A$15003,"&gt;="&amp;C401,Amostragem!$A$2:$A$15003,"&lt;"&amp;D401),""))</f>
        <v/>
      </c>
      <c r="J401" s="24" t="str">
        <f aca="false">IF(A401="","",IF(B401="","Inválida: sem resultado MES",IF(E401&lt;Parametros!$B$4,"Inválida: poucos ensaios do módulo",IF(H401&lt;Parametros!$B$5,"Inválida: amostragem em manual ou em falha",IF(OR(I401="",I401&lt;Parametros!$B$6),"Inválida: usina parada ou baixa alimentação","Válida")))))</f>
        <v/>
      </c>
      <c r="K401" s="23" t="str">
        <f aca="false">IF(J401="Válida",F401-B401,"")</f>
        <v/>
      </c>
      <c r="L401" s="26" t="str">
        <f aca="false">IF(J401="Válida",K401/B401,"")</f>
        <v/>
      </c>
      <c r="M401" s="23" t="str">
        <f aca="false">IF(J401="Válida",(F401+B401)/2,"")</f>
        <v/>
      </c>
      <c r="N401" s="24" t="str">
        <f aca="false">IF(K401="","",IF(OR(K401&gt;Resumo!$B$16,K401&lt;Resumo!$B$15),"Sim","Não"))</f>
        <v/>
      </c>
      <c r="O401" s="22" t="e">
        <f aca="false">IF(A401="",NA(),A401)</f>
        <v>#N/A</v>
      </c>
      <c r="P401" s="23" t="e">
        <f aca="false">IF(A401="",NA(),B401)</f>
        <v>#N/A</v>
      </c>
      <c r="Q401" s="23" t="e">
        <f aca="false">IF(F401="",NA(),F401)</f>
        <v>#N/A</v>
      </c>
      <c r="R401" s="23" t="e">
        <f aca="false">IF(K401="",NA(),K401)</f>
        <v>#N/A</v>
      </c>
      <c r="S401" s="23" t="e">
        <f aca="false">IF(M401="",NA(),M401)</f>
        <v>#N/A</v>
      </c>
      <c r="T401" s="23" t="str">
        <f aca="false">IF(J401="Válida",B401,"")</f>
        <v/>
      </c>
      <c r="U401" s="23" t="str">
        <f aca="false">IF(J401="Válida",F401,"")</f>
        <v/>
      </c>
    </row>
    <row r="402" customFormat="false" ht="15" hidden="false" customHeight="false" outlineLevel="0" collapsed="false">
      <c r="A402" s="22" t="str">
        <f aca="false">IF(MES!A402="","",MES!A402)</f>
        <v/>
      </c>
      <c r="B402" s="23" t="str">
        <f aca="false">IF(A402="","",MES!B402)</f>
        <v/>
      </c>
      <c r="C402" s="22" t="str">
        <f aca="false">IF(A402="","",A402+Parametros!$B$3/24)</f>
        <v/>
      </c>
      <c r="D402" s="22" t="str">
        <f aca="false">IF(A402="","",C402+Parametros!$B$2/24)</f>
        <v/>
      </c>
      <c r="E402" s="24" t="str">
        <f aca="false">IF(A402="","",COUNTIFS(Modulo!$A$2:$A$5001,"&gt;="&amp;C402,Modulo!$A$2:$A$5001,"&lt;"&amp;D402,Modulo!$D$2:$D$5001,Parametros!$B$7))</f>
        <v/>
      </c>
      <c r="F402" s="23" t="str">
        <f aca="false">IF(A402="","",IF(E402=0,"",AVERAGEIFS(Modulo!$B$2:$B$5001,Modulo!$A$2:$A$5001,"&gt;="&amp;C402,Modulo!$A$2:$A$5001,"&lt;"&amp;D402,Modulo!$D$2:$D$5001,Parametros!$B$7)))</f>
        <v/>
      </c>
      <c r="G402" s="23" t="str">
        <f aca="false">IF(A402="","",IF(E402=0,"",AVERAGEIFS(Modulo!$C$2:$C$5001,Modulo!$A$2:$A$5001,"&gt;="&amp;C402,Modulo!$A$2:$A$5001,"&lt;"&amp;D402,Modulo!$D$2:$D$5001,Parametros!$B$7)))</f>
        <v/>
      </c>
      <c r="H402" s="25" t="str">
        <f aca="false">IF(A402="","",IFERROR(COUNTIFS(Amostragem!$A$2:$A$15003,"&gt;="&amp;C402,Amostragem!$A$2:$A$15003,"&lt;"&amp;D402,Amostragem!$B$2:$B$15003,"Automático",Amostragem!$C$2:$C$15003,"Automático",Amostragem!$D$2:$D$15003,0)/COUNTIFS(Amostragem!$A$2:$A$15003,"&gt;="&amp;C402,Amostragem!$A$2:$A$15003,"&lt;"&amp;D402),0))</f>
        <v/>
      </c>
      <c r="I402" s="23" t="str">
        <f aca="false">IF(A402="","",IFERROR(AVERAGEIFS(Amostragem!$E$2:$E$15003,Amostragem!$A$2:$A$15003,"&gt;="&amp;C402,Amostragem!$A$2:$A$15003,"&lt;"&amp;D402),""))</f>
        <v/>
      </c>
      <c r="J402" s="24" t="str">
        <f aca="false">IF(A402="","",IF(B402="","Inválida: sem resultado MES",IF(E402&lt;Parametros!$B$4,"Inválida: poucos ensaios do módulo",IF(H402&lt;Parametros!$B$5,"Inválida: amostragem em manual ou em falha",IF(OR(I402="",I402&lt;Parametros!$B$6),"Inválida: usina parada ou baixa alimentação","Válida")))))</f>
        <v/>
      </c>
      <c r="K402" s="23" t="str">
        <f aca="false">IF(J402="Válida",F402-B402,"")</f>
        <v/>
      </c>
      <c r="L402" s="26" t="str">
        <f aca="false">IF(J402="Válida",K402/B402,"")</f>
        <v/>
      </c>
      <c r="M402" s="23" t="str">
        <f aca="false">IF(J402="Válida",(F402+B402)/2,"")</f>
        <v/>
      </c>
      <c r="N402" s="24" t="str">
        <f aca="false">IF(K402="","",IF(OR(K402&gt;Resumo!$B$16,K402&lt;Resumo!$B$15),"Sim","Não"))</f>
        <v/>
      </c>
      <c r="O402" s="22" t="e">
        <f aca="false">IF(A402="",NA(),A402)</f>
        <v>#N/A</v>
      </c>
      <c r="P402" s="23" t="e">
        <f aca="false">IF(A402="",NA(),B402)</f>
        <v>#N/A</v>
      </c>
      <c r="Q402" s="23" t="e">
        <f aca="false">IF(F402="",NA(),F402)</f>
        <v>#N/A</v>
      </c>
      <c r="R402" s="23" t="e">
        <f aca="false">IF(K402="",NA(),K402)</f>
        <v>#N/A</v>
      </c>
      <c r="S402" s="23" t="e">
        <f aca="false">IF(M402="",NA(),M402)</f>
        <v>#N/A</v>
      </c>
      <c r="T402" s="23" t="str">
        <f aca="false">IF(J402="Válida",B402,"")</f>
        <v/>
      </c>
      <c r="U402" s="23" t="str">
        <f aca="false">IF(J402="Válida",F402,"")</f>
        <v/>
      </c>
    </row>
    <row r="403" customFormat="false" ht="15" hidden="false" customHeight="false" outlineLevel="0" collapsed="false">
      <c r="A403" s="22" t="str">
        <f aca="false">IF(MES!A403="","",MES!A403)</f>
        <v/>
      </c>
      <c r="B403" s="23" t="str">
        <f aca="false">IF(A403="","",MES!B403)</f>
        <v/>
      </c>
      <c r="C403" s="22" t="str">
        <f aca="false">IF(A403="","",A403+Parametros!$B$3/24)</f>
        <v/>
      </c>
      <c r="D403" s="22" t="str">
        <f aca="false">IF(A403="","",C403+Parametros!$B$2/24)</f>
        <v/>
      </c>
      <c r="E403" s="24" t="str">
        <f aca="false">IF(A403="","",COUNTIFS(Modulo!$A$2:$A$5001,"&gt;="&amp;C403,Modulo!$A$2:$A$5001,"&lt;"&amp;D403,Modulo!$D$2:$D$5001,Parametros!$B$7))</f>
        <v/>
      </c>
      <c r="F403" s="23" t="str">
        <f aca="false">IF(A403="","",IF(E403=0,"",AVERAGEIFS(Modulo!$B$2:$B$5001,Modulo!$A$2:$A$5001,"&gt;="&amp;C403,Modulo!$A$2:$A$5001,"&lt;"&amp;D403,Modulo!$D$2:$D$5001,Parametros!$B$7)))</f>
        <v/>
      </c>
      <c r="G403" s="23" t="str">
        <f aca="false">IF(A403="","",IF(E403=0,"",AVERAGEIFS(Modulo!$C$2:$C$5001,Modulo!$A$2:$A$5001,"&gt;="&amp;C403,Modulo!$A$2:$A$5001,"&lt;"&amp;D403,Modulo!$D$2:$D$5001,Parametros!$B$7)))</f>
        <v/>
      </c>
      <c r="H403" s="25" t="str">
        <f aca="false">IF(A403="","",IFERROR(COUNTIFS(Amostragem!$A$2:$A$15003,"&gt;="&amp;C403,Amostragem!$A$2:$A$15003,"&lt;"&amp;D403,Amostragem!$B$2:$B$15003,"Automático",Amostragem!$C$2:$C$15003,"Automático",Amostragem!$D$2:$D$15003,0)/COUNTIFS(Amostragem!$A$2:$A$15003,"&gt;="&amp;C403,Amostragem!$A$2:$A$15003,"&lt;"&amp;D403),0))</f>
        <v/>
      </c>
      <c r="I403" s="23" t="str">
        <f aca="false">IF(A403="","",IFERROR(AVERAGEIFS(Amostragem!$E$2:$E$15003,Amostragem!$A$2:$A$15003,"&gt;="&amp;C403,Amostragem!$A$2:$A$15003,"&lt;"&amp;D403),""))</f>
        <v/>
      </c>
      <c r="J403" s="24" t="str">
        <f aca="false">IF(A403="","",IF(B403="","Inválida: sem resultado MES",IF(E403&lt;Parametros!$B$4,"Inválida: poucos ensaios do módulo",IF(H403&lt;Parametros!$B$5,"Inválida: amostragem em manual ou em falha",IF(OR(I403="",I403&lt;Parametros!$B$6),"Inválida: usina parada ou baixa alimentação","Válida")))))</f>
        <v/>
      </c>
      <c r="K403" s="23" t="str">
        <f aca="false">IF(J403="Válida",F403-B403,"")</f>
        <v/>
      </c>
      <c r="L403" s="26" t="str">
        <f aca="false">IF(J403="Válida",K403/B403,"")</f>
        <v/>
      </c>
      <c r="M403" s="23" t="str">
        <f aca="false">IF(J403="Válida",(F403+B403)/2,"")</f>
        <v/>
      </c>
      <c r="N403" s="24" t="str">
        <f aca="false">IF(K403="","",IF(OR(K403&gt;Resumo!$B$16,K403&lt;Resumo!$B$15),"Sim","Não"))</f>
        <v/>
      </c>
      <c r="O403" s="22" t="e">
        <f aca="false">IF(A403="",NA(),A403)</f>
        <v>#N/A</v>
      </c>
      <c r="P403" s="23" t="e">
        <f aca="false">IF(A403="",NA(),B403)</f>
        <v>#N/A</v>
      </c>
      <c r="Q403" s="23" t="e">
        <f aca="false">IF(F403="",NA(),F403)</f>
        <v>#N/A</v>
      </c>
      <c r="R403" s="23" t="e">
        <f aca="false">IF(K403="",NA(),K403)</f>
        <v>#N/A</v>
      </c>
      <c r="S403" s="23" t="e">
        <f aca="false">IF(M403="",NA(),M403)</f>
        <v>#N/A</v>
      </c>
      <c r="T403" s="23" t="str">
        <f aca="false">IF(J403="Válida",B403,"")</f>
        <v/>
      </c>
      <c r="U403" s="23" t="str">
        <f aca="false">IF(J403="Válida",F403,"")</f>
        <v/>
      </c>
    </row>
    <row r="404" customFormat="false" ht="15" hidden="false" customHeight="false" outlineLevel="0" collapsed="false">
      <c r="A404" s="22" t="str">
        <f aca="false">IF(MES!A404="","",MES!A404)</f>
        <v/>
      </c>
      <c r="B404" s="23" t="str">
        <f aca="false">IF(A404="","",MES!B404)</f>
        <v/>
      </c>
      <c r="C404" s="22" t="str">
        <f aca="false">IF(A404="","",A404+Parametros!$B$3/24)</f>
        <v/>
      </c>
      <c r="D404" s="22" t="str">
        <f aca="false">IF(A404="","",C404+Parametros!$B$2/24)</f>
        <v/>
      </c>
      <c r="E404" s="24" t="str">
        <f aca="false">IF(A404="","",COUNTIFS(Modulo!$A$2:$A$5001,"&gt;="&amp;C404,Modulo!$A$2:$A$5001,"&lt;"&amp;D404,Modulo!$D$2:$D$5001,Parametros!$B$7))</f>
        <v/>
      </c>
      <c r="F404" s="23" t="str">
        <f aca="false">IF(A404="","",IF(E404=0,"",AVERAGEIFS(Modulo!$B$2:$B$5001,Modulo!$A$2:$A$5001,"&gt;="&amp;C404,Modulo!$A$2:$A$5001,"&lt;"&amp;D404,Modulo!$D$2:$D$5001,Parametros!$B$7)))</f>
        <v/>
      </c>
      <c r="G404" s="23" t="str">
        <f aca="false">IF(A404="","",IF(E404=0,"",AVERAGEIFS(Modulo!$C$2:$C$5001,Modulo!$A$2:$A$5001,"&gt;="&amp;C404,Modulo!$A$2:$A$5001,"&lt;"&amp;D404,Modulo!$D$2:$D$5001,Parametros!$B$7)))</f>
        <v/>
      </c>
      <c r="H404" s="25" t="str">
        <f aca="false">IF(A404="","",IFERROR(COUNTIFS(Amostragem!$A$2:$A$15003,"&gt;="&amp;C404,Amostragem!$A$2:$A$15003,"&lt;"&amp;D404,Amostragem!$B$2:$B$15003,"Automático",Amostragem!$C$2:$C$15003,"Automático",Amostragem!$D$2:$D$15003,0)/COUNTIFS(Amostragem!$A$2:$A$15003,"&gt;="&amp;C404,Amostragem!$A$2:$A$15003,"&lt;"&amp;D404),0))</f>
        <v/>
      </c>
      <c r="I404" s="23" t="str">
        <f aca="false">IF(A404="","",IFERROR(AVERAGEIFS(Amostragem!$E$2:$E$15003,Amostragem!$A$2:$A$15003,"&gt;="&amp;C404,Amostragem!$A$2:$A$15003,"&lt;"&amp;D404),""))</f>
        <v/>
      </c>
      <c r="J404" s="24" t="str">
        <f aca="false">IF(A404="","",IF(B404="","Inválida: sem resultado MES",IF(E404&lt;Parametros!$B$4,"Inválida: poucos ensaios do módulo",IF(H404&lt;Parametros!$B$5,"Inválida: amostragem em manual ou em falha",IF(OR(I404="",I404&lt;Parametros!$B$6),"Inválida: usina parada ou baixa alimentação","Válida")))))</f>
        <v/>
      </c>
      <c r="K404" s="23" t="str">
        <f aca="false">IF(J404="Válida",F404-B404,"")</f>
        <v/>
      </c>
      <c r="L404" s="26" t="str">
        <f aca="false">IF(J404="Válida",K404/B404,"")</f>
        <v/>
      </c>
      <c r="M404" s="23" t="str">
        <f aca="false">IF(J404="Válida",(F404+B404)/2,"")</f>
        <v/>
      </c>
      <c r="N404" s="24" t="str">
        <f aca="false">IF(K404="","",IF(OR(K404&gt;Resumo!$B$16,K404&lt;Resumo!$B$15),"Sim","Não"))</f>
        <v/>
      </c>
      <c r="O404" s="22" t="e">
        <f aca="false">IF(A404="",NA(),A404)</f>
        <v>#N/A</v>
      </c>
      <c r="P404" s="23" t="e">
        <f aca="false">IF(A404="",NA(),B404)</f>
        <v>#N/A</v>
      </c>
      <c r="Q404" s="23" t="e">
        <f aca="false">IF(F404="",NA(),F404)</f>
        <v>#N/A</v>
      </c>
      <c r="R404" s="23" t="e">
        <f aca="false">IF(K404="",NA(),K404)</f>
        <v>#N/A</v>
      </c>
      <c r="S404" s="23" t="e">
        <f aca="false">IF(M404="",NA(),M404)</f>
        <v>#N/A</v>
      </c>
      <c r="T404" s="23" t="str">
        <f aca="false">IF(J404="Válida",B404,"")</f>
        <v/>
      </c>
      <c r="U404" s="23" t="str">
        <f aca="false">IF(J404="Válida",F404,"")</f>
        <v/>
      </c>
    </row>
    <row r="405" customFormat="false" ht="15" hidden="false" customHeight="false" outlineLevel="0" collapsed="false">
      <c r="A405" s="22" t="str">
        <f aca="false">IF(MES!A405="","",MES!A405)</f>
        <v/>
      </c>
      <c r="B405" s="23" t="str">
        <f aca="false">IF(A405="","",MES!B405)</f>
        <v/>
      </c>
      <c r="C405" s="22" t="str">
        <f aca="false">IF(A405="","",A405+Parametros!$B$3/24)</f>
        <v/>
      </c>
      <c r="D405" s="22" t="str">
        <f aca="false">IF(A405="","",C405+Parametros!$B$2/24)</f>
        <v/>
      </c>
      <c r="E405" s="24" t="str">
        <f aca="false">IF(A405="","",COUNTIFS(Modulo!$A$2:$A$5001,"&gt;="&amp;C405,Modulo!$A$2:$A$5001,"&lt;"&amp;D405,Modulo!$D$2:$D$5001,Parametros!$B$7))</f>
        <v/>
      </c>
      <c r="F405" s="23" t="str">
        <f aca="false">IF(A405="","",IF(E405=0,"",AVERAGEIFS(Modulo!$B$2:$B$5001,Modulo!$A$2:$A$5001,"&gt;="&amp;C405,Modulo!$A$2:$A$5001,"&lt;"&amp;D405,Modulo!$D$2:$D$5001,Parametros!$B$7)))</f>
        <v/>
      </c>
      <c r="G405" s="23" t="str">
        <f aca="false">IF(A405="","",IF(E405=0,"",AVERAGEIFS(Modulo!$C$2:$C$5001,Modulo!$A$2:$A$5001,"&gt;="&amp;C405,Modulo!$A$2:$A$5001,"&lt;"&amp;D405,Modulo!$D$2:$D$5001,Parametros!$B$7)))</f>
        <v/>
      </c>
      <c r="H405" s="25" t="str">
        <f aca="false">IF(A405="","",IFERROR(COUNTIFS(Amostragem!$A$2:$A$15003,"&gt;="&amp;C405,Amostragem!$A$2:$A$15003,"&lt;"&amp;D405,Amostragem!$B$2:$B$15003,"Automático",Amostragem!$C$2:$C$15003,"Automático",Amostragem!$D$2:$D$15003,0)/COUNTIFS(Amostragem!$A$2:$A$15003,"&gt;="&amp;C405,Amostragem!$A$2:$A$15003,"&lt;"&amp;D405),0))</f>
        <v/>
      </c>
      <c r="I405" s="23" t="str">
        <f aca="false">IF(A405="","",IFERROR(AVERAGEIFS(Amostragem!$E$2:$E$15003,Amostragem!$A$2:$A$15003,"&gt;="&amp;C405,Amostragem!$A$2:$A$15003,"&lt;"&amp;D405),""))</f>
        <v/>
      </c>
      <c r="J405" s="24" t="str">
        <f aca="false">IF(A405="","",IF(B405="","Inválida: sem resultado MES",IF(E405&lt;Parametros!$B$4,"Inválida: poucos ensaios do módulo",IF(H405&lt;Parametros!$B$5,"Inválida: amostragem em manual ou em falha",IF(OR(I405="",I405&lt;Parametros!$B$6),"Inválida: usina parada ou baixa alimentação","Válida")))))</f>
        <v/>
      </c>
      <c r="K405" s="23" t="str">
        <f aca="false">IF(J405="Válida",F405-B405,"")</f>
        <v/>
      </c>
      <c r="L405" s="26" t="str">
        <f aca="false">IF(J405="Válida",K405/B405,"")</f>
        <v/>
      </c>
      <c r="M405" s="23" t="str">
        <f aca="false">IF(J405="Válida",(F405+B405)/2,"")</f>
        <v/>
      </c>
      <c r="N405" s="24" t="str">
        <f aca="false">IF(K405="","",IF(OR(K405&gt;Resumo!$B$16,K405&lt;Resumo!$B$15),"Sim","Não"))</f>
        <v/>
      </c>
      <c r="O405" s="22" t="e">
        <f aca="false">IF(A405="",NA(),A405)</f>
        <v>#N/A</v>
      </c>
      <c r="P405" s="23" t="e">
        <f aca="false">IF(A405="",NA(),B405)</f>
        <v>#N/A</v>
      </c>
      <c r="Q405" s="23" t="e">
        <f aca="false">IF(F405="",NA(),F405)</f>
        <v>#N/A</v>
      </c>
      <c r="R405" s="23" t="e">
        <f aca="false">IF(K405="",NA(),K405)</f>
        <v>#N/A</v>
      </c>
      <c r="S405" s="23" t="e">
        <f aca="false">IF(M405="",NA(),M405)</f>
        <v>#N/A</v>
      </c>
      <c r="T405" s="23" t="str">
        <f aca="false">IF(J405="Válida",B405,"")</f>
        <v/>
      </c>
      <c r="U405" s="23" t="str">
        <f aca="false">IF(J405="Válida",F405,"")</f>
        <v/>
      </c>
    </row>
    <row r="406" customFormat="false" ht="15" hidden="false" customHeight="false" outlineLevel="0" collapsed="false">
      <c r="A406" s="22" t="str">
        <f aca="false">IF(MES!A406="","",MES!A406)</f>
        <v/>
      </c>
      <c r="B406" s="23" t="str">
        <f aca="false">IF(A406="","",MES!B406)</f>
        <v/>
      </c>
      <c r="C406" s="22" t="str">
        <f aca="false">IF(A406="","",A406+Parametros!$B$3/24)</f>
        <v/>
      </c>
      <c r="D406" s="22" t="str">
        <f aca="false">IF(A406="","",C406+Parametros!$B$2/24)</f>
        <v/>
      </c>
      <c r="E406" s="24" t="str">
        <f aca="false">IF(A406="","",COUNTIFS(Modulo!$A$2:$A$5001,"&gt;="&amp;C406,Modulo!$A$2:$A$5001,"&lt;"&amp;D406,Modulo!$D$2:$D$5001,Parametros!$B$7))</f>
        <v/>
      </c>
      <c r="F406" s="23" t="str">
        <f aca="false">IF(A406="","",IF(E406=0,"",AVERAGEIFS(Modulo!$B$2:$B$5001,Modulo!$A$2:$A$5001,"&gt;="&amp;C406,Modulo!$A$2:$A$5001,"&lt;"&amp;D406,Modulo!$D$2:$D$5001,Parametros!$B$7)))</f>
        <v/>
      </c>
      <c r="G406" s="23" t="str">
        <f aca="false">IF(A406="","",IF(E406=0,"",AVERAGEIFS(Modulo!$C$2:$C$5001,Modulo!$A$2:$A$5001,"&gt;="&amp;C406,Modulo!$A$2:$A$5001,"&lt;"&amp;D406,Modulo!$D$2:$D$5001,Parametros!$B$7)))</f>
        <v/>
      </c>
      <c r="H406" s="25" t="str">
        <f aca="false">IF(A406="","",IFERROR(COUNTIFS(Amostragem!$A$2:$A$15003,"&gt;="&amp;C406,Amostragem!$A$2:$A$15003,"&lt;"&amp;D406,Amostragem!$B$2:$B$15003,"Automático",Amostragem!$C$2:$C$15003,"Automático",Amostragem!$D$2:$D$15003,0)/COUNTIFS(Amostragem!$A$2:$A$15003,"&gt;="&amp;C406,Amostragem!$A$2:$A$15003,"&lt;"&amp;D406),0))</f>
        <v/>
      </c>
      <c r="I406" s="23" t="str">
        <f aca="false">IF(A406="","",IFERROR(AVERAGEIFS(Amostragem!$E$2:$E$15003,Amostragem!$A$2:$A$15003,"&gt;="&amp;C406,Amostragem!$A$2:$A$15003,"&lt;"&amp;D406),""))</f>
        <v/>
      </c>
      <c r="J406" s="24" t="str">
        <f aca="false">IF(A406="","",IF(B406="","Inválida: sem resultado MES",IF(E406&lt;Parametros!$B$4,"Inválida: poucos ensaios do módulo",IF(H406&lt;Parametros!$B$5,"Inválida: amostragem em manual ou em falha",IF(OR(I406="",I406&lt;Parametros!$B$6),"Inválida: usina parada ou baixa alimentação","Válida")))))</f>
        <v/>
      </c>
      <c r="K406" s="23" t="str">
        <f aca="false">IF(J406="Válida",F406-B406,"")</f>
        <v/>
      </c>
      <c r="L406" s="26" t="str">
        <f aca="false">IF(J406="Válida",K406/B406,"")</f>
        <v/>
      </c>
      <c r="M406" s="23" t="str">
        <f aca="false">IF(J406="Válida",(F406+B406)/2,"")</f>
        <v/>
      </c>
      <c r="N406" s="24" t="str">
        <f aca="false">IF(K406="","",IF(OR(K406&gt;Resumo!$B$16,K406&lt;Resumo!$B$15),"Sim","Não"))</f>
        <v/>
      </c>
      <c r="O406" s="22" t="e">
        <f aca="false">IF(A406="",NA(),A406)</f>
        <v>#N/A</v>
      </c>
      <c r="P406" s="23" t="e">
        <f aca="false">IF(A406="",NA(),B406)</f>
        <v>#N/A</v>
      </c>
      <c r="Q406" s="23" t="e">
        <f aca="false">IF(F406="",NA(),F406)</f>
        <v>#N/A</v>
      </c>
      <c r="R406" s="23" t="e">
        <f aca="false">IF(K406="",NA(),K406)</f>
        <v>#N/A</v>
      </c>
      <c r="S406" s="23" t="e">
        <f aca="false">IF(M406="",NA(),M406)</f>
        <v>#N/A</v>
      </c>
      <c r="T406" s="23" t="str">
        <f aca="false">IF(J406="Válida",B406,"")</f>
        <v/>
      </c>
      <c r="U406" s="23" t="str">
        <f aca="false">IF(J406="Válida",F406,"")</f>
        <v/>
      </c>
    </row>
    <row r="407" customFormat="false" ht="15" hidden="false" customHeight="false" outlineLevel="0" collapsed="false">
      <c r="A407" s="22" t="str">
        <f aca="false">IF(MES!A407="","",MES!A407)</f>
        <v/>
      </c>
      <c r="B407" s="23" t="str">
        <f aca="false">IF(A407="","",MES!B407)</f>
        <v/>
      </c>
      <c r="C407" s="22" t="str">
        <f aca="false">IF(A407="","",A407+Parametros!$B$3/24)</f>
        <v/>
      </c>
      <c r="D407" s="22" t="str">
        <f aca="false">IF(A407="","",C407+Parametros!$B$2/24)</f>
        <v/>
      </c>
      <c r="E407" s="24" t="str">
        <f aca="false">IF(A407="","",COUNTIFS(Modulo!$A$2:$A$5001,"&gt;="&amp;C407,Modulo!$A$2:$A$5001,"&lt;"&amp;D407,Modulo!$D$2:$D$5001,Parametros!$B$7))</f>
        <v/>
      </c>
      <c r="F407" s="23" t="str">
        <f aca="false">IF(A407="","",IF(E407=0,"",AVERAGEIFS(Modulo!$B$2:$B$5001,Modulo!$A$2:$A$5001,"&gt;="&amp;C407,Modulo!$A$2:$A$5001,"&lt;"&amp;D407,Modulo!$D$2:$D$5001,Parametros!$B$7)))</f>
        <v/>
      </c>
      <c r="G407" s="23" t="str">
        <f aca="false">IF(A407="","",IF(E407=0,"",AVERAGEIFS(Modulo!$C$2:$C$5001,Modulo!$A$2:$A$5001,"&gt;="&amp;C407,Modulo!$A$2:$A$5001,"&lt;"&amp;D407,Modulo!$D$2:$D$5001,Parametros!$B$7)))</f>
        <v/>
      </c>
      <c r="H407" s="25" t="str">
        <f aca="false">IF(A407="","",IFERROR(COUNTIFS(Amostragem!$A$2:$A$15003,"&gt;="&amp;C407,Amostragem!$A$2:$A$15003,"&lt;"&amp;D407,Amostragem!$B$2:$B$15003,"Automático",Amostragem!$C$2:$C$15003,"Automático",Amostragem!$D$2:$D$15003,0)/COUNTIFS(Amostragem!$A$2:$A$15003,"&gt;="&amp;C407,Amostragem!$A$2:$A$15003,"&lt;"&amp;D407),0))</f>
        <v/>
      </c>
      <c r="I407" s="23" t="str">
        <f aca="false">IF(A407="","",IFERROR(AVERAGEIFS(Amostragem!$E$2:$E$15003,Amostragem!$A$2:$A$15003,"&gt;="&amp;C407,Amostragem!$A$2:$A$15003,"&lt;"&amp;D407),""))</f>
        <v/>
      </c>
      <c r="J407" s="24" t="str">
        <f aca="false">IF(A407="","",IF(B407="","Inválida: sem resultado MES",IF(E407&lt;Parametros!$B$4,"Inválida: poucos ensaios do módulo",IF(H407&lt;Parametros!$B$5,"Inválida: amostragem em manual ou em falha",IF(OR(I407="",I407&lt;Parametros!$B$6),"Inválida: usina parada ou baixa alimentação","Válida")))))</f>
        <v/>
      </c>
      <c r="K407" s="23" t="str">
        <f aca="false">IF(J407="Válida",F407-B407,"")</f>
        <v/>
      </c>
      <c r="L407" s="26" t="str">
        <f aca="false">IF(J407="Válida",K407/B407,"")</f>
        <v/>
      </c>
      <c r="M407" s="23" t="str">
        <f aca="false">IF(J407="Válida",(F407+B407)/2,"")</f>
        <v/>
      </c>
      <c r="N407" s="24" t="str">
        <f aca="false">IF(K407="","",IF(OR(K407&gt;Resumo!$B$16,K407&lt;Resumo!$B$15),"Sim","Não"))</f>
        <v/>
      </c>
      <c r="O407" s="22" t="e">
        <f aca="false">IF(A407="",NA(),A407)</f>
        <v>#N/A</v>
      </c>
      <c r="P407" s="23" t="e">
        <f aca="false">IF(A407="",NA(),B407)</f>
        <v>#N/A</v>
      </c>
      <c r="Q407" s="23" t="e">
        <f aca="false">IF(F407="",NA(),F407)</f>
        <v>#N/A</v>
      </c>
      <c r="R407" s="23" t="e">
        <f aca="false">IF(K407="",NA(),K407)</f>
        <v>#N/A</v>
      </c>
      <c r="S407" s="23" t="e">
        <f aca="false">IF(M407="",NA(),M407)</f>
        <v>#N/A</v>
      </c>
      <c r="T407" s="23" t="str">
        <f aca="false">IF(J407="Válida",B407,"")</f>
        <v/>
      </c>
      <c r="U407" s="23" t="str">
        <f aca="false">IF(J407="Válida",F407,"")</f>
        <v/>
      </c>
    </row>
    <row r="408" customFormat="false" ht="15" hidden="false" customHeight="false" outlineLevel="0" collapsed="false">
      <c r="A408" s="22" t="str">
        <f aca="false">IF(MES!A408="","",MES!A408)</f>
        <v/>
      </c>
      <c r="B408" s="23" t="str">
        <f aca="false">IF(A408="","",MES!B408)</f>
        <v/>
      </c>
      <c r="C408" s="22" t="str">
        <f aca="false">IF(A408="","",A408+Parametros!$B$3/24)</f>
        <v/>
      </c>
      <c r="D408" s="22" t="str">
        <f aca="false">IF(A408="","",C408+Parametros!$B$2/24)</f>
        <v/>
      </c>
      <c r="E408" s="24" t="str">
        <f aca="false">IF(A408="","",COUNTIFS(Modulo!$A$2:$A$5001,"&gt;="&amp;C408,Modulo!$A$2:$A$5001,"&lt;"&amp;D408,Modulo!$D$2:$D$5001,Parametros!$B$7))</f>
        <v/>
      </c>
      <c r="F408" s="23" t="str">
        <f aca="false">IF(A408="","",IF(E408=0,"",AVERAGEIFS(Modulo!$B$2:$B$5001,Modulo!$A$2:$A$5001,"&gt;="&amp;C408,Modulo!$A$2:$A$5001,"&lt;"&amp;D408,Modulo!$D$2:$D$5001,Parametros!$B$7)))</f>
        <v/>
      </c>
      <c r="G408" s="23" t="str">
        <f aca="false">IF(A408="","",IF(E408=0,"",AVERAGEIFS(Modulo!$C$2:$C$5001,Modulo!$A$2:$A$5001,"&gt;="&amp;C408,Modulo!$A$2:$A$5001,"&lt;"&amp;D408,Modulo!$D$2:$D$5001,Parametros!$B$7)))</f>
        <v/>
      </c>
      <c r="H408" s="25" t="str">
        <f aca="false">IF(A408="","",IFERROR(COUNTIFS(Amostragem!$A$2:$A$15003,"&gt;="&amp;C408,Amostragem!$A$2:$A$15003,"&lt;"&amp;D408,Amostragem!$B$2:$B$15003,"Automático",Amostragem!$C$2:$C$15003,"Automático",Amostragem!$D$2:$D$15003,0)/COUNTIFS(Amostragem!$A$2:$A$15003,"&gt;="&amp;C408,Amostragem!$A$2:$A$15003,"&lt;"&amp;D408),0))</f>
        <v/>
      </c>
      <c r="I408" s="23" t="str">
        <f aca="false">IF(A408="","",IFERROR(AVERAGEIFS(Amostragem!$E$2:$E$15003,Amostragem!$A$2:$A$15003,"&gt;="&amp;C408,Amostragem!$A$2:$A$15003,"&lt;"&amp;D408),""))</f>
        <v/>
      </c>
      <c r="J408" s="24" t="str">
        <f aca="false">IF(A408="","",IF(B408="","Inválida: sem resultado MES",IF(E408&lt;Parametros!$B$4,"Inválida: poucos ensaios do módulo",IF(H408&lt;Parametros!$B$5,"Inválida: amostragem em manual ou em falha",IF(OR(I408="",I408&lt;Parametros!$B$6),"Inválida: usina parada ou baixa alimentação","Válida")))))</f>
        <v/>
      </c>
      <c r="K408" s="23" t="str">
        <f aca="false">IF(J408="Válida",F408-B408,"")</f>
        <v/>
      </c>
      <c r="L408" s="26" t="str">
        <f aca="false">IF(J408="Válida",K408/B408,"")</f>
        <v/>
      </c>
      <c r="M408" s="23" t="str">
        <f aca="false">IF(J408="Válida",(F408+B408)/2,"")</f>
        <v/>
      </c>
      <c r="N408" s="24" t="str">
        <f aca="false">IF(K408="","",IF(OR(K408&gt;Resumo!$B$16,K408&lt;Resumo!$B$15),"Sim","Não"))</f>
        <v/>
      </c>
      <c r="O408" s="22" t="e">
        <f aca="false">IF(A408="",NA(),A408)</f>
        <v>#N/A</v>
      </c>
      <c r="P408" s="23" t="e">
        <f aca="false">IF(A408="",NA(),B408)</f>
        <v>#N/A</v>
      </c>
      <c r="Q408" s="23" t="e">
        <f aca="false">IF(F408="",NA(),F408)</f>
        <v>#N/A</v>
      </c>
      <c r="R408" s="23" t="e">
        <f aca="false">IF(K408="",NA(),K408)</f>
        <v>#N/A</v>
      </c>
      <c r="S408" s="23" t="e">
        <f aca="false">IF(M408="",NA(),M408)</f>
        <v>#N/A</v>
      </c>
      <c r="T408" s="23" t="str">
        <f aca="false">IF(J408="Válida",B408,"")</f>
        <v/>
      </c>
      <c r="U408" s="23" t="str">
        <f aca="false">IF(J408="Válida",F408,"")</f>
        <v/>
      </c>
    </row>
    <row r="409" customFormat="false" ht="15" hidden="false" customHeight="false" outlineLevel="0" collapsed="false">
      <c r="A409" s="22" t="str">
        <f aca="false">IF(MES!A409="","",MES!A409)</f>
        <v/>
      </c>
      <c r="B409" s="23" t="str">
        <f aca="false">IF(A409="","",MES!B409)</f>
        <v/>
      </c>
      <c r="C409" s="22" t="str">
        <f aca="false">IF(A409="","",A409+Parametros!$B$3/24)</f>
        <v/>
      </c>
      <c r="D409" s="22" t="str">
        <f aca="false">IF(A409="","",C409+Parametros!$B$2/24)</f>
        <v/>
      </c>
      <c r="E409" s="24" t="str">
        <f aca="false">IF(A409="","",COUNTIFS(Modulo!$A$2:$A$5001,"&gt;="&amp;C409,Modulo!$A$2:$A$5001,"&lt;"&amp;D409,Modulo!$D$2:$D$5001,Parametros!$B$7))</f>
        <v/>
      </c>
      <c r="F409" s="23" t="str">
        <f aca="false">IF(A409="","",IF(E409=0,"",AVERAGEIFS(Modulo!$B$2:$B$5001,Modulo!$A$2:$A$5001,"&gt;="&amp;C409,Modulo!$A$2:$A$5001,"&lt;"&amp;D409,Modulo!$D$2:$D$5001,Parametros!$B$7)))</f>
        <v/>
      </c>
      <c r="G409" s="23" t="str">
        <f aca="false">IF(A409="","",IF(E409=0,"",AVERAGEIFS(Modulo!$C$2:$C$5001,Modulo!$A$2:$A$5001,"&gt;="&amp;C409,Modulo!$A$2:$A$5001,"&lt;"&amp;D409,Modulo!$D$2:$D$5001,Parametros!$B$7)))</f>
        <v/>
      </c>
      <c r="H409" s="25" t="str">
        <f aca="false">IF(A409="","",IFERROR(COUNTIFS(Amostragem!$A$2:$A$15003,"&gt;="&amp;C409,Amostragem!$A$2:$A$15003,"&lt;"&amp;D409,Amostragem!$B$2:$B$15003,"Automático",Amostragem!$C$2:$C$15003,"Automático",Amostragem!$D$2:$D$15003,0)/COUNTIFS(Amostragem!$A$2:$A$15003,"&gt;="&amp;C409,Amostragem!$A$2:$A$15003,"&lt;"&amp;D409),0))</f>
        <v/>
      </c>
      <c r="I409" s="23" t="str">
        <f aca="false">IF(A409="","",IFERROR(AVERAGEIFS(Amostragem!$E$2:$E$15003,Amostragem!$A$2:$A$15003,"&gt;="&amp;C409,Amostragem!$A$2:$A$15003,"&lt;"&amp;D409),""))</f>
        <v/>
      </c>
      <c r="J409" s="24" t="str">
        <f aca="false">IF(A409="","",IF(B409="","Inválida: sem resultado MES",IF(E409&lt;Parametros!$B$4,"Inválida: poucos ensaios do módulo",IF(H409&lt;Parametros!$B$5,"Inválida: amostragem em manual ou em falha",IF(OR(I409="",I409&lt;Parametros!$B$6),"Inválida: usina parada ou baixa alimentação","Válida")))))</f>
        <v/>
      </c>
      <c r="K409" s="23" t="str">
        <f aca="false">IF(J409="Válida",F409-B409,"")</f>
        <v/>
      </c>
      <c r="L409" s="26" t="str">
        <f aca="false">IF(J409="Válida",K409/B409,"")</f>
        <v/>
      </c>
      <c r="M409" s="23" t="str">
        <f aca="false">IF(J409="Válida",(F409+B409)/2,"")</f>
        <v/>
      </c>
      <c r="N409" s="24" t="str">
        <f aca="false">IF(K409="","",IF(OR(K409&gt;Resumo!$B$16,K409&lt;Resumo!$B$15),"Sim","Não"))</f>
        <v/>
      </c>
      <c r="O409" s="22" t="e">
        <f aca="false">IF(A409="",NA(),A409)</f>
        <v>#N/A</v>
      </c>
      <c r="P409" s="23" t="e">
        <f aca="false">IF(A409="",NA(),B409)</f>
        <v>#N/A</v>
      </c>
      <c r="Q409" s="23" t="e">
        <f aca="false">IF(F409="",NA(),F409)</f>
        <v>#N/A</v>
      </c>
      <c r="R409" s="23" t="e">
        <f aca="false">IF(K409="",NA(),K409)</f>
        <v>#N/A</v>
      </c>
      <c r="S409" s="23" t="e">
        <f aca="false">IF(M409="",NA(),M409)</f>
        <v>#N/A</v>
      </c>
      <c r="T409" s="23" t="str">
        <f aca="false">IF(J409="Válida",B409,"")</f>
        <v/>
      </c>
      <c r="U409" s="23" t="str">
        <f aca="false">IF(J409="Válida",F409,"")</f>
        <v/>
      </c>
    </row>
    <row r="410" customFormat="false" ht="15" hidden="false" customHeight="false" outlineLevel="0" collapsed="false">
      <c r="A410" s="22" t="str">
        <f aca="false">IF(MES!A410="","",MES!A410)</f>
        <v/>
      </c>
      <c r="B410" s="23" t="str">
        <f aca="false">IF(A410="","",MES!B410)</f>
        <v/>
      </c>
      <c r="C410" s="22" t="str">
        <f aca="false">IF(A410="","",A410+Parametros!$B$3/24)</f>
        <v/>
      </c>
      <c r="D410" s="22" t="str">
        <f aca="false">IF(A410="","",C410+Parametros!$B$2/24)</f>
        <v/>
      </c>
      <c r="E410" s="24" t="str">
        <f aca="false">IF(A410="","",COUNTIFS(Modulo!$A$2:$A$5001,"&gt;="&amp;C410,Modulo!$A$2:$A$5001,"&lt;"&amp;D410,Modulo!$D$2:$D$5001,Parametros!$B$7))</f>
        <v/>
      </c>
      <c r="F410" s="23" t="str">
        <f aca="false">IF(A410="","",IF(E410=0,"",AVERAGEIFS(Modulo!$B$2:$B$5001,Modulo!$A$2:$A$5001,"&gt;="&amp;C410,Modulo!$A$2:$A$5001,"&lt;"&amp;D410,Modulo!$D$2:$D$5001,Parametros!$B$7)))</f>
        <v/>
      </c>
      <c r="G410" s="23" t="str">
        <f aca="false">IF(A410="","",IF(E410=0,"",AVERAGEIFS(Modulo!$C$2:$C$5001,Modulo!$A$2:$A$5001,"&gt;="&amp;C410,Modulo!$A$2:$A$5001,"&lt;"&amp;D410,Modulo!$D$2:$D$5001,Parametros!$B$7)))</f>
        <v/>
      </c>
      <c r="H410" s="25" t="str">
        <f aca="false">IF(A410="","",IFERROR(COUNTIFS(Amostragem!$A$2:$A$15003,"&gt;="&amp;C410,Amostragem!$A$2:$A$15003,"&lt;"&amp;D410,Amostragem!$B$2:$B$15003,"Automático",Amostragem!$C$2:$C$15003,"Automático",Amostragem!$D$2:$D$15003,0)/COUNTIFS(Amostragem!$A$2:$A$15003,"&gt;="&amp;C410,Amostragem!$A$2:$A$15003,"&lt;"&amp;D410),0))</f>
        <v/>
      </c>
      <c r="I410" s="23" t="str">
        <f aca="false">IF(A410="","",IFERROR(AVERAGEIFS(Amostragem!$E$2:$E$15003,Amostragem!$A$2:$A$15003,"&gt;="&amp;C410,Amostragem!$A$2:$A$15003,"&lt;"&amp;D410),""))</f>
        <v/>
      </c>
      <c r="J410" s="24" t="str">
        <f aca="false">IF(A410="","",IF(B410="","Inválida: sem resultado MES",IF(E410&lt;Parametros!$B$4,"Inválida: poucos ensaios do módulo",IF(H410&lt;Parametros!$B$5,"Inválida: amostragem em manual ou em falha",IF(OR(I410="",I410&lt;Parametros!$B$6),"Inválida: usina parada ou baixa alimentação","Válida")))))</f>
        <v/>
      </c>
      <c r="K410" s="23" t="str">
        <f aca="false">IF(J410="Válida",F410-B410,"")</f>
        <v/>
      </c>
      <c r="L410" s="26" t="str">
        <f aca="false">IF(J410="Válida",K410/B410,"")</f>
        <v/>
      </c>
      <c r="M410" s="23" t="str">
        <f aca="false">IF(J410="Válida",(F410+B410)/2,"")</f>
        <v/>
      </c>
      <c r="N410" s="24" t="str">
        <f aca="false">IF(K410="","",IF(OR(K410&gt;Resumo!$B$16,K410&lt;Resumo!$B$15),"Sim","Não"))</f>
        <v/>
      </c>
      <c r="O410" s="22" t="e">
        <f aca="false">IF(A410="",NA(),A410)</f>
        <v>#N/A</v>
      </c>
      <c r="P410" s="23" t="e">
        <f aca="false">IF(A410="",NA(),B410)</f>
        <v>#N/A</v>
      </c>
      <c r="Q410" s="23" t="e">
        <f aca="false">IF(F410="",NA(),F410)</f>
        <v>#N/A</v>
      </c>
      <c r="R410" s="23" t="e">
        <f aca="false">IF(K410="",NA(),K410)</f>
        <v>#N/A</v>
      </c>
      <c r="S410" s="23" t="e">
        <f aca="false">IF(M410="",NA(),M410)</f>
        <v>#N/A</v>
      </c>
      <c r="T410" s="23" t="str">
        <f aca="false">IF(J410="Válida",B410,"")</f>
        <v/>
      </c>
      <c r="U410" s="23" t="str">
        <f aca="false">IF(J410="Válida",F410,"")</f>
        <v/>
      </c>
    </row>
    <row r="411" customFormat="false" ht="15" hidden="false" customHeight="false" outlineLevel="0" collapsed="false">
      <c r="A411" s="22" t="str">
        <f aca="false">IF(MES!A411="","",MES!A411)</f>
        <v/>
      </c>
      <c r="B411" s="23" t="str">
        <f aca="false">IF(A411="","",MES!B411)</f>
        <v/>
      </c>
      <c r="C411" s="22" t="str">
        <f aca="false">IF(A411="","",A411+Parametros!$B$3/24)</f>
        <v/>
      </c>
      <c r="D411" s="22" t="str">
        <f aca="false">IF(A411="","",C411+Parametros!$B$2/24)</f>
        <v/>
      </c>
      <c r="E411" s="24" t="str">
        <f aca="false">IF(A411="","",COUNTIFS(Modulo!$A$2:$A$5001,"&gt;="&amp;C411,Modulo!$A$2:$A$5001,"&lt;"&amp;D411,Modulo!$D$2:$D$5001,Parametros!$B$7))</f>
        <v/>
      </c>
      <c r="F411" s="23" t="str">
        <f aca="false">IF(A411="","",IF(E411=0,"",AVERAGEIFS(Modulo!$B$2:$B$5001,Modulo!$A$2:$A$5001,"&gt;="&amp;C411,Modulo!$A$2:$A$5001,"&lt;"&amp;D411,Modulo!$D$2:$D$5001,Parametros!$B$7)))</f>
        <v/>
      </c>
      <c r="G411" s="23" t="str">
        <f aca="false">IF(A411="","",IF(E411=0,"",AVERAGEIFS(Modulo!$C$2:$C$5001,Modulo!$A$2:$A$5001,"&gt;="&amp;C411,Modulo!$A$2:$A$5001,"&lt;"&amp;D411,Modulo!$D$2:$D$5001,Parametros!$B$7)))</f>
        <v/>
      </c>
      <c r="H411" s="25" t="str">
        <f aca="false">IF(A411="","",IFERROR(COUNTIFS(Amostragem!$A$2:$A$15003,"&gt;="&amp;C411,Amostragem!$A$2:$A$15003,"&lt;"&amp;D411,Amostragem!$B$2:$B$15003,"Automático",Amostragem!$C$2:$C$15003,"Automático",Amostragem!$D$2:$D$15003,0)/COUNTIFS(Amostragem!$A$2:$A$15003,"&gt;="&amp;C411,Amostragem!$A$2:$A$15003,"&lt;"&amp;D411),0))</f>
        <v/>
      </c>
      <c r="I411" s="23" t="str">
        <f aca="false">IF(A411="","",IFERROR(AVERAGEIFS(Amostragem!$E$2:$E$15003,Amostragem!$A$2:$A$15003,"&gt;="&amp;C411,Amostragem!$A$2:$A$15003,"&lt;"&amp;D411),""))</f>
        <v/>
      </c>
      <c r="J411" s="24" t="str">
        <f aca="false">IF(A411="","",IF(B411="","Inválida: sem resultado MES",IF(E411&lt;Parametros!$B$4,"Inválida: poucos ensaios do módulo",IF(H411&lt;Parametros!$B$5,"Inválida: amostragem em manual ou em falha",IF(OR(I411="",I411&lt;Parametros!$B$6),"Inválida: usina parada ou baixa alimentação","Válida")))))</f>
        <v/>
      </c>
      <c r="K411" s="23" t="str">
        <f aca="false">IF(J411="Válida",F411-B411,"")</f>
        <v/>
      </c>
      <c r="L411" s="26" t="str">
        <f aca="false">IF(J411="Válida",K411/B411,"")</f>
        <v/>
      </c>
      <c r="M411" s="23" t="str">
        <f aca="false">IF(J411="Válida",(F411+B411)/2,"")</f>
        <v/>
      </c>
      <c r="N411" s="24" t="str">
        <f aca="false">IF(K411="","",IF(OR(K411&gt;Resumo!$B$16,K411&lt;Resumo!$B$15),"Sim","Não"))</f>
        <v/>
      </c>
      <c r="O411" s="22" t="e">
        <f aca="false">IF(A411="",NA(),A411)</f>
        <v>#N/A</v>
      </c>
      <c r="P411" s="23" t="e">
        <f aca="false">IF(A411="",NA(),B411)</f>
        <v>#N/A</v>
      </c>
      <c r="Q411" s="23" t="e">
        <f aca="false">IF(F411="",NA(),F411)</f>
        <v>#N/A</v>
      </c>
      <c r="R411" s="23" t="e">
        <f aca="false">IF(K411="",NA(),K411)</f>
        <v>#N/A</v>
      </c>
      <c r="S411" s="23" t="e">
        <f aca="false">IF(M411="",NA(),M411)</f>
        <v>#N/A</v>
      </c>
      <c r="T411" s="23" t="str">
        <f aca="false">IF(J411="Válida",B411,"")</f>
        <v/>
      </c>
      <c r="U411" s="23" t="str">
        <f aca="false">IF(J411="Válida",F411,"")</f>
        <v/>
      </c>
    </row>
    <row r="412" customFormat="false" ht="15" hidden="false" customHeight="false" outlineLevel="0" collapsed="false">
      <c r="A412" s="22" t="str">
        <f aca="false">IF(MES!A412="","",MES!A412)</f>
        <v/>
      </c>
      <c r="B412" s="23" t="str">
        <f aca="false">IF(A412="","",MES!B412)</f>
        <v/>
      </c>
      <c r="C412" s="22" t="str">
        <f aca="false">IF(A412="","",A412+Parametros!$B$3/24)</f>
        <v/>
      </c>
      <c r="D412" s="22" t="str">
        <f aca="false">IF(A412="","",C412+Parametros!$B$2/24)</f>
        <v/>
      </c>
      <c r="E412" s="24" t="str">
        <f aca="false">IF(A412="","",COUNTIFS(Modulo!$A$2:$A$5001,"&gt;="&amp;C412,Modulo!$A$2:$A$5001,"&lt;"&amp;D412,Modulo!$D$2:$D$5001,Parametros!$B$7))</f>
        <v/>
      </c>
      <c r="F412" s="23" t="str">
        <f aca="false">IF(A412="","",IF(E412=0,"",AVERAGEIFS(Modulo!$B$2:$B$5001,Modulo!$A$2:$A$5001,"&gt;="&amp;C412,Modulo!$A$2:$A$5001,"&lt;"&amp;D412,Modulo!$D$2:$D$5001,Parametros!$B$7)))</f>
        <v/>
      </c>
      <c r="G412" s="23" t="str">
        <f aca="false">IF(A412="","",IF(E412=0,"",AVERAGEIFS(Modulo!$C$2:$C$5001,Modulo!$A$2:$A$5001,"&gt;="&amp;C412,Modulo!$A$2:$A$5001,"&lt;"&amp;D412,Modulo!$D$2:$D$5001,Parametros!$B$7)))</f>
        <v/>
      </c>
      <c r="H412" s="25" t="str">
        <f aca="false">IF(A412="","",IFERROR(COUNTIFS(Amostragem!$A$2:$A$15003,"&gt;="&amp;C412,Amostragem!$A$2:$A$15003,"&lt;"&amp;D412,Amostragem!$B$2:$B$15003,"Automático",Amostragem!$C$2:$C$15003,"Automático",Amostragem!$D$2:$D$15003,0)/COUNTIFS(Amostragem!$A$2:$A$15003,"&gt;="&amp;C412,Amostragem!$A$2:$A$15003,"&lt;"&amp;D412),0))</f>
        <v/>
      </c>
      <c r="I412" s="23" t="str">
        <f aca="false">IF(A412="","",IFERROR(AVERAGEIFS(Amostragem!$E$2:$E$15003,Amostragem!$A$2:$A$15003,"&gt;="&amp;C412,Amostragem!$A$2:$A$15003,"&lt;"&amp;D412),""))</f>
        <v/>
      </c>
      <c r="J412" s="24" t="str">
        <f aca="false">IF(A412="","",IF(B412="","Inválida: sem resultado MES",IF(E412&lt;Parametros!$B$4,"Inválida: poucos ensaios do módulo",IF(H412&lt;Parametros!$B$5,"Inválida: amostragem em manual ou em falha",IF(OR(I412="",I412&lt;Parametros!$B$6),"Inválida: usina parada ou baixa alimentação","Válida")))))</f>
        <v/>
      </c>
      <c r="K412" s="23" t="str">
        <f aca="false">IF(J412="Válida",F412-B412,"")</f>
        <v/>
      </c>
      <c r="L412" s="26" t="str">
        <f aca="false">IF(J412="Válida",K412/B412,"")</f>
        <v/>
      </c>
      <c r="M412" s="23" t="str">
        <f aca="false">IF(J412="Válida",(F412+B412)/2,"")</f>
        <v/>
      </c>
      <c r="N412" s="24" t="str">
        <f aca="false">IF(K412="","",IF(OR(K412&gt;Resumo!$B$16,K412&lt;Resumo!$B$15),"Sim","Não"))</f>
        <v/>
      </c>
      <c r="O412" s="22" t="e">
        <f aca="false">IF(A412="",NA(),A412)</f>
        <v>#N/A</v>
      </c>
      <c r="P412" s="23" t="e">
        <f aca="false">IF(A412="",NA(),B412)</f>
        <v>#N/A</v>
      </c>
      <c r="Q412" s="23" t="e">
        <f aca="false">IF(F412="",NA(),F412)</f>
        <v>#N/A</v>
      </c>
      <c r="R412" s="23" t="e">
        <f aca="false">IF(K412="",NA(),K412)</f>
        <v>#N/A</v>
      </c>
      <c r="S412" s="23" t="e">
        <f aca="false">IF(M412="",NA(),M412)</f>
        <v>#N/A</v>
      </c>
      <c r="T412" s="23" t="str">
        <f aca="false">IF(J412="Válida",B412,"")</f>
        <v/>
      </c>
      <c r="U412" s="23" t="str">
        <f aca="false">IF(J412="Válida",F412,"")</f>
        <v/>
      </c>
    </row>
    <row r="413" customFormat="false" ht="15" hidden="false" customHeight="false" outlineLevel="0" collapsed="false">
      <c r="A413" s="22" t="str">
        <f aca="false">IF(MES!A413="","",MES!A413)</f>
        <v/>
      </c>
      <c r="B413" s="23" t="str">
        <f aca="false">IF(A413="","",MES!B413)</f>
        <v/>
      </c>
      <c r="C413" s="22" t="str">
        <f aca="false">IF(A413="","",A413+Parametros!$B$3/24)</f>
        <v/>
      </c>
      <c r="D413" s="22" t="str">
        <f aca="false">IF(A413="","",C413+Parametros!$B$2/24)</f>
        <v/>
      </c>
      <c r="E413" s="24" t="str">
        <f aca="false">IF(A413="","",COUNTIFS(Modulo!$A$2:$A$5001,"&gt;="&amp;C413,Modulo!$A$2:$A$5001,"&lt;"&amp;D413,Modulo!$D$2:$D$5001,Parametros!$B$7))</f>
        <v/>
      </c>
      <c r="F413" s="23" t="str">
        <f aca="false">IF(A413="","",IF(E413=0,"",AVERAGEIFS(Modulo!$B$2:$B$5001,Modulo!$A$2:$A$5001,"&gt;="&amp;C413,Modulo!$A$2:$A$5001,"&lt;"&amp;D413,Modulo!$D$2:$D$5001,Parametros!$B$7)))</f>
        <v/>
      </c>
      <c r="G413" s="23" t="str">
        <f aca="false">IF(A413="","",IF(E413=0,"",AVERAGEIFS(Modulo!$C$2:$C$5001,Modulo!$A$2:$A$5001,"&gt;="&amp;C413,Modulo!$A$2:$A$5001,"&lt;"&amp;D413,Modulo!$D$2:$D$5001,Parametros!$B$7)))</f>
        <v/>
      </c>
      <c r="H413" s="25" t="str">
        <f aca="false">IF(A413="","",IFERROR(COUNTIFS(Amostragem!$A$2:$A$15003,"&gt;="&amp;C413,Amostragem!$A$2:$A$15003,"&lt;"&amp;D413,Amostragem!$B$2:$B$15003,"Automático",Amostragem!$C$2:$C$15003,"Automático",Amostragem!$D$2:$D$15003,0)/COUNTIFS(Amostragem!$A$2:$A$15003,"&gt;="&amp;C413,Amostragem!$A$2:$A$15003,"&lt;"&amp;D413),0))</f>
        <v/>
      </c>
      <c r="I413" s="23" t="str">
        <f aca="false">IF(A413="","",IFERROR(AVERAGEIFS(Amostragem!$E$2:$E$15003,Amostragem!$A$2:$A$15003,"&gt;="&amp;C413,Amostragem!$A$2:$A$15003,"&lt;"&amp;D413),""))</f>
        <v/>
      </c>
      <c r="J413" s="24" t="str">
        <f aca="false">IF(A413="","",IF(B413="","Inválida: sem resultado MES",IF(E413&lt;Parametros!$B$4,"Inválida: poucos ensaios do módulo",IF(H413&lt;Parametros!$B$5,"Inválida: amostragem em manual ou em falha",IF(OR(I413="",I413&lt;Parametros!$B$6),"Inválida: usina parada ou baixa alimentação","Válida")))))</f>
        <v/>
      </c>
      <c r="K413" s="23" t="str">
        <f aca="false">IF(J413="Válida",F413-B413,"")</f>
        <v/>
      </c>
      <c r="L413" s="26" t="str">
        <f aca="false">IF(J413="Válida",K413/B413,"")</f>
        <v/>
      </c>
      <c r="M413" s="23" t="str">
        <f aca="false">IF(J413="Válida",(F413+B413)/2,"")</f>
        <v/>
      </c>
      <c r="N413" s="24" t="str">
        <f aca="false">IF(K413="","",IF(OR(K413&gt;Resumo!$B$16,K413&lt;Resumo!$B$15),"Sim","Não"))</f>
        <v/>
      </c>
      <c r="O413" s="22" t="e">
        <f aca="false">IF(A413="",NA(),A413)</f>
        <v>#N/A</v>
      </c>
      <c r="P413" s="23" t="e">
        <f aca="false">IF(A413="",NA(),B413)</f>
        <v>#N/A</v>
      </c>
      <c r="Q413" s="23" t="e">
        <f aca="false">IF(F413="",NA(),F413)</f>
        <v>#N/A</v>
      </c>
      <c r="R413" s="23" t="e">
        <f aca="false">IF(K413="",NA(),K413)</f>
        <v>#N/A</v>
      </c>
      <c r="S413" s="23" t="e">
        <f aca="false">IF(M413="",NA(),M413)</f>
        <v>#N/A</v>
      </c>
      <c r="T413" s="23" t="str">
        <f aca="false">IF(J413="Válida",B413,"")</f>
        <v/>
      </c>
      <c r="U413" s="23" t="str">
        <f aca="false">IF(J413="Válida",F413,"")</f>
        <v/>
      </c>
    </row>
    <row r="414" customFormat="false" ht="15" hidden="false" customHeight="false" outlineLevel="0" collapsed="false">
      <c r="A414" s="22" t="str">
        <f aca="false">IF(MES!A414="","",MES!A414)</f>
        <v/>
      </c>
      <c r="B414" s="23" t="str">
        <f aca="false">IF(A414="","",MES!B414)</f>
        <v/>
      </c>
      <c r="C414" s="22" t="str">
        <f aca="false">IF(A414="","",A414+Parametros!$B$3/24)</f>
        <v/>
      </c>
      <c r="D414" s="22" t="str">
        <f aca="false">IF(A414="","",C414+Parametros!$B$2/24)</f>
        <v/>
      </c>
      <c r="E414" s="24" t="str">
        <f aca="false">IF(A414="","",COUNTIFS(Modulo!$A$2:$A$5001,"&gt;="&amp;C414,Modulo!$A$2:$A$5001,"&lt;"&amp;D414,Modulo!$D$2:$D$5001,Parametros!$B$7))</f>
        <v/>
      </c>
      <c r="F414" s="23" t="str">
        <f aca="false">IF(A414="","",IF(E414=0,"",AVERAGEIFS(Modulo!$B$2:$B$5001,Modulo!$A$2:$A$5001,"&gt;="&amp;C414,Modulo!$A$2:$A$5001,"&lt;"&amp;D414,Modulo!$D$2:$D$5001,Parametros!$B$7)))</f>
        <v/>
      </c>
      <c r="G414" s="23" t="str">
        <f aca="false">IF(A414="","",IF(E414=0,"",AVERAGEIFS(Modulo!$C$2:$C$5001,Modulo!$A$2:$A$5001,"&gt;="&amp;C414,Modulo!$A$2:$A$5001,"&lt;"&amp;D414,Modulo!$D$2:$D$5001,Parametros!$B$7)))</f>
        <v/>
      </c>
      <c r="H414" s="25" t="str">
        <f aca="false">IF(A414="","",IFERROR(COUNTIFS(Amostragem!$A$2:$A$15003,"&gt;="&amp;C414,Amostragem!$A$2:$A$15003,"&lt;"&amp;D414,Amostragem!$B$2:$B$15003,"Automático",Amostragem!$C$2:$C$15003,"Automático",Amostragem!$D$2:$D$15003,0)/COUNTIFS(Amostragem!$A$2:$A$15003,"&gt;="&amp;C414,Amostragem!$A$2:$A$15003,"&lt;"&amp;D414),0))</f>
        <v/>
      </c>
      <c r="I414" s="23" t="str">
        <f aca="false">IF(A414="","",IFERROR(AVERAGEIFS(Amostragem!$E$2:$E$15003,Amostragem!$A$2:$A$15003,"&gt;="&amp;C414,Amostragem!$A$2:$A$15003,"&lt;"&amp;D414),""))</f>
        <v/>
      </c>
      <c r="J414" s="24" t="str">
        <f aca="false">IF(A414="","",IF(B414="","Inválida: sem resultado MES",IF(E414&lt;Parametros!$B$4,"Inválida: poucos ensaios do módulo",IF(H414&lt;Parametros!$B$5,"Inválida: amostragem em manual ou em falha",IF(OR(I414="",I414&lt;Parametros!$B$6),"Inválida: usina parada ou baixa alimentação","Válida")))))</f>
        <v/>
      </c>
      <c r="K414" s="23" t="str">
        <f aca="false">IF(J414="Válida",F414-B414,"")</f>
        <v/>
      </c>
      <c r="L414" s="26" t="str">
        <f aca="false">IF(J414="Válida",K414/B414,"")</f>
        <v/>
      </c>
      <c r="M414" s="23" t="str">
        <f aca="false">IF(J414="Válida",(F414+B414)/2,"")</f>
        <v/>
      </c>
      <c r="N414" s="24" t="str">
        <f aca="false">IF(K414="","",IF(OR(K414&gt;Resumo!$B$16,K414&lt;Resumo!$B$15),"Sim","Não"))</f>
        <v/>
      </c>
      <c r="O414" s="22" t="e">
        <f aca="false">IF(A414="",NA(),A414)</f>
        <v>#N/A</v>
      </c>
      <c r="P414" s="23" t="e">
        <f aca="false">IF(A414="",NA(),B414)</f>
        <v>#N/A</v>
      </c>
      <c r="Q414" s="23" t="e">
        <f aca="false">IF(F414="",NA(),F414)</f>
        <v>#N/A</v>
      </c>
      <c r="R414" s="23" t="e">
        <f aca="false">IF(K414="",NA(),K414)</f>
        <v>#N/A</v>
      </c>
      <c r="S414" s="23" t="e">
        <f aca="false">IF(M414="",NA(),M414)</f>
        <v>#N/A</v>
      </c>
      <c r="T414" s="23" t="str">
        <f aca="false">IF(J414="Válida",B414,"")</f>
        <v/>
      </c>
      <c r="U414" s="23" t="str">
        <f aca="false">IF(J414="Válida",F414,"")</f>
        <v/>
      </c>
    </row>
    <row r="415" customFormat="false" ht="15" hidden="false" customHeight="false" outlineLevel="0" collapsed="false">
      <c r="A415" s="22" t="str">
        <f aca="false">IF(MES!A415="","",MES!A415)</f>
        <v/>
      </c>
      <c r="B415" s="23" t="str">
        <f aca="false">IF(A415="","",MES!B415)</f>
        <v/>
      </c>
      <c r="C415" s="22" t="str">
        <f aca="false">IF(A415="","",A415+Parametros!$B$3/24)</f>
        <v/>
      </c>
      <c r="D415" s="22" t="str">
        <f aca="false">IF(A415="","",C415+Parametros!$B$2/24)</f>
        <v/>
      </c>
      <c r="E415" s="24" t="str">
        <f aca="false">IF(A415="","",COUNTIFS(Modulo!$A$2:$A$5001,"&gt;="&amp;C415,Modulo!$A$2:$A$5001,"&lt;"&amp;D415,Modulo!$D$2:$D$5001,Parametros!$B$7))</f>
        <v/>
      </c>
      <c r="F415" s="23" t="str">
        <f aca="false">IF(A415="","",IF(E415=0,"",AVERAGEIFS(Modulo!$B$2:$B$5001,Modulo!$A$2:$A$5001,"&gt;="&amp;C415,Modulo!$A$2:$A$5001,"&lt;"&amp;D415,Modulo!$D$2:$D$5001,Parametros!$B$7)))</f>
        <v/>
      </c>
      <c r="G415" s="23" t="str">
        <f aca="false">IF(A415="","",IF(E415=0,"",AVERAGEIFS(Modulo!$C$2:$C$5001,Modulo!$A$2:$A$5001,"&gt;="&amp;C415,Modulo!$A$2:$A$5001,"&lt;"&amp;D415,Modulo!$D$2:$D$5001,Parametros!$B$7)))</f>
        <v/>
      </c>
      <c r="H415" s="25" t="str">
        <f aca="false">IF(A415="","",IFERROR(COUNTIFS(Amostragem!$A$2:$A$15003,"&gt;="&amp;C415,Amostragem!$A$2:$A$15003,"&lt;"&amp;D415,Amostragem!$B$2:$B$15003,"Automático",Amostragem!$C$2:$C$15003,"Automático",Amostragem!$D$2:$D$15003,0)/COUNTIFS(Amostragem!$A$2:$A$15003,"&gt;="&amp;C415,Amostragem!$A$2:$A$15003,"&lt;"&amp;D415),0))</f>
        <v/>
      </c>
      <c r="I415" s="23" t="str">
        <f aca="false">IF(A415="","",IFERROR(AVERAGEIFS(Amostragem!$E$2:$E$15003,Amostragem!$A$2:$A$15003,"&gt;="&amp;C415,Amostragem!$A$2:$A$15003,"&lt;"&amp;D415),""))</f>
        <v/>
      </c>
      <c r="J415" s="24" t="str">
        <f aca="false">IF(A415="","",IF(B415="","Inválida: sem resultado MES",IF(E415&lt;Parametros!$B$4,"Inválida: poucos ensaios do módulo",IF(H415&lt;Parametros!$B$5,"Inválida: amostragem em manual ou em falha",IF(OR(I415="",I415&lt;Parametros!$B$6),"Inválida: usina parada ou baixa alimentação","Válida")))))</f>
        <v/>
      </c>
      <c r="K415" s="23" t="str">
        <f aca="false">IF(J415="Válida",F415-B415,"")</f>
        <v/>
      </c>
      <c r="L415" s="26" t="str">
        <f aca="false">IF(J415="Válida",K415/B415,"")</f>
        <v/>
      </c>
      <c r="M415" s="23" t="str">
        <f aca="false">IF(J415="Válida",(F415+B415)/2,"")</f>
        <v/>
      </c>
      <c r="N415" s="24" t="str">
        <f aca="false">IF(K415="","",IF(OR(K415&gt;Resumo!$B$16,K415&lt;Resumo!$B$15),"Sim","Não"))</f>
        <v/>
      </c>
      <c r="O415" s="22" t="e">
        <f aca="false">IF(A415="",NA(),A415)</f>
        <v>#N/A</v>
      </c>
      <c r="P415" s="23" t="e">
        <f aca="false">IF(A415="",NA(),B415)</f>
        <v>#N/A</v>
      </c>
      <c r="Q415" s="23" t="e">
        <f aca="false">IF(F415="",NA(),F415)</f>
        <v>#N/A</v>
      </c>
      <c r="R415" s="23" t="e">
        <f aca="false">IF(K415="",NA(),K415)</f>
        <v>#N/A</v>
      </c>
      <c r="S415" s="23" t="e">
        <f aca="false">IF(M415="",NA(),M415)</f>
        <v>#N/A</v>
      </c>
      <c r="T415" s="23" t="str">
        <f aca="false">IF(J415="Válida",B415,"")</f>
        <v/>
      </c>
      <c r="U415" s="23" t="str">
        <f aca="false">IF(J415="Válida",F415,"")</f>
        <v/>
      </c>
    </row>
    <row r="416" customFormat="false" ht="15" hidden="false" customHeight="false" outlineLevel="0" collapsed="false">
      <c r="A416" s="22" t="str">
        <f aca="false">IF(MES!A416="","",MES!A416)</f>
        <v/>
      </c>
      <c r="B416" s="23" t="str">
        <f aca="false">IF(A416="","",MES!B416)</f>
        <v/>
      </c>
      <c r="C416" s="22" t="str">
        <f aca="false">IF(A416="","",A416+Parametros!$B$3/24)</f>
        <v/>
      </c>
      <c r="D416" s="22" t="str">
        <f aca="false">IF(A416="","",C416+Parametros!$B$2/24)</f>
        <v/>
      </c>
      <c r="E416" s="24" t="str">
        <f aca="false">IF(A416="","",COUNTIFS(Modulo!$A$2:$A$5001,"&gt;="&amp;C416,Modulo!$A$2:$A$5001,"&lt;"&amp;D416,Modulo!$D$2:$D$5001,Parametros!$B$7))</f>
        <v/>
      </c>
      <c r="F416" s="23" t="str">
        <f aca="false">IF(A416="","",IF(E416=0,"",AVERAGEIFS(Modulo!$B$2:$B$5001,Modulo!$A$2:$A$5001,"&gt;="&amp;C416,Modulo!$A$2:$A$5001,"&lt;"&amp;D416,Modulo!$D$2:$D$5001,Parametros!$B$7)))</f>
        <v/>
      </c>
      <c r="G416" s="23" t="str">
        <f aca="false">IF(A416="","",IF(E416=0,"",AVERAGEIFS(Modulo!$C$2:$C$5001,Modulo!$A$2:$A$5001,"&gt;="&amp;C416,Modulo!$A$2:$A$5001,"&lt;"&amp;D416,Modulo!$D$2:$D$5001,Parametros!$B$7)))</f>
        <v/>
      </c>
      <c r="H416" s="25" t="str">
        <f aca="false">IF(A416="","",IFERROR(COUNTIFS(Amostragem!$A$2:$A$15003,"&gt;="&amp;C416,Amostragem!$A$2:$A$15003,"&lt;"&amp;D416,Amostragem!$B$2:$B$15003,"Automático",Amostragem!$C$2:$C$15003,"Automático",Amostragem!$D$2:$D$15003,0)/COUNTIFS(Amostragem!$A$2:$A$15003,"&gt;="&amp;C416,Amostragem!$A$2:$A$15003,"&lt;"&amp;D416),0))</f>
        <v/>
      </c>
      <c r="I416" s="23" t="str">
        <f aca="false">IF(A416="","",IFERROR(AVERAGEIFS(Amostragem!$E$2:$E$15003,Amostragem!$A$2:$A$15003,"&gt;="&amp;C416,Amostragem!$A$2:$A$15003,"&lt;"&amp;D416),""))</f>
        <v/>
      </c>
      <c r="J416" s="24" t="str">
        <f aca="false">IF(A416="","",IF(B416="","Inválida: sem resultado MES",IF(E416&lt;Parametros!$B$4,"Inválida: poucos ensaios do módulo",IF(H416&lt;Parametros!$B$5,"Inválida: amostragem em manual ou em falha",IF(OR(I416="",I416&lt;Parametros!$B$6),"Inválida: usina parada ou baixa alimentação","Válida")))))</f>
        <v/>
      </c>
      <c r="K416" s="23" t="str">
        <f aca="false">IF(J416="Válida",F416-B416,"")</f>
        <v/>
      </c>
      <c r="L416" s="26" t="str">
        <f aca="false">IF(J416="Válida",K416/B416,"")</f>
        <v/>
      </c>
      <c r="M416" s="23" t="str">
        <f aca="false">IF(J416="Válida",(F416+B416)/2,"")</f>
        <v/>
      </c>
      <c r="N416" s="24" t="str">
        <f aca="false">IF(K416="","",IF(OR(K416&gt;Resumo!$B$16,K416&lt;Resumo!$B$15),"Sim","Não"))</f>
        <v/>
      </c>
      <c r="O416" s="22" t="e">
        <f aca="false">IF(A416="",NA(),A416)</f>
        <v>#N/A</v>
      </c>
      <c r="P416" s="23" t="e">
        <f aca="false">IF(A416="",NA(),B416)</f>
        <v>#N/A</v>
      </c>
      <c r="Q416" s="23" t="e">
        <f aca="false">IF(F416="",NA(),F416)</f>
        <v>#N/A</v>
      </c>
      <c r="R416" s="23" t="e">
        <f aca="false">IF(K416="",NA(),K416)</f>
        <v>#N/A</v>
      </c>
      <c r="S416" s="23" t="e">
        <f aca="false">IF(M416="",NA(),M416)</f>
        <v>#N/A</v>
      </c>
      <c r="T416" s="23" t="str">
        <f aca="false">IF(J416="Válida",B416,"")</f>
        <v/>
      </c>
      <c r="U416" s="23" t="str">
        <f aca="false">IF(J416="Válida",F416,"")</f>
        <v/>
      </c>
    </row>
    <row r="417" customFormat="false" ht="15" hidden="false" customHeight="false" outlineLevel="0" collapsed="false">
      <c r="A417" s="22" t="str">
        <f aca="false">IF(MES!A417="","",MES!A417)</f>
        <v/>
      </c>
      <c r="B417" s="23" t="str">
        <f aca="false">IF(A417="","",MES!B417)</f>
        <v/>
      </c>
      <c r="C417" s="22" t="str">
        <f aca="false">IF(A417="","",A417+Parametros!$B$3/24)</f>
        <v/>
      </c>
      <c r="D417" s="22" t="str">
        <f aca="false">IF(A417="","",C417+Parametros!$B$2/24)</f>
        <v/>
      </c>
      <c r="E417" s="24" t="str">
        <f aca="false">IF(A417="","",COUNTIFS(Modulo!$A$2:$A$5001,"&gt;="&amp;C417,Modulo!$A$2:$A$5001,"&lt;"&amp;D417,Modulo!$D$2:$D$5001,Parametros!$B$7))</f>
        <v/>
      </c>
      <c r="F417" s="23" t="str">
        <f aca="false">IF(A417="","",IF(E417=0,"",AVERAGEIFS(Modulo!$B$2:$B$5001,Modulo!$A$2:$A$5001,"&gt;="&amp;C417,Modulo!$A$2:$A$5001,"&lt;"&amp;D417,Modulo!$D$2:$D$5001,Parametros!$B$7)))</f>
        <v/>
      </c>
      <c r="G417" s="23" t="str">
        <f aca="false">IF(A417="","",IF(E417=0,"",AVERAGEIFS(Modulo!$C$2:$C$5001,Modulo!$A$2:$A$5001,"&gt;="&amp;C417,Modulo!$A$2:$A$5001,"&lt;"&amp;D417,Modulo!$D$2:$D$5001,Parametros!$B$7)))</f>
        <v/>
      </c>
      <c r="H417" s="25" t="str">
        <f aca="false">IF(A417="","",IFERROR(COUNTIFS(Amostragem!$A$2:$A$15003,"&gt;="&amp;C417,Amostragem!$A$2:$A$15003,"&lt;"&amp;D417,Amostragem!$B$2:$B$15003,"Automático",Amostragem!$C$2:$C$15003,"Automático",Amostragem!$D$2:$D$15003,0)/COUNTIFS(Amostragem!$A$2:$A$15003,"&gt;="&amp;C417,Amostragem!$A$2:$A$15003,"&lt;"&amp;D417),0))</f>
        <v/>
      </c>
      <c r="I417" s="23" t="str">
        <f aca="false">IF(A417="","",IFERROR(AVERAGEIFS(Amostragem!$E$2:$E$15003,Amostragem!$A$2:$A$15003,"&gt;="&amp;C417,Amostragem!$A$2:$A$15003,"&lt;"&amp;D417),""))</f>
        <v/>
      </c>
      <c r="J417" s="24" t="str">
        <f aca="false">IF(A417="","",IF(B417="","Inválida: sem resultado MES",IF(E417&lt;Parametros!$B$4,"Inválida: poucos ensaios do módulo",IF(H417&lt;Parametros!$B$5,"Inválida: amostragem em manual ou em falha",IF(OR(I417="",I417&lt;Parametros!$B$6),"Inválida: usina parada ou baixa alimentação","Válida")))))</f>
        <v/>
      </c>
      <c r="K417" s="23" t="str">
        <f aca="false">IF(J417="Válida",F417-B417,"")</f>
        <v/>
      </c>
      <c r="L417" s="26" t="str">
        <f aca="false">IF(J417="Válida",K417/B417,"")</f>
        <v/>
      </c>
      <c r="M417" s="23" t="str">
        <f aca="false">IF(J417="Válida",(F417+B417)/2,"")</f>
        <v/>
      </c>
      <c r="N417" s="24" t="str">
        <f aca="false">IF(K417="","",IF(OR(K417&gt;Resumo!$B$16,K417&lt;Resumo!$B$15),"Sim","Não"))</f>
        <v/>
      </c>
      <c r="O417" s="22" t="e">
        <f aca="false">IF(A417="",NA(),A417)</f>
        <v>#N/A</v>
      </c>
      <c r="P417" s="23" t="e">
        <f aca="false">IF(A417="",NA(),B417)</f>
        <v>#N/A</v>
      </c>
      <c r="Q417" s="23" t="e">
        <f aca="false">IF(F417="",NA(),F417)</f>
        <v>#N/A</v>
      </c>
      <c r="R417" s="23" t="e">
        <f aca="false">IF(K417="",NA(),K417)</f>
        <v>#N/A</v>
      </c>
      <c r="S417" s="23" t="e">
        <f aca="false">IF(M417="",NA(),M417)</f>
        <v>#N/A</v>
      </c>
      <c r="T417" s="23" t="str">
        <f aca="false">IF(J417="Válida",B417,"")</f>
        <v/>
      </c>
      <c r="U417" s="23" t="str">
        <f aca="false">IF(J417="Válida",F417,"")</f>
        <v/>
      </c>
    </row>
    <row r="418" customFormat="false" ht="15" hidden="false" customHeight="false" outlineLevel="0" collapsed="false">
      <c r="A418" s="22" t="str">
        <f aca="false">IF(MES!A418="","",MES!A418)</f>
        <v/>
      </c>
      <c r="B418" s="23" t="str">
        <f aca="false">IF(A418="","",MES!B418)</f>
        <v/>
      </c>
      <c r="C418" s="22" t="str">
        <f aca="false">IF(A418="","",A418+Parametros!$B$3/24)</f>
        <v/>
      </c>
      <c r="D418" s="22" t="str">
        <f aca="false">IF(A418="","",C418+Parametros!$B$2/24)</f>
        <v/>
      </c>
      <c r="E418" s="24" t="str">
        <f aca="false">IF(A418="","",COUNTIFS(Modulo!$A$2:$A$5001,"&gt;="&amp;C418,Modulo!$A$2:$A$5001,"&lt;"&amp;D418,Modulo!$D$2:$D$5001,Parametros!$B$7))</f>
        <v/>
      </c>
      <c r="F418" s="23" t="str">
        <f aca="false">IF(A418="","",IF(E418=0,"",AVERAGEIFS(Modulo!$B$2:$B$5001,Modulo!$A$2:$A$5001,"&gt;="&amp;C418,Modulo!$A$2:$A$5001,"&lt;"&amp;D418,Modulo!$D$2:$D$5001,Parametros!$B$7)))</f>
        <v/>
      </c>
      <c r="G418" s="23" t="str">
        <f aca="false">IF(A418="","",IF(E418=0,"",AVERAGEIFS(Modulo!$C$2:$C$5001,Modulo!$A$2:$A$5001,"&gt;="&amp;C418,Modulo!$A$2:$A$5001,"&lt;"&amp;D418,Modulo!$D$2:$D$5001,Parametros!$B$7)))</f>
        <v/>
      </c>
      <c r="H418" s="25" t="str">
        <f aca="false">IF(A418="","",IFERROR(COUNTIFS(Amostragem!$A$2:$A$15003,"&gt;="&amp;C418,Amostragem!$A$2:$A$15003,"&lt;"&amp;D418,Amostragem!$B$2:$B$15003,"Automático",Amostragem!$C$2:$C$15003,"Automático",Amostragem!$D$2:$D$15003,0)/COUNTIFS(Amostragem!$A$2:$A$15003,"&gt;="&amp;C418,Amostragem!$A$2:$A$15003,"&lt;"&amp;D418),0))</f>
        <v/>
      </c>
      <c r="I418" s="23" t="str">
        <f aca="false">IF(A418="","",IFERROR(AVERAGEIFS(Amostragem!$E$2:$E$15003,Amostragem!$A$2:$A$15003,"&gt;="&amp;C418,Amostragem!$A$2:$A$15003,"&lt;"&amp;D418),""))</f>
        <v/>
      </c>
      <c r="J418" s="24" t="str">
        <f aca="false">IF(A418="","",IF(B418="","Inválida: sem resultado MES",IF(E418&lt;Parametros!$B$4,"Inválida: poucos ensaios do módulo",IF(H418&lt;Parametros!$B$5,"Inválida: amostragem em manual ou em falha",IF(OR(I418="",I418&lt;Parametros!$B$6),"Inválida: usina parada ou baixa alimentação","Válida")))))</f>
        <v/>
      </c>
      <c r="K418" s="23" t="str">
        <f aca="false">IF(J418="Válida",F418-B418,"")</f>
        <v/>
      </c>
      <c r="L418" s="26" t="str">
        <f aca="false">IF(J418="Válida",K418/B418,"")</f>
        <v/>
      </c>
      <c r="M418" s="23" t="str">
        <f aca="false">IF(J418="Válida",(F418+B418)/2,"")</f>
        <v/>
      </c>
      <c r="N418" s="24" t="str">
        <f aca="false">IF(K418="","",IF(OR(K418&gt;Resumo!$B$16,K418&lt;Resumo!$B$15),"Sim","Não"))</f>
        <v/>
      </c>
      <c r="O418" s="22" t="e">
        <f aca="false">IF(A418="",NA(),A418)</f>
        <v>#N/A</v>
      </c>
      <c r="P418" s="23" t="e">
        <f aca="false">IF(A418="",NA(),B418)</f>
        <v>#N/A</v>
      </c>
      <c r="Q418" s="23" t="e">
        <f aca="false">IF(F418="",NA(),F418)</f>
        <v>#N/A</v>
      </c>
      <c r="R418" s="23" t="e">
        <f aca="false">IF(K418="",NA(),K418)</f>
        <v>#N/A</v>
      </c>
      <c r="S418" s="23" t="e">
        <f aca="false">IF(M418="",NA(),M418)</f>
        <v>#N/A</v>
      </c>
      <c r="T418" s="23" t="str">
        <f aca="false">IF(J418="Válida",B418,"")</f>
        <v/>
      </c>
      <c r="U418" s="23" t="str">
        <f aca="false">IF(J418="Válida",F418,"")</f>
        <v/>
      </c>
    </row>
    <row r="419" customFormat="false" ht="15" hidden="false" customHeight="false" outlineLevel="0" collapsed="false">
      <c r="A419" s="22" t="str">
        <f aca="false">IF(MES!A419="","",MES!A419)</f>
        <v/>
      </c>
      <c r="B419" s="23" t="str">
        <f aca="false">IF(A419="","",MES!B419)</f>
        <v/>
      </c>
      <c r="C419" s="22" t="str">
        <f aca="false">IF(A419="","",A419+Parametros!$B$3/24)</f>
        <v/>
      </c>
      <c r="D419" s="22" t="str">
        <f aca="false">IF(A419="","",C419+Parametros!$B$2/24)</f>
        <v/>
      </c>
      <c r="E419" s="24" t="str">
        <f aca="false">IF(A419="","",COUNTIFS(Modulo!$A$2:$A$5001,"&gt;="&amp;C419,Modulo!$A$2:$A$5001,"&lt;"&amp;D419,Modulo!$D$2:$D$5001,Parametros!$B$7))</f>
        <v/>
      </c>
      <c r="F419" s="23" t="str">
        <f aca="false">IF(A419="","",IF(E419=0,"",AVERAGEIFS(Modulo!$B$2:$B$5001,Modulo!$A$2:$A$5001,"&gt;="&amp;C419,Modulo!$A$2:$A$5001,"&lt;"&amp;D419,Modulo!$D$2:$D$5001,Parametros!$B$7)))</f>
        <v/>
      </c>
      <c r="G419" s="23" t="str">
        <f aca="false">IF(A419="","",IF(E419=0,"",AVERAGEIFS(Modulo!$C$2:$C$5001,Modulo!$A$2:$A$5001,"&gt;="&amp;C419,Modulo!$A$2:$A$5001,"&lt;"&amp;D419,Modulo!$D$2:$D$5001,Parametros!$B$7)))</f>
        <v/>
      </c>
      <c r="H419" s="25" t="str">
        <f aca="false">IF(A419="","",IFERROR(COUNTIFS(Amostragem!$A$2:$A$15003,"&gt;="&amp;C419,Amostragem!$A$2:$A$15003,"&lt;"&amp;D419,Amostragem!$B$2:$B$15003,"Automático",Amostragem!$C$2:$C$15003,"Automático",Amostragem!$D$2:$D$15003,0)/COUNTIFS(Amostragem!$A$2:$A$15003,"&gt;="&amp;C419,Amostragem!$A$2:$A$15003,"&lt;"&amp;D419),0))</f>
        <v/>
      </c>
      <c r="I419" s="23" t="str">
        <f aca="false">IF(A419="","",IFERROR(AVERAGEIFS(Amostragem!$E$2:$E$15003,Amostragem!$A$2:$A$15003,"&gt;="&amp;C419,Amostragem!$A$2:$A$15003,"&lt;"&amp;D419),""))</f>
        <v/>
      </c>
      <c r="J419" s="24" t="str">
        <f aca="false">IF(A419="","",IF(B419="","Inválida: sem resultado MES",IF(E419&lt;Parametros!$B$4,"Inválida: poucos ensaios do módulo",IF(H419&lt;Parametros!$B$5,"Inválida: amostragem em manual ou em falha",IF(OR(I419="",I419&lt;Parametros!$B$6),"Inválida: usina parada ou baixa alimentação","Válida")))))</f>
        <v/>
      </c>
      <c r="K419" s="23" t="str">
        <f aca="false">IF(J419="Válida",F419-B419,"")</f>
        <v/>
      </c>
      <c r="L419" s="26" t="str">
        <f aca="false">IF(J419="Válida",K419/B419,"")</f>
        <v/>
      </c>
      <c r="M419" s="23" t="str">
        <f aca="false">IF(J419="Válida",(F419+B419)/2,"")</f>
        <v/>
      </c>
      <c r="N419" s="24" t="str">
        <f aca="false">IF(K419="","",IF(OR(K419&gt;Resumo!$B$16,K419&lt;Resumo!$B$15),"Sim","Não"))</f>
        <v/>
      </c>
      <c r="O419" s="22" t="e">
        <f aca="false">IF(A419="",NA(),A419)</f>
        <v>#N/A</v>
      </c>
      <c r="P419" s="23" t="e">
        <f aca="false">IF(A419="",NA(),B419)</f>
        <v>#N/A</v>
      </c>
      <c r="Q419" s="23" t="e">
        <f aca="false">IF(F419="",NA(),F419)</f>
        <v>#N/A</v>
      </c>
      <c r="R419" s="23" t="e">
        <f aca="false">IF(K419="",NA(),K419)</f>
        <v>#N/A</v>
      </c>
      <c r="S419" s="23" t="e">
        <f aca="false">IF(M419="",NA(),M419)</f>
        <v>#N/A</v>
      </c>
      <c r="T419" s="23" t="str">
        <f aca="false">IF(J419="Válida",B419,"")</f>
        <v/>
      </c>
      <c r="U419" s="23" t="str">
        <f aca="false">IF(J419="Válida",F419,"")</f>
        <v/>
      </c>
    </row>
    <row r="420" customFormat="false" ht="15" hidden="false" customHeight="false" outlineLevel="0" collapsed="false">
      <c r="A420" s="22" t="str">
        <f aca="false">IF(MES!A420="","",MES!A420)</f>
        <v/>
      </c>
      <c r="B420" s="23" t="str">
        <f aca="false">IF(A420="","",MES!B420)</f>
        <v/>
      </c>
      <c r="C420" s="22" t="str">
        <f aca="false">IF(A420="","",A420+Parametros!$B$3/24)</f>
        <v/>
      </c>
      <c r="D420" s="22" t="str">
        <f aca="false">IF(A420="","",C420+Parametros!$B$2/24)</f>
        <v/>
      </c>
      <c r="E420" s="24" t="str">
        <f aca="false">IF(A420="","",COUNTIFS(Modulo!$A$2:$A$5001,"&gt;="&amp;C420,Modulo!$A$2:$A$5001,"&lt;"&amp;D420,Modulo!$D$2:$D$5001,Parametros!$B$7))</f>
        <v/>
      </c>
      <c r="F420" s="23" t="str">
        <f aca="false">IF(A420="","",IF(E420=0,"",AVERAGEIFS(Modulo!$B$2:$B$5001,Modulo!$A$2:$A$5001,"&gt;="&amp;C420,Modulo!$A$2:$A$5001,"&lt;"&amp;D420,Modulo!$D$2:$D$5001,Parametros!$B$7)))</f>
        <v/>
      </c>
      <c r="G420" s="23" t="str">
        <f aca="false">IF(A420="","",IF(E420=0,"",AVERAGEIFS(Modulo!$C$2:$C$5001,Modulo!$A$2:$A$5001,"&gt;="&amp;C420,Modulo!$A$2:$A$5001,"&lt;"&amp;D420,Modulo!$D$2:$D$5001,Parametros!$B$7)))</f>
        <v/>
      </c>
      <c r="H420" s="25" t="str">
        <f aca="false">IF(A420="","",IFERROR(COUNTIFS(Amostragem!$A$2:$A$15003,"&gt;="&amp;C420,Amostragem!$A$2:$A$15003,"&lt;"&amp;D420,Amostragem!$B$2:$B$15003,"Automático",Amostragem!$C$2:$C$15003,"Automático",Amostragem!$D$2:$D$15003,0)/COUNTIFS(Amostragem!$A$2:$A$15003,"&gt;="&amp;C420,Amostragem!$A$2:$A$15003,"&lt;"&amp;D420),0))</f>
        <v/>
      </c>
      <c r="I420" s="23" t="str">
        <f aca="false">IF(A420="","",IFERROR(AVERAGEIFS(Amostragem!$E$2:$E$15003,Amostragem!$A$2:$A$15003,"&gt;="&amp;C420,Amostragem!$A$2:$A$15003,"&lt;"&amp;D420),""))</f>
        <v/>
      </c>
      <c r="J420" s="24" t="str">
        <f aca="false">IF(A420="","",IF(B420="","Inválida: sem resultado MES",IF(E420&lt;Parametros!$B$4,"Inválida: poucos ensaios do módulo",IF(H420&lt;Parametros!$B$5,"Inválida: amostragem em manual ou em falha",IF(OR(I420="",I420&lt;Parametros!$B$6),"Inválida: usina parada ou baixa alimentação","Válida")))))</f>
        <v/>
      </c>
      <c r="K420" s="23" t="str">
        <f aca="false">IF(J420="Válida",F420-B420,"")</f>
        <v/>
      </c>
      <c r="L420" s="26" t="str">
        <f aca="false">IF(J420="Válida",K420/B420,"")</f>
        <v/>
      </c>
      <c r="M420" s="23" t="str">
        <f aca="false">IF(J420="Válida",(F420+B420)/2,"")</f>
        <v/>
      </c>
      <c r="N420" s="24" t="str">
        <f aca="false">IF(K420="","",IF(OR(K420&gt;Resumo!$B$16,K420&lt;Resumo!$B$15),"Sim","Não"))</f>
        <v/>
      </c>
      <c r="O420" s="22" t="e">
        <f aca="false">IF(A420="",NA(),A420)</f>
        <v>#N/A</v>
      </c>
      <c r="P420" s="23" t="e">
        <f aca="false">IF(A420="",NA(),B420)</f>
        <v>#N/A</v>
      </c>
      <c r="Q420" s="23" t="e">
        <f aca="false">IF(F420="",NA(),F420)</f>
        <v>#N/A</v>
      </c>
      <c r="R420" s="23" t="e">
        <f aca="false">IF(K420="",NA(),K420)</f>
        <v>#N/A</v>
      </c>
      <c r="S420" s="23" t="e">
        <f aca="false">IF(M420="",NA(),M420)</f>
        <v>#N/A</v>
      </c>
      <c r="T420" s="23" t="str">
        <f aca="false">IF(J420="Válida",B420,"")</f>
        <v/>
      </c>
      <c r="U420" s="23" t="str">
        <f aca="false">IF(J420="Válida",F420,"")</f>
        <v/>
      </c>
    </row>
    <row r="421" customFormat="false" ht="15" hidden="false" customHeight="false" outlineLevel="0" collapsed="false">
      <c r="A421" s="22" t="str">
        <f aca="false">IF(MES!A421="","",MES!A421)</f>
        <v/>
      </c>
      <c r="B421" s="23" t="str">
        <f aca="false">IF(A421="","",MES!B421)</f>
        <v/>
      </c>
      <c r="C421" s="22" t="str">
        <f aca="false">IF(A421="","",A421+Parametros!$B$3/24)</f>
        <v/>
      </c>
      <c r="D421" s="22" t="str">
        <f aca="false">IF(A421="","",C421+Parametros!$B$2/24)</f>
        <v/>
      </c>
      <c r="E421" s="24" t="str">
        <f aca="false">IF(A421="","",COUNTIFS(Modulo!$A$2:$A$5001,"&gt;="&amp;C421,Modulo!$A$2:$A$5001,"&lt;"&amp;D421,Modulo!$D$2:$D$5001,Parametros!$B$7))</f>
        <v/>
      </c>
      <c r="F421" s="23" t="str">
        <f aca="false">IF(A421="","",IF(E421=0,"",AVERAGEIFS(Modulo!$B$2:$B$5001,Modulo!$A$2:$A$5001,"&gt;="&amp;C421,Modulo!$A$2:$A$5001,"&lt;"&amp;D421,Modulo!$D$2:$D$5001,Parametros!$B$7)))</f>
        <v/>
      </c>
      <c r="G421" s="23" t="str">
        <f aca="false">IF(A421="","",IF(E421=0,"",AVERAGEIFS(Modulo!$C$2:$C$5001,Modulo!$A$2:$A$5001,"&gt;="&amp;C421,Modulo!$A$2:$A$5001,"&lt;"&amp;D421,Modulo!$D$2:$D$5001,Parametros!$B$7)))</f>
        <v/>
      </c>
      <c r="H421" s="25" t="str">
        <f aca="false">IF(A421="","",IFERROR(COUNTIFS(Amostragem!$A$2:$A$15003,"&gt;="&amp;C421,Amostragem!$A$2:$A$15003,"&lt;"&amp;D421,Amostragem!$B$2:$B$15003,"Automático",Amostragem!$C$2:$C$15003,"Automático",Amostragem!$D$2:$D$15003,0)/COUNTIFS(Amostragem!$A$2:$A$15003,"&gt;="&amp;C421,Amostragem!$A$2:$A$15003,"&lt;"&amp;D421),0))</f>
        <v/>
      </c>
      <c r="I421" s="23" t="str">
        <f aca="false">IF(A421="","",IFERROR(AVERAGEIFS(Amostragem!$E$2:$E$15003,Amostragem!$A$2:$A$15003,"&gt;="&amp;C421,Amostragem!$A$2:$A$15003,"&lt;"&amp;D421),""))</f>
        <v/>
      </c>
      <c r="J421" s="24" t="str">
        <f aca="false">IF(A421="","",IF(B421="","Inválida: sem resultado MES",IF(E421&lt;Parametros!$B$4,"Inválida: poucos ensaios do módulo",IF(H421&lt;Parametros!$B$5,"Inválida: amostragem em manual ou em falha",IF(OR(I421="",I421&lt;Parametros!$B$6),"Inválida: usina parada ou baixa alimentação","Válida")))))</f>
        <v/>
      </c>
      <c r="K421" s="23" t="str">
        <f aca="false">IF(J421="Válida",F421-B421,"")</f>
        <v/>
      </c>
      <c r="L421" s="26" t="str">
        <f aca="false">IF(J421="Válida",K421/B421,"")</f>
        <v/>
      </c>
      <c r="M421" s="23" t="str">
        <f aca="false">IF(J421="Válida",(F421+B421)/2,"")</f>
        <v/>
      </c>
      <c r="N421" s="24" t="str">
        <f aca="false">IF(K421="","",IF(OR(K421&gt;Resumo!$B$16,K421&lt;Resumo!$B$15),"Sim","Não"))</f>
        <v/>
      </c>
      <c r="O421" s="22" t="e">
        <f aca="false">IF(A421="",NA(),A421)</f>
        <v>#N/A</v>
      </c>
      <c r="P421" s="23" t="e">
        <f aca="false">IF(A421="",NA(),B421)</f>
        <v>#N/A</v>
      </c>
      <c r="Q421" s="23" t="e">
        <f aca="false">IF(F421="",NA(),F421)</f>
        <v>#N/A</v>
      </c>
      <c r="R421" s="23" t="e">
        <f aca="false">IF(K421="",NA(),K421)</f>
        <v>#N/A</v>
      </c>
      <c r="S421" s="23" t="e">
        <f aca="false">IF(M421="",NA(),M421)</f>
        <v>#N/A</v>
      </c>
      <c r="T421" s="23" t="str">
        <f aca="false">IF(J421="Válida",B421,"")</f>
        <v/>
      </c>
      <c r="U421" s="23" t="str">
        <f aca="false">IF(J421="Válida",F421,"")</f>
        <v/>
      </c>
    </row>
    <row r="422" customFormat="false" ht="15" hidden="false" customHeight="false" outlineLevel="0" collapsed="false">
      <c r="A422" s="22" t="str">
        <f aca="false">IF(MES!A422="","",MES!A422)</f>
        <v/>
      </c>
      <c r="B422" s="23" t="str">
        <f aca="false">IF(A422="","",MES!B422)</f>
        <v/>
      </c>
      <c r="C422" s="22" t="str">
        <f aca="false">IF(A422="","",A422+Parametros!$B$3/24)</f>
        <v/>
      </c>
      <c r="D422" s="22" t="str">
        <f aca="false">IF(A422="","",C422+Parametros!$B$2/24)</f>
        <v/>
      </c>
      <c r="E422" s="24" t="str">
        <f aca="false">IF(A422="","",COUNTIFS(Modulo!$A$2:$A$5001,"&gt;="&amp;C422,Modulo!$A$2:$A$5001,"&lt;"&amp;D422,Modulo!$D$2:$D$5001,Parametros!$B$7))</f>
        <v/>
      </c>
      <c r="F422" s="23" t="str">
        <f aca="false">IF(A422="","",IF(E422=0,"",AVERAGEIFS(Modulo!$B$2:$B$5001,Modulo!$A$2:$A$5001,"&gt;="&amp;C422,Modulo!$A$2:$A$5001,"&lt;"&amp;D422,Modulo!$D$2:$D$5001,Parametros!$B$7)))</f>
        <v/>
      </c>
      <c r="G422" s="23" t="str">
        <f aca="false">IF(A422="","",IF(E422=0,"",AVERAGEIFS(Modulo!$C$2:$C$5001,Modulo!$A$2:$A$5001,"&gt;="&amp;C422,Modulo!$A$2:$A$5001,"&lt;"&amp;D422,Modulo!$D$2:$D$5001,Parametros!$B$7)))</f>
        <v/>
      </c>
      <c r="H422" s="25" t="str">
        <f aca="false">IF(A422="","",IFERROR(COUNTIFS(Amostragem!$A$2:$A$15003,"&gt;="&amp;C422,Amostragem!$A$2:$A$15003,"&lt;"&amp;D422,Amostragem!$B$2:$B$15003,"Automático",Amostragem!$C$2:$C$15003,"Automático",Amostragem!$D$2:$D$15003,0)/COUNTIFS(Amostragem!$A$2:$A$15003,"&gt;="&amp;C422,Amostragem!$A$2:$A$15003,"&lt;"&amp;D422),0))</f>
        <v/>
      </c>
      <c r="I422" s="23" t="str">
        <f aca="false">IF(A422="","",IFERROR(AVERAGEIFS(Amostragem!$E$2:$E$15003,Amostragem!$A$2:$A$15003,"&gt;="&amp;C422,Amostragem!$A$2:$A$15003,"&lt;"&amp;D422),""))</f>
        <v/>
      </c>
      <c r="J422" s="24" t="str">
        <f aca="false">IF(A422="","",IF(B422="","Inválida: sem resultado MES",IF(E422&lt;Parametros!$B$4,"Inválida: poucos ensaios do módulo",IF(H422&lt;Parametros!$B$5,"Inválida: amostragem em manual ou em falha",IF(OR(I422="",I422&lt;Parametros!$B$6),"Inválida: usina parada ou baixa alimentação","Válida")))))</f>
        <v/>
      </c>
      <c r="K422" s="23" t="str">
        <f aca="false">IF(J422="Válida",F422-B422,"")</f>
        <v/>
      </c>
      <c r="L422" s="26" t="str">
        <f aca="false">IF(J422="Válida",K422/B422,"")</f>
        <v/>
      </c>
      <c r="M422" s="23" t="str">
        <f aca="false">IF(J422="Válida",(F422+B422)/2,"")</f>
        <v/>
      </c>
      <c r="N422" s="24" t="str">
        <f aca="false">IF(K422="","",IF(OR(K422&gt;Resumo!$B$16,K422&lt;Resumo!$B$15),"Sim","Não"))</f>
        <v/>
      </c>
      <c r="O422" s="22" t="e">
        <f aca="false">IF(A422="",NA(),A422)</f>
        <v>#N/A</v>
      </c>
      <c r="P422" s="23" t="e">
        <f aca="false">IF(A422="",NA(),B422)</f>
        <v>#N/A</v>
      </c>
      <c r="Q422" s="23" t="e">
        <f aca="false">IF(F422="",NA(),F422)</f>
        <v>#N/A</v>
      </c>
      <c r="R422" s="23" t="e">
        <f aca="false">IF(K422="",NA(),K422)</f>
        <v>#N/A</v>
      </c>
      <c r="S422" s="23" t="e">
        <f aca="false">IF(M422="",NA(),M422)</f>
        <v>#N/A</v>
      </c>
      <c r="T422" s="23" t="str">
        <f aca="false">IF(J422="Válida",B422,"")</f>
        <v/>
      </c>
      <c r="U422" s="23" t="str">
        <f aca="false">IF(J422="Válida",F422,"")</f>
        <v/>
      </c>
    </row>
    <row r="423" customFormat="false" ht="15" hidden="false" customHeight="false" outlineLevel="0" collapsed="false">
      <c r="A423" s="22" t="str">
        <f aca="false">IF(MES!A423="","",MES!A423)</f>
        <v/>
      </c>
      <c r="B423" s="23" t="str">
        <f aca="false">IF(A423="","",MES!B423)</f>
        <v/>
      </c>
      <c r="C423" s="22" t="str">
        <f aca="false">IF(A423="","",A423+Parametros!$B$3/24)</f>
        <v/>
      </c>
      <c r="D423" s="22" t="str">
        <f aca="false">IF(A423="","",C423+Parametros!$B$2/24)</f>
        <v/>
      </c>
      <c r="E423" s="24" t="str">
        <f aca="false">IF(A423="","",COUNTIFS(Modulo!$A$2:$A$5001,"&gt;="&amp;C423,Modulo!$A$2:$A$5001,"&lt;"&amp;D423,Modulo!$D$2:$D$5001,Parametros!$B$7))</f>
        <v/>
      </c>
      <c r="F423" s="23" t="str">
        <f aca="false">IF(A423="","",IF(E423=0,"",AVERAGEIFS(Modulo!$B$2:$B$5001,Modulo!$A$2:$A$5001,"&gt;="&amp;C423,Modulo!$A$2:$A$5001,"&lt;"&amp;D423,Modulo!$D$2:$D$5001,Parametros!$B$7)))</f>
        <v/>
      </c>
      <c r="G423" s="23" t="str">
        <f aca="false">IF(A423="","",IF(E423=0,"",AVERAGEIFS(Modulo!$C$2:$C$5001,Modulo!$A$2:$A$5001,"&gt;="&amp;C423,Modulo!$A$2:$A$5001,"&lt;"&amp;D423,Modulo!$D$2:$D$5001,Parametros!$B$7)))</f>
        <v/>
      </c>
      <c r="H423" s="25" t="str">
        <f aca="false">IF(A423="","",IFERROR(COUNTIFS(Amostragem!$A$2:$A$15003,"&gt;="&amp;C423,Amostragem!$A$2:$A$15003,"&lt;"&amp;D423,Amostragem!$B$2:$B$15003,"Automático",Amostragem!$C$2:$C$15003,"Automático",Amostragem!$D$2:$D$15003,0)/COUNTIFS(Amostragem!$A$2:$A$15003,"&gt;="&amp;C423,Amostragem!$A$2:$A$15003,"&lt;"&amp;D423),0))</f>
        <v/>
      </c>
      <c r="I423" s="23" t="str">
        <f aca="false">IF(A423="","",IFERROR(AVERAGEIFS(Amostragem!$E$2:$E$15003,Amostragem!$A$2:$A$15003,"&gt;="&amp;C423,Amostragem!$A$2:$A$15003,"&lt;"&amp;D423),""))</f>
        <v/>
      </c>
      <c r="J423" s="24" t="str">
        <f aca="false">IF(A423="","",IF(B423="","Inválida: sem resultado MES",IF(E423&lt;Parametros!$B$4,"Inválida: poucos ensaios do módulo",IF(H423&lt;Parametros!$B$5,"Inválida: amostragem em manual ou em falha",IF(OR(I423="",I423&lt;Parametros!$B$6),"Inválida: usina parada ou baixa alimentação","Válida")))))</f>
        <v/>
      </c>
      <c r="K423" s="23" t="str">
        <f aca="false">IF(J423="Válida",F423-B423,"")</f>
        <v/>
      </c>
      <c r="L423" s="26" t="str">
        <f aca="false">IF(J423="Válida",K423/B423,"")</f>
        <v/>
      </c>
      <c r="M423" s="23" t="str">
        <f aca="false">IF(J423="Válida",(F423+B423)/2,"")</f>
        <v/>
      </c>
      <c r="N423" s="24" t="str">
        <f aca="false">IF(K423="","",IF(OR(K423&gt;Resumo!$B$16,K423&lt;Resumo!$B$15),"Sim","Não"))</f>
        <v/>
      </c>
      <c r="O423" s="22" t="e">
        <f aca="false">IF(A423="",NA(),A423)</f>
        <v>#N/A</v>
      </c>
      <c r="P423" s="23" t="e">
        <f aca="false">IF(A423="",NA(),B423)</f>
        <v>#N/A</v>
      </c>
      <c r="Q423" s="23" t="e">
        <f aca="false">IF(F423="",NA(),F423)</f>
        <v>#N/A</v>
      </c>
      <c r="R423" s="23" t="e">
        <f aca="false">IF(K423="",NA(),K423)</f>
        <v>#N/A</v>
      </c>
      <c r="S423" s="23" t="e">
        <f aca="false">IF(M423="",NA(),M423)</f>
        <v>#N/A</v>
      </c>
      <c r="T423" s="23" t="str">
        <f aca="false">IF(J423="Válida",B423,"")</f>
        <v/>
      </c>
      <c r="U423" s="23" t="str">
        <f aca="false">IF(J423="Válida",F423,"")</f>
        <v/>
      </c>
    </row>
    <row r="424" customFormat="false" ht="15" hidden="false" customHeight="false" outlineLevel="0" collapsed="false">
      <c r="A424" s="22" t="str">
        <f aca="false">IF(MES!A424="","",MES!A424)</f>
        <v/>
      </c>
      <c r="B424" s="23" t="str">
        <f aca="false">IF(A424="","",MES!B424)</f>
        <v/>
      </c>
      <c r="C424" s="22" t="str">
        <f aca="false">IF(A424="","",A424+Parametros!$B$3/24)</f>
        <v/>
      </c>
      <c r="D424" s="22" t="str">
        <f aca="false">IF(A424="","",C424+Parametros!$B$2/24)</f>
        <v/>
      </c>
      <c r="E424" s="24" t="str">
        <f aca="false">IF(A424="","",COUNTIFS(Modulo!$A$2:$A$5001,"&gt;="&amp;C424,Modulo!$A$2:$A$5001,"&lt;"&amp;D424,Modulo!$D$2:$D$5001,Parametros!$B$7))</f>
        <v/>
      </c>
      <c r="F424" s="23" t="str">
        <f aca="false">IF(A424="","",IF(E424=0,"",AVERAGEIFS(Modulo!$B$2:$B$5001,Modulo!$A$2:$A$5001,"&gt;="&amp;C424,Modulo!$A$2:$A$5001,"&lt;"&amp;D424,Modulo!$D$2:$D$5001,Parametros!$B$7)))</f>
        <v/>
      </c>
      <c r="G424" s="23" t="str">
        <f aca="false">IF(A424="","",IF(E424=0,"",AVERAGEIFS(Modulo!$C$2:$C$5001,Modulo!$A$2:$A$5001,"&gt;="&amp;C424,Modulo!$A$2:$A$5001,"&lt;"&amp;D424,Modulo!$D$2:$D$5001,Parametros!$B$7)))</f>
        <v/>
      </c>
      <c r="H424" s="25" t="str">
        <f aca="false">IF(A424="","",IFERROR(COUNTIFS(Amostragem!$A$2:$A$15003,"&gt;="&amp;C424,Amostragem!$A$2:$A$15003,"&lt;"&amp;D424,Amostragem!$B$2:$B$15003,"Automático",Amostragem!$C$2:$C$15003,"Automático",Amostragem!$D$2:$D$15003,0)/COUNTIFS(Amostragem!$A$2:$A$15003,"&gt;="&amp;C424,Amostragem!$A$2:$A$15003,"&lt;"&amp;D424),0))</f>
        <v/>
      </c>
      <c r="I424" s="23" t="str">
        <f aca="false">IF(A424="","",IFERROR(AVERAGEIFS(Amostragem!$E$2:$E$15003,Amostragem!$A$2:$A$15003,"&gt;="&amp;C424,Amostragem!$A$2:$A$15003,"&lt;"&amp;D424),""))</f>
        <v/>
      </c>
      <c r="J424" s="24" t="str">
        <f aca="false">IF(A424="","",IF(B424="","Inválida: sem resultado MES",IF(E424&lt;Parametros!$B$4,"Inválida: poucos ensaios do módulo",IF(H424&lt;Parametros!$B$5,"Inválida: amostragem em manual ou em falha",IF(OR(I424="",I424&lt;Parametros!$B$6),"Inválida: usina parada ou baixa alimentação","Válida")))))</f>
        <v/>
      </c>
      <c r="K424" s="23" t="str">
        <f aca="false">IF(J424="Válida",F424-B424,"")</f>
        <v/>
      </c>
      <c r="L424" s="26" t="str">
        <f aca="false">IF(J424="Válida",K424/B424,"")</f>
        <v/>
      </c>
      <c r="M424" s="23" t="str">
        <f aca="false">IF(J424="Válida",(F424+B424)/2,"")</f>
        <v/>
      </c>
      <c r="N424" s="24" t="str">
        <f aca="false">IF(K424="","",IF(OR(K424&gt;Resumo!$B$16,K424&lt;Resumo!$B$15),"Sim","Não"))</f>
        <v/>
      </c>
      <c r="O424" s="22" t="e">
        <f aca="false">IF(A424="",NA(),A424)</f>
        <v>#N/A</v>
      </c>
      <c r="P424" s="23" t="e">
        <f aca="false">IF(A424="",NA(),B424)</f>
        <v>#N/A</v>
      </c>
      <c r="Q424" s="23" t="e">
        <f aca="false">IF(F424="",NA(),F424)</f>
        <v>#N/A</v>
      </c>
      <c r="R424" s="23" t="e">
        <f aca="false">IF(K424="",NA(),K424)</f>
        <v>#N/A</v>
      </c>
      <c r="S424" s="23" t="e">
        <f aca="false">IF(M424="",NA(),M424)</f>
        <v>#N/A</v>
      </c>
      <c r="T424" s="23" t="str">
        <f aca="false">IF(J424="Válida",B424,"")</f>
        <v/>
      </c>
      <c r="U424" s="23" t="str">
        <f aca="false">IF(J424="Válida",F424,"")</f>
        <v/>
      </c>
    </row>
    <row r="425" customFormat="false" ht="15" hidden="false" customHeight="false" outlineLevel="0" collapsed="false">
      <c r="A425" s="22" t="str">
        <f aca="false">IF(MES!A425="","",MES!A425)</f>
        <v/>
      </c>
      <c r="B425" s="23" t="str">
        <f aca="false">IF(A425="","",MES!B425)</f>
        <v/>
      </c>
      <c r="C425" s="22" t="str">
        <f aca="false">IF(A425="","",A425+Parametros!$B$3/24)</f>
        <v/>
      </c>
      <c r="D425" s="22" t="str">
        <f aca="false">IF(A425="","",C425+Parametros!$B$2/24)</f>
        <v/>
      </c>
      <c r="E425" s="24" t="str">
        <f aca="false">IF(A425="","",COUNTIFS(Modulo!$A$2:$A$5001,"&gt;="&amp;C425,Modulo!$A$2:$A$5001,"&lt;"&amp;D425,Modulo!$D$2:$D$5001,Parametros!$B$7))</f>
        <v/>
      </c>
      <c r="F425" s="23" t="str">
        <f aca="false">IF(A425="","",IF(E425=0,"",AVERAGEIFS(Modulo!$B$2:$B$5001,Modulo!$A$2:$A$5001,"&gt;="&amp;C425,Modulo!$A$2:$A$5001,"&lt;"&amp;D425,Modulo!$D$2:$D$5001,Parametros!$B$7)))</f>
        <v/>
      </c>
      <c r="G425" s="23" t="str">
        <f aca="false">IF(A425="","",IF(E425=0,"",AVERAGEIFS(Modulo!$C$2:$C$5001,Modulo!$A$2:$A$5001,"&gt;="&amp;C425,Modulo!$A$2:$A$5001,"&lt;"&amp;D425,Modulo!$D$2:$D$5001,Parametros!$B$7)))</f>
        <v/>
      </c>
      <c r="H425" s="25" t="str">
        <f aca="false">IF(A425="","",IFERROR(COUNTIFS(Amostragem!$A$2:$A$15003,"&gt;="&amp;C425,Amostragem!$A$2:$A$15003,"&lt;"&amp;D425,Amostragem!$B$2:$B$15003,"Automático",Amostragem!$C$2:$C$15003,"Automático",Amostragem!$D$2:$D$15003,0)/COUNTIFS(Amostragem!$A$2:$A$15003,"&gt;="&amp;C425,Amostragem!$A$2:$A$15003,"&lt;"&amp;D425),0))</f>
        <v/>
      </c>
      <c r="I425" s="23" t="str">
        <f aca="false">IF(A425="","",IFERROR(AVERAGEIFS(Amostragem!$E$2:$E$15003,Amostragem!$A$2:$A$15003,"&gt;="&amp;C425,Amostragem!$A$2:$A$15003,"&lt;"&amp;D425),""))</f>
        <v/>
      </c>
      <c r="J425" s="24" t="str">
        <f aca="false">IF(A425="","",IF(B425="","Inválida: sem resultado MES",IF(E425&lt;Parametros!$B$4,"Inválida: poucos ensaios do módulo",IF(H425&lt;Parametros!$B$5,"Inválida: amostragem em manual ou em falha",IF(OR(I425="",I425&lt;Parametros!$B$6),"Inválida: usina parada ou baixa alimentação","Válida")))))</f>
        <v/>
      </c>
      <c r="K425" s="23" t="str">
        <f aca="false">IF(J425="Válida",F425-B425,"")</f>
        <v/>
      </c>
      <c r="L425" s="26" t="str">
        <f aca="false">IF(J425="Válida",K425/B425,"")</f>
        <v/>
      </c>
      <c r="M425" s="23" t="str">
        <f aca="false">IF(J425="Válida",(F425+B425)/2,"")</f>
        <v/>
      </c>
      <c r="N425" s="24" t="str">
        <f aca="false">IF(K425="","",IF(OR(K425&gt;Resumo!$B$16,K425&lt;Resumo!$B$15),"Sim","Não"))</f>
        <v/>
      </c>
      <c r="O425" s="22" t="e">
        <f aca="false">IF(A425="",NA(),A425)</f>
        <v>#N/A</v>
      </c>
      <c r="P425" s="23" t="e">
        <f aca="false">IF(A425="",NA(),B425)</f>
        <v>#N/A</v>
      </c>
      <c r="Q425" s="23" t="e">
        <f aca="false">IF(F425="",NA(),F425)</f>
        <v>#N/A</v>
      </c>
      <c r="R425" s="23" t="e">
        <f aca="false">IF(K425="",NA(),K425)</f>
        <v>#N/A</v>
      </c>
      <c r="S425" s="23" t="e">
        <f aca="false">IF(M425="",NA(),M425)</f>
        <v>#N/A</v>
      </c>
      <c r="T425" s="23" t="str">
        <f aca="false">IF(J425="Válida",B425,"")</f>
        <v/>
      </c>
      <c r="U425" s="23" t="str">
        <f aca="false">IF(J425="Válida",F425,"")</f>
        <v/>
      </c>
    </row>
    <row r="426" customFormat="false" ht="15" hidden="false" customHeight="false" outlineLevel="0" collapsed="false">
      <c r="A426" s="22" t="str">
        <f aca="false">IF(MES!A426="","",MES!A426)</f>
        <v/>
      </c>
      <c r="B426" s="23" t="str">
        <f aca="false">IF(A426="","",MES!B426)</f>
        <v/>
      </c>
      <c r="C426" s="22" t="str">
        <f aca="false">IF(A426="","",A426+Parametros!$B$3/24)</f>
        <v/>
      </c>
      <c r="D426" s="22" t="str">
        <f aca="false">IF(A426="","",C426+Parametros!$B$2/24)</f>
        <v/>
      </c>
      <c r="E426" s="24" t="str">
        <f aca="false">IF(A426="","",COUNTIFS(Modulo!$A$2:$A$5001,"&gt;="&amp;C426,Modulo!$A$2:$A$5001,"&lt;"&amp;D426,Modulo!$D$2:$D$5001,Parametros!$B$7))</f>
        <v/>
      </c>
      <c r="F426" s="23" t="str">
        <f aca="false">IF(A426="","",IF(E426=0,"",AVERAGEIFS(Modulo!$B$2:$B$5001,Modulo!$A$2:$A$5001,"&gt;="&amp;C426,Modulo!$A$2:$A$5001,"&lt;"&amp;D426,Modulo!$D$2:$D$5001,Parametros!$B$7)))</f>
        <v/>
      </c>
      <c r="G426" s="23" t="str">
        <f aca="false">IF(A426="","",IF(E426=0,"",AVERAGEIFS(Modulo!$C$2:$C$5001,Modulo!$A$2:$A$5001,"&gt;="&amp;C426,Modulo!$A$2:$A$5001,"&lt;"&amp;D426,Modulo!$D$2:$D$5001,Parametros!$B$7)))</f>
        <v/>
      </c>
      <c r="H426" s="25" t="str">
        <f aca="false">IF(A426="","",IFERROR(COUNTIFS(Amostragem!$A$2:$A$15003,"&gt;="&amp;C426,Amostragem!$A$2:$A$15003,"&lt;"&amp;D426,Amostragem!$B$2:$B$15003,"Automático",Amostragem!$C$2:$C$15003,"Automático",Amostragem!$D$2:$D$15003,0)/COUNTIFS(Amostragem!$A$2:$A$15003,"&gt;="&amp;C426,Amostragem!$A$2:$A$15003,"&lt;"&amp;D426),0))</f>
        <v/>
      </c>
      <c r="I426" s="23" t="str">
        <f aca="false">IF(A426="","",IFERROR(AVERAGEIFS(Amostragem!$E$2:$E$15003,Amostragem!$A$2:$A$15003,"&gt;="&amp;C426,Amostragem!$A$2:$A$15003,"&lt;"&amp;D426),""))</f>
        <v/>
      </c>
      <c r="J426" s="24" t="str">
        <f aca="false">IF(A426="","",IF(B426="","Inválida: sem resultado MES",IF(E426&lt;Parametros!$B$4,"Inválida: poucos ensaios do módulo",IF(H426&lt;Parametros!$B$5,"Inválida: amostragem em manual ou em falha",IF(OR(I426="",I426&lt;Parametros!$B$6),"Inválida: usina parada ou baixa alimentação","Válida")))))</f>
        <v/>
      </c>
      <c r="K426" s="23" t="str">
        <f aca="false">IF(J426="Válida",F426-B426,"")</f>
        <v/>
      </c>
      <c r="L426" s="26" t="str">
        <f aca="false">IF(J426="Válida",K426/B426,"")</f>
        <v/>
      </c>
      <c r="M426" s="23" t="str">
        <f aca="false">IF(J426="Válida",(F426+B426)/2,"")</f>
        <v/>
      </c>
      <c r="N426" s="24" t="str">
        <f aca="false">IF(K426="","",IF(OR(K426&gt;Resumo!$B$16,K426&lt;Resumo!$B$15),"Sim","Não"))</f>
        <v/>
      </c>
      <c r="O426" s="22" t="e">
        <f aca="false">IF(A426="",NA(),A426)</f>
        <v>#N/A</v>
      </c>
      <c r="P426" s="23" t="e">
        <f aca="false">IF(A426="",NA(),B426)</f>
        <v>#N/A</v>
      </c>
      <c r="Q426" s="23" t="e">
        <f aca="false">IF(F426="",NA(),F426)</f>
        <v>#N/A</v>
      </c>
      <c r="R426" s="23" t="e">
        <f aca="false">IF(K426="",NA(),K426)</f>
        <v>#N/A</v>
      </c>
      <c r="S426" s="23" t="e">
        <f aca="false">IF(M426="",NA(),M426)</f>
        <v>#N/A</v>
      </c>
      <c r="T426" s="23" t="str">
        <f aca="false">IF(J426="Válida",B426,"")</f>
        <v/>
      </c>
      <c r="U426" s="23" t="str">
        <f aca="false">IF(J426="Válida",F426,"")</f>
        <v/>
      </c>
    </row>
    <row r="427" customFormat="false" ht="15" hidden="false" customHeight="false" outlineLevel="0" collapsed="false">
      <c r="A427" s="22" t="str">
        <f aca="false">IF(MES!A427="","",MES!A427)</f>
        <v/>
      </c>
      <c r="B427" s="23" t="str">
        <f aca="false">IF(A427="","",MES!B427)</f>
        <v/>
      </c>
      <c r="C427" s="22" t="str">
        <f aca="false">IF(A427="","",A427+Parametros!$B$3/24)</f>
        <v/>
      </c>
      <c r="D427" s="22" t="str">
        <f aca="false">IF(A427="","",C427+Parametros!$B$2/24)</f>
        <v/>
      </c>
      <c r="E427" s="24" t="str">
        <f aca="false">IF(A427="","",COUNTIFS(Modulo!$A$2:$A$5001,"&gt;="&amp;C427,Modulo!$A$2:$A$5001,"&lt;"&amp;D427,Modulo!$D$2:$D$5001,Parametros!$B$7))</f>
        <v/>
      </c>
      <c r="F427" s="23" t="str">
        <f aca="false">IF(A427="","",IF(E427=0,"",AVERAGEIFS(Modulo!$B$2:$B$5001,Modulo!$A$2:$A$5001,"&gt;="&amp;C427,Modulo!$A$2:$A$5001,"&lt;"&amp;D427,Modulo!$D$2:$D$5001,Parametros!$B$7)))</f>
        <v/>
      </c>
      <c r="G427" s="23" t="str">
        <f aca="false">IF(A427="","",IF(E427=0,"",AVERAGEIFS(Modulo!$C$2:$C$5001,Modulo!$A$2:$A$5001,"&gt;="&amp;C427,Modulo!$A$2:$A$5001,"&lt;"&amp;D427,Modulo!$D$2:$D$5001,Parametros!$B$7)))</f>
        <v/>
      </c>
      <c r="H427" s="25" t="str">
        <f aca="false">IF(A427="","",IFERROR(COUNTIFS(Amostragem!$A$2:$A$15003,"&gt;="&amp;C427,Amostragem!$A$2:$A$15003,"&lt;"&amp;D427,Amostragem!$B$2:$B$15003,"Automático",Amostragem!$C$2:$C$15003,"Automático",Amostragem!$D$2:$D$15003,0)/COUNTIFS(Amostragem!$A$2:$A$15003,"&gt;="&amp;C427,Amostragem!$A$2:$A$15003,"&lt;"&amp;D427),0))</f>
        <v/>
      </c>
      <c r="I427" s="23" t="str">
        <f aca="false">IF(A427="","",IFERROR(AVERAGEIFS(Amostragem!$E$2:$E$15003,Amostragem!$A$2:$A$15003,"&gt;="&amp;C427,Amostragem!$A$2:$A$15003,"&lt;"&amp;D427),""))</f>
        <v/>
      </c>
      <c r="J427" s="24" t="str">
        <f aca="false">IF(A427="","",IF(B427="","Inválida: sem resultado MES",IF(E427&lt;Parametros!$B$4,"Inválida: poucos ensaios do módulo",IF(H427&lt;Parametros!$B$5,"Inválida: amostragem em manual ou em falha",IF(OR(I427="",I427&lt;Parametros!$B$6),"Inválida: usina parada ou baixa alimentação","Válida")))))</f>
        <v/>
      </c>
      <c r="K427" s="23" t="str">
        <f aca="false">IF(J427="Válida",F427-B427,"")</f>
        <v/>
      </c>
      <c r="L427" s="26" t="str">
        <f aca="false">IF(J427="Válida",K427/B427,"")</f>
        <v/>
      </c>
      <c r="M427" s="23" t="str">
        <f aca="false">IF(J427="Válida",(F427+B427)/2,"")</f>
        <v/>
      </c>
      <c r="N427" s="24" t="str">
        <f aca="false">IF(K427="","",IF(OR(K427&gt;Resumo!$B$16,K427&lt;Resumo!$B$15),"Sim","Não"))</f>
        <v/>
      </c>
      <c r="O427" s="22" t="e">
        <f aca="false">IF(A427="",NA(),A427)</f>
        <v>#N/A</v>
      </c>
      <c r="P427" s="23" t="e">
        <f aca="false">IF(A427="",NA(),B427)</f>
        <v>#N/A</v>
      </c>
      <c r="Q427" s="23" t="e">
        <f aca="false">IF(F427="",NA(),F427)</f>
        <v>#N/A</v>
      </c>
      <c r="R427" s="23" t="e">
        <f aca="false">IF(K427="",NA(),K427)</f>
        <v>#N/A</v>
      </c>
      <c r="S427" s="23" t="e">
        <f aca="false">IF(M427="",NA(),M427)</f>
        <v>#N/A</v>
      </c>
      <c r="T427" s="23" t="str">
        <f aca="false">IF(J427="Válida",B427,"")</f>
        <v/>
      </c>
      <c r="U427" s="23" t="str">
        <f aca="false">IF(J427="Válida",F427,"")</f>
        <v/>
      </c>
    </row>
    <row r="428" customFormat="false" ht="15" hidden="false" customHeight="false" outlineLevel="0" collapsed="false">
      <c r="A428" s="22" t="str">
        <f aca="false">IF(MES!A428="","",MES!A428)</f>
        <v/>
      </c>
      <c r="B428" s="23" t="str">
        <f aca="false">IF(A428="","",MES!B428)</f>
        <v/>
      </c>
      <c r="C428" s="22" t="str">
        <f aca="false">IF(A428="","",A428+Parametros!$B$3/24)</f>
        <v/>
      </c>
      <c r="D428" s="22" t="str">
        <f aca="false">IF(A428="","",C428+Parametros!$B$2/24)</f>
        <v/>
      </c>
      <c r="E428" s="24" t="str">
        <f aca="false">IF(A428="","",COUNTIFS(Modulo!$A$2:$A$5001,"&gt;="&amp;C428,Modulo!$A$2:$A$5001,"&lt;"&amp;D428,Modulo!$D$2:$D$5001,Parametros!$B$7))</f>
        <v/>
      </c>
      <c r="F428" s="23" t="str">
        <f aca="false">IF(A428="","",IF(E428=0,"",AVERAGEIFS(Modulo!$B$2:$B$5001,Modulo!$A$2:$A$5001,"&gt;="&amp;C428,Modulo!$A$2:$A$5001,"&lt;"&amp;D428,Modulo!$D$2:$D$5001,Parametros!$B$7)))</f>
        <v/>
      </c>
      <c r="G428" s="23" t="str">
        <f aca="false">IF(A428="","",IF(E428=0,"",AVERAGEIFS(Modulo!$C$2:$C$5001,Modulo!$A$2:$A$5001,"&gt;="&amp;C428,Modulo!$A$2:$A$5001,"&lt;"&amp;D428,Modulo!$D$2:$D$5001,Parametros!$B$7)))</f>
        <v/>
      </c>
      <c r="H428" s="25" t="str">
        <f aca="false">IF(A428="","",IFERROR(COUNTIFS(Amostragem!$A$2:$A$15003,"&gt;="&amp;C428,Amostragem!$A$2:$A$15003,"&lt;"&amp;D428,Amostragem!$B$2:$B$15003,"Automático",Amostragem!$C$2:$C$15003,"Automático",Amostragem!$D$2:$D$15003,0)/COUNTIFS(Amostragem!$A$2:$A$15003,"&gt;="&amp;C428,Amostragem!$A$2:$A$15003,"&lt;"&amp;D428),0))</f>
        <v/>
      </c>
      <c r="I428" s="23" t="str">
        <f aca="false">IF(A428="","",IFERROR(AVERAGEIFS(Amostragem!$E$2:$E$15003,Amostragem!$A$2:$A$15003,"&gt;="&amp;C428,Amostragem!$A$2:$A$15003,"&lt;"&amp;D428),""))</f>
        <v/>
      </c>
      <c r="J428" s="24" t="str">
        <f aca="false">IF(A428="","",IF(B428="","Inválida: sem resultado MES",IF(E428&lt;Parametros!$B$4,"Inválida: poucos ensaios do módulo",IF(H428&lt;Parametros!$B$5,"Inválida: amostragem em manual ou em falha",IF(OR(I428="",I428&lt;Parametros!$B$6),"Inválida: usina parada ou baixa alimentação","Válida")))))</f>
        <v/>
      </c>
      <c r="K428" s="23" t="str">
        <f aca="false">IF(J428="Válida",F428-B428,"")</f>
        <v/>
      </c>
      <c r="L428" s="26" t="str">
        <f aca="false">IF(J428="Válida",K428/B428,"")</f>
        <v/>
      </c>
      <c r="M428" s="23" t="str">
        <f aca="false">IF(J428="Válida",(F428+B428)/2,"")</f>
        <v/>
      </c>
      <c r="N428" s="24" t="str">
        <f aca="false">IF(K428="","",IF(OR(K428&gt;Resumo!$B$16,K428&lt;Resumo!$B$15),"Sim","Não"))</f>
        <v/>
      </c>
      <c r="O428" s="22" t="e">
        <f aca="false">IF(A428="",NA(),A428)</f>
        <v>#N/A</v>
      </c>
      <c r="P428" s="23" t="e">
        <f aca="false">IF(A428="",NA(),B428)</f>
        <v>#N/A</v>
      </c>
      <c r="Q428" s="23" t="e">
        <f aca="false">IF(F428="",NA(),F428)</f>
        <v>#N/A</v>
      </c>
      <c r="R428" s="23" t="e">
        <f aca="false">IF(K428="",NA(),K428)</f>
        <v>#N/A</v>
      </c>
      <c r="S428" s="23" t="e">
        <f aca="false">IF(M428="",NA(),M428)</f>
        <v>#N/A</v>
      </c>
      <c r="T428" s="23" t="str">
        <f aca="false">IF(J428="Válida",B428,"")</f>
        <v/>
      </c>
      <c r="U428" s="23" t="str">
        <f aca="false">IF(J428="Válida",F428,"")</f>
        <v/>
      </c>
    </row>
    <row r="429" customFormat="false" ht="15" hidden="false" customHeight="false" outlineLevel="0" collapsed="false">
      <c r="A429" s="22" t="str">
        <f aca="false">IF(MES!A429="","",MES!A429)</f>
        <v/>
      </c>
      <c r="B429" s="23" t="str">
        <f aca="false">IF(A429="","",MES!B429)</f>
        <v/>
      </c>
      <c r="C429" s="22" t="str">
        <f aca="false">IF(A429="","",A429+Parametros!$B$3/24)</f>
        <v/>
      </c>
      <c r="D429" s="22" t="str">
        <f aca="false">IF(A429="","",C429+Parametros!$B$2/24)</f>
        <v/>
      </c>
      <c r="E429" s="24" t="str">
        <f aca="false">IF(A429="","",COUNTIFS(Modulo!$A$2:$A$5001,"&gt;="&amp;C429,Modulo!$A$2:$A$5001,"&lt;"&amp;D429,Modulo!$D$2:$D$5001,Parametros!$B$7))</f>
        <v/>
      </c>
      <c r="F429" s="23" t="str">
        <f aca="false">IF(A429="","",IF(E429=0,"",AVERAGEIFS(Modulo!$B$2:$B$5001,Modulo!$A$2:$A$5001,"&gt;="&amp;C429,Modulo!$A$2:$A$5001,"&lt;"&amp;D429,Modulo!$D$2:$D$5001,Parametros!$B$7)))</f>
        <v/>
      </c>
      <c r="G429" s="23" t="str">
        <f aca="false">IF(A429="","",IF(E429=0,"",AVERAGEIFS(Modulo!$C$2:$C$5001,Modulo!$A$2:$A$5001,"&gt;="&amp;C429,Modulo!$A$2:$A$5001,"&lt;"&amp;D429,Modulo!$D$2:$D$5001,Parametros!$B$7)))</f>
        <v/>
      </c>
      <c r="H429" s="25" t="str">
        <f aca="false">IF(A429="","",IFERROR(COUNTIFS(Amostragem!$A$2:$A$15003,"&gt;="&amp;C429,Amostragem!$A$2:$A$15003,"&lt;"&amp;D429,Amostragem!$B$2:$B$15003,"Automático",Amostragem!$C$2:$C$15003,"Automático",Amostragem!$D$2:$D$15003,0)/COUNTIFS(Amostragem!$A$2:$A$15003,"&gt;="&amp;C429,Amostragem!$A$2:$A$15003,"&lt;"&amp;D429),0))</f>
        <v/>
      </c>
      <c r="I429" s="23" t="str">
        <f aca="false">IF(A429="","",IFERROR(AVERAGEIFS(Amostragem!$E$2:$E$15003,Amostragem!$A$2:$A$15003,"&gt;="&amp;C429,Amostragem!$A$2:$A$15003,"&lt;"&amp;D429),""))</f>
        <v/>
      </c>
      <c r="J429" s="24" t="str">
        <f aca="false">IF(A429="","",IF(B429="","Inválida: sem resultado MES",IF(E429&lt;Parametros!$B$4,"Inválida: poucos ensaios do módulo",IF(H429&lt;Parametros!$B$5,"Inválida: amostragem em manual ou em falha",IF(OR(I429="",I429&lt;Parametros!$B$6),"Inválida: usina parada ou baixa alimentação","Válida")))))</f>
        <v/>
      </c>
      <c r="K429" s="23" t="str">
        <f aca="false">IF(J429="Válida",F429-B429,"")</f>
        <v/>
      </c>
      <c r="L429" s="26" t="str">
        <f aca="false">IF(J429="Válida",K429/B429,"")</f>
        <v/>
      </c>
      <c r="M429" s="23" t="str">
        <f aca="false">IF(J429="Válida",(F429+B429)/2,"")</f>
        <v/>
      </c>
      <c r="N429" s="24" t="str">
        <f aca="false">IF(K429="","",IF(OR(K429&gt;Resumo!$B$16,K429&lt;Resumo!$B$15),"Sim","Não"))</f>
        <v/>
      </c>
      <c r="O429" s="22" t="e">
        <f aca="false">IF(A429="",NA(),A429)</f>
        <v>#N/A</v>
      </c>
      <c r="P429" s="23" t="e">
        <f aca="false">IF(A429="",NA(),B429)</f>
        <v>#N/A</v>
      </c>
      <c r="Q429" s="23" t="e">
        <f aca="false">IF(F429="",NA(),F429)</f>
        <v>#N/A</v>
      </c>
      <c r="R429" s="23" t="e">
        <f aca="false">IF(K429="",NA(),K429)</f>
        <v>#N/A</v>
      </c>
      <c r="S429" s="23" t="e">
        <f aca="false">IF(M429="",NA(),M429)</f>
        <v>#N/A</v>
      </c>
      <c r="T429" s="23" t="str">
        <f aca="false">IF(J429="Válida",B429,"")</f>
        <v/>
      </c>
      <c r="U429" s="23" t="str">
        <f aca="false">IF(J429="Válida",F429,"")</f>
        <v/>
      </c>
    </row>
    <row r="430" customFormat="false" ht="15" hidden="false" customHeight="false" outlineLevel="0" collapsed="false">
      <c r="A430" s="22" t="str">
        <f aca="false">IF(MES!A430="","",MES!A430)</f>
        <v/>
      </c>
      <c r="B430" s="23" t="str">
        <f aca="false">IF(A430="","",MES!B430)</f>
        <v/>
      </c>
      <c r="C430" s="22" t="str">
        <f aca="false">IF(A430="","",A430+Parametros!$B$3/24)</f>
        <v/>
      </c>
      <c r="D430" s="22" t="str">
        <f aca="false">IF(A430="","",C430+Parametros!$B$2/24)</f>
        <v/>
      </c>
      <c r="E430" s="24" t="str">
        <f aca="false">IF(A430="","",COUNTIFS(Modulo!$A$2:$A$5001,"&gt;="&amp;C430,Modulo!$A$2:$A$5001,"&lt;"&amp;D430,Modulo!$D$2:$D$5001,Parametros!$B$7))</f>
        <v/>
      </c>
      <c r="F430" s="23" t="str">
        <f aca="false">IF(A430="","",IF(E430=0,"",AVERAGEIFS(Modulo!$B$2:$B$5001,Modulo!$A$2:$A$5001,"&gt;="&amp;C430,Modulo!$A$2:$A$5001,"&lt;"&amp;D430,Modulo!$D$2:$D$5001,Parametros!$B$7)))</f>
        <v/>
      </c>
      <c r="G430" s="23" t="str">
        <f aca="false">IF(A430="","",IF(E430=0,"",AVERAGEIFS(Modulo!$C$2:$C$5001,Modulo!$A$2:$A$5001,"&gt;="&amp;C430,Modulo!$A$2:$A$5001,"&lt;"&amp;D430,Modulo!$D$2:$D$5001,Parametros!$B$7)))</f>
        <v/>
      </c>
      <c r="H430" s="25" t="str">
        <f aca="false">IF(A430="","",IFERROR(COUNTIFS(Amostragem!$A$2:$A$15003,"&gt;="&amp;C430,Amostragem!$A$2:$A$15003,"&lt;"&amp;D430,Amostragem!$B$2:$B$15003,"Automático",Amostragem!$C$2:$C$15003,"Automático",Amostragem!$D$2:$D$15003,0)/COUNTIFS(Amostragem!$A$2:$A$15003,"&gt;="&amp;C430,Amostragem!$A$2:$A$15003,"&lt;"&amp;D430),0))</f>
        <v/>
      </c>
      <c r="I430" s="23" t="str">
        <f aca="false">IF(A430="","",IFERROR(AVERAGEIFS(Amostragem!$E$2:$E$15003,Amostragem!$A$2:$A$15003,"&gt;="&amp;C430,Amostragem!$A$2:$A$15003,"&lt;"&amp;D430),""))</f>
        <v/>
      </c>
      <c r="J430" s="24" t="str">
        <f aca="false">IF(A430="","",IF(B430="","Inválida: sem resultado MES",IF(E430&lt;Parametros!$B$4,"Inválida: poucos ensaios do módulo",IF(H430&lt;Parametros!$B$5,"Inválida: amostragem em manual ou em falha",IF(OR(I430="",I430&lt;Parametros!$B$6),"Inválida: usina parada ou baixa alimentação","Válida")))))</f>
        <v/>
      </c>
      <c r="K430" s="23" t="str">
        <f aca="false">IF(J430="Válida",F430-B430,"")</f>
        <v/>
      </c>
      <c r="L430" s="26" t="str">
        <f aca="false">IF(J430="Válida",K430/B430,"")</f>
        <v/>
      </c>
      <c r="M430" s="23" t="str">
        <f aca="false">IF(J430="Válida",(F430+B430)/2,"")</f>
        <v/>
      </c>
      <c r="N430" s="24" t="str">
        <f aca="false">IF(K430="","",IF(OR(K430&gt;Resumo!$B$16,K430&lt;Resumo!$B$15),"Sim","Não"))</f>
        <v/>
      </c>
      <c r="O430" s="22" t="e">
        <f aca="false">IF(A430="",NA(),A430)</f>
        <v>#N/A</v>
      </c>
      <c r="P430" s="23" t="e">
        <f aca="false">IF(A430="",NA(),B430)</f>
        <v>#N/A</v>
      </c>
      <c r="Q430" s="23" t="e">
        <f aca="false">IF(F430="",NA(),F430)</f>
        <v>#N/A</v>
      </c>
      <c r="R430" s="23" t="e">
        <f aca="false">IF(K430="",NA(),K430)</f>
        <v>#N/A</v>
      </c>
      <c r="S430" s="23" t="e">
        <f aca="false">IF(M430="",NA(),M430)</f>
        <v>#N/A</v>
      </c>
      <c r="T430" s="23" t="str">
        <f aca="false">IF(J430="Válida",B430,"")</f>
        <v/>
      </c>
      <c r="U430" s="23" t="str">
        <f aca="false">IF(J430="Válida",F430,"")</f>
        <v/>
      </c>
    </row>
    <row r="431" customFormat="false" ht="15" hidden="false" customHeight="false" outlineLevel="0" collapsed="false">
      <c r="A431" s="22" t="str">
        <f aca="false">IF(MES!A431="","",MES!A431)</f>
        <v/>
      </c>
      <c r="B431" s="23" t="str">
        <f aca="false">IF(A431="","",MES!B431)</f>
        <v/>
      </c>
      <c r="C431" s="22" t="str">
        <f aca="false">IF(A431="","",A431+Parametros!$B$3/24)</f>
        <v/>
      </c>
      <c r="D431" s="22" t="str">
        <f aca="false">IF(A431="","",C431+Parametros!$B$2/24)</f>
        <v/>
      </c>
      <c r="E431" s="24" t="str">
        <f aca="false">IF(A431="","",COUNTIFS(Modulo!$A$2:$A$5001,"&gt;="&amp;C431,Modulo!$A$2:$A$5001,"&lt;"&amp;D431,Modulo!$D$2:$D$5001,Parametros!$B$7))</f>
        <v/>
      </c>
      <c r="F431" s="23" t="str">
        <f aca="false">IF(A431="","",IF(E431=0,"",AVERAGEIFS(Modulo!$B$2:$B$5001,Modulo!$A$2:$A$5001,"&gt;="&amp;C431,Modulo!$A$2:$A$5001,"&lt;"&amp;D431,Modulo!$D$2:$D$5001,Parametros!$B$7)))</f>
        <v/>
      </c>
      <c r="G431" s="23" t="str">
        <f aca="false">IF(A431="","",IF(E431=0,"",AVERAGEIFS(Modulo!$C$2:$C$5001,Modulo!$A$2:$A$5001,"&gt;="&amp;C431,Modulo!$A$2:$A$5001,"&lt;"&amp;D431,Modulo!$D$2:$D$5001,Parametros!$B$7)))</f>
        <v/>
      </c>
      <c r="H431" s="25" t="str">
        <f aca="false">IF(A431="","",IFERROR(COUNTIFS(Amostragem!$A$2:$A$15003,"&gt;="&amp;C431,Amostragem!$A$2:$A$15003,"&lt;"&amp;D431,Amostragem!$B$2:$B$15003,"Automático",Amostragem!$C$2:$C$15003,"Automático",Amostragem!$D$2:$D$15003,0)/COUNTIFS(Amostragem!$A$2:$A$15003,"&gt;="&amp;C431,Amostragem!$A$2:$A$15003,"&lt;"&amp;D431),0))</f>
        <v/>
      </c>
      <c r="I431" s="23" t="str">
        <f aca="false">IF(A431="","",IFERROR(AVERAGEIFS(Amostragem!$E$2:$E$15003,Amostragem!$A$2:$A$15003,"&gt;="&amp;C431,Amostragem!$A$2:$A$15003,"&lt;"&amp;D431),""))</f>
        <v/>
      </c>
      <c r="J431" s="24" t="str">
        <f aca="false">IF(A431="","",IF(B431="","Inválida: sem resultado MES",IF(E431&lt;Parametros!$B$4,"Inválida: poucos ensaios do módulo",IF(H431&lt;Parametros!$B$5,"Inválida: amostragem em manual ou em falha",IF(OR(I431="",I431&lt;Parametros!$B$6),"Inválida: usina parada ou baixa alimentação","Válida")))))</f>
        <v/>
      </c>
      <c r="K431" s="23" t="str">
        <f aca="false">IF(J431="Válida",F431-B431,"")</f>
        <v/>
      </c>
      <c r="L431" s="26" t="str">
        <f aca="false">IF(J431="Válida",K431/B431,"")</f>
        <v/>
      </c>
      <c r="M431" s="23" t="str">
        <f aca="false">IF(J431="Válida",(F431+B431)/2,"")</f>
        <v/>
      </c>
      <c r="N431" s="24" t="str">
        <f aca="false">IF(K431="","",IF(OR(K431&gt;Resumo!$B$16,K431&lt;Resumo!$B$15),"Sim","Não"))</f>
        <v/>
      </c>
      <c r="O431" s="22" t="e">
        <f aca="false">IF(A431="",NA(),A431)</f>
        <v>#N/A</v>
      </c>
      <c r="P431" s="23" t="e">
        <f aca="false">IF(A431="",NA(),B431)</f>
        <v>#N/A</v>
      </c>
      <c r="Q431" s="23" t="e">
        <f aca="false">IF(F431="",NA(),F431)</f>
        <v>#N/A</v>
      </c>
      <c r="R431" s="23" t="e">
        <f aca="false">IF(K431="",NA(),K431)</f>
        <v>#N/A</v>
      </c>
      <c r="S431" s="23" t="e">
        <f aca="false">IF(M431="",NA(),M431)</f>
        <v>#N/A</v>
      </c>
      <c r="T431" s="23" t="str">
        <f aca="false">IF(J431="Válida",B431,"")</f>
        <v/>
      </c>
      <c r="U431" s="23" t="str">
        <f aca="false">IF(J431="Válida",F431,"")</f>
        <v/>
      </c>
    </row>
    <row r="432" customFormat="false" ht="15" hidden="false" customHeight="false" outlineLevel="0" collapsed="false">
      <c r="A432" s="22" t="str">
        <f aca="false">IF(MES!A432="","",MES!A432)</f>
        <v/>
      </c>
      <c r="B432" s="23" t="str">
        <f aca="false">IF(A432="","",MES!B432)</f>
        <v/>
      </c>
      <c r="C432" s="22" t="str">
        <f aca="false">IF(A432="","",A432+Parametros!$B$3/24)</f>
        <v/>
      </c>
      <c r="D432" s="22" t="str">
        <f aca="false">IF(A432="","",C432+Parametros!$B$2/24)</f>
        <v/>
      </c>
      <c r="E432" s="24" t="str">
        <f aca="false">IF(A432="","",COUNTIFS(Modulo!$A$2:$A$5001,"&gt;="&amp;C432,Modulo!$A$2:$A$5001,"&lt;"&amp;D432,Modulo!$D$2:$D$5001,Parametros!$B$7))</f>
        <v/>
      </c>
      <c r="F432" s="23" t="str">
        <f aca="false">IF(A432="","",IF(E432=0,"",AVERAGEIFS(Modulo!$B$2:$B$5001,Modulo!$A$2:$A$5001,"&gt;="&amp;C432,Modulo!$A$2:$A$5001,"&lt;"&amp;D432,Modulo!$D$2:$D$5001,Parametros!$B$7)))</f>
        <v/>
      </c>
      <c r="G432" s="23" t="str">
        <f aca="false">IF(A432="","",IF(E432=0,"",AVERAGEIFS(Modulo!$C$2:$C$5001,Modulo!$A$2:$A$5001,"&gt;="&amp;C432,Modulo!$A$2:$A$5001,"&lt;"&amp;D432,Modulo!$D$2:$D$5001,Parametros!$B$7)))</f>
        <v/>
      </c>
      <c r="H432" s="25" t="str">
        <f aca="false">IF(A432="","",IFERROR(COUNTIFS(Amostragem!$A$2:$A$15003,"&gt;="&amp;C432,Amostragem!$A$2:$A$15003,"&lt;"&amp;D432,Amostragem!$B$2:$B$15003,"Automático",Amostragem!$C$2:$C$15003,"Automático",Amostragem!$D$2:$D$15003,0)/COUNTIFS(Amostragem!$A$2:$A$15003,"&gt;="&amp;C432,Amostragem!$A$2:$A$15003,"&lt;"&amp;D432),0))</f>
        <v/>
      </c>
      <c r="I432" s="23" t="str">
        <f aca="false">IF(A432="","",IFERROR(AVERAGEIFS(Amostragem!$E$2:$E$15003,Amostragem!$A$2:$A$15003,"&gt;="&amp;C432,Amostragem!$A$2:$A$15003,"&lt;"&amp;D432),""))</f>
        <v/>
      </c>
      <c r="J432" s="24" t="str">
        <f aca="false">IF(A432="","",IF(B432="","Inválida: sem resultado MES",IF(E432&lt;Parametros!$B$4,"Inválida: poucos ensaios do módulo",IF(H432&lt;Parametros!$B$5,"Inválida: amostragem em manual ou em falha",IF(OR(I432="",I432&lt;Parametros!$B$6),"Inválida: usina parada ou baixa alimentação","Válida")))))</f>
        <v/>
      </c>
      <c r="K432" s="23" t="str">
        <f aca="false">IF(J432="Válida",F432-B432,"")</f>
        <v/>
      </c>
      <c r="L432" s="26" t="str">
        <f aca="false">IF(J432="Válida",K432/B432,"")</f>
        <v/>
      </c>
      <c r="M432" s="23" t="str">
        <f aca="false">IF(J432="Válida",(F432+B432)/2,"")</f>
        <v/>
      </c>
      <c r="N432" s="24" t="str">
        <f aca="false">IF(K432="","",IF(OR(K432&gt;Resumo!$B$16,K432&lt;Resumo!$B$15),"Sim","Não"))</f>
        <v/>
      </c>
      <c r="O432" s="22" t="e">
        <f aca="false">IF(A432="",NA(),A432)</f>
        <v>#N/A</v>
      </c>
      <c r="P432" s="23" t="e">
        <f aca="false">IF(A432="",NA(),B432)</f>
        <v>#N/A</v>
      </c>
      <c r="Q432" s="23" t="e">
        <f aca="false">IF(F432="",NA(),F432)</f>
        <v>#N/A</v>
      </c>
      <c r="R432" s="23" t="e">
        <f aca="false">IF(K432="",NA(),K432)</f>
        <v>#N/A</v>
      </c>
      <c r="S432" s="23" t="e">
        <f aca="false">IF(M432="",NA(),M432)</f>
        <v>#N/A</v>
      </c>
      <c r="T432" s="23" t="str">
        <f aca="false">IF(J432="Válida",B432,"")</f>
        <v/>
      </c>
      <c r="U432" s="23" t="str">
        <f aca="false">IF(J432="Válida",F432,"")</f>
        <v/>
      </c>
    </row>
    <row r="433" customFormat="false" ht="15" hidden="false" customHeight="false" outlineLevel="0" collapsed="false">
      <c r="A433" s="22" t="str">
        <f aca="false">IF(MES!A433="","",MES!A433)</f>
        <v/>
      </c>
      <c r="B433" s="23" t="str">
        <f aca="false">IF(A433="","",MES!B433)</f>
        <v/>
      </c>
      <c r="C433" s="22" t="str">
        <f aca="false">IF(A433="","",A433+Parametros!$B$3/24)</f>
        <v/>
      </c>
      <c r="D433" s="22" t="str">
        <f aca="false">IF(A433="","",C433+Parametros!$B$2/24)</f>
        <v/>
      </c>
      <c r="E433" s="24" t="str">
        <f aca="false">IF(A433="","",COUNTIFS(Modulo!$A$2:$A$5001,"&gt;="&amp;C433,Modulo!$A$2:$A$5001,"&lt;"&amp;D433,Modulo!$D$2:$D$5001,Parametros!$B$7))</f>
        <v/>
      </c>
      <c r="F433" s="23" t="str">
        <f aca="false">IF(A433="","",IF(E433=0,"",AVERAGEIFS(Modulo!$B$2:$B$5001,Modulo!$A$2:$A$5001,"&gt;="&amp;C433,Modulo!$A$2:$A$5001,"&lt;"&amp;D433,Modulo!$D$2:$D$5001,Parametros!$B$7)))</f>
        <v/>
      </c>
      <c r="G433" s="23" t="str">
        <f aca="false">IF(A433="","",IF(E433=0,"",AVERAGEIFS(Modulo!$C$2:$C$5001,Modulo!$A$2:$A$5001,"&gt;="&amp;C433,Modulo!$A$2:$A$5001,"&lt;"&amp;D433,Modulo!$D$2:$D$5001,Parametros!$B$7)))</f>
        <v/>
      </c>
      <c r="H433" s="25" t="str">
        <f aca="false">IF(A433="","",IFERROR(COUNTIFS(Amostragem!$A$2:$A$15003,"&gt;="&amp;C433,Amostragem!$A$2:$A$15003,"&lt;"&amp;D433,Amostragem!$B$2:$B$15003,"Automático",Amostragem!$C$2:$C$15003,"Automático",Amostragem!$D$2:$D$15003,0)/COUNTIFS(Amostragem!$A$2:$A$15003,"&gt;="&amp;C433,Amostragem!$A$2:$A$15003,"&lt;"&amp;D433),0))</f>
        <v/>
      </c>
      <c r="I433" s="23" t="str">
        <f aca="false">IF(A433="","",IFERROR(AVERAGEIFS(Amostragem!$E$2:$E$15003,Amostragem!$A$2:$A$15003,"&gt;="&amp;C433,Amostragem!$A$2:$A$15003,"&lt;"&amp;D433),""))</f>
        <v/>
      </c>
      <c r="J433" s="24" t="str">
        <f aca="false">IF(A433="","",IF(B433="","Inválida: sem resultado MES",IF(E433&lt;Parametros!$B$4,"Inválida: poucos ensaios do módulo",IF(H433&lt;Parametros!$B$5,"Inválida: amostragem em manual ou em falha",IF(OR(I433="",I433&lt;Parametros!$B$6),"Inválida: usina parada ou baixa alimentação","Válida")))))</f>
        <v/>
      </c>
      <c r="K433" s="23" t="str">
        <f aca="false">IF(J433="Válida",F433-B433,"")</f>
        <v/>
      </c>
      <c r="L433" s="26" t="str">
        <f aca="false">IF(J433="Válida",K433/B433,"")</f>
        <v/>
      </c>
      <c r="M433" s="23" t="str">
        <f aca="false">IF(J433="Válida",(F433+B433)/2,"")</f>
        <v/>
      </c>
      <c r="N433" s="24" t="str">
        <f aca="false">IF(K433="","",IF(OR(K433&gt;Resumo!$B$16,K433&lt;Resumo!$B$15),"Sim","Não"))</f>
        <v/>
      </c>
      <c r="O433" s="22" t="e">
        <f aca="false">IF(A433="",NA(),A433)</f>
        <v>#N/A</v>
      </c>
      <c r="P433" s="23" t="e">
        <f aca="false">IF(A433="",NA(),B433)</f>
        <v>#N/A</v>
      </c>
      <c r="Q433" s="23" t="e">
        <f aca="false">IF(F433="",NA(),F433)</f>
        <v>#N/A</v>
      </c>
      <c r="R433" s="23" t="e">
        <f aca="false">IF(K433="",NA(),K433)</f>
        <v>#N/A</v>
      </c>
      <c r="S433" s="23" t="e">
        <f aca="false">IF(M433="",NA(),M433)</f>
        <v>#N/A</v>
      </c>
      <c r="T433" s="23" t="str">
        <f aca="false">IF(J433="Válida",B433,"")</f>
        <v/>
      </c>
      <c r="U433" s="23" t="str">
        <f aca="false">IF(J433="Válida",F433,"")</f>
        <v/>
      </c>
    </row>
    <row r="434" customFormat="false" ht="15" hidden="false" customHeight="false" outlineLevel="0" collapsed="false">
      <c r="A434" s="22" t="str">
        <f aca="false">IF(MES!A434="","",MES!A434)</f>
        <v/>
      </c>
      <c r="B434" s="23" t="str">
        <f aca="false">IF(A434="","",MES!B434)</f>
        <v/>
      </c>
      <c r="C434" s="22" t="str">
        <f aca="false">IF(A434="","",A434+Parametros!$B$3/24)</f>
        <v/>
      </c>
      <c r="D434" s="22" t="str">
        <f aca="false">IF(A434="","",C434+Parametros!$B$2/24)</f>
        <v/>
      </c>
      <c r="E434" s="24" t="str">
        <f aca="false">IF(A434="","",COUNTIFS(Modulo!$A$2:$A$5001,"&gt;="&amp;C434,Modulo!$A$2:$A$5001,"&lt;"&amp;D434,Modulo!$D$2:$D$5001,Parametros!$B$7))</f>
        <v/>
      </c>
      <c r="F434" s="23" t="str">
        <f aca="false">IF(A434="","",IF(E434=0,"",AVERAGEIFS(Modulo!$B$2:$B$5001,Modulo!$A$2:$A$5001,"&gt;="&amp;C434,Modulo!$A$2:$A$5001,"&lt;"&amp;D434,Modulo!$D$2:$D$5001,Parametros!$B$7)))</f>
        <v/>
      </c>
      <c r="G434" s="23" t="str">
        <f aca="false">IF(A434="","",IF(E434=0,"",AVERAGEIFS(Modulo!$C$2:$C$5001,Modulo!$A$2:$A$5001,"&gt;="&amp;C434,Modulo!$A$2:$A$5001,"&lt;"&amp;D434,Modulo!$D$2:$D$5001,Parametros!$B$7)))</f>
        <v/>
      </c>
      <c r="H434" s="25" t="str">
        <f aca="false">IF(A434="","",IFERROR(COUNTIFS(Amostragem!$A$2:$A$15003,"&gt;="&amp;C434,Amostragem!$A$2:$A$15003,"&lt;"&amp;D434,Amostragem!$B$2:$B$15003,"Automático",Amostragem!$C$2:$C$15003,"Automático",Amostragem!$D$2:$D$15003,0)/COUNTIFS(Amostragem!$A$2:$A$15003,"&gt;="&amp;C434,Amostragem!$A$2:$A$15003,"&lt;"&amp;D434),0))</f>
        <v/>
      </c>
      <c r="I434" s="23" t="str">
        <f aca="false">IF(A434="","",IFERROR(AVERAGEIFS(Amostragem!$E$2:$E$15003,Amostragem!$A$2:$A$15003,"&gt;="&amp;C434,Amostragem!$A$2:$A$15003,"&lt;"&amp;D434),""))</f>
        <v/>
      </c>
      <c r="J434" s="24" t="str">
        <f aca="false">IF(A434="","",IF(B434="","Inválida: sem resultado MES",IF(E434&lt;Parametros!$B$4,"Inválida: poucos ensaios do módulo",IF(H434&lt;Parametros!$B$5,"Inválida: amostragem em manual ou em falha",IF(OR(I434="",I434&lt;Parametros!$B$6),"Inválida: usina parada ou baixa alimentação","Válida")))))</f>
        <v/>
      </c>
      <c r="K434" s="23" t="str">
        <f aca="false">IF(J434="Válida",F434-B434,"")</f>
        <v/>
      </c>
      <c r="L434" s="26" t="str">
        <f aca="false">IF(J434="Válida",K434/B434,"")</f>
        <v/>
      </c>
      <c r="M434" s="23" t="str">
        <f aca="false">IF(J434="Válida",(F434+B434)/2,"")</f>
        <v/>
      </c>
      <c r="N434" s="24" t="str">
        <f aca="false">IF(K434="","",IF(OR(K434&gt;Resumo!$B$16,K434&lt;Resumo!$B$15),"Sim","Não"))</f>
        <v/>
      </c>
      <c r="O434" s="22" t="e">
        <f aca="false">IF(A434="",NA(),A434)</f>
        <v>#N/A</v>
      </c>
      <c r="P434" s="23" t="e">
        <f aca="false">IF(A434="",NA(),B434)</f>
        <v>#N/A</v>
      </c>
      <c r="Q434" s="23" t="e">
        <f aca="false">IF(F434="",NA(),F434)</f>
        <v>#N/A</v>
      </c>
      <c r="R434" s="23" t="e">
        <f aca="false">IF(K434="",NA(),K434)</f>
        <v>#N/A</v>
      </c>
      <c r="S434" s="23" t="e">
        <f aca="false">IF(M434="",NA(),M434)</f>
        <v>#N/A</v>
      </c>
      <c r="T434" s="23" t="str">
        <f aca="false">IF(J434="Válida",B434,"")</f>
        <v/>
      </c>
      <c r="U434" s="23" t="str">
        <f aca="false">IF(J434="Válida",F434,"")</f>
        <v/>
      </c>
    </row>
    <row r="435" customFormat="false" ht="15" hidden="false" customHeight="false" outlineLevel="0" collapsed="false">
      <c r="A435" s="22" t="str">
        <f aca="false">IF(MES!A435="","",MES!A435)</f>
        <v/>
      </c>
      <c r="B435" s="23" t="str">
        <f aca="false">IF(A435="","",MES!B435)</f>
        <v/>
      </c>
      <c r="C435" s="22" t="str">
        <f aca="false">IF(A435="","",A435+Parametros!$B$3/24)</f>
        <v/>
      </c>
      <c r="D435" s="22" t="str">
        <f aca="false">IF(A435="","",C435+Parametros!$B$2/24)</f>
        <v/>
      </c>
      <c r="E435" s="24" t="str">
        <f aca="false">IF(A435="","",COUNTIFS(Modulo!$A$2:$A$5001,"&gt;="&amp;C435,Modulo!$A$2:$A$5001,"&lt;"&amp;D435,Modulo!$D$2:$D$5001,Parametros!$B$7))</f>
        <v/>
      </c>
      <c r="F435" s="23" t="str">
        <f aca="false">IF(A435="","",IF(E435=0,"",AVERAGEIFS(Modulo!$B$2:$B$5001,Modulo!$A$2:$A$5001,"&gt;="&amp;C435,Modulo!$A$2:$A$5001,"&lt;"&amp;D435,Modulo!$D$2:$D$5001,Parametros!$B$7)))</f>
        <v/>
      </c>
      <c r="G435" s="23" t="str">
        <f aca="false">IF(A435="","",IF(E435=0,"",AVERAGEIFS(Modulo!$C$2:$C$5001,Modulo!$A$2:$A$5001,"&gt;="&amp;C435,Modulo!$A$2:$A$5001,"&lt;"&amp;D435,Modulo!$D$2:$D$5001,Parametros!$B$7)))</f>
        <v/>
      </c>
      <c r="H435" s="25" t="str">
        <f aca="false">IF(A435="","",IFERROR(COUNTIFS(Amostragem!$A$2:$A$15003,"&gt;="&amp;C435,Amostragem!$A$2:$A$15003,"&lt;"&amp;D435,Amostragem!$B$2:$B$15003,"Automático",Amostragem!$C$2:$C$15003,"Automático",Amostragem!$D$2:$D$15003,0)/COUNTIFS(Amostragem!$A$2:$A$15003,"&gt;="&amp;C435,Amostragem!$A$2:$A$15003,"&lt;"&amp;D435),0))</f>
        <v/>
      </c>
      <c r="I435" s="23" t="str">
        <f aca="false">IF(A435="","",IFERROR(AVERAGEIFS(Amostragem!$E$2:$E$15003,Amostragem!$A$2:$A$15003,"&gt;="&amp;C435,Amostragem!$A$2:$A$15003,"&lt;"&amp;D435),""))</f>
        <v/>
      </c>
      <c r="J435" s="24" t="str">
        <f aca="false">IF(A435="","",IF(B435="","Inválida: sem resultado MES",IF(E435&lt;Parametros!$B$4,"Inválida: poucos ensaios do módulo",IF(H435&lt;Parametros!$B$5,"Inválida: amostragem em manual ou em falha",IF(OR(I435="",I435&lt;Parametros!$B$6),"Inválida: usina parada ou baixa alimentação","Válida")))))</f>
        <v/>
      </c>
      <c r="K435" s="23" t="str">
        <f aca="false">IF(J435="Válida",F435-B435,"")</f>
        <v/>
      </c>
      <c r="L435" s="26" t="str">
        <f aca="false">IF(J435="Válida",K435/B435,"")</f>
        <v/>
      </c>
      <c r="M435" s="23" t="str">
        <f aca="false">IF(J435="Válida",(F435+B435)/2,"")</f>
        <v/>
      </c>
      <c r="N435" s="24" t="str">
        <f aca="false">IF(K435="","",IF(OR(K435&gt;Resumo!$B$16,K435&lt;Resumo!$B$15),"Sim","Não"))</f>
        <v/>
      </c>
      <c r="O435" s="22" t="e">
        <f aca="false">IF(A435="",NA(),A435)</f>
        <v>#N/A</v>
      </c>
      <c r="P435" s="23" t="e">
        <f aca="false">IF(A435="",NA(),B435)</f>
        <v>#N/A</v>
      </c>
      <c r="Q435" s="23" t="e">
        <f aca="false">IF(F435="",NA(),F435)</f>
        <v>#N/A</v>
      </c>
      <c r="R435" s="23" t="e">
        <f aca="false">IF(K435="",NA(),K435)</f>
        <v>#N/A</v>
      </c>
      <c r="S435" s="23" t="e">
        <f aca="false">IF(M435="",NA(),M435)</f>
        <v>#N/A</v>
      </c>
      <c r="T435" s="23" t="str">
        <f aca="false">IF(J435="Válida",B435,"")</f>
        <v/>
      </c>
      <c r="U435" s="23" t="str">
        <f aca="false">IF(J435="Válida",F435,"")</f>
        <v/>
      </c>
    </row>
    <row r="436" customFormat="false" ht="15" hidden="false" customHeight="false" outlineLevel="0" collapsed="false">
      <c r="A436" s="22" t="str">
        <f aca="false">IF(MES!A436="","",MES!A436)</f>
        <v/>
      </c>
      <c r="B436" s="23" t="str">
        <f aca="false">IF(A436="","",MES!B436)</f>
        <v/>
      </c>
      <c r="C436" s="22" t="str">
        <f aca="false">IF(A436="","",A436+Parametros!$B$3/24)</f>
        <v/>
      </c>
      <c r="D436" s="22" t="str">
        <f aca="false">IF(A436="","",C436+Parametros!$B$2/24)</f>
        <v/>
      </c>
      <c r="E436" s="24" t="str">
        <f aca="false">IF(A436="","",COUNTIFS(Modulo!$A$2:$A$5001,"&gt;="&amp;C436,Modulo!$A$2:$A$5001,"&lt;"&amp;D436,Modulo!$D$2:$D$5001,Parametros!$B$7))</f>
        <v/>
      </c>
      <c r="F436" s="23" t="str">
        <f aca="false">IF(A436="","",IF(E436=0,"",AVERAGEIFS(Modulo!$B$2:$B$5001,Modulo!$A$2:$A$5001,"&gt;="&amp;C436,Modulo!$A$2:$A$5001,"&lt;"&amp;D436,Modulo!$D$2:$D$5001,Parametros!$B$7)))</f>
        <v/>
      </c>
      <c r="G436" s="23" t="str">
        <f aca="false">IF(A436="","",IF(E436=0,"",AVERAGEIFS(Modulo!$C$2:$C$5001,Modulo!$A$2:$A$5001,"&gt;="&amp;C436,Modulo!$A$2:$A$5001,"&lt;"&amp;D436,Modulo!$D$2:$D$5001,Parametros!$B$7)))</f>
        <v/>
      </c>
      <c r="H436" s="25" t="str">
        <f aca="false">IF(A436="","",IFERROR(COUNTIFS(Amostragem!$A$2:$A$15003,"&gt;="&amp;C436,Amostragem!$A$2:$A$15003,"&lt;"&amp;D436,Amostragem!$B$2:$B$15003,"Automático",Amostragem!$C$2:$C$15003,"Automático",Amostragem!$D$2:$D$15003,0)/COUNTIFS(Amostragem!$A$2:$A$15003,"&gt;="&amp;C436,Amostragem!$A$2:$A$15003,"&lt;"&amp;D436),0))</f>
        <v/>
      </c>
      <c r="I436" s="23" t="str">
        <f aca="false">IF(A436="","",IFERROR(AVERAGEIFS(Amostragem!$E$2:$E$15003,Amostragem!$A$2:$A$15003,"&gt;="&amp;C436,Amostragem!$A$2:$A$15003,"&lt;"&amp;D436),""))</f>
        <v/>
      </c>
      <c r="J436" s="24" t="str">
        <f aca="false">IF(A436="","",IF(B436="","Inválida: sem resultado MES",IF(E436&lt;Parametros!$B$4,"Inválida: poucos ensaios do módulo",IF(H436&lt;Parametros!$B$5,"Inválida: amostragem em manual ou em falha",IF(OR(I436="",I436&lt;Parametros!$B$6),"Inválida: usina parada ou baixa alimentação","Válida")))))</f>
        <v/>
      </c>
      <c r="K436" s="23" t="str">
        <f aca="false">IF(J436="Válida",F436-B436,"")</f>
        <v/>
      </c>
      <c r="L436" s="26" t="str">
        <f aca="false">IF(J436="Válida",K436/B436,"")</f>
        <v/>
      </c>
      <c r="M436" s="23" t="str">
        <f aca="false">IF(J436="Válida",(F436+B436)/2,"")</f>
        <v/>
      </c>
      <c r="N436" s="24" t="str">
        <f aca="false">IF(K436="","",IF(OR(K436&gt;Resumo!$B$16,K436&lt;Resumo!$B$15),"Sim","Não"))</f>
        <v/>
      </c>
      <c r="O436" s="22" t="e">
        <f aca="false">IF(A436="",NA(),A436)</f>
        <v>#N/A</v>
      </c>
      <c r="P436" s="23" t="e">
        <f aca="false">IF(A436="",NA(),B436)</f>
        <v>#N/A</v>
      </c>
      <c r="Q436" s="23" t="e">
        <f aca="false">IF(F436="",NA(),F436)</f>
        <v>#N/A</v>
      </c>
      <c r="R436" s="23" t="e">
        <f aca="false">IF(K436="",NA(),K436)</f>
        <v>#N/A</v>
      </c>
      <c r="S436" s="23" t="e">
        <f aca="false">IF(M436="",NA(),M436)</f>
        <v>#N/A</v>
      </c>
      <c r="T436" s="23" t="str">
        <f aca="false">IF(J436="Válida",B436,"")</f>
        <v/>
      </c>
      <c r="U436" s="23" t="str">
        <f aca="false">IF(J436="Válida",F436,"")</f>
        <v/>
      </c>
    </row>
    <row r="437" customFormat="false" ht="15" hidden="false" customHeight="false" outlineLevel="0" collapsed="false">
      <c r="A437" s="22" t="str">
        <f aca="false">IF(MES!A437="","",MES!A437)</f>
        <v/>
      </c>
      <c r="B437" s="23" t="str">
        <f aca="false">IF(A437="","",MES!B437)</f>
        <v/>
      </c>
      <c r="C437" s="22" t="str">
        <f aca="false">IF(A437="","",A437+Parametros!$B$3/24)</f>
        <v/>
      </c>
      <c r="D437" s="22" t="str">
        <f aca="false">IF(A437="","",C437+Parametros!$B$2/24)</f>
        <v/>
      </c>
      <c r="E437" s="24" t="str">
        <f aca="false">IF(A437="","",COUNTIFS(Modulo!$A$2:$A$5001,"&gt;="&amp;C437,Modulo!$A$2:$A$5001,"&lt;"&amp;D437,Modulo!$D$2:$D$5001,Parametros!$B$7))</f>
        <v/>
      </c>
      <c r="F437" s="23" t="str">
        <f aca="false">IF(A437="","",IF(E437=0,"",AVERAGEIFS(Modulo!$B$2:$B$5001,Modulo!$A$2:$A$5001,"&gt;="&amp;C437,Modulo!$A$2:$A$5001,"&lt;"&amp;D437,Modulo!$D$2:$D$5001,Parametros!$B$7)))</f>
        <v/>
      </c>
      <c r="G437" s="23" t="str">
        <f aca="false">IF(A437="","",IF(E437=0,"",AVERAGEIFS(Modulo!$C$2:$C$5001,Modulo!$A$2:$A$5001,"&gt;="&amp;C437,Modulo!$A$2:$A$5001,"&lt;"&amp;D437,Modulo!$D$2:$D$5001,Parametros!$B$7)))</f>
        <v/>
      </c>
      <c r="H437" s="25" t="str">
        <f aca="false">IF(A437="","",IFERROR(COUNTIFS(Amostragem!$A$2:$A$15003,"&gt;="&amp;C437,Amostragem!$A$2:$A$15003,"&lt;"&amp;D437,Amostragem!$B$2:$B$15003,"Automático",Amostragem!$C$2:$C$15003,"Automático",Amostragem!$D$2:$D$15003,0)/COUNTIFS(Amostragem!$A$2:$A$15003,"&gt;="&amp;C437,Amostragem!$A$2:$A$15003,"&lt;"&amp;D437),0))</f>
        <v/>
      </c>
      <c r="I437" s="23" t="str">
        <f aca="false">IF(A437="","",IFERROR(AVERAGEIFS(Amostragem!$E$2:$E$15003,Amostragem!$A$2:$A$15003,"&gt;="&amp;C437,Amostragem!$A$2:$A$15003,"&lt;"&amp;D437),""))</f>
        <v/>
      </c>
      <c r="J437" s="24" t="str">
        <f aca="false">IF(A437="","",IF(B437="","Inválida: sem resultado MES",IF(E437&lt;Parametros!$B$4,"Inválida: poucos ensaios do módulo",IF(H437&lt;Parametros!$B$5,"Inválida: amostragem em manual ou em falha",IF(OR(I437="",I437&lt;Parametros!$B$6),"Inválida: usina parada ou baixa alimentação","Válida")))))</f>
        <v/>
      </c>
      <c r="K437" s="23" t="str">
        <f aca="false">IF(J437="Válida",F437-B437,"")</f>
        <v/>
      </c>
      <c r="L437" s="26" t="str">
        <f aca="false">IF(J437="Válida",K437/B437,"")</f>
        <v/>
      </c>
      <c r="M437" s="23" t="str">
        <f aca="false">IF(J437="Válida",(F437+B437)/2,"")</f>
        <v/>
      </c>
      <c r="N437" s="24" t="str">
        <f aca="false">IF(K437="","",IF(OR(K437&gt;Resumo!$B$16,K437&lt;Resumo!$B$15),"Sim","Não"))</f>
        <v/>
      </c>
      <c r="O437" s="22" t="e">
        <f aca="false">IF(A437="",NA(),A437)</f>
        <v>#N/A</v>
      </c>
      <c r="P437" s="23" t="e">
        <f aca="false">IF(A437="",NA(),B437)</f>
        <v>#N/A</v>
      </c>
      <c r="Q437" s="23" t="e">
        <f aca="false">IF(F437="",NA(),F437)</f>
        <v>#N/A</v>
      </c>
      <c r="R437" s="23" t="e">
        <f aca="false">IF(K437="",NA(),K437)</f>
        <v>#N/A</v>
      </c>
      <c r="S437" s="23" t="e">
        <f aca="false">IF(M437="",NA(),M437)</f>
        <v>#N/A</v>
      </c>
      <c r="T437" s="23" t="str">
        <f aca="false">IF(J437="Válida",B437,"")</f>
        <v/>
      </c>
      <c r="U437" s="23" t="str">
        <f aca="false">IF(J437="Válida",F437,"")</f>
        <v/>
      </c>
    </row>
    <row r="438" customFormat="false" ht="15" hidden="false" customHeight="false" outlineLevel="0" collapsed="false">
      <c r="A438" s="22" t="str">
        <f aca="false">IF(MES!A438="","",MES!A438)</f>
        <v/>
      </c>
      <c r="B438" s="23" t="str">
        <f aca="false">IF(A438="","",MES!B438)</f>
        <v/>
      </c>
      <c r="C438" s="22" t="str">
        <f aca="false">IF(A438="","",A438+Parametros!$B$3/24)</f>
        <v/>
      </c>
      <c r="D438" s="22" t="str">
        <f aca="false">IF(A438="","",C438+Parametros!$B$2/24)</f>
        <v/>
      </c>
      <c r="E438" s="24" t="str">
        <f aca="false">IF(A438="","",COUNTIFS(Modulo!$A$2:$A$5001,"&gt;="&amp;C438,Modulo!$A$2:$A$5001,"&lt;"&amp;D438,Modulo!$D$2:$D$5001,Parametros!$B$7))</f>
        <v/>
      </c>
      <c r="F438" s="23" t="str">
        <f aca="false">IF(A438="","",IF(E438=0,"",AVERAGEIFS(Modulo!$B$2:$B$5001,Modulo!$A$2:$A$5001,"&gt;="&amp;C438,Modulo!$A$2:$A$5001,"&lt;"&amp;D438,Modulo!$D$2:$D$5001,Parametros!$B$7)))</f>
        <v/>
      </c>
      <c r="G438" s="23" t="str">
        <f aca="false">IF(A438="","",IF(E438=0,"",AVERAGEIFS(Modulo!$C$2:$C$5001,Modulo!$A$2:$A$5001,"&gt;="&amp;C438,Modulo!$A$2:$A$5001,"&lt;"&amp;D438,Modulo!$D$2:$D$5001,Parametros!$B$7)))</f>
        <v/>
      </c>
      <c r="H438" s="25" t="str">
        <f aca="false">IF(A438="","",IFERROR(COUNTIFS(Amostragem!$A$2:$A$15003,"&gt;="&amp;C438,Amostragem!$A$2:$A$15003,"&lt;"&amp;D438,Amostragem!$B$2:$B$15003,"Automático",Amostragem!$C$2:$C$15003,"Automático",Amostragem!$D$2:$D$15003,0)/COUNTIFS(Amostragem!$A$2:$A$15003,"&gt;="&amp;C438,Amostragem!$A$2:$A$15003,"&lt;"&amp;D438),0))</f>
        <v/>
      </c>
      <c r="I438" s="23" t="str">
        <f aca="false">IF(A438="","",IFERROR(AVERAGEIFS(Amostragem!$E$2:$E$15003,Amostragem!$A$2:$A$15003,"&gt;="&amp;C438,Amostragem!$A$2:$A$15003,"&lt;"&amp;D438),""))</f>
        <v/>
      </c>
      <c r="J438" s="24" t="str">
        <f aca="false">IF(A438="","",IF(B438="","Inválida: sem resultado MES",IF(E438&lt;Parametros!$B$4,"Inválida: poucos ensaios do módulo",IF(H438&lt;Parametros!$B$5,"Inválida: amostragem em manual ou em falha",IF(OR(I438="",I438&lt;Parametros!$B$6),"Inválida: usina parada ou baixa alimentação","Válida")))))</f>
        <v/>
      </c>
      <c r="K438" s="23" t="str">
        <f aca="false">IF(J438="Válida",F438-B438,"")</f>
        <v/>
      </c>
      <c r="L438" s="26" t="str">
        <f aca="false">IF(J438="Válida",K438/B438,"")</f>
        <v/>
      </c>
      <c r="M438" s="23" t="str">
        <f aca="false">IF(J438="Válida",(F438+B438)/2,"")</f>
        <v/>
      </c>
      <c r="N438" s="24" t="str">
        <f aca="false">IF(K438="","",IF(OR(K438&gt;Resumo!$B$16,K438&lt;Resumo!$B$15),"Sim","Não"))</f>
        <v/>
      </c>
      <c r="O438" s="22" t="e">
        <f aca="false">IF(A438="",NA(),A438)</f>
        <v>#N/A</v>
      </c>
      <c r="P438" s="23" t="e">
        <f aca="false">IF(A438="",NA(),B438)</f>
        <v>#N/A</v>
      </c>
      <c r="Q438" s="23" t="e">
        <f aca="false">IF(F438="",NA(),F438)</f>
        <v>#N/A</v>
      </c>
      <c r="R438" s="23" t="e">
        <f aca="false">IF(K438="",NA(),K438)</f>
        <v>#N/A</v>
      </c>
      <c r="S438" s="23" t="e">
        <f aca="false">IF(M438="",NA(),M438)</f>
        <v>#N/A</v>
      </c>
      <c r="T438" s="23" t="str">
        <f aca="false">IF(J438="Válida",B438,"")</f>
        <v/>
      </c>
      <c r="U438" s="23" t="str">
        <f aca="false">IF(J438="Válida",F438,"")</f>
        <v/>
      </c>
    </row>
    <row r="439" customFormat="false" ht="15" hidden="false" customHeight="false" outlineLevel="0" collapsed="false">
      <c r="A439" s="22" t="str">
        <f aca="false">IF(MES!A439="","",MES!A439)</f>
        <v/>
      </c>
      <c r="B439" s="23" t="str">
        <f aca="false">IF(A439="","",MES!B439)</f>
        <v/>
      </c>
      <c r="C439" s="22" t="str">
        <f aca="false">IF(A439="","",A439+Parametros!$B$3/24)</f>
        <v/>
      </c>
      <c r="D439" s="22" t="str">
        <f aca="false">IF(A439="","",C439+Parametros!$B$2/24)</f>
        <v/>
      </c>
      <c r="E439" s="24" t="str">
        <f aca="false">IF(A439="","",COUNTIFS(Modulo!$A$2:$A$5001,"&gt;="&amp;C439,Modulo!$A$2:$A$5001,"&lt;"&amp;D439,Modulo!$D$2:$D$5001,Parametros!$B$7))</f>
        <v/>
      </c>
      <c r="F439" s="23" t="str">
        <f aca="false">IF(A439="","",IF(E439=0,"",AVERAGEIFS(Modulo!$B$2:$B$5001,Modulo!$A$2:$A$5001,"&gt;="&amp;C439,Modulo!$A$2:$A$5001,"&lt;"&amp;D439,Modulo!$D$2:$D$5001,Parametros!$B$7)))</f>
        <v/>
      </c>
      <c r="G439" s="23" t="str">
        <f aca="false">IF(A439="","",IF(E439=0,"",AVERAGEIFS(Modulo!$C$2:$C$5001,Modulo!$A$2:$A$5001,"&gt;="&amp;C439,Modulo!$A$2:$A$5001,"&lt;"&amp;D439,Modulo!$D$2:$D$5001,Parametros!$B$7)))</f>
        <v/>
      </c>
      <c r="H439" s="25" t="str">
        <f aca="false">IF(A439="","",IFERROR(COUNTIFS(Amostragem!$A$2:$A$15003,"&gt;="&amp;C439,Amostragem!$A$2:$A$15003,"&lt;"&amp;D439,Amostragem!$B$2:$B$15003,"Automático",Amostragem!$C$2:$C$15003,"Automático",Amostragem!$D$2:$D$15003,0)/COUNTIFS(Amostragem!$A$2:$A$15003,"&gt;="&amp;C439,Amostragem!$A$2:$A$15003,"&lt;"&amp;D439),0))</f>
        <v/>
      </c>
      <c r="I439" s="23" t="str">
        <f aca="false">IF(A439="","",IFERROR(AVERAGEIFS(Amostragem!$E$2:$E$15003,Amostragem!$A$2:$A$15003,"&gt;="&amp;C439,Amostragem!$A$2:$A$15003,"&lt;"&amp;D439),""))</f>
        <v/>
      </c>
      <c r="J439" s="24" t="str">
        <f aca="false">IF(A439="","",IF(B439="","Inválida: sem resultado MES",IF(E439&lt;Parametros!$B$4,"Inválida: poucos ensaios do módulo",IF(H439&lt;Parametros!$B$5,"Inválida: amostragem em manual ou em falha",IF(OR(I439="",I439&lt;Parametros!$B$6),"Inválida: usina parada ou baixa alimentação","Válida")))))</f>
        <v/>
      </c>
      <c r="K439" s="23" t="str">
        <f aca="false">IF(J439="Válida",F439-B439,"")</f>
        <v/>
      </c>
      <c r="L439" s="26" t="str">
        <f aca="false">IF(J439="Válida",K439/B439,"")</f>
        <v/>
      </c>
      <c r="M439" s="23" t="str">
        <f aca="false">IF(J439="Válida",(F439+B439)/2,"")</f>
        <v/>
      </c>
      <c r="N439" s="24" t="str">
        <f aca="false">IF(K439="","",IF(OR(K439&gt;Resumo!$B$16,K439&lt;Resumo!$B$15),"Sim","Não"))</f>
        <v/>
      </c>
      <c r="O439" s="22" t="e">
        <f aca="false">IF(A439="",NA(),A439)</f>
        <v>#N/A</v>
      </c>
      <c r="P439" s="23" t="e">
        <f aca="false">IF(A439="",NA(),B439)</f>
        <v>#N/A</v>
      </c>
      <c r="Q439" s="23" t="e">
        <f aca="false">IF(F439="",NA(),F439)</f>
        <v>#N/A</v>
      </c>
      <c r="R439" s="23" t="e">
        <f aca="false">IF(K439="",NA(),K439)</f>
        <v>#N/A</v>
      </c>
      <c r="S439" s="23" t="e">
        <f aca="false">IF(M439="",NA(),M439)</f>
        <v>#N/A</v>
      </c>
      <c r="T439" s="23" t="str">
        <f aca="false">IF(J439="Válida",B439,"")</f>
        <v/>
      </c>
      <c r="U439" s="23" t="str">
        <f aca="false">IF(J439="Válida",F439,"")</f>
        <v/>
      </c>
    </row>
    <row r="440" customFormat="false" ht="15" hidden="false" customHeight="false" outlineLevel="0" collapsed="false">
      <c r="A440" s="22" t="str">
        <f aca="false">IF(MES!A440="","",MES!A440)</f>
        <v/>
      </c>
      <c r="B440" s="23" t="str">
        <f aca="false">IF(A440="","",MES!B440)</f>
        <v/>
      </c>
      <c r="C440" s="22" t="str">
        <f aca="false">IF(A440="","",A440+Parametros!$B$3/24)</f>
        <v/>
      </c>
      <c r="D440" s="22" t="str">
        <f aca="false">IF(A440="","",C440+Parametros!$B$2/24)</f>
        <v/>
      </c>
      <c r="E440" s="24" t="str">
        <f aca="false">IF(A440="","",COUNTIFS(Modulo!$A$2:$A$5001,"&gt;="&amp;C440,Modulo!$A$2:$A$5001,"&lt;"&amp;D440,Modulo!$D$2:$D$5001,Parametros!$B$7))</f>
        <v/>
      </c>
      <c r="F440" s="23" t="str">
        <f aca="false">IF(A440="","",IF(E440=0,"",AVERAGEIFS(Modulo!$B$2:$B$5001,Modulo!$A$2:$A$5001,"&gt;="&amp;C440,Modulo!$A$2:$A$5001,"&lt;"&amp;D440,Modulo!$D$2:$D$5001,Parametros!$B$7)))</f>
        <v/>
      </c>
      <c r="G440" s="23" t="str">
        <f aca="false">IF(A440="","",IF(E440=0,"",AVERAGEIFS(Modulo!$C$2:$C$5001,Modulo!$A$2:$A$5001,"&gt;="&amp;C440,Modulo!$A$2:$A$5001,"&lt;"&amp;D440,Modulo!$D$2:$D$5001,Parametros!$B$7)))</f>
        <v/>
      </c>
      <c r="H440" s="25" t="str">
        <f aca="false">IF(A440="","",IFERROR(COUNTIFS(Amostragem!$A$2:$A$15003,"&gt;="&amp;C440,Amostragem!$A$2:$A$15003,"&lt;"&amp;D440,Amostragem!$B$2:$B$15003,"Automático",Amostragem!$C$2:$C$15003,"Automático",Amostragem!$D$2:$D$15003,0)/COUNTIFS(Amostragem!$A$2:$A$15003,"&gt;="&amp;C440,Amostragem!$A$2:$A$15003,"&lt;"&amp;D440),0))</f>
        <v/>
      </c>
      <c r="I440" s="23" t="str">
        <f aca="false">IF(A440="","",IFERROR(AVERAGEIFS(Amostragem!$E$2:$E$15003,Amostragem!$A$2:$A$15003,"&gt;="&amp;C440,Amostragem!$A$2:$A$15003,"&lt;"&amp;D440),""))</f>
        <v/>
      </c>
      <c r="J440" s="24" t="str">
        <f aca="false">IF(A440="","",IF(B440="","Inválida: sem resultado MES",IF(E440&lt;Parametros!$B$4,"Inválida: poucos ensaios do módulo",IF(H440&lt;Parametros!$B$5,"Inválida: amostragem em manual ou em falha",IF(OR(I440="",I440&lt;Parametros!$B$6),"Inválida: usina parada ou baixa alimentação","Válida")))))</f>
        <v/>
      </c>
      <c r="K440" s="23" t="str">
        <f aca="false">IF(J440="Válida",F440-B440,"")</f>
        <v/>
      </c>
      <c r="L440" s="26" t="str">
        <f aca="false">IF(J440="Válida",K440/B440,"")</f>
        <v/>
      </c>
      <c r="M440" s="23" t="str">
        <f aca="false">IF(J440="Válida",(F440+B440)/2,"")</f>
        <v/>
      </c>
      <c r="N440" s="24" t="str">
        <f aca="false">IF(K440="","",IF(OR(K440&gt;Resumo!$B$16,K440&lt;Resumo!$B$15),"Sim","Não"))</f>
        <v/>
      </c>
      <c r="O440" s="22" t="e">
        <f aca="false">IF(A440="",NA(),A440)</f>
        <v>#N/A</v>
      </c>
      <c r="P440" s="23" t="e">
        <f aca="false">IF(A440="",NA(),B440)</f>
        <v>#N/A</v>
      </c>
      <c r="Q440" s="23" t="e">
        <f aca="false">IF(F440="",NA(),F440)</f>
        <v>#N/A</v>
      </c>
      <c r="R440" s="23" t="e">
        <f aca="false">IF(K440="",NA(),K440)</f>
        <v>#N/A</v>
      </c>
      <c r="S440" s="23" t="e">
        <f aca="false">IF(M440="",NA(),M440)</f>
        <v>#N/A</v>
      </c>
      <c r="T440" s="23" t="str">
        <f aca="false">IF(J440="Válida",B440,"")</f>
        <v/>
      </c>
      <c r="U440" s="23" t="str">
        <f aca="false">IF(J440="Válida",F440,"")</f>
        <v/>
      </c>
    </row>
    <row r="441" customFormat="false" ht="15" hidden="false" customHeight="false" outlineLevel="0" collapsed="false">
      <c r="A441" s="22" t="str">
        <f aca="false">IF(MES!A441="","",MES!A441)</f>
        <v/>
      </c>
      <c r="B441" s="23" t="str">
        <f aca="false">IF(A441="","",MES!B441)</f>
        <v/>
      </c>
      <c r="C441" s="22" t="str">
        <f aca="false">IF(A441="","",A441+Parametros!$B$3/24)</f>
        <v/>
      </c>
      <c r="D441" s="22" t="str">
        <f aca="false">IF(A441="","",C441+Parametros!$B$2/24)</f>
        <v/>
      </c>
      <c r="E441" s="24" t="str">
        <f aca="false">IF(A441="","",COUNTIFS(Modulo!$A$2:$A$5001,"&gt;="&amp;C441,Modulo!$A$2:$A$5001,"&lt;"&amp;D441,Modulo!$D$2:$D$5001,Parametros!$B$7))</f>
        <v/>
      </c>
      <c r="F441" s="23" t="str">
        <f aca="false">IF(A441="","",IF(E441=0,"",AVERAGEIFS(Modulo!$B$2:$B$5001,Modulo!$A$2:$A$5001,"&gt;="&amp;C441,Modulo!$A$2:$A$5001,"&lt;"&amp;D441,Modulo!$D$2:$D$5001,Parametros!$B$7)))</f>
        <v/>
      </c>
      <c r="G441" s="23" t="str">
        <f aca="false">IF(A441="","",IF(E441=0,"",AVERAGEIFS(Modulo!$C$2:$C$5001,Modulo!$A$2:$A$5001,"&gt;="&amp;C441,Modulo!$A$2:$A$5001,"&lt;"&amp;D441,Modulo!$D$2:$D$5001,Parametros!$B$7)))</f>
        <v/>
      </c>
      <c r="H441" s="25" t="str">
        <f aca="false">IF(A441="","",IFERROR(COUNTIFS(Amostragem!$A$2:$A$15003,"&gt;="&amp;C441,Amostragem!$A$2:$A$15003,"&lt;"&amp;D441,Amostragem!$B$2:$B$15003,"Automático",Amostragem!$C$2:$C$15003,"Automático",Amostragem!$D$2:$D$15003,0)/COUNTIFS(Amostragem!$A$2:$A$15003,"&gt;="&amp;C441,Amostragem!$A$2:$A$15003,"&lt;"&amp;D441),0))</f>
        <v/>
      </c>
      <c r="I441" s="23" t="str">
        <f aca="false">IF(A441="","",IFERROR(AVERAGEIFS(Amostragem!$E$2:$E$15003,Amostragem!$A$2:$A$15003,"&gt;="&amp;C441,Amostragem!$A$2:$A$15003,"&lt;"&amp;D441),""))</f>
        <v/>
      </c>
      <c r="J441" s="24" t="str">
        <f aca="false">IF(A441="","",IF(B441="","Inválida: sem resultado MES",IF(E441&lt;Parametros!$B$4,"Inválida: poucos ensaios do módulo",IF(H441&lt;Parametros!$B$5,"Inválida: amostragem em manual ou em falha",IF(OR(I441="",I441&lt;Parametros!$B$6),"Inválida: usina parada ou baixa alimentação","Válida")))))</f>
        <v/>
      </c>
      <c r="K441" s="23" t="str">
        <f aca="false">IF(J441="Válida",F441-B441,"")</f>
        <v/>
      </c>
      <c r="L441" s="26" t="str">
        <f aca="false">IF(J441="Válida",K441/B441,"")</f>
        <v/>
      </c>
      <c r="M441" s="23" t="str">
        <f aca="false">IF(J441="Válida",(F441+B441)/2,"")</f>
        <v/>
      </c>
      <c r="N441" s="24" t="str">
        <f aca="false">IF(K441="","",IF(OR(K441&gt;Resumo!$B$16,K441&lt;Resumo!$B$15),"Sim","Não"))</f>
        <v/>
      </c>
      <c r="O441" s="22" t="e">
        <f aca="false">IF(A441="",NA(),A441)</f>
        <v>#N/A</v>
      </c>
      <c r="P441" s="23" t="e">
        <f aca="false">IF(A441="",NA(),B441)</f>
        <v>#N/A</v>
      </c>
      <c r="Q441" s="23" t="e">
        <f aca="false">IF(F441="",NA(),F441)</f>
        <v>#N/A</v>
      </c>
      <c r="R441" s="23" t="e">
        <f aca="false">IF(K441="",NA(),K441)</f>
        <v>#N/A</v>
      </c>
      <c r="S441" s="23" t="e">
        <f aca="false">IF(M441="",NA(),M441)</f>
        <v>#N/A</v>
      </c>
      <c r="T441" s="23" t="str">
        <f aca="false">IF(J441="Válida",B441,"")</f>
        <v/>
      </c>
      <c r="U441" s="23" t="str">
        <f aca="false">IF(J441="Válida",F441,"")</f>
        <v/>
      </c>
    </row>
    <row r="442" customFormat="false" ht="15" hidden="false" customHeight="false" outlineLevel="0" collapsed="false">
      <c r="A442" s="22" t="str">
        <f aca="false">IF(MES!A442="","",MES!A442)</f>
        <v/>
      </c>
      <c r="B442" s="23" t="str">
        <f aca="false">IF(A442="","",MES!B442)</f>
        <v/>
      </c>
      <c r="C442" s="22" t="str">
        <f aca="false">IF(A442="","",A442+Parametros!$B$3/24)</f>
        <v/>
      </c>
      <c r="D442" s="22" t="str">
        <f aca="false">IF(A442="","",C442+Parametros!$B$2/24)</f>
        <v/>
      </c>
      <c r="E442" s="24" t="str">
        <f aca="false">IF(A442="","",COUNTIFS(Modulo!$A$2:$A$5001,"&gt;="&amp;C442,Modulo!$A$2:$A$5001,"&lt;"&amp;D442,Modulo!$D$2:$D$5001,Parametros!$B$7))</f>
        <v/>
      </c>
      <c r="F442" s="23" t="str">
        <f aca="false">IF(A442="","",IF(E442=0,"",AVERAGEIFS(Modulo!$B$2:$B$5001,Modulo!$A$2:$A$5001,"&gt;="&amp;C442,Modulo!$A$2:$A$5001,"&lt;"&amp;D442,Modulo!$D$2:$D$5001,Parametros!$B$7)))</f>
        <v/>
      </c>
      <c r="G442" s="23" t="str">
        <f aca="false">IF(A442="","",IF(E442=0,"",AVERAGEIFS(Modulo!$C$2:$C$5001,Modulo!$A$2:$A$5001,"&gt;="&amp;C442,Modulo!$A$2:$A$5001,"&lt;"&amp;D442,Modulo!$D$2:$D$5001,Parametros!$B$7)))</f>
        <v/>
      </c>
      <c r="H442" s="25" t="str">
        <f aca="false">IF(A442="","",IFERROR(COUNTIFS(Amostragem!$A$2:$A$15003,"&gt;="&amp;C442,Amostragem!$A$2:$A$15003,"&lt;"&amp;D442,Amostragem!$B$2:$B$15003,"Automático",Amostragem!$C$2:$C$15003,"Automático",Amostragem!$D$2:$D$15003,0)/COUNTIFS(Amostragem!$A$2:$A$15003,"&gt;="&amp;C442,Amostragem!$A$2:$A$15003,"&lt;"&amp;D442),0))</f>
        <v/>
      </c>
      <c r="I442" s="23" t="str">
        <f aca="false">IF(A442="","",IFERROR(AVERAGEIFS(Amostragem!$E$2:$E$15003,Amostragem!$A$2:$A$15003,"&gt;="&amp;C442,Amostragem!$A$2:$A$15003,"&lt;"&amp;D442),""))</f>
        <v/>
      </c>
      <c r="J442" s="24" t="str">
        <f aca="false">IF(A442="","",IF(B442="","Inválida: sem resultado MES",IF(E442&lt;Parametros!$B$4,"Inválida: poucos ensaios do módulo",IF(H442&lt;Parametros!$B$5,"Inválida: amostragem em manual ou em falha",IF(OR(I442="",I442&lt;Parametros!$B$6),"Inválida: usina parada ou baixa alimentação","Válida")))))</f>
        <v/>
      </c>
      <c r="K442" s="23" t="str">
        <f aca="false">IF(J442="Válida",F442-B442,"")</f>
        <v/>
      </c>
      <c r="L442" s="26" t="str">
        <f aca="false">IF(J442="Válida",K442/B442,"")</f>
        <v/>
      </c>
      <c r="M442" s="23" t="str">
        <f aca="false">IF(J442="Válida",(F442+B442)/2,"")</f>
        <v/>
      </c>
      <c r="N442" s="24" t="str">
        <f aca="false">IF(K442="","",IF(OR(K442&gt;Resumo!$B$16,K442&lt;Resumo!$B$15),"Sim","Não"))</f>
        <v/>
      </c>
      <c r="O442" s="22" t="e">
        <f aca="false">IF(A442="",NA(),A442)</f>
        <v>#N/A</v>
      </c>
      <c r="P442" s="23" t="e">
        <f aca="false">IF(A442="",NA(),B442)</f>
        <v>#N/A</v>
      </c>
      <c r="Q442" s="23" t="e">
        <f aca="false">IF(F442="",NA(),F442)</f>
        <v>#N/A</v>
      </c>
      <c r="R442" s="23" t="e">
        <f aca="false">IF(K442="",NA(),K442)</f>
        <v>#N/A</v>
      </c>
      <c r="S442" s="23" t="e">
        <f aca="false">IF(M442="",NA(),M442)</f>
        <v>#N/A</v>
      </c>
      <c r="T442" s="23" t="str">
        <f aca="false">IF(J442="Válida",B442,"")</f>
        <v/>
      </c>
      <c r="U442" s="23" t="str">
        <f aca="false">IF(J442="Válida",F442,"")</f>
        <v/>
      </c>
    </row>
    <row r="443" customFormat="false" ht="15" hidden="false" customHeight="false" outlineLevel="0" collapsed="false">
      <c r="A443" s="22" t="str">
        <f aca="false">IF(MES!A443="","",MES!A443)</f>
        <v/>
      </c>
      <c r="B443" s="23" t="str">
        <f aca="false">IF(A443="","",MES!B443)</f>
        <v/>
      </c>
      <c r="C443" s="22" t="str">
        <f aca="false">IF(A443="","",A443+Parametros!$B$3/24)</f>
        <v/>
      </c>
      <c r="D443" s="22" t="str">
        <f aca="false">IF(A443="","",C443+Parametros!$B$2/24)</f>
        <v/>
      </c>
      <c r="E443" s="24" t="str">
        <f aca="false">IF(A443="","",COUNTIFS(Modulo!$A$2:$A$5001,"&gt;="&amp;C443,Modulo!$A$2:$A$5001,"&lt;"&amp;D443,Modulo!$D$2:$D$5001,Parametros!$B$7))</f>
        <v/>
      </c>
      <c r="F443" s="23" t="str">
        <f aca="false">IF(A443="","",IF(E443=0,"",AVERAGEIFS(Modulo!$B$2:$B$5001,Modulo!$A$2:$A$5001,"&gt;="&amp;C443,Modulo!$A$2:$A$5001,"&lt;"&amp;D443,Modulo!$D$2:$D$5001,Parametros!$B$7)))</f>
        <v/>
      </c>
      <c r="G443" s="23" t="str">
        <f aca="false">IF(A443="","",IF(E443=0,"",AVERAGEIFS(Modulo!$C$2:$C$5001,Modulo!$A$2:$A$5001,"&gt;="&amp;C443,Modulo!$A$2:$A$5001,"&lt;"&amp;D443,Modulo!$D$2:$D$5001,Parametros!$B$7)))</f>
        <v/>
      </c>
      <c r="H443" s="25" t="str">
        <f aca="false">IF(A443="","",IFERROR(COUNTIFS(Amostragem!$A$2:$A$15003,"&gt;="&amp;C443,Amostragem!$A$2:$A$15003,"&lt;"&amp;D443,Amostragem!$B$2:$B$15003,"Automático",Amostragem!$C$2:$C$15003,"Automático",Amostragem!$D$2:$D$15003,0)/COUNTIFS(Amostragem!$A$2:$A$15003,"&gt;="&amp;C443,Amostragem!$A$2:$A$15003,"&lt;"&amp;D443),0))</f>
        <v/>
      </c>
      <c r="I443" s="23" t="str">
        <f aca="false">IF(A443="","",IFERROR(AVERAGEIFS(Amostragem!$E$2:$E$15003,Amostragem!$A$2:$A$15003,"&gt;="&amp;C443,Amostragem!$A$2:$A$15003,"&lt;"&amp;D443),""))</f>
        <v/>
      </c>
      <c r="J443" s="24" t="str">
        <f aca="false">IF(A443="","",IF(B443="","Inválida: sem resultado MES",IF(E443&lt;Parametros!$B$4,"Inválida: poucos ensaios do módulo",IF(H443&lt;Parametros!$B$5,"Inválida: amostragem em manual ou em falha",IF(OR(I443="",I443&lt;Parametros!$B$6),"Inválida: usina parada ou baixa alimentação","Válida")))))</f>
        <v/>
      </c>
      <c r="K443" s="23" t="str">
        <f aca="false">IF(J443="Válida",F443-B443,"")</f>
        <v/>
      </c>
      <c r="L443" s="26" t="str">
        <f aca="false">IF(J443="Válida",K443/B443,"")</f>
        <v/>
      </c>
      <c r="M443" s="23" t="str">
        <f aca="false">IF(J443="Válida",(F443+B443)/2,"")</f>
        <v/>
      </c>
      <c r="N443" s="24" t="str">
        <f aca="false">IF(K443="","",IF(OR(K443&gt;Resumo!$B$16,K443&lt;Resumo!$B$15),"Sim","Não"))</f>
        <v/>
      </c>
      <c r="O443" s="22" t="e">
        <f aca="false">IF(A443="",NA(),A443)</f>
        <v>#N/A</v>
      </c>
      <c r="P443" s="23" t="e">
        <f aca="false">IF(A443="",NA(),B443)</f>
        <v>#N/A</v>
      </c>
      <c r="Q443" s="23" t="e">
        <f aca="false">IF(F443="",NA(),F443)</f>
        <v>#N/A</v>
      </c>
      <c r="R443" s="23" t="e">
        <f aca="false">IF(K443="",NA(),K443)</f>
        <v>#N/A</v>
      </c>
      <c r="S443" s="23" t="e">
        <f aca="false">IF(M443="",NA(),M443)</f>
        <v>#N/A</v>
      </c>
      <c r="T443" s="23" t="str">
        <f aca="false">IF(J443="Válida",B443,"")</f>
        <v/>
      </c>
      <c r="U443" s="23" t="str">
        <f aca="false">IF(J443="Válida",F443,"")</f>
        <v/>
      </c>
    </row>
    <row r="444" customFormat="false" ht="15" hidden="false" customHeight="false" outlineLevel="0" collapsed="false">
      <c r="A444" s="22" t="str">
        <f aca="false">IF(MES!A444="","",MES!A444)</f>
        <v/>
      </c>
      <c r="B444" s="23" t="str">
        <f aca="false">IF(A444="","",MES!B444)</f>
        <v/>
      </c>
      <c r="C444" s="22" t="str">
        <f aca="false">IF(A444="","",A444+Parametros!$B$3/24)</f>
        <v/>
      </c>
      <c r="D444" s="22" t="str">
        <f aca="false">IF(A444="","",C444+Parametros!$B$2/24)</f>
        <v/>
      </c>
      <c r="E444" s="24" t="str">
        <f aca="false">IF(A444="","",COUNTIFS(Modulo!$A$2:$A$5001,"&gt;="&amp;C444,Modulo!$A$2:$A$5001,"&lt;"&amp;D444,Modulo!$D$2:$D$5001,Parametros!$B$7))</f>
        <v/>
      </c>
      <c r="F444" s="23" t="str">
        <f aca="false">IF(A444="","",IF(E444=0,"",AVERAGEIFS(Modulo!$B$2:$B$5001,Modulo!$A$2:$A$5001,"&gt;="&amp;C444,Modulo!$A$2:$A$5001,"&lt;"&amp;D444,Modulo!$D$2:$D$5001,Parametros!$B$7)))</f>
        <v/>
      </c>
      <c r="G444" s="23" t="str">
        <f aca="false">IF(A444="","",IF(E444=0,"",AVERAGEIFS(Modulo!$C$2:$C$5001,Modulo!$A$2:$A$5001,"&gt;="&amp;C444,Modulo!$A$2:$A$5001,"&lt;"&amp;D444,Modulo!$D$2:$D$5001,Parametros!$B$7)))</f>
        <v/>
      </c>
      <c r="H444" s="25" t="str">
        <f aca="false">IF(A444="","",IFERROR(COUNTIFS(Amostragem!$A$2:$A$15003,"&gt;="&amp;C444,Amostragem!$A$2:$A$15003,"&lt;"&amp;D444,Amostragem!$B$2:$B$15003,"Automático",Amostragem!$C$2:$C$15003,"Automático",Amostragem!$D$2:$D$15003,0)/COUNTIFS(Amostragem!$A$2:$A$15003,"&gt;="&amp;C444,Amostragem!$A$2:$A$15003,"&lt;"&amp;D444),0))</f>
        <v/>
      </c>
      <c r="I444" s="23" t="str">
        <f aca="false">IF(A444="","",IFERROR(AVERAGEIFS(Amostragem!$E$2:$E$15003,Amostragem!$A$2:$A$15003,"&gt;="&amp;C444,Amostragem!$A$2:$A$15003,"&lt;"&amp;D444),""))</f>
        <v/>
      </c>
      <c r="J444" s="24" t="str">
        <f aca="false">IF(A444="","",IF(B444="","Inválida: sem resultado MES",IF(E444&lt;Parametros!$B$4,"Inválida: poucos ensaios do módulo",IF(H444&lt;Parametros!$B$5,"Inválida: amostragem em manual ou em falha",IF(OR(I444="",I444&lt;Parametros!$B$6),"Inválida: usina parada ou baixa alimentação","Válida")))))</f>
        <v/>
      </c>
      <c r="K444" s="23" t="str">
        <f aca="false">IF(J444="Válida",F444-B444,"")</f>
        <v/>
      </c>
      <c r="L444" s="26" t="str">
        <f aca="false">IF(J444="Válida",K444/B444,"")</f>
        <v/>
      </c>
      <c r="M444" s="23" t="str">
        <f aca="false">IF(J444="Válida",(F444+B444)/2,"")</f>
        <v/>
      </c>
      <c r="N444" s="24" t="str">
        <f aca="false">IF(K444="","",IF(OR(K444&gt;Resumo!$B$16,K444&lt;Resumo!$B$15),"Sim","Não"))</f>
        <v/>
      </c>
      <c r="O444" s="22" t="e">
        <f aca="false">IF(A444="",NA(),A444)</f>
        <v>#N/A</v>
      </c>
      <c r="P444" s="23" t="e">
        <f aca="false">IF(A444="",NA(),B444)</f>
        <v>#N/A</v>
      </c>
      <c r="Q444" s="23" t="e">
        <f aca="false">IF(F444="",NA(),F444)</f>
        <v>#N/A</v>
      </c>
      <c r="R444" s="23" t="e">
        <f aca="false">IF(K444="",NA(),K444)</f>
        <v>#N/A</v>
      </c>
      <c r="S444" s="23" t="e">
        <f aca="false">IF(M444="",NA(),M444)</f>
        <v>#N/A</v>
      </c>
      <c r="T444" s="23" t="str">
        <f aca="false">IF(J444="Válida",B444,"")</f>
        <v/>
      </c>
      <c r="U444" s="23" t="str">
        <f aca="false">IF(J444="Válida",F444,"")</f>
        <v/>
      </c>
    </row>
    <row r="445" customFormat="false" ht="15" hidden="false" customHeight="false" outlineLevel="0" collapsed="false">
      <c r="A445" s="22" t="str">
        <f aca="false">IF(MES!A445="","",MES!A445)</f>
        <v/>
      </c>
      <c r="B445" s="23" t="str">
        <f aca="false">IF(A445="","",MES!B445)</f>
        <v/>
      </c>
      <c r="C445" s="22" t="str">
        <f aca="false">IF(A445="","",A445+Parametros!$B$3/24)</f>
        <v/>
      </c>
      <c r="D445" s="22" t="str">
        <f aca="false">IF(A445="","",C445+Parametros!$B$2/24)</f>
        <v/>
      </c>
      <c r="E445" s="24" t="str">
        <f aca="false">IF(A445="","",COUNTIFS(Modulo!$A$2:$A$5001,"&gt;="&amp;C445,Modulo!$A$2:$A$5001,"&lt;"&amp;D445,Modulo!$D$2:$D$5001,Parametros!$B$7))</f>
        <v/>
      </c>
      <c r="F445" s="23" t="str">
        <f aca="false">IF(A445="","",IF(E445=0,"",AVERAGEIFS(Modulo!$B$2:$B$5001,Modulo!$A$2:$A$5001,"&gt;="&amp;C445,Modulo!$A$2:$A$5001,"&lt;"&amp;D445,Modulo!$D$2:$D$5001,Parametros!$B$7)))</f>
        <v/>
      </c>
      <c r="G445" s="23" t="str">
        <f aca="false">IF(A445="","",IF(E445=0,"",AVERAGEIFS(Modulo!$C$2:$C$5001,Modulo!$A$2:$A$5001,"&gt;="&amp;C445,Modulo!$A$2:$A$5001,"&lt;"&amp;D445,Modulo!$D$2:$D$5001,Parametros!$B$7)))</f>
        <v/>
      </c>
      <c r="H445" s="25" t="str">
        <f aca="false">IF(A445="","",IFERROR(COUNTIFS(Amostragem!$A$2:$A$15003,"&gt;="&amp;C445,Amostragem!$A$2:$A$15003,"&lt;"&amp;D445,Amostragem!$B$2:$B$15003,"Automático",Amostragem!$C$2:$C$15003,"Automático",Amostragem!$D$2:$D$15003,0)/COUNTIFS(Amostragem!$A$2:$A$15003,"&gt;="&amp;C445,Amostragem!$A$2:$A$15003,"&lt;"&amp;D445),0))</f>
        <v/>
      </c>
      <c r="I445" s="23" t="str">
        <f aca="false">IF(A445="","",IFERROR(AVERAGEIFS(Amostragem!$E$2:$E$15003,Amostragem!$A$2:$A$15003,"&gt;="&amp;C445,Amostragem!$A$2:$A$15003,"&lt;"&amp;D445),""))</f>
        <v/>
      </c>
      <c r="J445" s="24" t="str">
        <f aca="false">IF(A445="","",IF(B445="","Inválida: sem resultado MES",IF(E445&lt;Parametros!$B$4,"Inválida: poucos ensaios do módulo",IF(H445&lt;Parametros!$B$5,"Inválida: amostragem em manual ou em falha",IF(OR(I445="",I445&lt;Parametros!$B$6),"Inválida: usina parada ou baixa alimentação","Válida")))))</f>
        <v/>
      </c>
      <c r="K445" s="23" t="str">
        <f aca="false">IF(J445="Válida",F445-B445,"")</f>
        <v/>
      </c>
      <c r="L445" s="26" t="str">
        <f aca="false">IF(J445="Válida",K445/B445,"")</f>
        <v/>
      </c>
      <c r="M445" s="23" t="str">
        <f aca="false">IF(J445="Válida",(F445+B445)/2,"")</f>
        <v/>
      </c>
      <c r="N445" s="24" t="str">
        <f aca="false">IF(K445="","",IF(OR(K445&gt;Resumo!$B$16,K445&lt;Resumo!$B$15),"Sim","Não"))</f>
        <v/>
      </c>
      <c r="O445" s="22" t="e">
        <f aca="false">IF(A445="",NA(),A445)</f>
        <v>#N/A</v>
      </c>
      <c r="P445" s="23" t="e">
        <f aca="false">IF(A445="",NA(),B445)</f>
        <v>#N/A</v>
      </c>
      <c r="Q445" s="23" t="e">
        <f aca="false">IF(F445="",NA(),F445)</f>
        <v>#N/A</v>
      </c>
      <c r="R445" s="23" t="e">
        <f aca="false">IF(K445="",NA(),K445)</f>
        <v>#N/A</v>
      </c>
      <c r="S445" s="23" t="e">
        <f aca="false">IF(M445="",NA(),M445)</f>
        <v>#N/A</v>
      </c>
      <c r="T445" s="23" t="str">
        <f aca="false">IF(J445="Válida",B445,"")</f>
        <v/>
      </c>
      <c r="U445" s="23" t="str">
        <f aca="false">IF(J445="Válida",F445,"")</f>
        <v/>
      </c>
    </row>
    <row r="446" customFormat="false" ht="15" hidden="false" customHeight="false" outlineLevel="0" collapsed="false">
      <c r="A446" s="22" t="str">
        <f aca="false">IF(MES!A446="","",MES!A446)</f>
        <v/>
      </c>
      <c r="B446" s="23" t="str">
        <f aca="false">IF(A446="","",MES!B446)</f>
        <v/>
      </c>
      <c r="C446" s="22" t="str">
        <f aca="false">IF(A446="","",A446+Parametros!$B$3/24)</f>
        <v/>
      </c>
      <c r="D446" s="22" t="str">
        <f aca="false">IF(A446="","",C446+Parametros!$B$2/24)</f>
        <v/>
      </c>
      <c r="E446" s="24" t="str">
        <f aca="false">IF(A446="","",COUNTIFS(Modulo!$A$2:$A$5001,"&gt;="&amp;C446,Modulo!$A$2:$A$5001,"&lt;"&amp;D446,Modulo!$D$2:$D$5001,Parametros!$B$7))</f>
        <v/>
      </c>
      <c r="F446" s="23" t="str">
        <f aca="false">IF(A446="","",IF(E446=0,"",AVERAGEIFS(Modulo!$B$2:$B$5001,Modulo!$A$2:$A$5001,"&gt;="&amp;C446,Modulo!$A$2:$A$5001,"&lt;"&amp;D446,Modulo!$D$2:$D$5001,Parametros!$B$7)))</f>
        <v/>
      </c>
      <c r="G446" s="23" t="str">
        <f aca="false">IF(A446="","",IF(E446=0,"",AVERAGEIFS(Modulo!$C$2:$C$5001,Modulo!$A$2:$A$5001,"&gt;="&amp;C446,Modulo!$A$2:$A$5001,"&lt;"&amp;D446,Modulo!$D$2:$D$5001,Parametros!$B$7)))</f>
        <v/>
      </c>
      <c r="H446" s="25" t="str">
        <f aca="false">IF(A446="","",IFERROR(COUNTIFS(Amostragem!$A$2:$A$15003,"&gt;="&amp;C446,Amostragem!$A$2:$A$15003,"&lt;"&amp;D446,Amostragem!$B$2:$B$15003,"Automático",Amostragem!$C$2:$C$15003,"Automático",Amostragem!$D$2:$D$15003,0)/COUNTIFS(Amostragem!$A$2:$A$15003,"&gt;="&amp;C446,Amostragem!$A$2:$A$15003,"&lt;"&amp;D446),0))</f>
        <v/>
      </c>
      <c r="I446" s="23" t="str">
        <f aca="false">IF(A446="","",IFERROR(AVERAGEIFS(Amostragem!$E$2:$E$15003,Amostragem!$A$2:$A$15003,"&gt;="&amp;C446,Amostragem!$A$2:$A$15003,"&lt;"&amp;D446),""))</f>
        <v/>
      </c>
      <c r="J446" s="24" t="str">
        <f aca="false">IF(A446="","",IF(B446="","Inválida: sem resultado MES",IF(E446&lt;Parametros!$B$4,"Inválida: poucos ensaios do módulo",IF(H446&lt;Parametros!$B$5,"Inválida: amostragem em manual ou em falha",IF(OR(I446="",I446&lt;Parametros!$B$6),"Inválida: usina parada ou baixa alimentação","Válida")))))</f>
        <v/>
      </c>
      <c r="K446" s="23" t="str">
        <f aca="false">IF(J446="Válida",F446-B446,"")</f>
        <v/>
      </c>
      <c r="L446" s="26" t="str">
        <f aca="false">IF(J446="Válida",K446/B446,"")</f>
        <v/>
      </c>
      <c r="M446" s="23" t="str">
        <f aca="false">IF(J446="Válida",(F446+B446)/2,"")</f>
        <v/>
      </c>
      <c r="N446" s="24" t="str">
        <f aca="false">IF(K446="","",IF(OR(K446&gt;Resumo!$B$16,K446&lt;Resumo!$B$15),"Sim","Não"))</f>
        <v/>
      </c>
      <c r="O446" s="22" t="e">
        <f aca="false">IF(A446="",NA(),A446)</f>
        <v>#N/A</v>
      </c>
      <c r="P446" s="23" t="e">
        <f aca="false">IF(A446="",NA(),B446)</f>
        <v>#N/A</v>
      </c>
      <c r="Q446" s="23" t="e">
        <f aca="false">IF(F446="",NA(),F446)</f>
        <v>#N/A</v>
      </c>
      <c r="R446" s="23" t="e">
        <f aca="false">IF(K446="",NA(),K446)</f>
        <v>#N/A</v>
      </c>
      <c r="S446" s="23" t="e">
        <f aca="false">IF(M446="",NA(),M446)</f>
        <v>#N/A</v>
      </c>
      <c r="T446" s="23" t="str">
        <f aca="false">IF(J446="Válida",B446,"")</f>
        <v/>
      </c>
      <c r="U446" s="23" t="str">
        <f aca="false">IF(J446="Válida",F446,"")</f>
        <v/>
      </c>
    </row>
    <row r="447" customFormat="false" ht="15" hidden="false" customHeight="false" outlineLevel="0" collapsed="false">
      <c r="A447" s="22" t="str">
        <f aca="false">IF(MES!A447="","",MES!A447)</f>
        <v/>
      </c>
      <c r="B447" s="23" t="str">
        <f aca="false">IF(A447="","",MES!B447)</f>
        <v/>
      </c>
      <c r="C447" s="22" t="str">
        <f aca="false">IF(A447="","",A447+Parametros!$B$3/24)</f>
        <v/>
      </c>
      <c r="D447" s="22" t="str">
        <f aca="false">IF(A447="","",C447+Parametros!$B$2/24)</f>
        <v/>
      </c>
      <c r="E447" s="24" t="str">
        <f aca="false">IF(A447="","",COUNTIFS(Modulo!$A$2:$A$5001,"&gt;="&amp;C447,Modulo!$A$2:$A$5001,"&lt;"&amp;D447,Modulo!$D$2:$D$5001,Parametros!$B$7))</f>
        <v/>
      </c>
      <c r="F447" s="23" t="str">
        <f aca="false">IF(A447="","",IF(E447=0,"",AVERAGEIFS(Modulo!$B$2:$B$5001,Modulo!$A$2:$A$5001,"&gt;="&amp;C447,Modulo!$A$2:$A$5001,"&lt;"&amp;D447,Modulo!$D$2:$D$5001,Parametros!$B$7)))</f>
        <v/>
      </c>
      <c r="G447" s="23" t="str">
        <f aca="false">IF(A447="","",IF(E447=0,"",AVERAGEIFS(Modulo!$C$2:$C$5001,Modulo!$A$2:$A$5001,"&gt;="&amp;C447,Modulo!$A$2:$A$5001,"&lt;"&amp;D447,Modulo!$D$2:$D$5001,Parametros!$B$7)))</f>
        <v/>
      </c>
      <c r="H447" s="25" t="str">
        <f aca="false">IF(A447="","",IFERROR(COUNTIFS(Amostragem!$A$2:$A$15003,"&gt;="&amp;C447,Amostragem!$A$2:$A$15003,"&lt;"&amp;D447,Amostragem!$B$2:$B$15003,"Automático",Amostragem!$C$2:$C$15003,"Automático",Amostragem!$D$2:$D$15003,0)/COUNTIFS(Amostragem!$A$2:$A$15003,"&gt;="&amp;C447,Amostragem!$A$2:$A$15003,"&lt;"&amp;D447),0))</f>
        <v/>
      </c>
      <c r="I447" s="23" t="str">
        <f aca="false">IF(A447="","",IFERROR(AVERAGEIFS(Amostragem!$E$2:$E$15003,Amostragem!$A$2:$A$15003,"&gt;="&amp;C447,Amostragem!$A$2:$A$15003,"&lt;"&amp;D447),""))</f>
        <v/>
      </c>
      <c r="J447" s="24" t="str">
        <f aca="false">IF(A447="","",IF(B447="","Inválida: sem resultado MES",IF(E447&lt;Parametros!$B$4,"Inválida: poucos ensaios do módulo",IF(H447&lt;Parametros!$B$5,"Inválida: amostragem em manual ou em falha",IF(OR(I447="",I447&lt;Parametros!$B$6),"Inválida: usina parada ou baixa alimentação","Válida")))))</f>
        <v/>
      </c>
      <c r="K447" s="23" t="str">
        <f aca="false">IF(J447="Válida",F447-B447,"")</f>
        <v/>
      </c>
      <c r="L447" s="26" t="str">
        <f aca="false">IF(J447="Válida",K447/B447,"")</f>
        <v/>
      </c>
      <c r="M447" s="23" t="str">
        <f aca="false">IF(J447="Válida",(F447+B447)/2,"")</f>
        <v/>
      </c>
      <c r="N447" s="24" t="str">
        <f aca="false">IF(K447="","",IF(OR(K447&gt;Resumo!$B$16,K447&lt;Resumo!$B$15),"Sim","Não"))</f>
        <v/>
      </c>
      <c r="O447" s="22" t="e">
        <f aca="false">IF(A447="",NA(),A447)</f>
        <v>#N/A</v>
      </c>
      <c r="P447" s="23" t="e">
        <f aca="false">IF(A447="",NA(),B447)</f>
        <v>#N/A</v>
      </c>
      <c r="Q447" s="23" t="e">
        <f aca="false">IF(F447="",NA(),F447)</f>
        <v>#N/A</v>
      </c>
      <c r="R447" s="23" t="e">
        <f aca="false">IF(K447="",NA(),K447)</f>
        <v>#N/A</v>
      </c>
      <c r="S447" s="23" t="e">
        <f aca="false">IF(M447="",NA(),M447)</f>
        <v>#N/A</v>
      </c>
      <c r="T447" s="23" t="str">
        <f aca="false">IF(J447="Válida",B447,"")</f>
        <v/>
      </c>
      <c r="U447" s="23" t="str">
        <f aca="false">IF(J447="Válida",F447,"")</f>
        <v/>
      </c>
    </row>
    <row r="448" customFormat="false" ht="15" hidden="false" customHeight="false" outlineLevel="0" collapsed="false">
      <c r="A448" s="22" t="str">
        <f aca="false">IF(MES!A448="","",MES!A448)</f>
        <v/>
      </c>
      <c r="B448" s="23" t="str">
        <f aca="false">IF(A448="","",MES!B448)</f>
        <v/>
      </c>
      <c r="C448" s="22" t="str">
        <f aca="false">IF(A448="","",A448+Parametros!$B$3/24)</f>
        <v/>
      </c>
      <c r="D448" s="22" t="str">
        <f aca="false">IF(A448="","",C448+Parametros!$B$2/24)</f>
        <v/>
      </c>
      <c r="E448" s="24" t="str">
        <f aca="false">IF(A448="","",COUNTIFS(Modulo!$A$2:$A$5001,"&gt;="&amp;C448,Modulo!$A$2:$A$5001,"&lt;"&amp;D448,Modulo!$D$2:$D$5001,Parametros!$B$7))</f>
        <v/>
      </c>
      <c r="F448" s="23" t="str">
        <f aca="false">IF(A448="","",IF(E448=0,"",AVERAGEIFS(Modulo!$B$2:$B$5001,Modulo!$A$2:$A$5001,"&gt;="&amp;C448,Modulo!$A$2:$A$5001,"&lt;"&amp;D448,Modulo!$D$2:$D$5001,Parametros!$B$7)))</f>
        <v/>
      </c>
      <c r="G448" s="23" t="str">
        <f aca="false">IF(A448="","",IF(E448=0,"",AVERAGEIFS(Modulo!$C$2:$C$5001,Modulo!$A$2:$A$5001,"&gt;="&amp;C448,Modulo!$A$2:$A$5001,"&lt;"&amp;D448,Modulo!$D$2:$D$5001,Parametros!$B$7)))</f>
        <v/>
      </c>
      <c r="H448" s="25" t="str">
        <f aca="false">IF(A448="","",IFERROR(COUNTIFS(Amostragem!$A$2:$A$15003,"&gt;="&amp;C448,Amostragem!$A$2:$A$15003,"&lt;"&amp;D448,Amostragem!$B$2:$B$15003,"Automático",Amostragem!$C$2:$C$15003,"Automático",Amostragem!$D$2:$D$15003,0)/COUNTIFS(Amostragem!$A$2:$A$15003,"&gt;="&amp;C448,Amostragem!$A$2:$A$15003,"&lt;"&amp;D448),0))</f>
        <v/>
      </c>
      <c r="I448" s="23" t="str">
        <f aca="false">IF(A448="","",IFERROR(AVERAGEIFS(Amostragem!$E$2:$E$15003,Amostragem!$A$2:$A$15003,"&gt;="&amp;C448,Amostragem!$A$2:$A$15003,"&lt;"&amp;D448),""))</f>
        <v/>
      </c>
      <c r="J448" s="24" t="str">
        <f aca="false">IF(A448="","",IF(B448="","Inválida: sem resultado MES",IF(E448&lt;Parametros!$B$4,"Inválida: poucos ensaios do módulo",IF(H448&lt;Parametros!$B$5,"Inválida: amostragem em manual ou em falha",IF(OR(I448="",I448&lt;Parametros!$B$6),"Inválida: usina parada ou baixa alimentação","Válida")))))</f>
        <v/>
      </c>
      <c r="K448" s="23" t="str">
        <f aca="false">IF(J448="Válida",F448-B448,"")</f>
        <v/>
      </c>
      <c r="L448" s="26" t="str">
        <f aca="false">IF(J448="Válida",K448/B448,"")</f>
        <v/>
      </c>
      <c r="M448" s="23" t="str">
        <f aca="false">IF(J448="Válida",(F448+B448)/2,"")</f>
        <v/>
      </c>
      <c r="N448" s="24" t="str">
        <f aca="false">IF(K448="","",IF(OR(K448&gt;Resumo!$B$16,K448&lt;Resumo!$B$15),"Sim","Não"))</f>
        <v/>
      </c>
      <c r="O448" s="22" t="e">
        <f aca="false">IF(A448="",NA(),A448)</f>
        <v>#N/A</v>
      </c>
      <c r="P448" s="23" t="e">
        <f aca="false">IF(A448="",NA(),B448)</f>
        <v>#N/A</v>
      </c>
      <c r="Q448" s="23" t="e">
        <f aca="false">IF(F448="",NA(),F448)</f>
        <v>#N/A</v>
      </c>
      <c r="R448" s="23" t="e">
        <f aca="false">IF(K448="",NA(),K448)</f>
        <v>#N/A</v>
      </c>
      <c r="S448" s="23" t="e">
        <f aca="false">IF(M448="",NA(),M448)</f>
        <v>#N/A</v>
      </c>
      <c r="T448" s="23" t="str">
        <f aca="false">IF(J448="Válida",B448,"")</f>
        <v/>
      </c>
      <c r="U448" s="23" t="str">
        <f aca="false">IF(J448="Válida",F448,"")</f>
        <v/>
      </c>
    </row>
    <row r="449" customFormat="false" ht="15" hidden="false" customHeight="false" outlineLevel="0" collapsed="false">
      <c r="A449" s="22" t="str">
        <f aca="false">IF(MES!A449="","",MES!A449)</f>
        <v/>
      </c>
      <c r="B449" s="23" t="str">
        <f aca="false">IF(A449="","",MES!B449)</f>
        <v/>
      </c>
      <c r="C449" s="22" t="str">
        <f aca="false">IF(A449="","",A449+Parametros!$B$3/24)</f>
        <v/>
      </c>
      <c r="D449" s="22" t="str">
        <f aca="false">IF(A449="","",C449+Parametros!$B$2/24)</f>
        <v/>
      </c>
      <c r="E449" s="24" t="str">
        <f aca="false">IF(A449="","",COUNTIFS(Modulo!$A$2:$A$5001,"&gt;="&amp;C449,Modulo!$A$2:$A$5001,"&lt;"&amp;D449,Modulo!$D$2:$D$5001,Parametros!$B$7))</f>
        <v/>
      </c>
      <c r="F449" s="23" t="str">
        <f aca="false">IF(A449="","",IF(E449=0,"",AVERAGEIFS(Modulo!$B$2:$B$5001,Modulo!$A$2:$A$5001,"&gt;="&amp;C449,Modulo!$A$2:$A$5001,"&lt;"&amp;D449,Modulo!$D$2:$D$5001,Parametros!$B$7)))</f>
        <v/>
      </c>
      <c r="G449" s="23" t="str">
        <f aca="false">IF(A449="","",IF(E449=0,"",AVERAGEIFS(Modulo!$C$2:$C$5001,Modulo!$A$2:$A$5001,"&gt;="&amp;C449,Modulo!$A$2:$A$5001,"&lt;"&amp;D449,Modulo!$D$2:$D$5001,Parametros!$B$7)))</f>
        <v/>
      </c>
      <c r="H449" s="25" t="str">
        <f aca="false">IF(A449="","",IFERROR(COUNTIFS(Amostragem!$A$2:$A$15003,"&gt;="&amp;C449,Amostragem!$A$2:$A$15003,"&lt;"&amp;D449,Amostragem!$B$2:$B$15003,"Automático",Amostragem!$C$2:$C$15003,"Automático",Amostragem!$D$2:$D$15003,0)/COUNTIFS(Amostragem!$A$2:$A$15003,"&gt;="&amp;C449,Amostragem!$A$2:$A$15003,"&lt;"&amp;D449),0))</f>
        <v/>
      </c>
      <c r="I449" s="23" t="str">
        <f aca="false">IF(A449="","",IFERROR(AVERAGEIFS(Amostragem!$E$2:$E$15003,Amostragem!$A$2:$A$15003,"&gt;="&amp;C449,Amostragem!$A$2:$A$15003,"&lt;"&amp;D449),""))</f>
        <v/>
      </c>
      <c r="J449" s="24" t="str">
        <f aca="false">IF(A449="","",IF(B449="","Inválida: sem resultado MES",IF(E449&lt;Parametros!$B$4,"Inválida: poucos ensaios do módulo",IF(H449&lt;Parametros!$B$5,"Inválida: amostragem em manual ou em falha",IF(OR(I449="",I449&lt;Parametros!$B$6),"Inválida: usina parada ou baixa alimentação","Válida")))))</f>
        <v/>
      </c>
      <c r="K449" s="23" t="str">
        <f aca="false">IF(J449="Válida",F449-B449,"")</f>
        <v/>
      </c>
      <c r="L449" s="26" t="str">
        <f aca="false">IF(J449="Válida",K449/B449,"")</f>
        <v/>
      </c>
      <c r="M449" s="23" t="str">
        <f aca="false">IF(J449="Válida",(F449+B449)/2,"")</f>
        <v/>
      </c>
      <c r="N449" s="24" t="str">
        <f aca="false">IF(K449="","",IF(OR(K449&gt;Resumo!$B$16,K449&lt;Resumo!$B$15),"Sim","Não"))</f>
        <v/>
      </c>
      <c r="O449" s="22" t="e">
        <f aca="false">IF(A449="",NA(),A449)</f>
        <v>#N/A</v>
      </c>
      <c r="P449" s="23" t="e">
        <f aca="false">IF(A449="",NA(),B449)</f>
        <v>#N/A</v>
      </c>
      <c r="Q449" s="23" t="e">
        <f aca="false">IF(F449="",NA(),F449)</f>
        <v>#N/A</v>
      </c>
      <c r="R449" s="23" t="e">
        <f aca="false">IF(K449="",NA(),K449)</f>
        <v>#N/A</v>
      </c>
      <c r="S449" s="23" t="e">
        <f aca="false">IF(M449="",NA(),M449)</f>
        <v>#N/A</v>
      </c>
      <c r="T449" s="23" t="str">
        <f aca="false">IF(J449="Válida",B449,"")</f>
        <v/>
      </c>
      <c r="U449" s="23" t="str">
        <f aca="false">IF(J449="Válida",F449,"")</f>
        <v/>
      </c>
    </row>
    <row r="450" customFormat="false" ht="15" hidden="false" customHeight="false" outlineLevel="0" collapsed="false">
      <c r="A450" s="22" t="str">
        <f aca="false">IF(MES!A450="","",MES!A450)</f>
        <v/>
      </c>
      <c r="B450" s="23" t="str">
        <f aca="false">IF(A450="","",MES!B450)</f>
        <v/>
      </c>
      <c r="C450" s="22" t="str">
        <f aca="false">IF(A450="","",A450+Parametros!$B$3/24)</f>
        <v/>
      </c>
      <c r="D450" s="22" t="str">
        <f aca="false">IF(A450="","",C450+Parametros!$B$2/24)</f>
        <v/>
      </c>
      <c r="E450" s="24" t="str">
        <f aca="false">IF(A450="","",COUNTIFS(Modulo!$A$2:$A$5001,"&gt;="&amp;C450,Modulo!$A$2:$A$5001,"&lt;"&amp;D450,Modulo!$D$2:$D$5001,Parametros!$B$7))</f>
        <v/>
      </c>
      <c r="F450" s="23" t="str">
        <f aca="false">IF(A450="","",IF(E450=0,"",AVERAGEIFS(Modulo!$B$2:$B$5001,Modulo!$A$2:$A$5001,"&gt;="&amp;C450,Modulo!$A$2:$A$5001,"&lt;"&amp;D450,Modulo!$D$2:$D$5001,Parametros!$B$7)))</f>
        <v/>
      </c>
      <c r="G450" s="23" t="str">
        <f aca="false">IF(A450="","",IF(E450=0,"",AVERAGEIFS(Modulo!$C$2:$C$5001,Modulo!$A$2:$A$5001,"&gt;="&amp;C450,Modulo!$A$2:$A$5001,"&lt;"&amp;D450,Modulo!$D$2:$D$5001,Parametros!$B$7)))</f>
        <v/>
      </c>
      <c r="H450" s="25" t="str">
        <f aca="false">IF(A450="","",IFERROR(COUNTIFS(Amostragem!$A$2:$A$15003,"&gt;="&amp;C450,Amostragem!$A$2:$A$15003,"&lt;"&amp;D450,Amostragem!$B$2:$B$15003,"Automático",Amostragem!$C$2:$C$15003,"Automático",Amostragem!$D$2:$D$15003,0)/COUNTIFS(Amostragem!$A$2:$A$15003,"&gt;="&amp;C450,Amostragem!$A$2:$A$15003,"&lt;"&amp;D450),0))</f>
        <v/>
      </c>
      <c r="I450" s="23" t="str">
        <f aca="false">IF(A450="","",IFERROR(AVERAGEIFS(Amostragem!$E$2:$E$15003,Amostragem!$A$2:$A$15003,"&gt;="&amp;C450,Amostragem!$A$2:$A$15003,"&lt;"&amp;D450),""))</f>
        <v/>
      </c>
      <c r="J450" s="24" t="str">
        <f aca="false">IF(A450="","",IF(B450="","Inválida: sem resultado MES",IF(E450&lt;Parametros!$B$4,"Inválida: poucos ensaios do módulo",IF(H450&lt;Parametros!$B$5,"Inválida: amostragem em manual ou em falha",IF(OR(I450="",I450&lt;Parametros!$B$6),"Inválida: usina parada ou baixa alimentação","Válida")))))</f>
        <v/>
      </c>
      <c r="K450" s="23" t="str">
        <f aca="false">IF(J450="Válida",F450-B450,"")</f>
        <v/>
      </c>
      <c r="L450" s="26" t="str">
        <f aca="false">IF(J450="Válida",K450/B450,"")</f>
        <v/>
      </c>
      <c r="M450" s="23" t="str">
        <f aca="false">IF(J450="Válida",(F450+B450)/2,"")</f>
        <v/>
      </c>
      <c r="N450" s="24" t="str">
        <f aca="false">IF(K450="","",IF(OR(K450&gt;Resumo!$B$16,K450&lt;Resumo!$B$15),"Sim","Não"))</f>
        <v/>
      </c>
      <c r="O450" s="22" t="e">
        <f aca="false">IF(A450="",NA(),A450)</f>
        <v>#N/A</v>
      </c>
      <c r="P450" s="23" t="e">
        <f aca="false">IF(A450="",NA(),B450)</f>
        <v>#N/A</v>
      </c>
      <c r="Q450" s="23" t="e">
        <f aca="false">IF(F450="",NA(),F450)</f>
        <v>#N/A</v>
      </c>
      <c r="R450" s="23" t="e">
        <f aca="false">IF(K450="",NA(),K450)</f>
        <v>#N/A</v>
      </c>
      <c r="S450" s="23" t="e">
        <f aca="false">IF(M450="",NA(),M450)</f>
        <v>#N/A</v>
      </c>
      <c r="T450" s="23" t="str">
        <f aca="false">IF(J450="Válida",B450,"")</f>
        <v/>
      </c>
      <c r="U450" s="23" t="str">
        <f aca="false">IF(J450="Válida",F450,"")</f>
        <v/>
      </c>
    </row>
    <row r="451" customFormat="false" ht="15" hidden="false" customHeight="false" outlineLevel="0" collapsed="false">
      <c r="A451" s="22" t="str">
        <f aca="false">IF(MES!A451="","",MES!A451)</f>
        <v/>
      </c>
      <c r="B451" s="23" t="str">
        <f aca="false">IF(A451="","",MES!B451)</f>
        <v/>
      </c>
      <c r="C451" s="22" t="str">
        <f aca="false">IF(A451="","",A451+Parametros!$B$3/24)</f>
        <v/>
      </c>
      <c r="D451" s="22" t="str">
        <f aca="false">IF(A451="","",C451+Parametros!$B$2/24)</f>
        <v/>
      </c>
      <c r="E451" s="24" t="str">
        <f aca="false">IF(A451="","",COUNTIFS(Modulo!$A$2:$A$5001,"&gt;="&amp;C451,Modulo!$A$2:$A$5001,"&lt;"&amp;D451,Modulo!$D$2:$D$5001,Parametros!$B$7))</f>
        <v/>
      </c>
      <c r="F451" s="23" t="str">
        <f aca="false">IF(A451="","",IF(E451=0,"",AVERAGEIFS(Modulo!$B$2:$B$5001,Modulo!$A$2:$A$5001,"&gt;="&amp;C451,Modulo!$A$2:$A$5001,"&lt;"&amp;D451,Modulo!$D$2:$D$5001,Parametros!$B$7)))</f>
        <v/>
      </c>
      <c r="G451" s="23" t="str">
        <f aca="false">IF(A451="","",IF(E451=0,"",AVERAGEIFS(Modulo!$C$2:$C$5001,Modulo!$A$2:$A$5001,"&gt;="&amp;C451,Modulo!$A$2:$A$5001,"&lt;"&amp;D451,Modulo!$D$2:$D$5001,Parametros!$B$7)))</f>
        <v/>
      </c>
      <c r="H451" s="25" t="str">
        <f aca="false">IF(A451="","",IFERROR(COUNTIFS(Amostragem!$A$2:$A$15003,"&gt;="&amp;C451,Amostragem!$A$2:$A$15003,"&lt;"&amp;D451,Amostragem!$B$2:$B$15003,"Automático",Amostragem!$C$2:$C$15003,"Automático",Amostragem!$D$2:$D$15003,0)/COUNTIFS(Amostragem!$A$2:$A$15003,"&gt;="&amp;C451,Amostragem!$A$2:$A$15003,"&lt;"&amp;D451),0))</f>
        <v/>
      </c>
      <c r="I451" s="23" t="str">
        <f aca="false">IF(A451="","",IFERROR(AVERAGEIFS(Amostragem!$E$2:$E$15003,Amostragem!$A$2:$A$15003,"&gt;="&amp;C451,Amostragem!$A$2:$A$15003,"&lt;"&amp;D451),""))</f>
        <v/>
      </c>
      <c r="J451" s="24" t="str">
        <f aca="false">IF(A451="","",IF(B451="","Inválida: sem resultado MES",IF(E451&lt;Parametros!$B$4,"Inválida: poucos ensaios do módulo",IF(H451&lt;Parametros!$B$5,"Inválida: amostragem em manual ou em falha",IF(OR(I451="",I451&lt;Parametros!$B$6),"Inválida: usina parada ou baixa alimentação","Válida")))))</f>
        <v/>
      </c>
      <c r="K451" s="23" t="str">
        <f aca="false">IF(J451="Válida",F451-B451,"")</f>
        <v/>
      </c>
      <c r="L451" s="26" t="str">
        <f aca="false">IF(J451="Válida",K451/B451,"")</f>
        <v/>
      </c>
      <c r="M451" s="23" t="str">
        <f aca="false">IF(J451="Válida",(F451+B451)/2,"")</f>
        <v/>
      </c>
      <c r="N451" s="24" t="str">
        <f aca="false">IF(K451="","",IF(OR(K451&gt;Resumo!$B$16,K451&lt;Resumo!$B$15),"Sim","Não"))</f>
        <v/>
      </c>
      <c r="O451" s="22" t="e">
        <f aca="false">IF(A451="",NA(),A451)</f>
        <v>#N/A</v>
      </c>
      <c r="P451" s="23" t="e">
        <f aca="false">IF(A451="",NA(),B451)</f>
        <v>#N/A</v>
      </c>
      <c r="Q451" s="23" t="e">
        <f aca="false">IF(F451="",NA(),F451)</f>
        <v>#N/A</v>
      </c>
      <c r="R451" s="23" t="e">
        <f aca="false">IF(K451="",NA(),K451)</f>
        <v>#N/A</v>
      </c>
      <c r="S451" s="23" t="e">
        <f aca="false">IF(M451="",NA(),M451)</f>
        <v>#N/A</v>
      </c>
      <c r="T451" s="23" t="str">
        <f aca="false">IF(J451="Válida",B451,"")</f>
        <v/>
      </c>
      <c r="U451" s="23" t="str">
        <f aca="false">IF(J451="Válida",F451,"")</f>
        <v/>
      </c>
    </row>
    <row r="452" customFormat="false" ht="15" hidden="false" customHeight="false" outlineLevel="0" collapsed="false">
      <c r="A452" s="22" t="str">
        <f aca="false">IF(MES!A452="","",MES!A452)</f>
        <v/>
      </c>
      <c r="B452" s="23" t="str">
        <f aca="false">IF(A452="","",MES!B452)</f>
        <v/>
      </c>
      <c r="C452" s="22" t="str">
        <f aca="false">IF(A452="","",A452+Parametros!$B$3/24)</f>
        <v/>
      </c>
      <c r="D452" s="22" t="str">
        <f aca="false">IF(A452="","",C452+Parametros!$B$2/24)</f>
        <v/>
      </c>
      <c r="E452" s="24" t="str">
        <f aca="false">IF(A452="","",COUNTIFS(Modulo!$A$2:$A$5001,"&gt;="&amp;C452,Modulo!$A$2:$A$5001,"&lt;"&amp;D452,Modulo!$D$2:$D$5001,Parametros!$B$7))</f>
        <v/>
      </c>
      <c r="F452" s="23" t="str">
        <f aca="false">IF(A452="","",IF(E452=0,"",AVERAGEIFS(Modulo!$B$2:$B$5001,Modulo!$A$2:$A$5001,"&gt;="&amp;C452,Modulo!$A$2:$A$5001,"&lt;"&amp;D452,Modulo!$D$2:$D$5001,Parametros!$B$7)))</f>
        <v/>
      </c>
      <c r="G452" s="23" t="str">
        <f aca="false">IF(A452="","",IF(E452=0,"",AVERAGEIFS(Modulo!$C$2:$C$5001,Modulo!$A$2:$A$5001,"&gt;="&amp;C452,Modulo!$A$2:$A$5001,"&lt;"&amp;D452,Modulo!$D$2:$D$5001,Parametros!$B$7)))</f>
        <v/>
      </c>
      <c r="H452" s="25" t="str">
        <f aca="false">IF(A452="","",IFERROR(COUNTIFS(Amostragem!$A$2:$A$15003,"&gt;="&amp;C452,Amostragem!$A$2:$A$15003,"&lt;"&amp;D452,Amostragem!$B$2:$B$15003,"Automático",Amostragem!$C$2:$C$15003,"Automático",Amostragem!$D$2:$D$15003,0)/COUNTIFS(Amostragem!$A$2:$A$15003,"&gt;="&amp;C452,Amostragem!$A$2:$A$15003,"&lt;"&amp;D452),0))</f>
        <v/>
      </c>
      <c r="I452" s="23" t="str">
        <f aca="false">IF(A452="","",IFERROR(AVERAGEIFS(Amostragem!$E$2:$E$15003,Amostragem!$A$2:$A$15003,"&gt;="&amp;C452,Amostragem!$A$2:$A$15003,"&lt;"&amp;D452),""))</f>
        <v/>
      </c>
      <c r="J452" s="24" t="str">
        <f aca="false">IF(A452="","",IF(B452="","Inválida: sem resultado MES",IF(E452&lt;Parametros!$B$4,"Inválida: poucos ensaios do módulo",IF(H452&lt;Parametros!$B$5,"Inválida: amostragem em manual ou em falha",IF(OR(I452="",I452&lt;Parametros!$B$6),"Inválida: usina parada ou baixa alimentação","Válida")))))</f>
        <v/>
      </c>
      <c r="K452" s="23" t="str">
        <f aca="false">IF(J452="Válida",F452-B452,"")</f>
        <v/>
      </c>
      <c r="L452" s="26" t="str">
        <f aca="false">IF(J452="Válida",K452/B452,"")</f>
        <v/>
      </c>
      <c r="M452" s="23" t="str">
        <f aca="false">IF(J452="Válida",(F452+B452)/2,"")</f>
        <v/>
      </c>
      <c r="N452" s="24" t="str">
        <f aca="false">IF(K452="","",IF(OR(K452&gt;Resumo!$B$16,K452&lt;Resumo!$B$15),"Sim","Não"))</f>
        <v/>
      </c>
      <c r="O452" s="22" t="e">
        <f aca="false">IF(A452="",NA(),A452)</f>
        <v>#N/A</v>
      </c>
      <c r="P452" s="23" t="e">
        <f aca="false">IF(A452="",NA(),B452)</f>
        <v>#N/A</v>
      </c>
      <c r="Q452" s="23" t="e">
        <f aca="false">IF(F452="",NA(),F452)</f>
        <v>#N/A</v>
      </c>
      <c r="R452" s="23" t="e">
        <f aca="false">IF(K452="",NA(),K452)</f>
        <v>#N/A</v>
      </c>
      <c r="S452" s="23" t="e">
        <f aca="false">IF(M452="",NA(),M452)</f>
        <v>#N/A</v>
      </c>
      <c r="T452" s="23" t="str">
        <f aca="false">IF(J452="Válida",B452,"")</f>
        <v/>
      </c>
      <c r="U452" s="23" t="str">
        <f aca="false">IF(J452="Válida",F452,"")</f>
        <v/>
      </c>
    </row>
    <row r="453" customFormat="false" ht="15" hidden="false" customHeight="false" outlineLevel="0" collapsed="false">
      <c r="A453" s="22" t="str">
        <f aca="false">IF(MES!A453="","",MES!A453)</f>
        <v/>
      </c>
      <c r="B453" s="23" t="str">
        <f aca="false">IF(A453="","",MES!B453)</f>
        <v/>
      </c>
      <c r="C453" s="22" t="str">
        <f aca="false">IF(A453="","",A453+Parametros!$B$3/24)</f>
        <v/>
      </c>
      <c r="D453" s="22" t="str">
        <f aca="false">IF(A453="","",C453+Parametros!$B$2/24)</f>
        <v/>
      </c>
      <c r="E453" s="24" t="str">
        <f aca="false">IF(A453="","",COUNTIFS(Modulo!$A$2:$A$5001,"&gt;="&amp;C453,Modulo!$A$2:$A$5001,"&lt;"&amp;D453,Modulo!$D$2:$D$5001,Parametros!$B$7))</f>
        <v/>
      </c>
      <c r="F453" s="23" t="str">
        <f aca="false">IF(A453="","",IF(E453=0,"",AVERAGEIFS(Modulo!$B$2:$B$5001,Modulo!$A$2:$A$5001,"&gt;="&amp;C453,Modulo!$A$2:$A$5001,"&lt;"&amp;D453,Modulo!$D$2:$D$5001,Parametros!$B$7)))</f>
        <v/>
      </c>
      <c r="G453" s="23" t="str">
        <f aca="false">IF(A453="","",IF(E453=0,"",AVERAGEIFS(Modulo!$C$2:$C$5001,Modulo!$A$2:$A$5001,"&gt;="&amp;C453,Modulo!$A$2:$A$5001,"&lt;"&amp;D453,Modulo!$D$2:$D$5001,Parametros!$B$7)))</f>
        <v/>
      </c>
      <c r="H453" s="25" t="str">
        <f aca="false">IF(A453="","",IFERROR(COUNTIFS(Amostragem!$A$2:$A$15003,"&gt;="&amp;C453,Amostragem!$A$2:$A$15003,"&lt;"&amp;D453,Amostragem!$B$2:$B$15003,"Automático",Amostragem!$C$2:$C$15003,"Automático",Amostragem!$D$2:$D$15003,0)/COUNTIFS(Amostragem!$A$2:$A$15003,"&gt;="&amp;C453,Amostragem!$A$2:$A$15003,"&lt;"&amp;D453),0))</f>
        <v/>
      </c>
      <c r="I453" s="23" t="str">
        <f aca="false">IF(A453="","",IFERROR(AVERAGEIFS(Amostragem!$E$2:$E$15003,Amostragem!$A$2:$A$15003,"&gt;="&amp;C453,Amostragem!$A$2:$A$15003,"&lt;"&amp;D453),""))</f>
        <v/>
      </c>
      <c r="J453" s="24" t="str">
        <f aca="false">IF(A453="","",IF(B453="","Inválida: sem resultado MES",IF(E453&lt;Parametros!$B$4,"Inválida: poucos ensaios do módulo",IF(H453&lt;Parametros!$B$5,"Inválida: amostragem em manual ou em falha",IF(OR(I453="",I453&lt;Parametros!$B$6),"Inválida: usina parada ou baixa alimentação","Válida")))))</f>
        <v/>
      </c>
      <c r="K453" s="23" t="str">
        <f aca="false">IF(J453="Válida",F453-B453,"")</f>
        <v/>
      </c>
      <c r="L453" s="26" t="str">
        <f aca="false">IF(J453="Válida",K453/B453,"")</f>
        <v/>
      </c>
      <c r="M453" s="23" t="str">
        <f aca="false">IF(J453="Válida",(F453+B453)/2,"")</f>
        <v/>
      </c>
      <c r="N453" s="24" t="str">
        <f aca="false">IF(K453="","",IF(OR(K453&gt;Resumo!$B$16,K453&lt;Resumo!$B$15),"Sim","Não"))</f>
        <v/>
      </c>
      <c r="O453" s="22" t="e">
        <f aca="false">IF(A453="",NA(),A453)</f>
        <v>#N/A</v>
      </c>
      <c r="P453" s="23" t="e">
        <f aca="false">IF(A453="",NA(),B453)</f>
        <v>#N/A</v>
      </c>
      <c r="Q453" s="23" t="e">
        <f aca="false">IF(F453="",NA(),F453)</f>
        <v>#N/A</v>
      </c>
      <c r="R453" s="23" t="e">
        <f aca="false">IF(K453="",NA(),K453)</f>
        <v>#N/A</v>
      </c>
      <c r="S453" s="23" t="e">
        <f aca="false">IF(M453="",NA(),M453)</f>
        <v>#N/A</v>
      </c>
      <c r="T453" s="23" t="str">
        <f aca="false">IF(J453="Válida",B453,"")</f>
        <v/>
      </c>
      <c r="U453" s="23" t="str">
        <f aca="false">IF(J453="Válida",F453,"")</f>
        <v/>
      </c>
    </row>
    <row r="454" customFormat="false" ht="15" hidden="false" customHeight="false" outlineLevel="0" collapsed="false">
      <c r="A454" s="22" t="str">
        <f aca="false">IF(MES!A454="","",MES!A454)</f>
        <v/>
      </c>
      <c r="B454" s="23" t="str">
        <f aca="false">IF(A454="","",MES!B454)</f>
        <v/>
      </c>
      <c r="C454" s="22" t="str">
        <f aca="false">IF(A454="","",A454+Parametros!$B$3/24)</f>
        <v/>
      </c>
      <c r="D454" s="22" t="str">
        <f aca="false">IF(A454="","",C454+Parametros!$B$2/24)</f>
        <v/>
      </c>
      <c r="E454" s="24" t="str">
        <f aca="false">IF(A454="","",COUNTIFS(Modulo!$A$2:$A$5001,"&gt;="&amp;C454,Modulo!$A$2:$A$5001,"&lt;"&amp;D454,Modulo!$D$2:$D$5001,Parametros!$B$7))</f>
        <v/>
      </c>
      <c r="F454" s="23" t="str">
        <f aca="false">IF(A454="","",IF(E454=0,"",AVERAGEIFS(Modulo!$B$2:$B$5001,Modulo!$A$2:$A$5001,"&gt;="&amp;C454,Modulo!$A$2:$A$5001,"&lt;"&amp;D454,Modulo!$D$2:$D$5001,Parametros!$B$7)))</f>
        <v/>
      </c>
      <c r="G454" s="23" t="str">
        <f aca="false">IF(A454="","",IF(E454=0,"",AVERAGEIFS(Modulo!$C$2:$C$5001,Modulo!$A$2:$A$5001,"&gt;="&amp;C454,Modulo!$A$2:$A$5001,"&lt;"&amp;D454,Modulo!$D$2:$D$5001,Parametros!$B$7)))</f>
        <v/>
      </c>
      <c r="H454" s="25" t="str">
        <f aca="false">IF(A454="","",IFERROR(COUNTIFS(Amostragem!$A$2:$A$15003,"&gt;="&amp;C454,Amostragem!$A$2:$A$15003,"&lt;"&amp;D454,Amostragem!$B$2:$B$15003,"Automático",Amostragem!$C$2:$C$15003,"Automático",Amostragem!$D$2:$D$15003,0)/COUNTIFS(Amostragem!$A$2:$A$15003,"&gt;="&amp;C454,Amostragem!$A$2:$A$15003,"&lt;"&amp;D454),0))</f>
        <v/>
      </c>
      <c r="I454" s="23" t="str">
        <f aca="false">IF(A454="","",IFERROR(AVERAGEIFS(Amostragem!$E$2:$E$15003,Amostragem!$A$2:$A$15003,"&gt;="&amp;C454,Amostragem!$A$2:$A$15003,"&lt;"&amp;D454),""))</f>
        <v/>
      </c>
      <c r="J454" s="24" t="str">
        <f aca="false">IF(A454="","",IF(B454="","Inválida: sem resultado MES",IF(E454&lt;Parametros!$B$4,"Inválida: poucos ensaios do módulo",IF(H454&lt;Parametros!$B$5,"Inválida: amostragem em manual ou em falha",IF(OR(I454="",I454&lt;Parametros!$B$6),"Inválida: usina parada ou baixa alimentação","Válida")))))</f>
        <v/>
      </c>
      <c r="K454" s="23" t="str">
        <f aca="false">IF(J454="Válida",F454-B454,"")</f>
        <v/>
      </c>
      <c r="L454" s="26" t="str">
        <f aca="false">IF(J454="Válida",K454/B454,"")</f>
        <v/>
      </c>
      <c r="M454" s="23" t="str">
        <f aca="false">IF(J454="Válida",(F454+B454)/2,"")</f>
        <v/>
      </c>
      <c r="N454" s="24" t="str">
        <f aca="false">IF(K454="","",IF(OR(K454&gt;Resumo!$B$16,K454&lt;Resumo!$B$15),"Sim","Não"))</f>
        <v/>
      </c>
      <c r="O454" s="22" t="e">
        <f aca="false">IF(A454="",NA(),A454)</f>
        <v>#N/A</v>
      </c>
      <c r="P454" s="23" t="e">
        <f aca="false">IF(A454="",NA(),B454)</f>
        <v>#N/A</v>
      </c>
      <c r="Q454" s="23" t="e">
        <f aca="false">IF(F454="",NA(),F454)</f>
        <v>#N/A</v>
      </c>
      <c r="R454" s="23" t="e">
        <f aca="false">IF(K454="",NA(),K454)</f>
        <v>#N/A</v>
      </c>
      <c r="S454" s="23" t="e">
        <f aca="false">IF(M454="",NA(),M454)</f>
        <v>#N/A</v>
      </c>
      <c r="T454" s="23" t="str">
        <f aca="false">IF(J454="Válida",B454,"")</f>
        <v/>
      </c>
      <c r="U454" s="23" t="str">
        <f aca="false">IF(J454="Válida",F454,"")</f>
        <v/>
      </c>
    </row>
    <row r="455" customFormat="false" ht="15" hidden="false" customHeight="false" outlineLevel="0" collapsed="false">
      <c r="A455" s="22" t="str">
        <f aca="false">IF(MES!A455="","",MES!A455)</f>
        <v/>
      </c>
      <c r="B455" s="23" t="str">
        <f aca="false">IF(A455="","",MES!B455)</f>
        <v/>
      </c>
      <c r="C455" s="22" t="str">
        <f aca="false">IF(A455="","",A455+Parametros!$B$3/24)</f>
        <v/>
      </c>
      <c r="D455" s="22" t="str">
        <f aca="false">IF(A455="","",C455+Parametros!$B$2/24)</f>
        <v/>
      </c>
      <c r="E455" s="24" t="str">
        <f aca="false">IF(A455="","",COUNTIFS(Modulo!$A$2:$A$5001,"&gt;="&amp;C455,Modulo!$A$2:$A$5001,"&lt;"&amp;D455,Modulo!$D$2:$D$5001,Parametros!$B$7))</f>
        <v/>
      </c>
      <c r="F455" s="23" t="str">
        <f aca="false">IF(A455="","",IF(E455=0,"",AVERAGEIFS(Modulo!$B$2:$B$5001,Modulo!$A$2:$A$5001,"&gt;="&amp;C455,Modulo!$A$2:$A$5001,"&lt;"&amp;D455,Modulo!$D$2:$D$5001,Parametros!$B$7)))</f>
        <v/>
      </c>
      <c r="G455" s="23" t="str">
        <f aca="false">IF(A455="","",IF(E455=0,"",AVERAGEIFS(Modulo!$C$2:$C$5001,Modulo!$A$2:$A$5001,"&gt;="&amp;C455,Modulo!$A$2:$A$5001,"&lt;"&amp;D455,Modulo!$D$2:$D$5001,Parametros!$B$7)))</f>
        <v/>
      </c>
      <c r="H455" s="25" t="str">
        <f aca="false">IF(A455="","",IFERROR(COUNTIFS(Amostragem!$A$2:$A$15003,"&gt;="&amp;C455,Amostragem!$A$2:$A$15003,"&lt;"&amp;D455,Amostragem!$B$2:$B$15003,"Automático",Amostragem!$C$2:$C$15003,"Automático",Amostragem!$D$2:$D$15003,0)/COUNTIFS(Amostragem!$A$2:$A$15003,"&gt;="&amp;C455,Amostragem!$A$2:$A$15003,"&lt;"&amp;D455),0))</f>
        <v/>
      </c>
      <c r="I455" s="23" t="str">
        <f aca="false">IF(A455="","",IFERROR(AVERAGEIFS(Amostragem!$E$2:$E$15003,Amostragem!$A$2:$A$15003,"&gt;="&amp;C455,Amostragem!$A$2:$A$15003,"&lt;"&amp;D455),""))</f>
        <v/>
      </c>
      <c r="J455" s="24" t="str">
        <f aca="false">IF(A455="","",IF(B455="","Inválida: sem resultado MES",IF(E455&lt;Parametros!$B$4,"Inválida: poucos ensaios do módulo",IF(H455&lt;Parametros!$B$5,"Inválida: amostragem em manual ou em falha",IF(OR(I455="",I455&lt;Parametros!$B$6),"Inválida: usina parada ou baixa alimentação","Válida")))))</f>
        <v/>
      </c>
      <c r="K455" s="23" t="str">
        <f aca="false">IF(J455="Válida",F455-B455,"")</f>
        <v/>
      </c>
      <c r="L455" s="26" t="str">
        <f aca="false">IF(J455="Válida",K455/B455,"")</f>
        <v/>
      </c>
      <c r="M455" s="23" t="str">
        <f aca="false">IF(J455="Válida",(F455+B455)/2,"")</f>
        <v/>
      </c>
      <c r="N455" s="24" t="str">
        <f aca="false">IF(K455="","",IF(OR(K455&gt;Resumo!$B$16,K455&lt;Resumo!$B$15),"Sim","Não"))</f>
        <v/>
      </c>
      <c r="O455" s="22" t="e">
        <f aca="false">IF(A455="",NA(),A455)</f>
        <v>#N/A</v>
      </c>
      <c r="P455" s="23" t="e">
        <f aca="false">IF(A455="",NA(),B455)</f>
        <v>#N/A</v>
      </c>
      <c r="Q455" s="23" t="e">
        <f aca="false">IF(F455="",NA(),F455)</f>
        <v>#N/A</v>
      </c>
      <c r="R455" s="23" t="e">
        <f aca="false">IF(K455="",NA(),K455)</f>
        <v>#N/A</v>
      </c>
      <c r="S455" s="23" t="e">
        <f aca="false">IF(M455="",NA(),M455)</f>
        <v>#N/A</v>
      </c>
      <c r="T455" s="23" t="str">
        <f aca="false">IF(J455="Válida",B455,"")</f>
        <v/>
      </c>
      <c r="U455" s="23" t="str">
        <f aca="false">IF(J455="Válida",F455,"")</f>
        <v/>
      </c>
    </row>
    <row r="456" customFormat="false" ht="15" hidden="false" customHeight="false" outlineLevel="0" collapsed="false">
      <c r="A456" s="22" t="str">
        <f aca="false">IF(MES!A456="","",MES!A456)</f>
        <v/>
      </c>
      <c r="B456" s="23" t="str">
        <f aca="false">IF(A456="","",MES!B456)</f>
        <v/>
      </c>
      <c r="C456" s="22" t="str">
        <f aca="false">IF(A456="","",A456+Parametros!$B$3/24)</f>
        <v/>
      </c>
      <c r="D456" s="22" t="str">
        <f aca="false">IF(A456="","",C456+Parametros!$B$2/24)</f>
        <v/>
      </c>
      <c r="E456" s="24" t="str">
        <f aca="false">IF(A456="","",COUNTIFS(Modulo!$A$2:$A$5001,"&gt;="&amp;C456,Modulo!$A$2:$A$5001,"&lt;"&amp;D456,Modulo!$D$2:$D$5001,Parametros!$B$7))</f>
        <v/>
      </c>
      <c r="F456" s="23" t="str">
        <f aca="false">IF(A456="","",IF(E456=0,"",AVERAGEIFS(Modulo!$B$2:$B$5001,Modulo!$A$2:$A$5001,"&gt;="&amp;C456,Modulo!$A$2:$A$5001,"&lt;"&amp;D456,Modulo!$D$2:$D$5001,Parametros!$B$7)))</f>
        <v/>
      </c>
      <c r="G456" s="23" t="str">
        <f aca="false">IF(A456="","",IF(E456=0,"",AVERAGEIFS(Modulo!$C$2:$C$5001,Modulo!$A$2:$A$5001,"&gt;="&amp;C456,Modulo!$A$2:$A$5001,"&lt;"&amp;D456,Modulo!$D$2:$D$5001,Parametros!$B$7)))</f>
        <v/>
      </c>
      <c r="H456" s="25" t="str">
        <f aca="false">IF(A456="","",IFERROR(COUNTIFS(Amostragem!$A$2:$A$15003,"&gt;="&amp;C456,Amostragem!$A$2:$A$15003,"&lt;"&amp;D456,Amostragem!$B$2:$B$15003,"Automático",Amostragem!$C$2:$C$15003,"Automático",Amostragem!$D$2:$D$15003,0)/COUNTIFS(Amostragem!$A$2:$A$15003,"&gt;="&amp;C456,Amostragem!$A$2:$A$15003,"&lt;"&amp;D456),0))</f>
        <v/>
      </c>
      <c r="I456" s="23" t="str">
        <f aca="false">IF(A456="","",IFERROR(AVERAGEIFS(Amostragem!$E$2:$E$15003,Amostragem!$A$2:$A$15003,"&gt;="&amp;C456,Amostragem!$A$2:$A$15003,"&lt;"&amp;D456),""))</f>
        <v/>
      </c>
      <c r="J456" s="24" t="str">
        <f aca="false">IF(A456="","",IF(B456="","Inválida: sem resultado MES",IF(E456&lt;Parametros!$B$4,"Inválida: poucos ensaios do módulo",IF(H456&lt;Parametros!$B$5,"Inválida: amostragem em manual ou em falha",IF(OR(I456="",I456&lt;Parametros!$B$6),"Inválida: usina parada ou baixa alimentação","Válida")))))</f>
        <v/>
      </c>
      <c r="K456" s="23" t="str">
        <f aca="false">IF(J456="Válida",F456-B456,"")</f>
        <v/>
      </c>
      <c r="L456" s="26" t="str">
        <f aca="false">IF(J456="Válida",K456/B456,"")</f>
        <v/>
      </c>
      <c r="M456" s="23" t="str">
        <f aca="false">IF(J456="Válida",(F456+B456)/2,"")</f>
        <v/>
      </c>
      <c r="N456" s="24" t="str">
        <f aca="false">IF(K456="","",IF(OR(K456&gt;Resumo!$B$16,K456&lt;Resumo!$B$15),"Sim","Não"))</f>
        <v/>
      </c>
      <c r="O456" s="22" t="e">
        <f aca="false">IF(A456="",NA(),A456)</f>
        <v>#N/A</v>
      </c>
      <c r="P456" s="23" t="e">
        <f aca="false">IF(A456="",NA(),B456)</f>
        <v>#N/A</v>
      </c>
      <c r="Q456" s="23" t="e">
        <f aca="false">IF(F456="",NA(),F456)</f>
        <v>#N/A</v>
      </c>
      <c r="R456" s="23" t="e">
        <f aca="false">IF(K456="",NA(),K456)</f>
        <v>#N/A</v>
      </c>
      <c r="S456" s="23" t="e">
        <f aca="false">IF(M456="",NA(),M456)</f>
        <v>#N/A</v>
      </c>
      <c r="T456" s="23" t="str">
        <f aca="false">IF(J456="Válida",B456,"")</f>
        <v/>
      </c>
      <c r="U456" s="23" t="str">
        <f aca="false">IF(J456="Válida",F456,"")</f>
        <v/>
      </c>
    </row>
    <row r="457" customFormat="false" ht="15" hidden="false" customHeight="false" outlineLevel="0" collapsed="false">
      <c r="A457" s="22" t="str">
        <f aca="false">IF(MES!A457="","",MES!A457)</f>
        <v/>
      </c>
      <c r="B457" s="23" t="str">
        <f aca="false">IF(A457="","",MES!B457)</f>
        <v/>
      </c>
      <c r="C457" s="22" t="str">
        <f aca="false">IF(A457="","",A457+Parametros!$B$3/24)</f>
        <v/>
      </c>
      <c r="D457" s="22" t="str">
        <f aca="false">IF(A457="","",C457+Parametros!$B$2/24)</f>
        <v/>
      </c>
      <c r="E457" s="24" t="str">
        <f aca="false">IF(A457="","",COUNTIFS(Modulo!$A$2:$A$5001,"&gt;="&amp;C457,Modulo!$A$2:$A$5001,"&lt;"&amp;D457,Modulo!$D$2:$D$5001,Parametros!$B$7))</f>
        <v/>
      </c>
      <c r="F457" s="23" t="str">
        <f aca="false">IF(A457="","",IF(E457=0,"",AVERAGEIFS(Modulo!$B$2:$B$5001,Modulo!$A$2:$A$5001,"&gt;="&amp;C457,Modulo!$A$2:$A$5001,"&lt;"&amp;D457,Modulo!$D$2:$D$5001,Parametros!$B$7)))</f>
        <v/>
      </c>
      <c r="G457" s="23" t="str">
        <f aca="false">IF(A457="","",IF(E457=0,"",AVERAGEIFS(Modulo!$C$2:$C$5001,Modulo!$A$2:$A$5001,"&gt;="&amp;C457,Modulo!$A$2:$A$5001,"&lt;"&amp;D457,Modulo!$D$2:$D$5001,Parametros!$B$7)))</f>
        <v/>
      </c>
      <c r="H457" s="25" t="str">
        <f aca="false">IF(A457="","",IFERROR(COUNTIFS(Amostragem!$A$2:$A$15003,"&gt;="&amp;C457,Amostragem!$A$2:$A$15003,"&lt;"&amp;D457,Amostragem!$B$2:$B$15003,"Automático",Amostragem!$C$2:$C$15003,"Automático",Amostragem!$D$2:$D$15003,0)/COUNTIFS(Amostragem!$A$2:$A$15003,"&gt;="&amp;C457,Amostragem!$A$2:$A$15003,"&lt;"&amp;D457),0))</f>
        <v/>
      </c>
      <c r="I457" s="23" t="str">
        <f aca="false">IF(A457="","",IFERROR(AVERAGEIFS(Amostragem!$E$2:$E$15003,Amostragem!$A$2:$A$15003,"&gt;="&amp;C457,Amostragem!$A$2:$A$15003,"&lt;"&amp;D457),""))</f>
        <v/>
      </c>
      <c r="J457" s="24" t="str">
        <f aca="false">IF(A457="","",IF(B457="","Inválida: sem resultado MES",IF(E457&lt;Parametros!$B$4,"Inválida: poucos ensaios do módulo",IF(H457&lt;Parametros!$B$5,"Inválida: amostragem em manual ou em falha",IF(OR(I457="",I457&lt;Parametros!$B$6),"Inválida: usina parada ou baixa alimentação","Válida")))))</f>
        <v/>
      </c>
      <c r="K457" s="23" t="str">
        <f aca="false">IF(J457="Válida",F457-B457,"")</f>
        <v/>
      </c>
      <c r="L457" s="26" t="str">
        <f aca="false">IF(J457="Válida",K457/B457,"")</f>
        <v/>
      </c>
      <c r="M457" s="23" t="str">
        <f aca="false">IF(J457="Válida",(F457+B457)/2,"")</f>
        <v/>
      </c>
      <c r="N457" s="24" t="str">
        <f aca="false">IF(K457="","",IF(OR(K457&gt;Resumo!$B$16,K457&lt;Resumo!$B$15),"Sim","Não"))</f>
        <v/>
      </c>
      <c r="O457" s="22" t="e">
        <f aca="false">IF(A457="",NA(),A457)</f>
        <v>#N/A</v>
      </c>
      <c r="P457" s="23" t="e">
        <f aca="false">IF(A457="",NA(),B457)</f>
        <v>#N/A</v>
      </c>
      <c r="Q457" s="23" t="e">
        <f aca="false">IF(F457="",NA(),F457)</f>
        <v>#N/A</v>
      </c>
      <c r="R457" s="23" t="e">
        <f aca="false">IF(K457="",NA(),K457)</f>
        <v>#N/A</v>
      </c>
      <c r="S457" s="23" t="e">
        <f aca="false">IF(M457="",NA(),M457)</f>
        <v>#N/A</v>
      </c>
      <c r="T457" s="23" t="str">
        <f aca="false">IF(J457="Válida",B457,"")</f>
        <v/>
      </c>
      <c r="U457" s="23" t="str">
        <f aca="false">IF(J457="Válida",F457,"")</f>
        <v/>
      </c>
    </row>
    <row r="458" customFormat="false" ht="15" hidden="false" customHeight="false" outlineLevel="0" collapsed="false">
      <c r="A458" s="22" t="str">
        <f aca="false">IF(MES!A458="","",MES!A458)</f>
        <v/>
      </c>
      <c r="B458" s="23" t="str">
        <f aca="false">IF(A458="","",MES!B458)</f>
        <v/>
      </c>
      <c r="C458" s="22" t="str">
        <f aca="false">IF(A458="","",A458+Parametros!$B$3/24)</f>
        <v/>
      </c>
      <c r="D458" s="22" t="str">
        <f aca="false">IF(A458="","",C458+Parametros!$B$2/24)</f>
        <v/>
      </c>
      <c r="E458" s="24" t="str">
        <f aca="false">IF(A458="","",COUNTIFS(Modulo!$A$2:$A$5001,"&gt;="&amp;C458,Modulo!$A$2:$A$5001,"&lt;"&amp;D458,Modulo!$D$2:$D$5001,Parametros!$B$7))</f>
        <v/>
      </c>
      <c r="F458" s="23" t="str">
        <f aca="false">IF(A458="","",IF(E458=0,"",AVERAGEIFS(Modulo!$B$2:$B$5001,Modulo!$A$2:$A$5001,"&gt;="&amp;C458,Modulo!$A$2:$A$5001,"&lt;"&amp;D458,Modulo!$D$2:$D$5001,Parametros!$B$7)))</f>
        <v/>
      </c>
      <c r="G458" s="23" t="str">
        <f aca="false">IF(A458="","",IF(E458=0,"",AVERAGEIFS(Modulo!$C$2:$C$5001,Modulo!$A$2:$A$5001,"&gt;="&amp;C458,Modulo!$A$2:$A$5001,"&lt;"&amp;D458,Modulo!$D$2:$D$5001,Parametros!$B$7)))</f>
        <v/>
      </c>
      <c r="H458" s="25" t="str">
        <f aca="false">IF(A458="","",IFERROR(COUNTIFS(Amostragem!$A$2:$A$15003,"&gt;="&amp;C458,Amostragem!$A$2:$A$15003,"&lt;"&amp;D458,Amostragem!$B$2:$B$15003,"Automático",Amostragem!$C$2:$C$15003,"Automático",Amostragem!$D$2:$D$15003,0)/COUNTIFS(Amostragem!$A$2:$A$15003,"&gt;="&amp;C458,Amostragem!$A$2:$A$15003,"&lt;"&amp;D458),0))</f>
        <v/>
      </c>
      <c r="I458" s="23" t="str">
        <f aca="false">IF(A458="","",IFERROR(AVERAGEIFS(Amostragem!$E$2:$E$15003,Amostragem!$A$2:$A$15003,"&gt;="&amp;C458,Amostragem!$A$2:$A$15003,"&lt;"&amp;D458),""))</f>
        <v/>
      </c>
      <c r="J458" s="24" t="str">
        <f aca="false">IF(A458="","",IF(B458="","Inválida: sem resultado MES",IF(E458&lt;Parametros!$B$4,"Inválida: poucos ensaios do módulo",IF(H458&lt;Parametros!$B$5,"Inválida: amostragem em manual ou em falha",IF(OR(I458="",I458&lt;Parametros!$B$6),"Inválida: usina parada ou baixa alimentação","Válida")))))</f>
        <v/>
      </c>
      <c r="K458" s="23" t="str">
        <f aca="false">IF(J458="Válida",F458-B458,"")</f>
        <v/>
      </c>
      <c r="L458" s="26" t="str">
        <f aca="false">IF(J458="Válida",K458/B458,"")</f>
        <v/>
      </c>
      <c r="M458" s="23" t="str">
        <f aca="false">IF(J458="Válida",(F458+B458)/2,"")</f>
        <v/>
      </c>
      <c r="N458" s="24" t="str">
        <f aca="false">IF(K458="","",IF(OR(K458&gt;Resumo!$B$16,K458&lt;Resumo!$B$15),"Sim","Não"))</f>
        <v/>
      </c>
      <c r="O458" s="22" t="e">
        <f aca="false">IF(A458="",NA(),A458)</f>
        <v>#N/A</v>
      </c>
      <c r="P458" s="23" t="e">
        <f aca="false">IF(A458="",NA(),B458)</f>
        <v>#N/A</v>
      </c>
      <c r="Q458" s="23" t="e">
        <f aca="false">IF(F458="",NA(),F458)</f>
        <v>#N/A</v>
      </c>
      <c r="R458" s="23" t="e">
        <f aca="false">IF(K458="",NA(),K458)</f>
        <v>#N/A</v>
      </c>
      <c r="S458" s="23" t="e">
        <f aca="false">IF(M458="",NA(),M458)</f>
        <v>#N/A</v>
      </c>
      <c r="T458" s="23" t="str">
        <f aca="false">IF(J458="Válida",B458,"")</f>
        <v/>
      </c>
      <c r="U458" s="23" t="str">
        <f aca="false">IF(J458="Válida",F458,"")</f>
        <v/>
      </c>
    </row>
    <row r="459" customFormat="false" ht="15" hidden="false" customHeight="false" outlineLevel="0" collapsed="false">
      <c r="A459" s="22" t="str">
        <f aca="false">IF(MES!A459="","",MES!A459)</f>
        <v/>
      </c>
      <c r="B459" s="23" t="str">
        <f aca="false">IF(A459="","",MES!B459)</f>
        <v/>
      </c>
      <c r="C459" s="22" t="str">
        <f aca="false">IF(A459="","",A459+Parametros!$B$3/24)</f>
        <v/>
      </c>
      <c r="D459" s="22" t="str">
        <f aca="false">IF(A459="","",C459+Parametros!$B$2/24)</f>
        <v/>
      </c>
      <c r="E459" s="24" t="str">
        <f aca="false">IF(A459="","",COUNTIFS(Modulo!$A$2:$A$5001,"&gt;="&amp;C459,Modulo!$A$2:$A$5001,"&lt;"&amp;D459,Modulo!$D$2:$D$5001,Parametros!$B$7))</f>
        <v/>
      </c>
      <c r="F459" s="23" t="str">
        <f aca="false">IF(A459="","",IF(E459=0,"",AVERAGEIFS(Modulo!$B$2:$B$5001,Modulo!$A$2:$A$5001,"&gt;="&amp;C459,Modulo!$A$2:$A$5001,"&lt;"&amp;D459,Modulo!$D$2:$D$5001,Parametros!$B$7)))</f>
        <v/>
      </c>
      <c r="G459" s="23" t="str">
        <f aca="false">IF(A459="","",IF(E459=0,"",AVERAGEIFS(Modulo!$C$2:$C$5001,Modulo!$A$2:$A$5001,"&gt;="&amp;C459,Modulo!$A$2:$A$5001,"&lt;"&amp;D459,Modulo!$D$2:$D$5001,Parametros!$B$7)))</f>
        <v/>
      </c>
      <c r="H459" s="25" t="str">
        <f aca="false">IF(A459="","",IFERROR(COUNTIFS(Amostragem!$A$2:$A$15003,"&gt;="&amp;C459,Amostragem!$A$2:$A$15003,"&lt;"&amp;D459,Amostragem!$B$2:$B$15003,"Automático",Amostragem!$C$2:$C$15003,"Automático",Amostragem!$D$2:$D$15003,0)/COUNTIFS(Amostragem!$A$2:$A$15003,"&gt;="&amp;C459,Amostragem!$A$2:$A$15003,"&lt;"&amp;D459),0))</f>
        <v/>
      </c>
      <c r="I459" s="23" t="str">
        <f aca="false">IF(A459="","",IFERROR(AVERAGEIFS(Amostragem!$E$2:$E$15003,Amostragem!$A$2:$A$15003,"&gt;="&amp;C459,Amostragem!$A$2:$A$15003,"&lt;"&amp;D459),""))</f>
        <v/>
      </c>
      <c r="J459" s="24" t="str">
        <f aca="false">IF(A459="","",IF(B459="","Inválida: sem resultado MES",IF(E459&lt;Parametros!$B$4,"Inválida: poucos ensaios do módulo",IF(H459&lt;Parametros!$B$5,"Inválida: amostragem em manual ou em falha",IF(OR(I459="",I459&lt;Parametros!$B$6),"Inválida: usina parada ou baixa alimentação","Válida")))))</f>
        <v/>
      </c>
      <c r="K459" s="23" t="str">
        <f aca="false">IF(J459="Válida",F459-B459,"")</f>
        <v/>
      </c>
      <c r="L459" s="26" t="str">
        <f aca="false">IF(J459="Válida",K459/B459,"")</f>
        <v/>
      </c>
      <c r="M459" s="23" t="str">
        <f aca="false">IF(J459="Válida",(F459+B459)/2,"")</f>
        <v/>
      </c>
      <c r="N459" s="24" t="str">
        <f aca="false">IF(K459="","",IF(OR(K459&gt;Resumo!$B$16,K459&lt;Resumo!$B$15),"Sim","Não"))</f>
        <v/>
      </c>
      <c r="O459" s="22" t="e">
        <f aca="false">IF(A459="",NA(),A459)</f>
        <v>#N/A</v>
      </c>
      <c r="P459" s="23" t="e">
        <f aca="false">IF(A459="",NA(),B459)</f>
        <v>#N/A</v>
      </c>
      <c r="Q459" s="23" t="e">
        <f aca="false">IF(F459="",NA(),F459)</f>
        <v>#N/A</v>
      </c>
      <c r="R459" s="23" t="e">
        <f aca="false">IF(K459="",NA(),K459)</f>
        <v>#N/A</v>
      </c>
      <c r="S459" s="23" t="e">
        <f aca="false">IF(M459="",NA(),M459)</f>
        <v>#N/A</v>
      </c>
      <c r="T459" s="23" t="str">
        <f aca="false">IF(J459="Válida",B459,"")</f>
        <v/>
      </c>
      <c r="U459" s="23" t="str">
        <f aca="false">IF(J459="Válida",F459,"")</f>
        <v/>
      </c>
    </row>
    <row r="460" customFormat="false" ht="15" hidden="false" customHeight="false" outlineLevel="0" collapsed="false">
      <c r="A460" s="22" t="str">
        <f aca="false">IF(MES!A460="","",MES!A460)</f>
        <v/>
      </c>
      <c r="B460" s="23" t="str">
        <f aca="false">IF(A460="","",MES!B460)</f>
        <v/>
      </c>
      <c r="C460" s="22" t="str">
        <f aca="false">IF(A460="","",A460+Parametros!$B$3/24)</f>
        <v/>
      </c>
      <c r="D460" s="22" t="str">
        <f aca="false">IF(A460="","",C460+Parametros!$B$2/24)</f>
        <v/>
      </c>
      <c r="E460" s="24" t="str">
        <f aca="false">IF(A460="","",COUNTIFS(Modulo!$A$2:$A$5001,"&gt;="&amp;C460,Modulo!$A$2:$A$5001,"&lt;"&amp;D460,Modulo!$D$2:$D$5001,Parametros!$B$7))</f>
        <v/>
      </c>
      <c r="F460" s="23" t="str">
        <f aca="false">IF(A460="","",IF(E460=0,"",AVERAGEIFS(Modulo!$B$2:$B$5001,Modulo!$A$2:$A$5001,"&gt;="&amp;C460,Modulo!$A$2:$A$5001,"&lt;"&amp;D460,Modulo!$D$2:$D$5001,Parametros!$B$7)))</f>
        <v/>
      </c>
      <c r="G460" s="23" t="str">
        <f aca="false">IF(A460="","",IF(E460=0,"",AVERAGEIFS(Modulo!$C$2:$C$5001,Modulo!$A$2:$A$5001,"&gt;="&amp;C460,Modulo!$A$2:$A$5001,"&lt;"&amp;D460,Modulo!$D$2:$D$5001,Parametros!$B$7)))</f>
        <v/>
      </c>
      <c r="H460" s="25" t="str">
        <f aca="false">IF(A460="","",IFERROR(COUNTIFS(Amostragem!$A$2:$A$15003,"&gt;="&amp;C460,Amostragem!$A$2:$A$15003,"&lt;"&amp;D460,Amostragem!$B$2:$B$15003,"Automático",Amostragem!$C$2:$C$15003,"Automático",Amostragem!$D$2:$D$15003,0)/COUNTIFS(Amostragem!$A$2:$A$15003,"&gt;="&amp;C460,Amostragem!$A$2:$A$15003,"&lt;"&amp;D460),0))</f>
        <v/>
      </c>
      <c r="I460" s="23" t="str">
        <f aca="false">IF(A460="","",IFERROR(AVERAGEIFS(Amostragem!$E$2:$E$15003,Amostragem!$A$2:$A$15003,"&gt;="&amp;C460,Amostragem!$A$2:$A$15003,"&lt;"&amp;D460),""))</f>
        <v/>
      </c>
      <c r="J460" s="24" t="str">
        <f aca="false">IF(A460="","",IF(B460="","Inválida: sem resultado MES",IF(E460&lt;Parametros!$B$4,"Inválida: poucos ensaios do módulo",IF(H460&lt;Parametros!$B$5,"Inválida: amostragem em manual ou em falha",IF(OR(I460="",I460&lt;Parametros!$B$6),"Inválida: usina parada ou baixa alimentação","Válida")))))</f>
        <v/>
      </c>
      <c r="K460" s="23" t="str">
        <f aca="false">IF(J460="Válida",F460-B460,"")</f>
        <v/>
      </c>
      <c r="L460" s="26" t="str">
        <f aca="false">IF(J460="Válida",K460/B460,"")</f>
        <v/>
      </c>
      <c r="M460" s="23" t="str">
        <f aca="false">IF(J460="Válida",(F460+B460)/2,"")</f>
        <v/>
      </c>
      <c r="N460" s="24" t="str">
        <f aca="false">IF(K460="","",IF(OR(K460&gt;Resumo!$B$16,K460&lt;Resumo!$B$15),"Sim","Não"))</f>
        <v/>
      </c>
      <c r="O460" s="22" t="e">
        <f aca="false">IF(A460="",NA(),A460)</f>
        <v>#N/A</v>
      </c>
      <c r="P460" s="23" t="e">
        <f aca="false">IF(A460="",NA(),B460)</f>
        <v>#N/A</v>
      </c>
      <c r="Q460" s="23" t="e">
        <f aca="false">IF(F460="",NA(),F460)</f>
        <v>#N/A</v>
      </c>
      <c r="R460" s="23" t="e">
        <f aca="false">IF(K460="",NA(),K460)</f>
        <v>#N/A</v>
      </c>
      <c r="S460" s="23" t="e">
        <f aca="false">IF(M460="",NA(),M460)</f>
        <v>#N/A</v>
      </c>
      <c r="T460" s="23" t="str">
        <f aca="false">IF(J460="Válida",B460,"")</f>
        <v/>
      </c>
      <c r="U460" s="23" t="str">
        <f aca="false">IF(J460="Válida",F460,"")</f>
        <v/>
      </c>
    </row>
    <row r="461" customFormat="false" ht="15" hidden="false" customHeight="false" outlineLevel="0" collapsed="false">
      <c r="A461" s="22" t="str">
        <f aca="false">IF(MES!A461="","",MES!A461)</f>
        <v/>
      </c>
      <c r="B461" s="23" t="str">
        <f aca="false">IF(A461="","",MES!B461)</f>
        <v/>
      </c>
      <c r="C461" s="22" t="str">
        <f aca="false">IF(A461="","",A461+Parametros!$B$3/24)</f>
        <v/>
      </c>
      <c r="D461" s="22" t="str">
        <f aca="false">IF(A461="","",C461+Parametros!$B$2/24)</f>
        <v/>
      </c>
      <c r="E461" s="24" t="str">
        <f aca="false">IF(A461="","",COUNTIFS(Modulo!$A$2:$A$5001,"&gt;="&amp;C461,Modulo!$A$2:$A$5001,"&lt;"&amp;D461,Modulo!$D$2:$D$5001,Parametros!$B$7))</f>
        <v/>
      </c>
      <c r="F461" s="23" t="str">
        <f aca="false">IF(A461="","",IF(E461=0,"",AVERAGEIFS(Modulo!$B$2:$B$5001,Modulo!$A$2:$A$5001,"&gt;="&amp;C461,Modulo!$A$2:$A$5001,"&lt;"&amp;D461,Modulo!$D$2:$D$5001,Parametros!$B$7)))</f>
        <v/>
      </c>
      <c r="G461" s="23" t="str">
        <f aca="false">IF(A461="","",IF(E461=0,"",AVERAGEIFS(Modulo!$C$2:$C$5001,Modulo!$A$2:$A$5001,"&gt;="&amp;C461,Modulo!$A$2:$A$5001,"&lt;"&amp;D461,Modulo!$D$2:$D$5001,Parametros!$B$7)))</f>
        <v/>
      </c>
      <c r="H461" s="25" t="str">
        <f aca="false">IF(A461="","",IFERROR(COUNTIFS(Amostragem!$A$2:$A$15003,"&gt;="&amp;C461,Amostragem!$A$2:$A$15003,"&lt;"&amp;D461,Amostragem!$B$2:$B$15003,"Automático",Amostragem!$C$2:$C$15003,"Automático",Amostragem!$D$2:$D$15003,0)/COUNTIFS(Amostragem!$A$2:$A$15003,"&gt;="&amp;C461,Amostragem!$A$2:$A$15003,"&lt;"&amp;D461),0))</f>
        <v/>
      </c>
      <c r="I461" s="23" t="str">
        <f aca="false">IF(A461="","",IFERROR(AVERAGEIFS(Amostragem!$E$2:$E$15003,Amostragem!$A$2:$A$15003,"&gt;="&amp;C461,Amostragem!$A$2:$A$15003,"&lt;"&amp;D461),""))</f>
        <v/>
      </c>
      <c r="J461" s="24" t="str">
        <f aca="false">IF(A461="","",IF(B461="","Inválida: sem resultado MES",IF(E461&lt;Parametros!$B$4,"Inválida: poucos ensaios do módulo",IF(H461&lt;Parametros!$B$5,"Inválida: amostragem em manual ou em falha",IF(OR(I461="",I461&lt;Parametros!$B$6),"Inválida: usina parada ou baixa alimentação","Válida")))))</f>
        <v/>
      </c>
      <c r="K461" s="23" t="str">
        <f aca="false">IF(J461="Válida",F461-B461,"")</f>
        <v/>
      </c>
      <c r="L461" s="26" t="str">
        <f aca="false">IF(J461="Válida",K461/B461,"")</f>
        <v/>
      </c>
      <c r="M461" s="23" t="str">
        <f aca="false">IF(J461="Válida",(F461+B461)/2,"")</f>
        <v/>
      </c>
      <c r="N461" s="24" t="str">
        <f aca="false">IF(K461="","",IF(OR(K461&gt;Resumo!$B$16,K461&lt;Resumo!$B$15),"Sim","Não"))</f>
        <v/>
      </c>
      <c r="O461" s="22" t="e">
        <f aca="false">IF(A461="",NA(),A461)</f>
        <v>#N/A</v>
      </c>
      <c r="P461" s="23" t="e">
        <f aca="false">IF(A461="",NA(),B461)</f>
        <v>#N/A</v>
      </c>
      <c r="Q461" s="23" t="e">
        <f aca="false">IF(F461="",NA(),F461)</f>
        <v>#N/A</v>
      </c>
      <c r="R461" s="23" t="e">
        <f aca="false">IF(K461="",NA(),K461)</f>
        <v>#N/A</v>
      </c>
      <c r="S461" s="23" t="e">
        <f aca="false">IF(M461="",NA(),M461)</f>
        <v>#N/A</v>
      </c>
      <c r="T461" s="23" t="str">
        <f aca="false">IF(J461="Válida",B461,"")</f>
        <v/>
      </c>
      <c r="U461" s="23" t="str">
        <f aca="false">IF(J461="Válida",F461,"")</f>
        <v/>
      </c>
    </row>
    <row r="462" customFormat="false" ht="15" hidden="false" customHeight="false" outlineLevel="0" collapsed="false">
      <c r="A462" s="22" t="str">
        <f aca="false">IF(MES!A462="","",MES!A462)</f>
        <v/>
      </c>
      <c r="B462" s="23" t="str">
        <f aca="false">IF(A462="","",MES!B462)</f>
        <v/>
      </c>
      <c r="C462" s="22" t="str">
        <f aca="false">IF(A462="","",A462+Parametros!$B$3/24)</f>
        <v/>
      </c>
      <c r="D462" s="22" t="str">
        <f aca="false">IF(A462="","",C462+Parametros!$B$2/24)</f>
        <v/>
      </c>
      <c r="E462" s="24" t="str">
        <f aca="false">IF(A462="","",COUNTIFS(Modulo!$A$2:$A$5001,"&gt;="&amp;C462,Modulo!$A$2:$A$5001,"&lt;"&amp;D462,Modulo!$D$2:$D$5001,Parametros!$B$7))</f>
        <v/>
      </c>
      <c r="F462" s="23" t="str">
        <f aca="false">IF(A462="","",IF(E462=0,"",AVERAGEIFS(Modulo!$B$2:$B$5001,Modulo!$A$2:$A$5001,"&gt;="&amp;C462,Modulo!$A$2:$A$5001,"&lt;"&amp;D462,Modulo!$D$2:$D$5001,Parametros!$B$7)))</f>
        <v/>
      </c>
      <c r="G462" s="23" t="str">
        <f aca="false">IF(A462="","",IF(E462=0,"",AVERAGEIFS(Modulo!$C$2:$C$5001,Modulo!$A$2:$A$5001,"&gt;="&amp;C462,Modulo!$A$2:$A$5001,"&lt;"&amp;D462,Modulo!$D$2:$D$5001,Parametros!$B$7)))</f>
        <v/>
      </c>
      <c r="H462" s="25" t="str">
        <f aca="false">IF(A462="","",IFERROR(COUNTIFS(Amostragem!$A$2:$A$15003,"&gt;="&amp;C462,Amostragem!$A$2:$A$15003,"&lt;"&amp;D462,Amostragem!$B$2:$B$15003,"Automático",Amostragem!$C$2:$C$15003,"Automático",Amostragem!$D$2:$D$15003,0)/COUNTIFS(Amostragem!$A$2:$A$15003,"&gt;="&amp;C462,Amostragem!$A$2:$A$15003,"&lt;"&amp;D462),0))</f>
        <v/>
      </c>
      <c r="I462" s="23" t="str">
        <f aca="false">IF(A462="","",IFERROR(AVERAGEIFS(Amostragem!$E$2:$E$15003,Amostragem!$A$2:$A$15003,"&gt;="&amp;C462,Amostragem!$A$2:$A$15003,"&lt;"&amp;D462),""))</f>
        <v/>
      </c>
      <c r="J462" s="24" t="str">
        <f aca="false">IF(A462="","",IF(B462="","Inválida: sem resultado MES",IF(E462&lt;Parametros!$B$4,"Inválida: poucos ensaios do módulo",IF(H462&lt;Parametros!$B$5,"Inválida: amostragem em manual ou em falha",IF(OR(I462="",I462&lt;Parametros!$B$6),"Inválida: usina parada ou baixa alimentação","Válida")))))</f>
        <v/>
      </c>
      <c r="K462" s="23" t="str">
        <f aca="false">IF(J462="Válida",F462-B462,"")</f>
        <v/>
      </c>
      <c r="L462" s="26" t="str">
        <f aca="false">IF(J462="Válida",K462/B462,"")</f>
        <v/>
      </c>
      <c r="M462" s="23" t="str">
        <f aca="false">IF(J462="Válida",(F462+B462)/2,"")</f>
        <v/>
      </c>
      <c r="N462" s="24" t="str">
        <f aca="false">IF(K462="","",IF(OR(K462&gt;Resumo!$B$16,K462&lt;Resumo!$B$15),"Sim","Não"))</f>
        <v/>
      </c>
      <c r="O462" s="22" t="e">
        <f aca="false">IF(A462="",NA(),A462)</f>
        <v>#N/A</v>
      </c>
      <c r="P462" s="23" t="e">
        <f aca="false">IF(A462="",NA(),B462)</f>
        <v>#N/A</v>
      </c>
      <c r="Q462" s="23" t="e">
        <f aca="false">IF(F462="",NA(),F462)</f>
        <v>#N/A</v>
      </c>
      <c r="R462" s="23" t="e">
        <f aca="false">IF(K462="",NA(),K462)</f>
        <v>#N/A</v>
      </c>
      <c r="S462" s="23" t="e">
        <f aca="false">IF(M462="",NA(),M462)</f>
        <v>#N/A</v>
      </c>
      <c r="T462" s="23" t="str">
        <f aca="false">IF(J462="Válida",B462,"")</f>
        <v/>
      </c>
      <c r="U462" s="23" t="str">
        <f aca="false">IF(J462="Válida",F462,"")</f>
        <v/>
      </c>
    </row>
    <row r="463" customFormat="false" ht="15" hidden="false" customHeight="false" outlineLevel="0" collapsed="false">
      <c r="A463" s="22" t="str">
        <f aca="false">IF(MES!A463="","",MES!A463)</f>
        <v/>
      </c>
      <c r="B463" s="23" t="str">
        <f aca="false">IF(A463="","",MES!B463)</f>
        <v/>
      </c>
      <c r="C463" s="22" t="str">
        <f aca="false">IF(A463="","",A463+Parametros!$B$3/24)</f>
        <v/>
      </c>
      <c r="D463" s="22" t="str">
        <f aca="false">IF(A463="","",C463+Parametros!$B$2/24)</f>
        <v/>
      </c>
      <c r="E463" s="24" t="str">
        <f aca="false">IF(A463="","",COUNTIFS(Modulo!$A$2:$A$5001,"&gt;="&amp;C463,Modulo!$A$2:$A$5001,"&lt;"&amp;D463,Modulo!$D$2:$D$5001,Parametros!$B$7))</f>
        <v/>
      </c>
      <c r="F463" s="23" t="str">
        <f aca="false">IF(A463="","",IF(E463=0,"",AVERAGEIFS(Modulo!$B$2:$B$5001,Modulo!$A$2:$A$5001,"&gt;="&amp;C463,Modulo!$A$2:$A$5001,"&lt;"&amp;D463,Modulo!$D$2:$D$5001,Parametros!$B$7)))</f>
        <v/>
      </c>
      <c r="G463" s="23" t="str">
        <f aca="false">IF(A463="","",IF(E463=0,"",AVERAGEIFS(Modulo!$C$2:$C$5001,Modulo!$A$2:$A$5001,"&gt;="&amp;C463,Modulo!$A$2:$A$5001,"&lt;"&amp;D463,Modulo!$D$2:$D$5001,Parametros!$B$7)))</f>
        <v/>
      </c>
      <c r="H463" s="25" t="str">
        <f aca="false">IF(A463="","",IFERROR(COUNTIFS(Amostragem!$A$2:$A$15003,"&gt;="&amp;C463,Amostragem!$A$2:$A$15003,"&lt;"&amp;D463,Amostragem!$B$2:$B$15003,"Automático",Amostragem!$C$2:$C$15003,"Automático",Amostragem!$D$2:$D$15003,0)/COUNTIFS(Amostragem!$A$2:$A$15003,"&gt;="&amp;C463,Amostragem!$A$2:$A$15003,"&lt;"&amp;D463),0))</f>
        <v/>
      </c>
      <c r="I463" s="23" t="str">
        <f aca="false">IF(A463="","",IFERROR(AVERAGEIFS(Amostragem!$E$2:$E$15003,Amostragem!$A$2:$A$15003,"&gt;="&amp;C463,Amostragem!$A$2:$A$15003,"&lt;"&amp;D463),""))</f>
        <v/>
      </c>
      <c r="J463" s="24" t="str">
        <f aca="false">IF(A463="","",IF(B463="","Inválida: sem resultado MES",IF(E463&lt;Parametros!$B$4,"Inválida: poucos ensaios do módulo",IF(H463&lt;Parametros!$B$5,"Inválida: amostragem em manual ou em falha",IF(OR(I463="",I463&lt;Parametros!$B$6),"Inválida: usina parada ou baixa alimentação","Válida")))))</f>
        <v/>
      </c>
      <c r="K463" s="23" t="str">
        <f aca="false">IF(J463="Válida",F463-B463,"")</f>
        <v/>
      </c>
      <c r="L463" s="26" t="str">
        <f aca="false">IF(J463="Válida",K463/B463,"")</f>
        <v/>
      </c>
      <c r="M463" s="23" t="str">
        <f aca="false">IF(J463="Válida",(F463+B463)/2,"")</f>
        <v/>
      </c>
      <c r="N463" s="24" t="str">
        <f aca="false">IF(K463="","",IF(OR(K463&gt;Resumo!$B$16,K463&lt;Resumo!$B$15),"Sim","Não"))</f>
        <v/>
      </c>
      <c r="O463" s="22" t="e">
        <f aca="false">IF(A463="",NA(),A463)</f>
        <v>#N/A</v>
      </c>
      <c r="P463" s="23" t="e">
        <f aca="false">IF(A463="",NA(),B463)</f>
        <v>#N/A</v>
      </c>
      <c r="Q463" s="23" t="e">
        <f aca="false">IF(F463="",NA(),F463)</f>
        <v>#N/A</v>
      </c>
      <c r="R463" s="23" t="e">
        <f aca="false">IF(K463="",NA(),K463)</f>
        <v>#N/A</v>
      </c>
      <c r="S463" s="23" t="e">
        <f aca="false">IF(M463="",NA(),M463)</f>
        <v>#N/A</v>
      </c>
      <c r="T463" s="23" t="str">
        <f aca="false">IF(J463="Válida",B463,"")</f>
        <v/>
      </c>
      <c r="U463" s="23" t="str">
        <f aca="false">IF(J463="Válida",F463,"")</f>
        <v/>
      </c>
    </row>
    <row r="464" customFormat="false" ht="15" hidden="false" customHeight="false" outlineLevel="0" collapsed="false">
      <c r="A464" s="22" t="str">
        <f aca="false">IF(MES!A464="","",MES!A464)</f>
        <v/>
      </c>
      <c r="B464" s="23" t="str">
        <f aca="false">IF(A464="","",MES!B464)</f>
        <v/>
      </c>
      <c r="C464" s="22" t="str">
        <f aca="false">IF(A464="","",A464+Parametros!$B$3/24)</f>
        <v/>
      </c>
      <c r="D464" s="22" t="str">
        <f aca="false">IF(A464="","",C464+Parametros!$B$2/24)</f>
        <v/>
      </c>
      <c r="E464" s="24" t="str">
        <f aca="false">IF(A464="","",COUNTIFS(Modulo!$A$2:$A$5001,"&gt;="&amp;C464,Modulo!$A$2:$A$5001,"&lt;"&amp;D464,Modulo!$D$2:$D$5001,Parametros!$B$7))</f>
        <v/>
      </c>
      <c r="F464" s="23" t="str">
        <f aca="false">IF(A464="","",IF(E464=0,"",AVERAGEIFS(Modulo!$B$2:$B$5001,Modulo!$A$2:$A$5001,"&gt;="&amp;C464,Modulo!$A$2:$A$5001,"&lt;"&amp;D464,Modulo!$D$2:$D$5001,Parametros!$B$7)))</f>
        <v/>
      </c>
      <c r="G464" s="23" t="str">
        <f aca="false">IF(A464="","",IF(E464=0,"",AVERAGEIFS(Modulo!$C$2:$C$5001,Modulo!$A$2:$A$5001,"&gt;="&amp;C464,Modulo!$A$2:$A$5001,"&lt;"&amp;D464,Modulo!$D$2:$D$5001,Parametros!$B$7)))</f>
        <v/>
      </c>
      <c r="H464" s="25" t="str">
        <f aca="false">IF(A464="","",IFERROR(COUNTIFS(Amostragem!$A$2:$A$15003,"&gt;="&amp;C464,Amostragem!$A$2:$A$15003,"&lt;"&amp;D464,Amostragem!$B$2:$B$15003,"Automático",Amostragem!$C$2:$C$15003,"Automático",Amostragem!$D$2:$D$15003,0)/COUNTIFS(Amostragem!$A$2:$A$15003,"&gt;="&amp;C464,Amostragem!$A$2:$A$15003,"&lt;"&amp;D464),0))</f>
        <v/>
      </c>
      <c r="I464" s="23" t="str">
        <f aca="false">IF(A464="","",IFERROR(AVERAGEIFS(Amostragem!$E$2:$E$15003,Amostragem!$A$2:$A$15003,"&gt;="&amp;C464,Amostragem!$A$2:$A$15003,"&lt;"&amp;D464),""))</f>
        <v/>
      </c>
      <c r="J464" s="24" t="str">
        <f aca="false">IF(A464="","",IF(B464="","Inválida: sem resultado MES",IF(E464&lt;Parametros!$B$4,"Inválida: poucos ensaios do módulo",IF(H464&lt;Parametros!$B$5,"Inválida: amostragem em manual ou em falha",IF(OR(I464="",I464&lt;Parametros!$B$6),"Inválida: usina parada ou baixa alimentação","Válida")))))</f>
        <v/>
      </c>
      <c r="K464" s="23" t="str">
        <f aca="false">IF(J464="Válida",F464-B464,"")</f>
        <v/>
      </c>
      <c r="L464" s="26" t="str">
        <f aca="false">IF(J464="Válida",K464/B464,"")</f>
        <v/>
      </c>
      <c r="M464" s="23" t="str">
        <f aca="false">IF(J464="Válida",(F464+B464)/2,"")</f>
        <v/>
      </c>
      <c r="N464" s="24" t="str">
        <f aca="false">IF(K464="","",IF(OR(K464&gt;Resumo!$B$16,K464&lt;Resumo!$B$15),"Sim","Não"))</f>
        <v/>
      </c>
      <c r="O464" s="22" t="e">
        <f aca="false">IF(A464="",NA(),A464)</f>
        <v>#N/A</v>
      </c>
      <c r="P464" s="23" t="e">
        <f aca="false">IF(A464="",NA(),B464)</f>
        <v>#N/A</v>
      </c>
      <c r="Q464" s="23" t="e">
        <f aca="false">IF(F464="",NA(),F464)</f>
        <v>#N/A</v>
      </c>
      <c r="R464" s="23" t="e">
        <f aca="false">IF(K464="",NA(),K464)</f>
        <v>#N/A</v>
      </c>
      <c r="S464" s="23" t="e">
        <f aca="false">IF(M464="",NA(),M464)</f>
        <v>#N/A</v>
      </c>
      <c r="T464" s="23" t="str">
        <f aca="false">IF(J464="Válida",B464,"")</f>
        <v/>
      </c>
      <c r="U464" s="23" t="str">
        <f aca="false">IF(J464="Válida",F464,"")</f>
        <v/>
      </c>
    </row>
    <row r="465" customFormat="false" ht="15" hidden="false" customHeight="false" outlineLevel="0" collapsed="false">
      <c r="A465" s="22" t="str">
        <f aca="false">IF(MES!A465="","",MES!A465)</f>
        <v/>
      </c>
      <c r="B465" s="23" t="str">
        <f aca="false">IF(A465="","",MES!B465)</f>
        <v/>
      </c>
      <c r="C465" s="22" t="str">
        <f aca="false">IF(A465="","",A465+Parametros!$B$3/24)</f>
        <v/>
      </c>
      <c r="D465" s="22" t="str">
        <f aca="false">IF(A465="","",C465+Parametros!$B$2/24)</f>
        <v/>
      </c>
      <c r="E465" s="24" t="str">
        <f aca="false">IF(A465="","",COUNTIFS(Modulo!$A$2:$A$5001,"&gt;="&amp;C465,Modulo!$A$2:$A$5001,"&lt;"&amp;D465,Modulo!$D$2:$D$5001,Parametros!$B$7))</f>
        <v/>
      </c>
      <c r="F465" s="23" t="str">
        <f aca="false">IF(A465="","",IF(E465=0,"",AVERAGEIFS(Modulo!$B$2:$B$5001,Modulo!$A$2:$A$5001,"&gt;="&amp;C465,Modulo!$A$2:$A$5001,"&lt;"&amp;D465,Modulo!$D$2:$D$5001,Parametros!$B$7)))</f>
        <v/>
      </c>
      <c r="G465" s="23" t="str">
        <f aca="false">IF(A465="","",IF(E465=0,"",AVERAGEIFS(Modulo!$C$2:$C$5001,Modulo!$A$2:$A$5001,"&gt;="&amp;C465,Modulo!$A$2:$A$5001,"&lt;"&amp;D465,Modulo!$D$2:$D$5001,Parametros!$B$7)))</f>
        <v/>
      </c>
      <c r="H465" s="25" t="str">
        <f aca="false">IF(A465="","",IFERROR(COUNTIFS(Amostragem!$A$2:$A$15003,"&gt;="&amp;C465,Amostragem!$A$2:$A$15003,"&lt;"&amp;D465,Amostragem!$B$2:$B$15003,"Automático",Amostragem!$C$2:$C$15003,"Automático",Amostragem!$D$2:$D$15003,0)/COUNTIFS(Amostragem!$A$2:$A$15003,"&gt;="&amp;C465,Amostragem!$A$2:$A$15003,"&lt;"&amp;D465),0))</f>
        <v/>
      </c>
      <c r="I465" s="23" t="str">
        <f aca="false">IF(A465="","",IFERROR(AVERAGEIFS(Amostragem!$E$2:$E$15003,Amostragem!$A$2:$A$15003,"&gt;="&amp;C465,Amostragem!$A$2:$A$15003,"&lt;"&amp;D465),""))</f>
        <v/>
      </c>
      <c r="J465" s="24" t="str">
        <f aca="false">IF(A465="","",IF(B465="","Inválida: sem resultado MES",IF(E465&lt;Parametros!$B$4,"Inválida: poucos ensaios do módulo",IF(H465&lt;Parametros!$B$5,"Inválida: amostragem em manual ou em falha",IF(OR(I465="",I465&lt;Parametros!$B$6),"Inválida: usina parada ou baixa alimentação","Válida")))))</f>
        <v/>
      </c>
      <c r="K465" s="23" t="str">
        <f aca="false">IF(J465="Válida",F465-B465,"")</f>
        <v/>
      </c>
      <c r="L465" s="26" t="str">
        <f aca="false">IF(J465="Válida",K465/B465,"")</f>
        <v/>
      </c>
      <c r="M465" s="23" t="str">
        <f aca="false">IF(J465="Válida",(F465+B465)/2,"")</f>
        <v/>
      </c>
      <c r="N465" s="24" t="str">
        <f aca="false">IF(K465="","",IF(OR(K465&gt;Resumo!$B$16,K465&lt;Resumo!$B$15),"Sim","Não"))</f>
        <v/>
      </c>
      <c r="O465" s="22" t="e">
        <f aca="false">IF(A465="",NA(),A465)</f>
        <v>#N/A</v>
      </c>
      <c r="P465" s="23" t="e">
        <f aca="false">IF(A465="",NA(),B465)</f>
        <v>#N/A</v>
      </c>
      <c r="Q465" s="23" t="e">
        <f aca="false">IF(F465="",NA(),F465)</f>
        <v>#N/A</v>
      </c>
      <c r="R465" s="23" t="e">
        <f aca="false">IF(K465="",NA(),K465)</f>
        <v>#N/A</v>
      </c>
      <c r="S465" s="23" t="e">
        <f aca="false">IF(M465="",NA(),M465)</f>
        <v>#N/A</v>
      </c>
      <c r="T465" s="23" t="str">
        <f aca="false">IF(J465="Válida",B465,"")</f>
        <v/>
      </c>
      <c r="U465" s="23" t="str">
        <f aca="false">IF(J465="Válida",F465,"")</f>
        <v/>
      </c>
    </row>
    <row r="466" customFormat="false" ht="15" hidden="false" customHeight="false" outlineLevel="0" collapsed="false">
      <c r="A466" s="22" t="str">
        <f aca="false">IF(MES!A466="","",MES!A466)</f>
        <v/>
      </c>
      <c r="B466" s="23" t="str">
        <f aca="false">IF(A466="","",MES!B466)</f>
        <v/>
      </c>
      <c r="C466" s="22" t="str">
        <f aca="false">IF(A466="","",A466+Parametros!$B$3/24)</f>
        <v/>
      </c>
      <c r="D466" s="22" t="str">
        <f aca="false">IF(A466="","",C466+Parametros!$B$2/24)</f>
        <v/>
      </c>
      <c r="E466" s="24" t="str">
        <f aca="false">IF(A466="","",COUNTIFS(Modulo!$A$2:$A$5001,"&gt;="&amp;C466,Modulo!$A$2:$A$5001,"&lt;"&amp;D466,Modulo!$D$2:$D$5001,Parametros!$B$7))</f>
        <v/>
      </c>
      <c r="F466" s="23" t="str">
        <f aca="false">IF(A466="","",IF(E466=0,"",AVERAGEIFS(Modulo!$B$2:$B$5001,Modulo!$A$2:$A$5001,"&gt;="&amp;C466,Modulo!$A$2:$A$5001,"&lt;"&amp;D466,Modulo!$D$2:$D$5001,Parametros!$B$7)))</f>
        <v/>
      </c>
      <c r="G466" s="23" t="str">
        <f aca="false">IF(A466="","",IF(E466=0,"",AVERAGEIFS(Modulo!$C$2:$C$5001,Modulo!$A$2:$A$5001,"&gt;="&amp;C466,Modulo!$A$2:$A$5001,"&lt;"&amp;D466,Modulo!$D$2:$D$5001,Parametros!$B$7)))</f>
        <v/>
      </c>
      <c r="H466" s="25" t="str">
        <f aca="false">IF(A466="","",IFERROR(COUNTIFS(Amostragem!$A$2:$A$15003,"&gt;="&amp;C466,Amostragem!$A$2:$A$15003,"&lt;"&amp;D466,Amostragem!$B$2:$B$15003,"Automático",Amostragem!$C$2:$C$15003,"Automático",Amostragem!$D$2:$D$15003,0)/COUNTIFS(Amostragem!$A$2:$A$15003,"&gt;="&amp;C466,Amostragem!$A$2:$A$15003,"&lt;"&amp;D466),0))</f>
        <v/>
      </c>
      <c r="I466" s="23" t="str">
        <f aca="false">IF(A466="","",IFERROR(AVERAGEIFS(Amostragem!$E$2:$E$15003,Amostragem!$A$2:$A$15003,"&gt;="&amp;C466,Amostragem!$A$2:$A$15003,"&lt;"&amp;D466),""))</f>
        <v/>
      </c>
      <c r="J466" s="24" t="str">
        <f aca="false">IF(A466="","",IF(B466="","Inválida: sem resultado MES",IF(E466&lt;Parametros!$B$4,"Inválida: poucos ensaios do módulo",IF(H466&lt;Parametros!$B$5,"Inválida: amostragem em manual ou em falha",IF(OR(I466="",I466&lt;Parametros!$B$6),"Inválida: usina parada ou baixa alimentação","Válida")))))</f>
        <v/>
      </c>
      <c r="K466" s="23" t="str">
        <f aca="false">IF(J466="Válida",F466-B466,"")</f>
        <v/>
      </c>
      <c r="L466" s="26" t="str">
        <f aca="false">IF(J466="Válida",K466/B466,"")</f>
        <v/>
      </c>
      <c r="M466" s="23" t="str">
        <f aca="false">IF(J466="Válida",(F466+B466)/2,"")</f>
        <v/>
      </c>
      <c r="N466" s="24" t="str">
        <f aca="false">IF(K466="","",IF(OR(K466&gt;Resumo!$B$16,K466&lt;Resumo!$B$15),"Sim","Não"))</f>
        <v/>
      </c>
      <c r="O466" s="22" t="e">
        <f aca="false">IF(A466="",NA(),A466)</f>
        <v>#N/A</v>
      </c>
      <c r="P466" s="23" t="e">
        <f aca="false">IF(A466="",NA(),B466)</f>
        <v>#N/A</v>
      </c>
      <c r="Q466" s="23" t="e">
        <f aca="false">IF(F466="",NA(),F466)</f>
        <v>#N/A</v>
      </c>
      <c r="R466" s="23" t="e">
        <f aca="false">IF(K466="",NA(),K466)</f>
        <v>#N/A</v>
      </c>
      <c r="S466" s="23" t="e">
        <f aca="false">IF(M466="",NA(),M466)</f>
        <v>#N/A</v>
      </c>
      <c r="T466" s="23" t="str">
        <f aca="false">IF(J466="Válida",B466,"")</f>
        <v/>
      </c>
      <c r="U466" s="23" t="str">
        <f aca="false">IF(J466="Válida",F466,"")</f>
        <v/>
      </c>
    </row>
    <row r="467" customFormat="false" ht="15" hidden="false" customHeight="false" outlineLevel="0" collapsed="false">
      <c r="A467" s="22" t="str">
        <f aca="false">IF(MES!A467="","",MES!A467)</f>
        <v/>
      </c>
      <c r="B467" s="23" t="str">
        <f aca="false">IF(A467="","",MES!B467)</f>
        <v/>
      </c>
      <c r="C467" s="22" t="str">
        <f aca="false">IF(A467="","",A467+Parametros!$B$3/24)</f>
        <v/>
      </c>
      <c r="D467" s="22" t="str">
        <f aca="false">IF(A467="","",C467+Parametros!$B$2/24)</f>
        <v/>
      </c>
      <c r="E467" s="24" t="str">
        <f aca="false">IF(A467="","",COUNTIFS(Modulo!$A$2:$A$5001,"&gt;="&amp;C467,Modulo!$A$2:$A$5001,"&lt;"&amp;D467,Modulo!$D$2:$D$5001,Parametros!$B$7))</f>
        <v/>
      </c>
      <c r="F467" s="23" t="str">
        <f aca="false">IF(A467="","",IF(E467=0,"",AVERAGEIFS(Modulo!$B$2:$B$5001,Modulo!$A$2:$A$5001,"&gt;="&amp;C467,Modulo!$A$2:$A$5001,"&lt;"&amp;D467,Modulo!$D$2:$D$5001,Parametros!$B$7)))</f>
        <v/>
      </c>
      <c r="G467" s="23" t="str">
        <f aca="false">IF(A467="","",IF(E467=0,"",AVERAGEIFS(Modulo!$C$2:$C$5001,Modulo!$A$2:$A$5001,"&gt;="&amp;C467,Modulo!$A$2:$A$5001,"&lt;"&amp;D467,Modulo!$D$2:$D$5001,Parametros!$B$7)))</f>
        <v/>
      </c>
      <c r="H467" s="25" t="str">
        <f aca="false">IF(A467="","",IFERROR(COUNTIFS(Amostragem!$A$2:$A$15003,"&gt;="&amp;C467,Amostragem!$A$2:$A$15003,"&lt;"&amp;D467,Amostragem!$B$2:$B$15003,"Automático",Amostragem!$C$2:$C$15003,"Automático",Amostragem!$D$2:$D$15003,0)/COUNTIFS(Amostragem!$A$2:$A$15003,"&gt;="&amp;C467,Amostragem!$A$2:$A$15003,"&lt;"&amp;D467),0))</f>
        <v/>
      </c>
      <c r="I467" s="23" t="str">
        <f aca="false">IF(A467="","",IFERROR(AVERAGEIFS(Amostragem!$E$2:$E$15003,Amostragem!$A$2:$A$15003,"&gt;="&amp;C467,Amostragem!$A$2:$A$15003,"&lt;"&amp;D467),""))</f>
        <v/>
      </c>
      <c r="J467" s="24" t="str">
        <f aca="false">IF(A467="","",IF(B467="","Inválida: sem resultado MES",IF(E467&lt;Parametros!$B$4,"Inválida: poucos ensaios do módulo",IF(H467&lt;Parametros!$B$5,"Inválida: amostragem em manual ou em falha",IF(OR(I467="",I467&lt;Parametros!$B$6),"Inválida: usina parada ou baixa alimentação","Válida")))))</f>
        <v/>
      </c>
      <c r="K467" s="23" t="str">
        <f aca="false">IF(J467="Válida",F467-B467,"")</f>
        <v/>
      </c>
      <c r="L467" s="26" t="str">
        <f aca="false">IF(J467="Válida",K467/B467,"")</f>
        <v/>
      </c>
      <c r="M467" s="23" t="str">
        <f aca="false">IF(J467="Válida",(F467+B467)/2,"")</f>
        <v/>
      </c>
      <c r="N467" s="24" t="str">
        <f aca="false">IF(K467="","",IF(OR(K467&gt;Resumo!$B$16,K467&lt;Resumo!$B$15),"Sim","Não"))</f>
        <v/>
      </c>
      <c r="O467" s="22" t="e">
        <f aca="false">IF(A467="",NA(),A467)</f>
        <v>#N/A</v>
      </c>
      <c r="P467" s="23" t="e">
        <f aca="false">IF(A467="",NA(),B467)</f>
        <v>#N/A</v>
      </c>
      <c r="Q467" s="23" t="e">
        <f aca="false">IF(F467="",NA(),F467)</f>
        <v>#N/A</v>
      </c>
      <c r="R467" s="23" t="e">
        <f aca="false">IF(K467="",NA(),K467)</f>
        <v>#N/A</v>
      </c>
      <c r="S467" s="23" t="e">
        <f aca="false">IF(M467="",NA(),M467)</f>
        <v>#N/A</v>
      </c>
      <c r="T467" s="23" t="str">
        <f aca="false">IF(J467="Válida",B467,"")</f>
        <v/>
      </c>
      <c r="U467" s="23" t="str">
        <f aca="false">IF(J467="Válida",F467,"")</f>
        <v/>
      </c>
    </row>
    <row r="468" customFormat="false" ht="15" hidden="false" customHeight="false" outlineLevel="0" collapsed="false">
      <c r="A468" s="22" t="str">
        <f aca="false">IF(MES!A468="","",MES!A468)</f>
        <v/>
      </c>
      <c r="B468" s="23" t="str">
        <f aca="false">IF(A468="","",MES!B468)</f>
        <v/>
      </c>
      <c r="C468" s="22" t="str">
        <f aca="false">IF(A468="","",A468+Parametros!$B$3/24)</f>
        <v/>
      </c>
      <c r="D468" s="22" t="str">
        <f aca="false">IF(A468="","",C468+Parametros!$B$2/24)</f>
        <v/>
      </c>
      <c r="E468" s="24" t="str">
        <f aca="false">IF(A468="","",COUNTIFS(Modulo!$A$2:$A$5001,"&gt;="&amp;C468,Modulo!$A$2:$A$5001,"&lt;"&amp;D468,Modulo!$D$2:$D$5001,Parametros!$B$7))</f>
        <v/>
      </c>
      <c r="F468" s="23" t="str">
        <f aca="false">IF(A468="","",IF(E468=0,"",AVERAGEIFS(Modulo!$B$2:$B$5001,Modulo!$A$2:$A$5001,"&gt;="&amp;C468,Modulo!$A$2:$A$5001,"&lt;"&amp;D468,Modulo!$D$2:$D$5001,Parametros!$B$7)))</f>
        <v/>
      </c>
      <c r="G468" s="23" t="str">
        <f aca="false">IF(A468="","",IF(E468=0,"",AVERAGEIFS(Modulo!$C$2:$C$5001,Modulo!$A$2:$A$5001,"&gt;="&amp;C468,Modulo!$A$2:$A$5001,"&lt;"&amp;D468,Modulo!$D$2:$D$5001,Parametros!$B$7)))</f>
        <v/>
      </c>
      <c r="H468" s="25" t="str">
        <f aca="false">IF(A468="","",IFERROR(COUNTIFS(Amostragem!$A$2:$A$15003,"&gt;="&amp;C468,Amostragem!$A$2:$A$15003,"&lt;"&amp;D468,Amostragem!$B$2:$B$15003,"Automático",Amostragem!$C$2:$C$15003,"Automático",Amostragem!$D$2:$D$15003,0)/COUNTIFS(Amostragem!$A$2:$A$15003,"&gt;="&amp;C468,Amostragem!$A$2:$A$15003,"&lt;"&amp;D468),0))</f>
        <v/>
      </c>
      <c r="I468" s="23" t="str">
        <f aca="false">IF(A468="","",IFERROR(AVERAGEIFS(Amostragem!$E$2:$E$15003,Amostragem!$A$2:$A$15003,"&gt;="&amp;C468,Amostragem!$A$2:$A$15003,"&lt;"&amp;D468),""))</f>
        <v/>
      </c>
      <c r="J468" s="24" t="str">
        <f aca="false">IF(A468="","",IF(B468="","Inválida: sem resultado MES",IF(E468&lt;Parametros!$B$4,"Inválida: poucos ensaios do módulo",IF(H468&lt;Parametros!$B$5,"Inválida: amostragem em manual ou em falha",IF(OR(I468="",I468&lt;Parametros!$B$6),"Inválida: usina parada ou baixa alimentação","Válida")))))</f>
        <v/>
      </c>
      <c r="K468" s="23" t="str">
        <f aca="false">IF(J468="Válida",F468-B468,"")</f>
        <v/>
      </c>
      <c r="L468" s="26" t="str">
        <f aca="false">IF(J468="Válida",K468/B468,"")</f>
        <v/>
      </c>
      <c r="M468" s="23" t="str">
        <f aca="false">IF(J468="Válida",(F468+B468)/2,"")</f>
        <v/>
      </c>
      <c r="N468" s="24" t="str">
        <f aca="false">IF(K468="","",IF(OR(K468&gt;Resumo!$B$16,K468&lt;Resumo!$B$15),"Sim","Não"))</f>
        <v/>
      </c>
      <c r="O468" s="22" t="e">
        <f aca="false">IF(A468="",NA(),A468)</f>
        <v>#N/A</v>
      </c>
      <c r="P468" s="23" t="e">
        <f aca="false">IF(A468="",NA(),B468)</f>
        <v>#N/A</v>
      </c>
      <c r="Q468" s="23" t="e">
        <f aca="false">IF(F468="",NA(),F468)</f>
        <v>#N/A</v>
      </c>
      <c r="R468" s="23" t="e">
        <f aca="false">IF(K468="",NA(),K468)</f>
        <v>#N/A</v>
      </c>
      <c r="S468" s="23" t="e">
        <f aca="false">IF(M468="",NA(),M468)</f>
        <v>#N/A</v>
      </c>
      <c r="T468" s="23" t="str">
        <f aca="false">IF(J468="Válida",B468,"")</f>
        <v/>
      </c>
      <c r="U468" s="23" t="str">
        <f aca="false">IF(J468="Válida",F468,"")</f>
        <v/>
      </c>
    </row>
    <row r="469" customFormat="false" ht="15" hidden="false" customHeight="false" outlineLevel="0" collapsed="false">
      <c r="A469" s="22" t="str">
        <f aca="false">IF(MES!A469="","",MES!A469)</f>
        <v/>
      </c>
      <c r="B469" s="23" t="str">
        <f aca="false">IF(A469="","",MES!B469)</f>
        <v/>
      </c>
      <c r="C469" s="22" t="str">
        <f aca="false">IF(A469="","",A469+Parametros!$B$3/24)</f>
        <v/>
      </c>
      <c r="D469" s="22" t="str">
        <f aca="false">IF(A469="","",C469+Parametros!$B$2/24)</f>
        <v/>
      </c>
      <c r="E469" s="24" t="str">
        <f aca="false">IF(A469="","",COUNTIFS(Modulo!$A$2:$A$5001,"&gt;="&amp;C469,Modulo!$A$2:$A$5001,"&lt;"&amp;D469,Modulo!$D$2:$D$5001,Parametros!$B$7))</f>
        <v/>
      </c>
      <c r="F469" s="23" t="str">
        <f aca="false">IF(A469="","",IF(E469=0,"",AVERAGEIFS(Modulo!$B$2:$B$5001,Modulo!$A$2:$A$5001,"&gt;="&amp;C469,Modulo!$A$2:$A$5001,"&lt;"&amp;D469,Modulo!$D$2:$D$5001,Parametros!$B$7)))</f>
        <v/>
      </c>
      <c r="G469" s="23" t="str">
        <f aca="false">IF(A469="","",IF(E469=0,"",AVERAGEIFS(Modulo!$C$2:$C$5001,Modulo!$A$2:$A$5001,"&gt;="&amp;C469,Modulo!$A$2:$A$5001,"&lt;"&amp;D469,Modulo!$D$2:$D$5001,Parametros!$B$7)))</f>
        <v/>
      </c>
      <c r="H469" s="25" t="str">
        <f aca="false">IF(A469="","",IFERROR(COUNTIFS(Amostragem!$A$2:$A$15003,"&gt;="&amp;C469,Amostragem!$A$2:$A$15003,"&lt;"&amp;D469,Amostragem!$B$2:$B$15003,"Automático",Amostragem!$C$2:$C$15003,"Automático",Amostragem!$D$2:$D$15003,0)/COUNTIFS(Amostragem!$A$2:$A$15003,"&gt;="&amp;C469,Amostragem!$A$2:$A$15003,"&lt;"&amp;D469),0))</f>
        <v/>
      </c>
      <c r="I469" s="23" t="str">
        <f aca="false">IF(A469="","",IFERROR(AVERAGEIFS(Amostragem!$E$2:$E$15003,Amostragem!$A$2:$A$15003,"&gt;="&amp;C469,Amostragem!$A$2:$A$15003,"&lt;"&amp;D469),""))</f>
        <v/>
      </c>
      <c r="J469" s="24" t="str">
        <f aca="false">IF(A469="","",IF(B469="","Inválida: sem resultado MES",IF(E469&lt;Parametros!$B$4,"Inválida: poucos ensaios do módulo",IF(H469&lt;Parametros!$B$5,"Inválida: amostragem em manual ou em falha",IF(OR(I469="",I469&lt;Parametros!$B$6),"Inválida: usina parada ou baixa alimentação","Válida")))))</f>
        <v/>
      </c>
      <c r="K469" s="23" t="str">
        <f aca="false">IF(J469="Válida",F469-B469,"")</f>
        <v/>
      </c>
      <c r="L469" s="26" t="str">
        <f aca="false">IF(J469="Válida",K469/B469,"")</f>
        <v/>
      </c>
      <c r="M469" s="23" t="str">
        <f aca="false">IF(J469="Válida",(F469+B469)/2,"")</f>
        <v/>
      </c>
      <c r="N469" s="24" t="str">
        <f aca="false">IF(K469="","",IF(OR(K469&gt;Resumo!$B$16,K469&lt;Resumo!$B$15),"Sim","Não"))</f>
        <v/>
      </c>
      <c r="O469" s="22" t="e">
        <f aca="false">IF(A469="",NA(),A469)</f>
        <v>#N/A</v>
      </c>
      <c r="P469" s="23" t="e">
        <f aca="false">IF(A469="",NA(),B469)</f>
        <v>#N/A</v>
      </c>
      <c r="Q469" s="23" t="e">
        <f aca="false">IF(F469="",NA(),F469)</f>
        <v>#N/A</v>
      </c>
      <c r="R469" s="23" t="e">
        <f aca="false">IF(K469="",NA(),K469)</f>
        <v>#N/A</v>
      </c>
      <c r="S469" s="23" t="e">
        <f aca="false">IF(M469="",NA(),M469)</f>
        <v>#N/A</v>
      </c>
      <c r="T469" s="23" t="str">
        <f aca="false">IF(J469="Válida",B469,"")</f>
        <v/>
      </c>
      <c r="U469" s="23" t="str">
        <f aca="false">IF(J469="Válida",F469,"")</f>
        <v/>
      </c>
    </row>
    <row r="470" customFormat="false" ht="15" hidden="false" customHeight="false" outlineLevel="0" collapsed="false">
      <c r="A470" s="22" t="str">
        <f aca="false">IF(MES!A470="","",MES!A470)</f>
        <v/>
      </c>
      <c r="B470" s="23" t="str">
        <f aca="false">IF(A470="","",MES!B470)</f>
        <v/>
      </c>
      <c r="C470" s="22" t="str">
        <f aca="false">IF(A470="","",A470+Parametros!$B$3/24)</f>
        <v/>
      </c>
      <c r="D470" s="22" t="str">
        <f aca="false">IF(A470="","",C470+Parametros!$B$2/24)</f>
        <v/>
      </c>
      <c r="E470" s="24" t="str">
        <f aca="false">IF(A470="","",COUNTIFS(Modulo!$A$2:$A$5001,"&gt;="&amp;C470,Modulo!$A$2:$A$5001,"&lt;"&amp;D470,Modulo!$D$2:$D$5001,Parametros!$B$7))</f>
        <v/>
      </c>
      <c r="F470" s="23" t="str">
        <f aca="false">IF(A470="","",IF(E470=0,"",AVERAGEIFS(Modulo!$B$2:$B$5001,Modulo!$A$2:$A$5001,"&gt;="&amp;C470,Modulo!$A$2:$A$5001,"&lt;"&amp;D470,Modulo!$D$2:$D$5001,Parametros!$B$7)))</f>
        <v/>
      </c>
      <c r="G470" s="23" t="str">
        <f aca="false">IF(A470="","",IF(E470=0,"",AVERAGEIFS(Modulo!$C$2:$C$5001,Modulo!$A$2:$A$5001,"&gt;="&amp;C470,Modulo!$A$2:$A$5001,"&lt;"&amp;D470,Modulo!$D$2:$D$5001,Parametros!$B$7)))</f>
        <v/>
      </c>
      <c r="H470" s="25" t="str">
        <f aca="false">IF(A470="","",IFERROR(COUNTIFS(Amostragem!$A$2:$A$15003,"&gt;="&amp;C470,Amostragem!$A$2:$A$15003,"&lt;"&amp;D470,Amostragem!$B$2:$B$15003,"Automático",Amostragem!$C$2:$C$15003,"Automático",Amostragem!$D$2:$D$15003,0)/COUNTIFS(Amostragem!$A$2:$A$15003,"&gt;="&amp;C470,Amostragem!$A$2:$A$15003,"&lt;"&amp;D470),0))</f>
        <v/>
      </c>
      <c r="I470" s="23" t="str">
        <f aca="false">IF(A470="","",IFERROR(AVERAGEIFS(Amostragem!$E$2:$E$15003,Amostragem!$A$2:$A$15003,"&gt;="&amp;C470,Amostragem!$A$2:$A$15003,"&lt;"&amp;D470),""))</f>
        <v/>
      </c>
      <c r="J470" s="24" t="str">
        <f aca="false">IF(A470="","",IF(B470="","Inválida: sem resultado MES",IF(E470&lt;Parametros!$B$4,"Inválida: poucos ensaios do módulo",IF(H470&lt;Parametros!$B$5,"Inválida: amostragem em manual ou em falha",IF(OR(I470="",I470&lt;Parametros!$B$6),"Inválida: usina parada ou baixa alimentação","Válida")))))</f>
        <v/>
      </c>
      <c r="K470" s="23" t="str">
        <f aca="false">IF(J470="Válida",F470-B470,"")</f>
        <v/>
      </c>
      <c r="L470" s="26" t="str">
        <f aca="false">IF(J470="Válida",K470/B470,"")</f>
        <v/>
      </c>
      <c r="M470" s="23" t="str">
        <f aca="false">IF(J470="Válida",(F470+B470)/2,"")</f>
        <v/>
      </c>
      <c r="N470" s="24" t="str">
        <f aca="false">IF(K470="","",IF(OR(K470&gt;Resumo!$B$16,K470&lt;Resumo!$B$15),"Sim","Não"))</f>
        <v/>
      </c>
      <c r="O470" s="22" t="e">
        <f aca="false">IF(A470="",NA(),A470)</f>
        <v>#N/A</v>
      </c>
      <c r="P470" s="23" t="e">
        <f aca="false">IF(A470="",NA(),B470)</f>
        <v>#N/A</v>
      </c>
      <c r="Q470" s="23" t="e">
        <f aca="false">IF(F470="",NA(),F470)</f>
        <v>#N/A</v>
      </c>
      <c r="R470" s="23" t="e">
        <f aca="false">IF(K470="",NA(),K470)</f>
        <v>#N/A</v>
      </c>
      <c r="S470" s="23" t="e">
        <f aca="false">IF(M470="",NA(),M470)</f>
        <v>#N/A</v>
      </c>
      <c r="T470" s="23" t="str">
        <f aca="false">IF(J470="Válida",B470,"")</f>
        <v/>
      </c>
      <c r="U470" s="23" t="str">
        <f aca="false">IF(J470="Válida",F470,"")</f>
        <v/>
      </c>
    </row>
    <row r="471" customFormat="false" ht="15" hidden="false" customHeight="false" outlineLevel="0" collapsed="false">
      <c r="A471" s="22" t="str">
        <f aca="false">IF(MES!A471="","",MES!A471)</f>
        <v/>
      </c>
      <c r="B471" s="23" t="str">
        <f aca="false">IF(A471="","",MES!B471)</f>
        <v/>
      </c>
      <c r="C471" s="22" t="str">
        <f aca="false">IF(A471="","",A471+Parametros!$B$3/24)</f>
        <v/>
      </c>
      <c r="D471" s="22" t="str">
        <f aca="false">IF(A471="","",C471+Parametros!$B$2/24)</f>
        <v/>
      </c>
      <c r="E471" s="24" t="str">
        <f aca="false">IF(A471="","",COUNTIFS(Modulo!$A$2:$A$5001,"&gt;="&amp;C471,Modulo!$A$2:$A$5001,"&lt;"&amp;D471,Modulo!$D$2:$D$5001,Parametros!$B$7))</f>
        <v/>
      </c>
      <c r="F471" s="23" t="str">
        <f aca="false">IF(A471="","",IF(E471=0,"",AVERAGEIFS(Modulo!$B$2:$B$5001,Modulo!$A$2:$A$5001,"&gt;="&amp;C471,Modulo!$A$2:$A$5001,"&lt;"&amp;D471,Modulo!$D$2:$D$5001,Parametros!$B$7)))</f>
        <v/>
      </c>
      <c r="G471" s="23" t="str">
        <f aca="false">IF(A471="","",IF(E471=0,"",AVERAGEIFS(Modulo!$C$2:$C$5001,Modulo!$A$2:$A$5001,"&gt;="&amp;C471,Modulo!$A$2:$A$5001,"&lt;"&amp;D471,Modulo!$D$2:$D$5001,Parametros!$B$7)))</f>
        <v/>
      </c>
      <c r="H471" s="25" t="str">
        <f aca="false">IF(A471="","",IFERROR(COUNTIFS(Amostragem!$A$2:$A$15003,"&gt;="&amp;C471,Amostragem!$A$2:$A$15003,"&lt;"&amp;D471,Amostragem!$B$2:$B$15003,"Automático",Amostragem!$C$2:$C$15003,"Automático",Amostragem!$D$2:$D$15003,0)/COUNTIFS(Amostragem!$A$2:$A$15003,"&gt;="&amp;C471,Amostragem!$A$2:$A$15003,"&lt;"&amp;D471),0))</f>
        <v/>
      </c>
      <c r="I471" s="23" t="str">
        <f aca="false">IF(A471="","",IFERROR(AVERAGEIFS(Amostragem!$E$2:$E$15003,Amostragem!$A$2:$A$15003,"&gt;="&amp;C471,Amostragem!$A$2:$A$15003,"&lt;"&amp;D471),""))</f>
        <v/>
      </c>
      <c r="J471" s="24" t="str">
        <f aca="false">IF(A471="","",IF(B471="","Inválida: sem resultado MES",IF(E471&lt;Parametros!$B$4,"Inválida: poucos ensaios do módulo",IF(H471&lt;Parametros!$B$5,"Inválida: amostragem em manual ou em falha",IF(OR(I471="",I471&lt;Parametros!$B$6),"Inválida: usina parada ou baixa alimentação","Válida")))))</f>
        <v/>
      </c>
      <c r="K471" s="23" t="str">
        <f aca="false">IF(J471="Válida",F471-B471,"")</f>
        <v/>
      </c>
      <c r="L471" s="26" t="str">
        <f aca="false">IF(J471="Válida",K471/B471,"")</f>
        <v/>
      </c>
      <c r="M471" s="23" t="str">
        <f aca="false">IF(J471="Válida",(F471+B471)/2,"")</f>
        <v/>
      </c>
      <c r="N471" s="24" t="str">
        <f aca="false">IF(K471="","",IF(OR(K471&gt;Resumo!$B$16,K471&lt;Resumo!$B$15),"Sim","Não"))</f>
        <v/>
      </c>
      <c r="O471" s="22" t="e">
        <f aca="false">IF(A471="",NA(),A471)</f>
        <v>#N/A</v>
      </c>
      <c r="P471" s="23" t="e">
        <f aca="false">IF(A471="",NA(),B471)</f>
        <v>#N/A</v>
      </c>
      <c r="Q471" s="23" t="e">
        <f aca="false">IF(F471="",NA(),F471)</f>
        <v>#N/A</v>
      </c>
      <c r="R471" s="23" t="e">
        <f aca="false">IF(K471="",NA(),K471)</f>
        <v>#N/A</v>
      </c>
      <c r="S471" s="23" t="e">
        <f aca="false">IF(M471="",NA(),M471)</f>
        <v>#N/A</v>
      </c>
      <c r="T471" s="23" t="str">
        <f aca="false">IF(J471="Válida",B471,"")</f>
        <v/>
      </c>
      <c r="U471" s="23" t="str">
        <f aca="false">IF(J471="Válida",F471,"")</f>
        <v/>
      </c>
    </row>
    <row r="472" customFormat="false" ht="15" hidden="false" customHeight="false" outlineLevel="0" collapsed="false">
      <c r="A472" s="22" t="str">
        <f aca="false">IF(MES!A472="","",MES!A472)</f>
        <v/>
      </c>
      <c r="B472" s="23" t="str">
        <f aca="false">IF(A472="","",MES!B472)</f>
        <v/>
      </c>
      <c r="C472" s="22" t="str">
        <f aca="false">IF(A472="","",A472+Parametros!$B$3/24)</f>
        <v/>
      </c>
      <c r="D472" s="22" t="str">
        <f aca="false">IF(A472="","",C472+Parametros!$B$2/24)</f>
        <v/>
      </c>
      <c r="E472" s="24" t="str">
        <f aca="false">IF(A472="","",COUNTIFS(Modulo!$A$2:$A$5001,"&gt;="&amp;C472,Modulo!$A$2:$A$5001,"&lt;"&amp;D472,Modulo!$D$2:$D$5001,Parametros!$B$7))</f>
        <v/>
      </c>
      <c r="F472" s="23" t="str">
        <f aca="false">IF(A472="","",IF(E472=0,"",AVERAGEIFS(Modulo!$B$2:$B$5001,Modulo!$A$2:$A$5001,"&gt;="&amp;C472,Modulo!$A$2:$A$5001,"&lt;"&amp;D472,Modulo!$D$2:$D$5001,Parametros!$B$7)))</f>
        <v/>
      </c>
      <c r="G472" s="23" t="str">
        <f aca="false">IF(A472="","",IF(E472=0,"",AVERAGEIFS(Modulo!$C$2:$C$5001,Modulo!$A$2:$A$5001,"&gt;="&amp;C472,Modulo!$A$2:$A$5001,"&lt;"&amp;D472,Modulo!$D$2:$D$5001,Parametros!$B$7)))</f>
        <v/>
      </c>
      <c r="H472" s="25" t="str">
        <f aca="false">IF(A472="","",IFERROR(COUNTIFS(Amostragem!$A$2:$A$15003,"&gt;="&amp;C472,Amostragem!$A$2:$A$15003,"&lt;"&amp;D472,Amostragem!$B$2:$B$15003,"Automático",Amostragem!$C$2:$C$15003,"Automático",Amostragem!$D$2:$D$15003,0)/COUNTIFS(Amostragem!$A$2:$A$15003,"&gt;="&amp;C472,Amostragem!$A$2:$A$15003,"&lt;"&amp;D472),0))</f>
        <v/>
      </c>
      <c r="I472" s="23" t="str">
        <f aca="false">IF(A472="","",IFERROR(AVERAGEIFS(Amostragem!$E$2:$E$15003,Amostragem!$A$2:$A$15003,"&gt;="&amp;C472,Amostragem!$A$2:$A$15003,"&lt;"&amp;D472),""))</f>
        <v/>
      </c>
      <c r="J472" s="24" t="str">
        <f aca="false">IF(A472="","",IF(B472="","Inválida: sem resultado MES",IF(E472&lt;Parametros!$B$4,"Inválida: poucos ensaios do módulo",IF(H472&lt;Parametros!$B$5,"Inválida: amostragem em manual ou em falha",IF(OR(I472="",I472&lt;Parametros!$B$6),"Inválida: usina parada ou baixa alimentação","Válida")))))</f>
        <v/>
      </c>
      <c r="K472" s="23" t="str">
        <f aca="false">IF(J472="Válida",F472-B472,"")</f>
        <v/>
      </c>
      <c r="L472" s="26" t="str">
        <f aca="false">IF(J472="Válida",K472/B472,"")</f>
        <v/>
      </c>
      <c r="M472" s="23" t="str">
        <f aca="false">IF(J472="Válida",(F472+B472)/2,"")</f>
        <v/>
      </c>
      <c r="N472" s="24" t="str">
        <f aca="false">IF(K472="","",IF(OR(K472&gt;Resumo!$B$16,K472&lt;Resumo!$B$15),"Sim","Não"))</f>
        <v/>
      </c>
      <c r="O472" s="22" t="e">
        <f aca="false">IF(A472="",NA(),A472)</f>
        <v>#N/A</v>
      </c>
      <c r="P472" s="23" t="e">
        <f aca="false">IF(A472="",NA(),B472)</f>
        <v>#N/A</v>
      </c>
      <c r="Q472" s="23" t="e">
        <f aca="false">IF(F472="",NA(),F472)</f>
        <v>#N/A</v>
      </c>
      <c r="R472" s="23" t="e">
        <f aca="false">IF(K472="",NA(),K472)</f>
        <v>#N/A</v>
      </c>
      <c r="S472" s="23" t="e">
        <f aca="false">IF(M472="",NA(),M472)</f>
        <v>#N/A</v>
      </c>
      <c r="T472" s="23" t="str">
        <f aca="false">IF(J472="Válida",B472,"")</f>
        <v/>
      </c>
      <c r="U472" s="23" t="str">
        <f aca="false">IF(J472="Válida",F472,"")</f>
        <v/>
      </c>
    </row>
    <row r="473" customFormat="false" ht="15" hidden="false" customHeight="false" outlineLevel="0" collapsed="false">
      <c r="A473" s="22" t="str">
        <f aca="false">IF(MES!A473="","",MES!A473)</f>
        <v/>
      </c>
      <c r="B473" s="23" t="str">
        <f aca="false">IF(A473="","",MES!B473)</f>
        <v/>
      </c>
      <c r="C473" s="22" t="str">
        <f aca="false">IF(A473="","",A473+Parametros!$B$3/24)</f>
        <v/>
      </c>
      <c r="D473" s="22" t="str">
        <f aca="false">IF(A473="","",C473+Parametros!$B$2/24)</f>
        <v/>
      </c>
      <c r="E473" s="24" t="str">
        <f aca="false">IF(A473="","",COUNTIFS(Modulo!$A$2:$A$5001,"&gt;="&amp;C473,Modulo!$A$2:$A$5001,"&lt;"&amp;D473,Modulo!$D$2:$D$5001,Parametros!$B$7))</f>
        <v/>
      </c>
      <c r="F473" s="23" t="str">
        <f aca="false">IF(A473="","",IF(E473=0,"",AVERAGEIFS(Modulo!$B$2:$B$5001,Modulo!$A$2:$A$5001,"&gt;="&amp;C473,Modulo!$A$2:$A$5001,"&lt;"&amp;D473,Modulo!$D$2:$D$5001,Parametros!$B$7)))</f>
        <v/>
      </c>
      <c r="G473" s="23" t="str">
        <f aca="false">IF(A473="","",IF(E473=0,"",AVERAGEIFS(Modulo!$C$2:$C$5001,Modulo!$A$2:$A$5001,"&gt;="&amp;C473,Modulo!$A$2:$A$5001,"&lt;"&amp;D473,Modulo!$D$2:$D$5001,Parametros!$B$7)))</f>
        <v/>
      </c>
      <c r="H473" s="25" t="str">
        <f aca="false">IF(A473="","",IFERROR(COUNTIFS(Amostragem!$A$2:$A$15003,"&gt;="&amp;C473,Amostragem!$A$2:$A$15003,"&lt;"&amp;D473,Amostragem!$B$2:$B$15003,"Automático",Amostragem!$C$2:$C$15003,"Automático",Amostragem!$D$2:$D$15003,0)/COUNTIFS(Amostragem!$A$2:$A$15003,"&gt;="&amp;C473,Amostragem!$A$2:$A$15003,"&lt;"&amp;D473),0))</f>
        <v/>
      </c>
      <c r="I473" s="23" t="str">
        <f aca="false">IF(A473="","",IFERROR(AVERAGEIFS(Amostragem!$E$2:$E$15003,Amostragem!$A$2:$A$15003,"&gt;="&amp;C473,Amostragem!$A$2:$A$15003,"&lt;"&amp;D473),""))</f>
        <v/>
      </c>
      <c r="J473" s="24" t="str">
        <f aca="false">IF(A473="","",IF(B473="","Inválida: sem resultado MES",IF(E473&lt;Parametros!$B$4,"Inválida: poucos ensaios do módulo",IF(H473&lt;Parametros!$B$5,"Inválida: amostragem em manual ou em falha",IF(OR(I473="",I473&lt;Parametros!$B$6),"Inválida: usina parada ou baixa alimentação","Válida")))))</f>
        <v/>
      </c>
      <c r="K473" s="23" t="str">
        <f aca="false">IF(J473="Válida",F473-B473,"")</f>
        <v/>
      </c>
      <c r="L473" s="26" t="str">
        <f aca="false">IF(J473="Válida",K473/B473,"")</f>
        <v/>
      </c>
      <c r="M473" s="23" t="str">
        <f aca="false">IF(J473="Válida",(F473+B473)/2,"")</f>
        <v/>
      </c>
      <c r="N473" s="24" t="str">
        <f aca="false">IF(K473="","",IF(OR(K473&gt;Resumo!$B$16,K473&lt;Resumo!$B$15),"Sim","Não"))</f>
        <v/>
      </c>
      <c r="O473" s="22" t="e">
        <f aca="false">IF(A473="",NA(),A473)</f>
        <v>#N/A</v>
      </c>
      <c r="P473" s="23" t="e">
        <f aca="false">IF(A473="",NA(),B473)</f>
        <v>#N/A</v>
      </c>
      <c r="Q473" s="23" t="e">
        <f aca="false">IF(F473="",NA(),F473)</f>
        <v>#N/A</v>
      </c>
      <c r="R473" s="23" t="e">
        <f aca="false">IF(K473="",NA(),K473)</f>
        <v>#N/A</v>
      </c>
      <c r="S473" s="23" t="e">
        <f aca="false">IF(M473="",NA(),M473)</f>
        <v>#N/A</v>
      </c>
      <c r="T473" s="23" t="str">
        <f aca="false">IF(J473="Válida",B473,"")</f>
        <v/>
      </c>
      <c r="U473" s="23" t="str">
        <f aca="false">IF(J473="Válida",F473,"")</f>
        <v/>
      </c>
    </row>
    <row r="474" customFormat="false" ht="15" hidden="false" customHeight="false" outlineLevel="0" collapsed="false">
      <c r="A474" s="22" t="str">
        <f aca="false">IF(MES!A474="","",MES!A474)</f>
        <v/>
      </c>
      <c r="B474" s="23" t="str">
        <f aca="false">IF(A474="","",MES!B474)</f>
        <v/>
      </c>
      <c r="C474" s="22" t="str">
        <f aca="false">IF(A474="","",A474+Parametros!$B$3/24)</f>
        <v/>
      </c>
      <c r="D474" s="22" t="str">
        <f aca="false">IF(A474="","",C474+Parametros!$B$2/24)</f>
        <v/>
      </c>
      <c r="E474" s="24" t="str">
        <f aca="false">IF(A474="","",COUNTIFS(Modulo!$A$2:$A$5001,"&gt;="&amp;C474,Modulo!$A$2:$A$5001,"&lt;"&amp;D474,Modulo!$D$2:$D$5001,Parametros!$B$7))</f>
        <v/>
      </c>
      <c r="F474" s="23" t="str">
        <f aca="false">IF(A474="","",IF(E474=0,"",AVERAGEIFS(Modulo!$B$2:$B$5001,Modulo!$A$2:$A$5001,"&gt;="&amp;C474,Modulo!$A$2:$A$5001,"&lt;"&amp;D474,Modulo!$D$2:$D$5001,Parametros!$B$7)))</f>
        <v/>
      </c>
      <c r="G474" s="23" t="str">
        <f aca="false">IF(A474="","",IF(E474=0,"",AVERAGEIFS(Modulo!$C$2:$C$5001,Modulo!$A$2:$A$5001,"&gt;="&amp;C474,Modulo!$A$2:$A$5001,"&lt;"&amp;D474,Modulo!$D$2:$D$5001,Parametros!$B$7)))</f>
        <v/>
      </c>
      <c r="H474" s="25" t="str">
        <f aca="false">IF(A474="","",IFERROR(COUNTIFS(Amostragem!$A$2:$A$15003,"&gt;="&amp;C474,Amostragem!$A$2:$A$15003,"&lt;"&amp;D474,Amostragem!$B$2:$B$15003,"Automático",Amostragem!$C$2:$C$15003,"Automático",Amostragem!$D$2:$D$15003,0)/COUNTIFS(Amostragem!$A$2:$A$15003,"&gt;="&amp;C474,Amostragem!$A$2:$A$15003,"&lt;"&amp;D474),0))</f>
        <v/>
      </c>
      <c r="I474" s="23" t="str">
        <f aca="false">IF(A474="","",IFERROR(AVERAGEIFS(Amostragem!$E$2:$E$15003,Amostragem!$A$2:$A$15003,"&gt;="&amp;C474,Amostragem!$A$2:$A$15003,"&lt;"&amp;D474),""))</f>
        <v/>
      </c>
      <c r="J474" s="24" t="str">
        <f aca="false">IF(A474="","",IF(B474="","Inválida: sem resultado MES",IF(E474&lt;Parametros!$B$4,"Inválida: poucos ensaios do módulo",IF(H474&lt;Parametros!$B$5,"Inválida: amostragem em manual ou em falha",IF(OR(I474="",I474&lt;Parametros!$B$6),"Inválida: usina parada ou baixa alimentação","Válida")))))</f>
        <v/>
      </c>
      <c r="K474" s="23" t="str">
        <f aca="false">IF(J474="Válida",F474-B474,"")</f>
        <v/>
      </c>
      <c r="L474" s="26" t="str">
        <f aca="false">IF(J474="Válida",K474/B474,"")</f>
        <v/>
      </c>
      <c r="M474" s="23" t="str">
        <f aca="false">IF(J474="Válida",(F474+B474)/2,"")</f>
        <v/>
      </c>
      <c r="N474" s="24" t="str">
        <f aca="false">IF(K474="","",IF(OR(K474&gt;Resumo!$B$16,K474&lt;Resumo!$B$15),"Sim","Não"))</f>
        <v/>
      </c>
      <c r="O474" s="22" t="e">
        <f aca="false">IF(A474="",NA(),A474)</f>
        <v>#N/A</v>
      </c>
      <c r="P474" s="23" t="e">
        <f aca="false">IF(A474="",NA(),B474)</f>
        <v>#N/A</v>
      </c>
      <c r="Q474" s="23" t="e">
        <f aca="false">IF(F474="",NA(),F474)</f>
        <v>#N/A</v>
      </c>
      <c r="R474" s="23" t="e">
        <f aca="false">IF(K474="",NA(),K474)</f>
        <v>#N/A</v>
      </c>
      <c r="S474" s="23" t="e">
        <f aca="false">IF(M474="",NA(),M474)</f>
        <v>#N/A</v>
      </c>
      <c r="T474" s="23" t="str">
        <f aca="false">IF(J474="Válida",B474,"")</f>
        <v/>
      </c>
      <c r="U474" s="23" t="str">
        <f aca="false">IF(J474="Válida",F474,"")</f>
        <v/>
      </c>
    </row>
    <row r="475" customFormat="false" ht="15" hidden="false" customHeight="false" outlineLevel="0" collapsed="false">
      <c r="A475" s="22" t="str">
        <f aca="false">IF(MES!A475="","",MES!A475)</f>
        <v/>
      </c>
      <c r="B475" s="23" t="str">
        <f aca="false">IF(A475="","",MES!B475)</f>
        <v/>
      </c>
      <c r="C475" s="22" t="str">
        <f aca="false">IF(A475="","",A475+Parametros!$B$3/24)</f>
        <v/>
      </c>
      <c r="D475" s="22" t="str">
        <f aca="false">IF(A475="","",C475+Parametros!$B$2/24)</f>
        <v/>
      </c>
      <c r="E475" s="24" t="str">
        <f aca="false">IF(A475="","",COUNTIFS(Modulo!$A$2:$A$5001,"&gt;="&amp;C475,Modulo!$A$2:$A$5001,"&lt;"&amp;D475,Modulo!$D$2:$D$5001,Parametros!$B$7))</f>
        <v/>
      </c>
      <c r="F475" s="23" t="str">
        <f aca="false">IF(A475="","",IF(E475=0,"",AVERAGEIFS(Modulo!$B$2:$B$5001,Modulo!$A$2:$A$5001,"&gt;="&amp;C475,Modulo!$A$2:$A$5001,"&lt;"&amp;D475,Modulo!$D$2:$D$5001,Parametros!$B$7)))</f>
        <v/>
      </c>
      <c r="G475" s="23" t="str">
        <f aca="false">IF(A475="","",IF(E475=0,"",AVERAGEIFS(Modulo!$C$2:$C$5001,Modulo!$A$2:$A$5001,"&gt;="&amp;C475,Modulo!$A$2:$A$5001,"&lt;"&amp;D475,Modulo!$D$2:$D$5001,Parametros!$B$7)))</f>
        <v/>
      </c>
      <c r="H475" s="25" t="str">
        <f aca="false">IF(A475="","",IFERROR(COUNTIFS(Amostragem!$A$2:$A$15003,"&gt;="&amp;C475,Amostragem!$A$2:$A$15003,"&lt;"&amp;D475,Amostragem!$B$2:$B$15003,"Automático",Amostragem!$C$2:$C$15003,"Automático",Amostragem!$D$2:$D$15003,0)/COUNTIFS(Amostragem!$A$2:$A$15003,"&gt;="&amp;C475,Amostragem!$A$2:$A$15003,"&lt;"&amp;D475),0))</f>
        <v/>
      </c>
      <c r="I475" s="23" t="str">
        <f aca="false">IF(A475="","",IFERROR(AVERAGEIFS(Amostragem!$E$2:$E$15003,Amostragem!$A$2:$A$15003,"&gt;="&amp;C475,Amostragem!$A$2:$A$15003,"&lt;"&amp;D475),""))</f>
        <v/>
      </c>
      <c r="J475" s="24" t="str">
        <f aca="false">IF(A475="","",IF(B475="","Inválida: sem resultado MES",IF(E475&lt;Parametros!$B$4,"Inválida: poucos ensaios do módulo",IF(H475&lt;Parametros!$B$5,"Inválida: amostragem em manual ou em falha",IF(OR(I475="",I475&lt;Parametros!$B$6),"Inválida: usina parada ou baixa alimentação","Válida")))))</f>
        <v/>
      </c>
      <c r="K475" s="23" t="str">
        <f aca="false">IF(J475="Válida",F475-B475,"")</f>
        <v/>
      </c>
      <c r="L475" s="26" t="str">
        <f aca="false">IF(J475="Válida",K475/B475,"")</f>
        <v/>
      </c>
      <c r="M475" s="23" t="str">
        <f aca="false">IF(J475="Válida",(F475+B475)/2,"")</f>
        <v/>
      </c>
      <c r="N475" s="24" t="str">
        <f aca="false">IF(K475="","",IF(OR(K475&gt;Resumo!$B$16,K475&lt;Resumo!$B$15),"Sim","Não"))</f>
        <v/>
      </c>
      <c r="O475" s="22" t="e">
        <f aca="false">IF(A475="",NA(),A475)</f>
        <v>#N/A</v>
      </c>
      <c r="P475" s="23" t="e">
        <f aca="false">IF(A475="",NA(),B475)</f>
        <v>#N/A</v>
      </c>
      <c r="Q475" s="23" t="e">
        <f aca="false">IF(F475="",NA(),F475)</f>
        <v>#N/A</v>
      </c>
      <c r="R475" s="23" t="e">
        <f aca="false">IF(K475="",NA(),K475)</f>
        <v>#N/A</v>
      </c>
      <c r="S475" s="23" t="e">
        <f aca="false">IF(M475="",NA(),M475)</f>
        <v>#N/A</v>
      </c>
      <c r="T475" s="23" t="str">
        <f aca="false">IF(J475="Válida",B475,"")</f>
        <v/>
      </c>
      <c r="U475" s="23" t="str">
        <f aca="false">IF(J475="Válida",F475,"")</f>
        <v/>
      </c>
    </row>
    <row r="476" customFormat="false" ht="15" hidden="false" customHeight="false" outlineLevel="0" collapsed="false">
      <c r="A476" s="22" t="str">
        <f aca="false">IF(MES!A476="","",MES!A476)</f>
        <v/>
      </c>
      <c r="B476" s="23" t="str">
        <f aca="false">IF(A476="","",MES!B476)</f>
        <v/>
      </c>
      <c r="C476" s="22" t="str">
        <f aca="false">IF(A476="","",A476+Parametros!$B$3/24)</f>
        <v/>
      </c>
      <c r="D476" s="22" t="str">
        <f aca="false">IF(A476="","",C476+Parametros!$B$2/24)</f>
        <v/>
      </c>
      <c r="E476" s="24" t="str">
        <f aca="false">IF(A476="","",COUNTIFS(Modulo!$A$2:$A$5001,"&gt;="&amp;C476,Modulo!$A$2:$A$5001,"&lt;"&amp;D476,Modulo!$D$2:$D$5001,Parametros!$B$7))</f>
        <v/>
      </c>
      <c r="F476" s="23" t="str">
        <f aca="false">IF(A476="","",IF(E476=0,"",AVERAGEIFS(Modulo!$B$2:$B$5001,Modulo!$A$2:$A$5001,"&gt;="&amp;C476,Modulo!$A$2:$A$5001,"&lt;"&amp;D476,Modulo!$D$2:$D$5001,Parametros!$B$7)))</f>
        <v/>
      </c>
      <c r="G476" s="23" t="str">
        <f aca="false">IF(A476="","",IF(E476=0,"",AVERAGEIFS(Modulo!$C$2:$C$5001,Modulo!$A$2:$A$5001,"&gt;="&amp;C476,Modulo!$A$2:$A$5001,"&lt;"&amp;D476,Modulo!$D$2:$D$5001,Parametros!$B$7)))</f>
        <v/>
      </c>
      <c r="H476" s="25" t="str">
        <f aca="false">IF(A476="","",IFERROR(COUNTIFS(Amostragem!$A$2:$A$15003,"&gt;="&amp;C476,Amostragem!$A$2:$A$15003,"&lt;"&amp;D476,Amostragem!$B$2:$B$15003,"Automático",Amostragem!$C$2:$C$15003,"Automático",Amostragem!$D$2:$D$15003,0)/COUNTIFS(Amostragem!$A$2:$A$15003,"&gt;="&amp;C476,Amostragem!$A$2:$A$15003,"&lt;"&amp;D476),0))</f>
        <v/>
      </c>
      <c r="I476" s="23" t="str">
        <f aca="false">IF(A476="","",IFERROR(AVERAGEIFS(Amostragem!$E$2:$E$15003,Amostragem!$A$2:$A$15003,"&gt;="&amp;C476,Amostragem!$A$2:$A$15003,"&lt;"&amp;D476),""))</f>
        <v/>
      </c>
      <c r="J476" s="24" t="str">
        <f aca="false">IF(A476="","",IF(B476="","Inválida: sem resultado MES",IF(E476&lt;Parametros!$B$4,"Inválida: poucos ensaios do módulo",IF(H476&lt;Parametros!$B$5,"Inválida: amostragem em manual ou em falha",IF(OR(I476="",I476&lt;Parametros!$B$6),"Inválida: usina parada ou baixa alimentação","Válida")))))</f>
        <v/>
      </c>
      <c r="K476" s="23" t="str">
        <f aca="false">IF(J476="Válida",F476-B476,"")</f>
        <v/>
      </c>
      <c r="L476" s="26" t="str">
        <f aca="false">IF(J476="Válida",K476/B476,"")</f>
        <v/>
      </c>
      <c r="M476" s="23" t="str">
        <f aca="false">IF(J476="Válida",(F476+B476)/2,"")</f>
        <v/>
      </c>
      <c r="N476" s="24" t="str">
        <f aca="false">IF(K476="","",IF(OR(K476&gt;Resumo!$B$16,K476&lt;Resumo!$B$15),"Sim","Não"))</f>
        <v/>
      </c>
      <c r="O476" s="22" t="e">
        <f aca="false">IF(A476="",NA(),A476)</f>
        <v>#N/A</v>
      </c>
      <c r="P476" s="23" t="e">
        <f aca="false">IF(A476="",NA(),B476)</f>
        <v>#N/A</v>
      </c>
      <c r="Q476" s="23" t="e">
        <f aca="false">IF(F476="",NA(),F476)</f>
        <v>#N/A</v>
      </c>
      <c r="R476" s="23" t="e">
        <f aca="false">IF(K476="",NA(),K476)</f>
        <v>#N/A</v>
      </c>
      <c r="S476" s="23" t="e">
        <f aca="false">IF(M476="",NA(),M476)</f>
        <v>#N/A</v>
      </c>
      <c r="T476" s="23" t="str">
        <f aca="false">IF(J476="Válida",B476,"")</f>
        <v/>
      </c>
      <c r="U476" s="23" t="str">
        <f aca="false">IF(J476="Válida",F476,"")</f>
        <v/>
      </c>
    </row>
    <row r="477" customFormat="false" ht="15" hidden="false" customHeight="false" outlineLevel="0" collapsed="false">
      <c r="A477" s="22" t="str">
        <f aca="false">IF(MES!A477="","",MES!A477)</f>
        <v/>
      </c>
      <c r="B477" s="23" t="str">
        <f aca="false">IF(A477="","",MES!B477)</f>
        <v/>
      </c>
      <c r="C477" s="22" t="str">
        <f aca="false">IF(A477="","",A477+Parametros!$B$3/24)</f>
        <v/>
      </c>
      <c r="D477" s="22" t="str">
        <f aca="false">IF(A477="","",C477+Parametros!$B$2/24)</f>
        <v/>
      </c>
      <c r="E477" s="24" t="str">
        <f aca="false">IF(A477="","",COUNTIFS(Modulo!$A$2:$A$5001,"&gt;="&amp;C477,Modulo!$A$2:$A$5001,"&lt;"&amp;D477,Modulo!$D$2:$D$5001,Parametros!$B$7))</f>
        <v/>
      </c>
      <c r="F477" s="23" t="str">
        <f aca="false">IF(A477="","",IF(E477=0,"",AVERAGEIFS(Modulo!$B$2:$B$5001,Modulo!$A$2:$A$5001,"&gt;="&amp;C477,Modulo!$A$2:$A$5001,"&lt;"&amp;D477,Modulo!$D$2:$D$5001,Parametros!$B$7)))</f>
        <v/>
      </c>
      <c r="G477" s="23" t="str">
        <f aca="false">IF(A477="","",IF(E477=0,"",AVERAGEIFS(Modulo!$C$2:$C$5001,Modulo!$A$2:$A$5001,"&gt;="&amp;C477,Modulo!$A$2:$A$5001,"&lt;"&amp;D477,Modulo!$D$2:$D$5001,Parametros!$B$7)))</f>
        <v/>
      </c>
      <c r="H477" s="25" t="str">
        <f aca="false">IF(A477="","",IFERROR(COUNTIFS(Amostragem!$A$2:$A$15003,"&gt;="&amp;C477,Amostragem!$A$2:$A$15003,"&lt;"&amp;D477,Amostragem!$B$2:$B$15003,"Automático",Amostragem!$C$2:$C$15003,"Automático",Amostragem!$D$2:$D$15003,0)/COUNTIFS(Amostragem!$A$2:$A$15003,"&gt;="&amp;C477,Amostragem!$A$2:$A$15003,"&lt;"&amp;D477),0))</f>
        <v/>
      </c>
      <c r="I477" s="23" t="str">
        <f aca="false">IF(A477="","",IFERROR(AVERAGEIFS(Amostragem!$E$2:$E$15003,Amostragem!$A$2:$A$15003,"&gt;="&amp;C477,Amostragem!$A$2:$A$15003,"&lt;"&amp;D477),""))</f>
        <v/>
      </c>
      <c r="J477" s="24" t="str">
        <f aca="false">IF(A477="","",IF(B477="","Inválida: sem resultado MES",IF(E477&lt;Parametros!$B$4,"Inválida: poucos ensaios do módulo",IF(H477&lt;Parametros!$B$5,"Inválida: amostragem em manual ou em falha",IF(OR(I477="",I477&lt;Parametros!$B$6),"Inválida: usina parada ou baixa alimentação","Válida")))))</f>
        <v/>
      </c>
      <c r="K477" s="23" t="str">
        <f aca="false">IF(J477="Válida",F477-B477,"")</f>
        <v/>
      </c>
      <c r="L477" s="26" t="str">
        <f aca="false">IF(J477="Válida",K477/B477,"")</f>
        <v/>
      </c>
      <c r="M477" s="23" t="str">
        <f aca="false">IF(J477="Válida",(F477+B477)/2,"")</f>
        <v/>
      </c>
      <c r="N477" s="24" t="str">
        <f aca="false">IF(K477="","",IF(OR(K477&gt;Resumo!$B$16,K477&lt;Resumo!$B$15),"Sim","Não"))</f>
        <v/>
      </c>
      <c r="O477" s="22" t="e">
        <f aca="false">IF(A477="",NA(),A477)</f>
        <v>#N/A</v>
      </c>
      <c r="P477" s="23" t="e">
        <f aca="false">IF(A477="",NA(),B477)</f>
        <v>#N/A</v>
      </c>
      <c r="Q477" s="23" t="e">
        <f aca="false">IF(F477="",NA(),F477)</f>
        <v>#N/A</v>
      </c>
      <c r="R477" s="23" t="e">
        <f aca="false">IF(K477="",NA(),K477)</f>
        <v>#N/A</v>
      </c>
      <c r="S477" s="23" t="e">
        <f aca="false">IF(M477="",NA(),M477)</f>
        <v>#N/A</v>
      </c>
      <c r="T477" s="23" t="str">
        <f aca="false">IF(J477="Válida",B477,"")</f>
        <v/>
      </c>
      <c r="U477" s="23" t="str">
        <f aca="false">IF(J477="Válida",F477,"")</f>
        <v/>
      </c>
    </row>
    <row r="478" customFormat="false" ht="15" hidden="false" customHeight="false" outlineLevel="0" collapsed="false">
      <c r="A478" s="22" t="str">
        <f aca="false">IF(MES!A478="","",MES!A478)</f>
        <v/>
      </c>
      <c r="B478" s="23" t="str">
        <f aca="false">IF(A478="","",MES!B478)</f>
        <v/>
      </c>
      <c r="C478" s="22" t="str">
        <f aca="false">IF(A478="","",A478+Parametros!$B$3/24)</f>
        <v/>
      </c>
      <c r="D478" s="22" t="str">
        <f aca="false">IF(A478="","",C478+Parametros!$B$2/24)</f>
        <v/>
      </c>
      <c r="E478" s="24" t="str">
        <f aca="false">IF(A478="","",COUNTIFS(Modulo!$A$2:$A$5001,"&gt;="&amp;C478,Modulo!$A$2:$A$5001,"&lt;"&amp;D478,Modulo!$D$2:$D$5001,Parametros!$B$7))</f>
        <v/>
      </c>
      <c r="F478" s="23" t="str">
        <f aca="false">IF(A478="","",IF(E478=0,"",AVERAGEIFS(Modulo!$B$2:$B$5001,Modulo!$A$2:$A$5001,"&gt;="&amp;C478,Modulo!$A$2:$A$5001,"&lt;"&amp;D478,Modulo!$D$2:$D$5001,Parametros!$B$7)))</f>
        <v/>
      </c>
      <c r="G478" s="23" t="str">
        <f aca="false">IF(A478="","",IF(E478=0,"",AVERAGEIFS(Modulo!$C$2:$C$5001,Modulo!$A$2:$A$5001,"&gt;="&amp;C478,Modulo!$A$2:$A$5001,"&lt;"&amp;D478,Modulo!$D$2:$D$5001,Parametros!$B$7)))</f>
        <v/>
      </c>
      <c r="H478" s="25" t="str">
        <f aca="false">IF(A478="","",IFERROR(COUNTIFS(Amostragem!$A$2:$A$15003,"&gt;="&amp;C478,Amostragem!$A$2:$A$15003,"&lt;"&amp;D478,Amostragem!$B$2:$B$15003,"Automático",Amostragem!$C$2:$C$15003,"Automático",Amostragem!$D$2:$D$15003,0)/COUNTIFS(Amostragem!$A$2:$A$15003,"&gt;="&amp;C478,Amostragem!$A$2:$A$15003,"&lt;"&amp;D478),0))</f>
        <v/>
      </c>
      <c r="I478" s="23" t="str">
        <f aca="false">IF(A478="","",IFERROR(AVERAGEIFS(Amostragem!$E$2:$E$15003,Amostragem!$A$2:$A$15003,"&gt;="&amp;C478,Amostragem!$A$2:$A$15003,"&lt;"&amp;D478),""))</f>
        <v/>
      </c>
      <c r="J478" s="24" t="str">
        <f aca="false">IF(A478="","",IF(B478="","Inválida: sem resultado MES",IF(E478&lt;Parametros!$B$4,"Inválida: poucos ensaios do módulo",IF(H478&lt;Parametros!$B$5,"Inválida: amostragem em manual ou em falha",IF(OR(I478="",I478&lt;Parametros!$B$6),"Inválida: usina parada ou baixa alimentação","Válida")))))</f>
        <v/>
      </c>
      <c r="K478" s="23" t="str">
        <f aca="false">IF(J478="Válida",F478-B478,"")</f>
        <v/>
      </c>
      <c r="L478" s="26" t="str">
        <f aca="false">IF(J478="Válida",K478/B478,"")</f>
        <v/>
      </c>
      <c r="M478" s="23" t="str">
        <f aca="false">IF(J478="Válida",(F478+B478)/2,"")</f>
        <v/>
      </c>
      <c r="N478" s="24" t="str">
        <f aca="false">IF(K478="","",IF(OR(K478&gt;Resumo!$B$16,K478&lt;Resumo!$B$15),"Sim","Não"))</f>
        <v/>
      </c>
      <c r="O478" s="22" t="e">
        <f aca="false">IF(A478="",NA(),A478)</f>
        <v>#N/A</v>
      </c>
      <c r="P478" s="23" t="e">
        <f aca="false">IF(A478="",NA(),B478)</f>
        <v>#N/A</v>
      </c>
      <c r="Q478" s="23" t="e">
        <f aca="false">IF(F478="",NA(),F478)</f>
        <v>#N/A</v>
      </c>
      <c r="R478" s="23" t="e">
        <f aca="false">IF(K478="",NA(),K478)</f>
        <v>#N/A</v>
      </c>
      <c r="S478" s="23" t="e">
        <f aca="false">IF(M478="",NA(),M478)</f>
        <v>#N/A</v>
      </c>
      <c r="T478" s="23" t="str">
        <f aca="false">IF(J478="Válida",B478,"")</f>
        <v/>
      </c>
      <c r="U478" s="23" t="str">
        <f aca="false">IF(J478="Válida",F478,"")</f>
        <v/>
      </c>
    </row>
    <row r="479" customFormat="false" ht="15" hidden="false" customHeight="false" outlineLevel="0" collapsed="false">
      <c r="A479" s="22" t="str">
        <f aca="false">IF(MES!A479="","",MES!A479)</f>
        <v/>
      </c>
      <c r="B479" s="23" t="str">
        <f aca="false">IF(A479="","",MES!B479)</f>
        <v/>
      </c>
      <c r="C479" s="22" t="str">
        <f aca="false">IF(A479="","",A479+Parametros!$B$3/24)</f>
        <v/>
      </c>
      <c r="D479" s="22" t="str">
        <f aca="false">IF(A479="","",C479+Parametros!$B$2/24)</f>
        <v/>
      </c>
      <c r="E479" s="24" t="str">
        <f aca="false">IF(A479="","",COUNTIFS(Modulo!$A$2:$A$5001,"&gt;="&amp;C479,Modulo!$A$2:$A$5001,"&lt;"&amp;D479,Modulo!$D$2:$D$5001,Parametros!$B$7))</f>
        <v/>
      </c>
      <c r="F479" s="23" t="str">
        <f aca="false">IF(A479="","",IF(E479=0,"",AVERAGEIFS(Modulo!$B$2:$B$5001,Modulo!$A$2:$A$5001,"&gt;="&amp;C479,Modulo!$A$2:$A$5001,"&lt;"&amp;D479,Modulo!$D$2:$D$5001,Parametros!$B$7)))</f>
        <v/>
      </c>
      <c r="G479" s="23" t="str">
        <f aca="false">IF(A479="","",IF(E479=0,"",AVERAGEIFS(Modulo!$C$2:$C$5001,Modulo!$A$2:$A$5001,"&gt;="&amp;C479,Modulo!$A$2:$A$5001,"&lt;"&amp;D479,Modulo!$D$2:$D$5001,Parametros!$B$7)))</f>
        <v/>
      </c>
      <c r="H479" s="25" t="str">
        <f aca="false">IF(A479="","",IFERROR(COUNTIFS(Amostragem!$A$2:$A$15003,"&gt;="&amp;C479,Amostragem!$A$2:$A$15003,"&lt;"&amp;D479,Amostragem!$B$2:$B$15003,"Automático",Amostragem!$C$2:$C$15003,"Automático",Amostragem!$D$2:$D$15003,0)/COUNTIFS(Amostragem!$A$2:$A$15003,"&gt;="&amp;C479,Amostragem!$A$2:$A$15003,"&lt;"&amp;D479),0))</f>
        <v/>
      </c>
      <c r="I479" s="23" t="str">
        <f aca="false">IF(A479="","",IFERROR(AVERAGEIFS(Amostragem!$E$2:$E$15003,Amostragem!$A$2:$A$15003,"&gt;="&amp;C479,Amostragem!$A$2:$A$15003,"&lt;"&amp;D479),""))</f>
        <v/>
      </c>
      <c r="J479" s="24" t="str">
        <f aca="false">IF(A479="","",IF(B479="","Inválida: sem resultado MES",IF(E479&lt;Parametros!$B$4,"Inválida: poucos ensaios do módulo",IF(H479&lt;Parametros!$B$5,"Inválida: amostragem em manual ou em falha",IF(OR(I479="",I479&lt;Parametros!$B$6),"Inválida: usina parada ou baixa alimentação","Válida")))))</f>
        <v/>
      </c>
      <c r="K479" s="23" t="str">
        <f aca="false">IF(J479="Válida",F479-B479,"")</f>
        <v/>
      </c>
      <c r="L479" s="26" t="str">
        <f aca="false">IF(J479="Válida",K479/B479,"")</f>
        <v/>
      </c>
      <c r="M479" s="23" t="str">
        <f aca="false">IF(J479="Válida",(F479+B479)/2,"")</f>
        <v/>
      </c>
      <c r="N479" s="24" t="str">
        <f aca="false">IF(K479="","",IF(OR(K479&gt;Resumo!$B$16,K479&lt;Resumo!$B$15),"Sim","Não"))</f>
        <v/>
      </c>
      <c r="O479" s="22" t="e">
        <f aca="false">IF(A479="",NA(),A479)</f>
        <v>#N/A</v>
      </c>
      <c r="P479" s="23" t="e">
        <f aca="false">IF(A479="",NA(),B479)</f>
        <v>#N/A</v>
      </c>
      <c r="Q479" s="23" t="e">
        <f aca="false">IF(F479="",NA(),F479)</f>
        <v>#N/A</v>
      </c>
      <c r="R479" s="23" t="e">
        <f aca="false">IF(K479="",NA(),K479)</f>
        <v>#N/A</v>
      </c>
      <c r="S479" s="23" t="e">
        <f aca="false">IF(M479="",NA(),M479)</f>
        <v>#N/A</v>
      </c>
      <c r="T479" s="23" t="str">
        <f aca="false">IF(J479="Válida",B479,"")</f>
        <v/>
      </c>
      <c r="U479" s="23" t="str">
        <f aca="false">IF(J479="Válida",F479,"")</f>
        <v/>
      </c>
    </row>
    <row r="480" customFormat="false" ht="15" hidden="false" customHeight="false" outlineLevel="0" collapsed="false">
      <c r="A480" s="22" t="str">
        <f aca="false">IF(MES!A480="","",MES!A480)</f>
        <v/>
      </c>
      <c r="B480" s="23" t="str">
        <f aca="false">IF(A480="","",MES!B480)</f>
        <v/>
      </c>
      <c r="C480" s="22" t="str">
        <f aca="false">IF(A480="","",A480+Parametros!$B$3/24)</f>
        <v/>
      </c>
      <c r="D480" s="22" t="str">
        <f aca="false">IF(A480="","",C480+Parametros!$B$2/24)</f>
        <v/>
      </c>
      <c r="E480" s="24" t="str">
        <f aca="false">IF(A480="","",COUNTIFS(Modulo!$A$2:$A$5001,"&gt;="&amp;C480,Modulo!$A$2:$A$5001,"&lt;"&amp;D480,Modulo!$D$2:$D$5001,Parametros!$B$7))</f>
        <v/>
      </c>
      <c r="F480" s="23" t="str">
        <f aca="false">IF(A480="","",IF(E480=0,"",AVERAGEIFS(Modulo!$B$2:$B$5001,Modulo!$A$2:$A$5001,"&gt;="&amp;C480,Modulo!$A$2:$A$5001,"&lt;"&amp;D480,Modulo!$D$2:$D$5001,Parametros!$B$7)))</f>
        <v/>
      </c>
      <c r="G480" s="23" t="str">
        <f aca="false">IF(A480="","",IF(E480=0,"",AVERAGEIFS(Modulo!$C$2:$C$5001,Modulo!$A$2:$A$5001,"&gt;="&amp;C480,Modulo!$A$2:$A$5001,"&lt;"&amp;D480,Modulo!$D$2:$D$5001,Parametros!$B$7)))</f>
        <v/>
      </c>
      <c r="H480" s="25" t="str">
        <f aca="false">IF(A480="","",IFERROR(COUNTIFS(Amostragem!$A$2:$A$15003,"&gt;="&amp;C480,Amostragem!$A$2:$A$15003,"&lt;"&amp;D480,Amostragem!$B$2:$B$15003,"Automático",Amostragem!$C$2:$C$15003,"Automático",Amostragem!$D$2:$D$15003,0)/COUNTIFS(Amostragem!$A$2:$A$15003,"&gt;="&amp;C480,Amostragem!$A$2:$A$15003,"&lt;"&amp;D480),0))</f>
        <v/>
      </c>
      <c r="I480" s="23" t="str">
        <f aca="false">IF(A480="","",IFERROR(AVERAGEIFS(Amostragem!$E$2:$E$15003,Amostragem!$A$2:$A$15003,"&gt;="&amp;C480,Amostragem!$A$2:$A$15003,"&lt;"&amp;D480),""))</f>
        <v/>
      </c>
      <c r="J480" s="24" t="str">
        <f aca="false">IF(A480="","",IF(B480="","Inválida: sem resultado MES",IF(E480&lt;Parametros!$B$4,"Inválida: poucos ensaios do módulo",IF(H480&lt;Parametros!$B$5,"Inválida: amostragem em manual ou em falha",IF(OR(I480="",I480&lt;Parametros!$B$6),"Inválida: usina parada ou baixa alimentação","Válida")))))</f>
        <v/>
      </c>
      <c r="K480" s="23" t="str">
        <f aca="false">IF(J480="Válida",F480-B480,"")</f>
        <v/>
      </c>
      <c r="L480" s="26" t="str">
        <f aca="false">IF(J480="Válida",K480/B480,"")</f>
        <v/>
      </c>
      <c r="M480" s="23" t="str">
        <f aca="false">IF(J480="Válida",(F480+B480)/2,"")</f>
        <v/>
      </c>
      <c r="N480" s="24" t="str">
        <f aca="false">IF(K480="","",IF(OR(K480&gt;Resumo!$B$16,K480&lt;Resumo!$B$15),"Sim","Não"))</f>
        <v/>
      </c>
      <c r="O480" s="22" t="e">
        <f aca="false">IF(A480="",NA(),A480)</f>
        <v>#N/A</v>
      </c>
      <c r="P480" s="23" t="e">
        <f aca="false">IF(A480="",NA(),B480)</f>
        <v>#N/A</v>
      </c>
      <c r="Q480" s="23" t="e">
        <f aca="false">IF(F480="",NA(),F480)</f>
        <v>#N/A</v>
      </c>
      <c r="R480" s="23" t="e">
        <f aca="false">IF(K480="",NA(),K480)</f>
        <v>#N/A</v>
      </c>
      <c r="S480" s="23" t="e">
        <f aca="false">IF(M480="",NA(),M480)</f>
        <v>#N/A</v>
      </c>
      <c r="T480" s="23" t="str">
        <f aca="false">IF(J480="Válida",B480,"")</f>
        <v/>
      </c>
      <c r="U480" s="23" t="str">
        <f aca="false">IF(J480="Válida",F480,"")</f>
        <v/>
      </c>
    </row>
    <row r="481" customFormat="false" ht="15" hidden="false" customHeight="false" outlineLevel="0" collapsed="false">
      <c r="A481" s="22" t="str">
        <f aca="false">IF(MES!A481="","",MES!A481)</f>
        <v/>
      </c>
      <c r="B481" s="23" t="str">
        <f aca="false">IF(A481="","",MES!B481)</f>
        <v/>
      </c>
      <c r="C481" s="22" t="str">
        <f aca="false">IF(A481="","",A481+Parametros!$B$3/24)</f>
        <v/>
      </c>
      <c r="D481" s="22" t="str">
        <f aca="false">IF(A481="","",C481+Parametros!$B$2/24)</f>
        <v/>
      </c>
      <c r="E481" s="24" t="str">
        <f aca="false">IF(A481="","",COUNTIFS(Modulo!$A$2:$A$5001,"&gt;="&amp;C481,Modulo!$A$2:$A$5001,"&lt;"&amp;D481,Modulo!$D$2:$D$5001,Parametros!$B$7))</f>
        <v/>
      </c>
      <c r="F481" s="23" t="str">
        <f aca="false">IF(A481="","",IF(E481=0,"",AVERAGEIFS(Modulo!$B$2:$B$5001,Modulo!$A$2:$A$5001,"&gt;="&amp;C481,Modulo!$A$2:$A$5001,"&lt;"&amp;D481,Modulo!$D$2:$D$5001,Parametros!$B$7)))</f>
        <v/>
      </c>
      <c r="G481" s="23" t="str">
        <f aca="false">IF(A481="","",IF(E481=0,"",AVERAGEIFS(Modulo!$C$2:$C$5001,Modulo!$A$2:$A$5001,"&gt;="&amp;C481,Modulo!$A$2:$A$5001,"&lt;"&amp;D481,Modulo!$D$2:$D$5001,Parametros!$B$7)))</f>
        <v/>
      </c>
      <c r="H481" s="25" t="str">
        <f aca="false">IF(A481="","",IFERROR(COUNTIFS(Amostragem!$A$2:$A$15003,"&gt;="&amp;C481,Amostragem!$A$2:$A$15003,"&lt;"&amp;D481,Amostragem!$B$2:$B$15003,"Automático",Amostragem!$C$2:$C$15003,"Automático",Amostragem!$D$2:$D$15003,0)/COUNTIFS(Amostragem!$A$2:$A$15003,"&gt;="&amp;C481,Amostragem!$A$2:$A$15003,"&lt;"&amp;D481),0))</f>
        <v/>
      </c>
      <c r="I481" s="23" t="str">
        <f aca="false">IF(A481="","",IFERROR(AVERAGEIFS(Amostragem!$E$2:$E$15003,Amostragem!$A$2:$A$15003,"&gt;="&amp;C481,Amostragem!$A$2:$A$15003,"&lt;"&amp;D481),""))</f>
        <v/>
      </c>
      <c r="J481" s="24" t="str">
        <f aca="false">IF(A481="","",IF(B481="","Inválida: sem resultado MES",IF(E481&lt;Parametros!$B$4,"Inválida: poucos ensaios do módulo",IF(H481&lt;Parametros!$B$5,"Inválida: amostragem em manual ou em falha",IF(OR(I481="",I481&lt;Parametros!$B$6),"Inválida: usina parada ou baixa alimentação","Válida")))))</f>
        <v/>
      </c>
      <c r="K481" s="23" t="str">
        <f aca="false">IF(J481="Válida",F481-B481,"")</f>
        <v/>
      </c>
      <c r="L481" s="26" t="str">
        <f aca="false">IF(J481="Válida",K481/B481,"")</f>
        <v/>
      </c>
      <c r="M481" s="23" t="str">
        <f aca="false">IF(J481="Válida",(F481+B481)/2,"")</f>
        <v/>
      </c>
      <c r="N481" s="24" t="str">
        <f aca="false">IF(K481="","",IF(OR(K481&gt;Resumo!$B$16,K481&lt;Resumo!$B$15),"Sim","Não"))</f>
        <v/>
      </c>
      <c r="O481" s="22" t="e">
        <f aca="false">IF(A481="",NA(),A481)</f>
        <v>#N/A</v>
      </c>
      <c r="P481" s="23" t="e">
        <f aca="false">IF(A481="",NA(),B481)</f>
        <v>#N/A</v>
      </c>
      <c r="Q481" s="23" t="e">
        <f aca="false">IF(F481="",NA(),F481)</f>
        <v>#N/A</v>
      </c>
      <c r="R481" s="23" t="e">
        <f aca="false">IF(K481="",NA(),K481)</f>
        <v>#N/A</v>
      </c>
      <c r="S481" s="23" t="e">
        <f aca="false">IF(M481="",NA(),M481)</f>
        <v>#N/A</v>
      </c>
      <c r="T481" s="23" t="str">
        <f aca="false">IF(J481="Válida",B481,"")</f>
        <v/>
      </c>
      <c r="U481" s="23" t="str">
        <f aca="false">IF(J481="Válida",F481,"")</f>
        <v/>
      </c>
    </row>
    <row r="482" customFormat="false" ht="15" hidden="false" customHeight="false" outlineLevel="0" collapsed="false">
      <c r="A482" s="22" t="str">
        <f aca="false">IF(MES!A482="","",MES!A482)</f>
        <v/>
      </c>
      <c r="B482" s="23" t="str">
        <f aca="false">IF(A482="","",MES!B482)</f>
        <v/>
      </c>
      <c r="C482" s="22" t="str">
        <f aca="false">IF(A482="","",A482+Parametros!$B$3/24)</f>
        <v/>
      </c>
      <c r="D482" s="22" t="str">
        <f aca="false">IF(A482="","",C482+Parametros!$B$2/24)</f>
        <v/>
      </c>
      <c r="E482" s="24" t="str">
        <f aca="false">IF(A482="","",COUNTIFS(Modulo!$A$2:$A$5001,"&gt;="&amp;C482,Modulo!$A$2:$A$5001,"&lt;"&amp;D482,Modulo!$D$2:$D$5001,Parametros!$B$7))</f>
        <v/>
      </c>
      <c r="F482" s="23" t="str">
        <f aca="false">IF(A482="","",IF(E482=0,"",AVERAGEIFS(Modulo!$B$2:$B$5001,Modulo!$A$2:$A$5001,"&gt;="&amp;C482,Modulo!$A$2:$A$5001,"&lt;"&amp;D482,Modulo!$D$2:$D$5001,Parametros!$B$7)))</f>
        <v/>
      </c>
      <c r="G482" s="23" t="str">
        <f aca="false">IF(A482="","",IF(E482=0,"",AVERAGEIFS(Modulo!$C$2:$C$5001,Modulo!$A$2:$A$5001,"&gt;="&amp;C482,Modulo!$A$2:$A$5001,"&lt;"&amp;D482,Modulo!$D$2:$D$5001,Parametros!$B$7)))</f>
        <v/>
      </c>
      <c r="H482" s="25" t="str">
        <f aca="false">IF(A482="","",IFERROR(COUNTIFS(Amostragem!$A$2:$A$15003,"&gt;="&amp;C482,Amostragem!$A$2:$A$15003,"&lt;"&amp;D482,Amostragem!$B$2:$B$15003,"Automático",Amostragem!$C$2:$C$15003,"Automático",Amostragem!$D$2:$D$15003,0)/COUNTIFS(Amostragem!$A$2:$A$15003,"&gt;="&amp;C482,Amostragem!$A$2:$A$15003,"&lt;"&amp;D482),0))</f>
        <v/>
      </c>
      <c r="I482" s="23" t="str">
        <f aca="false">IF(A482="","",IFERROR(AVERAGEIFS(Amostragem!$E$2:$E$15003,Amostragem!$A$2:$A$15003,"&gt;="&amp;C482,Amostragem!$A$2:$A$15003,"&lt;"&amp;D482),""))</f>
        <v/>
      </c>
      <c r="J482" s="24" t="str">
        <f aca="false">IF(A482="","",IF(B482="","Inválida: sem resultado MES",IF(E482&lt;Parametros!$B$4,"Inválida: poucos ensaios do módulo",IF(H482&lt;Parametros!$B$5,"Inválida: amostragem em manual ou em falha",IF(OR(I482="",I482&lt;Parametros!$B$6),"Inválida: usina parada ou baixa alimentação","Válida")))))</f>
        <v/>
      </c>
      <c r="K482" s="23" t="str">
        <f aca="false">IF(J482="Válida",F482-B482,"")</f>
        <v/>
      </c>
      <c r="L482" s="26" t="str">
        <f aca="false">IF(J482="Válida",K482/B482,"")</f>
        <v/>
      </c>
      <c r="M482" s="23" t="str">
        <f aca="false">IF(J482="Válida",(F482+B482)/2,"")</f>
        <v/>
      </c>
      <c r="N482" s="24" t="str">
        <f aca="false">IF(K482="","",IF(OR(K482&gt;Resumo!$B$16,K482&lt;Resumo!$B$15),"Sim","Não"))</f>
        <v/>
      </c>
      <c r="O482" s="22" t="e">
        <f aca="false">IF(A482="",NA(),A482)</f>
        <v>#N/A</v>
      </c>
      <c r="P482" s="23" t="e">
        <f aca="false">IF(A482="",NA(),B482)</f>
        <v>#N/A</v>
      </c>
      <c r="Q482" s="23" t="e">
        <f aca="false">IF(F482="",NA(),F482)</f>
        <v>#N/A</v>
      </c>
      <c r="R482" s="23" t="e">
        <f aca="false">IF(K482="",NA(),K482)</f>
        <v>#N/A</v>
      </c>
      <c r="S482" s="23" t="e">
        <f aca="false">IF(M482="",NA(),M482)</f>
        <v>#N/A</v>
      </c>
      <c r="T482" s="23" t="str">
        <f aca="false">IF(J482="Válida",B482,"")</f>
        <v/>
      </c>
      <c r="U482" s="23" t="str">
        <f aca="false">IF(J482="Válida",F482,"")</f>
        <v/>
      </c>
    </row>
    <row r="483" customFormat="false" ht="15" hidden="false" customHeight="false" outlineLevel="0" collapsed="false">
      <c r="A483" s="22" t="str">
        <f aca="false">IF(MES!A483="","",MES!A483)</f>
        <v/>
      </c>
      <c r="B483" s="23" t="str">
        <f aca="false">IF(A483="","",MES!B483)</f>
        <v/>
      </c>
      <c r="C483" s="22" t="str">
        <f aca="false">IF(A483="","",A483+Parametros!$B$3/24)</f>
        <v/>
      </c>
      <c r="D483" s="22" t="str">
        <f aca="false">IF(A483="","",C483+Parametros!$B$2/24)</f>
        <v/>
      </c>
      <c r="E483" s="24" t="str">
        <f aca="false">IF(A483="","",COUNTIFS(Modulo!$A$2:$A$5001,"&gt;="&amp;C483,Modulo!$A$2:$A$5001,"&lt;"&amp;D483,Modulo!$D$2:$D$5001,Parametros!$B$7))</f>
        <v/>
      </c>
      <c r="F483" s="23" t="str">
        <f aca="false">IF(A483="","",IF(E483=0,"",AVERAGEIFS(Modulo!$B$2:$B$5001,Modulo!$A$2:$A$5001,"&gt;="&amp;C483,Modulo!$A$2:$A$5001,"&lt;"&amp;D483,Modulo!$D$2:$D$5001,Parametros!$B$7)))</f>
        <v/>
      </c>
      <c r="G483" s="23" t="str">
        <f aca="false">IF(A483="","",IF(E483=0,"",AVERAGEIFS(Modulo!$C$2:$C$5001,Modulo!$A$2:$A$5001,"&gt;="&amp;C483,Modulo!$A$2:$A$5001,"&lt;"&amp;D483,Modulo!$D$2:$D$5001,Parametros!$B$7)))</f>
        <v/>
      </c>
      <c r="H483" s="25" t="str">
        <f aca="false">IF(A483="","",IFERROR(COUNTIFS(Amostragem!$A$2:$A$15003,"&gt;="&amp;C483,Amostragem!$A$2:$A$15003,"&lt;"&amp;D483,Amostragem!$B$2:$B$15003,"Automático",Amostragem!$C$2:$C$15003,"Automático",Amostragem!$D$2:$D$15003,0)/COUNTIFS(Amostragem!$A$2:$A$15003,"&gt;="&amp;C483,Amostragem!$A$2:$A$15003,"&lt;"&amp;D483),0))</f>
        <v/>
      </c>
      <c r="I483" s="23" t="str">
        <f aca="false">IF(A483="","",IFERROR(AVERAGEIFS(Amostragem!$E$2:$E$15003,Amostragem!$A$2:$A$15003,"&gt;="&amp;C483,Amostragem!$A$2:$A$15003,"&lt;"&amp;D483),""))</f>
        <v/>
      </c>
      <c r="J483" s="24" t="str">
        <f aca="false">IF(A483="","",IF(B483="","Inválida: sem resultado MES",IF(E483&lt;Parametros!$B$4,"Inválida: poucos ensaios do módulo",IF(H483&lt;Parametros!$B$5,"Inválida: amostragem em manual ou em falha",IF(OR(I483="",I483&lt;Parametros!$B$6),"Inválida: usina parada ou baixa alimentação","Válida")))))</f>
        <v/>
      </c>
      <c r="K483" s="23" t="str">
        <f aca="false">IF(J483="Válida",F483-B483,"")</f>
        <v/>
      </c>
      <c r="L483" s="26" t="str">
        <f aca="false">IF(J483="Válida",K483/B483,"")</f>
        <v/>
      </c>
      <c r="M483" s="23" t="str">
        <f aca="false">IF(J483="Válida",(F483+B483)/2,"")</f>
        <v/>
      </c>
      <c r="N483" s="24" t="str">
        <f aca="false">IF(K483="","",IF(OR(K483&gt;Resumo!$B$16,K483&lt;Resumo!$B$15),"Sim","Não"))</f>
        <v/>
      </c>
      <c r="O483" s="22" t="e">
        <f aca="false">IF(A483="",NA(),A483)</f>
        <v>#N/A</v>
      </c>
      <c r="P483" s="23" t="e">
        <f aca="false">IF(A483="",NA(),B483)</f>
        <v>#N/A</v>
      </c>
      <c r="Q483" s="23" t="e">
        <f aca="false">IF(F483="",NA(),F483)</f>
        <v>#N/A</v>
      </c>
      <c r="R483" s="23" t="e">
        <f aca="false">IF(K483="",NA(),K483)</f>
        <v>#N/A</v>
      </c>
      <c r="S483" s="23" t="e">
        <f aca="false">IF(M483="",NA(),M483)</f>
        <v>#N/A</v>
      </c>
      <c r="T483" s="23" t="str">
        <f aca="false">IF(J483="Válida",B483,"")</f>
        <v/>
      </c>
      <c r="U483" s="23" t="str">
        <f aca="false">IF(J483="Válida",F483,"")</f>
        <v/>
      </c>
    </row>
    <row r="484" customFormat="false" ht="15" hidden="false" customHeight="false" outlineLevel="0" collapsed="false">
      <c r="A484" s="22" t="str">
        <f aca="false">IF(MES!A484="","",MES!A484)</f>
        <v/>
      </c>
      <c r="B484" s="23" t="str">
        <f aca="false">IF(A484="","",MES!B484)</f>
        <v/>
      </c>
      <c r="C484" s="22" t="str">
        <f aca="false">IF(A484="","",A484+Parametros!$B$3/24)</f>
        <v/>
      </c>
      <c r="D484" s="22" t="str">
        <f aca="false">IF(A484="","",C484+Parametros!$B$2/24)</f>
        <v/>
      </c>
      <c r="E484" s="24" t="str">
        <f aca="false">IF(A484="","",COUNTIFS(Modulo!$A$2:$A$5001,"&gt;="&amp;C484,Modulo!$A$2:$A$5001,"&lt;"&amp;D484,Modulo!$D$2:$D$5001,Parametros!$B$7))</f>
        <v/>
      </c>
      <c r="F484" s="23" t="str">
        <f aca="false">IF(A484="","",IF(E484=0,"",AVERAGEIFS(Modulo!$B$2:$B$5001,Modulo!$A$2:$A$5001,"&gt;="&amp;C484,Modulo!$A$2:$A$5001,"&lt;"&amp;D484,Modulo!$D$2:$D$5001,Parametros!$B$7)))</f>
        <v/>
      </c>
      <c r="G484" s="23" t="str">
        <f aca="false">IF(A484="","",IF(E484=0,"",AVERAGEIFS(Modulo!$C$2:$C$5001,Modulo!$A$2:$A$5001,"&gt;="&amp;C484,Modulo!$A$2:$A$5001,"&lt;"&amp;D484,Modulo!$D$2:$D$5001,Parametros!$B$7)))</f>
        <v/>
      </c>
      <c r="H484" s="25" t="str">
        <f aca="false">IF(A484="","",IFERROR(COUNTIFS(Amostragem!$A$2:$A$15003,"&gt;="&amp;C484,Amostragem!$A$2:$A$15003,"&lt;"&amp;D484,Amostragem!$B$2:$B$15003,"Automático",Amostragem!$C$2:$C$15003,"Automático",Amostragem!$D$2:$D$15003,0)/COUNTIFS(Amostragem!$A$2:$A$15003,"&gt;="&amp;C484,Amostragem!$A$2:$A$15003,"&lt;"&amp;D484),0))</f>
        <v/>
      </c>
      <c r="I484" s="23" t="str">
        <f aca="false">IF(A484="","",IFERROR(AVERAGEIFS(Amostragem!$E$2:$E$15003,Amostragem!$A$2:$A$15003,"&gt;="&amp;C484,Amostragem!$A$2:$A$15003,"&lt;"&amp;D484),""))</f>
        <v/>
      </c>
      <c r="J484" s="24" t="str">
        <f aca="false">IF(A484="","",IF(B484="","Inválida: sem resultado MES",IF(E484&lt;Parametros!$B$4,"Inválida: poucos ensaios do módulo",IF(H484&lt;Parametros!$B$5,"Inválida: amostragem em manual ou em falha",IF(OR(I484="",I484&lt;Parametros!$B$6),"Inválida: usina parada ou baixa alimentação","Válida")))))</f>
        <v/>
      </c>
      <c r="K484" s="23" t="str">
        <f aca="false">IF(J484="Válida",F484-B484,"")</f>
        <v/>
      </c>
      <c r="L484" s="26" t="str">
        <f aca="false">IF(J484="Válida",K484/B484,"")</f>
        <v/>
      </c>
      <c r="M484" s="23" t="str">
        <f aca="false">IF(J484="Válida",(F484+B484)/2,"")</f>
        <v/>
      </c>
      <c r="N484" s="24" t="str">
        <f aca="false">IF(K484="","",IF(OR(K484&gt;Resumo!$B$16,K484&lt;Resumo!$B$15),"Sim","Não"))</f>
        <v/>
      </c>
      <c r="O484" s="22" t="e">
        <f aca="false">IF(A484="",NA(),A484)</f>
        <v>#N/A</v>
      </c>
      <c r="P484" s="23" t="e">
        <f aca="false">IF(A484="",NA(),B484)</f>
        <v>#N/A</v>
      </c>
      <c r="Q484" s="23" t="e">
        <f aca="false">IF(F484="",NA(),F484)</f>
        <v>#N/A</v>
      </c>
      <c r="R484" s="23" t="e">
        <f aca="false">IF(K484="",NA(),K484)</f>
        <v>#N/A</v>
      </c>
      <c r="S484" s="23" t="e">
        <f aca="false">IF(M484="",NA(),M484)</f>
        <v>#N/A</v>
      </c>
      <c r="T484" s="23" t="str">
        <f aca="false">IF(J484="Válida",B484,"")</f>
        <v/>
      </c>
      <c r="U484" s="23" t="str">
        <f aca="false">IF(J484="Válida",F484,"")</f>
        <v/>
      </c>
    </row>
    <row r="485" customFormat="false" ht="15" hidden="false" customHeight="false" outlineLevel="0" collapsed="false">
      <c r="A485" s="22" t="str">
        <f aca="false">IF(MES!A485="","",MES!A485)</f>
        <v/>
      </c>
      <c r="B485" s="23" t="str">
        <f aca="false">IF(A485="","",MES!B485)</f>
        <v/>
      </c>
      <c r="C485" s="22" t="str">
        <f aca="false">IF(A485="","",A485+Parametros!$B$3/24)</f>
        <v/>
      </c>
      <c r="D485" s="22" t="str">
        <f aca="false">IF(A485="","",C485+Parametros!$B$2/24)</f>
        <v/>
      </c>
      <c r="E485" s="24" t="str">
        <f aca="false">IF(A485="","",COUNTIFS(Modulo!$A$2:$A$5001,"&gt;="&amp;C485,Modulo!$A$2:$A$5001,"&lt;"&amp;D485,Modulo!$D$2:$D$5001,Parametros!$B$7))</f>
        <v/>
      </c>
      <c r="F485" s="23" t="str">
        <f aca="false">IF(A485="","",IF(E485=0,"",AVERAGEIFS(Modulo!$B$2:$B$5001,Modulo!$A$2:$A$5001,"&gt;="&amp;C485,Modulo!$A$2:$A$5001,"&lt;"&amp;D485,Modulo!$D$2:$D$5001,Parametros!$B$7)))</f>
        <v/>
      </c>
      <c r="G485" s="23" t="str">
        <f aca="false">IF(A485="","",IF(E485=0,"",AVERAGEIFS(Modulo!$C$2:$C$5001,Modulo!$A$2:$A$5001,"&gt;="&amp;C485,Modulo!$A$2:$A$5001,"&lt;"&amp;D485,Modulo!$D$2:$D$5001,Parametros!$B$7)))</f>
        <v/>
      </c>
      <c r="H485" s="25" t="str">
        <f aca="false">IF(A485="","",IFERROR(COUNTIFS(Amostragem!$A$2:$A$15003,"&gt;="&amp;C485,Amostragem!$A$2:$A$15003,"&lt;"&amp;D485,Amostragem!$B$2:$B$15003,"Automático",Amostragem!$C$2:$C$15003,"Automático",Amostragem!$D$2:$D$15003,0)/COUNTIFS(Amostragem!$A$2:$A$15003,"&gt;="&amp;C485,Amostragem!$A$2:$A$15003,"&lt;"&amp;D485),0))</f>
        <v/>
      </c>
      <c r="I485" s="23" t="str">
        <f aca="false">IF(A485="","",IFERROR(AVERAGEIFS(Amostragem!$E$2:$E$15003,Amostragem!$A$2:$A$15003,"&gt;="&amp;C485,Amostragem!$A$2:$A$15003,"&lt;"&amp;D485),""))</f>
        <v/>
      </c>
      <c r="J485" s="24" t="str">
        <f aca="false">IF(A485="","",IF(B485="","Inválida: sem resultado MES",IF(E485&lt;Parametros!$B$4,"Inválida: poucos ensaios do módulo",IF(H485&lt;Parametros!$B$5,"Inválida: amostragem em manual ou em falha",IF(OR(I485="",I485&lt;Parametros!$B$6),"Inválida: usina parada ou baixa alimentação","Válida")))))</f>
        <v/>
      </c>
      <c r="K485" s="23" t="str">
        <f aca="false">IF(J485="Válida",F485-B485,"")</f>
        <v/>
      </c>
      <c r="L485" s="26" t="str">
        <f aca="false">IF(J485="Válida",K485/B485,"")</f>
        <v/>
      </c>
      <c r="M485" s="23" t="str">
        <f aca="false">IF(J485="Válida",(F485+B485)/2,"")</f>
        <v/>
      </c>
      <c r="N485" s="24" t="str">
        <f aca="false">IF(K485="","",IF(OR(K485&gt;Resumo!$B$16,K485&lt;Resumo!$B$15),"Sim","Não"))</f>
        <v/>
      </c>
      <c r="O485" s="22" t="e">
        <f aca="false">IF(A485="",NA(),A485)</f>
        <v>#N/A</v>
      </c>
      <c r="P485" s="23" t="e">
        <f aca="false">IF(A485="",NA(),B485)</f>
        <v>#N/A</v>
      </c>
      <c r="Q485" s="23" t="e">
        <f aca="false">IF(F485="",NA(),F485)</f>
        <v>#N/A</v>
      </c>
      <c r="R485" s="23" t="e">
        <f aca="false">IF(K485="",NA(),K485)</f>
        <v>#N/A</v>
      </c>
      <c r="S485" s="23" t="e">
        <f aca="false">IF(M485="",NA(),M485)</f>
        <v>#N/A</v>
      </c>
      <c r="T485" s="23" t="str">
        <f aca="false">IF(J485="Válida",B485,"")</f>
        <v/>
      </c>
      <c r="U485" s="23" t="str">
        <f aca="false">IF(J485="Válida",F485,"")</f>
        <v/>
      </c>
    </row>
    <row r="486" customFormat="false" ht="15" hidden="false" customHeight="false" outlineLevel="0" collapsed="false">
      <c r="A486" s="22" t="str">
        <f aca="false">IF(MES!A486="","",MES!A486)</f>
        <v/>
      </c>
      <c r="B486" s="23" t="str">
        <f aca="false">IF(A486="","",MES!B486)</f>
        <v/>
      </c>
      <c r="C486" s="22" t="str">
        <f aca="false">IF(A486="","",A486+Parametros!$B$3/24)</f>
        <v/>
      </c>
      <c r="D486" s="22" t="str">
        <f aca="false">IF(A486="","",C486+Parametros!$B$2/24)</f>
        <v/>
      </c>
      <c r="E486" s="24" t="str">
        <f aca="false">IF(A486="","",COUNTIFS(Modulo!$A$2:$A$5001,"&gt;="&amp;C486,Modulo!$A$2:$A$5001,"&lt;"&amp;D486,Modulo!$D$2:$D$5001,Parametros!$B$7))</f>
        <v/>
      </c>
      <c r="F486" s="23" t="str">
        <f aca="false">IF(A486="","",IF(E486=0,"",AVERAGEIFS(Modulo!$B$2:$B$5001,Modulo!$A$2:$A$5001,"&gt;="&amp;C486,Modulo!$A$2:$A$5001,"&lt;"&amp;D486,Modulo!$D$2:$D$5001,Parametros!$B$7)))</f>
        <v/>
      </c>
      <c r="G486" s="23" t="str">
        <f aca="false">IF(A486="","",IF(E486=0,"",AVERAGEIFS(Modulo!$C$2:$C$5001,Modulo!$A$2:$A$5001,"&gt;="&amp;C486,Modulo!$A$2:$A$5001,"&lt;"&amp;D486,Modulo!$D$2:$D$5001,Parametros!$B$7)))</f>
        <v/>
      </c>
      <c r="H486" s="25" t="str">
        <f aca="false">IF(A486="","",IFERROR(COUNTIFS(Amostragem!$A$2:$A$15003,"&gt;="&amp;C486,Amostragem!$A$2:$A$15003,"&lt;"&amp;D486,Amostragem!$B$2:$B$15003,"Automático",Amostragem!$C$2:$C$15003,"Automático",Amostragem!$D$2:$D$15003,0)/COUNTIFS(Amostragem!$A$2:$A$15003,"&gt;="&amp;C486,Amostragem!$A$2:$A$15003,"&lt;"&amp;D486),0))</f>
        <v/>
      </c>
      <c r="I486" s="23" t="str">
        <f aca="false">IF(A486="","",IFERROR(AVERAGEIFS(Amostragem!$E$2:$E$15003,Amostragem!$A$2:$A$15003,"&gt;="&amp;C486,Amostragem!$A$2:$A$15003,"&lt;"&amp;D486),""))</f>
        <v/>
      </c>
      <c r="J486" s="24" t="str">
        <f aca="false">IF(A486="","",IF(B486="","Inválida: sem resultado MES",IF(E486&lt;Parametros!$B$4,"Inválida: poucos ensaios do módulo",IF(H486&lt;Parametros!$B$5,"Inválida: amostragem em manual ou em falha",IF(OR(I486="",I486&lt;Parametros!$B$6),"Inválida: usina parada ou baixa alimentação","Válida")))))</f>
        <v/>
      </c>
      <c r="K486" s="23" t="str">
        <f aca="false">IF(J486="Válida",F486-B486,"")</f>
        <v/>
      </c>
      <c r="L486" s="26" t="str">
        <f aca="false">IF(J486="Válida",K486/B486,"")</f>
        <v/>
      </c>
      <c r="M486" s="23" t="str">
        <f aca="false">IF(J486="Válida",(F486+B486)/2,"")</f>
        <v/>
      </c>
      <c r="N486" s="24" t="str">
        <f aca="false">IF(K486="","",IF(OR(K486&gt;Resumo!$B$16,K486&lt;Resumo!$B$15),"Sim","Não"))</f>
        <v/>
      </c>
      <c r="O486" s="22" t="e">
        <f aca="false">IF(A486="",NA(),A486)</f>
        <v>#N/A</v>
      </c>
      <c r="P486" s="23" t="e">
        <f aca="false">IF(A486="",NA(),B486)</f>
        <v>#N/A</v>
      </c>
      <c r="Q486" s="23" t="e">
        <f aca="false">IF(F486="",NA(),F486)</f>
        <v>#N/A</v>
      </c>
      <c r="R486" s="23" t="e">
        <f aca="false">IF(K486="",NA(),K486)</f>
        <v>#N/A</v>
      </c>
      <c r="S486" s="23" t="e">
        <f aca="false">IF(M486="",NA(),M486)</f>
        <v>#N/A</v>
      </c>
      <c r="T486" s="23" t="str">
        <f aca="false">IF(J486="Válida",B486,"")</f>
        <v/>
      </c>
      <c r="U486" s="23" t="str">
        <f aca="false">IF(J486="Válida",F486,"")</f>
        <v/>
      </c>
    </row>
    <row r="487" customFormat="false" ht="15" hidden="false" customHeight="false" outlineLevel="0" collapsed="false">
      <c r="A487" s="22" t="str">
        <f aca="false">IF(MES!A487="","",MES!A487)</f>
        <v/>
      </c>
      <c r="B487" s="23" t="str">
        <f aca="false">IF(A487="","",MES!B487)</f>
        <v/>
      </c>
      <c r="C487" s="22" t="str">
        <f aca="false">IF(A487="","",A487+Parametros!$B$3/24)</f>
        <v/>
      </c>
      <c r="D487" s="22" t="str">
        <f aca="false">IF(A487="","",C487+Parametros!$B$2/24)</f>
        <v/>
      </c>
      <c r="E487" s="24" t="str">
        <f aca="false">IF(A487="","",COUNTIFS(Modulo!$A$2:$A$5001,"&gt;="&amp;C487,Modulo!$A$2:$A$5001,"&lt;"&amp;D487,Modulo!$D$2:$D$5001,Parametros!$B$7))</f>
        <v/>
      </c>
      <c r="F487" s="23" t="str">
        <f aca="false">IF(A487="","",IF(E487=0,"",AVERAGEIFS(Modulo!$B$2:$B$5001,Modulo!$A$2:$A$5001,"&gt;="&amp;C487,Modulo!$A$2:$A$5001,"&lt;"&amp;D487,Modulo!$D$2:$D$5001,Parametros!$B$7)))</f>
        <v/>
      </c>
      <c r="G487" s="23" t="str">
        <f aca="false">IF(A487="","",IF(E487=0,"",AVERAGEIFS(Modulo!$C$2:$C$5001,Modulo!$A$2:$A$5001,"&gt;="&amp;C487,Modulo!$A$2:$A$5001,"&lt;"&amp;D487,Modulo!$D$2:$D$5001,Parametros!$B$7)))</f>
        <v/>
      </c>
      <c r="H487" s="25" t="str">
        <f aca="false">IF(A487="","",IFERROR(COUNTIFS(Amostragem!$A$2:$A$15003,"&gt;="&amp;C487,Amostragem!$A$2:$A$15003,"&lt;"&amp;D487,Amostragem!$B$2:$B$15003,"Automático",Amostragem!$C$2:$C$15003,"Automático",Amostragem!$D$2:$D$15003,0)/COUNTIFS(Amostragem!$A$2:$A$15003,"&gt;="&amp;C487,Amostragem!$A$2:$A$15003,"&lt;"&amp;D487),0))</f>
        <v/>
      </c>
      <c r="I487" s="23" t="str">
        <f aca="false">IF(A487="","",IFERROR(AVERAGEIFS(Amostragem!$E$2:$E$15003,Amostragem!$A$2:$A$15003,"&gt;="&amp;C487,Amostragem!$A$2:$A$15003,"&lt;"&amp;D487),""))</f>
        <v/>
      </c>
      <c r="J487" s="24" t="str">
        <f aca="false">IF(A487="","",IF(B487="","Inválida: sem resultado MES",IF(E487&lt;Parametros!$B$4,"Inválida: poucos ensaios do módulo",IF(H487&lt;Parametros!$B$5,"Inválida: amostragem em manual ou em falha",IF(OR(I487="",I487&lt;Parametros!$B$6),"Inválida: usina parada ou baixa alimentação","Válida")))))</f>
        <v/>
      </c>
      <c r="K487" s="23" t="str">
        <f aca="false">IF(J487="Válida",F487-B487,"")</f>
        <v/>
      </c>
      <c r="L487" s="26" t="str">
        <f aca="false">IF(J487="Válida",K487/B487,"")</f>
        <v/>
      </c>
      <c r="M487" s="23" t="str">
        <f aca="false">IF(J487="Válida",(F487+B487)/2,"")</f>
        <v/>
      </c>
      <c r="N487" s="24" t="str">
        <f aca="false">IF(K487="","",IF(OR(K487&gt;Resumo!$B$16,K487&lt;Resumo!$B$15),"Sim","Não"))</f>
        <v/>
      </c>
      <c r="O487" s="22" t="e">
        <f aca="false">IF(A487="",NA(),A487)</f>
        <v>#N/A</v>
      </c>
      <c r="P487" s="23" t="e">
        <f aca="false">IF(A487="",NA(),B487)</f>
        <v>#N/A</v>
      </c>
      <c r="Q487" s="23" t="e">
        <f aca="false">IF(F487="",NA(),F487)</f>
        <v>#N/A</v>
      </c>
      <c r="R487" s="23" t="e">
        <f aca="false">IF(K487="",NA(),K487)</f>
        <v>#N/A</v>
      </c>
      <c r="S487" s="23" t="e">
        <f aca="false">IF(M487="",NA(),M487)</f>
        <v>#N/A</v>
      </c>
      <c r="T487" s="23" t="str">
        <f aca="false">IF(J487="Válida",B487,"")</f>
        <v/>
      </c>
      <c r="U487" s="23" t="str">
        <f aca="false">IF(J487="Válida",F487,"")</f>
        <v/>
      </c>
    </row>
    <row r="488" customFormat="false" ht="15" hidden="false" customHeight="false" outlineLevel="0" collapsed="false">
      <c r="A488" s="22" t="str">
        <f aca="false">IF(MES!A488="","",MES!A488)</f>
        <v/>
      </c>
      <c r="B488" s="23" t="str">
        <f aca="false">IF(A488="","",MES!B488)</f>
        <v/>
      </c>
      <c r="C488" s="22" t="str">
        <f aca="false">IF(A488="","",A488+Parametros!$B$3/24)</f>
        <v/>
      </c>
      <c r="D488" s="22" t="str">
        <f aca="false">IF(A488="","",C488+Parametros!$B$2/24)</f>
        <v/>
      </c>
      <c r="E488" s="24" t="str">
        <f aca="false">IF(A488="","",COUNTIFS(Modulo!$A$2:$A$5001,"&gt;="&amp;C488,Modulo!$A$2:$A$5001,"&lt;"&amp;D488,Modulo!$D$2:$D$5001,Parametros!$B$7))</f>
        <v/>
      </c>
      <c r="F488" s="23" t="str">
        <f aca="false">IF(A488="","",IF(E488=0,"",AVERAGEIFS(Modulo!$B$2:$B$5001,Modulo!$A$2:$A$5001,"&gt;="&amp;C488,Modulo!$A$2:$A$5001,"&lt;"&amp;D488,Modulo!$D$2:$D$5001,Parametros!$B$7)))</f>
        <v/>
      </c>
      <c r="G488" s="23" t="str">
        <f aca="false">IF(A488="","",IF(E488=0,"",AVERAGEIFS(Modulo!$C$2:$C$5001,Modulo!$A$2:$A$5001,"&gt;="&amp;C488,Modulo!$A$2:$A$5001,"&lt;"&amp;D488,Modulo!$D$2:$D$5001,Parametros!$B$7)))</f>
        <v/>
      </c>
      <c r="H488" s="25" t="str">
        <f aca="false">IF(A488="","",IFERROR(COUNTIFS(Amostragem!$A$2:$A$15003,"&gt;="&amp;C488,Amostragem!$A$2:$A$15003,"&lt;"&amp;D488,Amostragem!$B$2:$B$15003,"Automático",Amostragem!$C$2:$C$15003,"Automático",Amostragem!$D$2:$D$15003,0)/COUNTIFS(Amostragem!$A$2:$A$15003,"&gt;="&amp;C488,Amostragem!$A$2:$A$15003,"&lt;"&amp;D488),0))</f>
        <v/>
      </c>
      <c r="I488" s="23" t="str">
        <f aca="false">IF(A488="","",IFERROR(AVERAGEIFS(Amostragem!$E$2:$E$15003,Amostragem!$A$2:$A$15003,"&gt;="&amp;C488,Amostragem!$A$2:$A$15003,"&lt;"&amp;D488),""))</f>
        <v/>
      </c>
      <c r="J488" s="24" t="str">
        <f aca="false">IF(A488="","",IF(B488="","Inválida: sem resultado MES",IF(E488&lt;Parametros!$B$4,"Inválida: poucos ensaios do módulo",IF(H488&lt;Parametros!$B$5,"Inválida: amostragem em manual ou em falha",IF(OR(I488="",I488&lt;Parametros!$B$6),"Inválida: usina parada ou baixa alimentação","Válida")))))</f>
        <v/>
      </c>
      <c r="K488" s="23" t="str">
        <f aca="false">IF(J488="Válida",F488-B488,"")</f>
        <v/>
      </c>
      <c r="L488" s="26" t="str">
        <f aca="false">IF(J488="Válida",K488/B488,"")</f>
        <v/>
      </c>
      <c r="M488" s="23" t="str">
        <f aca="false">IF(J488="Válida",(F488+B488)/2,"")</f>
        <v/>
      </c>
      <c r="N488" s="24" t="str">
        <f aca="false">IF(K488="","",IF(OR(K488&gt;Resumo!$B$16,K488&lt;Resumo!$B$15),"Sim","Não"))</f>
        <v/>
      </c>
      <c r="O488" s="22" t="e">
        <f aca="false">IF(A488="",NA(),A488)</f>
        <v>#N/A</v>
      </c>
      <c r="P488" s="23" t="e">
        <f aca="false">IF(A488="",NA(),B488)</f>
        <v>#N/A</v>
      </c>
      <c r="Q488" s="23" t="e">
        <f aca="false">IF(F488="",NA(),F488)</f>
        <v>#N/A</v>
      </c>
      <c r="R488" s="23" t="e">
        <f aca="false">IF(K488="",NA(),K488)</f>
        <v>#N/A</v>
      </c>
      <c r="S488" s="23" t="e">
        <f aca="false">IF(M488="",NA(),M488)</f>
        <v>#N/A</v>
      </c>
      <c r="T488" s="23" t="str">
        <f aca="false">IF(J488="Válida",B488,"")</f>
        <v/>
      </c>
      <c r="U488" s="23" t="str">
        <f aca="false">IF(J488="Válida",F488,"")</f>
        <v/>
      </c>
    </row>
    <row r="489" customFormat="false" ht="15" hidden="false" customHeight="false" outlineLevel="0" collapsed="false">
      <c r="A489" s="22" t="str">
        <f aca="false">IF(MES!A489="","",MES!A489)</f>
        <v/>
      </c>
      <c r="B489" s="23" t="str">
        <f aca="false">IF(A489="","",MES!B489)</f>
        <v/>
      </c>
      <c r="C489" s="22" t="str">
        <f aca="false">IF(A489="","",A489+Parametros!$B$3/24)</f>
        <v/>
      </c>
      <c r="D489" s="22" t="str">
        <f aca="false">IF(A489="","",C489+Parametros!$B$2/24)</f>
        <v/>
      </c>
      <c r="E489" s="24" t="str">
        <f aca="false">IF(A489="","",COUNTIFS(Modulo!$A$2:$A$5001,"&gt;="&amp;C489,Modulo!$A$2:$A$5001,"&lt;"&amp;D489,Modulo!$D$2:$D$5001,Parametros!$B$7))</f>
        <v/>
      </c>
      <c r="F489" s="23" t="str">
        <f aca="false">IF(A489="","",IF(E489=0,"",AVERAGEIFS(Modulo!$B$2:$B$5001,Modulo!$A$2:$A$5001,"&gt;="&amp;C489,Modulo!$A$2:$A$5001,"&lt;"&amp;D489,Modulo!$D$2:$D$5001,Parametros!$B$7)))</f>
        <v/>
      </c>
      <c r="G489" s="23" t="str">
        <f aca="false">IF(A489="","",IF(E489=0,"",AVERAGEIFS(Modulo!$C$2:$C$5001,Modulo!$A$2:$A$5001,"&gt;="&amp;C489,Modulo!$A$2:$A$5001,"&lt;"&amp;D489,Modulo!$D$2:$D$5001,Parametros!$B$7)))</f>
        <v/>
      </c>
      <c r="H489" s="25" t="str">
        <f aca="false">IF(A489="","",IFERROR(COUNTIFS(Amostragem!$A$2:$A$15003,"&gt;="&amp;C489,Amostragem!$A$2:$A$15003,"&lt;"&amp;D489,Amostragem!$B$2:$B$15003,"Automático",Amostragem!$C$2:$C$15003,"Automático",Amostragem!$D$2:$D$15003,0)/COUNTIFS(Amostragem!$A$2:$A$15003,"&gt;="&amp;C489,Amostragem!$A$2:$A$15003,"&lt;"&amp;D489),0))</f>
        <v/>
      </c>
      <c r="I489" s="23" t="str">
        <f aca="false">IF(A489="","",IFERROR(AVERAGEIFS(Amostragem!$E$2:$E$15003,Amostragem!$A$2:$A$15003,"&gt;="&amp;C489,Amostragem!$A$2:$A$15003,"&lt;"&amp;D489),""))</f>
        <v/>
      </c>
      <c r="J489" s="24" t="str">
        <f aca="false">IF(A489="","",IF(B489="","Inválida: sem resultado MES",IF(E489&lt;Parametros!$B$4,"Inválida: poucos ensaios do módulo",IF(H489&lt;Parametros!$B$5,"Inválida: amostragem em manual ou em falha",IF(OR(I489="",I489&lt;Parametros!$B$6),"Inválida: usina parada ou baixa alimentação","Válida")))))</f>
        <v/>
      </c>
      <c r="K489" s="23" t="str">
        <f aca="false">IF(J489="Válida",F489-B489,"")</f>
        <v/>
      </c>
      <c r="L489" s="26" t="str">
        <f aca="false">IF(J489="Válida",K489/B489,"")</f>
        <v/>
      </c>
      <c r="M489" s="23" t="str">
        <f aca="false">IF(J489="Válida",(F489+B489)/2,"")</f>
        <v/>
      </c>
      <c r="N489" s="24" t="str">
        <f aca="false">IF(K489="","",IF(OR(K489&gt;Resumo!$B$16,K489&lt;Resumo!$B$15),"Sim","Não"))</f>
        <v/>
      </c>
      <c r="O489" s="22" t="e">
        <f aca="false">IF(A489="",NA(),A489)</f>
        <v>#N/A</v>
      </c>
      <c r="P489" s="23" t="e">
        <f aca="false">IF(A489="",NA(),B489)</f>
        <v>#N/A</v>
      </c>
      <c r="Q489" s="23" t="e">
        <f aca="false">IF(F489="",NA(),F489)</f>
        <v>#N/A</v>
      </c>
      <c r="R489" s="23" t="e">
        <f aca="false">IF(K489="",NA(),K489)</f>
        <v>#N/A</v>
      </c>
      <c r="S489" s="23" t="e">
        <f aca="false">IF(M489="",NA(),M489)</f>
        <v>#N/A</v>
      </c>
      <c r="T489" s="23" t="str">
        <f aca="false">IF(J489="Válida",B489,"")</f>
        <v/>
      </c>
      <c r="U489" s="23" t="str">
        <f aca="false">IF(J489="Válida",F489,"")</f>
        <v/>
      </c>
    </row>
    <row r="490" customFormat="false" ht="15" hidden="false" customHeight="false" outlineLevel="0" collapsed="false">
      <c r="A490" s="22" t="str">
        <f aca="false">IF(MES!A490="","",MES!A490)</f>
        <v/>
      </c>
      <c r="B490" s="23" t="str">
        <f aca="false">IF(A490="","",MES!B490)</f>
        <v/>
      </c>
      <c r="C490" s="22" t="str">
        <f aca="false">IF(A490="","",A490+Parametros!$B$3/24)</f>
        <v/>
      </c>
      <c r="D490" s="22" t="str">
        <f aca="false">IF(A490="","",C490+Parametros!$B$2/24)</f>
        <v/>
      </c>
      <c r="E490" s="24" t="str">
        <f aca="false">IF(A490="","",COUNTIFS(Modulo!$A$2:$A$5001,"&gt;="&amp;C490,Modulo!$A$2:$A$5001,"&lt;"&amp;D490,Modulo!$D$2:$D$5001,Parametros!$B$7))</f>
        <v/>
      </c>
      <c r="F490" s="23" t="str">
        <f aca="false">IF(A490="","",IF(E490=0,"",AVERAGEIFS(Modulo!$B$2:$B$5001,Modulo!$A$2:$A$5001,"&gt;="&amp;C490,Modulo!$A$2:$A$5001,"&lt;"&amp;D490,Modulo!$D$2:$D$5001,Parametros!$B$7)))</f>
        <v/>
      </c>
      <c r="G490" s="23" t="str">
        <f aca="false">IF(A490="","",IF(E490=0,"",AVERAGEIFS(Modulo!$C$2:$C$5001,Modulo!$A$2:$A$5001,"&gt;="&amp;C490,Modulo!$A$2:$A$5001,"&lt;"&amp;D490,Modulo!$D$2:$D$5001,Parametros!$B$7)))</f>
        <v/>
      </c>
      <c r="H490" s="25" t="str">
        <f aca="false">IF(A490="","",IFERROR(COUNTIFS(Amostragem!$A$2:$A$15003,"&gt;="&amp;C490,Amostragem!$A$2:$A$15003,"&lt;"&amp;D490,Amostragem!$B$2:$B$15003,"Automático",Amostragem!$C$2:$C$15003,"Automático",Amostragem!$D$2:$D$15003,0)/COUNTIFS(Amostragem!$A$2:$A$15003,"&gt;="&amp;C490,Amostragem!$A$2:$A$15003,"&lt;"&amp;D490),0))</f>
        <v/>
      </c>
      <c r="I490" s="23" t="str">
        <f aca="false">IF(A490="","",IFERROR(AVERAGEIFS(Amostragem!$E$2:$E$15003,Amostragem!$A$2:$A$15003,"&gt;="&amp;C490,Amostragem!$A$2:$A$15003,"&lt;"&amp;D490),""))</f>
        <v/>
      </c>
      <c r="J490" s="24" t="str">
        <f aca="false">IF(A490="","",IF(B490="","Inválida: sem resultado MES",IF(E490&lt;Parametros!$B$4,"Inválida: poucos ensaios do módulo",IF(H490&lt;Parametros!$B$5,"Inválida: amostragem em manual ou em falha",IF(OR(I490="",I490&lt;Parametros!$B$6),"Inválida: usina parada ou baixa alimentação","Válida")))))</f>
        <v/>
      </c>
      <c r="K490" s="23" t="str">
        <f aca="false">IF(J490="Válida",F490-B490,"")</f>
        <v/>
      </c>
      <c r="L490" s="26" t="str">
        <f aca="false">IF(J490="Válida",K490/B490,"")</f>
        <v/>
      </c>
      <c r="M490" s="23" t="str">
        <f aca="false">IF(J490="Válida",(F490+B490)/2,"")</f>
        <v/>
      </c>
      <c r="N490" s="24" t="str">
        <f aca="false">IF(K490="","",IF(OR(K490&gt;Resumo!$B$16,K490&lt;Resumo!$B$15),"Sim","Não"))</f>
        <v/>
      </c>
      <c r="O490" s="22" t="e">
        <f aca="false">IF(A490="",NA(),A490)</f>
        <v>#N/A</v>
      </c>
      <c r="P490" s="23" t="e">
        <f aca="false">IF(A490="",NA(),B490)</f>
        <v>#N/A</v>
      </c>
      <c r="Q490" s="23" t="e">
        <f aca="false">IF(F490="",NA(),F490)</f>
        <v>#N/A</v>
      </c>
      <c r="R490" s="23" t="e">
        <f aca="false">IF(K490="",NA(),K490)</f>
        <v>#N/A</v>
      </c>
      <c r="S490" s="23" t="e">
        <f aca="false">IF(M490="",NA(),M490)</f>
        <v>#N/A</v>
      </c>
      <c r="T490" s="23" t="str">
        <f aca="false">IF(J490="Válida",B490,"")</f>
        <v/>
      </c>
      <c r="U490" s="23" t="str">
        <f aca="false">IF(J490="Válida",F490,"")</f>
        <v/>
      </c>
    </row>
    <row r="491" customFormat="false" ht="15" hidden="false" customHeight="false" outlineLevel="0" collapsed="false">
      <c r="A491" s="22" t="str">
        <f aca="false">IF(MES!A491="","",MES!A491)</f>
        <v/>
      </c>
      <c r="B491" s="23" t="str">
        <f aca="false">IF(A491="","",MES!B491)</f>
        <v/>
      </c>
      <c r="C491" s="22" t="str">
        <f aca="false">IF(A491="","",A491+Parametros!$B$3/24)</f>
        <v/>
      </c>
      <c r="D491" s="22" t="str">
        <f aca="false">IF(A491="","",C491+Parametros!$B$2/24)</f>
        <v/>
      </c>
      <c r="E491" s="24" t="str">
        <f aca="false">IF(A491="","",COUNTIFS(Modulo!$A$2:$A$5001,"&gt;="&amp;C491,Modulo!$A$2:$A$5001,"&lt;"&amp;D491,Modulo!$D$2:$D$5001,Parametros!$B$7))</f>
        <v/>
      </c>
      <c r="F491" s="23" t="str">
        <f aca="false">IF(A491="","",IF(E491=0,"",AVERAGEIFS(Modulo!$B$2:$B$5001,Modulo!$A$2:$A$5001,"&gt;="&amp;C491,Modulo!$A$2:$A$5001,"&lt;"&amp;D491,Modulo!$D$2:$D$5001,Parametros!$B$7)))</f>
        <v/>
      </c>
      <c r="G491" s="23" t="str">
        <f aca="false">IF(A491="","",IF(E491=0,"",AVERAGEIFS(Modulo!$C$2:$C$5001,Modulo!$A$2:$A$5001,"&gt;="&amp;C491,Modulo!$A$2:$A$5001,"&lt;"&amp;D491,Modulo!$D$2:$D$5001,Parametros!$B$7)))</f>
        <v/>
      </c>
      <c r="H491" s="25" t="str">
        <f aca="false">IF(A491="","",IFERROR(COUNTIFS(Amostragem!$A$2:$A$15003,"&gt;="&amp;C491,Amostragem!$A$2:$A$15003,"&lt;"&amp;D491,Amostragem!$B$2:$B$15003,"Automático",Amostragem!$C$2:$C$15003,"Automático",Amostragem!$D$2:$D$15003,0)/COUNTIFS(Amostragem!$A$2:$A$15003,"&gt;="&amp;C491,Amostragem!$A$2:$A$15003,"&lt;"&amp;D491),0))</f>
        <v/>
      </c>
      <c r="I491" s="23" t="str">
        <f aca="false">IF(A491="","",IFERROR(AVERAGEIFS(Amostragem!$E$2:$E$15003,Amostragem!$A$2:$A$15003,"&gt;="&amp;C491,Amostragem!$A$2:$A$15003,"&lt;"&amp;D491),""))</f>
        <v/>
      </c>
      <c r="J491" s="24" t="str">
        <f aca="false">IF(A491="","",IF(B491="","Inválida: sem resultado MES",IF(E491&lt;Parametros!$B$4,"Inválida: poucos ensaios do módulo",IF(H491&lt;Parametros!$B$5,"Inválida: amostragem em manual ou em falha",IF(OR(I491="",I491&lt;Parametros!$B$6),"Inválida: usina parada ou baixa alimentação","Válida")))))</f>
        <v/>
      </c>
      <c r="K491" s="23" t="str">
        <f aca="false">IF(J491="Válida",F491-B491,"")</f>
        <v/>
      </c>
      <c r="L491" s="26" t="str">
        <f aca="false">IF(J491="Válida",K491/B491,"")</f>
        <v/>
      </c>
      <c r="M491" s="23" t="str">
        <f aca="false">IF(J491="Válida",(F491+B491)/2,"")</f>
        <v/>
      </c>
      <c r="N491" s="24" t="str">
        <f aca="false">IF(K491="","",IF(OR(K491&gt;Resumo!$B$16,K491&lt;Resumo!$B$15),"Sim","Não"))</f>
        <v/>
      </c>
      <c r="O491" s="22" t="e">
        <f aca="false">IF(A491="",NA(),A491)</f>
        <v>#N/A</v>
      </c>
      <c r="P491" s="23" t="e">
        <f aca="false">IF(A491="",NA(),B491)</f>
        <v>#N/A</v>
      </c>
      <c r="Q491" s="23" t="e">
        <f aca="false">IF(F491="",NA(),F491)</f>
        <v>#N/A</v>
      </c>
      <c r="R491" s="23" t="e">
        <f aca="false">IF(K491="",NA(),K491)</f>
        <v>#N/A</v>
      </c>
      <c r="S491" s="23" t="e">
        <f aca="false">IF(M491="",NA(),M491)</f>
        <v>#N/A</v>
      </c>
      <c r="T491" s="23" t="str">
        <f aca="false">IF(J491="Válida",B491,"")</f>
        <v/>
      </c>
      <c r="U491" s="23" t="str">
        <f aca="false">IF(J491="Válida",F491,"")</f>
        <v/>
      </c>
    </row>
    <row r="492" customFormat="false" ht="15" hidden="false" customHeight="false" outlineLevel="0" collapsed="false">
      <c r="A492" s="22" t="str">
        <f aca="false">IF(MES!A492="","",MES!A492)</f>
        <v/>
      </c>
      <c r="B492" s="23" t="str">
        <f aca="false">IF(A492="","",MES!B492)</f>
        <v/>
      </c>
      <c r="C492" s="22" t="str">
        <f aca="false">IF(A492="","",A492+Parametros!$B$3/24)</f>
        <v/>
      </c>
      <c r="D492" s="22" t="str">
        <f aca="false">IF(A492="","",C492+Parametros!$B$2/24)</f>
        <v/>
      </c>
      <c r="E492" s="24" t="str">
        <f aca="false">IF(A492="","",COUNTIFS(Modulo!$A$2:$A$5001,"&gt;="&amp;C492,Modulo!$A$2:$A$5001,"&lt;"&amp;D492,Modulo!$D$2:$D$5001,Parametros!$B$7))</f>
        <v/>
      </c>
      <c r="F492" s="23" t="str">
        <f aca="false">IF(A492="","",IF(E492=0,"",AVERAGEIFS(Modulo!$B$2:$B$5001,Modulo!$A$2:$A$5001,"&gt;="&amp;C492,Modulo!$A$2:$A$5001,"&lt;"&amp;D492,Modulo!$D$2:$D$5001,Parametros!$B$7)))</f>
        <v/>
      </c>
      <c r="G492" s="23" t="str">
        <f aca="false">IF(A492="","",IF(E492=0,"",AVERAGEIFS(Modulo!$C$2:$C$5001,Modulo!$A$2:$A$5001,"&gt;="&amp;C492,Modulo!$A$2:$A$5001,"&lt;"&amp;D492,Modulo!$D$2:$D$5001,Parametros!$B$7)))</f>
        <v/>
      </c>
      <c r="H492" s="25" t="str">
        <f aca="false">IF(A492="","",IFERROR(COUNTIFS(Amostragem!$A$2:$A$15003,"&gt;="&amp;C492,Amostragem!$A$2:$A$15003,"&lt;"&amp;D492,Amostragem!$B$2:$B$15003,"Automático",Amostragem!$C$2:$C$15003,"Automático",Amostragem!$D$2:$D$15003,0)/COUNTIFS(Amostragem!$A$2:$A$15003,"&gt;="&amp;C492,Amostragem!$A$2:$A$15003,"&lt;"&amp;D492),0))</f>
        <v/>
      </c>
      <c r="I492" s="23" t="str">
        <f aca="false">IF(A492="","",IFERROR(AVERAGEIFS(Amostragem!$E$2:$E$15003,Amostragem!$A$2:$A$15003,"&gt;="&amp;C492,Amostragem!$A$2:$A$15003,"&lt;"&amp;D492),""))</f>
        <v/>
      </c>
      <c r="J492" s="24" t="str">
        <f aca="false">IF(A492="","",IF(B492="","Inválida: sem resultado MES",IF(E492&lt;Parametros!$B$4,"Inválida: poucos ensaios do módulo",IF(H492&lt;Parametros!$B$5,"Inválida: amostragem em manual ou em falha",IF(OR(I492="",I492&lt;Parametros!$B$6),"Inválida: usina parada ou baixa alimentação","Válida")))))</f>
        <v/>
      </c>
      <c r="K492" s="23" t="str">
        <f aca="false">IF(J492="Válida",F492-B492,"")</f>
        <v/>
      </c>
      <c r="L492" s="26" t="str">
        <f aca="false">IF(J492="Válida",K492/B492,"")</f>
        <v/>
      </c>
      <c r="M492" s="23" t="str">
        <f aca="false">IF(J492="Válida",(F492+B492)/2,"")</f>
        <v/>
      </c>
      <c r="N492" s="24" t="str">
        <f aca="false">IF(K492="","",IF(OR(K492&gt;Resumo!$B$16,K492&lt;Resumo!$B$15),"Sim","Não"))</f>
        <v/>
      </c>
      <c r="O492" s="22" t="e">
        <f aca="false">IF(A492="",NA(),A492)</f>
        <v>#N/A</v>
      </c>
      <c r="P492" s="23" t="e">
        <f aca="false">IF(A492="",NA(),B492)</f>
        <v>#N/A</v>
      </c>
      <c r="Q492" s="23" t="e">
        <f aca="false">IF(F492="",NA(),F492)</f>
        <v>#N/A</v>
      </c>
      <c r="R492" s="23" t="e">
        <f aca="false">IF(K492="",NA(),K492)</f>
        <v>#N/A</v>
      </c>
      <c r="S492" s="23" t="e">
        <f aca="false">IF(M492="",NA(),M492)</f>
        <v>#N/A</v>
      </c>
      <c r="T492" s="23" t="str">
        <f aca="false">IF(J492="Válida",B492,"")</f>
        <v/>
      </c>
      <c r="U492" s="23" t="str">
        <f aca="false">IF(J492="Válida",F492,"")</f>
        <v/>
      </c>
    </row>
    <row r="493" customFormat="false" ht="15" hidden="false" customHeight="false" outlineLevel="0" collapsed="false">
      <c r="A493" s="22" t="str">
        <f aca="false">IF(MES!A493="","",MES!A493)</f>
        <v/>
      </c>
      <c r="B493" s="23" t="str">
        <f aca="false">IF(A493="","",MES!B493)</f>
        <v/>
      </c>
      <c r="C493" s="22" t="str">
        <f aca="false">IF(A493="","",A493+Parametros!$B$3/24)</f>
        <v/>
      </c>
      <c r="D493" s="22" t="str">
        <f aca="false">IF(A493="","",C493+Parametros!$B$2/24)</f>
        <v/>
      </c>
      <c r="E493" s="24" t="str">
        <f aca="false">IF(A493="","",COUNTIFS(Modulo!$A$2:$A$5001,"&gt;="&amp;C493,Modulo!$A$2:$A$5001,"&lt;"&amp;D493,Modulo!$D$2:$D$5001,Parametros!$B$7))</f>
        <v/>
      </c>
      <c r="F493" s="23" t="str">
        <f aca="false">IF(A493="","",IF(E493=0,"",AVERAGEIFS(Modulo!$B$2:$B$5001,Modulo!$A$2:$A$5001,"&gt;="&amp;C493,Modulo!$A$2:$A$5001,"&lt;"&amp;D493,Modulo!$D$2:$D$5001,Parametros!$B$7)))</f>
        <v/>
      </c>
      <c r="G493" s="23" t="str">
        <f aca="false">IF(A493="","",IF(E493=0,"",AVERAGEIFS(Modulo!$C$2:$C$5001,Modulo!$A$2:$A$5001,"&gt;="&amp;C493,Modulo!$A$2:$A$5001,"&lt;"&amp;D493,Modulo!$D$2:$D$5001,Parametros!$B$7)))</f>
        <v/>
      </c>
      <c r="H493" s="25" t="str">
        <f aca="false">IF(A493="","",IFERROR(COUNTIFS(Amostragem!$A$2:$A$15003,"&gt;="&amp;C493,Amostragem!$A$2:$A$15003,"&lt;"&amp;D493,Amostragem!$B$2:$B$15003,"Automático",Amostragem!$C$2:$C$15003,"Automático",Amostragem!$D$2:$D$15003,0)/COUNTIFS(Amostragem!$A$2:$A$15003,"&gt;="&amp;C493,Amostragem!$A$2:$A$15003,"&lt;"&amp;D493),0))</f>
        <v/>
      </c>
      <c r="I493" s="23" t="str">
        <f aca="false">IF(A493="","",IFERROR(AVERAGEIFS(Amostragem!$E$2:$E$15003,Amostragem!$A$2:$A$15003,"&gt;="&amp;C493,Amostragem!$A$2:$A$15003,"&lt;"&amp;D493),""))</f>
        <v/>
      </c>
      <c r="J493" s="24" t="str">
        <f aca="false">IF(A493="","",IF(B493="","Inválida: sem resultado MES",IF(E493&lt;Parametros!$B$4,"Inválida: poucos ensaios do módulo",IF(H493&lt;Parametros!$B$5,"Inválida: amostragem em manual ou em falha",IF(OR(I493="",I493&lt;Parametros!$B$6),"Inválida: usina parada ou baixa alimentação","Válida")))))</f>
        <v/>
      </c>
      <c r="K493" s="23" t="str">
        <f aca="false">IF(J493="Válida",F493-B493,"")</f>
        <v/>
      </c>
      <c r="L493" s="26" t="str">
        <f aca="false">IF(J493="Válida",K493/B493,"")</f>
        <v/>
      </c>
      <c r="M493" s="23" t="str">
        <f aca="false">IF(J493="Válida",(F493+B493)/2,"")</f>
        <v/>
      </c>
      <c r="N493" s="24" t="str">
        <f aca="false">IF(K493="","",IF(OR(K493&gt;Resumo!$B$16,K493&lt;Resumo!$B$15),"Sim","Não"))</f>
        <v/>
      </c>
      <c r="O493" s="22" t="e">
        <f aca="false">IF(A493="",NA(),A493)</f>
        <v>#N/A</v>
      </c>
      <c r="P493" s="23" t="e">
        <f aca="false">IF(A493="",NA(),B493)</f>
        <v>#N/A</v>
      </c>
      <c r="Q493" s="23" t="e">
        <f aca="false">IF(F493="",NA(),F493)</f>
        <v>#N/A</v>
      </c>
      <c r="R493" s="23" t="e">
        <f aca="false">IF(K493="",NA(),K493)</f>
        <v>#N/A</v>
      </c>
      <c r="S493" s="23" t="e">
        <f aca="false">IF(M493="",NA(),M493)</f>
        <v>#N/A</v>
      </c>
      <c r="T493" s="23" t="str">
        <f aca="false">IF(J493="Válida",B493,"")</f>
        <v/>
      </c>
      <c r="U493" s="23" t="str">
        <f aca="false">IF(J493="Válida",F493,"")</f>
        <v/>
      </c>
    </row>
    <row r="494" customFormat="false" ht="15" hidden="false" customHeight="false" outlineLevel="0" collapsed="false">
      <c r="A494" s="22" t="str">
        <f aca="false">IF(MES!A494="","",MES!A494)</f>
        <v/>
      </c>
      <c r="B494" s="23" t="str">
        <f aca="false">IF(A494="","",MES!B494)</f>
        <v/>
      </c>
      <c r="C494" s="22" t="str">
        <f aca="false">IF(A494="","",A494+Parametros!$B$3/24)</f>
        <v/>
      </c>
      <c r="D494" s="22" t="str">
        <f aca="false">IF(A494="","",C494+Parametros!$B$2/24)</f>
        <v/>
      </c>
      <c r="E494" s="24" t="str">
        <f aca="false">IF(A494="","",COUNTIFS(Modulo!$A$2:$A$5001,"&gt;="&amp;C494,Modulo!$A$2:$A$5001,"&lt;"&amp;D494,Modulo!$D$2:$D$5001,Parametros!$B$7))</f>
        <v/>
      </c>
      <c r="F494" s="23" t="str">
        <f aca="false">IF(A494="","",IF(E494=0,"",AVERAGEIFS(Modulo!$B$2:$B$5001,Modulo!$A$2:$A$5001,"&gt;="&amp;C494,Modulo!$A$2:$A$5001,"&lt;"&amp;D494,Modulo!$D$2:$D$5001,Parametros!$B$7)))</f>
        <v/>
      </c>
      <c r="G494" s="23" t="str">
        <f aca="false">IF(A494="","",IF(E494=0,"",AVERAGEIFS(Modulo!$C$2:$C$5001,Modulo!$A$2:$A$5001,"&gt;="&amp;C494,Modulo!$A$2:$A$5001,"&lt;"&amp;D494,Modulo!$D$2:$D$5001,Parametros!$B$7)))</f>
        <v/>
      </c>
      <c r="H494" s="25" t="str">
        <f aca="false">IF(A494="","",IFERROR(COUNTIFS(Amostragem!$A$2:$A$15003,"&gt;="&amp;C494,Amostragem!$A$2:$A$15003,"&lt;"&amp;D494,Amostragem!$B$2:$B$15003,"Automático",Amostragem!$C$2:$C$15003,"Automático",Amostragem!$D$2:$D$15003,0)/COUNTIFS(Amostragem!$A$2:$A$15003,"&gt;="&amp;C494,Amostragem!$A$2:$A$15003,"&lt;"&amp;D494),0))</f>
        <v/>
      </c>
      <c r="I494" s="23" t="str">
        <f aca="false">IF(A494="","",IFERROR(AVERAGEIFS(Amostragem!$E$2:$E$15003,Amostragem!$A$2:$A$15003,"&gt;="&amp;C494,Amostragem!$A$2:$A$15003,"&lt;"&amp;D494),""))</f>
        <v/>
      </c>
      <c r="J494" s="24" t="str">
        <f aca="false">IF(A494="","",IF(B494="","Inválida: sem resultado MES",IF(E494&lt;Parametros!$B$4,"Inválida: poucos ensaios do módulo",IF(H494&lt;Parametros!$B$5,"Inválida: amostragem em manual ou em falha",IF(OR(I494="",I494&lt;Parametros!$B$6),"Inválida: usina parada ou baixa alimentação","Válida")))))</f>
        <v/>
      </c>
      <c r="K494" s="23" t="str">
        <f aca="false">IF(J494="Válida",F494-B494,"")</f>
        <v/>
      </c>
      <c r="L494" s="26" t="str">
        <f aca="false">IF(J494="Válida",K494/B494,"")</f>
        <v/>
      </c>
      <c r="M494" s="23" t="str">
        <f aca="false">IF(J494="Válida",(F494+B494)/2,"")</f>
        <v/>
      </c>
      <c r="N494" s="24" t="str">
        <f aca="false">IF(K494="","",IF(OR(K494&gt;Resumo!$B$16,K494&lt;Resumo!$B$15),"Sim","Não"))</f>
        <v/>
      </c>
      <c r="O494" s="22" t="e">
        <f aca="false">IF(A494="",NA(),A494)</f>
        <v>#N/A</v>
      </c>
      <c r="P494" s="23" t="e">
        <f aca="false">IF(A494="",NA(),B494)</f>
        <v>#N/A</v>
      </c>
      <c r="Q494" s="23" t="e">
        <f aca="false">IF(F494="",NA(),F494)</f>
        <v>#N/A</v>
      </c>
      <c r="R494" s="23" t="e">
        <f aca="false">IF(K494="",NA(),K494)</f>
        <v>#N/A</v>
      </c>
      <c r="S494" s="23" t="e">
        <f aca="false">IF(M494="",NA(),M494)</f>
        <v>#N/A</v>
      </c>
      <c r="T494" s="23" t="str">
        <f aca="false">IF(J494="Válida",B494,"")</f>
        <v/>
      </c>
      <c r="U494" s="23" t="str">
        <f aca="false">IF(J494="Válida",F494,"")</f>
        <v/>
      </c>
    </row>
    <row r="495" customFormat="false" ht="15" hidden="false" customHeight="false" outlineLevel="0" collapsed="false">
      <c r="A495" s="22" t="str">
        <f aca="false">IF(MES!A495="","",MES!A495)</f>
        <v/>
      </c>
      <c r="B495" s="23" t="str">
        <f aca="false">IF(A495="","",MES!B495)</f>
        <v/>
      </c>
      <c r="C495" s="22" t="str">
        <f aca="false">IF(A495="","",A495+Parametros!$B$3/24)</f>
        <v/>
      </c>
      <c r="D495" s="22" t="str">
        <f aca="false">IF(A495="","",C495+Parametros!$B$2/24)</f>
        <v/>
      </c>
      <c r="E495" s="24" t="str">
        <f aca="false">IF(A495="","",COUNTIFS(Modulo!$A$2:$A$5001,"&gt;="&amp;C495,Modulo!$A$2:$A$5001,"&lt;"&amp;D495,Modulo!$D$2:$D$5001,Parametros!$B$7))</f>
        <v/>
      </c>
      <c r="F495" s="23" t="str">
        <f aca="false">IF(A495="","",IF(E495=0,"",AVERAGEIFS(Modulo!$B$2:$B$5001,Modulo!$A$2:$A$5001,"&gt;="&amp;C495,Modulo!$A$2:$A$5001,"&lt;"&amp;D495,Modulo!$D$2:$D$5001,Parametros!$B$7)))</f>
        <v/>
      </c>
      <c r="G495" s="23" t="str">
        <f aca="false">IF(A495="","",IF(E495=0,"",AVERAGEIFS(Modulo!$C$2:$C$5001,Modulo!$A$2:$A$5001,"&gt;="&amp;C495,Modulo!$A$2:$A$5001,"&lt;"&amp;D495,Modulo!$D$2:$D$5001,Parametros!$B$7)))</f>
        <v/>
      </c>
      <c r="H495" s="25" t="str">
        <f aca="false">IF(A495="","",IFERROR(COUNTIFS(Amostragem!$A$2:$A$15003,"&gt;="&amp;C495,Amostragem!$A$2:$A$15003,"&lt;"&amp;D495,Amostragem!$B$2:$B$15003,"Automático",Amostragem!$C$2:$C$15003,"Automático",Amostragem!$D$2:$D$15003,0)/COUNTIFS(Amostragem!$A$2:$A$15003,"&gt;="&amp;C495,Amostragem!$A$2:$A$15003,"&lt;"&amp;D495),0))</f>
        <v/>
      </c>
      <c r="I495" s="23" t="str">
        <f aca="false">IF(A495="","",IFERROR(AVERAGEIFS(Amostragem!$E$2:$E$15003,Amostragem!$A$2:$A$15003,"&gt;="&amp;C495,Amostragem!$A$2:$A$15003,"&lt;"&amp;D495),""))</f>
        <v/>
      </c>
      <c r="J495" s="24" t="str">
        <f aca="false">IF(A495="","",IF(B495="","Inválida: sem resultado MES",IF(E495&lt;Parametros!$B$4,"Inválida: poucos ensaios do módulo",IF(H495&lt;Parametros!$B$5,"Inválida: amostragem em manual ou em falha",IF(OR(I495="",I495&lt;Parametros!$B$6),"Inválida: usina parada ou baixa alimentação","Válida")))))</f>
        <v/>
      </c>
      <c r="K495" s="23" t="str">
        <f aca="false">IF(J495="Válida",F495-B495,"")</f>
        <v/>
      </c>
      <c r="L495" s="26" t="str">
        <f aca="false">IF(J495="Válida",K495/B495,"")</f>
        <v/>
      </c>
      <c r="M495" s="23" t="str">
        <f aca="false">IF(J495="Válida",(F495+B495)/2,"")</f>
        <v/>
      </c>
      <c r="N495" s="24" t="str">
        <f aca="false">IF(K495="","",IF(OR(K495&gt;Resumo!$B$16,K495&lt;Resumo!$B$15),"Sim","Não"))</f>
        <v/>
      </c>
      <c r="O495" s="22" t="e">
        <f aca="false">IF(A495="",NA(),A495)</f>
        <v>#N/A</v>
      </c>
      <c r="P495" s="23" t="e">
        <f aca="false">IF(A495="",NA(),B495)</f>
        <v>#N/A</v>
      </c>
      <c r="Q495" s="23" t="e">
        <f aca="false">IF(F495="",NA(),F495)</f>
        <v>#N/A</v>
      </c>
      <c r="R495" s="23" t="e">
        <f aca="false">IF(K495="",NA(),K495)</f>
        <v>#N/A</v>
      </c>
      <c r="S495" s="23" t="e">
        <f aca="false">IF(M495="",NA(),M495)</f>
        <v>#N/A</v>
      </c>
      <c r="T495" s="23" t="str">
        <f aca="false">IF(J495="Válida",B495,"")</f>
        <v/>
      </c>
      <c r="U495" s="23" t="str">
        <f aca="false">IF(J495="Válida",F495,"")</f>
        <v/>
      </c>
    </row>
    <row r="496" customFormat="false" ht="15" hidden="false" customHeight="false" outlineLevel="0" collapsed="false">
      <c r="A496" s="22" t="str">
        <f aca="false">IF(MES!A496="","",MES!A496)</f>
        <v/>
      </c>
      <c r="B496" s="23" t="str">
        <f aca="false">IF(A496="","",MES!B496)</f>
        <v/>
      </c>
      <c r="C496" s="22" t="str">
        <f aca="false">IF(A496="","",A496+Parametros!$B$3/24)</f>
        <v/>
      </c>
      <c r="D496" s="22" t="str">
        <f aca="false">IF(A496="","",C496+Parametros!$B$2/24)</f>
        <v/>
      </c>
      <c r="E496" s="24" t="str">
        <f aca="false">IF(A496="","",COUNTIFS(Modulo!$A$2:$A$5001,"&gt;="&amp;C496,Modulo!$A$2:$A$5001,"&lt;"&amp;D496,Modulo!$D$2:$D$5001,Parametros!$B$7))</f>
        <v/>
      </c>
      <c r="F496" s="23" t="str">
        <f aca="false">IF(A496="","",IF(E496=0,"",AVERAGEIFS(Modulo!$B$2:$B$5001,Modulo!$A$2:$A$5001,"&gt;="&amp;C496,Modulo!$A$2:$A$5001,"&lt;"&amp;D496,Modulo!$D$2:$D$5001,Parametros!$B$7)))</f>
        <v/>
      </c>
      <c r="G496" s="23" t="str">
        <f aca="false">IF(A496="","",IF(E496=0,"",AVERAGEIFS(Modulo!$C$2:$C$5001,Modulo!$A$2:$A$5001,"&gt;="&amp;C496,Modulo!$A$2:$A$5001,"&lt;"&amp;D496,Modulo!$D$2:$D$5001,Parametros!$B$7)))</f>
        <v/>
      </c>
      <c r="H496" s="25" t="str">
        <f aca="false">IF(A496="","",IFERROR(COUNTIFS(Amostragem!$A$2:$A$15003,"&gt;="&amp;C496,Amostragem!$A$2:$A$15003,"&lt;"&amp;D496,Amostragem!$B$2:$B$15003,"Automático",Amostragem!$C$2:$C$15003,"Automático",Amostragem!$D$2:$D$15003,0)/COUNTIFS(Amostragem!$A$2:$A$15003,"&gt;="&amp;C496,Amostragem!$A$2:$A$15003,"&lt;"&amp;D496),0))</f>
        <v/>
      </c>
      <c r="I496" s="23" t="str">
        <f aca="false">IF(A496="","",IFERROR(AVERAGEIFS(Amostragem!$E$2:$E$15003,Amostragem!$A$2:$A$15003,"&gt;="&amp;C496,Amostragem!$A$2:$A$15003,"&lt;"&amp;D496),""))</f>
        <v/>
      </c>
      <c r="J496" s="24" t="str">
        <f aca="false">IF(A496="","",IF(B496="","Inválida: sem resultado MES",IF(E496&lt;Parametros!$B$4,"Inválida: poucos ensaios do módulo",IF(H496&lt;Parametros!$B$5,"Inválida: amostragem em manual ou em falha",IF(OR(I496="",I496&lt;Parametros!$B$6),"Inválida: usina parada ou baixa alimentação","Válida")))))</f>
        <v/>
      </c>
      <c r="K496" s="23" t="str">
        <f aca="false">IF(J496="Válida",F496-B496,"")</f>
        <v/>
      </c>
      <c r="L496" s="26" t="str">
        <f aca="false">IF(J496="Válida",K496/B496,"")</f>
        <v/>
      </c>
      <c r="M496" s="23" t="str">
        <f aca="false">IF(J496="Válida",(F496+B496)/2,"")</f>
        <v/>
      </c>
      <c r="N496" s="24" t="str">
        <f aca="false">IF(K496="","",IF(OR(K496&gt;Resumo!$B$16,K496&lt;Resumo!$B$15),"Sim","Não"))</f>
        <v/>
      </c>
      <c r="O496" s="22" t="e">
        <f aca="false">IF(A496="",NA(),A496)</f>
        <v>#N/A</v>
      </c>
      <c r="P496" s="23" t="e">
        <f aca="false">IF(A496="",NA(),B496)</f>
        <v>#N/A</v>
      </c>
      <c r="Q496" s="23" t="e">
        <f aca="false">IF(F496="",NA(),F496)</f>
        <v>#N/A</v>
      </c>
      <c r="R496" s="23" t="e">
        <f aca="false">IF(K496="",NA(),K496)</f>
        <v>#N/A</v>
      </c>
      <c r="S496" s="23" t="e">
        <f aca="false">IF(M496="",NA(),M496)</f>
        <v>#N/A</v>
      </c>
      <c r="T496" s="23" t="str">
        <f aca="false">IF(J496="Válida",B496,"")</f>
        <v/>
      </c>
      <c r="U496" s="23" t="str">
        <f aca="false">IF(J496="Válida",F496,"")</f>
        <v/>
      </c>
    </row>
    <row r="497" customFormat="false" ht="15" hidden="false" customHeight="false" outlineLevel="0" collapsed="false">
      <c r="A497" s="22" t="str">
        <f aca="false">IF(MES!A497="","",MES!A497)</f>
        <v/>
      </c>
      <c r="B497" s="23" t="str">
        <f aca="false">IF(A497="","",MES!B497)</f>
        <v/>
      </c>
      <c r="C497" s="22" t="str">
        <f aca="false">IF(A497="","",A497+Parametros!$B$3/24)</f>
        <v/>
      </c>
      <c r="D497" s="22" t="str">
        <f aca="false">IF(A497="","",C497+Parametros!$B$2/24)</f>
        <v/>
      </c>
      <c r="E497" s="24" t="str">
        <f aca="false">IF(A497="","",COUNTIFS(Modulo!$A$2:$A$5001,"&gt;="&amp;C497,Modulo!$A$2:$A$5001,"&lt;"&amp;D497,Modulo!$D$2:$D$5001,Parametros!$B$7))</f>
        <v/>
      </c>
      <c r="F497" s="23" t="str">
        <f aca="false">IF(A497="","",IF(E497=0,"",AVERAGEIFS(Modulo!$B$2:$B$5001,Modulo!$A$2:$A$5001,"&gt;="&amp;C497,Modulo!$A$2:$A$5001,"&lt;"&amp;D497,Modulo!$D$2:$D$5001,Parametros!$B$7)))</f>
        <v/>
      </c>
      <c r="G497" s="23" t="str">
        <f aca="false">IF(A497="","",IF(E497=0,"",AVERAGEIFS(Modulo!$C$2:$C$5001,Modulo!$A$2:$A$5001,"&gt;="&amp;C497,Modulo!$A$2:$A$5001,"&lt;"&amp;D497,Modulo!$D$2:$D$5001,Parametros!$B$7)))</f>
        <v/>
      </c>
      <c r="H497" s="25" t="str">
        <f aca="false">IF(A497="","",IFERROR(COUNTIFS(Amostragem!$A$2:$A$15003,"&gt;="&amp;C497,Amostragem!$A$2:$A$15003,"&lt;"&amp;D497,Amostragem!$B$2:$B$15003,"Automático",Amostragem!$C$2:$C$15003,"Automático",Amostragem!$D$2:$D$15003,0)/COUNTIFS(Amostragem!$A$2:$A$15003,"&gt;="&amp;C497,Amostragem!$A$2:$A$15003,"&lt;"&amp;D497),0))</f>
        <v/>
      </c>
      <c r="I497" s="23" t="str">
        <f aca="false">IF(A497="","",IFERROR(AVERAGEIFS(Amostragem!$E$2:$E$15003,Amostragem!$A$2:$A$15003,"&gt;="&amp;C497,Amostragem!$A$2:$A$15003,"&lt;"&amp;D497),""))</f>
        <v/>
      </c>
      <c r="J497" s="24" t="str">
        <f aca="false">IF(A497="","",IF(B497="","Inválida: sem resultado MES",IF(E497&lt;Parametros!$B$4,"Inválida: poucos ensaios do módulo",IF(H497&lt;Parametros!$B$5,"Inválida: amostragem em manual ou em falha",IF(OR(I497="",I497&lt;Parametros!$B$6),"Inválida: usina parada ou baixa alimentação","Válida")))))</f>
        <v/>
      </c>
      <c r="K497" s="23" t="str">
        <f aca="false">IF(J497="Válida",F497-B497,"")</f>
        <v/>
      </c>
      <c r="L497" s="26" t="str">
        <f aca="false">IF(J497="Válida",K497/B497,"")</f>
        <v/>
      </c>
      <c r="M497" s="23" t="str">
        <f aca="false">IF(J497="Válida",(F497+B497)/2,"")</f>
        <v/>
      </c>
      <c r="N497" s="24" t="str">
        <f aca="false">IF(K497="","",IF(OR(K497&gt;Resumo!$B$16,K497&lt;Resumo!$B$15),"Sim","Não"))</f>
        <v/>
      </c>
      <c r="O497" s="22" t="e">
        <f aca="false">IF(A497="",NA(),A497)</f>
        <v>#N/A</v>
      </c>
      <c r="P497" s="23" t="e">
        <f aca="false">IF(A497="",NA(),B497)</f>
        <v>#N/A</v>
      </c>
      <c r="Q497" s="23" t="e">
        <f aca="false">IF(F497="",NA(),F497)</f>
        <v>#N/A</v>
      </c>
      <c r="R497" s="23" t="e">
        <f aca="false">IF(K497="",NA(),K497)</f>
        <v>#N/A</v>
      </c>
      <c r="S497" s="23" t="e">
        <f aca="false">IF(M497="",NA(),M497)</f>
        <v>#N/A</v>
      </c>
      <c r="T497" s="23" t="str">
        <f aca="false">IF(J497="Válida",B497,"")</f>
        <v/>
      </c>
      <c r="U497" s="23" t="str">
        <f aca="false">IF(J497="Válida",F497,"")</f>
        <v/>
      </c>
    </row>
    <row r="498" customFormat="false" ht="15" hidden="false" customHeight="false" outlineLevel="0" collapsed="false">
      <c r="A498" s="22" t="str">
        <f aca="false">IF(MES!A498="","",MES!A498)</f>
        <v/>
      </c>
      <c r="B498" s="23" t="str">
        <f aca="false">IF(A498="","",MES!B498)</f>
        <v/>
      </c>
      <c r="C498" s="22" t="str">
        <f aca="false">IF(A498="","",A498+Parametros!$B$3/24)</f>
        <v/>
      </c>
      <c r="D498" s="22" t="str">
        <f aca="false">IF(A498="","",C498+Parametros!$B$2/24)</f>
        <v/>
      </c>
      <c r="E498" s="24" t="str">
        <f aca="false">IF(A498="","",COUNTIFS(Modulo!$A$2:$A$5001,"&gt;="&amp;C498,Modulo!$A$2:$A$5001,"&lt;"&amp;D498,Modulo!$D$2:$D$5001,Parametros!$B$7))</f>
        <v/>
      </c>
      <c r="F498" s="23" t="str">
        <f aca="false">IF(A498="","",IF(E498=0,"",AVERAGEIFS(Modulo!$B$2:$B$5001,Modulo!$A$2:$A$5001,"&gt;="&amp;C498,Modulo!$A$2:$A$5001,"&lt;"&amp;D498,Modulo!$D$2:$D$5001,Parametros!$B$7)))</f>
        <v/>
      </c>
      <c r="G498" s="23" t="str">
        <f aca="false">IF(A498="","",IF(E498=0,"",AVERAGEIFS(Modulo!$C$2:$C$5001,Modulo!$A$2:$A$5001,"&gt;="&amp;C498,Modulo!$A$2:$A$5001,"&lt;"&amp;D498,Modulo!$D$2:$D$5001,Parametros!$B$7)))</f>
        <v/>
      </c>
      <c r="H498" s="25" t="str">
        <f aca="false">IF(A498="","",IFERROR(COUNTIFS(Amostragem!$A$2:$A$15003,"&gt;="&amp;C498,Amostragem!$A$2:$A$15003,"&lt;"&amp;D498,Amostragem!$B$2:$B$15003,"Automático",Amostragem!$C$2:$C$15003,"Automático",Amostragem!$D$2:$D$15003,0)/COUNTIFS(Amostragem!$A$2:$A$15003,"&gt;="&amp;C498,Amostragem!$A$2:$A$15003,"&lt;"&amp;D498),0))</f>
        <v/>
      </c>
      <c r="I498" s="23" t="str">
        <f aca="false">IF(A498="","",IFERROR(AVERAGEIFS(Amostragem!$E$2:$E$15003,Amostragem!$A$2:$A$15003,"&gt;="&amp;C498,Amostragem!$A$2:$A$15003,"&lt;"&amp;D498),""))</f>
        <v/>
      </c>
      <c r="J498" s="24" t="str">
        <f aca="false">IF(A498="","",IF(B498="","Inválida: sem resultado MES",IF(E498&lt;Parametros!$B$4,"Inválida: poucos ensaios do módulo",IF(H498&lt;Parametros!$B$5,"Inválida: amostragem em manual ou em falha",IF(OR(I498="",I498&lt;Parametros!$B$6),"Inválida: usina parada ou baixa alimentação","Válida")))))</f>
        <v/>
      </c>
      <c r="K498" s="23" t="str">
        <f aca="false">IF(J498="Válida",F498-B498,"")</f>
        <v/>
      </c>
      <c r="L498" s="26" t="str">
        <f aca="false">IF(J498="Válida",K498/B498,"")</f>
        <v/>
      </c>
      <c r="M498" s="23" t="str">
        <f aca="false">IF(J498="Válida",(F498+B498)/2,"")</f>
        <v/>
      </c>
      <c r="N498" s="24" t="str">
        <f aca="false">IF(K498="","",IF(OR(K498&gt;Resumo!$B$16,K498&lt;Resumo!$B$15),"Sim","Não"))</f>
        <v/>
      </c>
      <c r="O498" s="22" t="e">
        <f aca="false">IF(A498="",NA(),A498)</f>
        <v>#N/A</v>
      </c>
      <c r="P498" s="23" t="e">
        <f aca="false">IF(A498="",NA(),B498)</f>
        <v>#N/A</v>
      </c>
      <c r="Q498" s="23" t="e">
        <f aca="false">IF(F498="",NA(),F498)</f>
        <v>#N/A</v>
      </c>
      <c r="R498" s="23" t="e">
        <f aca="false">IF(K498="",NA(),K498)</f>
        <v>#N/A</v>
      </c>
      <c r="S498" s="23" t="e">
        <f aca="false">IF(M498="",NA(),M498)</f>
        <v>#N/A</v>
      </c>
      <c r="T498" s="23" t="str">
        <f aca="false">IF(J498="Válida",B498,"")</f>
        <v/>
      </c>
      <c r="U498" s="23" t="str">
        <f aca="false">IF(J498="Válida",F498,"")</f>
        <v/>
      </c>
    </row>
    <row r="499" customFormat="false" ht="15" hidden="false" customHeight="false" outlineLevel="0" collapsed="false">
      <c r="A499" s="22" t="str">
        <f aca="false">IF(MES!A499="","",MES!A499)</f>
        <v/>
      </c>
      <c r="B499" s="23" t="str">
        <f aca="false">IF(A499="","",MES!B499)</f>
        <v/>
      </c>
      <c r="C499" s="22" t="str">
        <f aca="false">IF(A499="","",A499+Parametros!$B$3/24)</f>
        <v/>
      </c>
      <c r="D499" s="22" t="str">
        <f aca="false">IF(A499="","",C499+Parametros!$B$2/24)</f>
        <v/>
      </c>
      <c r="E499" s="24" t="str">
        <f aca="false">IF(A499="","",COUNTIFS(Modulo!$A$2:$A$5001,"&gt;="&amp;C499,Modulo!$A$2:$A$5001,"&lt;"&amp;D499,Modulo!$D$2:$D$5001,Parametros!$B$7))</f>
        <v/>
      </c>
      <c r="F499" s="23" t="str">
        <f aca="false">IF(A499="","",IF(E499=0,"",AVERAGEIFS(Modulo!$B$2:$B$5001,Modulo!$A$2:$A$5001,"&gt;="&amp;C499,Modulo!$A$2:$A$5001,"&lt;"&amp;D499,Modulo!$D$2:$D$5001,Parametros!$B$7)))</f>
        <v/>
      </c>
      <c r="G499" s="23" t="str">
        <f aca="false">IF(A499="","",IF(E499=0,"",AVERAGEIFS(Modulo!$C$2:$C$5001,Modulo!$A$2:$A$5001,"&gt;="&amp;C499,Modulo!$A$2:$A$5001,"&lt;"&amp;D499,Modulo!$D$2:$D$5001,Parametros!$B$7)))</f>
        <v/>
      </c>
      <c r="H499" s="25" t="str">
        <f aca="false">IF(A499="","",IFERROR(COUNTIFS(Amostragem!$A$2:$A$15003,"&gt;="&amp;C499,Amostragem!$A$2:$A$15003,"&lt;"&amp;D499,Amostragem!$B$2:$B$15003,"Automático",Amostragem!$C$2:$C$15003,"Automático",Amostragem!$D$2:$D$15003,0)/COUNTIFS(Amostragem!$A$2:$A$15003,"&gt;="&amp;C499,Amostragem!$A$2:$A$15003,"&lt;"&amp;D499),0))</f>
        <v/>
      </c>
      <c r="I499" s="23" t="str">
        <f aca="false">IF(A499="","",IFERROR(AVERAGEIFS(Amostragem!$E$2:$E$15003,Amostragem!$A$2:$A$15003,"&gt;="&amp;C499,Amostragem!$A$2:$A$15003,"&lt;"&amp;D499),""))</f>
        <v/>
      </c>
      <c r="J499" s="24" t="str">
        <f aca="false">IF(A499="","",IF(B499="","Inválida: sem resultado MES",IF(E499&lt;Parametros!$B$4,"Inválida: poucos ensaios do módulo",IF(H499&lt;Parametros!$B$5,"Inválida: amostragem em manual ou em falha",IF(OR(I499="",I499&lt;Parametros!$B$6),"Inválida: usina parada ou baixa alimentação","Válida")))))</f>
        <v/>
      </c>
      <c r="K499" s="23" t="str">
        <f aca="false">IF(J499="Válida",F499-B499,"")</f>
        <v/>
      </c>
      <c r="L499" s="26" t="str">
        <f aca="false">IF(J499="Válida",K499/B499,"")</f>
        <v/>
      </c>
      <c r="M499" s="23" t="str">
        <f aca="false">IF(J499="Válida",(F499+B499)/2,"")</f>
        <v/>
      </c>
      <c r="N499" s="24" t="str">
        <f aca="false">IF(K499="","",IF(OR(K499&gt;Resumo!$B$16,K499&lt;Resumo!$B$15),"Sim","Não"))</f>
        <v/>
      </c>
      <c r="O499" s="22" t="e">
        <f aca="false">IF(A499="",NA(),A499)</f>
        <v>#N/A</v>
      </c>
      <c r="P499" s="23" t="e">
        <f aca="false">IF(A499="",NA(),B499)</f>
        <v>#N/A</v>
      </c>
      <c r="Q499" s="23" t="e">
        <f aca="false">IF(F499="",NA(),F499)</f>
        <v>#N/A</v>
      </c>
      <c r="R499" s="23" t="e">
        <f aca="false">IF(K499="",NA(),K499)</f>
        <v>#N/A</v>
      </c>
      <c r="S499" s="23" t="e">
        <f aca="false">IF(M499="",NA(),M499)</f>
        <v>#N/A</v>
      </c>
      <c r="T499" s="23" t="str">
        <f aca="false">IF(J499="Válida",B499,"")</f>
        <v/>
      </c>
      <c r="U499" s="23" t="str">
        <f aca="false">IF(J499="Válida",F499,"")</f>
        <v/>
      </c>
    </row>
    <row r="500" customFormat="false" ht="15" hidden="false" customHeight="false" outlineLevel="0" collapsed="false">
      <c r="A500" s="22" t="str">
        <f aca="false">IF(MES!A500="","",MES!A500)</f>
        <v/>
      </c>
      <c r="B500" s="23" t="str">
        <f aca="false">IF(A500="","",MES!B500)</f>
        <v/>
      </c>
      <c r="C500" s="22" t="str">
        <f aca="false">IF(A500="","",A500+Parametros!$B$3/24)</f>
        <v/>
      </c>
      <c r="D500" s="22" t="str">
        <f aca="false">IF(A500="","",C500+Parametros!$B$2/24)</f>
        <v/>
      </c>
      <c r="E500" s="24" t="str">
        <f aca="false">IF(A500="","",COUNTIFS(Modulo!$A$2:$A$5001,"&gt;="&amp;C500,Modulo!$A$2:$A$5001,"&lt;"&amp;D500,Modulo!$D$2:$D$5001,Parametros!$B$7))</f>
        <v/>
      </c>
      <c r="F500" s="23" t="str">
        <f aca="false">IF(A500="","",IF(E500=0,"",AVERAGEIFS(Modulo!$B$2:$B$5001,Modulo!$A$2:$A$5001,"&gt;="&amp;C500,Modulo!$A$2:$A$5001,"&lt;"&amp;D500,Modulo!$D$2:$D$5001,Parametros!$B$7)))</f>
        <v/>
      </c>
      <c r="G500" s="23" t="str">
        <f aca="false">IF(A500="","",IF(E500=0,"",AVERAGEIFS(Modulo!$C$2:$C$5001,Modulo!$A$2:$A$5001,"&gt;="&amp;C500,Modulo!$A$2:$A$5001,"&lt;"&amp;D500,Modulo!$D$2:$D$5001,Parametros!$B$7)))</f>
        <v/>
      </c>
      <c r="H500" s="25" t="str">
        <f aca="false">IF(A500="","",IFERROR(COUNTIFS(Amostragem!$A$2:$A$15003,"&gt;="&amp;C500,Amostragem!$A$2:$A$15003,"&lt;"&amp;D500,Amostragem!$B$2:$B$15003,"Automático",Amostragem!$C$2:$C$15003,"Automático",Amostragem!$D$2:$D$15003,0)/COUNTIFS(Amostragem!$A$2:$A$15003,"&gt;="&amp;C500,Amostragem!$A$2:$A$15003,"&lt;"&amp;D500),0))</f>
        <v/>
      </c>
      <c r="I500" s="23" t="str">
        <f aca="false">IF(A500="","",IFERROR(AVERAGEIFS(Amostragem!$E$2:$E$15003,Amostragem!$A$2:$A$15003,"&gt;="&amp;C500,Amostragem!$A$2:$A$15003,"&lt;"&amp;D500),""))</f>
        <v/>
      </c>
      <c r="J500" s="24" t="str">
        <f aca="false">IF(A500="","",IF(B500="","Inválida: sem resultado MES",IF(E500&lt;Parametros!$B$4,"Inválida: poucos ensaios do módulo",IF(H500&lt;Parametros!$B$5,"Inválida: amostragem em manual ou em falha",IF(OR(I500="",I500&lt;Parametros!$B$6),"Inválida: usina parada ou baixa alimentação","Válida")))))</f>
        <v/>
      </c>
      <c r="K500" s="23" t="str">
        <f aca="false">IF(J500="Válida",F500-B500,"")</f>
        <v/>
      </c>
      <c r="L500" s="26" t="str">
        <f aca="false">IF(J500="Válida",K500/B500,"")</f>
        <v/>
      </c>
      <c r="M500" s="23" t="str">
        <f aca="false">IF(J500="Válida",(F500+B500)/2,"")</f>
        <v/>
      </c>
      <c r="N500" s="24" t="str">
        <f aca="false">IF(K500="","",IF(OR(K500&gt;Resumo!$B$16,K500&lt;Resumo!$B$15),"Sim","Não"))</f>
        <v/>
      </c>
      <c r="O500" s="22" t="e">
        <f aca="false">IF(A500="",NA(),A500)</f>
        <v>#N/A</v>
      </c>
      <c r="P500" s="23" t="e">
        <f aca="false">IF(A500="",NA(),B500)</f>
        <v>#N/A</v>
      </c>
      <c r="Q500" s="23" t="e">
        <f aca="false">IF(F500="",NA(),F500)</f>
        <v>#N/A</v>
      </c>
      <c r="R500" s="23" t="e">
        <f aca="false">IF(K500="",NA(),K500)</f>
        <v>#N/A</v>
      </c>
      <c r="S500" s="23" t="e">
        <f aca="false">IF(M500="",NA(),M500)</f>
        <v>#N/A</v>
      </c>
      <c r="T500" s="23" t="str">
        <f aca="false">IF(J500="Válida",B500,"")</f>
        <v/>
      </c>
      <c r="U500" s="23" t="str">
        <f aca="false">IF(J500="Válida",F500,"")</f>
        <v/>
      </c>
    </row>
    <row r="501" customFormat="false" ht="15" hidden="false" customHeight="false" outlineLevel="0" collapsed="false">
      <c r="A501" s="22" t="str">
        <f aca="false">IF(MES!A501="","",MES!A501)</f>
        <v/>
      </c>
      <c r="B501" s="23" t="str">
        <f aca="false">IF(A501="","",MES!B501)</f>
        <v/>
      </c>
      <c r="C501" s="22" t="str">
        <f aca="false">IF(A501="","",A501+Parametros!$B$3/24)</f>
        <v/>
      </c>
      <c r="D501" s="22" t="str">
        <f aca="false">IF(A501="","",C501+Parametros!$B$2/24)</f>
        <v/>
      </c>
      <c r="E501" s="24" t="str">
        <f aca="false">IF(A501="","",COUNTIFS(Modulo!$A$2:$A$5001,"&gt;="&amp;C501,Modulo!$A$2:$A$5001,"&lt;"&amp;D501,Modulo!$D$2:$D$5001,Parametros!$B$7))</f>
        <v/>
      </c>
      <c r="F501" s="23" t="str">
        <f aca="false">IF(A501="","",IF(E501=0,"",AVERAGEIFS(Modulo!$B$2:$B$5001,Modulo!$A$2:$A$5001,"&gt;="&amp;C501,Modulo!$A$2:$A$5001,"&lt;"&amp;D501,Modulo!$D$2:$D$5001,Parametros!$B$7)))</f>
        <v/>
      </c>
      <c r="G501" s="23" t="str">
        <f aca="false">IF(A501="","",IF(E501=0,"",AVERAGEIFS(Modulo!$C$2:$C$5001,Modulo!$A$2:$A$5001,"&gt;="&amp;C501,Modulo!$A$2:$A$5001,"&lt;"&amp;D501,Modulo!$D$2:$D$5001,Parametros!$B$7)))</f>
        <v/>
      </c>
      <c r="H501" s="25" t="str">
        <f aca="false">IF(A501="","",IFERROR(COUNTIFS(Amostragem!$A$2:$A$15003,"&gt;="&amp;C501,Amostragem!$A$2:$A$15003,"&lt;"&amp;D501,Amostragem!$B$2:$B$15003,"Automático",Amostragem!$C$2:$C$15003,"Automático",Amostragem!$D$2:$D$15003,0)/COUNTIFS(Amostragem!$A$2:$A$15003,"&gt;="&amp;C501,Amostragem!$A$2:$A$15003,"&lt;"&amp;D501),0))</f>
        <v/>
      </c>
      <c r="I501" s="23" t="str">
        <f aca="false">IF(A501="","",IFERROR(AVERAGEIFS(Amostragem!$E$2:$E$15003,Amostragem!$A$2:$A$15003,"&gt;="&amp;C501,Amostragem!$A$2:$A$15003,"&lt;"&amp;D501),""))</f>
        <v/>
      </c>
      <c r="J501" s="24" t="str">
        <f aca="false">IF(A501="","",IF(B501="","Inválida: sem resultado MES",IF(E501&lt;Parametros!$B$4,"Inválida: poucos ensaios do módulo",IF(H501&lt;Parametros!$B$5,"Inválida: amostragem em manual ou em falha",IF(OR(I501="",I501&lt;Parametros!$B$6),"Inválida: usina parada ou baixa alimentação","Válida")))))</f>
        <v/>
      </c>
      <c r="K501" s="23" t="str">
        <f aca="false">IF(J501="Válida",F501-B501,"")</f>
        <v/>
      </c>
      <c r="L501" s="26" t="str">
        <f aca="false">IF(J501="Válida",K501/B501,"")</f>
        <v/>
      </c>
      <c r="M501" s="23" t="str">
        <f aca="false">IF(J501="Válida",(F501+B501)/2,"")</f>
        <v/>
      </c>
      <c r="N501" s="24" t="str">
        <f aca="false">IF(K501="","",IF(OR(K501&gt;Resumo!$B$16,K501&lt;Resumo!$B$15),"Sim","Não"))</f>
        <v/>
      </c>
      <c r="O501" s="22" t="e">
        <f aca="false">IF(A501="",NA(),A501)</f>
        <v>#N/A</v>
      </c>
      <c r="P501" s="23" t="e">
        <f aca="false">IF(A501="",NA(),B501)</f>
        <v>#N/A</v>
      </c>
      <c r="Q501" s="23" t="e">
        <f aca="false">IF(F501="",NA(),F501)</f>
        <v>#N/A</v>
      </c>
      <c r="R501" s="23" t="e">
        <f aca="false">IF(K501="",NA(),K501)</f>
        <v>#N/A</v>
      </c>
      <c r="S501" s="23" t="e">
        <f aca="false">IF(M501="",NA(),M501)</f>
        <v>#N/A</v>
      </c>
      <c r="T501" s="23" t="str">
        <f aca="false">IF(J501="Válida",B501,"")</f>
        <v/>
      </c>
      <c r="U501" s="23" t="str">
        <f aca="false">IF(J501="Válida",F501,"")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2026-10-28T16:52:47Z</dcterms:created>
  <dc:creator>openpyxl</dc:creator>
  <dc:description/>
  <dc:language>en-US</dc:language>
  <cp:lastModifiedBy/>
  <dcterms:modified xsi:type="dcterms:W3CDTF">2026-10-28T16:52:49Z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