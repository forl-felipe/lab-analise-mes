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co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</font>
    <font>
      <name val="Arial"/>
      <b val="1"/>
      <color rgb="000000FF"/>
    </font>
    <font>
      <name val="Arial"/>
    </font>
    <font>
      <name val="Arial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263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0" pivotButton="0" quotePrefix="0" xfId="0"/>
    <xf numFmtId="164" fontId="3" fillId="0" borderId="0" pivotButton="0" quotePrefix="0" xfId="0"/>
    <xf numFmtId="0" fontId="4" fillId="3" borderId="0" applyAlignment="1" pivotButton="0" quotePrefix="0" xfId="0">
      <alignment vertical="center" wrapText="1"/>
    </xf>
    <xf numFmtId="2" fontId="3" fillId="0" borderId="0" pivotButton="0" quotePrefix="0" xfId="0"/>
    <xf numFmtId="2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18" customWidth="1" min="3" max="3"/>
    <col width="26" customWidth="1" min="4" max="4"/>
    <col width="22" customWidth="1" min="5" max="5"/>
    <col width="30" customWidth="1" min="6" max="6"/>
    <col width="8" customWidth="1" min="7" max="7"/>
    <col width="8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  <col width="12" customWidth="1" min="14" max="14"/>
  </cols>
  <sheetData>
    <row r="1">
      <c r="A1" s="1" t="inlineStr">
        <is>
          <t>Largura da tela no editor, em unidades. O padrão do Aspen é 50; só altere se a tela tiver outro tamanho.</t>
        </is>
      </c>
      <c r="F1" s="2" t="n">
        <v>50</v>
      </c>
    </row>
    <row r="2">
      <c r="A2" s="3" t="inlineStr">
        <is>
          <t>Fator de conversão (calculado)</t>
        </is>
      </c>
      <c r="F2" s="4">
        <f>F1/50</f>
        <v/>
      </c>
    </row>
    <row r="4">
      <c r="A4" s="5" t="inlineStr">
        <is>
          <t>Nº</t>
        </is>
      </c>
      <c r="B4" s="5" t="inlineStr">
        <is>
          <t>Objeto</t>
        </is>
      </c>
      <c r="C4" s="5" t="inlineStr">
        <is>
          <t>Ferramenta</t>
        </is>
      </c>
      <c r="D4" s="5" t="inlineStr">
        <is>
          <t>Tag</t>
        </is>
      </c>
      <c r="E4" s="5" t="inlineStr">
        <is>
          <t>Mapa</t>
        </is>
      </c>
      <c r="F4" s="5" t="inlineStr">
        <is>
          <t>Atributo</t>
        </is>
      </c>
      <c r="G4" s="5" t="inlineStr">
        <is>
          <t>X (tela 50)</t>
        </is>
      </c>
      <c r="H4" s="5" t="inlineStr">
        <is>
          <t>Y (tela 50)</t>
        </is>
      </c>
      <c r="I4" s="5" t="inlineStr">
        <is>
          <t>Largura (tela 50)</t>
        </is>
      </c>
      <c r="J4" s="5" t="inlineStr">
        <is>
          <t>Altura (tela 50)</t>
        </is>
      </c>
      <c r="K4" s="5" t="inlineStr">
        <is>
          <t>X no editor</t>
        </is>
      </c>
      <c r="L4" s="5" t="inlineStr">
        <is>
          <t>Y no editor</t>
        </is>
      </c>
      <c r="M4" s="5" t="inlineStr">
        <is>
          <t>Largura no editor</t>
        </is>
      </c>
      <c r="N4" s="5" t="inlineStr">
        <is>
          <t>Altura no editor</t>
        </is>
      </c>
    </row>
    <row r="5">
      <c r="A5" s="3" t="inlineStr">
        <is>
          <t>Tela</t>
        </is>
      </c>
      <c r="B5" s="3" t="inlineStr">
        <is>
          <t>Tela inteira (referência)</t>
        </is>
      </c>
      <c r="C5" s="3" t="inlineStr">
        <is>
          <t>-</t>
        </is>
      </c>
      <c r="D5" s="3" t="inlineStr"/>
      <c r="E5" s="3" t="inlineStr"/>
      <c r="F5" s="3" t="inlineStr"/>
      <c r="G5" s="6" t="n">
        <v>0</v>
      </c>
      <c r="H5" s="6" t="n">
        <v>0</v>
      </c>
      <c r="I5" s="6" t="n">
        <v>50</v>
      </c>
      <c r="J5" s="6" t="n">
        <v>35</v>
      </c>
      <c r="K5" s="7">
        <f>ROUND(G5*$F$2,2)</f>
        <v/>
      </c>
      <c r="L5" s="7">
        <f>ROUND(H5*$F$2,2)</f>
        <v/>
      </c>
      <c r="M5" s="7">
        <f>ROUND(I5*$F$2,2)</f>
        <v/>
      </c>
      <c r="N5" s="7">
        <f>ROUND(J5*$F$2,2)</f>
        <v/>
      </c>
    </row>
    <row r="6">
      <c r="A6" s="3" t="n">
        <v>1</v>
      </c>
      <c r="B6" s="3" t="inlineStr">
        <is>
          <t>Ritmo de carregamento: balança principal (t/h)</t>
        </is>
      </c>
      <c r="C6" s="3" t="inlineStr">
        <is>
          <t>Campo de dados</t>
        </is>
      </c>
      <c r="D6" s="3" t="inlineStr">
        <is>
          <t>008-WI-010</t>
        </is>
      </c>
      <c r="E6" s="3" t="inlineStr">
        <is>
          <t>IP_ANALOGMAP</t>
        </is>
      </c>
      <c r="F6" s="3" t="inlineStr">
        <is>
          <t>VAL</t>
        </is>
      </c>
      <c r="G6" s="6" t="n">
        <v>2.31</v>
      </c>
      <c r="H6" s="6" t="n">
        <v>6.75</v>
      </c>
      <c r="I6" s="6" t="n">
        <v>5.94</v>
      </c>
      <c r="J6" s="6" t="n">
        <v>1.88</v>
      </c>
      <c r="K6" s="7">
        <f>ROUND(G6*$F$2,2)</f>
        <v/>
      </c>
      <c r="L6" s="7">
        <f>ROUND(H6*$F$2,2)</f>
        <v/>
      </c>
      <c r="M6" s="7">
        <f>ROUND(I6*$F$2,2)</f>
        <v/>
      </c>
      <c r="N6" s="7">
        <f>ROUND(J6*$F$2,2)</f>
        <v/>
      </c>
    </row>
    <row r="7">
      <c r="A7" s="3" t="n">
        <v>2</v>
      </c>
      <c r="B7" s="3" t="inlineStr">
        <is>
          <t>Ritmo de carregamento: balança redundante (t/h)</t>
        </is>
      </c>
      <c r="C7" s="3" t="inlineStr">
        <is>
          <t>Campo de dados</t>
        </is>
      </c>
      <c r="D7" s="3" t="inlineStr">
        <is>
          <t>008-WI-010_1</t>
        </is>
      </c>
      <c r="E7" s="3" t="inlineStr">
        <is>
          <t>IP_ANALOGMAP</t>
        </is>
      </c>
      <c r="F7" s="3" t="inlineStr">
        <is>
          <t>VAL</t>
        </is>
      </c>
      <c r="G7" s="6" t="n">
        <v>7.31</v>
      </c>
      <c r="H7" s="6" t="n">
        <v>10.16</v>
      </c>
      <c r="I7" s="6" t="n">
        <v>2.81</v>
      </c>
      <c r="J7" s="6" t="n">
        <v>0.8100000000000001</v>
      </c>
      <c r="K7" s="7">
        <f>ROUND(G7*$F$2,2)</f>
        <v/>
      </c>
      <c r="L7" s="7">
        <f>ROUND(H7*$F$2,2)</f>
        <v/>
      </c>
      <c r="M7" s="7">
        <f>ROUND(I7*$F$2,2)</f>
        <v/>
      </c>
      <c r="N7" s="7">
        <f>ROUND(J7*$F$2,2)</f>
        <v/>
      </c>
    </row>
    <row r="8">
      <c r="A8" s="3" t="n">
        <v>3</v>
      </c>
      <c r="B8" s="3" t="inlineStr">
        <is>
          <t>Berço Oeste: total carregado (t)</t>
        </is>
      </c>
      <c r="C8" s="3" t="inlineStr">
        <is>
          <t>Campo de dados</t>
        </is>
      </c>
      <c r="D8" s="3" t="inlineStr">
        <is>
          <t>309-WIT-004.TOT_NAV_OE</t>
        </is>
      </c>
      <c r="E8" s="3" t="inlineStr">
        <is>
          <t>IP_ANALOGMAP</t>
        </is>
      </c>
      <c r="F8" s="3" t="inlineStr">
        <is>
          <t>VAL</t>
        </is>
      </c>
      <c r="G8" s="6" t="n">
        <v>13.11</v>
      </c>
      <c r="H8" s="6" t="n">
        <v>6.75</v>
      </c>
      <c r="I8" s="6" t="n">
        <v>5.94</v>
      </c>
      <c r="J8" s="6" t="n">
        <v>1.88</v>
      </c>
      <c r="K8" s="7">
        <f>ROUND(G8*$F$2,2)</f>
        <v/>
      </c>
      <c r="L8" s="7">
        <f>ROUND(H8*$F$2,2)</f>
        <v/>
      </c>
      <c r="M8" s="7">
        <f>ROUND(I8*$F$2,2)</f>
        <v/>
      </c>
      <c r="N8" s="7">
        <f>ROUND(J8*$F$2,2)</f>
        <v/>
      </c>
    </row>
    <row r="9">
      <c r="A9" s="3" t="n">
        <v>4</v>
      </c>
      <c r="B9" s="3" t="inlineStr">
        <is>
          <t>Berço Oeste: porão P1 (t)</t>
        </is>
      </c>
      <c r="C9" s="3" t="inlineStr">
        <is>
          <t>Campo de dados</t>
        </is>
      </c>
      <c r="D9" s="3" t="inlineStr">
        <is>
          <t>309-WIT-004.TOT_POR_OE1</t>
        </is>
      </c>
      <c r="E9" s="3" t="inlineStr">
        <is>
          <t>IP_ANALOGMAP</t>
        </is>
      </c>
      <c r="F9" s="3" t="inlineStr">
        <is>
          <t>VAL</t>
        </is>
      </c>
      <c r="G9" s="6" t="n">
        <v>13.36</v>
      </c>
      <c r="H9" s="6" t="n">
        <v>9.56</v>
      </c>
      <c r="I9" s="6" t="n">
        <v>2.55</v>
      </c>
      <c r="J9" s="6" t="n">
        <v>0.75</v>
      </c>
      <c r="K9" s="7">
        <f>ROUND(G9*$F$2,2)</f>
        <v/>
      </c>
      <c r="L9" s="7">
        <f>ROUND(H9*$F$2,2)</f>
        <v/>
      </c>
      <c r="M9" s="7">
        <f>ROUND(I9*$F$2,2)</f>
        <v/>
      </c>
      <c r="N9" s="7">
        <f>ROUND(J9*$F$2,2)</f>
        <v/>
      </c>
    </row>
    <row r="10">
      <c r="A10" s="3" t="n">
        <v>5</v>
      </c>
      <c r="B10" s="3" t="inlineStr">
        <is>
          <t>Berço Oeste: porão P2 (t)</t>
        </is>
      </c>
      <c r="C10" s="3" t="inlineStr">
        <is>
          <t>Campo de dados</t>
        </is>
      </c>
      <c r="D10" s="3" t="inlineStr">
        <is>
          <t>309-WIT-004.TOT_POR_OE2</t>
        </is>
      </c>
      <c r="E10" s="3" t="inlineStr">
        <is>
          <t>IP_ANALOGMAP</t>
        </is>
      </c>
      <c r="F10" s="3" t="inlineStr">
        <is>
          <t>VAL</t>
        </is>
      </c>
      <c r="G10" s="6" t="n">
        <v>16.6</v>
      </c>
      <c r="H10" s="6" t="n">
        <v>9.56</v>
      </c>
      <c r="I10" s="6" t="n">
        <v>2.55</v>
      </c>
      <c r="J10" s="6" t="n">
        <v>0.75</v>
      </c>
      <c r="K10" s="7">
        <f>ROUND(G10*$F$2,2)</f>
        <v/>
      </c>
      <c r="L10" s="7">
        <f>ROUND(H10*$F$2,2)</f>
        <v/>
      </c>
      <c r="M10" s="7">
        <f>ROUND(I10*$F$2,2)</f>
        <v/>
      </c>
      <c r="N10" s="7">
        <f>ROUND(J10*$F$2,2)</f>
        <v/>
      </c>
    </row>
    <row r="11">
      <c r="A11" s="3" t="n">
        <v>6</v>
      </c>
      <c r="B11" s="3" t="inlineStr">
        <is>
          <t>Berço Oeste: porão P3 (t)</t>
        </is>
      </c>
      <c r="C11" s="3" t="inlineStr">
        <is>
          <t>Campo de dados</t>
        </is>
      </c>
      <c r="D11" s="3" t="inlineStr">
        <is>
          <t>309-WIT-004.TOT_POR_OE3</t>
        </is>
      </c>
      <c r="E11" s="3" t="inlineStr">
        <is>
          <t>IP_ANALOGMAP</t>
        </is>
      </c>
      <c r="F11" s="3" t="inlineStr">
        <is>
          <t>VAL</t>
        </is>
      </c>
      <c r="G11" s="6" t="n">
        <v>19.83</v>
      </c>
      <c r="H11" s="6" t="n">
        <v>9.56</v>
      </c>
      <c r="I11" s="6" t="n">
        <v>2.55</v>
      </c>
      <c r="J11" s="6" t="n">
        <v>0.75</v>
      </c>
      <c r="K11" s="7">
        <f>ROUND(G11*$F$2,2)</f>
        <v/>
      </c>
      <c r="L11" s="7">
        <f>ROUND(H11*$F$2,2)</f>
        <v/>
      </c>
      <c r="M11" s="7">
        <f>ROUND(I11*$F$2,2)</f>
        <v/>
      </c>
      <c r="N11" s="7">
        <f>ROUND(J11*$F$2,2)</f>
        <v/>
      </c>
    </row>
    <row r="12">
      <c r="A12" s="3" t="n">
        <v>7</v>
      </c>
      <c r="B12" s="3" t="inlineStr">
        <is>
          <t>Berço Oeste: porão P4 (t)</t>
        </is>
      </c>
      <c r="C12" s="3" t="inlineStr">
        <is>
          <t>Campo de dados</t>
        </is>
      </c>
      <c r="D12" s="3" t="inlineStr">
        <is>
          <t>309-WIT-004.TOT_POR_OE4</t>
        </is>
      </c>
      <c r="E12" s="3" t="inlineStr">
        <is>
          <t>IP_ANALOGMAP</t>
        </is>
      </c>
      <c r="F12" s="3" t="inlineStr">
        <is>
          <t>VAL</t>
        </is>
      </c>
      <c r="G12" s="6" t="n">
        <v>23.07</v>
      </c>
      <c r="H12" s="6" t="n">
        <v>9.56</v>
      </c>
      <c r="I12" s="6" t="n">
        <v>2.55</v>
      </c>
      <c r="J12" s="6" t="n">
        <v>0.75</v>
      </c>
      <c r="K12" s="7">
        <f>ROUND(G12*$F$2,2)</f>
        <v/>
      </c>
      <c r="L12" s="7">
        <f>ROUND(H12*$F$2,2)</f>
        <v/>
      </c>
      <c r="M12" s="7">
        <f>ROUND(I12*$F$2,2)</f>
        <v/>
      </c>
      <c r="N12" s="7">
        <f>ROUND(J12*$F$2,2)</f>
        <v/>
      </c>
    </row>
    <row r="13">
      <c r="A13" s="3" t="n">
        <v>8</v>
      </c>
      <c r="B13" s="3" t="inlineStr">
        <is>
          <t>Berço Oeste: porão P5 (t)</t>
        </is>
      </c>
      <c r="C13" s="3" t="inlineStr">
        <is>
          <t>Campo de dados</t>
        </is>
      </c>
      <c r="D13" s="3" t="inlineStr">
        <is>
          <t>309-WIT-004.TOT_POR_OE5</t>
        </is>
      </c>
      <c r="E13" s="3" t="inlineStr">
        <is>
          <t>IP_ANALOGMAP</t>
        </is>
      </c>
      <c r="F13" s="3" t="inlineStr">
        <is>
          <t>VAL</t>
        </is>
      </c>
      <c r="G13" s="6" t="n">
        <v>26.3</v>
      </c>
      <c r="H13" s="6" t="n">
        <v>9.56</v>
      </c>
      <c r="I13" s="6" t="n">
        <v>2.55</v>
      </c>
      <c r="J13" s="6" t="n">
        <v>0.75</v>
      </c>
      <c r="K13" s="7">
        <f>ROUND(G13*$F$2,2)</f>
        <v/>
      </c>
      <c r="L13" s="7">
        <f>ROUND(H13*$F$2,2)</f>
        <v/>
      </c>
      <c r="M13" s="7">
        <f>ROUND(I13*$F$2,2)</f>
        <v/>
      </c>
      <c r="N13" s="7">
        <f>ROUND(J13*$F$2,2)</f>
        <v/>
      </c>
    </row>
    <row r="14">
      <c r="A14" s="3" t="n">
        <v>9</v>
      </c>
      <c r="B14" s="3" t="inlineStr">
        <is>
          <t>Berço Oeste: porão P6 (t)</t>
        </is>
      </c>
      <c r="C14" s="3" t="inlineStr">
        <is>
          <t>Campo de dados</t>
        </is>
      </c>
      <c r="D14" s="3" t="inlineStr">
        <is>
          <t>309-WIT-004.TOT_POR_OE6</t>
        </is>
      </c>
      <c r="E14" s="3" t="inlineStr">
        <is>
          <t>IP_ANALOGMAP</t>
        </is>
      </c>
      <c r="F14" s="3" t="inlineStr">
        <is>
          <t>VAL</t>
        </is>
      </c>
      <c r="G14" s="6" t="n">
        <v>29.54</v>
      </c>
      <c r="H14" s="6" t="n">
        <v>9.56</v>
      </c>
      <c r="I14" s="6" t="n">
        <v>2.55</v>
      </c>
      <c r="J14" s="6" t="n">
        <v>0.75</v>
      </c>
      <c r="K14" s="7">
        <f>ROUND(G14*$F$2,2)</f>
        <v/>
      </c>
      <c r="L14" s="7">
        <f>ROUND(H14*$F$2,2)</f>
        <v/>
      </c>
      <c r="M14" s="7">
        <f>ROUND(I14*$F$2,2)</f>
        <v/>
      </c>
      <c r="N14" s="7">
        <f>ROUND(J14*$F$2,2)</f>
        <v/>
      </c>
    </row>
    <row r="15">
      <c r="A15" s="3" t="n">
        <v>10</v>
      </c>
      <c r="B15" s="3" t="inlineStr">
        <is>
          <t>Berço Oeste: porão P7 (t)</t>
        </is>
      </c>
      <c r="C15" s="3" t="inlineStr">
        <is>
          <t>Campo de dados</t>
        </is>
      </c>
      <c r="D15" s="3" t="inlineStr">
        <is>
          <t>309-WIT-004.TOT_POR_OE7</t>
        </is>
      </c>
      <c r="E15" s="3" t="inlineStr">
        <is>
          <t>IP_ANALOGMAP</t>
        </is>
      </c>
      <c r="F15" s="3" t="inlineStr">
        <is>
          <t>VAL</t>
        </is>
      </c>
      <c r="G15" s="6" t="n">
        <v>13.36</v>
      </c>
      <c r="H15" s="6" t="n">
        <v>11.25</v>
      </c>
      <c r="I15" s="6" t="n">
        <v>2.55</v>
      </c>
      <c r="J15" s="6" t="n">
        <v>0.75</v>
      </c>
      <c r="K15" s="7">
        <f>ROUND(G15*$F$2,2)</f>
        <v/>
      </c>
      <c r="L15" s="7">
        <f>ROUND(H15*$F$2,2)</f>
        <v/>
      </c>
      <c r="M15" s="7">
        <f>ROUND(I15*$F$2,2)</f>
        <v/>
      </c>
      <c r="N15" s="7">
        <f>ROUND(J15*$F$2,2)</f>
        <v/>
      </c>
    </row>
    <row r="16">
      <c r="A16" s="3" t="n">
        <v>11</v>
      </c>
      <c r="B16" s="3" t="inlineStr">
        <is>
          <t>Berço Oeste: porão P8 (t)</t>
        </is>
      </c>
      <c r="C16" s="3" t="inlineStr">
        <is>
          <t>Campo de dados</t>
        </is>
      </c>
      <c r="D16" s="3" t="inlineStr">
        <is>
          <t>309-WIT-004.TOT_POR_OE8</t>
        </is>
      </c>
      <c r="E16" s="3" t="inlineStr">
        <is>
          <t>IP_ANALOGMAP</t>
        </is>
      </c>
      <c r="F16" s="3" t="inlineStr">
        <is>
          <t>VAL</t>
        </is>
      </c>
      <c r="G16" s="6" t="n">
        <v>16.6</v>
      </c>
      <c r="H16" s="6" t="n">
        <v>11.25</v>
      </c>
      <c r="I16" s="6" t="n">
        <v>2.55</v>
      </c>
      <c r="J16" s="6" t="n">
        <v>0.75</v>
      </c>
      <c r="K16" s="7">
        <f>ROUND(G16*$F$2,2)</f>
        <v/>
      </c>
      <c r="L16" s="7">
        <f>ROUND(H16*$F$2,2)</f>
        <v/>
      </c>
      <c r="M16" s="7">
        <f>ROUND(I16*$F$2,2)</f>
        <v/>
      </c>
      <c r="N16" s="7">
        <f>ROUND(J16*$F$2,2)</f>
        <v/>
      </c>
    </row>
    <row r="17">
      <c r="A17" s="3" t="n">
        <v>12</v>
      </c>
      <c r="B17" s="3" t="inlineStr">
        <is>
          <t>Berço Oeste: porão P9 (t)</t>
        </is>
      </c>
      <c r="C17" s="3" t="inlineStr">
        <is>
          <t>Campo de dados</t>
        </is>
      </c>
      <c r="D17" s="3" t="inlineStr">
        <is>
          <t>309-WIT-004.TOT_POR_OE9</t>
        </is>
      </c>
      <c r="E17" s="3" t="inlineStr">
        <is>
          <t>IP_ANALOGMAP</t>
        </is>
      </c>
      <c r="F17" s="3" t="inlineStr">
        <is>
          <t>VAL</t>
        </is>
      </c>
      <c r="G17" s="6" t="n">
        <v>19.83</v>
      </c>
      <c r="H17" s="6" t="n">
        <v>11.25</v>
      </c>
      <c r="I17" s="6" t="n">
        <v>2.55</v>
      </c>
      <c r="J17" s="6" t="n">
        <v>0.75</v>
      </c>
      <c r="K17" s="7">
        <f>ROUND(G17*$F$2,2)</f>
        <v/>
      </c>
      <c r="L17" s="7">
        <f>ROUND(H17*$F$2,2)</f>
        <v/>
      </c>
      <c r="M17" s="7">
        <f>ROUND(I17*$F$2,2)</f>
        <v/>
      </c>
      <c r="N17" s="7">
        <f>ROUND(J17*$F$2,2)</f>
        <v/>
      </c>
    </row>
    <row r="18">
      <c r="A18" s="3" t="n">
        <v>13</v>
      </c>
      <c r="B18" s="3" t="inlineStr">
        <is>
          <t>Berço Oeste: porão P10 (t)</t>
        </is>
      </c>
      <c r="C18" s="3" t="inlineStr">
        <is>
          <t>Campo de dados</t>
        </is>
      </c>
      <c r="D18" s="3" t="inlineStr">
        <is>
          <t>309-WIT-004.TOT_POR_OE10</t>
        </is>
      </c>
      <c r="E18" s="3" t="inlineStr">
        <is>
          <t>IP_ANALOGMAP</t>
        </is>
      </c>
      <c r="F18" s="3" t="inlineStr">
        <is>
          <t>VAL</t>
        </is>
      </c>
      <c r="G18" s="6" t="n">
        <v>23.07</v>
      </c>
      <c r="H18" s="6" t="n">
        <v>11.25</v>
      </c>
      <c r="I18" s="6" t="n">
        <v>2.55</v>
      </c>
      <c r="J18" s="6" t="n">
        <v>0.75</v>
      </c>
      <c r="K18" s="7">
        <f>ROUND(G18*$F$2,2)</f>
        <v/>
      </c>
      <c r="L18" s="7">
        <f>ROUND(H18*$F$2,2)</f>
        <v/>
      </c>
      <c r="M18" s="7">
        <f>ROUND(I18*$F$2,2)</f>
        <v/>
      </c>
      <c r="N18" s="7">
        <f>ROUND(J18*$F$2,2)</f>
        <v/>
      </c>
    </row>
    <row r="19">
      <c r="A19" s="3" t="n">
        <v>14</v>
      </c>
      <c r="B19" s="3" t="inlineStr">
        <is>
          <t>Berço Oeste: porão P11 (t)</t>
        </is>
      </c>
      <c r="C19" s="3" t="inlineStr">
        <is>
          <t>Campo de dados</t>
        </is>
      </c>
      <c r="D19" s="3" t="inlineStr">
        <is>
          <t>309-WIT-004.TOT_POR_OE11</t>
        </is>
      </c>
      <c r="E19" s="3" t="inlineStr">
        <is>
          <t>IP_ANALOGMAP</t>
        </is>
      </c>
      <c r="F19" s="3" t="inlineStr">
        <is>
          <t>VAL</t>
        </is>
      </c>
      <c r="G19" s="6" t="n">
        <v>26.3</v>
      </c>
      <c r="H19" s="6" t="n">
        <v>11.25</v>
      </c>
      <c r="I19" s="6" t="n">
        <v>2.55</v>
      </c>
      <c r="J19" s="6" t="n">
        <v>0.75</v>
      </c>
      <c r="K19" s="7">
        <f>ROUND(G19*$F$2,2)</f>
        <v/>
      </c>
      <c r="L19" s="7">
        <f>ROUND(H19*$F$2,2)</f>
        <v/>
      </c>
      <c r="M19" s="7">
        <f>ROUND(I19*$F$2,2)</f>
        <v/>
      </c>
      <c r="N19" s="7">
        <f>ROUND(J19*$F$2,2)</f>
        <v/>
      </c>
    </row>
    <row r="20">
      <c r="A20" s="3" t="n">
        <v>15</v>
      </c>
      <c r="B20" s="3" t="inlineStr">
        <is>
          <t>Berço Leste: total carregado (t)</t>
        </is>
      </c>
      <c r="C20" s="3" t="inlineStr">
        <is>
          <t>Campo de dados</t>
        </is>
      </c>
      <c r="D20" s="3" t="inlineStr">
        <is>
          <t>309-WIT-004.TOT_NAV_LE</t>
        </is>
      </c>
      <c r="E20" s="3" t="inlineStr">
        <is>
          <t>IP_ANALOGMAP</t>
        </is>
      </c>
      <c r="F20" s="3" t="inlineStr">
        <is>
          <t>VAL</t>
        </is>
      </c>
      <c r="G20" s="6" t="n">
        <v>33.9</v>
      </c>
      <c r="H20" s="6" t="n">
        <v>6.75</v>
      </c>
      <c r="I20" s="6" t="n">
        <v>5.94</v>
      </c>
      <c r="J20" s="6" t="n">
        <v>1.88</v>
      </c>
      <c r="K20" s="7">
        <f>ROUND(G20*$F$2,2)</f>
        <v/>
      </c>
      <c r="L20" s="7">
        <f>ROUND(H20*$F$2,2)</f>
        <v/>
      </c>
      <c r="M20" s="7">
        <f>ROUND(I20*$F$2,2)</f>
        <v/>
      </c>
      <c r="N20" s="7">
        <f>ROUND(J20*$F$2,2)</f>
        <v/>
      </c>
    </row>
    <row r="21">
      <c r="A21" s="3" t="n">
        <v>16</v>
      </c>
      <c r="B21" s="3" t="inlineStr">
        <is>
          <t>Berço Leste: porão P1 (t)</t>
        </is>
      </c>
      <c r="C21" s="3" t="inlineStr">
        <is>
          <t>Campo de dados</t>
        </is>
      </c>
      <c r="D21" s="3" t="inlineStr">
        <is>
          <t>309-WIT-004.TOT_POR_LE01</t>
        </is>
      </c>
      <c r="E21" s="3" t="inlineStr">
        <is>
          <t>IP_ANALOGMAP</t>
        </is>
      </c>
      <c r="F21" s="3" t="inlineStr">
        <is>
          <t>VAL</t>
        </is>
      </c>
      <c r="G21" s="6" t="n">
        <v>34.15</v>
      </c>
      <c r="H21" s="6" t="n">
        <v>9.56</v>
      </c>
      <c r="I21" s="6" t="n">
        <v>2.81</v>
      </c>
      <c r="J21" s="6" t="n">
        <v>0.75</v>
      </c>
      <c r="K21" s="7">
        <f>ROUND(G21*$F$2,2)</f>
        <v/>
      </c>
      <c r="L21" s="7">
        <f>ROUND(H21*$F$2,2)</f>
        <v/>
      </c>
      <c r="M21" s="7">
        <f>ROUND(I21*$F$2,2)</f>
        <v/>
      </c>
      <c r="N21" s="7">
        <f>ROUND(J21*$F$2,2)</f>
        <v/>
      </c>
    </row>
    <row r="22">
      <c r="A22" s="3" t="n">
        <v>17</v>
      </c>
      <c r="B22" s="3" t="inlineStr">
        <is>
          <t>Berço Leste: porão P2 (t)</t>
        </is>
      </c>
      <c r="C22" s="3" t="inlineStr">
        <is>
          <t>Campo de dados</t>
        </is>
      </c>
      <c r="D22" s="3" t="inlineStr">
        <is>
          <t>309-WIT-004.TOT_POR_LE02</t>
        </is>
      </c>
      <c r="E22" s="3" t="inlineStr">
        <is>
          <t>IP_ANALOGMAP</t>
        </is>
      </c>
      <c r="F22" s="3" t="inlineStr">
        <is>
          <t>VAL</t>
        </is>
      </c>
      <c r="G22" s="6" t="n">
        <v>37.64</v>
      </c>
      <c r="H22" s="6" t="n">
        <v>9.56</v>
      </c>
      <c r="I22" s="6" t="n">
        <v>2.81</v>
      </c>
      <c r="J22" s="6" t="n">
        <v>0.75</v>
      </c>
      <c r="K22" s="7">
        <f>ROUND(G22*$F$2,2)</f>
        <v/>
      </c>
      <c r="L22" s="7">
        <f>ROUND(H22*$F$2,2)</f>
        <v/>
      </c>
      <c r="M22" s="7">
        <f>ROUND(I22*$F$2,2)</f>
        <v/>
      </c>
      <c r="N22" s="7">
        <f>ROUND(J22*$F$2,2)</f>
        <v/>
      </c>
    </row>
    <row r="23">
      <c r="A23" s="3" t="n">
        <v>18</v>
      </c>
      <c r="B23" s="3" t="inlineStr">
        <is>
          <t>Berço Leste: porão P3 (t)</t>
        </is>
      </c>
      <c r="C23" s="3" t="inlineStr">
        <is>
          <t>Campo de dados</t>
        </is>
      </c>
      <c r="D23" s="3" t="inlineStr">
        <is>
          <t>309-WIT-004.TOT_POR_LE03</t>
        </is>
      </c>
      <c r="E23" s="3" t="inlineStr">
        <is>
          <t>IP_ANALOGMAP</t>
        </is>
      </c>
      <c r="F23" s="3" t="inlineStr">
        <is>
          <t>VAL</t>
        </is>
      </c>
      <c r="G23" s="6" t="n">
        <v>41.14</v>
      </c>
      <c r="H23" s="6" t="n">
        <v>9.56</v>
      </c>
      <c r="I23" s="6" t="n">
        <v>2.81</v>
      </c>
      <c r="J23" s="6" t="n">
        <v>0.75</v>
      </c>
      <c r="K23" s="7">
        <f>ROUND(G23*$F$2,2)</f>
        <v/>
      </c>
      <c r="L23" s="7">
        <f>ROUND(H23*$F$2,2)</f>
        <v/>
      </c>
      <c r="M23" s="7">
        <f>ROUND(I23*$F$2,2)</f>
        <v/>
      </c>
      <c r="N23" s="7">
        <f>ROUND(J23*$F$2,2)</f>
        <v/>
      </c>
    </row>
    <row r="24">
      <c r="A24" s="3" t="n">
        <v>19</v>
      </c>
      <c r="B24" s="3" t="inlineStr">
        <is>
          <t>Berço Leste: porão P4 (t)</t>
        </is>
      </c>
      <c r="C24" s="3" t="inlineStr">
        <is>
          <t>Campo de dados</t>
        </is>
      </c>
      <c r="D24" s="3" t="inlineStr">
        <is>
          <t>309-WIT-004.TOT_POR_LE04</t>
        </is>
      </c>
      <c r="E24" s="3" t="inlineStr">
        <is>
          <t>IP_ANALOGMAP</t>
        </is>
      </c>
      <c r="F24" s="3" t="inlineStr">
        <is>
          <t>VAL</t>
        </is>
      </c>
      <c r="G24" s="6" t="n">
        <v>44.63</v>
      </c>
      <c r="H24" s="6" t="n">
        <v>9.56</v>
      </c>
      <c r="I24" s="6" t="n">
        <v>2.81</v>
      </c>
      <c r="J24" s="6" t="n">
        <v>0.75</v>
      </c>
      <c r="K24" s="7">
        <f>ROUND(G24*$F$2,2)</f>
        <v/>
      </c>
      <c r="L24" s="7">
        <f>ROUND(H24*$F$2,2)</f>
        <v/>
      </c>
      <c r="M24" s="7">
        <f>ROUND(I24*$F$2,2)</f>
        <v/>
      </c>
      <c r="N24" s="7">
        <f>ROUND(J24*$F$2,2)</f>
        <v/>
      </c>
    </row>
    <row r="25">
      <c r="A25" s="3" t="n">
        <v>20</v>
      </c>
      <c r="B25" s="3" t="inlineStr">
        <is>
          <t>Berço Leste: porão P5 (t)</t>
        </is>
      </c>
      <c r="C25" s="3" t="inlineStr">
        <is>
          <t>Campo de dados</t>
        </is>
      </c>
      <c r="D25" s="3" t="inlineStr">
        <is>
          <t>309-WIT-004.TOT_POR_LE05</t>
        </is>
      </c>
      <c r="E25" s="3" t="inlineStr">
        <is>
          <t>IP_ANALOGMAP</t>
        </is>
      </c>
      <c r="F25" s="3" t="inlineStr">
        <is>
          <t>VAL</t>
        </is>
      </c>
      <c r="G25" s="6" t="n">
        <v>34.15</v>
      </c>
      <c r="H25" s="6" t="n">
        <v>11.25</v>
      </c>
      <c r="I25" s="6" t="n">
        <v>2.81</v>
      </c>
      <c r="J25" s="6" t="n">
        <v>0.75</v>
      </c>
      <c r="K25" s="7">
        <f>ROUND(G25*$F$2,2)</f>
        <v/>
      </c>
      <c r="L25" s="7">
        <f>ROUND(H25*$F$2,2)</f>
        <v/>
      </c>
      <c r="M25" s="7">
        <f>ROUND(I25*$F$2,2)</f>
        <v/>
      </c>
      <c r="N25" s="7">
        <f>ROUND(J25*$F$2,2)</f>
        <v/>
      </c>
    </row>
    <row r="26">
      <c r="A26" s="3" t="n">
        <v>21</v>
      </c>
      <c r="B26" s="3" t="inlineStr">
        <is>
          <t>Berço Leste: porão P6 (t)</t>
        </is>
      </c>
      <c r="C26" s="3" t="inlineStr">
        <is>
          <t>Campo de dados</t>
        </is>
      </c>
      <c r="D26" s="3" t="inlineStr">
        <is>
          <t>309-WIT-004.TOT_POR_LE06</t>
        </is>
      </c>
      <c r="E26" s="3" t="inlineStr">
        <is>
          <t>IP_ANALOGMAP</t>
        </is>
      </c>
      <c r="F26" s="3" t="inlineStr">
        <is>
          <t>VAL</t>
        </is>
      </c>
      <c r="G26" s="6" t="n">
        <v>37.64</v>
      </c>
      <c r="H26" s="6" t="n">
        <v>11.25</v>
      </c>
      <c r="I26" s="6" t="n">
        <v>2.81</v>
      </c>
      <c r="J26" s="6" t="n">
        <v>0.75</v>
      </c>
      <c r="K26" s="7">
        <f>ROUND(G26*$F$2,2)</f>
        <v/>
      </c>
      <c r="L26" s="7">
        <f>ROUND(H26*$F$2,2)</f>
        <v/>
      </c>
      <c r="M26" s="7">
        <f>ROUND(I26*$F$2,2)</f>
        <v/>
      </c>
      <c r="N26" s="7">
        <f>ROUND(J26*$F$2,2)</f>
        <v/>
      </c>
    </row>
    <row r="27">
      <c r="A27" s="3" t="n">
        <v>22</v>
      </c>
      <c r="B27" s="3" t="inlineStr">
        <is>
          <t>Berço Leste: porão P7 (t)</t>
        </is>
      </c>
      <c r="C27" s="3" t="inlineStr">
        <is>
          <t>Campo de dados</t>
        </is>
      </c>
      <c r="D27" s="3" t="inlineStr">
        <is>
          <t>309-WIT-004.TOT_POR_LE07</t>
        </is>
      </c>
      <c r="E27" s="3" t="inlineStr">
        <is>
          <t>IP_ANALOGMAP</t>
        </is>
      </c>
      <c r="F27" s="3" t="inlineStr">
        <is>
          <t>VAL</t>
        </is>
      </c>
      <c r="G27" s="6" t="n">
        <v>41.14</v>
      </c>
      <c r="H27" s="6" t="n">
        <v>11.25</v>
      </c>
      <c r="I27" s="6" t="n">
        <v>2.81</v>
      </c>
      <c r="J27" s="6" t="n">
        <v>0.75</v>
      </c>
      <c r="K27" s="7">
        <f>ROUND(G27*$F$2,2)</f>
        <v/>
      </c>
      <c r="L27" s="7">
        <f>ROUND(H27*$F$2,2)</f>
        <v/>
      </c>
      <c r="M27" s="7">
        <f>ROUND(I27*$F$2,2)</f>
        <v/>
      </c>
      <c r="N27" s="7">
        <f>ROUND(J27*$F$2,2)</f>
        <v/>
      </c>
    </row>
    <row r="28">
      <c r="A28" s="3" t="n">
        <v>23</v>
      </c>
      <c r="B28" s="3" t="inlineStr">
        <is>
          <t>Físico: último resultado</t>
        </is>
      </c>
      <c r="C28" s="3" t="inlineStr">
        <is>
          <t>Campo de dados</t>
        </is>
      </c>
      <c r="D28" s="3" t="inlineStr">
        <is>
          <t>M0620010000-0031-TNLFU</t>
        </is>
      </c>
      <c r="E28" s="3" t="inlineStr">
        <is>
          <t>IP_MESVALOR</t>
        </is>
      </c>
      <c r="F28" s="3" t="inlineStr">
        <is>
          <t>`VAL` no arquivo: trocar pelo atributo de data e hora (Parte B)</t>
        </is>
      </c>
      <c r="G28" s="6" t="n">
        <v>43.06</v>
      </c>
      <c r="H28" s="6" t="n">
        <v>14.02</v>
      </c>
      <c r="I28" s="6" t="n">
        <v>5.16</v>
      </c>
      <c r="J28" s="6" t="n">
        <v>0.6899999999999999</v>
      </c>
      <c r="K28" s="7">
        <f>ROUND(G28*$F$2,2)</f>
        <v/>
      </c>
      <c r="L28" s="7">
        <f>ROUND(H28*$F$2,2)</f>
        <v/>
      </c>
      <c r="M28" s="7">
        <f>ROUND(I28*$F$2,2)</f>
        <v/>
      </c>
      <c r="N28" s="7">
        <f>ROUND(J28*$F$2,2)</f>
        <v/>
      </c>
    </row>
    <row r="29">
      <c r="A29" s="3" t="n">
        <v>24</v>
      </c>
      <c r="B29" s="3" t="inlineStr">
        <is>
          <t>Físico: Compressão 16,0 mm (kgf/pelota)</t>
        </is>
      </c>
      <c r="C29" s="3" t="inlineStr">
        <is>
          <t>Campo de dados</t>
        </is>
      </c>
      <c r="D29" s="3" t="inlineStr">
        <is>
          <t>M0620010000-0031-TNLFU</t>
        </is>
      </c>
      <c r="E29" s="3" t="inlineStr">
        <is>
          <t>IP_MESVALOR</t>
        </is>
      </c>
      <c r="F29" s="3" t="inlineStr">
        <is>
          <t>VAL</t>
        </is>
      </c>
      <c r="G29" s="6" t="n">
        <v>2.25</v>
      </c>
      <c r="H29" s="6" t="n">
        <v>16.75</v>
      </c>
      <c r="I29" s="6" t="n">
        <v>6.38</v>
      </c>
      <c r="J29" s="6" t="n">
        <v>1.63</v>
      </c>
      <c r="K29" s="7">
        <f>ROUND(G29*$F$2,2)</f>
        <v/>
      </c>
      <c r="L29" s="7">
        <f>ROUND(H29*$F$2,2)</f>
        <v/>
      </c>
      <c r="M29" s="7">
        <f>ROUND(I29*$F$2,2)</f>
        <v/>
      </c>
      <c r="N29" s="7">
        <f>ROUND(J29*$F$2,2)</f>
        <v/>
      </c>
    </row>
    <row r="30">
      <c r="A30" s="3" t="n">
        <v>25</v>
      </c>
      <c r="B30" s="3" t="inlineStr">
        <is>
          <t>Físico: Compressão 12,5 mm (kgf/pelota)</t>
        </is>
      </c>
      <c r="C30" s="3" t="inlineStr">
        <is>
          <t>Campo de dados</t>
        </is>
      </c>
      <c r="D30" s="3" t="inlineStr">
        <is>
          <t>M0620010000-0035-TNLFU</t>
        </is>
      </c>
      <c r="E30" s="3" t="inlineStr">
        <is>
          <t>IP_MESVALOR</t>
        </is>
      </c>
      <c r="F30" s="3" t="inlineStr">
        <is>
          <t>VAL</t>
        </is>
      </c>
      <c r="G30" s="6" t="n">
        <v>10.06</v>
      </c>
      <c r="H30" s="6" t="n">
        <v>16.75</v>
      </c>
      <c r="I30" s="6" t="n">
        <v>6.38</v>
      </c>
      <c r="J30" s="6" t="n">
        <v>1.63</v>
      </c>
      <c r="K30" s="7">
        <f>ROUND(G30*$F$2,2)</f>
        <v/>
      </c>
      <c r="L30" s="7">
        <f>ROUND(H30*$F$2,2)</f>
        <v/>
      </c>
      <c r="M30" s="7">
        <f>ROUND(I30*$F$2,2)</f>
        <v/>
      </c>
      <c r="N30" s="7">
        <f>ROUND(J30*$F$2,2)</f>
        <v/>
      </c>
    </row>
    <row r="31">
      <c r="A31" s="3" t="n">
        <v>26</v>
      </c>
      <c r="B31" s="3" t="inlineStr">
        <is>
          <t>Físico: Tamboramento +6,3 mm (%)</t>
        </is>
      </c>
      <c r="C31" s="3" t="inlineStr">
        <is>
          <t>Campo de dados</t>
        </is>
      </c>
      <c r="D31" s="3" t="inlineStr">
        <is>
          <t>M0620010000-0029-TNLFU</t>
        </is>
      </c>
      <c r="E31" s="3" t="inlineStr">
        <is>
          <t>IP_MESVALOR</t>
        </is>
      </c>
      <c r="F31" s="3" t="inlineStr">
        <is>
          <t>VAL</t>
        </is>
      </c>
      <c r="G31" s="6" t="n">
        <v>17.88</v>
      </c>
      <c r="H31" s="6" t="n">
        <v>16.75</v>
      </c>
      <c r="I31" s="6" t="n">
        <v>6.38</v>
      </c>
      <c r="J31" s="6" t="n">
        <v>1.63</v>
      </c>
      <c r="K31" s="7">
        <f>ROUND(G31*$F$2,2)</f>
        <v/>
      </c>
      <c r="L31" s="7">
        <f>ROUND(H31*$F$2,2)</f>
        <v/>
      </c>
      <c r="M31" s="7">
        <f>ROUND(I31*$F$2,2)</f>
        <v/>
      </c>
      <c r="N31" s="7">
        <f>ROUND(J31*$F$2,2)</f>
        <v/>
      </c>
    </row>
    <row r="32">
      <c r="A32" s="3" t="n">
        <v>27</v>
      </c>
      <c r="B32" s="3" t="inlineStr">
        <is>
          <t>Físico: Finos -6,3 mm (%)</t>
        </is>
      </c>
      <c r="C32" s="3" t="inlineStr">
        <is>
          <t>Campo de dados</t>
        </is>
      </c>
      <c r="D32" s="3" t="inlineStr">
        <is>
          <t>M0620010000-0026-TNLFU</t>
        </is>
      </c>
      <c r="E32" s="3" t="inlineStr">
        <is>
          <t>IP_MESVALOR</t>
        </is>
      </c>
      <c r="F32" s="3" t="inlineStr">
        <is>
          <t>VAL</t>
        </is>
      </c>
      <c r="G32" s="6" t="n">
        <v>25.69</v>
      </c>
      <c r="H32" s="6" t="n">
        <v>16.75</v>
      </c>
      <c r="I32" s="6" t="n">
        <v>6.38</v>
      </c>
      <c r="J32" s="6" t="n">
        <v>1.63</v>
      </c>
      <c r="K32" s="7">
        <f>ROUND(G32*$F$2,2)</f>
        <v/>
      </c>
      <c r="L32" s="7">
        <f>ROUND(H32*$F$2,2)</f>
        <v/>
      </c>
      <c r="M32" s="7">
        <f>ROUND(I32*$F$2,2)</f>
        <v/>
      </c>
      <c r="N32" s="7">
        <f>ROUND(J32*$F$2,2)</f>
        <v/>
      </c>
    </row>
    <row r="33">
      <c r="A33" s="3" t="n">
        <v>28</v>
      </c>
      <c r="B33" s="3" t="inlineStr">
        <is>
          <t>Físico: Relação granulométrica (%)</t>
        </is>
      </c>
      <c r="C33" s="3" t="inlineStr">
        <is>
          <t>Campo de dados</t>
        </is>
      </c>
      <c r="D33" s="3" t="inlineStr">
        <is>
          <t>M0620010000-2021-TNLFU</t>
        </is>
      </c>
      <c r="E33" s="3" t="inlineStr">
        <is>
          <t>IP_MESVALOR</t>
        </is>
      </c>
      <c r="F33" s="3" t="inlineStr">
        <is>
          <t>VAL</t>
        </is>
      </c>
      <c r="G33" s="6" t="n">
        <v>33.5</v>
      </c>
      <c r="H33" s="6" t="n">
        <v>16.75</v>
      </c>
      <c r="I33" s="6" t="n">
        <v>6.38</v>
      </c>
      <c r="J33" s="6" t="n">
        <v>1.63</v>
      </c>
      <c r="K33" s="7">
        <f>ROUND(G33*$F$2,2)</f>
        <v/>
      </c>
      <c r="L33" s="7">
        <f>ROUND(H33*$F$2,2)</f>
        <v/>
      </c>
      <c r="M33" s="7">
        <f>ROUND(I33*$F$2,2)</f>
        <v/>
      </c>
      <c r="N33" s="7">
        <f>ROUND(J33*$F$2,2)</f>
        <v/>
      </c>
    </row>
    <row r="34">
      <c r="A34" s="3" t="n">
        <v>29</v>
      </c>
      <c r="B34" s="3" t="inlineStr">
        <is>
          <t>Físico: Umidade H2O (%)</t>
        </is>
      </c>
      <c r="C34" s="3" t="inlineStr">
        <is>
          <t>Campo de dados</t>
        </is>
      </c>
      <c r="D34" s="3" t="inlineStr">
        <is>
          <t>M0620010000-0001-TNLFU</t>
        </is>
      </c>
      <c r="E34" s="3" t="inlineStr">
        <is>
          <t>IP_MESVALOR</t>
        </is>
      </c>
      <c r="F34" s="3" t="inlineStr">
        <is>
          <t>VAL</t>
        </is>
      </c>
      <c r="G34" s="6" t="n">
        <v>41.31</v>
      </c>
      <c r="H34" s="6" t="n">
        <v>16.75</v>
      </c>
      <c r="I34" s="6" t="n">
        <v>6.38</v>
      </c>
      <c r="J34" s="6" t="n">
        <v>1.63</v>
      </c>
      <c r="K34" s="7">
        <f>ROUND(G34*$F$2,2)</f>
        <v/>
      </c>
      <c r="L34" s="7">
        <f>ROUND(H34*$F$2,2)</f>
        <v/>
      </c>
      <c r="M34" s="7">
        <f>ROUND(I34*$F$2,2)</f>
        <v/>
      </c>
      <c r="N34" s="7">
        <f>ROUND(J34*$F$2,2)</f>
        <v/>
      </c>
    </row>
    <row r="35">
      <c r="A35" s="3" t="n">
        <v>30</v>
      </c>
      <c r="B35" s="3" t="inlineStr">
        <is>
          <t>Químico: último resultado</t>
        </is>
      </c>
      <c r="C35" s="3" t="inlineStr">
        <is>
          <t>Campo de dados</t>
        </is>
      </c>
      <c r="D35" s="3" t="inlineStr">
        <is>
          <t>M0620010000-0002-TNLQU</t>
        </is>
      </c>
      <c r="E35" s="3" t="inlineStr">
        <is>
          <t>IP_MESVALOR</t>
        </is>
      </c>
      <c r="F35" s="3" t="inlineStr">
        <is>
          <t>`VAL` no arquivo: trocar pelo atributo de data e hora (Parte B)</t>
        </is>
      </c>
      <c r="G35" s="6" t="n">
        <v>43.06</v>
      </c>
      <c r="H35" s="6" t="n">
        <v>20.33</v>
      </c>
      <c r="I35" s="6" t="n">
        <v>5.16</v>
      </c>
      <c r="J35" s="6" t="n">
        <v>0.6899999999999999</v>
      </c>
      <c r="K35" s="7">
        <f>ROUND(G35*$F$2,2)</f>
        <v/>
      </c>
      <c r="L35" s="7">
        <f>ROUND(H35*$F$2,2)</f>
        <v/>
      </c>
      <c r="M35" s="7">
        <f>ROUND(I35*$F$2,2)</f>
        <v/>
      </c>
      <c r="N35" s="7">
        <f>ROUND(J35*$F$2,2)</f>
        <v/>
      </c>
    </row>
    <row r="36">
      <c r="A36" s="3" t="n">
        <v>31</v>
      </c>
      <c r="B36" s="3" t="inlineStr">
        <is>
          <t>Químico: Fe (%)</t>
        </is>
      </c>
      <c r="C36" s="3" t="inlineStr">
        <is>
          <t>Campo de dados</t>
        </is>
      </c>
      <c r="D36" s="3" t="inlineStr">
        <is>
          <t>M0620010000-0002-TNLQU</t>
        </is>
      </c>
      <c r="E36" s="3" t="inlineStr">
        <is>
          <t>IP_MESVALOR</t>
        </is>
      </c>
      <c r="F36" s="3" t="inlineStr">
        <is>
          <t>VAL</t>
        </is>
      </c>
      <c r="G36" s="6" t="n">
        <v>2.19</v>
      </c>
      <c r="H36" s="6" t="n">
        <v>23.38</v>
      </c>
      <c r="I36" s="6" t="n">
        <v>4</v>
      </c>
      <c r="J36" s="6" t="n">
        <v>1.31</v>
      </c>
      <c r="K36" s="7">
        <f>ROUND(G36*$F$2,2)</f>
        <v/>
      </c>
      <c r="L36" s="7">
        <f>ROUND(H36*$F$2,2)</f>
        <v/>
      </c>
      <c r="M36" s="7">
        <f>ROUND(I36*$F$2,2)</f>
        <v/>
      </c>
      <c r="N36" s="7">
        <f>ROUND(J36*$F$2,2)</f>
        <v/>
      </c>
    </row>
    <row r="37">
      <c r="A37" s="3" t="n">
        <v>32</v>
      </c>
      <c r="B37" s="3" t="inlineStr">
        <is>
          <t>Químico: SiO2 (%)</t>
        </is>
      </c>
      <c r="C37" s="3" t="inlineStr">
        <is>
          <t>Campo de dados</t>
        </is>
      </c>
      <c r="D37" s="3" t="inlineStr">
        <is>
          <t>M0620010000-0004-TNLQU</t>
        </is>
      </c>
      <c r="E37" s="3" t="inlineStr">
        <is>
          <t>IP_MESVALOR</t>
        </is>
      </c>
      <c r="F37" s="3" t="inlineStr">
        <is>
          <t>VAL</t>
        </is>
      </c>
      <c r="G37" s="6" t="n">
        <v>7.38</v>
      </c>
      <c r="H37" s="6" t="n">
        <v>23.38</v>
      </c>
      <c r="I37" s="6" t="n">
        <v>4</v>
      </c>
      <c r="J37" s="6" t="n">
        <v>1.31</v>
      </c>
      <c r="K37" s="7">
        <f>ROUND(G37*$F$2,2)</f>
        <v/>
      </c>
      <c r="L37" s="7">
        <f>ROUND(H37*$F$2,2)</f>
        <v/>
      </c>
      <c r="M37" s="7">
        <f>ROUND(I37*$F$2,2)</f>
        <v/>
      </c>
      <c r="N37" s="7">
        <f>ROUND(J37*$F$2,2)</f>
        <v/>
      </c>
    </row>
    <row r="38">
      <c r="A38" s="3" t="n">
        <v>33</v>
      </c>
      <c r="B38" s="3" t="inlineStr">
        <is>
          <t>Químico: Al2O3 (%)</t>
        </is>
      </c>
      <c r="C38" s="3" t="inlineStr">
        <is>
          <t>Campo de dados</t>
        </is>
      </c>
      <c r="D38" s="3" t="inlineStr">
        <is>
          <t>M0620010000-0005-TNLQU</t>
        </is>
      </c>
      <c r="E38" s="3" t="inlineStr">
        <is>
          <t>IP_MESVALOR</t>
        </is>
      </c>
      <c r="F38" s="3" t="inlineStr">
        <is>
          <t>VAL</t>
        </is>
      </c>
      <c r="G38" s="6" t="n">
        <v>12.56</v>
      </c>
      <c r="H38" s="6" t="n">
        <v>23.38</v>
      </c>
      <c r="I38" s="6" t="n">
        <v>4</v>
      </c>
      <c r="J38" s="6" t="n">
        <v>1.31</v>
      </c>
      <c r="K38" s="7">
        <f>ROUND(G38*$F$2,2)</f>
        <v/>
      </c>
      <c r="L38" s="7">
        <f>ROUND(H38*$F$2,2)</f>
        <v/>
      </c>
      <c r="M38" s="7">
        <f>ROUND(I38*$F$2,2)</f>
        <v/>
      </c>
      <c r="N38" s="7">
        <f>ROUND(J38*$F$2,2)</f>
        <v/>
      </c>
    </row>
    <row r="39">
      <c r="A39" s="3" t="n">
        <v>34</v>
      </c>
      <c r="B39" s="3" t="inlineStr">
        <is>
          <t>Químico: CaO (%)</t>
        </is>
      </c>
      <c r="C39" s="3" t="inlineStr">
        <is>
          <t>Campo de dados</t>
        </is>
      </c>
      <c r="D39" s="3" t="inlineStr">
        <is>
          <t>M0620010000-0006-TNLQU</t>
        </is>
      </c>
      <c r="E39" s="3" t="inlineStr">
        <is>
          <t>IP_MESVALOR</t>
        </is>
      </c>
      <c r="F39" s="3" t="inlineStr">
        <is>
          <t>VAL</t>
        </is>
      </c>
      <c r="G39" s="6" t="n">
        <v>17.75</v>
      </c>
      <c r="H39" s="6" t="n">
        <v>23.38</v>
      </c>
      <c r="I39" s="6" t="n">
        <v>4</v>
      </c>
      <c r="J39" s="6" t="n">
        <v>1.31</v>
      </c>
      <c r="K39" s="7">
        <f>ROUND(G39*$F$2,2)</f>
        <v/>
      </c>
      <c r="L39" s="7">
        <f>ROUND(H39*$F$2,2)</f>
        <v/>
      </c>
      <c r="M39" s="7">
        <f>ROUND(I39*$F$2,2)</f>
        <v/>
      </c>
      <c r="N39" s="7">
        <f>ROUND(J39*$F$2,2)</f>
        <v/>
      </c>
    </row>
    <row r="40">
      <c r="A40" s="3" t="n">
        <v>35</v>
      </c>
      <c r="B40" s="3" t="inlineStr">
        <is>
          <t>Químico: MgO (%)</t>
        </is>
      </c>
      <c r="C40" s="3" t="inlineStr">
        <is>
          <t>Campo de dados</t>
        </is>
      </c>
      <c r="D40" s="3" t="inlineStr">
        <is>
          <t>M0620010000-0007-TNLQU</t>
        </is>
      </c>
      <c r="E40" s="3" t="inlineStr">
        <is>
          <t>IP_MESVALOR</t>
        </is>
      </c>
      <c r="F40" s="3" t="inlineStr">
        <is>
          <t>VAL</t>
        </is>
      </c>
      <c r="G40" s="6" t="n">
        <v>22.94</v>
      </c>
      <c r="H40" s="6" t="n">
        <v>23.38</v>
      </c>
      <c r="I40" s="6" t="n">
        <v>4</v>
      </c>
      <c r="J40" s="6" t="n">
        <v>1.31</v>
      </c>
      <c r="K40" s="7">
        <f>ROUND(G40*$F$2,2)</f>
        <v/>
      </c>
      <c r="L40" s="7">
        <f>ROUND(H40*$F$2,2)</f>
        <v/>
      </c>
      <c r="M40" s="7">
        <f>ROUND(I40*$F$2,2)</f>
        <v/>
      </c>
      <c r="N40" s="7">
        <f>ROUND(J40*$F$2,2)</f>
        <v/>
      </c>
    </row>
    <row r="41">
      <c r="A41" s="3" t="n">
        <v>36</v>
      </c>
      <c r="B41" s="3" t="inlineStr">
        <is>
          <t>Químico: B2 (%)</t>
        </is>
      </c>
      <c r="C41" s="3" t="inlineStr">
        <is>
          <t>Campo de dados</t>
        </is>
      </c>
      <c r="D41" s="3" t="inlineStr">
        <is>
          <t>M0620010000-0018-TNLQU</t>
        </is>
      </c>
      <c r="E41" s="3" t="inlineStr">
        <is>
          <t>IP_MESVALOR</t>
        </is>
      </c>
      <c r="F41" s="3" t="inlineStr">
        <is>
          <t>VAL</t>
        </is>
      </c>
      <c r="G41" s="6" t="n">
        <v>28.13</v>
      </c>
      <c r="H41" s="6" t="n">
        <v>23.38</v>
      </c>
      <c r="I41" s="6" t="n">
        <v>4</v>
      </c>
      <c r="J41" s="6" t="n">
        <v>1.31</v>
      </c>
      <c r="K41" s="7">
        <f>ROUND(G41*$F$2,2)</f>
        <v/>
      </c>
      <c r="L41" s="7">
        <f>ROUND(H41*$F$2,2)</f>
        <v/>
      </c>
      <c r="M41" s="7">
        <f>ROUND(I41*$F$2,2)</f>
        <v/>
      </c>
      <c r="N41" s="7">
        <f>ROUND(J41*$F$2,2)</f>
        <v/>
      </c>
    </row>
    <row r="42">
      <c r="A42" s="3" t="n">
        <v>37</v>
      </c>
      <c r="B42" s="3" t="inlineStr">
        <is>
          <t>Químico: P (%)</t>
        </is>
      </c>
      <c r="C42" s="3" t="inlineStr">
        <is>
          <t>Campo de dados</t>
        </is>
      </c>
      <c r="D42" s="3" t="inlineStr">
        <is>
          <t>M0620010000-0008-TNLQU</t>
        </is>
      </c>
      <c r="E42" s="3" t="inlineStr">
        <is>
          <t>IP_MESVALOR</t>
        </is>
      </c>
      <c r="F42" s="3" t="inlineStr">
        <is>
          <t>VAL</t>
        </is>
      </c>
      <c r="G42" s="6" t="n">
        <v>33.31</v>
      </c>
      <c r="H42" s="6" t="n">
        <v>23.38</v>
      </c>
      <c r="I42" s="6" t="n">
        <v>4</v>
      </c>
      <c r="J42" s="6" t="n">
        <v>1.31</v>
      </c>
      <c r="K42" s="7">
        <f>ROUND(G42*$F$2,2)</f>
        <v/>
      </c>
      <c r="L42" s="7">
        <f>ROUND(H42*$F$2,2)</f>
        <v/>
      </c>
      <c r="M42" s="7">
        <f>ROUND(I42*$F$2,2)</f>
        <v/>
      </c>
      <c r="N42" s="7">
        <f>ROUND(J42*$F$2,2)</f>
        <v/>
      </c>
    </row>
    <row r="43">
      <c r="A43" s="3" t="n">
        <v>38</v>
      </c>
      <c r="B43" s="3" t="inlineStr">
        <is>
          <t>Químico: Mn (%)</t>
        </is>
      </c>
      <c r="C43" s="3" t="inlineStr">
        <is>
          <t>Campo de dados</t>
        </is>
      </c>
      <c r="D43" s="3" t="inlineStr">
        <is>
          <t>M0620010000-0115-TNLQU</t>
        </is>
      </c>
      <c r="E43" s="3" t="inlineStr">
        <is>
          <t>IP_MESVALOR</t>
        </is>
      </c>
      <c r="F43" s="3" t="inlineStr">
        <is>
          <t>VAL</t>
        </is>
      </c>
      <c r="G43" s="6" t="n">
        <v>38.5</v>
      </c>
      <c r="H43" s="6" t="n">
        <v>23.38</v>
      </c>
      <c r="I43" s="6" t="n">
        <v>4</v>
      </c>
      <c r="J43" s="6" t="n">
        <v>1.31</v>
      </c>
      <c r="K43" s="7">
        <f>ROUND(G43*$F$2,2)</f>
        <v/>
      </c>
      <c r="L43" s="7">
        <f>ROUND(H43*$F$2,2)</f>
        <v/>
      </c>
      <c r="M43" s="7">
        <f>ROUND(I43*$F$2,2)</f>
        <v/>
      </c>
      <c r="N43" s="7">
        <f>ROUND(J43*$F$2,2)</f>
        <v/>
      </c>
    </row>
    <row r="44">
      <c r="A44" s="3" t="n">
        <v>39</v>
      </c>
      <c r="B44" s="3" t="inlineStr">
        <is>
          <t>Químico: PPC (%)</t>
        </is>
      </c>
      <c r="C44" s="3" t="inlineStr">
        <is>
          <t>Campo de dados</t>
        </is>
      </c>
      <c r="D44" s="3" t="inlineStr">
        <is>
          <t>M0620010000-0013-TNLQU</t>
        </is>
      </c>
      <c r="E44" s="3" t="inlineStr">
        <is>
          <t>IP_MESVALOR</t>
        </is>
      </c>
      <c r="F44" s="3" t="inlineStr">
        <is>
          <t>VAL</t>
        </is>
      </c>
      <c r="G44" s="6" t="n">
        <v>43.69</v>
      </c>
      <c r="H44" s="6" t="n">
        <v>23.38</v>
      </c>
      <c r="I44" s="6" t="n">
        <v>4</v>
      </c>
      <c r="J44" s="6" t="n">
        <v>1.31</v>
      </c>
      <c r="K44" s="7">
        <f>ROUND(G44*$F$2,2)</f>
        <v/>
      </c>
      <c r="L44" s="7">
        <f>ROUND(H44*$F$2,2)</f>
        <v/>
      </c>
      <c r="M44" s="7">
        <f>ROUND(I44*$F$2,2)</f>
        <v/>
      </c>
      <c r="N44" s="7">
        <f>ROUND(J44*$F$2,2)</f>
        <v/>
      </c>
    </row>
    <row r="45">
      <c r="A45" s="3" t="n">
        <v>40</v>
      </c>
      <c r="B45" s="3" t="inlineStr">
        <is>
          <t>Tendência: ritmo de carregamento</t>
        </is>
      </c>
      <c r="C45" s="3" t="inlineStr">
        <is>
          <t>Tendência (plot)</t>
        </is>
      </c>
      <c r="D45" s="3" t="inlineStr">
        <is>
          <t>008-WI-010</t>
        </is>
      </c>
      <c r="E45" s="3" t="inlineStr"/>
      <c r="F45" s="3" t="inlineStr"/>
      <c r="G45" s="6" t="n">
        <v>3.28</v>
      </c>
      <c r="H45" s="6" t="n">
        <v>28.34</v>
      </c>
      <c r="I45" s="6" t="n">
        <v>11.88</v>
      </c>
      <c r="J45" s="6" t="n">
        <v>5.5</v>
      </c>
      <c r="K45" s="7">
        <f>ROUND(G45*$F$2,2)</f>
        <v/>
      </c>
      <c r="L45" s="7">
        <f>ROUND(H45*$F$2,2)</f>
        <v/>
      </c>
      <c r="M45" s="7">
        <f>ROUND(I45*$F$2,2)</f>
        <v/>
      </c>
      <c r="N45" s="7">
        <f>ROUND(J45*$F$2,2)</f>
        <v/>
      </c>
    </row>
    <row r="46">
      <c r="A46" s="3" t="n">
        <v>41</v>
      </c>
      <c r="B46" s="3" t="inlineStr">
        <is>
          <t>Tendência: compressão</t>
        </is>
      </c>
      <c r="C46" s="3" t="inlineStr">
        <is>
          <t>Tendência (plot)</t>
        </is>
      </c>
      <c r="D46" s="3" t="inlineStr">
        <is>
          <t>M0620010000-0031-TNLFU e M0620010000-0035-TNLFU</t>
        </is>
      </c>
      <c r="E46" s="3" t="inlineStr"/>
      <c r="F46" s="3" t="inlineStr"/>
      <c r="G46" s="6" t="n">
        <v>19.44</v>
      </c>
      <c r="H46" s="6" t="n">
        <v>28.34</v>
      </c>
      <c r="I46" s="6" t="n">
        <v>11.88</v>
      </c>
      <c r="J46" s="6" t="n">
        <v>5.5</v>
      </c>
      <c r="K46" s="7">
        <f>ROUND(G46*$F$2,2)</f>
        <v/>
      </c>
      <c r="L46" s="7">
        <f>ROUND(H46*$F$2,2)</f>
        <v/>
      </c>
      <c r="M46" s="7">
        <f>ROUND(I46*$F$2,2)</f>
        <v/>
      </c>
      <c r="N46" s="7">
        <f>ROUND(J46*$F$2,2)</f>
        <v/>
      </c>
    </row>
    <row r="47">
      <c r="A47" s="3" t="n">
        <v>42</v>
      </c>
      <c r="B47" s="3" t="inlineStr">
        <is>
          <t>Tendência: Fe e SiO2</t>
        </is>
      </c>
      <c r="C47" s="3" t="inlineStr">
        <is>
          <t>Tendência (plot)</t>
        </is>
      </c>
      <c r="D47" s="3" t="inlineStr">
        <is>
          <t>M0620010000-0002-TNLQU e M0620010000-0004-TNLQU</t>
        </is>
      </c>
      <c r="E47" s="3" t="inlineStr"/>
      <c r="F47" s="3" t="inlineStr"/>
      <c r="G47" s="6" t="n">
        <v>35.63</v>
      </c>
      <c r="H47" s="6" t="n">
        <v>28.34</v>
      </c>
      <c r="I47" s="6" t="n">
        <v>11.88</v>
      </c>
      <c r="J47" s="6" t="n">
        <v>5.5</v>
      </c>
      <c r="K47" s="7">
        <f>ROUND(G47*$F$2,2)</f>
        <v/>
      </c>
      <c r="L47" s="7">
        <f>ROUND(H47*$F$2,2)</f>
        <v/>
      </c>
      <c r="M47" s="7">
        <f>ROUND(I47*$F$2,2)</f>
        <v/>
      </c>
      <c r="N47" s="7">
        <f>ROUND(J47*$F$2,2)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2026-10-30T14:24:25Z</dcterms:created>
  <dcterms:modified xmlns:dcterms="http://purl.org/dc/terms/" xmlns:xsi="http://www.w3.org/2001/XMLSchema-instance" xsi:type="dcterms:W3CDTF">2026-10-30T14:24:25Z</dcterms:modified>
</cp:coreProperties>
</file>