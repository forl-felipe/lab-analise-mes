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Resumo Dia" sheetId="2" r:id="rId2"/>
    <sheet name="Resumo Noite" sheetId="3" r:id="rId3"/>
    <sheet name="Passagem de Turno" sheetId="4" r:id="rId4"/>
    <sheet name="Informativo" sheetId="5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iAreaImagem">'Informativo'!$B$2:$V$67</definedName>
    <definedName name="iAtualizado">'Informativo'!$N$7</definedName>
    <definedName name="iData">'Informativo'!$B$7</definedName>
    <definedName name="iFonte">'Informativo'!$Q$7</definedName>
    <definedName name="iHoras">'Informativo'!$E$12:$P$12</definedName>
    <definedName name="iPeriodo">'Informativo'!$C$10</definedName>
    <definedName name="iResp">'Informativo'!$J$7</definedName>
    <definedName name="iSelFim">'Informativo'!$I$9</definedName>
    <definedName name="iSelIni">'Informativo'!$E$9</definedName>
    <definedName name="iTurma">'Informativo'!$H$7</definedName>
    <definedName name="iTurno">'Informativo'!$C$7</definedName>
    <definedName name="lstAgreg">'Configurações'!$V$7:$V$9</definedName>
    <definedName name="lstFonte">'Configurações'!$W$7:$W$8</definedName>
    <definedName name="lstFormatoData">'Configurações'!$Z$7:$Z$9</definedName>
    <definedName name="lstParam">'Configurações'!$C$18:$C$41</definedName>
    <definedName name="lstSN">'Configurações'!$X$7:$X$8</definedName>
    <definedName name="lstStatus">'Configurações'!$U$7:$U$8</definedName>
    <definedName name="lstTipo">'Configurações'!$Y$7:$Y$8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pData">'Painel'!$B$8</definedName>
    <definedName name="pResp">'Painel'!$K$8</definedName>
    <definedName name="_xlnm.Print_Area" localSheetId="5">Configurações!$B$2:$P$43</definedName>
    <definedName name="_xlnm.Print_Area" localSheetId="4">Informativo!$B$2:$V$67</definedName>
    <definedName name="_xlnm.Print_Area" localSheetId="3">'Passagem de Turno'!$B$2:$M$62</definedName>
    <definedName name="_xlnm.Print_Area" localSheetId="1">'Resumo Dia'!$B$2:$M$82</definedName>
    <definedName name="_xlnm.Print_Area" localSheetId="2">'Resumo Noite'!$B$2:$M$82</definedName>
    <definedName name="ptAreaImagem">'Passagem de Turno'!$B$2:$M$62</definedName>
    <definedName name="ptObs">'Passagem de Turno'!$B$60</definedName>
    <definedName name="ptPendencias">'Passagem de Turno'!$C$21</definedName>
    <definedName name="ptRecebe">'Passagem de Turno'!$H$7</definedName>
    <definedName name="ptRecebidoPor">'Passagem de Turno'!$J$7</definedName>
    <definedName name="ptStatus">'Passagem de Turno'!$G$32:$G$45</definedName>
    <definedName name="ptTestes">'Passagem de Turno'!$C$18</definedName>
    <definedName name="pTurma">'Painel'!$I$8</definedName>
    <definedName name="pTurno">'Painel'!$E$8</definedName>
    <definedName name="rsDAreaPassagem">'Resumo Dia'!$B$67:$M$82</definedName>
    <definedName name="rsDAreaResultados">'Resumo Dia'!$B$2:$M$63</definedName>
    <definedName name="rsDCom3">'Resumo Dia'!$C$79</definedName>
    <definedName name="rsDCom4">'Resumo Dia'!$C$80</definedName>
    <definedName name="rsDEmbarque">'Resumo Dia'!$C$81</definedName>
    <definedName name="rsDEquipe">'Resumo Dia'!$C$73</definedName>
    <definedName name="rsDFinal">'Resumo Dia'!$R$2</definedName>
    <definedName name="rsDGerado">'Resumo Dia'!$Q$2</definedName>
    <definedName name="rsDHoras">'Resumo Dia'!$E$8:$J$8</definedName>
    <definedName name="rsDInfo2">'Resumo Dia'!$B$71</definedName>
    <definedName name="rsDInfo">'Resumo Dia'!$B$6</definedName>
    <definedName name="rsDMES">'Resumo Dia'!$S$2</definedName>
    <definedName name="rsDMin">'Resumo Dia'!$C$76</definedName>
    <definedName name="rsDNaoOper">'Resumo Dia'!$C$75</definedName>
    <definedName name="rsDObs">'Resumo Dia'!$C$82</definedName>
    <definedName name="rsDPend">'Resumo Dia'!$C$78</definedName>
    <definedName name="rsDRecebe">'Resumo Dia'!$C$74</definedName>
    <definedName name="rsDTestes">'Resumo Dia'!$C$77</definedName>
    <definedName name="rsNAreaPassagem">'Resumo Noite'!$B$67:$M$82</definedName>
    <definedName name="rsNAreaResultados">'Resumo Noite'!$B$2:$M$63</definedName>
    <definedName name="rsNCom3">'Resumo Noite'!$C$79</definedName>
    <definedName name="rsNCom4">'Resumo Noite'!$C$80</definedName>
    <definedName name="rsNEmbarque">'Resumo Noite'!$C$81</definedName>
    <definedName name="rsNEquipe">'Resumo Noite'!$C$73</definedName>
    <definedName name="rsNFinal">'Resumo Noite'!$R$2</definedName>
    <definedName name="rsNGerado">'Resumo Noite'!$Q$2</definedName>
    <definedName name="rsNHoras">'Resumo Noite'!$E$8:$J$8</definedName>
    <definedName name="rsNInfo2">'Resumo Noite'!$B$71</definedName>
    <definedName name="rsNInfo">'Resumo Noite'!$B$6</definedName>
    <definedName name="rsNMES">'Resumo Noite'!$S$2</definedName>
    <definedName name="rsNMin">'Resumo Noite'!$C$76</definedName>
    <definedName name="rsNNaoOper">'Resumo Noite'!$C$75</definedName>
    <definedName name="rsNObs">'Resumo Noite'!$C$82</definedName>
    <definedName name="rsNPend">'Resumo Noite'!$C$78</definedName>
    <definedName name="rsNRecebe">'Resumo Noite'!$C$74</definedName>
    <definedName name="rsNTestes">'Resumo Noite'!$C$77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G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  <comment ref="I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</commentList>
</comments>
</file>

<file path=xl/sharedStrings.xml><?xml version="1.0" encoding="utf-8"?>
<sst xmlns="http://schemas.openxmlformats.org/spreadsheetml/2006/main" count="2160" uniqueCount="519">
  <si>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</si>
  <si>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</si>
  <si>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</si>
  <si>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</si>
  <si>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</si>
  <si>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</si>
  <si>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</si>
  <si>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</si>
  <si>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</si>
  <si>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</si>
  <si>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</si>
  <si>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</si>
  <si>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</si>
  <si>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Formato da data para o MES</t>
  </si>
  <si>
    <t>Texto dd/mm/aaaa</t>
  </si>
  <si>
    <t>Texto dd/mm/aaaa (padrão, validado no MES) · Data do Excel · Texto mm/dd/aaaa</t>
  </si>
  <si>
    <t>Tags herdadas da planilha padrão (Usinas 3 e 4). Confira no MES antes do uso. LIE/LSE = limites de especificação (vazio = sem avaliação). Faixa válida: valores fora dela são descartados (o padrão antigo usava 0 a 50000).</t>
  </si>
  <si>
    <t>Tags do MES e limites - Usinas 3 e 4</t>
  </si>
  <si>
    <t>Grupo</t>
  </si>
  <si>
    <t>Parâmetro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</si>
  <si>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</si>
  <si>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</si>
  <si>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</si>
  <si>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</si>
  <si>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</si>
  <si>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</si>
  <si>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</si>
  <si>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</si>
  <si>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</si>
  <si>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</si>
  <si>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</si>
  <si>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</si>
  <si>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</si>
  <si>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</si>
  <si>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</si>
  <si>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</si>
  <si>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</si>
  <si>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</si>
  <si>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</si>
  <si>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</si>
  <si>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</si>
  <si>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</si>
  <si>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</si>
  <si>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</si>
  <si>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</si>
  <si>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</si>
  <si>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</si>
  <si>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</si>
  <si>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</si>
  <si>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</si>
  <si>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</si>
  <si>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</si>
  <si>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</si>
  <si>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</si>
  <si>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</si>
  <si>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</si>
  <si>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</si>
  <si>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</si>
  <si>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</si>
  <si>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</si>
  <si>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 - Pellet Feed</t>
  </si>
  <si>
    <t>M650030010-0013-HHLQU</t>
  </si>
  <si>
    <t>SiO2 - Pellet Feed</t>
  </si>
  <si>
    <t>M650030010-0004-HHLQU</t>
  </si>
  <si>
    <t>CaO - Pellet Feed</t>
  </si>
  <si>
    <t>M650030010-0006-HHLQU</t>
  </si>
  <si>
    <t>Mistura</t>
  </si>
  <si>
    <t>SiO2 - Mistura</t>
  </si>
  <si>
    <t>M710050020-0004-HHLQU</t>
  </si>
  <si>
    <t>M4710050020-0004-HHLQU</t>
  </si>
  <si>
    <t>CaO - Mistura</t>
  </si>
  <si>
    <t>M710050020-0006-HHLQU</t>
  </si>
  <si>
    <t>M4710050020-0006-HHLQU</t>
  </si>
  <si>
    <t>B2 - Mistura</t>
  </si>
  <si>
    <t>-</t>
  </si>
  <si>
    <t>M710050020-0018-HHLQU</t>
  </si>
  <si>
    <t>M4710050020-0018-HHLQU</t>
  </si>
  <si>
    <t>Dosagem de Carvão - Mistura</t>
  </si>
  <si>
    <t>kg/t</t>
  </si>
  <si>
    <t>M710050020-0084-HHLQU</t>
  </si>
  <si>
    <t>M4710050020-0084-HHLQU</t>
  </si>
  <si>
    <t>Carbono Fixo - Mistura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</si>
  <si>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</si>
  <si>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</si>
  <si>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</si>
  <si>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</si>
  <si>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</si>
  <si>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</si>
  <si>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</si>
  <si>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</si>
  <si>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</si>
  <si>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</si>
  <si>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</si>
  <si>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</si>
  <si>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</si>
  <si>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</si>
  <si>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</si>
  <si>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</si>
  <si>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</si>
  <si>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</si>
  <si>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</si>
  <si>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</si>
  <si>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</si>
  <si>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</si>
  <si>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SiO2 - Pelota Queimada</t>
  </si>
  <si>
    <t>M710050020-0004-HHLFU</t>
  </si>
  <si>
    <t>M4710050020-0004-HHLFU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</si>
  <si>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</si>
  <si>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</si>
  <si>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</si>
  <si>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</si>
  <si>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</si>
  <si>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</si>
  <si>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</si>
  <si>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</si>
  <si>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</si>
  <si>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</si>
  <si>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</si>
  <si>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</si>
  <si>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</si>
  <si>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Atenção - Compressão: a referência de 2014 usa as tags ...-0030-HHLFU; aqui está ...-0031-HHLFU. Confirmar no MES (veja o comentário na tag).</t>
  </si>
  <si>
    <t>LISTAS (usadas nas caixas de seleção)</t>
  </si>
  <si>
    <t>Turnos</t>
  </si>
  <si>
    <t>Dia (07h às 19h)</t>
  </si>
  <si>
    <t>Noite (19h às 07h)</t>
  </si>
  <si>
    <t>Turmas</t>
  </si>
  <si>
    <t>A</t>
  </si>
  <si>
    <t>B</t>
  </si>
  <si>
    <t>C</t>
  </si>
  <si>
    <t>D</t>
  </si>
  <si>
    <t>Status</t>
  </si>
  <si>
    <t>Operando</t>
  </si>
  <si>
    <t>Não operando</t>
  </si>
  <si>
    <t>Fonte</t>
  </si>
  <si>
    <t>SIMULAÇÃO</t>
  </si>
  <si>
    <t>Sim/Não</t>
  </si>
  <si>
    <t>Sim</t>
  </si>
  <si>
    <t>Não</t>
  </si>
  <si>
    <t>Tipo de tag</t>
  </si>
  <si>
    <t>Formato data MES</t>
  </si>
  <si>
    <t>Data do Excel</t>
  </si>
  <si>
    <t>Texto mm/dd/aaaa</t>
  </si>
  <si>
    <t>Dados brutos do MES (Aspen IP.21) - não editar</t>
  </si>
  <si>
    <t>Início</t>
  </si>
  <si>
    <t>Fim</t>
  </si>
  <si>
    <t>Consulta: Qualidade  (tipo de cálculo "1")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</si>
  <si>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</si>
  <si>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</si>
  <si>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</si>
  <si>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</si>
  <si>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</si>
  <si>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</si>
  <si>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</si>
  <si>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</si>
  <si>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</si>
  <si>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</si>
  <si>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</si>
  <si>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</si>
  <si>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</si>
  <si>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 - Pellet Feed</t>
  </si>
  <si>
    <t>P07 US4 · PPC - Pellet Feed</t>
  </si>
  <si>
    <t>P08 US3 · SiO2 - Pellet Feed</t>
  </si>
  <si>
    <t>P08 US4 · SiO2 - Pellet Feed</t>
  </si>
  <si>
    <t>P09 US3 · CaO - Pellet Feed</t>
  </si>
  <si>
    <t>P09 US4 · CaO - Pellet Feed</t>
  </si>
  <si>
    <t>P10 US3 · SiO2 - Mistura</t>
  </si>
  <si>
    <t>P10 US4 · SiO2 - Mistura</t>
  </si>
  <si>
    <t>P11 US3 · CaO - Mistura</t>
  </si>
  <si>
    <t>P11 US4 · CaO - Mistura</t>
  </si>
  <si>
    <t>P12 US3 · B2 - Mistura</t>
  </si>
  <si>
    <t>P12 US4 · B2 - Mistura</t>
  </si>
  <si>
    <t>P13 US3 · Dosagem de Carvão - Mistura</t>
  </si>
  <si>
    <t>P13 US4 · Dosagem de Carvão - Mistura</t>
  </si>
  <si>
    <t>P14 US3 · Carbono Fixo - Mistura</t>
  </si>
  <si>
    <t>P14 US4 · Carbono Fixo - Mistura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</si>
  <si>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</si>
  <si>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</si>
  <si>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</si>
  <si>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</si>
  <si>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</si>
  <si>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</si>
  <si>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</si>
  <si>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</si>
  <si>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</si>
  <si>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</si>
  <si>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</si>
  <si>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</si>
  <si>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P21 US3 · SiO2 - Pelota Queimada</t>
  </si>
  <si>
    <t>P21 US4 · SiO2 - Pelota Queimada</t>
  </si>
  <si>
    <t>Consulta: Produção  (tipo de cálculo "1")</t>
  </si>
  <si>
    <t>P22 US3 · Produção</t>
  </si>
  <si>
    <t>P22 US4 · Produção</t>
  </si>
  <si>
    <t>P23 US3 · Ritmo (MES)</t>
  </si>
  <si>
    <t>P23 US4 · Ritmo (MES)</t>
  </si>
  <si>
    <t>Consulta: Ritmo de processo  (tipo de cálculo "0")</t>
  </si>
  <si>
    <t>P24 US3 · Ritmo (processo)</t>
  </si>
  <si>
    <t>P24 US4 · Ritmo (processo)</t>
  </si>
  <si>
    <t>Informativo de Qualidade - Usinas 3 e 4</t>
  </si>
  <si>
    <t>Resultados do MES de 2 em 2 horas  ·  Laboratório Físico</t>
  </si>
  <si>
    <t>Data</t>
  </si>
  <si>
    <t>Turno / período</t>
  </si>
  <si>
    <t>Turma</t>
  </si>
  <si>
    <t>Responsável</t>
  </si>
  <si>
    <t>Atualizado em</t>
  </si>
  <si>
    <t>Período para consultar (até 24 h):</t>
  </si>
  <si>
    <t>Ex.: 28/09/2026 07:00  →  29/09/2026 07:00. Depois clique em Atualizar dados do MES.</t>
  </si>
  <si>
    <t>Período consultado:</t>
  </si>
  <si>
    <t>Unid.</t>
  </si>
  <si>
    <t>Usina</t>
  </si>
  <si>
    <t>—</t>
  </si>
  <si>
    <t>Resultado do período</t>
  </si>
  <si>
    <t>Mín.</t>
  </si>
  <si>
    <t>Máx.</t>
  </si>
  <si>
    <t>P01U3</t>
  </si>
  <si>
    <t>US3</t>
  </si>
  <si>
    <t>P01U4</t>
  </si>
  <si>
    <t>US4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</si>
  <si>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</si>
  <si>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</si>
  <si>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</si>
  <si>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</si>
  <si>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</si>
  <si>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</si>
  <si>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</si>
  <si>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</si>
  <si>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</si>
  <si>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</si>
  <si>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</si>
  <si>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</si>
  <si>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</si>
  <si>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</si>
  <si>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</si>
  <si>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</si>
  <si>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</si>
  <si>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</si>
  <si>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</si>
  <si>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</si>
  <si>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</si>
  <si>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</si>
  <si>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</si>
  <si>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</si>
  <si>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</si>
  <si>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</si>
  <si>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</si>
  <si>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</si>
  <si>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</si>
  <si>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</si>
  <si>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</si>
  <si>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</si>
  <si>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</si>
  <si>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</si>
  <si>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</si>
  <si>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</si>
  <si>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</si>
  <si>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</si>
  <si>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</si>
  <si>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</si>
  <si>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P22U3</t>
  </si>
  <si>
    <t>P22U4</t>
  </si>
  <si>
    <t>P23U3</t>
  </si>
  <si>
    <t>P23U4</t>
  </si>
  <si>
    <t>P24U3</t>
  </si>
  <si>
    <t>P24U4</t>
  </si>
  <si>
    <t>Resultado do período: média (Produção = soma; Ritmo = último valor). Valores em laranja: fora da especificação. Valores fora da faixa válida são descartados.</t>
  </si>
  <si>
    <t>Passagem de Turno - Laboratório Físico</t>
  </si>
  <si>
    <t>Usinas 3 e 4  ·  Dia 07h-19h  ·  Noite 19h-07h  ·  Turmas A, B, C e D</t>
  </si>
  <si>
    <t>Turno</t>
  </si>
  <si>
    <t>Responsável (entrega)</t>
  </si>
  <si>
    <t>Turma que recebe</t>
  </si>
  <si>
    <t>Recebido por</t>
  </si>
  <si>
    <t>1. Equipe do turno</t>
  </si>
  <si>
    <t>Técnico Físico</t>
  </si>
  <si>
    <t>Técnico Químico</t>
  </si>
  <si>
    <t>Laboratorista 01</t>
  </si>
  <si>
    <t>Laboratorista 02</t>
  </si>
  <si>
    <t>Laboratorista 03</t>
  </si>
  <si>
    <t>Laboratorista 04</t>
  </si>
  <si>
    <t>2. Testes e pendências</t>
  </si>
  <si>
    <t>Testes realizados no turno</t>
  </si>
  <si>
    <t>Pendências / testes a realizar (para o próximo turno)</t>
  </si>
  <si>
    <t>3. Minerodutos / batch</t>
  </si>
  <si>
    <t>Mineroduto</t>
  </si>
  <si>
    <t>Batch</t>
  </si>
  <si>
    <t>Término</t>
  </si>
  <si>
    <t>Observação</t>
  </si>
  <si>
    <t>Mineroduto 02</t>
  </si>
  <si>
    <t>Mineroduto 03</t>
  </si>
  <si>
    <t>4. Status dos equipamentos (US3 / US4)</t>
  </si>
  <si>
    <t>Área</t>
  </si>
  <si>
    <t>Equipamento</t>
  </si>
  <si>
    <t>Comentário</t>
  </si>
  <si>
    <t>Preparação</t>
  </si>
  <si>
    <t>Moinho 01</t>
  </si>
  <si>
    <t>Moinho 02</t>
  </si>
  <si>
    <t>Planta 03</t>
  </si>
  <si>
    <t>Planta 04</t>
  </si>
  <si>
    <t>Amostragem PF / Mistura</t>
  </si>
  <si>
    <t>Alimentação US 03 - 02TP04</t>
  </si>
  <si>
    <t>Alimentação US 04</t>
  </si>
  <si>
    <t>Descarga US 03 - 03TP03</t>
  </si>
  <si>
    <t>Descarga US 04</t>
  </si>
  <si>
    <t>Linha de Mistura US 03 - 04TP05</t>
  </si>
  <si>
    <t>Linha de Mistura US 04 - 04TP04</t>
  </si>
  <si>
    <t>Amostragem PQ</t>
  </si>
  <si>
    <t>Cortador PQ US 03 Primário - 07CR02</t>
  </si>
  <si>
    <t>Cortador PQ US 03 Secundário - 07CR05</t>
  </si>
  <si>
    <t>Cortador PQ US 04 Primário - 07CR001</t>
  </si>
  <si>
    <t>Cortador PQ US 04 Secundário - 07CR002</t>
  </si>
  <si>
    <t>5. Comentários por usina</t>
  </si>
  <si>
    <t>Assunto</t>
  </si>
  <si>
    <t>Usina 3</t>
  </si>
  <si>
    <t>Usina 4</t>
  </si>
  <si>
    <t>Produto</t>
  </si>
  <si>
    <t>Aglomerante</t>
  </si>
  <si>
    <t>Combustível sólido</t>
  </si>
  <si>
    <t>Qualidade das pelotas</t>
  </si>
  <si>
    <t>6. Embarque em andamento</t>
  </si>
  <si>
    <t>Cliente</t>
  </si>
  <si>
    <t>Navio</t>
  </si>
  <si>
    <t>Qtd (TMS)</t>
  </si>
  <si>
    <t>Tamb. (%)</t>
  </si>
  <si>
    <t>Compr. (kgf)</t>
  </si>
  <si>
    <t>-6,3 mm (%)</t>
  </si>
  <si>
    <t>Relação</t>
  </si>
  <si>
    <t>B2</t>
  </si>
  <si>
    <t>SiO2 (%)</t>
  </si>
  <si>
    <t>7. Observações gerais</t>
  </si>
  <si>
    <t>Gerado em</t>
  </si>
  <si>
    <t>Finalizado em</t>
  </si>
  <si>
    <t>Resultados do MES em</t>
  </si>
  <si>
    <t>Resultados do turno  ·  Turno Dia  ·  07h às 19h</t>
  </si>
  <si>
    <t>Resumo ainda não gerado  ·  use o botão 3 do Painel (Resumo do turno)</t>
  </si>
  <si>
    <t>07h-09h</t>
  </si>
  <si>
    <t>09h-11h</t>
  </si>
  <si>
    <t>11h-13h</t>
  </si>
  <si>
    <t>13h-15h</t>
  </si>
  <si>
    <t>15h-17h</t>
  </si>
  <si>
    <t>17h-19h</t>
  </si>
  <si>
    <t>Resultado do turno = média (Produção = soma; Ritmo = último valor). Valores em laranja: fora da especificação.</t>
  </si>
  <si>
    <t>Passagem de Turno - Usinas 3 e 4</t>
  </si>
  <si>
    <t>Laboratório Físico  ·  Turno Dia  ·  07h às 19h</t>
  </si>
  <si>
    <t>Equipe</t>
  </si>
  <si>
    <t>Equipamentos não operando</t>
  </si>
  <si>
    <t>Minerodutos</t>
  </si>
  <si>
    <t>Testes realizados</t>
  </si>
  <si>
    <t>Pendências p/ próximo turno</t>
  </si>
  <si>
    <t>Comentários US3</t>
  </si>
  <si>
    <t>Comentários US4</t>
  </si>
  <si>
    <t>Embarque em andamento</t>
  </si>
  <si>
    <t>Observações</t>
  </si>
  <si>
    <t>Este resumo guarda uma "foto" do turno Dia.
Ele é refeito pelo botão 3 do Painel (Resumo do turno) e ao atualizar o MES, enquanto o turno não for finalizado.</t>
  </si>
  <si>
    <t>Resultados do turno  ·  Turno Noite  ·  19h às 07h</t>
  </si>
  <si>
    <t>19h-21h</t>
  </si>
  <si>
    <t>21h-23h</t>
  </si>
  <si>
    <t>23h-01h</t>
  </si>
  <si>
    <t>01h-03h</t>
  </si>
  <si>
    <t>03h-05h</t>
  </si>
  <si>
    <t>05h-07h</t>
  </si>
  <si>
    <t>Laboratório Físico  ·  Turno Noite  ·  19h às 07h</t>
  </si>
  <si>
    <t>Este resumo guarda uma "foto" do turno Noite.
Ele é refeito pelo botão 3 do Painel (Resumo do turno) e ao atualizar o MES, enquanto o turno não for finalizado.</t>
  </si>
  <si>
    <t>Informativo de Qualidade &amp; Passagem de Turno</t>
  </si>
  <si>
    <t>Laboratório Físico  ·  Usinas 3 e 4  ·  Resultados do MES</t>
  </si>
  <si>
    <t>Turno selecionado</t>
  </si>
  <si>
    <t>Data do turno</t>
  </si>
  <si>
    <t>Dia: 07h às 19h   ·   Noite: 19h às 07h do dia seguinte   ·   Turmas A, B, C e D</t>
  </si>
  <si>
    <t>Ações do turno</t>
  </si>
  <si>
    <t>Situação do turno</t>
  </si>
  <si>
    <t>Informativo carregado (MES)</t>
  </si>
  <si>
    <t>Passagem de turno preenchida</t>
  </si>
  <si>
    <t>Resumo Dia</t>
  </si>
  <si>
    <t>Resumo Noite</t>
  </si>
  <si>
    <t>Indicadores do Informativo carregado</t>
  </si>
  <si>
    <t>Resistência à Compressão (kgf/pel)</t>
  </si>
  <si>
    <t>Tamboramento (%)</t>
  </si>
  <si>
    <t>SiO2 - Mistura (%)</t>
  </si>
  <si>
    <t>Produção (t)</t>
  </si>
  <si>
    <t>Mais opções</t>
  </si>
  <si>
    <t>Tipo</t>
  </si>
  <si>
    <t>Seção</t>
  </si>
  <si>
    <t>Item</t>
  </si>
  <si>
    <t>Texto</t>
  </si>
  <si>
    <t>Cabeçalho</t>
  </si>
  <si>
    <t/>
  </si>
  <si>
    <t>#ptRecebe</t>
  </si>
  <si>
    <t>#ptRecebidoPor</t>
  </si>
  <si>
    <t>@B10</t>
  </si>
  <si>
    <t>@C10</t>
  </si>
  <si>
    <t>@B11</t>
  </si>
  <si>
    <t>@C11</t>
  </si>
  <si>
    <t>@B12</t>
  </si>
  <si>
    <t>@C12</t>
  </si>
  <si>
    <t>@B13</t>
  </si>
  <si>
    <t>@C13</t>
  </si>
  <si>
    <t>@B14</t>
  </si>
  <si>
    <t>@C14</t>
  </si>
  <si>
    <t>@B15</t>
  </si>
  <si>
    <t>@C15</t>
  </si>
  <si>
    <t>#ptTestes</t>
  </si>
  <si>
    <t>#ptPendencias</t>
  </si>
  <si>
    <t>@B27</t>
  </si>
  <si>
    <t>@C27</t>
  </si>
  <si>
    <t>@E27</t>
  </si>
  <si>
    <t>@G27</t>
  </si>
  <si>
    <t>@I27</t>
  </si>
  <si>
    <t>@B28</t>
  </si>
  <si>
    <t>@C28</t>
  </si>
  <si>
    <t>@E28</t>
  </si>
  <si>
    <t>@G28</t>
  </si>
  <si>
    <t>@I28</t>
  </si>
  <si>
    <t>@B32</t>
  </si>
  <si>
    <t>@C32</t>
  </si>
  <si>
    <t>@G32</t>
  </si>
  <si>
    <t>@I32</t>
  </si>
  <si>
    <t>@B33</t>
  </si>
  <si>
    <t>@C33</t>
  </si>
  <si>
    <t>@G33</t>
  </si>
  <si>
    <t>@I33</t>
  </si>
  <si>
    <t>@B34</t>
  </si>
  <si>
    <t>@C34</t>
  </si>
  <si>
    <t>@G34</t>
  </si>
  <si>
    <t>@I34</t>
  </si>
  <si>
    <t>@B35</t>
  </si>
  <si>
    <t>@C35</t>
  </si>
  <si>
    <t>@G35</t>
  </si>
  <si>
    <t>@I35</t>
  </si>
  <si>
    <t>@B36</t>
  </si>
  <si>
    <t>@C36</t>
  </si>
  <si>
    <t>@G36</t>
  </si>
  <si>
    <t>@I36</t>
  </si>
  <si>
    <t>@B37</t>
  </si>
  <si>
    <t>@C37</t>
  </si>
  <si>
    <t>@G37</t>
  </si>
  <si>
    <t>@I37</t>
  </si>
  <si>
    <t>@B38</t>
  </si>
  <si>
    <t>@C38</t>
  </si>
  <si>
    <t>@G38</t>
  </si>
  <si>
    <t>@I38</t>
  </si>
  <si>
    <t>@B39</t>
  </si>
  <si>
    <t>@C39</t>
  </si>
  <si>
    <t>@G39</t>
  </si>
  <si>
    <t>@I39</t>
  </si>
  <si>
    <t>@B40</t>
  </si>
  <si>
    <t>@C40</t>
  </si>
  <si>
    <t>@G40</t>
  </si>
  <si>
    <t>@I40</t>
  </si>
  <si>
    <t>@B41</t>
  </si>
  <si>
    <t>@C41</t>
  </si>
  <si>
    <t>@G41</t>
  </si>
  <si>
    <t>@I41</t>
  </si>
  <si>
    <t>@B42</t>
  </si>
  <si>
    <t>@C42</t>
  </si>
  <si>
    <t>@G42</t>
  </si>
  <si>
    <t>@I42</t>
  </si>
  <si>
    <t>@B43</t>
  </si>
  <si>
    <t>@C43</t>
  </si>
  <si>
    <t>@G43</t>
  </si>
  <si>
    <t>@I43</t>
  </si>
  <si>
    <t>@B44</t>
  </si>
  <si>
    <t>@C44</t>
  </si>
  <si>
    <t>@G44</t>
  </si>
  <si>
    <t>@I44</t>
  </si>
  <si>
    <t>@B45</t>
  </si>
  <si>
    <t>@C45</t>
  </si>
  <si>
    <t>@G45</t>
  </si>
  <si>
    <t>@I45</t>
  </si>
  <si>
    <t>@B49</t>
  </si>
  <si>
    <t>@C49</t>
  </si>
  <si>
    <t>@H49</t>
  </si>
  <si>
    <t>@B50</t>
  </si>
  <si>
    <t>@C50</t>
  </si>
  <si>
    <t>@H50</t>
  </si>
  <si>
    <t>@B51</t>
  </si>
  <si>
    <t>@C51</t>
  </si>
  <si>
    <t>@H51</t>
  </si>
  <si>
    <t>@B52</t>
  </si>
  <si>
    <t>@C52</t>
  </si>
  <si>
    <t>@H52</t>
  </si>
  <si>
    <t>Embarque</t>
  </si>
  <si>
    <t>Embarque 1</t>
  </si>
  <si>
    <t>@B56</t>
  </si>
  <si>
    <t>@C56</t>
  </si>
  <si>
    <t>@D56</t>
  </si>
  <si>
    <t>@E56</t>
  </si>
  <si>
    <t>@F56</t>
  </si>
  <si>
    <t>@G56</t>
  </si>
  <si>
    <t>@H56</t>
  </si>
  <si>
    <t>@I56</t>
  </si>
  <si>
    <t>@J56</t>
  </si>
  <si>
    <t>@K56</t>
  </si>
  <si>
    <t>@L56</t>
  </si>
  <si>
    <t>@M56</t>
  </si>
  <si>
    <t>@C57</t>
  </si>
  <si>
    <t>Observações gerais</t>
  </si>
  <si>
    <t>#ptObs</t>
  </si>
  <si>
    <t>Param</t>
  </si>
  <si>
    <t>Linha Informativo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</si>
  <si>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</si>
  <si>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</si>
  <si>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</si>
  <si>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</si>
  <si>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</si>
  <si>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</si>
  <si>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</si>
  <si>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</si>
  <si>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</si>
  <si>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</si>
  <si>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</si>
  <si>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</si>
  <si>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</t>
  </si>
  <si>
    <t>P</t>
  </si>
  <si>
    <t>A17</t>
  </si>
  <si>
    <t>A19</t>
  </si>
  <si>
    <t>22,23</t>
  </si>
  <si>
    <t>R</t>
  </si>
  <si>
    <t>Ritmo de processo</t>
  </si>
  <si>
    <t>0</t>
  </si>
  <si>
    <t>A27</t>
  </si>
  <si>
    <t>A29</t>
  </si>
  <si>
    <t>24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</si>
</sst>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0%"/>
    <numFmt numFmtId="166" formatCode="0.0"/>
    <numFmt numFmtId="167" formatCode="0.00"/>
    <numFmt numFmtId="168" formatCode="dd/mm/yyyy hh:mm"/>
    <numFmt numFmtId="169" formatCode="hh:mm"/>
    <numFmt numFmtId="170" formatCode="dd/mm/yyyy hh:mm:ss"/>
  </numFmts>
  <fonts count="33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5"/>
      <color rgb="FFFFFFFF"/>
      <name val="Segoe UI"/>
      <family val="2"/>
    </font>
    <font>
      <sz val="9"/>
      <color rgb="FFCFE0EA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3"/>
      <color rgb="FF003B6C"/>
      <name val="Segoe UI"/>
      <family val="2"/>
    </font>
    <font>
      <b/>
      <sz val="9"/>
      <color rgb="FF003B6C"/>
      <name val="Segoe UI"/>
      <family val="2"/>
    </font>
    <font>
      <b/>
      <sz val="9"/>
      <color rgb="FF61889B"/>
      <name val="Segoe UI"/>
      <family val="2"/>
    </font>
    <font>
      <b/>
      <sz val="14"/>
      <color rgb="FF003B6C"/>
      <name val="Segoe UI"/>
      <family val="2"/>
    </font>
    <font>
      <b/>
      <sz val="9"/>
      <color rgb="FF1D2B36"/>
      <name val="Segoe UI"/>
      <family val="2"/>
    </font>
    <font>
      <b/>
      <sz val="10"/>
      <color rgb="FF003B6C"/>
      <name val="Segoe UI"/>
      <family val="2"/>
    </font>
    <font>
      <b/>
      <sz val="9"/>
      <color rgb="FFFFFFFF"/>
      <name val="Segoe UI"/>
      <family val="2"/>
    </font>
    <font>
      <sz val="6"/>
      <color rgb="FFFFFFFF"/>
      <name val="Segoe UI"/>
      <family val="2"/>
    </font>
    <font>
      <sz val="9"/>
      <color rgb="FF1D2B36"/>
      <name val="Segoe UI"/>
      <family val="2"/>
    </font>
    <font>
      <b/>
      <sz val="8"/>
      <color rgb="FF00335A"/>
      <name val="Segoe UI"/>
      <family val="2"/>
    </font>
    <font>
      <sz val="8"/>
      <color rgb="FF61889B"/>
      <name val="Segoe UI"/>
      <family val="2"/>
    </font>
    <font>
      <b/>
      <sz val="8"/>
      <color rgb="FF61889B"/>
      <name val="Segoe UI"/>
      <family val="2"/>
    </font>
    <font>
      <i/>
      <sz val="8"/>
      <color rgb="FF5B6B77"/>
      <name val="Segoe UI"/>
      <family val="2"/>
    </font>
    <font>
      <b/>
      <sz val="11"/>
      <color rgb="FF1D2B36"/>
      <name val="Segoe UI"/>
      <family val="2"/>
    </font>
    <font>
      <sz val="9"/>
      <color rgb="FF5B6B77"/>
      <name val="Segoe UI"/>
      <family val="2"/>
    </font>
    <font>
      <b/>
      <sz val="8"/>
      <color rgb="FFFFFFFF"/>
      <name val="Segoe UI"/>
      <family val="2"/>
    </font>
    <font>
      <sz val="9"/>
      <color rgb="FF61889B"/>
      <name val="Segoe UI"/>
      <family val="2"/>
    </font>
    <font>
      <b/>
      <sz val="10"/>
      <color rgb="FFFFFFFF"/>
      <name val="Segoe UI"/>
      <family val="2"/>
    </font>
    <font>
      <b/>
      <sz val="10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/>
      <diagonal/>
    </border>
    <border>
      <left style="thin">
        <color rgb="FFDDE3E8"/>
      </left>
      <right style="thin">
        <color rgb="FFDDE3E8"/>
      </right>
      <top/>
      <bottom style="thin">
        <color rgb="FFDDE3E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00335A"/>
      </left>
      <right style="thin">
        <color rgb="FF00335A"/>
      </right>
      <top style="thin">
        <color rgb="FF00335A"/>
      </top>
      <bottom style="thin">
        <color rgb="FF00335A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0" borderId="1" xfId="0" applyFont="1" applyBorder="1" applyAlignment="1"/>
    <xf numFmtId="0" fontId="5" fillId="0" borderId="0" xfId="0" applyFont="1" applyAlignment="1">
      <alignment horizontal="left" vertical="center" indent="1"/>
    </xf>
    <xf numFmtId="164" fontId="6" fillId="4" borderId="2" xfId="0" applyNumberFormat="1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left" vertical="center" indent="1"/>
      <protection locked="0"/>
    </xf>
    <xf numFmtId="0" fontId="5" fillId="5" borderId="3" xfId="0" applyFont="1" applyFill="1" applyBorder="1" applyAlignment="1">
      <alignment horizontal="left" vertical="center" indent="1"/>
    </xf>
    <xf numFmtId="0" fontId="6" fillId="5" borderId="4" xfId="0" applyFont="1" applyFill="1" applyBorder="1" applyAlignment="1">
      <alignment horizontal="left" vertical="center" indent="1"/>
    </xf>
    <xf numFmtId="165" fontId="6" fillId="5" borderId="4" xfId="0" applyNumberFormat="1" applyFont="1" applyFill="1" applyBorder="1" applyAlignment="1">
      <alignment horizontal="left" vertical="center" indent="1"/>
    </xf>
    <xf numFmtId="0" fontId="7" fillId="6" borderId="2" xfId="0" applyFont="1" applyFill="1" applyBorder="1" applyAlignment="1">
      <alignment horizontal="left" vertical="center" indent="1"/>
    </xf>
    <xf numFmtId="0" fontId="8" fillId="7" borderId="2" xfId="0" applyFont="1" applyFill="1" applyBorder="1" applyAlignment="1">
      <alignment horizontal="center" vertical="center"/>
    </xf>
    <xf numFmtId="1" fontId="9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67" fontId="9" fillId="7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68" fontId="1" fillId="0" borderId="0" xfId="0" applyNumberFormat="1" applyFont="1" applyAlignment="1">
      <alignment vertical="center"/>
    </xf>
    <xf numFmtId="0" fontId="11" fillId="5" borderId="2" xfId="0" applyFont="1" applyFill="1" applyBorder="1" applyAlignment="1">
      <alignment horizontal="left" vertical="center" indent="1"/>
    </xf>
    <xf numFmtId="0" fontId="12" fillId="2" borderId="5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7" borderId="2" xfId="0" applyFont="1" applyFill="1" applyBorder="1" applyAlignment="1">
      <alignment horizontal="left" vertical="center" indent="1" wrapText="1"/>
    </xf>
    <xf numFmtId="0" fontId="5" fillId="7" borderId="2" xfId="0" applyFont="1" applyFill="1" applyBorder="1" applyAlignment="1">
      <alignment horizontal="center" vertical="center"/>
    </xf>
    <xf numFmtId="0" fontId="15" fillId="7" borderId="2" xfId="0" applyFont="1" applyFill="1" applyBorder="1" applyAlignment="1">
      <alignment horizontal="center" vertical="center"/>
    </xf>
    <xf numFmtId="1" fontId="14" fillId="7" borderId="2" xfId="0" applyNumberFormat="1" applyFont="1" applyFill="1" applyBorder="1" applyAlignment="1">
      <alignment horizontal="center" vertical="center"/>
    </xf>
    <xf numFmtId="1" fontId="7" fillId="8" borderId="2" xfId="0" applyNumberFormat="1" applyFont="1" applyFill="1" applyBorder="1" applyAlignment="1">
      <alignment horizontal="center" vertical="center"/>
    </xf>
    <xf numFmtId="1" fontId="16" fillId="7" borderId="2" xfId="0" applyNumberFormat="1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left" vertical="center" indent="1" wrapText="1"/>
    </xf>
    <xf numFmtId="0" fontId="5" fillId="9" borderId="2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>
      <alignment horizontal="center" vertical="center"/>
    </xf>
    <xf numFmtId="1" fontId="16" fillId="9" borderId="2" xfId="0" applyNumberFormat="1" applyFont="1" applyFill="1" applyBorder="1" applyAlignment="1">
      <alignment horizontal="center" vertical="center"/>
    </xf>
    <xf numFmtId="0" fontId="17" fillId="9" borderId="2" xfId="0" applyFont="1" applyFill="1" applyBorder="1" applyAlignment="1">
      <alignment horizontal="center" vertical="center"/>
    </xf>
    <xf numFmtId="0" fontId="5" fillId="0" borderId="0" xfId="0" applyFont="1" applyAlignment="1">
      <alignment vertical="top" indent="1" wrapText="1"/>
    </xf>
    <xf numFmtId="166" fontId="14" fillId="9" borderId="2" xfId="0" applyNumberFormat="1" applyFont="1" applyFill="1" applyBorder="1" applyAlignment="1">
      <alignment horizontal="center" vertical="center"/>
    </xf>
    <xf numFmtId="166" fontId="7" fillId="8" borderId="2" xfId="0" applyNumberFormat="1" applyFont="1" applyFill="1" applyBorder="1" applyAlignment="1">
      <alignment horizontal="center" vertical="center"/>
    </xf>
    <xf numFmtId="166" fontId="16" fillId="9" borderId="2" xfId="0" applyNumberFormat="1" applyFont="1" applyFill="1" applyBorder="1" applyAlignment="1">
      <alignment horizontal="center" vertical="center"/>
    </xf>
    <xf numFmtId="167" fontId="14" fillId="7" borderId="2" xfId="0" applyNumberFormat="1" applyFont="1" applyFill="1" applyBorder="1" applyAlignment="1">
      <alignment horizontal="center" vertical="center"/>
    </xf>
    <xf numFmtId="167" fontId="7" fillId="8" borderId="2" xfId="0" applyNumberFormat="1" applyFont="1" applyFill="1" applyBorder="1" applyAlignment="1">
      <alignment horizontal="center" vertical="center"/>
    </xf>
    <xf numFmtId="167" fontId="16" fillId="7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6" fillId="9" borderId="2" xfId="0" applyNumberFormat="1" applyFont="1" applyFill="1" applyBorder="1" applyAlignment="1">
      <alignment horizontal="center" vertical="center"/>
    </xf>
    <xf numFmtId="166" fontId="14" fillId="7" borderId="2" xfId="0" applyNumberFormat="1" applyFont="1" applyFill="1" applyBorder="1" applyAlignment="1">
      <alignment horizontal="center" vertical="center"/>
    </xf>
    <xf numFmtId="166" fontId="16" fillId="7" borderId="2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 indent="1"/>
    </xf>
    <xf numFmtId="0" fontId="7" fillId="5" borderId="2" xfId="0" applyFont="1" applyFill="1" applyBorder="1" applyAlignment="1">
      <alignment horizontal="left" vertical="center" indent="1" wrapText="1"/>
    </xf>
    <xf numFmtId="0" fontId="14" fillId="0" borderId="2" xfId="0" applyFont="1" applyBorder="1" applyAlignment="1">
      <alignment horizontal="left" vertical="center" indent="1" wrapText="1"/>
    </xf>
    <xf numFmtId="164" fontId="4" fillId="5" borderId="2" xfId="0" applyNumberFormat="1" applyFont="1" applyFill="1" applyBorder="1" applyAlignment="1">
      <alignment horizontal="left" vertical="center" indent="1"/>
    </xf>
    <xf numFmtId="0" fontId="4" fillId="5" borderId="2" xfId="0" applyFont="1" applyFill="1" applyBorder="1" applyAlignment="1">
      <alignment horizontal="left" vertical="center" indent="1"/>
    </xf>
    <xf numFmtId="0" fontId="4" fillId="5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 applyProtection="1">
      <alignment horizontal="center" vertical="center"/>
      <protection locked="0"/>
    </xf>
    <xf numFmtId="0" fontId="19" fillId="4" borderId="2" xfId="0" applyFont="1" applyFill="1" applyBorder="1" applyAlignment="1" applyProtection="1">
      <alignment horizontal="left" vertical="center" indent="1"/>
      <protection locked="0"/>
    </xf>
    <xf numFmtId="0" fontId="14" fillId="5" borderId="2" xfId="0" applyFont="1" applyFill="1" applyBorder="1" applyAlignment="1" applyProtection="1">
      <alignment horizontal="left" vertical="center" indent="1" wrapText="1"/>
      <protection locked="0"/>
    </xf>
    <xf numFmtId="0" fontId="14" fillId="4" borderId="2" xfId="0" applyFont="1" applyFill="1" applyBorder="1" applyAlignment="1" applyProtection="1">
      <alignment vertical="center"/>
      <protection locked="0"/>
    </xf>
    <xf numFmtId="0" fontId="14" fillId="4" borderId="2" xfId="0" applyFont="1" applyFill="1" applyBorder="1" applyAlignment="1" applyProtection="1">
      <alignment vertical="top" wrapText="1"/>
      <protection locked="0"/>
    </xf>
    <xf numFmtId="0" fontId="12" fillId="2" borderId="6" xfId="0" applyFont="1" applyFill="1" applyBorder="1" applyAlignment="1">
      <alignment horizontal="center" vertical="center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0" fontId="14" fillId="4" borderId="2" xfId="0" applyFont="1" applyFill="1" applyBorder="1" applyAlignment="1" applyProtection="1">
      <alignment horizontal="left" vertical="center"/>
      <protection locked="0"/>
    </xf>
    <xf numFmtId="0" fontId="20" fillId="5" borderId="2" xfId="0" applyFont="1" applyFill="1" applyBorder="1" applyAlignment="1" applyProtection="1">
      <alignment horizontal="left" vertical="center" indent="1"/>
      <protection locked="0"/>
    </xf>
    <xf numFmtId="0" fontId="14" fillId="5" borderId="2" xfId="0" applyFont="1" applyFill="1" applyBorder="1" applyAlignment="1" applyProtection="1">
      <alignment horizontal="left" vertical="center" indent="1"/>
      <protection locked="0"/>
    </xf>
    <xf numFmtId="0" fontId="21" fillId="2" borderId="6" xfId="0" applyFont="1" applyFill="1" applyBorder="1" applyAlignment="1">
      <alignment horizontal="center" vertical="center" wrapText="1"/>
    </xf>
    <xf numFmtId="168" fontId="4" fillId="5" borderId="2" xfId="0" applyNumberFormat="1" applyFont="1" applyFill="1" applyBorder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20" fillId="0" borderId="0" xfId="0" applyFont="1" applyAlignment="1">
      <alignment horizontal="right" vertical="center"/>
    </xf>
    <xf numFmtId="168" fontId="4" fillId="4" borderId="7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 wrapText="1"/>
    </xf>
    <xf numFmtId="0" fontId="20" fillId="0" borderId="0" xfId="0" applyFont="1" applyAlignment="1">
      <alignment vertical="center"/>
    </xf>
    <xf numFmtId="0" fontId="12" fillId="2" borderId="6" xfId="0" applyFont="1" applyFill="1" applyBorder="1" applyAlignment="1">
      <alignment horizontal="center" vertical="center" wrapText="1"/>
    </xf>
    <xf numFmtId="1" fontId="14" fillId="7" borderId="2" xfId="0" applyNumberFormat="1" applyFont="1" applyFill="1" applyBorder="1" applyAlignment="1" applyProtection="1">
      <alignment horizontal="center" vertical="center"/>
      <protection locked="0"/>
    </xf>
    <xf numFmtId="1" fontId="11" fillId="8" borderId="2" xfId="0" applyNumberFormat="1" applyFont="1" applyFill="1" applyBorder="1" applyAlignment="1">
      <alignment horizontal="center" vertical="center"/>
    </xf>
    <xf numFmtId="1" fontId="22" fillId="7" borderId="2" xfId="0" applyNumberFormat="1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 applyProtection="1">
      <alignment horizontal="center" vertical="center"/>
      <protection locked="0"/>
    </xf>
    <xf numFmtId="1" fontId="22" fillId="9" borderId="2" xfId="0" applyNumberFormat="1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166" fontId="14" fillId="9" borderId="2" xfId="0" applyNumberFormat="1" applyFont="1" applyFill="1" applyBorder="1" applyAlignment="1" applyProtection="1">
      <alignment horizontal="center" vertical="center"/>
      <protection locked="0"/>
    </xf>
    <xf numFmtId="166" fontId="11" fillId="8" borderId="2" xfId="0" applyNumberFormat="1" applyFont="1" applyFill="1" applyBorder="1" applyAlignment="1">
      <alignment horizontal="center" vertical="center"/>
    </xf>
    <xf numFmtId="166" fontId="22" fillId="9" borderId="2" xfId="0" applyNumberFormat="1" applyFont="1" applyFill="1" applyBorder="1" applyAlignment="1">
      <alignment horizontal="center" vertical="center"/>
    </xf>
    <xf numFmtId="167" fontId="14" fillId="7" borderId="2" xfId="0" applyNumberFormat="1" applyFont="1" applyFill="1" applyBorder="1" applyAlignment="1" applyProtection="1">
      <alignment horizontal="center" vertical="center"/>
      <protection locked="0"/>
    </xf>
    <xf numFmtId="167" fontId="11" fillId="8" borderId="2" xfId="0" applyNumberFormat="1" applyFont="1" applyFill="1" applyBorder="1" applyAlignment="1">
      <alignment horizontal="center" vertical="center"/>
    </xf>
    <xf numFmtId="167" fontId="22" fillId="7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 applyProtection="1">
      <alignment horizontal="center" vertical="center"/>
      <protection locked="0"/>
    </xf>
    <xf numFmtId="167" fontId="22" fillId="9" borderId="2" xfId="0" applyNumberFormat="1" applyFont="1" applyFill="1" applyBorder="1" applyAlignment="1">
      <alignment horizontal="center" vertical="center"/>
    </xf>
    <xf numFmtId="166" fontId="14" fillId="7" borderId="2" xfId="0" applyNumberFormat="1" applyFont="1" applyFill="1" applyBorder="1" applyAlignment="1" applyProtection="1">
      <alignment horizontal="center" vertical="center"/>
      <protection locked="0"/>
    </xf>
    <xf numFmtId="166" fontId="22" fillId="7" borderId="2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 indent="1" wrapText="1"/>
    </xf>
    <xf numFmtId="0" fontId="23" fillId="10" borderId="0" xfId="0" applyFont="1" applyFill="1" applyAlignment="1">
      <alignment horizontal="left" vertical="center" indent="1"/>
    </xf>
    <xf numFmtId="0" fontId="24" fillId="5" borderId="2" xfId="0" applyFont="1" applyFill="1" applyBorder="1" applyAlignment="1">
      <alignment horizontal="left" vertical="center" indent="1"/>
    </xf>
    <xf numFmtId="0" fontId="1" fillId="4" borderId="2" xfId="0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horizontal="left" vertical="center" indent="1"/>
    </xf>
    <xf numFmtId="0" fontId="10" fillId="6" borderId="0" xfId="0" applyFont="1" applyFill="1" applyAlignment="1">
      <alignment vertical="center" wrapText="1"/>
    </xf>
    <xf numFmtId="0" fontId="14" fillId="0" borderId="8" xfId="0" applyFont="1" applyBorder="1" applyAlignment="1">
      <alignment vertical="center"/>
    </xf>
    <xf numFmtId="169" fontId="1" fillId="4" borderId="2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 wrapText="1"/>
    </xf>
    <xf numFmtId="0" fontId="23" fillId="11" borderId="5" xfId="0" applyFont="1" applyFill="1" applyBorder="1" applyAlignment="1">
      <alignment horizontal="center" vertical="center" wrapText="1"/>
    </xf>
    <xf numFmtId="0" fontId="26" fillId="5" borderId="5" xfId="0" applyFont="1" applyFill="1" applyBorder="1" applyAlignment="1">
      <alignment horizontal="left" vertical="center" indent="1"/>
    </xf>
    <xf numFmtId="0" fontId="24" fillId="5" borderId="5" xfId="0" applyFont="1" applyFill="1" applyBorder="1" applyAlignment="1">
      <alignment horizontal="left" vertical="center" indent="1"/>
    </xf>
    <xf numFmtId="0" fontId="27" fillId="4" borderId="2" xfId="0" applyFont="1" applyFill="1" applyBorder="1" applyAlignment="1" applyProtection="1">
      <alignment vertical="center"/>
      <protection locked="0"/>
    </xf>
    <xf numFmtId="0" fontId="26" fillId="7" borderId="5" xfId="0" applyFont="1" applyFill="1" applyBorder="1" applyAlignment="1">
      <alignment horizontal="left" vertical="center" indent="1"/>
    </xf>
    <xf numFmtId="0" fontId="24" fillId="7" borderId="5" xfId="0" applyFont="1" applyFill="1" applyBorder="1" applyAlignment="1">
      <alignment horizontal="left" vertical="center" indent="1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170" fontId="1" fillId="5" borderId="0" xfId="0" applyNumberFormat="1" applyFont="1" applyFill="1" applyAlignment="1">
      <alignment horizontal="left"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0" xfId="0" applyFont="1" applyFill="1" applyAlignment="1">
      <alignment vertical="center" wrapText="1"/>
    </xf>
    <xf numFmtId="167" fontId="1" fillId="0" borderId="0" xfId="0" applyNumberFormat="1" applyFont="1" applyAlignment="1">
      <alignment vertical="center"/>
    </xf>
  </cellXfs>
  <cellStyles count="1">
    <cellStyle name="Normal" xfId="0" builtinId="0"/>
  </cellStyles>
  <dxfs count="5">
    <dxf>
      <font>
        <b/>
        <color rgb="FFF37021"/>
      </font>
      <fill>
        <patternFill>
          <bgColor rgb="FFFDE6D8"/>
        </patternFill>
      </fill>
    </dxf>
    <dxf>
      <font>
        <color rgb="FF1E7B4A"/>
      </font>
      <fill>
        <patternFill>
          <bgColor rgb="FFE2F3E8"/>
        </patternFill>
      </fill>
    </dxf>
    <dxf>
      <font>
        <b/>
        <color rgb="FFB4501A"/>
      </font>
      <fill>
        <patternFill>
          <bgColor rgb="FFFDE6D8"/>
        </patternFill>
      </fill>
    </dxf>
    <dxf>
      <font>
        <color rgb="FFFFFFFF"/>
      </font>
      <fill>
        <patternFill>
          <bgColor rgb="FFF37021"/>
        </patternFill>
      </fill>
    </dxf>
    <dxf>
      <font>
        <color rgb="FFFFFFFF"/>
      </font>
      <fill>
        <patternFill>
          <bgColor rgb="FF1E7B4A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3</xdr:col>
      <xdr:colOff>194310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8</xdr:row>
      <xdr:rowOff>28575</xdr:rowOff>
    </xdr:from>
    <xdr:to>
      <xdr:col>3</xdr:col>
      <xdr:colOff>95250</xdr:colOff>
      <xdr:row>8</xdr:row>
      <xdr:rowOff>238125</xdr:rowOff>
    </xdr:to>
    <xdr:sp macro="[0]!BtnTurnoAtual" textlink="">
      <xdr:nvSpPr>
        <xdr:cNvPr id="3" name="TextBox 2" descr="Botão: BtnTurnoAtual"/>
        <xdr:cNvSpPr txBox="1"/>
      </xdr:nvSpPr>
      <xdr:spPr>
        <a:xfrm>
          <a:off x="180975" y="1733550"/>
          <a:ext cx="1428750" cy="2095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Usar turno atual</a:t>
          </a:r>
        </a:p>
      </xdr:txBody>
    </xdr:sp>
    <xdr:clientData fPrintsWithSheet="0"/>
  </xdr:twoCellAnchor>
  <xdr:twoCellAnchor editAs="absolute">
    <xdr:from>
      <xdr:col>4</xdr:col>
      <xdr:colOff>0</xdr:colOff>
      <xdr:row>8</xdr:row>
      <xdr:rowOff>28575</xdr:rowOff>
    </xdr:from>
    <xdr:to>
      <xdr:col>6</xdr:col>
      <xdr:colOff>0</xdr:colOff>
      <xdr:row>8</xdr:row>
      <xdr:rowOff>238125</xdr:rowOff>
    </xdr:to>
    <xdr:sp macro="[0]!SelecionarDia" textlink="">
      <xdr:nvSpPr>
        <xdr:cNvPr id="4" name="TextBox 3" descr="Botão: SelecionarDia"/>
        <xdr:cNvSpPr txBox="1"/>
      </xdr:nvSpPr>
      <xdr:spPr>
        <a:xfrm>
          <a:off x="2181225" y="1733550"/>
          <a:ext cx="1333500" cy="2095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Editar turno Dia</a:t>
          </a:r>
        </a:p>
      </xdr:txBody>
    </xdr:sp>
    <xdr:clientData fPrintsWithSheet="0"/>
  </xdr:twoCellAnchor>
  <xdr:twoCellAnchor editAs="absolute">
    <xdr:from>
      <xdr:col>6</xdr:col>
      <xdr:colOff>114300</xdr:colOff>
      <xdr:row>8</xdr:row>
      <xdr:rowOff>28575</xdr:rowOff>
    </xdr:from>
    <xdr:to>
      <xdr:col>8</xdr:col>
      <xdr:colOff>114300</xdr:colOff>
      <xdr:row>8</xdr:row>
      <xdr:rowOff>238125</xdr:rowOff>
    </xdr:to>
    <xdr:sp macro="[0]!SelecionarNoite" textlink="">
      <xdr:nvSpPr>
        <xdr:cNvPr id="5" name="TextBox 4" descr="Botão: SelecionarNoite"/>
        <xdr:cNvSpPr txBox="1"/>
      </xdr:nvSpPr>
      <xdr:spPr>
        <a:xfrm>
          <a:off x="3629025" y="1733550"/>
          <a:ext cx="1333500" cy="2095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Editar turno Noite</a:t>
          </a:r>
        </a:p>
      </xdr:txBody>
    </xdr:sp>
    <xdr:clientData fPrintsWithSheet="0"/>
  </xdr:twoCellAnchor>
  <xdr:twoCellAnchor editAs="absolute">
    <xdr:from>
      <xdr:col>1</xdr:col>
      <xdr:colOff>38100</xdr:colOff>
      <xdr:row>11</xdr:row>
      <xdr:rowOff>57150</xdr:rowOff>
    </xdr:from>
    <xdr:to>
      <xdr:col>4</xdr:col>
      <xdr:colOff>533400</xdr:colOff>
      <xdr:row>13</xdr:row>
      <xdr:rowOff>190500</xdr:rowOff>
    </xdr:to>
    <xdr:sp macro="[0]!AtualizarMES" textlink="">
      <xdr:nvSpPr>
        <xdr:cNvPr id="6" name="TextBox 5" descr="Botão: AtualizarMES"/>
        <xdr:cNvSpPr txBox="1"/>
      </xdr:nvSpPr>
      <xdr:spPr>
        <a:xfrm>
          <a:off x="219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1 · 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Busca os resultados das Usinas 3 e 4</a:t>
          </a:r>
        </a:p>
      </xdr:txBody>
    </xdr:sp>
    <xdr:clientData fPrintsWithSheet="0"/>
  </xdr:twoCellAnchor>
  <xdr:twoCellAnchor editAs="absolute">
    <xdr:from>
      <xdr:col>5</xdr:col>
      <xdr:colOff>38100</xdr:colOff>
      <xdr:row>11</xdr:row>
      <xdr:rowOff>57150</xdr:rowOff>
    </xdr:from>
    <xdr:to>
      <xdr:col>8</xdr:col>
      <xdr:colOff>533400</xdr:colOff>
      <xdr:row>13</xdr:row>
      <xdr:rowOff>190500</xdr:rowOff>
    </xdr:to>
    <xdr:sp macro="[0]!IrPassagem" textlink="">
      <xdr:nvSpPr>
        <xdr:cNvPr id="7" name="TextBox 6" descr="Botão: IrPassagem"/>
        <xdr:cNvSpPr txBox="1"/>
      </xdr:nvSpPr>
      <xdr:spPr>
        <a:xfrm>
          <a:off x="2886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2 · Passagem de turno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Equipe, testes, equipamentos e comentários</a:t>
          </a:r>
        </a:p>
      </xdr:txBody>
    </xdr:sp>
    <xdr:clientData fPrintsWithSheet="0"/>
  </xdr:twoCellAnchor>
  <xdr:twoCellAnchor editAs="absolute">
    <xdr:from>
      <xdr:col>9</xdr:col>
      <xdr:colOff>38100</xdr:colOff>
      <xdr:row>11</xdr:row>
      <xdr:rowOff>57150</xdr:rowOff>
    </xdr:from>
    <xdr:to>
      <xdr:col>12</xdr:col>
      <xdr:colOff>533400</xdr:colOff>
      <xdr:row>13</xdr:row>
      <xdr:rowOff>190500</xdr:rowOff>
    </xdr:to>
    <xdr:sp macro="[0]!IrResumo" textlink="">
      <xdr:nvSpPr>
        <xdr:cNvPr id="8" name="TextBox 7" descr="Botão: IrResumo"/>
        <xdr:cNvSpPr txBox="1"/>
      </xdr:nvSpPr>
      <xdr:spPr>
        <a:xfrm>
          <a:off x="5553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3 · Resumo do turno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As 2 imagens para o e-mail</a:t>
          </a:r>
        </a:p>
      </xdr:txBody>
    </xdr:sp>
    <xdr:clientData fPrintsWithSheet="0"/>
  </xdr:twoCellAnchor>
  <xdr:twoCellAnchor editAs="absolute">
    <xdr:from>
      <xdr:col>13</xdr:col>
      <xdr:colOff>38100</xdr:colOff>
      <xdr:row>11</xdr:row>
      <xdr:rowOff>57150</xdr:rowOff>
    </xdr:from>
    <xdr:to>
      <xdr:col>16</xdr:col>
      <xdr:colOff>533400</xdr:colOff>
      <xdr:row>13</xdr:row>
      <xdr:rowOff>190500</xdr:rowOff>
    </xdr:to>
    <xdr:sp macro="[0]!FecharTurno" textlink="">
      <xdr:nvSpPr>
        <xdr:cNvPr id="9" name="TextBox 8" descr="Botão: FecharTurno"/>
        <xdr:cNvSpPr txBox="1"/>
      </xdr:nvSpPr>
      <xdr:spPr>
        <a:xfrm>
          <a:off x="8220075" y="2552700"/>
          <a:ext cx="2495550" cy="5905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4 · Finalizar turno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Fixa o resumo e salva o arquivo</a:t>
          </a:r>
        </a:p>
      </xdr:txBody>
    </xdr:sp>
    <xdr:clientData fPrintsWithSheet="0"/>
  </xdr:twoCellAnchor>
  <xdr:twoCellAnchor editAs="absolute">
    <xdr:from>
      <xdr:col>1</xdr:col>
      <xdr:colOff>38100</xdr:colOff>
      <xdr:row>26</xdr:row>
      <xdr:rowOff>38100</xdr:rowOff>
    </xdr:from>
    <xdr:to>
      <xdr:col>4</xdr:col>
      <xdr:colOff>533400</xdr:colOff>
      <xdr:row>26</xdr:row>
      <xdr:rowOff>304800</xdr:rowOff>
    </xdr:to>
    <xdr:sp macro="[0]!IrInformativo" textlink="">
      <xdr:nvSpPr>
        <xdr:cNvPr id="10" name="TextBox 9" descr="Botão: IrInformativo"/>
        <xdr:cNvSpPr txBox="1"/>
      </xdr:nvSpPr>
      <xdr:spPr>
        <a:xfrm>
          <a:off x="219075" y="6191250"/>
          <a:ext cx="24955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Informativo completo (MES)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66</xdr:row>
      <xdr:rowOff>57150</xdr:rowOff>
    </xdr:from>
    <xdr:to>
      <xdr:col>1</xdr:col>
      <xdr:colOff>1527810</xdr:colOff>
      <xdr:row>67</xdr:row>
      <xdr:rowOff>47244</xdr:rowOff>
    </xdr:to>
    <xdr:pic>
      <xdr:nvPicPr>
        <xdr:cNvPr id="3" name="Picture 2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2011025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38100</xdr:rowOff>
    </xdr:from>
    <xdr:to>
      <xdr:col>15</xdr:col>
      <xdr:colOff>47625</xdr:colOff>
      <xdr:row>1</xdr:row>
      <xdr:rowOff>304800</xdr:rowOff>
    </xdr:to>
    <xdr:sp macro="[0]!IrPainel" textlink="">
      <xdr:nvSpPr>
        <xdr:cNvPr id="4" name="TextBox 3" descr="Botão: IrPainel"/>
        <xdr:cNvSpPr txBox="1"/>
      </xdr:nvSpPr>
      <xdr:spPr>
        <a:xfrm>
          <a:off x="8296275" y="11430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0</xdr:rowOff>
    </xdr:from>
    <xdr:to>
      <xdr:col>15</xdr:col>
      <xdr:colOff>47625</xdr:colOff>
      <xdr:row>7</xdr:row>
      <xdr:rowOff>66675</xdr:rowOff>
    </xdr:to>
    <xdr:sp macro="[0]!CopiarResultadosDia" textlink="">
      <xdr:nvSpPr>
        <xdr:cNvPr id="5" name="TextBox 4" descr="Botão: CopiarResultadosDia"/>
        <xdr:cNvSpPr txBox="1"/>
      </xdr:nvSpPr>
      <xdr:spPr>
        <a:xfrm>
          <a:off x="8296275" y="771525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RESULTADOS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  <xdr:twoCellAnchor editAs="absolute">
    <xdr:from>
      <xdr:col>14</xdr:col>
      <xdr:colOff>38100</xdr:colOff>
      <xdr:row>9</xdr:row>
      <xdr:rowOff>57150</xdr:rowOff>
    </xdr:from>
    <xdr:to>
      <xdr:col>15</xdr:col>
      <xdr:colOff>47625</xdr:colOff>
      <xdr:row>11</xdr:row>
      <xdr:rowOff>76200</xdr:rowOff>
    </xdr:to>
    <xdr:sp macro="[0]!ResumoDiaIrPassagem" textlink="">
      <xdr:nvSpPr>
        <xdr:cNvPr id="6" name="TextBox 5" descr="Botão: ResumoDiaIrPassagem"/>
        <xdr:cNvSpPr txBox="1"/>
      </xdr:nvSpPr>
      <xdr:spPr>
        <a:xfrm>
          <a:off x="8296275" y="1752600"/>
          <a:ext cx="1857375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Ir para a Passagem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2) ↓</a:t>
          </a:r>
        </a:p>
      </xdr:txBody>
    </xdr:sp>
    <xdr:clientData fPrintsWithSheet="0"/>
  </xdr:twoCellAnchor>
  <xdr:twoCellAnchor editAs="absolute">
    <xdr:from>
      <xdr:col>14</xdr:col>
      <xdr:colOff>38100</xdr:colOff>
      <xdr:row>66</xdr:row>
      <xdr:rowOff>0</xdr:rowOff>
    </xdr:from>
    <xdr:to>
      <xdr:col>15</xdr:col>
      <xdr:colOff>47625</xdr:colOff>
      <xdr:row>66</xdr:row>
      <xdr:rowOff>266700</xdr:rowOff>
    </xdr:to>
    <xdr:sp macro="[0]!IrPainel" textlink="">
      <xdr:nvSpPr>
        <xdr:cNvPr id="7" name="TextBox 6" descr="Botão: IrPainel"/>
        <xdr:cNvSpPr txBox="1"/>
      </xdr:nvSpPr>
      <xdr:spPr>
        <a:xfrm>
          <a:off x="8296275" y="11953875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70</xdr:row>
      <xdr:rowOff>0</xdr:rowOff>
    </xdr:from>
    <xdr:to>
      <xdr:col>15</xdr:col>
      <xdr:colOff>47625</xdr:colOff>
      <xdr:row>72</xdr:row>
      <xdr:rowOff>66675</xdr:rowOff>
    </xdr:to>
    <xdr:sp macro="[0]!CopiarPassagemDia" textlink="">
      <xdr:nvSpPr>
        <xdr:cNvPr id="8" name="TextBox 7" descr="Botão: CopiarPassagemDia"/>
        <xdr:cNvSpPr txBox="1"/>
      </xdr:nvSpPr>
      <xdr:spPr>
        <a:xfrm>
          <a:off x="8296275" y="12649200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PASSAGEM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2)</a:t>
          </a:r>
        </a:p>
      </xdr:txBody>
    </xdr:sp>
    <xdr:clientData fPrintsWithSheet="0"/>
  </xdr:twoCellAnchor>
  <xdr:twoCellAnchor editAs="absolute">
    <xdr:from>
      <xdr:col>14</xdr:col>
      <xdr:colOff>38100</xdr:colOff>
      <xdr:row>74</xdr:row>
      <xdr:rowOff>0</xdr:rowOff>
    </xdr:from>
    <xdr:to>
      <xdr:col>15</xdr:col>
      <xdr:colOff>47625</xdr:colOff>
      <xdr:row>75</xdr:row>
      <xdr:rowOff>0</xdr:rowOff>
    </xdr:to>
    <xdr:sp macro="[0]!ResumoDiaIrResultados" textlink="">
      <xdr:nvSpPr>
        <xdr:cNvPr id="9" name="TextBox 8" descr="Botão: ResumoDiaIrResultados"/>
        <xdr:cNvSpPr txBox="1"/>
      </xdr:nvSpPr>
      <xdr:spPr>
        <a:xfrm>
          <a:off x="8296275" y="13630275"/>
          <a:ext cx="1857375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↑ Ir para os Resultados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66</xdr:row>
      <xdr:rowOff>57150</xdr:rowOff>
    </xdr:from>
    <xdr:to>
      <xdr:col>1</xdr:col>
      <xdr:colOff>1527810</xdr:colOff>
      <xdr:row>67</xdr:row>
      <xdr:rowOff>47244</xdr:rowOff>
    </xdr:to>
    <xdr:pic>
      <xdr:nvPicPr>
        <xdr:cNvPr id="3" name="Picture 2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2011025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38100</xdr:rowOff>
    </xdr:from>
    <xdr:to>
      <xdr:col>15</xdr:col>
      <xdr:colOff>47625</xdr:colOff>
      <xdr:row>1</xdr:row>
      <xdr:rowOff>304800</xdr:rowOff>
    </xdr:to>
    <xdr:sp macro="[0]!IrPainel" textlink="">
      <xdr:nvSpPr>
        <xdr:cNvPr id="4" name="TextBox 3" descr="Botão: IrPainel"/>
        <xdr:cNvSpPr txBox="1"/>
      </xdr:nvSpPr>
      <xdr:spPr>
        <a:xfrm>
          <a:off x="8296275" y="11430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0</xdr:rowOff>
    </xdr:from>
    <xdr:to>
      <xdr:col>15</xdr:col>
      <xdr:colOff>47625</xdr:colOff>
      <xdr:row>7</xdr:row>
      <xdr:rowOff>66675</xdr:rowOff>
    </xdr:to>
    <xdr:sp macro="[0]!CopiarResultadosNoite" textlink="">
      <xdr:nvSpPr>
        <xdr:cNvPr id="5" name="TextBox 4" descr="Botão: CopiarResultadosNoite"/>
        <xdr:cNvSpPr txBox="1"/>
      </xdr:nvSpPr>
      <xdr:spPr>
        <a:xfrm>
          <a:off x="8296275" y="771525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RESULTADOS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  <xdr:twoCellAnchor editAs="absolute">
    <xdr:from>
      <xdr:col>14</xdr:col>
      <xdr:colOff>38100</xdr:colOff>
      <xdr:row>9</xdr:row>
      <xdr:rowOff>57150</xdr:rowOff>
    </xdr:from>
    <xdr:to>
      <xdr:col>15</xdr:col>
      <xdr:colOff>47625</xdr:colOff>
      <xdr:row>11</xdr:row>
      <xdr:rowOff>76200</xdr:rowOff>
    </xdr:to>
    <xdr:sp macro="[0]!ResumoNoiteIrPassagem" textlink="">
      <xdr:nvSpPr>
        <xdr:cNvPr id="6" name="TextBox 5" descr="Botão: ResumoNoiteIrPassagem"/>
        <xdr:cNvSpPr txBox="1"/>
      </xdr:nvSpPr>
      <xdr:spPr>
        <a:xfrm>
          <a:off x="8296275" y="1752600"/>
          <a:ext cx="1857375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Ir para a Passagem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2) ↓</a:t>
          </a:r>
        </a:p>
      </xdr:txBody>
    </xdr:sp>
    <xdr:clientData fPrintsWithSheet="0"/>
  </xdr:twoCellAnchor>
  <xdr:twoCellAnchor editAs="absolute">
    <xdr:from>
      <xdr:col>14</xdr:col>
      <xdr:colOff>38100</xdr:colOff>
      <xdr:row>66</xdr:row>
      <xdr:rowOff>0</xdr:rowOff>
    </xdr:from>
    <xdr:to>
      <xdr:col>15</xdr:col>
      <xdr:colOff>47625</xdr:colOff>
      <xdr:row>66</xdr:row>
      <xdr:rowOff>266700</xdr:rowOff>
    </xdr:to>
    <xdr:sp macro="[0]!IrPainel" textlink="">
      <xdr:nvSpPr>
        <xdr:cNvPr id="7" name="TextBox 6" descr="Botão: IrPainel"/>
        <xdr:cNvSpPr txBox="1"/>
      </xdr:nvSpPr>
      <xdr:spPr>
        <a:xfrm>
          <a:off x="8296275" y="11953875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70</xdr:row>
      <xdr:rowOff>0</xdr:rowOff>
    </xdr:from>
    <xdr:to>
      <xdr:col>15</xdr:col>
      <xdr:colOff>47625</xdr:colOff>
      <xdr:row>72</xdr:row>
      <xdr:rowOff>66675</xdr:rowOff>
    </xdr:to>
    <xdr:sp macro="[0]!CopiarPassagemNoite" textlink="">
      <xdr:nvSpPr>
        <xdr:cNvPr id="8" name="TextBox 7" descr="Botão: CopiarPassagemNoite"/>
        <xdr:cNvSpPr txBox="1"/>
      </xdr:nvSpPr>
      <xdr:spPr>
        <a:xfrm>
          <a:off x="8296275" y="12649200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PASSAGEM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2)</a:t>
          </a:r>
        </a:p>
      </xdr:txBody>
    </xdr:sp>
    <xdr:clientData fPrintsWithSheet="0"/>
  </xdr:twoCellAnchor>
  <xdr:twoCellAnchor editAs="absolute">
    <xdr:from>
      <xdr:col>14</xdr:col>
      <xdr:colOff>38100</xdr:colOff>
      <xdr:row>74</xdr:row>
      <xdr:rowOff>0</xdr:rowOff>
    </xdr:from>
    <xdr:to>
      <xdr:col>15</xdr:col>
      <xdr:colOff>47625</xdr:colOff>
      <xdr:row>75</xdr:row>
      <xdr:rowOff>0</xdr:rowOff>
    </xdr:to>
    <xdr:sp macro="[0]!ResumoNoiteIrResultados" textlink="">
      <xdr:nvSpPr>
        <xdr:cNvPr id="9" name="TextBox 8" descr="Botão: ResumoNoiteIrResultados"/>
        <xdr:cNvSpPr txBox="1"/>
      </xdr:nvSpPr>
      <xdr:spPr>
        <a:xfrm>
          <a:off x="8296275" y="13630275"/>
          <a:ext cx="1857375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↑ Ir para os Resultados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0</xdr:rowOff>
    </xdr:from>
    <xdr:to>
      <xdr:col>15</xdr:col>
      <xdr:colOff>76200</xdr:colOff>
      <xdr:row>1</xdr:row>
      <xdr:rowOff>285750</xdr:rowOff>
    </xdr:to>
    <xdr:sp macro="[0]!IrPainel" textlink="">
      <xdr:nvSpPr>
        <xdr:cNvPr id="3" name="TextBox 2" descr="Botão: IrPainel"/>
        <xdr:cNvSpPr txBox="1"/>
      </xdr:nvSpPr>
      <xdr:spPr>
        <a:xfrm>
          <a:off x="9582150" y="76200"/>
          <a:ext cx="1952625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4</xdr:row>
      <xdr:rowOff>0</xdr:rowOff>
    </xdr:from>
    <xdr:to>
      <xdr:col>15</xdr:col>
      <xdr:colOff>76200</xdr:colOff>
      <xdr:row>5</xdr:row>
      <xdr:rowOff>95250</xdr:rowOff>
    </xdr:to>
    <xdr:sp macro="[0]!IrResumo" textlink="">
      <xdr:nvSpPr>
        <xdr:cNvPr id="4" name="TextBox 3" descr="Botão: IrResumo"/>
        <xdr:cNvSpPr txBox="1"/>
      </xdr:nvSpPr>
      <xdr:spPr>
        <a:xfrm>
          <a:off x="9582150" y="695325"/>
          <a:ext cx="1952625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Ver resumo do turno</a:t>
          </a:r>
        </a:p>
      </xdr:txBody>
    </xdr:sp>
    <xdr:clientData fPrintsWithSheet="0"/>
  </xdr:twoCellAnchor>
  <xdr:twoCellAnchor editAs="absolute">
    <xdr:from>
      <xdr:col>14</xdr:col>
      <xdr:colOff>38100</xdr:colOff>
      <xdr:row>7</xdr:row>
      <xdr:rowOff>0</xdr:rowOff>
    </xdr:from>
    <xdr:to>
      <xdr:col>15</xdr:col>
      <xdr:colOff>76200</xdr:colOff>
      <xdr:row>8</xdr:row>
      <xdr:rowOff>95250</xdr:rowOff>
    </xdr:to>
    <xdr:sp macro="[0]!LimparPassagem" textlink="">
      <xdr:nvSpPr>
        <xdr:cNvPr id="5" name="TextBox 4" descr="Botão: LimparPassagem"/>
        <xdr:cNvSpPr txBox="1"/>
      </xdr:nvSpPr>
      <xdr:spPr>
        <a:xfrm>
          <a:off x="9582150" y="1381125"/>
          <a:ext cx="1952625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formulário</a:t>
          </a:r>
        </a:p>
      </xdr:txBody>
    </xdr:sp>
    <xdr:clientData fPrintsWithSheet="0"/>
  </xdr:twoCellAnchor>
  <xdr:twoCellAnchor editAs="absolute">
    <xdr:from>
      <xdr:col>14</xdr:col>
      <xdr:colOff>38100</xdr:colOff>
      <xdr:row>10</xdr:row>
      <xdr:rowOff>0</xdr:rowOff>
    </xdr:from>
    <xdr:to>
      <xdr:col>15</xdr:col>
      <xdr:colOff>76200</xdr:colOff>
      <xdr:row>11</xdr:row>
      <xdr:rowOff>76200</xdr:rowOff>
    </xdr:to>
    <xdr:sp macro="[0]!FecharTurno" textlink="">
      <xdr:nvSpPr>
        <xdr:cNvPr id="6" name="TextBox 5" descr="Botão: FecharTurno"/>
        <xdr:cNvSpPr txBox="1"/>
      </xdr:nvSpPr>
      <xdr:spPr>
        <a:xfrm>
          <a:off x="9582150" y="2095500"/>
          <a:ext cx="1952625" cy="3238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Finalizar turno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23</xdr:col>
      <xdr:colOff>38100</xdr:colOff>
      <xdr:row>1</xdr:row>
      <xdr:rowOff>38100</xdr:rowOff>
    </xdr:from>
    <xdr:to>
      <xdr:col>24</xdr:col>
      <xdr:colOff>47625</xdr:colOff>
      <xdr:row>1</xdr:row>
      <xdr:rowOff>304800</xdr:rowOff>
    </xdr:to>
    <xdr:sp macro="[0]!IrPainel" textlink="">
      <xdr:nvSpPr>
        <xdr:cNvPr id="3" name="TextBox 2" descr="Botão: IrPainel"/>
        <xdr:cNvSpPr txBox="1"/>
      </xdr:nvSpPr>
      <xdr:spPr>
        <a:xfrm>
          <a:off x="11534775" y="11430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23</xdr:col>
      <xdr:colOff>38100</xdr:colOff>
      <xdr:row>5</xdr:row>
      <xdr:rowOff>0</xdr:rowOff>
    </xdr:from>
    <xdr:to>
      <xdr:col>24</xdr:col>
      <xdr:colOff>47625</xdr:colOff>
      <xdr:row>6</xdr:row>
      <xdr:rowOff>209550</xdr:rowOff>
    </xdr:to>
    <xdr:sp macro="[0]!AtualizarMESPeriodo" textlink="">
      <xdr:nvSpPr>
        <xdr:cNvPr id="4" name="TextBox 3" descr="Botão: AtualizarMESPeriodo"/>
        <xdr:cNvSpPr txBox="1"/>
      </xdr:nvSpPr>
      <xdr:spPr>
        <a:xfrm>
          <a:off x="11534775" y="885825"/>
          <a:ext cx="1857375" cy="4000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(período escolhido)</a:t>
          </a:r>
        </a:p>
      </xdr:txBody>
    </xdr:sp>
    <xdr:clientData fPrintsWithSheet="0"/>
  </xdr:twoCellAnchor>
  <xdr:twoCellAnchor editAs="absolute">
    <xdr:from>
      <xdr:col>23</xdr:col>
      <xdr:colOff>38100</xdr:colOff>
      <xdr:row>8</xdr:row>
      <xdr:rowOff>19050</xdr:rowOff>
    </xdr:from>
    <xdr:to>
      <xdr:col>24</xdr:col>
      <xdr:colOff>47625</xdr:colOff>
      <xdr:row>8</xdr:row>
      <xdr:rowOff>304800</xdr:rowOff>
    </xdr:to>
    <xdr:sp macro="[0]!CopiarImagem" textlink="">
      <xdr:nvSpPr>
        <xdr:cNvPr id="5" name="TextBox 4" descr="Botão: CopiarImagem"/>
        <xdr:cNvSpPr txBox="1"/>
      </xdr:nvSpPr>
      <xdr:spPr>
        <a:xfrm>
          <a:off x="11534775" y="1466850"/>
          <a:ext cx="1857375" cy="2857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2</xdr:col>
      <xdr:colOff>413385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ainel" textlink="">
      <xdr:nvSpPr>
        <xdr:cNvPr id="3" name="TextBox 2" descr="Botão: IrPainel"/>
        <xdr:cNvSpPr txBox="1"/>
      </xdr:nvSpPr>
      <xdr:spPr>
        <a:xfrm>
          <a:off x="11772900" y="9715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4668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335A"/>
    <pageSetUpPr fitToPage="1"/>
  </sheetPr>
  <dimension ref="A1:Q29"/>
  <sheetViews>
    <sheetView showGridLines="0" tabSelected="1" workbookViewId="0"/>
  </sheetViews>
  <sheetFormatPr defaultRowHeight="15"/>
  <cols>
    <col min="1" max="1" width="2.7109375" customWidth="1"/>
    <col min="2" max="17" width="10" customWidth="1"/>
    <col min="18" max="18" width="2.7109375" customWidth="1"/>
  </cols>
  <sheetData>
    <row r="1" spans="2:17" ht="6" customHeight="1"/>
    <row r="2" spans="2:17" ht="26" customHeight="1">
      <c r="B2" s="1"/>
      <c r="C2" s="1"/>
      <c r="D2" s="1"/>
      <c r="E2" s="2" t="s">
        <v>360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0" customHeight="1">
      <c r="B3" s="1"/>
      <c r="C3" s="1"/>
      <c r="D3" s="1"/>
      <c r="E3" s="3" t="s">
        <v>361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ht="22" customHeight="1">
      <c r="B6" s="5" t="s">
        <v>362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2:17">
      <c r="B7" s="6" t="s">
        <v>363</v>
      </c>
      <c r="C7" s="6"/>
      <c r="D7" s="6"/>
      <c r="E7" s="6" t="s">
        <v>266</v>
      </c>
      <c r="F7" s="6"/>
      <c r="G7" s="6"/>
      <c r="H7" s="6"/>
      <c r="I7" s="6" t="s">
        <v>201</v>
      </c>
      <c r="J7" s="6"/>
      <c r="K7" s="6" t="s">
        <v>202</v>
      </c>
      <c r="L7" s="6"/>
      <c r="M7" s="6"/>
      <c r="N7" s="6"/>
      <c r="O7" s="6"/>
      <c r="P7" s="6"/>
      <c r="Q7" s="6"/>
    </row>
    <row r="8" spans="2:17" ht="28" customHeight="1">
      <c r="B8" s="7"/>
      <c r="C8" s="7"/>
      <c r="D8" s="7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</row>
    <row r="9" spans="2:17" ht="26" customHeight="1">
      <c r="J9" s="6" t="s">
        <v>364</v>
      </c>
      <c r="K9" s="6"/>
      <c r="L9" s="6"/>
      <c r="M9" s="6"/>
      <c r="N9" s="6"/>
      <c r="O9" s="6"/>
      <c r="P9" s="6"/>
      <c r="Q9" s="6"/>
    </row>
    <row r="11" spans="2:17" ht="22" customHeight="1">
      <c r="B11" s="5" t="s">
        <v>365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2:17" ht="18" customHeight="1"/>
    <row r="13" spans="2:17" ht="18" customHeight="1"/>
    <row r="14" spans="2:17" ht="18" customHeight="1"/>
    <row r="15" spans="2:17" ht="18" customHeight="1"/>
    <row r="17" spans="2:17" ht="22" customHeight="1">
      <c r="B17" s="5" t="s">
        <v>366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2:17">
      <c r="B18" s="10" t="s">
        <v>367</v>
      </c>
      <c r="C18" s="10"/>
      <c r="D18" s="10"/>
      <c r="E18" s="10"/>
      <c r="F18" s="10" t="s">
        <v>368</v>
      </c>
      <c r="G18" s="10"/>
      <c r="H18" s="10"/>
      <c r="I18" s="10"/>
      <c r="J18" s="10" t="s">
        <v>369</v>
      </c>
      <c r="K18" s="10"/>
      <c r="L18" s="10"/>
      <c r="M18" s="10"/>
      <c r="N18" s="10" t="s">
        <v>370</v>
      </c>
      <c r="O18" s="10"/>
      <c r="P18" s="10"/>
      <c r="Q18" s="10"/>
    </row>
    <row r="19" spans="2:17" ht="28" customHeight="1">
      <c r="B19" s="11">
        <f>IF(iData="","— não carregado —",TEXT(DAY(iData),"00")&amp;"/"&amp;TEXT(MONTH(iData),"00")&amp;"/"&amp;YEAR(iData)&amp;"  ·  "&amp;IFERROR(LEFT(iTurno,FIND(" (",iTurno)-1),iTurno))</f>
        <v>0</v>
      </c>
      <c r="C19" s="11"/>
      <c r="D19" s="11"/>
      <c r="E19" s="11"/>
      <c r="F19" s="12">
        <f>(COUNTA('Passagem de Turno'!$C$10:$C$15)+COUNTA(ptRecebe)+COUNTA(ptRecebidoPor)+COUNTA(ptTestes)+COUNTA(ptStatus)+COUNTA('Passagem de Turno'!$C$49:$C$52)+COUNTA('Passagem de Turno'!$H$49:$H$52))/31</f>
        <v>0</v>
      </c>
      <c r="G19" s="12"/>
      <c r="H19" s="12"/>
      <c r="I19" s="12"/>
      <c r="J19" s="11">
        <f>IF(ISNUMBER(rsDFinal),"Finalizado "&amp;TEXT(rsDFinal,"hh:mm"),IF(ISNUMBER(rsDGerado),"Gerado "&amp;TEXT(rsDGerado,"hh:mm"),"— pendente —"))</f>
        <v>0</v>
      </c>
      <c r="K19" s="11"/>
      <c r="L19" s="11"/>
      <c r="M19" s="11"/>
      <c r="N19" s="11">
        <f>IF(ISNUMBER(rsNFinal),"Finalizado "&amp;TEXT(rsNFinal,"hh:mm"),IF(ISNUMBER(rsNGerado),"Gerado "&amp;TEXT(rsNGerado,"hh:mm"),"— pendente —"))</f>
        <v>0</v>
      </c>
      <c r="O19" s="11"/>
      <c r="P19" s="11"/>
      <c r="Q19" s="11"/>
    </row>
    <row r="21" spans="2:17" ht="22" customHeight="1">
      <c r="B21" s="5" t="s">
        <v>371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2:17">
      <c r="B22" s="13" t="s">
        <v>372</v>
      </c>
      <c r="C22" s="13"/>
      <c r="D22" s="13"/>
      <c r="E22" s="13"/>
      <c r="F22" s="13" t="s">
        <v>373</v>
      </c>
      <c r="G22" s="13"/>
      <c r="H22" s="13"/>
      <c r="I22" s="13"/>
      <c r="J22" s="13" t="s">
        <v>374</v>
      </c>
      <c r="K22" s="13"/>
      <c r="L22" s="13"/>
      <c r="M22" s="13"/>
      <c r="N22" s="13" t="s">
        <v>375</v>
      </c>
      <c r="O22" s="13"/>
      <c r="P22" s="13"/>
      <c r="Q22" s="13"/>
    </row>
    <row r="23" spans="2:17" ht="24" customHeight="1">
      <c r="B23" s="14" t="s">
        <v>214</v>
      </c>
      <c r="C23" s="15">
        <f>IFERROR(INDEX(Informativo!$Q:$Q,MATCH("P18U3",Informativo!$A:$A,0)),"")</f>
        <v>0</v>
      </c>
      <c r="D23" s="15"/>
      <c r="E23" s="16">
        <f>IFERROR(INDEX(Informativo!$V:$V,MATCH("P18U3",Informativo!$A:$A,0)),"")</f>
        <v>0</v>
      </c>
      <c r="F23" s="14" t="s">
        <v>214</v>
      </c>
      <c r="G23" s="17">
        <f>IFERROR(INDEX(Informativo!$Q:$Q,MATCH("P17U3",Informativo!$A:$A,0)),"")</f>
        <v>0</v>
      </c>
      <c r="H23" s="17"/>
      <c r="I23" s="16">
        <f>IFERROR(INDEX(Informativo!$V:$V,MATCH("P17U3",Informativo!$A:$A,0)),"")</f>
        <v>0</v>
      </c>
      <c r="J23" s="14" t="s">
        <v>214</v>
      </c>
      <c r="K23" s="18">
        <f>IFERROR(INDEX(Informativo!$Q:$Q,MATCH("P10U3",Informativo!$A:$A,0)),"")</f>
        <v>0</v>
      </c>
      <c r="L23" s="18"/>
      <c r="M23" s="16">
        <f>IFERROR(INDEX(Informativo!$V:$V,MATCH("P10U3",Informativo!$A:$A,0)),"")</f>
        <v>0</v>
      </c>
      <c r="N23" s="14" t="s">
        <v>214</v>
      </c>
      <c r="O23" s="15">
        <f>IFERROR(INDEX(Informativo!$Q:$Q,MATCH("P22U3",Informativo!$A:$A,0)),"")</f>
        <v>0</v>
      </c>
      <c r="P23" s="15"/>
      <c r="Q23" s="16">
        <f>IFERROR(INDEX(Informativo!$V:$V,MATCH("P22U3",Informativo!$A:$A,0)),"")</f>
        <v>0</v>
      </c>
    </row>
    <row r="24" spans="2:17" ht="24" customHeight="1">
      <c r="B24" s="14" t="s">
        <v>216</v>
      </c>
      <c r="C24" s="15">
        <f>IFERROR(INDEX(Informativo!$Q:$Q,MATCH("P18U4",Informativo!$A:$A,0)),"")</f>
        <v>0</v>
      </c>
      <c r="D24" s="15"/>
      <c r="E24" s="16">
        <f>IFERROR(INDEX(Informativo!$V:$V,MATCH("P18U4",Informativo!$A:$A,0)),"")</f>
        <v>0</v>
      </c>
      <c r="F24" s="14" t="s">
        <v>216</v>
      </c>
      <c r="G24" s="17">
        <f>IFERROR(INDEX(Informativo!$Q:$Q,MATCH("P17U4",Informativo!$A:$A,0)),"")</f>
        <v>0</v>
      </c>
      <c r="H24" s="17"/>
      <c r="I24" s="16">
        <f>IFERROR(INDEX(Informativo!$V:$V,MATCH("P17U4",Informativo!$A:$A,0)),"")</f>
        <v>0</v>
      </c>
      <c r="J24" s="14" t="s">
        <v>216</v>
      </c>
      <c r="K24" s="18">
        <f>IFERROR(INDEX(Informativo!$Q:$Q,MATCH("P10U4",Informativo!$A:$A,0)),"")</f>
        <v>0</v>
      </c>
      <c r="L24" s="18"/>
      <c r="M24" s="16">
        <f>IFERROR(INDEX(Informativo!$V:$V,MATCH("P10U4",Informativo!$A:$A,0)),"")</f>
        <v>0</v>
      </c>
      <c r="N24" s="14" t="s">
        <v>216</v>
      </c>
      <c r="O24" s="15">
        <f>IFERROR(INDEX(Informativo!$Q:$Q,MATCH("P22U4",Informativo!$A:$A,0)),"")</f>
        <v>0</v>
      </c>
      <c r="P24" s="15"/>
      <c r="Q24" s="16">
        <f>IFERROR(INDEX(Informativo!$V:$V,MATCH("P22U4",Informativo!$A:$A,0)),"")</f>
        <v>0</v>
      </c>
    </row>
    <row r="26" spans="2:17" ht="22" customHeight="1">
      <c r="B26" s="5" t="s">
        <v>376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2:17" ht="28" customHeight="1"/>
    <row r="29" spans="2:17">
      <c r="B29" s="19">
        <f>"Fonte dos dados: "&amp;cfgFonte&amp;"   ·   Servidor MES: "&amp;cfgServidor</f>
        <v>0</v>
      </c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</sheetData>
  <sheetProtection sheet="1" objects="1" scenarios="1" formatColumns="0" formatRows="0"/>
  <mergeCells count="37">
    <mergeCell ref="E2:Q2"/>
    <mergeCell ref="E3:Q3"/>
    <mergeCell ref="B6:Q6"/>
    <mergeCell ref="B7:D7"/>
    <mergeCell ref="E7:H7"/>
    <mergeCell ref="I7:J7"/>
    <mergeCell ref="K7:Q7"/>
    <mergeCell ref="B8:D8"/>
    <mergeCell ref="E8:H8"/>
    <mergeCell ref="I8:J8"/>
    <mergeCell ref="K8:Q8"/>
    <mergeCell ref="J9:Q9"/>
    <mergeCell ref="B11:Q11"/>
    <mergeCell ref="B17:Q17"/>
    <mergeCell ref="B18:E18"/>
    <mergeCell ref="B19:E19"/>
    <mergeCell ref="F18:I18"/>
    <mergeCell ref="F19:I19"/>
    <mergeCell ref="J18:M18"/>
    <mergeCell ref="J19:M19"/>
    <mergeCell ref="N18:Q18"/>
    <mergeCell ref="N19:Q19"/>
    <mergeCell ref="B21:Q21"/>
    <mergeCell ref="B22:E22"/>
    <mergeCell ref="C23:D23"/>
    <mergeCell ref="C24:D24"/>
    <mergeCell ref="F22:I22"/>
    <mergeCell ref="G23:H23"/>
    <mergeCell ref="G24:H24"/>
    <mergeCell ref="J22:M22"/>
    <mergeCell ref="K23:L23"/>
    <mergeCell ref="K24:L24"/>
    <mergeCell ref="N22:Q22"/>
    <mergeCell ref="O23:P23"/>
    <mergeCell ref="O24:P24"/>
    <mergeCell ref="B26:Q26"/>
    <mergeCell ref="B29:Q29"/>
  </mergeCells>
  <conditionalFormatting sqref="E23:E24">
    <cfRule type="cellIs" dxfId="3" priority="4" operator="equal">
      <formula>"Fora"</formula>
    </cfRule>
    <cfRule type="cellIs" dxfId="4" priority="5" operator="equal">
      <formula>"OK"</formula>
    </cfRule>
  </conditionalFormatting>
  <conditionalFormatting sqref="F19">
    <cfRule type="cellIs" dxfId="1" priority="3" operator="greaterThanOrEqual">
      <formula>1</formula>
    </cfRule>
  </conditionalFormatting>
  <conditionalFormatting sqref="I23:I24">
    <cfRule type="cellIs" dxfId="3" priority="6" operator="equal">
      <formula>"Fora"</formula>
    </cfRule>
    <cfRule type="cellIs" dxfId="4" priority="7" operator="equal">
      <formula>"OK"</formula>
    </cfRule>
  </conditionalFormatting>
  <conditionalFormatting sqref="J19">
    <cfRule type="beginsWith" dxfId="1" priority="1" operator="beginsWith" text="Finalizado">
      <formula>LEFT(J19,10)="Finalizado"</formula>
    </cfRule>
  </conditionalFormatting>
  <conditionalFormatting sqref="M23:M24">
    <cfRule type="cellIs" dxfId="3" priority="8" operator="equal">
      <formula>"Fora"</formula>
    </cfRule>
    <cfRule type="cellIs" dxfId="4" priority="9" operator="equal">
      <formula>"OK"</formula>
    </cfRule>
  </conditionalFormatting>
  <conditionalFormatting sqref="N19">
    <cfRule type="beginsWith" dxfId="1" priority="2" operator="beginsWith" text="Finalizado">
      <formula>LEFT(N19,10)="Finalizado"</formula>
    </cfRule>
  </conditionalFormatting>
  <conditionalFormatting sqref="Q23:Q24">
    <cfRule type="cellIs" dxfId="3" priority="10" operator="equal">
      <formula>"Fora"</formula>
    </cfRule>
    <cfRule type="cellIs" dxfId="4" priority="11" operator="equal">
      <formula>"OK"</formula>
    </cfRule>
  </conditionalFormatting>
  <dataValidations count="3">
    <dataValidation type="date" operator="greaterThan" allowBlank="1" showInputMessage="1" showErrorMessage="1" error="Digite uma data válida (dd/mm/aaaa)." sqref="B8">
      <formula1>43831</formula1>
    </dataValidation>
    <dataValidation type="list" allowBlank="1" showInputMessage="1" showErrorMessage="1" sqref="E8">
      <formula1>lstTurno</formula1>
    </dataValidation>
    <dataValidation type="list" allowBlank="1" showInputMessage="1" showErrorMessage="1" sqref="I8">
      <formula1>lstTurma</formula1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FFC000"/>
    <pageSetUpPr fitToPage="1"/>
  </sheetPr>
  <dimension ref="A1:S8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6.7109375" customWidth="1"/>
    <col min="4" max="4" width="6.28515625" customWidth="1"/>
    <col min="5" max="10" width="8" customWidth="1"/>
    <col min="11" max="11" width="10.28515625" customWidth="1"/>
    <col min="12" max="13" width="7.7109375" customWidth="1"/>
    <col min="14" max="14" width="3.7109375" customWidth="1"/>
    <col min="15" max="15" width="27.7109375" customWidth="1"/>
    <col min="17" max="19" width="16.7109375" hidden="1" customWidth="1"/>
  </cols>
  <sheetData>
    <row r="1" spans="1:19" ht="6" customHeight="1">
      <c r="Q1" t="s">
        <v>327</v>
      </c>
      <c r="R1" t="s">
        <v>328</v>
      </c>
      <c r="S1" t="s">
        <v>329</v>
      </c>
    </row>
    <row r="2" spans="1:19" ht="26" customHeight="1">
      <c r="B2" s="1"/>
      <c r="C2" s="1"/>
      <c r="D2" s="2" t="s">
        <v>197</v>
      </c>
      <c r="E2" s="2"/>
      <c r="F2" s="2"/>
      <c r="G2" s="2"/>
      <c r="H2" s="2"/>
      <c r="I2" s="2"/>
      <c r="J2" s="2"/>
      <c r="K2" s="2"/>
      <c r="L2" s="2"/>
      <c r="M2" s="2"/>
      <c r="Q2" s="20"/>
      <c r="R2" s="20"/>
      <c r="S2" s="20"/>
    </row>
    <row r="3" spans="1:19" ht="20" customHeight="1">
      <c r="B3" s="1"/>
      <c r="C3" s="1"/>
      <c r="D3" s="3" t="s">
        <v>330</v>
      </c>
      <c r="E3" s="3"/>
      <c r="F3" s="3"/>
      <c r="G3" s="3"/>
      <c r="H3" s="3"/>
      <c r="I3" s="3"/>
      <c r="J3" s="3"/>
      <c r="K3" s="3"/>
      <c r="L3" s="3"/>
      <c r="M3" s="3"/>
    </row>
    <row r="4" spans="1:19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9" ht="6" customHeight="1"/>
    <row r="6" spans="1:19" ht="22" customHeight="1">
      <c r="B6" s="21" t="s">
        <v>331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</row>
    <row r="7" spans="1:19" ht="6" customHeight="1"/>
    <row r="8" spans="1:19" ht="30" customHeight="1">
      <c r="B8" s="22" t="s">
        <v>19</v>
      </c>
      <c r="C8" s="22" t="s">
        <v>207</v>
      </c>
      <c r="D8" s="22" t="s">
        <v>208</v>
      </c>
      <c r="E8" s="22" t="s">
        <v>332</v>
      </c>
      <c r="F8" s="22" t="s">
        <v>333</v>
      </c>
      <c r="G8" s="22" t="s">
        <v>334</v>
      </c>
      <c r="H8" s="22" t="s">
        <v>335</v>
      </c>
      <c r="I8" s="22" t="s">
        <v>336</v>
      </c>
      <c r="J8" s="22" t="s">
        <v>337</v>
      </c>
      <c r="K8" s="22" t="s">
        <v>22</v>
      </c>
      <c r="L8" s="22" t="s">
        <v>211</v>
      </c>
      <c r="M8" s="22" t="s">
        <v>212</v>
      </c>
    </row>
    <row r="9" spans="1:19">
      <c r="B9" s="13" t="s">
        <v>33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</row>
    <row r="10" spans="1:19" ht="14.5" customHeight="1">
      <c r="A10" s="23" t="s">
        <v>213</v>
      </c>
      <c r="B10" s="24" t="s">
        <v>34</v>
      </c>
      <c r="C10" s="25" t="s">
        <v>35</v>
      </c>
      <c r="D10" s="26" t="s">
        <v>214</v>
      </c>
      <c r="E10" s="27" t="s">
        <v>74</v>
      </c>
      <c r="F10" s="27" t="s">
        <v>74</v>
      </c>
      <c r="G10" s="27" t="s">
        <v>74</v>
      </c>
      <c r="H10" s="27" t="s">
        <v>74</v>
      </c>
      <c r="I10" s="27" t="s">
        <v>74</v>
      </c>
      <c r="J10" s="27" t="s">
        <v>74</v>
      </c>
      <c r="K10" s="28" t="s">
        <v>74</v>
      </c>
      <c r="L10" s="29" t="s">
        <v>74</v>
      </c>
      <c r="M10" s="29" t="s">
        <v>74</v>
      </c>
    </row>
    <row r="11" spans="1:19" ht="14.5" customHeight="1">
      <c r="A11" s="23" t="s">
        <v>215</v>
      </c>
      <c r="B11" s="24"/>
      <c r="C11" s="25"/>
      <c r="D11" s="30" t="s">
        <v>216</v>
      </c>
      <c r="E11" s="27" t="s">
        <v>74</v>
      </c>
      <c r="F11" s="27" t="s">
        <v>74</v>
      </c>
      <c r="G11" s="27" t="s">
        <v>74</v>
      </c>
      <c r="H11" s="27" t="s">
        <v>74</v>
      </c>
      <c r="I11" s="27" t="s">
        <v>74</v>
      </c>
      <c r="J11" s="27" t="s">
        <v>74</v>
      </c>
      <c r="K11" s="28" t="s">
        <v>74</v>
      </c>
      <c r="L11" s="29" t="s">
        <v>74</v>
      </c>
      <c r="M11" s="29" t="s">
        <v>74</v>
      </c>
    </row>
    <row r="12" spans="1:19">
      <c r="B12" s="13" t="s">
        <v>40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</row>
    <row r="13" spans="1:19" ht="14.5" customHeight="1">
      <c r="A13" s="23" t="s">
        <v>217</v>
      </c>
      <c r="B13" s="31" t="s">
        <v>41</v>
      </c>
      <c r="C13" s="32" t="s">
        <v>42</v>
      </c>
      <c r="D13" s="33" t="s">
        <v>214</v>
      </c>
      <c r="E13" s="34" t="s">
        <v>74</v>
      </c>
      <c r="F13" s="34" t="s">
        <v>74</v>
      </c>
      <c r="G13" s="34" t="s">
        <v>74</v>
      </c>
      <c r="H13" s="34" t="s">
        <v>74</v>
      </c>
      <c r="I13" s="34" t="s">
        <v>74</v>
      </c>
      <c r="J13" s="34" t="s">
        <v>74</v>
      </c>
      <c r="K13" s="28" t="s">
        <v>74</v>
      </c>
      <c r="L13" s="35" t="s">
        <v>74</v>
      </c>
      <c r="M13" s="35" t="s">
        <v>74</v>
      </c>
    </row>
    <row r="14" spans="1:19" ht="14.5" customHeight="1">
      <c r="A14" s="23" t="s">
        <v>218</v>
      </c>
      <c r="B14" s="31"/>
      <c r="C14" s="32"/>
      <c r="D14" s="36" t="s">
        <v>216</v>
      </c>
      <c r="E14" s="34" t="s">
        <v>74</v>
      </c>
      <c r="F14" s="34" t="s">
        <v>74</v>
      </c>
      <c r="G14" s="34" t="s">
        <v>74</v>
      </c>
      <c r="H14" s="34" t="s">
        <v>74</v>
      </c>
      <c r="I14" s="34" t="s">
        <v>74</v>
      </c>
      <c r="J14" s="34" t="s">
        <v>74</v>
      </c>
      <c r="K14" s="28" t="s">
        <v>74</v>
      </c>
      <c r="L14" s="35" t="s">
        <v>74</v>
      </c>
      <c r="M14" s="35" t="s">
        <v>74</v>
      </c>
      <c r="O14" s="37" t="s">
        <v>350</v>
      </c>
    </row>
    <row r="15" spans="1:19" ht="14.5" customHeight="1">
      <c r="A15" s="23" t="s">
        <v>219</v>
      </c>
      <c r="B15" s="24" t="s">
        <v>46</v>
      </c>
      <c r="C15" s="25" t="s">
        <v>42</v>
      </c>
      <c r="D15" s="26" t="s">
        <v>214</v>
      </c>
      <c r="E15" s="27" t="s">
        <v>74</v>
      </c>
      <c r="F15" s="27" t="s">
        <v>74</v>
      </c>
      <c r="G15" s="27" t="s">
        <v>74</v>
      </c>
      <c r="H15" s="27" t="s">
        <v>74</v>
      </c>
      <c r="I15" s="27" t="s">
        <v>74</v>
      </c>
      <c r="J15" s="27" t="s">
        <v>74</v>
      </c>
      <c r="K15" s="28" t="s">
        <v>74</v>
      </c>
      <c r="L15" s="29" t="s">
        <v>74</v>
      </c>
      <c r="M15" s="29" t="s">
        <v>74</v>
      </c>
      <c r="O15" s="37"/>
    </row>
    <row r="16" spans="1:19" ht="14.5" customHeight="1">
      <c r="A16" s="23" t="s">
        <v>220</v>
      </c>
      <c r="B16" s="24"/>
      <c r="C16" s="25"/>
      <c r="D16" s="30" t="s">
        <v>216</v>
      </c>
      <c r="E16" s="27" t="s">
        <v>74</v>
      </c>
      <c r="F16" s="27" t="s">
        <v>74</v>
      </c>
      <c r="G16" s="27" t="s">
        <v>74</v>
      </c>
      <c r="H16" s="27" t="s">
        <v>74</v>
      </c>
      <c r="I16" s="27" t="s">
        <v>74</v>
      </c>
      <c r="J16" s="27" t="s">
        <v>74</v>
      </c>
      <c r="K16" s="28" t="s">
        <v>74</v>
      </c>
      <c r="L16" s="29" t="s">
        <v>74</v>
      </c>
      <c r="M16" s="29" t="s">
        <v>74</v>
      </c>
      <c r="O16" s="37"/>
    </row>
    <row r="17" spans="1:15" ht="14.5" customHeight="1">
      <c r="A17" s="23" t="s">
        <v>221</v>
      </c>
      <c r="B17" s="31" t="s">
        <v>49</v>
      </c>
      <c r="C17" s="32" t="s">
        <v>50</v>
      </c>
      <c r="D17" s="33" t="s">
        <v>214</v>
      </c>
      <c r="E17" s="38" t="s">
        <v>74</v>
      </c>
      <c r="F17" s="38" t="s">
        <v>74</v>
      </c>
      <c r="G17" s="38" t="s">
        <v>74</v>
      </c>
      <c r="H17" s="38" t="s">
        <v>74</v>
      </c>
      <c r="I17" s="38" t="s">
        <v>74</v>
      </c>
      <c r="J17" s="38" t="s">
        <v>74</v>
      </c>
      <c r="K17" s="39" t="s">
        <v>74</v>
      </c>
      <c r="L17" s="40" t="s">
        <v>74</v>
      </c>
      <c r="M17" s="40" t="s">
        <v>74</v>
      </c>
      <c r="O17" s="37"/>
    </row>
    <row r="18" spans="1:15" ht="14.5" customHeight="1">
      <c r="A18" s="23" t="s">
        <v>222</v>
      </c>
      <c r="B18" s="31"/>
      <c r="C18" s="32"/>
      <c r="D18" s="36" t="s">
        <v>216</v>
      </c>
      <c r="E18" s="38" t="s">
        <v>74</v>
      </c>
      <c r="F18" s="38" t="s">
        <v>74</v>
      </c>
      <c r="G18" s="38" t="s">
        <v>74</v>
      </c>
      <c r="H18" s="38" t="s">
        <v>74</v>
      </c>
      <c r="I18" s="38" t="s">
        <v>74</v>
      </c>
      <c r="J18" s="38" t="s">
        <v>74</v>
      </c>
      <c r="K18" s="39" t="s">
        <v>74</v>
      </c>
      <c r="L18" s="40" t="s">
        <v>74</v>
      </c>
      <c r="M18" s="40" t="s">
        <v>74</v>
      </c>
      <c r="O18" s="37"/>
    </row>
    <row r="19" spans="1:15" ht="14.5" customHeight="1">
      <c r="A19" s="23" t="s">
        <v>223</v>
      </c>
      <c r="B19" s="24" t="s">
        <v>53</v>
      </c>
      <c r="C19" s="25" t="s">
        <v>50</v>
      </c>
      <c r="D19" s="26" t="s">
        <v>214</v>
      </c>
      <c r="E19" s="41" t="s">
        <v>74</v>
      </c>
      <c r="F19" s="41" t="s">
        <v>74</v>
      </c>
      <c r="G19" s="41" t="s">
        <v>74</v>
      </c>
      <c r="H19" s="41" t="s">
        <v>74</v>
      </c>
      <c r="I19" s="41" t="s">
        <v>74</v>
      </c>
      <c r="J19" s="41" t="s">
        <v>74</v>
      </c>
      <c r="K19" s="42" t="s">
        <v>74</v>
      </c>
      <c r="L19" s="43" t="s">
        <v>74</v>
      </c>
      <c r="M19" s="43" t="s">
        <v>74</v>
      </c>
    </row>
    <row r="20" spans="1:15" ht="14.5" customHeight="1">
      <c r="A20" s="23" t="s">
        <v>224</v>
      </c>
      <c r="B20" s="24"/>
      <c r="C20" s="25"/>
      <c r="D20" s="30" t="s">
        <v>216</v>
      </c>
      <c r="E20" s="41" t="s">
        <v>74</v>
      </c>
      <c r="F20" s="41" t="s">
        <v>74</v>
      </c>
      <c r="G20" s="41" t="s">
        <v>74</v>
      </c>
      <c r="H20" s="41" t="s">
        <v>74</v>
      </c>
      <c r="I20" s="41" t="s">
        <v>74</v>
      </c>
      <c r="J20" s="41" t="s">
        <v>74</v>
      </c>
      <c r="K20" s="42" t="s">
        <v>74</v>
      </c>
      <c r="L20" s="43" t="s">
        <v>74</v>
      </c>
      <c r="M20" s="43" t="s">
        <v>74</v>
      </c>
    </row>
    <row r="21" spans="1:15" ht="14.5" customHeight="1">
      <c r="A21" s="23" t="s">
        <v>225</v>
      </c>
      <c r="B21" s="31" t="s">
        <v>56</v>
      </c>
      <c r="C21" s="32" t="s">
        <v>50</v>
      </c>
      <c r="D21" s="33" t="s">
        <v>214</v>
      </c>
      <c r="E21" s="44" t="s">
        <v>74</v>
      </c>
      <c r="F21" s="44" t="s">
        <v>74</v>
      </c>
      <c r="G21" s="44" t="s">
        <v>74</v>
      </c>
      <c r="H21" s="44" t="s">
        <v>74</v>
      </c>
      <c r="I21" s="44" t="s">
        <v>74</v>
      </c>
      <c r="J21" s="44" t="s">
        <v>74</v>
      </c>
      <c r="K21" s="42" t="s">
        <v>74</v>
      </c>
      <c r="L21" s="45" t="s">
        <v>74</v>
      </c>
      <c r="M21" s="45" t="s">
        <v>74</v>
      </c>
    </row>
    <row r="22" spans="1:15" ht="14.5" customHeight="1">
      <c r="A22" s="23" t="s">
        <v>226</v>
      </c>
      <c r="B22" s="31"/>
      <c r="C22" s="32"/>
      <c r="D22" s="36" t="s">
        <v>216</v>
      </c>
      <c r="E22" s="44" t="s">
        <v>74</v>
      </c>
      <c r="F22" s="44" t="s">
        <v>74</v>
      </c>
      <c r="G22" s="44" t="s">
        <v>74</v>
      </c>
      <c r="H22" s="44" t="s">
        <v>74</v>
      </c>
      <c r="I22" s="44" t="s">
        <v>74</v>
      </c>
      <c r="J22" s="44" t="s">
        <v>74</v>
      </c>
      <c r="K22" s="42" t="s">
        <v>74</v>
      </c>
      <c r="L22" s="45" t="s">
        <v>74</v>
      </c>
      <c r="M22" s="45" t="s">
        <v>74</v>
      </c>
    </row>
    <row r="23" spans="1:15">
      <c r="B23" s="13" t="s">
        <v>59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</row>
    <row r="24" spans="1:15" ht="14.5" customHeight="1">
      <c r="A24" s="23" t="s">
        <v>227</v>
      </c>
      <c r="B24" s="24" t="s">
        <v>60</v>
      </c>
      <c r="C24" s="25" t="s">
        <v>50</v>
      </c>
      <c r="D24" s="26" t="s">
        <v>214</v>
      </c>
      <c r="E24" s="41" t="s">
        <v>74</v>
      </c>
      <c r="F24" s="41" t="s">
        <v>74</v>
      </c>
      <c r="G24" s="41" t="s">
        <v>74</v>
      </c>
      <c r="H24" s="41" t="s">
        <v>74</v>
      </c>
      <c r="I24" s="41" t="s">
        <v>74</v>
      </c>
      <c r="J24" s="41" t="s">
        <v>74</v>
      </c>
      <c r="K24" s="42" t="s">
        <v>74</v>
      </c>
      <c r="L24" s="43" t="s">
        <v>74</v>
      </c>
      <c r="M24" s="43" t="s">
        <v>74</v>
      </c>
    </row>
    <row r="25" spans="1:15" ht="14.5" customHeight="1">
      <c r="A25" s="23" t="s">
        <v>228</v>
      </c>
      <c r="B25" s="24"/>
      <c r="C25" s="25"/>
      <c r="D25" s="30" t="s">
        <v>216</v>
      </c>
      <c r="E25" s="41" t="s">
        <v>74</v>
      </c>
      <c r="F25" s="41" t="s">
        <v>74</v>
      </c>
      <c r="G25" s="41" t="s">
        <v>74</v>
      </c>
      <c r="H25" s="41" t="s">
        <v>74</v>
      </c>
      <c r="I25" s="41" t="s">
        <v>74</v>
      </c>
      <c r="J25" s="41" t="s">
        <v>74</v>
      </c>
      <c r="K25" s="42" t="s">
        <v>74</v>
      </c>
      <c r="L25" s="43" t="s">
        <v>74</v>
      </c>
      <c r="M25" s="43" t="s">
        <v>74</v>
      </c>
    </row>
    <row r="26" spans="1:15" ht="14.5" customHeight="1">
      <c r="A26" s="23" t="s">
        <v>229</v>
      </c>
      <c r="B26" s="31" t="s">
        <v>62</v>
      </c>
      <c r="C26" s="32" t="s">
        <v>50</v>
      </c>
      <c r="D26" s="33" t="s">
        <v>214</v>
      </c>
      <c r="E26" s="44" t="s">
        <v>74</v>
      </c>
      <c r="F26" s="44" t="s">
        <v>74</v>
      </c>
      <c r="G26" s="44" t="s">
        <v>74</v>
      </c>
      <c r="H26" s="44" t="s">
        <v>74</v>
      </c>
      <c r="I26" s="44" t="s">
        <v>74</v>
      </c>
      <c r="J26" s="44" t="s">
        <v>74</v>
      </c>
      <c r="K26" s="42" t="s">
        <v>74</v>
      </c>
      <c r="L26" s="45" t="s">
        <v>74</v>
      </c>
      <c r="M26" s="45" t="s">
        <v>74</v>
      </c>
    </row>
    <row r="27" spans="1:15" ht="14.5" customHeight="1">
      <c r="A27" s="23" t="s">
        <v>230</v>
      </c>
      <c r="B27" s="31"/>
      <c r="C27" s="32"/>
      <c r="D27" s="36" t="s">
        <v>216</v>
      </c>
      <c r="E27" s="44" t="s">
        <v>74</v>
      </c>
      <c r="F27" s="44" t="s">
        <v>74</v>
      </c>
      <c r="G27" s="44" t="s">
        <v>74</v>
      </c>
      <c r="H27" s="44" t="s">
        <v>74</v>
      </c>
      <c r="I27" s="44" t="s">
        <v>74</v>
      </c>
      <c r="J27" s="44" t="s">
        <v>74</v>
      </c>
      <c r="K27" s="42" t="s">
        <v>74</v>
      </c>
      <c r="L27" s="45" t="s">
        <v>74</v>
      </c>
      <c r="M27" s="45" t="s">
        <v>74</v>
      </c>
    </row>
    <row r="28" spans="1:15" ht="14.5" customHeight="1">
      <c r="A28" s="23" t="s">
        <v>231</v>
      </c>
      <c r="B28" s="24" t="s">
        <v>64</v>
      </c>
      <c r="C28" s="25" t="s">
        <v>50</v>
      </c>
      <c r="D28" s="26" t="s">
        <v>214</v>
      </c>
      <c r="E28" s="41" t="s">
        <v>74</v>
      </c>
      <c r="F28" s="41" t="s">
        <v>74</v>
      </c>
      <c r="G28" s="41" t="s">
        <v>74</v>
      </c>
      <c r="H28" s="41" t="s">
        <v>74</v>
      </c>
      <c r="I28" s="41" t="s">
        <v>74</v>
      </c>
      <c r="J28" s="41" t="s">
        <v>74</v>
      </c>
      <c r="K28" s="42" t="s">
        <v>74</v>
      </c>
      <c r="L28" s="43" t="s">
        <v>74</v>
      </c>
      <c r="M28" s="43" t="s">
        <v>74</v>
      </c>
    </row>
    <row r="29" spans="1:15" ht="14.5" customHeight="1">
      <c r="A29" s="23" t="s">
        <v>232</v>
      </c>
      <c r="B29" s="24"/>
      <c r="C29" s="25"/>
      <c r="D29" s="30" t="s">
        <v>216</v>
      </c>
      <c r="E29" s="41" t="s">
        <v>74</v>
      </c>
      <c r="F29" s="41" t="s">
        <v>74</v>
      </c>
      <c r="G29" s="41" t="s">
        <v>74</v>
      </c>
      <c r="H29" s="41" t="s">
        <v>74</v>
      </c>
      <c r="I29" s="41" t="s">
        <v>74</v>
      </c>
      <c r="J29" s="41" t="s">
        <v>74</v>
      </c>
      <c r="K29" s="42" t="s">
        <v>74</v>
      </c>
      <c r="L29" s="43" t="s">
        <v>74</v>
      </c>
      <c r="M29" s="43" t="s">
        <v>74</v>
      </c>
    </row>
    <row r="30" spans="1:15">
      <c r="B30" s="13" t="s">
        <v>66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5" ht="14.5" customHeight="1">
      <c r="A31" s="23" t="s">
        <v>233</v>
      </c>
      <c r="B31" s="31" t="s">
        <v>67</v>
      </c>
      <c r="C31" s="32" t="s">
        <v>50</v>
      </c>
      <c r="D31" s="33" t="s">
        <v>214</v>
      </c>
      <c r="E31" s="44" t="s">
        <v>74</v>
      </c>
      <c r="F31" s="44" t="s">
        <v>74</v>
      </c>
      <c r="G31" s="44" t="s">
        <v>74</v>
      </c>
      <c r="H31" s="44" t="s">
        <v>74</v>
      </c>
      <c r="I31" s="44" t="s">
        <v>74</v>
      </c>
      <c r="J31" s="44" t="s">
        <v>74</v>
      </c>
      <c r="K31" s="42" t="s">
        <v>74</v>
      </c>
      <c r="L31" s="45" t="s">
        <v>74</v>
      </c>
      <c r="M31" s="45" t="s">
        <v>74</v>
      </c>
    </row>
    <row r="32" spans="1:15" ht="14.5" customHeight="1">
      <c r="A32" s="23" t="s">
        <v>234</v>
      </c>
      <c r="B32" s="31"/>
      <c r="C32" s="32"/>
      <c r="D32" s="36" t="s">
        <v>216</v>
      </c>
      <c r="E32" s="44" t="s">
        <v>74</v>
      </c>
      <c r="F32" s="44" t="s">
        <v>74</v>
      </c>
      <c r="G32" s="44" t="s">
        <v>74</v>
      </c>
      <c r="H32" s="44" t="s">
        <v>74</v>
      </c>
      <c r="I32" s="44" t="s">
        <v>74</v>
      </c>
      <c r="J32" s="44" t="s">
        <v>74</v>
      </c>
      <c r="K32" s="42" t="s">
        <v>74</v>
      </c>
      <c r="L32" s="45" t="s">
        <v>74</v>
      </c>
      <c r="M32" s="45" t="s">
        <v>74</v>
      </c>
    </row>
    <row r="33" spans="1:13" ht="14.5" customHeight="1">
      <c r="A33" s="23" t="s">
        <v>235</v>
      </c>
      <c r="B33" s="24" t="s">
        <v>70</v>
      </c>
      <c r="C33" s="25" t="s">
        <v>50</v>
      </c>
      <c r="D33" s="26" t="s">
        <v>214</v>
      </c>
      <c r="E33" s="41" t="s">
        <v>74</v>
      </c>
      <c r="F33" s="41" t="s">
        <v>74</v>
      </c>
      <c r="G33" s="41" t="s">
        <v>74</v>
      </c>
      <c r="H33" s="41" t="s">
        <v>74</v>
      </c>
      <c r="I33" s="41" t="s">
        <v>74</v>
      </c>
      <c r="J33" s="41" t="s">
        <v>74</v>
      </c>
      <c r="K33" s="42" t="s">
        <v>74</v>
      </c>
      <c r="L33" s="43" t="s">
        <v>74</v>
      </c>
      <c r="M33" s="43" t="s">
        <v>74</v>
      </c>
    </row>
    <row r="34" spans="1:13" ht="14.5" customHeight="1">
      <c r="A34" s="23" t="s">
        <v>236</v>
      </c>
      <c r="B34" s="24"/>
      <c r="C34" s="25"/>
      <c r="D34" s="30" t="s">
        <v>216</v>
      </c>
      <c r="E34" s="41" t="s">
        <v>74</v>
      </c>
      <c r="F34" s="41" t="s">
        <v>74</v>
      </c>
      <c r="G34" s="41" t="s">
        <v>74</v>
      </c>
      <c r="H34" s="41" t="s">
        <v>74</v>
      </c>
      <c r="I34" s="41" t="s">
        <v>74</v>
      </c>
      <c r="J34" s="41" t="s">
        <v>74</v>
      </c>
      <c r="K34" s="42" t="s">
        <v>74</v>
      </c>
      <c r="L34" s="43" t="s">
        <v>74</v>
      </c>
      <c r="M34" s="43" t="s">
        <v>74</v>
      </c>
    </row>
    <row r="35" spans="1:13" ht="14.5" customHeight="1">
      <c r="A35" s="23" t="s">
        <v>237</v>
      </c>
      <c r="B35" s="31" t="s">
        <v>73</v>
      </c>
      <c r="C35" s="32" t="s">
        <v>74</v>
      </c>
      <c r="D35" s="33" t="s">
        <v>214</v>
      </c>
      <c r="E35" s="44" t="s">
        <v>74</v>
      </c>
      <c r="F35" s="44" t="s">
        <v>74</v>
      </c>
      <c r="G35" s="44" t="s">
        <v>74</v>
      </c>
      <c r="H35" s="44" t="s">
        <v>74</v>
      </c>
      <c r="I35" s="44" t="s">
        <v>74</v>
      </c>
      <c r="J35" s="44" t="s">
        <v>74</v>
      </c>
      <c r="K35" s="42" t="s">
        <v>74</v>
      </c>
      <c r="L35" s="45" t="s">
        <v>74</v>
      </c>
      <c r="M35" s="45" t="s">
        <v>74</v>
      </c>
    </row>
    <row r="36" spans="1:13" ht="14.5" customHeight="1">
      <c r="A36" s="23" t="s">
        <v>238</v>
      </c>
      <c r="B36" s="31"/>
      <c r="C36" s="32"/>
      <c r="D36" s="36" t="s">
        <v>216</v>
      </c>
      <c r="E36" s="44" t="s">
        <v>74</v>
      </c>
      <c r="F36" s="44" t="s">
        <v>74</v>
      </c>
      <c r="G36" s="44" t="s">
        <v>74</v>
      </c>
      <c r="H36" s="44" t="s">
        <v>74</v>
      </c>
      <c r="I36" s="44" t="s">
        <v>74</v>
      </c>
      <c r="J36" s="44" t="s">
        <v>74</v>
      </c>
      <c r="K36" s="42" t="s">
        <v>74</v>
      </c>
      <c r="L36" s="45" t="s">
        <v>74</v>
      </c>
      <c r="M36" s="45" t="s">
        <v>74</v>
      </c>
    </row>
    <row r="37" spans="1:13" ht="14.5" customHeight="1">
      <c r="A37" s="23" t="s">
        <v>239</v>
      </c>
      <c r="B37" s="24" t="s">
        <v>77</v>
      </c>
      <c r="C37" s="25" t="s">
        <v>78</v>
      </c>
      <c r="D37" s="26" t="s">
        <v>214</v>
      </c>
      <c r="E37" s="46" t="s">
        <v>74</v>
      </c>
      <c r="F37" s="46" t="s">
        <v>74</v>
      </c>
      <c r="G37" s="46" t="s">
        <v>74</v>
      </c>
      <c r="H37" s="46" t="s">
        <v>74</v>
      </c>
      <c r="I37" s="46" t="s">
        <v>74</v>
      </c>
      <c r="J37" s="46" t="s">
        <v>74</v>
      </c>
      <c r="K37" s="39" t="s">
        <v>74</v>
      </c>
      <c r="L37" s="47" t="s">
        <v>74</v>
      </c>
      <c r="M37" s="47" t="s">
        <v>74</v>
      </c>
    </row>
    <row r="38" spans="1:13" ht="14.5" customHeight="1">
      <c r="A38" s="23" t="s">
        <v>240</v>
      </c>
      <c r="B38" s="24"/>
      <c r="C38" s="25"/>
      <c r="D38" s="30" t="s">
        <v>216</v>
      </c>
      <c r="E38" s="46" t="s">
        <v>74</v>
      </c>
      <c r="F38" s="46" t="s">
        <v>74</v>
      </c>
      <c r="G38" s="46" t="s">
        <v>74</v>
      </c>
      <c r="H38" s="46" t="s">
        <v>74</v>
      </c>
      <c r="I38" s="46" t="s">
        <v>74</v>
      </c>
      <c r="J38" s="46" t="s">
        <v>74</v>
      </c>
      <c r="K38" s="39" t="s">
        <v>74</v>
      </c>
      <c r="L38" s="47" t="s">
        <v>74</v>
      </c>
      <c r="M38" s="47" t="s">
        <v>74</v>
      </c>
    </row>
    <row r="39" spans="1:13" ht="14.5" customHeight="1">
      <c r="A39" s="23" t="s">
        <v>241</v>
      </c>
      <c r="B39" s="31" t="s">
        <v>81</v>
      </c>
      <c r="C39" s="32" t="s">
        <v>50</v>
      </c>
      <c r="D39" s="33" t="s">
        <v>214</v>
      </c>
      <c r="E39" s="44" t="s">
        <v>74</v>
      </c>
      <c r="F39" s="44" t="s">
        <v>74</v>
      </c>
      <c r="G39" s="44" t="s">
        <v>74</v>
      </c>
      <c r="H39" s="44" t="s">
        <v>74</v>
      </c>
      <c r="I39" s="44" t="s">
        <v>74</v>
      </c>
      <c r="J39" s="44" t="s">
        <v>74</v>
      </c>
      <c r="K39" s="42" t="s">
        <v>74</v>
      </c>
      <c r="L39" s="45" t="s">
        <v>74</v>
      </c>
      <c r="M39" s="45" t="s">
        <v>74</v>
      </c>
    </row>
    <row r="40" spans="1:13" ht="14.5" customHeight="1">
      <c r="A40" s="23" t="s">
        <v>242</v>
      </c>
      <c r="B40" s="31"/>
      <c r="C40" s="32"/>
      <c r="D40" s="36" t="s">
        <v>216</v>
      </c>
      <c r="E40" s="44" t="s">
        <v>74</v>
      </c>
      <c r="F40" s="44" t="s">
        <v>74</v>
      </c>
      <c r="G40" s="44" t="s">
        <v>74</v>
      </c>
      <c r="H40" s="44" t="s">
        <v>74</v>
      </c>
      <c r="I40" s="44" t="s">
        <v>74</v>
      </c>
      <c r="J40" s="44" t="s">
        <v>74</v>
      </c>
      <c r="K40" s="42" t="s">
        <v>74</v>
      </c>
      <c r="L40" s="45" t="s">
        <v>74</v>
      </c>
      <c r="M40" s="45" t="s">
        <v>74</v>
      </c>
    </row>
    <row r="41" spans="1:13">
      <c r="B41" s="13" t="s">
        <v>84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</row>
    <row r="42" spans="1:13" ht="14.5" customHeight="1">
      <c r="A42" s="23" t="s">
        <v>243</v>
      </c>
      <c r="B42" s="24" t="s">
        <v>85</v>
      </c>
      <c r="C42" s="25" t="s">
        <v>50</v>
      </c>
      <c r="D42" s="26" t="s">
        <v>214</v>
      </c>
      <c r="E42" s="46" t="s">
        <v>74</v>
      </c>
      <c r="F42" s="46" t="s">
        <v>74</v>
      </c>
      <c r="G42" s="46" t="s">
        <v>74</v>
      </c>
      <c r="H42" s="46" t="s">
        <v>74</v>
      </c>
      <c r="I42" s="46" t="s">
        <v>74</v>
      </c>
      <c r="J42" s="46" t="s">
        <v>74</v>
      </c>
      <c r="K42" s="39" t="s">
        <v>74</v>
      </c>
      <c r="L42" s="47" t="s">
        <v>74</v>
      </c>
      <c r="M42" s="47" t="s">
        <v>74</v>
      </c>
    </row>
    <row r="43" spans="1:13" ht="14.5" customHeight="1">
      <c r="A43" s="23" t="s">
        <v>244</v>
      </c>
      <c r="B43" s="24"/>
      <c r="C43" s="25"/>
      <c r="D43" s="30" t="s">
        <v>216</v>
      </c>
      <c r="E43" s="46" t="s">
        <v>74</v>
      </c>
      <c r="F43" s="46" t="s">
        <v>74</v>
      </c>
      <c r="G43" s="46" t="s">
        <v>74</v>
      </c>
      <c r="H43" s="46" t="s">
        <v>74</v>
      </c>
      <c r="I43" s="46" t="s">
        <v>74</v>
      </c>
      <c r="J43" s="46" t="s">
        <v>74</v>
      </c>
      <c r="K43" s="39" t="s">
        <v>74</v>
      </c>
      <c r="L43" s="47" t="s">
        <v>74</v>
      </c>
      <c r="M43" s="47" t="s">
        <v>74</v>
      </c>
    </row>
    <row r="44" spans="1:13" ht="14.5" customHeight="1">
      <c r="A44" s="23" t="s">
        <v>245</v>
      </c>
      <c r="B44" s="31" t="s">
        <v>88</v>
      </c>
      <c r="C44" s="32" t="s">
        <v>74</v>
      </c>
      <c r="D44" s="33" t="s">
        <v>214</v>
      </c>
      <c r="E44" s="44" t="s">
        <v>74</v>
      </c>
      <c r="F44" s="44" t="s">
        <v>74</v>
      </c>
      <c r="G44" s="44" t="s">
        <v>74</v>
      </c>
      <c r="H44" s="44" t="s">
        <v>74</v>
      </c>
      <c r="I44" s="44" t="s">
        <v>74</v>
      </c>
      <c r="J44" s="44" t="s">
        <v>74</v>
      </c>
      <c r="K44" s="42" t="s">
        <v>74</v>
      </c>
      <c r="L44" s="45" t="s">
        <v>74</v>
      </c>
      <c r="M44" s="45" t="s">
        <v>74</v>
      </c>
    </row>
    <row r="45" spans="1:13" ht="14.5" customHeight="1">
      <c r="A45" s="23" t="s">
        <v>246</v>
      </c>
      <c r="B45" s="31"/>
      <c r="C45" s="32"/>
      <c r="D45" s="36" t="s">
        <v>216</v>
      </c>
      <c r="E45" s="44" t="s">
        <v>74</v>
      </c>
      <c r="F45" s="44" t="s">
        <v>74</v>
      </c>
      <c r="G45" s="44" t="s">
        <v>74</v>
      </c>
      <c r="H45" s="44" t="s">
        <v>74</v>
      </c>
      <c r="I45" s="44" t="s">
        <v>74</v>
      </c>
      <c r="J45" s="44" t="s">
        <v>74</v>
      </c>
      <c r="K45" s="42" t="s">
        <v>74</v>
      </c>
      <c r="L45" s="45" t="s">
        <v>74</v>
      </c>
      <c r="M45" s="45" t="s">
        <v>74</v>
      </c>
    </row>
    <row r="46" spans="1:13" ht="14.5" customHeight="1">
      <c r="A46" s="23" t="s">
        <v>247</v>
      </c>
      <c r="B46" s="24" t="s">
        <v>91</v>
      </c>
      <c r="C46" s="25" t="s">
        <v>50</v>
      </c>
      <c r="D46" s="26" t="s">
        <v>214</v>
      </c>
      <c r="E46" s="46" t="s">
        <v>74</v>
      </c>
      <c r="F46" s="46" t="s">
        <v>74</v>
      </c>
      <c r="G46" s="46" t="s">
        <v>74</v>
      </c>
      <c r="H46" s="46" t="s">
        <v>74</v>
      </c>
      <c r="I46" s="46" t="s">
        <v>74</v>
      </c>
      <c r="J46" s="46" t="s">
        <v>74</v>
      </c>
      <c r="K46" s="39" t="s">
        <v>74</v>
      </c>
      <c r="L46" s="47" t="s">
        <v>74</v>
      </c>
      <c r="M46" s="47" t="s">
        <v>74</v>
      </c>
    </row>
    <row r="47" spans="1:13" ht="14.5" customHeight="1">
      <c r="A47" s="23" t="s">
        <v>248</v>
      </c>
      <c r="B47" s="24"/>
      <c r="C47" s="25"/>
      <c r="D47" s="30" t="s">
        <v>216</v>
      </c>
      <c r="E47" s="46" t="s">
        <v>74</v>
      </c>
      <c r="F47" s="46" t="s">
        <v>74</v>
      </c>
      <c r="G47" s="46" t="s">
        <v>74</v>
      </c>
      <c r="H47" s="46" t="s">
        <v>74</v>
      </c>
      <c r="I47" s="46" t="s">
        <v>74</v>
      </c>
      <c r="J47" s="46" t="s">
        <v>74</v>
      </c>
      <c r="K47" s="39" t="s">
        <v>74</v>
      </c>
      <c r="L47" s="47" t="s">
        <v>74</v>
      </c>
      <c r="M47" s="47" t="s">
        <v>74</v>
      </c>
    </row>
    <row r="48" spans="1:13" ht="14.5" customHeight="1">
      <c r="A48" s="23" t="s">
        <v>249</v>
      </c>
      <c r="B48" s="31" t="s">
        <v>94</v>
      </c>
      <c r="C48" s="32" t="s">
        <v>95</v>
      </c>
      <c r="D48" s="33" t="s">
        <v>214</v>
      </c>
      <c r="E48" s="34" t="s">
        <v>74</v>
      </c>
      <c r="F48" s="34" t="s">
        <v>74</v>
      </c>
      <c r="G48" s="34" t="s">
        <v>74</v>
      </c>
      <c r="H48" s="34" t="s">
        <v>74</v>
      </c>
      <c r="I48" s="34" t="s">
        <v>74</v>
      </c>
      <c r="J48" s="34" t="s">
        <v>74</v>
      </c>
      <c r="K48" s="28" t="s">
        <v>74</v>
      </c>
      <c r="L48" s="35" t="s">
        <v>74</v>
      </c>
      <c r="M48" s="35" t="s">
        <v>74</v>
      </c>
    </row>
    <row r="49" spans="1:13" ht="14.5" customHeight="1">
      <c r="A49" s="23" t="s">
        <v>250</v>
      </c>
      <c r="B49" s="31"/>
      <c r="C49" s="32"/>
      <c r="D49" s="36" t="s">
        <v>216</v>
      </c>
      <c r="E49" s="34" t="s">
        <v>74</v>
      </c>
      <c r="F49" s="34" t="s">
        <v>74</v>
      </c>
      <c r="G49" s="34" t="s">
        <v>74</v>
      </c>
      <c r="H49" s="34" t="s">
        <v>74</v>
      </c>
      <c r="I49" s="34" t="s">
        <v>74</v>
      </c>
      <c r="J49" s="34" t="s">
        <v>74</v>
      </c>
      <c r="K49" s="28" t="s">
        <v>74</v>
      </c>
      <c r="L49" s="35" t="s">
        <v>74</v>
      </c>
      <c r="M49" s="35" t="s">
        <v>74</v>
      </c>
    </row>
    <row r="50" spans="1:13" ht="14.5" customHeight="1">
      <c r="A50" s="23" t="s">
        <v>251</v>
      </c>
      <c r="B50" s="24" t="s">
        <v>98</v>
      </c>
      <c r="C50" s="25" t="s">
        <v>50</v>
      </c>
      <c r="D50" s="26" t="s">
        <v>214</v>
      </c>
      <c r="E50" s="27" t="s">
        <v>74</v>
      </c>
      <c r="F50" s="27" t="s">
        <v>74</v>
      </c>
      <c r="G50" s="27" t="s">
        <v>74</v>
      </c>
      <c r="H50" s="27" t="s">
        <v>74</v>
      </c>
      <c r="I50" s="27" t="s">
        <v>74</v>
      </c>
      <c r="J50" s="27" t="s">
        <v>74</v>
      </c>
      <c r="K50" s="28" t="s">
        <v>74</v>
      </c>
      <c r="L50" s="29" t="s">
        <v>74</v>
      </c>
      <c r="M50" s="29" t="s">
        <v>74</v>
      </c>
    </row>
    <row r="51" spans="1:13" ht="14.5" customHeight="1">
      <c r="A51" s="23" t="s">
        <v>252</v>
      </c>
      <c r="B51" s="24"/>
      <c r="C51" s="25"/>
      <c r="D51" s="30" t="s">
        <v>216</v>
      </c>
      <c r="E51" s="27" t="s">
        <v>74</v>
      </c>
      <c r="F51" s="27" t="s">
        <v>74</v>
      </c>
      <c r="G51" s="27" t="s">
        <v>74</v>
      </c>
      <c r="H51" s="27" t="s">
        <v>74</v>
      </c>
      <c r="I51" s="27" t="s">
        <v>74</v>
      </c>
      <c r="J51" s="27" t="s">
        <v>74</v>
      </c>
      <c r="K51" s="28" t="s">
        <v>74</v>
      </c>
      <c r="L51" s="29" t="s">
        <v>74</v>
      </c>
      <c r="M51" s="29" t="s">
        <v>74</v>
      </c>
    </row>
    <row r="52" spans="1:13" ht="14.5" customHeight="1">
      <c r="A52" s="23" t="s">
        <v>253</v>
      </c>
      <c r="B52" s="31" t="s">
        <v>101</v>
      </c>
      <c r="C52" s="32" t="s">
        <v>50</v>
      </c>
      <c r="D52" s="33" t="s">
        <v>214</v>
      </c>
      <c r="E52" s="38" t="s">
        <v>74</v>
      </c>
      <c r="F52" s="38" t="s">
        <v>74</v>
      </c>
      <c r="G52" s="38" t="s">
        <v>74</v>
      </c>
      <c r="H52" s="38" t="s">
        <v>74</v>
      </c>
      <c r="I52" s="38" t="s">
        <v>74</v>
      </c>
      <c r="J52" s="38" t="s">
        <v>74</v>
      </c>
      <c r="K52" s="39" t="s">
        <v>74</v>
      </c>
      <c r="L52" s="40" t="s">
        <v>74</v>
      </c>
      <c r="M52" s="40" t="s">
        <v>74</v>
      </c>
    </row>
    <row r="53" spans="1:13" ht="14.5" customHeight="1">
      <c r="A53" s="23" t="s">
        <v>254</v>
      </c>
      <c r="B53" s="31"/>
      <c r="C53" s="32"/>
      <c r="D53" s="36" t="s">
        <v>216</v>
      </c>
      <c r="E53" s="38" t="s">
        <v>74</v>
      </c>
      <c r="F53" s="38" t="s">
        <v>74</v>
      </c>
      <c r="G53" s="38" t="s">
        <v>74</v>
      </c>
      <c r="H53" s="38" t="s">
        <v>74</v>
      </c>
      <c r="I53" s="38" t="s">
        <v>74</v>
      </c>
      <c r="J53" s="38" t="s">
        <v>74</v>
      </c>
      <c r="K53" s="39" t="s">
        <v>74</v>
      </c>
      <c r="L53" s="40" t="s">
        <v>74</v>
      </c>
      <c r="M53" s="40" t="s">
        <v>74</v>
      </c>
    </row>
    <row r="54" spans="1:13" ht="14.5" customHeight="1">
      <c r="A54" s="23" t="s">
        <v>255</v>
      </c>
      <c r="B54" s="24" t="s">
        <v>104</v>
      </c>
      <c r="C54" s="25" t="s">
        <v>50</v>
      </c>
      <c r="D54" s="26" t="s">
        <v>214</v>
      </c>
      <c r="E54" s="41" t="s">
        <v>74</v>
      </c>
      <c r="F54" s="41" t="s">
        <v>74</v>
      </c>
      <c r="G54" s="41" t="s">
        <v>74</v>
      </c>
      <c r="H54" s="41" t="s">
        <v>74</v>
      </c>
      <c r="I54" s="41" t="s">
        <v>74</v>
      </c>
      <c r="J54" s="41" t="s">
        <v>74</v>
      </c>
      <c r="K54" s="42" t="s">
        <v>74</v>
      </c>
      <c r="L54" s="43" t="s">
        <v>74</v>
      </c>
      <c r="M54" s="43" t="s">
        <v>74</v>
      </c>
    </row>
    <row r="55" spans="1:13" ht="14.5" customHeight="1">
      <c r="A55" s="23" t="s">
        <v>256</v>
      </c>
      <c r="B55" s="24"/>
      <c r="C55" s="25"/>
      <c r="D55" s="30" t="s">
        <v>216</v>
      </c>
      <c r="E55" s="41" t="s">
        <v>74</v>
      </c>
      <c r="F55" s="41" t="s">
        <v>74</v>
      </c>
      <c r="G55" s="41" t="s">
        <v>74</v>
      </c>
      <c r="H55" s="41" t="s">
        <v>74</v>
      </c>
      <c r="I55" s="41" t="s">
        <v>74</v>
      </c>
      <c r="J55" s="41" t="s">
        <v>74</v>
      </c>
      <c r="K55" s="42" t="s">
        <v>74</v>
      </c>
      <c r="L55" s="43" t="s">
        <v>74</v>
      </c>
      <c r="M55" s="43" t="s">
        <v>74</v>
      </c>
    </row>
    <row r="56" spans="1:13">
      <c r="B56" s="13" t="s">
        <v>107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</row>
    <row r="57" spans="1:13" ht="14.5" customHeight="1">
      <c r="A57" s="23" t="s">
        <v>257</v>
      </c>
      <c r="B57" s="31" t="s">
        <v>107</v>
      </c>
      <c r="C57" s="32" t="s">
        <v>108</v>
      </c>
      <c r="D57" s="33" t="s">
        <v>214</v>
      </c>
      <c r="E57" s="34" t="s">
        <v>74</v>
      </c>
      <c r="F57" s="34" t="s">
        <v>74</v>
      </c>
      <c r="G57" s="34" t="s">
        <v>74</v>
      </c>
      <c r="H57" s="34" t="s">
        <v>74</v>
      </c>
      <c r="I57" s="34" t="s">
        <v>74</v>
      </c>
      <c r="J57" s="34" t="s">
        <v>74</v>
      </c>
      <c r="K57" s="28" t="s">
        <v>74</v>
      </c>
      <c r="L57" s="35" t="s">
        <v>74</v>
      </c>
      <c r="M57" s="35" t="s">
        <v>74</v>
      </c>
    </row>
    <row r="58" spans="1:13" ht="14.5" customHeight="1">
      <c r="A58" s="23" t="s">
        <v>258</v>
      </c>
      <c r="B58" s="31"/>
      <c r="C58" s="32"/>
      <c r="D58" s="36" t="s">
        <v>216</v>
      </c>
      <c r="E58" s="34" t="s">
        <v>74</v>
      </c>
      <c r="F58" s="34" t="s">
        <v>74</v>
      </c>
      <c r="G58" s="34" t="s">
        <v>74</v>
      </c>
      <c r="H58" s="34" t="s">
        <v>74</v>
      </c>
      <c r="I58" s="34" t="s">
        <v>74</v>
      </c>
      <c r="J58" s="34" t="s">
        <v>74</v>
      </c>
      <c r="K58" s="28" t="s">
        <v>74</v>
      </c>
      <c r="L58" s="35" t="s">
        <v>74</v>
      </c>
      <c r="M58" s="35" t="s">
        <v>74</v>
      </c>
    </row>
    <row r="59" spans="1:13" ht="14.5" customHeight="1">
      <c r="A59" s="23" t="s">
        <v>259</v>
      </c>
      <c r="B59" s="24" t="s">
        <v>112</v>
      </c>
      <c r="C59" s="25" t="s">
        <v>113</v>
      </c>
      <c r="D59" s="26" t="s">
        <v>214</v>
      </c>
      <c r="E59" s="27" t="s">
        <v>74</v>
      </c>
      <c r="F59" s="27" t="s">
        <v>74</v>
      </c>
      <c r="G59" s="27" t="s">
        <v>74</v>
      </c>
      <c r="H59" s="27" t="s">
        <v>74</v>
      </c>
      <c r="I59" s="27" t="s">
        <v>74</v>
      </c>
      <c r="J59" s="27" t="s">
        <v>74</v>
      </c>
      <c r="K59" s="28" t="s">
        <v>74</v>
      </c>
      <c r="L59" s="29" t="s">
        <v>74</v>
      </c>
      <c r="M59" s="29" t="s">
        <v>74</v>
      </c>
    </row>
    <row r="60" spans="1:13" ht="14.5" customHeight="1">
      <c r="A60" s="23" t="s">
        <v>260</v>
      </c>
      <c r="B60" s="24"/>
      <c r="C60" s="25"/>
      <c r="D60" s="30" t="s">
        <v>216</v>
      </c>
      <c r="E60" s="27" t="s">
        <v>74</v>
      </c>
      <c r="F60" s="27" t="s">
        <v>74</v>
      </c>
      <c r="G60" s="27" t="s">
        <v>74</v>
      </c>
      <c r="H60" s="27" t="s">
        <v>74</v>
      </c>
      <c r="I60" s="27" t="s">
        <v>74</v>
      </c>
      <c r="J60" s="27" t="s">
        <v>74</v>
      </c>
      <c r="K60" s="28" t="s">
        <v>74</v>
      </c>
      <c r="L60" s="29" t="s">
        <v>74</v>
      </c>
      <c r="M60" s="29" t="s">
        <v>74</v>
      </c>
    </row>
    <row r="61" spans="1:13" ht="14.5" customHeight="1">
      <c r="A61" s="23" t="s">
        <v>261</v>
      </c>
      <c r="B61" s="31" t="s">
        <v>117</v>
      </c>
      <c r="C61" s="32" t="s">
        <v>113</v>
      </c>
      <c r="D61" s="33" t="s">
        <v>214</v>
      </c>
      <c r="E61" s="34" t="s">
        <v>74</v>
      </c>
      <c r="F61" s="34" t="s">
        <v>74</v>
      </c>
      <c r="G61" s="34" t="s">
        <v>74</v>
      </c>
      <c r="H61" s="34" t="s">
        <v>74</v>
      </c>
      <c r="I61" s="34" t="s">
        <v>74</v>
      </c>
      <c r="J61" s="34" t="s">
        <v>74</v>
      </c>
      <c r="K61" s="28" t="s">
        <v>74</v>
      </c>
      <c r="L61" s="35" t="s">
        <v>74</v>
      </c>
      <c r="M61" s="35" t="s">
        <v>74</v>
      </c>
    </row>
    <row r="62" spans="1:13" ht="14.5" customHeight="1">
      <c r="A62" s="23" t="s">
        <v>262</v>
      </c>
      <c r="B62" s="31"/>
      <c r="C62" s="32"/>
      <c r="D62" s="36" t="s">
        <v>216</v>
      </c>
      <c r="E62" s="34" t="s">
        <v>74</v>
      </c>
      <c r="F62" s="34" t="s">
        <v>74</v>
      </c>
      <c r="G62" s="34" t="s">
        <v>74</v>
      </c>
      <c r="H62" s="34" t="s">
        <v>74</v>
      </c>
      <c r="I62" s="34" t="s">
        <v>74</v>
      </c>
      <c r="J62" s="34" t="s">
        <v>74</v>
      </c>
      <c r="K62" s="28" t="s">
        <v>74</v>
      </c>
      <c r="L62" s="35" t="s">
        <v>74</v>
      </c>
      <c r="M62" s="35" t="s">
        <v>74</v>
      </c>
    </row>
    <row r="63" spans="1:13" ht="16" customHeight="1">
      <c r="B63" s="48" t="s">
        <v>338</v>
      </c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</row>
    <row r="64" spans="1:13" ht="14" customHeight="1"/>
    <row r="65" spans="2:13" ht="14" customHeight="1"/>
    <row r="66" spans="2:13" ht="6" customHeight="1"/>
    <row r="67" spans="2:13" ht="26" customHeight="1">
      <c r="B67" s="1"/>
      <c r="C67" s="1"/>
      <c r="D67" s="2" t="s">
        <v>339</v>
      </c>
      <c r="E67" s="2"/>
      <c r="F67" s="2"/>
      <c r="G67" s="2"/>
      <c r="H67" s="2"/>
      <c r="I67" s="2"/>
      <c r="J67" s="2"/>
      <c r="K67" s="2"/>
      <c r="L67" s="2"/>
      <c r="M67" s="2"/>
    </row>
    <row r="68" spans="2:13" ht="20" customHeight="1">
      <c r="B68" s="1"/>
      <c r="C68" s="1"/>
      <c r="D68" s="3" t="s">
        <v>340</v>
      </c>
      <c r="E68" s="3"/>
      <c r="F68" s="3"/>
      <c r="G68" s="3"/>
      <c r="H68" s="3"/>
      <c r="I68" s="3"/>
      <c r="J68" s="3"/>
      <c r="K68" s="3"/>
      <c r="L68" s="3"/>
      <c r="M68" s="3"/>
    </row>
    <row r="69" spans="2:13" ht="4" customHeight="1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ht="6" customHeight="1"/>
    <row r="71" spans="2:13" ht="22" customHeight="1">
      <c r="B71" s="21" t="s">
        <v>331</v>
      </c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</row>
    <row r="72" spans="2:13" ht="6" customHeight="1"/>
    <row r="73" spans="2:13" ht="30" customHeight="1">
      <c r="B73" s="49" t="s">
        <v>341</v>
      </c>
      <c r="C73" s="50" t="s">
        <v>74</v>
      </c>
      <c r="D73" s="50"/>
      <c r="E73" s="50"/>
      <c r="F73" s="50"/>
      <c r="G73" s="50"/>
      <c r="H73" s="50"/>
      <c r="I73" s="50"/>
      <c r="J73" s="50"/>
      <c r="K73" s="50"/>
      <c r="L73" s="50"/>
      <c r="M73" s="50"/>
    </row>
    <row r="74" spans="2:13" ht="20" customHeight="1">
      <c r="B74" s="49" t="s">
        <v>268</v>
      </c>
      <c r="C74" s="50" t="s">
        <v>74</v>
      </c>
      <c r="D74" s="50"/>
      <c r="E74" s="50"/>
      <c r="F74" s="50"/>
      <c r="G74" s="50"/>
      <c r="H74" s="50"/>
      <c r="I74" s="50"/>
      <c r="J74" s="50"/>
      <c r="K74" s="50"/>
      <c r="L74" s="50"/>
      <c r="M74" s="50"/>
    </row>
    <row r="75" spans="2:13" ht="30" customHeight="1">
      <c r="B75" s="49" t="s">
        <v>342</v>
      </c>
      <c r="C75" s="50" t="s">
        <v>74</v>
      </c>
      <c r="D75" s="50"/>
      <c r="E75" s="50"/>
      <c r="F75" s="50"/>
      <c r="G75" s="50"/>
      <c r="H75" s="50"/>
      <c r="I75" s="50"/>
      <c r="J75" s="50"/>
      <c r="K75" s="50"/>
      <c r="L75" s="50"/>
      <c r="M75" s="50"/>
    </row>
    <row r="76" spans="2:13" ht="30" customHeight="1">
      <c r="B76" s="49" t="s">
        <v>343</v>
      </c>
      <c r="C76" s="50" t="s">
        <v>74</v>
      </c>
      <c r="D76" s="50"/>
      <c r="E76" s="50"/>
      <c r="F76" s="50"/>
      <c r="G76" s="50"/>
      <c r="H76" s="50"/>
      <c r="I76" s="50"/>
      <c r="J76" s="50"/>
      <c r="K76" s="50"/>
      <c r="L76" s="50"/>
      <c r="M76" s="50"/>
    </row>
    <row r="77" spans="2:13" ht="30" customHeight="1">
      <c r="B77" s="49" t="s">
        <v>344</v>
      </c>
      <c r="C77" s="50" t="s">
        <v>74</v>
      </c>
      <c r="D77" s="50"/>
      <c r="E77" s="50"/>
      <c r="F77" s="50"/>
      <c r="G77" s="50"/>
      <c r="H77" s="50"/>
      <c r="I77" s="50"/>
      <c r="J77" s="50"/>
      <c r="K77" s="50"/>
      <c r="L77" s="50"/>
      <c r="M77" s="50"/>
    </row>
    <row r="78" spans="2:13" ht="30" customHeight="1">
      <c r="B78" s="49" t="s">
        <v>345</v>
      </c>
      <c r="C78" s="50" t="s">
        <v>74</v>
      </c>
      <c r="D78" s="50"/>
      <c r="E78" s="50"/>
      <c r="F78" s="50"/>
      <c r="G78" s="50"/>
      <c r="H78" s="50"/>
      <c r="I78" s="50"/>
      <c r="J78" s="50"/>
      <c r="K78" s="50"/>
      <c r="L78" s="50"/>
      <c r="M78" s="50"/>
    </row>
    <row r="79" spans="2:13" ht="30" customHeight="1">
      <c r="B79" s="49" t="s">
        <v>346</v>
      </c>
      <c r="C79" s="50" t="s">
        <v>74</v>
      </c>
      <c r="D79" s="50"/>
      <c r="E79" s="50"/>
      <c r="F79" s="50"/>
      <c r="G79" s="50"/>
      <c r="H79" s="50"/>
      <c r="I79" s="50"/>
      <c r="J79" s="50"/>
      <c r="K79" s="50"/>
      <c r="L79" s="50"/>
      <c r="M79" s="50"/>
    </row>
    <row r="80" spans="2:13" ht="30" customHeight="1">
      <c r="B80" s="49" t="s">
        <v>347</v>
      </c>
      <c r="C80" s="50" t="s">
        <v>74</v>
      </c>
      <c r="D80" s="50"/>
      <c r="E80" s="50"/>
      <c r="F80" s="50"/>
      <c r="G80" s="50"/>
      <c r="H80" s="50"/>
      <c r="I80" s="50"/>
      <c r="J80" s="50"/>
      <c r="K80" s="50"/>
      <c r="L80" s="50"/>
      <c r="M80" s="50"/>
    </row>
    <row r="81" spans="2:13" ht="30" customHeight="1">
      <c r="B81" s="49" t="s">
        <v>348</v>
      </c>
      <c r="C81" s="50" t="s">
        <v>74</v>
      </c>
      <c r="D81" s="50"/>
      <c r="E81" s="50"/>
      <c r="F81" s="50"/>
      <c r="G81" s="50"/>
      <c r="H81" s="50"/>
      <c r="I81" s="50"/>
      <c r="J81" s="50"/>
      <c r="K81" s="50"/>
      <c r="L81" s="50"/>
      <c r="M81" s="50"/>
    </row>
    <row r="82" spans="2:13" ht="30" customHeight="1">
      <c r="B82" s="49" t="s">
        <v>349</v>
      </c>
      <c r="C82" s="50" t="s">
        <v>74</v>
      </c>
      <c r="D82" s="50"/>
      <c r="E82" s="50"/>
      <c r="F82" s="50"/>
      <c r="G82" s="50"/>
      <c r="H82" s="50"/>
      <c r="I82" s="50"/>
      <c r="J82" s="50"/>
      <c r="K82" s="50"/>
      <c r="L82" s="50"/>
      <c r="M82" s="50"/>
    </row>
  </sheetData>
  <sheetProtection sheet="1" objects="1" scenarios="1" formatColumns="0" formatRows="0"/>
  <mergeCells count="72">
    <mergeCell ref="D2:M2"/>
    <mergeCell ref="D3:M3"/>
    <mergeCell ref="B6:M6"/>
    <mergeCell ref="B9:M9"/>
    <mergeCell ref="B10:B11"/>
    <mergeCell ref="C10:C11"/>
    <mergeCell ref="B12:M12"/>
    <mergeCell ref="B13:B14"/>
    <mergeCell ref="C13:C14"/>
    <mergeCell ref="B15:B16"/>
    <mergeCell ref="C15:C16"/>
    <mergeCell ref="B17:B18"/>
    <mergeCell ref="C17:C18"/>
    <mergeCell ref="B19:B20"/>
    <mergeCell ref="C19:C20"/>
    <mergeCell ref="B21:B22"/>
    <mergeCell ref="C21:C22"/>
    <mergeCell ref="B23:M23"/>
    <mergeCell ref="B24:B25"/>
    <mergeCell ref="C24:C25"/>
    <mergeCell ref="B26:B27"/>
    <mergeCell ref="C26:C27"/>
    <mergeCell ref="B28:B29"/>
    <mergeCell ref="C28:C29"/>
    <mergeCell ref="B30:M30"/>
    <mergeCell ref="B31:B32"/>
    <mergeCell ref="C31:C32"/>
    <mergeCell ref="B33:B34"/>
    <mergeCell ref="C33:C34"/>
    <mergeCell ref="B35:B36"/>
    <mergeCell ref="C35:C36"/>
    <mergeCell ref="B37:B38"/>
    <mergeCell ref="C37:C38"/>
    <mergeCell ref="B39:B40"/>
    <mergeCell ref="C39:C40"/>
    <mergeCell ref="B41:M41"/>
    <mergeCell ref="B42:B43"/>
    <mergeCell ref="C42:C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M56"/>
    <mergeCell ref="B57:B58"/>
    <mergeCell ref="C57:C58"/>
    <mergeCell ref="B59:B60"/>
    <mergeCell ref="C59:C60"/>
    <mergeCell ref="B61:B62"/>
    <mergeCell ref="C61:C62"/>
    <mergeCell ref="B63:M63"/>
    <mergeCell ref="D67:M67"/>
    <mergeCell ref="D68:M68"/>
    <mergeCell ref="B71:M71"/>
    <mergeCell ref="C73:M73"/>
    <mergeCell ref="C74:M74"/>
    <mergeCell ref="C75:M75"/>
    <mergeCell ref="C76:M76"/>
    <mergeCell ref="C77:M77"/>
    <mergeCell ref="C78:M78"/>
    <mergeCell ref="C79:M79"/>
    <mergeCell ref="C80:M80"/>
    <mergeCell ref="C81:M81"/>
    <mergeCell ref="C82:M82"/>
    <mergeCell ref="O14:O18"/>
  </mergeCells>
  <printOptions horizontalCentered="1"/>
  <pageMargins left="0.4" right="0.4" top="0.5" bottom="0.5" header="0.3" footer="0.3"/>
  <pageSetup paperSize="9" fitToHeight="2" orientation="portrait"/>
  <rowBreaks count="1" manualBreakCount="1">
    <brk id="65" max="16383" man="1"/>
  </row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FFC000"/>
    <pageSetUpPr fitToPage="1"/>
  </sheetPr>
  <dimension ref="A1:S8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6.7109375" customWidth="1"/>
    <col min="4" max="4" width="6.28515625" customWidth="1"/>
    <col min="5" max="10" width="8" customWidth="1"/>
    <col min="11" max="11" width="10.28515625" customWidth="1"/>
    <col min="12" max="13" width="7.7109375" customWidth="1"/>
    <col min="14" max="14" width="3.7109375" customWidth="1"/>
    <col min="15" max="15" width="27.7109375" customWidth="1"/>
    <col min="17" max="19" width="16.7109375" hidden="1" customWidth="1"/>
  </cols>
  <sheetData>
    <row r="1" spans="1:19" ht="6" customHeight="1">
      <c r="Q1" t="s">
        <v>327</v>
      </c>
      <c r="R1" t="s">
        <v>328</v>
      </c>
      <c r="S1" t="s">
        <v>329</v>
      </c>
    </row>
    <row r="2" spans="1:19" ht="26" customHeight="1">
      <c r="B2" s="1"/>
      <c r="C2" s="1"/>
      <c r="D2" s="2" t="s">
        <v>197</v>
      </c>
      <c r="E2" s="2"/>
      <c r="F2" s="2"/>
      <c r="G2" s="2"/>
      <c r="H2" s="2"/>
      <c r="I2" s="2"/>
      <c r="J2" s="2"/>
      <c r="K2" s="2"/>
      <c r="L2" s="2"/>
      <c r="M2" s="2"/>
      <c r="Q2" s="20"/>
      <c r="R2" s="20"/>
      <c r="S2" s="20"/>
    </row>
    <row r="3" spans="1:19" ht="20" customHeight="1">
      <c r="B3" s="1"/>
      <c r="C3" s="1"/>
      <c r="D3" s="3" t="s">
        <v>351</v>
      </c>
      <c r="E3" s="3"/>
      <c r="F3" s="3"/>
      <c r="G3" s="3"/>
      <c r="H3" s="3"/>
      <c r="I3" s="3"/>
      <c r="J3" s="3"/>
      <c r="K3" s="3"/>
      <c r="L3" s="3"/>
      <c r="M3" s="3"/>
    </row>
    <row r="4" spans="1:19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9" ht="6" customHeight="1"/>
    <row r="6" spans="1:19" ht="22" customHeight="1">
      <c r="B6" s="21" t="s">
        <v>331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</row>
    <row r="7" spans="1:19" ht="6" customHeight="1"/>
    <row r="8" spans="1:19" ht="30" customHeight="1">
      <c r="B8" s="22" t="s">
        <v>19</v>
      </c>
      <c r="C8" s="22" t="s">
        <v>207</v>
      </c>
      <c r="D8" s="22" t="s">
        <v>208</v>
      </c>
      <c r="E8" s="22" t="s">
        <v>352</v>
      </c>
      <c r="F8" s="22" t="s">
        <v>353</v>
      </c>
      <c r="G8" s="22" t="s">
        <v>354</v>
      </c>
      <c r="H8" s="22" t="s">
        <v>355</v>
      </c>
      <c r="I8" s="22" t="s">
        <v>356</v>
      </c>
      <c r="J8" s="22" t="s">
        <v>357</v>
      </c>
      <c r="K8" s="22" t="s">
        <v>22</v>
      </c>
      <c r="L8" s="22" t="s">
        <v>211</v>
      </c>
      <c r="M8" s="22" t="s">
        <v>212</v>
      </c>
    </row>
    <row r="9" spans="1:19">
      <c r="B9" s="13" t="s">
        <v>33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</row>
    <row r="10" spans="1:19" ht="14.5" customHeight="1">
      <c r="A10" s="23" t="s">
        <v>213</v>
      </c>
      <c r="B10" s="24" t="s">
        <v>34</v>
      </c>
      <c r="C10" s="25" t="s">
        <v>35</v>
      </c>
      <c r="D10" s="26" t="s">
        <v>214</v>
      </c>
      <c r="E10" s="27" t="s">
        <v>74</v>
      </c>
      <c r="F10" s="27" t="s">
        <v>74</v>
      </c>
      <c r="G10" s="27" t="s">
        <v>74</v>
      </c>
      <c r="H10" s="27" t="s">
        <v>74</v>
      </c>
      <c r="I10" s="27" t="s">
        <v>74</v>
      </c>
      <c r="J10" s="27" t="s">
        <v>74</v>
      </c>
      <c r="K10" s="28" t="s">
        <v>74</v>
      </c>
      <c r="L10" s="29" t="s">
        <v>74</v>
      </c>
      <c r="M10" s="29" t="s">
        <v>74</v>
      </c>
    </row>
    <row r="11" spans="1:19" ht="14.5" customHeight="1">
      <c r="A11" s="23" t="s">
        <v>215</v>
      </c>
      <c r="B11" s="24"/>
      <c r="C11" s="25"/>
      <c r="D11" s="30" t="s">
        <v>216</v>
      </c>
      <c r="E11" s="27" t="s">
        <v>74</v>
      </c>
      <c r="F11" s="27" t="s">
        <v>74</v>
      </c>
      <c r="G11" s="27" t="s">
        <v>74</v>
      </c>
      <c r="H11" s="27" t="s">
        <v>74</v>
      </c>
      <c r="I11" s="27" t="s">
        <v>74</v>
      </c>
      <c r="J11" s="27" t="s">
        <v>74</v>
      </c>
      <c r="K11" s="28" t="s">
        <v>74</v>
      </c>
      <c r="L11" s="29" t="s">
        <v>74</v>
      </c>
      <c r="M11" s="29" t="s">
        <v>74</v>
      </c>
    </row>
    <row r="12" spans="1:19">
      <c r="B12" s="13" t="s">
        <v>40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</row>
    <row r="13" spans="1:19" ht="14.5" customHeight="1">
      <c r="A13" s="23" t="s">
        <v>217</v>
      </c>
      <c r="B13" s="31" t="s">
        <v>41</v>
      </c>
      <c r="C13" s="32" t="s">
        <v>42</v>
      </c>
      <c r="D13" s="33" t="s">
        <v>214</v>
      </c>
      <c r="E13" s="34" t="s">
        <v>74</v>
      </c>
      <c r="F13" s="34" t="s">
        <v>74</v>
      </c>
      <c r="G13" s="34" t="s">
        <v>74</v>
      </c>
      <c r="H13" s="34" t="s">
        <v>74</v>
      </c>
      <c r="I13" s="34" t="s">
        <v>74</v>
      </c>
      <c r="J13" s="34" t="s">
        <v>74</v>
      </c>
      <c r="K13" s="28" t="s">
        <v>74</v>
      </c>
      <c r="L13" s="35" t="s">
        <v>74</v>
      </c>
      <c r="M13" s="35" t="s">
        <v>74</v>
      </c>
    </row>
    <row r="14" spans="1:19" ht="14.5" customHeight="1">
      <c r="A14" s="23" t="s">
        <v>218</v>
      </c>
      <c r="B14" s="31"/>
      <c r="C14" s="32"/>
      <c r="D14" s="36" t="s">
        <v>216</v>
      </c>
      <c r="E14" s="34" t="s">
        <v>74</v>
      </c>
      <c r="F14" s="34" t="s">
        <v>74</v>
      </c>
      <c r="G14" s="34" t="s">
        <v>74</v>
      </c>
      <c r="H14" s="34" t="s">
        <v>74</v>
      </c>
      <c r="I14" s="34" t="s">
        <v>74</v>
      </c>
      <c r="J14" s="34" t="s">
        <v>74</v>
      </c>
      <c r="K14" s="28" t="s">
        <v>74</v>
      </c>
      <c r="L14" s="35" t="s">
        <v>74</v>
      </c>
      <c r="M14" s="35" t="s">
        <v>74</v>
      </c>
      <c r="O14" s="37" t="s">
        <v>359</v>
      </c>
    </row>
    <row r="15" spans="1:19" ht="14.5" customHeight="1">
      <c r="A15" s="23" t="s">
        <v>219</v>
      </c>
      <c r="B15" s="24" t="s">
        <v>46</v>
      </c>
      <c r="C15" s="25" t="s">
        <v>42</v>
      </c>
      <c r="D15" s="26" t="s">
        <v>214</v>
      </c>
      <c r="E15" s="27" t="s">
        <v>74</v>
      </c>
      <c r="F15" s="27" t="s">
        <v>74</v>
      </c>
      <c r="G15" s="27" t="s">
        <v>74</v>
      </c>
      <c r="H15" s="27" t="s">
        <v>74</v>
      </c>
      <c r="I15" s="27" t="s">
        <v>74</v>
      </c>
      <c r="J15" s="27" t="s">
        <v>74</v>
      </c>
      <c r="K15" s="28" t="s">
        <v>74</v>
      </c>
      <c r="L15" s="29" t="s">
        <v>74</v>
      </c>
      <c r="M15" s="29" t="s">
        <v>74</v>
      </c>
      <c r="O15" s="37"/>
    </row>
    <row r="16" spans="1:19" ht="14.5" customHeight="1">
      <c r="A16" s="23" t="s">
        <v>220</v>
      </c>
      <c r="B16" s="24"/>
      <c r="C16" s="25"/>
      <c r="D16" s="30" t="s">
        <v>216</v>
      </c>
      <c r="E16" s="27" t="s">
        <v>74</v>
      </c>
      <c r="F16" s="27" t="s">
        <v>74</v>
      </c>
      <c r="G16" s="27" t="s">
        <v>74</v>
      </c>
      <c r="H16" s="27" t="s">
        <v>74</v>
      </c>
      <c r="I16" s="27" t="s">
        <v>74</v>
      </c>
      <c r="J16" s="27" t="s">
        <v>74</v>
      </c>
      <c r="K16" s="28" t="s">
        <v>74</v>
      </c>
      <c r="L16" s="29" t="s">
        <v>74</v>
      </c>
      <c r="M16" s="29" t="s">
        <v>74</v>
      </c>
      <c r="O16" s="37"/>
    </row>
    <row r="17" spans="1:15" ht="14.5" customHeight="1">
      <c r="A17" s="23" t="s">
        <v>221</v>
      </c>
      <c r="B17" s="31" t="s">
        <v>49</v>
      </c>
      <c r="C17" s="32" t="s">
        <v>50</v>
      </c>
      <c r="D17" s="33" t="s">
        <v>214</v>
      </c>
      <c r="E17" s="38" t="s">
        <v>74</v>
      </c>
      <c r="F17" s="38" t="s">
        <v>74</v>
      </c>
      <c r="G17" s="38" t="s">
        <v>74</v>
      </c>
      <c r="H17" s="38" t="s">
        <v>74</v>
      </c>
      <c r="I17" s="38" t="s">
        <v>74</v>
      </c>
      <c r="J17" s="38" t="s">
        <v>74</v>
      </c>
      <c r="K17" s="39" t="s">
        <v>74</v>
      </c>
      <c r="L17" s="40" t="s">
        <v>74</v>
      </c>
      <c r="M17" s="40" t="s">
        <v>74</v>
      </c>
      <c r="O17" s="37"/>
    </row>
    <row r="18" spans="1:15" ht="14.5" customHeight="1">
      <c r="A18" s="23" t="s">
        <v>222</v>
      </c>
      <c r="B18" s="31"/>
      <c r="C18" s="32"/>
      <c r="D18" s="36" t="s">
        <v>216</v>
      </c>
      <c r="E18" s="38" t="s">
        <v>74</v>
      </c>
      <c r="F18" s="38" t="s">
        <v>74</v>
      </c>
      <c r="G18" s="38" t="s">
        <v>74</v>
      </c>
      <c r="H18" s="38" t="s">
        <v>74</v>
      </c>
      <c r="I18" s="38" t="s">
        <v>74</v>
      </c>
      <c r="J18" s="38" t="s">
        <v>74</v>
      </c>
      <c r="K18" s="39" t="s">
        <v>74</v>
      </c>
      <c r="L18" s="40" t="s">
        <v>74</v>
      </c>
      <c r="M18" s="40" t="s">
        <v>74</v>
      </c>
      <c r="O18" s="37"/>
    </row>
    <row r="19" spans="1:15" ht="14.5" customHeight="1">
      <c r="A19" s="23" t="s">
        <v>223</v>
      </c>
      <c r="B19" s="24" t="s">
        <v>53</v>
      </c>
      <c r="C19" s="25" t="s">
        <v>50</v>
      </c>
      <c r="D19" s="26" t="s">
        <v>214</v>
      </c>
      <c r="E19" s="41" t="s">
        <v>74</v>
      </c>
      <c r="F19" s="41" t="s">
        <v>74</v>
      </c>
      <c r="G19" s="41" t="s">
        <v>74</v>
      </c>
      <c r="H19" s="41" t="s">
        <v>74</v>
      </c>
      <c r="I19" s="41" t="s">
        <v>74</v>
      </c>
      <c r="J19" s="41" t="s">
        <v>74</v>
      </c>
      <c r="K19" s="42" t="s">
        <v>74</v>
      </c>
      <c r="L19" s="43" t="s">
        <v>74</v>
      </c>
      <c r="M19" s="43" t="s">
        <v>74</v>
      </c>
    </row>
    <row r="20" spans="1:15" ht="14.5" customHeight="1">
      <c r="A20" s="23" t="s">
        <v>224</v>
      </c>
      <c r="B20" s="24"/>
      <c r="C20" s="25"/>
      <c r="D20" s="30" t="s">
        <v>216</v>
      </c>
      <c r="E20" s="41" t="s">
        <v>74</v>
      </c>
      <c r="F20" s="41" t="s">
        <v>74</v>
      </c>
      <c r="G20" s="41" t="s">
        <v>74</v>
      </c>
      <c r="H20" s="41" t="s">
        <v>74</v>
      </c>
      <c r="I20" s="41" t="s">
        <v>74</v>
      </c>
      <c r="J20" s="41" t="s">
        <v>74</v>
      </c>
      <c r="K20" s="42" t="s">
        <v>74</v>
      </c>
      <c r="L20" s="43" t="s">
        <v>74</v>
      </c>
      <c r="M20" s="43" t="s">
        <v>74</v>
      </c>
    </row>
    <row r="21" spans="1:15" ht="14.5" customHeight="1">
      <c r="A21" s="23" t="s">
        <v>225</v>
      </c>
      <c r="B21" s="31" t="s">
        <v>56</v>
      </c>
      <c r="C21" s="32" t="s">
        <v>50</v>
      </c>
      <c r="D21" s="33" t="s">
        <v>214</v>
      </c>
      <c r="E21" s="44" t="s">
        <v>74</v>
      </c>
      <c r="F21" s="44" t="s">
        <v>74</v>
      </c>
      <c r="G21" s="44" t="s">
        <v>74</v>
      </c>
      <c r="H21" s="44" t="s">
        <v>74</v>
      </c>
      <c r="I21" s="44" t="s">
        <v>74</v>
      </c>
      <c r="J21" s="44" t="s">
        <v>74</v>
      </c>
      <c r="K21" s="42" t="s">
        <v>74</v>
      </c>
      <c r="L21" s="45" t="s">
        <v>74</v>
      </c>
      <c r="M21" s="45" t="s">
        <v>74</v>
      </c>
    </row>
    <row r="22" spans="1:15" ht="14.5" customHeight="1">
      <c r="A22" s="23" t="s">
        <v>226</v>
      </c>
      <c r="B22" s="31"/>
      <c r="C22" s="32"/>
      <c r="D22" s="36" t="s">
        <v>216</v>
      </c>
      <c r="E22" s="44" t="s">
        <v>74</v>
      </c>
      <c r="F22" s="44" t="s">
        <v>74</v>
      </c>
      <c r="G22" s="44" t="s">
        <v>74</v>
      </c>
      <c r="H22" s="44" t="s">
        <v>74</v>
      </c>
      <c r="I22" s="44" t="s">
        <v>74</v>
      </c>
      <c r="J22" s="44" t="s">
        <v>74</v>
      </c>
      <c r="K22" s="42" t="s">
        <v>74</v>
      </c>
      <c r="L22" s="45" t="s">
        <v>74</v>
      </c>
      <c r="M22" s="45" t="s">
        <v>74</v>
      </c>
    </row>
    <row r="23" spans="1:15">
      <c r="B23" s="13" t="s">
        <v>59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</row>
    <row r="24" spans="1:15" ht="14.5" customHeight="1">
      <c r="A24" s="23" t="s">
        <v>227</v>
      </c>
      <c r="B24" s="24" t="s">
        <v>60</v>
      </c>
      <c r="C24" s="25" t="s">
        <v>50</v>
      </c>
      <c r="D24" s="26" t="s">
        <v>214</v>
      </c>
      <c r="E24" s="41" t="s">
        <v>74</v>
      </c>
      <c r="F24" s="41" t="s">
        <v>74</v>
      </c>
      <c r="G24" s="41" t="s">
        <v>74</v>
      </c>
      <c r="H24" s="41" t="s">
        <v>74</v>
      </c>
      <c r="I24" s="41" t="s">
        <v>74</v>
      </c>
      <c r="J24" s="41" t="s">
        <v>74</v>
      </c>
      <c r="K24" s="42" t="s">
        <v>74</v>
      </c>
      <c r="L24" s="43" t="s">
        <v>74</v>
      </c>
      <c r="M24" s="43" t="s">
        <v>74</v>
      </c>
    </row>
    <row r="25" spans="1:15" ht="14.5" customHeight="1">
      <c r="A25" s="23" t="s">
        <v>228</v>
      </c>
      <c r="B25" s="24"/>
      <c r="C25" s="25"/>
      <c r="D25" s="30" t="s">
        <v>216</v>
      </c>
      <c r="E25" s="41" t="s">
        <v>74</v>
      </c>
      <c r="F25" s="41" t="s">
        <v>74</v>
      </c>
      <c r="G25" s="41" t="s">
        <v>74</v>
      </c>
      <c r="H25" s="41" t="s">
        <v>74</v>
      </c>
      <c r="I25" s="41" t="s">
        <v>74</v>
      </c>
      <c r="J25" s="41" t="s">
        <v>74</v>
      </c>
      <c r="K25" s="42" t="s">
        <v>74</v>
      </c>
      <c r="L25" s="43" t="s">
        <v>74</v>
      </c>
      <c r="M25" s="43" t="s">
        <v>74</v>
      </c>
    </row>
    <row r="26" spans="1:15" ht="14.5" customHeight="1">
      <c r="A26" s="23" t="s">
        <v>229</v>
      </c>
      <c r="B26" s="31" t="s">
        <v>62</v>
      </c>
      <c r="C26" s="32" t="s">
        <v>50</v>
      </c>
      <c r="D26" s="33" t="s">
        <v>214</v>
      </c>
      <c r="E26" s="44" t="s">
        <v>74</v>
      </c>
      <c r="F26" s="44" t="s">
        <v>74</v>
      </c>
      <c r="G26" s="44" t="s">
        <v>74</v>
      </c>
      <c r="H26" s="44" t="s">
        <v>74</v>
      </c>
      <c r="I26" s="44" t="s">
        <v>74</v>
      </c>
      <c r="J26" s="44" t="s">
        <v>74</v>
      </c>
      <c r="K26" s="42" t="s">
        <v>74</v>
      </c>
      <c r="L26" s="45" t="s">
        <v>74</v>
      </c>
      <c r="M26" s="45" t="s">
        <v>74</v>
      </c>
    </row>
    <row r="27" spans="1:15" ht="14.5" customHeight="1">
      <c r="A27" s="23" t="s">
        <v>230</v>
      </c>
      <c r="B27" s="31"/>
      <c r="C27" s="32"/>
      <c r="D27" s="36" t="s">
        <v>216</v>
      </c>
      <c r="E27" s="44" t="s">
        <v>74</v>
      </c>
      <c r="F27" s="44" t="s">
        <v>74</v>
      </c>
      <c r="G27" s="44" t="s">
        <v>74</v>
      </c>
      <c r="H27" s="44" t="s">
        <v>74</v>
      </c>
      <c r="I27" s="44" t="s">
        <v>74</v>
      </c>
      <c r="J27" s="44" t="s">
        <v>74</v>
      </c>
      <c r="K27" s="42" t="s">
        <v>74</v>
      </c>
      <c r="L27" s="45" t="s">
        <v>74</v>
      </c>
      <c r="M27" s="45" t="s">
        <v>74</v>
      </c>
    </row>
    <row r="28" spans="1:15" ht="14.5" customHeight="1">
      <c r="A28" s="23" t="s">
        <v>231</v>
      </c>
      <c r="B28" s="24" t="s">
        <v>64</v>
      </c>
      <c r="C28" s="25" t="s">
        <v>50</v>
      </c>
      <c r="D28" s="26" t="s">
        <v>214</v>
      </c>
      <c r="E28" s="41" t="s">
        <v>74</v>
      </c>
      <c r="F28" s="41" t="s">
        <v>74</v>
      </c>
      <c r="G28" s="41" t="s">
        <v>74</v>
      </c>
      <c r="H28" s="41" t="s">
        <v>74</v>
      </c>
      <c r="I28" s="41" t="s">
        <v>74</v>
      </c>
      <c r="J28" s="41" t="s">
        <v>74</v>
      </c>
      <c r="K28" s="42" t="s">
        <v>74</v>
      </c>
      <c r="L28" s="43" t="s">
        <v>74</v>
      </c>
      <c r="M28" s="43" t="s">
        <v>74</v>
      </c>
    </row>
    <row r="29" spans="1:15" ht="14.5" customHeight="1">
      <c r="A29" s="23" t="s">
        <v>232</v>
      </c>
      <c r="B29" s="24"/>
      <c r="C29" s="25"/>
      <c r="D29" s="30" t="s">
        <v>216</v>
      </c>
      <c r="E29" s="41" t="s">
        <v>74</v>
      </c>
      <c r="F29" s="41" t="s">
        <v>74</v>
      </c>
      <c r="G29" s="41" t="s">
        <v>74</v>
      </c>
      <c r="H29" s="41" t="s">
        <v>74</v>
      </c>
      <c r="I29" s="41" t="s">
        <v>74</v>
      </c>
      <c r="J29" s="41" t="s">
        <v>74</v>
      </c>
      <c r="K29" s="42" t="s">
        <v>74</v>
      </c>
      <c r="L29" s="43" t="s">
        <v>74</v>
      </c>
      <c r="M29" s="43" t="s">
        <v>74</v>
      </c>
    </row>
    <row r="30" spans="1:15">
      <c r="B30" s="13" t="s">
        <v>66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5" ht="14.5" customHeight="1">
      <c r="A31" s="23" t="s">
        <v>233</v>
      </c>
      <c r="B31" s="31" t="s">
        <v>67</v>
      </c>
      <c r="C31" s="32" t="s">
        <v>50</v>
      </c>
      <c r="D31" s="33" t="s">
        <v>214</v>
      </c>
      <c r="E31" s="44" t="s">
        <v>74</v>
      </c>
      <c r="F31" s="44" t="s">
        <v>74</v>
      </c>
      <c r="G31" s="44" t="s">
        <v>74</v>
      </c>
      <c r="H31" s="44" t="s">
        <v>74</v>
      </c>
      <c r="I31" s="44" t="s">
        <v>74</v>
      </c>
      <c r="J31" s="44" t="s">
        <v>74</v>
      </c>
      <c r="K31" s="42" t="s">
        <v>74</v>
      </c>
      <c r="L31" s="45" t="s">
        <v>74</v>
      </c>
      <c r="M31" s="45" t="s">
        <v>74</v>
      </c>
    </row>
    <row r="32" spans="1:15" ht="14.5" customHeight="1">
      <c r="A32" s="23" t="s">
        <v>234</v>
      </c>
      <c r="B32" s="31"/>
      <c r="C32" s="32"/>
      <c r="D32" s="36" t="s">
        <v>216</v>
      </c>
      <c r="E32" s="44" t="s">
        <v>74</v>
      </c>
      <c r="F32" s="44" t="s">
        <v>74</v>
      </c>
      <c r="G32" s="44" t="s">
        <v>74</v>
      </c>
      <c r="H32" s="44" t="s">
        <v>74</v>
      </c>
      <c r="I32" s="44" t="s">
        <v>74</v>
      </c>
      <c r="J32" s="44" t="s">
        <v>74</v>
      </c>
      <c r="K32" s="42" t="s">
        <v>74</v>
      </c>
      <c r="L32" s="45" t="s">
        <v>74</v>
      </c>
      <c r="M32" s="45" t="s">
        <v>74</v>
      </c>
    </row>
    <row r="33" spans="1:13" ht="14.5" customHeight="1">
      <c r="A33" s="23" t="s">
        <v>235</v>
      </c>
      <c r="B33" s="24" t="s">
        <v>70</v>
      </c>
      <c r="C33" s="25" t="s">
        <v>50</v>
      </c>
      <c r="D33" s="26" t="s">
        <v>214</v>
      </c>
      <c r="E33" s="41" t="s">
        <v>74</v>
      </c>
      <c r="F33" s="41" t="s">
        <v>74</v>
      </c>
      <c r="G33" s="41" t="s">
        <v>74</v>
      </c>
      <c r="H33" s="41" t="s">
        <v>74</v>
      </c>
      <c r="I33" s="41" t="s">
        <v>74</v>
      </c>
      <c r="J33" s="41" t="s">
        <v>74</v>
      </c>
      <c r="K33" s="42" t="s">
        <v>74</v>
      </c>
      <c r="L33" s="43" t="s">
        <v>74</v>
      </c>
      <c r="M33" s="43" t="s">
        <v>74</v>
      </c>
    </row>
    <row r="34" spans="1:13" ht="14.5" customHeight="1">
      <c r="A34" s="23" t="s">
        <v>236</v>
      </c>
      <c r="B34" s="24"/>
      <c r="C34" s="25"/>
      <c r="D34" s="30" t="s">
        <v>216</v>
      </c>
      <c r="E34" s="41" t="s">
        <v>74</v>
      </c>
      <c r="F34" s="41" t="s">
        <v>74</v>
      </c>
      <c r="G34" s="41" t="s">
        <v>74</v>
      </c>
      <c r="H34" s="41" t="s">
        <v>74</v>
      </c>
      <c r="I34" s="41" t="s">
        <v>74</v>
      </c>
      <c r="J34" s="41" t="s">
        <v>74</v>
      </c>
      <c r="K34" s="42" t="s">
        <v>74</v>
      </c>
      <c r="L34" s="43" t="s">
        <v>74</v>
      </c>
      <c r="M34" s="43" t="s">
        <v>74</v>
      </c>
    </row>
    <row r="35" spans="1:13" ht="14.5" customHeight="1">
      <c r="A35" s="23" t="s">
        <v>237</v>
      </c>
      <c r="B35" s="31" t="s">
        <v>73</v>
      </c>
      <c r="C35" s="32" t="s">
        <v>74</v>
      </c>
      <c r="D35" s="33" t="s">
        <v>214</v>
      </c>
      <c r="E35" s="44" t="s">
        <v>74</v>
      </c>
      <c r="F35" s="44" t="s">
        <v>74</v>
      </c>
      <c r="G35" s="44" t="s">
        <v>74</v>
      </c>
      <c r="H35" s="44" t="s">
        <v>74</v>
      </c>
      <c r="I35" s="44" t="s">
        <v>74</v>
      </c>
      <c r="J35" s="44" t="s">
        <v>74</v>
      </c>
      <c r="K35" s="42" t="s">
        <v>74</v>
      </c>
      <c r="L35" s="45" t="s">
        <v>74</v>
      </c>
      <c r="M35" s="45" t="s">
        <v>74</v>
      </c>
    </row>
    <row r="36" spans="1:13" ht="14.5" customHeight="1">
      <c r="A36" s="23" t="s">
        <v>238</v>
      </c>
      <c r="B36" s="31"/>
      <c r="C36" s="32"/>
      <c r="D36" s="36" t="s">
        <v>216</v>
      </c>
      <c r="E36" s="44" t="s">
        <v>74</v>
      </c>
      <c r="F36" s="44" t="s">
        <v>74</v>
      </c>
      <c r="G36" s="44" t="s">
        <v>74</v>
      </c>
      <c r="H36" s="44" t="s">
        <v>74</v>
      </c>
      <c r="I36" s="44" t="s">
        <v>74</v>
      </c>
      <c r="J36" s="44" t="s">
        <v>74</v>
      </c>
      <c r="K36" s="42" t="s">
        <v>74</v>
      </c>
      <c r="L36" s="45" t="s">
        <v>74</v>
      </c>
      <c r="M36" s="45" t="s">
        <v>74</v>
      </c>
    </row>
    <row r="37" spans="1:13" ht="14.5" customHeight="1">
      <c r="A37" s="23" t="s">
        <v>239</v>
      </c>
      <c r="B37" s="24" t="s">
        <v>77</v>
      </c>
      <c r="C37" s="25" t="s">
        <v>78</v>
      </c>
      <c r="D37" s="26" t="s">
        <v>214</v>
      </c>
      <c r="E37" s="46" t="s">
        <v>74</v>
      </c>
      <c r="F37" s="46" t="s">
        <v>74</v>
      </c>
      <c r="G37" s="46" t="s">
        <v>74</v>
      </c>
      <c r="H37" s="46" t="s">
        <v>74</v>
      </c>
      <c r="I37" s="46" t="s">
        <v>74</v>
      </c>
      <c r="J37" s="46" t="s">
        <v>74</v>
      </c>
      <c r="K37" s="39" t="s">
        <v>74</v>
      </c>
      <c r="L37" s="47" t="s">
        <v>74</v>
      </c>
      <c r="M37" s="47" t="s">
        <v>74</v>
      </c>
    </row>
    <row r="38" spans="1:13" ht="14.5" customHeight="1">
      <c r="A38" s="23" t="s">
        <v>240</v>
      </c>
      <c r="B38" s="24"/>
      <c r="C38" s="25"/>
      <c r="D38" s="30" t="s">
        <v>216</v>
      </c>
      <c r="E38" s="46" t="s">
        <v>74</v>
      </c>
      <c r="F38" s="46" t="s">
        <v>74</v>
      </c>
      <c r="G38" s="46" t="s">
        <v>74</v>
      </c>
      <c r="H38" s="46" t="s">
        <v>74</v>
      </c>
      <c r="I38" s="46" t="s">
        <v>74</v>
      </c>
      <c r="J38" s="46" t="s">
        <v>74</v>
      </c>
      <c r="K38" s="39" t="s">
        <v>74</v>
      </c>
      <c r="L38" s="47" t="s">
        <v>74</v>
      </c>
      <c r="M38" s="47" t="s">
        <v>74</v>
      </c>
    </row>
    <row r="39" spans="1:13" ht="14.5" customHeight="1">
      <c r="A39" s="23" t="s">
        <v>241</v>
      </c>
      <c r="B39" s="31" t="s">
        <v>81</v>
      </c>
      <c r="C39" s="32" t="s">
        <v>50</v>
      </c>
      <c r="D39" s="33" t="s">
        <v>214</v>
      </c>
      <c r="E39" s="44" t="s">
        <v>74</v>
      </c>
      <c r="F39" s="44" t="s">
        <v>74</v>
      </c>
      <c r="G39" s="44" t="s">
        <v>74</v>
      </c>
      <c r="H39" s="44" t="s">
        <v>74</v>
      </c>
      <c r="I39" s="44" t="s">
        <v>74</v>
      </c>
      <c r="J39" s="44" t="s">
        <v>74</v>
      </c>
      <c r="K39" s="42" t="s">
        <v>74</v>
      </c>
      <c r="L39" s="45" t="s">
        <v>74</v>
      </c>
      <c r="M39" s="45" t="s">
        <v>74</v>
      </c>
    </row>
    <row r="40" spans="1:13" ht="14.5" customHeight="1">
      <c r="A40" s="23" t="s">
        <v>242</v>
      </c>
      <c r="B40" s="31"/>
      <c r="C40" s="32"/>
      <c r="D40" s="36" t="s">
        <v>216</v>
      </c>
      <c r="E40" s="44" t="s">
        <v>74</v>
      </c>
      <c r="F40" s="44" t="s">
        <v>74</v>
      </c>
      <c r="G40" s="44" t="s">
        <v>74</v>
      </c>
      <c r="H40" s="44" t="s">
        <v>74</v>
      </c>
      <c r="I40" s="44" t="s">
        <v>74</v>
      </c>
      <c r="J40" s="44" t="s">
        <v>74</v>
      </c>
      <c r="K40" s="42" t="s">
        <v>74</v>
      </c>
      <c r="L40" s="45" t="s">
        <v>74</v>
      </c>
      <c r="M40" s="45" t="s">
        <v>74</v>
      </c>
    </row>
    <row r="41" spans="1:13">
      <c r="B41" s="13" t="s">
        <v>84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</row>
    <row r="42" spans="1:13" ht="14.5" customHeight="1">
      <c r="A42" s="23" t="s">
        <v>243</v>
      </c>
      <c r="B42" s="24" t="s">
        <v>85</v>
      </c>
      <c r="C42" s="25" t="s">
        <v>50</v>
      </c>
      <c r="D42" s="26" t="s">
        <v>214</v>
      </c>
      <c r="E42" s="46" t="s">
        <v>74</v>
      </c>
      <c r="F42" s="46" t="s">
        <v>74</v>
      </c>
      <c r="G42" s="46" t="s">
        <v>74</v>
      </c>
      <c r="H42" s="46" t="s">
        <v>74</v>
      </c>
      <c r="I42" s="46" t="s">
        <v>74</v>
      </c>
      <c r="J42" s="46" t="s">
        <v>74</v>
      </c>
      <c r="K42" s="39" t="s">
        <v>74</v>
      </c>
      <c r="L42" s="47" t="s">
        <v>74</v>
      </c>
      <c r="M42" s="47" t="s">
        <v>74</v>
      </c>
    </row>
    <row r="43" spans="1:13" ht="14.5" customHeight="1">
      <c r="A43" s="23" t="s">
        <v>244</v>
      </c>
      <c r="B43" s="24"/>
      <c r="C43" s="25"/>
      <c r="D43" s="30" t="s">
        <v>216</v>
      </c>
      <c r="E43" s="46" t="s">
        <v>74</v>
      </c>
      <c r="F43" s="46" t="s">
        <v>74</v>
      </c>
      <c r="G43" s="46" t="s">
        <v>74</v>
      </c>
      <c r="H43" s="46" t="s">
        <v>74</v>
      </c>
      <c r="I43" s="46" t="s">
        <v>74</v>
      </c>
      <c r="J43" s="46" t="s">
        <v>74</v>
      </c>
      <c r="K43" s="39" t="s">
        <v>74</v>
      </c>
      <c r="L43" s="47" t="s">
        <v>74</v>
      </c>
      <c r="M43" s="47" t="s">
        <v>74</v>
      </c>
    </row>
    <row r="44" spans="1:13" ht="14.5" customHeight="1">
      <c r="A44" s="23" t="s">
        <v>245</v>
      </c>
      <c r="B44" s="31" t="s">
        <v>88</v>
      </c>
      <c r="C44" s="32" t="s">
        <v>74</v>
      </c>
      <c r="D44" s="33" t="s">
        <v>214</v>
      </c>
      <c r="E44" s="44" t="s">
        <v>74</v>
      </c>
      <c r="F44" s="44" t="s">
        <v>74</v>
      </c>
      <c r="G44" s="44" t="s">
        <v>74</v>
      </c>
      <c r="H44" s="44" t="s">
        <v>74</v>
      </c>
      <c r="I44" s="44" t="s">
        <v>74</v>
      </c>
      <c r="J44" s="44" t="s">
        <v>74</v>
      </c>
      <c r="K44" s="42" t="s">
        <v>74</v>
      </c>
      <c r="L44" s="45" t="s">
        <v>74</v>
      </c>
      <c r="M44" s="45" t="s">
        <v>74</v>
      </c>
    </row>
    <row r="45" spans="1:13" ht="14.5" customHeight="1">
      <c r="A45" s="23" t="s">
        <v>246</v>
      </c>
      <c r="B45" s="31"/>
      <c r="C45" s="32"/>
      <c r="D45" s="36" t="s">
        <v>216</v>
      </c>
      <c r="E45" s="44" t="s">
        <v>74</v>
      </c>
      <c r="F45" s="44" t="s">
        <v>74</v>
      </c>
      <c r="G45" s="44" t="s">
        <v>74</v>
      </c>
      <c r="H45" s="44" t="s">
        <v>74</v>
      </c>
      <c r="I45" s="44" t="s">
        <v>74</v>
      </c>
      <c r="J45" s="44" t="s">
        <v>74</v>
      </c>
      <c r="K45" s="42" t="s">
        <v>74</v>
      </c>
      <c r="L45" s="45" t="s">
        <v>74</v>
      </c>
      <c r="M45" s="45" t="s">
        <v>74</v>
      </c>
    </row>
    <row r="46" spans="1:13" ht="14.5" customHeight="1">
      <c r="A46" s="23" t="s">
        <v>247</v>
      </c>
      <c r="B46" s="24" t="s">
        <v>91</v>
      </c>
      <c r="C46" s="25" t="s">
        <v>50</v>
      </c>
      <c r="D46" s="26" t="s">
        <v>214</v>
      </c>
      <c r="E46" s="46" t="s">
        <v>74</v>
      </c>
      <c r="F46" s="46" t="s">
        <v>74</v>
      </c>
      <c r="G46" s="46" t="s">
        <v>74</v>
      </c>
      <c r="H46" s="46" t="s">
        <v>74</v>
      </c>
      <c r="I46" s="46" t="s">
        <v>74</v>
      </c>
      <c r="J46" s="46" t="s">
        <v>74</v>
      </c>
      <c r="K46" s="39" t="s">
        <v>74</v>
      </c>
      <c r="L46" s="47" t="s">
        <v>74</v>
      </c>
      <c r="M46" s="47" t="s">
        <v>74</v>
      </c>
    </row>
    <row r="47" spans="1:13" ht="14.5" customHeight="1">
      <c r="A47" s="23" t="s">
        <v>248</v>
      </c>
      <c r="B47" s="24"/>
      <c r="C47" s="25"/>
      <c r="D47" s="30" t="s">
        <v>216</v>
      </c>
      <c r="E47" s="46" t="s">
        <v>74</v>
      </c>
      <c r="F47" s="46" t="s">
        <v>74</v>
      </c>
      <c r="G47" s="46" t="s">
        <v>74</v>
      </c>
      <c r="H47" s="46" t="s">
        <v>74</v>
      </c>
      <c r="I47" s="46" t="s">
        <v>74</v>
      </c>
      <c r="J47" s="46" t="s">
        <v>74</v>
      </c>
      <c r="K47" s="39" t="s">
        <v>74</v>
      </c>
      <c r="L47" s="47" t="s">
        <v>74</v>
      </c>
      <c r="M47" s="47" t="s">
        <v>74</v>
      </c>
    </row>
    <row r="48" spans="1:13" ht="14.5" customHeight="1">
      <c r="A48" s="23" t="s">
        <v>249</v>
      </c>
      <c r="B48" s="31" t="s">
        <v>94</v>
      </c>
      <c r="C48" s="32" t="s">
        <v>95</v>
      </c>
      <c r="D48" s="33" t="s">
        <v>214</v>
      </c>
      <c r="E48" s="34" t="s">
        <v>74</v>
      </c>
      <c r="F48" s="34" t="s">
        <v>74</v>
      </c>
      <c r="G48" s="34" t="s">
        <v>74</v>
      </c>
      <c r="H48" s="34" t="s">
        <v>74</v>
      </c>
      <c r="I48" s="34" t="s">
        <v>74</v>
      </c>
      <c r="J48" s="34" t="s">
        <v>74</v>
      </c>
      <c r="K48" s="28" t="s">
        <v>74</v>
      </c>
      <c r="L48" s="35" t="s">
        <v>74</v>
      </c>
      <c r="M48" s="35" t="s">
        <v>74</v>
      </c>
    </row>
    <row r="49" spans="1:13" ht="14.5" customHeight="1">
      <c r="A49" s="23" t="s">
        <v>250</v>
      </c>
      <c r="B49" s="31"/>
      <c r="C49" s="32"/>
      <c r="D49" s="36" t="s">
        <v>216</v>
      </c>
      <c r="E49" s="34" t="s">
        <v>74</v>
      </c>
      <c r="F49" s="34" t="s">
        <v>74</v>
      </c>
      <c r="G49" s="34" t="s">
        <v>74</v>
      </c>
      <c r="H49" s="34" t="s">
        <v>74</v>
      </c>
      <c r="I49" s="34" t="s">
        <v>74</v>
      </c>
      <c r="J49" s="34" t="s">
        <v>74</v>
      </c>
      <c r="K49" s="28" t="s">
        <v>74</v>
      </c>
      <c r="L49" s="35" t="s">
        <v>74</v>
      </c>
      <c r="M49" s="35" t="s">
        <v>74</v>
      </c>
    </row>
    <row r="50" spans="1:13" ht="14.5" customHeight="1">
      <c r="A50" s="23" t="s">
        <v>251</v>
      </c>
      <c r="B50" s="24" t="s">
        <v>98</v>
      </c>
      <c r="C50" s="25" t="s">
        <v>50</v>
      </c>
      <c r="D50" s="26" t="s">
        <v>214</v>
      </c>
      <c r="E50" s="27" t="s">
        <v>74</v>
      </c>
      <c r="F50" s="27" t="s">
        <v>74</v>
      </c>
      <c r="G50" s="27" t="s">
        <v>74</v>
      </c>
      <c r="H50" s="27" t="s">
        <v>74</v>
      </c>
      <c r="I50" s="27" t="s">
        <v>74</v>
      </c>
      <c r="J50" s="27" t="s">
        <v>74</v>
      </c>
      <c r="K50" s="28" t="s">
        <v>74</v>
      </c>
      <c r="L50" s="29" t="s">
        <v>74</v>
      </c>
      <c r="M50" s="29" t="s">
        <v>74</v>
      </c>
    </row>
    <row r="51" spans="1:13" ht="14.5" customHeight="1">
      <c r="A51" s="23" t="s">
        <v>252</v>
      </c>
      <c r="B51" s="24"/>
      <c r="C51" s="25"/>
      <c r="D51" s="30" t="s">
        <v>216</v>
      </c>
      <c r="E51" s="27" t="s">
        <v>74</v>
      </c>
      <c r="F51" s="27" t="s">
        <v>74</v>
      </c>
      <c r="G51" s="27" t="s">
        <v>74</v>
      </c>
      <c r="H51" s="27" t="s">
        <v>74</v>
      </c>
      <c r="I51" s="27" t="s">
        <v>74</v>
      </c>
      <c r="J51" s="27" t="s">
        <v>74</v>
      </c>
      <c r="K51" s="28" t="s">
        <v>74</v>
      </c>
      <c r="L51" s="29" t="s">
        <v>74</v>
      </c>
      <c r="M51" s="29" t="s">
        <v>74</v>
      </c>
    </row>
    <row r="52" spans="1:13" ht="14.5" customHeight="1">
      <c r="A52" s="23" t="s">
        <v>253</v>
      </c>
      <c r="B52" s="31" t="s">
        <v>101</v>
      </c>
      <c r="C52" s="32" t="s">
        <v>50</v>
      </c>
      <c r="D52" s="33" t="s">
        <v>214</v>
      </c>
      <c r="E52" s="38" t="s">
        <v>74</v>
      </c>
      <c r="F52" s="38" t="s">
        <v>74</v>
      </c>
      <c r="G52" s="38" t="s">
        <v>74</v>
      </c>
      <c r="H52" s="38" t="s">
        <v>74</v>
      </c>
      <c r="I52" s="38" t="s">
        <v>74</v>
      </c>
      <c r="J52" s="38" t="s">
        <v>74</v>
      </c>
      <c r="K52" s="39" t="s">
        <v>74</v>
      </c>
      <c r="L52" s="40" t="s">
        <v>74</v>
      </c>
      <c r="M52" s="40" t="s">
        <v>74</v>
      </c>
    </row>
    <row r="53" spans="1:13" ht="14.5" customHeight="1">
      <c r="A53" s="23" t="s">
        <v>254</v>
      </c>
      <c r="B53" s="31"/>
      <c r="C53" s="32"/>
      <c r="D53" s="36" t="s">
        <v>216</v>
      </c>
      <c r="E53" s="38" t="s">
        <v>74</v>
      </c>
      <c r="F53" s="38" t="s">
        <v>74</v>
      </c>
      <c r="G53" s="38" t="s">
        <v>74</v>
      </c>
      <c r="H53" s="38" t="s">
        <v>74</v>
      </c>
      <c r="I53" s="38" t="s">
        <v>74</v>
      </c>
      <c r="J53" s="38" t="s">
        <v>74</v>
      </c>
      <c r="K53" s="39" t="s">
        <v>74</v>
      </c>
      <c r="L53" s="40" t="s">
        <v>74</v>
      </c>
      <c r="M53" s="40" t="s">
        <v>74</v>
      </c>
    </row>
    <row r="54" spans="1:13" ht="14.5" customHeight="1">
      <c r="A54" s="23" t="s">
        <v>255</v>
      </c>
      <c r="B54" s="24" t="s">
        <v>104</v>
      </c>
      <c r="C54" s="25" t="s">
        <v>50</v>
      </c>
      <c r="D54" s="26" t="s">
        <v>214</v>
      </c>
      <c r="E54" s="41" t="s">
        <v>74</v>
      </c>
      <c r="F54" s="41" t="s">
        <v>74</v>
      </c>
      <c r="G54" s="41" t="s">
        <v>74</v>
      </c>
      <c r="H54" s="41" t="s">
        <v>74</v>
      </c>
      <c r="I54" s="41" t="s">
        <v>74</v>
      </c>
      <c r="J54" s="41" t="s">
        <v>74</v>
      </c>
      <c r="K54" s="42" t="s">
        <v>74</v>
      </c>
      <c r="L54" s="43" t="s">
        <v>74</v>
      </c>
      <c r="M54" s="43" t="s">
        <v>74</v>
      </c>
    </row>
    <row r="55" spans="1:13" ht="14.5" customHeight="1">
      <c r="A55" s="23" t="s">
        <v>256</v>
      </c>
      <c r="B55" s="24"/>
      <c r="C55" s="25"/>
      <c r="D55" s="30" t="s">
        <v>216</v>
      </c>
      <c r="E55" s="41" t="s">
        <v>74</v>
      </c>
      <c r="F55" s="41" t="s">
        <v>74</v>
      </c>
      <c r="G55" s="41" t="s">
        <v>74</v>
      </c>
      <c r="H55" s="41" t="s">
        <v>74</v>
      </c>
      <c r="I55" s="41" t="s">
        <v>74</v>
      </c>
      <c r="J55" s="41" t="s">
        <v>74</v>
      </c>
      <c r="K55" s="42" t="s">
        <v>74</v>
      </c>
      <c r="L55" s="43" t="s">
        <v>74</v>
      </c>
      <c r="M55" s="43" t="s">
        <v>74</v>
      </c>
    </row>
    <row r="56" spans="1:13">
      <c r="B56" s="13" t="s">
        <v>107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</row>
    <row r="57" spans="1:13" ht="14.5" customHeight="1">
      <c r="A57" s="23" t="s">
        <v>257</v>
      </c>
      <c r="B57" s="31" t="s">
        <v>107</v>
      </c>
      <c r="C57" s="32" t="s">
        <v>108</v>
      </c>
      <c r="D57" s="33" t="s">
        <v>214</v>
      </c>
      <c r="E57" s="34" t="s">
        <v>74</v>
      </c>
      <c r="F57" s="34" t="s">
        <v>74</v>
      </c>
      <c r="G57" s="34" t="s">
        <v>74</v>
      </c>
      <c r="H57" s="34" t="s">
        <v>74</v>
      </c>
      <c r="I57" s="34" t="s">
        <v>74</v>
      </c>
      <c r="J57" s="34" t="s">
        <v>74</v>
      </c>
      <c r="K57" s="28" t="s">
        <v>74</v>
      </c>
      <c r="L57" s="35" t="s">
        <v>74</v>
      </c>
      <c r="M57" s="35" t="s">
        <v>74</v>
      </c>
    </row>
    <row r="58" spans="1:13" ht="14.5" customHeight="1">
      <c r="A58" s="23" t="s">
        <v>258</v>
      </c>
      <c r="B58" s="31"/>
      <c r="C58" s="32"/>
      <c r="D58" s="36" t="s">
        <v>216</v>
      </c>
      <c r="E58" s="34" t="s">
        <v>74</v>
      </c>
      <c r="F58" s="34" t="s">
        <v>74</v>
      </c>
      <c r="G58" s="34" t="s">
        <v>74</v>
      </c>
      <c r="H58" s="34" t="s">
        <v>74</v>
      </c>
      <c r="I58" s="34" t="s">
        <v>74</v>
      </c>
      <c r="J58" s="34" t="s">
        <v>74</v>
      </c>
      <c r="K58" s="28" t="s">
        <v>74</v>
      </c>
      <c r="L58" s="35" t="s">
        <v>74</v>
      </c>
      <c r="M58" s="35" t="s">
        <v>74</v>
      </c>
    </row>
    <row r="59" spans="1:13" ht="14.5" customHeight="1">
      <c r="A59" s="23" t="s">
        <v>259</v>
      </c>
      <c r="B59" s="24" t="s">
        <v>112</v>
      </c>
      <c r="C59" s="25" t="s">
        <v>113</v>
      </c>
      <c r="D59" s="26" t="s">
        <v>214</v>
      </c>
      <c r="E59" s="27" t="s">
        <v>74</v>
      </c>
      <c r="F59" s="27" t="s">
        <v>74</v>
      </c>
      <c r="G59" s="27" t="s">
        <v>74</v>
      </c>
      <c r="H59" s="27" t="s">
        <v>74</v>
      </c>
      <c r="I59" s="27" t="s">
        <v>74</v>
      </c>
      <c r="J59" s="27" t="s">
        <v>74</v>
      </c>
      <c r="K59" s="28" t="s">
        <v>74</v>
      </c>
      <c r="L59" s="29" t="s">
        <v>74</v>
      </c>
      <c r="M59" s="29" t="s">
        <v>74</v>
      </c>
    </row>
    <row r="60" spans="1:13" ht="14.5" customHeight="1">
      <c r="A60" s="23" t="s">
        <v>260</v>
      </c>
      <c r="B60" s="24"/>
      <c r="C60" s="25"/>
      <c r="D60" s="30" t="s">
        <v>216</v>
      </c>
      <c r="E60" s="27" t="s">
        <v>74</v>
      </c>
      <c r="F60" s="27" t="s">
        <v>74</v>
      </c>
      <c r="G60" s="27" t="s">
        <v>74</v>
      </c>
      <c r="H60" s="27" t="s">
        <v>74</v>
      </c>
      <c r="I60" s="27" t="s">
        <v>74</v>
      </c>
      <c r="J60" s="27" t="s">
        <v>74</v>
      </c>
      <c r="K60" s="28" t="s">
        <v>74</v>
      </c>
      <c r="L60" s="29" t="s">
        <v>74</v>
      </c>
      <c r="M60" s="29" t="s">
        <v>74</v>
      </c>
    </row>
    <row r="61" spans="1:13" ht="14.5" customHeight="1">
      <c r="A61" s="23" t="s">
        <v>261</v>
      </c>
      <c r="B61" s="31" t="s">
        <v>117</v>
      </c>
      <c r="C61" s="32" t="s">
        <v>113</v>
      </c>
      <c r="D61" s="33" t="s">
        <v>214</v>
      </c>
      <c r="E61" s="34" t="s">
        <v>74</v>
      </c>
      <c r="F61" s="34" t="s">
        <v>74</v>
      </c>
      <c r="G61" s="34" t="s">
        <v>74</v>
      </c>
      <c r="H61" s="34" t="s">
        <v>74</v>
      </c>
      <c r="I61" s="34" t="s">
        <v>74</v>
      </c>
      <c r="J61" s="34" t="s">
        <v>74</v>
      </c>
      <c r="K61" s="28" t="s">
        <v>74</v>
      </c>
      <c r="L61" s="35" t="s">
        <v>74</v>
      </c>
      <c r="M61" s="35" t="s">
        <v>74</v>
      </c>
    </row>
    <row r="62" spans="1:13" ht="14.5" customHeight="1">
      <c r="A62" s="23" t="s">
        <v>262</v>
      </c>
      <c r="B62" s="31"/>
      <c r="C62" s="32"/>
      <c r="D62" s="36" t="s">
        <v>216</v>
      </c>
      <c r="E62" s="34" t="s">
        <v>74</v>
      </c>
      <c r="F62" s="34" t="s">
        <v>74</v>
      </c>
      <c r="G62" s="34" t="s">
        <v>74</v>
      </c>
      <c r="H62" s="34" t="s">
        <v>74</v>
      </c>
      <c r="I62" s="34" t="s">
        <v>74</v>
      </c>
      <c r="J62" s="34" t="s">
        <v>74</v>
      </c>
      <c r="K62" s="28" t="s">
        <v>74</v>
      </c>
      <c r="L62" s="35" t="s">
        <v>74</v>
      </c>
      <c r="M62" s="35" t="s">
        <v>74</v>
      </c>
    </row>
    <row r="63" spans="1:13" ht="16" customHeight="1">
      <c r="B63" s="48" t="s">
        <v>338</v>
      </c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</row>
    <row r="64" spans="1:13" ht="14" customHeight="1"/>
    <row r="65" spans="2:13" ht="14" customHeight="1"/>
    <row r="66" spans="2:13" ht="6" customHeight="1"/>
    <row r="67" spans="2:13" ht="26" customHeight="1">
      <c r="B67" s="1"/>
      <c r="C67" s="1"/>
      <c r="D67" s="2" t="s">
        <v>339</v>
      </c>
      <c r="E67" s="2"/>
      <c r="F67" s="2"/>
      <c r="G67" s="2"/>
      <c r="H67" s="2"/>
      <c r="I67" s="2"/>
      <c r="J67" s="2"/>
      <c r="K67" s="2"/>
      <c r="L67" s="2"/>
      <c r="M67" s="2"/>
    </row>
    <row r="68" spans="2:13" ht="20" customHeight="1">
      <c r="B68" s="1"/>
      <c r="C68" s="1"/>
      <c r="D68" s="3" t="s">
        <v>358</v>
      </c>
      <c r="E68" s="3"/>
      <c r="F68" s="3"/>
      <c r="G68" s="3"/>
      <c r="H68" s="3"/>
      <c r="I68" s="3"/>
      <c r="J68" s="3"/>
      <c r="K68" s="3"/>
      <c r="L68" s="3"/>
      <c r="M68" s="3"/>
    </row>
    <row r="69" spans="2:13" ht="4" customHeight="1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ht="6" customHeight="1"/>
    <row r="71" spans="2:13" ht="22" customHeight="1">
      <c r="B71" s="21" t="s">
        <v>331</v>
      </c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</row>
    <row r="72" spans="2:13" ht="6" customHeight="1"/>
    <row r="73" spans="2:13" ht="30" customHeight="1">
      <c r="B73" s="49" t="s">
        <v>341</v>
      </c>
      <c r="C73" s="50" t="s">
        <v>74</v>
      </c>
      <c r="D73" s="50"/>
      <c r="E73" s="50"/>
      <c r="F73" s="50"/>
      <c r="G73" s="50"/>
      <c r="H73" s="50"/>
      <c r="I73" s="50"/>
      <c r="J73" s="50"/>
      <c r="K73" s="50"/>
      <c r="L73" s="50"/>
      <c r="M73" s="50"/>
    </row>
    <row r="74" spans="2:13" ht="20" customHeight="1">
      <c r="B74" s="49" t="s">
        <v>268</v>
      </c>
      <c r="C74" s="50" t="s">
        <v>74</v>
      </c>
      <c r="D74" s="50"/>
      <c r="E74" s="50"/>
      <c r="F74" s="50"/>
      <c r="G74" s="50"/>
      <c r="H74" s="50"/>
      <c r="I74" s="50"/>
      <c r="J74" s="50"/>
      <c r="K74" s="50"/>
      <c r="L74" s="50"/>
      <c r="M74" s="50"/>
    </row>
    <row r="75" spans="2:13" ht="30" customHeight="1">
      <c r="B75" s="49" t="s">
        <v>342</v>
      </c>
      <c r="C75" s="50" t="s">
        <v>74</v>
      </c>
      <c r="D75" s="50"/>
      <c r="E75" s="50"/>
      <c r="F75" s="50"/>
      <c r="G75" s="50"/>
      <c r="H75" s="50"/>
      <c r="I75" s="50"/>
      <c r="J75" s="50"/>
      <c r="K75" s="50"/>
      <c r="L75" s="50"/>
      <c r="M75" s="50"/>
    </row>
    <row r="76" spans="2:13" ht="30" customHeight="1">
      <c r="B76" s="49" t="s">
        <v>343</v>
      </c>
      <c r="C76" s="50" t="s">
        <v>74</v>
      </c>
      <c r="D76" s="50"/>
      <c r="E76" s="50"/>
      <c r="F76" s="50"/>
      <c r="G76" s="50"/>
      <c r="H76" s="50"/>
      <c r="I76" s="50"/>
      <c r="J76" s="50"/>
      <c r="K76" s="50"/>
      <c r="L76" s="50"/>
      <c r="M76" s="50"/>
    </row>
    <row r="77" spans="2:13" ht="30" customHeight="1">
      <c r="B77" s="49" t="s">
        <v>344</v>
      </c>
      <c r="C77" s="50" t="s">
        <v>74</v>
      </c>
      <c r="D77" s="50"/>
      <c r="E77" s="50"/>
      <c r="F77" s="50"/>
      <c r="G77" s="50"/>
      <c r="H77" s="50"/>
      <c r="I77" s="50"/>
      <c r="J77" s="50"/>
      <c r="K77" s="50"/>
      <c r="L77" s="50"/>
      <c r="M77" s="50"/>
    </row>
    <row r="78" spans="2:13" ht="30" customHeight="1">
      <c r="B78" s="49" t="s">
        <v>345</v>
      </c>
      <c r="C78" s="50" t="s">
        <v>74</v>
      </c>
      <c r="D78" s="50"/>
      <c r="E78" s="50"/>
      <c r="F78" s="50"/>
      <c r="G78" s="50"/>
      <c r="H78" s="50"/>
      <c r="I78" s="50"/>
      <c r="J78" s="50"/>
      <c r="K78" s="50"/>
      <c r="L78" s="50"/>
      <c r="M78" s="50"/>
    </row>
    <row r="79" spans="2:13" ht="30" customHeight="1">
      <c r="B79" s="49" t="s">
        <v>346</v>
      </c>
      <c r="C79" s="50" t="s">
        <v>74</v>
      </c>
      <c r="D79" s="50"/>
      <c r="E79" s="50"/>
      <c r="F79" s="50"/>
      <c r="G79" s="50"/>
      <c r="H79" s="50"/>
      <c r="I79" s="50"/>
      <c r="J79" s="50"/>
      <c r="K79" s="50"/>
      <c r="L79" s="50"/>
      <c r="M79" s="50"/>
    </row>
    <row r="80" spans="2:13" ht="30" customHeight="1">
      <c r="B80" s="49" t="s">
        <v>347</v>
      </c>
      <c r="C80" s="50" t="s">
        <v>74</v>
      </c>
      <c r="D80" s="50"/>
      <c r="E80" s="50"/>
      <c r="F80" s="50"/>
      <c r="G80" s="50"/>
      <c r="H80" s="50"/>
      <c r="I80" s="50"/>
      <c r="J80" s="50"/>
      <c r="K80" s="50"/>
      <c r="L80" s="50"/>
      <c r="M80" s="50"/>
    </row>
    <row r="81" spans="2:13" ht="30" customHeight="1">
      <c r="B81" s="49" t="s">
        <v>348</v>
      </c>
      <c r="C81" s="50" t="s">
        <v>74</v>
      </c>
      <c r="D81" s="50"/>
      <c r="E81" s="50"/>
      <c r="F81" s="50"/>
      <c r="G81" s="50"/>
      <c r="H81" s="50"/>
      <c r="I81" s="50"/>
      <c r="J81" s="50"/>
      <c r="K81" s="50"/>
      <c r="L81" s="50"/>
      <c r="M81" s="50"/>
    </row>
    <row r="82" spans="2:13" ht="30" customHeight="1">
      <c r="B82" s="49" t="s">
        <v>349</v>
      </c>
      <c r="C82" s="50" t="s">
        <v>74</v>
      </c>
      <c r="D82" s="50"/>
      <c r="E82" s="50"/>
      <c r="F82" s="50"/>
      <c r="G82" s="50"/>
      <c r="H82" s="50"/>
      <c r="I82" s="50"/>
      <c r="J82" s="50"/>
      <c r="K82" s="50"/>
      <c r="L82" s="50"/>
      <c r="M82" s="50"/>
    </row>
  </sheetData>
  <sheetProtection sheet="1" objects="1" scenarios="1" formatColumns="0" formatRows="0"/>
  <mergeCells count="72">
    <mergeCell ref="D2:M2"/>
    <mergeCell ref="D3:M3"/>
    <mergeCell ref="B6:M6"/>
    <mergeCell ref="B9:M9"/>
    <mergeCell ref="B10:B11"/>
    <mergeCell ref="C10:C11"/>
    <mergeCell ref="B12:M12"/>
    <mergeCell ref="B13:B14"/>
    <mergeCell ref="C13:C14"/>
    <mergeCell ref="B15:B16"/>
    <mergeCell ref="C15:C16"/>
    <mergeCell ref="B17:B18"/>
    <mergeCell ref="C17:C18"/>
    <mergeCell ref="B19:B20"/>
    <mergeCell ref="C19:C20"/>
    <mergeCell ref="B21:B22"/>
    <mergeCell ref="C21:C22"/>
    <mergeCell ref="B23:M23"/>
    <mergeCell ref="B24:B25"/>
    <mergeCell ref="C24:C25"/>
    <mergeCell ref="B26:B27"/>
    <mergeCell ref="C26:C27"/>
    <mergeCell ref="B28:B29"/>
    <mergeCell ref="C28:C29"/>
    <mergeCell ref="B30:M30"/>
    <mergeCell ref="B31:B32"/>
    <mergeCell ref="C31:C32"/>
    <mergeCell ref="B33:B34"/>
    <mergeCell ref="C33:C34"/>
    <mergeCell ref="B35:B36"/>
    <mergeCell ref="C35:C36"/>
    <mergeCell ref="B37:B38"/>
    <mergeCell ref="C37:C38"/>
    <mergeCell ref="B39:B40"/>
    <mergeCell ref="C39:C40"/>
    <mergeCell ref="B41:M41"/>
    <mergeCell ref="B42:B43"/>
    <mergeCell ref="C42:C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M56"/>
    <mergeCell ref="B57:B58"/>
    <mergeCell ref="C57:C58"/>
    <mergeCell ref="B59:B60"/>
    <mergeCell ref="C59:C60"/>
    <mergeCell ref="B61:B62"/>
    <mergeCell ref="C61:C62"/>
    <mergeCell ref="B63:M63"/>
    <mergeCell ref="D67:M67"/>
    <mergeCell ref="D68:M68"/>
    <mergeCell ref="B71:M71"/>
    <mergeCell ref="C73:M73"/>
    <mergeCell ref="C74:M74"/>
    <mergeCell ref="C75:M75"/>
    <mergeCell ref="C76:M76"/>
    <mergeCell ref="C77:M77"/>
    <mergeCell ref="C78:M78"/>
    <mergeCell ref="C79:M79"/>
    <mergeCell ref="C80:M80"/>
    <mergeCell ref="C81:M81"/>
    <mergeCell ref="C82:M82"/>
    <mergeCell ref="O14:O18"/>
  </mergeCells>
  <printOptions horizontalCentered="1"/>
  <pageMargins left="0.4" right="0.4" top="0.5" bottom="0.5" header="0.3" footer="0.3"/>
  <pageSetup paperSize="9" fitToHeight="2" orientation="portrait"/>
  <rowBreaks count="1" manualBreakCount="1">
    <brk id="65" max="16383" man="1"/>
  </row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Passagem">
    <tabColor rgb="FFFDB913"/>
    <pageSetUpPr fitToPage="1"/>
  </sheetPr>
  <dimension ref="A1:M62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3" width="10" customWidth="1"/>
    <col min="14" max="14" width="3.7109375" customWidth="1"/>
    <col min="15" max="15" width="28.7109375" customWidth="1"/>
  </cols>
  <sheetData>
    <row r="1" spans="2:13" ht="6" customHeight="1"/>
    <row r="2" spans="2:13" ht="26" customHeight="1">
      <c r="B2" s="1"/>
      <c r="C2" s="1"/>
      <c r="D2" s="2" t="s">
        <v>264</v>
      </c>
      <c r="E2" s="2"/>
      <c r="F2" s="2"/>
      <c r="G2" s="2"/>
      <c r="H2" s="2"/>
      <c r="I2" s="2"/>
      <c r="J2" s="2"/>
      <c r="K2" s="2"/>
      <c r="L2" s="2"/>
      <c r="M2" s="2"/>
    </row>
    <row r="3" spans="2:13" ht="20" customHeight="1">
      <c r="B3" s="1"/>
      <c r="C3" s="1"/>
      <c r="D3" s="3" t="s">
        <v>265</v>
      </c>
      <c r="E3" s="3"/>
      <c r="F3" s="3"/>
      <c r="G3" s="3"/>
      <c r="H3" s="3"/>
      <c r="I3" s="3"/>
      <c r="J3" s="3"/>
      <c r="K3" s="3"/>
      <c r="L3" s="3"/>
      <c r="M3" s="3"/>
    </row>
    <row r="4" spans="2:13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6" spans="2:13">
      <c r="B6" s="6" t="s">
        <v>199</v>
      </c>
      <c r="C6" s="6" t="s">
        <v>266</v>
      </c>
      <c r="D6" s="6"/>
      <c r="E6" s="6" t="s">
        <v>201</v>
      </c>
      <c r="F6" s="6" t="s">
        <v>267</v>
      </c>
      <c r="G6" s="6"/>
      <c r="H6" s="6" t="s">
        <v>268</v>
      </c>
      <c r="I6" s="6"/>
      <c r="J6" s="6" t="s">
        <v>269</v>
      </c>
      <c r="K6" s="6"/>
      <c r="L6" s="6"/>
      <c r="M6" s="6"/>
    </row>
    <row r="7" spans="2:13" ht="24" customHeight="1">
      <c r="B7" s="51">
        <f>IF(pData="","",pData)</f>
        <v>0</v>
      </c>
      <c r="C7" s="52">
        <f>IF(pTurno="","",pTurno)</f>
        <v>0</v>
      </c>
      <c r="D7" s="52"/>
      <c r="E7" s="53">
        <f>IF(pTurma="","",pTurma)</f>
        <v>0</v>
      </c>
      <c r="F7" s="52">
        <f>IF(pResp="","",pResp)</f>
        <v>0</v>
      </c>
      <c r="G7" s="52"/>
      <c r="H7" s="54"/>
      <c r="I7" s="54"/>
      <c r="J7" s="55"/>
      <c r="K7" s="55"/>
      <c r="L7" s="55"/>
      <c r="M7" s="55"/>
    </row>
    <row r="9" spans="2:13" ht="22" customHeight="1">
      <c r="B9" s="5" t="s">
        <v>270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2:13" ht="20" customHeight="1">
      <c r="B10" s="56" t="s">
        <v>271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</row>
    <row r="11" spans="2:13" ht="20" customHeight="1">
      <c r="B11" s="56" t="s">
        <v>272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</row>
    <row r="12" spans="2:13" ht="20" customHeight="1">
      <c r="B12" s="56" t="s">
        <v>273</v>
      </c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</row>
    <row r="13" spans="2:13" ht="20" customHeight="1">
      <c r="B13" s="56" t="s">
        <v>274</v>
      </c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</row>
    <row r="14" spans="2:13" ht="20" customHeight="1">
      <c r="B14" s="56" t="s">
        <v>275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</row>
    <row r="15" spans="2:13" ht="20" customHeight="1">
      <c r="B15" s="56" t="s">
        <v>276</v>
      </c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</row>
    <row r="17" spans="2:13" ht="22" customHeight="1">
      <c r="B17" s="5" t="s">
        <v>277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</row>
    <row r="18" spans="2:13">
      <c r="B18" s="56" t="s">
        <v>278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</row>
    <row r="19" spans="2:13">
      <c r="B19" s="56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</row>
    <row r="20" spans="2:13">
      <c r="B20" s="56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</row>
    <row r="21" spans="2:13">
      <c r="B21" s="56" t="s">
        <v>279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</row>
    <row r="22" spans="2:13">
      <c r="B22" s="56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</row>
    <row r="23" spans="2:13">
      <c r="B23" s="56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</row>
    <row r="25" spans="2:13" ht="22" customHeight="1">
      <c r="B25" s="5" t="s">
        <v>280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spans="2:13">
      <c r="B26" s="59" t="s">
        <v>281</v>
      </c>
      <c r="C26" s="59" t="s">
        <v>282</v>
      </c>
      <c r="D26" s="59"/>
      <c r="E26" s="59" t="s">
        <v>143</v>
      </c>
      <c r="F26" s="59"/>
      <c r="G26" s="59" t="s">
        <v>283</v>
      </c>
      <c r="H26" s="59"/>
      <c r="I26" s="59" t="s">
        <v>284</v>
      </c>
      <c r="J26" s="59"/>
      <c r="K26" s="59"/>
      <c r="L26" s="59"/>
      <c r="M26" s="59"/>
    </row>
    <row r="27" spans="2:13" ht="20" customHeight="1">
      <c r="B27" s="56" t="s">
        <v>285</v>
      </c>
      <c r="C27" s="60"/>
      <c r="D27" s="60"/>
      <c r="E27" s="60"/>
      <c r="F27" s="60"/>
      <c r="G27" s="60"/>
      <c r="H27" s="60"/>
      <c r="I27" s="61"/>
      <c r="J27" s="61"/>
      <c r="K27" s="61"/>
      <c r="L27" s="61"/>
      <c r="M27" s="61"/>
    </row>
    <row r="28" spans="2:13" ht="20" customHeight="1">
      <c r="B28" s="56" t="s">
        <v>286</v>
      </c>
      <c r="C28" s="60"/>
      <c r="D28" s="60"/>
      <c r="E28" s="60"/>
      <c r="F28" s="60"/>
      <c r="G28" s="60"/>
      <c r="H28" s="60"/>
      <c r="I28" s="61"/>
      <c r="J28" s="61"/>
      <c r="K28" s="61"/>
      <c r="L28" s="61"/>
      <c r="M28" s="61"/>
    </row>
    <row r="30" spans="2:13" ht="22" customHeight="1">
      <c r="B30" s="5" t="s">
        <v>287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</row>
    <row r="31" spans="2:13">
      <c r="B31" s="59" t="s">
        <v>288</v>
      </c>
      <c r="C31" s="59" t="s">
        <v>289</v>
      </c>
      <c r="D31" s="59"/>
      <c r="E31" s="59"/>
      <c r="F31" s="59"/>
      <c r="G31" s="59" t="s">
        <v>130</v>
      </c>
      <c r="H31" s="59"/>
      <c r="I31" s="59" t="s">
        <v>290</v>
      </c>
      <c r="J31" s="59"/>
      <c r="K31" s="59"/>
      <c r="L31" s="59"/>
      <c r="M31" s="59"/>
    </row>
    <row r="32" spans="2:13" ht="19" customHeight="1">
      <c r="B32" s="62" t="s">
        <v>291</v>
      </c>
      <c r="C32" s="63" t="s">
        <v>292</v>
      </c>
      <c r="D32" s="63"/>
      <c r="E32" s="63"/>
      <c r="F32" s="63"/>
      <c r="G32" s="60"/>
      <c r="H32" s="60"/>
      <c r="I32" s="57"/>
      <c r="J32" s="57"/>
      <c r="K32" s="57"/>
      <c r="L32" s="57"/>
      <c r="M32" s="57"/>
    </row>
    <row r="33" spans="2:13" ht="19" customHeight="1">
      <c r="B33" s="62" t="s">
        <v>291</v>
      </c>
      <c r="C33" s="63" t="s">
        <v>293</v>
      </c>
      <c r="D33" s="63"/>
      <c r="E33" s="63"/>
      <c r="F33" s="63"/>
      <c r="G33" s="60"/>
      <c r="H33" s="60"/>
      <c r="I33" s="57"/>
      <c r="J33" s="57"/>
      <c r="K33" s="57"/>
      <c r="L33" s="57"/>
      <c r="M33" s="57"/>
    </row>
    <row r="34" spans="2:13" ht="19" customHeight="1">
      <c r="B34" s="62" t="s">
        <v>291</v>
      </c>
      <c r="C34" s="63" t="s">
        <v>294</v>
      </c>
      <c r="D34" s="63"/>
      <c r="E34" s="63"/>
      <c r="F34" s="63"/>
      <c r="G34" s="60"/>
      <c r="H34" s="60"/>
      <c r="I34" s="57"/>
      <c r="J34" s="57"/>
      <c r="K34" s="57"/>
      <c r="L34" s="57"/>
      <c r="M34" s="57"/>
    </row>
    <row r="35" spans="2:13" ht="19" customHeight="1">
      <c r="B35" s="62" t="s">
        <v>291</v>
      </c>
      <c r="C35" s="63" t="s">
        <v>295</v>
      </c>
      <c r="D35" s="63"/>
      <c r="E35" s="63"/>
      <c r="F35" s="63"/>
      <c r="G35" s="60"/>
      <c r="H35" s="60"/>
      <c r="I35" s="57"/>
      <c r="J35" s="57"/>
      <c r="K35" s="57"/>
      <c r="L35" s="57"/>
      <c r="M35" s="57"/>
    </row>
    <row r="36" spans="2:13" ht="19" customHeight="1">
      <c r="B36" s="62" t="s">
        <v>296</v>
      </c>
      <c r="C36" s="63" t="s">
        <v>297</v>
      </c>
      <c r="D36" s="63"/>
      <c r="E36" s="63"/>
      <c r="F36" s="63"/>
      <c r="G36" s="60"/>
      <c r="H36" s="60"/>
      <c r="I36" s="57"/>
      <c r="J36" s="57"/>
      <c r="K36" s="57"/>
      <c r="L36" s="57"/>
      <c r="M36" s="57"/>
    </row>
    <row r="37" spans="2:13" ht="19" customHeight="1">
      <c r="B37" s="62" t="s">
        <v>296</v>
      </c>
      <c r="C37" s="63" t="s">
        <v>298</v>
      </c>
      <c r="D37" s="63"/>
      <c r="E37" s="63"/>
      <c r="F37" s="63"/>
      <c r="G37" s="60"/>
      <c r="H37" s="60"/>
      <c r="I37" s="57"/>
      <c r="J37" s="57"/>
      <c r="K37" s="57"/>
      <c r="L37" s="57"/>
      <c r="M37" s="57"/>
    </row>
    <row r="38" spans="2:13" ht="19" customHeight="1">
      <c r="B38" s="62" t="s">
        <v>296</v>
      </c>
      <c r="C38" s="63" t="s">
        <v>299</v>
      </c>
      <c r="D38" s="63"/>
      <c r="E38" s="63"/>
      <c r="F38" s="63"/>
      <c r="G38" s="60"/>
      <c r="H38" s="60"/>
      <c r="I38" s="57"/>
      <c r="J38" s="57"/>
      <c r="K38" s="57"/>
      <c r="L38" s="57"/>
      <c r="M38" s="57"/>
    </row>
    <row r="39" spans="2:13" ht="19" customHeight="1">
      <c r="B39" s="62" t="s">
        <v>296</v>
      </c>
      <c r="C39" s="63" t="s">
        <v>300</v>
      </c>
      <c r="D39" s="63"/>
      <c r="E39" s="63"/>
      <c r="F39" s="63"/>
      <c r="G39" s="60"/>
      <c r="H39" s="60"/>
      <c r="I39" s="57"/>
      <c r="J39" s="57"/>
      <c r="K39" s="57"/>
      <c r="L39" s="57"/>
      <c r="M39" s="57"/>
    </row>
    <row r="40" spans="2:13" ht="19" customHeight="1">
      <c r="B40" s="62" t="s">
        <v>296</v>
      </c>
      <c r="C40" s="63" t="s">
        <v>301</v>
      </c>
      <c r="D40" s="63"/>
      <c r="E40" s="63"/>
      <c r="F40" s="63"/>
      <c r="G40" s="60"/>
      <c r="H40" s="60"/>
      <c r="I40" s="57"/>
      <c r="J40" s="57"/>
      <c r="K40" s="57"/>
      <c r="L40" s="57"/>
      <c r="M40" s="57"/>
    </row>
    <row r="41" spans="2:13" ht="19" customHeight="1">
      <c r="B41" s="62" t="s">
        <v>296</v>
      </c>
      <c r="C41" s="63" t="s">
        <v>302</v>
      </c>
      <c r="D41" s="63"/>
      <c r="E41" s="63"/>
      <c r="F41" s="63"/>
      <c r="G41" s="60"/>
      <c r="H41" s="60"/>
      <c r="I41" s="57"/>
      <c r="J41" s="57"/>
      <c r="K41" s="57"/>
      <c r="L41" s="57"/>
      <c r="M41" s="57"/>
    </row>
    <row r="42" spans="2:13" ht="19" customHeight="1">
      <c r="B42" s="62" t="s">
        <v>303</v>
      </c>
      <c r="C42" s="63" t="s">
        <v>304</v>
      </c>
      <c r="D42" s="63"/>
      <c r="E42" s="63"/>
      <c r="F42" s="63"/>
      <c r="G42" s="60"/>
      <c r="H42" s="60"/>
      <c r="I42" s="57"/>
      <c r="J42" s="57"/>
      <c r="K42" s="57"/>
      <c r="L42" s="57"/>
      <c r="M42" s="57"/>
    </row>
    <row r="43" spans="2:13" ht="19" customHeight="1">
      <c r="B43" s="62" t="s">
        <v>303</v>
      </c>
      <c r="C43" s="63" t="s">
        <v>305</v>
      </c>
      <c r="D43" s="63"/>
      <c r="E43" s="63"/>
      <c r="F43" s="63"/>
      <c r="G43" s="60"/>
      <c r="H43" s="60"/>
      <c r="I43" s="57"/>
      <c r="J43" s="57"/>
      <c r="K43" s="57"/>
      <c r="L43" s="57"/>
      <c r="M43" s="57"/>
    </row>
    <row r="44" spans="2:13" ht="19" customHeight="1">
      <c r="B44" s="62" t="s">
        <v>303</v>
      </c>
      <c r="C44" s="63" t="s">
        <v>306</v>
      </c>
      <c r="D44" s="63"/>
      <c r="E44" s="63"/>
      <c r="F44" s="63"/>
      <c r="G44" s="60"/>
      <c r="H44" s="60"/>
      <c r="I44" s="57"/>
      <c r="J44" s="57"/>
      <c r="K44" s="57"/>
      <c r="L44" s="57"/>
      <c r="M44" s="57"/>
    </row>
    <row r="45" spans="2:13" ht="19" customHeight="1">
      <c r="B45" s="62" t="s">
        <v>303</v>
      </c>
      <c r="C45" s="63" t="s">
        <v>307</v>
      </c>
      <c r="D45" s="63"/>
      <c r="E45" s="63"/>
      <c r="F45" s="63"/>
      <c r="G45" s="60"/>
      <c r="H45" s="60"/>
      <c r="I45" s="57"/>
      <c r="J45" s="57"/>
      <c r="K45" s="57"/>
      <c r="L45" s="57"/>
      <c r="M45" s="57"/>
    </row>
    <row r="47" spans="2:13" ht="22" customHeight="1">
      <c r="B47" s="5" t="s">
        <v>308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</row>
    <row r="48" spans="2:13">
      <c r="B48" s="59" t="s">
        <v>309</v>
      </c>
      <c r="C48" s="59" t="s">
        <v>310</v>
      </c>
      <c r="D48" s="59"/>
      <c r="E48" s="59"/>
      <c r="F48" s="59"/>
      <c r="G48" s="59"/>
      <c r="H48" s="59" t="s">
        <v>311</v>
      </c>
      <c r="I48" s="59"/>
      <c r="J48" s="59"/>
      <c r="K48" s="59"/>
      <c r="L48" s="59"/>
      <c r="M48" s="59"/>
    </row>
    <row r="49" spans="2:13" ht="30" customHeight="1">
      <c r="B49" s="56" t="s">
        <v>312</v>
      </c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</row>
    <row r="50" spans="2:13" ht="30" customHeight="1">
      <c r="B50" s="56" t="s">
        <v>313</v>
      </c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</row>
    <row r="51" spans="2:13" ht="30" customHeight="1">
      <c r="B51" s="56" t="s">
        <v>314</v>
      </c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</row>
    <row r="52" spans="2:13" ht="30" customHeight="1">
      <c r="B52" s="56" t="s">
        <v>315</v>
      </c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</row>
    <row r="54" spans="2:13" ht="22" customHeight="1">
      <c r="B54" s="5" t="s">
        <v>316</v>
      </c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</row>
    <row r="55" spans="2:13" ht="26" customHeight="1">
      <c r="B55" s="64" t="s">
        <v>317</v>
      </c>
      <c r="C55" s="64" t="s">
        <v>312</v>
      </c>
      <c r="D55" s="64" t="s">
        <v>318</v>
      </c>
      <c r="E55" s="64" t="s">
        <v>143</v>
      </c>
      <c r="F55" s="64" t="s">
        <v>283</v>
      </c>
      <c r="G55" s="64" t="s">
        <v>319</v>
      </c>
      <c r="H55" s="64" t="s">
        <v>320</v>
      </c>
      <c r="I55" s="64" t="s">
        <v>321</v>
      </c>
      <c r="J55" s="64" t="s">
        <v>322</v>
      </c>
      <c r="K55" s="64" t="s">
        <v>323</v>
      </c>
      <c r="L55" s="64" t="s">
        <v>324</v>
      </c>
      <c r="M55" s="64" t="s">
        <v>325</v>
      </c>
    </row>
    <row r="56" spans="2:13" ht="19" customHeight="1">
      <c r="B56" s="61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</row>
    <row r="57" spans="2:13" ht="17" customHeight="1">
      <c r="B57" s="56" t="s">
        <v>284</v>
      </c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</row>
    <row r="59" spans="2:13" ht="22" customHeight="1">
      <c r="B59" s="5" t="s">
        <v>326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</row>
    <row r="60" spans="2:13"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</row>
    <row r="61" spans="2:13"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</row>
    <row r="62" spans="2:13"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</row>
  </sheetData>
  <sheetProtection sheet="1" objects="1" scenarios="1" formatColumns="0" formatRows="0"/>
  <mergeCells count="96">
    <mergeCell ref="D2:M2"/>
    <mergeCell ref="D3:M3"/>
    <mergeCell ref="C6:D6"/>
    <mergeCell ref="C7:D7"/>
    <mergeCell ref="F6:G6"/>
    <mergeCell ref="F7:G7"/>
    <mergeCell ref="H6:I6"/>
    <mergeCell ref="H7:I7"/>
    <mergeCell ref="J6:M6"/>
    <mergeCell ref="J7:M7"/>
    <mergeCell ref="B9:M9"/>
    <mergeCell ref="C10:M10"/>
    <mergeCell ref="C11:M11"/>
    <mergeCell ref="C12:M12"/>
    <mergeCell ref="C13:M13"/>
    <mergeCell ref="C14:M14"/>
    <mergeCell ref="C15:M15"/>
    <mergeCell ref="B17:M17"/>
    <mergeCell ref="B18:B20"/>
    <mergeCell ref="C18:M20"/>
    <mergeCell ref="B21:B23"/>
    <mergeCell ref="C21:M23"/>
    <mergeCell ref="B25:M25"/>
    <mergeCell ref="C26:D26"/>
    <mergeCell ref="E26:F26"/>
    <mergeCell ref="G26:H26"/>
    <mergeCell ref="I26:M26"/>
    <mergeCell ref="C27:D27"/>
    <mergeCell ref="E27:F27"/>
    <mergeCell ref="G27:H27"/>
    <mergeCell ref="I27:M27"/>
    <mergeCell ref="C28:D28"/>
    <mergeCell ref="E28:F28"/>
    <mergeCell ref="G28:H28"/>
    <mergeCell ref="I28:M28"/>
    <mergeCell ref="B30:M30"/>
    <mergeCell ref="C31:F31"/>
    <mergeCell ref="G31:H31"/>
    <mergeCell ref="I31:M31"/>
    <mergeCell ref="C32:F32"/>
    <mergeCell ref="G32:H32"/>
    <mergeCell ref="I32:M32"/>
    <mergeCell ref="C33:F33"/>
    <mergeCell ref="G33:H33"/>
    <mergeCell ref="I33:M33"/>
    <mergeCell ref="C34:F34"/>
    <mergeCell ref="G34:H34"/>
    <mergeCell ref="I34:M34"/>
    <mergeCell ref="C35:F35"/>
    <mergeCell ref="G35:H35"/>
    <mergeCell ref="I35:M35"/>
    <mergeCell ref="C36:F36"/>
    <mergeCell ref="G36:H36"/>
    <mergeCell ref="I36:M36"/>
    <mergeCell ref="C37:F37"/>
    <mergeCell ref="G37:H37"/>
    <mergeCell ref="I37:M37"/>
    <mergeCell ref="C38:F38"/>
    <mergeCell ref="G38:H38"/>
    <mergeCell ref="I38:M38"/>
    <mergeCell ref="C39:F39"/>
    <mergeCell ref="G39:H39"/>
    <mergeCell ref="I39:M39"/>
    <mergeCell ref="C40:F40"/>
    <mergeCell ref="G40:H40"/>
    <mergeCell ref="I40:M40"/>
    <mergeCell ref="C41:F41"/>
    <mergeCell ref="G41:H41"/>
    <mergeCell ref="I41:M41"/>
    <mergeCell ref="C42:F42"/>
    <mergeCell ref="G42:H42"/>
    <mergeCell ref="I42:M42"/>
    <mergeCell ref="C43:F43"/>
    <mergeCell ref="G43:H43"/>
    <mergeCell ref="I43:M43"/>
    <mergeCell ref="C44:F44"/>
    <mergeCell ref="G44:H44"/>
    <mergeCell ref="I44:M44"/>
    <mergeCell ref="C45:F45"/>
    <mergeCell ref="G45:H45"/>
    <mergeCell ref="I45:M45"/>
    <mergeCell ref="B47:M47"/>
    <mergeCell ref="C48:G48"/>
    <mergeCell ref="H48:M48"/>
    <mergeCell ref="C49:G49"/>
    <mergeCell ref="H49:M49"/>
    <mergeCell ref="C50:G50"/>
    <mergeCell ref="H50:M50"/>
    <mergeCell ref="C51:G51"/>
    <mergeCell ref="H51:M51"/>
    <mergeCell ref="C52:G52"/>
    <mergeCell ref="H52:M52"/>
    <mergeCell ref="B54:M54"/>
    <mergeCell ref="C57:M57"/>
    <mergeCell ref="B59:M59"/>
    <mergeCell ref="B60:M62"/>
  </mergeCells>
  <conditionalFormatting sqref="G32:G45">
    <cfRule type="cellIs" dxfId="1" priority="1" operator="equal">
      <formula>"Operando"</formula>
    </cfRule>
    <cfRule type="cellIs" dxfId="2" priority="2" operator="equal">
      <formula>"Não operando"</formula>
    </cfRule>
  </conditionalFormatting>
  <dataValidations count="2">
    <dataValidation type="list" allowBlank="1" showInputMessage="1" showErrorMessage="1" sqref="H7">
      <formula1>lstTurma</formula1>
    </dataValidation>
    <dataValidation type="list" allowBlank="1" showInputMessage="1" showErrorMessage="1" sqref="G32:G45">
      <formula1>lstStatus</formula1>
    </dataValidation>
  </dataValidations>
  <printOptions horizontalCentered="1"/>
  <pageMargins left="0.4" right="0.4" top="0.5" bottom="0.5" header="0.3" footer="0.3"/>
  <pageSetup paperSize="9" fitToHeight="0" orientation="portrait"/>
  <headerFooter>
    <oddFooter>&amp;L&amp;8Passagem de Turno US3/US4&amp;R&amp;8Página &amp;P de &amp;N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Informativo">
    <tabColor rgb="FF004070"/>
    <pageSetUpPr fitToPage="1"/>
  </sheetPr>
  <dimension ref="A1:V67"/>
  <sheetViews>
    <sheetView showGridLines="0" workbookViewId="0">
      <pane ySplit="12" topLeftCell="A13" activePane="bottomLeft" state="frozen"/>
      <selection pane="bottomLeft"/>
    </sheetView>
  </sheetViews>
  <sheetFormatPr defaultRowHeight="15"/>
  <cols>
    <col min="1" max="1" width="3.7109375" hidden="1" customWidth="1"/>
    <col min="2" max="2" width="32.7109375" customWidth="1"/>
    <col min="3" max="3" width="7.7109375" customWidth="1"/>
    <col min="4" max="4" width="6.7109375" customWidth="1"/>
    <col min="5" max="16" width="7.85546875" customWidth="1"/>
    <col min="17" max="17" width="10.7109375" customWidth="1"/>
    <col min="18" max="19" width="8.28515625" customWidth="1"/>
    <col min="20" max="22" width="7.7109375" hidden="1" customWidth="1"/>
    <col min="23" max="23" width="3.7109375" customWidth="1"/>
    <col min="24" max="24" width="27.7109375" customWidth="1"/>
  </cols>
  <sheetData>
    <row r="1" spans="1:22" ht="6" customHeight="1"/>
    <row r="2" spans="1:22" ht="26" customHeight="1">
      <c r="B2" s="1"/>
      <c r="C2" s="1"/>
      <c r="D2" s="2" t="s">
        <v>197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20" customHeight="1">
      <c r="B3" s="1"/>
      <c r="C3" s="1"/>
      <c r="D3" s="3" t="s">
        <v>198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6" spans="1:22">
      <c r="B6" s="6" t="s">
        <v>199</v>
      </c>
      <c r="C6" s="6" t="s">
        <v>200</v>
      </c>
      <c r="D6" s="6"/>
      <c r="E6" s="6"/>
      <c r="F6" s="6"/>
      <c r="G6" s="6"/>
      <c r="H6" s="6" t="s">
        <v>201</v>
      </c>
      <c r="I6" s="6"/>
      <c r="J6" s="6" t="s">
        <v>202</v>
      </c>
      <c r="K6" s="6"/>
      <c r="L6" s="6"/>
      <c r="M6" s="6"/>
      <c r="N6" s="6" t="s">
        <v>203</v>
      </c>
      <c r="O6" s="6"/>
      <c r="P6" s="6"/>
      <c r="Q6" s="6" t="s">
        <v>133</v>
      </c>
      <c r="R6" s="6"/>
      <c r="S6" s="6"/>
      <c r="T6" s="6"/>
      <c r="U6" s="6"/>
      <c r="V6" s="6"/>
    </row>
    <row r="7" spans="1:22" ht="22" customHeight="1">
      <c r="B7" s="51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65"/>
      <c r="O7" s="65"/>
      <c r="P7" s="65"/>
      <c r="Q7" s="52"/>
      <c r="R7" s="52"/>
      <c r="S7" s="52"/>
      <c r="T7" s="52"/>
      <c r="U7" s="52"/>
      <c r="V7" s="52"/>
    </row>
    <row r="8" spans="1:22" ht="8" customHeight="1"/>
    <row r="9" spans="1:22" ht="26" customHeight="1">
      <c r="B9" s="66" t="s">
        <v>204</v>
      </c>
      <c r="C9" s="67" t="s">
        <v>143</v>
      </c>
      <c r="D9" s="67"/>
      <c r="E9" s="68"/>
      <c r="F9" s="68"/>
      <c r="G9" s="68"/>
      <c r="H9" s="69" t="s">
        <v>144</v>
      </c>
      <c r="I9" s="68"/>
      <c r="J9" s="68"/>
      <c r="K9" s="68"/>
      <c r="L9" s="70" t="s">
        <v>205</v>
      </c>
      <c r="M9" s="70"/>
      <c r="N9" s="70"/>
      <c r="O9" s="70"/>
      <c r="P9" s="70"/>
      <c r="Q9" s="70"/>
      <c r="R9" s="70"/>
      <c r="S9" s="70"/>
      <c r="T9" s="70"/>
      <c r="U9" s="70"/>
      <c r="V9" s="70"/>
    </row>
    <row r="10" spans="1:22" ht="16" customHeight="1">
      <c r="B10" s="6" t="s">
        <v>206</v>
      </c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</row>
    <row r="12" spans="1:22" ht="30" customHeight="1">
      <c r="B12" s="72" t="s">
        <v>19</v>
      </c>
      <c r="C12" s="72" t="s">
        <v>207</v>
      </c>
      <c r="D12" s="72" t="s">
        <v>208</v>
      </c>
      <c r="E12" s="72" t="s">
        <v>209</v>
      </c>
      <c r="F12" s="72" t="s">
        <v>209</v>
      </c>
      <c r="G12" s="72" t="s">
        <v>209</v>
      </c>
      <c r="H12" s="72" t="s">
        <v>209</v>
      </c>
      <c r="I12" s="72" t="s">
        <v>209</v>
      </c>
      <c r="J12" s="72" t="s">
        <v>209</v>
      </c>
      <c r="K12" s="72" t="s">
        <v>209</v>
      </c>
      <c r="L12" s="72" t="s">
        <v>209</v>
      </c>
      <c r="M12" s="72" t="s">
        <v>209</v>
      </c>
      <c r="N12" s="72" t="s">
        <v>209</v>
      </c>
      <c r="O12" s="72" t="s">
        <v>209</v>
      </c>
      <c r="P12" s="72" t="s">
        <v>209</v>
      </c>
      <c r="Q12" s="72" t="s">
        <v>210</v>
      </c>
      <c r="R12" s="72" t="s">
        <v>211</v>
      </c>
      <c r="S12" s="72" t="s">
        <v>212</v>
      </c>
      <c r="T12" s="72" t="s">
        <v>27</v>
      </c>
      <c r="U12" s="72" t="s">
        <v>28</v>
      </c>
      <c r="V12" s="72" t="s">
        <v>130</v>
      </c>
    </row>
    <row r="13" spans="1:22" ht="17" customHeight="1">
      <c r="B13" s="13" t="s">
        <v>33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>
      <c r="A14" s="23" t="s">
        <v>213</v>
      </c>
      <c r="B14" s="24" t="s">
        <v>34</v>
      </c>
      <c r="C14" s="25" t="s">
        <v>35</v>
      </c>
      <c r="D14" s="26" t="s">
        <v>214</v>
      </c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4">
        <f>IFERROR(IF(COUNT(E14:P14)=0,"",IF('Configurações'!$F$18="Soma",SUM(E14:P14),IF('Configurações'!$F$18="Último valor",LOOKUP(2,1/(E14:P14&lt;&gt;""),E14:P14),AVERAGE(E14:P14)))),"")</f>
        <v>0</v>
      </c>
      <c r="R14" s="75">
        <f>IF(COUNT(E14:P14)=0,"",MIN(E14:P14))</f>
        <v>0</v>
      </c>
      <c r="S14" s="75">
        <f>IF(COUNT(E14:P14)=0,"",MAX(E14:P14))</f>
        <v>0</v>
      </c>
      <c r="T14" s="75">
        <f>IF('Configurações'!$K$18="","",'Configurações'!$K$18)</f>
        <v>0</v>
      </c>
      <c r="U14" s="75">
        <f>IF('Configurações'!$L$18="","",'Configurações'!$L$18)</f>
        <v>0</v>
      </c>
      <c r="V14" s="16">
        <f>IF(OR(Q14="",AND(T14="",U14="")),"",IF(OR(AND(T14&lt;&gt;"",Q14&lt;T14),AND(U14&lt;&gt;"",Q14&gt;U14)),"Fora","OK"))</f>
        <v>0</v>
      </c>
    </row>
    <row r="15" spans="1:22">
      <c r="A15" s="23" t="s">
        <v>215</v>
      </c>
      <c r="B15" s="24"/>
      <c r="C15" s="25"/>
      <c r="D15" s="30" t="s">
        <v>216</v>
      </c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4">
        <f>IFERROR(IF(COUNT(E15:P15)=0,"",IF('Configurações'!$F$18="Soma",SUM(E15:P15),IF('Configurações'!$F$18="Último valor",LOOKUP(2,1/(E15:P15&lt;&gt;""),E15:P15),AVERAGE(E15:P15)))),"")</f>
        <v>0</v>
      </c>
      <c r="R15" s="75">
        <f>IF(COUNT(E15:P15)=0,"",MIN(E15:P15))</f>
        <v>0</v>
      </c>
      <c r="S15" s="75">
        <f>IF(COUNT(E15:P15)=0,"",MAX(E15:P15))</f>
        <v>0</v>
      </c>
      <c r="T15" s="75">
        <f>IF('Configurações'!$K$18="","",'Configurações'!$K$18)</f>
        <v>0</v>
      </c>
      <c r="U15" s="75">
        <f>IF('Configurações'!$L$18="","",'Configurações'!$L$18)</f>
        <v>0</v>
      </c>
      <c r="V15" s="16">
        <f>IF(OR(Q15="",AND(T15="",U15="")),"",IF(OR(AND(T15&lt;&gt;"",Q15&lt;T15),AND(U15&lt;&gt;"",Q15&gt;U15)),"Fora","OK"))</f>
        <v>0</v>
      </c>
    </row>
    <row r="16" spans="1:22" ht="17" customHeight="1">
      <c r="B16" s="13" t="s">
        <v>40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>
      <c r="A17" s="23" t="s">
        <v>217</v>
      </c>
      <c r="B17" s="31" t="s">
        <v>41</v>
      </c>
      <c r="C17" s="32" t="s">
        <v>42</v>
      </c>
      <c r="D17" s="33" t="s">
        <v>214</v>
      </c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4">
        <f>IFERROR(IF(COUNT(E17:P17)=0,"",IF('Configurações'!$F$19="Soma",SUM(E17:P17),IF('Configurações'!$F$19="Último valor",LOOKUP(2,1/(E17:P17&lt;&gt;""),E17:P17),AVERAGE(E17:P17)))),"")</f>
        <v>0</v>
      </c>
      <c r="R17" s="77">
        <f>IF(COUNT(E17:P17)=0,"",MIN(E17:P17))</f>
        <v>0</v>
      </c>
      <c r="S17" s="77">
        <f>IF(COUNT(E17:P17)=0,"",MAX(E17:P17))</f>
        <v>0</v>
      </c>
      <c r="T17" s="77">
        <f>IF('Configurações'!$K$19="","",'Configurações'!$K$19)</f>
        <v>0</v>
      </c>
      <c r="U17" s="77">
        <f>IF('Configurações'!$L$19="","",'Configurações'!$L$19)</f>
        <v>0</v>
      </c>
      <c r="V17" s="78">
        <f>IF(OR(Q17="",AND(T17="",U17="")),"",IF(OR(AND(T17&lt;&gt;"",Q17&lt;T17),AND(U17&lt;&gt;"",Q17&gt;U17)),"Fora","OK"))</f>
        <v>0</v>
      </c>
    </row>
    <row r="18" spans="1:22">
      <c r="A18" s="23" t="s">
        <v>218</v>
      </c>
      <c r="B18" s="31"/>
      <c r="C18" s="32"/>
      <c r="D18" s="36" t="s">
        <v>216</v>
      </c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4">
        <f>IFERROR(IF(COUNT(E18:P18)=0,"",IF('Configurações'!$F$19="Soma",SUM(E18:P18),IF('Configurações'!$F$19="Último valor",LOOKUP(2,1/(E18:P18&lt;&gt;""),E18:P18),AVERAGE(E18:P18)))),"")</f>
        <v>0</v>
      </c>
      <c r="R18" s="77">
        <f>IF(COUNT(E18:P18)=0,"",MIN(E18:P18))</f>
        <v>0</v>
      </c>
      <c r="S18" s="77">
        <f>IF(COUNT(E18:P18)=0,"",MAX(E18:P18))</f>
        <v>0</v>
      </c>
      <c r="T18" s="77">
        <f>IF('Configurações'!$K$19="","",'Configurações'!$K$19)</f>
        <v>0</v>
      </c>
      <c r="U18" s="77">
        <f>IF('Configurações'!$L$19="","",'Configurações'!$L$19)</f>
        <v>0</v>
      </c>
      <c r="V18" s="78">
        <f>IF(OR(Q18="",AND(T18="",U18="")),"",IF(OR(AND(T18&lt;&gt;"",Q18&lt;T18),AND(U18&lt;&gt;"",Q18&gt;U18)),"Fora","OK"))</f>
        <v>0</v>
      </c>
    </row>
    <row r="19" spans="1:22">
      <c r="A19" s="23" t="s">
        <v>219</v>
      </c>
      <c r="B19" s="24" t="s">
        <v>46</v>
      </c>
      <c r="C19" s="25" t="s">
        <v>42</v>
      </c>
      <c r="D19" s="26" t="s">
        <v>214</v>
      </c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4">
        <f>IFERROR(IF(COUNT(E19:P19)=0,"",IF('Configurações'!$F$20="Soma",SUM(E19:P19),IF('Configurações'!$F$20="Último valor",LOOKUP(2,1/(E19:P19&lt;&gt;""),E19:P19),AVERAGE(E19:P19)))),"")</f>
        <v>0</v>
      </c>
      <c r="R19" s="75">
        <f>IF(COUNT(E19:P19)=0,"",MIN(E19:P19))</f>
        <v>0</v>
      </c>
      <c r="S19" s="75">
        <f>IF(COUNT(E19:P19)=0,"",MAX(E19:P19))</f>
        <v>0</v>
      </c>
      <c r="T19" s="75">
        <f>IF('Configurações'!$K$20="","",'Configurações'!$K$20)</f>
        <v>0</v>
      </c>
      <c r="U19" s="75">
        <f>IF('Configurações'!$L$20="","",'Configurações'!$L$20)</f>
        <v>0</v>
      </c>
      <c r="V19" s="16">
        <f>IF(OR(Q19="",AND(T19="",U19="")),"",IF(OR(AND(T19&lt;&gt;"",Q19&lt;T19),AND(U19&lt;&gt;"",Q19&gt;U19)),"Fora","OK"))</f>
        <v>0</v>
      </c>
    </row>
    <row r="20" spans="1:22">
      <c r="A20" s="23" t="s">
        <v>220</v>
      </c>
      <c r="B20" s="24"/>
      <c r="C20" s="25"/>
      <c r="D20" s="30" t="s">
        <v>216</v>
      </c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4">
        <f>IFERROR(IF(COUNT(E20:P20)=0,"",IF('Configurações'!$F$20="Soma",SUM(E20:P20),IF('Configurações'!$F$20="Último valor",LOOKUP(2,1/(E20:P20&lt;&gt;""),E20:P20),AVERAGE(E20:P20)))),"")</f>
        <v>0</v>
      </c>
      <c r="R20" s="75">
        <f>IF(COUNT(E20:P20)=0,"",MIN(E20:P20))</f>
        <v>0</v>
      </c>
      <c r="S20" s="75">
        <f>IF(COUNT(E20:P20)=0,"",MAX(E20:P20))</f>
        <v>0</v>
      </c>
      <c r="T20" s="75">
        <f>IF('Configurações'!$K$20="","",'Configurações'!$K$20)</f>
        <v>0</v>
      </c>
      <c r="U20" s="75">
        <f>IF('Configurações'!$L$20="","",'Configurações'!$L$20)</f>
        <v>0</v>
      </c>
      <c r="V20" s="16">
        <f>IF(OR(Q20="",AND(T20="",U20="")),"",IF(OR(AND(T20&lt;&gt;"",Q20&lt;T20),AND(U20&lt;&gt;"",Q20&gt;U20)),"Fora","OK"))</f>
        <v>0</v>
      </c>
    </row>
    <row r="21" spans="1:22">
      <c r="A21" s="23" t="s">
        <v>221</v>
      </c>
      <c r="B21" s="31" t="s">
        <v>49</v>
      </c>
      <c r="C21" s="32" t="s">
        <v>50</v>
      </c>
      <c r="D21" s="33" t="s">
        <v>214</v>
      </c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80">
        <f>IFERROR(IF(COUNT(E21:P21)=0,"",IF('Configurações'!$F$21="Soma",SUM(E21:P21),IF('Configurações'!$F$21="Último valor",LOOKUP(2,1/(E21:P21&lt;&gt;""),E21:P21),AVERAGE(E21:P21)))),"")</f>
        <v>0</v>
      </c>
      <c r="R21" s="81">
        <f>IF(COUNT(E21:P21)=0,"",MIN(E21:P21))</f>
        <v>0</v>
      </c>
      <c r="S21" s="81">
        <f>IF(COUNT(E21:P21)=0,"",MAX(E21:P21))</f>
        <v>0</v>
      </c>
      <c r="T21" s="81">
        <f>IF('Configurações'!$K$21="","",'Configurações'!$K$21)</f>
        <v>0</v>
      </c>
      <c r="U21" s="81">
        <f>IF('Configurações'!$L$21="","",'Configurações'!$L$21)</f>
        <v>0</v>
      </c>
      <c r="V21" s="78">
        <f>IF(OR(Q21="",AND(T21="",U21="")),"",IF(OR(AND(T21&lt;&gt;"",Q21&lt;T21),AND(U21&lt;&gt;"",Q21&gt;U21)),"Fora","OK"))</f>
        <v>0</v>
      </c>
    </row>
    <row r="22" spans="1:22">
      <c r="A22" s="23" t="s">
        <v>222</v>
      </c>
      <c r="B22" s="31"/>
      <c r="C22" s="32"/>
      <c r="D22" s="36" t="s">
        <v>216</v>
      </c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80">
        <f>IFERROR(IF(COUNT(E22:P22)=0,"",IF('Configurações'!$F$21="Soma",SUM(E22:P22),IF('Configurações'!$F$21="Último valor",LOOKUP(2,1/(E22:P22&lt;&gt;""),E22:P22),AVERAGE(E22:P22)))),"")</f>
        <v>0</v>
      </c>
      <c r="R22" s="81">
        <f>IF(COUNT(E22:P22)=0,"",MIN(E22:P22))</f>
        <v>0</v>
      </c>
      <c r="S22" s="81">
        <f>IF(COUNT(E22:P22)=0,"",MAX(E22:P22))</f>
        <v>0</v>
      </c>
      <c r="T22" s="81">
        <f>IF('Configurações'!$K$21="","",'Configurações'!$K$21)</f>
        <v>0</v>
      </c>
      <c r="U22" s="81">
        <f>IF('Configurações'!$L$21="","",'Configurações'!$L$21)</f>
        <v>0</v>
      </c>
      <c r="V22" s="78">
        <f>IF(OR(Q22="",AND(T22="",U22="")),"",IF(OR(AND(T22&lt;&gt;"",Q22&lt;T22),AND(U22&lt;&gt;"",Q22&gt;U22)),"Fora","OK"))</f>
        <v>0</v>
      </c>
    </row>
    <row r="23" spans="1:22">
      <c r="A23" s="23" t="s">
        <v>223</v>
      </c>
      <c r="B23" s="24" t="s">
        <v>53</v>
      </c>
      <c r="C23" s="25" t="s">
        <v>50</v>
      </c>
      <c r="D23" s="26" t="s">
        <v>214</v>
      </c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3">
        <f>IFERROR(IF(COUNT(E23:P23)=0,"",IF('Configurações'!$F$22="Soma",SUM(E23:P23),IF('Configurações'!$F$22="Último valor",LOOKUP(2,1/(E23:P23&lt;&gt;""),E23:P23),AVERAGE(E23:P23)))),"")</f>
        <v>0</v>
      </c>
      <c r="R23" s="84">
        <f>IF(COUNT(E23:P23)=0,"",MIN(E23:P23))</f>
        <v>0</v>
      </c>
      <c r="S23" s="84">
        <f>IF(COUNT(E23:P23)=0,"",MAX(E23:P23))</f>
        <v>0</v>
      </c>
      <c r="T23" s="84">
        <f>IF('Configurações'!$K$22="","",'Configurações'!$K$22)</f>
        <v>0</v>
      </c>
      <c r="U23" s="84">
        <f>IF('Configurações'!$L$22="","",'Configurações'!$L$22)</f>
        <v>0</v>
      </c>
      <c r="V23" s="16">
        <f>IF(OR(Q23="",AND(T23="",U23="")),"",IF(OR(AND(T23&lt;&gt;"",Q23&lt;T23),AND(U23&lt;&gt;"",Q23&gt;U23)),"Fora","OK"))</f>
        <v>0</v>
      </c>
    </row>
    <row r="24" spans="1:22">
      <c r="A24" s="23" t="s">
        <v>224</v>
      </c>
      <c r="B24" s="24"/>
      <c r="C24" s="25"/>
      <c r="D24" s="30" t="s">
        <v>216</v>
      </c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3">
        <f>IFERROR(IF(COUNT(E24:P24)=0,"",IF('Configurações'!$F$22="Soma",SUM(E24:P24),IF('Configurações'!$F$22="Último valor",LOOKUP(2,1/(E24:P24&lt;&gt;""),E24:P24),AVERAGE(E24:P24)))),"")</f>
        <v>0</v>
      </c>
      <c r="R24" s="84">
        <f>IF(COUNT(E24:P24)=0,"",MIN(E24:P24))</f>
        <v>0</v>
      </c>
      <c r="S24" s="84">
        <f>IF(COUNT(E24:P24)=0,"",MAX(E24:P24))</f>
        <v>0</v>
      </c>
      <c r="T24" s="84">
        <f>IF('Configurações'!$K$22="","",'Configurações'!$K$22)</f>
        <v>0</v>
      </c>
      <c r="U24" s="84">
        <f>IF('Configurações'!$L$22="","",'Configurações'!$L$22)</f>
        <v>0</v>
      </c>
      <c r="V24" s="16">
        <f>IF(OR(Q24="",AND(T24="",U24="")),"",IF(OR(AND(T24&lt;&gt;"",Q24&lt;T24),AND(U24&lt;&gt;"",Q24&gt;U24)),"Fora","OK"))</f>
        <v>0</v>
      </c>
    </row>
    <row r="25" spans="1:22">
      <c r="A25" s="23" t="s">
        <v>225</v>
      </c>
      <c r="B25" s="31" t="s">
        <v>56</v>
      </c>
      <c r="C25" s="32" t="s">
        <v>50</v>
      </c>
      <c r="D25" s="33" t="s">
        <v>214</v>
      </c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3">
        <f>IFERROR(IF(COUNT(E25:P25)=0,"",IF('Configurações'!$F$23="Soma",SUM(E25:P25),IF('Configurações'!$F$23="Último valor",LOOKUP(2,1/(E25:P25&lt;&gt;""),E25:P25),AVERAGE(E25:P25)))),"")</f>
        <v>0</v>
      </c>
      <c r="R25" s="86">
        <f>IF(COUNT(E25:P25)=0,"",MIN(E25:P25))</f>
        <v>0</v>
      </c>
      <c r="S25" s="86">
        <f>IF(COUNT(E25:P25)=0,"",MAX(E25:P25))</f>
        <v>0</v>
      </c>
      <c r="T25" s="86">
        <f>IF('Configurações'!$K$23="","",'Configurações'!$K$23)</f>
        <v>0</v>
      </c>
      <c r="U25" s="86">
        <f>IF('Configurações'!$L$23="","",'Configurações'!$L$23)</f>
        <v>0</v>
      </c>
      <c r="V25" s="78">
        <f>IF(OR(Q25="",AND(T25="",U25="")),"",IF(OR(AND(T25&lt;&gt;"",Q25&lt;T25),AND(U25&lt;&gt;"",Q25&gt;U25)),"Fora","OK"))</f>
        <v>0</v>
      </c>
    </row>
    <row r="26" spans="1:22">
      <c r="A26" s="23" t="s">
        <v>226</v>
      </c>
      <c r="B26" s="31"/>
      <c r="C26" s="32"/>
      <c r="D26" s="36" t="s">
        <v>216</v>
      </c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3">
        <f>IFERROR(IF(COUNT(E26:P26)=0,"",IF('Configurações'!$F$23="Soma",SUM(E26:P26),IF('Configurações'!$F$23="Último valor",LOOKUP(2,1/(E26:P26&lt;&gt;""),E26:P26),AVERAGE(E26:P26)))),"")</f>
        <v>0</v>
      </c>
      <c r="R26" s="86">
        <f>IF(COUNT(E26:P26)=0,"",MIN(E26:P26))</f>
        <v>0</v>
      </c>
      <c r="S26" s="86">
        <f>IF(COUNT(E26:P26)=0,"",MAX(E26:P26))</f>
        <v>0</v>
      </c>
      <c r="T26" s="86">
        <f>IF('Configurações'!$K$23="","",'Configurações'!$K$23)</f>
        <v>0</v>
      </c>
      <c r="U26" s="86">
        <f>IF('Configurações'!$L$23="","",'Configurações'!$L$23)</f>
        <v>0</v>
      </c>
      <c r="V26" s="78">
        <f>IF(OR(Q26="",AND(T26="",U26="")),"",IF(OR(AND(T26&lt;&gt;"",Q26&lt;T26),AND(U26&lt;&gt;"",Q26&gt;U26)),"Fora","OK"))</f>
        <v>0</v>
      </c>
    </row>
    <row r="27" spans="1:22" ht="17" customHeight="1">
      <c r="B27" s="13" t="s">
        <v>59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>
      <c r="A28" s="23" t="s">
        <v>227</v>
      </c>
      <c r="B28" s="24" t="s">
        <v>60</v>
      </c>
      <c r="C28" s="25" t="s">
        <v>50</v>
      </c>
      <c r="D28" s="26" t="s">
        <v>214</v>
      </c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3">
        <f>IFERROR(IF(COUNT(E28:P28)=0,"",IF('Configurações'!$F$24="Soma",SUM(E28:P28),IF('Configurações'!$F$24="Último valor",LOOKUP(2,1/(E28:P28&lt;&gt;""),E28:P28),AVERAGE(E28:P28)))),"")</f>
        <v>0</v>
      </c>
      <c r="R28" s="84">
        <f>IF(COUNT(E28:P28)=0,"",MIN(E28:P28))</f>
        <v>0</v>
      </c>
      <c r="S28" s="84">
        <f>IF(COUNT(E28:P28)=0,"",MAX(E28:P28))</f>
        <v>0</v>
      </c>
      <c r="T28" s="84">
        <f>IF('Configurações'!$K$24="","",'Configurações'!$K$24)</f>
        <v>0</v>
      </c>
      <c r="U28" s="84">
        <f>IF('Configurações'!$L$24="","",'Configurações'!$L$24)</f>
        <v>0</v>
      </c>
      <c r="V28" s="16">
        <f>IF(OR(Q28="",AND(T28="",U28="")),"",IF(OR(AND(T28&lt;&gt;"",Q28&lt;T28),AND(U28&lt;&gt;"",Q28&gt;U28)),"Fora","OK"))</f>
        <v>0</v>
      </c>
    </row>
    <row r="29" spans="1:22">
      <c r="A29" s="23" t="s">
        <v>228</v>
      </c>
      <c r="B29" s="24"/>
      <c r="C29" s="25"/>
      <c r="D29" s="30" t="s">
        <v>216</v>
      </c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3">
        <f>IFERROR(IF(COUNT(E29:P29)=0,"",IF('Configurações'!$F$24="Soma",SUM(E29:P29),IF('Configurações'!$F$24="Último valor",LOOKUP(2,1/(E29:P29&lt;&gt;""),E29:P29),AVERAGE(E29:P29)))),"")</f>
        <v>0</v>
      </c>
      <c r="R29" s="84">
        <f>IF(COUNT(E29:P29)=0,"",MIN(E29:P29))</f>
        <v>0</v>
      </c>
      <c r="S29" s="84">
        <f>IF(COUNT(E29:P29)=0,"",MAX(E29:P29))</f>
        <v>0</v>
      </c>
      <c r="T29" s="84">
        <f>IF('Configurações'!$K$24="","",'Configurações'!$K$24)</f>
        <v>0</v>
      </c>
      <c r="U29" s="84">
        <f>IF('Configurações'!$L$24="","",'Configurações'!$L$24)</f>
        <v>0</v>
      </c>
      <c r="V29" s="16">
        <f>IF(OR(Q29="",AND(T29="",U29="")),"",IF(OR(AND(T29&lt;&gt;"",Q29&lt;T29),AND(U29&lt;&gt;"",Q29&gt;U29)),"Fora","OK"))</f>
        <v>0</v>
      </c>
    </row>
    <row r="30" spans="1:22">
      <c r="A30" s="23" t="s">
        <v>229</v>
      </c>
      <c r="B30" s="31" t="s">
        <v>62</v>
      </c>
      <c r="C30" s="32" t="s">
        <v>50</v>
      </c>
      <c r="D30" s="33" t="s">
        <v>214</v>
      </c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3">
        <f>IFERROR(IF(COUNT(E30:P30)=0,"",IF('Configurações'!$F$25="Soma",SUM(E30:P30),IF('Configurações'!$F$25="Último valor",LOOKUP(2,1/(E30:P30&lt;&gt;""),E30:P30),AVERAGE(E30:P30)))),"")</f>
        <v>0</v>
      </c>
      <c r="R30" s="86">
        <f>IF(COUNT(E30:P30)=0,"",MIN(E30:P30))</f>
        <v>0</v>
      </c>
      <c r="S30" s="86">
        <f>IF(COUNT(E30:P30)=0,"",MAX(E30:P30))</f>
        <v>0</v>
      </c>
      <c r="T30" s="86">
        <f>IF('Configurações'!$K$25="","",'Configurações'!$K$25)</f>
        <v>0</v>
      </c>
      <c r="U30" s="86">
        <f>IF('Configurações'!$L$25="","",'Configurações'!$L$25)</f>
        <v>0</v>
      </c>
      <c r="V30" s="78">
        <f>IF(OR(Q30="",AND(T30="",U30="")),"",IF(OR(AND(T30&lt;&gt;"",Q30&lt;T30),AND(U30&lt;&gt;"",Q30&gt;U30)),"Fora","OK"))</f>
        <v>0</v>
      </c>
    </row>
    <row r="31" spans="1:22">
      <c r="A31" s="23" t="s">
        <v>230</v>
      </c>
      <c r="B31" s="31"/>
      <c r="C31" s="32"/>
      <c r="D31" s="36" t="s">
        <v>216</v>
      </c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3">
        <f>IFERROR(IF(COUNT(E31:P31)=0,"",IF('Configurações'!$F$25="Soma",SUM(E31:P31),IF('Configurações'!$F$25="Último valor",LOOKUP(2,1/(E31:P31&lt;&gt;""),E31:P31),AVERAGE(E31:P31)))),"")</f>
        <v>0</v>
      </c>
      <c r="R31" s="86">
        <f>IF(COUNT(E31:P31)=0,"",MIN(E31:P31))</f>
        <v>0</v>
      </c>
      <c r="S31" s="86">
        <f>IF(COUNT(E31:P31)=0,"",MAX(E31:P31))</f>
        <v>0</v>
      </c>
      <c r="T31" s="86">
        <f>IF('Configurações'!$K$25="","",'Configurações'!$K$25)</f>
        <v>0</v>
      </c>
      <c r="U31" s="86">
        <f>IF('Configurações'!$L$25="","",'Configurações'!$L$25)</f>
        <v>0</v>
      </c>
      <c r="V31" s="78">
        <f>IF(OR(Q31="",AND(T31="",U31="")),"",IF(OR(AND(T31&lt;&gt;"",Q31&lt;T31),AND(U31&lt;&gt;"",Q31&gt;U31)),"Fora","OK"))</f>
        <v>0</v>
      </c>
    </row>
    <row r="32" spans="1:22">
      <c r="A32" s="23" t="s">
        <v>231</v>
      </c>
      <c r="B32" s="24" t="s">
        <v>64</v>
      </c>
      <c r="C32" s="25" t="s">
        <v>50</v>
      </c>
      <c r="D32" s="26" t="s">
        <v>214</v>
      </c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3">
        <f>IFERROR(IF(COUNT(E32:P32)=0,"",IF('Configurações'!$F$26="Soma",SUM(E32:P32),IF('Configurações'!$F$26="Último valor",LOOKUP(2,1/(E32:P32&lt;&gt;""),E32:P32),AVERAGE(E32:P32)))),"")</f>
        <v>0</v>
      </c>
      <c r="R32" s="84">
        <f>IF(COUNT(E32:P32)=0,"",MIN(E32:P32))</f>
        <v>0</v>
      </c>
      <c r="S32" s="84">
        <f>IF(COUNT(E32:P32)=0,"",MAX(E32:P32))</f>
        <v>0</v>
      </c>
      <c r="T32" s="84">
        <f>IF('Configurações'!$K$26="","",'Configurações'!$K$26)</f>
        <v>0</v>
      </c>
      <c r="U32" s="84">
        <f>IF('Configurações'!$L$26="","",'Configurações'!$L$26)</f>
        <v>0</v>
      </c>
      <c r="V32" s="16">
        <f>IF(OR(Q32="",AND(T32="",U32="")),"",IF(OR(AND(T32&lt;&gt;"",Q32&lt;T32),AND(U32&lt;&gt;"",Q32&gt;U32)),"Fora","OK"))</f>
        <v>0</v>
      </c>
    </row>
    <row r="33" spans="1:22">
      <c r="A33" s="23" t="s">
        <v>232</v>
      </c>
      <c r="B33" s="24"/>
      <c r="C33" s="25"/>
      <c r="D33" s="30" t="s">
        <v>216</v>
      </c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  <c r="Q33" s="83">
        <f>IFERROR(IF(COUNT(E33:P33)=0,"",IF('Configurações'!$F$26="Soma",SUM(E33:P33),IF('Configurações'!$F$26="Último valor",LOOKUP(2,1/(E33:P33&lt;&gt;""),E33:P33),AVERAGE(E33:P33)))),"")</f>
        <v>0</v>
      </c>
      <c r="R33" s="84">
        <f>IF(COUNT(E33:P33)=0,"",MIN(E33:P33))</f>
        <v>0</v>
      </c>
      <c r="S33" s="84">
        <f>IF(COUNT(E33:P33)=0,"",MAX(E33:P33))</f>
        <v>0</v>
      </c>
      <c r="T33" s="84">
        <f>IF('Configurações'!$K$26="","",'Configurações'!$K$26)</f>
        <v>0</v>
      </c>
      <c r="U33" s="84">
        <f>IF('Configurações'!$L$26="","",'Configurações'!$L$26)</f>
        <v>0</v>
      </c>
      <c r="V33" s="16">
        <f>IF(OR(Q33="",AND(T33="",U33="")),"",IF(OR(AND(T33&lt;&gt;"",Q33&lt;T33),AND(U33&lt;&gt;"",Q33&gt;U33)),"Fora","OK"))</f>
        <v>0</v>
      </c>
    </row>
    <row r="34" spans="1:22" ht="17" customHeight="1">
      <c r="B34" s="13" t="s">
        <v>66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</row>
    <row r="35" spans="1:22">
      <c r="A35" s="23" t="s">
        <v>233</v>
      </c>
      <c r="B35" s="31" t="s">
        <v>67</v>
      </c>
      <c r="C35" s="32" t="s">
        <v>50</v>
      </c>
      <c r="D35" s="33" t="s">
        <v>214</v>
      </c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3">
        <f>IFERROR(IF(COUNT(E35:P35)=0,"",IF('Configurações'!$F$27="Soma",SUM(E35:P35),IF('Configurações'!$F$27="Último valor",LOOKUP(2,1/(E35:P35&lt;&gt;""),E35:P35),AVERAGE(E35:P35)))),"")</f>
        <v>0</v>
      </c>
      <c r="R35" s="86">
        <f>IF(COUNT(E35:P35)=0,"",MIN(E35:P35))</f>
        <v>0</v>
      </c>
      <c r="S35" s="86">
        <f>IF(COUNT(E35:P35)=0,"",MAX(E35:P35))</f>
        <v>0</v>
      </c>
      <c r="T35" s="86">
        <f>IF('Configurações'!$K$27="","",'Configurações'!$K$27)</f>
        <v>0</v>
      </c>
      <c r="U35" s="86">
        <f>IF('Configurações'!$L$27="","",'Configurações'!$L$27)</f>
        <v>0</v>
      </c>
      <c r="V35" s="78">
        <f>IF(OR(Q35="",AND(T35="",U35="")),"",IF(OR(AND(T35&lt;&gt;"",Q35&lt;T35),AND(U35&lt;&gt;"",Q35&gt;U35)),"Fora","OK"))</f>
        <v>0</v>
      </c>
    </row>
    <row r="36" spans="1:22">
      <c r="A36" s="23" t="s">
        <v>234</v>
      </c>
      <c r="B36" s="31"/>
      <c r="C36" s="32"/>
      <c r="D36" s="36" t="s">
        <v>216</v>
      </c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3">
        <f>IFERROR(IF(COUNT(E36:P36)=0,"",IF('Configurações'!$F$27="Soma",SUM(E36:P36),IF('Configurações'!$F$27="Último valor",LOOKUP(2,1/(E36:P36&lt;&gt;""),E36:P36),AVERAGE(E36:P36)))),"")</f>
        <v>0</v>
      </c>
      <c r="R36" s="86">
        <f>IF(COUNT(E36:P36)=0,"",MIN(E36:P36))</f>
        <v>0</v>
      </c>
      <c r="S36" s="86">
        <f>IF(COUNT(E36:P36)=0,"",MAX(E36:P36))</f>
        <v>0</v>
      </c>
      <c r="T36" s="86">
        <f>IF('Configurações'!$K$27="","",'Configurações'!$K$27)</f>
        <v>0</v>
      </c>
      <c r="U36" s="86">
        <f>IF('Configurações'!$L$27="","",'Configurações'!$L$27)</f>
        <v>0</v>
      </c>
      <c r="V36" s="78">
        <f>IF(OR(Q36="",AND(T36="",U36="")),"",IF(OR(AND(T36&lt;&gt;"",Q36&lt;T36),AND(U36&lt;&gt;"",Q36&gt;U36)),"Fora","OK"))</f>
        <v>0</v>
      </c>
    </row>
    <row r="37" spans="1:22">
      <c r="A37" s="23" t="s">
        <v>235</v>
      </c>
      <c r="B37" s="24" t="s">
        <v>70</v>
      </c>
      <c r="C37" s="25" t="s">
        <v>50</v>
      </c>
      <c r="D37" s="26" t="s">
        <v>214</v>
      </c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3">
        <f>IFERROR(IF(COUNT(E37:P37)=0,"",IF('Configurações'!$F$28="Soma",SUM(E37:P37),IF('Configurações'!$F$28="Último valor",LOOKUP(2,1/(E37:P37&lt;&gt;""),E37:P37),AVERAGE(E37:P37)))),"")</f>
        <v>0</v>
      </c>
      <c r="R37" s="84">
        <f>IF(COUNT(E37:P37)=0,"",MIN(E37:P37))</f>
        <v>0</v>
      </c>
      <c r="S37" s="84">
        <f>IF(COUNT(E37:P37)=0,"",MAX(E37:P37))</f>
        <v>0</v>
      </c>
      <c r="T37" s="84">
        <f>IF('Configurações'!$K$28="","",'Configurações'!$K$28)</f>
        <v>0</v>
      </c>
      <c r="U37" s="84">
        <f>IF('Configurações'!$L$28="","",'Configurações'!$L$28)</f>
        <v>0</v>
      </c>
      <c r="V37" s="16">
        <f>IF(OR(Q37="",AND(T37="",U37="")),"",IF(OR(AND(T37&lt;&gt;"",Q37&lt;T37),AND(U37&lt;&gt;"",Q37&gt;U37)),"Fora","OK"))</f>
        <v>0</v>
      </c>
    </row>
    <row r="38" spans="1:22">
      <c r="A38" s="23" t="s">
        <v>236</v>
      </c>
      <c r="B38" s="24"/>
      <c r="C38" s="25"/>
      <c r="D38" s="30" t="s">
        <v>216</v>
      </c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3">
        <f>IFERROR(IF(COUNT(E38:P38)=0,"",IF('Configurações'!$F$28="Soma",SUM(E38:P38),IF('Configurações'!$F$28="Último valor",LOOKUP(2,1/(E38:P38&lt;&gt;""),E38:P38),AVERAGE(E38:P38)))),"")</f>
        <v>0</v>
      </c>
      <c r="R38" s="84">
        <f>IF(COUNT(E38:P38)=0,"",MIN(E38:P38))</f>
        <v>0</v>
      </c>
      <c r="S38" s="84">
        <f>IF(COUNT(E38:P38)=0,"",MAX(E38:P38))</f>
        <v>0</v>
      </c>
      <c r="T38" s="84">
        <f>IF('Configurações'!$K$28="","",'Configurações'!$K$28)</f>
        <v>0</v>
      </c>
      <c r="U38" s="84">
        <f>IF('Configurações'!$L$28="","",'Configurações'!$L$28)</f>
        <v>0</v>
      </c>
      <c r="V38" s="16">
        <f>IF(OR(Q38="",AND(T38="",U38="")),"",IF(OR(AND(T38&lt;&gt;"",Q38&lt;T38),AND(U38&lt;&gt;"",Q38&gt;U38)),"Fora","OK"))</f>
        <v>0</v>
      </c>
    </row>
    <row r="39" spans="1:22">
      <c r="A39" s="23" t="s">
        <v>237</v>
      </c>
      <c r="B39" s="31" t="s">
        <v>73</v>
      </c>
      <c r="C39" s="32" t="s">
        <v>74</v>
      </c>
      <c r="D39" s="33" t="s">
        <v>214</v>
      </c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3">
        <f>IFERROR(IF(COUNT(E39:P39)=0,"",IF('Configurações'!$F$29="Soma",SUM(E39:P39),IF('Configurações'!$F$29="Último valor",LOOKUP(2,1/(E39:P39&lt;&gt;""),E39:P39),AVERAGE(E39:P39)))),"")</f>
        <v>0</v>
      </c>
      <c r="R39" s="86">
        <f>IF(COUNT(E39:P39)=0,"",MIN(E39:P39))</f>
        <v>0</v>
      </c>
      <c r="S39" s="86">
        <f>IF(COUNT(E39:P39)=0,"",MAX(E39:P39))</f>
        <v>0</v>
      </c>
      <c r="T39" s="86">
        <f>IF('Configurações'!$K$29="","",'Configurações'!$K$29)</f>
        <v>0</v>
      </c>
      <c r="U39" s="86">
        <f>IF('Configurações'!$L$29="","",'Configurações'!$L$29)</f>
        <v>0</v>
      </c>
      <c r="V39" s="78">
        <f>IF(OR(Q39="",AND(T39="",U39="")),"",IF(OR(AND(T39&lt;&gt;"",Q39&lt;T39),AND(U39&lt;&gt;"",Q39&gt;U39)),"Fora","OK"))</f>
        <v>0</v>
      </c>
    </row>
    <row r="40" spans="1:22">
      <c r="A40" s="23" t="s">
        <v>238</v>
      </c>
      <c r="B40" s="31"/>
      <c r="C40" s="32"/>
      <c r="D40" s="36" t="s">
        <v>216</v>
      </c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3">
        <f>IFERROR(IF(COUNT(E40:P40)=0,"",IF('Configurações'!$F$29="Soma",SUM(E40:P40),IF('Configurações'!$F$29="Último valor",LOOKUP(2,1/(E40:P40&lt;&gt;""),E40:P40),AVERAGE(E40:P40)))),"")</f>
        <v>0</v>
      </c>
      <c r="R40" s="86">
        <f>IF(COUNT(E40:P40)=0,"",MIN(E40:P40))</f>
        <v>0</v>
      </c>
      <c r="S40" s="86">
        <f>IF(COUNT(E40:P40)=0,"",MAX(E40:P40))</f>
        <v>0</v>
      </c>
      <c r="T40" s="86">
        <f>IF('Configurações'!$K$29="","",'Configurações'!$K$29)</f>
        <v>0</v>
      </c>
      <c r="U40" s="86">
        <f>IF('Configurações'!$L$29="","",'Configurações'!$L$29)</f>
        <v>0</v>
      </c>
      <c r="V40" s="78">
        <f>IF(OR(Q40="",AND(T40="",U40="")),"",IF(OR(AND(T40&lt;&gt;"",Q40&lt;T40),AND(U40&lt;&gt;"",Q40&gt;U40)),"Fora","OK"))</f>
        <v>0</v>
      </c>
    </row>
    <row r="41" spans="1:22">
      <c r="A41" s="23" t="s">
        <v>239</v>
      </c>
      <c r="B41" s="24" t="s">
        <v>77</v>
      </c>
      <c r="C41" s="25" t="s">
        <v>78</v>
      </c>
      <c r="D41" s="26" t="s">
        <v>214</v>
      </c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0">
        <f>IFERROR(IF(COUNT(E41:P41)=0,"",IF('Configurações'!$F$30="Soma",SUM(E41:P41),IF('Configurações'!$F$30="Último valor",LOOKUP(2,1/(E41:P41&lt;&gt;""),E41:P41),AVERAGE(E41:P41)))),"")</f>
        <v>0</v>
      </c>
      <c r="R41" s="88">
        <f>IF(COUNT(E41:P41)=0,"",MIN(E41:P41))</f>
        <v>0</v>
      </c>
      <c r="S41" s="88">
        <f>IF(COUNT(E41:P41)=0,"",MAX(E41:P41))</f>
        <v>0</v>
      </c>
      <c r="T41" s="88">
        <f>IF('Configurações'!$K$30="","",'Configurações'!$K$30)</f>
        <v>0</v>
      </c>
      <c r="U41" s="88">
        <f>IF('Configurações'!$L$30="","",'Configurações'!$L$30)</f>
        <v>0</v>
      </c>
      <c r="V41" s="16">
        <f>IF(OR(Q41="",AND(T41="",U41="")),"",IF(OR(AND(T41&lt;&gt;"",Q41&lt;T41),AND(U41&lt;&gt;"",Q41&gt;U41)),"Fora","OK"))</f>
        <v>0</v>
      </c>
    </row>
    <row r="42" spans="1:22">
      <c r="A42" s="23" t="s">
        <v>240</v>
      </c>
      <c r="B42" s="24"/>
      <c r="C42" s="25"/>
      <c r="D42" s="30" t="s">
        <v>216</v>
      </c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0">
        <f>IFERROR(IF(COUNT(E42:P42)=0,"",IF('Configurações'!$F$30="Soma",SUM(E42:P42),IF('Configurações'!$F$30="Último valor",LOOKUP(2,1/(E42:P42&lt;&gt;""),E42:P42),AVERAGE(E42:P42)))),"")</f>
        <v>0</v>
      </c>
      <c r="R42" s="88">
        <f>IF(COUNT(E42:P42)=0,"",MIN(E42:P42))</f>
        <v>0</v>
      </c>
      <c r="S42" s="88">
        <f>IF(COUNT(E42:P42)=0,"",MAX(E42:P42))</f>
        <v>0</v>
      </c>
      <c r="T42" s="88">
        <f>IF('Configurações'!$K$30="","",'Configurações'!$K$30)</f>
        <v>0</v>
      </c>
      <c r="U42" s="88">
        <f>IF('Configurações'!$L$30="","",'Configurações'!$L$30)</f>
        <v>0</v>
      </c>
      <c r="V42" s="16">
        <f>IF(OR(Q42="",AND(T42="",U42="")),"",IF(OR(AND(T42&lt;&gt;"",Q42&lt;T42),AND(U42&lt;&gt;"",Q42&gt;U42)),"Fora","OK"))</f>
        <v>0</v>
      </c>
    </row>
    <row r="43" spans="1:22">
      <c r="A43" s="23" t="s">
        <v>241</v>
      </c>
      <c r="B43" s="31" t="s">
        <v>81</v>
      </c>
      <c r="C43" s="32" t="s">
        <v>50</v>
      </c>
      <c r="D43" s="33" t="s">
        <v>214</v>
      </c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3">
        <f>IFERROR(IF(COUNT(E43:P43)=0,"",IF('Configurações'!$F$31="Soma",SUM(E43:P43),IF('Configurações'!$F$31="Último valor",LOOKUP(2,1/(E43:P43&lt;&gt;""),E43:P43),AVERAGE(E43:P43)))),"")</f>
        <v>0</v>
      </c>
      <c r="R43" s="86">
        <f>IF(COUNT(E43:P43)=0,"",MIN(E43:P43))</f>
        <v>0</v>
      </c>
      <c r="S43" s="86">
        <f>IF(COUNT(E43:P43)=0,"",MAX(E43:P43))</f>
        <v>0</v>
      </c>
      <c r="T43" s="86">
        <f>IF('Configurações'!$K$31="","",'Configurações'!$K$31)</f>
        <v>0</v>
      </c>
      <c r="U43" s="86">
        <f>IF('Configurações'!$L$31="","",'Configurações'!$L$31)</f>
        <v>0</v>
      </c>
      <c r="V43" s="78">
        <f>IF(OR(Q43="",AND(T43="",U43="")),"",IF(OR(AND(T43&lt;&gt;"",Q43&lt;T43),AND(U43&lt;&gt;"",Q43&gt;U43)),"Fora","OK"))</f>
        <v>0</v>
      </c>
    </row>
    <row r="44" spans="1:22">
      <c r="A44" s="23" t="s">
        <v>242</v>
      </c>
      <c r="B44" s="31"/>
      <c r="C44" s="32"/>
      <c r="D44" s="36" t="s">
        <v>216</v>
      </c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3">
        <f>IFERROR(IF(COUNT(E44:P44)=0,"",IF('Configurações'!$F$31="Soma",SUM(E44:P44),IF('Configurações'!$F$31="Último valor",LOOKUP(2,1/(E44:P44&lt;&gt;""),E44:P44),AVERAGE(E44:P44)))),"")</f>
        <v>0</v>
      </c>
      <c r="R44" s="86">
        <f>IF(COUNT(E44:P44)=0,"",MIN(E44:P44))</f>
        <v>0</v>
      </c>
      <c r="S44" s="86">
        <f>IF(COUNT(E44:P44)=0,"",MAX(E44:P44))</f>
        <v>0</v>
      </c>
      <c r="T44" s="86">
        <f>IF('Configurações'!$K$31="","",'Configurações'!$K$31)</f>
        <v>0</v>
      </c>
      <c r="U44" s="86">
        <f>IF('Configurações'!$L$31="","",'Configurações'!$L$31)</f>
        <v>0</v>
      </c>
      <c r="V44" s="78">
        <f>IF(OR(Q44="",AND(T44="",U44="")),"",IF(OR(AND(T44&lt;&gt;"",Q44&lt;T44),AND(U44&lt;&gt;"",Q44&gt;U44)),"Fora","OK"))</f>
        <v>0</v>
      </c>
    </row>
    <row r="45" spans="1:22" ht="17" customHeight="1">
      <c r="B45" s="13" t="s">
        <v>84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>
      <c r="A46" s="23" t="s">
        <v>243</v>
      </c>
      <c r="B46" s="24" t="s">
        <v>85</v>
      </c>
      <c r="C46" s="25" t="s">
        <v>50</v>
      </c>
      <c r="D46" s="26" t="s">
        <v>214</v>
      </c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0">
        <f>IFERROR(IF(COUNT(E46:P46)=0,"",IF('Configurações'!$F$32="Soma",SUM(E46:P46),IF('Configurações'!$F$32="Último valor",LOOKUP(2,1/(E46:P46&lt;&gt;""),E46:P46),AVERAGE(E46:P46)))),"")</f>
        <v>0</v>
      </c>
      <c r="R46" s="88">
        <f>IF(COUNT(E46:P46)=0,"",MIN(E46:P46))</f>
        <v>0</v>
      </c>
      <c r="S46" s="88">
        <f>IF(COUNT(E46:P46)=0,"",MAX(E46:P46))</f>
        <v>0</v>
      </c>
      <c r="T46" s="88">
        <f>IF('Configurações'!$K$32="","",'Configurações'!$K$32)</f>
        <v>0</v>
      </c>
      <c r="U46" s="88">
        <f>IF('Configurações'!$L$32="","",'Configurações'!$L$32)</f>
        <v>0</v>
      </c>
      <c r="V46" s="16">
        <f>IF(OR(Q46="",AND(T46="",U46="")),"",IF(OR(AND(T46&lt;&gt;"",Q46&lt;T46),AND(U46&lt;&gt;"",Q46&gt;U46)),"Fora","OK"))</f>
        <v>0</v>
      </c>
    </row>
    <row r="47" spans="1:22">
      <c r="A47" s="23" t="s">
        <v>244</v>
      </c>
      <c r="B47" s="24"/>
      <c r="C47" s="25"/>
      <c r="D47" s="30" t="s">
        <v>216</v>
      </c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0">
        <f>IFERROR(IF(COUNT(E47:P47)=0,"",IF('Configurações'!$F$32="Soma",SUM(E47:P47),IF('Configurações'!$F$32="Último valor",LOOKUP(2,1/(E47:P47&lt;&gt;""),E47:P47),AVERAGE(E47:P47)))),"")</f>
        <v>0</v>
      </c>
      <c r="R47" s="88">
        <f>IF(COUNT(E47:P47)=0,"",MIN(E47:P47))</f>
        <v>0</v>
      </c>
      <c r="S47" s="88">
        <f>IF(COUNT(E47:P47)=0,"",MAX(E47:P47))</f>
        <v>0</v>
      </c>
      <c r="T47" s="88">
        <f>IF('Configurações'!$K$32="","",'Configurações'!$K$32)</f>
        <v>0</v>
      </c>
      <c r="U47" s="88">
        <f>IF('Configurações'!$L$32="","",'Configurações'!$L$32)</f>
        <v>0</v>
      </c>
      <c r="V47" s="16">
        <f>IF(OR(Q47="",AND(T47="",U47="")),"",IF(OR(AND(T47&lt;&gt;"",Q47&lt;T47),AND(U47&lt;&gt;"",Q47&gt;U47)),"Fora","OK"))</f>
        <v>0</v>
      </c>
    </row>
    <row r="48" spans="1:22">
      <c r="A48" s="23" t="s">
        <v>245</v>
      </c>
      <c r="B48" s="31" t="s">
        <v>88</v>
      </c>
      <c r="C48" s="32" t="s">
        <v>74</v>
      </c>
      <c r="D48" s="33" t="s">
        <v>214</v>
      </c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3">
        <f>IFERROR(IF(COUNT(E48:P48)=0,"",IF('Configurações'!$F$33="Soma",SUM(E48:P48),IF('Configurações'!$F$33="Último valor",LOOKUP(2,1/(E48:P48&lt;&gt;""),E48:P48),AVERAGE(E48:P48)))),"")</f>
        <v>0</v>
      </c>
      <c r="R48" s="86">
        <f>IF(COUNT(E48:P48)=0,"",MIN(E48:P48))</f>
        <v>0</v>
      </c>
      <c r="S48" s="86">
        <f>IF(COUNT(E48:P48)=0,"",MAX(E48:P48))</f>
        <v>0</v>
      </c>
      <c r="T48" s="86">
        <f>IF('Configurações'!$K$33="","",'Configurações'!$K$33)</f>
        <v>0</v>
      </c>
      <c r="U48" s="86">
        <f>IF('Configurações'!$L$33="","",'Configurações'!$L$33)</f>
        <v>0</v>
      </c>
      <c r="V48" s="78">
        <f>IF(OR(Q48="",AND(T48="",U48="")),"",IF(OR(AND(T48&lt;&gt;"",Q48&lt;T48),AND(U48&lt;&gt;"",Q48&gt;U48)),"Fora","OK"))</f>
        <v>0</v>
      </c>
    </row>
    <row r="49" spans="1:22">
      <c r="A49" s="23" t="s">
        <v>246</v>
      </c>
      <c r="B49" s="31"/>
      <c r="C49" s="32"/>
      <c r="D49" s="36" t="s">
        <v>216</v>
      </c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3">
        <f>IFERROR(IF(COUNT(E49:P49)=0,"",IF('Configurações'!$F$33="Soma",SUM(E49:P49),IF('Configurações'!$F$33="Último valor",LOOKUP(2,1/(E49:P49&lt;&gt;""),E49:P49),AVERAGE(E49:P49)))),"")</f>
        <v>0</v>
      </c>
      <c r="R49" s="86">
        <f>IF(COUNT(E49:P49)=0,"",MIN(E49:P49))</f>
        <v>0</v>
      </c>
      <c r="S49" s="86">
        <f>IF(COUNT(E49:P49)=0,"",MAX(E49:P49))</f>
        <v>0</v>
      </c>
      <c r="T49" s="86">
        <f>IF('Configurações'!$K$33="","",'Configurações'!$K$33)</f>
        <v>0</v>
      </c>
      <c r="U49" s="86">
        <f>IF('Configurações'!$L$33="","",'Configurações'!$L$33)</f>
        <v>0</v>
      </c>
      <c r="V49" s="78">
        <f>IF(OR(Q49="",AND(T49="",U49="")),"",IF(OR(AND(T49&lt;&gt;"",Q49&lt;T49),AND(U49&lt;&gt;"",Q49&gt;U49)),"Fora","OK"))</f>
        <v>0</v>
      </c>
    </row>
    <row r="50" spans="1:22">
      <c r="A50" s="23" t="s">
        <v>247</v>
      </c>
      <c r="B50" s="24" t="s">
        <v>91</v>
      </c>
      <c r="C50" s="25" t="s">
        <v>50</v>
      </c>
      <c r="D50" s="26" t="s">
        <v>214</v>
      </c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0">
        <f>IFERROR(IF(COUNT(E50:P50)=0,"",IF('Configurações'!$F$34="Soma",SUM(E50:P50),IF('Configurações'!$F$34="Último valor",LOOKUP(2,1/(E50:P50&lt;&gt;""),E50:P50),AVERAGE(E50:P50)))),"")</f>
        <v>0</v>
      </c>
      <c r="R50" s="88">
        <f>IF(COUNT(E50:P50)=0,"",MIN(E50:P50))</f>
        <v>0</v>
      </c>
      <c r="S50" s="88">
        <f>IF(COUNT(E50:P50)=0,"",MAX(E50:P50))</f>
        <v>0</v>
      </c>
      <c r="T50" s="88">
        <f>IF('Configurações'!$K$34="","",'Configurações'!$K$34)</f>
        <v>0</v>
      </c>
      <c r="U50" s="88">
        <f>IF('Configurações'!$L$34="","",'Configurações'!$L$34)</f>
        <v>0</v>
      </c>
      <c r="V50" s="16">
        <f>IF(OR(Q50="",AND(T50="",U50="")),"",IF(OR(AND(T50&lt;&gt;"",Q50&lt;T50),AND(U50&lt;&gt;"",Q50&gt;U50)),"Fora","OK"))</f>
        <v>0</v>
      </c>
    </row>
    <row r="51" spans="1:22">
      <c r="A51" s="23" t="s">
        <v>248</v>
      </c>
      <c r="B51" s="24"/>
      <c r="C51" s="25"/>
      <c r="D51" s="30" t="s">
        <v>216</v>
      </c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0">
        <f>IFERROR(IF(COUNT(E51:P51)=0,"",IF('Configurações'!$F$34="Soma",SUM(E51:P51),IF('Configurações'!$F$34="Último valor",LOOKUP(2,1/(E51:P51&lt;&gt;""),E51:P51),AVERAGE(E51:P51)))),"")</f>
        <v>0</v>
      </c>
      <c r="R51" s="88">
        <f>IF(COUNT(E51:P51)=0,"",MIN(E51:P51))</f>
        <v>0</v>
      </c>
      <c r="S51" s="88">
        <f>IF(COUNT(E51:P51)=0,"",MAX(E51:P51))</f>
        <v>0</v>
      </c>
      <c r="T51" s="88">
        <f>IF('Configurações'!$K$34="","",'Configurações'!$K$34)</f>
        <v>0</v>
      </c>
      <c r="U51" s="88">
        <f>IF('Configurações'!$L$34="","",'Configurações'!$L$34)</f>
        <v>0</v>
      </c>
      <c r="V51" s="16">
        <f>IF(OR(Q51="",AND(T51="",U51="")),"",IF(OR(AND(T51&lt;&gt;"",Q51&lt;T51),AND(U51&lt;&gt;"",Q51&gt;U51)),"Fora","OK"))</f>
        <v>0</v>
      </c>
    </row>
    <row r="52" spans="1:22">
      <c r="A52" s="23" t="s">
        <v>249</v>
      </c>
      <c r="B52" s="31" t="s">
        <v>94</v>
      </c>
      <c r="C52" s="32" t="s">
        <v>95</v>
      </c>
      <c r="D52" s="33" t="s">
        <v>214</v>
      </c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4">
        <f>IFERROR(IF(COUNT(E52:P52)=0,"",IF('Configurações'!$F$35="Soma",SUM(E52:P52),IF('Configurações'!$F$35="Último valor",LOOKUP(2,1/(E52:P52&lt;&gt;""),E52:P52),AVERAGE(E52:P52)))),"")</f>
        <v>0</v>
      </c>
      <c r="R52" s="77">
        <f>IF(COUNT(E52:P52)=0,"",MIN(E52:P52))</f>
        <v>0</v>
      </c>
      <c r="S52" s="77">
        <f>IF(COUNT(E52:P52)=0,"",MAX(E52:P52))</f>
        <v>0</v>
      </c>
      <c r="T52" s="77">
        <f>IF('Configurações'!$K$35="","",'Configurações'!$K$35)</f>
        <v>0</v>
      </c>
      <c r="U52" s="77">
        <f>IF('Configurações'!$L$35="","",'Configurações'!$L$35)</f>
        <v>0</v>
      </c>
      <c r="V52" s="78">
        <f>IF(OR(Q52="",AND(T52="",U52="")),"",IF(OR(AND(T52&lt;&gt;"",Q52&lt;T52),AND(U52&lt;&gt;"",Q52&gt;U52)),"Fora","OK"))</f>
        <v>0</v>
      </c>
    </row>
    <row r="53" spans="1:22">
      <c r="A53" s="23" t="s">
        <v>250</v>
      </c>
      <c r="B53" s="31"/>
      <c r="C53" s="32"/>
      <c r="D53" s="36" t="s">
        <v>216</v>
      </c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4">
        <f>IFERROR(IF(COUNT(E53:P53)=0,"",IF('Configurações'!$F$35="Soma",SUM(E53:P53),IF('Configurações'!$F$35="Último valor",LOOKUP(2,1/(E53:P53&lt;&gt;""),E53:P53),AVERAGE(E53:P53)))),"")</f>
        <v>0</v>
      </c>
      <c r="R53" s="77">
        <f>IF(COUNT(E53:P53)=0,"",MIN(E53:P53))</f>
        <v>0</v>
      </c>
      <c r="S53" s="77">
        <f>IF(COUNT(E53:P53)=0,"",MAX(E53:P53))</f>
        <v>0</v>
      </c>
      <c r="T53" s="77">
        <f>IF('Configurações'!$K$35="","",'Configurações'!$K$35)</f>
        <v>0</v>
      </c>
      <c r="U53" s="77">
        <f>IF('Configurações'!$L$35="","",'Configurações'!$L$35)</f>
        <v>0</v>
      </c>
      <c r="V53" s="78">
        <f>IF(OR(Q53="",AND(T53="",U53="")),"",IF(OR(AND(T53&lt;&gt;"",Q53&lt;T53),AND(U53&lt;&gt;"",Q53&gt;U53)),"Fora","OK"))</f>
        <v>0</v>
      </c>
    </row>
    <row r="54" spans="1:22">
      <c r="A54" s="23" t="s">
        <v>251</v>
      </c>
      <c r="B54" s="24" t="s">
        <v>98</v>
      </c>
      <c r="C54" s="25" t="s">
        <v>50</v>
      </c>
      <c r="D54" s="26" t="s">
        <v>214</v>
      </c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4">
        <f>IFERROR(IF(COUNT(E54:P54)=0,"",IF('Configurações'!$F$36="Soma",SUM(E54:P54),IF('Configurações'!$F$36="Último valor",LOOKUP(2,1/(E54:P54&lt;&gt;""),E54:P54),AVERAGE(E54:P54)))),"")</f>
        <v>0</v>
      </c>
      <c r="R54" s="75">
        <f>IF(COUNT(E54:P54)=0,"",MIN(E54:P54))</f>
        <v>0</v>
      </c>
      <c r="S54" s="75">
        <f>IF(COUNT(E54:P54)=0,"",MAX(E54:P54))</f>
        <v>0</v>
      </c>
      <c r="T54" s="75">
        <f>IF('Configurações'!$K$36="","",'Configurações'!$K$36)</f>
        <v>0</v>
      </c>
      <c r="U54" s="75">
        <f>IF('Configurações'!$L$36="","",'Configurações'!$L$36)</f>
        <v>0</v>
      </c>
      <c r="V54" s="16">
        <f>IF(OR(Q54="",AND(T54="",U54="")),"",IF(OR(AND(T54&lt;&gt;"",Q54&lt;T54),AND(U54&lt;&gt;"",Q54&gt;U54)),"Fora","OK"))</f>
        <v>0</v>
      </c>
    </row>
    <row r="55" spans="1:22">
      <c r="A55" s="23" t="s">
        <v>252</v>
      </c>
      <c r="B55" s="24"/>
      <c r="C55" s="25"/>
      <c r="D55" s="30" t="s">
        <v>216</v>
      </c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4">
        <f>IFERROR(IF(COUNT(E55:P55)=0,"",IF('Configurações'!$F$36="Soma",SUM(E55:P55),IF('Configurações'!$F$36="Último valor",LOOKUP(2,1/(E55:P55&lt;&gt;""),E55:P55),AVERAGE(E55:P55)))),"")</f>
        <v>0</v>
      </c>
      <c r="R55" s="75">
        <f>IF(COUNT(E55:P55)=0,"",MIN(E55:P55))</f>
        <v>0</v>
      </c>
      <c r="S55" s="75">
        <f>IF(COUNT(E55:P55)=0,"",MAX(E55:P55))</f>
        <v>0</v>
      </c>
      <c r="T55" s="75">
        <f>IF('Configurações'!$K$36="","",'Configurações'!$K$36)</f>
        <v>0</v>
      </c>
      <c r="U55" s="75">
        <f>IF('Configurações'!$L$36="","",'Configurações'!$L$36)</f>
        <v>0</v>
      </c>
      <c r="V55" s="16">
        <f>IF(OR(Q55="",AND(T55="",U55="")),"",IF(OR(AND(T55&lt;&gt;"",Q55&lt;T55),AND(U55&lt;&gt;"",Q55&gt;U55)),"Fora","OK"))</f>
        <v>0</v>
      </c>
    </row>
    <row r="56" spans="1:22">
      <c r="A56" s="23" t="s">
        <v>253</v>
      </c>
      <c r="B56" s="31" t="s">
        <v>101</v>
      </c>
      <c r="C56" s="32" t="s">
        <v>50</v>
      </c>
      <c r="D56" s="33" t="s">
        <v>214</v>
      </c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80">
        <f>IFERROR(IF(COUNT(E56:P56)=0,"",IF('Configurações'!$F$37="Soma",SUM(E56:P56),IF('Configurações'!$F$37="Último valor",LOOKUP(2,1/(E56:P56&lt;&gt;""),E56:P56),AVERAGE(E56:P56)))),"")</f>
        <v>0</v>
      </c>
      <c r="R56" s="81">
        <f>IF(COUNT(E56:P56)=0,"",MIN(E56:P56))</f>
        <v>0</v>
      </c>
      <c r="S56" s="81">
        <f>IF(COUNT(E56:P56)=0,"",MAX(E56:P56))</f>
        <v>0</v>
      </c>
      <c r="T56" s="81">
        <f>IF('Configurações'!$K$37="","",'Configurações'!$K$37)</f>
        <v>0</v>
      </c>
      <c r="U56" s="81">
        <f>IF('Configurações'!$L$37="","",'Configurações'!$L$37)</f>
        <v>0</v>
      </c>
      <c r="V56" s="78">
        <f>IF(OR(Q56="",AND(T56="",U56="")),"",IF(OR(AND(T56&lt;&gt;"",Q56&lt;T56),AND(U56&lt;&gt;"",Q56&gt;U56)),"Fora","OK"))</f>
        <v>0</v>
      </c>
    </row>
    <row r="57" spans="1:22">
      <c r="A57" s="23" t="s">
        <v>254</v>
      </c>
      <c r="B57" s="31"/>
      <c r="C57" s="32"/>
      <c r="D57" s="36" t="s">
        <v>216</v>
      </c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80">
        <f>IFERROR(IF(COUNT(E57:P57)=0,"",IF('Configurações'!$F$37="Soma",SUM(E57:P57),IF('Configurações'!$F$37="Último valor",LOOKUP(2,1/(E57:P57&lt;&gt;""),E57:P57),AVERAGE(E57:P57)))),"")</f>
        <v>0</v>
      </c>
      <c r="R57" s="81">
        <f>IF(COUNT(E57:P57)=0,"",MIN(E57:P57))</f>
        <v>0</v>
      </c>
      <c r="S57" s="81">
        <f>IF(COUNT(E57:P57)=0,"",MAX(E57:P57))</f>
        <v>0</v>
      </c>
      <c r="T57" s="81">
        <f>IF('Configurações'!$K$37="","",'Configurações'!$K$37)</f>
        <v>0</v>
      </c>
      <c r="U57" s="81">
        <f>IF('Configurações'!$L$37="","",'Configurações'!$L$37)</f>
        <v>0</v>
      </c>
      <c r="V57" s="78">
        <f>IF(OR(Q57="",AND(T57="",U57="")),"",IF(OR(AND(T57&lt;&gt;"",Q57&lt;T57),AND(U57&lt;&gt;"",Q57&gt;U57)),"Fora","OK"))</f>
        <v>0</v>
      </c>
    </row>
    <row r="58" spans="1:22">
      <c r="A58" s="23" t="s">
        <v>255</v>
      </c>
      <c r="B58" s="24" t="s">
        <v>104</v>
      </c>
      <c r="C58" s="25" t="s">
        <v>50</v>
      </c>
      <c r="D58" s="26" t="s">
        <v>214</v>
      </c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3">
        <f>IFERROR(IF(COUNT(E58:P58)=0,"",IF('Configurações'!$F$38="Soma",SUM(E58:P58),IF('Configurações'!$F$38="Último valor",LOOKUP(2,1/(E58:P58&lt;&gt;""),E58:P58),AVERAGE(E58:P58)))),"")</f>
        <v>0</v>
      </c>
      <c r="R58" s="84">
        <f>IF(COUNT(E58:P58)=0,"",MIN(E58:P58))</f>
        <v>0</v>
      </c>
      <c r="S58" s="84">
        <f>IF(COUNT(E58:P58)=0,"",MAX(E58:P58))</f>
        <v>0</v>
      </c>
      <c r="T58" s="84">
        <f>IF('Configurações'!$K$38="","",'Configurações'!$K$38)</f>
        <v>0</v>
      </c>
      <c r="U58" s="84">
        <f>IF('Configurações'!$L$38="","",'Configurações'!$L$38)</f>
        <v>0</v>
      </c>
      <c r="V58" s="16">
        <f>IF(OR(Q58="",AND(T58="",U58="")),"",IF(OR(AND(T58&lt;&gt;"",Q58&lt;T58),AND(U58&lt;&gt;"",Q58&gt;U58)),"Fora","OK"))</f>
        <v>0</v>
      </c>
    </row>
    <row r="59" spans="1:22">
      <c r="A59" s="23" t="s">
        <v>256</v>
      </c>
      <c r="B59" s="24"/>
      <c r="C59" s="25"/>
      <c r="D59" s="30" t="s">
        <v>216</v>
      </c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3">
        <f>IFERROR(IF(COUNT(E59:P59)=0,"",IF('Configurações'!$F$38="Soma",SUM(E59:P59),IF('Configurações'!$F$38="Último valor",LOOKUP(2,1/(E59:P59&lt;&gt;""),E59:P59),AVERAGE(E59:P59)))),"")</f>
        <v>0</v>
      </c>
      <c r="R59" s="84">
        <f>IF(COUNT(E59:P59)=0,"",MIN(E59:P59))</f>
        <v>0</v>
      </c>
      <c r="S59" s="84">
        <f>IF(COUNT(E59:P59)=0,"",MAX(E59:P59))</f>
        <v>0</v>
      </c>
      <c r="T59" s="84">
        <f>IF('Configurações'!$K$38="","",'Configurações'!$K$38)</f>
        <v>0</v>
      </c>
      <c r="U59" s="84">
        <f>IF('Configurações'!$L$38="","",'Configurações'!$L$38)</f>
        <v>0</v>
      </c>
      <c r="V59" s="16">
        <f>IF(OR(Q59="",AND(T59="",U59="")),"",IF(OR(AND(T59&lt;&gt;"",Q59&lt;T59),AND(U59&lt;&gt;"",Q59&gt;U59)),"Fora","OK"))</f>
        <v>0</v>
      </c>
    </row>
    <row r="60" spans="1:22" ht="17" customHeight="1">
      <c r="B60" s="13" t="s">
        <v>107</v>
      </c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</row>
    <row r="61" spans="1:22">
      <c r="A61" s="23" t="s">
        <v>257</v>
      </c>
      <c r="B61" s="31" t="s">
        <v>107</v>
      </c>
      <c r="C61" s="32" t="s">
        <v>108</v>
      </c>
      <c r="D61" s="33" t="s">
        <v>214</v>
      </c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4">
        <f>IFERROR(IF(COUNT(E61:P61)=0,"",IF('Configurações'!$F$39="Soma",SUM(E61:P61),IF('Configurações'!$F$39="Último valor",LOOKUP(2,1/(E61:P61&lt;&gt;""),E61:P61),AVERAGE(E61:P61)))),"")</f>
        <v>0</v>
      </c>
      <c r="R61" s="77">
        <f>IF(COUNT(E61:P61)=0,"",MIN(E61:P61))</f>
        <v>0</v>
      </c>
      <c r="S61" s="77">
        <f>IF(COUNT(E61:P61)=0,"",MAX(E61:P61))</f>
        <v>0</v>
      </c>
      <c r="T61" s="77">
        <f>IF('Configurações'!$K$39="","",'Configurações'!$K$39)</f>
        <v>0</v>
      </c>
      <c r="U61" s="77">
        <f>IF('Configurações'!$L$39="","",'Configurações'!$L$39)</f>
        <v>0</v>
      </c>
      <c r="V61" s="78">
        <f>IF(OR(Q61="",AND(T61="",U61="")),"",IF(OR(AND(T61&lt;&gt;"",Q61&lt;T61),AND(U61&lt;&gt;"",Q61&gt;U61)),"Fora","OK"))</f>
        <v>0</v>
      </c>
    </row>
    <row r="62" spans="1:22">
      <c r="A62" s="23" t="s">
        <v>258</v>
      </c>
      <c r="B62" s="31"/>
      <c r="C62" s="32"/>
      <c r="D62" s="36" t="s">
        <v>216</v>
      </c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4">
        <f>IFERROR(IF(COUNT(E62:P62)=0,"",IF('Configurações'!$F$39="Soma",SUM(E62:P62),IF('Configurações'!$F$39="Último valor",LOOKUP(2,1/(E62:P62&lt;&gt;""),E62:P62),AVERAGE(E62:P62)))),"")</f>
        <v>0</v>
      </c>
      <c r="R62" s="77">
        <f>IF(COUNT(E62:P62)=0,"",MIN(E62:P62))</f>
        <v>0</v>
      </c>
      <c r="S62" s="77">
        <f>IF(COUNT(E62:P62)=0,"",MAX(E62:P62))</f>
        <v>0</v>
      </c>
      <c r="T62" s="77">
        <f>IF('Configurações'!$K$39="","",'Configurações'!$K$39)</f>
        <v>0</v>
      </c>
      <c r="U62" s="77">
        <f>IF('Configurações'!$L$39="","",'Configurações'!$L$39)</f>
        <v>0</v>
      </c>
      <c r="V62" s="78">
        <f>IF(OR(Q62="",AND(T62="",U62="")),"",IF(OR(AND(T62&lt;&gt;"",Q62&lt;T62),AND(U62&lt;&gt;"",Q62&gt;U62)),"Fora","OK"))</f>
        <v>0</v>
      </c>
    </row>
    <row r="63" spans="1:22">
      <c r="A63" s="23" t="s">
        <v>259</v>
      </c>
      <c r="B63" s="24" t="s">
        <v>112</v>
      </c>
      <c r="C63" s="25" t="s">
        <v>113</v>
      </c>
      <c r="D63" s="26" t="s">
        <v>214</v>
      </c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4">
        <f>IFERROR(IF(COUNT(E63:P63)=0,"",IF('Configurações'!$F$40="Soma",SUM(E63:P63),IF('Configurações'!$F$40="Último valor",LOOKUP(2,1/(E63:P63&lt;&gt;""),E63:P63),AVERAGE(E63:P63)))),"")</f>
        <v>0</v>
      </c>
      <c r="R63" s="75">
        <f>IF(COUNT(E63:P63)=0,"",MIN(E63:P63))</f>
        <v>0</v>
      </c>
      <c r="S63" s="75">
        <f>IF(COUNT(E63:P63)=0,"",MAX(E63:P63))</f>
        <v>0</v>
      </c>
      <c r="T63" s="75">
        <f>IF('Configurações'!$K$40="","",'Configurações'!$K$40)</f>
        <v>0</v>
      </c>
      <c r="U63" s="75">
        <f>IF('Configurações'!$L$40="","",'Configurações'!$L$40)</f>
        <v>0</v>
      </c>
      <c r="V63" s="16">
        <f>IF(OR(Q63="",AND(T63="",U63="")),"",IF(OR(AND(T63&lt;&gt;"",Q63&lt;T63),AND(U63&lt;&gt;"",Q63&gt;U63)),"Fora","OK"))</f>
        <v>0</v>
      </c>
    </row>
    <row r="64" spans="1:22">
      <c r="A64" s="23" t="s">
        <v>260</v>
      </c>
      <c r="B64" s="24"/>
      <c r="C64" s="25"/>
      <c r="D64" s="30" t="s">
        <v>216</v>
      </c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4">
        <f>IFERROR(IF(COUNT(E64:P64)=0,"",IF('Configurações'!$F$40="Soma",SUM(E64:P64),IF('Configurações'!$F$40="Último valor",LOOKUP(2,1/(E64:P64&lt;&gt;""),E64:P64),AVERAGE(E64:P64)))),"")</f>
        <v>0</v>
      </c>
      <c r="R64" s="75">
        <f>IF(COUNT(E64:P64)=0,"",MIN(E64:P64))</f>
        <v>0</v>
      </c>
      <c r="S64" s="75">
        <f>IF(COUNT(E64:P64)=0,"",MAX(E64:P64))</f>
        <v>0</v>
      </c>
      <c r="T64" s="75">
        <f>IF('Configurações'!$K$40="","",'Configurações'!$K$40)</f>
        <v>0</v>
      </c>
      <c r="U64" s="75">
        <f>IF('Configurações'!$L$40="","",'Configurações'!$L$40)</f>
        <v>0</v>
      </c>
      <c r="V64" s="16">
        <f>IF(OR(Q64="",AND(T64="",U64="")),"",IF(OR(AND(T64&lt;&gt;"",Q64&lt;T64),AND(U64&lt;&gt;"",Q64&gt;U64)),"Fora","OK"))</f>
        <v>0</v>
      </c>
    </row>
    <row r="65" spans="1:22">
      <c r="A65" s="23" t="s">
        <v>261</v>
      </c>
      <c r="B65" s="31" t="s">
        <v>117</v>
      </c>
      <c r="C65" s="32" t="s">
        <v>113</v>
      </c>
      <c r="D65" s="33" t="s">
        <v>214</v>
      </c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4">
        <f>IFERROR(IF(COUNT(E65:P65)=0,"",IF('Configurações'!$F$41="Soma",SUM(E65:P65),IF('Configurações'!$F$41="Último valor",LOOKUP(2,1/(E65:P65&lt;&gt;""),E65:P65),AVERAGE(E65:P65)))),"")</f>
        <v>0</v>
      </c>
      <c r="R65" s="77">
        <f>IF(COUNT(E65:P65)=0,"",MIN(E65:P65))</f>
        <v>0</v>
      </c>
      <c r="S65" s="77">
        <f>IF(COUNT(E65:P65)=0,"",MAX(E65:P65))</f>
        <v>0</v>
      </c>
      <c r="T65" s="77">
        <f>IF('Configurações'!$K$41="","",'Configurações'!$K$41)</f>
        <v>0</v>
      </c>
      <c r="U65" s="77">
        <f>IF('Configurações'!$L$41="","",'Configurações'!$L$41)</f>
        <v>0</v>
      </c>
      <c r="V65" s="78">
        <f>IF(OR(Q65="",AND(T65="",U65="")),"",IF(OR(AND(T65&lt;&gt;"",Q65&lt;T65),AND(U65&lt;&gt;"",Q65&gt;U65)),"Fora","OK"))</f>
        <v>0</v>
      </c>
    </row>
    <row r="66" spans="1:22">
      <c r="A66" s="23" t="s">
        <v>262</v>
      </c>
      <c r="B66" s="31"/>
      <c r="C66" s="32"/>
      <c r="D66" s="36" t="s">
        <v>216</v>
      </c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4">
        <f>IFERROR(IF(COUNT(E66:P66)=0,"",IF('Configurações'!$F$41="Soma",SUM(E66:P66),IF('Configurações'!$F$41="Último valor",LOOKUP(2,1/(E66:P66&lt;&gt;""),E66:P66),AVERAGE(E66:P66)))),"")</f>
        <v>0</v>
      </c>
      <c r="R66" s="77">
        <f>IF(COUNT(E66:P66)=0,"",MIN(E66:P66))</f>
        <v>0</v>
      </c>
      <c r="S66" s="77">
        <f>IF(COUNT(E66:P66)=0,"",MAX(E66:P66))</f>
        <v>0</v>
      </c>
      <c r="T66" s="77">
        <f>IF('Configurações'!$K$41="","",'Configurações'!$K$41)</f>
        <v>0</v>
      </c>
      <c r="U66" s="77">
        <f>IF('Configurações'!$L$41="","",'Configurações'!$L$41)</f>
        <v>0</v>
      </c>
      <c r="V66" s="78">
        <f>IF(OR(Q66="",AND(T66="",U66="")),"",IF(OR(AND(T66&lt;&gt;"",Q66&lt;T66),AND(U66&lt;&gt;"",Q66&gt;U66)),"Fora","OK"))</f>
        <v>0</v>
      </c>
    </row>
    <row r="67" spans="1:22" ht="22" customHeight="1">
      <c r="B67" s="89" t="s">
        <v>263</v>
      </c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</row>
  </sheetData>
  <sheetProtection sheet="1" objects="1" scenarios="1" formatColumns="0" formatRows="0"/>
  <mergeCells count="72">
    <mergeCell ref="D2:V2"/>
    <mergeCell ref="D3:V3"/>
    <mergeCell ref="C6:G6"/>
    <mergeCell ref="C7:G7"/>
    <mergeCell ref="H6:I6"/>
    <mergeCell ref="H7:I7"/>
    <mergeCell ref="J6:M6"/>
    <mergeCell ref="J7:M7"/>
    <mergeCell ref="N6:P6"/>
    <mergeCell ref="N7:P7"/>
    <mergeCell ref="Q6:V6"/>
    <mergeCell ref="Q7:V7"/>
    <mergeCell ref="C9:D9"/>
    <mergeCell ref="E9:G9"/>
    <mergeCell ref="I9:K9"/>
    <mergeCell ref="L9:V9"/>
    <mergeCell ref="C10:V10"/>
    <mergeCell ref="B13:V13"/>
    <mergeCell ref="B14:B15"/>
    <mergeCell ref="C14:C15"/>
    <mergeCell ref="B16:V16"/>
    <mergeCell ref="B17:B18"/>
    <mergeCell ref="C17:C18"/>
    <mergeCell ref="B19:B20"/>
    <mergeCell ref="C19:C20"/>
    <mergeCell ref="B21:B22"/>
    <mergeCell ref="C21:C22"/>
    <mergeCell ref="B23:B24"/>
    <mergeCell ref="C23:C24"/>
    <mergeCell ref="B25:B26"/>
    <mergeCell ref="C25:C26"/>
    <mergeCell ref="B27:V27"/>
    <mergeCell ref="B28:B29"/>
    <mergeCell ref="C28:C29"/>
    <mergeCell ref="B30:B31"/>
    <mergeCell ref="C30:C31"/>
    <mergeCell ref="B32:B33"/>
    <mergeCell ref="C32:C33"/>
    <mergeCell ref="B34:V34"/>
    <mergeCell ref="B35:B36"/>
    <mergeCell ref="C35:C36"/>
    <mergeCell ref="B37:B38"/>
    <mergeCell ref="C37:C38"/>
    <mergeCell ref="B39:B40"/>
    <mergeCell ref="C39:C40"/>
    <mergeCell ref="B41:B42"/>
    <mergeCell ref="C41:C42"/>
    <mergeCell ref="B43:B44"/>
    <mergeCell ref="C43:C44"/>
    <mergeCell ref="B45:V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B57"/>
    <mergeCell ref="C56:C57"/>
    <mergeCell ref="B58:B59"/>
    <mergeCell ref="C58:C59"/>
    <mergeCell ref="B60:V60"/>
    <mergeCell ref="B61:B62"/>
    <mergeCell ref="C61:C62"/>
    <mergeCell ref="B63:B64"/>
    <mergeCell ref="C63:C64"/>
    <mergeCell ref="B65:B66"/>
    <mergeCell ref="C65:C66"/>
    <mergeCell ref="B67:V67"/>
  </mergeCells>
  <conditionalFormatting sqref="E13:Q66">
    <cfRule type="expression" dxfId="0" priority="1">
      <formula>AND(ISNUMBER(E13),OR(AND(ISNUMBER($T13),E13&lt;$T13),AND(ISNUMBER($U13),E13&gt;$U13)))</formula>
    </cfRule>
  </conditionalFormatting>
  <dataValidations count="2">
    <dataValidation type="date" operator="greaterThan" allowBlank="1" showInputMessage="1" showErrorMessage="1" error="Digite data e hora: dd/mm/aaaa hh:mm" sqref="E9">
      <formula1>43831</formula1>
    </dataValidation>
    <dataValidation type="date" operator="greaterThan" allowBlank="1" showInputMessage="1" showErrorMessage="1" error="Digite data e hora: dd/mm/aaaa hh:mm" sqref="I9">
      <formula1>43831</formula1>
    </dataValidation>
  </dataValidations>
  <printOptions horizontalCentered="1"/>
  <pageMargins left="0.3" right="0.3" top="0.4" bottom="0.4" header="0.3" footer="0.3"/>
  <pageSetup paperSize="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Z43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6" ht="6" customHeight="1"/>
    <row r="2" spans="2:26" ht="26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6" ht="20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6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6" ht="22" customHeight="1">
      <c r="B5" s="5" t="s">
        <v>2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S5" s="90" t="s">
        <v>121</v>
      </c>
      <c r="T5" s="90"/>
      <c r="U5" s="90"/>
      <c r="V5" s="90"/>
      <c r="W5" s="90"/>
      <c r="X5" s="90"/>
      <c r="Y5" s="90"/>
      <c r="Z5" s="90"/>
    </row>
    <row r="6" spans="2:26" ht="20" customHeight="1">
      <c r="B6" s="91" t="s">
        <v>3</v>
      </c>
      <c r="C6" s="91"/>
      <c r="D6" s="92" t="s">
        <v>4</v>
      </c>
      <c r="E6" s="92"/>
      <c r="F6" s="92"/>
      <c r="G6" s="93" t="s">
        <v>5</v>
      </c>
      <c r="H6" s="93"/>
      <c r="I6" s="93"/>
      <c r="J6" s="93"/>
      <c r="S6" s="94" t="s">
        <v>122</v>
      </c>
      <c r="T6" s="94" t="s">
        <v>125</v>
      </c>
      <c r="U6" s="94" t="s">
        <v>130</v>
      </c>
      <c r="V6" s="94" t="s">
        <v>22</v>
      </c>
      <c r="W6" s="94" t="s">
        <v>133</v>
      </c>
      <c r="X6" s="94" t="s">
        <v>135</v>
      </c>
      <c r="Y6" s="94" t="s">
        <v>138</v>
      </c>
      <c r="Z6" s="94" t="s">
        <v>139</v>
      </c>
    </row>
    <row r="7" spans="2:26" ht="20" customHeight="1">
      <c r="B7" s="91" t="s">
        <v>6</v>
      </c>
      <c r="C7" s="91"/>
      <c r="D7" s="92" t="s">
        <v>7</v>
      </c>
      <c r="E7" s="92"/>
      <c r="F7" s="92"/>
      <c r="G7" s="93" t="s">
        <v>8</v>
      </c>
      <c r="H7" s="93"/>
      <c r="I7" s="93"/>
      <c r="J7" s="93"/>
      <c r="S7" s="95" t="s">
        <v>123</v>
      </c>
      <c r="T7" s="95" t="s">
        <v>126</v>
      </c>
      <c r="U7" s="95" t="s">
        <v>131</v>
      </c>
      <c r="V7" s="95" t="s">
        <v>36</v>
      </c>
      <c r="W7" s="95" t="s">
        <v>4</v>
      </c>
      <c r="X7" s="95" t="s">
        <v>136</v>
      </c>
      <c r="Y7" s="95" t="s">
        <v>44</v>
      </c>
      <c r="Z7" s="95" t="s">
        <v>140</v>
      </c>
    </row>
    <row r="8" spans="2:26" ht="20" customHeight="1">
      <c r="B8" s="91" t="s">
        <v>9</v>
      </c>
      <c r="C8" s="91"/>
      <c r="D8" s="96">
        <v>0.2916666666666667</v>
      </c>
      <c r="E8" s="96"/>
      <c r="F8" s="96"/>
      <c r="G8" s="93" t="s">
        <v>10</v>
      </c>
      <c r="H8" s="93"/>
      <c r="I8" s="93"/>
      <c r="J8" s="93"/>
      <c r="S8" s="95" t="s">
        <v>124</v>
      </c>
      <c r="T8" s="95" t="s">
        <v>127</v>
      </c>
      <c r="U8" s="95" t="s">
        <v>132</v>
      </c>
      <c r="V8" s="95" t="s">
        <v>109</v>
      </c>
      <c r="W8" s="95" t="s">
        <v>134</v>
      </c>
      <c r="X8" s="95" t="s">
        <v>137</v>
      </c>
      <c r="Y8" s="95" t="s">
        <v>38</v>
      </c>
      <c r="Z8" s="95" t="s">
        <v>14</v>
      </c>
    </row>
    <row r="9" spans="2:26" ht="20" customHeight="1">
      <c r="B9" s="91" t="s">
        <v>11</v>
      </c>
      <c r="C9" s="91"/>
      <c r="D9" s="92">
        <v>60</v>
      </c>
      <c r="E9" s="92"/>
      <c r="F9" s="92"/>
      <c r="G9" s="93" t="s">
        <v>12</v>
      </c>
      <c r="H9" s="93"/>
      <c r="I9" s="93"/>
      <c r="J9" s="93"/>
      <c r="T9" s="95" t="s">
        <v>128</v>
      </c>
      <c r="V9" s="95" t="s">
        <v>114</v>
      </c>
      <c r="Z9" s="95" t="s">
        <v>141</v>
      </c>
    </row>
    <row r="10" spans="2:26" ht="20" customHeight="1">
      <c r="B10" s="91" t="s">
        <v>13</v>
      </c>
      <c r="C10" s="91"/>
      <c r="D10" s="92" t="s">
        <v>14</v>
      </c>
      <c r="E10" s="92"/>
      <c r="F10" s="92"/>
      <c r="G10" s="93" t="s">
        <v>15</v>
      </c>
      <c r="H10" s="93"/>
      <c r="I10" s="93"/>
      <c r="J10" s="93"/>
      <c r="T10" s="95" t="s">
        <v>129</v>
      </c>
    </row>
    <row r="15" spans="2:26" ht="28" customHeight="1">
      <c r="B15" s="97" t="s">
        <v>16</v>
      </c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</row>
    <row r="16" spans="2:26" ht="22" customHeight="1">
      <c r="B16" s="5" t="s">
        <v>17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2:16" ht="32" customHeight="1">
      <c r="B17" s="98" t="s">
        <v>18</v>
      </c>
      <c r="C17" s="98" t="s">
        <v>19</v>
      </c>
      <c r="D17" s="98" t="s">
        <v>20</v>
      </c>
      <c r="E17" s="98" t="s">
        <v>21</v>
      </c>
      <c r="F17" s="98" t="s">
        <v>22</v>
      </c>
      <c r="G17" s="98" t="s">
        <v>23</v>
      </c>
      <c r="H17" s="98" t="s">
        <v>24</v>
      </c>
      <c r="I17" s="98" t="s">
        <v>25</v>
      </c>
      <c r="J17" s="98" t="s">
        <v>26</v>
      </c>
      <c r="K17" s="98" t="s">
        <v>27</v>
      </c>
      <c r="L17" s="98" t="s">
        <v>28</v>
      </c>
      <c r="M17" s="98" t="s">
        <v>29</v>
      </c>
      <c r="N17" s="98" t="s">
        <v>30</v>
      </c>
      <c r="O17" s="98" t="s">
        <v>31</v>
      </c>
      <c r="P17" s="98" t="s">
        <v>32</v>
      </c>
    </row>
    <row r="18" spans="2:16">
      <c r="B18" s="99" t="s">
        <v>33</v>
      </c>
      <c r="C18" s="100" t="s">
        <v>34</v>
      </c>
      <c r="D18" s="92" t="s">
        <v>35</v>
      </c>
      <c r="E18" s="92">
        <v>0</v>
      </c>
      <c r="F18" s="92" t="s">
        <v>36</v>
      </c>
      <c r="G18" s="101" t="s">
        <v>37</v>
      </c>
      <c r="H18" s="57" t="s">
        <v>38</v>
      </c>
      <c r="I18" s="101" t="s">
        <v>39</v>
      </c>
      <c r="J18" s="57" t="s">
        <v>38</v>
      </c>
      <c r="K18" s="92"/>
      <c r="L18" s="92"/>
      <c r="M18" s="92">
        <v>0</v>
      </c>
      <c r="N18" s="92">
        <v>50000</v>
      </c>
      <c r="O18" s="92">
        <v>1000</v>
      </c>
      <c r="P18" s="92">
        <v>1100</v>
      </c>
    </row>
    <row r="19" spans="2:16">
      <c r="B19" s="102" t="s">
        <v>40</v>
      </c>
      <c r="C19" s="103" t="s">
        <v>41</v>
      </c>
      <c r="D19" s="92" t="s">
        <v>42</v>
      </c>
      <c r="E19" s="92">
        <v>0</v>
      </c>
      <c r="F19" s="92" t="s">
        <v>36</v>
      </c>
      <c r="G19" s="101" t="s">
        <v>43</v>
      </c>
      <c r="H19" s="57" t="s">
        <v>44</v>
      </c>
      <c r="I19" s="101" t="s">
        <v>45</v>
      </c>
      <c r="J19" s="57" t="s">
        <v>44</v>
      </c>
      <c r="K19" s="92"/>
      <c r="L19" s="92"/>
      <c r="M19" s="92">
        <v>0</v>
      </c>
      <c r="N19" s="92">
        <v>50000</v>
      </c>
      <c r="O19" s="92">
        <v>2010</v>
      </c>
      <c r="P19" s="92">
        <v>2010</v>
      </c>
    </row>
    <row r="20" spans="2:16">
      <c r="B20" s="99" t="s">
        <v>40</v>
      </c>
      <c r="C20" s="100" t="s">
        <v>46</v>
      </c>
      <c r="D20" s="92" t="s">
        <v>42</v>
      </c>
      <c r="E20" s="92">
        <v>0</v>
      </c>
      <c r="F20" s="92" t="s">
        <v>36</v>
      </c>
      <c r="G20" s="101" t="s">
        <v>47</v>
      </c>
      <c r="H20" s="57" t="s">
        <v>44</v>
      </c>
      <c r="I20" s="101" t="s">
        <v>48</v>
      </c>
      <c r="J20" s="57" t="s">
        <v>44</v>
      </c>
      <c r="K20" s="92"/>
      <c r="L20" s="92"/>
      <c r="M20" s="92">
        <v>0</v>
      </c>
      <c r="N20" s="92">
        <v>50000</v>
      </c>
      <c r="O20" s="92">
        <v>2160</v>
      </c>
      <c r="P20" s="92">
        <v>2120</v>
      </c>
    </row>
    <row r="21" spans="2:16">
      <c r="B21" s="102" t="s">
        <v>40</v>
      </c>
      <c r="C21" s="103" t="s">
        <v>49</v>
      </c>
      <c r="D21" s="92" t="s">
        <v>50</v>
      </c>
      <c r="E21" s="92">
        <v>1</v>
      </c>
      <c r="F21" s="92" t="s">
        <v>36</v>
      </c>
      <c r="G21" s="101" t="s">
        <v>51</v>
      </c>
      <c r="H21" s="57" t="s">
        <v>44</v>
      </c>
      <c r="I21" s="101" t="s">
        <v>52</v>
      </c>
      <c r="J21" s="57" t="s">
        <v>44</v>
      </c>
      <c r="K21" s="92"/>
      <c r="L21" s="92"/>
      <c r="M21" s="92">
        <v>0</v>
      </c>
      <c r="N21" s="92">
        <v>50000</v>
      </c>
      <c r="O21" s="92">
        <v>90.2</v>
      </c>
      <c r="P21" s="92">
        <v>89.90000000000001</v>
      </c>
    </row>
    <row r="22" spans="2:16">
      <c r="B22" s="99" t="s">
        <v>40</v>
      </c>
      <c r="C22" s="100" t="s">
        <v>53</v>
      </c>
      <c r="D22" s="92" t="s">
        <v>50</v>
      </c>
      <c r="E22" s="92">
        <v>2</v>
      </c>
      <c r="F22" s="92" t="s">
        <v>36</v>
      </c>
      <c r="G22" s="101" t="s">
        <v>54</v>
      </c>
      <c r="H22" s="57" t="s">
        <v>44</v>
      </c>
      <c r="I22" s="101" t="s">
        <v>55</v>
      </c>
      <c r="J22" s="57" t="s">
        <v>44</v>
      </c>
      <c r="K22" s="92"/>
      <c r="L22" s="92"/>
      <c r="M22" s="92">
        <v>0</v>
      </c>
      <c r="N22" s="92">
        <v>50000</v>
      </c>
      <c r="O22" s="92">
        <v>11.2</v>
      </c>
      <c r="P22" s="92">
        <v>11.2</v>
      </c>
    </row>
    <row r="23" spans="2:16">
      <c r="B23" s="102" t="s">
        <v>40</v>
      </c>
      <c r="C23" s="103" t="s">
        <v>56</v>
      </c>
      <c r="D23" s="92" t="s">
        <v>50</v>
      </c>
      <c r="E23" s="92">
        <v>2</v>
      </c>
      <c r="F23" s="92" t="s">
        <v>36</v>
      </c>
      <c r="G23" s="101" t="s">
        <v>57</v>
      </c>
      <c r="H23" s="57" t="s">
        <v>44</v>
      </c>
      <c r="I23" s="101" t="s">
        <v>58</v>
      </c>
      <c r="J23" s="57" t="s">
        <v>44</v>
      </c>
      <c r="K23" s="92"/>
      <c r="L23" s="92"/>
      <c r="M23" s="92">
        <v>0</v>
      </c>
      <c r="N23" s="92">
        <v>50000</v>
      </c>
      <c r="O23" s="92">
        <v>11</v>
      </c>
      <c r="P23" s="92">
        <v>11</v>
      </c>
    </row>
    <row r="24" spans="2:16">
      <c r="B24" s="99" t="s">
        <v>59</v>
      </c>
      <c r="C24" s="100" t="s">
        <v>60</v>
      </c>
      <c r="D24" s="92" t="s">
        <v>50</v>
      </c>
      <c r="E24" s="92">
        <v>2</v>
      </c>
      <c r="F24" s="92" t="s">
        <v>36</v>
      </c>
      <c r="G24" s="101" t="s">
        <v>61</v>
      </c>
      <c r="H24" s="57" t="s">
        <v>44</v>
      </c>
      <c r="I24" s="101" t="s">
        <v>61</v>
      </c>
      <c r="J24" s="57" t="s">
        <v>44</v>
      </c>
      <c r="K24" s="92"/>
      <c r="L24" s="92"/>
      <c r="M24" s="92">
        <v>0</v>
      </c>
      <c r="N24" s="92">
        <v>50000</v>
      </c>
      <c r="O24" s="92">
        <v>3.66</v>
      </c>
      <c r="P24" s="92">
        <v>3.66</v>
      </c>
    </row>
    <row r="25" spans="2:16">
      <c r="B25" s="102" t="s">
        <v>59</v>
      </c>
      <c r="C25" s="103" t="s">
        <v>62</v>
      </c>
      <c r="D25" s="92" t="s">
        <v>50</v>
      </c>
      <c r="E25" s="92">
        <v>2</v>
      </c>
      <c r="F25" s="92" t="s">
        <v>36</v>
      </c>
      <c r="G25" s="101" t="s">
        <v>63</v>
      </c>
      <c r="H25" s="57" t="s">
        <v>44</v>
      </c>
      <c r="I25" s="101" t="s">
        <v>63</v>
      </c>
      <c r="J25" s="57" t="s">
        <v>44</v>
      </c>
      <c r="K25" s="92"/>
      <c r="L25" s="92"/>
      <c r="M25" s="92">
        <v>0</v>
      </c>
      <c r="N25" s="92">
        <v>50000</v>
      </c>
      <c r="O25" s="92">
        <v>1.29</v>
      </c>
      <c r="P25" s="92">
        <v>1.29</v>
      </c>
    </row>
    <row r="26" spans="2:16">
      <c r="B26" s="99" t="s">
        <v>59</v>
      </c>
      <c r="C26" s="100" t="s">
        <v>64</v>
      </c>
      <c r="D26" s="92" t="s">
        <v>50</v>
      </c>
      <c r="E26" s="92">
        <v>2</v>
      </c>
      <c r="F26" s="92" t="s">
        <v>36</v>
      </c>
      <c r="G26" s="101" t="s">
        <v>65</v>
      </c>
      <c r="H26" s="57" t="s">
        <v>44</v>
      </c>
      <c r="I26" s="101" t="s">
        <v>65</v>
      </c>
      <c r="J26" s="57" t="s">
        <v>44</v>
      </c>
      <c r="K26" s="92"/>
      <c r="L26" s="92"/>
      <c r="M26" s="92">
        <v>0</v>
      </c>
      <c r="N26" s="92">
        <v>50000</v>
      </c>
      <c r="O26" s="92">
        <v>0.09</v>
      </c>
      <c r="P26" s="92">
        <v>0.09</v>
      </c>
    </row>
    <row r="27" spans="2:16">
      <c r="B27" s="102" t="s">
        <v>66</v>
      </c>
      <c r="C27" s="103" t="s">
        <v>67</v>
      </c>
      <c r="D27" s="92" t="s">
        <v>50</v>
      </c>
      <c r="E27" s="92">
        <v>2</v>
      </c>
      <c r="F27" s="92" t="s">
        <v>36</v>
      </c>
      <c r="G27" s="101" t="s">
        <v>68</v>
      </c>
      <c r="H27" s="57" t="s">
        <v>44</v>
      </c>
      <c r="I27" s="101" t="s">
        <v>69</v>
      </c>
      <c r="J27" s="57" t="s">
        <v>44</v>
      </c>
      <c r="K27" s="92"/>
      <c r="L27" s="92"/>
      <c r="M27" s="92">
        <v>0</v>
      </c>
      <c r="N27" s="92">
        <v>50000</v>
      </c>
      <c r="O27" s="92">
        <v>1.82</v>
      </c>
      <c r="P27" s="92">
        <v>1.9</v>
      </c>
    </row>
    <row r="28" spans="2:16">
      <c r="B28" s="99" t="s">
        <v>66</v>
      </c>
      <c r="C28" s="100" t="s">
        <v>70</v>
      </c>
      <c r="D28" s="92" t="s">
        <v>50</v>
      </c>
      <c r="E28" s="92">
        <v>2</v>
      </c>
      <c r="F28" s="92" t="s">
        <v>36</v>
      </c>
      <c r="G28" s="101" t="s">
        <v>71</v>
      </c>
      <c r="H28" s="57" t="s">
        <v>44</v>
      </c>
      <c r="I28" s="101" t="s">
        <v>72</v>
      </c>
      <c r="J28" s="57" t="s">
        <v>44</v>
      </c>
      <c r="K28" s="92"/>
      <c r="L28" s="92"/>
      <c r="M28" s="92">
        <v>0</v>
      </c>
      <c r="N28" s="92">
        <v>50000</v>
      </c>
      <c r="O28" s="92">
        <v>0.82</v>
      </c>
      <c r="P28" s="92">
        <v>0.88</v>
      </c>
    </row>
    <row r="29" spans="2:16">
      <c r="B29" s="102" t="s">
        <v>66</v>
      </c>
      <c r="C29" s="103" t="s">
        <v>73</v>
      </c>
      <c r="D29" s="92" t="s">
        <v>74</v>
      </c>
      <c r="E29" s="92">
        <v>2</v>
      </c>
      <c r="F29" s="92" t="s">
        <v>36</v>
      </c>
      <c r="G29" s="101" t="s">
        <v>75</v>
      </c>
      <c r="H29" s="57" t="s">
        <v>44</v>
      </c>
      <c r="I29" s="101" t="s">
        <v>76</v>
      </c>
      <c r="J29" s="57" t="s">
        <v>44</v>
      </c>
      <c r="K29" s="92"/>
      <c r="L29" s="92"/>
      <c r="M29" s="92">
        <v>0</v>
      </c>
      <c r="N29" s="92">
        <v>50000</v>
      </c>
      <c r="O29" s="92">
        <v>0.45</v>
      </c>
      <c r="P29" s="92">
        <v>0.46</v>
      </c>
    </row>
    <row r="30" spans="2:16">
      <c r="B30" s="99" t="s">
        <v>66</v>
      </c>
      <c r="C30" s="100" t="s">
        <v>77</v>
      </c>
      <c r="D30" s="92" t="s">
        <v>78</v>
      </c>
      <c r="E30" s="92">
        <v>1</v>
      </c>
      <c r="F30" s="92" t="s">
        <v>36</v>
      </c>
      <c r="G30" s="101" t="s">
        <v>79</v>
      </c>
      <c r="H30" s="57" t="s">
        <v>44</v>
      </c>
      <c r="I30" s="101" t="s">
        <v>80</v>
      </c>
      <c r="J30" s="57" t="s">
        <v>44</v>
      </c>
      <c r="K30" s="92"/>
      <c r="L30" s="92"/>
      <c r="M30" s="92">
        <v>0</v>
      </c>
      <c r="N30" s="92">
        <v>50000</v>
      </c>
      <c r="O30" s="92">
        <v>12.7</v>
      </c>
      <c r="P30" s="92">
        <v>17.6</v>
      </c>
    </row>
    <row r="31" spans="2:16">
      <c r="B31" s="102" t="s">
        <v>66</v>
      </c>
      <c r="C31" s="103" t="s">
        <v>81</v>
      </c>
      <c r="D31" s="92" t="s">
        <v>50</v>
      </c>
      <c r="E31" s="92">
        <v>2</v>
      </c>
      <c r="F31" s="92" t="s">
        <v>36</v>
      </c>
      <c r="G31" s="101" t="s">
        <v>82</v>
      </c>
      <c r="H31" s="57" t="s">
        <v>44</v>
      </c>
      <c r="I31" s="101" t="s">
        <v>83</v>
      </c>
      <c r="J31" s="57" t="s">
        <v>44</v>
      </c>
      <c r="K31" s="92"/>
      <c r="L31" s="92"/>
      <c r="M31" s="92">
        <v>0</v>
      </c>
      <c r="N31" s="92">
        <v>50000</v>
      </c>
      <c r="O31" s="92">
        <v>1.07</v>
      </c>
      <c r="P31" s="92">
        <v>1.2</v>
      </c>
    </row>
    <row r="32" spans="2:16">
      <c r="B32" s="99" t="s">
        <v>84</v>
      </c>
      <c r="C32" s="100" t="s">
        <v>85</v>
      </c>
      <c r="D32" s="92" t="s">
        <v>50</v>
      </c>
      <c r="E32" s="92">
        <v>1</v>
      </c>
      <c r="F32" s="92" t="s">
        <v>36</v>
      </c>
      <c r="G32" s="101" t="s">
        <v>86</v>
      </c>
      <c r="H32" s="57" t="s">
        <v>44</v>
      </c>
      <c r="I32" s="101" t="s">
        <v>87</v>
      </c>
      <c r="J32" s="57" t="s">
        <v>44</v>
      </c>
      <c r="K32" s="92"/>
      <c r="L32" s="92"/>
      <c r="M32" s="92">
        <v>0</v>
      </c>
      <c r="N32" s="92">
        <v>50000</v>
      </c>
      <c r="O32" s="92">
        <v>92.5</v>
      </c>
      <c r="P32" s="92">
        <v>90.90000000000001</v>
      </c>
    </row>
    <row r="33" spans="2:16">
      <c r="B33" s="102" t="s">
        <v>84</v>
      </c>
      <c r="C33" s="103" t="s">
        <v>88</v>
      </c>
      <c r="D33" s="92" t="s">
        <v>74</v>
      </c>
      <c r="E33" s="92">
        <v>2</v>
      </c>
      <c r="F33" s="92" t="s">
        <v>36</v>
      </c>
      <c r="G33" s="101" t="s">
        <v>89</v>
      </c>
      <c r="H33" s="57" t="s">
        <v>44</v>
      </c>
      <c r="I33" s="101" t="s">
        <v>90</v>
      </c>
      <c r="J33" s="57" t="s">
        <v>44</v>
      </c>
      <c r="K33" s="92"/>
      <c r="L33" s="92"/>
      <c r="M33" s="92">
        <v>0</v>
      </c>
      <c r="N33" s="92">
        <v>50000</v>
      </c>
      <c r="O33" s="92">
        <v>0.73</v>
      </c>
      <c r="P33" s="92">
        <v>0.8</v>
      </c>
    </row>
    <row r="34" spans="2:16">
      <c r="B34" s="99" t="s">
        <v>84</v>
      </c>
      <c r="C34" s="100" t="s">
        <v>91</v>
      </c>
      <c r="D34" s="92" t="s">
        <v>50</v>
      </c>
      <c r="E34" s="92">
        <v>1</v>
      </c>
      <c r="F34" s="92" t="s">
        <v>36</v>
      </c>
      <c r="G34" s="101" t="s">
        <v>92</v>
      </c>
      <c r="H34" s="57" t="s">
        <v>44</v>
      </c>
      <c r="I34" s="101" t="s">
        <v>93</v>
      </c>
      <c r="J34" s="57" t="s">
        <v>44</v>
      </c>
      <c r="K34" s="92"/>
      <c r="L34" s="92"/>
      <c r="M34" s="92">
        <v>0</v>
      </c>
      <c r="N34" s="92">
        <v>50000</v>
      </c>
      <c r="O34" s="92">
        <v>94</v>
      </c>
      <c r="P34" s="92">
        <v>93.90000000000001</v>
      </c>
    </row>
    <row r="35" spans="2:16">
      <c r="B35" s="102" t="s">
        <v>84</v>
      </c>
      <c r="C35" s="103" t="s">
        <v>94</v>
      </c>
      <c r="D35" s="92" t="s">
        <v>95</v>
      </c>
      <c r="E35" s="92">
        <v>0</v>
      </c>
      <c r="F35" s="92" t="s">
        <v>36</v>
      </c>
      <c r="G35" s="101" t="s">
        <v>96</v>
      </c>
      <c r="H35" s="57" t="s">
        <v>44</v>
      </c>
      <c r="I35" s="101" t="s">
        <v>97</v>
      </c>
      <c r="J35" s="57" t="s">
        <v>44</v>
      </c>
      <c r="K35" s="92"/>
      <c r="L35" s="92"/>
      <c r="M35" s="92">
        <v>0</v>
      </c>
      <c r="N35" s="92">
        <v>50000</v>
      </c>
      <c r="O35" s="92">
        <v>320</v>
      </c>
      <c r="P35" s="92">
        <v>334</v>
      </c>
    </row>
    <row r="36" spans="2:16">
      <c r="B36" s="99" t="s">
        <v>84</v>
      </c>
      <c r="C36" s="100" t="s">
        <v>98</v>
      </c>
      <c r="D36" s="92" t="s">
        <v>50</v>
      </c>
      <c r="E36" s="92">
        <v>0</v>
      </c>
      <c r="F36" s="92" t="s">
        <v>36</v>
      </c>
      <c r="G36" s="101" t="s">
        <v>99</v>
      </c>
      <c r="H36" s="57" t="s">
        <v>44</v>
      </c>
      <c r="I36" s="101" t="s">
        <v>100</v>
      </c>
      <c r="J36" s="57" t="s">
        <v>44</v>
      </c>
      <c r="K36" s="92"/>
      <c r="L36" s="92"/>
      <c r="M36" s="92">
        <v>0</v>
      </c>
      <c r="N36" s="92">
        <v>50000</v>
      </c>
      <c r="O36" s="92">
        <v>17</v>
      </c>
      <c r="P36" s="92">
        <v>16</v>
      </c>
    </row>
    <row r="37" spans="2:16">
      <c r="B37" s="102" t="s">
        <v>84</v>
      </c>
      <c r="C37" s="103" t="s">
        <v>101</v>
      </c>
      <c r="D37" s="92" t="s">
        <v>50</v>
      </c>
      <c r="E37" s="92">
        <v>1</v>
      </c>
      <c r="F37" s="92" t="s">
        <v>36</v>
      </c>
      <c r="G37" s="101" t="s">
        <v>102</v>
      </c>
      <c r="H37" s="57" t="s">
        <v>44</v>
      </c>
      <c r="I37" s="101" t="s">
        <v>103</v>
      </c>
      <c r="J37" s="57" t="s">
        <v>44</v>
      </c>
      <c r="K37" s="92"/>
      <c r="L37" s="92"/>
      <c r="M37" s="92">
        <v>0</v>
      </c>
      <c r="N37" s="92">
        <v>50000</v>
      </c>
      <c r="O37" s="92">
        <v>0.97</v>
      </c>
      <c r="P37" s="92">
        <v>1.17</v>
      </c>
    </row>
    <row r="38" spans="2:16">
      <c r="B38" s="99" t="s">
        <v>84</v>
      </c>
      <c r="C38" s="100" t="s">
        <v>104</v>
      </c>
      <c r="D38" s="92" t="s">
        <v>50</v>
      </c>
      <c r="E38" s="92">
        <v>2</v>
      </c>
      <c r="F38" s="92" t="s">
        <v>36</v>
      </c>
      <c r="G38" s="101" t="s">
        <v>105</v>
      </c>
      <c r="H38" s="57" t="s">
        <v>44</v>
      </c>
      <c r="I38" s="101" t="s">
        <v>106</v>
      </c>
      <c r="J38" s="57" t="s">
        <v>44</v>
      </c>
      <c r="K38" s="92"/>
      <c r="L38" s="92"/>
      <c r="M38" s="92">
        <v>0</v>
      </c>
      <c r="N38" s="92">
        <v>50000</v>
      </c>
      <c r="O38" s="92">
        <v>1.9</v>
      </c>
      <c r="P38" s="92">
        <v>1.95</v>
      </c>
    </row>
    <row r="39" spans="2:16">
      <c r="B39" s="102" t="s">
        <v>107</v>
      </c>
      <c r="C39" s="103" t="s">
        <v>107</v>
      </c>
      <c r="D39" s="92" t="s">
        <v>108</v>
      </c>
      <c r="E39" s="92">
        <v>0</v>
      </c>
      <c r="F39" s="92" t="s">
        <v>109</v>
      </c>
      <c r="G39" s="101" t="s">
        <v>110</v>
      </c>
      <c r="H39" s="57" t="s">
        <v>44</v>
      </c>
      <c r="I39" s="101" t="s">
        <v>111</v>
      </c>
      <c r="J39" s="57" t="s">
        <v>44</v>
      </c>
      <c r="K39" s="92"/>
      <c r="L39" s="92"/>
      <c r="M39" s="92">
        <v>0</v>
      </c>
      <c r="N39" s="92">
        <v>50000</v>
      </c>
      <c r="O39" s="92">
        <v>700</v>
      </c>
      <c r="P39" s="92">
        <v>750</v>
      </c>
    </row>
    <row r="40" spans="2:16">
      <c r="B40" s="99" t="s">
        <v>107</v>
      </c>
      <c r="C40" s="100" t="s">
        <v>112</v>
      </c>
      <c r="D40" s="92" t="s">
        <v>113</v>
      </c>
      <c r="E40" s="92">
        <v>0</v>
      </c>
      <c r="F40" s="92" t="s">
        <v>114</v>
      </c>
      <c r="G40" s="101" t="s">
        <v>115</v>
      </c>
      <c r="H40" s="57" t="s">
        <v>44</v>
      </c>
      <c r="I40" s="101" t="s">
        <v>116</v>
      </c>
      <c r="J40" s="57" t="s">
        <v>44</v>
      </c>
      <c r="K40" s="92"/>
      <c r="L40" s="92"/>
      <c r="M40" s="92">
        <v>0</v>
      </c>
      <c r="N40" s="92">
        <v>50000</v>
      </c>
      <c r="O40" s="92">
        <v>19000</v>
      </c>
      <c r="P40" s="92">
        <v>20600</v>
      </c>
    </row>
    <row r="41" spans="2:16">
      <c r="B41" s="102" t="s">
        <v>107</v>
      </c>
      <c r="C41" s="103" t="s">
        <v>117</v>
      </c>
      <c r="D41" s="92" t="s">
        <v>113</v>
      </c>
      <c r="E41" s="92">
        <v>0</v>
      </c>
      <c r="F41" s="92" t="s">
        <v>114</v>
      </c>
      <c r="G41" s="101" t="s">
        <v>118</v>
      </c>
      <c r="H41" s="57" t="s">
        <v>38</v>
      </c>
      <c r="I41" s="101" t="s">
        <v>119</v>
      </c>
      <c r="J41" s="57" t="s">
        <v>38</v>
      </c>
      <c r="K41" s="92"/>
      <c r="L41" s="92"/>
      <c r="M41" s="92">
        <v>0</v>
      </c>
      <c r="N41" s="92">
        <v>50000</v>
      </c>
      <c r="O41" s="92">
        <v>19000</v>
      </c>
      <c r="P41" s="92">
        <v>20600</v>
      </c>
    </row>
    <row r="43" spans="2:16">
      <c r="C43" s="104" t="s">
        <v>120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Z5"/>
  </mergeCells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41">
      <formula1>lstAgreg</formula1>
    </dataValidation>
    <dataValidation type="list" allowBlank="1" showInputMessage="1" showErrorMessage="1" sqref="H18:H41">
      <formula1>lstTipo</formula1>
    </dataValidation>
    <dataValidation type="list" allowBlank="1" showInputMessage="1" showErrorMessage="1" sqref="J18:J41">
      <formula1>lstTipo</formula1>
    </dataValidation>
  </dataValidations>
  <pageMargins left="0.7" right="0.7" top="0.75" bottom="0.75" header="0.3" footer="0.3"/>
  <pageSetup paperSize="9" fitToHeight="0" orientation="landscape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AQ34"/>
  <sheetViews>
    <sheetView showGridLines="0" workbookViewId="0"/>
  </sheetViews>
  <sheetFormatPr defaultRowHeight="15"/>
  <cols>
    <col min="1" max="1" width="18.7109375" style="20" customWidth="1"/>
    <col min="2" max="49" width="14.7109375" customWidth="1"/>
  </cols>
  <sheetData>
    <row r="1" spans="1:43">
      <c r="A1" s="105" t="s">
        <v>142</v>
      </c>
    </row>
    <row r="3" spans="1:43">
      <c r="A3" s="106" t="s">
        <v>143</v>
      </c>
      <c r="B3" s="107"/>
    </row>
    <row r="4" spans="1:43">
      <c r="A4" s="106" t="s">
        <v>144</v>
      </c>
      <c r="B4" s="107"/>
    </row>
    <row r="6" spans="1:43">
      <c r="A6" s="108" t="s">
        <v>145</v>
      </c>
    </row>
    <row r="7" spans="1:43">
      <c r="A7" s="109" t="str">
        <f>_xll.AspenTech.PME.ProcessData.Functions.GetCalculationValues("time,attribute","306TP001-FX001-R,406-FX-001,M650060010-0017-HHLFU,M4650060010-0017-HHLFU,M650060030-0017-HHLFU,M4650060030-0017-HHLFU,M650060030-0016-HHLFU,M4650060030-0016-HHLFU,M650060010-0001-HHLFU,M4650060010-0001-HHLFU,M650060030-0001-HHLFU,M4650060030-0001-HHL"&amp;"FU,M650030010-0013-HHLQU,M650030010-0013-HHLQU,M650030010-0004-HHLQU,M650030010-0004-HHLQU,M650030010-0006-HHLQU,M650030010-0006-HHLQU,M710050020-0004-HHLQU,M4710050020-0004-HHLQU,M710050020-0006-HHLQU,M4710050020-0006-HHLQU,M710050020-0018-HHLQU,M47"&amp;"10050020-0018-HHLQU,M710050020-0084-HHLQU,M4710050020-0084-HHLQU,M710050020-0493-HHLQU,M4710050020-0493-HHLQU,M710050020-0028-HHLFU,M4710050020-0028-HHLFU,M710050020-2021-HHLFU,M4710050020-2021-HHLFU,M710050020-0029-HHLFU,M4710050020-0029-HHLFU,M7100"&amp;"50020-0031-HHLFU,M4710050020-0031-HHLFU,M710050020-0032-HHLFU,M4710050020-0032-HHLFU,M710050020-0026-HHLFU,M4710050020-0026-HHLFU,M710050020-0004-HHLFU,M4710050020-0004-HHLFU","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",Dados_MES!$B$3,Dados_MES!$B$4,"2h",0,"",0,"1",0,1560,0,0,1,1,ADDRESS(ROW(Dados_MES!A7),COLUMN(Dados_MES!A7),1,,"Dados_MES"),"Dados_MES!A9",1)</f>
        <v>Success</v>
      </c>
    </row>
    <row r="8" spans="1:43" ht="45" customHeight="1">
      <c r="A8" s="110" t="s">
        <v>146</v>
      </c>
      <c r="B8" s="111" t="s">
        <v>147</v>
      </c>
      <c r="C8" s="111" t="s">
        <v>148</v>
      </c>
      <c r="D8" s="111" t="s">
        <v>149</v>
      </c>
      <c r="E8" s="111" t="s">
        <v>150</v>
      </c>
      <c r="F8" s="111" t="s">
        <v>151</v>
      </c>
      <c r="G8" s="111" t="s">
        <v>152</v>
      </c>
      <c r="H8" s="111" t="s">
        <v>153</v>
      </c>
      <c r="I8" s="111" t="s">
        <v>154</v>
      </c>
      <c r="J8" s="111" t="s">
        <v>155</v>
      </c>
      <c r="K8" s="111" t="s">
        <v>156</v>
      </c>
      <c r="L8" s="111" t="s">
        <v>157</v>
      </c>
      <c r="M8" s="111" t="s">
        <v>158</v>
      </c>
      <c r="N8" s="111" t="s">
        <v>159</v>
      </c>
      <c r="O8" s="111" t="s">
        <v>160</v>
      </c>
      <c r="P8" s="111" t="s">
        <v>161</v>
      </c>
      <c r="Q8" s="111" t="s">
        <v>162</v>
      </c>
      <c r="R8" s="111" t="s">
        <v>163</v>
      </c>
      <c r="S8" s="111" t="s">
        <v>164</v>
      </c>
      <c r="T8" s="111" t="s">
        <v>165</v>
      </c>
      <c r="U8" s="111" t="s">
        <v>166</v>
      </c>
      <c r="V8" s="111" t="s">
        <v>167</v>
      </c>
      <c r="W8" s="111" t="s">
        <v>168</v>
      </c>
      <c r="X8" s="111" t="s">
        <v>169</v>
      </c>
      <c r="Y8" s="111" t="s">
        <v>170</v>
      </c>
      <c r="Z8" s="111" t="s">
        <v>171</v>
      </c>
      <c r="AA8" s="111" t="s">
        <v>172</v>
      </c>
      <c r="AB8" s="111" t="s">
        <v>173</v>
      </c>
      <c r="AC8" s="111" t="s">
        <v>174</v>
      </c>
      <c r="AD8" s="111" t="s">
        <v>175</v>
      </c>
      <c r="AE8" s="111" t="s">
        <v>176</v>
      </c>
      <c r="AF8" s="111" t="s">
        <v>177</v>
      </c>
      <c r="AG8" s="111" t="s">
        <v>178</v>
      </c>
      <c r="AH8" s="111" t="s">
        <v>179</v>
      </c>
      <c r="AI8" s="111" t="s">
        <v>180</v>
      </c>
      <c r="AJ8" s="111" t="s">
        <v>181</v>
      </c>
      <c r="AK8" s="111" t="s">
        <v>182</v>
      </c>
      <c r="AL8" s="111" t="s">
        <v>183</v>
      </c>
      <c r="AM8" s="111" t="s">
        <v>184</v>
      </c>
      <c r="AN8" s="111" t="s">
        <v>185</v>
      </c>
      <c r="AO8" s="111" t="s">
        <v>186</v>
      </c>
      <c r="AP8" s="111" t="s">
        <v>187</v>
      </c>
      <c r="AQ8" s="111" t="s">
        <v>188</v>
      </c>
    </row>
    <row r="9" spans="1:43">
      <c r="A9" s="112">
        <f t="array" ref="A9:AQ14">_xll.AspenTech.PME.ProcessData.Functions.ShowCalculationValues(ADDRESS(ROW(Dados_MES!A7),COLUMN(Dados_MES!A7),1,,"Dados_MES"),Dados_MES!A7, 0)</f>
        <v>0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</row>
    <row r="10" spans="1:43">
      <c r="A10" s="112">
        <v>0</v>
      </c>
      <c r="B10" s="112">
        <v>0</v>
      </c>
      <c r="C10" s="112">
        <v>0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</row>
    <row r="11" spans="1:43">
      <c r="A11" s="112">
        <v>0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</row>
    <row r="12" spans="1:43">
      <c r="A12" s="112">
        <v>0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</row>
    <row r="13" spans="1:43">
      <c r="A13" s="112">
        <v>0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</row>
    <row r="14" spans="1:43">
      <c r="A14" s="112">
        <v>0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</row>
    <row r="16" spans="1:43">
      <c r="A16" s="108" t="s">
        <v>189</v>
      </c>
    </row>
    <row r="17" spans="1:5">
      <c r="A17" s="109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110" t="s">
        <v>146</v>
      </c>
      <c r="B18" s="111" t="s">
        <v>190</v>
      </c>
      <c r="C18" s="111" t="s">
        <v>191</v>
      </c>
      <c r="D18" s="111" t="s">
        <v>192</v>
      </c>
      <c r="E18" s="111" t="s">
        <v>193</v>
      </c>
    </row>
    <row r="19" spans="1:5">
      <c r="A19" s="112">
        <f t="array" ref="A19:E24">_xll.AspenTech.PME.ProcessData.Functions.ShowCalculationValues(ADDRESS(ROW(Dados_MES!A17),COLUMN(Dados_MES!A17),1,,"Dados_MES"),Dados_MES!A17, 0)</f>
        <v>0</v>
      </c>
      <c r="B19" s="112">
        <v>0</v>
      </c>
      <c r="C19" s="112">
        <v>0</v>
      </c>
      <c r="D19" s="112">
        <v>0</v>
      </c>
      <c r="E19" s="112">
        <v>0</v>
      </c>
    </row>
    <row r="20" spans="1:5">
      <c r="A20" s="112">
        <v>0</v>
      </c>
      <c r="B20" s="112">
        <v>0</v>
      </c>
      <c r="C20" s="112">
        <v>0</v>
      </c>
      <c r="D20" s="112">
        <v>0</v>
      </c>
      <c r="E20" s="112">
        <v>0</v>
      </c>
    </row>
    <row r="21" spans="1:5">
      <c r="A21" s="112">
        <v>0</v>
      </c>
      <c r="B21" s="112">
        <v>0</v>
      </c>
      <c r="C21" s="112">
        <v>0</v>
      </c>
      <c r="D21" s="112">
        <v>0</v>
      </c>
      <c r="E21" s="112">
        <v>0</v>
      </c>
    </row>
    <row r="22" spans="1:5">
      <c r="A22" s="112">
        <v>0</v>
      </c>
      <c r="B22" s="112">
        <v>0</v>
      </c>
      <c r="C22" s="112">
        <v>0</v>
      </c>
      <c r="D22" s="112">
        <v>0</v>
      </c>
      <c r="E22" s="112">
        <v>0</v>
      </c>
    </row>
    <row r="23" spans="1:5">
      <c r="A23" s="112">
        <v>0</v>
      </c>
      <c r="B23" s="112">
        <v>0</v>
      </c>
      <c r="C23" s="112">
        <v>0</v>
      </c>
      <c r="D23" s="112">
        <v>0</v>
      </c>
      <c r="E23" s="112">
        <v>0</v>
      </c>
    </row>
    <row r="24" spans="1:5">
      <c r="A24" s="112">
        <v>0</v>
      </c>
      <c r="B24" s="112">
        <v>0</v>
      </c>
      <c r="C24" s="112">
        <v>0</v>
      </c>
      <c r="D24" s="112">
        <v>0</v>
      </c>
      <c r="E24" s="112">
        <v>0</v>
      </c>
    </row>
    <row r="26" spans="1:5">
      <c r="A26" s="108" t="s">
        <v>194</v>
      </c>
    </row>
    <row r="27" spans="1:5">
      <c r="A27" s="109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110" t="s">
        <v>146</v>
      </c>
      <c r="B28" s="111" t="s">
        <v>195</v>
      </c>
      <c r="C28" s="111" t="s">
        <v>196</v>
      </c>
    </row>
    <row r="29" spans="1:5">
      <c r="A29" s="112">
        <f t="array" ref="A29:C34">_xll.AspenTech.PME.ProcessData.Functions.ShowCalculationValues(ADDRESS(ROW(Dados_MES!A27),COLUMN(Dados_MES!A27),1,,"Dados_MES"),Dados_MES!A27, 0)</f>
        <v>0</v>
      </c>
      <c r="B29" s="112">
        <v>0</v>
      </c>
      <c r="C29" s="112">
        <v>0</v>
      </c>
    </row>
    <row r="30" spans="1:5">
      <c r="A30" s="112">
        <v>0</v>
      </c>
      <c r="B30" s="112">
        <v>0</v>
      </c>
      <c r="C30" s="112">
        <v>0</v>
      </c>
    </row>
    <row r="31" spans="1:5">
      <c r="A31" s="112">
        <v>0</v>
      </c>
      <c r="B31" s="112">
        <v>0</v>
      </c>
      <c r="C31" s="112">
        <v>0</v>
      </c>
    </row>
    <row r="32" spans="1:5">
      <c r="A32" s="112">
        <v>0</v>
      </c>
      <c r="B32" s="112">
        <v>0</v>
      </c>
      <c r="C32" s="112">
        <v>0</v>
      </c>
    </row>
    <row r="33" spans="1:3">
      <c r="A33" s="112">
        <v>0</v>
      </c>
      <c r="B33" s="112">
        <v>0</v>
      </c>
      <c r="C33" s="112">
        <v>0</v>
      </c>
    </row>
    <row r="34" spans="1:3">
      <c r="A34" s="112">
        <v>0</v>
      </c>
      <c r="B34" s="112">
        <v>0</v>
      </c>
      <c r="C34" s="112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A1:Q55"/>
  <sheetViews>
    <sheetView showGridLines="0" workbookViewId="0"/>
  </sheetViews>
  <sheetFormatPr defaultRowHeight="15"/>
  <sheetData>
    <row r="1" spans="1:17">
      <c r="A1" t="s">
        <v>377</v>
      </c>
      <c r="B1" t="s">
        <v>378</v>
      </c>
      <c r="C1" t="s">
        <v>379</v>
      </c>
      <c r="D1" t="s">
        <v>130</v>
      </c>
      <c r="E1" t="s">
        <v>380</v>
      </c>
      <c r="G1" t="s">
        <v>494</v>
      </c>
      <c r="H1" t="s">
        <v>208</v>
      </c>
      <c r="I1" t="s">
        <v>495</v>
      </c>
      <c r="K1" t="s">
        <v>496</v>
      </c>
      <c r="L1" t="s">
        <v>497</v>
      </c>
      <c r="M1" t="s">
        <v>498</v>
      </c>
      <c r="N1" t="s">
        <v>499</v>
      </c>
      <c r="O1" t="s">
        <v>500</v>
      </c>
      <c r="P1" t="s">
        <v>501</v>
      </c>
      <c r="Q1" t="s">
        <v>502</v>
      </c>
    </row>
    <row r="2" spans="1:17">
      <c r="A2" t="s">
        <v>381</v>
      </c>
      <c r="B2" t="s">
        <v>382</v>
      </c>
      <c r="C2" t="s">
        <v>268</v>
      </c>
      <c r="D2" t="s">
        <v>382</v>
      </c>
      <c r="E2" t="s">
        <v>383</v>
      </c>
      <c r="G2">
        <v>1</v>
      </c>
      <c r="H2">
        <v>1</v>
      </c>
      <c r="I2">
        <v>14</v>
      </c>
      <c r="K2" t="s">
        <v>503</v>
      </c>
      <c r="L2" t="s">
        <v>504</v>
      </c>
      <c r="M2" t="s">
        <v>505</v>
      </c>
      <c r="N2" t="s">
        <v>506</v>
      </c>
      <c r="O2" t="s">
        <v>507</v>
      </c>
      <c r="P2" t="s">
        <v>508</v>
      </c>
      <c r="Q2">
        <v>43</v>
      </c>
    </row>
    <row r="3" spans="1:17">
      <c r="A3" t="s">
        <v>381</v>
      </c>
      <c r="B3" t="s">
        <v>382</v>
      </c>
      <c r="C3" t="s">
        <v>269</v>
      </c>
      <c r="D3" t="s">
        <v>382</v>
      </c>
      <c r="E3" t="s">
        <v>384</v>
      </c>
      <c r="G3">
        <v>1</v>
      </c>
      <c r="H3">
        <v>2</v>
      </c>
      <c r="I3">
        <v>15</v>
      </c>
      <c r="K3" t="s">
        <v>509</v>
      </c>
      <c r="L3" t="s">
        <v>107</v>
      </c>
      <c r="M3" t="s">
        <v>505</v>
      </c>
      <c r="N3" t="s">
        <v>510</v>
      </c>
      <c r="O3" t="s">
        <v>511</v>
      </c>
      <c r="P3" t="s">
        <v>512</v>
      </c>
      <c r="Q3">
        <v>5</v>
      </c>
    </row>
    <row r="4" spans="1:17">
      <c r="A4" t="s">
        <v>341</v>
      </c>
      <c r="B4" t="s">
        <v>382</v>
      </c>
      <c r="C4" t="s">
        <v>385</v>
      </c>
      <c r="D4" t="s">
        <v>382</v>
      </c>
      <c r="E4" t="s">
        <v>386</v>
      </c>
      <c r="G4">
        <v>2</v>
      </c>
      <c r="H4">
        <v>1</v>
      </c>
      <c r="I4">
        <v>17</v>
      </c>
      <c r="K4" t="s">
        <v>513</v>
      </c>
      <c r="L4" t="s">
        <v>514</v>
      </c>
      <c r="M4" t="s">
        <v>515</v>
      </c>
      <c r="N4" t="s">
        <v>516</v>
      </c>
      <c r="O4" t="s">
        <v>517</v>
      </c>
      <c r="P4" t="s">
        <v>518</v>
      </c>
      <c r="Q4">
        <v>3</v>
      </c>
    </row>
    <row r="5" spans="1:17">
      <c r="A5" t="s">
        <v>341</v>
      </c>
      <c r="B5" t="s">
        <v>382</v>
      </c>
      <c r="C5" t="s">
        <v>387</v>
      </c>
      <c r="D5" t="s">
        <v>382</v>
      </c>
      <c r="E5" t="s">
        <v>388</v>
      </c>
      <c r="G5">
        <v>2</v>
      </c>
      <c r="H5">
        <v>2</v>
      </c>
      <c r="I5">
        <v>18</v>
      </c>
    </row>
    <row r="6" spans="1:17">
      <c r="A6" t="s">
        <v>341</v>
      </c>
      <c r="B6" t="s">
        <v>382</v>
      </c>
      <c r="C6" t="s">
        <v>389</v>
      </c>
      <c r="D6" t="s">
        <v>382</v>
      </c>
      <c r="E6" t="s">
        <v>390</v>
      </c>
      <c r="G6">
        <v>3</v>
      </c>
      <c r="H6">
        <v>1</v>
      </c>
      <c r="I6">
        <v>19</v>
      </c>
    </row>
    <row r="7" spans="1:17">
      <c r="A7" t="s">
        <v>341</v>
      </c>
      <c r="B7" t="s">
        <v>382</v>
      </c>
      <c r="C7" t="s">
        <v>391</v>
      </c>
      <c r="D7" t="s">
        <v>382</v>
      </c>
      <c r="E7" t="s">
        <v>392</v>
      </c>
      <c r="G7">
        <v>3</v>
      </c>
      <c r="H7">
        <v>2</v>
      </c>
      <c r="I7">
        <v>20</v>
      </c>
    </row>
    <row r="8" spans="1:17">
      <c r="A8" t="s">
        <v>341</v>
      </c>
      <c r="B8" t="s">
        <v>382</v>
      </c>
      <c r="C8" t="s">
        <v>393</v>
      </c>
      <c r="D8" t="s">
        <v>382</v>
      </c>
      <c r="E8" t="s">
        <v>394</v>
      </c>
      <c r="G8">
        <v>4</v>
      </c>
      <c r="H8">
        <v>1</v>
      </c>
      <c r="I8">
        <v>21</v>
      </c>
    </row>
    <row r="9" spans="1:17">
      <c r="A9" t="s">
        <v>341</v>
      </c>
      <c r="B9" t="s">
        <v>382</v>
      </c>
      <c r="C9" t="s">
        <v>395</v>
      </c>
      <c r="D9" t="s">
        <v>382</v>
      </c>
      <c r="E9" t="s">
        <v>396</v>
      </c>
      <c r="G9">
        <v>4</v>
      </c>
      <c r="H9">
        <v>2</v>
      </c>
      <c r="I9">
        <v>22</v>
      </c>
    </row>
    <row r="10" spans="1:17">
      <c r="A10" t="s">
        <v>380</v>
      </c>
      <c r="B10" t="s">
        <v>382</v>
      </c>
      <c r="C10" t="s">
        <v>278</v>
      </c>
      <c r="D10" t="s">
        <v>382</v>
      </c>
      <c r="E10" t="s">
        <v>397</v>
      </c>
      <c r="G10">
        <v>5</v>
      </c>
      <c r="H10">
        <v>1</v>
      </c>
      <c r="I10">
        <v>23</v>
      </c>
    </row>
    <row r="11" spans="1:17">
      <c r="A11" t="s">
        <v>380</v>
      </c>
      <c r="B11" t="s">
        <v>382</v>
      </c>
      <c r="C11" t="s">
        <v>279</v>
      </c>
      <c r="D11" t="s">
        <v>382</v>
      </c>
      <c r="E11" t="s">
        <v>398</v>
      </c>
      <c r="G11">
        <v>5</v>
      </c>
      <c r="H11">
        <v>2</v>
      </c>
      <c r="I11">
        <v>24</v>
      </c>
    </row>
    <row r="12" spans="1:17">
      <c r="A12" t="s">
        <v>282</v>
      </c>
      <c r="B12" t="s">
        <v>399</v>
      </c>
      <c r="C12" t="s">
        <v>282</v>
      </c>
      <c r="D12" t="s">
        <v>382</v>
      </c>
      <c r="E12" t="s">
        <v>400</v>
      </c>
      <c r="G12">
        <v>6</v>
      </c>
      <c r="H12">
        <v>1</v>
      </c>
      <c r="I12">
        <v>25</v>
      </c>
    </row>
    <row r="13" spans="1:17">
      <c r="A13" t="s">
        <v>282</v>
      </c>
      <c r="B13" t="s">
        <v>399</v>
      </c>
      <c r="C13" t="s">
        <v>143</v>
      </c>
      <c r="D13" t="s">
        <v>382</v>
      </c>
      <c r="E13" t="s">
        <v>401</v>
      </c>
      <c r="G13">
        <v>6</v>
      </c>
      <c r="H13">
        <v>2</v>
      </c>
      <c r="I13">
        <v>26</v>
      </c>
    </row>
    <row r="14" spans="1:17">
      <c r="A14" t="s">
        <v>282</v>
      </c>
      <c r="B14" t="s">
        <v>399</v>
      </c>
      <c r="C14" t="s">
        <v>283</v>
      </c>
      <c r="D14" t="s">
        <v>382</v>
      </c>
      <c r="E14" t="s">
        <v>402</v>
      </c>
      <c r="G14">
        <v>7</v>
      </c>
      <c r="H14">
        <v>1</v>
      </c>
      <c r="I14">
        <v>28</v>
      </c>
    </row>
    <row r="15" spans="1:17">
      <c r="A15" t="s">
        <v>282</v>
      </c>
      <c r="B15" t="s">
        <v>399</v>
      </c>
      <c r="C15" t="s">
        <v>284</v>
      </c>
      <c r="D15" t="s">
        <v>382</v>
      </c>
      <c r="E15" t="s">
        <v>403</v>
      </c>
      <c r="G15">
        <v>7</v>
      </c>
      <c r="H15">
        <v>2</v>
      </c>
      <c r="I15">
        <v>29</v>
      </c>
    </row>
    <row r="16" spans="1:17">
      <c r="A16" t="s">
        <v>282</v>
      </c>
      <c r="B16" t="s">
        <v>404</v>
      </c>
      <c r="C16" t="s">
        <v>282</v>
      </c>
      <c r="D16" t="s">
        <v>382</v>
      </c>
      <c r="E16" t="s">
        <v>405</v>
      </c>
      <c r="G16">
        <v>8</v>
      </c>
      <c r="H16">
        <v>1</v>
      </c>
      <c r="I16">
        <v>30</v>
      </c>
    </row>
    <row r="17" spans="1:9">
      <c r="A17" t="s">
        <v>282</v>
      </c>
      <c r="B17" t="s">
        <v>404</v>
      </c>
      <c r="C17" t="s">
        <v>143</v>
      </c>
      <c r="D17" t="s">
        <v>382</v>
      </c>
      <c r="E17" t="s">
        <v>406</v>
      </c>
      <c r="G17">
        <v>8</v>
      </c>
      <c r="H17">
        <v>2</v>
      </c>
      <c r="I17">
        <v>31</v>
      </c>
    </row>
    <row r="18" spans="1:9">
      <c r="A18" t="s">
        <v>282</v>
      </c>
      <c r="B18" t="s">
        <v>404</v>
      </c>
      <c r="C18" t="s">
        <v>283</v>
      </c>
      <c r="D18" t="s">
        <v>382</v>
      </c>
      <c r="E18" t="s">
        <v>407</v>
      </c>
      <c r="G18">
        <v>9</v>
      </c>
      <c r="H18">
        <v>1</v>
      </c>
      <c r="I18">
        <v>32</v>
      </c>
    </row>
    <row r="19" spans="1:9">
      <c r="A19" t="s">
        <v>282</v>
      </c>
      <c r="B19" t="s">
        <v>404</v>
      </c>
      <c r="C19" t="s">
        <v>284</v>
      </c>
      <c r="D19" t="s">
        <v>382</v>
      </c>
      <c r="E19" t="s">
        <v>408</v>
      </c>
      <c r="G19">
        <v>9</v>
      </c>
      <c r="H19">
        <v>2</v>
      </c>
      <c r="I19">
        <v>33</v>
      </c>
    </row>
    <row r="20" spans="1:9">
      <c r="A20" t="s">
        <v>289</v>
      </c>
      <c r="B20" t="s">
        <v>409</v>
      </c>
      <c r="C20" t="s">
        <v>410</v>
      </c>
      <c r="D20" t="s">
        <v>411</v>
      </c>
      <c r="E20" t="s">
        <v>412</v>
      </c>
      <c r="G20">
        <v>10</v>
      </c>
      <c r="H20">
        <v>1</v>
      </c>
      <c r="I20">
        <v>35</v>
      </c>
    </row>
    <row r="21" spans="1:9">
      <c r="A21" t="s">
        <v>289</v>
      </c>
      <c r="B21" t="s">
        <v>413</v>
      </c>
      <c r="C21" t="s">
        <v>414</v>
      </c>
      <c r="D21" t="s">
        <v>415</v>
      </c>
      <c r="E21" t="s">
        <v>416</v>
      </c>
      <c r="G21">
        <v>10</v>
      </c>
      <c r="H21">
        <v>2</v>
      </c>
      <c r="I21">
        <v>36</v>
      </c>
    </row>
    <row r="22" spans="1:9">
      <c r="A22" t="s">
        <v>289</v>
      </c>
      <c r="B22" t="s">
        <v>417</v>
      </c>
      <c r="C22" t="s">
        <v>418</v>
      </c>
      <c r="D22" t="s">
        <v>419</v>
      </c>
      <c r="E22" t="s">
        <v>420</v>
      </c>
      <c r="G22">
        <v>11</v>
      </c>
      <c r="H22">
        <v>1</v>
      </c>
      <c r="I22">
        <v>37</v>
      </c>
    </row>
    <row r="23" spans="1:9">
      <c r="A23" t="s">
        <v>289</v>
      </c>
      <c r="B23" t="s">
        <v>421</v>
      </c>
      <c r="C23" t="s">
        <v>422</v>
      </c>
      <c r="D23" t="s">
        <v>423</v>
      </c>
      <c r="E23" t="s">
        <v>424</v>
      </c>
      <c r="G23">
        <v>11</v>
      </c>
      <c r="H23">
        <v>2</v>
      </c>
      <c r="I23">
        <v>38</v>
      </c>
    </row>
    <row r="24" spans="1:9">
      <c r="A24" t="s">
        <v>289</v>
      </c>
      <c r="B24" t="s">
        <v>425</v>
      </c>
      <c r="C24" t="s">
        <v>426</v>
      </c>
      <c r="D24" t="s">
        <v>427</v>
      </c>
      <c r="E24" t="s">
        <v>428</v>
      </c>
      <c r="G24">
        <v>12</v>
      </c>
      <c r="H24">
        <v>1</v>
      </c>
      <c r="I24">
        <v>39</v>
      </c>
    </row>
    <row r="25" spans="1:9">
      <c r="A25" t="s">
        <v>289</v>
      </c>
      <c r="B25" t="s">
        <v>429</v>
      </c>
      <c r="C25" t="s">
        <v>430</v>
      </c>
      <c r="D25" t="s">
        <v>431</v>
      </c>
      <c r="E25" t="s">
        <v>432</v>
      </c>
      <c r="G25">
        <v>12</v>
      </c>
      <c r="H25">
        <v>2</v>
      </c>
      <c r="I25">
        <v>40</v>
      </c>
    </row>
    <row r="26" spans="1:9">
      <c r="A26" t="s">
        <v>289</v>
      </c>
      <c r="B26" t="s">
        <v>433</v>
      </c>
      <c r="C26" t="s">
        <v>434</v>
      </c>
      <c r="D26" t="s">
        <v>435</v>
      </c>
      <c r="E26" t="s">
        <v>436</v>
      </c>
      <c r="G26">
        <v>13</v>
      </c>
      <c r="H26">
        <v>1</v>
      </c>
      <c r="I26">
        <v>41</v>
      </c>
    </row>
    <row r="27" spans="1:9">
      <c r="A27" t="s">
        <v>289</v>
      </c>
      <c r="B27" t="s">
        <v>437</v>
      </c>
      <c r="C27" t="s">
        <v>438</v>
      </c>
      <c r="D27" t="s">
        <v>439</v>
      </c>
      <c r="E27" t="s">
        <v>440</v>
      </c>
      <c r="G27">
        <v>13</v>
      </c>
      <c r="H27">
        <v>2</v>
      </c>
      <c r="I27">
        <v>42</v>
      </c>
    </row>
    <row r="28" spans="1:9">
      <c r="A28" t="s">
        <v>289</v>
      </c>
      <c r="B28" t="s">
        <v>441</v>
      </c>
      <c r="C28" t="s">
        <v>442</v>
      </c>
      <c r="D28" t="s">
        <v>443</v>
      </c>
      <c r="E28" t="s">
        <v>444</v>
      </c>
      <c r="G28">
        <v>14</v>
      </c>
      <c r="H28">
        <v>1</v>
      </c>
      <c r="I28">
        <v>43</v>
      </c>
    </row>
    <row r="29" spans="1:9">
      <c r="A29" t="s">
        <v>289</v>
      </c>
      <c r="B29" t="s">
        <v>445</v>
      </c>
      <c r="C29" t="s">
        <v>446</v>
      </c>
      <c r="D29" t="s">
        <v>447</v>
      </c>
      <c r="E29" t="s">
        <v>448</v>
      </c>
      <c r="G29">
        <v>14</v>
      </c>
      <c r="H29">
        <v>2</v>
      </c>
      <c r="I29">
        <v>44</v>
      </c>
    </row>
    <row r="30" spans="1:9">
      <c r="A30" t="s">
        <v>289</v>
      </c>
      <c r="B30" t="s">
        <v>449</v>
      </c>
      <c r="C30" t="s">
        <v>450</v>
      </c>
      <c r="D30" t="s">
        <v>451</v>
      </c>
      <c r="E30" t="s">
        <v>452</v>
      </c>
      <c r="G30">
        <v>15</v>
      </c>
      <c r="H30">
        <v>1</v>
      </c>
      <c r="I30">
        <v>46</v>
      </c>
    </row>
    <row r="31" spans="1:9">
      <c r="A31" t="s">
        <v>289</v>
      </c>
      <c r="B31" t="s">
        <v>453</v>
      </c>
      <c r="C31" t="s">
        <v>454</v>
      </c>
      <c r="D31" t="s">
        <v>455</v>
      </c>
      <c r="E31" t="s">
        <v>456</v>
      </c>
      <c r="G31">
        <v>15</v>
      </c>
      <c r="H31">
        <v>2</v>
      </c>
      <c r="I31">
        <v>47</v>
      </c>
    </row>
    <row r="32" spans="1:9">
      <c r="A32" t="s">
        <v>289</v>
      </c>
      <c r="B32" t="s">
        <v>457</v>
      </c>
      <c r="C32" t="s">
        <v>458</v>
      </c>
      <c r="D32" t="s">
        <v>459</v>
      </c>
      <c r="E32" t="s">
        <v>460</v>
      </c>
      <c r="G32">
        <v>16</v>
      </c>
      <c r="H32">
        <v>1</v>
      </c>
      <c r="I32">
        <v>48</v>
      </c>
    </row>
    <row r="33" spans="1:9">
      <c r="A33" t="s">
        <v>289</v>
      </c>
      <c r="B33" t="s">
        <v>461</v>
      </c>
      <c r="C33" t="s">
        <v>462</v>
      </c>
      <c r="D33" t="s">
        <v>463</v>
      </c>
      <c r="E33" t="s">
        <v>464</v>
      </c>
      <c r="G33">
        <v>16</v>
      </c>
      <c r="H33">
        <v>2</v>
      </c>
      <c r="I33">
        <v>49</v>
      </c>
    </row>
    <row r="34" spans="1:9">
      <c r="A34" t="s">
        <v>290</v>
      </c>
      <c r="B34" t="s">
        <v>214</v>
      </c>
      <c r="C34" t="s">
        <v>465</v>
      </c>
      <c r="D34" t="s">
        <v>382</v>
      </c>
      <c r="E34" t="s">
        <v>466</v>
      </c>
      <c r="G34">
        <v>17</v>
      </c>
      <c r="H34">
        <v>1</v>
      </c>
      <c r="I34">
        <v>50</v>
      </c>
    </row>
    <row r="35" spans="1:9">
      <c r="A35" t="s">
        <v>290</v>
      </c>
      <c r="B35" t="s">
        <v>216</v>
      </c>
      <c r="C35" t="s">
        <v>465</v>
      </c>
      <c r="D35" t="s">
        <v>382</v>
      </c>
      <c r="E35" t="s">
        <v>467</v>
      </c>
      <c r="G35">
        <v>17</v>
      </c>
      <c r="H35">
        <v>2</v>
      </c>
      <c r="I35">
        <v>51</v>
      </c>
    </row>
    <row r="36" spans="1:9">
      <c r="A36" t="s">
        <v>290</v>
      </c>
      <c r="B36" t="s">
        <v>214</v>
      </c>
      <c r="C36" t="s">
        <v>468</v>
      </c>
      <c r="D36" t="s">
        <v>382</v>
      </c>
      <c r="E36" t="s">
        <v>469</v>
      </c>
      <c r="G36">
        <v>18</v>
      </c>
      <c r="H36">
        <v>1</v>
      </c>
      <c r="I36">
        <v>52</v>
      </c>
    </row>
    <row r="37" spans="1:9">
      <c r="A37" t="s">
        <v>290</v>
      </c>
      <c r="B37" t="s">
        <v>216</v>
      </c>
      <c r="C37" t="s">
        <v>468</v>
      </c>
      <c r="D37" t="s">
        <v>382</v>
      </c>
      <c r="E37" t="s">
        <v>470</v>
      </c>
      <c r="G37">
        <v>18</v>
      </c>
      <c r="H37">
        <v>2</v>
      </c>
      <c r="I37">
        <v>53</v>
      </c>
    </row>
    <row r="38" spans="1:9">
      <c r="A38" t="s">
        <v>290</v>
      </c>
      <c r="B38" t="s">
        <v>214</v>
      </c>
      <c r="C38" t="s">
        <v>471</v>
      </c>
      <c r="D38" t="s">
        <v>382</v>
      </c>
      <c r="E38" t="s">
        <v>472</v>
      </c>
      <c r="G38">
        <v>19</v>
      </c>
      <c r="H38">
        <v>1</v>
      </c>
      <c r="I38">
        <v>54</v>
      </c>
    </row>
    <row r="39" spans="1:9">
      <c r="A39" t="s">
        <v>290</v>
      </c>
      <c r="B39" t="s">
        <v>216</v>
      </c>
      <c r="C39" t="s">
        <v>471</v>
      </c>
      <c r="D39" t="s">
        <v>382</v>
      </c>
      <c r="E39" t="s">
        <v>473</v>
      </c>
      <c r="G39">
        <v>19</v>
      </c>
      <c r="H39">
        <v>2</v>
      </c>
      <c r="I39">
        <v>55</v>
      </c>
    </row>
    <row r="40" spans="1:9">
      <c r="A40" t="s">
        <v>290</v>
      </c>
      <c r="B40" t="s">
        <v>214</v>
      </c>
      <c r="C40" t="s">
        <v>474</v>
      </c>
      <c r="D40" t="s">
        <v>382</v>
      </c>
      <c r="E40" t="s">
        <v>475</v>
      </c>
      <c r="G40">
        <v>20</v>
      </c>
      <c r="H40">
        <v>1</v>
      </c>
      <c r="I40">
        <v>56</v>
      </c>
    </row>
    <row r="41" spans="1:9">
      <c r="A41" t="s">
        <v>290</v>
      </c>
      <c r="B41" t="s">
        <v>216</v>
      </c>
      <c r="C41" t="s">
        <v>474</v>
      </c>
      <c r="D41" t="s">
        <v>382</v>
      </c>
      <c r="E41" t="s">
        <v>476</v>
      </c>
      <c r="G41">
        <v>20</v>
      </c>
      <c r="H41">
        <v>2</v>
      </c>
      <c r="I41">
        <v>57</v>
      </c>
    </row>
    <row r="42" spans="1:9">
      <c r="A42" t="s">
        <v>477</v>
      </c>
      <c r="B42" t="s">
        <v>478</v>
      </c>
      <c r="C42" t="s">
        <v>317</v>
      </c>
      <c r="D42" t="s">
        <v>382</v>
      </c>
      <c r="E42" t="s">
        <v>479</v>
      </c>
      <c r="G42">
        <v>21</v>
      </c>
      <c r="H42">
        <v>1</v>
      </c>
      <c r="I42">
        <v>58</v>
      </c>
    </row>
    <row r="43" spans="1:9">
      <c r="A43" t="s">
        <v>477</v>
      </c>
      <c r="B43" t="s">
        <v>478</v>
      </c>
      <c r="C43" t="s">
        <v>312</v>
      </c>
      <c r="D43" t="s">
        <v>382</v>
      </c>
      <c r="E43" t="s">
        <v>480</v>
      </c>
      <c r="G43">
        <v>21</v>
      </c>
      <c r="H43">
        <v>2</v>
      </c>
      <c r="I43">
        <v>59</v>
      </c>
    </row>
    <row r="44" spans="1:9">
      <c r="A44" t="s">
        <v>477</v>
      </c>
      <c r="B44" t="s">
        <v>478</v>
      </c>
      <c r="C44" t="s">
        <v>318</v>
      </c>
      <c r="D44" t="s">
        <v>382</v>
      </c>
      <c r="E44" t="s">
        <v>481</v>
      </c>
      <c r="G44">
        <v>22</v>
      </c>
      <c r="H44">
        <v>1</v>
      </c>
      <c r="I44">
        <v>61</v>
      </c>
    </row>
    <row r="45" spans="1:9">
      <c r="A45" t="s">
        <v>477</v>
      </c>
      <c r="B45" t="s">
        <v>478</v>
      </c>
      <c r="C45" t="s">
        <v>143</v>
      </c>
      <c r="D45" t="s">
        <v>382</v>
      </c>
      <c r="E45" t="s">
        <v>482</v>
      </c>
      <c r="G45">
        <v>22</v>
      </c>
      <c r="H45">
        <v>2</v>
      </c>
      <c r="I45">
        <v>62</v>
      </c>
    </row>
    <row r="46" spans="1:9">
      <c r="A46" t="s">
        <v>477</v>
      </c>
      <c r="B46" t="s">
        <v>478</v>
      </c>
      <c r="C46" t="s">
        <v>283</v>
      </c>
      <c r="D46" t="s">
        <v>382</v>
      </c>
      <c r="E46" t="s">
        <v>483</v>
      </c>
      <c r="G46">
        <v>23</v>
      </c>
      <c r="H46">
        <v>1</v>
      </c>
      <c r="I46">
        <v>63</v>
      </c>
    </row>
    <row r="47" spans="1:9">
      <c r="A47" t="s">
        <v>477</v>
      </c>
      <c r="B47" t="s">
        <v>478</v>
      </c>
      <c r="C47" t="s">
        <v>319</v>
      </c>
      <c r="D47" t="s">
        <v>382</v>
      </c>
      <c r="E47" t="s">
        <v>484</v>
      </c>
      <c r="G47">
        <v>23</v>
      </c>
      <c r="H47">
        <v>2</v>
      </c>
      <c r="I47">
        <v>64</v>
      </c>
    </row>
    <row r="48" spans="1:9">
      <c r="A48" t="s">
        <v>477</v>
      </c>
      <c r="B48" t="s">
        <v>478</v>
      </c>
      <c r="C48" t="s">
        <v>320</v>
      </c>
      <c r="D48" t="s">
        <v>382</v>
      </c>
      <c r="E48" t="s">
        <v>485</v>
      </c>
      <c r="G48">
        <v>24</v>
      </c>
      <c r="H48">
        <v>1</v>
      </c>
      <c r="I48">
        <v>65</v>
      </c>
    </row>
    <row r="49" spans="1:9">
      <c r="A49" t="s">
        <v>477</v>
      </c>
      <c r="B49" t="s">
        <v>478</v>
      </c>
      <c r="C49" t="s">
        <v>321</v>
      </c>
      <c r="D49" t="s">
        <v>382</v>
      </c>
      <c r="E49" t="s">
        <v>486</v>
      </c>
      <c r="G49">
        <v>24</v>
      </c>
      <c r="H49">
        <v>2</v>
      </c>
      <c r="I49">
        <v>66</v>
      </c>
    </row>
    <row r="50" spans="1:9">
      <c r="A50" t="s">
        <v>477</v>
      </c>
      <c r="B50" t="s">
        <v>478</v>
      </c>
      <c r="C50" t="s">
        <v>322</v>
      </c>
      <c r="D50" t="s">
        <v>382</v>
      </c>
      <c r="E50" t="s">
        <v>487</v>
      </c>
    </row>
    <row r="51" spans="1:9">
      <c r="A51" t="s">
        <v>477</v>
      </c>
      <c r="B51" t="s">
        <v>478</v>
      </c>
      <c r="C51" t="s">
        <v>323</v>
      </c>
      <c r="D51" t="s">
        <v>382</v>
      </c>
      <c r="E51" t="s">
        <v>488</v>
      </c>
    </row>
    <row r="52" spans="1:9">
      <c r="A52" t="s">
        <v>477</v>
      </c>
      <c r="B52" t="s">
        <v>478</v>
      </c>
      <c r="C52" t="s">
        <v>324</v>
      </c>
      <c r="D52" t="s">
        <v>382</v>
      </c>
      <c r="E52" t="s">
        <v>489</v>
      </c>
    </row>
    <row r="53" spans="1:9">
      <c r="A53" t="s">
        <v>477</v>
      </c>
      <c r="B53" t="s">
        <v>478</v>
      </c>
      <c r="C53" t="s">
        <v>325</v>
      </c>
      <c r="D53" t="s">
        <v>382</v>
      </c>
      <c r="E53" t="s">
        <v>490</v>
      </c>
    </row>
    <row r="54" spans="1:9">
      <c r="A54" t="s">
        <v>477</v>
      </c>
      <c r="B54" t="s">
        <v>478</v>
      </c>
      <c r="C54" t="s">
        <v>284</v>
      </c>
      <c r="D54" t="s">
        <v>382</v>
      </c>
      <c r="E54" t="s">
        <v>491</v>
      </c>
    </row>
    <row r="55" spans="1:9">
      <c r="A55" t="s">
        <v>380</v>
      </c>
      <c r="B55" t="s">
        <v>382</v>
      </c>
      <c r="C55" t="s">
        <v>492</v>
      </c>
      <c r="D55" t="s">
        <v>382</v>
      </c>
      <c r="E55" t="s">
        <v>493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79</vt:i4>
      </vt:variant>
    </vt:vector>
  </HeadingPairs>
  <TitlesOfParts>
    <vt:vector size="86" baseType="lpstr">
      <vt:lpstr>Painel</vt:lpstr>
      <vt:lpstr>Resumo Dia</vt:lpstr>
      <vt:lpstr>Resumo Noite</vt:lpstr>
      <vt:lpstr>Passagem de Turno</vt:lpstr>
      <vt:lpstr>Informativo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iAreaImagem</vt:lpstr>
      <vt:lpstr>iAtualizado</vt:lpstr>
      <vt:lpstr>iData</vt:lpstr>
      <vt:lpstr>iFonte</vt:lpstr>
      <vt:lpstr>iHoras</vt:lpstr>
      <vt:lpstr>iPeriodo</vt:lpstr>
      <vt:lpstr>iResp</vt:lpstr>
      <vt:lpstr>iSelFim</vt:lpstr>
      <vt:lpstr>iSelIni</vt:lpstr>
      <vt:lpstr>iTurma</vt:lpstr>
      <vt:lpstr>iTurno</vt:lpstr>
      <vt:lpstr>lstAgreg</vt:lpstr>
      <vt:lpstr>lstFonte</vt:lpstr>
      <vt:lpstr>lstFormatoData</vt:lpstr>
      <vt:lpstr>lstParam</vt:lpstr>
      <vt:lpstr>lstSN</vt:lpstr>
      <vt:lpstr>lstStatus</vt:lpstr>
      <vt:lpstr>lstTipo</vt:lpstr>
      <vt:lpstr>lstTurma</vt:lpstr>
      <vt:lpstr>lstTurno</vt:lpstr>
      <vt:lpstr>mesFim</vt:lpstr>
      <vt:lpstr>mesInicio</vt:lpstr>
      <vt:lpstr>pData</vt:lpstr>
      <vt:lpstr>pResp</vt:lpstr>
      <vt:lpstr>Configurações!Print_Area</vt:lpstr>
      <vt:lpstr>Informativo!Print_Area</vt:lpstr>
      <vt:lpstr>'Passagem de Turno'!Print_Area</vt:lpstr>
      <vt:lpstr>'Resumo Dia'!Print_Area</vt:lpstr>
      <vt:lpstr>'Resumo Noite'!Print_Area</vt:lpstr>
      <vt:lpstr>ptAreaImagem</vt:lpstr>
      <vt:lpstr>ptObs</vt:lpstr>
      <vt:lpstr>ptPendencias</vt:lpstr>
      <vt:lpstr>ptRecebe</vt:lpstr>
      <vt:lpstr>ptRecebidoPor</vt:lpstr>
      <vt:lpstr>ptStatus</vt:lpstr>
      <vt:lpstr>ptTestes</vt:lpstr>
      <vt:lpstr>pTurma</vt:lpstr>
      <vt:lpstr>pTurno</vt:lpstr>
      <vt:lpstr>rsDAreaPassagem</vt:lpstr>
      <vt:lpstr>rsDAreaResultados</vt:lpstr>
      <vt:lpstr>rsDCom3</vt:lpstr>
      <vt:lpstr>rsDCom4</vt:lpstr>
      <vt:lpstr>rsDEmbarque</vt:lpstr>
      <vt:lpstr>rsDEquipe</vt:lpstr>
      <vt:lpstr>rsDFinal</vt:lpstr>
      <vt:lpstr>rsDGerado</vt:lpstr>
      <vt:lpstr>rsDHoras</vt:lpstr>
      <vt:lpstr>rsDInfo2</vt:lpstr>
      <vt:lpstr>rsDInfo</vt:lpstr>
      <vt:lpstr>rsDMES</vt:lpstr>
      <vt:lpstr>rsDMin</vt:lpstr>
      <vt:lpstr>rsDNaoOper</vt:lpstr>
      <vt:lpstr>rsDObs</vt:lpstr>
      <vt:lpstr>rsDPend</vt:lpstr>
      <vt:lpstr>rsDRecebe</vt:lpstr>
      <vt:lpstr>rsDTestes</vt:lpstr>
      <vt:lpstr>rsNAreaPassagem</vt:lpstr>
      <vt:lpstr>rsNAreaResultados</vt:lpstr>
      <vt:lpstr>rsNCom3</vt:lpstr>
      <vt:lpstr>rsNCom4</vt:lpstr>
      <vt:lpstr>rsNEmbarque</vt:lpstr>
      <vt:lpstr>rsNEquipe</vt:lpstr>
      <vt:lpstr>rsNFinal</vt:lpstr>
      <vt:lpstr>rsNGerado</vt:lpstr>
      <vt:lpstr>rsNHoras</vt:lpstr>
      <vt:lpstr>rsNInfo2</vt:lpstr>
      <vt:lpstr>rsNInfo</vt:lpstr>
      <vt:lpstr>rsNMES</vt:lpstr>
      <vt:lpstr>rsNMin</vt:lpstr>
      <vt:lpstr>rsNNaoOper</vt:lpstr>
      <vt:lpstr>rsNObs</vt:lpstr>
      <vt:lpstr>rsNPend</vt:lpstr>
      <vt:lpstr>rsNRecebe</vt:lpstr>
      <vt:lpstr>rsNTestes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Informativo de Qualidade e Passagem de Turno - US3/US4</dc:title>
  <dc:creator/>
  <cp:lastModifiedBy/>
  <dcterms:created xsi:type="dcterms:W3CDTF">2026-09-29T16:47:47Z</dcterms:created>
  <dcterms:modified xsi:type="dcterms:W3CDTF">2026-09-29T16:47:47Z</dcterms:modified>
</cp:coreProperties>
</file>