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ainel" sheetId="1" r:id="rId1"/>
    <sheet name="Informativo" sheetId="2" r:id="rId2"/>
    <sheet name="Passagem de Turno" sheetId="3" r:id="rId3"/>
    <sheet name="Histórico" sheetId="4" r:id="rId4"/>
    <sheet name="Registro Passagem" sheetId="5" state="hidden" r:id="rId5"/>
    <sheet name="Configurações" sheetId="6" state="hidden" r:id="rId6"/>
    <sheet name="Dados_MES" sheetId="7" state="hidden" r:id="rId7"/>
    <sheet name="_Mapa" sheetId="8" state="veryHidden" r:id="rId8"/>
  </sheets>
  <definedNames>
    <definedName name="_xlnm._FilterDatabase" localSheetId="3" hidden="1">Histórico!$A$6:$BF$20001</definedName>
    <definedName name="_xlnm._FilterDatabase" localSheetId="4" hidden="1">'Registro Passagem'!$A$6:$I$50001</definedName>
    <definedName name="cfgFonte">'Configurações'!$D$6</definedName>
    <definedName name="cfgFormatoData">'Configurações'!$D$10</definedName>
    <definedName name="cfgInicioDia">'Configurações'!$D$8</definedName>
    <definedName name="cfgServidor">'Configurações'!$D$7</definedName>
    <definedName name="cfgTimeout">'Configurações'!$D$9</definedName>
    <definedName name="iAreaImagem">'Informativo'!$B$2:$P$72</definedName>
    <definedName name="iAtualizado">'Informativo'!$K$7</definedName>
    <definedName name="iData">'Informativo'!$B$7</definedName>
    <definedName name="iFonte">'Informativo'!$N$7</definedName>
    <definedName name="iHoras">'Informativo'!$E$10:$J$10</definedName>
    <definedName name="iObs">'Informativo'!$B$67</definedName>
    <definedName name="iPeriodo">'Informativo'!$C$8</definedName>
    <definedName name="iResp">'Informativo'!$G$7</definedName>
    <definedName name="iTurma">'Informativo'!$E$7</definedName>
    <definedName name="iTurno">'Informativo'!$C$7</definedName>
    <definedName name="lstAgreg">'Configurações'!$V$7:$V$9</definedName>
    <definedName name="lstFonte">'Configurações'!$W$7:$W$8</definedName>
    <definedName name="lstFormatoData">'Configurações'!$Z$7:$Z$9</definedName>
    <definedName name="lstParam">'Configurações'!$C$18:$C$41</definedName>
    <definedName name="lstSN">'Configurações'!$X$7:$X$8</definedName>
    <definedName name="lstStatus">'Configurações'!$U$7:$U$8</definedName>
    <definedName name="lstTipo">'Configurações'!$Y$7:$Y$8</definedName>
    <definedName name="lstTurma">'Configurações'!$T$7:$T$10</definedName>
    <definedName name="lstTurno">'Configurações'!$S$7:$S$8</definedName>
    <definedName name="mesFim">'Dados_MES'!$B$4</definedName>
    <definedName name="mesInicio">'Dados_MES'!$B$3</definedName>
    <definedName name="pData">'Painel'!$B$8</definedName>
    <definedName name="pResp">'Painel'!$K$8</definedName>
    <definedName name="_xlnm.Print_Area" localSheetId="5">Configurações!$B$2:$P$43</definedName>
    <definedName name="_xlnm.Print_Area" localSheetId="1">Informativo!$B$2:$P$72</definedName>
    <definedName name="_xlnm.Print_Area" localSheetId="2">'Passagem de Turno'!$B$2:$M$62</definedName>
    <definedName name="ptAreaImagem">'Passagem de Turno'!$B$2:$M$62</definedName>
    <definedName name="ptObs">'Passagem de Turno'!$B$60</definedName>
    <definedName name="ptPendencias">'Passagem de Turno'!$C$21</definedName>
    <definedName name="ptRecebe">'Passagem de Turno'!$H$7</definedName>
    <definedName name="ptRecebidoPor">'Passagem de Turno'!$J$7</definedName>
    <definedName name="ptStatus">'Passagem de Turno'!$G$32:$G$45</definedName>
    <definedName name="ptTestes">'Passagem de Turno'!$C$18</definedName>
    <definedName name="pTurma">'Painel'!$I$8</definedName>
    <definedName name="pTurno">'Painel'!$E$8</definedName>
  </definedName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G35" authorId="0">
      <text>
        <r>
          <rPr>
            <sz val="8"/>
            <color indexed="81"/>
            <rFont val="Tahoma"/>
            <family val="2"/>
          </rPr>
          <t>ATENÇÃO - tag a confirmar no MES: a planilha de referência (out/2014) usa M710050020-0030-HHLFU (US3) e M4710050020-0030-HHLFU (US4) para a compressão. Esta planilha usa ...-0031-HHLFU. Troque aqui se o MES indicar a -0030.</t>
        </r>
      </text>
    </comment>
    <comment ref="I35" authorId="0">
      <text>
        <r>
          <rPr>
            <sz val="8"/>
            <color indexed="81"/>
            <rFont val="Tahoma"/>
            <family val="2"/>
          </rPr>
          <t>ATENÇÃO - tag a confirmar no MES: a planilha de referência (out/2014) usa M710050020-0030-HHLFU (US3) e M4710050020-0030-HHLFU (US4) para a compressão. Esta planilha usa ...-0031-HHLFU. Troque aqui se o MES indicar a -0030.</t>
        </r>
      </text>
    </comment>
  </commentList>
</comments>
</file>

<file path=xl/sharedStrings.xml><?xml version="1.0" encoding="utf-8"?>
<sst xmlns="http://schemas.openxmlformats.org/spreadsheetml/2006/main" count="977" uniqueCount="544">
  <si>
    <t>Configurações</t>
  </si>
  <si>
    <t>Parâmetros gerais, tags do MES e limites de especificação</t>
  </si>
  <si>
    <t>Parâmetros gerais</t>
  </si>
  <si>
    <t>Fonte dos dados</t>
  </si>
  <si>
    <t>MES</t>
  </si>
  <si>
    <t>MES = busca no Aspen/IP.21  ·  SIMULAÇÃO = dados fictícios (treinamento e teste)</t>
  </si>
  <si>
    <t>Servidor do MES</t>
  </si>
  <si>
    <t>UBU</t>
  </si>
  <si>
    <t>Fonte de dados do suplemento Aspen</t>
  </si>
  <si>
    <t>Início do turno Dia</t>
  </si>
  <si>
    <t>Turno Noite começa 12 h depois (Dia 07h-19h · Noite 19h-07h)</t>
  </si>
  <si>
    <t>Espera máxima pelo MES (s)</t>
  </si>
  <si>
    <t>Tempo de espera pela resposta das fórmulas do Aspen</t>
  </si>
  <si>
    <t>Formato da data para o MES</t>
  </si>
  <si>
    <t>Texto dd/mm/aaaa</t>
  </si>
  <si>
    <t>Texto dd/mm/aaaa (padrão, validado no MES) · Data do Excel · Texto mm/dd/aaaa</t>
  </si>
  <si>
    <t>Tags herdadas da planilha padrão (Usinas 3 e 4). Confira no MES antes do uso. LIE/LSE = limites de especificação (vazio = sem avaliação). Faixa válida: valores fora dela são descartados (o padrão antigo usava 0 a 50000).</t>
  </si>
  <si>
    <t>Tags do MES e limites - Usinas 3 e 4</t>
  </si>
  <si>
    <t>Grupo</t>
  </si>
  <si>
    <t>Parâmetro</t>
  </si>
  <si>
    <t>Unidade</t>
  </si>
  <si>
    <t>Dec.</t>
  </si>
  <si>
    <t>Resultado do turno</t>
  </si>
  <si>
    <t>Tag US3</t>
  </si>
  <si>
    <t>Tipo US3</t>
  </si>
  <si>
    <t>Tag US4</t>
  </si>
  <si>
    <t>Tipo US4</t>
  </si>
  <si>
    <t>LIE</t>
  </si>
  <si>
    <t>LSE</t>
  </si>
  <si>
    <t>Válido mín.</t>
  </si>
  <si>
    <t>Válido máx.</t>
  </si>
  <si>
    <t>Típico US3 (simul.)</t>
  </si>
  <si>
    <t>Típico US4 (simul.)</t>
  </si>
  <si>
    <t>Alimentação</t>
  </si>
  <si>
    <t>Alimentação da Grelha</t>
  </si>
  <si>
    <t>t/h</t>
  </si>
  <si>
    <t>Média</t>
  </si>
  <si>
    <t>306TP001-FX001-R</t>
  </si>
  <si>
    <t>IP_ANALOGMAP</t>
  </si>
  <si>
    <t>406-FX-001</t>
  </si>
  <si>
    <t>Prensa de Rolos</t>
  </si>
  <si>
    <t>Superfície Específica - Alimentação RP</t>
  </si>
  <si>
    <t>cm²/g</t>
  </si>
  <si>
    <t>M650060010-0017-HHLFU</t>
  </si>
  <si>
    <t>IP_MESVALOR</t>
  </si>
  <si>
    <t>M4650060010-0017-HHLFU</t>
  </si>
  <si>
    <t>Superfície Específica - Saída RP</t>
  </si>
  <si>
    <t>M650060030-0017-HHLFU</t>
  </si>
  <si>
    <t>M4650060030-0017-HHLFU</t>
  </si>
  <si>
    <t>#325 - Saída RP</t>
  </si>
  <si>
    <t>%</t>
  </si>
  <si>
    <t>M650060030-0016-HHLFU</t>
  </si>
  <si>
    <t>M4650060030-0016-HHLFU</t>
  </si>
  <si>
    <t>H2O - Alimentação RP</t>
  </si>
  <si>
    <t>M650060010-0001-HHLFU</t>
  </si>
  <si>
    <t>M4650060010-0001-HHLFU</t>
  </si>
  <si>
    <t>H2O - Saída RP</t>
  </si>
  <si>
    <t>M650060030-0001-HHLFU</t>
  </si>
  <si>
    <t>M4650060030-0001-HHLFU</t>
  </si>
  <si>
    <t>Pellet Feed</t>
  </si>
  <si>
    <t>PPC - Pellet Feed</t>
  </si>
  <si>
    <t>M650030010-0013-HHLQU</t>
  </si>
  <si>
    <t>SiO2 - Pellet Feed</t>
  </si>
  <si>
    <t>M650030010-0004-HHLQU</t>
  </si>
  <si>
    <t>CaO - Pellet Feed</t>
  </si>
  <si>
    <t>M650030010-0006-HHLQU</t>
  </si>
  <si>
    <t>Mistura</t>
  </si>
  <si>
    <t>SiO2 - Mistura</t>
  </si>
  <si>
    <t>M710050020-0004-HHLQU</t>
  </si>
  <si>
    <t>M4710050020-0004-HHLQU</t>
  </si>
  <si>
    <t>CaO - Mistura</t>
  </si>
  <si>
    <t>M710050020-0006-HHLQU</t>
  </si>
  <si>
    <t>M4710050020-0006-HHLQU</t>
  </si>
  <si>
    <t>B2 - Mistura</t>
  </si>
  <si>
    <t>-</t>
  </si>
  <si>
    <t>M710050020-0018-HHLQU</t>
  </si>
  <si>
    <t>M4710050020-0018-HHLQU</t>
  </si>
  <si>
    <t>Dosagem de Carvão - Mistura</t>
  </si>
  <si>
    <t>kg/t</t>
  </si>
  <si>
    <t>M710050020-0084-HHLQU</t>
  </si>
  <si>
    <t>M4710050020-0084-HHLQU</t>
  </si>
  <si>
    <t>Carbono Fixo - Mistura</t>
  </si>
  <si>
    <t>M710050020-0493-HHLQU</t>
  </si>
  <si>
    <t>M4710050020-0493-HHLQU</t>
  </si>
  <si>
    <t>Pelota Queimada</t>
  </si>
  <si>
    <t>Faixa +16,0 -8,0 mm</t>
  </si>
  <si>
    <t>M710050020-0028-HHLFU</t>
  </si>
  <si>
    <t>M4710050020-0028-HHLFU</t>
  </si>
  <si>
    <t>Relação Granulométrica</t>
  </si>
  <si>
    <t>M710050020-2021-HHLFU</t>
  </si>
  <si>
    <t>M4710050020-2021-HHLFU</t>
  </si>
  <si>
    <t>Tamboramento</t>
  </si>
  <si>
    <t>M710050020-0029-HHLFU</t>
  </si>
  <si>
    <t>M4710050020-0029-HHLFU</t>
  </si>
  <si>
    <t>Resistência à Compressão</t>
  </si>
  <si>
    <t>kgf/pel</t>
  </si>
  <si>
    <t>M710050020-0031-HHLFU</t>
  </si>
  <si>
    <t>M4710050020-0031-HHLFU</t>
  </si>
  <si>
    <t>Compressão &lt; 200 kgf/pel</t>
  </si>
  <si>
    <t>M710050020-0032-HHLFU</t>
  </si>
  <si>
    <t>M4710050020-0032-HHLFU</t>
  </si>
  <si>
    <t>Finos -6,3 mm</t>
  </si>
  <si>
    <t>M710050020-0026-HHLFU</t>
  </si>
  <si>
    <t>M4710050020-0026-HHLFU</t>
  </si>
  <si>
    <t>SiO2 - Pelota Queimada</t>
  </si>
  <si>
    <t>M710050020-0004-HHLFU</t>
  </si>
  <si>
    <t>M4710050020-0004-HHLFU</t>
  </si>
  <si>
    <t>Produção</t>
  </si>
  <si>
    <t>t</t>
  </si>
  <si>
    <t>Soma</t>
  </si>
  <si>
    <t>M710050020-0150-HHCC</t>
  </si>
  <si>
    <t>M4710050020-0150-HHCC</t>
  </si>
  <si>
    <t>Ritmo (MES)</t>
  </si>
  <si>
    <t>t/dia</t>
  </si>
  <si>
    <t>Último valor</t>
  </si>
  <si>
    <t>M710050031-0150-HHCC</t>
  </si>
  <si>
    <t>M4710050031-0150-HHCC</t>
  </si>
  <si>
    <t>Ritmo (processo)</t>
  </si>
  <si>
    <t>306GERAL-FIT003-R</t>
  </si>
  <si>
    <t>406-RITMO</t>
  </si>
  <si>
    <t>Atenção - Compressão: a referência de 2014 usa as tags ...-0030-HHLFU; aqui está ...-0031-HHLFU. Confirmar no MES (veja o comentário na tag).</t>
  </si>
  <si>
    <t>LISTAS (usadas nas caixas de seleção)</t>
  </si>
  <si>
    <t>Turnos</t>
  </si>
  <si>
    <t>Dia (07h às 19h)</t>
  </si>
  <si>
    <t>Noite (19h às 07h)</t>
  </si>
  <si>
    <t>Turmas</t>
  </si>
  <si>
    <t>A</t>
  </si>
  <si>
    <t>B</t>
  </si>
  <si>
    <t>C</t>
  </si>
  <si>
    <t>D</t>
  </si>
  <si>
    <t>Status</t>
  </si>
  <si>
    <t>Operando</t>
  </si>
  <si>
    <t>Não operando</t>
  </si>
  <si>
    <t>Fonte</t>
  </si>
  <si>
    <t>SIMULAÇÃO</t>
  </si>
  <si>
    <t>Sim/Não</t>
  </si>
  <si>
    <t>Sim</t>
  </si>
  <si>
    <t>Não</t>
  </si>
  <si>
    <t>Tipo de tag</t>
  </si>
  <si>
    <t>Formato data MES</t>
  </si>
  <si>
    <t>Data do Excel</t>
  </si>
  <si>
    <t>Texto mm/dd/aaaa</t>
  </si>
  <si>
    <t>Dados brutos do MES (Aspen IP.21) - não editar</t>
  </si>
  <si>
    <t>Início</t>
  </si>
  <si>
    <t>Fim</t>
  </si>
  <si>
    <t>Consulta: Qualidade  (tipo de cálculo "1")</t>
  </si>
  <si>
    <t>Data/hora</t>
  </si>
  <si>
    <t>P01 US3 · Alimentação da Grelha</t>
  </si>
  <si>
    <t>P01 US4 · Alimentação da Grelha</t>
  </si>
  <si>
    <t>P02 US3 · Superfície Específica - Alimentação RP</t>
  </si>
  <si>
    <t>P02 US4 · Superfície Específica - Alimentação RP</t>
  </si>
  <si>
    <t>P03 US3 · Superfície Específica - Saída RP</t>
  </si>
  <si>
    <t>P03 US4 · Superfície Específica - Saída RP</t>
  </si>
  <si>
    <t>P04 US3 · #325 - Saída RP</t>
  </si>
  <si>
    <t>P04 US4 · #325 - Saída RP</t>
  </si>
  <si>
    <t>P05 US3 · H2O - Alimentação RP</t>
  </si>
  <si>
    <t>P05 US4 · H2O - Alimentação RP</t>
  </si>
  <si>
    <t>P06 US3 · H2O - Saída RP</t>
  </si>
  <si>
    <t>P06 US4 · H2O - Saída RP</t>
  </si>
  <si>
    <t>P07 US3 · PPC - Pellet Feed</t>
  </si>
  <si>
    <t>P07 US4 · PPC - Pellet Feed</t>
  </si>
  <si>
    <t>P08 US3 · SiO2 - Pellet Feed</t>
  </si>
  <si>
    <t>P08 US4 · SiO2 - Pellet Feed</t>
  </si>
  <si>
    <t>P09 US3 · CaO - Pellet Feed</t>
  </si>
  <si>
    <t>P09 US4 · CaO - Pellet Feed</t>
  </si>
  <si>
    <t>P10 US3 · SiO2 - Mistura</t>
  </si>
  <si>
    <t>P10 US4 · SiO2 - Mistura</t>
  </si>
  <si>
    <t>P11 US3 · CaO - Mistura</t>
  </si>
  <si>
    <t>P11 US4 · CaO - Mistura</t>
  </si>
  <si>
    <t>P12 US3 · B2 - Mistura</t>
  </si>
  <si>
    <t>P12 US4 · B2 - Mistura</t>
  </si>
  <si>
    <t>P13 US3 · Dosagem de Carvão - Mistura</t>
  </si>
  <si>
    <t>P13 US4 · Dosagem de Carvão - Mistura</t>
  </si>
  <si>
    <t>P14 US3 · Carbono Fixo - Mistura</t>
  </si>
  <si>
    <t>P14 US4 · Carbono Fixo - Mistura</t>
  </si>
  <si>
    <t>P15 US3 · Faixa +16,0 -8,0 mm</t>
  </si>
  <si>
    <t>P15 US4 · Faixa +16,0 -8,0 mm</t>
  </si>
  <si>
    <t>P16 US3 · Relação Granulométrica</t>
  </si>
  <si>
    <t>P16 US4 · Relação Granulométrica</t>
  </si>
  <si>
    <t>P17 US3 · Tamboramento</t>
  </si>
  <si>
    <t>P17 US4 · Tamboramento</t>
  </si>
  <si>
    <t>P18 US3 · Resistência à Compressão</t>
  </si>
  <si>
    <t>P18 US4 · Resistência à Compressão</t>
  </si>
  <si>
    <t>P19 US3 · Compressão &lt; 200 kgf/pel</t>
  </si>
  <si>
    <t>P19 US4 · Compressão &lt; 200 kgf/pel</t>
  </si>
  <si>
    <t>P20 US3 · Finos -6,3 mm</t>
  </si>
  <si>
    <t>P20 US4 · Finos -6,3 mm</t>
  </si>
  <si>
    <t>P21 US3 · SiO2 - Pelota Queimada</t>
  </si>
  <si>
    <t>P21 US4 · SiO2 - Pelota Queimada</t>
  </si>
  <si>
    <t>Consulta: Produção  (tipo de cálculo "1")</t>
  </si>
  <si>
    <t>P22 US3 · Produção</t>
  </si>
  <si>
    <t>P22 US4 · Produção</t>
  </si>
  <si>
    <t>P23 US3 · Ritmo (MES)</t>
  </si>
  <si>
    <t>P23 US4 · Ritmo (MES)</t>
  </si>
  <si>
    <t>Consulta: Ritmo de processo  (tipo de cálculo "0")</t>
  </si>
  <si>
    <t>P24 US3 · Ritmo (processo)</t>
  </si>
  <si>
    <t>P24 US4 · Ritmo (processo)</t>
  </si>
  <si>
    <t>Informativo de Qualidade - Usinas 3 e 4</t>
  </si>
  <si>
    <t>Resultados do MES por turno de 12 horas  ·  Laboratório Físico</t>
  </si>
  <si>
    <t>Data do turno</t>
  </si>
  <si>
    <t>Turno</t>
  </si>
  <si>
    <t>Turma</t>
  </si>
  <si>
    <t>Responsável</t>
  </si>
  <si>
    <t>Atualizado em</t>
  </si>
  <si>
    <t>Período consultado:</t>
  </si>
  <si>
    <t>Unid.</t>
  </si>
  <si>
    <t>Usina</t>
  </si>
  <si>
    <t>—</t>
  </si>
  <si>
    <t>Mín.</t>
  </si>
  <si>
    <t>Máx.</t>
  </si>
  <si>
    <t>P01U3</t>
  </si>
  <si>
    <t>US3</t>
  </si>
  <si>
    <t>P01U4</t>
  </si>
  <si>
    <t>US4</t>
  </si>
  <si>
    <t>P02U3</t>
  </si>
  <si>
    <t>P02U4</t>
  </si>
  <si>
    <t>P03U3</t>
  </si>
  <si>
    <t>P03U4</t>
  </si>
  <si>
    <t>P04U3</t>
  </si>
  <si>
    <t>P04U4</t>
  </si>
  <si>
    <t>P05U3</t>
  </si>
  <si>
    <t>P05U4</t>
  </si>
  <si>
    <t>P06U3</t>
  </si>
  <si>
    <t>P06U4</t>
  </si>
  <si>
    <t>P07U3</t>
  </si>
  <si>
    <t>P07U4</t>
  </si>
  <si>
    <t>P08U3</t>
  </si>
  <si>
    <t>P08U4</t>
  </si>
  <si>
    <t>P09U3</t>
  </si>
  <si>
    <t>P09U4</t>
  </si>
  <si>
    <t>P10U3</t>
  </si>
  <si>
    <t>P10U4</t>
  </si>
  <si>
    <t>P11U3</t>
  </si>
  <si>
    <t>P11U4</t>
  </si>
  <si>
    <t>P12U3</t>
  </si>
  <si>
    <t>P12U4</t>
  </si>
  <si>
    <t>P13U3</t>
  </si>
  <si>
    <t>P13U4</t>
  </si>
  <si>
    <t>P14U3</t>
  </si>
  <si>
    <t>P14U4</t>
  </si>
  <si>
    <t>P15U3</t>
  </si>
  <si>
    <t>P15U4</t>
  </si>
  <si>
    <t>P16U3</t>
  </si>
  <si>
    <t>P16U4</t>
  </si>
  <si>
    <t>P17U3</t>
  </si>
  <si>
    <t>P17U4</t>
  </si>
  <si>
    <t>P18U3</t>
  </si>
  <si>
    <t>P18U4</t>
  </si>
  <si>
    <t>P19U3</t>
  </si>
  <si>
    <t>P19U4</t>
  </si>
  <si>
    <t>P20U3</t>
  </si>
  <si>
    <t>P20U4</t>
  </si>
  <si>
    <t>P21U3</t>
  </si>
  <si>
    <t>P21U4</t>
  </si>
  <si>
    <t>P22U3</t>
  </si>
  <si>
    <t>P22U4</t>
  </si>
  <si>
    <t>P23U3</t>
  </si>
  <si>
    <t>P23U4</t>
  </si>
  <si>
    <t>P24U3</t>
  </si>
  <si>
    <t>P24U4</t>
  </si>
  <si>
    <t>Destaques e observações do turno</t>
  </si>
  <si>
    <t>Resultado do turno: média dos resultados (Produção = soma; Ritmo = último valor). Status compara com LIE/LSE da aba Configurações. Valores fora da faixa válida são descartados.</t>
  </si>
  <si>
    <t>Passagem de Turno - Laboratório Físico</t>
  </si>
  <si>
    <t>Usinas 3 e 4  ·  Dia 07h-19h  ·  Noite 19h-07h  ·  Turmas A, B, C e D</t>
  </si>
  <si>
    <t>Data</t>
  </si>
  <si>
    <t>Responsável (entrega)</t>
  </si>
  <si>
    <t>Turma que recebe</t>
  </si>
  <si>
    <t>Recebido por</t>
  </si>
  <si>
    <t>1. Equipe do turno</t>
  </si>
  <si>
    <t>Técnico Físico</t>
  </si>
  <si>
    <t>Técnico Químico</t>
  </si>
  <si>
    <t>Laboratorista 01</t>
  </si>
  <si>
    <t>Laboratorista 02</t>
  </si>
  <si>
    <t>Laboratorista 03</t>
  </si>
  <si>
    <t>Laboratorista 04</t>
  </si>
  <si>
    <t>2. Testes e pendências</t>
  </si>
  <si>
    <t>Testes realizados no turno</t>
  </si>
  <si>
    <t>Pendências / testes a realizar (para o próximo turno)</t>
  </si>
  <si>
    <t>3. Minerodutos / batch</t>
  </si>
  <si>
    <t>Mineroduto</t>
  </si>
  <si>
    <t>Batch</t>
  </si>
  <si>
    <t>Término</t>
  </si>
  <si>
    <t>Observação</t>
  </si>
  <si>
    <t>Mineroduto 02</t>
  </si>
  <si>
    <t>Mineroduto 03</t>
  </si>
  <si>
    <t>4. Status dos equipamentos (US3 / US4)</t>
  </si>
  <si>
    <t>Área</t>
  </si>
  <si>
    <t>Equipamento</t>
  </si>
  <si>
    <t>Comentário</t>
  </si>
  <si>
    <t>Preparação</t>
  </si>
  <si>
    <t>Moinho 01</t>
  </si>
  <si>
    <t>Moinho 02</t>
  </si>
  <si>
    <t>Planta 03</t>
  </si>
  <si>
    <t>Planta 04</t>
  </si>
  <si>
    <t>Amostragem PF / Mistura</t>
  </si>
  <si>
    <t>Alimentação US 03 - 02TP04</t>
  </si>
  <si>
    <t>Alimentação US 04</t>
  </si>
  <si>
    <t>Descarga US 03 - 03TP03</t>
  </si>
  <si>
    <t>Descarga US 04</t>
  </si>
  <si>
    <t>Linha de Mistura US 03 - 04TP05</t>
  </si>
  <si>
    <t>Linha de Mistura US 04 - 04TP04</t>
  </si>
  <si>
    <t>Amostragem PQ</t>
  </si>
  <si>
    <t>Cortador PQ US 03 Primário - 07CR02</t>
  </si>
  <si>
    <t>Cortador PQ US 03 Secundário - 07CR05</t>
  </si>
  <si>
    <t>Cortador PQ US 04 Primário - 07CR001</t>
  </si>
  <si>
    <t>Cortador PQ US 04 Secundário - 07CR002</t>
  </si>
  <si>
    <t>5. Comentários por usina</t>
  </si>
  <si>
    <t>Assunto</t>
  </si>
  <si>
    <t>Usina 3</t>
  </si>
  <si>
    <t>Usina 4</t>
  </si>
  <si>
    <t>Produto</t>
  </si>
  <si>
    <t>Aglomerante</t>
  </si>
  <si>
    <t>Combustível sólido</t>
  </si>
  <si>
    <t>Qualidade das pelotas</t>
  </si>
  <si>
    <t>6. Embarque em andamento</t>
  </si>
  <si>
    <t>Cliente</t>
  </si>
  <si>
    <t>Navio</t>
  </si>
  <si>
    <t>Qtd (TMS)</t>
  </si>
  <si>
    <t>Tamb. (%)</t>
  </si>
  <si>
    <t>Compr. (kgf)</t>
  </si>
  <si>
    <t>-6,3 mm (%)</t>
  </si>
  <si>
    <t>Relação</t>
  </si>
  <si>
    <t>B2</t>
  </si>
  <si>
    <t>SiO2 (%)</t>
  </si>
  <si>
    <t>7. Observações gerais</t>
  </si>
  <si>
    <t>Histórico dos Turnos</t>
  </si>
  <si>
    <t>Um registro por turno salvo  ·  resultados US3 e US4</t>
  </si>
  <si>
    <t>Fechado em</t>
  </si>
  <si>
    <t>Alimentação da Grelha · US3</t>
  </si>
  <si>
    <t>Alimentação da Grelha · US4</t>
  </si>
  <si>
    <t>Superfície Específica - Alimentação RP · US3</t>
  </si>
  <si>
    <t>Superfície Específica - Alimentação RP · US4</t>
  </si>
  <si>
    <t>Superfície Específica - Saída RP · US3</t>
  </si>
  <si>
    <t>Superfície Específica - Saída RP · US4</t>
  </si>
  <si>
    <t>#325 - Saída RP · US3</t>
  </si>
  <si>
    <t>#325 - Saída RP · US4</t>
  </si>
  <si>
    <t>H2O - Alimentação RP · US3</t>
  </si>
  <si>
    <t>H2O - Alimentação RP · US4</t>
  </si>
  <si>
    <t>H2O - Saída RP · US3</t>
  </si>
  <si>
    <t>H2O - Saída RP · US4</t>
  </si>
  <si>
    <t>PPC - Pellet Feed · US3</t>
  </si>
  <si>
    <t>PPC - Pellet Feed · US4</t>
  </si>
  <si>
    <t>SiO2 - Pellet Feed · US3</t>
  </si>
  <si>
    <t>SiO2 - Pellet Feed · US4</t>
  </si>
  <si>
    <t>CaO - Pellet Feed · US3</t>
  </si>
  <si>
    <t>CaO - Pellet Feed · US4</t>
  </si>
  <si>
    <t>SiO2 - Mistura · US3</t>
  </si>
  <si>
    <t>SiO2 - Mistura · US4</t>
  </si>
  <si>
    <t>CaO - Mistura · US3</t>
  </si>
  <si>
    <t>CaO - Mistura · US4</t>
  </si>
  <si>
    <t>B2 - Mistura · US3</t>
  </si>
  <si>
    <t>B2 - Mistura · US4</t>
  </si>
  <si>
    <t>Dosagem de Carvão - Mistura · US3</t>
  </si>
  <si>
    <t>Dosagem de Carvão - Mistura · US4</t>
  </si>
  <si>
    <t>Carbono Fixo - Mistura · US3</t>
  </si>
  <si>
    <t>Carbono Fixo - Mistura · US4</t>
  </si>
  <si>
    <t>Faixa +16,0 -8,0 mm · US3</t>
  </si>
  <si>
    <t>Faixa +16,0 -8,0 mm · US4</t>
  </si>
  <si>
    <t>Relação Granulométrica · US3</t>
  </si>
  <si>
    <t>Relação Granulométrica · US4</t>
  </si>
  <si>
    <t>Tamboramento · US3</t>
  </si>
  <si>
    <t>Tamboramento · US4</t>
  </si>
  <si>
    <t>Resistência à Compressão · US3</t>
  </si>
  <si>
    <t>Resistência à Compressão · US4</t>
  </si>
  <si>
    <t>Compressão &lt; 200 kgf/pel · US3</t>
  </si>
  <si>
    <t>Compressão &lt; 200 kgf/pel · US4</t>
  </si>
  <si>
    <t>Finos -6,3 mm · US3</t>
  </si>
  <si>
    <t>Finos -6,3 mm · US4</t>
  </si>
  <si>
    <t>SiO2 - Pelota Queimada · US3</t>
  </si>
  <si>
    <t>SiO2 - Pelota Queimada · US4</t>
  </si>
  <si>
    <t>Produção · US3</t>
  </si>
  <si>
    <t>Produção · US4</t>
  </si>
  <si>
    <t>Ritmo (MES) · US3</t>
  </si>
  <si>
    <t>Ritmo (MES) · US4</t>
  </si>
  <si>
    <t>Ritmo (processo) · US3</t>
  </si>
  <si>
    <t>Ritmo (processo) · US4</t>
  </si>
  <si>
    <t>Equip. não operando</t>
  </si>
  <si>
    <t>Pendências p/ próximo turno</t>
  </si>
  <si>
    <t>Observações gerais</t>
  </si>
  <si>
    <t>Registro da Passagem de Turno</t>
  </si>
  <si>
    <t>Cada informação preenchida vira uma linha (ideal para filtros e Power BI)</t>
  </si>
  <si>
    <t>Tipo</t>
  </si>
  <si>
    <t>Seção / Usina</t>
  </si>
  <si>
    <t>Item</t>
  </si>
  <si>
    <t>Texto</t>
  </si>
  <si>
    <t>Registrado em</t>
  </si>
  <si>
    <t>Informativo de Qualidade &amp; Passagem de Turno</t>
  </si>
  <si>
    <t>Laboratório Físico  ·  Usinas 3 e 4  ·  Resultados do MES</t>
  </si>
  <si>
    <t>Turno selecionado</t>
  </si>
  <si>
    <t>Dia: 07h às 19h   ·   Noite: 19h às 07h do dia seguinte   ·   Turmas A, B, C e D</t>
  </si>
  <si>
    <t>Ações do turno</t>
  </si>
  <si>
    <t>Situação do turno</t>
  </si>
  <si>
    <t>Informativo carregado</t>
  </si>
  <si>
    <t>Última atualização do MES</t>
  </si>
  <si>
    <t>Passagem de turno preenchida</t>
  </si>
  <si>
    <t>Equipamentos não operando</t>
  </si>
  <si>
    <t>Indicadores do turno (resultado do turno)</t>
  </si>
  <si>
    <t>Resistência à Compressão (kgf/pel)</t>
  </si>
  <si>
    <t>Tamboramento (%)</t>
  </si>
  <si>
    <t>SiO2 - Mistura (%)</t>
  </si>
  <si>
    <t>Produção (t)</t>
  </si>
  <si>
    <t>Mais opções</t>
  </si>
  <si>
    <t>Seção</t>
  </si>
  <si>
    <t>Cabeçalho</t>
  </si>
  <si>
    <t/>
  </si>
  <si>
    <t>#ptRecebe</t>
  </si>
  <si>
    <t>#ptRecebidoPor</t>
  </si>
  <si>
    <t>Equipe</t>
  </si>
  <si>
    <t>@B10</t>
  </si>
  <si>
    <t>@C10</t>
  </si>
  <si>
    <t>@B11</t>
  </si>
  <si>
    <t>@C11</t>
  </si>
  <si>
    <t>@B12</t>
  </si>
  <si>
    <t>@C12</t>
  </si>
  <si>
    <t>@B13</t>
  </si>
  <si>
    <t>@C13</t>
  </si>
  <si>
    <t>@B14</t>
  </si>
  <si>
    <t>@C14</t>
  </si>
  <si>
    <t>@B15</t>
  </si>
  <si>
    <t>@C15</t>
  </si>
  <si>
    <t>#ptTestes</t>
  </si>
  <si>
    <t>#ptPendencias</t>
  </si>
  <si>
    <t>@B27</t>
  </si>
  <si>
    <t>@C27</t>
  </si>
  <si>
    <t>@E27</t>
  </si>
  <si>
    <t>@G27</t>
  </si>
  <si>
    <t>@I27</t>
  </si>
  <si>
    <t>@B28</t>
  </si>
  <si>
    <t>@C28</t>
  </si>
  <si>
    <t>@E28</t>
  </si>
  <si>
    <t>@G28</t>
  </si>
  <si>
    <t>@I28</t>
  </si>
  <si>
    <t>@B32</t>
  </si>
  <si>
    <t>@C32</t>
  </si>
  <si>
    <t>@G32</t>
  </si>
  <si>
    <t>@I32</t>
  </si>
  <si>
    <t>@B33</t>
  </si>
  <si>
    <t>@C33</t>
  </si>
  <si>
    <t>@G33</t>
  </si>
  <si>
    <t>@I33</t>
  </si>
  <si>
    <t>@B34</t>
  </si>
  <si>
    <t>@C34</t>
  </si>
  <si>
    <t>@G34</t>
  </si>
  <si>
    <t>@I34</t>
  </si>
  <si>
    <t>@B35</t>
  </si>
  <si>
    <t>@C35</t>
  </si>
  <si>
    <t>@G35</t>
  </si>
  <si>
    <t>@I35</t>
  </si>
  <si>
    <t>@B36</t>
  </si>
  <si>
    <t>@C36</t>
  </si>
  <si>
    <t>@G36</t>
  </si>
  <si>
    <t>@I36</t>
  </si>
  <si>
    <t>@B37</t>
  </si>
  <si>
    <t>@C37</t>
  </si>
  <si>
    <t>@G37</t>
  </si>
  <si>
    <t>@I37</t>
  </si>
  <si>
    <t>@B38</t>
  </si>
  <si>
    <t>@C38</t>
  </si>
  <si>
    <t>@G38</t>
  </si>
  <si>
    <t>@I38</t>
  </si>
  <si>
    <t>@B39</t>
  </si>
  <si>
    <t>@C39</t>
  </si>
  <si>
    <t>@G39</t>
  </si>
  <si>
    <t>@I39</t>
  </si>
  <si>
    <t>@B40</t>
  </si>
  <si>
    <t>@C40</t>
  </si>
  <si>
    <t>@G40</t>
  </si>
  <si>
    <t>@I40</t>
  </si>
  <si>
    <t>@B41</t>
  </si>
  <si>
    <t>@C41</t>
  </si>
  <si>
    <t>@G41</t>
  </si>
  <si>
    <t>@I41</t>
  </si>
  <si>
    <t>@B42</t>
  </si>
  <si>
    <t>@C42</t>
  </si>
  <si>
    <t>@G42</t>
  </si>
  <si>
    <t>@I42</t>
  </si>
  <si>
    <t>@B43</t>
  </si>
  <si>
    <t>@C43</t>
  </si>
  <si>
    <t>@G43</t>
  </si>
  <si>
    <t>@I43</t>
  </si>
  <si>
    <t>@B44</t>
  </si>
  <si>
    <t>@C44</t>
  </si>
  <si>
    <t>@G44</t>
  </si>
  <si>
    <t>@I44</t>
  </si>
  <si>
    <t>@B45</t>
  </si>
  <si>
    <t>@C45</t>
  </si>
  <si>
    <t>@G45</t>
  </si>
  <si>
    <t>@I45</t>
  </si>
  <si>
    <t>@B49</t>
  </si>
  <si>
    <t>@C49</t>
  </si>
  <si>
    <t>@H49</t>
  </si>
  <si>
    <t>@B50</t>
  </si>
  <si>
    <t>@C50</t>
  </si>
  <si>
    <t>@H50</t>
  </si>
  <si>
    <t>@B51</t>
  </si>
  <si>
    <t>@C51</t>
  </si>
  <si>
    <t>@H51</t>
  </si>
  <si>
    <t>@B52</t>
  </si>
  <si>
    <t>@C52</t>
  </si>
  <si>
    <t>@H52</t>
  </si>
  <si>
    <t>Embarque</t>
  </si>
  <si>
    <t>Embarque 1</t>
  </si>
  <si>
    <t>@B56</t>
  </si>
  <si>
    <t>@C56</t>
  </si>
  <si>
    <t>@D56</t>
  </si>
  <si>
    <t>@E56</t>
  </si>
  <si>
    <t>@F56</t>
  </si>
  <si>
    <t>@G56</t>
  </si>
  <si>
    <t>@H56</t>
  </si>
  <si>
    <t>@I56</t>
  </si>
  <si>
    <t>@J56</t>
  </si>
  <si>
    <t>@K56</t>
  </si>
  <si>
    <t>@L56</t>
  </si>
  <si>
    <t>@M56</t>
  </si>
  <si>
    <t>@C57</t>
  </si>
  <si>
    <t>#ptObs</t>
  </si>
  <si>
    <t>Informativo</t>
  </si>
  <si>
    <t>Destaques do turno</t>
  </si>
  <si>
    <t>#iObs</t>
  </si>
  <si>
    <t>Param</t>
  </si>
  <si>
    <t>Linha Informativo</t>
  </si>
  <si>
    <t>Bloco</t>
  </si>
  <si>
    <t>Consulta</t>
  </si>
  <si>
    <t>Cálculo</t>
  </si>
  <si>
    <t>Âncora</t>
  </si>
  <si>
    <t>Saída</t>
  </si>
  <si>
    <t>Parâmetros</t>
  </si>
  <si>
    <t>Colunas</t>
  </si>
  <si>
    <t>Q</t>
  </si>
  <si>
    <t>Qualidade</t>
  </si>
  <si>
    <t>1</t>
  </si>
  <si>
    <t>A7</t>
  </si>
  <si>
    <t>A9</t>
  </si>
  <si>
    <t>1,2,3,4,5,6,7,8,9,10,11,12,13,14,15,16,17,18,19,20,21</t>
  </si>
  <si>
    <t>P</t>
  </si>
  <si>
    <t>A17</t>
  </si>
  <si>
    <t>A19</t>
  </si>
  <si>
    <t>22,23</t>
  </si>
  <si>
    <t>R</t>
  </si>
  <si>
    <t>Ritmo de processo</t>
  </si>
  <si>
    <t>0</t>
  </si>
  <si>
    <t>A27</t>
  </si>
  <si>
    <t>A29</t>
  </si>
  <si>
    <t>24</t>
  </si>
</sst>
</file>

<file path=xl/styles.xml><?xml version="1.0" encoding="utf-8"?>
<styleSheet xmlns="http://schemas.openxmlformats.org/spreadsheetml/2006/main">
  <numFmts count="7">
    <numFmt numFmtId="164" formatCode="dd/mm/yyyy"/>
    <numFmt numFmtId="165" formatCode="dd/mm/yyyy hh:mm"/>
    <numFmt numFmtId="166" formatCode="0%"/>
    <numFmt numFmtId="167" formatCode="0.0"/>
    <numFmt numFmtId="168" formatCode="0.00"/>
    <numFmt numFmtId="169" formatCode="hh:mm"/>
    <numFmt numFmtId="170" formatCode="dd/mm/yyyy hh:mm:ss"/>
  </numFmts>
  <fonts count="30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15"/>
      <color rgb="FFFFFFFF"/>
      <name val="Segoe UI"/>
      <family val="2"/>
    </font>
    <font>
      <sz val="9"/>
      <color rgb="FFCFE0EA"/>
      <name val="Segoe UI"/>
      <family val="2"/>
    </font>
    <font>
      <b/>
      <sz val="11"/>
      <color rgb="FF003B6C"/>
      <name val="Segoe UI"/>
      <family val="2"/>
    </font>
    <font>
      <sz val="8"/>
      <color rgb="FF5B6B77"/>
      <name val="Segoe UI"/>
      <family val="2"/>
    </font>
    <font>
      <b/>
      <sz val="13"/>
      <color rgb="FF003B6C"/>
      <name val="Segoe UI"/>
      <family val="2"/>
    </font>
    <font>
      <b/>
      <sz val="9"/>
      <color rgb="FF003B6C"/>
      <name val="Segoe UI"/>
      <family val="2"/>
    </font>
    <font>
      <b/>
      <sz val="9"/>
      <color rgb="FF61889B"/>
      <name val="Segoe UI"/>
      <family val="2"/>
    </font>
    <font>
      <b/>
      <sz val="14"/>
      <color rgb="FF003B6C"/>
      <name val="Segoe UI"/>
      <family val="2"/>
    </font>
    <font>
      <b/>
      <sz val="9"/>
      <color rgb="FF1D2B36"/>
      <name val="Segoe UI"/>
      <family val="2"/>
    </font>
    <font>
      <sz val="9"/>
      <color rgb="FF5B6B77"/>
      <name val="Segoe UI"/>
      <family val="2"/>
    </font>
    <font>
      <b/>
      <sz val="9"/>
      <color rgb="FFFFFFFF"/>
      <name val="Segoe UI"/>
      <family val="2"/>
    </font>
    <font>
      <sz val="6"/>
      <color rgb="FFFFFFFF"/>
      <name val="Segoe UI"/>
      <family val="2"/>
    </font>
    <font>
      <sz val="10"/>
      <color rgb="FF5B6B77"/>
      <name val="Segoe UI"/>
      <family val="2"/>
    </font>
    <font>
      <b/>
      <sz val="9"/>
      <color rgb="FF00335A"/>
      <name val="Segoe UI"/>
      <family val="2"/>
    </font>
    <font>
      <b/>
      <sz val="11"/>
      <color rgb="FF1D2B36"/>
      <name val="Segoe UI"/>
      <family val="2"/>
    </font>
    <font>
      <sz val="10"/>
      <color rgb="FF61889B"/>
      <name val="Segoe UI"/>
      <family val="2"/>
    </font>
    <font>
      <sz val="9"/>
      <color rgb="FF61889B"/>
      <name val="Segoe UI"/>
      <family val="2"/>
    </font>
    <font>
      <sz val="9"/>
      <color rgb="FF1D2B36"/>
      <name val="Segoe UI"/>
      <family val="2"/>
    </font>
    <font>
      <b/>
      <sz val="8"/>
      <color rgb="FFFFFFFF"/>
      <name val="Segoe UI"/>
      <family val="2"/>
    </font>
    <font>
      <b/>
      <sz val="10"/>
      <color rgb="FFFFFFFF"/>
      <name val="Segoe UI"/>
      <family val="2"/>
    </font>
    <font>
      <b/>
      <sz val="10"/>
      <color rgb="FF1D2B36"/>
      <name val="Segoe UI"/>
      <family val="2"/>
    </font>
    <font>
      <i/>
      <sz val="9"/>
      <color rgb="FF61889B"/>
      <name val="Segoe UI"/>
      <family val="2"/>
    </font>
    <font>
      <sz val="9"/>
      <color rgb="FF1D2B36"/>
      <name val="Consolas"/>
      <family val="2"/>
    </font>
    <font>
      <b/>
      <sz val="9"/>
      <color rgb="FFF37021"/>
      <name val="Segoe UI"/>
      <family val="2"/>
    </font>
    <font>
      <b/>
      <sz val="13"/>
      <color rgb="FF00335A"/>
      <name val="Segoe UI"/>
      <family val="2"/>
    </font>
    <font>
      <b/>
      <sz val="10"/>
      <color rgb="FF61889B"/>
      <name val="Segoe UI"/>
      <family val="2"/>
    </font>
    <font>
      <sz val="8"/>
      <color rgb="FF1D2B36"/>
      <name val="Segoe UI"/>
      <family val="2"/>
    </font>
    <font>
      <sz val="8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E8ED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8FD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61889B"/>
        <bgColor indexed="64"/>
      </patternFill>
    </fill>
    <fill>
      <patternFill patternType="solid">
        <fgColor rgb="FF00407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rgb="FF00335A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/>
      <diagonal/>
    </border>
    <border>
      <left style="thin">
        <color rgb="FFDDE3E8"/>
      </left>
      <right style="thin">
        <color rgb="FFDDE3E8"/>
      </right>
      <top/>
      <bottom style="thin">
        <color rgb="FFDDE3E8"/>
      </bottom>
      <diagonal/>
    </border>
    <border>
      <left style="thin">
        <color rgb="FF00335A"/>
      </left>
      <right style="thin">
        <color rgb="FF00335A"/>
      </right>
      <top style="thin">
        <color rgb="FF00335A"/>
      </top>
      <bottom style="thin">
        <color rgb="FF00335A"/>
      </bottom>
      <diagonal/>
    </border>
    <border>
      <left style="thin">
        <color rgb="FF004070"/>
      </left>
      <right style="thin">
        <color rgb="FF004070"/>
      </right>
      <top style="thin">
        <color rgb="FF004070"/>
      </top>
      <bottom style="thin">
        <color rgb="FF004070"/>
      </bottom>
      <diagonal/>
    </border>
    <border>
      <left style="thin">
        <color rgb="FFF3F5F7"/>
      </left>
      <right style="thin">
        <color rgb="FFF3F5F7"/>
      </right>
      <top style="thin">
        <color rgb="FFF3F5F7"/>
      </top>
      <bottom style="thin">
        <color rgb="FFF3F5F7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indent="1"/>
    </xf>
    <xf numFmtId="0" fontId="3" fillId="2" borderId="0" xfId="0" applyFont="1" applyFill="1" applyAlignment="1">
      <alignment vertical="top" indent="1"/>
    </xf>
    <xf numFmtId="0" fontId="1" fillId="3" borderId="0" xfId="0" applyFont="1" applyFill="1" applyAlignment="1">
      <alignment vertical="center"/>
    </xf>
    <xf numFmtId="0" fontId="4" fillId="0" borderId="1" xfId="0" applyFont="1" applyBorder="1" applyAlignment="1"/>
    <xf numFmtId="0" fontId="5" fillId="0" borderId="0" xfId="0" applyFont="1" applyAlignment="1">
      <alignment horizontal="left" vertical="center" indent="1"/>
    </xf>
    <xf numFmtId="164" fontId="6" fillId="4" borderId="2" xfId="0" applyNumberFormat="1" applyFont="1" applyFill="1" applyBorder="1" applyAlignment="1" applyProtection="1">
      <alignment horizontal="center" vertical="center"/>
      <protection locked="0"/>
    </xf>
    <xf numFmtId="0" fontId="6" fillId="4" borderId="2" xfId="0" applyFont="1" applyFill="1" applyBorder="1" applyAlignment="1" applyProtection="1">
      <alignment horizontal="center" vertical="center"/>
      <protection locked="0"/>
    </xf>
    <xf numFmtId="0" fontId="6" fillId="4" borderId="2" xfId="0" applyFont="1" applyFill="1" applyBorder="1" applyAlignment="1" applyProtection="1">
      <alignment horizontal="left" vertical="center" indent="1"/>
      <protection locked="0"/>
    </xf>
    <xf numFmtId="0" fontId="5" fillId="5" borderId="3" xfId="0" applyFont="1" applyFill="1" applyBorder="1" applyAlignment="1">
      <alignment horizontal="left" vertical="center" indent="1"/>
    </xf>
    <xf numFmtId="0" fontId="6" fillId="5" borderId="4" xfId="0" applyFont="1" applyFill="1" applyBorder="1" applyAlignment="1">
      <alignment horizontal="left" vertical="center" indent="1"/>
    </xf>
    <xf numFmtId="165" fontId="6" fillId="5" borderId="4" xfId="0" applyNumberFormat="1" applyFont="1" applyFill="1" applyBorder="1" applyAlignment="1">
      <alignment horizontal="left" vertical="center" indent="1"/>
    </xf>
    <xf numFmtId="166" fontId="6" fillId="5" borderId="4" xfId="0" applyNumberFormat="1" applyFont="1" applyFill="1" applyBorder="1" applyAlignment="1">
      <alignment horizontal="left" vertical="center" indent="1"/>
    </xf>
    <xf numFmtId="1" fontId="6" fillId="5" borderId="4" xfId="0" applyNumberFormat="1" applyFont="1" applyFill="1" applyBorder="1" applyAlignment="1">
      <alignment horizontal="left" vertical="center" indent="1"/>
    </xf>
    <xf numFmtId="0" fontId="7" fillId="6" borderId="2" xfId="0" applyFont="1" applyFill="1" applyBorder="1" applyAlignment="1">
      <alignment horizontal="left" vertical="center" indent="1"/>
    </xf>
    <xf numFmtId="0" fontId="8" fillId="7" borderId="2" xfId="0" applyFont="1" applyFill="1" applyBorder="1" applyAlignment="1">
      <alignment horizontal="center" vertical="center"/>
    </xf>
    <xf numFmtId="1" fontId="9" fillId="7" borderId="2" xfId="0" applyNumberFormat="1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167" fontId="9" fillId="7" borderId="2" xfId="0" applyNumberFormat="1" applyFont="1" applyFill="1" applyBorder="1" applyAlignment="1">
      <alignment horizontal="center" vertical="center"/>
    </xf>
    <xf numFmtId="168" fontId="9" fillId="7" borderId="2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164" fontId="4" fillId="5" borderId="2" xfId="0" applyNumberFormat="1" applyFont="1" applyFill="1" applyBorder="1" applyAlignment="1">
      <alignment horizontal="left" vertical="center" indent="1"/>
    </xf>
    <xf numFmtId="0" fontId="4" fillId="5" borderId="2" xfId="0" applyFont="1" applyFill="1" applyBorder="1" applyAlignment="1">
      <alignment horizontal="left" vertical="center" indent="1"/>
    </xf>
    <xf numFmtId="165" fontId="4" fillId="5" borderId="2" xfId="0" applyNumberFormat="1" applyFont="1" applyFill="1" applyBorder="1" applyAlignment="1">
      <alignment horizontal="left" vertical="center" indent="1"/>
    </xf>
    <xf numFmtId="0" fontId="11" fillId="0" borderId="0" xfId="0" applyFont="1" applyAlignment="1">
      <alignment vertical="center"/>
    </xf>
    <xf numFmtId="0" fontId="12" fillId="2" borderId="5" xfId="0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" fillId="7" borderId="2" xfId="0" applyFont="1" applyFill="1" applyBorder="1" applyAlignment="1">
      <alignment horizontal="left" vertical="center" indent="1" wrapText="1"/>
    </xf>
    <xf numFmtId="0" fontId="14" fillId="7" borderId="2" xfId="0" applyFont="1" applyFill="1" applyBorder="1" applyAlignment="1">
      <alignment horizontal="center" vertical="center"/>
    </xf>
    <xf numFmtId="0" fontId="15" fillId="7" borderId="2" xfId="0" applyFont="1" applyFill="1" applyBorder="1" applyAlignment="1">
      <alignment horizontal="center" vertical="center"/>
    </xf>
    <xf numFmtId="1" fontId="1" fillId="7" borderId="2" xfId="0" applyNumberFormat="1" applyFont="1" applyFill="1" applyBorder="1" applyAlignment="1" applyProtection="1">
      <alignment horizontal="center" vertical="center"/>
      <protection locked="0"/>
    </xf>
    <xf numFmtId="1" fontId="16" fillId="8" borderId="2" xfId="0" applyNumberFormat="1" applyFont="1" applyFill="1" applyBorder="1" applyAlignment="1">
      <alignment horizontal="center" vertical="center"/>
    </xf>
    <xf numFmtId="1" fontId="17" fillId="7" borderId="2" xfId="0" applyNumberFormat="1" applyFont="1" applyFill="1" applyBorder="1" applyAlignment="1">
      <alignment horizontal="center" vertical="center"/>
    </xf>
    <xf numFmtId="1" fontId="18" fillId="7" borderId="2" xfId="0" applyNumberFormat="1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left" vertical="center" indent="1" wrapText="1"/>
    </xf>
    <xf numFmtId="0" fontId="14" fillId="9" borderId="2" xfId="0" applyFont="1" applyFill="1" applyBorder="1" applyAlignment="1">
      <alignment horizontal="center" vertical="center"/>
    </xf>
    <xf numFmtId="0" fontId="15" fillId="9" borderId="2" xfId="0" applyFont="1" applyFill="1" applyBorder="1" applyAlignment="1">
      <alignment horizontal="center" vertical="center"/>
    </xf>
    <xf numFmtId="1" fontId="1" fillId="9" borderId="2" xfId="0" applyNumberFormat="1" applyFont="1" applyFill="1" applyBorder="1" applyAlignment="1" applyProtection="1">
      <alignment horizontal="center" vertical="center"/>
      <protection locked="0"/>
    </xf>
    <xf numFmtId="1" fontId="17" fillId="9" borderId="2" xfId="0" applyNumberFormat="1" applyFont="1" applyFill="1" applyBorder="1" applyAlignment="1">
      <alignment horizontal="center" vertical="center"/>
    </xf>
    <xf numFmtId="1" fontId="18" fillId="9" borderId="2" xfId="0" applyNumberFormat="1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167" fontId="1" fillId="9" borderId="2" xfId="0" applyNumberFormat="1" applyFont="1" applyFill="1" applyBorder="1" applyAlignment="1" applyProtection="1">
      <alignment horizontal="center" vertical="center"/>
      <protection locked="0"/>
    </xf>
    <xf numFmtId="167" fontId="16" fillId="8" borderId="2" xfId="0" applyNumberFormat="1" applyFont="1" applyFill="1" applyBorder="1" applyAlignment="1">
      <alignment horizontal="center" vertical="center"/>
    </xf>
    <xf numFmtId="167" fontId="17" fillId="9" borderId="2" xfId="0" applyNumberFormat="1" applyFont="1" applyFill="1" applyBorder="1" applyAlignment="1">
      <alignment horizontal="center" vertical="center"/>
    </xf>
    <xf numFmtId="167" fontId="18" fillId="9" borderId="2" xfId="0" applyNumberFormat="1" applyFont="1" applyFill="1" applyBorder="1" applyAlignment="1">
      <alignment horizontal="center" vertical="center"/>
    </xf>
    <xf numFmtId="168" fontId="1" fillId="7" borderId="2" xfId="0" applyNumberFormat="1" applyFont="1" applyFill="1" applyBorder="1" applyAlignment="1" applyProtection="1">
      <alignment horizontal="center" vertical="center"/>
      <protection locked="0"/>
    </xf>
    <xf numFmtId="168" fontId="16" fillId="8" borderId="2" xfId="0" applyNumberFormat="1" applyFont="1" applyFill="1" applyBorder="1" applyAlignment="1">
      <alignment horizontal="center" vertical="center"/>
    </xf>
    <xf numFmtId="168" fontId="17" fillId="7" borderId="2" xfId="0" applyNumberFormat="1" applyFont="1" applyFill="1" applyBorder="1" applyAlignment="1">
      <alignment horizontal="center" vertical="center"/>
    </xf>
    <xf numFmtId="168" fontId="18" fillId="7" borderId="2" xfId="0" applyNumberFormat="1" applyFont="1" applyFill="1" applyBorder="1" applyAlignment="1">
      <alignment horizontal="center" vertical="center"/>
    </xf>
    <xf numFmtId="168" fontId="1" fillId="9" borderId="2" xfId="0" applyNumberFormat="1" applyFont="1" applyFill="1" applyBorder="1" applyAlignment="1" applyProtection="1">
      <alignment horizontal="center" vertical="center"/>
      <protection locked="0"/>
    </xf>
    <xf numFmtId="168" fontId="17" fillId="9" borderId="2" xfId="0" applyNumberFormat="1" applyFont="1" applyFill="1" applyBorder="1" applyAlignment="1">
      <alignment horizontal="center" vertical="center"/>
    </xf>
    <xf numFmtId="168" fontId="18" fillId="9" borderId="2" xfId="0" applyNumberFormat="1" applyFont="1" applyFill="1" applyBorder="1" applyAlignment="1">
      <alignment horizontal="center" vertical="center"/>
    </xf>
    <xf numFmtId="167" fontId="1" fillId="7" borderId="2" xfId="0" applyNumberFormat="1" applyFont="1" applyFill="1" applyBorder="1" applyAlignment="1" applyProtection="1">
      <alignment horizontal="center" vertical="center"/>
      <protection locked="0"/>
    </xf>
    <xf numFmtId="167" fontId="17" fillId="7" borderId="2" xfId="0" applyNumberFormat="1" applyFont="1" applyFill="1" applyBorder="1" applyAlignment="1">
      <alignment horizontal="center" vertical="center"/>
    </xf>
    <xf numFmtId="167" fontId="18" fillId="7" borderId="2" xfId="0" applyNumberFormat="1" applyFont="1" applyFill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top" wrapText="1"/>
      <protection locked="0"/>
    </xf>
    <xf numFmtId="0" fontId="5" fillId="0" borderId="0" xfId="0" applyFont="1" applyAlignment="1">
      <alignment vertical="center" wrapText="1"/>
    </xf>
    <xf numFmtId="0" fontId="4" fillId="5" borderId="2" xfId="0" applyFont="1" applyFill="1" applyBorder="1" applyAlignment="1">
      <alignment horizontal="center" vertical="center"/>
    </xf>
    <xf numFmtId="0" fontId="16" fillId="4" borderId="2" xfId="0" applyFont="1" applyFill="1" applyBorder="1" applyAlignment="1" applyProtection="1">
      <alignment horizontal="center" vertical="center"/>
      <protection locked="0"/>
    </xf>
    <xf numFmtId="0" fontId="16" fillId="4" borderId="2" xfId="0" applyFont="1" applyFill="1" applyBorder="1" applyAlignment="1" applyProtection="1">
      <alignment horizontal="left" vertical="center" indent="1"/>
      <protection locked="0"/>
    </xf>
    <xf numFmtId="0" fontId="19" fillId="5" borderId="2" xfId="0" applyFont="1" applyFill="1" applyBorder="1" applyAlignment="1" applyProtection="1">
      <alignment horizontal="left" vertical="center" indent="1" wrapText="1"/>
      <protection locked="0"/>
    </xf>
    <xf numFmtId="0" fontId="19" fillId="4" borderId="2" xfId="0" applyFont="1" applyFill="1" applyBorder="1" applyAlignment="1" applyProtection="1">
      <alignment vertical="center"/>
      <protection locked="0"/>
    </xf>
    <xf numFmtId="0" fontId="19" fillId="4" borderId="2" xfId="0" applyFont="1" applyFill="1" applyBorder="1" applyAlignment="1" applyProtection="1">
      <alignment vertical="top" wrapText="1"/>
      <protection locked="0"/>
    </xf>
    <xf numFmtId="0" fontId="12" fillId="2" borderId="5" xfId="0" applyFont="1" applyFill="1" applyBorder="1" applyAlignment="1">
      <alignment horizontal="center" vertical="center"/>
    </xf>
    <xf numFmtId="0" fontId="19" fillId="4" borderId="2" xfId="0" applyFont="1" applyFill="1" applyBorder="1" applyAlignment="1" applyProtection="1">
      <alignment horizontal="center" vertical="center"/>
      <protection locked="0"/>
    </xf>
    <xf numFmtId="0" fontId="19" fillId="4" borderId="2" xfId="0" applyFont="1" applyFill="1" applyBorder="1" applyAlignment="1" applyProtection="1">
      <alignment horizontal="left" vertical="center"/>
      <protection locked="0"/>
    </xf>
    <xf numFmtId="0" fontId="11" fillId="5" borderId="2" xfId="0" applyFont="1" applyFill="1" applyBorder="1" applyAlignment="1" applyProtection="1">
      <alignment horizontal="left" vertical="center" indent="1"/>
      <protection locked="0"/>
    </xf>
    <xf numFmtId="0" fontId="19" fillId="5" borderId="2" xfId="0" applyFont="1" applyFill="1" applyBorder="1" applyAlignment="1" applyProtection="1">
      <alignment horizontal="left" vertical="center" indent="1"/>
      <protection locked="0"/>
    </xf>
    <xf numFmtId="0" fontId="20" fillId="2" borderId="5" xfId="0" applyFont="1" applyFill="1" applyBorder="1" applyAlignment="1">
      <alignment horizontal="center" vertical="center" wrapText="1"/>
    </xf>
    <xf numFmtId="164" fontId="19" fillId="0" borderId="0" xfId="0" applyNumberFormat="1" applyFont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center" vertical="center"/>
    </xf>
    <xf numFmtId="165" fontId="19" fillId="0" borderId="0" xfId="0" applyNumberFormat="1" applyFont="1" applyAlignment="1">
      <alignment vertical="center"/>
    </xf>
    <xf numFmtId="1" fontId="19" fillId="0" borderId="0" xfId="0" applyNumberFormat="1" applyFont="1" applyAlignment="1">
      <alignment horizontal="center" vertical="center"/>
    </xf>
    <xf numFmtId="167" fontId="19" fillId="0" borderId="0" xfId="0" applyNumberFormat="1" applyFont="1" applyAlignment="1">
      <alignment horizontal="center" vertical="center"/>
    </xf>
    <xf numFmtId="168" fontId="19" fillId="0" borderId="0" xfId="0" applyNumberFormat="1" applyFont="1" applyAlignment="1">
      <alignment horizontal="center" vertical="center"/>
    </xf>
    <xf numFmtId="0" fontId="19" fillId="0" borderId="0" xfId="0" applyFont="1" applyAlignment="1">
      <alignment vertical="top" wrapText="1"/>
    </xf>
    <xf numFmtId="0" fontId="12" fillId="2" borderId="6" xfId="0" applyFont="1" applyFill="1" applyBorder="1" applyAlignment="1">
      <alignment horizontal="center" vertical="center" wrapText="1"/>
    </xf>
    <xf numFmtId="0" fontId="12" fillId="2" borderId="6" xfId="0" applyFont="1" applyFill="1" applyBorder="1" applyAlignment="1">
      <alignment horizontal="center" vertical="center"/>
    </xf>
    <xf numFmtId="0" fontId="21" fillId="10" borderId="0" xfId="0" applyFont="1" applyFill="1" applyAlignment="1">
      <alignment horizontal="left" vertical="center" indent="1"/>
    </xf>
    <xf numFmtId="0" fontId="22" fillId="5" borderId="2" xfId="0" applyFont="1" applyFill="1" applyBorder="1" applyAlignment="1">
      <alignment horizontal="left" vertical="center" indent="1"/>
    </xf>
    <xf numFmtId="0" fontId="1" fillId="4" borderId="2" xfId="0" applyFont="1" applyFill="1" applyBorder="1" applyAlignment="1" applyProtection="1">
      <alignment horizontal="center" vertical="center"/>
      <protection locked="0"/>
    </xf>
    <xf numFmtId="0" fontId="11" fillId="0" borderId="0" xfId="0" applyFont="1" applyAlignment="1">
      <alignment horizontal="left" vertical="center" indent="1"/>
    </xf>
    <xf numFmtId="0" fontId="10" fillId="6" borderId="0" xfId="0" applyFont="1" applyFill="1" applyAlignment="1">
      <alignment vertical="center" wrapText="1"/>
    </xf>
    <xf numFmtId="0" fontId="19" fillId="0" borderId="7" xfId="0" applyFont="1" applyBorder="1" applyAlignment="1">
      <alignment vertical="center"/>
    </xf>
    <xf numFmtId="169" fontId="1" fillId="4" borderId="2" xfId="0" applyNumberFormat="1" applyFont="1" applyFill="1" applyBorder="1" applyAlignment="1" applyProtection="1">
      <alignment horizontal="center" vertical="center"/>
      <protection locked="0"/>
    </xf>
    <xf numFmtId="0" fontId="23" fillId="0" borderId="0" xfId="0" applyFont="1" applyAlignment="1">
      <alignment horizontal="left" vertical="center" indent="1" wrapText="1"/>
    </xf>
    <xf numFmtId="0" fontId="21" fillId="11" borderId="8" xfId="0" applyFont="1" applyFill="1" applyBorder="1" applyAlignment="1">
      <alignment horizontal="center" vertical="center" wrapText="1"/>
    </xf>
    <xf numFmtId="0" fontId="17" fillId="5" borderId="8" xfId="0" applyFont="1" applyFill="1" applyBorder="1" applyAlignment="1">
      <alignment horizontal="left" vertical="center" indent="1"/>
    </xf>
    <xf numFmtId="0" fontId="22" fillId="5" borderId="8" xfId="0" applyFont="1" applyFill="1" applyBorder="1" applyAlignment="1">
      <alignment horizontal="left" vertical="center" indent="1"/>
    </xf>
    <xf numFmtId="0" fontId="24" fillId="4" borderId="2" xfId="0" applyFont="1" applyFill="1" applyBorder="1" applyAlignment="1" applyProtection="1">
      <alignment vertical="center"/>
      <protection locked="0"/>
    </xf>
    <xf numFmtId="0" fontId="17" fillId="7" borderId="8" xfId="0" applyFont="1" applyFill="1" applyBorder="1" applyAlignment="1">
      <alignment horizontal="left" vertical="center" indent="1"/>
    </xf>
    <xf numFmtId="0" fontId="22" fillId="7" borderId="8" xfId="0" applyFont="1" applyFill="1" applyBorder="1" applyAlignment="1">
      <alignment horizontal="left" vertical="center" indent="1"/>
    </xf>
    <xf numFmtId="0" fontId="25" fillId="0" borderId="0" xfId="0" applyFont="1" applyAlignment="1">
      <alignment vertical="center"/>
    </xf>
    <xf numFmtId="165" fontId="1" fillId="0" borderId="0" xfId="0" applyNumberFormat="1" applyFont="1" applyAlignment="1">
      <alignment vertical="center"/>
    </xf>
    <xf numFmtId="0" fontId="26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170" fontId="1" fillId="5" borderId="0" xfId="0" applyNumberFormat="1" applyFont="1" applyFill="1" applyAlignment="1">
      <alignment horizontal="left" vertical="center"/>
    </xf>
    <xf numFmtId="0" fontId="27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1" fillId="2" borderId="0" xfId="0" applyFont="1" applyFill="1" applyAlignment="1">
      <alignment vertical="center"/>
    </xf>
    <xf numFmtId="0" fontId="20" fillId="2" borderId="0" xfId="0" applyFont="1" applyFill="1" applyAlignment="1">
      <alignment vertical="center" wrapText="1"/>
    </xf>
    <xf numFmtId="168" fontId="1" fillId="0" borderId="0" xfId="0" applyNumberFormat="1" applyFont="1" applyAlignment="1">
      <alignment vertical="center"/>
    </xf>
  </cellXfs>
  <cellStyles count="1">
    <cellStyle name="Normal" xfId="0" builtinId="0"/>
  </cellStyles>
  <dxfs count="7">
    <dxf>
      <font>
        <b/>
        <color rgb="FFF37021"/>
      </font>
      <fill>
        <patternFill>
          <bgColor rgb="FFFDE6D8"/>
        </patternFill>
      </fill>
    </dxf>
    <dxf>
      <font>
        <color rgb="FF1E7B4A"/>
      </font>
      <fill>
        <patternFill>
          <bgColor rgb="FFE2F3E8"/>
        </patternFill>
      </fill>
    </dxf>
    <dxf>
      <font>
        <color rgb="FFFFFFFF"/>
      </font>
      <fill>
        <patternFill>
          <bgColor rgb="FFF37021"/>
        </patternFill>
      </fill>
    </dxf>
    <dxf>
      <font>
        <color rgb="FFFFFFFF"/>
      </font>
      <fill>
        <patternFill>
          <bgColor rgb="FF1E7B4A"/>
        </patternFill>
      </fill>
    </dxf>
    <dxf>
      <font>
        <b/>
        <color rgb="FFB4501A"/>
      </font>
      <fill>
        <patternFill>
          <bgColor rgb="FFFDE6D8"/>
        </patternFill>
      </fill>
    </dxf>
    <dxf>
      <font>
        <b/>
        <color rgb="FFB4501A"/>
      </font>
    </dxf>
    <dxf>
      <font>
        <color rgb="FFB4501A"/>
      </font>
      <fill>
        <patternFill>
          <bgColor rgb="FFFDE6D8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3</xdr:col>
      <xdr:colOff>194310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8</xdr:row>
      <xdr:rowOff>28575</xdr:rowOff>
    </xdr:from>
    <xdr:to>
      <xdr:col>3</xdr:col>
      <xdr:colOff>95250</xdr:colOff>
      <xdr:row>8</xdr:row>
      <xdr:rowOff>238125</xdr:rowOff>
    </xdr:to>
    <xdr:sp macro="[0]!BtnTurnoAtual" textlink="">
      <xdr:nvSpPr>
        <xdr:cNvPr id="3" name="TextBox 2" descr="Botão: BtnTurnoAtual"/>
        <xdr:cNvSpPr txBox="1"/>
      </xdr:nvSpPr>
      <xdr:spPr>
        <a:xfrm>
          <a:off x="180975" y="1733550"/>
          <a:ext cx="1428750" cy="2095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00335A"/>
              </a:solidFill>
              <a:latin typeface="Segoe UI"/>
              <a:cs typeface="Segoe UI"/>
            </a:rPr>
            <a:t>Usar turno atual</a:t>
          </a:r>
        </a:p>
      </xdr:txBody>
    </xdr:sp>
    <xdr:clientData fPrintsWithSheet="0"/>
  </xdr:twoCellAnchor>
  <xdr:twoCellAnchor editAs="absolute">
    <xdr:from>
      <xdr:col>1</xdr:col>
      <xdr:colOff>38100</xdr:colOff>
      <xdr:row>11</xdr:row>
      <xdr:rowOff>57150</xdr:rowOff>
    </xdr:from>
    <xdr:to>
      <xdr:col>4</xdr:col>
      <xdr:colOff>533400</xdr:colOff>
      <xdr:row>13</xdr:row>
      <xdr:rowOff>190500</xdr:rowOff>
    </xdr:to>
    <xdr:sp macro="[0]!AtualizarMES" textlink="">
      <xdr:nvSpPr>
        <xdr:cNvPr id="4" name="TextBox 3" descr="Botão: AtualizarMES"/>
        <xdr:cNvSpPr txBox="1"/>
      </xdr:nvSpPr>
      <xdr:spPr>
        <a:xfrm>
          <a:off x="219075" y="2552700"/>
          <a:ext cx="2495550" cy="5905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FFFFFF"/>
              </a:solidFill>
              <a:latin typeface="Segoe UI"/>
              <a:cs typeface="Segoe UI"/>
            </a:rPr>
            <a:t>1 · Atualizar dados do MES</a:t>
          </a:r>
        </a:p>
        <a:p>
          <a:pPr algn="ctr"/>
          <a:r>
            <a:rPr lang="en-US" sz="850" b="0">
              <a:solidFill>
                <a:srgbClr val="FFFFFF"/>
              </a:solidFill>
              <a:latin typeface="Segoe UI"/>
              <a:cs typeface="Segoe UI"/>
            </a:rPr>
            <a:t>Busca os resultados das Usinas 3 e 4</a:t>
          </a:r>
        </a:p>
      </xdr:txBody>
    </xdr:sp>
    <xdr:clientData fPrintsWithSheet="0"/>
  </xdr:twoCellAnchor>
  <xdr:twoCellAnchor editAs="absolute">
    <xdr:from>
      <xdr:col>5</xdr:col>
      <xdr:colOff>38100</xdr:colOff>
      <xdr:row>11</xdr:row>
      <xdr:rowOff>57150</xdr:rowOff>
    </xdr:from>
    <xdr:to>
      <xdr:col>8</xdr:col>
      <xdr:colOff>533400</xdr:colOff>
      <xdr:row>13</xdr:row>
      <xdr:rowOff>190500</xdr:rowOff>
    </xdr:to>
    <xdr:sp macro="[0]!IrPassagem" textlink="">
      <xdr:nvSpPr>
        <xdr:cNvPr id="5" name="TextBox 4" descr="Botão: IrPassagem"/>
        <xdr:cNvSpPr txBox="1"/>
      </xdr:nvSpPr>
      <xdr:spPr>
        <a:xfrm>
          <a:off x="2886075" y="2552700"/>
          <a:ext cx="2495550" cy="5905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FFFFFF"/>
              </a:solidFill>
              <a:latin typeface="Segoe UI"/>
              <a:cs typeface="Segoe UI"/>
            </a:rPr>
            <a:t>2 · Passagem de turno</a:t>
          </a:r>
        </a:p>
        <a:p>
          <a:pPr algn="ctr"/>
          <a:r>
            <a:rPr lang="en-US" sz="850" b="0">
              <a:solidFill>
                <a:srgbClr val="FFFFFF"/>
              </a:solidFill>
              <a:latin typeface="Segoe UI"/>
              <a:cs typeface="Segoe UI"/>
            </a:rPr>
            <a:t>Equipe, testes, equipamentos e comentários</a:t>
          </a:r>
        </a:p>
      </xdr:txBody>
    </xdr:sp>
    <xdr:clientData fPrintsWithSheet="0"/>
  </xdr:twoCellAnchor>
  <xdr:twoCellAnchor editAs="absolute">
    <xdr:from>
      <xdr:col>9</xdr:col>
      <xdr:colOff>38100</xdr:colOff>
      <xdr:row>11</xdr:row>
      <xdr:rowOff>57150</xdr:rowOff>
    </xdr:from>
    <xdr:to>
      <xdr:col>12</xdr:col>
      <xdr:colOff>533400</xdr:colOff>
      <xdr:row>13</xdr:row>
      <xdr:rowOff>190500</xdr:rowOff>
    </xdr:to>
    <xdr:sp macro="[0]!IrInformativo" textlink="">
      <xdr:nvSpPr>
        <xdr:cNvPr id="6" name="TextBox 5" descr="Botão: IrInformativo"/>
        <xdr:cNvSpPr txBox="1"/>
      </xdr:nvSpPr>
      <xdr:spPr>
        <a:xfrm>
          <a:off x="5553075" y="2552700"/>
          <a:ext cx="2495550" cy="5905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FFFFFF"/>
              </a:solidFill>
              <a:latin typeface="Segoe UI"/>
              <a:cs typeface="Segoe UI"/>
            </a:rPr>
            <a:t>3 · Informativo do turno</a:t>
          </a:r>
        </a:p>
        <a:p>
          <a:pPr algn="ctr"/>
          <a:r>
            <a:rPr lang="en-US" sz="850" b="0">
              <a:solidFill>
                <a:srgbClr val="FFFFFF"/>
              </a:solidFill>
              <a:latin typeface="Segoe UI"/>
              <a:cs typeface="Segoe UI"/>
            </a:rPr>
            <a:t>Resultados por usina e cópia como imagem</a:t>
          </a:r>
        </a:p>
      </xdr:txBody>
    </xdr:sp>
    <xdr:clientData fPrintsWithSheet="0"/>
  </xdr:twoCellAnchor>
  <xdr:twoCellAnchor editAs="absolute">
    <xdr:from>
      <xdr:col>13</xdr:col>
      <xdr:colOff>38100</xdr:colOff>
      <xdr:row>11</xdr:row>
      <xdr:rowOff>57150</xdr:rowOff>
    </xdr:from>
    <xdr:to>
      <xdr:col>16</xdr:col>
      <xdr:colOff>533400</xdr:colOff>
      <xdr:row>13</xdr:row>
      <xdr:rowOff>190500</xdr:rowOff>
    </xdr:to>
    <xdr:sp macro="[0]!FecharTurno" textlink="">
      <xdr:nvSpPr>
        <xdr:cNvPr id="7" name="TextBox 6" descr="Botão: FecharTurno"/>
        <xdr:cNvSpPr txBox="1"/>
      </xdr:nvSpPr>
      <xdr:spPr>
        <a:xfrm>
          <a:off x="8220075" y="2552700"/>
          <a:ext cx="2495550" cy="59055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2643"/>
              </a:solidFill>
              <a:latin typeface="Segoe UI"/>
              <a:cs typeface="Segoe UI"/>
            </a:rPr>
            <a:t>4 · Salvar turno</a:t>
          </a:r>
        </a:p>
        <a:p>
          <a:pPr algn="ctr"/>
          <a:r>
            <a:rPr lang="en-US" sz="850" b="0">
              <a:solidFill>
                <a:srgbClr val="002643"/>
              </a:solidFill>
              <a:latin typeface="Segoe UI"/>
              <a:cs typeface="Segoe UI"/>
            </a:rPr>
            <a:t>Grava no histórico</a:t>
          </a:r>
        </a:p>
      </xdr:txBody>
    </xdr:sp>
    <xdr:clientData fPrintsWithSheet="0"/>
  </xdr:twoCellAnchor>
  <xdr:twoCellAnchor editAs="absolute">
    <xdr:from>
      <xdr:col>1</xdr:col>
      <xdr:colOff>38100</xdr:colOff>
      <xdr:row>26</xdr:row>
      <xdr:rowOff>38100</xdr:rowOff>
    </xdr:from>
    <xdr:to>
      <xdr:col>4</xdr:col>
      <xdr:colOff>533400</xdr:colOff>
      <xdr:row>26</xdr:row>
      <xdr:rowOff>304800</xdr:rowOff>
    </xdr:to>
    <xdr:sp macro="[0]!IrHistorico" textlink="">
      <xdr:nvSpPr>
        <xdr:cNvPr id="8" name="TextBox 7" descr="Botão: IrHistorico"/>
        <xdr:cNvSpPr txBox="1"/>
      </xdr:nvSpPr>
      <xdr:spPr>
        <a:xfrm>
          <a:off x="219075" y="6191250"/>
          <a:ext cx="2495550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Histórico dos turnos</a:t>
          </a:r>
        </a:p>
      </xdr:txBody>
    </xdr:sp>
    <xdr:clientData fPrintsWithSheet="0"/>
  </xdr:twoCellAnchor>
  <xdr:twoCellAnchor editAs="absolute">
    <xdr:from>
      <xdr:col>5</xdr:col>
      <xdr:colOff>38100</xdr:colOff>
      <xdr:row>26</xdr:row>
      <xdr:rowOff>38100</xdr:rowOff>
    </xdr:from>
    <xdr:to>
      <xdr:col>8</xdr:col>
      <xdr:colOff>533400</xdr:colOff>
      <xdr:row>26</xdr:row>
      <xdr:rowOff>304800</xdr:rowOff>
    </xdr:to>
    <xdr:sp macro="[0]!IrRegistro" textlink="">
      <xdr:nvSpPr>
        <xdr:cNvPr id="9" name="TextBox 8" descr="Botão: IrRegistro"/>
        <xdr:cNvSpPr txBox="1"/>
      </xdr:nvSpPr>
      <xdr:spPr>
        <a:xfrm>
          <a:off x="2886075" y="6191250"/>
          <a:ext cx="2495550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Registro da passagem</a:t>
          </a:r>
        </a:p>
      </xdr:txBody>
    </xdr:sp>
    <xdr:clientData fPrintsWithSheet="0"/>
  </xdr:twoCellAnchor>
  <xdr:twoCellAnchor editAs="absolute">
    <xdr:from>
      <xdr:col>9</xdr:col>
      <xdr:colOff>38100</xdr:colOff>
      <xdr:row>26</xdr:row>
      <xdr:rowOff>38100</xdr:rowOff>
    </xdr:from>
    <xdr:to>
      <xdr:col>12</xdr:col>
      <xdr:colOff>533400</xdr:colOff>
      <xdr:row>26</xdr:row>
      <xdr:rowOff>304800</xdr:rowOff>
    </xdr:to>
    <xdr:sp macro="[0]!IrConfig" textlink="">
      <xdr:nvSpPr>
        <xdr:cNvPr id="10" name="TextBox 9" descr="Botão: IrConfig"/>
        <xdr:cNvSpPr txBox="1"/>
      </xdr:nvSpPr>
      <xdr:spPr>
        <a:xfrm>
          <a:off x="5553075" y="6191250"/>
          <a:ext cx="2495550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Configurações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1</xdr:col>
      <xdr:colOff>1527810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0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17</xdr:col>
      <xdr:colOff>38100</xdr:colOff>
      <xdr:row>1</xdr:row>
      <xdr:rowOff>0</xdr:rowOff>
    </xdr:from>
    <xdr:to>
      <xdr:col>18</xdr:col>
      <xdr:colOff>19050</xdr:colOff>
      <xdr:row>1</xdr:row>
      <xdr:rowOff>285750</xdr:rowOff>
    </xdr:to>
    <xdr:sp macro="[0]!IrPainel" textlink="">
      <xdr:nvSpPr>
        <xdr:cNvPr id="3" name="TextBox 2" descr="Botão: IrPainel"/>
        <xdr:cNvSpPr txBox="1"/>
      </xdr:nvSpPr>
      <xdr:spPr>
        <a:xfrm>
          <a:off x="11630025" y="76200"/>
          <a:ext cx="1762125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17</xdr:col>
      <xdr:colOff>38100</xdr:colOff>
      <xdr:row>4</xdr:row>
      <xdr:rowOff>0</xdr:rowOff>
    </xdr:from>
    <xdr:to>
      <xdr:col>18</xdr:col>
      <xdr:colOff>19050</xdr:colOff>
      <xdr:row>5</xdr:row>
      <xdr:rowOff>95250</xdr:rowOff>
    </xdr:to>
    <xdr:sp macro="[0]!AtualizarMES" textlink="">
      <xdr:nvSpPr>
        <xdr:cNvPr id="4" name="TextBox 3" descr="Botão: AtualizarMES"/>
        <xdr:cNvSpPr txBox="1"/>
      </xdr:nvSpPr>
      <xdr:spPr>
        <a:xfrm>
          <a:off x="11630025" y="695325"/>
          <a:ext cx="1762125" cy="2857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17</xdr:col>
      <xdr:colOff>38100</xdr:colOff>
      <xdr:row>7</xdr:row>
      <xdr:rowOff>0</xdr:rowOff>
    </xdr:from>
    <xdr:to>
      <xdr:col>18</xdr:col>
      <xdr:colOff>19050</xdr:colOff>
      <xdr:row>8</xdr:row>
      <xdr:rowOff>95250</xdr:rowOff>
    </xdr:to>
    <xdr:sp macro="[0]!CopiarImagem" textlink="">
      <xdr:nvSpPr>
        <xdr:cNvPr id="5" name="TextBox 4" descr="Botão: CopiarImagem"/>
        <xdr:cNvSpPr txBox="1"/>
      </xdr:nvSpPr>
      <xdr:spPr>
        <a:xfrm>
          <a:off x="11630025" y="1352550"/>
          <a:ext cx="1762125" cy="28575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como imagem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1</xdr:col>
      <xdr:colOff>1527810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0</xdr:rowOff>
    </xdr:from>
    <xdr:to>
      <xdr:col>15</xdr:col>
      <xdr:colOff>76200</xdr:colOff>
      <xdr:row>1</xdr:row>
      <xdr:rowOff>285750</xdr:rowOff>
    </xdr:to>
    <xdr:sp macro="[0]!IrPainel" textlink="">
      <xdr:nvSpPr>
        <xdr:cNvPr id="3" name="TextBox 2" descr="Botão: IrPainel"/>
        <xdr:cNvSpPr txBox="1"/>
      </xdr:nvSpPr>
      <xdr:spPr>
        <a:xfrm>
          <a:off x="9582150" y="76200"/>
          <a:ext cx="1952625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14</xdr:col>
      <xdr:colOff>38100</xdr:colOff>
      <xdr:row>4</xdr:row>
      <xdr:rowOff>0</xdr:rowOff>
    </xdr:from>
    <xdr:to>
      <xdr:col>15</xdr:col>
      <xdr:colOff>76200</xdr:colOff>
      <xdr:row>5</xdr:row>
      <xdr:rowOff>95250</xdr:rowOff>
    </xdr:to>
    <xdr:sp macro="[0]!CopiarImagemPassagem" textlink="">
      <xdr:nvSpPr>
        <xdr:cNvPr id="4" name="TextBox 3" descr="Botão: CopiarImagemPassagem"/>
        <xdr:cNvSpPr txBox="1"/>
      </xdr:nvSpPr>
      <xdr:spPr>
        <a:xfrm>
          <a:off x="9582150" y="695325"/>
          <a:ext cx="1952625" cy="2857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Copiar como imagem</a:t>
          </a:r>
        </a:p>
      </xdr:txBody>
    </xdr:sp>
    <xdr:clientData fPrintsWithSheet="0"/>
  </xdr:twoCellAnchor>
  <xdr:twoCellAnchor editAs="absolute">
    <xdr:from>
      <xdr:col>14</xdr:col>
      <xdr:colOff>38100</xdr:colOff>
      <xdr:row>7</xdr:row>
      <xdr:rowOff>0</xdr:rowOff>
    </xdr:from>
    <xdr:to>
      <xdr:col>15</xdr:col>
      <xdr:colOff>76200</xdr:colOff>
      <xdr:row>8</xdr:row>
      <xdr:rowOff>95250</xdr:rowOff>
    </xdr:to>
    <xdr:sp macro="[0]!LimparPassagem" textlink="">
      <xdr:nvSpPr>
        <xdr:cNvPr id="5" name="TextBox 4" descr="Botão: LimparPassagem"/>
        <xdr:cNvSpPr txBox="1"/>
      </xdr:nvSpPr>
      <xdr:spPr>
        <a:xfrm>
          <a:off x="9582150" y="1381125"/>
          <a:ext cx="1952625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Limpar formulário</a:t>
          </a:r>
        </a:p>
      </xdr:txBody>
    </xdr:sp>
    <xdr:clientData fPrintsWithSheet="0"/>
  </xdr:twoCellAnchor>
  <xdr:twoCellAnchor editAs="absolute">
    <xdr:from>
      <xdr:col>14</xdr:col>
      <xdr:colOff>38100</xdr:colOff>
      <xdr:row>10</xdr:row>
      <xdr:rowOff>0</xdr:rowOff>
    </xdr:from>
    <xdr:to>
      <xdr:col>15</xdr:col>
      <xdr:colOff>76200</xdr:colOff>
      <xdr:row>11</xdr:row>
      <xdr:rowOff>76200</xdr:rowOff>
    </xdr:to>
    <xdr:sp macro="[0]!FecharTurno" textlink="">
      <xdr:nvSpPr>
        <xdr:cNvPr id="6" name="TextBox 5" descr="Botão: FecharTurno"/>
        <xdr:cNvSpPr txBox="1"/>
      </xdr:nvSpPr>
      <xdr:spPr>
        <a:xfrm>
          <a:off x="9582150" y="2095500"/>
          <a:ext cx="1952625" cy="32385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Salvar turno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1</xdr:row>
      <xdr:rowOff>57150</xdr:rowOff>
    </xdr:from>
    <xdr:to>
      <xdr:col>1</xdr:col>
      <xdr:colOff>746760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0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4</xdr:col>
      <xdr:colOff>0</xdr:colOff>
      <xdr:row>4</xdr:row>
      <xdr:rowOff>19050</xdr:rowOff>
    </xdr:from>
    <xdr:to>
      <xdr:col>5</xdr:col>
      <xdr:colOff>876300</xdr:colOff>
      <xdr:row>4</xdr:row>
      <xdr:rowOff>247650</xdr:rowOff>
    </xdr:to>
    <xdr:sp macro="[0]!IrPainel" textlink="">
      <xdr:nvSpPr>
        <xdr:cNvPr id="3" name="TextBox 2" descr="Botão: IrPainel"/>
        <xdr:cNvSpPr txBox="1"/>
      </xdr:nvSpPr>
      <xdr:spPr>
        <a:xfrm>
          <a:off x="3857625" y="714375"/>
          <a:ext cx="1524000" cy="2286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00335A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1</xdr:row>
      <xdr:rowOff>57150</xdr:rowOff>
    </xdr:from>
    <xdr:to>
      <xdr:col>1</xdr:col>
      <xdr:colOff>746760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0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4</xdr:row>
      <xdr:rowOff>19050</xdr:rowOff>
    </xdr:from>
    <xdr:to>
      <xdr:col>4</xdr:col>
      <xdr:colOff>609600</xdr:colOff>
      <xdr:row>4</xdr:row>
      <xdr:rowOff>247650</xdr:rowOff>
    </xdr:to>
    <xdr:sp macro="[0]!IrPainel" textlink="">
      <xdr:nvSpPr>
        <xdr:cNvPr id="3" name="TextBox 2" descr="Botão: IrPainel"/>
        <xdr:cNvSpPr txBox="1"/>
      </xdr:nvSpPr>
      <xdr:spPr>
        <a:xfrm>
          <a:off x="2476500" y="714375"/>
          <a:ext cx="1524000" cy="2286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00335A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2</xdr:col>
      <xdr:colOff>413385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11</xdr:col>
      <xdr:colOff>47625</xdr:colOff>
      <xdr:row>5</xdr:row>
      <xdr:rowOff>0</xdr:rowOff>
    </xdr:from>
    <xdr:to>
      <xdr:col>14</xdr:col>
      <xdr:colOff>361950</xdr:colOff>
      <xdr:row>6</xdr:row>
      <xdr:rowOff>38100</xdr:rowOff>
    </xdr:to>
    <xdr:sp macro="[0]!IrPainel" textlink="">
      <xdr:nvSpPr>
        <xdr:cNvPr id="3" name="TextBox 2" descr="Botão: IrPainel"/>
        <xdr:cNvSpPr txBox="1"/>
      </xdr:nvSpPr>
      <xdr:spPr>
        <a:xfrm>
          <a:off x="11772900" y="971550"/>
          <a:ext cx="2190750" cy="2857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11</xdr:col>
      <xdr:colOff>47625</xdr:colOff>
      <xdr:row>7</xdr:row>
      <xdr:rowOff>0</xdr:rowOff>
    </xdr:from>
    <xdr:to>
      <xdr:col>14</xdr:col>
      <xdr:colOff>361950</xdr:colOff>
      <xdr:row>8</xdr:row>
      <xdr:rowOff>38100</xdr:rowOff>
    </xdr:to>
    <xdr:sp macro="[0]!MostrarDadosMES" textlink="">
      <xdr:nvSpPr>
        <xdr:cNvPr id="4" name="TextBox 3" descr="Botão: MostrarDadosMES"/>
        <xdr:cNvSpPr txBox="1"/>
      </xdr:nvSpPr>
      <xdr:spPr>
        <a:xfrm>
          <a:off x="11772900" y="1466850"/>
          <a:ext cx="2190750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Ver dados brutos do MES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0</xdr:row>
      <xdr:rowOff>19050</xdr:rowOff>
    </xdr:from>
    <xdr:to>
      <xdr:col>5</xdr:col>
      <xdr:colOff>923925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4191000" y="19050"/>
          <a:ext cx="1905000" cy="2667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00335A"/>
    <pageSetUpPr fitToPage="1"/>
  </sheetPr>
  <dimension ref="A1:Q29"/>
  <sheetViews>
    <sheetView showGridLines="0" tabSelected="1" workbookViewId="0"/>
  </sheetViews>
  <sheetFormatPr defaultRowHeight="15"/>
  <cols>
    <col min="1" max="1" width="2.7109375" customWidth="1"/>
    <col min="2" max="17" width="10" customWidth="1"/>
    <col min="18" max="18" width="2.7109375" customWidth="1"/>
  </cols>
  <sheetData>
    <row r="1" spans="2:17" ht="6" customHeight="1"/>
    <row r="2" spans="2:17" ht="26" customHeight="1">
      <c r="B2" s="1"/>
      <c r="C2" s="1"/>
      <c r="D2" s="1"/>
      <c r="E2" s="2" t="s">
        <v>386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2:17" ht="20" customHeight="1">
      <c r="B3" s="1"/>
      <c r="C3" s="1"/>
      <c r="D3" s="1"/>
      <c r="E3" s="3" t="s">
        <v>387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2:17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6" spans="2:17" ht="22" customHeight="1">
      <c r="B6" s="5" t="s">
        <v>388</v>
      </c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2:17">
      <c r="B7" s="6" t="s">
        <v>199</v>
      </c>
      <c r="C7" s="6"/>
      <c r="D7" s="6"/>
      <c r="E7" s="6" t="s">
        <v>200</v>
      </c>
      <c r="F7" s="6"/>
      <c r="G7" s="6"/>
      <c r="H7" s="6"/>
      <c r="I7" s="6" t="s">
        <v>201</v>
      </c>
      <c r="J7" s="6"/>
      <c r="K7" s="6" t="s">
        <v>202</v>
      </c>
      <c r="L7" s="6"/>
      <c r="M7" s="6"/>
      <c r="N7" s="6"/>
      <c r="O7" s="6"/>
      <c r="P7" s="6"/>
      <c r="Q7" s="6"/>
    </row>
    <row r="8" spans="2:17" ht="28" customHeight="1">
      <c r="B8" s="7"/>
      <c r="C8" s="7"/>
      <c r="D8" s="7"/>
      <c r="E8" s="8"/>
      <c r="F8" s="8"/>
      <c r="G8" s="8"/>
      <c r="H8" s="8"/>
      <c r="I8" s="8"/>
      <c r="J8" s="8"/>
      <c r="K8" s="9"/>
      <c r="L8" s="9"/>
      <c r="M8" s="9"/>
      <c r="N8" s="9"/>
      <c r="O8" s="9"/>
      <c r="P8" s="9"/>
      <c r="Q8" s="9"/>
    </row>
    <row r="9" spans="2:17" ht="26" customHeight="1">
      <c r="E9" s="6" t="s">
        <v>389</v>
      </c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</row>
    <row r="11" spans="2:17" ht="22" customHeight="1">
      <c r="B11" s="5" t="s">
        <v>390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2:17" ht="18" customHeight="1"/>
    <row r="13" spans="2:17" ht="18" customHeight="1"/>
    <row r="14" spans="2:17" ht="18" customHeight="1"/>
    <row r="15" spans="2:17" ht="18" customHeight="1"/>
    <row r="17" spans="2:17" ht="22" customHeight="1">
      <c r="B17" s="5" t="s">
        <v>391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2:17">
      <c r="B18" s="10" t="s">
        <v>392</v>
      </c>
      <c r="C18" s="10"/>
      <c r="D18" s="10"/>
      <c r="E18" s="10"/>
      <c r="F18" s="10" t="s">
        <v>393</v>
      </c>
      <c r="G18" s="10"/>
      <c r="H18" s="10"/>
      <c r="I18" s="10"/>
      <c r="J18" s="10" t="s">
        <v>394</v>
      </c>
      <c r="K18" s="10"/>
      <c r="L18" s="10"/>
      <c r="M18" s="10"/>
      <c r="N18" s="10" t="s">
        <v>395</v>
      </c>
      <c r="O18" s="10"/>
      <c r="P18" s="10"/>
      <c r="Q18" s="10"/>
    </row>
    <row r="19" spans="2:17" ht="28" customHeight="1">
      <c r="B19" s="11">
        <f>IF(iData="","— não carregado —",TEXT(DAY(iData),"00")&amp;"/"&amp;TEXT(MONTH(iData),"00")&amp;"/"&amp;YEAR(iData)&amp;"  ·  "&amp;IFERROR(LEFT(iTurno,FIND(" (",iTurno)-1),iTurno))</f>
        <v>0</v>
      </c>
      <c r="C19" s="11"/>
      <c r="D19" s="11"/>
      <c r="E19" s="11"/>
      <c r="F19" s="12">
        <f>IF(iAtualizado="","—",iAtualizado)</f>
        <v>0</v>
      </c>
      <c r="G19" s="12"/>
      <c r="H19" s="12"/>
      <c r="I19" s="12"/>
      <c r="J19" s="13">
        <f>(COUNTA('Passagem de Turno'!$C$10:$C$15)+COUNTA(ptRecebe)+COUNTA(ptRecebidoPor)+COUNTA(ptTestes)+COUNTA(ptStatus)+COUNTA('Passagem de Turno'!$C$49:$C$52)+COUNTA('Passagem de Turno'!$H$49:$H$52))/31</f>
        <v>0</v>
      </c>
      <c r="K19" s="13"/>
      <c r="L19" s="13"/>
      <c r="M19" s="13"/>
      <c r="N19" s="14">
        <f>COUNTIF(ptStatus,"Não operando")</f>
        <v>0</v>
      </c>
      <c r="O19" s="14"/>
      <c r="P19" s="14"/>
      <c r="Q19" s="14"/>
    </row>
    <row r="21" spans="2:17" ht="22" customHeight="1">
      <c r="B21" s="5" t="s">
        <v>396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2:17">
      <c r="B22" s="15" t="s">
        <v>397</v>
      </c>
      <c r="C22" s="15"/>
      <c r="D22" s="15"/>
      <c r="E22" s="15"/>
      <c r="F22" s="15" t="s">
        <v>398</v>
      </c>
      <c r="G22" s="15"/>
      <c r="H22" s="15"/>
      <c r="I22" s="15"/>
      <c r="J22" s="15" t="s">
        <v>399</v>
      </c>
      <c r="K22" s="15"/>
      <c r="L22" s="15"/>
      <c r="M22" s="15"/>
      <c r="N22" s="15" t="s">
        <v>400</v>
      </c>
      <c r="O22" s="15"/>
      <c r="P22" s="15"/>
      <c r="Q22" s="15"/>
    </row>
    <row r="23" spans="2:17" ht="24" customHeight="1">
      <c r="B23" s="16" t="s">
        <v>211</v>
      </c>
      <c r="C23" s="17">
        <f>IFERROR(INDEX(Informativo!$K:$K,MATCH("P18U3",Informativo!$A:$A,0)),"")</f>
        <v>0</v>
      </c>
      <c r="D23" s="17"/>
      <c r="E23" s="18">
        <f>IFERROR(INDEX(Informativo!$P:$P,MATCH("P18U3",Informativo!$A:$A,0)),"")</f>
        <v>0</v>
      </c>
      <c r="F23" s="16" t="s">
        <v>211</v>
      </c>
      <c r="G23" s="19">
        <f>IFERROR(INDEX(Informativo!$K:$K,MATCH("P17U3",Informativo!$A:$A,0)),"")</f>
        <v>0</v>
      </c>
      <c r="H23" s="19"/>
      <c r="I23" s="18">
        <f>IFERROR(INDEX(Informativo!$P:$P,MATCH("P17U3",Informativo!$A:$A,0)),"")</f>
        <v>0</v>
      </c>
      <c r="J23" s="16" t="s">
        <v>211</v>
      </c>
      <c r="K23" s="20">
        <f>IFERROR(INDEX(Informativo!$K:$K,MATCH("P10U3",Informativo!$A:$A,0)),"")</f>
        <v>0</v>
      </c>
      <c r="L23" s="20"/>
      <c r="M23" s="18">
        <f>IFERROR(INDEX(Informativo!$P:$P,MATCH("P10U3",Informativo!$A:$A,0)),"")</f>
        <v>0</v>
      </c>
      <c r="N23" s="16" t="s">
        <v>211</v>
      </c>
      <c r="O23" s="17">
        <f>IFERROR(INDEX(Informativo!$K:$K,MATCH("P22U3",Informativo!$A:$A,0)),"")</f>
        <v>0</v>
      </c>
      <c r="P23" s="17"/>
      <c r="Q23" s="18">
        <f>IFERROR(INDEX(Informativo!$P:$P,MATCH("P22U3",Informativo!$A:$A,0)),"")</f>
        <v>0</v>
      </c>
    </row>
    <row r="24" spans="2:17" ht="24" customHeight="1">
      <c r="B24" s="16" t="s">
        <v>213</v>
      </c>
      <c r="C24" s="17">
        <f>IFERROR(INDEX(Informativo!$K:$K,MATCH("P18U4",Informativo!$A:$A,0)),"")</f>
        <v>0</v>
      </c>
      <c r="D24" s="17"/>
      <c r="E24" s="18">
        <f>IFERROR(INDEX(Informativo!$P:$P,MATCH("P18U4",Informativo!$A:$A,0)),"")</f>
        <v>0</v>
      </c>
      <c r="F24" s="16" t="s">
        <v>213</v>
      </c>
      <c r="G24" s="19">
        <f>IFERROR(INDEX(Informativo!$K:$K,MATCH("P17U4",Informativo!$A:$A,0)),"")</f>
        <v>0</v>
      </c>
      <c r="H24" s="19"/>
      <c r="I24" s="18">
        <f>IFERROR(INDEX(Informativo!$P:$P,MATCH("P17U4",Informativo!$A:$A,0)),"")</f>
        <v>0</v>
      </c>
      <c r="J24" s="16" t="s">
        <v>213</v>
      </c>
      <c r="K24" s="20">
        <f>IFERROR(INDEX(Informativo!$K:$K,MATCH("P10U4",Informativo!$A:$A,0)),"")</f>
        <v>0</v>
      </c>
      <c r="L24" s="20"/>
      <c r="M24" s="18">
        <f>IFERROR(INDEX(Informativo!$P:$P,MATCH("P10U4",Informativo!$A:$A,0)),"")</f>
        <v>0</v>
      </c>
      <c r="N24" s="16" t="s">
        <v>213</v>
      </c>
      <c r="O24" s="17">
        <f>IFERROR(INDEX(Informativo!$K:$K,MATCH("P22U4",Informativo!$A:$A,0)),"")</f>
        <v>0</v>
      </c>
      <c r="P24" s="17"/>
      <c r="Q24" s="18">
        <f>IFERROR(INDEX(Informativo!$P:$P,MATCH("P22U4",Informativo!$A:$A,0)),"")</f>
        <v>0</v>
      </c>
    </row>
    <row r="26" spans="2:17" ht="22" customHeight="1">
      <c r="B26" s="5" t="s">
        <v>401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2:17" ht="28" customHeight="1"/>
    <row r="29" spans="2:17">
      <c r="B29" s="21">
        <f>"Fonte dos dados: "&amp;cfgFonte&amp;"   ·   Servidor MES: "&amp;cfgServidor</f>
        <v>0</v>
      </c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</row>
  </sheetData>
  <sheetProtection sheet="1" objects="1" scenarios="1" formatColumns="0" formatRows="0"/>
  <mergeCells count="37">
    <mergeCell ref="E2:Q2"/>
    <mergeCell ref="E3:Q3"/>
    <mergeCell ref="B6:Q6"/>
    <mergeCell ref="B7:D7"/>
    <mergeCell ref="E7:H7"/>
    <mergeCell ref="I7:J7"/>
    <mergeCell ref="K7:Q7"/>
    <mergeCell ref="B8:D8"/>
    <mergeCell ref="E8:H8"/>
    <mergeCell ref="I8:J8"/>
    <mergeCell ref="K8:Q8"/>
    <mergeCell ref="E9:Q9"/>
    <mergeCell ref="B11:Q11"/>
    <mergeCell ref="B17:Q17"/>
    <mergeCell ref="B18:E18"/>
    <mergeCell ref="B19:E19"/>
    <mergeCell ref="F18:I18"/>
    <mergeCell ref="F19:I19"/>
    <mergeCell ref="J18:M18"/>
    <mergeCell ref="J19:M19"/>
    <mergeCell ref="N18:Q18"/>
    <mergeCell ref="N19:Q19"/>
    <mergeCell ref="B21:Q21"/>
    <mergeCell ref="B22:E22"/>
    <mergeCell ref="C23:D23"/>
    <mergeCell ref="C24:D24"/>
    <mergeCell ref="F22:I22"/>
    <mergeCell ref="G23:H23"/>
    <mergeCell ref="G24:H24"/>
    <mergeCell ref="J22:M22"/>
    <mergeCell ref="K23:L23"/>
    <mergeCell ref="K24:L24"/>
    <mergeCell ref="N22:Q22"/>
    <mergeCell ref="O23:P23"/>
    <mergeCell ref="O24:P24"/>
    <mergeCell ref="B26:Q26"/>
    <mergeCell ref="B29:Q29"/>
  </mergeCells>
  <conditionalFormatting sqref="E23:E24">
    <cfRule type="cellIs" dxfId="2" priority="3" operator="equal">
      <formula>"Fora"</formula>
    </cfRule>
    <cfRule type="cellIs" dxfId="3" priority="4" operator="equal">
      <formula>"OK"</formula>
    </cfRule>
  </conditionalFormatting>
  <conditionalFormatting sqref="I23:I24">
    <cfRule type="cellIs" dxfId="2" priority="5" operator="equal">
      <formula>"Fora"</formula>
    </cfRule>
    <cfRule type="cellIs" dxfId="3" priority="6" operator="equal">
      <formula>"OK"</formula>
    </cfRule>
  </conditionalFormatting>
  <conditionalFormatting sqref="J19">
    <cfRule type="cellIs" dxfId="1" priority="2" operator="greaterThanOrEqual">
      <formula>1</formula>
    </cfRule>
  </conditionalFormatting>
  <conditionalFormatting sqref="M23:M24">
    <cfRule type="cellIs" dxfId="2" priority="7" operator="equal">
      <formula>"Fora"</formula>
    </cfRule>
    <cfRule type="cellIs" dxfId="3" priority="8" operator="equal">
      <formula>"OK"</formula>
    </cfRule>
  </conditionalFormatting>
  <conditionalFormatting sqref="N19">
    <cfRule type="cellIs" dxfId="6" priority="1" operator="greaterThan">
      <formula>0</formula>
    </cfRule>
  </conditionalFormatting>
  <conditionalFormatting sqref="Q23:Q24">
    <cfRule type="cellIs" dxfId="2" priority="9" operator="equal">
      <formula>"Fora"</formula>
    </cfRule>
    <cfRule type="cellIs" dxfId="3" priority="10" operator="equal">
      <formula>"OK"</formula>
    </cfRule>
  </conditionalFormatting>
  <dataValidations count="3">
    <dataValidation type="date" operator="greaterThan" allowBlank="1" showInputMessage="1" showErrorMessage="1" error="Digite uma data válida (dd/mm/aaaa)." sqref="B8">
      <formula1>43831</formula1>
    </dataValidation>
    <dataValidation type="list" allowBlank="1" showInputMessage="1" showErrorMessage="1" sqref="E8">
      <formula1>lstTurno</formula1>
    </dataValidation>
    <dataValidation type="list" allowBlank="1" showInputMessage="1" showErrorMessage="1" sqref="I8">
      <formula1>lstTurma</formula1>
    </dataValidation>
  </dataValidations>
  <pageMargins left="0.7" right="0.7" top="0.75" bottom="0.75" header="0.3" footer="0.3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Informativo">
    <tabColor rgb="FF004070"/>
    <pageSetUpPr fitToPage="1"/>
  </sheetPr>
  <dimension ref="A1:P72"/>
  <sheetViews>
    <sheetView showGridLines="0" workbookViewId="0">
      <pane ySplit="10" topLeftCell="A11" activePane="bottomLeft" state="frozen"/>
      <selection pane="bottomLeft"/>
    </sheetView>
  </sheetViews>
  <sheetFormatPr defaultRowHeight="15"/>
  <cols>
    <col min="1" max="1" width="3.7109375" hidden="1" customWidth="1"/>
    <col min="2" max="2" width="34.7109375" customWidth="1"/>
    <col min="3" max="3" width="9.7109375" customWidth="1"/>
    <col min="4" max="4" width="7.7109375" customWidth="1"/>
    <col min="5" max="10" width="10.28515625" customWidth="1"/>
    <col min="11" max="11" width="12.7109375" customWidth="1"/>
    <col min="12" max="16" width="8.7109375" customWidth="1"/>
    <col min="17" max="17" width="3.7109375" customWidth="1"/>
    <col min="18" max="18" width="26.7109375" customWidth="1"/>
  </cols>
  <sheetData>
    <row r="1" spans="1:16" ht="6" customHeight="1"/>
    <row r="2" spans="1:16" ht="26" customHeight="1">
      <c r="B2" s="1"/>
      <c r="C2" s="1"/>
      <c r="D2" s="2" t="s">
        <v>197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ht="20" customHeight="1">
      <c r="B3" s="1"/>
      <c r="C3" s="1"/>
      <c r="D3" s="3" t="s">
        <v>198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6" spans="1:16">
      <c r="B6" s="6" t="s">
        <v>199</v>
      </c>
      <c r="C6" s="6" t="s">
        <v>200</v>
      </c>
      <c r="D6" s="6"/>
      <c r="E6" s="6" t="s">
        <v>201</v>
      </c>
      <c r="F6" s="6"/>
      <c r="G6" s="6" t="s">
        <v>202</v>
      </c>
      <c r="H6" s="6"/>
      <c r="I6" s="6"/>
      <c r="J6" s="6"/>
      <c r="K6" s="6" t="s">
        <v>203</v>
      </c>
      <c r="L6" s="6"/>
      <c r="M6" s="6"/>
      <c r="N6" s="6" t="s">
        <v>133</v>
      </c>
      <c r="O6" s="6"/>
      <c r="P6" s="6"/>
    </row>
    <row r="7" spans="1:16" ht="22" customHeight="1">
      <c r="B7" s="22"/>
      <c r="C7" s="23"/>
      <c r="D7" s="23"/>
      <c r="E7" s="23"/>
      <c r="F7" s="23"/>
      <c r="G7" s="23"/>
      <c r="H7" s="23"/>
      <c r="I7" s="23"/>
      <c r="J7" s="23"/>
      <c r="K7" s="24"/>
      <c r="L7" s="24"/>
      <c r="M7" s="24"/>
      <c r="N7" s="23"/>
      <c r="O7" s="23"/>
      <c r="P7" s="23"/>
    </row>
    <row r="8" spans="1:16">
      <c r="B8" s="6" t="s">
        <v>204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10" spans="1:16" ht="32" customHeight="1">
      <c r="B10" s="26" t="s">
        <v>19</v>
      </c>
      <c r="C10" s="26" t="s">
        <v>205</v>
      </c>
      <c r="D10" s="26" t="s">
        <v>206</v>
      </c>
      <c r="E10" s="26" t="s">
        <v>207</v>
      </c>
      <c r="F10" s="26" t="s">
        <v>207</v>
      </c>
      <c r="G10" s="26" t="s">
        <v>207</v>
      </c>
      <c r="H10" s="26" t="s">
        <v>207</v>
      </c>
      <c r="I10" s="26" t="s">
        <v>207</v>
      </c>
      <c r="J10" s="26" t="s">
        <v>207</v>
      </c>
      <c r="K10" s="26" t="s">
        <v>22</v>
      </c>
      <c r="L10" s="26" t="s">
        <v>208</v>
      </c>
      <c r="M10" s="26" t="s">
        <v>209</v>
      </c>
      <c r="N10" s="26" t="s">
        <v>27</v>
      </c>
      <c r="O10" s="26" t="s">
        <v>28</v>
      </c>
      <c r="P10" s="26" t="s">
        <v>130</v>
      </c>
    </row>
    <row r="11" spans="1:16" ht="18" customHeight="1">
      <c r="B11" s="15" t="s">
        <v>33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</row>
    <row r="12" spans="1:16">
      <c r="A12" s="27" t="s">
        <v>210</v>
      </c>
      <c r="B12" s="28" t="s">
        <v>34</v>
      </c>
      <c r="C12" s="29" t="s">
        <v>35</v>
      </c>
      <c r="D12" s="30" t="s">
        <v>211</v>
      </c>
      <c r="E12" s="31"/>
      <c r="F12" s="31"/>
      <c r="G12" s="31"/>
      <c r="H12" s="31"/>
      <c r="I12" s="31"/>
      <c r="J12" s="31"/>
      <c r="K12" s="32">
        <f>IFERROR(IF(COUNT(E12:J12)=0,"",IF('Configurações'!$F$18="Soma",SUM(E12:J12),IF('Configurações'!$F$18="Último valor",LOOKUP(2,1/(E12:J12&lt;&gt;""),E12:J12),AVERAGE(E12:J12)))),"")</f>
        <v>0</v>
      </c>
      <c r="L12" s="33">
        <f>IF(COUNT(E12:J12)=0,"",MIN(E12:J12))</f>
        <v>0</v>
      </c>
      <c r="M12" s="33">
        <f>IF(COUNT(E12:J12)=0,"",MAX(E12:J12))</f>
        <v>0</v>
      </c>
      <c r="N12" s="34">
        <f>IF('Configurações'!$K$18="","",'Configurações'!$K$18)</f>
        <v>0</v>
      </c>
      <c r="O12" s="34">
        <f>IF('Configurações'!$L$18="","",'Configurações'!$L$18)</f>
        <v>0</v>
      </c>
      <c r="P12" s="18">
        <f>IF(OR(K12="",AND(N12="",O12="")),"",IF(OR(AND(N12&lt;&gt;"",K12&lt;N12),AND(O12&lt;&gt;"",K12&gt;O12)),"Fora","OK"))</f>
        <v>0</v>
      </c>
    </row>
    <row r="13" spans="1:16">
      <c r="A13" s="27" t="s">
        <v>212</v>
      </c>
      <c r="B13" s="28"/>
      <c r="C13" s="29"/>
      <c r="D13" s="16" t="s">
        <v>213</v>
      </c>
      <c r="E13" s="31"/>
      <c r="F13" s="31"/>
      <c r="G13" s="31"/>
      <c r="H13" s="31"/>
      <c r="I13" s="31"/>
      <c r="J13" s="31"/>
      <c r="K13" s="32">
        <f>IFERROR(IF(COUNT(E13:J13)=0,"",IF('Configurações'!$F$18="Soma",SUM(E13:J13),IF('Configurações'!$F$18="Último valor",LOOKUP(2,1/(E13:J13&lt;&gt;""),E13:J13),AVERAGE(E13:J13)))),"")</f>
        <v>0</v>
      </c>
      <c r="L13" s="33">
        <f>IF(COUNT(E13:J13)=0,"",MIN(E13:J13))</f>
        <v>0</v>
      </c>
      <c r="M13" s="33">
        <f>IF(COUNT(E13:J13)=0,"",MAX(E13:J13))</f>
        <v>0</v>
      </c>
      <c r="N13" s="34">
        <f>IF('Configurações'!$K$18="","",'Configurações'!$K$18)</f>
        <v>0</v>
      </c>
      <c r="O13" s="34">
        <f>IF('Configurações'!$L$18="","",'Configurações'!$L$18)</f>
        <v>0</v>
      </c>
      <c r="P13" s="18">
        <f>IF(OR(K13="",AND(N13="",O13="")),"",IF(OR(AND(N13&lt;&gt;"",K13&lt;N13),AND(O13&lt;&gt;"",K13&gt;O13)),"Fora","OK"))</f>
        <v>0</v>
      </c>
    </row>
    <row r="14" spans="1:16" ht="18" customHeight="1">
      <c r="B14" s="15" t="s">
        <v>40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</row>
    <row r="15" spans="1:16">
      <c r="A15" s="27" t="s">
        <v>214</v>
      </c>
      <c r="B15" s="35" t="s">
        <v>41</v>
      </c>
      <c r="C15" s="36" t="s">
        <v>42</v>
      </c>
      <c r="D15" s="37" t="s">
        <v>211</v>
      </c>
      <c r="E15" s="38"/>
      <c r="F15" s="38"/>
      <c r="G15" s="38"/>
      <c r="H15" s="38"/>
      <c r="I15" s="38"/>
      <c r="J15" s="38"/>
      <c r="K15" s="32">
        <f>IFERROR(IF(COUNT(E15:J15)=0,"",IF('Configurações'!$F$19="Soma",SUM(E15:J15),IF('Configurações'!$F$19="Último valor",LOOKUP(2,1/(E15:J15&lt;&gt;""),E15:J15),AVERAGE(E15:J15)))),"")</f>
        <v>0</v>
      </c>
      <c r="L15" s="39">
        <f>IF(COUNT(E15:J15)=0,"",MIN(E15:J15))</f>
        <v>0</v>
      </c>
      <c r="M15" s="39">
        <f>IF(COUNT(E15:J15)=0,"",MAX(E15:J15))</f>
        <v>0</v>
      </c>
      <c r="N15" s="40">
        <f>IF('Configurações'!$K$19="","",'Configurações'!$K$19)</f>
        <v>0</v>
      </c>
      <c r="O15" s="40">
        <f>IF('Configurações'!$L$19="","",'Configurações'!$L$19)</f>
        <v>0</v>
      </c>
      <c r="P15" s="41">
        <f>IF(OR(K15="",AND(N15="",O15="")),"",IF(OR(AND(N15&lt;&gt;"",K15&lt;N15),AND(O15&lt;&gt;"",K15&gt;O15)),"Fora","OK"))</f>
        <v>0</v>
      </c>
    </row>
    <row r="16" spans="1:16">
      <c r="A16" s="27" t="s">
        <v>215</v>
      </c>
      <c r="B16" s="35"/>
      <c r="C16" s="36"/>
      <c r="D16" s="42" t="s">
        <v>213</v>
      </c>
      <c r="E16" s="38"/>
      <c r="F16" s="38"/>
      <c r="G16" s="38"/>
      <c r="H16" s="38"/>
      <c r="I16" s="38"/>
      <c r="J16" s="38"/>
      <c r="K16" s="32">
        <f>IFERROR(IF(COUNT(E16:J16)=0,"",IF('Configurações'!$F$19="Soma",SUM(E16:J16),IF('Configurações'!$F$19="Último valor",LOOKUP(2,1/(E16:J16&lt;&gt;""),E16:J16),AVERAGE(E16:J16)))),"")</f>
        <v>0</v>
      </c>
      <c r="L16" s="39">
        <f>IF(COUNT(E16:J16)=0,"",MIN(E16:J16))</f>
        <v>0</v>
      </c>
      <c r="M16" s="39">
        <f>IF(COUNT(E16:J16)=0,"",MAX(E16:J16))</f>
        <v>0</v>
      </c>
      <c r="N16" s="40">
        <f>IF('Configurações'!$K$19="","",'Configurações'!$K$19)</f>
        <v>0</v>
      </c>
      <c r="O16" s="40">
        <f>IF('Configurações'!$L$19="","",'Configurações'!$L$19)</f>
        <v>0</v>
      </c>
      <c r="P16" s="41">
        <f>IF(OR(K16="",AND(N16="",O16="")),"",IF(OR(AND(N16&lt;&gt;"",K16&lt;N16),AND(O16&lt;&gt;"",K16&gt;O16)),"Fora","OK"))</f>
        <v>0</v>
      </c>
    </row>
    <row r="17" spans="1:16">
      <c r="A17" s="27" t="s">
        <v>216</v>
      </c>
      <c r="B17" s="28" t="s">
        <v>46</v>
      </c>
      <c r="C17" s="29" t="s">
        <v>42</v>
      </c>
      <c r="D17" s="30" t="s">
        <v>211</v>
      </c>
      <c r="E17" s="31"/>
      <c r="F17" s="31"/>
      <c r="G17" s="31"/>
      <c r="H17" s="31"/>
      <c r="I17" s="31"/>
      <c r="J17" s="31"/>
      <c r="K17" s="32">
        <f>IFERROR(IF(COUNT(E17:J17)=0,"",IF('Configurações'!$F$20="Soma",SUM(E17:J17),IF('Configurações'!$F$20="Último valor",LOOKUP(2,1/(E17:J17&lt;&gt;""),E17:J17),AVERAGE(E17:J17)))),"")</f>
        <v>0</v>
      </c>
      <c r="L17" s="33">
        <f>IF(COUNT(E17:J17)=0,"",MIN(E17:J17))</f>
        <v>0</v>
      </c>
      <c r="M17" s="33">
        <f>IF(COUNT(E17:J17)=0,"",MAX(E17:J17))</f>
        <v>0</v>
      </c>
      <c r="N17" s="34">
        <f>IF('Configurações'!$K$20="","",'Configurações'!$K$20)</f>
        <v>0</v>
      </c>
      <c r="O17" s="34">
        <f>IF('Configurações'!$L$20="","",'Configurações'!$L$20)</f>
        <v>0</v>
      </c>
      <c r="P17" s="18">
        <f>IF(OR(K17="",AND(N17="",O17="")),"",IF(OR(AND(N17&lt;&gt;"",K17&lt;N17),AND(O17&lt;&gt;"",K17&gt;O17)),"Fora","OK"))</f>
        <v>0</v>
      </c>
    </row>
    <row r="18" spans="1:16">
      <c r="A18" s="27" t="s">
        <v>217</v>
      </c>
      <c r="B18" s="28"/>
      <c r="C18" s="29"/>
      <c r="D18" s="16" t="s">
        <v>213</v>
      </c>
      <c r="E18" s="31"/>
      <c r="F18" s="31"/>
      <c r="G18" s="31"/>
      <c r="H18" s="31"/>
      <c r="I18" s="31"/>
      <c r="J18" s="31"/>
      <c r="K18" s="32">
        <f>IFERROR(IF(COUNT(E18:J18)=0,"",IF('Configurações'!$F$20="Soma",SUM(E18:J18),IF('Configurações'!$F$20="Último valor",LOOKUP(2,1/(E18:J18&lt;&gt;""),E18:J18),AVERAGE(E18:J18)))),"")</f>
        <v>0</v>
      </c>
      <c r="L18" s="33">
        <f>IF(COUNT(E18:J18)=0,"",MIN(E18:J18))</f>
        <v>0</v>
      </c>
      <c r="M18" s="33">
        <f>IF(COUNT(E18:J18)=0,"",MAX(E18:J18))</f>
        <v>0</v>
      </c>
      <c r="N18" s="34">
        <f>IF('Configurações'!$K$20="","",'Configurações'!$K$20)</f>
        <v>0</v>
      </c>
      <c r="O18" s="34">
        <f>IF('Configurações'!$L$20="","",'Configurações'!$L$20)</f>
        <v>0</v>
      </c>
      <c r="P18" s="18">
        <f>IF(OR(K18="",AND(N18="",O18="")),"",IF(OR(AND(N18&lt;&gt;"",K18&lt;N18),AND(O18&lt;&gt;"",K18&gt;O18)),"Fora","OK"))</f>
        <v>0</v>
      </c>
    </row>
    <row r="19" spans="1:16">
      <c r="A19" s="27" t="s">
        <v>218</v>
      </c>
      <c r="B19" s="35" t="s">
        <v>49</v>
      </c>
      <c r="C19" s="36" t="s">
        <v>50</v>
      </c>
      <c r="D19" s="37" t="s">
        <v>211</v>
      </c>
      <c r="E19" s="43"/>
      <c r="F19" s="43"/>
      <c r="G19" s="43"/>
      <c r="H19" s="43"/>
      <c r="I19" s="43"/>
      <c r="J19" s="43"/>
      <c r="K19" s="44">
        <f>IFERROR(IF(COUNT(E19:J19)=0,"",IF('Configurações'!$F$21="Soma",SUM(E19:J19),IF('Configurações'!$F$21="Último valor",LOOKUP(2,1/(E19:J19&lt;&gt;""),E19:J19),AVERAGE(E19:J19)))),"")</f>
        <v>0</v>
      </c>
      <c r="L19" s="45">
        <f>IF(COUNT(E19:J19)=0,"",MIN(E19:J19))</f>
        <v>0</v>
      </c>
      <c r="M19" s="45">
        <f>IF(COUNT(E19:J19)=0,"",MAX(E19:J19))</f>
        <v>0</v>
      </c>
      <c r="N19" s="46">
        <f>IF('Configurações'!$K$21="","",'Configurações'!$K$21)</f>
        <v>0</v>
      </c>
      <c r="O19" s="46">
        <f>IF('Configurações'!$L$21="","",'Configurações'!$L$21)</f>
        <v>0</v>
      </c>
      <c r="P19" s="41">
        <f>IF(OR(K19="",AND(N19="",O19="")),"",IF(OR(AND(N19&lt;&gt;"",K19&lt;N19),AND(O19&lt;&gt;"",K19&gt;O19)),"Fora","OK"))</f>
        <v>0</v>
      </c>
    </row>
    <row r="20" spans="1:16">
      <c r="A20" s="27" t="s">
        <v>219</v>
      </c>
      <c r="B20" s="35"/>
      <c r="C20" s="36"/>
      <c r="D20" s="42" t="s">
        <v>213</v>
      </c>
      <c r="E20" s="43"/>
      <c r="F20" s="43"/>
      <c r="G20" s="43"/>
      <c r="H20" s="43"/>
      <c r="I20" s="43"/>
      <c r="J20" s="43"/>
      <c r="K20" s="44">
        <f>IFERROR(IF(COUNT(E20:J20)=0,"",IF('Configurações'!$F$21="Soma",SUM(E20:J20),IF('Configurações'!$F$21="Último valor",LOOKUP(2,1/(E20:J20&lt;&gt;""),E20:J20),AVERAGE(E20:J20)))),"")</f>
        <v>0</v>
      </c>
      <c r="L20" s="45">
        <f>IF(COUNT(E20:J20)=0,"",MIN(E20:J20))</f>
        <v>0</v>
      </c>
      <c r="M20" s="45">
        <f>IF(COUNT(E20:J20)=0,"",MAX(E20:J20))</f>
        <v>0</v>
      </c>
      <c r="N20" s="46">
        <f>IF('Configurações'!$K$21="","",'Configurações'!$K$21)</f>
        <v>0</v>
      </c>
      <c r="O20" s="46">
        <f>IF('Configurações'!$L$21="","",'Configurações'!$L$21)</f>
        <v>0</v>
      </c>
      <c r="P20" s="41">
        <f>IF(OR(K20="",AND(N20="",O20="")),"",IF(OR(AND(N20&lt;&gt;"",K20&lt;N20),AND(O20&lt;&gt;"",K20&gt;O20)),"Fora","OK"))</f>
        <v>0</v>
      </c>
    </row>
    <row r="21" spans="1:16">
      <c r="A21" s="27" t="s">
        <v>220</v>
      </c>
      <c r="B21" s="28" t="s">
        <v>53</v>
      </c>
      <c r="C21" s="29" t="s">
        <v>50</v>
      </c>
      <c r="D21" s="30" t="s">
        <v>211</v>
      </c>
      <c r="E21" s="47"/>
      <c r="F21" s="47"/>
      <c r="G21" s="47"/>
      <c r="H21" s="47"/>
      <c r="I21" s="47"/>
      <c r="J21" s="47"/>
      <c r="K21" s="48">
        <f>IFERROR(IF(COUNT(E21:J21)=0,"",IF('Configurações'!$F$22="Soma",SUM(E21:J21),IF('Configurações'!$F$22="Último valor",LOOKUP(2,1/(E21:J21&lt;&gt;""),E21:J21),AVERAGE(E21:J21)))),"")</f>
        <v>0</v>
      </c>
      <c r="L21" s="49">
        <f>IF(COUNT(E21:J21)=0,"",MIN(E21:J21))</f>
        <v>0</v>
      </c>
      <c r="M21" s="49">
        <f>IF(COUNT(E21:J21)=0,"",MAX(E21:J21))</f>
        <v>0</v>
      </c>
      <c r="N21" s="50">
        <f>IF('Configurações'!$K$22="","",'Configurações'!$K$22)</f>
        <v>0</v>
      </c>
      <c r="O21" s="50">
        <f>IF('Configurações'!$L$22="","",'Configurações'!$L$22)</f>
        <v>0</v>
      </c>
      <c r="P21" s="18">
        <f>IF(OR(K21="",AND(N21="",O21="")),"",IF(OR(AND(N21&lt;&gt;"",K21&lt;N21),AND(O21&lt;&gt;"",K21&gt;O21)),"Fora","OK"))</f>
        <v>0</v>
      </c>
    </row>
    <row r="22" spans="1:16">
      <c r="A22" s="27" t="s">
        <v>221</v>
      </c>
      <c r="B22" s="28"/>
      <c r="C22" s="29"/>
      <c r="D22" s="16" t="s">
        <v>213</v>
      </c>
      <c r="E22" s="47"/>
      <c r="F22" s="47"/>
      <c r="G22" s="47"/>
      <c r="H22" s="47"/>
      <c r="I22" s="47"/>
      <c r="J22" s="47"/>
      <c r="K22" s="48">
        <f>IFERROR(IF(COUNT(E22:J22)=0,"",IF('Configurações'!$F$22="Soma",SUM(E22:J22),IF('Configurações'!$F$22="Último valor",LOOKUP(2,1/(E22:J22&lt;&gt;""),E22:J22),AVERAGE(E22:J22)))),"")</f>
        <v>0</v>
      </c>
      <c r="L22" s="49">
        <f>IF(COUNT(E22:J22)=0,"",MIN(E22:J22))</f>
        <v>0</v>
      </c>
      <c r="M22" s="49">
        <f>IF(COUNT(E22:J22)=0,"",MAX(E22:J22))</f>
        <v>0</v>
      </c>
      <c r="N22" s="50">
        <f>IF('Configurações'!$K$22="","",'Configurações'!$K$22)</f>
        <v>0</v>
      </c>
      <c r="O22" s="50">
        <f>IF('Configurações'!$L$22="","",'Configurações'!$L$22)</f>
        <v>0</v>
      </c>
      <c r="P22" s="18">
        <f>IF(OR(K22="",AND(N22="",O22="")),"",IF(OR(AND(N22&lt;&gt;"",K22&lt;N22),AND(O22&lt;&gt;"",K22&gt;O22)),"Fora","OK"))</f>
        <v>0</v>
      </c>
    </row>
    <row r="23" spans="1:16">
      <c r="A23" s="27" t="s">
        <v>222</v>
      </c>
      <c r="B23" s="35" t="s">
        <v>56</v>
      </c>
      <c r="C23" s="36" t="s">
        <v>50</v>
      </c>
      <c r="D23" s="37" t="s">
        <v>211</v>
      </c>
      <c r="E23" s="51"/>
      <c r="F23" s="51"/>
      <c r="G23" s="51"/>
      <c r="H23" s="51"/>
      <c r="I23" s="51"/>
      <c r="J23" s="51"/>
      <c r="K23" s="48">
        <f>IFERROR(IF(COUNT(E23:J23)=0,"",IF('Configurações'!$F$23="Soma",SUM(E23:J23),IF('Configurações'!$F$23="Último valor",LOOKUP(2,1/(E23:J23&lt;&gt;""),E23:J23),AVERAGE(E23:J23)))),"")</f>
        <v>0</v>
      </c>
      <c r="L23" s="52">
        <f>IF(COUNT(E23:J23)=0,"",MIN(E23:J23))</f>
        <v>0</v>
      </c>
      <c r="M23" s="52">
        <f>IF(COUNT(E23:J23)=0,"",MAX(E23:J23))</f>
        <v>0</v>
      </c>
      <c r="N23" s="53">
        <f>IF('Configurações'!$K$23="","",'Configurações'!$K$23)</f>
        <v>0</v>
      </c>
      <c r="O23" s="53">
        <f>IF('Configurações'!$L$23="","",'Configurações'!$L$23)</f>
        <v>0</v>
      </c>
      <c r="P23" s="41">
        <f>IF(OR(K23="",AND(N23="",O23="")),"",IF(OR(AND(N23&lt;&gt;"",K23&lt;N23),AND(O23&lt;&gt;"",K23&gt;O23)),"Fora","OK"))</f>
        <v>0</v>
      </c>
    </row>
    <row r="24" spans="1:16">
      <c r="A24" s="27" t="s">
        <v>223</v>
      </c>
      <c r="B24" s="35"/>
      <c r="C24" s="36"/>
      <c r="D24" s="42" t="s">
        <v>213</v>
      </c>
      <c r="E24" s="51"/>
      <c r="F24" s="51"/>
      <c r="G24" s="51"/>
      <c r="H24" s="51"/>
      <c r="I24" s="51"/>
      <c r="J24" s="51"/>
      <c r="K24" s="48">
        <f>IFERROR(IF(COUNT(E24:J24)=0,"",IF('Configurações'!$F$23="Soma",SUM(E24:J24),IF('Configurações'!$F$23="Último valor",LOOKUP(2,1/(E24:J24&lt;&gt;""),E24:J24),AVERAGE(E24:J24)))),"")</f>
        <v>0</v>
      </c>
      <c r="L24" s="52">
        <f>IF(COUNT(E24:J24)=0,"",MIN(E24:J24))</f>
        <v>0</v>
      </c>
      <c r="M24" s="52">
        <f>IF(COUNT(E24:J24)=0,"",MAX(E24:J24))</f>
        <v>0</v>
      </c>
      <c r="N24" s="53">
        <f>IF('Configurações'!$K$23="","",'Configurações'!$K$23)</f>
        <v>0</v>
      </c>
      <c r="O24" s="53">
        <f>IF('Configurações'!$L$23="","",'Configurações'!$L$23)</f>
        <v>0</v>
      </c>
      <c r="P24" s="41">
        <f>IF(OR(K24="",AND(N24="",O24="")),"",IF(OR(AND(N24&lt;&gt;"",K24&lt;N24),AND(O24&lt;&gt;"",K24&gt;O24)),"Fora","OK"))</f>
        <v>0</v>
      </c>
    </row>
    <row r="25" spans="1:16" ht="18" customHeight="1">
      <c r="B25" s="15" t="s">
        <v>59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</row>
    <row r="26" spans="1:16">
      <c r="A26" s="27" t="s">
        <v>224</v>
      </c>
      <c r="B26" s="28" t="s">
        <v>60</v>
      </c>
      <c r="C26" s="29" t="s">
        <v>50</v>
      </c>
      <c r="D26" s="30" t="s">
        <v>211</v>
      </c>
      <c r="E26" s="47"/>
      <c r="F26" s="47"/>
      <c r="G26" s="47"/>
      <c r="H26" s="47"/>
      <c r="I26" s="47"/>
      <c r="J26" s="47"/>
      <c r="K26" s="48">
        <f>IFERROR(IF(COUNT(E26:J26)=0,"",IF('Configurações'!$F$24="Soma",SUM(E26:J26),IF('Configurações'!$F$24="Último valor",LOOKUP(2,1/(E26:J26&lt;&gt;""),E26:J26),AVERAGE(E26:J26)))),"")</f>
        <v>0</v>
      </c>
      <c r="L26" s="49">
        <f>IF(COUNT(E26:J26)=0,"",MIN(E26:J26))</f>
        <v>0</v>
      </c>
      <c r="M26" s="49">
        <f>IF(COUNT(E26:J26)=0,"",MAX(E26:J26))</f>
        <v>0</v>
      </c>
      <c r="N26" s="50">
        <f>IF('Configurações'!$K$24="","",'Configurações'!$K$24)</f>
        <v>0</v>
      </c>
      <c r="O26" s="50">
        <f>IF('Configurações'!$L$24="","",'Configurações'!$L$24)</f>
        <v>0</v>
      </c>
      <c r="P26" s="18">
        <f>IF(OR(K26="",AND(N26="",O26="")),"",IF(OR(AND(N26&lt;&gt;"",K26&lt;N26),AND(O26&lt;&gt;"",K26&gt;O26)),"Fora","OK"))</f>
        <v>0</v>
      </c>
    </row>
    <row r="27" spans="1:16">
      <c r="A27" s="27" t="s">
        <v>225</v>
      </c>
      <c r="B27" s="28"/>
      <c r="C27" s="29"/>
      <c r="D27" s="16" t="s">
        <v>213</v>
      </c>
      <c r="E27" s="47"/>
      <c r="F27" s="47"/>
      <c r="G27" s="47"/>
      <c r="H27" s="47"/>
      <c r="I27" s="47"/>
      <c r="J27" s="47"/>
      <c r="K27" s="48">
        <f>IFERROR(IF(COUNT(E27:J27)=0,"",IF('Configurações'!$F$24="Soma",SUM(E27:J27),IF('Configurações'!$F$24="Último valor",LOOKUP(2,1/(E27:J27&lt;&gt;""),E27:J27),AVERAGE(E27:J27)))),"")</f>
        <v>0</v>
      </c>
      <c r="L27" s="49">
        <f>IF(COUNT(E27:J27)=0,"",MIN(E27:J27))</f>
        <v>0</v>
      </c>
      <c r="M27" s="49">
        <f>IF(COUNT(E27:J27)=0,"",MAX(E27:J27))</f>
        <v>0</v>
      </c>
      <c r="N27" s="50">
        <f>IF('Configurações'!$K$24="","",'Configurações'!$K$24)</f>
        <v>0</v>
      </c>
      <c r="O27" s="50">
        <f>IF('Configurações'!$L$24="","",'Configurações'!$L$24)</f>
        <v>0</v>
      </c>
      <c r="P27" s="18">
        <f>IF(OR(K27="",AND(N27="",O27="")),"",IF(OR(AND(N27&lt;&gt;"",K27&lt;N27),AND(O27&lt;&gt;"",K27&gt;O27)),"Fora","OK"))</f>
        <v>0</v>
      </c>
    </row>
    <row r="28" spans="1:16">
      <c r="A28" s="27" t="s">
        <v>226</v>
      </c>
      <c r="B28" s="35" t="s">
        <v>62</v>
      </c>
      <c r="C28" s="36" t="s">
        <v>50</v>
      </c>
      <c r="D28" s="37" t="s">
        <v>211</v>
      </c>
      <c r="E28" s="51"/>
      <c r="F28" s="51"/>
      <c r="G28" s="51"/>
      <c r="H28" s="51"/>
      <c r="I28" s="51"/>
      <c r="J28" s="51"/>
      <c r="K28" s="48">
        <f>IFERROR(IF(COUNT(E28:J28)=0,"",IF('Configurações'!$F$25="Soma",SUM(E28:J28),IF('Configurações'!$F$25="Último valor",LOOKUP(2,1/(E28:J28&lt;&gt;""),E28:J28),AVERAGE(E28:J28)))),"")</f>
        <v>0</v>
      </c>
      <c r="L28" s="52">
        <f>IF(COUNT(E28:J28)=0,"",MIN(E28:J28))</f>
        <v>0</v>
      </c>
      <c r="M28" s="52">
        <f>IF(COUNT(E28:J28)=0,"",MAX(E28:J28))</f>
        <v>0</v>
      </c>
      <c r="N28" s="53">
        <f>IF('Configurações'!$K$25="","",'Configurações'!$K$25)</f>
        <v>0</v>
      </c>
      <c r="O28" s="53">
        <f>IF('Configurações'!$L$25="","",'Configurações'!$L$25)</f>
        <v>0</v>
      </c>
      <c r="P28" s="41">
        <f>IF(OR(K28="",AND(N28="",O28="")),"",IF(OR(AND(N28&lt;&gt;"",K28&lt;N28),AND(O28&lt;&gt;"",K28&gt;O28)),"Fora","OK"))</f>
        <v>0</v>
      </c>
    </row>
    <row r="29" spans="1:16">
      <c r="A29" s="27" t="s">
        <v>227</v>
      </c>
      <c r="B29" s="35"/>
      <c r="C29" s="36"/>
      <c r="D29" s="42" t="s">
        <v>213</v>
      </c>
      <c r="E29" s="51"/>
      <c r="F29" s="51"/>
      <c r="G29" s="51"/>
      <c r="H29" s="51"/>
      <c r="I29" s="51"/>
      <c r="J29" s="51"/>
      <c r="K29" s="48">
        <f>IFERROR(IF(COUNT(E29:J29)=0,"",IF('Configurações'!$F$25="Soma",SUM(E29:J29),IF('Configurações'!$F$25="Último valor",LOOKUP(2,1/(E29:J29&lt;&gt;""),E29:J29),AVERAGE(E29:J29)))),"")</f>
        <v>0</v>
      </c>
      <c r="L29" s="52">
        <f>IF(COUNT(E29:J29)=0,"",MIN(E29:J29))</f>
        <v>0</v>
      </c>
      <c r="M29" s="52">
        <f>IF(COUNT(E29:J29)=0,"",MAX(E29:J29))</f>
        <v>0</v>
      </c>
      <c r="N29" s="53">
        <f>IF('Configurações'!$K$25="","",'Configurações'!$K$25)</f>
        <v>0</v>
      </c>
      <c r="O29" s="53">
        <f>IF('Configurações'!$L$25="","",'Configurações'!$L$25)</f>
        <v>0</v>
      </c>
      <c r="P29" s="41">
        <f>IF(OR(K29="",AND(N29="",O29="")),"",IF(OR(AND(N29&lt;&gt;"",K29&lt;N29),AND(O29&lt;&gt;"",K29&gt;O29)),"Fora","OK"))</f>
        <v>0</v>
      </c>
    </row>
    <row r="30" spans="1:16">
      <c r="A30" s="27" t="s">
        <v>228</v>
      </c>
      <c r="B30" s="28" t="s">
        <v>64</v>
      </c>
      <c r="C30" s="29" t="s">
        <v>50</v>
      </c>
      <c r="D30" s="30" t="s">
        <v>211</v>
      </c>
      <c r="E30" s="47"/>
      <c r="F30" s="47"/>
      <c r="G30" s="47"/>
      <c r="H30" s="47"/>
      <c r="I30" s="47"/>
      <c r="J30" s="47"/>
      <c r="K30" s="48">
        <f>IFERROR(IF(COUNT(E30:J30)=0,"",IF('Configurações'!$F$26="Soma",SUM(E30:J30),IF('Configurações'!$F$26="Último valor",LOOKUP(2,1/(E30:J30&lt;&gt;""),E30:J30),AVERAGE(E30:J30)))),"")</f>
        <v>0</v>
      </c>
      <c r="L30" s="49">
        <f>IF(COUNT(E30:J30)=0,"",MIN(E30:J30))</f>
        <v>0</v>
      </c>
      <c r="M30" s="49">
        <f>IF(COUNT(E30:J30)=0,"",MAX(E30:J30))</f>
        <v>0</v>
      </c>
      <c r="N30" s="50">
        <f>IF('Configurações'!$K$26="","",'Configurações'!$K$26)</f>
        <v>0</v>
      </c>
      <c r="O30" s="50">
        <f>IF('Configurações'!$L$26="","",'Configurações'!$L$26)</f>
        <v>0</v>
      </c>
      <c r="P30" s="18">
        <f>IF(OR(K30="",AND(N30="",O30="")),"",IF(OR(AND(N30&lt;&gt;"",K30&lt;N30),AND(O30&lt;&gt;"",K30&gt;O30)),"Fora","OK"))</f>
        <v>0</v>
      </c>
    </row>
    <row r="31" spans="1:16">
      <c r="A31" s="27" t="s">
        <v>229</v>
      </c>
      <c r="B31" s="28"/>
      <c r="C31" s="29"/>
      <c r="D31" s="16" t="s">
        <v>213</v>
      </c>
      <c r="E31" s="47"/>
      <c r="F31" s="47"/>
      <c r="G31" s="47"/>
      <c r="H31" s="47"/>
      <c r="I31" s="47"/>
      <c r="J31" s="47"/>
      <c r="K31" s="48">
        <f>IFERROR(IF(COUNT(E31:J31)=0,"",IF('Configurações'!$F$26="Soma",SUM(E31:J31),IF('Configurações'!$F$26="Último valor",LOOKUP(2,1/(E31:J31&lt;&gt;""),E31:J31),AVERAGE(E31:J31)))),"")</f>
        <v>0</v>
      </c>
      <c r="L31" s="49">
        <f>IF(COUNT(E31:J31)=0,"",MIN(E31:J31))</f>
        <v>0</v>
      </c>
      <c r="M31" s="49">
        <f>IF(COUNT(E31:J31)=0,"",MAX(E31:J31))</f>
        <v>0</v>
      </c>
      <c r="N31" s="50">
        <f>IF('Configurações'!$K$26="","",'Configurações'!$K$26)</f>
        <v>0</v>
      </c>
      <c r="O31" s="50">
        <f>IF('Configurações'!$L$26="","",'Configurações'!$L$26)</f>
        <v>0</v>
      </c>
      <c r="P31" s="18">
        <f>IF(OR(K31="",AND(N31="",O31="")),"",IF(OR(AND(N31&lt;&gt;"",K31&lt;N31),AND(O31&lt;&gt;"",K31&gt;O31)),"Fora","OK"))</f>
        <v>0</v>
      </c>
    </row>
    <row r="32" spans="1:16" ht="18" customHeight="1">
      <c r="B32" s="15" t="s">
        <v>66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</row>
    <row r="33" spans="1:16">
      <c r="A33" s="27" t="s">
        <v>230</v>
      </c>
      <c r="B33" s="35" t="s">
        <v>67</v>
      </c>
      <c r="C33" s="36" t="s">
        <v>50</v>
      </c>
      <c r="D33" s="37" t="s">
        <v>211</v>
      </c>
      <c r="E33" s="51"/>
      <c r="F33" s="51"/>
      <c r="G33" s="51"/>
      <c r="H33" s="51"/>
      <c r="I33" s="51"/>
      <c r="J33" s="51"/>
      <c r="K33" s="48">
        <f>IFERROR(IF(COUNT(E33:J33)=0,"",IF('Configurações'!$F$27="Soma",SUM(E33:J33),IF('Configurações'!$F$27="Último valor",LOOKUP(2,1/(E33:J33&lt;&gt;""),E33:J33),AVERAGE(E33:J33)))),"")</f>
        <v>0</v>
      </c>
      <c r="L33" s="52">
        <f>IF(COUNT(E33:J33)=0,"",MIN(E33:J33))</f>
        <v>0</v>
      </c>
      <c r="M33" s="52">
        <f>IF(COUNT(E33:J33)=0,"",MAX(E33:J33))</f>
        <v>0</v>
      </c>
      <c r="N33" s="53">
        <f>IF('Configurações'!$K$27="","",'Configurações'!$K$27)</f>
        <v>0</v>
      </c>
      <c r="O33" s="53">
        <f>IF('Configurações'!$L$27="","",'Configurações'!$L$27)</f>
        <v>0</v>
      </c>
      <c r="P33" s="41">
        <f>IF(OR(K33="",AND(N33="",O33="")),"",IF(OR(AND(N33&lt;&gt;"",K33&lt;N33),AND(O33&lt;&gt;"",K33&gt;O33)),"Fora","OK"))</f>
        <v>0</v>
      </c>
    </row>
    <row r="34" spans="1:16">
      <c r="A34" s="27" t="s">
        <v>231</v>
      </c>
      <c r="B34" s="35"/>
      <c r="C34" s="36"/>
      <c r="D34" s="42" t="s">
        <v>213</v>
      </c>
      <c r="E34" s="51"/>
      <c r="F34" s="51"/>
      <c r="G34" s="51"/>
      <c r="H34" s="51"/>
      <c r="I34" s="51"/>
      <c r="J34" s="51"/>
      <c r="K34" s="48">
        <f>IFERROR(IF(COUNT(E34:J34)=0,"",IF('Configurações'!$F$27="Soma",SUM(E34:J34),IF('Configurações'!$F$27="Último valor",LOOKUP(2,1/(E34:J34&lt;&gt;""),E34:J34),AVERAGE(E34:J34)))),"")</f>
        <v>0</v>
      </c>
      <c r="L34" s="52">
        <f>IF(COUNT(E34:J34)=0,"",MIN(E34:J34))</f>
        <v>0</v>
      </c>
      <c r="M34" s="52">
        <f>IF(COUNT(E34:J34)=0,"",MAX(E34:J34))</f>
        <v>0</v>
      </c>
      <c r="N34" s="53">
        <f>IF('Configurações'!$K$27="","",'Configurações'!$K$27)</f>
        <v>0</v>
      </c>
      <c r="O34" s="53">
        <f>IF('Configurações'!$L$27="","",'Configurações'!$L$27)</f>
        <v>0</v>
      </c>
      <c r="P34" s="41">
        <f>IF(OR(K34="",AND(N34="",O34="")),"",IF(OR(AND(N34&lt;&gt;"",K34&lt;N34),AND(O34&lt;&gt;"",K34&gt;O34)),"Fora","OK"))</f>
        <v>0</v>
      </c>
    </row>
    <row r="35" spans="1:16">
      <c r="A35" s="27" t="s">
        <v>232</v>
      </c>
      <c r="B35" s="28" t="s">
        <v>70</v>
      </c>
      <c r="C35" s="29" t="s">
        <v>50</v>
      </c>
      <c r="D35" s="30" t="s">
        <v>211</v>
      </c>
      <c r="E35" s="47"/>
      <c r="F35" s="47"/>
      <c r="G35" s="47"/>
      <c r="H35" s="47"/>
      <c r="I35" s="47"/>
      <c r="J35" s="47"/>
      <c r="K35" s="48">
        <f>IFERROR(IF(COUNT(E35:J35)=0,"",IF('Configurações'!$F$28="Soma",SUM(E35:J35),IF('Configurações'!$F$28="Último valor",LOOKUP(2,1/(E35:J35&lt;&gt;""),E35:J35),AVERAGE(E35:J35)))),"")</f>
        <v>0</v>
      </c>
      <c r="L35" s="49">
        <f>IF(COUNT(E35:J35)=0,"",MIN(E35:J35))</f>
        <v>0</v>
      </c>
      <c r="M35" s="49">
        <f>IF(COUNT(E35:J35)=0,"",MAX(E35:J35))</f>
        <v>0</v>
      </c>
      <c r="N35" s="50">
        <f>IF('Configurações'!$K$28="","",'Configurações'!$K$28)</f>
        <v>0</v>
      </c>
      <c r="O35" s="50">
        <f>IF('Configurações'!$L$28="","",'Configurações'!$L$28)</f>
        <v>0</v>
      </c>
      <c r="P35" s="18">
        <f>IF(OR(K35="",AND(N35="",O35="")),"",IF(OR(AND(N35&lt;&gt;"",K35&lt;N35),AND(O35&lt;&gt;"",K35&gt;O35)),"Fora","OK"))</f>
        <v>0</v>
      </c>
    </row>
    <row r="36" spans="1:16">
      <c r="A36" s="27" t="s">
        <v>233</v>
      </c>
      <c r="B36" s="28"/>
      <c r="C36" s="29"/>
      <c r="D36" s="16" t="s">
        <v>213</v>
      </c>
      <c r="E36" s="47"/>
      <c r="F36" s="47"/>
      <c r="G36" s="47"/>
      <c r="H36" s="47"/>
      <c r="I36" s="47"/>
      <c r="J36" s="47"/>
      <c r="K36" s="48">
        <f>IFERROR(IF(COUNT(E36:J36)=0,"",IF('Configurações'!$F$28="Soma",SUM(E36:J36),IF('Configurações'!$F$28="Último valor",LOOKUP(2,1/(E36:J36&lt;&gt;""),E36:J36),AVERAGE(E36:J36)))),"")</f>
        <v>0</v>
      </c>
      <c r="L36" s="49">
        <f>IF(COUNT(E36:J36)=0,"",MIN(E36:J36))</f>
        <v>0</v>
      </c>
      <c r="M36" s="49">
        <f>IF(COUNT(E36:J36)=0,"",MAX(E36:J36))</f>
        <v>0</v>
      </c>
      <c r="N36" s="50">
        <f>IF('Configurações'!$K$28="","",'Configurações'!$K$28)</f>
        <v>0</v>
      </c>
      <c r="O36" s="50">
        <f>IF('Configurações'!$L$28="","",'Configurações'!$L$28)</f>
        <v>0</v>
      </c>
      <c r="P36" s="18">
        <f>IF(OR(K36="",AND(N36="",O36="")),"",IF(OR(AND(N36&lt;&gt;"",K36&lt;N36),AND(O36&lt;&gt;"",K36&gt;O36)),"Fora","OK"))</f>
        <v>0</v>
      </c>
    </row>
    <row r="37" spans="1:16">
      <c r="A37" s="27" t="s">
        <v>234</v>
      </c>
      <c r="B37" s="35" t="s">
        <v>73</v>
      </c>
      <c r="C37" s="36" t="s">
        <v>74</v>
      </c>
      <c r="D37" s="37" t="s">
        <v>211</v>
      </c>
      <c r="E37" s="51"/>
      <c r="F37" s="51"/>
      <c r="G37" s="51"/>
      <c r="H37" s="51"/>
      <c r="I37" s="51"/>
      <c r="J37" s="51"/>
      <c r="K37" s="48">
        <f>IFERROR(IF(COUNT(E37:J37)=0,"",IF('Configurações'!$F$29="Soma",SUM(E37:J37),IF('Configurações'!$F$29="Último valor",LOOKUP(2,1/(E37:J37&lt;&gt;""),E37:J37),AVERAGE(E37:J37)))),"")</f>
        <v>0</v>
      </c>
      <c r="L37" s="52">
        <f>IF(COUNT(E37:J37)=0,"",MIN(E37:J37))</f>
        <v>0</v>
      </c>
      <c r="M37" s="52">
        <f>IF(COUNT(E37:J37)=0,"",MAX(E37:J37))</f>
        <v>0</v>
      </c>
      <c r="N37" s="53">
        <f>IF('Configurações'!$K$29="","",'Configurações'!$K$29)</f>
        <v>0</v>
      </c>
      <c r="O37" s="53">
        <f>IF('Configurações'!$L$29="","",'Configurações'!$L$29)</f>
        <v>0</v>
      </c>
      <c r="P37" s="41">
        <f>IF(OR(K37="",AND(N37="",O37="")),"",IF(OR(AND(N37&lt;&gt;"",K37&lt;N37),AND(O37&lt;&gt;"",K37&gt;O37)),"Fora","OK"))</f>
        <v>0</v>
      </c>
    </row>
    <row r="38" spans="1:16">
      <c r="A38" s="27" t="s">
        <v>235</v>
      </c>
      <c r="B38" s="35"/>
      <c r="C38" s="36"/>
      <c r="D38" s="42" t="s">
        <v>213</v>
      </c>
      <c r="E38" s="51"/>
      <c r="F38" s="51"/>
      <c r="G38" s="51"/>
      <c r="H38" s="51"/>
      <c r="I38" s="51"/>
      <c r="J38" s="51"/>
      <c r="K38" s="48">
        <f>IFERROR(IF(COUNT(E38:J38)=0,"",IF('Configurações'!$F$29="Soma",SUM(E38:J38),IF('Configurações'!$F$29="Último valor",LOOKUP(2,1/(E38:J38&lt;&gt;""),E38:J38),AVERAGE(E38:J38)))),"")</f>
        <v>0</v>
      </c>
      <c r="L38" s="52">
        <f>IF(COUNT(E38:J38)=0,"",MIN(E38:J38))</f>
        <v>0</v>
      </c>
      <c r="M38" s="52">
        <f>IF(COUNT(E38:J38)=0,"",MAX(E38:J38))</f>
        <v>0</v>
      </c>
      <c r="N38" s="53">
        <f>IF('Configurações'!$K$29="","",'Configurações'!$K$29)</f>
        <v>0</v>
      </c>
      <c r="O38" s="53">
        <f>IF('Configurações'!$L$29="","",'Configurações'!$L$29)</f>
        <v>0</v>
      </c>
      <c r="P38" s="41">
        <f>IF(OR(K38="",AND(N38="",O38="")),"",IF(OR(AND(N38&lt;&gt;"",K38&lt;N38),AND(O38&lt;&gt;"",K38&gt;O38)),"Fora","OK"))</f>
        <v>0</v>
      </c>
    </row>
    <row r="39" spans="1:16">
      <c r="A39" s="27" t="s">
        <v>236</v>
      </c>
      <c r="B39" s="28" t="s">
        <v>77</v>
      </c>
      <c r="C39" s="29" t="s">
        <v>78</v>
      </c>
      <c r="D39" s="30" t="s">
        <v>211</v>
      </c>
      <c r="E39" s="54"/>
      <c r="F39" s="54"/>
      <c r="G39" s="54"/>
      <c r="H39" s="54"/>
      <c r="I39" s="54"/>
      <c r="J39" s="54"/>
      <c r="K39" s="44">
        <f>IFERROR(IF(COUNT(E39:J39)=0,"",IF('Configurações'!$F$30="Soma",SUM(E39:J39),IF('Configurações'!$F$30="Último valor",LOOKUP(2,1/(E39:J39&lt;&gt;""),E39:J39),AVERAGE(E39:J39)))),"")</f>
        <v>0</v>
      </c>
      <c r="L39" s="55">
        <f>IF(COUNT(E39:J39)=0,"",MIN(E39:J39))</f>
        <v>0</v>
      </c>
      <c r="M39" s="55">
        <f>IF(COUNT(E39:J39)=0,"",MAX(E39:J39))</f>
        <v>0</v>
      </c>
      <c r="N39" s="56">
        <f>IF('Configurações'!$K$30="","",'Configurações'!$K$30)</f>
        <v>0</v>
      </c>
      <c r="O39" s="56">
        <f>IF('Configurações'!$L$30="","",'Configurações'!$L$30)</f>
        <v>0</v>
      </c>
      <c r="P39" s="18">
        <f>IF(OR(K39="",AND(N39="",O39="")),"",IF(OR(AND(N39&lt;&gt;"",K39&lt;N39),AND(O39&lt;&gt;"",K39&gt;O39)),"Fora","OK"))</f>
        <v>0</v>
      </c>
    </row>
    <row r="40" spans="1:16">
      <c r="A40" s="27" t="s">
        <v>237</v>
      </c>
      <c r="B40" s="28"/>
      <c r="C40" s="29"/>
      <c r="D40" s="16" t="s">
        <v>213</v>
      </c>
      <c r="E40" s="54"/>
      <c r="F40" s="54"/>
      <c r="G40" s="54"/>
      <c r="H40" s="54"/>
      <c r="I40" s="54"/>
      <c r="J40" s="54"/>
      <c r="K40" s="44">
        <f>IFERROR(IF(COUNT(E40:J40)=0,"",IF('Configurações'!$F$30="Soma",SUM(E40:J40),IF('Configurações'!$F$30="Último valor",LOOKUP(2,1/(E40:J40&lt;&gt;""),E40:J40),AVERAGE(E40:J40)))),"")</f>
        <v>0</v>
      </c>
      <c r="L40" s="55">
        <f>IF(COUNT(E40:J40)=0,"",MIN(E40:J40))</f>
        <v>0</v>
      </c>
      <c r="M40" s="55">
        <f>IF(COUNT(E40:J40)=0,"",MAX(E40:J40))</f>
        <v>0</v>
      </c>
      <c r="N40" s="56">
        <f>IF('Configurações'!$K$30="","",'Configurações'!$K$30)</f>
        <v>0</v>
      </c>
      <c r="O40" s="56">
        <f>IF('Configurações'!$L$30="","",'Configurações'!$L$30)</f>
        <v>0</v>
      </c>
      <c r="P40" s="18">
        <f>IF(OR(K40="",AND(N40="",O40="")),"",IF(OR(AND(N40&lt;&gt;"",K40&lt;N40),AND(O40&lt;&gt;"",K40&gt;O40)),"Fora","OK"))</f>
        <v>0</v>
      </c>
    </row>
    <row r="41" spans="1:16">
      <c r="A41" s="27" t="s">
        <v>238</v>
      </c>
      <c r="B41" s="35" t="s">
        <v>81</v>
      </c>
      <c r="C41" s="36" t="s">
        <v>50</v>
      </c>
      <c r="D41" s="37" t="s">
        <v>211</v>
      </c>
      <c r="E41" s="51"/>
      <c r="F41" s="51"/>
      <c r="G41" s="51"/>
      <c r="H41" s="51"/>
      <c r="I41" s="51"/>
      <c r="J41" s="51"/>
      <c r="K41" s="48">
        <f>IFERROR(IF(COUNT(E41:J41)=0,"",IF('Configurações'!$F$31="Soma",SUM(E41:J41),IF('Configurações'!$F$31="Último valor",LOOKUP(2,1/(E41:J41&lt;&gt;""),E41:J41),AVERAGE(E41:J41)))),"")</f>
        <v>0</v>
      </c>
      <c r="L41" s="52">
        <f>IF(COUNT(E41:J41)=0,"",MIN(E41:J41))</f>
        <v>0</v>
      </c>
      <c r="M41" s="52">
        <f>IF(COUNT(E41:J41)=0,"",MAX(E41:J41))</f>
        <v>0</v>
      </c>
      <c r="N41" s="53">
        <f>IF('Configurações'!$K$31="","",'Configurações'!$K$31)</f>
        <v>0</v>
      </c>
      <c r="O41" s="53">
        <f>IF('Configurações'!$L$31="","",'Configurações'!$L$31)</f>
        <v>0</v>
      </c>
      <c r="P41" s="41">
        <f>IF(OR(K41="",AND(N41="",O41="")),"",IF(OR(AND(N41&lt;&gt;"",K41&lt;N41),AND(O41&lt;&gt;"",K41&gt;O41)),"Fora","OK"))</f>
        <v>0</v>
      </c>
    </row>
    <row r="42" spans="1:16">
      <c r="A42" s="27" t="s">
        <v>239</v>
      </c>
      <c r="B42" s="35"/>
      <c r="C42" s="36"/>
      <c r="D42" s="42" t="s">
        <v>213</v>
      </c>
      <c r="E42" s="51"/>
      <c r="F42" s="51"/>
      <c r="G42" s="51"/>
      <c r="H42" s="51"/>
      <c r="I42" s="51"/>
      <c r="J42" s="51"/>
      <c r="K42" s="48">
        <f>IFERROR(IF(COUNT(E42:J42)=0,"",IF('Configurações'!$F$31="Soma",SUM(E42:J42),IF('Configurações'!$F$31="Último valor",LOOKUP(2,1/(E42:J42&lt;&gt;""),E42:J42),AVERAGE(E42:J42)))),"")</f>
        <v>0</v>
      </c>
      <c r="L42" s="52">
        <f>IF(COUNT(E42:J42)=0,"",MIN(E42:J42))</f>
        <v>0</v>
      </c>
      <c r="M42" s="52">
        <f>IF(COUNT(E42:J42)=0,"",MAX(E42:J42))</f>
        <v>0</v>
      </c>
      <c r="N42" s="53">
        <f>IF('Configurações'!$K$31="","",'Configurações'!$K$31)</f>
        <v>0</v>
      </c>
      <c r="O42" s="53">
        <f>IF('Configurações'!$L$31="","",'Configurações'!$L$31)</f>
        <v>0</v>
      </c>
      <c r="P42" s="41">
        <f>IF(OR(K42="",AND(N42="",O42="")),"",IF(OR(AND(N42&lt;&gt;"",K42&lt;N42),AND(O42&lt;&gt;"",K42&gt;O42)),"Fora","OK"))</f>
        <v>0</v>
      </c>
    </row>
    <row r="43" spans="1:16" ht="18" customHeight="1">
      <c r="B43" s="15" t="s">
        <v>84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</row>
    <row r="44" spans="1:16">
      <c r="A44" s="27" t="s">
        <v>240</v>
      </c>
      <c r="B44" s="28" t="s">
        <v>85</v>
      </c>
      <c r="C44" s="29" t="s">
        <v>50</v>
      </c>
      <c r="D44" s="30" t="s">
        <v>211</v>
      </c>
      <c r="E44" s="54"/>
      <c r="F44" s="54"/>
      <c r="G44" s="54"/>
      <c r="H44" s="54"/>
      <c r="I44" s="54"/>
      <c r="J44" s="54"/>
      <c r="K44" s="44">
        <f>IFERROR(IF(COUNT(E44:J44)=0,"",IF('Configurações'!$F$32="Soma",SUM(E44:J44),IF('Configurações'!$F$32="Último valor",LOOKUP(2,1/(E44:J44&lt;&gt;""),E44:J44),AVERAGE(E44:J44)))),"")</f>
        <v>0</v>
      </c>
      <c r="L44" s="55">
        <f>IF(COUNT(E44:J44)=0,"",MIN(E44:J44))</f>
        <v>0</v>
      </c>
      <c r="M44" s="55">
        <f>IF(COUNT(E44:J44)=0,"",MAX(E44:J44))</f>
        <v>0</v>
      </c>
      <c r="N44" s="56">
        <f>IF('Configurações'!$K$32="","",'Configurações'!$K$32)</f>
        <v>0</v>
      </c>
      <c r="O44" s="56">
        <f>IF('Configurações'!$L$32="","",'Configurações'!$L$32)</f>
        <v>0</v>
      </c>
      <c r="P44" s="18">
        <f>IF(OR(K44="",AND(N44="",O44="")),"",IF(OR(AND(N44&lt;&gt;"",K44&lt;N44),AND(O44&lt;&gt;"",K44&gt;O44)),"Fora","OK"))</f>
        <v>0</v>
      </c>
    </row>
    <row r="45" spans="1:16">
      <c r="A45" s="27" t="s">
        <v>241</v>
      </c>
      <c r="B45" s="28"/>
      <c r="C45" s="29"/>
      <c r="D45" s="16" t="s">
        <v>213</v>
      </c>
      <c r="E45" s="54"/>
      <c r="F45" s="54"/>
      <c r="G45" s="54"/>
      <c r="H45" s="54"/>
      <c r="I45" s="54"/>
      <c r="J45" s="54"/>
      <c r="K45" s="44">
        <f>IFERROR(IF(COUNT(E45:J45)=0,"",IF('Configurações'!$F$32="Soma",SUM(E45:J45),IF('Configurações'!$F$32="Último valor",LOOKUP(2,1/(E45:J45&lt;&gt;""),E45:J45),AVERAGE(E45:J45)))),"")</f>
        <v>0</v>
      </c>
      <c r="L45" s="55">
        <f>IF(COUNT(E45:J45)=0,"",MIN(E45:J45))</f>
        <v>0</v>
      </c>
      <c r="M45" s="55">
        <f>IF(COUNT(E45:J45)=0,"",MAX(E45:J45))</f>
        <v>0</v>
      </c>
      <c r="N45" s="56">
        <f>IF('Configurações'!$K$32="","",'Configurações'!$K$32)</f>
        <v>0</v>
      </c>
      <c r="O45" s="56">
        <f>IF('Configurações'!$L$32="","",'Configurações'!$L$32)</f>
        <v>0</v>
      </c>
      <c r="P45" s="18">
        <f>IF(OR(K45="",AND(N45="",O45="")),"",IF(OR(AND(N45&lt;&gt;"",K45&lt;N45),AND(O45&lt;&gt;"",K45&gt;O45)),"Fora","OK"))</f>
        <v>0</v>
      </c>
    </row>
    <row r="46" spans="1:16">
      <c r="A46" s="27" t="s">
        <v>242</v>
      </c>
      <c r="B46" s="35" t="s">
        <v>88</v>
      </c>
      <c r="C46" s="36" t="s">
        <v>74</v>
      </c>
      <c r="D46" s="37" t="s">
        <v>211</v>
      </c>
      <c r="E46" s="51"/>
      <c r="F46" s="51"/>
      <c r="G46" s="51"/>
      <c r="H46" s="51"/>
      <c r="I46" s="51"/>
      <c r="J46" s="51"/>
      <c r="K46" s="48">
        <f>IFERROR(IF(COUNT(E46:J46)=0,"",IF('Configurações'!$F$33="Soma",SUM(E46:J46),IF('Configurações'!$F$33="Último valor",LOOKUP(2,1/(E46:J46&lt;&gt;""),E46:J46),AVERAGE(E46:J46)))),"")</f>
        <v>0</v>
      </c>
      <c r="L46" s="52">
        <f>IF(COUNT(E46:J46)=0,"",MIN(E46:J46))</f>
        <v>0</v>
      </c>
      <c r="M46" s="52">
        <f>IF(COUNT(E46:J46)=0,"",MAX(E46:J46))</f>
        <v>0</v>
      </c>
      <c r="N46" s="53">
        <f>IF('Configurações'!$K$33="","",'Configurações'!$K$33)</f>
        <v>0</v>
      </c>
      <c r="O46" s="53">
        <f>IF('Configurações'!$L$33="","",'Configurações'!$L$33)</f>
        <v>0</v>
      </c>
      <c r="P46" s="41">
        <f>IF(OR(K46="",AND(N46="",O46="")),"",IF(OR(AND(N46&lt;&gt;"",K46&lt;N46),AND(O46&lt;&gt;"",K46&gt;O46)),"Fora","OK"))</f>
        <v>0</v>
      </c>
    </row>
    <row r="47" spans="1:16">
      <c r="A47" s="27" t="s">
        <v>243</v>
      </c>
      <c r="B47" s="35"/>
      <c r="C47" s="36"/>
      <c r="D47" s="42" t="s">
        <v>213</v>
      </c>
      <c r="E47" s="51"/>
      <c r="F47" s="51"/>
      <c r="G47" s="51"/>
      <c r="H47" s="51"/>
      <c r="I47" s="51"/>
      <c r="J47" s="51"/>
      <c r="K47" s="48">
        <f>IFERROR(IF(COUNT(E47:J47)=0,"",IF('Configurações'!$F$33="Soma",SUM(E47:J47),IF('Configurações'!$F$33="Último valor",LOOKUP(2,1/(E47:J47&lt;&gt;""),E47:J47),AVERAGE(E47:J47)))),"")</f>
        <v>0</v>
      </c>
      <c r="L47" s="52">
        <f>IF(COUNT(E47:J47)=0,"",MIN(E47:J47))</f>
        <v>0</v>
      </c>
      <c r="M47" s="52">
        <f>IF(COUNT(E47:J47)=0,"",MAX(E47:J47))</f>
        <v>0</v>
      </c>
      <c r="N47" s="53">
        <f>IF('Configurações'!$K$33="","",'Configurações'!$K$33)</f>
        <v>0</v>
      </c>
      <c r="O47" s="53">
        <f>IF('Configurações'!$L$33="","",'Configurações'!$L$33)</f>
        <v>0</v>
      </c>
      <c r="P47" s="41">
        <f>IF(OR(K47="",AND(N47="",O47="")),"",IF(OR(AND(N47&lt;&gt;"",K47&lt;N47),AND(O47&lt;&gt;"",K47&gt;O47)),"Fora","OK"))</f>
        <v>0</v>
      </c>
    </row>
    <row r="48" spans="1:16">
      <c r="A48" s="27" t="s">
        <v>244</v>
      </c>
      <c r="B48" s="28" t="s">
        <v>91</v>
      </c>
      <c r="C48" s="29" t="s">
        <v>50</v>
      </c>
      <c r="D48" s="30" t="s">
        <v>211</v>
      </c>
      <c r="E48" s="54"/>
      <c r="F48" s="54"/>
      <c r="G48" s="54"/>
      <c r="H48" s="54"/>
      <c r="I48" s="54"/>
      <c r="J48" s="54"/>
      <c r="K48" s="44">
        <f>IFERROR(IF(COUNT(E48:J48)=0,"",IF('Configurações'!$F$34="Soma",SUM(E48:J48),IF('Configurações'!$F$34="Último valor",LOOKUP(2,1/(E48:J48&lt;&gt;""),E48:J48),AVERAGE(E48:J48)))),"")</f>
        <v>0</v>
      </c>
      <c r="L48" s="55">
        <f>IF(COUNT(E48:J48)=0,"",MIN(E48:J48))</f>
        <v>0</v>
      </c>
      <c r="M48" s="55">
        <f>IF(COUNT(E48:J48)=0,"",MAX(E48:J48))</f>
        <v>0</v>
      </c>
      <c r="N48" s="56">
        <f>IF('Configurações'!$K$34="","",'Configurações'!$K$34)</f>
        <v>0</v>
      </c>
      <c r="O48" s="56">
        <f>IF('Configurações'!$L$34="","",'Configurações'!$L$34)</f>
        <v>0</v>
      </c>
      <c r="P48" s="18">
        <f>IF(OR(K48="",AND(N48="",O48="")),"",IF(OR(AND(N48&lt;&gt;"",K48&lt;N48),AND(O48&lt;&gt;"",K48&gt;O48)),"Fora","OK"))</f>
        <v>0</v>
      </c>
    </row>
    <row r="49" spans="1:16">
      <c r="A49" s="27" t="s">
        <v>245</v>
      </c>
      <c r="B49" s="28"/>
      <c r="C49" s="29"/>
      <c r="D49" s="16" t="s">
        <v>213</v>
      </c>
      <c r="E49" s="54"/>
      <c r="F49" s="54"/>
      <c r="G49" s="54"/>
      <c r="H49" s="54"/>
      <c r="I49" s="54"/>
      <c r="J49" s="54"/>
      <c r="K49" s="44">
        <f>IFERROR(IF(COUNT(E49:J49)=0,"",IF('Configurações'!$F$34="Soma",SUM(E49:J49),IF('Configurações'!$F$34="Último valor",LOOKUP(2,1/(E49:J49&lt;&gt;""),E49:J49),AVERAGE(E49:J49)))),"")</f>
        <v>0</v>
      </c>
      <c r="L49" s="55">
        <f>IF(COUNT(E49:J49)=0,"",MIN(E49:J49))</f>
        <v>0</v>
      </c>
      <c r="M49" s="55">
        <f>IF(COUNT(E49:J49)=0,"",MAX(E49:J49))</f>
        <v>0</v>
      </c>
      <c r="N49" s="56">
        <f>IF('Configurações'!$K$34="","",'Configurações'!$K$34)</f>
        <v>0</v>
      </c>
      <c r="O49" s="56">
        <f>IF('Configurações'!$L$34="","",'Configurações'!$L$34)</f>
        <v>0</v>
      </c>
      <c r="P49" s="18">
        <f>IF(OR(K49="",AND(N49="",O49="")),"",IF(OR(AND(N49&lt;&gt;"",K49&lt;N49),AND(O49&lt;&gt;"",K49&gt;O49)),"Fora","OK"))</f>
        <v>0</v>
      </c>
    </row>
    <row r="50" spans="1:16">
      <c r="A50" s="27" t="s">
        <v>246</v>
      </c>
      <c r="B50" s="35" t="s">
        <v>94</v>
      </c>
      <c r="C50" s="36" t="s">
        <v>95</v>
      </c>
      <c r="D50" s="37" t="s">
        <v>211</v>
      </c>
      <c r="E50" s="38"/>
      <c r="F50" s="38"/>
      <c r="G50" s="38"/>
      <c r="H50" s="38"/>
      <c r="I50" s="38"/>
      <c r="J50" s="38"/>
      <c r="K50" s="32">
        <f>IFERROR(IF(COUNT(E50:J50)=0,"",IF('Configurações'!$F$35="Soma",SUM(E50:J50),IF('Configurações'!$F$35="Último valor",LOOKUP(2,1/(E50:J50&lt;&gt;""),E50:J50),AVERAGE(E50:J50)))),"")</f>
        <v>0</v>
      </c>
      <c r="L50" s="39">
        <f>IF(COUNT(E50:J50)=0,"",MIN(E50:J50))</f>
        <v>0</v>
      </c>
      <c r="M50" s="39">
        <f>IF(COUNT(E50:J50)=0,"",MAX(E50:J50))</f>
        <v>0</v>
      </c>
      <c r="N50" s="40">
        <f>IF('Configurações'!$K$35="","",'Configurações'!$K$35)</f>
        <v>0</v>
      </c>
      <c r="O50" s="40">
        <f>IF('Configurações'!$L$35="","",'Configurações'!$L$35)</f>
        <v>0</v>
      </c>
      <c r="P50" s="41">
        <f>IF(OR(K50="",AND(N50="",O50="")),"",IF(OR(AND(N50&lt;&gt;"",K50&lt;N50),AND(O50&lt;&gt;"",K50&gt;O50)),"Fora","OK"))</f>
        <v>0</v>
      </c>
    </row>
    <row r="51" spans="1:16">
      <c r="A51" s="27" t="s">
        <v>247</v>
      </c>
      <c r="B51" s="35"/>
      <c r="C51" s="36"/>
      <c r="D51" s="42" t="s">
        <v>213</v>
      </c>
      <c r="E51" s="38"/>
      <c r="F51" s="38"/>
      <c r="G51" s="38"/>
      <c r="H51" s="38"/>
      <c r="I51" s="38"/>
      <c r="J51" s="38"/>
      <c r="K51" s="32">
        <f>IFERROR(IF(COUNT(E51:J51)=0,"",IF('Configurações'!$F$35="Soma",SUM(E51:J51),IF('Configurações'!$F$35="Último valor",LOOKUP(2,1/(E51:J51&lt;&gt;""),E51:J51),AVERAGE(E51:J51)))),"")</f>
        <v>0</v>
      </c>
      <c r="L51" s="39">
        <f>IF(COUNT(E51:J51)=0,"",MIN(E51:J51))</f>
        <v>0</v>
      </c>
      <c r="M51" s="39">
        <f>IF(COUNT(E51:J51)=0,"",MAX(E51:J51))</f>
        <v>0</v>
      </c>
      <c r="N51" s="40">
        <f>IF('Configurações'!$K$35="","",'Configurações'!$K$35)</f>
        <v>0</v>
      </c>
      <c r="O51" s="40">
        <f>IF('Configurações'!$L$35="","",'Configurações'!$L$35)</f>
        <v>0</v>
      </c>
      <c r="P51" s="41">
        <f>IF(OR(K51="",AND(N51="",O51="")),"",IF(OR(AND(N51&lt;&gt;"",K51&lt;N51),AND(O51&lt;&gt;"",K51&gt;O51)),"Fora","OK"))</f>
        <v>0</v>
      </c>
    </row>
    <row r="52" spans="1:16">
      <c r="A52" s="27" t="s">
        <v>248</v>
      </c>
      <c r="B52" s="28" t="s">
        <v>98</v>
      </c>
      <c r="C52" s="29" t="s">
        <v>50</v>
      </c>
      <c r="D52" s="30" t="s">
        <v>211</v>
      </c>
      <c r="E52" s="31"/>
      <c r="F52" s="31"/>
      <c r="G52" s="31"/>
      <c r="H52" s="31"/>
      <c r="I52" s="31"/>
      <c r="J52" s="31"/>
      <c r="K52" s="32">
        <f>IFERROR(IF(COUNT(E52:J52)=0,"",IF('Configurações'!$F$36="Soma",SUM(E52:J52),IF('Configurações'!$F$36="Último valor",LOOKUP(2,1/(E52:J52&lt;&gt;""),E52:J52),AVERAGE(E52:J52)))),"")</f>
        <v>0</v>
      </c>
      <c r="L52" s="33">
        <f>IF(COUNT(E52:J52)=0,"",MIN(E52:J52))</f>
        <v>0</v>
      </c>
      <c r="M52" s="33">
        <f>IF(COUNT(E52:J52)=0,"",MAX(E52:J52))</f>
        <v>0</v>
      </c>
      <c r="N52" s="34">
        <f>IF('Configurações'!$K$36="","",'Configurações'!$K$36)</f>
        <v>0</v>
      </c>
      <c r="O52" s="34">
        <f>IF('Configurações'!$L$36="","",'Configurações'!$L$36)</f>
        <v>0</v>
      </c>
      <c r="P52" s="18">
        <f>IF(OR(K52="",AND(N52="",O52="")),"",IF(OR(AND(N52&lt;&gt;"",K52&lt;N52),AND(O52&lt;&gt;"",K52&gt;O52)),"Fora","OK"))</f>
        <v>0</v>
      </c>
    </row>
    <row r="53" spans="1:16">
      <c r="A53" s="27" t="s">
        <v>249</v>
      </c>
      <c r="B53" s="28"/>
      <c r="C53" s="29"/>
      <c r="D53" s="16" t="s">
        <v>213</v>
      </c>
      <c r="E53" s="31"/>
      <c r="F53" s="31"/>
      <c r="G53" s="31"/>
      <c r="H53" s="31"/>
      <c r="I53" s="31"/>
      <c r="J53" s="31"/>
      <c r="K53" s="32">
        <f>IFERROR(IF(COUNT(E53:J53)=0,"",IF('Configurações'!$F$36="Soma",SUM(E53:J53),IF('Configurações'!$F$36="Último valor",LOOKUP(2,1/(E53:J53&lt;&gt;""),E53:J53),AVERAGE(E53:J53)))),"")</f>
        <v>0</v>
      </c>
      <c r="L53" s="33">
        <f>IF(COUNT(E53:J53)=0,"",MIN(E53:J53))</f>
        <v>0</v>
      </c>
      <c r="M53" s="33">
        <f>IF(COUNT(E53:J53)=0,"",MAX(E53:J53))</f>
        <v>0</v>
      </c>
      <c r="N53" s="34">
        <f>IF('Configurações'!$K$36="","",'Configurações'!$K$36)</f>
        <v>0</v>
      </c>
      <c r="O53" s="34">
        <f>IF('Configurações'!$L$36="","",'Configurações'!$L$36)</f>
        <v>0</v>
      </c>
      <c r="P53" s="18">
        <f>IF(OR(K53="",AND(N53="",O53="")),"",IF(OR(AND(N53&lt;&gt;"",K53&lt;N53),AND(O53&lt;&gt;"",K53&gt;O53)),"Fora","OK"))</f>
        <v>0</v>
      </c>
    </row>
    <row r="54" spans="1:16">
      <c r="A54" s="27" t="s">
        <v>250</v>
      </c>
      <c r="B54" s="35" t="s">
        <v>101</v>
      </c>
      <c r="C54" s="36" t="s">
        <v>50</v>
      </c>
      <c r="D54" s="37" t="s">
        <v>211</v>
      </c>
      <c r="E54" s="43"/>
      <c r="F54" s="43"/>
      <c r="G54" s="43"/>
      <c r="H54" s="43"/>
      <c r="I54" s="43"/>
      <c r="J54" s="43"/>
      <c r="K54" s="44">
        <f>IFERROR(IF(COUNT(E54:J54)=0,"",IF('Configurações'!$F$37="Soma",SUM(E54:J54),IF('Configurações'!$F$37="Último valor",LOOKUP(2,1/(E54:J54&lt;&gt;""),E54:J54),AVERAGE(E54:J54)))),"")</f>
        <v>0</v>
      </c>
      <c r="L54" s="45">
        <f>IF(COUNT(E54:J54)=0,"",MIN(E54:J54))</f>
        <v>0</v>
      </c>
      <c r="M54" s="45">
        <f>IF(COUNT(E54:J54)=0,"",MAX(E54:J54))</f>
        <v>0</v>
      </c>
      <c r="N54" s="46">
        <f>IF('Configurações'!$K$37="","",'Configurações'!$K$37)</f>
        <v>0</v>
      </c>
      <c r="O54" s="46">
        <f>IF('Configurações'!$L$37="","",'Configurações'!$L$37)</f>
        <v>0</v>
      </c>
      <c r="P54" s="41">
        <f>IF(OR(K54="",AND(N54="",O54="")),"",IF(OR(AND(N54&lt;&gt;"",K54&lt;N54),AND(O54&lt;&gt;"",K54&gt;O54)),"Fora","OK"))</f>
        <v>0</v>
      </c>
    </row>
    <row r="55" spans="1:16">
      <c r="A55" s="27" t="s">
        <v>251</v>
      </c>
      <c r="B55" s="35"/>
      <c r="C55" s="36"/>
      <c r="D55" s="42" t="s">
        <v>213</v>
      </c>
      <c r="E55" s="43"/>
      <c r="F55" s="43"/>
      <c r="G55" s="43"/>
      <c r="H55" s="43"/>
      <c r="I55" s="43"/>
      <c r="J55" s="43"/>
      <c r="K55" s="44">
        <f>IFERROR(IF(COUNT(E55:J55)=0,"",IF('Configurações'!$F$37="Soma",SUM(E55:J55),IF('Configurações'!$F$37="Último valor",LOOKUP(2,1/(E55:J55&lt;&gt;""),E55:J55),AVERAGE(E55:J55)))),"")</f>
        <v>0</v>
      </c>
      <c r="L55" s="45">
        <f>IF(COUNT(E55:J55)=0,"",MIN(E55:J55))</f>
        <v>0</v>
      </c>
      <c r="M55" s="45">
        <f>IF(COUNT(E55:J55)=0,"",MAX(E55:J55))</f>
        <v>0</v>
      </c>
      <c r="N55" s="46">
        <f>IF('Configurações'!$K$37="","",'Configurações'!$K$37)</f>
        <v>0</v>
      </c>
      <c r="O55" s="46">
        <f>IF('Configurações'!$L$37="","",'Configurações'!$L$37)</f>
        <v>0</v>
      </c>
      <c r="P55" s="41">
        <f>IF(OR(K55="",AND(N55="",O55="")),"",IF(OR(AND(N55&lt;&gt;"",K55&lt;N55),AND(O55&lt;&gt;"",K55&gt;O55)),"Fora","OK"))</f>
        <v>0</v>
      </c>
    </row>
    <row r="56" spans="1:16">
      <c r="A56" s="27" t="s">
        <v>252</v>
      </c>
      <c r="B56" s="28" t="s">
        <v>104</v>
      </c>
      <c r="C56" s="29" t="s">
        <v>50</v>
      </c>
      <c r="D56" s="30" t="s">
        <v>211</v>
      </c>
      <c r="E56" s="47"/>
      <c r="F56" s="47"/>
      <c r="G56" s="47"/>
      <c r="H56" s="47"/>
      <c r="I56" s="47"/>
      <c r="J56" s="47"/>
      <c r="K56" s="48">
        <f>IFERROR(IF(COUNT(E56:J56)=0,"",IF('Configurações'!$F$38="Soma",SUM(E56:J56),IF('Configurações'!$F$38="Último valor",LOOKUP(2,1/(E56:J56&lt;&gt;""),E56:J56),AVERAGE(E56:J56)))),"")</f>
        <v>0</v>
      </c>
      <c r="L56" s="49">
        <f>IF(COUNT(E56:J56)=0,"",MIN(E56:J56))</f>
        <v>0</v>
      </c>
      <c r="M56" s="49">
        <f>IF(COUNT(E56:J56)=0,"",MAX(E56:J56))</f>
        <v>0</v>
      </c>
      <c r="N56" s="50">
        <f>IF('Configurações'!$K$38="","",'Configurações'!$K$38)</f>
        <v>0</v>
      </c>
      <c r="O56" s="50">
        <f>IF('Configurações'!$L$38="","",'Configurações'!$L$38)</f>
        <v>0</v>
      </c>
      <c r="P56" s="18">
        <f>IF(OR(K56="",AND(N56="",O56="")),"",IF(OR(AND(N56&lt;&gt;"",K56&lt;N56),AND(O56&lt;&gt;"",K56&gt;O56)),"Fora","OK"))</f>
        <v>0</v>
      </c>
    </row>
    <row r="57" spans="1:16">
      <c r="A57" s="27" t="s">
        <v>253</v>
      </c>
      <c r="B57" s="28"/>
      <c r="C57" s="29"/>
      <c r="D57" s="16" t="s">
        <v>213</v>
      </c>
      <c r="E57" s="47"/>
      <c r="F57" s="47"/>
      <c r="G57" s="47"/>
      <c r="H57" s="47"/>
      <c r="I57" s="47"/>
      <c r="J57" s="47"/>
      <c r="K57" s="48">
        <f>IFERROR(IF(COUNT(E57:J57)=0,"",IF('Configurações'!$F$38="Soma",SUM(E57:J57),IF('Configurações'!$F$38="Último valor",LOOKUP(2,1/(E57:J57&lt;&gt;""),E57:J57),AVERAGE(E57:J57)))),"")</f>
        <v>0</v>
      </c>
      <c r="L57" s="49">
        <f>IF(COUNT(E57:J57)=0,"",MIN(E57:J57))</f>
        <v>0</v>
      </c>
      <c r="M57" s="49">
        <f>IF(COUNT(E57:J57)=0,"",MAX(E57:J57))</f>
        <v>0</v>
      </c>
      <c r="N57" s="50">
        <f>IF('Configurações'!$K$38="","",'Configurações'!$K$38)</f>
        <v>0</v>
      </c>
      <c r="O57" s="50">
        <f>IF('Configurações'!$L$38="","",'Configurações'!$L$38)</f>
        <v>0</v>
      </c>
      <c r="P57" s="18">
        <f>IF(OR(K57="",AND(N57="",O57="")),"",IF(OR(AND(N57&lt;&gt;"",K57&lt;N57),AND(O57&lt;&gt;"",K57&gt;O57)),"Fora","OK"))</f>
        <v>0</v>
      </c>
    </row>
    <row r="58" spans="1:16" ht="18" customHeight="1">
      <c r="B58" s="15" t="s">
        <v>107</v>
      </c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</row>
    <row r="59" spans="1:16">
      <c r="A59" s="27" t="s">
        <v>254</v>
      </c>
      <c r="B59" s="35" t="s">
        <v>107</v>
      </c>
      <c r="C59" s="36" t="s">
        <v>108</v>
      </c>
      <c r="D59" s="37" t="s">
        <v>211</v>
      </c>
      <c r="E59" s="38"/>
      <c r="F59" s="38"/>
      <c r="G59" s="38"/>
      <c r="H59" s="38"/>
      <c r="I59" s="38"/>
      <c r="J59" s="38"/>
      <c r="K59" s="32">
        <f>IFERROR(IF(COUNT(E59:J59)=0,"",IF('Configurações'!$F$39="Soma",SUM(E59:J59),IF('Configurações'!$F$39="Último valor",LOOKUP(2,1/(E59:J59&lt;&gt;""),E59:J59),AVERAGE(E59:J59)))),"")</f>
        <v>0</v>
      </c>
      <c r="L59" s="39">
        <f>IF(COUNT(E59:J59)=0,"",MIN(E59:J59))</f>
        <v>0</v>
      </c>
      <c r="M59" s="39">
        <f>IF(COUNT(E59:J59)=0,"",MAX(E59:J59))</f>
        <v>0</v>
      </c>
      <c r="N59" s="40">
        <f>IF('Configurações'!$K$39="","",'Configurações'!$K$39)</f>
        <v>0</v>
      </c>
      <c r="O59" s="40">
        <f>IF('Configurações'!$L$39="","",'Configurações'!$L$39)</f>
        <v>0</v>
      </c>
      <c r="P59" s="41">
        <f>IF(OR(K59="",AND(N59="",O59="")),"",IF(OR(AND(N59&lt;&gt;"",K59&lt;N59),AND(O59&lt;&gt;"",K59&gt;O59)),"Fora","OK"))</f>
        <v>0</v>
      </c>
    </row>
    <row r="60" spans="1:16">
      <c r="A60" s="27" t="s">
        <v>255</v>
      </c>
      <c r="B60" s="35"/>
      <c r="C60" s="36"/>
      <c r="D60" s="42" t="s">
        <v>213</v>
      </c>
      <c r="E60" s="38"/>
      <c r="F60" s="38"/>
      <c r="G60" s="38"/>
      <c r="H60" s="38"/>
      <c r="I60" s="38"/>
      <c r="J60" s="38"/>
      <c r="K60" s="32">
        <f>IFERROR(IF(COUNT(E60:J60)=0,"",IF('Configurações'!$F$39="Soma",SUM(E60:J60),IF('Configurações'!$F$39="Último valor",LOOKUP(2,1/(E60:J60&lt;&gt;""),E60:J60),AVERAGE(E60:J60)))),"")</f>
        <v>0</v>
      </c>
      <c r="L60" s="39">
        <f>IF(COUNT(E60:J60)=0,"",MIN(E60:J60))</f>
        <v>0</v>
      </c>
      <c r="M60" s="39">
        <f>IF(COUNT(E60:J60)=0,"",MAX(E60:J60))</f>
        <v>0</v>
      </c>
      <c r="N60" s="40">
        <f>IF('Configurações'!$K$39="","",'Configurações'!$K$39)</f>
        <v>0</v>
      </c>
      <c r="O60" s="40">
        <f>IF('Configurações'!$L$39="","",'Configurações'!$L$39)</f>
        <v>0</v>
      </c>
      <c r="P60" s="41">
        <f>IF(OR(K60="",AND(N60="",O60="")),"",IF(OR(AND(N60&lt;&gt;"",K60&lt;N60),AND(O60&lt;&gt;"",K60&gt;O60)),"Fora","OK"))</f>
        <v>0</v>
      </c>
    </row>
    <row r="61" spans="1:16">
      <c r="A61" s="27" t="s">
        <v>256</v>
      </c>
      <c r="B61" s="28" t="s">
        <v>112</v>
      </c>
      <c r="C61" s="29" t="s">
        <v>113</v>
      </c>
      <c r="D61" s="30" t="s">
        <v>211</v>
      </c>
      <c r="E61" s="31"/>
      <c r="F61" s="31"/>
      <c r="G61" s="31"/>
      <c r="H61" s="31"/>
      <c r="I61" s="31"/>
      <c r="J61" s="31"/>
      <c r="K61" s="32">
        <f>IFERROR(IF(COUNT(E61:J61)=0,"",IF('Configurações'!$F$40="Soma",SUM(E61:J61),IF('Configurações'!$F$40="Último valor",LOOKUP(2,1/(E61:J61&lt;&gt;""),E61:J61),AVERAGE(E61:J61)))),"")</f>
        <v>0</v>
      </c>
      <c r="L61" s="33">
        <f>IF(COUNT(E61:J61)=0,"",MIN(E61:J61))</f>
        <v>0</v>
      </c>
      <c r="M61" s="33">
        <f>IF(COUNT(E61:J61)=0,"",MAX(E61:J61))</f>
        <v>0</v>
      </c>
      <c r="N61" s="34">
        <f>IF('Configurações'!$K$40="","",'Configurações'!$K$40)</f>
        <v>0</v>
      </c>
      <c r="O61" s="34">
        <f>IF('Configurações'!$L$40="","",'Configurações'!$L$40)</f>
        <v>0</v>
      </c>
      <c r="P61" s="18">
        <f>IF(OR(K61="",AND(N61="",O61="")),"",IF(OR(AND(N61&lt;&gt;"",K61&lt;N61),AND(O61&lt;&gt;"",K61&gt;O61)),"Fora","OK"))</f>
        <v>0</v>
      </c>
    </row>
    <row r="62" spans="1:16">
      <c r="A62" s="27" t="s">
        <v>257</v>
      </c>
      <c r="B62" s="28"/>
      <c r="C62" s="29"/>
      <c r="D62" s="16" t="s">
        <v>213</v>
      </c>
      <c r="E62" s="31"/>
      <c r="F62" s="31"/>
      <c r="G62" s="31"/>
      <c r="H62" s="31"/>
      <c r="I62" s="31"/>
      <c r="J62" s="31"/>
      <c r="K62" s="32">
        <f>IFERROR(IF(COUNT(E62:J62)=0,"",IF('Configurações'!$F$40="Soma",SUM(E62:J62),IF('Configurações'!$F$40="Último valor",LOOKUP(2,1/(E62:J62&lt;&gt;""),E62:J62),AVERAGE(E62:J62)))),"")</f>
        <v>0</v>
      </c>
      <c r="L62" s="33">
        <f>IF(COUNT(E62:J62)=0,"",MIN(E62:J62))</f>
        <v>0</v>
      </c>
      <c r="M62" s="33">
        <f>IF(COUNT(E62:J62)=0,"",MAX(E62:J62))</f>
        <v>0</v>
      </c>
      <c r="N62" s="34">
        <f>IF('Configurações'!$K$40="","",'Configurações'!$K$40)</f>
        <v>0</v>
      </c>
      <c r="O62" s="34">
        <f>IF('Configurações'!$L$40="","",'Configurações'!$L$40)</f>
        <v>0</v>
      </c>
      <c r="P62" s="18">
        <f>IF(OR(K62="",AND(N62="",O62="")),"",IF(OR(AND(N62&lt;&gt;"",K62&lt;N62),AND(O62&lt;&gt;"",K62&gt;O62)),"Fora","OK"))</f>
        <v>0</v>
      </c>
    </row>
    <row r="63" spans="1:16">
      <c r="A63" s="27" t="s">
        <v>258</v>
      </c>
      <c r="B63" s="35" t="s">
        <v>117</v>
      </c>
      <c r="C63" s="36" t="s">
        <v>113</v>
      </c>
      <c r="D63" s="37" t="s">
        <v>211</v>
      </c>
      <c r="E63" s="38"/>
      <c r="F63" s="38"/>
      <c r="G63" s="38"/>
      <c r="H63" s="38"/>
      <c r="I63" s="38"/>
      <c r="J63" s="38"/>
      <c r="K63" s="32">
        <f>IFERROR(IF(COUNT(E63:J63)=0,"",IF('Configurações'!$F$41="Soma",SUM(E63:J63),IF('Configurações'!$F$41="Último valor",LOOKUP(2,1/(E63:J63&lt;&gt;""),E63:J63),AVERAGE(E63:J63)))),"")</f>
        <v>0</v>
      </c>
      <c r="L63" s="39">
        <f>IF(COUNT(E63:J63)=0,"",MIN(E63:J63))</f>
        <v>0</v>
      </c>
      <c r="M63" s="39">
        <f>IF(COUNT(E63:J63)=0,"",MAX(E63:J63))</f>
        <v>0</v>
      </c>
      <c r="N63" s="40">
        <f>IF('Configurações'!$K$41="","",'Configurações'!$K$41)</f>
        <v>0</v>
      </c>
      <c r="O63" s="40">
        <f>IF('Configurações'!$L$41="","",'Configurações'!$L$41)</f>
        <v>0</v>
      </c>
      <c r="P63" s="41">
        <f>IF(OR(K63="",AND(N63="",O63="")),"",IF(OR(AND(N63&lt;&gt;"",K63&lt;N63),AND(O63&lt;&gt;"",K63&gt;O63)),"Fora","OK"))</f>
        <v>0</v>
      </c>
    </row>
    <row r="64" spans="1:16">
      <c r="A64" s="27" t="s">
        <v>259</v>
      </c>
      <c r="B64" s="35"/>
      <c r="C64" s="36"/>
      <c r="D64" s="42" t="s">
        <v>213</v>
      </c>
      <c r="E64" s="38"/>
      <c r="F64" s="38"/>
      <c r="G64" s="38"/>
      <c r="H64" s="38"/>
      <c r="I64" s="38"/>
      <c r="J64" s="38"/>
      <c r="K64" s="32">
        <f>IFERROR(IF(COUNT(E64:J64)=0,"",IF('Configurações'!$F$41="Soma",SUM(E64:J64),IF('Configurações'!$F$41="Último valor",LOOKUP(2,1/(E64:J64&lt;&gt;""),E64:J64),AVERAGE(E64:J64)))),"")</f>
        <v>0</v>
      </c>
      <c r="L64" s="39">
        <f>IF(COUNT(E64:J64)=0,"",MIN(E64:J64))</f>
        <v>0</v>
      </c>
      <c r="M64" s="39">
        <f>IF(COUNT(E64:J64)=0,"",MAX(E64:J64))</f>
        <v>0</v>
      </c>
      <c r="N64" s="40">
        <f>IF('Configurações'!$K$41="","",'Configurações'!$K$41)</f>
        <v>0</v>
      </c>
      <c r="O64" s="40">
        <f>IF('Configurações'!$L$41="","",'Configurações'!$L$41)</f>
        <v>0</v>
      </c>
      <c r="P64" s="41">
        <f>IF(OR(K64="",AND(N64="",O64="")),"",IF(OR(AND(N64&lt;&gt;"",K64&lt;N64),AND(O64&lt;&gt;"",K64&gt;O64)),"Fora","OK"))</f>
        <v>0</v>
      </c>
    </row>
    <row r="66" spans="2:16" ht="22" customHeight="1">
      <c r="B66" s="5" t="s">
        <v>260</v>
      </c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</row>
    <row r="67" spans="2:16"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</row>
    <row r="68" spans="2:16"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</row>
    <row r="69" spans="2:16"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</row>
    <row r="70" spans="2:16"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</row>
    <row r="72" spans="2:16" ht="24" customHeight="1">
      <c r="B72" s="58" t="s">
        <v>261</v>
      </c>
      <c r="C72" s="58"/>
      <c r="D72" s="58"/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58"/>
    </row>
  </sheetData>
  <sheetProtection sheet="1" objects="1" scenarios="1" formatColumns="0" formatRows="0" autoFilter="0"/>
  <mergeCells count="70">
    <mergeCell ref="D2:P2"/>
    <mergeCell ref="D3:P3"/>
    <mergeCell ref="C6:D6"/>
    <mergeCell ref="C7:D7"/>
    <mergeCell ref="E6:F6"/>
    <mergeCell ref="E7:F7"/>
    <mergeCell ref="G6:J6"/>
    <mergeCell ref="G7:J7"/>
    <mergeCell ref="K6:M6"/>
    <mergeCell ref="K7:M7"/>
    <mergeCell ref="N6:P6"/>
    <mergeCell ref="N7:P7"/>
    <mergeCell ref="C8:P8"/>
    <mergeCell ref="B11:P11"/>
    <mergeCell ref="B12:B13"/>
    <mergeCell ref="C12:C13"/>
    <mergeCell ref="B14:P14"/>
    <mergeCell ref="B15:B16"/>
    <mergeCell ref="C15:C16"/>
    <mergeCell ref="B17:B18"/>
    <mergeCell ref="C17:C18"/>
    <mergeCell ref="B19:B20"/>
    <mergeCell ref="C19:C20"/>
    <mergeCell ref="B21:B22"/>
    <mergeCell ref="C21:C22"/>
    <mergeCell ref="B23:B24"/>
    <mergeCell ref="C23:C24"/>
    <mergeCell ref="B25:P25"/>
    <mergeCell ref="B26:B27"/>
    <mergeCell ref="C26:C27"/>
    <mergeCell ref="B28:B29"/>
    <mergeCell ref="C28:C29"/>
    <mergeCell ref="B30:B31"/>
    <mergeCell ref="C30:C31"/>
    <mergeCell ref="B32:P32"/>
    <mergeCell ref="B33:B34"/>
    <mergeCell ref="C33:C34"/>
    <mergeCell ref="B35:B36"/>
    <mergeCell ref="C35:C36"/>
    <mergeCell ref="B37:B38"/>
    <mergeCell ref="C37:C38"/>
    <mergeCell ref="B39:B40"/>
    <mergeCell ref="C39:C40"/>
    <mergeCell ref="B41:B42"/>
    <mergeCell ref="C41:C42"/>
    <mergeCell ref="B43:P43"/>
    <mergeCell ref="B44:B45"/>
    <mergeCell ref="C44:C45"/>
    <mergeCell ref="B46:B47"/>
    <mergeCell ref="C46:C47"/>
    <mergeCell ref="B48:B49"/>
    <mergeCell ref="C48:C49"/>
    <mergeCell ref="B50:B51"/>
    <mergeCell ref="C50:C51"/>
    <mergeCell ref="B52:B53"/>
    <mergeCell ref="C52:C53"/>
    <mergeCell ref="B54:B55"/>
    <mergeCell ref="C54:C55"/>
    <mergeCell ref="B56:B57"/>
    <mergeCell ref="C56:C57"/>
    <mergeCell ref="B58:P58"/>
    <mergeCell ref="B59:B60"/>
    <mergeCell ref="C59:C60"/>
    <mergeCell ref="B61:B62"/>
    <mergeCell ref="C61:C62"/>
    <mergeCell ref="B63:B64"/>
    <mergeCell ref="C63:C64"/>
    <mergeCell ref="B66:P66"/>
    <mergeCell ref="B67:P70"/>
    <mergeCell ref="B72:P72"/>
  </mergeCells>
  <conditionalFormatting sqref="E11:K64">
    <cfRule type="expression" dxfId="0" priority="1">
      <formula>AND(ISNUMBER(E11),OR(AND(ISNUMBER($N11),E11&lt;$N11),AND(ISNUMBER($O11),E11&gt;$O11)))</formula>
    </cfRule>
  </conditionalFormatting>
  <conditionalFormatting sqref="K11:K64">
    <cfRule type="expression" dxfId="1" priority="2">
      <formula>AND(ISNUMBER(K11),OR(ISNUMBER($N11),ISNUMBER($O11)))</formula>
    </cfRule>
  </conditionalFormatting>
  <conditionalFormatting sqref="P11:P64">
    <cfRule type="cellIs" dxfId="2" priority="3" operator="equal">
      <formula>"Fora"</formula>
    </cfRule>
    <cfRule type="cellIs" dxfId="3" priority="4" operator="equal">
      <formula>"OK"</formula>
    </cfRule>
  </conditionalFormatting>
  <printOptions horizontalCentered="1"/>
  <pageMargins left="0.4" right="0.4" top="0.5" bottom="0.5" header="0.3" footer="0.3"/>
  <pageSetup paperSize="9" orientation="portrait"/>
  <headerFooter>
    <oddFooter>&amp;L&amp;8Informativo US3/US4&amp;R&amp;8Página &amp;P de &amp;N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Passagem">
    <tabColor rgb="FFFDB913"/>
    <pageSetUpPr fitToPage="1"/>
  </sheetPr>
  <dimension ref="A1:M62"/>
  <sheetViews>
    <sheetView showGridLines="0" workbookViewId="0"/>
  </sheetViews>
  <sheetFormatPr defaultRowHeight="15"/>
  <cols>
    <col min="1" max="1" width="2.7109375" customWidth="1"/>
    <col min="2" max="2" width="26.7109375" customWidth="1"/>
    <col min="3" max="13" width="10" customWidth="1"/>
    <col min="14" max="14" width="3.7109375" customWidth="1"/>
    <col min="15" max="15" width="28.7109375" customWidth="1"/>
  </cols>
  <sheetData>
    <row r="1" spans="2:13" ht="6" customHeight="1"/>
    <row r="2" spans="2:13" ht="26" customHeight="1">
      <c r="B2" s="1"/>
      <c r="C2" s="1"/>
      <c r="D2" s="2" t="s">
        <v>262</v>
      </c>
      <c r="E2" s="2"/>
      <c r="F2" s="2"/>
      <c r="G2" s="2"/>
      <c r="H2" s="2"/>
      <c r="I2" s="2"/>
      <c r="J2" s="2"/>
      <c r="K2" s="2"/>
      <c r="L2" s="2"/>
      <c r="M2" s="2"/>
    </row>
    <row r="3" spans="2:13" ht="20" customHeight="1">
      <c r="B3" s="1"/>
      <c r="C3" s="1"/>
      <c r="D3" s="3" t="s">
        <v>263</v>
      </c>
      <c r="E3" s="3"/>
      <c r="F3" s="3"/>
      <c r="G3" s="3"/>
      <c r="H3" s="3"/>
      <c r="I3" s="3"/>
      <c r="J3" s="3"/>
      <c r="K3" s="3"/>
      <c r="L3" s="3"/>
      <c r="M3" s="3"/>
    </row>
    <row r="4" spans="2:13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6" spans="2:13">
      <c r="B6" s="6" t="s">
        <v>264</v>
      </c>
      <c r="C6" s="6" t="s">
        <v>200</v>
      </c>
      <c r="D6" s="6"/>
      <c r="E6" s="6" t="s">
        <v>201</v>
      </c>
      <c r="F6" s="6" t="s">
        <v>265</v>
      </c>
      <c r="G6" s="6"/>
      <c r="H6" s="6" t="s">
        <v>266</v>
      </c>
      <c r="I6" s="6"/>
      <c r="J6" s="6" t="s">
        <v>267</v>
      </c>
      <c r="K6" s="6"/>
      <c r="L6" s="6"/>
      <c r="M6" s="6"/>
    </row>
    <row r="7" spans="2:13" ht="24" customHeight="1">
      <c r="B7" s="22">
        <f>IF(pData="","",pData)</f>
        <v>0</v>
      </c>
      <c r="C7" s="23">
        <f>IF(pTurno="","",pTurno)</f>
        <v>0</v>
      </c>
      <c r="D7" s="23"/>
      <c r="E7" s="59">
        <f>IF(pTurma="","",pTurma)</f>
        <v>0</v>
      </c>
      <c r="F7" s="23">
        <f>IF(pResp="","",pResp)</f>
        <v>0</v>
      </c>
      <c r="G7" s="23"/>
      <c r="H7" s="60"/>
      <c r="I7" s="60"/>
      <c r="J7" s="61"/>
      <c r="K7" s="61"/>
      <c r="L7" s="61"/>
      <c r="M7" s="61"/>
    </row>
    <row r="9" spans="2:13" ht="22" customHeight="1">
      <c r="B9" s="5" t="s">
        <v>268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</row>
    <row r="10" spans="2:13" ht="20" customHeight="1">
      <c r="B10" s="62" t="s">
        <v>269</v>
      </c>
      <c r="C10" s="63"/>
      <c r="D10" s="63"/>
      <c r="E10" s="63"/>
      <c r="F10" s="63"/>
      <c r="G10" s="63"/>
      <c r="H10" s="63"/>
      <c r="I10" s="63"/>
      <c r="J10" s="63"/>
      <c r="K10" s="63"/>
      <c r="L10" s="63"/>
      <c r="M10" s="63"/>
    </row>
    <row r="11" spans="2:13" ht="20" customHeight="1">
      <c r="B11" s="62" t="s">
        <v>270</v>
      </c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63"/>
    </row>
    <row r="12" spans="2:13" ht="20" customHeight="1">
      <c r="B12" s="62" t="s">
        <v>271</v>
      </c>
      <c r="C12" s="63"/>
      <c r="D12" s="63"/>
      <c r="E12" s="63"/>
      <c r="F12" s="63"/>
      <c r="G12" s="63"/>
      <c r="H12" s="63"/>
      <c r="I12" s="63"/>
      <c r="J12" s="63"/>
      <c r="K12" s="63"/>
      <c r="L12" s="63"/>
      <c r="M12" s="63"/>
    </row>
    <row r="13" spans="2:13" ht="20" customHeight="1">
      <c r="B13" s="62" t="s">
        <v>272</v>
      </c>
      <c r="C13" s="63"/>
      <c r="D13" s="63"/>
      <c r="E13" s="63"/>
      <c r="F13" s="63"/>
      <c r="G13" s="63"/>
      <c r="H13" s="63"/>
      <c r="I13" s="63"/>
      <c r="J13" s="63"/>
      <c r="K13" s="63"/>
      <c r="L13" s="63"/>
      <c r="M13" s="63"/>
    </row>
    <row r="14" spans="2:13" ht="20" customHeight="1">
      <c r="B14" s="62" t="s">
        <v>273</v>
      </c>
      <c r="C14" s="63"/>
      <c r="D14" s="63"/>
      <c r="E14" s="63"/>
      <c r="F14" s="63"/>
      <c r="G14" s="63"/>
      <c r="H14" s="63"/>
      <c r="I14" s="63"/>
      <c r="J14" s="63"/>
      <c r="K14" s="63"/>
      <c r="L14" s="63"/>
      <c r="M14" s="63"/>
    </row>
    <row r="15" spans="2:13" ht="20" customHeight="1">
      <c r="B15" s="62" t="s">
        <v>274</v>
      </c>
      <c r="C15" s="63"/>
      <c r="D15" s="63"/>
      <c r="E15" s="63"/>
      <c r="F15" s="63"/>
      <c r="G15" s="63"/>
      <c r="H15" s="63"/>
      <c r="I15" s="63"/>
      <c r="J15" s="63"/>
      <c r="K15" s="63"/>
      <c r="L15" s="63"/>
      <c r="M15" s="63"/>
    </row>
    <row r="17" spans="2:13" ht="22" customHeight="1">
      <c r="B17" s="5" t="s">
        <v>275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</row>
    <row r="18" spans="2:13">
      <c r="B18" s="62" t="s">
        <v>276</v>
      </c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</row>
    <row r="19" spans="2:13">
      <c r="B19" s="62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</row>
    <row r="20" spans="2:13">
      <c r="B20" s="62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</row>
    <row r="21" spans="2:13">
      <c r="B21" s="62" t="s">
        <v>277</v>
      </c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</row>
    <row r="22" spans="2:13">
      <c r="B22" s="62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</row>
    <row r="23" spans="2:13">
      <c r="B23" s="62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</row>
    <row r="25" spans="2:13" ht="22" customHeight="1">
      <c r="B25" s="5" t="s">
        <v>278</v>
      </c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</row>
    <row r="26" spans="2:13">
      <c r="B26" s="65" t="s">
        <v>279</v>
      </c>
      <c r="C26" s="65" t="s">
        <v>280</v>
      </c>
      <c r="D26" s="65"/>
      <c r="E26" s="65" t="s">
        <v>143</v>
      </c>
      <c r="F26" s="65"/>
      <c r="G26" s="65" t="s">
        <v>281</v>
      </c>
      <c r="H26" s="65"/>
      <c r="I26" s="65" t="s">
        <v>282</v>
      </c>
      <c r="J26" s="65"/>
      <c r="K26" s="65"/>
      <c r="L26" s="65"/>
      <c r="M26" s="65"/>
    </row>
    <row r="27" spans="2:13" ht="20" customHeight="1">
      <c r="B27" s="62" t="s">
        <v>283</v>
      </c>
      <c r="C27" s="66"/>
      <c r="D27" s="66"/>
      <c r="E27" s="66"/>
      <c r="F27" s="66"/>
      <c r="G27" s="66"/>
      <c r="H27" s="66"/>
      <c r="I27" s="67"/>
      <c r="J27" s="67"/>
      <c r="K27" s="67"/>
      <c r="L27" s="67"/>
      <c r="M27" s="67"/>
    </row>
    <row r="28" spans="2:13" ht="20" customHeight="1">
      <c r="B28" s="62" t="s">
        <v>284</v>
      </c>
      <c r="C28" s="66"/>
      <c r="D28" s="66"/>
      <c r="E28" s="66"/>
      <c r="F28" s="66"/>
      <c r="G28" s="66"/>
      <c r="H28" s="66"/>
      <c r="I28" s="67"/>
      <c r="J28" s="67"/>
      <c r="K28" s="67"/>
      <c r="L28" s="67"/>
      <c r="M28" s="67"/>
    </row>
    <row r="30" spans="2:13" ht="22" customHeight="1">
      <c r="B30" s="5" t="s">
        <v>285</v>
      </c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</row>
    <row r="31" spans="2:13">
      <c r="B31" s="65" t="s">
        <v>286</v>
      </c>
      <c r="C31" s="65" t="s">
        <v>287</v>
      </c>
      <c r="D31" s="65"/>
      <c r="E31" s="65"/>
      <c r="F31" s="65"/>
      <c r="G31" s="65" t="s">
        <v>130</v>
      </c>
      <c r="H31" s="65"/>
      <c r="I31" s="65" t="s">
        <v>288</v>
      </c>
      <c r="J31" s="65"/>
      <c r="K31" s="65"/>
      <c r="L31" s="65"/>
      <c r="M31" s="65"/>
    </row>
    <row r="32" spans="2:13" ht="19" customHeight="1">
      <c r="B32" s="68" t="s">
        <v>289</v>
      </c>
      <c r="C32" s="69" t="s">
        <v>290</v>
      </c>
      <c r="D32" s="69"/>
      <c r="E32" s="69"/>
      <c r="F32" s="69"/>
      <c r="G32" s="66"/>
      <c r="H32" s="66"/>
      <c r="I32" s="63"/>
      <c r="J32" s="63"/>
      <c r="K32" s="63"/>
      <c r="L32" s="63"/>
      <c r="M32" s="63"/>
    </row>
    <row r="33" spans="2:13" ht="19" customHeight="1">
      <c r="B33" s="68" t="s">
        <v>289</v>
      </c>
      <c r="C33" s="69" t="s">
        <v>291</v>
      </c>
      <c r="D33" s="69"/>
      <c r="E33" s="69"/>
      <c r="F33" s="69"/>
      <c r="G33" s="66"/>
      <c r="H33" s="66"/>
      <c r="I33" s="63"/>
      <c r="J33" s="63"/>
      <c r="K33" s="63"/>
      <c r="L33" s="63"/>
      <c r="M33" s="63"/>
    </row>
    <row r="34" spans="2:13" ht="19" customHeight="1">
      <c r="B34" s="68" t="s">
        <v>289</v>
      </c>
      <c r="C34" s="69" t="s">
        <v>292</v>
      </c>
      <c r="D34" s="69"/>
      <c r="E34" s="69"/>
      <c r="F34" s="69"/>
      <c r="G34" s="66"/>
      <c r="H34" s="66"/>
      <c r="I34" s="63"/>
      <c r="J34" s="63"/>
      <c r="K34" s="63"/>
      <c r="L34" s="63"/>
      <c r="M34" s="63"/>
    </row>
    <row r="35" spans="2:13" ht="19" customHeight="1">
      <c r="B35" s="68" t="s">
        <v>289</v>
      </c>
      <c r="C35" s="69" t="s">
        <v>293</v>
      </c>
      <c r="D35" s="69"/>
      <c r="E35" s="69"/>
      <c r="F35" s="69"/>
      <c r="G35" s="66"/>
      <c r="H35" s="66"/>
      <c r="I35" s="63"/>
      <c r="J35" s="63"/>
      <c r="K35" s="63"/>
      <c r="L35" s="63"/>
      <c r="M35" s="63"/>
    </row>
    <row r="36" spans="2:13" ht="19" customHeight="1">
      <c r="B36" s="68" t="s">
        <v>294</v>
      </c>
      <c r="C36" s="69" t="s">
        <v>295</v>
      </c>
      <c r="D36" s="69"/>
      <c r="E36" s="69"/>
      <c r="F36" s="69"/>
      <c r="G36" s="66"/>
      <c r="H36" s="66"/>
      <c r="I36" s="63"/>
      <c r="J36" s="63"/>
      <c r="K36" s="63"/>
      <c r="L36" s="63"/>
      <c r="M36" s="63"/>
    </row>
    <row r="37" spans="2:13" ht="19" customHeight="1">
      <c r="B37" s="68" t="s">
        <v>294</v>
      </c>
      <c r="C37" s="69" t="s">
        <v>296</v>
      </c>
      <c r="D37" s="69"/>
      <c r="E37" s="69"/>
      <c r="F37" s="69"/>
      <c r="G37" s="66"/>
      <c r="H37" s="66"/>
      <c r="I37" s="63"/>
      <c r="J37" s="63"/>
      <c r="K37" s="63"/>
      <c r="L37" s="63"/>
      <c r="M37" s="63"/>
    </row>
    <row r="38" spans="2:13" ht="19" customHeight="1">
      <c r="B38" s="68" t="s">
        <v>294</v>
      </c>
      <c r="C38" s="69" t="s">
        <v>297</v>
      </c>
      <c r="D38" s="69"/>
      <c r="E38" s="69"/>
      <c r="F38" s="69"/>
      <c r="G38" s="66"/>
      <c r="H38" s="66"/>
      <c r="I38" s="63"/>
      <c r="J38" s="63"/>
      <c r="K38" s="63"/>
      <c r="L38" s="63"/>
      <c r="M38" s="63"/>
    </row>
    <row r="39" spans="2:13" ht="19" customHeight="1">
      <c r="B39" s="68" t="s">
        <v>294</v>
      </c>
      <c r="C39" s="69" t="s">
        <v>298</v>
      </c>
      <c r="D39" s="69"/>
      <c r="E39" s="69"/>
      <c r="F39" s="69"/>
      <c r="G39" s="66"/>
      <c r="H39" s="66"/>
      <c r="I39" s="63"/>
      <c r="J39" s="63"/>
      <c r="K39" s="63"/>
      <c r="L39" s="63"/>
      <c r="M39" s="63"/>
    </row>
    <row r="40" spans="2:13" ht="19" customHeight="1">
      <c r="B40" s="68" t="s">
        <v>294</v>
      </c>
      <c r="C40" s="69" t="s">
        <v>299</v>
      </c>
      <c r="D40" s="69"/>
      <c r="E40" s="69"/>
      <c r="F40" s="69"/>
      <c r="G40" s="66"/>
      <c r="H40" s="66"/>
      <c r="I40" s="63"/>
      <c r="J40" s="63"/>
      <c r="K40" s="63"/>
      <c r="L40" s="63"/>
      <c r="M40" s="63"/>
    </row>
    <row r="41" spans="2:13" ht="19" customHeight="1">
      <c r="B41" s="68" t="s">
        <v>294</v>
      </c>
      <c r="C41" s="69" t="s">
        <v>300</v>
      </c>
      <c r="D41" s="69"/>
      <c r="E41" s="69"/>
      <c r="F41" s="69"/>
      <c r="G41" s="66"/>
      <c r="H41" s="66"/>
      <c r="I41" s="63"/>
      <c r="J41" s="63"/>
      <c r="K41" s="63"/>
      <c r="L41" s="63"/>
      <c r="M41" s="63"/>
    </row>
    <row r="42" spans="2:13" ht="19" customHeight="1">
      <c r="B42" s="68" t="s">
        <v>301</v>
      </c>
      <c r="C42" s="69" t="s">
        <v>302</v>
      </c>
      <c r="D42" s="69"/>
      <c r="E42" s="69"/>
      <c r="F42" s="69"/>
      <c r="G42" s="66"/>
      <c r="H42" s="66"/>
      <c r="I42" s="63"/>
      <c r="J42" s="63"/>
      <c r="K42" s="63"/>
      <c r="L42" s="63"/>
      <c r="M42" s="63"/>
    </row>
    <row r="43" spans="2:13" ht="19" customHeight="1">
      <c r="B43" s="68" t="s">
        <v>301</v>
      </c>
      <c r="C43" s="69" t="s">
        <v>303</v>
      </c>
      <c r="D43" s="69"/>
      <c r="E43" s="69"/>
      <c r="F43" s="69"/>
      <c r="G43" s="66"/>
      <c r="H43" s="66"/>
      <c r="I43" s="63"/>
      <c r="J43" s="63"/>
      <c r="K43" s="63"/>
      <c r="L43" s="63"/>
      <c r="M43" s="63"/>
    </row>
    <row r="44" spans="2:13" ht="19" customHeight="1">
      <c r="B44" s="68" t="s">
        <v>301</v>
      </c>
      <c r="C44" s="69" t="s">
        <v>304</v>
      </c>
      <c r="D44" s="69"/>
      <c r="E44" s="69"/>
      <c r="F44" s="69"/>
      <c r="G44" s="66"/>
      <c r="H44" s="66"/>
      <c r="I44" s="63"/>
      <c r="J44" s="63"/>
      <c r="K44" s="63"/>
      <c r="L44" s="63"/>
      <c r="M44" s="63"/>
    </row>
    <row r="45" spans="2:13" ht="19" customHeight="1">
      <c r="B45" s="68" t="s">
        <v>301</v>
      </c>
      <c r="C45" s="69" t="s">
        <v>305</v>
      </c>
      <c r="D45" s="69"/>
      <c r="E45" s="69"/>
      <c r="F45" s="69"/>
      <c r="G45" s="66"/>
      <c r="H45" s="66"/>
      <c r="I45" s="63"/>
      <c r="J45" s="63"/>
      <c r="K45" s="63"/>
      <c r="L45" s="63"/>
      <c r="M45" s="63"/>
    </row>
    <row r="47" spans="2:13" ht="22" customHeight="1">
      <c r="B47" s="5" t="s">
        <v>306</v>
      </c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</row>
    <row r="48" spans="2:13">
      <c r="B48" s="65" t="s">
        <v>307</v>
      </c>
      <c r="C48" s="65" t="s">
        <v>308</v>
      </c>
      <c r="D48" s="65"/>
      <c r="E48" s="65"/>
      <c r="F48" s="65"/>
      <c r="G48" s="65"/>
      <c r="H48" s="65" t="s">
        <v>309</v>
      </c>
      <c r="I48" s="65"/>
      <c r="J48" s="65"/>
      <c r="K48" s="65"/>
      <c r="L48" s="65"/>
      <c r="M48" s="65"/>
    </row>
    <row r="49" spans="2:13" ht="30" customHeight="1">
      <c r="B49" s="62" t="s">
        <v>310</v>
      </c>
      <c r="C49" s="64"/>
      <c r="D49" s="64"/>
      <c r="E49" s="64"/>
      <c r="F49" s="64"/>
      <c r="G49" s="64"/>
      <c r="H49" s="64"/>
      <c r="I49" s="64"/>
      <c r="J49" s="64"/>
      <c r="K49" s="64"/>
      <c r="L49" s="64"/>
      <c r="M49" s="64"/>
    </row>
    <row r="50" spans="2:13" ht="30" customHeight="1">
      <c r="B50" s="62" t="s">
        <v>311</v>
      </c>
      <c r="C50" s="64"/>
      <c r="D50" s="64"/>
      <c r="E50" s="64"/>
      <c r="F50" s="64"/>
      <c r="G50" s="64"/>
      <c r="H50" s="64"/>
      <c r="I50" s="64"/>
      <c r="J50" s="64"/>
      <c r="K50" s="64"/>
      <c r="L50" s="64"/>
      <c r="M50" s="64"/>
    </row>
    <row r="51" spans="2:13" ht="30" customHeight="1">
      <c r="B51" s="62" t="s">
        <v>312</v>
      </c>
      <c r="C51" s="64"/>
      <c r="D51" s="64"/>
      <c r="E51" s="64"/>
      <c r="F51" s="64"/>
      <c r="G51" s="64"/>
      <c r="H51" s="64"/>
      <c r="I51" s="64"/>
      <c r="J51" s="64"/>
      <c r="K51" s="64"/>
      <c r="L51" s="64"/>
      <c r="M51" s="64"/>
    </row>
    <row r="52" spans="2:13" ht="30" customHeight="1">
      <c r="B52" s="62" t="s">
        <v>313</v>
      </c>
      <c r="C52" s="64"/>
      <c r="D52" s="64"/>
      <c r="E52" s="64"/>
      <c r="F52" s="64"/>
      <c r="G52" s="64"/>
      <c r="H52" s="64"/>
      <c r="I52" s="64"/>
      <c r="J52" s="64"/>
      <c r="K52" s="64"/>
      <c r="L52" s="64"/>
      <c r="M52" s="64"/>
    </row>
    <row r="54" spans="2:13" ht="22" customHeight="1">
      <c r="B54" s="5" t="s">
        <v>314</v>
      </c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</row>
    <row r="55" spans="2:13" ht="26" customHeight="1">
      <c r="B55" s="70" t="s">
        <v>315</v>
      </c>
      <c r="C55" s="70" t="s">
        <v>310</v>
      </c>
      <c r="D55" s="70" t="s">
        <v>316</v>
      </c>
      <c r="E55" s="70" t="s">
        <v>143</v>
      </c>
      <c r="F55" s="70" t="s">
        <v>281</v>
      </c>
      <c r="G55" s="70" t="s">
        <v>317</v>
      </c>
      <c r="H55" s="70" t="s">
        <v>318</v>
      </c>
      <c r="I55" s="70" t="s">
        <v>319</v>
      </c>
      <c r="J55" s="70" t="s">
        <v>320</v>
      </c>
      <c r="K55" s="70" t="s">
        <v>321</v>
      </c>
      <c r="L55" s="70" t="s">
        <v>322</v>
      </c>
      <c r="M55" s="70" t="s">
        <v>323</v>
      </c>
    </row>
    <row r="56" spans="2:13" ht="19" customHeight="1">
      <c r="B56" s="67"/>
      <c r="C56" s="66"/>
      <c r="D56" s="66"/>
      <c r="E56" s="66"/>
      <c r="F56" s="66"/>
      <c r="G56" s="66"/>
      <c r="H56" s="66"/>
      <c r="I56" s="66"/>
      <c r="J56" s="66"/>
      <c r="K56" s="66"/>
      <c r="L56" s="66"/>
      <c r="M56" s="66"/>
    </row>
    <row r="57" spans="2:13" ht="17" customHeight="1">
      <c r="B57" s="62" t="s">
        <v>282</v>
      </c>
      <c r="C57" s="63"/>
      <c r="D57" s="63"/>
      <c r="E57" s="63"/>
      <c r="F57" s="63"/>
      <c r="G57" s="63"/>
      <c r="H57" s="63"/>
      <c r="I57" s="63"/>
      <c r="J57" s="63"/>
      <c r="K57" s="63"/>
      <c r="L57" s="63"/>
      <c r="M57" s="63"/>
    </row>
    <row r="59" spans="2:13" ht="22" customHeight="1">
      <c r="B59" s="5" t="s">
        <v>324</v>
      </c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</row>
    <row r="60" spans="2:13">
      <c r="B60" s="64"/>
      <c r="C60" s="64"/>
      <c r="D60" s="64"/>
      <c r="E60" s="64"/>
      <c r="F60" s="64"/>
      <c r="G60" s="64"/>
      <c r="H60" s="64"/>
      <c r="I60" s="64"/>
      <c r="J60" s="64"/>
      <c r="K60" s="64"/>
      <c r="L60" s="64"/>
      <c r="M60" s="64"/>
    </row>
    <row r="61" spans="2:13">
      <c r="B61" s="64"/>
      <c r="C61" s="64"/>
      <c r="D61" s="64"/>
      <c r="E61" s="64"/>
      <c r="F61" s="64"/>
      <c r="G61" s="64"/>
      <c r="H61" s="64"/>
      <c r="I61" s="64"/>
      <c r="J61" s="64"/>
      <c r="K61" s="64"/>
      <c r="L61" s="64"/>
      <c r="M61" s="64"/>
    </row>
    <row r="62" spans="2:13">
      <c r="B62" s="64"/>
      <c r="C62" s="64"/>
      <c r="D62" s="64"/>
      <c r="E62" s="64"/>
      <c r="F62" s="64"/>
      <c r="G62" s="64"/>
      <c r="H62" s="64"/>
      <c r="I62" s="64"/>
      <c r="J62" s="64"/>
      <c r="K62" s="64"/>
      <c r="L62" s="64"/>
      <c r="M62" s="64"/>
    </row>
  </sheetData>
  <sheetProtection sheet="1" objects="1" scenarios="1" formatColumns="0" formatRows="0"/>
  <mergeCells count="96">
    <mergeCell ref="D2:M2"/>
    <mergeCell ref="D3:M3"/>
    <mergeCell ref="C6:D6"/>
    <mergeCell ref="C7:D7"/>
    <mergeCell ref="F6:G6"/>
    <mergeCell ref="F7:G7"/>
    <mergeCell ref="H6:I6"/>
    <mergeCell ref="H7:I7"/>
    <mergeCell ref="J6:M6"/>
    <mergeCell ref="J7:M7"/>
    <mergeCell ref="B9:M9"/>
    <mergeCell ref="C10:M10"/>
    <mergeCell ref="C11:M11"/>
    <mergeCell ref="C12:M12"/>
    <mergeCell ref="C13:M13"/>
    <mergeCell ref="C14:M14"/>
    <mergeCell ref="C15:M15"/>
    <mergeCell ref="B17:M17"/>
    <mergeCell ref="B18:B20"/>
    <mergeCell ref="C18:M20"/>
    <mergeCell ref="B21:B23"/>
    <mergeCell ref="C21:M23"/>
    <mergeCell ref="B25:M25"/>
    <mergeCell ref="C26:D26"/>
    <mergeCell ref="E26:F26"/>
    <mergeCell ref="G26:H26"/>
    <mergeCell ref="I26:M26"/>
    <mergeCell ref="C27:D27"/>
    <mergeCell ref="E27:F27"/>
    <mergeCell ref="G27:H27"/>
    <mergeCell ref="I27:M27"/>
    <mergeCell ref="C28:D28"/>
    <mergeCell ref="E28:F28"/>
    <mergeCell ref="G28:H28"/>
    <mergeCell ref="I28:M28"/>
    <mergeCell ref="B30:M30"/>
    <mergeCell ref="C31:F31"/>
    <mergeCell ref="G31:H31"/>
    <mergeCell ref="I31:M31"/>
    <mergeCell ref="C32:F32"/>
    <mergeCell ref="G32:H32"/>
    <mergeCell ref="I32:M32"/>
    <mergeCell ref="C33:F33"/>
    <mergeCell ref="G33:H33"/>
    <mergeCell ref="I33:M33"/>
    <mergeCell ref="C34:F34"/>
    <mergeCell ref="G34:H34"/>
    <mergeCell ref="I34:M34"/>
    <mergeCell ref="C35:F35"/>
    <mergeCell ref="G35:H35"/>
    <mergeCell ref="I35:M35"/>
    <mergeCell ref="C36:F36"/>
    <mergeCell ref="G36:H36"/>
    <mergeCell ref="I36:M36"/>
    <mergeCell ref="C37:F37"/>
    <mergeCell ref="G37:H37"/>
    <mergeCell ref="I37:M37"/>
    <mergeCell ref="C38:F38"/>
    <mergeCell ref="G38:H38"/>
    <mergeCell ref="I38:M38"/>
    <mergeCell ref="C39:F39"/>
    <mergeCell ref="G39:H39"/>
    <mergeCell ref="I39:M39"/>
    <mergeCell ref="C40:F40"/>
    <mergeCell ref="G40:H40"/>
    <mergeCell ref="I40:M40"/>
    <mergeCell ref="C41:F41"/>
    <mergeCell ref="G41:H41"/>
    <mergeCell ref="I41:M41"/>
    <mergeCell ref="C42:F42"/>
    <mergeCell ref="G42:H42"/>
    <mergeCell ref="I42:M42"/>
    <mergeCell ref="C43:F43"/>
    <mergeCell ref="G43:H43"/>
    <mergeCell ref="I43:M43"/>
    <mergeCell ref="C44:F44"/>
    <mergeCell ref="G44:H44"/>
    <mergeCell ref="I44:M44"/>
    <mergeCell ref="C45:F45"/>
    <mergeCell ref="G45:H45"/>
    <mergeCell ref="I45:M45"/>
    <mergeCell ref="B47:M47"/>
    <mergeCell ref="C48:G48"/>
    <mergeCell ref="H48:M48"/>
    <mergeCell ref="C49:G49"/>
    <mergeCell ref="H49:M49"/>
    <mergeCell ref="C50:G50"/>
    <mergeCell ref="H50:M50"/>
    <mergeCell ref="C51:G51"/>
    <mergeCell ref="H51:M51"/>
    <mergeCell ref="C52:G52"/>
    <mergeCell ref="H52:M52"/>
    <mergeCell ref="B54:M54"/>
    <mergeCell ref="C57:M57"/>
    <mergeCell ref="B59:M59"/>
    <mergeCell ref="B60:M62"/>
  </mergeCells>
  <conditionalFormatting sqref="G32:G45">
    <cfRule type="cellIs" dxfId="1" priority="1" operator="equal">
      <formula>"Operando"</formula>
    </cfRule>
    <cfRule type="cellIs" dxfId="4" priority="2" operator="equal">
      <formula>"Não operando"</formula>
    </cfRule>
  </conditionalFormatting>
  <dataValidations count="2">
    <dataValidation type="list" allowBlank="1" showInputMessage="1" showErrorMessage="1" sqref="H7">
      <formula1>lstTurma</formula1>
    </dataValidation>
    <dataValidation type="list" allowBlank="1" showInputMessage="1" showErrorMessage="1" sqref="G32:G45">
      <formula1>lstStatus</formula1>
    </dataValidation>
  </dataValidations>
  <printOptions horizontalCentered="1"/>
  <pageMargins left="0.4" right="0.4" top="0.5" bottom="0.5" header="0.3" footer="0.3"/>
  <pageSetup paperSize="9" fitToHeight="0" orientation="portrait"/>
  <headerFooter>
    <oddFooter>&amp;L&amp;8Passagem de Turno US3/US4&amp;R&amp;8Página &amp;P de &amp;N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Historico">
    <tabColor rgb="FF61889B"/>
  </sheetPr>
  <dimension ref="A1:BF6"/>
  <sheetViews>
    <sheetView showGridLines="0" workbookViewId="0">
      <pane xSplit="3" ySplit="6" topLeftCell="D7" activePane="bottomRight" state="frozen"/>
      <selection pane="topRight" activeCell="D1" sqref="D1"/>
      <selection pane="bottomLeft" activeCell="A7" sqref="A7"/>
      <selection pane="bottomRight"/>
    </sheetView>
  </sheetViews>
  <sheetFormatPr defaultRowHeight="15"/>
  <cols>
    <col min="1" max="1" width="11.7109375" style="71" customWidth="1"/>
    <col min="2" max="2" width="17.7109375" style="72" customWidth="1"/>
    <col min="3" max="3" width="7.7109375" style="73" customWidth="1"/>
    <col min="4" max="4" width="20.7109375" style="72" customWidth="1"/>
    <col min="5" max="5" width="9.7109375" style="73" customWidth="1"/>
    <col min="6" max="6" width="15.7109375" style="74" customWidth="1"/>
    <col min="7" max="7" width="16.7109375" style="72" customWidth="1"/>
    <col min="8" max="13" width="11.7109375" style="75" customWidth="1"/>
    <col min="14" max="15" width="11.7109375" style="76" customWidth="1"/>
    <col min="16" max="31" width="11.7109375" style="77" customWidth="1"/>
    <col min="32" max="33" width="11.7109375" style="76" customWidth="1"/>
    <col min="34" max="35" width="11.7109375" style="77" customWidth="1"/>
    <col min="36" max="37" width="11.7109375" style="76" customWidth="1"/>
    <col min="38" max="39" width="11.7109375" style="77" customWidth="1"/>
    <col min="40" max="41" width="11.7109375" style="76" customWidth="1"/>
    <col min="42" max="45" width="11.7109375" style="75" customWidth="1"/>
    <col min="46" max="47" width="11.7109375" style="76" customWidth="1"/>
    <col min="48" max="49" width="11.7109375" style="77" customWidth="1"/>
    <col min="50" max="55" width="11.7109375" style="75" customWidth="1"/>
    <col min="56" max="56" width="9.7109375" style="73" customWidth="1"/>
    <col min="57" max="58" width="40.7109375" style="78" customWidth="1"/>
  </cols>
  <sheetData>
    <row r="1" spans="1:58" ht="6" customHeight="1"/>
    <row r="2" spans="1:58" ht="26" customHeight="1">
      <c r="A2" s="1"/>
      <c r="B2" s="1"/>
      <c r="C2" s="2" t="s">
        <v>325</v>
      </c>
      <c r="D2" s="2"/>
      <c r="E2" s="2"/>
      <c r="F2" s="2"/>
      <c r="G2" s="2"/>
      <c r="H2" s="2"/>
      <c r="I2" s="2"/>
      <c r="J2" s="2"/>
      <c r="K2" s="2"/>
      <c r="L2" s="2"/>
      <c r="M2" s="2"/>
    </row>
    <row r="3" spans="1:58" ht="20" customHeight="1">
      <c r="A3" s="1"/>
      <c r="B3" s="1"/>
      <c r="C3" s="3" t="s">
        <v>326</v>
      </c>
      <c r="D3" s="3"/>
      <c r="E3" s="3"/>
      <c r="F3" s="3"/>
      <c r="G3" s="3"/>
      <c r="H3" s="3"/>
      <c r="I3" s="3"/>
      <c r="J3" s="3"/>
      <c r="K3" s="3"/>
      <c r="L3" s="3"/>
      <c r="M3" s="3"/>
    </row>
    <row r="4" spans="1:58" ht="4" customHeight="1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58" ht="30" customHeight="1"/>
    <row r="6" spans="1:58" ht="48" customHeight="1">
      <c r="A6" s="79" t="s">
        <v>264</v>
      </c>
      <c r="B6" s="79" t="s">
        <v>200</v>
      </c>
      <c r="C6" s="79" t="s">
        <v>201</v>
      </c>
      <c r="D6" s="79" t="s">
        <v>202</v>
      </c>
      <c r="E6" s="79" t="s">
        <v>266</v>
      </c>
      <c r="F6" s="79" t="s">
        <v>327</v>
      </c>
      <c r="G6" s="79" t="s">
        <v>3</v>
      </c>
      <c r="H6" s="79" t="s">
        <v>328</v>
      </c>
      <c r="I6" s="79" t="s">
        <v>329</v>
      </c>
      <c r="J6" s="79" t="s">
        <v>330</v>
      </c>
      <c r="K6" s="79" t="s">
        <v>331</v>
      </c>
      <c r="L6" s="79" t="s">
        <v>332</v>
      </c>
      <c r="M6" s="79" t="s">
        <v>333</v>
      </c>
      <c r="N6" s="79" t="s">
        <v>334</v>
      </c>
      <c r="O6" s="79" t="s">
        <v>335</v>
      </c>
      <c r="P6" s="79" t="s">
        <v>336</v>
      </c>
      <c r="Q6" s="79" t="s">
        <v>337</v>
      </c>
      <c r="R6" s="79" t="s">
        <v>338</v>
      </c>
      <c r="S6" s="79" t="s">
        <v>339</v>
      </c>
      <c r="T6" s="79" t="s">
        <v>340</v>
      </c>
      <c r="U6" s="79" t="s">
        <v>341</v>
      </c>
      <c r="V6" s="79" t="s">
        <v>342</v>
      </c>
      <c r="W6" s="79" t="s">
        <v>343</v>
      </c>
      <c r="X6" s="79" t="s">
        <v>344</v>
      </c>
      <c r="Y6" s="79" t="s">
        <v>345</v>
      </c>
      <c r="Z6" s="79" t="s">
        <v>346</v>
      </c>
      <c r="AA6" s="79" t="s">
        <v>347</v>
      </c>
      <c r="AB6" s="79" t="s">
        <v>348</v>
      </c>
      <c r="AC6" s="79" t="s">
        <v>349</v>
      </c>
      <c r="AD6" s="79" t="s">
        <v>350</v>
      </c>
      <c r="AE6" s="79" t="s">
        <v>351</v>
      </c>
      <c r="AF6" s="79" t="s">
        <v>352</v>
      </c>
      <c r="AG6" s="79" t="s">
        <v>353</v>
      </c>
      <c r="AH6" s="79" t="s">
        <v>354</v>
      </c>
      <c r="AI6" s="79" t="s">
        <v>355</v>
      </c>
      <c r="AJ6" s="79" t="s">
        <v>356</v>
      </c>
      <c r="AK6" s="79" t="s">
        <v>357</v>
      </c>
      <c r="AL6" s="79" t="s">
        <v>358</v>
      </c>
      <c r="AM6" s="79" t="s">
        <v>359</v>
      </c>
      <c r="AN6" s="79" t="s">
        <v>360</v>
      </c>
      <c r="AO6" s="79" t="s">
        <v>361</v>
      </c>
      <c r="AP6" s="79" t="s">
        <v>362</v>
      </c>
      <c r="AQ6" s="79" t="s">
        <v>363</v>
      </c>
      <c r="AR6" s="79" t="s">
        <v>364</v>
      </c>
      <c r="AS6" s="79" t="s">
        <v>365</v>
      </c>
      <c r="AT6" s="79" t="s">
        <v>366</v>
      </c>
      <c r="AU6" s="79" t="s">
        <v>367</v>
      </c>
      <c r="AV6" s="79" t="s">
        <v>368</v>
      </c>
      <c r="AW6" s="79" t="s">
        <v>369</v>
      </c>
      <c r="AX6" s="79" t="s">
        <v>370</v>
      </c>
      <c r="AY6" s="79" t="s">
        <v>371</v>
      </c>
      <c r="AZ6" s="79" t="s">
        <v>372</v>
      </c>
      <c r="BA6" s="79" t="s">
        <v>373</v>
      </c>
      <c r="BB6" s="79" t="s">
        <v>374</v>
      </c>
      <c r="BC6" s="79" t="s">
        <v>375</v>
      </c>
      <c r="BD6" s="79" t="s">
        <v>376</v>
      </c>
      <c r="BE6" s="79" t="s">
        <v>377</v>
      </c>
      <c r="BF6" s="79" t="s">
        <v>378</v>
      </c>
    </row>
  </sheetData>
  <autoFilter ref="A6:BF20001"/>
  <mergeCells count="2">
    <mergeCell ref="C2:M2"/>
    <mergeCell ref="C3:M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Registro">
    <tabColor rgb="FF61889B"/>
  </sheetPr>
  <dimension ref="A1:I6"/>
  <sheetViews>
    <sheetView showGridLines="0" workbookViewId="0">
      <pane ySplit="6" topLeftCell="A7" activePane="bottomLeft" state="frozen"/>
      <selection pane="bottomLeft"/>
    </sheetView>
  </sheetViews>
  <sheetFormatPr defaultRowHeight="15"/>
  <cols>
    <col min="1" max="1" width="11.7109375" style="71" customWidth="1"/>
    <col min="2" max="2" width="17.7109375" style="72" customWidth="1"/>
    <col min="3" max="3" width="7.7109375" style="72" customWidth="1"/>
    <col min="4" max="4" width="13.7109375" style="72" customWidth="1"/>
    <col min="5" max="5" width="22.7109375" style="72" customWidth="1"/>
    <col min="6" max="6" width="34.7109375" style="72" customWidth="1"/>
    <col min="7" max="7" width="16.7109375" style="72" customWidth="1"/>
    <col min="8" max="8" width="70.7109375" style="78" customWidth="1"/>
    <col min="9" max="9" width="15.7109375" style="74" customWidth="1"/>
  </cols>
  <sheetData>
    <row r="1" spans="1:9" ht="6" customHeight="1"/>
    <row r="2" spans="1:9" ht="26" customHeight="1">
      <c r="A2" s="1"/>
      <c r="B2" s="1"/>
      <c r="C2" s="2" t="s">
        <v>379</v>
      </c>
      <c r="D2" s="2"/>
      <c r="E2" s="2"/>
      <c r="F2" s="2"/>
      <c r="G2" s="2"/>
      <c r="H2" s="2"/>
      <c r="I2" s="2"/>
    </row>
    <row r="3" spans="1:9" ht="20" customHeight="1">
      <c r="A3" s="1"/>
      <c r="B3" s="1"/>
      <c r="C3" s="3" t="s">
        <v>380</v>
      </c>
      <c r="D3" s="3"/>
      <c r="E3" s="3"/>
      <c r="F3" s="3"/>
      <c r="G3" s="3"/>
      <c r="H3" s="3"/>
      <c r="I3" s="3"/>
    </row>
    <row r="4" spans="1:9" ht="4" customHeight="1">
      <c r="A4" s="4"/>
      <c r="B4" s="4"/>
      <c r="C4" s="4"/>
      <c r="D4" s="4"/>
      <c r="E4" s="4"/>
      <c r="F4" s="4"/>
      <c r="G4" s="4"/>
      <c r="H4" s="4"/>
      <c r="I4" s="4"/>
    </row>
    <row r="5" spans="1:9" ht="30" customHeight="1"/>
    <row r="6" spans="1:9" ht="26" customHeight="1">
      <c r="A6" s="80" t="s">
        <v>264</v>
      </c>
      <c r="B6" s="80" t="s">
        <v>200</v>
      </c>
      <c r="C6" s="80" t="s">
        <v>201</v>
      </c>
      <c r="D6" s="80" t="s">
        <v>381</v>
      </c>
      <c r="E6" s="80" t="s">
        <v>382</v>
      </c>
      <c r="F6" s="80" t="s">
        <v>383</v>
      </c>
      <c r="G6" s="80" t="s">
        <v>130</v>
      </c>
      <c r="H6" s="80" t="s">
        <v>384</v>
      </c>
      <c r="I6" s="80" t="s">
        <v>385</v>
      </c>
    </row>
  </sheetData>
  <autoFilter ref="A6:I50001"/>
  <mergeCells count="2">
    <mergeCell ref="C2:I2"/>
    <mergeCell ref="C3:I3"/>
  </mergeCells>
  <conditionalFormatting sqref="G7:G50001">
    <cfRule type="cellIs" dxfId="5" priority="1" operator="equal">
      <formula>"Não operando"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B5BEC4"/>
    <pageSetUpPr fitToPage="1"/>
  </sheetPr>
  <dimension ref="A1:Z43"/>
  <sheetViews>
    <sheetView showGridLines="0" workbookViewId="0">
      <pane xSplit="3" ySplit="17" topLeftCell="D18" activePane="bottomRight" state="frozen"/>
      <selection pane="topRight" activeCell="D1" sqref="D1"/>
      <selection pane="bottomLeft" activeCell="A18" sqref="A18"/>
      <selection pane="bottomRight"/>
    </sheetView>
  </sheetViews>
  <sheetFormatPr defaultRowHeight="15"/>
  <cols>
    <col min="1" max="1" width="2.7109375" customWidth="1"/>
    <col min="2" max="2" width="16.7109375" customWidth="1"/>
    <col min="3" max="3" width="34.7109375" customWidth="1"/>
    <col min="4" max="4" width="9.7109375" customWidth="1"/>
    <col min="5" max="5" width="6.7109375" customWidth="1"/>
    <col min="6" max="6" width="13.7109375" customWidth="1"/>
    <col min="7" max="7" width="25.7109375" customWidth="1"/>
    <col min="8" max="8" width="15.7109375" customWidth="1"/>
    <col min="9" max="9" width="25.7109375" customWidth="1"/>
    <col min="10" max="10" width="15.7109375" customWidth="1"/>
    <col min="11" max="12" width="8.7109375" customWidth="1"/>
    <col min="13" max="16" width="9.7109375" customWidth="1"/>
    <col min="17" max="18" width="2.7109375" customWidth="1"/>
    <col min="19" max="25" width="17.7109375" customWidth="1"/>
  </cols>
  <sheetData>
    <row r="1" spans="2:26" ht="6" customHeight="1"/>
    <row r="2" spans="2:26" ht="26" customHeight="1">
      <c r="B2" s="1"/>
      <c r="C2" s="1"/>
      <c r="D2" s="2" t="s">
        <v>0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26" ht="20" customHeight="1">
      <c r="B3" s="1"/>
      <c r="C3" s="1"/>
      <c r="D3" s="3" t="s">
        <v>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26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26" ht="22" customHeight="1">
      <c r="B5" s="5" t="s">
        <v>2</v>
      </c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S5" s="81" t="s">
        <v>121</v>
      </c>
      <c r="T5" s="81"/>
      <c r="U5" s="81"/>
      <c r="V5" s="81"/>
      <c r="W5" s="81"/>
      <c r="X5" s="81"/>
      <c r="Y5" s="81"/>
      <c r="Z5" s="81"/>
    </row>
    <row r="6" spans="2:26" ht="20" customHeight="1">
      <c r="B6" s="82" t="s">
        <v>3</v>
      </c>
      <c r="C6" s="82"/>
      <c r="D6" s="83" t="s">
        <v>4</v>
      </c>
      <c r="E6" s="83"/>
      <c r="F6" s="83"/>
      <c r="G6" s="84" t="s">
        <v>5</v>
      </c>
      <c r="H6" s="84"/>
      <c r="I6" s="84"/>
      <c r="J6" s="84"/>
      <c r="S6" s="85" t="s">
        <v>122</v>
      </c>
      <c r="T6" s="85" t="s">
        <v>125</v>
      </c>
      <c r="U6" s="85" t="s">
        <v>130</v>
      </c>
      <c r="V6" s="85" t="s">
        <v>22</v>
      </c>
      <c r="W6" s="85" t="s">
        <v>133</v>
      </c>
      <c r="X6" s="85" t="s">
        <v>135</v>
      </c>
      <c r="Y6" s="85" t="s">
        <v>138</v>
      </c>
      <c r="Z6" s="85" t="s">
        <v>139</v>
      </c>
    </row>
    <row r="7" spans="2:26" ht="20" customHeight="1">
      <c r="B7" s="82" t="s">
        <v>6</v>
      </c>
      <c r="C7" s="82"/>
      <c r="D7" s="83" t="s">
        <v>7</v>
      </c>
      <c r="E7" s="83"/>
      <c r="F7" s="83"/>
      <c r="G7" s="84" t="s">
        <v>8</v>
      </c>
      <c r="H7" s="84"/>
      <c r="I7" s="84"/>
      <c r="J7" s="84"/>
      <c r="S7" s="86" t="s">
        <v>123</v>
      </c>
      <c r="T7" s="86" t="s">
        <v>126</v>
      </c>
      <c r="U7" s="86" t="s">
        <v>131</v>
      </c>
      <c r="V7" s="86" t="s">
        <v>36</v>
      </c>
      <c r="W7" s="86" t="s">
        <v>4</v>
      </c>
      <c r="X7" s="86" t="s">
        <v>136</v>
      </c>
      <c r="Y7" s="86" t="s">
        <v>44</v>
      </c>
      <c r="Z7" s="86" t="s">
        <v>140</v>
      </c>
    </row>
    <row r="8" spans="2:26" ht="20" customHeight="1">
      <c r="B8" s="82" t="s">
        <v>9</v>
      </c>
      <c r="C8" s="82"/>
      <c r="D8" s="87">
        <v>0.2916666666666667</v>
      </c>
      <c r="E8" s="87"/>
      <c r="F8" s="87"/>
      <c r="G8" s="84" t="s">
        <v>10</v>
      </c>
      <c r="H8" s="84"/>
      <c r="I8" s="84"/>
      <c r="J8" s="84"/>
      <c r="S8" s="86" t="s">
        <v>124</v>
      </c>
      <c r="T8" s="86" t="s">
        <v>127</v>
      </c>
      <c r="U8" s="86" t="s">
        <v>132</v>
      </c>
      <c r="V8" s="86" t="s">
        <v>109</v>
      </c>
      <c r="W8" s="86" t="s">
        <v>134</v>
      </c>
      <c r="X8" s="86" t="s">
        <v>137</v>
      </c>
      <c r="Y8" s="86" t="s">
        <v>38</v>
      </c>
      <c r="Z8" s="86" t="s">
        <v>14</v>
      </c>
    </row>
    <row r="9" spans="2:26" ht="20" customHeight="1">
      <c r="B9" s="82" t="s">
        <v>11</v>
      </c>
      <c r="C9" s="82"/>
      <c r="D9" s="83">
        <v>60</v>
      </c>
      <c r="E9" s="83"/>
      <c r="F9" s="83"/>
      <c r="G9" s="84" t="s">
        <v>12</v>
      </c>
      <c r="H9" s="84"/>
      <c r="I9" s="84"/>
      <c r="J9" s="84"/>
      <c r="T9" s="86" t="s">
        <v>128</v>
      </c>
      <c r="V9" s="86" t="s">
        <v>114</v>
      </c>
      <c r="Z9" s="86" t="s">
        <v>141</v>
      </c>
    </row>
    <row r="10" spans="2:26" ht="20" customHeight="1">
      <c r="B10" s="82" t="s">
        <v>13</v>
      </c>
      <c r="C10" s="82"/>
      <c r="D10" s="83" t="s">
        <v>14</v>
      </c>
      <c r="E10" s="83"/>
      <c r="F10" s="83"/>
      <c r="G10" s="84" t="s">
        <v>15</v>
      </c>
      <c r="H10" s="84"/>
      <c r="I10" s="84"/>
      <c r="J10" s="84"/>
      <c r="T10" s="86" t="s">
        <v>129</v>
      </c>
    </row>
    <row r="15" spans="2:26" ht="28" customHeight="1">
      <c r="B15" s="88" t="s">
        <v>16</v>
      </c>
      <c r="C15" s="88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</row>
    <row r="16" spans="2:26" ht="22" customHeight="1">
      <c r="B16" s="5" t="s">
        <v>17</v>
      </c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</row>
    <row r="17" spans="2:16" ht="32" customHeight="1">
      <c r="B17" s="89" t="s">
        <v>18</v>
      </c>
      <c r="C17" s="89" t="s">
        <v>19</v>
      </c>
      <c r="D17" s="89" t="s">
        <v>20</v>
      </c>
      <c r="E17" s="89" t="s">
        <v>21</v>
      </c>
      <c r="F17" s="89" t="s">
        <v>22</v>
      </c>
      <c r="G17" s="89" t="s">
        <v>23</v>
      </c>
      <c r="H17" s="89" t="s">
        <v>24</v>
      </c>
      <c r="I17" s="89" t="s">
        <v>25</v>
      </c>
      <c r="J17" s="89" t="s">
        <v>26</v>
      </c>
      <c r="K17" s="89" t="s">
        <v>27</v>
      </c>
      <c r="L17" s="89" t="s">
        <v>28</v>
      </c>
      <c r="M17" s="89" t="s">
        <v>29</v>
      </c>
      <c r="N17" s="89" t="s">
        <v>30</v>
      </c>
      <c r="O17" s="89" t="s">
        <v>31</v>
      </c>
      <c r="P17" s="89" t="s">
        <v>32</v>
      </c>
    </row>
    <row r="18" spans="2:16">
      <c r="B18" s="90" t="s">
        <v>33</v>
      </c>
      <c r="C18" s="91" t="s">
        <v>34</v>
      </c>
      <c r="D18" s="83" t="s">
        <v>35</v>
      </c>
      <c r="E18" s="83">
        <v>0</v>
      </c>
      <c r="F18" s="83" t="s">
        <v>36</v>
      </c>
      <c r="G18" s="92" t="s">
        <v>37</v>
      </c>
      <c r="H18" s="63" t="s">
        <v>38</v>
      </c>
      <c r="I18" s="92" t="s">
        <v>39</v>
      </c>
      <c r="J18" s="63" t="s">
        <v>38</v>
      </c>
      <c r="K18" s="83"/>
      <c r="L18" s="83"/>
      <c r="M18" s="83">
        <v>0</v>
      </c>
      <c r="N18" s="83">
        <v>50000</v>
      </c>
      <c r="O18" s="83">
        <v>1000</v>
      </c>
      <c r="P18" s="83">
        <v>1100</v>
      </c>
    </row>
    <row r="19" spans="2:16">
      <c r="B19" s="93" t="s">
        <v>40</v>
      </c>
      <c r="C19" s="94" t="s">
        <v>41</v>
      </c>
      <c r="D19" s="83" t="s">
        <v>42</v>
      </c>
      <c r="E19" s="83">
        <v>0</v>
      </c>
      <c r="F19" s="83" t="s">
        <v>36</v>
      </c>
      <c r="G19" s="92" t="s">
        <v>43</v>
      </c>
      <c r="H19" s="63" t="s">
        <v>44</v>
      </c>
      <c r="I19" s="92" t="s">
        <v>45</v>
      </c>
      <c r="J19" s="63" t="s">
        <v>44</v>
      </c>
      <c r="K19" s="83"/>
      <c r="L19" s="83"/>
      <c r="M19" s="83">
        <v>0</v>
      </c>
      <c r="N19" s="83">
        <v>50000</v>
      </c>
      <c r="O19" s="83">
        <v>2010</v>
      </c>
      <c r="P19" s="83">
        <v>2010</v>
      </c>
    </row>
    <row r="20" spans="2:16">
      <c r="B20" s="90" t="s">
        <v>40</v>
      </c>
      <c r="C20" s="91" t="s">
        <v>46</v>
      </c>
      <c r="D20" s="83" t="s">
        <v>42</v>
      </c>
      <c r="E20" s="83">
        <v>0</v>
      </c>
      <c r="F20" s="83" t="s">
        <v>36</v>
      </c>
      <c r="G20" s="92" t="s">
        <v>47</v>
      </c>
      <c r="H20" s="63" t="s">
        <v>44</v>
      </c>
      <c r="I20" s="92" t="s">
        <v>48</v>
      </c>
      <c r="J20" s="63" t="s">
        <v>44</v>
      </c>
      <c r="K20" s="83"/>
      <c r="L20" s="83"/>
      <c r="M20" s="83">
        <v>0</v>
      </c>
      <c r="N20" s="83">
        <v>50000</v>
      </c>
      <c r="O20" s="83">
        <v>2160</v>
      </c>
      <c r="P20" s="83">
        <v>2120</v>
      </c>
    </row>
    <row r="21" spans="2:16">
      <c r="B21" s="93" t="s">
        <v>40</v>
      </c>
      <c r="C21" s="94" t="s">
        <v>49</v>
      </c>
      <c r="D21" s="83" t="s">
        <v>50</v>
      </c>
      <c r="E21" s="83">
        <v>1</v>
      </c>
      <c r="F21" s="83" t="s">
        <v>36</v>
      </c>
      <c r="G21" s="92" t="s">
        <v>51</v>
      </c>
      <c r="H21" s="63" t="s">
        <v>44</v>
      </c>
      <c r="I21" s="92" t="s">
        <v>52</v>
      </c>
      <c r="J21" s="63" t="s">
        <v>44</v>
      </c>
      <c r="K21" s="83"/>
      <c r="L21" s="83"/>
      <c r="M21" s="83">
        <v>0</v>
      </c>
      <c r="N21" s="83">
        <v>50000</v>
      </c>
      <c r="O21" s="83">
        <v>90.2</v>
      </c>
      <c r="P21" s="83">
        <v>89.90000000000001</v>
      </c>
    </row>
    <row r="22" spans="2:16">
      <c r="B22" s="90" t="s">
        <v>40</v>
      </c>
      <c r="C22" s="91" t="s">
        <v>53</v>
      </c>
      <c r="D22" s="83" t="s">
        <v>50</v>
      </c>
      <c r="E22" s="83">
        <v>2</v>
      </c>
      <c r="F22" s="83" t="s">
        <v>36</v>
      </c>
      <c r="G22" s="92" t="s">
        <v>54</v>
      </c>
      <c r="H22" s="63" t="s">
        <v>44</v>
      </c>
      <c r="I22" s="92" t="s">
        <v>55</v>
      </c>
      <c r="J22" s="63" t="s">
        <v>44</v>
      </c>
      <c r="K22" s="83"/>
      <c r="L22" s="83"/>
      <c r="M22" s="83">
        <v>0</v>
      </c>
      <c r="N22" s="83">
        <v>50000</v>
      </c>
      <c r="O22" s="83">
        <v>11.2</v>
      </c>
      <c r="P22" s="83">
        <v>11.2</v>
      </c>
    </row>
    <row r="23" spans="2:16">
      <c r="B23" s="93" t="s">
        <v>40</v>
      </c>
      <c r="C23" s="94" t="s">
        <v>56</v>
      </c>
      <c r="D23" s="83" t="s">
        <v>50</v>
      </c>
      <c r="E23" s="83">
        <v>2</v>
      </c>
      <c r="F23" s="83" t="s">
        <v>36</v>
      </c>
      <c r="G23" s="92" t="s">
        <v>57</v>
      </c>
      <c r="H23" s="63" t="s">
        <v>44</v>
      </c>
      <c r="I23" s="92" t="s">
        <v>58</v>
      </c>
      <c r="J23" s="63" t="s">
        <v>44</v>
      </c>
      <c r="K23" s="83"/>
      <c r="L23" s="83"/>
      <c r="M23" s="83">
        <v>0</v>
      </c>
      <c r="N23" s="83">
        <v>50000</v>
      </c>
      <c r="O23" s="83">
        <v>11</v>
      </c>
      <c r="P23" s="83">
        <v>11</v>
      </c>
    </row>
    <row r="24" spans="2:16">
      <c r="B24" s="90" t="s">
        <v>59</v>
      </c>
      <c r="C24" s="91" t="s">
        <v>60</v>
      </c>
      <c r="D24" s="83" t="s">
        <v>50</v>
      </c>
      <c r="E24" s="83">
        <v>2</v>
      </c>
      <c r="F24" s="83" t="s">
        <v>36</v>
      </c>
      <c r="G24" s="92" t="s">
        <v>61</v>
      </c>
      <c r="H24" s="63" t="s">
        <v>44</v>
      </c>
      <c r="I24" s="92" t="s">
        <v>61</v>
      </c>
      <c r="J24" s="63" t="s">
        <v>44</v>
      </c>
      <c r="K24" s="83"/>
      <c r="L24" s="83"/>
      <c r="M24" s="83">
        <v>0</v>
      </c>
      <c r="N24" s="83">
        <v>50000</v>
      </c>
      <c r="O24" s="83">
        <v>3.66</v>
      </c>
      <c r="P24" s="83">
        <v>3.66</v>
      </c>
    </row>
    <row r="25" spans="2:16">
      <c r="B25" s="93" t="s">
        <v>59</v>
      </c>
      <c r="C25" s="94" t="s">
        <v>62</v>
      </c>
      <c r="D25" s="83" t="s">
        <v>50</v>
      </c>
      <c r="E25" s="83">
        <v>2</v>
      </c>
      <c r="F25" s="83" t="s">
        <v>36</v>
      </c>
      <c r="G25" s="92" t="s">
        <v>63</v>
      </c>
      <c r="H25" s="63" t="s">
        <v>44</v>
      </c>
      <c r="I25" s="92" t="s">
        <v>63</v>
      </c>
      <c r="J25" s="63" t="s">
        <v>44</v>
      </c>
      <c r="K25" s="83"/>
      <c r="L25" s="83"/>
      <c r="M25" s="83">
        <v>0</v>
      </c>
      <c r="N25" s="83">
        <v>50000</v>
      </c>
      <c r="O25" s="83">
        <v>1.29</v>
      </c>
      <c r="P25" s="83">
        <v>1.29</v>
      </c>
    </row>
    <row r="26" spans="2:16">
      <c r="B26" s="90" t="s">
        <v>59</v>
      </c>
      <c r="C26" s="91" t="s">
        <v>64</v>
      </c>
      <c r="D26" s="83" t="s">
        <v>50</v>
      </c>
      <c r="E26" s="83">
        <v>2</v>
      </c>
      <c r="F26" s="83" t="s">
        <v>36</v>
      </c>
      <c r="G26" s="92" t="s">
        <v>65</v>
      </c>
      <c r="H26" s="63" t="s">
        <v>44</v>
      </c>
      <c r="I26" s="92" t="s">
        <v>65</v>
      </c>
      <c r="J26" s="63" t="s">
        <v>44</v>
      </c>
      <c r="K26" s="83"/>
      <c r="L26" s="83"/>
      <c r="M26" s="83">
        <v>0</v>
      </c>
      <c r="N26" s="83">
        <v>50000</v>
      </c>
      <c r="O26" s="83">
        <v>0.09</v>
      </c>
      <c r="P26" s="83">
        <v>0.09</v>
      </c>
    </row>
    <row r="27" spans="2:16">
      <c r="B27" s="93" t="s">
        <v>66</v>
      </c>
      <c r="C27" s="94" t="s">
        <v>67</v>
      </c>
      <c r="D27" s="83" t="s">
        <v>50</v>
      </c>
      <c r="E27" s="83">
        <v>2</v>
      </c>
      <c r="F27" s="83" t="s">
        <v>36</v>
      </c>
      <c r="G27" s="92" t="s">
        <v>68</v>
      </c>
      <c r="H27" s="63" t="s">
        <v>44</v>
      </c>
      <c r="I27" s="92" t="s">
        <v>69</v>
      </c>
      <c r="J27" s="63" t="s">
        <v>44</v>
      </c>
      <c r="K27" s="83"/>
      <c r="L27" s="83"/>
      <c r="M27" s="83">
        <v>0</v>
      </c>
      <c r="N27" s="83">
        <v>50000</v>
      </c>
      <c r="O27" s="83">
        <v>1.82</v>
      </c>
      <c r="P27" s="83">
        <v>1.9</v>
      </c>
    </row>
    <row r="28" spans="2:16">
      <c r="B28" s="90" t="s">
        <v>66</v>
      </c>
      <c r="C28" s="91" t="s">
        <v>70</v>
      </c>
      <c r="D28" s="83" t="s">
        <v>50</v>
      </c>
      <c r="E28" s="83">
        <v>2</v>
      </c>
      <c r="F28" s="83" t="s">
        <v>36</v>
      </c>
      <c r="G28" s="92" t="s">
        <v>71</v>
      </c>
      <c r="H28" s="63" t="s">
        <v>44</v>
      </c>
      <c r="I28" s="92" t="s">
        <v>72</v>
      </c>
      <c r="J28" s="63" t="s">
        <v>44</v>
      </c>
      <c r="K28" s="83"/>
      <c r="L28" s="83"/>
      <c r="M28" s="83">
        <v>0</v>
      </c>
      <c r="N28" s="83">
        <v>50000</v>
      </c>
      <c r="O28" s="83">
        <v>0.82</v>
      </c>
      <c r="P28" s="83">
        <v>0.88</v>
      </c>
    </row>
    <row r="29" spans="2:16">
      <c r="B29" s="93" t="s">
        <v>66</v>
      </c>
      <c r="C29" s="94" t="s">
        <v>73</v>
      </c>
      <c r="D29" s="83" t="s">
        <v>74</v>
      </c>
      <c r="E29" s="83">
        <v>2</v>
      </c>
      <c r="F29" s="83" t="s">
        <v>36</v>
      </c>
      <c r="G29" s="92" t="s">
        <v>75</v>
      </c>
      <c r="H29" s="63" t="s">
        <v>44</v>
      </c>
      <c r="I29" s="92" t="s">
        <v>76</v>
      </c>
      <c r="J29" s="63" t="s">
        <v>44</v>
      </c>
      <c r="K29" s="83"/>
      <c r="L29" s="83"/>
      <c r="M29" s="83">
        <v>0</v>
      </c>
      <c r="N29" s="83">
        <v>50000</v>
      </c>
      <c r="O29" s="83">
        <v>0.45</v>
      </c>
      <c r="P29" s="83">
        <v>0.46</v>
      </c>
    </row>
    <row r="30" spans="2:16">
      <c r="B30" s="90" t="s">
        <v>66</v>
      </c>
      <c r="C30" s="91" t="s">
        <v>77</v>
      </c>
      <c r="D30" s="83" t="s">
        <v>78</v>
      </c>
      <c r="E30" s="83">
        <v>1</v>
      </c>
      <c r="F30" s="83" t="s">
        <v>36</v>
      </c>
      <c r="G30" s="92" t="s">
        <v>79</v>
      </c>
      <c r="H30" s="63" t="s">
        <v>44</v>
      </c>
      <c r="I30" s="92" t="s">
        <v>80</v>
      </c>
      <c r="J30" s="63" t="s">
        <v>44</v>
      </c>
      <c r="K30" s="83"/>
      <c r="L30" s="83"/>
      <c r="M30" s="83">
        <v>0</v>
      </c>
      <c r="N30" s="83">
        <v>50000</v>
      </c>
      <c r="O30" s="83">
        <v>12.7</v>
      </c>
      <c r="P30" s="83">
        <v>17.6</v>
      </c>
    </row>
    <row r="31" spans="2:16">
      <c r="B31" s="93" t="s">
        <v>66</v>
      </c>
      <c r="C31" s="94" t="s">
        <v>81</v>
      </c>
      <c r="D31" s="83" t="s">
        <v>50</v>
      </c>
      <c r="E31" s="83">
        <v>2</v>
      </c>
      <c r="F31" s="83" t="s">
        <v>36</v>
      </c>
      <c r="G31" s="92" t="s">
        <v>82</v>
      </c>
      <c r="H31" s="63" t="s">
        <v>44</v>
      </c>
      <c r="I31" s="92" t="s">
        <v>83</v>
      </c>
      <c r="J31" s="63" t="s">
        <v>44</v>
      </c>
      <c r="K31" s="83"/>
      <c r="L31" s="83"/>
      <c r="M31" s="83">
        <v>0</v>
      </c>
      <c r="N31" s="83">
        <v>50000</v>
      </c>
      <c r="O31" s="83">
        <v>1.07</v>
      </c>
      <c r="P31" s="83">
        <v>1.2</v>
      </c>
    </row>
    <row r="32" spans="2:16">
      <c r="B32" s="90" t="s">
        <v>84</v>
      </c>
      <c r="C32" s="91" t="s">
        <v>85</v>
      </c>
      <c r="D32" s="83" t="s">
        <v>50</v>
      </c>
      <c r="E32" s="83">
        <v>1</v>
      </c>
      <c r="F32" s="83" t="s">
        <v>36</v>
      </c>
      <c r="G32" s="92" t="s">
        <v>86</v>
      </c>
      <c r="H32" s="63" t="s">
        <v>44</v>
      </c>
      <c r="I32" s="92" t="s">
        <v>87</v>
      </c>
      <c r="J32" s="63" t="s">
        <v>44</v>
      </c>
      <c r="K32" s="83"/>
      <c r="L32" s="83"/>
      <c r="M32" s="83">
        <v>0</v>
      </c>
      <c r="N32" s="83">
        <v>50000</v>
      </c>
      <c r="O32" s="83">
        <v>92.5</v>
      </c>
      <c r="P32" s="83">
        <v>90.90000000000001</v>
      </c>
    </row>
    <row r="33" spans="2:16">
      <c r="B33" s="93" t="s">
        <v>84</v>
      </c>
      <c r="C33" s="94" t="s">
        <v>88</v>
      </c>
      <c r="D33" s="83" t="s">
        <v>74</v>
      </c>
      <c r="E33" s="83">
        <v>2</v>
      </c>
      <c r="F33" s="83" t="s">
        <v>36</v>
      </c>
      <c r="G33" s="92" t="s">
        <v>89</v>
      </c>
      <c r="H33" s="63" t="s">
        <v>44</v>
      </c>
      <c r="I33" s="92" t="s">
        <v>90</v>
      </c>
      <c r="J33" s="63" t="s">
        <v>44</v>
      </c>
      <c r="K33" s="83"/>
      <c r="L33" s="83"/>
      <c r="M33" s="83">
        <v>0</v>
      </c>
      <c r="N33" s="83">
        <v>50000</v>
      </c>
      <c r="O33" s="83">
        <v>0.73</v>
      </c>
      <c r="P33" s="83">
        <v>0.8</v>
      </c>
    </row>
    <row r="34" spans="2:16">
      <c r="B34" s="90" t="s">
        <v>84</v>
      </c>
      <c r="C34" s="91" t="s">
        <v>91</v>
      </c>
      <c r="D34" s="83" t="s">
        <v>50</v>
      </c>
      <c r="E34" s="83">
        <v>1</v>
      </c>
      <c r="F34" s="83" t="s">
        <v>36</v>
      </c>
      <c r="G34" s="92" t="s">
        <v>92</v>
      </c>
      <c r="H34" s="63" t="s">
        <v>44</v>
      </c>
      <c r="I34" s="92" t="s">
        <v>93</v>
      </c>
      <c r="J34" s="63" t="s">
        <v>44</v>
      </c>
      <c r="K34" s="83"/>
      <c r="L34" s="83"/>
      <c r="M34" s="83">
        <v>0</v>
      </c>
      <c r="N34" s="83">
        <v>50000</v>
      </c>
      <c r="O34" s="83">
        <v>94</v>
      </c>
      <c r="P34" s="83">
        <v>93.90000000000001</v>
      </c>
    </row>
    <row r="35" spans="2:16">
      <c r="B35" s="93" t="s">
        <v>84</v>
      </c>
      <c r="C35" s="94" t="s">
        <v>94</v>
      </c>
      <c r="D35" s="83" t="s">
        <v>95</v>
      </c>
      <c r="E35" s="83">
        <v>0</v>
      </c>
      <c r="F35" s="83" t="s">
        <v>36</v>
      </c>
      <c r="G35" s="92" t="s">
        <v>96</v>
      </c>
      <c r="H35" s="63" t="s">
        <v>44</v>
      </c>
      <c r="I35" s="92" t="s">
        <v>97</v>
      </c>
      <c r="J35" s="63" t="s">
        <v>44</v>
      </c>
      <c r="K35" s="83"/>
      <c r="L35" s="83"/>
      <c r="M35" s="83">
        <v>0</v>
      </c>
      <c r="N35" s="83">
        <v>50000</v>
      </c>
      <c r="O35" s="83">
        <v>320</v>
      </c>
      <c r="P35" s="83">
        <v>334</v>
      </c>
    </row>
    <row r="36" spans="2:16">
      <c r="B36" s="90" t="s">
        <v>84</v>
      </c>
      <c r="C36" s="91" t="s">
        <v>98</v>
      </c>
      <c r="D36" s="83" t="s">
        <v>50</v>
      </c>
      <c r="E36" s="83">
        <v>0</v>
      </c>
      <c r="F36" s="83" t="s">
        <v>36</v>
      </c>
      <c r="G36" s="92" t="s">
        <v>99</v>
      </c>
      <c r="H36" s="63" t="s">
        <v>44</v>
      </c>
      <c r="I36" s="92" t="s">
        <v>100</v>
      </c>
      <c r="J36" s="63" t="s">
        <v>44</v>
      </c>
      <c r="K36" s="83"/>
      <c r="L36" s="83"/>
      <c r="M36" s="83">
        <v>0</v>
      </c>
      <c r="N36" s="83">
        <v>50000</v>
      </c>
      <c r="O36" s="83">
        <v>17</v>
      </c>
      <c r="P36" s="83">
        <v>16</v>
      </c>
    </row>
    <row r="37" spans="2:16">
      <c r="B37" s="93" t="s">
        <v>84</v>
      </c>
      <c r="C37" s="94" t="s">
        <v>101</v>
      </c>
      <c r="D37" s="83" t="s">
        <v>50</v>
      </c>
      <c r="E37" s="83">
        <v>1</v>
      </c>
      <c r="F37" s="83" t="s">
        <v>36</v>
      </c>
      <c r="G37" s="92" t="s">
        <v>102</v>
      </c>
      <c r="H37" s="63" t="s">
        <v>44</v>
      </c>
      <c r="I37" s="92" t="s">
        <v>103</v>
      </c>
      <c r="J37" s="63" t="s">
        <v>44</v>
      </c>
      <c r="K37" s="83"/>
      <c r="L37" s="83"/>
      <c r="M37" s="83">
        <v>0</v>
      </c>
      <c r="N37" s="83">
        <v>50000</v>
      </c>
      <c r="O37" s="83">
        <v>0.97</v>
      </c>
      <c r="P37" s="83">
        <v>1.17</v>
      </c>
    </row>
    <row r="38" spans="2:16">
      <c r="B38" s="90" t="s">
        <v>84</v>
      </c>
      <c r="C38" s="91" t="s">
        <v>104</v>
      </c>
      <c r="D38" s="83" t="s">
        <v>50</v>
      </c>
      <c r="E38" s="83">
        <v>2</v>
      </c>
      <c r="F38" s="83" t="s">
        <v>36</v>
      </c>
      <c r="G38" s="92" t="s">
        <v>105</v>
      </c>
      <c r="H38" s="63" t="s">
        <v>44</v>
      </c>
      <c r="I38" s="92" t="s">
        <v>106</v>
      </c>
      <c r="J38" s="63" t="s">
        <v>44</v>
      </c>
      <c r="K38" s="83"/>
      <c r="L38" s="83"/>
      <c r="M38" s="83">
        <v>0</v>
      </c>
      <c r="N38" s="83">
        <v>50000</v>
      </c>
      <c r="O38" s="83">
        <v>1.9</v>
      </c>
      <c r="P38" s="83">
        <v>1.95</v>
      </c>
    </row>
    <row r="39" spans="2:16">
      <c r="B39" s="93" t="s">
        <v>107</v>
      </c>
      <c r="C39" s="94" t="s">
        <v>107</v>
      </c>
      <c r="D39" s="83" t="s">
        <v>108</v>
      </c>
      <c r="E39" s="83">
        <v>0</v>
      </c>
      <c r="F39" s="83" t="s">
        <v>109</v>
      </c>
      <c r="G39" s="92" t="s">
        <v>110</v>
      </c>
      <c r="H39" s="63" t="s">
        <v>44</v>
      </c>
      <c r="I39" s="92" t="s">
        <v>111</v>
      </c>
      <c r="J39" s="63" t="s">
        <v>44</v>
      </c>
      <c r="K39" s="83"/>
      <c r="L39" s="83"/>
      <c r="M39" s="83">
        <v>0</v>
      </c>
      <c r="N39" s="83">
        <v>50000</v>
      </c>
      <c r="O39" s="83">
        <v>700</v>
      </c>
      <c r="P39" s="83">
        <v>750</v>
      </c>
    </row>
    <row r="40" spans="2:16">
      <c r="B40" s="90" t="s">
        <v>107</v>
      </c>
      <c r="C40" s="91" t="s">
        <v>112</v>
      </c>
      <c r="D40" s="83" t="s">
        <v>113</v>
      </c>
      <c r="E40" s="83">
        <v>0</v>
      </c>
      <c r="F40" s="83" t="s">
        <v>114</v>
      </c>
      <c r="G40" s="92" t="s">
        <v>115</v>
      </c>
      <c r="H40" s="63" t="s">
        <v>44</v>
      </c>
      <c r="I40" s="92" t="s">
        <v>116</v>
      </c>
      <c r="J40" s="63" t="s">
        <v>44</v>
      </c>
      <c r="K40" s="83"/>
      <c r="L40" s="83"/>
      <c r="M40" s="83">
        <v>0</v>
      </c>
      <c r="N40" s="83">
        <v>50000</v>
      </c>
      <c r="O40" s="83">
        <v>19000</v>
      </c>
      <c r="P40" s="83">
        <v>20600</v>
      </c>
    </row>
    <row r="41" spans="2:16">
      <c r="B41" s="93" t="s">
        <v>107</v>
      </c>
      <c r="C41" s="94" t="s">
        <v>117</v>
      </c>
      <c r="D41" s="83" t="s">
        <v>113</v>
      </c>
      <c r="E41" s="83">
        <v>0</v>
      </c>
      <c r="F41" s="83" t="s">
        <v>114</v>
      </c>
      <c r="G41" s="92" t="s">
        <v>118</v>
      </c>
      <c r="H41" s="63" t="s">
        <v>38</v>
      </c>
      <c r="I41" s="92" t="s">
        <v>119</v>
      </c>
      <c r="J41" s="63" t="s">
        <v>38</v>
      </c>
      <c r="K41" s="83"/>
      <c r="L41" s="83"/>
      <c r="M41" s="83">
        <v>0</v>
      </c>
      <c r="N41" s="83">
        <v>50000</v>
      </c>
      <c r="O41" s="83">
        <v>19000</v>
      </c>
      <c r="P41" s="83">
        <v>20600</v>
      </c>
    </row>
    <row r="43" spans="2:16">
      <c r="C43" s="95" t="s">
        <v>120</v>
      </c>
    </row>
  </sheetData>
  <mergeCells count="21">
    <mergeCell ref="D2:P2"/>
    <mergeCell ref="D3:P3"/>
    <mergeCell ref="B5:P5"/>
    <mergeCell ref="B6:C6"/>
    <mergeCell ref="D6:F6"/>
    <mergeCell ref="G6:J6"/>
    <mergeCell ref="B7:C7"/>
    <mergeCell ref="D7:F7"/>
    <mergeCell ref="G7:J7"/>
    <mergeCell ref="B8:C8"/>
    <mergeCell ref="D8:F8"/>
    <mergeCell ref="G8:J8"/>
    <mergeCell ref="B9:C9"/>
    <mergeCell ref="D9:F9"/>
    <mergeCell ref="G9:J9"/>
    <mergeCell ref="B10:C10"/>
    <mergeCell ref="D10:F10"/>
    <mergeCell ref="G10:J10"/>
    <mergeCell ref="B15:P15"/>
    <mergeCell ref="B16:P16"/>
    <mergeCell ref="S5:Z5"/>
  </mergeCells>
  <dataValidations count="5">
    <dataValidation type="list" allowBlank="1" showInputMessage="1" showErrorMessage="1" sqref="D6">
      <formula1>lstFonte</formula1>
    </dataValidation>
    <dataValidation type="list" allowBlank="1" showInputMessage="1" showErrorMessage="1" sqref="D10">
      <formula1>lstFormatoData</formula1>
    </dataValidation>
    <dataValidation type="list" allowBlank="1" showInputMessage="1" showErrorMessage="1" sqref="F18:F41">
      <formula1>lstAgreg</formula1>
    </dataValidation>
    <dataValidation type="list" allowBlank="1" showInputMessage="1" showErrorMessage="1" sqref="H18:H41">
      <formula1>lstTipo</formula1>
    </dataValidation>
    <dataValidation type="list" allowBlank="1" showInputMessage="1" showErrorMessage="1" sqref="J18:J41">
      <formula1>lstTipo</formula1>
    </dataValidation>
  </dataValidations>
  <pageMargins left="0.7" right="0.7" top="0.75" bottom="0.75" header="0.3" footer="0.3"/>
  <pageSetup paperSize="9" fitToHeight="0" orientation="landscape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AQ34"/>
  <sheetViews>
    <sheetView showGridLines="0" workbookViewId="0"/>
  </sheetViews>
  <sheetFormatPr defaultRowHeight="15"/>
  <cols>
    <col min="1" max="1" width="18.7109375" style="96" customWidth="1"/>
    <col min="2" max="49" width="14.7109375" customWidth="1"/>
  </cols>
  <sheetData>
    <row r="1" spans="1:43">
      <c r="A1" s="97" t="s">
        <v>142</v>
      </c>
    </row>
    <row r="3" spans="1:43">
      <c r="A3" s="98" t="s">
        <v>143</v>
      </c>
      <c r="B3" s="99"/>
    </row>
    <row r="4" spans="1:43">
      <c r="A4" s="98" t="s">
        <v>144</v>
      </c>
      <c r="B4" s="99"/>
    </row>
    <row r="6" spans="1:43">
      <c r="A6" s="100" t="s">
        <v>145</v>
      </c>
    </row>
    <row r="7" spans="1:43">
      <c r="A7" s="101" t="str">
        <f>_xll.AspenTech.PME.ProcessData.Functions.GetCalculationValues("time,attribute","306TP001-FX001-R,406-FX-001,M650060010-0017-HHLFU,M4650060010-0017-HHLFU,M650060030-0017-HHLFU,M4650060030-0017-HHLFU,M650060030-0016-HHLFU,M4650060030-0016-HHLFU,M650060010-0001-HHLFU,M4650060010-0001-HHLFU,M650060030-0001-HHLFU,M4650060030-0001-HHL"&amp;"FU,M650030010-0013-HHLQU,M650030010-0013-HHLQU,M650030010-0004-HHLQU,M650030010-0004-HHLQU,M650030010-0006-HHLQU,M650030010-0006-HHLQU,M710050020-0004-HHLQU,M4710050020-0004-HHLQU,M710050020-0006-HHLQU,M4710050020-0006-HHLQU,M710050020-0018-HHLQU,M47"&amp;"10050020-0018-HHLQU,M710050020-0084-HHLQU,M4710050020-0084-HHLQU,M710050020-0493-HHLQU,M4710050020-0493-HHLQU,M710050020-0028-HHLFU,M4710050020-0028-HHLFU,M710050020-2021-HHLFU,M4710050020-2021-HHLFU,M710050020-0029-HHLFU,M4710050020-0029-HHLFU,M7100"&amp;"50020-0031-HHLFU,M4710050020-0031-HHLFU,M710050020-0032-HHLFU,M4710050020-0032-HHLFU,M710050020-0026-HHLFU,M4710050020-0026-HHLFU,M710050020-0004-HHLFU,M4710050020-0004-HHLFU","UBU,UBU,UBU,UBU,UBU,UBU,UBU,UBU,UBU,UBU,UBU,UBU,UBU,UBU,UBU,UBU,UBU,UBU,UBU,UBU,UBU,UBU,UBU,UBU,UBU,UBU,UBU,UBU,UBU,UBU,UBU,UBU,UBU,UBU,UBU,UBU,UBU,UBU,UBU,UBU,UBU,UBU","IP_ANALOGMAP,IP_ANALOGMAP,IP_MESVALOR,IP_MESVALOR,IP_MESVALOR,IP_MESVALOR,IP_MESVALOR,IP_MESVALOR,IP_MESVALOR,IP_MESVALOR,IP_MESVALOR,IP_MESVALOR,IP_MESVALOR,IP_MESVALOR,IP_MESVALOR,IP_MESVALOR,IP_MESVALOR,IP_MESVALOR,IP_MESVALOR,IP_MESVALOR,IP_MESVA"&amp;"LOR,IP_MESVALOR,IP_MESVALOR,IP_MESVALOR,IP_MESVALOR,IP_MESVALOR,IP_MESVALOR,IP_MESVALOR,IP_MESVALOR,IP_MESVALOR,IP_MESVALOR,IP_MESVALOR,IP_MESVALOR,IP_MESVALOR,IP_MESVALOR,IP_MESVALOR,IP_MESVALOR,IP_MESVALOR,IP_MESVALOR,IP_MESVALOR,IP_MESVALOR,IP_MES"&amp;"VALOR",Dados_MES!$B$3,Dados_MES!$B$4,"2h",0,"",0,"1",0,1560,0,0,1,1,ADDRESS(ROW(Dados_MES!A7),COLUMN(Dados_MES!A7),1,,"Dados_MES"),"Dados_MES!A9",1)</f>
        <v>Success</v>
      </c>
    </row>
    <row r="8" spans="1:43" ht="45" customHeight="1">
      <c r="A8" s="102" t="s">
        <v>146</v>
      </c>
      <c r="B8" s="103" t="s">
        <v>147</v>
      </c>
      <c r="C8" s="103" t="s">
        <v>148</v>
      </c>
      <c r="D8" s="103" t="s">
        <v>149</v>
      </c>
      <c r="E8" s="103" t="s">
        <v>150</v>
      </c>
      <c r="F8" s="103" t="s">
        <v>151</v>
      </c>
      <c r="G8" s="103" t="s">
        <v>152</v>
      </c>
      <c r="H8" s="103" t="s">
        <v>153</v>
      </c>
      <c r="I8" s="103" t="s">
        <v>154</v>
      </c>
      <c r="J8" s="103" t="s">
        <v>155</v>
      </c>
      <c r="K8" s="103" t="s">
        <v>156</v>
      </c>
      <c r="L8" s="103" t="s">
        <v>157</v>
      </c>
      <c r="M8" s="103" t="s">
        <v>158</v>
      </c>
      <c r="N8" s="103" t="s">
        <v>159</v>
      </c>
      <c r="O8" s="103" t="s">
        <v>160</v>
      </c>
      <c r="P8" s="103" t="s">
        <v>161</v>
      </c>
      <c r="Q8" s="103" t="s">
        <v>162</v>
      </c>
      <c r="R8" s="103" t="s">
        <v>163</v>
      </c>
      <c r="S8" s="103" t="s">
        <v>164</v>
      </c>
      <c r="T8" s="103" t="s">
        <v>165</v>
      </c>
      <c r="U8" s="103" t="s">
        <v>166</v>
      </c>
      <c r="V8" s="103" t="s">
        <v>167</v>
      </c>
      <c r="W8" s="103" t="s">
        <v>168</v>
      </c>
      <c r="X8" s="103" t="s">
        <v>169</v>
      </c>
      <c r="Y8" s="103" t="s">
        <v>170</v>
      </c>
      <c r="Z8" s="103" t="s">
        <v>171</v>
      </c>
      <c r="AA8" s="103" t="s">
        <v>172</v>
      </c>
      <c r="AB8" s="103" t="s">
        <v>173</v>
      </c>
      <c r="AC8" s="103" t="s">
        <v>174</v>
      </c>
      <c r="AD8" s="103" t="s">
        <v>175</v>
      </c>
      <c r="AE8" s="103" t="s">
        <v>176</v>
      </c>
      <c r="AF8" s="103" t="s">
        <v>177</v>
      </c>
      <c r="AG8" s="103" t="s">
        <v>178</v>
      </c>
      <c r="AH8" s="103" t="s">
        <v>179</v>
      </c>
      <c r="AI8" s="103" t="s">
        <v>180</v>
      </c>
      <c r="AJ8" s="103" t="s">
        <v>181</v>
      </c>
      <c r="AK8" s="103" t="s">
        <v>182</v>
      </c>
      <c r="AL8" s="103" t="s">
        <v>183</v>
      </c>
      <c r="AM8" s="103" t="s">
        <v>184</v>
      </c>
      <c r="AN8" s="103" t="s">
        <v>185</v>
      </c>
      <c r="AO8" s="103" t="s">
        <v>186</v>
      </c>
      <c r="AP8" s="103" t="s">
        <v>187</v>
      </c>
      <c r="AQ8" s="103" t="s">
        <v>188</v>
      </c>
    </row>
    <row r="9" spans="1:43">
      <c r="A9" s="104">
        <f t="array" ref="A9:AQ14">_xll.AspenTech.PME.ProcessData.Functions.ShowCalculationValues(ADDRESS(ROW(Dados_MES!A7),COLUMN(Dados_MES!A7),1,,"Dados_MES"),Dados_MES!A7, 0)</f>
        <v>0</v>
      </c>
      <c r="B9" s="104">
        <v>0</v>
      </c>
      <c r="C9" s="104">
        <v>0</v>
      </c>
      <c r="D9" s="104">
        <v>0</v>
      </c>
      <c r="E9" s="104">
        <v>0</v>
      </c>
      <c r="F9" s="104">
        <v>0</v>
      </c>
      <c r="G9" s="104">
        <v>0</v>
      </c>
      <c r="H9" s="104">
        <v>0</v>
      </c>
      <c r="I9" s="104">
        <v>0</v>
      </c>
      <c r="J9" s="104">
        <v>0</v>
      </c>
      <c r="K9" s="104">
        <v>0</v>
      </c>
      <c r="L9" s="104">
        <v>0</v>
      </c>
      <c r="M9" s="104">
        <v>0</v>
      </c>
      <c r="N9" s="104">
        <v>0</v>
      </c>
      <c r="O9" s="104">
        <v>0</v>
      </c>
      <c r="P9" s="104">
        <v>0</v>
      </c>
      <c r="Q9" s="104">
        <v>0</v>
      </c>
      <c r="R9" s="104">
        <v>0</v>
      </c>
      <c r="S9" s="104">
        <v>0</v>
      </c>
      <c r="T9" s="104">
        <v>0</v>
      </c>
      <c r="U9" s="104">
        <v>0</v>
      </c>
      <c r="V9" s="104">
        <v>0</v>
      </c>
      <c r="W9" s="104">
        <v>0</v>
      </c>
      <c r="X9" s="104">
        <v>0</v>
      </c>
      <c r="Y9" s="104">
        <v>0</v>
      </c>
      <c r="Z9" s="104">
        <v>0</v>
      </c>
      <c r="AA9" s="104">
        <v>0</v>
      </c>
      <c r="AB9" s="104">
        <v>0</v>
      </c>
      <c r="AC9" s="104">
        <v>0</v>
      </c>
      <c r="AD9" s="104">
        <v>0</v>
      </c>
      <c r="AE9" s="104">
        <v>0</v>
      </c>
      <c r="AF9" s="104">
        <v>0</v>
      </c>
      <c r="AG9" s="104">
        <v>0</v>
      </c>
      <c r="AH9" s="104">
        <v>0</v>
      </c>
      <c r="AI9" s="104">
        <v>0</v>
      </c>
      <c r="AJ9" s="104">
        <v>0</v>
      </c>
      <c r="AK9" s="104">
        <v>0</v>
      </c>
      <c r="AL9" s="104">
        <v>0</v>
      </c>
      <c r="AM9" s="104">
        <v>0</v>
      </c>
      <c r="AN9" s="104">
        <v>0</v>
      </c>
      <c r="AO9" s="104">
        <v>0</v>
      </c>
      <c r="AP9" s="104">
        <v>0</v>
      </c>
      <c r="AQ9" s="104">
        <v>0</v>
      </c>
    </row>
    <row r="10" spans="1:43">
      <c r="A10" s="104">
        <v>0</v>
      </c>
      <c r="B10" s="104">
        <v>0</v>
      </c>
      <c r="C10" s="104">
        <v>0</v>
      </c>
      <c r="D10" s="104">
        <v>0</v>
      </c>
      <c r="E10" s="104">
        <v>0</v>
      </c>
      <c r="F10" s="104">
        <v>0</v>
      </c>
      <c r="G10" s="104">
        <v>0</v>
      </c>
      <c r="H10" s="104">
        <v>0</v>
      </c>
      <c r="I10" s="104">
        <v>0</v>
      </c>
      <c r="J10" s="104">
        <v>0</v>
      </c>
      <c r="K10" s="104">
        <v>0</v>
      </c>
      <c r="L10" s="104">
        <v>0</v>
      </c>
      <c r="M10" s="104">
        <v>0</v>
      </c>
      <c r="N10" s="104">
        <v>0</v>
      </c>
      <c r="O10" s="104">
        <v>0</v>
      </c>
      <c r="P10" s="104">
        <v>0</v>
      </c>
      <c r="Q10" s="104">
        <v>0</v>
      </c>
      <c r="R10" s="104">
        <v>0</v>
      </c>
      <c r="S10" s="104">
        <v>0</v>
      </c>
      <c r="T10" s="104">
        <v>0</v>
      </c>
      <c r="U10" s="104">
        <v>0</v>
      </c>
      <c r="V10" s="104">
        <v>0</v>
      </c>
      <c r="W10" s="104">
        <v>0</v>
      </c>
      <c r="X10" s="104">
        <v>0</v>
      </c>
      <c r="Y10" s="104">
        <v>0</v>
      </c>
      <c r="Z10" s="104">
        <v>0</v>
      </c>
      <c r="AA10" s="104">
        <v>0</v>
      </c>
      <c r="AB10" s="104">
        <v>0</v>
      </c>
      <c r="AC10" s="104">
        <v>0</v>
      </c>
      <c r="AD10" s="104">
        <v>0</v>
      </c>
      <c r="AE10" s="104">
        <v>0</v>
      </c>
      <c r="AF10" s="104">
        <v>0</v>
      </c>
      <c r="AG10" s="104">
        <v>0</v>
      </c>
      <c r="AH10" s="104">
        <v>0</v>
      </c>
      <c r="AI10" s="104">
        <v>0</v>
      </c>
      <c r="AJ10" s="104">
        <v>0</v>
      </c>
      <c r="AK10" s="104">
        <v>0</v>
      </c>
      <c r="AL10" s="104">
        <v>0</v>
      </c>
      <c r="AM10" s="104">
        <v>0</v>
      </c>
      <c r="AN10" s="104">
        <v>0</v>
      </c>
      <c r="AO10" s="104">
        <v>0</v>
      </c>
      <c r="AP10" s="104">
        <v>0</v>
      </c>
      <c r="AQ10" s="104">
        <v>0</v>
      </c>
    </row>
    <row r="11" spans="1:43">
      <c r="A11" s="104">
        <v>0</v>
      </c>
      <c r="B11" s="104">
        <v>0</v>
      </c>
      <c r="C11" s="104">
        <v>0</v>
      </c>
      <c r="D11" s="104">
        <v>0</v>
      </c>
      <c r="E11" s="104">
        <v>0</v>
      </c>
      <c r="F11" s="104">
        <v>0</v>
      </c>
      <c r="G11" s="104">
        <v>0</v>
      </c>
      <c r="H11" s="104">
        <v>0</v>
      </c>
      <c r="I11" s="104">
        <v>0</v>
      </c>
      <c r="J11" s="104">
        <v>0</v>
      </c>
      <c r="K11" s="104">
        <v>0</v>
      </c>
      <c r="L11" s="104">
        <v>0</v>
      </c>
      <c r="M11" s="104">
        <v>0</v>
      </c>
      <c r="N11" s="104">
        <v>0</v>
      </c>
      <c r="O11" s="104">
        <v>0</v>
      </c>
      <c r="P11" s="104">
        <v>0</v>
      </c>
      <c r="Q11" s="104">
        <v>0</v>
      </c>
      <c r="R11" s="104">
        <v>0</v>
      </c>
      <c r="S11" s="104">
        <v>0</v>
      </c>
      <c r="T11" s="104">
        <v>0</v>
      </c>
      <c r="U11" s="104">
        <v>0</v>
      </c>
      <c r="V11" s="104">
        <v>0</v>
      </c>
      <c r="W11" s="104">
        <v>0</v>
      </c>
      <c r="X11" s="104">
        <v>0</v>
      </c>
      <c r="Y11" s="104">
        <v>0</v>
      </c>
      <c r="Z11" s="104">
        <v>0</v>
      </c>
      <c r="AA11" s="104">
        <v>0</v>
      </c>
      <c r="AB11" s="104">
        <v>0</v>
      </c>
      <c r="AC11" s="104">
        <v>0</v>
      </c>
      <c r="AD11" s="104">
        <v>0</v>
      </c>
      <c r="AE11" s="104">
        <v>0</v>
      </c>
      <c r="AF11" s="104">
        <v>0</v>
      </c>
      <c r="AG11" s="104">
        <v>0</v>
      </c>
      <c r="AH11" s="104">
        <v>0</v>
      </c>
      <c r="AI11" s="104">
        <v>0</v>
      </c>
      <c r="AJ11" s="104">
        <v>0</v>
      </c>
      <c r="AK11" s="104">
        <v>0</v>
      </c>
      <c r="AL11" s="104">
        <v>0</v>
      </c>
      <c r="AM11" s="104">
        <v>0</v>
      </c>
      <c r="AN11" s="104">
        <v>0</v>
      </c>
      <c r="AO11" s="104">
        <v>0</v>
      </c>
      <c r="AP11" s="104">
        <v>0</v>
      </c>
      <c r="AQ11" s="104">
        <v>0</v>
      </c>
    </row>
    <row r="12" spans="1:43">
      <c r="A12" s="104">
        <v>0</v>
      </c>
      <c r="B12" s="104">
        <v>0</v>
      </c>
      <c r="C12" s="104">
        <v>0</v>
      </c>
      <c r="D12" s="104">
        <v>0</v>
      </c>
      <c r="E12" s="104">
        <v>0</v>
      </c>
      <c r="F12" s="104">
        <v>0</v>
      </c>
      <c r="G12" s="104">
        <v>0</v>
      </c>
      <c r="H12" s="104">
        <v>0</v>
      </c>
      <c r="I12" s="104">
        <v>0</v>
      </c>
      <c r="J12" s="104">
        <v>0</v>
      </c>
      <c r="K12" s="104">
        <v>0</v>
      </c>
      <c r="L12" s="104">
        <v>0</v>
      </c>
      <c r="M12" s="104">
        <v>0</v>
      </c>
      <c r="N12" s="104">
        <v>0</v>
      </c>
      <c r="O12" s="104">
        <v>0</v>
      </c>
      <c r="P12" s="104">
        <v>0</v>
      </c>
      <c r="Q12" s="104">
        <v>0</v>
      </c>
      <c r="R12" s="104">
        <v>0</v>
      </c>
      <c r="S12" s="104">
        <v>0</v>
      </c>
      <c r="T12" s="104">
        <v>0</v>
      </c>
      <c r="U12" s="104">
        <v>0</v>
      </c>
      <c r="V12" s="104">
        <v>0</v>
      </c>
      <c r="W12" s="104">
        <v>0</v>
      </c>
      <c r="X12" s="104">
        <v>0</v>
      </c>
      <c r="Y12" s="104">
        <v>0</v>
      </c>
      <c r="Z12" s="104">
        <v>0</v>
      </c>
      <c r="AA12" s="104">
        <v>0</v>
      </c>
      <c r="AB12" s="104">
        <v>0</v>
      </c>
      <c r="AC12" s="104">
        <v>0</v>
      </c>
      <c r="AD12" s="104">
        <v>0</v>
      </c>
      <c r="AE12" s="104">
        <v>0</v>
      </c>
      <c r="AF12" s="104">
        <v>0</v>
      </c>
      <c r="AG12" s="104">
        <v>0</v>
      </c>
      <c r="AH12" s="104">
        <v>0</v>
      </c>
      <c r="AI12" s="104">
        <v>0</v>
      </c>
      <c r="AJ12" s="104">
        <v>0</v>
      </c>
      <c r="AK12" s="104">
        <v>0</v>
      </c>
      <c r="AL12" s="104">
        <v>0</v>
      </c>
      <c r="AM12" s="104">
        <v>0</v>
      </c>
      <c r="AN12" s="104">
        <v>0</v>
      </c>
      <c r="AO12" s="104">
        <v>0</v>
      </c>
      <c r="AP12" s="104">
        <v>0</v>
      </c>
      <c r="AQ12" s="104">
        <v>0</v>
      </c>
    </row>
    <row r="13" spans="1:43">
      <c r="A13" s="104">
        <v>0</v>
      </c>
      <c r="B13" s="104">
        <v>0</v>
      </c>
      <c r="C13" s="104">
        <v>0</v>
      </c>
      <c r="D13" s="104">
        <v>0</v>
      </c>
      <c r="E13" s="104">
        <v>0</v>
      </c>
      <c r="F13" s="104">
        <v>0</v>
      </c>
      <c r="G13" s="104">
        <v>0</v>
      </c>
      <c r="H13" s="104">
        <v>0</v>
      </c>
      <c r="I13" s="104">
        <v>0</v>
      </c>
      <c r="J13" s="104">
        <v>0</v>
      </c>
      <c r="K13" s="104">
        <v>0</v>
      </c>
      <c r="L13" s="104">
        <v>0</v>
      </c>
      <c r="M13" s="104">
        <v>0</v>
      </c>
      <c r="N13" s="104">
        <v>0</v>
      </c>
      <c r="O13" s="104">
        <v>0</v>
      </c>
      <c r="P13" s="104">
        <v>0</v>
      </c>
      <c r="Q13" s="104">
        <v>0</v>
      </c>
      <c r="R13" s="104">
        <v>0</v>
      </c>
      <c r="S13" s="104">
        <v>0</v>
      </c>
      <c r="T13" s="104">
        <v>0</v>
      </c>
      <c r="U13" s="104">
        <v>0</v>
      </c>
      <c r="V13" s="104">
        <v>0</v>
      </c>
      <c r="W13" s="104">
        <v>0</v>
      </c>
      <c r="X13" s="104">
        <v>0</v>
      </c>
      <c r="Y13" s="104">
        <v>0</v>
      </c>
      <c r="Z13" s="104">
        <v>0</v>
      </c>
      <c r="AA13" s="104">
        <v>0</v>
      </c>
      <c r="AB13" s="104">
        <v>0</v>
      </c>
      <c r="AC13" s="104">
        <v>0</v>
      </c>
      <c r="AD13" s="104">
        <v>0</v>
      </c>
      <c r="AE13" s="104">
        <v>0</v>
      </c>
      <c r="AF13" s="104">
        <v>0</v>
      </c>
      <c r="AG13" s="104">
        <v>0</v>
      </c>
      <c r="AH13" s="104">
        <v>0</v>
      </c>
      <c r="AI13" s="104">
        <v>0</v>
      </c>
      <c r="AJ13" s="104">
        <v>0</v>
      </c>
      <c r="AK13" s="104">
        <v>0</v>
      </c>
      <c r="AL13" s="104">
        <v>0</v>
      </c>
      <c r="AM13" s="104">
        <v>0</v>
      </c>
      <c r="AN13" s="104">
        <v>0</v>
      </c>
      <c r="AO13" s="104">
        <v>0</v>
      </c>
      <c r="AP13" s="104">
        <v>0</v>
      </c>
      <c r="AQ13" s="104">
        <v>0</v>
      </c>
    </row>
    <row r="14" spans="1:43">
      <c r="A14" s="104">
        <v>0</v>
      </c>
      <c r="B14" s="104">
        <v>0</v>
      </c>
      <c r="C14" s="104">
        <v>0</v>
      </c>
      <c r="D14" s="104">
        <v>0</v>
      </c>
      <c r="E14" s="104">
        <v>0</v>
      </c>
      <c r="F14" s="104">
        <v>0</v>
      </c>
      <c r="G14" s="104">
        <v>0</v>
      </c>
      <c r="H14" s="104">
        <v>0</v>
      </c>
      <c r="I14" s="104">
        <v>0</v>
      </c>
      <c r="J14" s="104">
        <v>0</v>
      </c>
      <c r="K14" s="104">
        <v>0</v>
      </c>
      <c r="L14" s="104">
        <v>0</v>
      </c>
      <c r="M14" s="104">
        <v>0</v>
      </c>
      <c r="N14" s="104">
        <v>0</v>
      </c>
      <c r="O14" s="104">
        <v>0</v>
      </c>
      <c r="P14" s="104">
        <v>0</v>
      </c>
      <c r="Q14" s="104">
        <v>0</v>
      </c>
      <c r="R14" s="104">
        <v>0</v>
      </c>
      <c r="S14" s="104">
        <v>0</v>
      </c>
      <c r="T14" s="104">
        <v>0</v>
      </c>
      <c r="U14" s="104">
        <v>0</v>
      </c>
      <c r="V14" s="104">
        <v>0</v>
      </c>
      <c r="W14" s="104">
        <v>0</v>
      </c>
      <c r="X14" s="104">
        <v>0</v>
      </c>
      <c r="Y14" s="104">
        <v>0</v>
      </c>
      <c r="Z14" s="104">
        <v>0</v>
      </c>
      <c r="AA14" s="104">
        <v>0</v>
      </c>
      <c r="AB14" s="104">
        <v>0</v>
      </c>
      <c r="AC14" s="104">
        <v>0</v>
      </c>
      <c r="AD14" s="104">
        <v>0</v>
      </c>
      <c r="AE14" s="104">
        <v>0</v>
      </c>
      <c r="AF14" s="104">
        <v>0</v>
      </c>
      <c r="AG14" s="104">
        <v>0</v>
      </c>
      <c r="AH14" s="104">
        <v>0</v>
      </c>
      <c r="AI14" s="104">
        <v>0</v>
      </c>
      <c r="AJ14" s="104">
        <v>0</v>
      </c>
      <c r="AK14" s="104">
        <v>0</v>
      </c>
      <c r="AL14" s="104">
        <v>0</v>
      </c>
      <c r="AM14" s="104">
        <v>0</v>
      </c>
      <c r="AN14" s="104">
        <v>0</v>
      </c>
      <c r="AO14" s="104">
        <v>0</v>
      </c>
      <c r="AP14" s="104">
        <v>0</v>
      </c>
      <c r="AQ14" s="104">
        <v>0</v>
      </c>
    </row>
    <row r="16" spans="1:43">
      <c r="A16" s="100" t="s">
        <v>189</v>
      </c>
    </row>
    <row r="17" spans="1:5">
      <c r="A17" s="101" t="str">
        <f>_xll.AspenTech.PME.ProcessData.Functions.GetCalculationValues("time,attribute","M710050020-0150-HHCC,M4710050020-0150-HHCC,M710050031-0150-HHCC,M4710050031-0150-HHCC","UBU,UBU,UBU,UBU","IP_MESVALOR,IP_MESVALOR,IP_MESVALOR,IP_MESVALOR",Dados_MES!$B$3,Dados_MES!$B$4,"2h",0,"",0,"1",0,1560,0,0,1,1,ADDRESS(ROW(Dados_MES!A17),COLUMN(Dados_MES!A17),1,,"Dados_MES"),"Dados_MES!A19",1)</f>
        <v>Success</v>
      </c>
    </row>
    <row r="18" spans="1:5" ht="45" customHeight="1">
      <c r="A18" s="102" t="s">
        <v>146</v>
      </c>
      <c r="B18" s="103" t="s">
        <v>190</v>
      </c>
      <c r="C18" s="103" t="s">
        <v>191</v>
      </c>
      <c r="D18" s="103" t="s">
        <v>192</v>
      </c>
      <c r="E18" s="103" t="s">
        <v>193</v>
      </c>
    </row>
    <row r="19" spans="1:5">
      <c r="A19" s="104">
        <f t="array" ref="A19:E24">_xll.AspenTech.PME.ProcessData.Functions.ShowCalculationValues(ADDRESS(ROW(Dados_MES!A17),COLUMN(Dados_MES!A17),1,,"Dados_MES"),Dados_MES!A17, 0)</f>
        <v>0</v>
      </c>
      <c r="B19" s="104">
        <v>0</v>
      </c>
      <c r="C19" s="104">
        <v>0</v>
      </c>
      <c r="D19" s="104">
        <v>0</v>
      </c>
      <c r="E19" s="104">
        <v>0</v>
      </c>
    </row>
    <row r="20" spans="1:5">
      <c r="A20" s="104">
        <v>0</v>
      </c>
      <c r="B20" s="104">
        <v>0</v>
      </c>
      <c r="C20" s="104">
        <v>0</v>
      </c>
      <c r="D20" s="104">
        <v>0</v>
      </c>
      <c r="E20" s="104">
        <v>0</v>
      </c>
    </row>
    <row r="21" spans="1:5">
      <c r="A21" s="104">
        <v>0</v>
      </c>
      <c r="B21" s="104">
        <v>0</v>
      </c>
      <c r="C21" s="104">
        <v>0</v>
      </c>
      <c r="D21" s="104">
        <v>0</v>
      </c>
      <c r="E21" s="104">
        <v>0</v>
      </c>
    </row>
    <row r="22" spans="1:5">
      <c r="A22" s="104">
        <v>0</v>
      </c>
      <c r="B22" s="104">
        <v>0</v>
      </c>
      <c r="C22" s="104">
        <v>0</v>
      </c>
      <c r="D22" s="104">
        <v>0</v>
      </c>
      <c r="E22" s="104">
        <v>0</v>
      </c>
    </row>
    <row r="23" spans="1:5">
      <c r="A23" s="104">
        <v>0</v>
      </c>
      <c r="B23" s="104">
        <v>0</v>
      </c>
      <c r="C23" s="104">
        <v>0</v>
      </c>
      <c r="D23" s="104">
        <v>0</v>
      </c>
      <c r="E23" s="104">
        <v>0</v>
      </c>
    </row>
    <row r="24" spans="1:5">
      <c r="A24" s="104">
        <v>0</v>
      </c>
      <c r="B24" s="104">
        <v>0</v>
      </c>
      <c r="C24" s="104">
        <v>0</v>
      </c>
      <c r="D24" s="104">
        <v>0</v>
      </c>
      <c r="E24" s="104">
        <v>0</v>
      </c>
    </row>
    <row r="26" spans="1:5">
      <c r="A26" s="100" t="s">
        <v>194</v>
      </c>
    </row>
    <row r="27" spans="1:5">
      <c r="A27" s="101" t="str">
        <f>_xll.AspenTech.PME.ProcessData.Functions.GetCalculationValues("time,attribute","306GERAL-FIT003-R,406-RITMO","UBU,UBU","IP_ANALOGMAP,IP_ANALOGMAP",Dados_MES!$B$3,Dados_MES!$B$4,"2h",0,"",0,"0",0,1560,0,0,1,1,ADDRESS(ROW(Dados_MES!A27),COLUMN(Dados_MES!A27),1,,"Dados_MES"),"Dados_MES!A29",1)</f>
        <v>Success</v>
      </c>
    </row>
    <row r="28" spans="1:5" ht="45" customHeight="1">
      <c r="A28" s="102" t="s">
        <v>146</v>
      </c>
      <c r="B28" s="103" t="s">
        <v>195</v>
      </c>
      <c r="C28" s="103" t="s">
        <v>196</v>
      </c>
    </row>
    <row r="29" spans="1:5">
      <c r="A29" s="104">
        <f t="array" ref="A29:C34">_xll.AspenTech.PME.ProcessData.Functions.ShowCalculationValues(ADDRESS(ROW(Dados_MES!A27),COLUMN(Dados_MES!A27),1,,"Dados_MES"),Dados_MES!A27, 0)</f>
        <v>0</v>
      </c>
      <c r="B29" s="104">
        <v>0</v>
      </c>
      <c r="C29" s="104">
        <v>0</v>
      </c>
    </row>
    <row r="30" spans="1:5">
      <c r="A30" s="104">
        <v>0</v>
      </c>
      <c r="B30" s="104">
        <v>0</v>
      </c>
      <c r="C30" s="104">
        <v>0</v>
      </c>
    </row>
    <row r="31" spans="1:5">
      <c r="A31" s="104">
        <v>0</v>
      </c>
      <c r="B31" s="104">
        <v>0</v>
      </c>
      <c r="C31" s="104">
        <v>0</v>
      </c>
    </row>
    <row r="32" spans="1:5">
      <c r="A32" s="104">
        <v>0</v>
      </c>
      <c r="B32" s="104">
        <v>0</v>
      </c>
      <c r="C32" s="104">
        <v>0</v>
      </c>
    </row>
    <row r="33" spans="1:3">
      <c r="A33" s="104">
        <v>0</v>
      </c>
      <c r="B33" s="104">
        <v>0</v>
      </c>
      <c r="C33" s="104">
        <v>0</v>
      </c>
    </row>
    <row r="34" spans="1:3">
      <c r="A34" s="104">
        <v>0</v>
      </c>
      <c r="B34" s="104">
        <v>0</v>
      </c>
      <c r="C34" s="104"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Mapa"/>
  <dimension ref="A1:Q56"/>
  <sheetViews>
    <sheetView showGridLines="0" workbookViewId="0"/>
  </sheetViews>
  <sheetFormatPr defaultRowHeight="15"/>
  <sheetData>
    <row r="1" spans="1:17">
      <c r="A1" t="s">
        <v>381</v>
      </c>
      <c r="B1" t="s">
        <v>402</v>
      </c>
      <c r="C1" t="s">
        <v>383</v>
      </c>
      <c r="D1" t="s">
        <v>130</v>
      </c>
      <c r="E1" t="s">
        <v>384</v>
      </c>
      <c r="G1" t="s">
        <v>519</v>
      </c>
      <c r="H1" t="s">
        <v>206</v>
      </c>
      <c r="I1" t="s">
        <v>520</v>
      </c>
      <c r="K1" t="s">
        <v>521</v>
      </c>
      <c r="L1" t="s">
        <v>522</v>
      </c>
      <c r="M1" t="s">
        <v>523</v>
      </c>
      <c r="N1" t="s">
        <v>524</v>
      </c>
      <c r="O1" t="s">
        <v>525</v>
      </c>
      <c r="P1" t="s">
        <v>526</v>
      </c>
      <c r="Q1" t="s">
        <v>527</v>
      </c>
    </row>
    <row r="2" spans="1:17">
      <c r="A2" t="s">
        <v>403</v>
      </c>
      <c r="B2" t="s">
        <v>404</v>
      </c>
      <c r="C2" t="s">
        <v>266</v>
      </c>
      <c r="D2" t="s">
        <v>404</v>
      </c>
      <c r="E2" t="s">
        <v>405</v>
      </c>
      <c r="G2">
        <v>1</v>
      </c>
      <c r="H2">
        <v>1</v>
      </c>
      <c r="I2">
        <v>12</v>
      </c>
      <c r="K2" t="s">
        <v>528</v>
      </c>
      <c r="L2" t="s">
        <v>529</v>
      </c>
      <c r="M2" t="s">
        <v>530</v>
      </c>
      <c r="N2" t="s">
        <v>531</v>
      </c>
      <c r="O2" t="s">
        <v>532</v>
      </c>
      <c r="P2" t="s">
        <v>533</v>
      </c>
      <c r="Q2">
        <v>43</v>
      </c>
    </row>
    <row r="3" spans="1:17">
      <c r="A3" t="s">
        <v>403</v>
      </c>
      <c r="B3" t="s">
        <v>404</v>
      </c>
      <c r="C3" t="s">
        <v>267</v>
      </c>
      <c r="D3" t="s">
        <v>404</v>
      </c>
      <c r="E3" t="s">
        <v>406</v>
      </c>
      <c r="G3">
        <v>1</v>
      </c>
      <c r="H3">
        <v>2</v>
      </c>
      <c r="I3">
        <v>13</v>
      </c>
      <c r="K3" t="s">
        <v>534</v>
      </c>
      <c r="L3" t="s">
        <v>107</v>
      </c>
      <c r="M3" t="s">
        <v>530</v>
      </c>
      <c r="N3" t="s">
        <v>535</v>
      </c>
      <c r="O3" t="s">
        <v>536</v>
      </c>
      <c r="P3" t="s">
        <v>537</v>
      </c>
      <c r="Q3">
        <v>5</v>
      </c>
    </row>
    <row r="4" spans="1:17">
      <c r="A4" t="s">
        <v>407</v>
      </c>
      <c r="B4" t="s">
        <v>404</v>
      </c>
      <c r="C4" t="s">
        <v>408</v>
      </c>
      <c r="D4" t="s">
        <v>404</v>
      </c>
      <c r="E4" t="s">
        <v>409</v>
      </c>
      <c r="G4">
        <v>2</v>
      </c>
      <c r="H4">
        <v>1</v>
      </c>
      <c r="I4">
        <v>15</v>
      </c>
      <c r="K4" t="s">
        <v>538</v>
      </c>
      <c r="L4" t="s">
        <v>539</v>
      </c>
      <c r="M4" t="s">
        <v>540</v>
      </c>
      <c r="N4" t="s">
        <v>541</v>
      </c>
      <c r="O4" t="s">
        <v>542</v>
      </c>
      <c r="P4" t="s">
        <v>543</v>
      </c>
      <c r="Q4">
        <v>3</v>
      </c>
    </row>
    <row r="5" spans="1:17">
      <c r="A5" t="s">
        <v>407</v>
      </c>
      <c r="B5" t="s">
        <v>404</v>
      </c>
      <c r="C5" t="s">
        <v>410</v>
      </c>
      <c r="D5" t="s">
        <v>404</v>
      </c>
      <c r="E5" t="s">
        <v>411</v>
      </c>
      <c r="G5">
        <v>2</v>
      </c>
      <c r="H5">
        <v>2</v>
      </c>
      <c r="I5">
        <v>16</v>
      </c>
    </row>
    <row r="6" spans="1:17">
      <c r="A6" t="s">
        <v>407</v>
      </c>
      <c r="B6" t="s">
        <v>404</v>
      </c>
      <c r="C6" t="s">
        <v>412</v>
      </c>
      <c r="D6" t="s">
        <v>404</v>
      </c>
      <c r="E6" t="s">
        <v>413</v>
      </c>
      <c r="G6">
        <v>3</v>
      </c>
      <c r="H6">
        <v>1</v>
      </c>
      <c r="I6">
        <v>17</v>
      </c>
    </row>
    <row r="7" spans="1:17">
      <c r="A7" t="s">
        <v>407</v>
      </c>
      <c r="B7" t="s">
        <v>404</v>
      </c>
      <c r="C7" t="s">
        <v>414</v>
      </c>
      <c r="D7" t="s">
        <v>404</v>
      </c>
      <c r="E7" t="s">
        <v>415</v>
      </c>
      <c r="G7">
        <v>3</v>
      </c>
      <c r="H7">
        <v>2</v>
      </c>
      <c r="I7">
        <v>18</v>
      </c>
    </row>
    <row r="8" spans="1:17">
      <c r="A8" t="s">
        <v>407</v>
      </c>
      <c r="B8" t="s">
        <v>404</v>
      </c>
      <c r="C8" t="s">
        <v>416</v>
      </c>
      <c r="D8" t="s">
        <v>404</v>
      </c>
      <c r="E8" t="s">
        <v>417</v>
      </c>
      <c r="G8">
        <v>4</v>
      </c>
      <c r="H8">
        <v>1</v>
      </c>
      <c r="I8">
        <v>19</v>
      </c>
    </row>
    <row r="9" spans="1:17">
      <c r="A9" t="s">
        <v>407</v>
      </c>
      <c r="B9" t="s">
        <v>404</v>
      </c>
      <c r="C9" t="s">
        <v>418</v>
      </c>
      <c r="D9" t="s">
        <v>404</v>
      </c>
      <c r="E9" t="s">
        <v>419</v>
      </c>
      <c r="G9">
        <v>4</v>
      </c>
      <c r="H9">
        <v>2</v>
      </c>
      <c r="I9">
        <v>20</v>
      </c>
    </row>
    <row r="10" spans="1:17">
      <c r="A10" t="s">
        <v>384</v>
      </c>
      <c r="B10" t="s">
        <v>404</v>
      </c>
      <c r="C10" t="s">
        <v>276</v>
      </c>
      <c r="D10" t="s">
        <v>404</v>
      </c>
      <c r="E10" t="s">
        <v>420</v>
      </c>
      <c r="G10">
        <v>5</v>
      </c>
      <c r="H10">
        <v>1</v>
      </c>
      <c r="I10">
        <v>21</v>
      </c>
    </row>
    <row r="11" spans="1:17">
      <c r="A11" t="s">
        <v>384</v>
      </c>
      <c r="B11" t="s">
        <v>404</v>
      </c>
      <c r="C11" t="s">
        <v>277</v>
      </c>
      <c r="D11" t="s">
        <v>404</v>
      </c>
      <c r="E11" t="s">
        <v>421</v>
      </c>
      <c r="G11">
        <v>5</v>
      </c>
      <c r="H11">
        <v>2</v>
      </c>
      <c r="I11">
        <v>22</v>
      </c>
    </row>
    <row r="12" spans="1:17">
      <c r="A12" t="s">
        <v>280</v>
      </c>
      <c r="B12" t="s">
        <v>422</v>
      </c>
      <c r="C12" t="s">
        <v>280</v>
      </c>
      <c r="D12" t="s">
        <v>404</v>
      </c>
      <c r="E12" t="s">
        <v>423</v>
      </c>
      <c r="G12">
        <v>6</v>
      </c>
      <c r="H12">
        <v>1</v>
      </c>
      <c r="I12">
        <v>23</v>
      </c>
    </row>
    <row r="13" spans="1:17">
      <c r="A13" t="s">
        <v>280</v>
      </c>
      <c r="B13" t="s">
        <v>422</v>
      </c>
      <c r="C13" t="s">
        <v>143</v>
      </c>
      <c r="D13" t="s">
        <v>404</v>
      </c>
      <c r="E13" t="s">
        <v>424</v>
      </c>
      <c r="G13">
        <v>6</v>
      </c>
      <c r="H13">
        <v>2</v>
      </c>
      <c r="I13">
        <v>24</v>
      </c>
    </row>
    <row r="14" spans="1:17">
      <c r="A14" t="s">
        <v>280</v>
      </c>
      <c r="B14" t="s">
        <v>422</v>
      </c>
      <c r="C14" t="s">
        <v>281</v>
      </c>
      <c r="D14" t="s">
        <v>404</v>
      </c>
      <c r="E14" t="s">
        <v>425</v>
      </c>
      <c r="G14">
        <v>7</v>
      </c>
      <c r="H14">
        <v>1</v>
      </c>
      <c r="I14">
        <v>26</v>
      </c>
    </row>
    <row r="15" spans="1:17">
      <c r="A15" t="s">
        <v>280</v>
      </c>
      <c r="B15" t="s">
        <v>422</v>
      </c>
      <c r="C15" t="s">
        <v>282</v>
      </c>
      <c r="D15" t="s">
        <v>404</v>
      </c>
      <c r="E15" t="s">
        <v>426</v>
      </c>
      <c r="G15">
        <v>7</v>
      </c>
      <c r="H15">
        <v>2</v>
      </c>
      <c r="I15">
        <v>27</v>
      </c>
    </row>
    <row r="16" spans="1:17">
      <c r="A16" t="s">
        <v>280</v>
      </c>
      <c r="B16" t="s">
        <v>427</v>
      </c>
      <c r="C16" t="s">
        <v>280</v>
      </c>
      <c r="D16" t="s">
        <v>404</v>
      </c>
      <c r="E16" t="s">
        <v>428</v>
      </c>
      <c r="G16">
        <v>8</v>
      </c>
      <c r="H16">
        <v>1</v>
      </c>
      <c r="I16">
        <v>28</v>
      </c>
    </row>
    <row r="17" spans="1:9">
      <c r="A17" t="s">
        <v>280</v>
      </c>
      <c r="B17" t="s">
        <v>427</v>
      </c>
      <c r="C17" t="s">
        <v>143</v>
      </c>
      <c r="D17" t="s">
        <v>404</v>
      </c>
      <c r="E17" t="s">
        <v>429</v>
      </c>
      <c r="G17">
        <v>8</v>
      </c>
      <c r="H17">
        <v>2</v>
      </c>
      <c r="I17">
        <v>29</v>
      </c>
    </row>
    <row r="18" spans="1:9">
      <c r="A18" t="s">
        <v>280</v>
      </c>
      <c r="B18" t="s">
        <v>427</v>
      </c>
      <c r="C18" t="s">
        <v>281</v>
      </c>
      <c r="D18" t="s">
        <v>404</v>
      </c>
      <c r="E18" t="s">
        <v>430</v>
      </c>
      <c r="G18">
        <v>9</v>
      </c>
      <c r="H18">
        <v>1</v>
      </c>
      <c r="I18">
        <v>30</v>
      </c>
    </row>
    <row r="19" spans="1:9">
      <c r="A19" t="s">
        <v>280</v>
      </c>
      <c r="B19" t="s">
        <v>427</v>
      </c>
      <c r="C19" t="s">
        <v>282</v>
      </c>
      <c r="D19" t="s">
        <v>404</v>
      </c>
      <c r="E19" t="s">
        <v>431</v>
      </c>
      <c r="G19">
        <v>9</v>
      </c>
      <c r="H19">
        <v>2</v>
      </c>
      <c r="I19">
        <v>31</v>
      </c>
    </row>
    <row r="20" spans="1:9">
      <c r="A20" t="s">
        <v>287</v>
      </c>
      <c r="B20" t="s">
        <v>432</v>
      </c>
      <c r="C20" t="s">
        <v>433</v>
      </c>
      <c r="D20" t="s">
        <v>434</v>
      </c>
      <c r="E20" t="s">
        <v>435</v>
      </c>
      <c r="G20">
        <v>10</v>
      </c>
      <c r="H20">
        <v>1</v>
      </c>
      <c r="I20">
        <v>33</v>
      </c>
    </row>
    <row r="21" spans="1:9">
      <c r="A21" t="s">
        <v>287</v>
      </c>
      <c r="B21" t="s">
        <v>436</v>
      </c>
      <c r="C21" t="s">
        <v>437</v>
      </c>
      <c r="D21" t="s">
        <v>438</v>
      </c>
      <c r="E21" t="s">
        <v>439</v>
      </c>
      <c r="G21">
        <v>10</v>
      </c>
      <c r="H21">
        <v>2</v>
      </c>
      <c r="I21">
        <v>34</v>
      </c>
    </row>
    <row r="22" spans="1:9">
      <c r="A22" t="s">
        <v>287</v>
      </c>
      <c r="B22" t="s">
        <v>440</v>
      </c>
      <c r="C22" t="s">
        <v>441</v>
      </c>
      <c r="D22" t="s">
        <v>442</v>
      </c>
      <c r="E22" t="s">
        <v>443</v>
      </c>
      <c r="G22">
        <v>11</v>
      </c>
      <c r="H22">
        <v>1</v>
      </c>
      <c r="I22">
        <v>35</v>
      </c>
    </row>
    <row r="23" spans="1:9">
      <c r="A23" t="s">
        <v>287</v>
      </c>
      <c r="B23" t="s">
        <v>444</v>
      </c>
      <c r="C23" t="s">
        <v>445</v>
      </c>
      <c r="D23" t="s">
        <v>446</v>
      </c>
      <c r="E23" t="s">
        <v>447</v>
      </c>
      <c r="G23">
        <v>11</v>
      </c>
      <c r="H23">
        <v>2</v>
      </c>
      <c r="I23">
        <v>36</v>
      </c>
    </row>
    <row r="24" spans="1:9">
      <c r="A24" t="s">
        <v>287</v>
      </c>
      <c r="B24" t="s">
        <v>448</v>
      </c>
      <c r="C24" t="s">
        <v>449</v>
      </c>
      <c r="D24" t="s">
        <v>450</v>
      </c>
      <c r="E24" t="s">
        <v>451</v>
      </c>
      <c r="G24">
        <v>12</v>
      </c>
      <c r="H24">
        <v>1</v>
      </c>
      <c r="I24">
        <v>37</v>
      </c>
    </row>
    <row r="25" spans="1:9">
      <c r="A25" t="s">
        <v>287</v>
      </c>
      <c r="B25" t="s">
        <v>452</v>
      </c>
      <c r="C25" t="s">
        <v>453</v>
      </c>
      <c r="D25" t="s">
        <v>454</v>
      </c>
      <c r="E25" t="s">
        <v>455</v>
      </c>
      <c r="G25">
        <v>12</v>
      </c>
      <c r="H25">
        <v>2</v>
      </c>
      <c r="I25">
        <v>38</v>
      </c>
    </row>
    <row r="26" spans="1:9">
      <c r="A26" t="s">
        <v>287</v>
      </c>
      <c r="B26" t="s">
        <v>456</v>
      </c>
      <c r="C26" t="s">
        <v>457</v>
      </c>
      <c r="D26" t="s">
        <v>458</v>
      </c>
      <c r="E26" t="s">
        <v>459</v>
      </c>
      <c r="G26">
        <v>13</v>
      </c>
      <c r="H26">
        <v>1</v>
      </c>
      <c r="I26">
        <v>39</v>
      </c>
    </row>
    <row r="27" spans="1:9">
      <c r="A27" t="s">
        <v>287</v>
      </c>
      <c r="B27" t="s">
        <v>460</v>
      </c>
      <c r="C27" t="s">
        <v>461</v>
      </c>
      <c r="D27" t="s">
        <v>462</v>
      </c>
      <c r="E27" t="s">
        <v>463</v>
      </c>
      <c r="G27">
        <v>13</v>
      </c>
      <c r="H27">
        <v>2</v>
      </c>
      <c r="I27">
        <v>40</v>
      </c>
    </row>
    <row r="28" spans="1:9">
      <c r="A28" t="s">
        <v>287</v>
      </c>
      <c r="B28" t="s">
        <v>464</v>
      </c>
      <c r="C28" t="s">
        <v>465</v>
      </c>
      <c r="D28" t="s">
        <v>466</v>
      </c>
      <c r="E28" t="s">
        <v>467</v>
      </c>
      <c r="G28">
        <v>14</v>
      </c>
      <c r="H28">
        <v>1</v>
      </c>
      <c r="I28">
        <v>41</v>
      </c>
    </row>
    <row r="29" spans="1:9">
      <c r="A29" t="s">
        <v>287</v>
      </c>
      <c r="B29" t="s">
        <v>468</v>
      </c>
      <c r="C29" t="s">
        <v>469</v>
      </c>
      <c r="D29" t="s">
        <v>470</v>
      </c>
      <c r="E29" t="s">
        <v>471</v>
      </c>
      <c r="G29">
        <v>14</v>
      </c>
      <c r="H29">
        <v>2</v>
      </c>
      <c r="I29">
        <v>42</v>
      </c>
    </row>
    <row r="30" spans="1:9">
      <c r="A30" t="s">
        <v>287</v>
      </c>
      <c r="B30" t="s">
        <v>472</v>
      </c>
      <c r="C30" t="s">
        <v>473</v>
      </c>
      <c r="D30" t="s">
        <v>474</v>
      </c>
      <c r="E30" t="s">
        <v>475</v>
      </c>
      <c r="G30">
        <v>15</v>
      </c>
      <c r="H30">
        <v>1</v>
      </c>
      <c r="I30">
        <v>44</v>
      </c>
    </row>
    <row r="31" spans="1:9">
      <c r="A31" t="s">
        <v>287</v>
      </c>
      <c r="B31" t="s">
        <v>476</v>
      </c>
      <c r="C31" t="s">
        <v>477</v>
      </c>
      <c r="D31" t="s">
        <v>478</v>
      </c>
      <c r="E31" t="s">
        <v>479</v>
      </c>
      <c r="G31">
        <v>15</v>
      </c>
      <c r="H31">
        <v>2</v>
      </c>
      <c r="I31">
        <v>45</v>
      </c>
    </row>
    <row r="32" spans="1:9">
      <c r="A32" t="s">
        <v>287</v>
      </c>
      <c r="B32" t="s">
        <v>480</v>
      </c>
      <c r="C32" t="s">
        <v>481</v>
      </c>
      <c r="D32" t="s">
        <v>482</v>
      </c>
      <c r="E32" t="s">
        <v>483</v>
      </c>
      <c r="G32">
        <v>16</v>
      </c>
      <c r="H32">
        <v>1</v>
      </c>
      <c r="I32">
        <v>46</v>
      </c>
    </row>
    <row r="33" spans="1:9">
      <c r="A33" t="s">
        <v>287</v>
      </c>
      <c r="B33" t="s">
        <v>484</v>
      </c>
      <c r="C33" t="s">
        <v>485</v>
      </c>
      <c r="D33" t="s">
        <v>486</v>
      </c>
      <c r="E33" t="s">
        <v>487</v>
      </c>
      <c r="G33">
        <v>16</v>
      </c>
      <c r="H33">
        <v>2</v>
      </c>
      <c r="I33">
        <v>47</v>
      </c>
    </row>
    <row r="34" spans="1:9">
      <c r="A34" t="s">
        <v>288</v>
      </c>
      <c r="B34" t="s">
        <v>211</v>
      </c>
      <c r="C34" t="s">
        <v>488</v>
      </c>
      <c r="D34" t="s">
        <v>404</v>
      </c>
      <c r="E34" t="s">
        <v>489</v>
      </c>
      <c r="G34">
        <v>17</v>
      </c>
      <c r="H34">
        <v>1</v>
      </c>
      <c r="I34">
        <v>48</v>
      </c>
    </row>
    <row r="35" spans="1:9">
      <c r="A35" t="s">
        <v>288</v>
      </c>
      <c r="B35" t="s">
        <v>213</v>
      </c>
      <c r="C35" t="s">
        <v>488</v>
      </c>
      <c r="D35" t="s">
        <v>404</v>
      </c>
      <c r="E35" t="s">
        <v>490</v>
      </c>
      <c r="G35">
        <v>17</v>
      </c>
      <c r="H35">
        <v>2</v>
      </c>
      <c r="I35">
        <v>49</v>
      </c>
    </row>
    <row r="36" spans="1:9">
      <c r="A36" t="s">
        <v>288</v>
      </c>
      <c r="B36" t="s">
        <v>211</v>
      </c>
      <c r="C36" t="s">
        <v>491</v>
      </c>
      <c r="D36" t="s">
        <v>404</v>
      </c>
      <c r="E36" t="s">
        <v>492</v>
      </c>
      <c r="G36">
        <v>18</v>
      </c>
      <c r="H36">
        <v>1</v>
      </c>
      <c r="I36">
        <v>50</v>
      </c>
    </row>
    <row r="37" spans="1:9">
      <c r="A37" t="s">
        <v>288</v>
      </c>
      <c r="B37" t="s">
        <v>213</v>
      </c>
      <c r="C37" t="s">
        <v>491</v>
      </c>
      <c r="D37" t="s">
        <v>404</v>
      </c>
      <c r="E37" t="s">
        <v>493</v>
      </c>
      <c r="G37">
        <v>18</v>
      </c>
      <c r="H37">
        <v>2</v>
      </c>
      <c r="I37">
        <v>51</v>
      </c>
    </row>
    <row r="38" spans="1:9">
      <c r="A38" t="s">
        <v>288</v>
      </c>
      <c r="B38" t="s">
        <v>211</v>
      </c>
      <c r="C38" t="s">
        <v>494</v>
      </c>
      <c r="D38" t="s">
        <v>404</v>
      </c>
      <c r="E38" t="s">
        <v>495</v>
      </c>
      <c r="G38">
        <v>19</v>
      </c>
      <c r="H38">
        <v>1</v>
      </c>
      <c r="I38">
        <v>52</v>
      </c>
    </row>
    <row r="39" spans="1:9">
      <c r="A39" t="s">
        <v>288</v>
      </c>
      <c r="B39" t="s">
        <v>213</v>
      </c>
      <c r="C39" t="s">
        <v>494</v>
      </c>
      <c r="D39" t="s">
        <v>404</v>
      </c>
      <c r="E39" t="s">
        <v>496</v>
      </c>
      <c r="G39">
        <v>19</v>
      </c>
      <c r="H39">
        <v>2</v>
      </c>
      <c r="I39">
        <v>53</v>
      </c>
    </row>
    <row r="40" spans="1:9">
      <c r="A40" t="s">
        <v>288</v>
      </c>
      <c r="B40" t="s">
        <v>211</v>
      </c>
      <c r="C40" t="s">
        <v>497</v>
      </c>
      <c r="D40" t="s">
        <v>404</v>
      </c>
      <c r="E40" t="s">
        <v>498</v>
      </c>
      <c r="G40">
        <v>20</v>
      </c>
      <c r="H40">
        <v>1</v>
      </c>
      <c r="I40">
        <v>54</v>
      </c>
    </row>
    <row r="41" spans="1:9">
      <c r="A41" t="s">
        <v>288</v>
      </c>
      <c r="B41" t="s">
        <v>213</v>
      </c>
      <c r="C41" t="s">
        <v>497</v>
      </c>
      <c r="D41" t="s">
        <v>404</v>
      </c>
      <c r="E41" t="s">
        <v>499</v>
      </c>
      <c r="G41">
        <v>20</v>
      </c>
      <c r="H41">
        <v>2</v>
      </c>
      <c r="I41">
        <v>55</v>
      </c>
    </row>
    <row r="42" spans="1:9">
      <c r="A42" t="s">
        <v>500</v>
      </c>
      <c r="B42" t="s">
        <v>501</v>
      </c>
      <c r="C42" t="s">
        <v>315</v>
      </c>
      <c r="D42" t="s">
        <v>404</v>
      </c>
      <c r="E42" t="s">
        <v>502</v>
      </c>
      <c r="G42">
        <v>21</v>
      </c>
      <c r="H42">
        <v>1</v>
      </c>
      <c r="I42">
        <v>56</v>
      </c>
    </row>
    <row r="43" spans="1:9">
      <c r="A43" t="s">
        <v>500</v>
      </c>
      <c r="B43" t="s">
        <v>501</v>
      </c>
      <c r="C43" t="s">
        <v>310</v>
      </c>
      <c r="D43" t="s">
        <v>404</v>
      </c>
      <c r="E43" t="s">
        <v>503</v>
      </c>
      <c r="G43">
        <v>21</v>
      </c>
      <c r="H43">
        <v>2</v>
      </c>
      <c r="I43">
        <v>57</v>
      </c>
    </row>
    <row r="44" spans="1:9">
      <c r="A44" t="s">
        <v>500</v>
      </c>
      <c r="B44" t="s">
        <v>501</v>
      </c>
      <c r="C44" t="s">
        <v>316</v>
      </c>
      <c r="D44" t="s">
        <v>404</v>
      </c>
      <c r="E44" t="s">
        <v>504</v>
      </c>
      <c r="G44">
        <v>22</v>
      </c>
      <c r="H44">
        <v>1</v>
      </c>
      <c r="I44">
        <v>59</v>
      </c>
    </row>
    <row r="45" spans="1:9">
      <c r="A45" t="s">
        <v>500</v>
      </c>
      <c r="B45" t="s">
        <v>501</v>
      </c>
      <c r="C45" t="s">
        <v>143</v>
      </c>
      <c r="D45" t="s">
        <v>404</v>
      </c>
      <c r="E45" t="s">
        <v>505</v>
      </c>
      <c r="G45">
        <v>22</v>
      </c>
      <c r="H45">
        <v>2</v>
      </c>
      <c r="I45">
        <v>60</v>
      </c>
    </row>
    <row r="46" spans="1:9">
      <c r="A46" t="s">
        <v>500</v>
      </c>
      <c r="B46" t="s">
        <v>501</v>
      </c>
      <c r="C46" t="s">
        <v>281</v>
      </c>
      <c r="D46" t="s">
        <v>404</v>
      </c>
      <c r="E46" t="s">
        <v>506</v>
      </c>
      <c r="G46">
        <v>23</v>
      </c>
      <c r="H46">
        <v>1</v>
      </c>
      <c r="I46">
        <v>61</v>
      </c>
    </row>
    <row r="47" spans="1:9">
      <c r="A47" t="s">
        <v>500</v>
      </c>
      <c r="B47" t="s">
        <v>501</v>
      </c>
      <c r="C47" t="s">
        <v>317</v>
      </c>
      <c r="D47" t="s">
        <v>404</v>
      </c>
      <c r="E47" t="s">
        <v>507</v>
      </c>
      <c r="G47">
        <v>23</v>
      </c>
      <c r="H47">
        <v>2</v>
      </c>
      <c r="I47">
        <v>62</v>
      </c>
    </row>
    <row r="48" spans="1:9">
      <c r="A48" t="s">
        <v>500</v>
      </c>
      <c r="B48" t="s">
        <v>501</v>
      </c>
      <c r="C48" t="s">
        <v>318</v>
      </c>
      <c r="D48" t="s">
        <v>404</v>
      </c>
      <c r="E48" t="s">
        <v>508</v>
      </c>
      <c r="G48">
        <v>24</v>
      </c>
      <c r="H48">
        <v>1</v>
      </c>
      <c r="I48">
        <v>63</v>
      </c>
    </row>
    <row r="49" spans="1:9">
      <c r="A49" t="s">
        <v>500</v>
      </c>
      <c r="B49" t="s">
        <v>501</v>
      </c>
      <c r="C49" t="s">
        <v>319</v>
      </c>
      <c r="D49" t="s">
        <v>404</v>
      </c>
      <c r="E49" t="s">
        <v>509</v>
      </c>
      <c r="G49">
        <v>24</v>
      </c>
      <c r="H49">
        <v>2</v>
      </c>
      <c r="I49">
        <v>64</v>
      </c>
    </row>
    <row r="50" spans="1:9">
      <c r="A50" t="s">
        <v>500</v>
      </c>
      <c r="B50" t="s">
        <v>501</v>
      </c>
      <c r="C50" t="s">
        <v>320</v>
      </c>
      <c r="D50" t="s">
        <v>404</v>
      </c>
      <c r="E50" t="s">
        <v>510</v>
      </c>
    </row>
    <row r="51" spans="1:9">
      <c r="A51" t="s">
        <v>500</v>
      </c>
      <c r="B51" t="s">
        <v>501</v>
      </c>
      <c r="C51" t="s">
        <v>321</v>
      </c>
      <c r="D51" t="s">
        <v>404</v>
      </c>
      <c r="E51" t="s">
        <v>511</v>
      </c>
    </row>
    <row r="52" spans="1:9">
      <c r="A52" t="s">
        <v>500</v>
      </c>
      <c r="B52" t="s">
        <v>501</v>
      </c>
      <c r="C52" t="s">
        <v>322</v>
      </c>
      <c r="D52" t="s">
        <v>404</v>
      </c>
      <c r="E52" t="s">
        <v>512</v>
      </c>
    </row>
    <row r="53" spans="1:9">
      <c r="A53" t="s">
        <v>500</v>
      </c>
      <c r="B53" t="s">
        <v>501</v>
      </c>
      <c r="C53" t="s">
        <v>323</v>
      </c>
      <c r="D53" t="s">
        <v>404</v>
      </c>
      <c r="E53" t="s">
        <v>513</v>
      </c>
    </row>
    <row r="54" spans="1:9">
      <c r="A54" t="s">
        <v>500</v>
      </c>
      <c r="B54" t="s">
        <v>501</v>
      </c>
      <c r="C54" t="s">
        <v>282</v>
      </c>
      <c r="D54" t="s">
        <v>404</v>
      </c>
      <c r="E54" t="s">
        <v>514</v>
      </c>
    </row>
    <row r="55" spans="1:9">
      <c r="A55" t="s">
        <v>384</v>
      </c>
      <c r="B55" t="s">
        <v>404</v>
      </c>
      <c r="C55" t="s">
        <v>378</v>
      </c>
      <c r="D55" t="s">
        <v>404</v>
      </c>
      <c r="E55" t="s">
        <v>515</v>
      </c>
    </row>
    <row r="56" spans="1:9">
      <c r="A56" t="s">
        <v>516</v>
      </c>
      <c r="B56" t="s">
        <v>404</v>
      </c>
      <c r="C56" t="s">
        <v>517</v>
      </c>
      <c r="D56" t="s">
        <v>404</v>
      </c>
      <c r="E56" t="s">
        <v>518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40</vt:i4>
      </vt:variant>
    </vt:vector>
  </HeadingPairs>
  <TitlesOfParts>
    <vt:vector size="47" baseType="lpstr">
      <vt:lpstr>Painel</vt:lpstr>
      <vt:lpstr>Informativo</vt:lpstr>
      <vt:lpstr>Passagem de Turno</vt:lpstr>
      <vt:lpstr>Histórico</vt:lpstr>
      <vt:lpstr>Registro Passagem</vt:lpstr>
      <vt:lpstr>Configurações</vt:lpstr>
      <vt:lpstr>Dados_MES</vt:lpstr>
      <vt:lpstr>cfgFonte</vt:lpstr>
      <vt:lpstr>cfgFormatoData</vt:lpstr>
      <vt:lpstr>cfgInicioDia</vt:lpstr>
      <vt:lpstr>cfgServidor</vt:lpstr>
      <vt:lpstr>cfgTimeout</vt:lpstr>
      <vt:lpstr>iAreaImagem</vt:lpstr>
      <vt:lpstr>iAtualizado</vt:lpstr>
      <vt:lpstr>iData</vt:lpstr>
      <vt:lpstr>iFonte</vt:lpstr>
      <vt:lpstr>iHoras</vt:lpstr>
      <vt:lpstr>iObs</vt:lpstr>
      <vt:lpstr>iPeriodo</vt:lpstr>
      <vt:lpstr>iResp</vt:lpstr>
      <vt:lpstr>iTurma</vt:lpstr>
      <vt:lpstr>iTurno</vt:lpstr>
      <vt:lpstr>lstAgreg</vt:lpstr>
      <vt:lpstr>lstFonte</vt:lpstr>
      <vt:lpstr>lstFormatoData</vt:lpstr>
      <vt:lpstr>lstParam</vt:lpstr>
      <vt:lpstr>lstSN</vt:lpstr>
      <vt:lpstr>lstStatus</vt:lpstr>
      <vt:lpstr>lstTipo</vt:lpstr>
      <vt:lpstr>lstTurma</vt:lpstr>
      <vt:lpstr>lstTurno</vt:lpstr>
      <vt:lpstr>mesFim</vt:lpstr>
      <vt:lpstr>mesInicio</vt:lpstr>
      <vt:lpstr>pData</vt:lpstr>
      <vt:lpstr>pResp</vt:lpstr>
      <vt:lpstr>Configurações!Print_Area</vt:lpstr>
      <vt:lpstr>Informativo!Print_Area</vt:lpstr>
      <vt:lpstr>'Passagem de Turno'!Print_Area</vt:lpstr>
      <vt:lpstr>ptAreaImagem</vt:lpstr>
      <vt:lpstr>ptObs</vt:lpstr>
      <vt:lpstr>ptPendencias</vt:lpstr>
      <vt:lpstr>ptRecebe</vt:lpstr>
      <vt:lpstr>ptRecebidoPor</vt:lpstr>
      <vt:lpstr>ptStatus</vt:lpstr>
      <vt:lpstr>ptTestes</vt:lpstr>
      <vt:lpstr>pTurma</vt:lpstr>
      <vt:lpstr>pTurno</vt:lpstr>
    </vt:vector>
  </TitlesOfParts>
  <Company>Samarco - Laboratório Físico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Informativo de Qualidade e Passagem de Turno - US3/US4</dc:title>
  <dc:creator/>
  <cp:lastModifiedBy/>
  <dcterms:created xsi:type="dcterms:W3CDTF">2026-09-29T14:23:08Z</dcterms:created>
  <dcterms:modified xsi:type="dcterms:W3CDTF">2026-09-29T14:23:08Z</dcterms:modified>
</cp:coreProperties>
</file>