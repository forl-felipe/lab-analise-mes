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r:id="rId5"/>
    <sheet name="Tendências" sheetId="6" r:id="rId6"/>
    <sheet name="Configurações" sheetId="7" r:id="rId7"/>
    <sheet name="Dados_MES" sheetId="8" state="hidden" r:id="rId8"/>
    <sheet name="_Mapa" sheetId="9" state="veryHidden" r:id="rId9"/>
  </sheets>
  <definedNames>
    <definedName name="_xlnm._FilterDatabase" localSheetId="3" hidden="1">Histórico!$A$6:$BE$20001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'Informativo'!$B$2:$P$68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'Informativo'!$B$63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ogoTendencias">'Tendências'!$B$2</definedName>
    <definedName name="lstAgreg">'Configurações'!$V$7:$V$9</definedName>
    <definedName name="lstFonte">'Configurações'!$W$7:$W$8</definedName>
    <definedName name="lstParam">'Configurações'!$C$18:$C$39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Consulta">'Dados_MES'!$A$9</definedName>
    <definedName name="mesFim">'Dados_MES'!$B$4</definedName>
    <definedName name="mesInicio">'Dados_MES'!$B$3</definedName>
    <definedName name="mesSaida">'Dados_MES'!$A$11:$AS$16</definedName>
    <definedName name="pData">'Painel'!$B$8</definedName>
    <definedName name="pResp">'Painel'!$K$8</definedName>
    <definedName name="_xlnm.Print_Area" localSheetId="6">Configurações!$B$2:$P$41</definedName>
    <definedName name="_xlnm.Print_Area" localSheetId="1">Informativo!$B$2:$P$68</definedName>
    <definedName name="_xlnm.Print_Area" localSheetId="2">'Passagem de Turno'!$B$2:$M$78</definedName>
    <definedName name="_xlnm.Print_Area" localSheetId="5">Tendências!$B$2:$Q$45</definedName>
    <definedName name="ptObs">'Passagem de Turno'!$B$74</definedName>
    <definedName name="ptPendencias">'Passagem de Turno'!$C$29</definedName>
    <definedName name="ptPendRecebidas">'Passagem de Turno'!$C$23</definedName>
    <definedName name="ptRecebe">'Passagem de Turno'!$H$7</definedName>
    <definedName name="ptRecebidoPor">'Passagem de Turno'!$J$7</definedName>
    <definedName name="ptSegFlag">'Passagem de Turno'!$C$17</definedName>
    <definedName name="ptSeguranca">'Passagem de Turno'!$C$18</definedName>
    <definedName name="ptStatus">'Passagem de Turno'!$F$41:$F$54</definedName>
    <definedName name="ptTestes">'Passagem de Turno'!$C$26</definedName>
    <definedName name="pTurma">'Painel'!$I$8</definedName>
    <definedName name="pTurno">'Painel'!$E$8</definedName>
    <definedName name="tdParam">'Tendências'!$C$6</definedName>
  </definedNames>
  <calcPr calcId="124519" fullCalcOnLoad="1"/>
</workbook>
</file>

<file path=xl/sharedStrings.xml><?xml version="1.0" encoding="utf-8"?>
<sst xmlns="http://schemas.openxmlformats.org/spreadsheetml/2006/main" count="1176" uniqueCount="591">
  <si>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</si>
  <si>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</si>
  <si>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</si>
  <si>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</si>
  <si>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</si>
  <si>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</si>
  <si>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</si>
  <si>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</si>
  <si>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</si>
  <si>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Nome do servidor IP.21 usado nas fórmulas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</si>
  <si>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</si>
  <si>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</si>
  <si>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</si>
  <si>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</si>
  <si>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</si>
  <si>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</si>
  <si>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</si>
  <si>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</si>
  <si>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</si>
  <si>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</si>
  <si>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</si>
  <si>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</si>
  <si>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</si>
  <si>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</si>
  <si>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</si>
  <si>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</si>
  <si>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</si>
  <si>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</si>
  <si>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</si>
  <si>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</si>
  <si>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</si>
  <si>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</si>
  <si>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</si>
  <si>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</si>
  <si>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</si>
  <si>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</si>
  <si>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</si>
  <si>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</si>
  <si>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</si>
  <si>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</si>
  <si>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</si>
  <si>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</si>
  <si>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</si>
  <si>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</si>
  <si>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</si>
  <si>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</si>
  <si>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</si>
  <si>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</si>
  <si>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</si>
  <si>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</si>
  <si>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</si>
  <si>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</si>
  <si>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</si>
  <si>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</si>
  <si>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</si>
  <si>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</si>
  <si>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</si>
  <si>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</si>
  <si>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</si>
  <si>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</si>
  <si>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</si>
  <si>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</si>
  <si>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</si>
  <si>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</si>
  <si>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</si>
  <si>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</si>
  <si>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</si>
  <si>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</si>
  <si>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</si>
  <si>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</si>
  <si>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</si>
  <si>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</si>
  <si>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</si>
  <si>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</si>
  <si>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</si>
  <si>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</si>
  <si>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</si>
  <si>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</si>
  <si>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</si>
  <si>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</si>
  <si>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</si>
  <si>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</si>
  <si>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</si>
  <si>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</si>
  <si>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</si>
  <si>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</si>
  <si>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</si>
  <si>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</si>
  <si>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</si>
  <si>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</si>
  <si>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</si>
  <si>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</si>
  <si>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</si>
  <si>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</si>
  <si>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</si>
  <si>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</si>
  <si>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</si>
  <si>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</si>
  <si>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</si>
  <si>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</si>
  <si>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</si>
  <si>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</si>
  <si>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</si>
  <si>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</si>
  <si>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</si>
  <si>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</si>
  <si>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</si>
  <si>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</si>
  <si>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</si>
  <si>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</si>
  <si>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</si>
  <si>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</si>
  <si>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</si>
  <si>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</si>
  <si>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</si>
  <si>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</t>
  </si>
  <si>
    <t>t/dia</t>
  </si>
  <si>
    <t>Último valor</t>
  </si>
  <si>
    <t>M710050031-0150-HHCC</t>
  </si>
  <si>
    <t>M4710050031-0150-HHCC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</si>
  <si>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</si>
  <si>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</si>
  <si>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</si>
  <si>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</si>
  <si>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</si>
  <si>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</si>
  <si>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</si>
  <si>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</si>
  <si>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</si>
  <si>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</si>
  <si>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</si>
  <si>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</si>
  <si>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</si>
  <si>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</si>
  <si>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</si>
  <si>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</si>
  <si>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</si>
  <si>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</si>
  <si>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Dados brutos do MES (Aspen IP.21) - não editar</t>
  </si>
  <si>
    <t>Início</t>
  </si>
  <si>
    <t/>
  </si>
  <si>
    <t>Fim</t>
  </si>
  <si>
    <t>Tags</t>
  </si>
  <si>
    <t>Servidores</t>
  </si>
  <si>
    <t>Tipos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</si>
  <si>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</si>
  <si>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</si>
  <si>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</si>
  <si>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</si>
  <si>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</si>
  <si>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</si>
  <si>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</si>
  <si>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</si>
  <si>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</si>
  <si>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</si>
  <si>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</si>
  <si>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</si>
  <si>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</si>
  <si>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</si>
  <si>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</si>
  <si>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</si>
  <si>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</si>
  <si>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</si>
  <si>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</si>
  <si>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</si>
  <si>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</si>
  <si>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</si>
  <si>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</si>
  <si>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</si>
  <si>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</si>
  <si>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</si>
  <si>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</si>
  <si>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</si>
  <si>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</si>
  <si>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</si>
  <si>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</si>
  <si>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</si>
  <si>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</si>
  <si>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</si>
  <si>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</si>
  <si>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</si>
  <si>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</si>
  <si>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</si>
  <si>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</si>
  <si>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</si>
  <si>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</si>
  <si>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Produção</t>
  </si>
  <si>
    <t>P21 US4 · Produção</t>
  </si>
  <si>
    <t>P22 US3 · Ritmo</t>
  </si>
  <si>
    <t>P22 US4 · Ritmo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</si>
  <si>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</si>
  <si>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</si>
  <si>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</si>
  <si>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</si>
  <si>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</si>
  <si>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</si>
  <si>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</si>
  <si>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</si>
  <si>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</si>
  <si>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</si>
  <si>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</si>
  <si>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</si>
  <si>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</si>
  <si>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</si>
  <si>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</si>
  <si>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</si>
  <si>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</si>
  <si>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</si>
  <si>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</si>
  <si>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</si>
  <si>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</si>
  <si>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</si>
  <si>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</si>
  <si>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</si>
  <si>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</si>
  <si>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</si>
  <si>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</si>
  <si>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</si>
  <si>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</si>
  <si>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</si>
  <si>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</si>
  <si>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</si>
  <si>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</si>
  <si>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</si>
  <si>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</si>
  <si>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</si>
  <si>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</si>
  <si>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</si>
  <si>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</si>
  <si>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</si>
  <si>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</si>
  <si>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</si>
  <si>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</si>
  <si>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</si>
  <si>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</si>
  <si>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</si>
  <si>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</si>
  <si>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</si>
  <si>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</si>
  <si>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</si>
  <si>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</si>
  <si>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</si>
  <si>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</si>
  <si>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</si>
  <si>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</si>
  <si>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</si>
  <si>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</si>
  <si>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</si>
  <si>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</si>
  <si>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</si>
  <si>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PRODUÇÃO</t>
  </si>
  <si>
    <t>P21U3</t>
  </si>
  <si>
    <t>P21U4</t>
  </si>
  <si>
    <t>P22U3</t>
  </si>
  <si>
    <t>P22U4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</si>
  <si>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</si>
  <si>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</si>
  <si>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</si>
  <si>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</si>
  <si>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</si>
  <si>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</si>
  <si>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</si>
  <si>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</si>
  <si>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</si>
  <si>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 / Supervisor</t>
  </si>
  <si>
    <t>Laboratorista 01</t>
  </si>
  <si>
    <t>Amostrador 01</t>
  </si>
  <si>
    <t>Laboratorista 02</t>
  </si>
  <si>
    <t>Amostrador 02</t>
  </si>
  <si>
    <t>Laboratorista 03</t>
  </si>
  <si>
    <t>LTF 01</t>
  </si>
  <si>
    <t>Laboratorista 04</t>
  </si>
  <si>
    <t>LTF 02</t>
  </si>
  <si>
    <t>Apoio / T03</t>
  </si>
  <si>
    <t>2.  SEGURANÇA (SSMA)</t>
  </si>
  <si>
    <t>Houve ocorrência de segurança?</t>
  </si>
  <si>
    <t>Relate abaixo acidentes, incidentes, desvios ou condições inseguras.</t>
  </si>
  <si>
    <t>Descrição</t>
  </si>
  <si>
    <t>3.  TESTES E PENDÊNCIAS</t>
  </si>
  <si>
    <t>Pendências recebidas do turno anterior</t>
  </si>
  <si>
    <t>Testes realizados no turno</t>
  </si>
  <si>
    <t>Pendências / testes a realizar (para o próximo turno)</t>
  </si>
  <si>
    <t>4.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</si>
  <si>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</si>
  <si>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</si>
  <si>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</si>
  <si>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</si>
  <si>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</si>
  <si>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</si>
  <si>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</si>
  <si>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5.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</si>
  <si>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</si>
  <si>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</si>
  <si>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</si>
  <si>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</si>
  <si>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</si>
  <si>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</si>
  <si>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</si>
  <si>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</si>
  <si>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</si>
  <si>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</si>
  <si>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</si>
  <si>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</si>
  <si>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</si>
  <si>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</si>
  <si>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</si>
  <si>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</si>
  <si>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</si>
  <si>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</si>
  <si>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</si>
  <si>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</si>
  <si>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6.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</si>
  <si>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</si>
  <si>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</si>
  <si>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</si>
  <si>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</si>
  <si>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</si>
  <si>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</si>
  <si>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</si>
  <si>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</si>
  <si>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</si>
  <si>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</si>
  <si>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7.  EMBARQUES / CLIENTES</t>
  </si>
  <si>
    <t>Cliente</t>
  </si>
  <si>
    <t>Navio</t>
  </si>
  <si>
    <t>Qtd (t)</t>
  </si>
  <si>
    <t>Tamb. (%)</t>
  </si>
  <si>
    <t>Compr. (kgf)</t>
  </si>
  <si>
    <t>-6,3 mm (%)</t>
  </si>
  <si>
    <t>8.  OBSERVAÇÕES GERAIS</t>
  </si>
  <si>
    <t>Entregue por: ____________________________</t>
  </si>
  <si>
    <t>Recebido por: ____________________________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</si>
  <si>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</si>
  <si>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</si>
  <si>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</si>
  <si>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</si>
  <si>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</si>
  <si>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</si>
  <si>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</si>
  <si>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</si>
  <si>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</si>
  <si>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</si>
  <si>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</si>
  <si>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</si>
  <si>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</si>
  <si>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</si>
  <si>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</si>
  <si>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</si>
  <si>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</si>
  <si>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</si>
  <si>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</si>
  <si>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</si>
  <si>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</si>
  <si>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</si>
  <si>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</si>
  <si>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</si>
  <si>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</si>
  <si>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</si>
  <si>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</si>
  <si>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</si>
  <si>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</si>
  <si>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</si>
  <si>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</si>
  <si>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</si>
  <si>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</si>
  <si>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</si>
  <si>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</si>
  <si>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</si>
  <si>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</si>
  <si>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</si>
  <si>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</si>
  <si>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</si>
  <si>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</si>
  <si>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</si>
  <si>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</si>
  <si>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Produção · US3</t>
  </si>
  <si>
    <t>Produção · US4</t>
  </si>
  <si>
    <t>Ritmo · US3</t>
  </si>
  <si>
    <t>Ritmo · US4</t>
  </si>
  <si>
    <t>Equip. NÃO OK</t>
  </si>
  <si>
    <t>Ocorrência SSMA?</t>
  </si>
  <si>
    <t>Segurança (SSMA)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</si>
  <si>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</si>
  <si>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</si>
  <si>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</si>
  <si>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</si>
  <si>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</si>
  <si>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</si>
  <si>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</si>
  <si>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</si>
  <si>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</si>
  <si>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</si>
  <si>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Tendências por Parâmetro</t>
  </si>
  <si>
    <t>Últimos 30 turnos fechados  ·  Usina 3 x Usina 4</t>
  </si>
  <si>
    <t>Parâmetro:</t>
  </si>
  <si>
    <t>Estatística</t>
  </si>
  <si>
    <t>Nº de turnos</t>
  </si>
  <si>
    <t>Mínimo</t>
  </si>
  <si>
    <t>Máximo</t>
  </si>
  <si>
    <t>Desvio padrão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</si>
  <si>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</si>
  <si>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</si>
  <si>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</si>
  <si>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</si>
  <si>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</si>
  <si>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</si>
  <si>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</si>
  <si>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</si>
  <si>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</si>
  <si>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</si>
  <si>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</si>
  <si>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</si>
  <si>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</si>
  <si>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</si>
  <si>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</si>
  <si>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</si>
  <si>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</si>
  <si>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</si>
  <si>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>#ptRecebe</t>
  </si>
  <si>
    <t>#ptRecebidoPor</t>
  </si>
  <si>
    <t>Equipe</t>
  </si>
  <si>
    <t>@B10</t>
  </si>
  <si>
    <t>@C10</t>
  </si>
  <si>
    <t>@H10</t>
  </si>
  <si>
    <t>@J10</t>
  </si>
  <si>
    <t>@B11</t>
  </si>
  <si>
    <t>@C11</t>
  </si>
  <si>
    <t>@H11</t>
  </si>
  <si>
    <t>@J11</t>
  </si>
  <si>
    <t>@B12</t>
  </si>
  <si>
    <t>@C12</t>
  </si>
  <si>
    <t>@H12</t>
  </si>
  <si>
    <t>@J12</t>
  </si>
  <si>
    <t>@B13</t>
  </si>
  <si>
    <t>@C13</t>
  </si>
  <si>
    <t>@H13</t>
  </si>
  <si>
    <t>@J13</t>
  </si>
  <si>
    <t>@B14</t>
  </si>
  <si>
    <t>@C14</t>
  </si>
  <si>
    <t>@H14</t>
  </si>
  <si>
    <t>@J14</t>
  </si>
  <si>
    <t>Segurança</t>
  </si>
  <si>
    <t>Houve ocorrência?</t>
  </si>
  <si>
    <t>#ptSegFlag</t>
  </si>
  <si>
    <t>#ptSeguranca</t>
  </si>
  <si>
    <t>#ptPendRecebidas</t>
  </si>
  <si>
    <t>#ptTestes</t>
  </si>
  <si>
    <t>#ptPendencias</t>
  </si>
  <si>
    <t>@B35</t>
  </si>
  <si>
    <t>@C35</t>
  </si>
  <si>
    <t>@E35</t>
  </si>
  <si>
    <t>@G35</t>
  </si>
  <si>
    <t>@I35</t>
  </si>
  <si>
    <t>@B36</t>
  </si>
  <si>
    <t>@C36</t>
  </si>
  <si>
    <t>@E36</t>
  </si>
  <si>
    <t>@G36</t>
  </si>
  <si>
    <t>@I36</t>
  </si>
  <si>
    <t>@B37</t>
  </si>
  <si>
    <t>@C37</t>
  </si>
  <si>
    <t>@E37</t>
  </si>
  <si>
    <t>@G37</t>
  </si>
  <si>
    <t>@I37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</si>
  <si>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</si>
  <si>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</si>
  <si>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</si>
  <si>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</si>
  <si>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</si>
  <si>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</si>
  <si>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</si>
  <si>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</si>
  <si>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</si>
  <si>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</si>
  <si>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</si>
  <si>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</si>
  <si>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</si>
  <si>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</si>
  <si>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</si>
  <si>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</si>
  <si>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</si>
  <si>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</si>
  <si>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</si>
  <si>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</si>
  <si>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@B46</t>
  </si>
  <si>
    <t>@C46</t>
  </si>
  <si>
    <t>@F46</t>
  </si>
  <si>
    <t>@H46</t>
  </si>
  <si>
    <t>@B47</t>
  </si>
  <si>
    <t>@C47</t>
  </si>
  <si>
    <t>@F47</t>
  </si>
  <si>
    <t>@H47</t>
  </si>
  <si>
    <t>@B48</t>
  </si>
  <si>
    <t>@C48</t>
  </si>
  <si>
    <t>@F48</t>
  </si>
  <si>
    <t>@H48</t>
  </si>
  <si>
    <t>@B49</t>
  </si>
  <si>
    <t>@C49</t>
  </si>
  <si>
    <t>@F49</t>
  </si>
  <si>
    <t>@H49</t>
  </si>
  <si>
    <t>@B50</t>
  </si>
  <si>
    <t>@C50</t>
  </si>
  <si>
    <t>@F50</t>
  </si>
  <si>
    <t>@H50</t>
  </si>
  <si>
    <t>@B51</t>
  </si>
  <si>
    <t>@C51</t>
  </si>
  <si>
    <t>@F51</t>
  </si>
  <si>
    <t>@H51</t>
  </si>
  <si>
    <t>@B52</t>
  </si>
  <si>
    <t>@C52</t>
  </si>
  <si>
    <t>@F52</t>
  </si>
  <si>
    <t>@H52</t>
  </si>
  <si>
    <t>@B53</t>
  </si>
  <si>
    <t>@C53</t>
  </si>
  <si>
    <t>@F53</t>
  </si>
  <si>
    <t>@H53</t>
  </si>
  <si>
    <t>@B54</t>
  </si>
  <si>
    <t>@C54</t>
  </si>
  <si>
    <t>@F54</t>
  </si>
  <si>
    <t>@H54</t>
  </si>
  <si>
    <t>@B58</t>
  </si>
  <si>
    <t>@C58</t>
  </si>
  <si>
    <t>@H58</t>
  </si>
  <si>
    <t>@B59</t>
  </si>
  <si>
    <t>@C59</t>
  </si>
  <si>
    <t>@H59</t>
  </si>
  <si>
    <t>@B60</t>
  </si>
  <si>
    <t>@C60</t>
  </si>
  <si>
    <t>@H60</t>
  </si>
  <si>
    <t>@B61</t>
  </si>
  <si>
    <t>@C61</t>
  </si>
  <si>
    <t>@H61</t>
  </si>
  <si>
    <t>@B62</t>
  </si>
  <si>
    <t>@C62</t>
  </si>
  <si>
    <t>@H62</t>
  </si>
  <si>
    <t>@B63</t>
  </si>
  <si>
    <t>@C63</t>
  </si>
  <si>
    <t>@H63</t>
  </si>
  <si>
    <t>@B64</t>
  </si>
  <si>
    <t>@C64</t>
  </si>
  <si>
    <t>@H64</t>
  </si>
  <si>
    <t>Embarque</t>
  </si>
  <si>
    <t>Embarque 1</t>
  </si>
  <si>
    <t>@B68</t>
  </si>
  <si>
    <t>@C68</t>
  </si>
  <si>
    <t>@D68</t>
  </si>
  <si>
    <t>@E68</t>
  </si>
  <si>
    <t>@F68</t>
  </si>
  <si>
    <t>@G68</t>
  </si>
  <si>
    <t>@H68</t>
  </si>
  <si>
    <t>@I68</t>
  </si>
  <si>
    <t>@J68</t>
  </si>
  <si>
    <t>@K68</t>
  </si>
  <si>
    <t>Embarque 2</t>
  </si>
  <si>
    <t>@B69</t>
  </si>
  <si>
    <t>@C69</t>
  </si>
  <si>
    <t>@D69</t>
  </si>
  <si>
    <t>@E69</t>
  </si>
  <si>
    <t>@F69</t>
  </si>
  <si>
    <t>@G69</t>
  </si>
  <si>
    <t>@H69</t>
  </si>
  <si>
    <t>@I69</t>
  </si>
  <si>
    <t>@J69</t>
  </si>
  <si>
    <t>@K69</t>
  </si>
  <si>
    <t>Embarque 3</t>
  </si>
  <si>
    <t>@B70</t>
  </si>
  <si>
    <t>@C70</t>
  </si>
  <si>
    <t>@D70</t>
  </si>
  <si>
    <t>@E70</t>
  </si>
  <si>
    <t>@F70</t>
  </si>
  <si>
    <t>@G70</t>
  </si>
  <si>
    <t>@H70</t>
  </si>
  <si>
    <t>@I70</t>
  </si>
  <si>
    <t>@J70</t>
  </si>
  <si>
    <t>@K70</t>
  </si>
  <si>
    <t>Embarque 4</t>
  </si>
  <si>
    <t>@B71</t>
  </si>
  <si>
    <t>@C71</t>
  </si>
  <si>
    <t>@D71</t>
  </si>
  <si>
    <t>@E71</t>
  </si>
  <si>
    <t>@F71</t>
  </si>
  <si>
    <t>@G71</t>
  </si>
  <si>
    <t>@H71</t>
  </si>
  <si>
    <t>@I71</t>
  </si>
  <si>
    <t>@J71</t>
  </si>
  <si>
    <t>@K71</t>
  </si>
  <si>
    <t>#ptObs</t>
  </si>
  <si>
    <t>Informativo</t>
  </si>
  <si>
    <t>Destaques do turno</t>
  </si>
  <si>
    <t>#iObs</t>
  </si>
  <si>
    <t>Param</t>
  </si>
  <si>
    <t>Linha Informativo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</si>
</sst>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@"/>
  </numFmts>
  <fonts count="29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vertical="top" wrapText="1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/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1" fontId="23" fillId="5" borderId="0" xfId="0" applyNumberFormat="1" applyFont="1" applyFill="1" applyAlignment="1">
      <alignment horizontal="center" vertical="center"/>
    </xf>
    <xf numFmtId="168" fontId="23" fillId="5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28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  <dxf>
      <font>
        <color rgb="FFD0D7DC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Tendências!$C$6</c:f>
          <c:strCache>
            <c:ptCount val="1"/>
            <c:pt idx="0">
              <c:v>Resistência à Compressão</c:v>
            </c:pt>
          </c:strCache>
        </c:strRef>
      </c:tx>
      <c:layout/>
      <c:txPr>
        <a:bodyPr/>
        <a:lstStyle/>
        <a:p>
          <a:pPr>
            <a:defRPr sz="1200" baseline="0">
              <a:solidFill>
                <a:srgbClr val="00335A"/>
              </a:solidFill>
              <a:latin typeface="Segoe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Usina 3</c:v>
          </c:tx>
          <c:spPr>
            <a:ln w="31750">
              <a:solidFill>
                <a:srgbClr val="00335A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Usina 4</c:v>
          </c:tx>
          <c:spPr>
            <a:ln w="31750">
              <a:solidFill>
                <a:srgbClr val="FDB91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DB913"/>
              </a:solidFill>
              <a:ln>
                <a:solidFill>
                  <a:srgbClr val="FDB913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Tendências!$D$9:$D$38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LIE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Tendências!$E$9:$E$38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LSE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Tendências!$F$9:$F$38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B5BEC4"/>
            </a:solidFill>
          </a:ln>
        </c:spPr>
        <c:txPr>
          <a:bodyPr rot="-2700000" vert="horz"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segurança, equipamentos e pendências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Tendencias" textlink="">
      <xdr:nvSpPr>
        <xdr:cNvPr id="9" name="TextBox 8" descr="Botão: IrTendencias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  <xdr:twoCellAnchor editAs="absolute">
    <xdr:from>
      <xdr:col>13</xdr:col>
      <xdr:colOff>38100</xdr:colOff>
      <xdr:row>28</xdr:row>
      <xdr:rowOff>38100</xdr:rowOff>
    </xdr:from>
    <xdr:to>
      <xdr:col>16</xdr:col>
      <xdr:colOff>533400</xdr:colOff>
      <xdr:row>28</xdr:row>
      <xdr:rowOff>342900</xdr:rowOff>
    </xdr:to>
    <xdr:sp macro="[0]!IrConfig" textlink="">
      <xdr:nvSpPr>
        <xdr:cNvPr id="10" name="TextBox 9" descr="Botão: IrConfig"/>
        <xdr:cNvSpPr txBox="1"/>
      </xdr:nvSpPr>
      <xdr:spPr>
        <a:xfrm>
          <a:off x="8220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6</xdr:row>
      <xdr:rowOff>38100</xdr:rowOff>
    </xdr:to>
    <xdr:sp macro="[0]!CarregarPendencias" textlink="">
      <xdr:nvSpPr>
        <xdr:cNvPr id="3" name="TextBox 2" descr="Botão: CarregarPendencias"/>
        <xdr:cNvSpPr txBox="1"/>
      </xdr:nvSpPr>
      <xdr:spPr>
        <a:xfrm>
          <a:off x="9582150" y="809625"/>
          <a:ext cx="1952625" cy="4191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Carregar pendências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do turno anterior</a:t>
          </a:r>
        </a:p>
      </xdr:txBody>
    </xdr:sp>
    <xdr:clientData fPrintsWithSheet="0"/>
  </xdr:twoCellAnchor>
  <xdr:twoCellAnchor editAs="absolute">
    <xdr:from>
      <xdr:col>14</xdr:col>
      <xdr:colOff>38100</xdr:colOff>
      <xdr:row>8</xdr:row>
      <xdr:rowOff>0</xdr:rowOff>
    </xdr:from>
    <xdr:to>
      <xdr:col>15</xdr:col>
      <xdr:colOff>76200</xdr:colOff>
      <xdr:row>9</xdr:row>
      <xdr:rowOff>57150</xdr:rowOff>
    </xdr:to>
    <xdr:sp macro="[0]!LimparPassagem" textlink="">
      <xdr:nvSpPr>
        <xdr:cNvPr id="4" name="TextBox 3" descr="Botão: LimparPassagem"/>
        <xdr:cNvSpPr txBox="1"/>
      </xdr:nvSpPr>
      <xdr:spPr>
        <a:xfrm>
          <a:off x="9582150" y="16859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11</xdr:row>
      <xdr:rowOff>0</xdr:rowOff>
    </xdr:from>
    <xdr:to>
      <xdr:col>15</xdr:col>
      <xdr:colOff>76200</xdr:colOff>
      <xdr:row>12</xdr:row>
      <xdr:rowOff>171450</xdr:rowOff>
    </xdr:to>
    <xdr:sp macro="[0]!FecharTurno" textlink="">
      <xdr:nvSpPr>
        <xdr:cNvPr id="5" name="TextBox 4" descr="Botão: FecharTurno"/>
        <xdr:cNvSpPr txBox="1"/>
      </xdr:nvSpPr>
      <xdr:spPr>
        <a:xfrm>
          <a:off x="9582150" y="24479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6</xdr:col>
      <xdr:colOff>0</xdr:colOff>
      <xdr:row>4</xdr:row>
      <xdr:rowOff>9525</xdr:rowOff>
    </xdr:from>
    <xdr:to>
      <xdr:col>7</xdr:col>
      <xdr:colOff>28575</xdr:colOff>
      <xdr:row>4</xdr:row>
      <xdr:rowOff>257175</xdr:rowOff>
    </xdr:to>
    <xdr:sp macro="[0]!IrTendencias" textlink="">
      <xdr:nvSpPr>
        <xdr:cNvPr id="3" name="TextBox 2" descr="Botão: IrTendencias"/>
        <xdr:cNvSpPr txBox="1"/>
      </xdr:nvSpPr>
      <xdr:spPr>
        <a:xfrm>
          <a:off x="5553075" y="819150"/>
          <a:ext cx="1143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7</xdr:row>
      <xdr:rowOff>0</xdr:rowOff>
    </xdr:from>
    <xdr:to>
      <xdr:col>19</xdr:col>
      <xdr:colOff>209550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38100</xdr:colOff>
      <xdr:row>5</xdr:row>
      <xdr:rowOff>0</xdr:rowOff>
    </xdr:from>
    <xdr:to>
      <xdr:col>9</xdr:col>
      <xdr:colOff>266700</xdr:colOff>
      <xdr:row>5</xdr:row>
      <xdr:rowOff>266700</xdr:rowOff>
    </xdr:to>
    <xdr:sp macro="[0]!IrPainel" textlink="">
      <xdr:nvSpPr>
        <xdr:cNvPr id="3" name="TextBox 2" descr="Botão: IrPainel"/>
        <xdr:cNvSpPr txBox="1"/>
      </xdr:nvSpPr>
      <xdr:spPr>
        <a:xfrm>
          <a:off x="3990975" y="1000125"/>
          <a:ext cx="1524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12</xdr:col>
      <xdr:colOff>76200</xdr:colOff>
      <xdr:row>5</xdr:row>
      <xdr:rowOff>266700</xdr:rowOff>
    </xdr:to>
    <xdr:sp macro="[0]!IrHistorico" textlink="">
      <xdr:nvSpPr>
        <xdr:cNvPr id="4" name="TextBox 3" descr="Botão: IrHistorico"/>
        <xdr:cNvSpPr txBox="1"/>
      </xdr:nvSpPr>
      <xdr:spPr>
        <a:xfrm>
          <a:off x="5934075" y="1000125"/>
          <a:ext cx="13335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Ver Histórico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400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401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402</v>
      </c>
    </row>
    <row r="7" spans="2:17">
      <c r="B7" s="6" t="s">
        <v>192</v>
      </c>
      <c r="C7" s="6"/>
      <c r="D7" s="6"/>
      <c r="E7" s="6" t="s">
        <v>193</v>
      </c>
      <c r="F7" s="6"/>
      <c r="G7" s="6"/>
      <c r="H7" s="6"/>
      <c r="I7" s="6" t="s">
        <v>194</v>
      </c>
      <c r="J7" s="6"/>
      <c r="K7" s="6" t="s">
        <v>195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403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404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405</v>
      </c>
    </row>
    <row r="20" spans="2:17">
      <c r="B20" s="11" t="s">
        <v>406</v>
      </c>
      <c r="C20" s="11"/>
      <c r="D20" s="11"/>
      <c r="E20" s="11"/>
      <c r="F20" s="11" t="s">
        <v>407</v>
      </c>
      <c r="G20" s="11"/>
      <c r="H20" s="11"/>
      <c r="I20" s="11"/>
      <c r="J20" s="11" t="s">
        <v>408</v>
      </c>
      <c r="K20" s="11"/>
      <c r="L20" s="11"/>
      <c r="M20" s="11"/>
      <c r="N20" s="11" t="s">
        <v>409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Turno'!$C$10:$C$14)+COUNTA('Passagem de Turno'!$J$10:$J$14)+COUNTA(ptRecebe)+COUNTA(ptRecebidoPor)+COUNTA(ptSegFlag)+COUNTA(ptTestes)+COUNTA(ptStatus)+COUNTA('Passagem de Turno'!$C$58:$C$64)+COUNTA('Passagem de Turno'!$H$58:$H$64))/42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410</v>
      </c>
    </row>
    <row r="24" spans="2:17">
      <c r="B24" s="16" t="s">
        <v>411</v>
      </c>
      <c r="C24" s="16"/>
      <c r="D24" s="16"/>
      <c r="E24" s="16"/>
      <c r="F24" s="16" t="s">
        <v>412</v>
      </c>
      <c r="G24" s="16"/>
      <c r="H24" s="16"/>
      <c r="I24" s="16"/>
      <c r="J24" s="16" t="s">
        <v>413</v>
      </c>
      <c r="K24" s="16"/>
      <c r="L24" s="16"/>
      <c r="M24" s="16"/>
      <c r="N24" s="16" t="s">
        <v>414</v>
      </c>
      <c r="O24" s="16"/>
      <c r="P24" s="16"/>
      <c r="Q24" s="16"/>
    </row>
    <row r="25" spans="2:17" ht="26" customHeight="1">
      <c r="B25" s="17" t="s">
        <v>205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205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205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205</v>
      </c>
      <c r="O25" s="18">
        <f>IFERROR(INDEX(Informativo!$K:$K,MATCH("P21U3",Informativo!$A:$A,0)),"")</f>
        <v>0</v>
      </c>
      <c r="P25" s="18"/>
      <c r="Q25" s="19">
        <f>IFERROR(INDEX(Informativo!$P:$P,MATCH("P21U3",Informativo!$A:$A,0)),"")</f>
        <v>0</v>
      </c>
    </row>
    <row r="26" spans="2:17" ht="26" customHeight="1">
      <c r="B26" s="22" t="s">
        <v>207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207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207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207</v>
      </c>
      <c r="O26" s="18">
        <f>IFERROR(INDEX(Informativo!$K:$K,MATCH("P21U4",Informativo!$A:$A,0)),"")</f>
        <v>0</v>
      </c>
      <c r="P26" s="18"/>
      <c r="Q26" s="19">
        <f>IFERROR(INDEX(Informativo!$P:$P,MATCH("P21U4",Informativo!$A:$A,0)),"")</f>
        <v>0</v>
      </c>
    </row>
    <row r="28" spans="2:17">
      <c r="B28" s="5" t="s">
        <v>415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68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190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191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192</v>
      </c>
      <c r="C6" s="6" t="s">
        <v>193</v>
      </c>
      <c r="D6" s="6"/>
      <c r="E6" s="6" t="s">
        <v>194</v>
      </c>
      <c r="F6" s="6"/>
      <c r="G6" s="6" t="s">
        <v>195</v>
      </c>
      <c r="H6" s="6"/>
      <c r="I6" s="6"/>
      <c r="J6" s="6"/>
      <c r="K6" s="6" t="s">
        <v>196</v>
      </c>
      <c r="L6" s="6"/>
      <c r="M6" s="6"/>
      <c r="N6" s="6" t="s">
        <v>133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197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25</v>
      </c>
      <c r="C10" s="28" t="s">
        <v>198</v>
      </c>
      <c r="D10" s="28" t="s">
        <v>199</v>
      </c>
      <c r="E10" s="28" t="s">
        <v>200</v>
      </c>
      <c r="F10" s="28" t="s">
        <v>200</v>
      </c>
      <c r="G10" s="28" t="s">
        <v>200</v>
      </c>
      <c r="H10" s="28" t="s">
        <v>200</v>
      </c>
      <c r="I10" s="28" t="s">
        <v>200</v>
      </c>
      <c r="J10" s="28" t="s">
        <v>200</v>
      </c>
      <c r="K10" s="28" t="s">
        <v>28</v>
      </c>
      <c r="L10" s="28" t="s">
        <v>201</v>
      </c>
      <c r="M10" s="28" t="s">
        <v>202</v>
      </c>
      <c r="N10" s="28" t="s">
        <v>33</v>
      </c>
      <c r="O10" s="28" t="s">
        <v>34</v>
      </c>
      <c r="P10" s="28" t="s">
        <v>129</v>
      </c>
    </row>
    <row r="11" spans="1:16" ht="18" customHeight="1">
      <c r="B11" s="29" t="s">
        <v>203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204</v>
      </c>
      <c r="B12" s="31" t="s">
        <v>40</v>
      </c>
      <c r="C12" s="32" t="s">
        <v>41</v>
      </c>
      <c r="D12" s="33" t="s">
        <v>205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206</v>
      </c>
      <c r="B13" s="31"/>
      <c r="C13" s="32"/>
      <c r="D13" s="39" t="s">
        <v>207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208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209</v>
      </c>
      <c r="B15" s="40" t="s">
        <v>47</v>
      </c>
      <c r="C15" s="41" t="s">
        <v>48</v>
      </c>
      <c r="D15" s="33" t="s">
        <v>205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210</v>
      </c>
      <c r="B16" s="40"/>
      <c r="C16" s="41"/>
      <c r="D16" s="39" t="s">
        <v>207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211</v>
      </c>
      <c r="B17" s="31" t="s">
        <v>52</v>
      </c>
      <c r="C17" s="32" t="s">
        <v>48</v>
      </c>
      <c r="D17" s="33" t="s">
        <v>205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212</v>
      </c>
      <c r="B18" s="31"/>
      <c r="C18" s="32"/>
      <c r="D18" s="39" t="s">
        <v>207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213</v>
      </c>
      <c r="B19" s="40" t="s">
        <v>55</v>
      </c>
      <c r="C19" s="41" t="s">
        <v>56</v>
      </c>
      <c r="D19" s="33" t="s">
        <v>205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214</v>
      </c>
      <c r="B20" s="40"/>
      <c r="C20" s="41"/>
      <c r="D20" s="39" t="s">
        <v>207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215</v>
      </c>
      <c r="B21" s="31" t="s">
        <v>59</v>
      </c>
      <c r="C21" s="32" t="s">
        <v>56</v>
      </c>
      <c r="D21" s="33" t="s">
        <v>205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216</v>
      </c>
      <c r="B22" s="31"/>
      <c r="C22" s="32"/>
      <c r="D22" s="39" t="s">
        <v>207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217</v>
      </c>
      <c r="B23" s="40" t="s">
        <v>62</v>
      </c>
      <c r="C23" s="41" t="s">
        <v>56</v>
      </c>
      <c r="D23" s="33" t="s">
        <v>205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218</v>
      </c>
      <c r="B24" s="40"/>
      <c r="C24" s="41"/>
      <c r="D24" s="39" t="s">
        <v>207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219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220</v>
      </c>
      <c r="B26" s="31" t="s">
        <v>66</v>
      </c>
      <c r="C26" s="32" t="s">
        <v>56</v>
      </c>
      <c r="D26" s="33" t="s">
        <v>205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221</v>
      </c>
      <c r="B27" s="31"/>
      <c r="C27" s="32"/>
      <c r="D27" s="39" t="s">
        <v>207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222</v>
      </c>
      <c r="B28" s="40" t="s">
        <v>68</v>
      </c>
      <c r="C28" s="41" t="s">
        <v>56</v>
      </c>
      <c r="D28" s="33" t="s">
        <v>205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223</v>
      </c>
      <c r="B29" s="40"/>
      <c r="C29" s="41"/>
      <c r="D29" s="39" t="s">
        <v>207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224</v>
      </c>
      <c r="B30" s="31" t="s">
        <v>70</v>
      </c>
      <c r="C30" s="32" t="s">
        <v>56</v>
      </c>
      <c r="D30" s="33" t="s">
        <v>205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225</v>
      </c>
      <c r="B31" s="31"/>
      <c r="C31" s="32"/>
      <c r="D31" s="39" t="s">
        <v>207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226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227</v>
      </c>
      <c r="B33" s="40" t="s">
        <v>73</v>
      </c>
      <c r="C33" s="41" t="s">
        <v>56</v>
      </c>
      <c r="D33" s="33" t="s">
        <v>205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228</v>
      </c>
      <c r="B34" s="40"/>
      <c r="C34" s="41"/>
      <c r="D34" s="39" t="s">
        <v>207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229</v>
      </c>
      <c r="B35" s="31" t="s">
        <v>76</v>
      </c>
      <c r="C35" s="32" t="s">
        <v>56</v>
      </c>
      <c r="D35" s="33" t="s">
        <v>205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230</v>
      </c>
      <c r="B36" s="31"/>
      <c r="C36" s="32"/>
      <c r="D36" s="39" t="s">
        <v>207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231</v>
      </c>
      <c r="B37" s="40" t="s">
        <v>79</v>
      </c>
      <c r="C37" s="41" t="s">
        <v>80</v>
      </c>
      <c r="D37" s="33" t="s">
        <v>205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232</v>
      </c>
      <c r="B38" s="40"/>
      <c r="C38" s="41"/>
      <c r="D38" s="39" t="s">
        <v>207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233</v>
      </c>
      <c r="B39" s="31" t="s">
        <v>83</v>
      </c>
      <c r="C39" s="32" t="s">
        <v>84</v>
      </c>
      <c r="D39" s="33" t="s">
        <v>205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234</v>
      </c>
      <c r="B40" s="31"/>
      <c r="C40" s="32"/>
      <c r="D40" s="39" t="s">
        <v>207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235</v>
      </c>
      <c r="B41" s="40" t="s">
        <v>87</v>
      </c>
      <c r="C41" s="41" t="s">
        <v>56</v>
      </c>
      <c r="D41" s="33" t="s">
        <v>205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236</v>
      </c>
      <c r="B42" s="40"/>
      <c r="C42" s="41"/>
      <c r="D42" s="39" t="s">
        <v>207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237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238</v>
      </c>
      <c r="B44" s="31" t="s">
        <v>91</v>
      </c>
      <c r="C44" s="32" t="s">
        <v>56</v>
      </c>
      <c r="D44" s="33" t="s">
        <v>205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239</v>
      </c>
      <c r="B45" s="31"/>
      <c r="C45" s="32"/>
      <c r="D45" s="39" t="s">
        <v>207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240</v>
      </c>
      <c r="B46" s="40" t="s">
        <v>94</v>
      </c>
      <c r="C46" s="41" t="s">
        <v>80</v>
      </c>
      <c r="D46" s="33" t="s">
        <v>205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241</v>
      </c>
      <c r="B47" s="40"/>
      <c r="C47" s="41"/>
      <c r="D47" s="39" t="s">
        <v>207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242</v>
      </c>
      <c r="B48" s="31" t="s">
        <v>97</v>
      </c>
      <c r="C48" s="32" t="s">
        <v>56</v>
      </c>
      <c r="D48" s="33" t="s">
        <v>205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243</v>
      </c>
      <c r="B49" s="31"/>
      <c r="C49" s="32"/>
      <c r="D49" s="39" t="s">
        <v>207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244</v>
      </c>
      <c r="B50" s="40" t="s">
        <v>100</v>
      </c>
      <c r="C50" s="41" t="s">
        <v>101</v>
      </c>
      <c r="D50" s="33" t="s">
        <v>205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245</v>
      </c>
      <c r="B51" s="40"/>
      <c r="C51" s="41"/>
      <c r="D51" s="39" t="s">
        <v>207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246</v>
      </c>
      <c r="B52" s="31" t="s">
        <v>104</v>
      </c>
      <c r="C52" s="32" t="s">
        <v>56</v>
      </c>
      <c r="D52" s="33" t="s">
        <v>205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247</v>
      </c>
      <c r="B53" s="31"/>
      <c r="C53" s="32"/>
      <c r="D53" s="39" t="s">
        <v>207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248</v>
      </c>
      <c r="B54" s="40" t="s">
        <v>107</v>
      </c>
      <c r="C54" s="41" t="s">
        <v>56</v>
      </c>
      <c r="D54" s="33" t="s">
        <v>205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249</v>
      </c>
      <c r="B55" s="40"/>
      <c r="C55" s="41"/>
      <c r="D55" s="39" t="s">
        <v>207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 ht="18" customHeight="1">
      <c r="B56" s="29" t="s">
        <v>250</v>
      </c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</row>
    <row r="57" spans="1:16">
      <c r="A57" s="30" t="s">
        <v>251</v>
      </c>
      <c r="B57" s="31" t="s">
        <v>110</v>
      </c>
      <c r="C57" s="32" t="s">
        <v>111</v>
      </c>
      <c r="D57" s="33" t="s">
        <v>205</v>
      </c>
      <c r="E57" s="34"/>
      <c r="F57" s="34"/>
      <c r="G57" s="34"/>
      <c r="H57" s="34"/>
      <c r="I57" s="34"/>
      <c r="J57" s="34"/>
      <c r="K57" s="35">
        <f>IFERROR(IF(COUNT(E57:J57)=0,"",IF('Configurações'!$F$38="Soma",SUM(E57:J57),IF('Configurações'!$F$38="Último valor",LOOKUP(2,1/(E57:J57&lt;&gt;""),E57:J57),AVERAGE(E57:J57)))),"")</f>
        <v>0</v>
      </c>
      <c r="L57" s="36">
        <f>IF(COUNT(E57:J57)=0,"",MIN(E57:J57))</f>
        <v>0</v>
      </c>
      <c r="M57" s="36">
        <f>IF(COUNT(E57:J57)=0,"",MAX(E57:J57))</f>
        <v>0</v>
      </c>
      <c r="N57" s="37">
        <f>IF('Configurações'!$K$38="","",'Configurações'!$K$38)</f>
        <v>0</v>
      </c>
      <c r="O57" s="37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>
      <c r="A58" s="30" t="s">
        <v>252</v>
      </c>
      <c r="B58" s="31"/>
      <c r="C58" s="32"/>
      <c r="D58" s="39" t="s">
        <v>207</v>
      </c>
      <c r="E58" s="34"/>
      <c r="F58" s="34"/>
      <c r="G58" s="34"/>
      <c r="H58" s="34"/>
      <c r="I58" s="34"/>
      <c r="J58" s="34"/>
      <c r="K58" s="35">
        <f>IFERROR(IF(COUNT(E58:J58)=0,"",IF('Configurações'!$F$38="Soma",SUM(E58:J58),IF('Configurações'!$F$38="Último valor",LOOKUP(2,1/(E58:J58&lt;&gt;""),E58:J58),AVERAGE(E58:J58)))),"")</f>
        <v>0</v>
      </c>
      <c r="L58" s="36">
        <f>IF(COUNT(E58:J58)=0,"",MIN(E58:J58))</f>
        <v>0</v>
      </c>
      <c r="M58" s="36">
        <f>IF(COUNT(E58:J58)=0,"",MAX(E58:J58))</f>
        <v>0</v>
      </c>
      <c r="N58" s="37">
        <f>IF('Configurações'!$K$38="","",'Configurações'!$K$38)</f>
        <v>0</v>
      </c>
      <c r="O58" s="37">
        <f>IF('Configurações'!$L$38="","",'Configurações'!$L$38)</f>
        <v>0</v>
      </c>
      <c r="P58" s="38">
        <f>IF(OR(K58="",AND(N58="",O58="")),"",IF(OR(AND(N58&lt;&gt;"",K58&lt;N58),AND(O58&lt;&gt;"",K58&gt;O58)),"Fora","OK"))</f>
        <v>0</v>
      </c>
    </row>
    <row r="59" spans="1:16">
      <c r="A59" s="30" t="s">
        <v>253</v>
      </c>
      <c r="B59" s="40" t="s">
        <v>115</v>
      </c>
      <c r="C59" s="41" t="s">
        <v>116</v>
      </c>
      <c r="D59" s="33" t="s">
        <v>205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254</v>
      </c>
      <c r="B60" s="40"/>
      <c r="C60" s="41"/>
      <c r="D60" s="39" t="s">
        <v>207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2" spans="1:16" ht="21" customHeight="1">
      <c r="B62" s="60" t="s">
        <v>255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</row>
    <row r="63" spans="1:16"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</row>
    <row r="64" spans="1:16"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</row>
    <row r="65" spans="2:16"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</row>
    <row r="66" spans="2:16"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</row>
    <row r="68" spans="2:16" ht="24" customHeight="1">
      <c r="B68" s="62" t="s">
        <v>256</v>
      </c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</row>
  </sheetData>
  <sheetProtection sheet="1" objects="1" scenarios="1" formatColumns="0" formatRows="0" autoFilter="0"/>
  <mergeCells count="67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P56"/>
    <mergeCell ref="B57:B58"/>
    <mergeCell ref="C57:C58"/>
    <mergeCell ref="B59:B60"/>
    <mergeCell ref="C59:C60"/>
    <mergeCell ref="B62:P62"/>
    <mergeCell ref="B63:P66"/>
    <mergeCell ref="B68:P68"/>
  </mergeCells>
  <conditionalFormatting sqref="E11:K60">
    <cfRule type="expression" dxfId="0" priority="1">
      <formula>AND(ISNUMBER(E11),OR(AND(ISNUMBER($N11),E11&lt;$N11),AND(ISNUMBER($O11),E11&gt;$O11)))</formula>
    </cfRule>
  </conditionalFormatting>
  <conditionalFormatting sqref="K11:K60">
    <cfRule type="expression" dxfId="1" priority="2">
      <formula>AND(ISNUMBER(K11),OR(ISNUMBER($N11),ISNUMBER($O11)))</formula>
    </cfRule>
  </conditionalFormatting>
  <conditionalFormatting sqref="P11:P60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78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257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258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259</v>
      </c>
      <c r="C6" s="6" t="s">
        <v>193</v>
      </c>
      <c r="D6" s="6"/>
      <c r="E6" s="6" t="s">
        <v>194</v>
      </c>
      <c r="F6" s="6" t="s">
        <v>260</v>
      </c>
      <c r="G6" s="6"/>
      <c r="H6" s="6" t="s">
        <v>261</v>
      </c>
      <c r="I6" s="6"/>
      <c r="J6" s="6" t="s">
        <v>262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263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264</v>
      </c>
      <c r="C10" s="69"/>
      <c r="D10" s="69"/>
      <c r="E10" s="69"/>
      <c r="F10" s="69"/>
      <c r="G10" s="69"/>
      <c r="H10" s="68" t="s">
        <v>265</v>
      </c>
      <c r="I10" s="68"/>
      <c r="J10" s="69"/>
      <c r="K10" s="69"/>
      <c r="L10" s="69"/>
      <c r="M10" s="69"/>
    </row>
    <row r="11" spans="2:13" ht="20" customHeight="1">
      <c r="B11" s="68" t="s">
        <v>266</v>
      </c>
      <c r="C11" s="69"/>
      <c r="D11" s="69"/>
      <c r="E11" s="69"/>
      <c r="F11" s="69"/>
      <c r="G11" s="69"/>
      <c r="H11" s="68" t="s">
        <v>267</v>
      </c>
      <c r="I11" s="68"/>
      <c r="J11" s="69"/>
      <c r="K11" s="69"/>
      <c r="L11" s="69"/>
      <c r="M11" s="69"/>
    </row>
    <row r="12" spans="2:13" ht="20" customHeight="1">
      <c r="B12" s="68" t="s">
        <v>268</v>
      </c>
      <c r="C12" s="69"/>
      <c r="D12" s="69"/>
      <c r="E12" s="69"/>
      <c r="F12" s="69"/>
      <c r="G12" s="69"/>
      <c r="H12" s="68" t="s">
        <v>269</v>
      </c>
      <c r="I12" s="68"/>
      <c r="J12" s="69"/>
      <c r="K12" s="69"/>
      <c r="L12" s="69"/>
      <c r="M12" s="69"/>
    </row>
    <row r="13" spans="2:13" ht="20" customHeight="1">
      <c r="B13" s="68" t="s">
        <v>270</v>
      </c>
      <c r="C13" s="69"/>
      <c r="D13" s="69"/>
      <c r="E13" s="69"/>
      <c r="F13" s="69"/>
      <c r="G13" s="69"/>
      <c r="H13" s="68" t="s">
        <v>271</v>
      </c>
      <c r="I13" s="68"/>
      <c r="J13" s="69"/>
      <c r="K13" s="69"/>
      <c r="L13" s="69"/>
      <c r="M13" s="69"/>
    </row>
    <row r="14" spans="2:13" ht="20" customHeight="1">
      <c r="B14" s="68" t="s">
        <v>272</v>
      </c>
      <c r="C14" s="69"/>
      <c r="D14" s="69"/>
      <c r="E14" s="69"/>
      <c r="F14" s="69"/>
      <c r="G14" s="69"/>
      <c r="H14" s="68" t="s">
        <v>273</v>
      </c>
      <c r="I14" s="68"/>
      <c r="J14" s="69"/>
      <c r="K14" s="69"/>
      <c r="L14" s="69"/>
      <c r="M14" s="69"/>
    </row>
    <row r="16" spans="2:13" ht="21" customHeight="1">
      <c r="B16" s="60" t="s">
        <v>274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 ht="20" customHeight="1">
      <c r="B17" s="68" t="s">
        <v>275</v>
      </c>
      <c r="C17" s="70"/>
      <c r="D17" s="70"/>
      <c r="E17" s="10" t="s">
        <v>276</v>
      </c>
      <c r="F17" s="10"/>
      <c r="G17" s="10"/>
      <c r="H17" s="10"/>
      <c r="I17" s="10"/>
      <c r="J17" s="10"/>
      <c r="K17" s="10"/>
      <c r="L17" s="10"/>
      <c r="M17" s="10"/>
    </row>
    <row r="18" spans="2:13">
      <c r="B18" s="68" t="s">
        <v>277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2" spans="2:13" ht="21" customHeight="1">
      <c r="B22" s="60" t="s">
        <v>278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2:13">
      <c r="B23" s="68" t="s">
        <v>279</v>
      </c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</row>
    <row r="24" spans="2:13">
      <c r="B24" s="68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</row>
    <row r="25" spans="2:13">
      <c r="B25" s="68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</row>
    <row r="26" spans="2:13">
      <c r="B26" s="68" t="s">
        <v>280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2:13">
      <c r="B27" s="68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</row>
    <row r="28" spans="2:13">
      <c r="B28" s="68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2:13">
      <c r="B29" s="68" t="s">
        <v>281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2:13">
      <c r="B30" s="68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2:13">
      <c r="B31" s="68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3" spans="2:13" ht="21" customHeight="1">
      <c r="B33" s="60" t="s">
        <v>282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2:13">
      <c r="B34" s="72" t="s">
        <v>283</v>
      </c>
      <c r="C34" s="72" t="s">
        <v>284</v>
      </c>
      <c r="D34" s="72"/>
      <c r="E34" s="72" t="s">
        <v>139</v>
      </c>
      <c r="F34" s="72"/>
      <c r="G34" s="72" t="s">
        <v>285</v>
      </c>
      <c r="H34" s="72"/>
      <c r="I34" s="72" t="s">
        <v>286</v>
      </c>
      <c r="J34" s="72"/>
      <c r="K34" s="72"/>
      <c r="L34" s="72"/>
      <c r="M34" s="72"/>
    </row>
    <row r="35" spans="2:13" ht="20" customHeight="1">
      <c r="B35" s="68" t="s">
        <v>287</v>
      </c>
      <c r="C35" s="73"/>
      <c r="D35" s="73"/>
      <c r="E35" s="73"/>
      <c r="F35" s="73"/>
      <c r="G35" s="73"/>
      <c r="H35" s="73"/>
      <c r="I35" s="74"/>
      <c r="J35" s="74"/>
      <c r="K35" s="74"/>
      <c r="L35" s="74"/>
      <c r="M35" s="74"/>
    </row>
    <row r="36" spans="2:13" ht="20" customHeight="1">
      <c r="B36" s="68" t="s">
        <v>288</v>
      </c>
      <c r="C36" s="73"/>
      <c r="D36" s="73"/>
      <c r="E36" s="73"/>
      <c r="F36" s="73"/>
      <c r="G36" s="73"/>
      <c r="H36" s="73"/>
      <c r="I36" s="74"/>
      <c r="J36" s="74"/>
      <c r="K36" s="74"/>
      <c r="L36" s="74"/>
      <c r="M36" s="74"/>
    </row>
    <row r="37" spans="2:13" ht="20" customHeight="1">
      <c r="B37" s="68" t="s">
        <v>289</v>
      </c>
      <c r="C37" s="73"/>
      <c r="D37" s="73"/>
      <c r="E37" s="73"/>
      <c r="F37" s="73"/>
      <c r="G37" s="73"/>
      <c r="H37" s="73"/>
      <c r="I37" s="74"/>
      <c r="J37" s="74"/>
      <c r="K37" s="74"/>
      <c r="L37" s="74"/>
      <c r="M37" s="74"/>
    </row>
    <row r="39" spans="2:13" ht="21" customHeight="1">
      <c r="B39" s="60" t="s">
        <v>290</v>
      </c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2:13">
      <c r="B40" s="72" t="s">
        <v>291</v>
      </c>
      <c r="C40" s="72" t="s">
        <v>292</v>
      </c>
      <c r="D40" s="72"/>
      <c r="E40" s="72"/>
      <c r="F40" s="72" t="s">
        <v>129</v>
      </c>
      <c r="G40" s="72"/>
      <c r="H40" s="72" t="s">
        <v>293</v>
      </c>
      <c r="I40" s="72"/>
      <c r="J40" s="72"/>
      <c r="K40" s="72"/>
      <c r="L40" s="72"/>
      <c r="M40" s="72"/>
    </row>
    <row r="41" spans="2:13" ht="19" customHeight="1">
      <c r="B41" s="75" t="s">
        <v>294</v>
      </c>
      <c r="C41" s="76" t="s">
        <v>295</v>
      </c>
      <c r="D41" s="76"/>
      <c r="E41" s="76"/>
      <c r="F41" s="77"/>
      <c r="G41" s="77"/>
      <c r="H41" s="78"/>
      <c r="I41" s="78"/>
      <c r="J41" s="78"/>
      <c r="K41" s="78"/>
      <c r="L41" s="78"/>
      <c r="M41" s="78"/>
    </row>
    <row r="42" spans="2:13" ht="19" customHeight="1">
      <c r="B42" s="75" t="s">
        <v>294</v>
      </c>
      <c r="C42" s="76" t="s">
        <v>296</v>
      </c>
      <c r="D42" s="76"/>
      <c r="E42" s="76"/>
      <c r="F42" s="77"/>
      <c r="G42" s="77"/>
      <c r="H42" s="78"/>
      <c r="I42" s="78"/>
      <c r="J42" s="78"/>
      <c r="K42" s="78"/>
      <c r="L42" s="78"/>
      <c r="M42" s="78"/>
    </row>
    <row r="43" spans="2:13" ht="19" customHeight="1">
      <c r="B43" s="75" t="s">
        <v>294</v>
      </c>
      <c r="C43" s="76" t="s">
        <v>297</v>
      </c>
      <c r="D43" s="76"/>
      <c r="E43" s="76"/>
      <c r="F43" s="77"/>
      <c r="G43" s="77"/>
      <c r="H43" s="78"/>
      <c r="I43" s="78"/>
      <c r="J43" s="78"/>
      <c r="K43" s="78"/>
      <c r="L43" s="78"/>
      <c r="M43" s="78"/>
    </row>
    <row r="44" spans="2:13" ht="19" customHeight="1">
      <c r="B44" s="75" t="s">
        <v>294</v>
      </c>
      <c r="C44" s="76" t="s">
        <v>298</v>
      </c>
      <c r="D44" s="76"/>
      <c r="E44" s="76"/>
      <c r="F44" s="77"/>
      <c r="G44" s="77"/>
      <c r="H44" s="78"/>
      <c r="I44" s="78"/>
      <c r="J44" s="78"/>
      <c r="K44" s="78"/>
      <c r="L44" s="78"/>
      <c r="M44" s="78"/>
    </row>
    <row r="45" spans="2:13" ht="19" customHeight="1">
      <c r="B45" s="75" t="s">
        <v>299</v>
      </c>
      <c r="C45" s="76" t="s">
        <v>300</v>
      </c>
      <c r="D45" s="76"/>
      <c r="E45" s="76"/>
      <c r="F45" s="77"/>
      <c r="G45" s="77"/>
      <c r="H45" s="78"/>
      <c r="I45" s="78"/>
      <c r="J45" s="78"/>
      <c r="K45" s="78"/>
      <c r="L45" s="78"/>
      <c r="M45" s="78"/>
    </row>
    <row r="46" spans="2:13" ht="19" customHeight="1">
      <c r="B46" s="75" t="s">
        <v>299</v>
      </c>
      <c r="C46" s="76" t="s">
        <v>301</v>
      </c>
      <c r="D46" s="76"/>
      <c r="E46" s="76"/>
      <c r="F46" s="77"/>
      <c r="G46" s="77"/>
      <c r="H46" s="78"/>
      <c r="I46" s="78"/>
      <c r="J46" s="78"/>
      <c r="K46" s="78"/>
      <c r="L46" s="78"/>
      <c r="M46" s="78"/>
    </row>
    <row r="47" spans="2:13" ht="19" customHeight="1">
      <c r="B47" s="75" t="s">
        <v>299</v>
      </c>
      <c r="C47" s="76" t="s">
        <v>302</v>
      </c>
      <c r="D47" s="76"/>
      <c r="E47" s="76"/>
      <c r="F47" s="77"/>
      <c r="G47" s="77"/>
      <c r="H47" s="78"/>
      <c r="I47" s="78"/>
      <c r="J47" s="78"/>
      <c r="K47" s="78"/>
      <c r="L47" s="78"/>
      <c r="M47" s="78"/>
    </row>
    <row r="48" spans="2:13" ht="19" customHeight="1">
      <c r="B48" s="75" t="s">
        <v>299</v>
      </c>
      <c r="C48" s="76" t="s">
        <v>303</v>
      </c>
      <c r="D48" s="76"/>
      <c r="E48" s="76"/>
      <c r="F48" s="77"/>
      <c r="G48" s="77"/>
      <c r="H48" s="78"/>
      <c r="I48" s="78"/>
      <c r="J48" s="78"/>
      <c r="K48" s="78"/>
      <c r="L48" s="78"/>
      <c r="M48" s="78"/>
    </row>
    <row r="49" spans="2:13" ht="19" customHeight="1">
      <c r="B49" s="75" t="s">
        <v>299</v>
      </c>
      <c r="C49" s="76" t="s">
        <v>304</v>
      </c>
      <c r="D49" s="76"/>
      <c r="E49" s="76"/>
      <c r="F49" s="77"/>
      <c r="G49" s="77"/>
      <c r="H49" s="78"/>
      <c r="I49" s="78"/>
      <c r="J49" s="78"/>
      <c r="K49" s="78"/>
      <c r="L49" s="78"/>
      <c r="M49" s="78"/>
    </row>
    <row r="50" spans="2:13" ht="19" customHeight="1">
      <c r="B50" s="75" t="s">
        <v>299</v>
      </c>
      <c r="C50" s="76" t="s">
        <v>305</v>
      </c>
      <c r="D50" s="76"/>
      <c r="E50" s="76"/>
      <c r="F50" s="77"/>
      <c r="G50" s="77"/>
      <c r="H50" s="78"/>
      <c r="I50" s="78"/>
      <c r="J50" s="78"/>
      <c r="K50" s="78"/>
      <c r="L50" s="78"/>
      <c r="M50" s="78"/>
    </row>
    <row r="51" spans="2:13" ht="19" customHeight="1">
      <c r="B51" s="75" t="s">
        <v>306</v>
      </c>
      <c r="C51" s="76" t="s">
        <v>307</v>
      </c>
      <c r="D51" s="76"/>
      <c r="E51" s="76"/>
      <c r="F51" s="77"/>
      <c r="G51" s="77"/>
      <c r="H51" s="78"/>
      <c r="I51" s="78"/>
      <c r="J51" s="78"/>
      <c r="K51" s="78"/>
      <c r="L51" s="78"/>
      <c r="M51" s="78"/>
    </row>
    <row r="52" spans="2:13" ht="19" customHeight="1">
      <c r="B52" s="75" t="s">
        <v>306</v>
      </c>
      <c r="C52" s="76" t="s">
        <v>308</v>
      </c>
      <c r="D52" s="76"/>
      <c r="E52" s="76"/>
      <c r="F52" s="77"/>
      <c r="G52" s="77"/>
      <c r="H52" s="78"/>
      <c r="I52" s="78"/>
      <c r="J52" s="78"/>
      <c r="K52" s="78"/>
      <c r="L52" s="78"/>
      <c r="M52" s="78"/>
    </row>
    <row r="53" spans="2:13" ht="19" customHeight="1">
      <c r="B53" s="75" t="s">
        <v>306</v>
      </c>
      <c r="C53" s="76" t="s">
        <v>309</v>
      </c>
      <c r="D53" s="76"/>
      <c r="E53" s="76"/>
      <c r="F53" s="77"/>
      <c r="G53" s="77"/>
      <c r="H53" s="78"/>
      <c r="I53" s="78"/>
      <c r="J53" s="78"/>
      <c r="K53" s="78"/>
      <c r="L53" s="78"/>
      <c r="M53" s="78"/>
    </row>
    <row r="54" spans="2:13" ht="19" customHeight="1">
      <c r="B54" s="75" t="s">
        <v>306</v>
      </c>
      <c r="C54" s="76" t="s">
        <v>310</v>
      </c>
      <c r="D54" s="76"/>
      <c r="E54" s="76"/>
      <c r="F54" s="77"/>
      <c r="G54" s="77"/>
      <c r="H54" s="78"/>
      <c r="I54" s="78"/>
      <c r="J54" s="78"/>
      <c r="K54" s="78"/>
      <c r="L54" s="78"/>
      <c r="M54" s="78"/>
    </row>
    <row r="56" spans="2:13" ht="21" customHeight="1">
      <c r="B56" s="60" t="s">
        <v>311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>
      <c r="B57" s="72" t="s">
        <v>312</v>
      </c>
      <c r="C57" s="79" t="s">
        <v>313</v>
      </c>
      <c r="D57" s="79"/>
      <c r="E57" s="79"/>
      <c r="F57" s="79"/>
      <c r="G57" s="79"/>
      <c r="H57" s="80" t="s">
        <v>314</v>
      </c>
      <c r="I57" s="80"/>
      <c r="J57" s="80"/>
      <c r="K57" s="80"/>
      <c r="L57" s="80"/>
      <c r="M57" s="80"/>
    </row>
    <row r="58" spans="2:13" ht="32" customHeight="1">
      <c r="B58" s="68" t="s">
        <v>315</v>
      </c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</row>
    <row r="59" spans="2:13" ht="32" customHeight="1">
      <c r="B59" s="68" t="s">
        <v>316</v>
      </c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</row>
    <row r="60" spans="2:13" ht="32" customHeight="1">
      <c r="B60" s="68" t="s">
        <v>317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</row>
    <row r="61" spans="2:13" ht="32" customHeight="1">
      <c r="B61" s="68" t="s">
        <v>318</v>
      </c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</row>
    <row r="62" spans="2:13" ht="32" customHeight="1">
      <c r="B62" s="68" t="s">
        <v>319</v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</row>
    <row r="63" spans="2:13" ht="32" customHeight="1">
      <c r="B63" s="68" t="s">
        <v>320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</row>
    <row r="64" spans="2:13" ht="32" customHeight="1">
      <c r="B64" s="68" t="s">
        <v>321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</row>
    <row r="66" spans="2:13" ht="21" customHeight="1">
      <c r="B66" s="60" t="s">
        <v>322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2:13" ht="26" customHeight="1">
      <c r="B67" s="82" t="s">
        <v>323</v>
      </c>
      <c r="C67" s="82" t="s">
        <v>315</v>
      </c>
      <c r="D67" s="82" t="s">
        <v>324</v>
      </c>
      <c r="E67" s="82" t="s">
        <v>139</v>
      </c>
      <c r="F67" s="82" t="s">
        <v>285</v>
      </c>
      <c r="G67" s="82" t="s">
        <v>325</v>
      </c>
      <c r="H67" s="82" t="s">
        <v>326</v>
      </c>
      <c r="I67" s="82" t="s">
        <v>327</v>
      </c>
      <c r="J67" s="82" t="s">
        <v>328</v>
      </c>
      <c r="K67" s="72" t="s">
        <v>286</v>
      </c>
      <c r="L67" s="72"/>
      <c r="M67" s="72"/>
    </row>
    <row r="68" spans="2:13" ht="19" customHeight="1">
      <c r="B68" s="83"/>
      <c r="C68" s="84"/>
      <c r="D68" s="84"/>
      <c r="E68" s="84"/>
      <c r="F68" s="84"/>
      <c r="G68" s="84"/>
      <c r="H68" s="84"/>
      <c r="I68" s="84"/>
      <c r="J68" s="84"/>
      <c r="K68" s="78"/>
      <c r="L68" s="78"/>
      <c r="M68" s="78"/>
    </row>
    <row r="69" spans="2:13" ht="19" customHeight="1">
      <c r="B69" s="83"/>
      <c r="C69" s="84"/>
      <c r="D69" s="84"/>
      <c r="E69" s="84"/>
      <c r="F69" s="84"/>
      <c r="G69" s="84"/>
      <c r="H69" s="84"/>
      <c r="I69" s="84"/>
      <c r="J69" s="84"/>
      <c r="K69" s="78"/>
      <c r="L69" s="78"/>
      <c r="M69" s="78"/>
    </row>
    <row r="70" spans="2:13" ht="19" customHeight="1">
      <c r="B70" s="83"/>
      <c r="C70" s="84"/>
      <c r="D70" s="84"/>
      <c r="E70" s="84"/>
      <c r="F70" s="84"/>
      <c r="G70" s="84"/>
      <c r="H70" s="84"/>
      <c r="I70" s="84"/>
      <c r="J70" s="84"/>
      <c r="K70" s="78"/>
      <c r="L70" s="78"/>
      <c r="M70" s="78"/>
    </row>
    <row r="71" spans="2:13" ht="19" customHeight="1">
      <c r="B71" s="83"/>
      <c r="C71" s="84"/>
      <c r="D71" s="84"/>
      <c r="E71" s="84"/>
      <c r="F71" s="84"/>
      <c r="G71" s="84"/>
      <c r="H71" s="84"/>
      <c r="I71" s="84"/>
      <c r="J71" s="84"/>
      <c r="K71" s="78"/>
      <c r="L71" s="78"/>
      <c r="M71" s="78"/>
    </row>
    <row r="73" spans="2:13" ht="21" customHeight="1">
      <c r="B73" s="60" t="s">
        <v>329</v>
      </c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</row>
    <row r="74" spans="2:13"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2:13"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</row>
    <row r="76" spans="2:13"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8" spans="2:13" ht="30" customHeight="1">
      <c r="B78" s="85" t="s">
        <v>330</v>
      </c>
      <c r="C78" s="85"/>
      <c r="D78" s="85"/>
      <c r="E78" s="85"/>
      <c r="F78" s="85"/>
      <c r="H78" s="85" t="s">
        <v>331</v>
      </c>
      <c r="I78" s="85"/>
      <c r="J78" s="85"/>
      <c r="K78" s="85"/>
      <c r="L78" s="85"/>
      <c r="M78" s="85"/>
    </row>
  </sheetData>
  <sheetProtection sheet="1" objects="1" scenarios="1" formatColumns="0" formatRows="0"/>
  <mergeCells count="129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G10"/>
    <mergeCell ref="H10:I10"/>
    <mergeCell ref="J10:M10"/>
    <mergeCell ref="C11:G11"/>
    <mergeCell ref="H11:I11"/>
    <mergeCell ref="J11:M11"/>
    <mergeCell ref="C12:G12"/>
    <mergeCell ref="H12:I12"/>
    <mergeCell ref="J12:M12"/>
    <mergeCell ref="C13:G13"/>
    <mergeCell ref="H13:I13"/>
    <mergeCell ref="J13:M13"/>
    <mergeCell ref="C14:G14"/>
    <mergeCell ref="H14:I14"/>
    <mergeCell ref="J14:M14"/>
    <mergeCell ref="B16:M16"/>
    <mergeCell ref="C17:D17"/>
    <mergeCell ref="E17:M17"/>
    <mergeCell ref="B18:B20"/>
    <mergeCell ref="C18:M20"/>
    <mergeCell ref="B22:M22"/>
    <mergeCell ref="B23:B25"/>
    <mergeCell ref="C23:M25"/>
    <mergeCell ref="B26:B28"/>
    <mergeCell ref="C26:M28"/>
    <mergeCell ref="B29:B31"/>
    <mergeCell ref="C29:M31"/>
    <mergeCell ref="B33:M33"/>
    <mergeCell ref="C34:D34"/>
    <mergeCell ref="E34:F34"/>
    <mergeCell ref="G34:H34"/>
    <mergeCell ref="I34:M34"/>
    <mergeCell ref="C35:D35"/>
    <mergeCell ref="E35:F35"/>
    <mergeCell ref="G35:H35"/>
    <mergeCell ref="I35:M35"/>
    <mergeCell ref="C36:D36"/>
    <mergeCell ref="E36:F36"/>
    <mergeCell ref="G36:H36"/>
    <mergeCell ref="I36:M36"/>
    <mergeCell ref="C37:D37"/>
    <mergeCell ref="E37:F37"/>
    <mergeCell ref="G37:H37"/>
    <mergeCell ref="I37:M37"/>
    <mergeCell ref="B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C46:E46"/>
    <mergeCell ref="F46:G46"/>
    <mergeCell ref="H46:M46"/>
    <mergeCell ref="C47:E47"/>
    <mergeCell ref="F47:G47"/>
    <mergeCell ref="H47:M47"/>
    <mergeCell ref="C48:E48"/>
    <mergeCell ref="F48:G48"/>
    <mergeCell ref="H48:M48"/>
    <mergeCell ref="C49:E49"/>
    <mergeCell ref="F49:G49"/>
    <mergeCell ref="H49:M49"/>
    <mergeCell ref="C50:E50"/>
    <mergeCell ref="F50:G50"/>
    <mergeCell ref="H50:M50"/>
    <mergeCell ref="C51:E51"/>
    <mergeCell ref="F51:G51"/>
    <mergeCell ref="H51:M51"/>
    <mergeCell ref="C52:E52"/>
    <mergeCell ref="F52:G52"/>
    <mergeCell ref="H52:M52"/>
    <mergeCell ref="C53:E53"/>
    <mergeCell ref="F53:G53"/>
    <mergeCell ref="H53:M53"/>
    <mergeCell ref="C54:E54"/>
    <mergeCell ref="F54:G54"/>
    <mergeCell ref="H54:M54"/>
    <mergeCell ref="B56:M56"/>
    <mergeCell ref="C57:G57"/>
    <mergeCell ref="H57:M57"/>
    <mergeCell ref="C58:G58"/>
    <mergeCell ref="H58:M58"/>
    <mergeCell ref="C59:G59"/>
    <mergeCell ref="H59:M59"/>
    <mergeCell ref="C60:G60"/>
    <mergeCell ref="H60:M60"/>
    <mergeCell ref="C61:G61"/>
    <mergeCell ref="H61:M61"/>
    <mergeCell ref="C62:G62"/>
    <mergeCell ref="H62:M62"/>
    <mergeCell ref="C63:G63"/>
    <mergeCell ref="H63:M63"/>
    <mergeCell ref="C64:G64"/>
    <mergeCell ref="H64:M64"/>
    <mergeCell ref="B66:M66"/>
    <mergeCell ref="K67:M67"/>
    <mergeCell ref="K68:M68"/>
    <mergeCell ref="K69:M69"/>
    <mergeCell ref="K70:M70"/>
    <mergeCell ref="K71:M71"/>
    <mergeCell ref="B73:M73"/>
    <mergeCell ref="B74:M76"/>
    <mergeCell ref="B78:F78"/>
    <mergeCell ref="H78:M78"/>
  </mergeCells>
  <conditionalFormatting sqref="F41:F54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3">
    <dataValidation type="list" allowBlank="1" showInputMessage="1" showErrorMessage="1" sqref="H7">
      <formula1>lstTurma</formula1>
    </dataValidation>
    <dataValidation type="list" allowBlank="1" showInputMessage="1" showErrorMessage="1" sqref="C17">
      <formula1>lstSN</formula1>
    </dataValidation>
    <dataValidation type="list" allowBlank="1" showInputMessage="1" showErrorMessage="1" sqref="F41:F54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E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6" customWidth="1"/>
    <col min="2" max="2" width="17.7109375" style="87" customWidth="1"/>
    <col min="3" max="3" width="7.7109375" style="88" customWidth="1"/>
    <col min="4" max="4" width="20.7109375" style="87" customWidth="1"/>
    <col min="5" max="5" width="9.7109375" style="88" customWidth="1"/>
    <col min="6" max="6" width="15.7109375" style="89" customWidth="1"/>
    <col min="7" max="7" width="16.7109375" style="87" customWidth="1"/>
    <col min="8" max="13" width="11.7109375" style="90" customWidth="1"/>
    <col min="14" max="15" width="11.7109375" style="91" customWidth="1"/>
    <col min="16" max="31" width="11.7109375" style="92" customWidth="1"/>
    <col min="32" max="33" width="11.7109375" style="91" customWidth="1"/>
    <col min="34" max="35" width="11.7109375" style="92" customWidth="1"/>
    <col min="36" max="37" width="11.7109375" style="91" customWidth="1"/>
    <col min="38" max="39" width="11.7109375" style="92" customWidth="1"/>
    <col min="40" max="41" width="11.7109375" style="91" customWidth="1"/>
    <col min="42" max="45" width="11.7109375" style="90" customWidth="1"/>
    <col min="46" max="47" width="11.7109375" style="91" customWidth="1"/>
    <col min="48" max="51" width="11.7109375" style="90" customWidth="1"/>
    <col min="52" max="52" width="9.7109375" style="88" customWidth="1"/>
    <col min="53" max="53" width="10.7109375" style="88" customWidth="1"/>
    <col min="54" max="56" width="40.7109375" style="93" customWidth="1"/>
    <col min="57" max="57" width="40.7109375" style="94" customWidth="1"/>
  </cols>
  <sheetData>
    <row r="1" spans="1:57" ht="8" customHeight="1"/>
    <row r="2" spans="1:57" ht="30" customHeight="1">
      <c r="A2" s="1" t="s">
        <v>0</v>
      </c>
      <c r="B2" s="1"/>
      <c r="C2" s="2" t="s">
        <v>332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57" ht="22" customHeight="1">
      <c r="A3" s="1"/>
      <c r="B3" s="1"/>
      <c r="C3" s="3" t="s">
        <v>333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57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57" ht="30" customHeight="1"/>
    <row r="6" spans="1:57" ht="48" customHeight="1">
      <c r="A6" s="95" t="s">
        <v>259</v>
      </c>
      <c r="B6" s="95" t="s">
        <v>193</v>
      </c>
      <c r="C6" s="95" t="s">
        <v>194</v>
      </c>
      <c r="D6" s="95" t="s">
        <v>195</v>
      </c>
      <c r="E6" s="95" t="s">
        <v>261</v>
      </c>
      <c r="F6" s="95" t="s">
        <v>334</v>
      </c>
      <c r="G6" s="95" t="s">
        <v>4</v>
      </c>
      <c r="H6" s="96" t="s">
        <v>335</v>
      </c>
      <c r="I6" s="96" t="s">
        <v>336</v>
      </c>
      <c r="J6" s="96" t="s">
        <v>337</v>
      </c>
      <c r="K6" s="96" t="s">
        <v>338</v>
      </c>
      <c r="L6" s="96" t="s">
        <v>339</v>
      </c>
      <c r="M6" s="96" t="s">
        <v>340</v>
      </c>
      <c r="N6" s="96" t="s">
        <v>341</v>
      </c>
      <c r="O6" s="96" t="s">
        <v>342</v>
      </c>
      <c r="P6" s="96" t="s">
        <v>343</v>
      </c>
      <c r="Q6" s="96" t="s">
        <v>344</v>
      </c>
      <c r="R6" s="96" t="s">
        <v>345</v>
      </c>
      <c r="S6" s="96" t="s">
        <v>346</v>
      </c>
      <c r="T6" s="96" t="s">
        <v>347</v>
      </c>
      <c r="U6" s="96" t="s">
        <v>348</v>
      </c>
      <c r="V6" s="96" t="s">
        <v>349</v>
      </c>
      <c r="W6" s="96" t="s">
        <v>350</v>
      </c>
      <c r="X6" s="96" t="s">
        <v>351</v>
      </c>
      <c r="Y6" s="96" t="s">
        <v>352</v>
      </c>
      <c r="Z6" s="96" t="s">
        <v>353</v>
      </c>
      <c r="AA6" s="96" t="s">
        <v>354</v>
      </c>
      <c r="AB6" s="96" t="s">
        <v>355</v>
      </c>
      <c r="AC6" s="96" t="s">
        <v>356</v>
      </c>
      <c r="AD6" s="96" t="s">
        <v>357</v>
      </c>
      <c r="AE6" s="96" t="s">
        <v>358</v>
      </c>
      <c r="AF6" s="96" t="s">
        <v>359</v>
      </c>
      <c r="AG6" s="96" t="s">
        <v>360</v>
      </c>
      <c r="AH6" s="96" t="s">
        <v>361</v>
      </c>
      <c r="AI6" s="96" t="s">
        <v>362</v>
      </c>
      <c r="AJ6" s="96" t="s">
        <v>363</v>
      </c>
      <c r="AK6" s="96" t="s">
        <v>364</v>
      </c>
      <c r="AL6" s="96" t="s">
        <v>365</v>
      </c>
      <c r="AM6" s="96" t="s">
        <v>366</v>
      </c>
      <c r="AN6" s="96" t="s">
        <v>367</v>
      </c>
      <c r="AO6" s="96" t="s">
        <v>368</v>
      </c>
      <c r="AP6" s="96" t="s">
        <v>369</v>
      </c>
      <c r="AQ6" s="96" t="s">
        <v>370</v>
      </c>
      <c r="AR6" s="96" t="s">
        <v>371</v>
      </c>
      <c r="AS6" s="96" t="s">
        <v>372</v>
      </c>
      <c r="AT6" s="96" t="s">
        <v>373</v>
      </c>
      <c r="AU6" s="96" t="s">
        <v>374</v>
      </c>
      <c r="AV6" s="96" t="s">
        <v>375</v>
      </c>
      <c r="AW6" s="96" t="s">
        <v>376</v>
      </c>
      <c r="AX6" s="96" t="s">
        <v>377</v>
      </c>
      <c r="AY6" s="96" t="s">
        <v>378</v>
      </c>
      <c r="AZ6" s="97" t="s">
        <v>379</v>
      </c>
      <c r="BA6" s="97" t="s">
        <v>380</v>
      </c>
      <c r="BB6" s="97" t="s">
        <v>381</v>
      </c>
      <c r="BC6" s="97" t="s">
        <v>382</v>
      </c>
      <c r="BD6" s="97" t="s">
        <v>383</v>
      </c>
      <c r="BE6" s="97" t="s">
        <v>384</v>
      </c>
    </row>
  </sheetData>
  <autoFilter ref="A6:BE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6" customWidth="1"/>
    <col min="2" max="2" width="17.7109375" style="87" customWidth="1"/>
    <col min="3" max="3" width="7.7109375" style="87" customWidth="1"/>
    <col min="4" max="4" width="13.7109375" style="87" customWidth="1"/>
    <col min="5" max="5" width="22.7109375" style="87" customWidth="1"/>
    <col min="6" max="6" width="34.7109375" style="87" customWidth="1"/>
    <col min="7" max="7" width="16.7109375" style="87" customWidth="1"/>
    <col min="8" max="8" width="70.7109375" style="93" customWidth="1"/>
    <col min="9" max="9" width="15.7109375" style="89" customWidth="1"/>
  </cols>
  <sheetData>
    <row r="1" spans="1:9" ht="8" customHeight="1"/>
    <row r="2" spans="1:9" ht="30" customHeight="1">
      <c r="A2" s="1" t="s">
        <v>0</v>
      </c>
      <c r="B2" s="1"/>
      <c r="C2" s="2" t="s">
        <v>385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386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8" t="s">
        <v>259</v>
      </c>
      <c r="B6" s="98" t="s">
        <v>193</v>
      </c>
      <c r="C6" s="98" t="s">
        <v>194</v>
      </c>
      <c r="D6" s="98" t="s">
        <v>387</v>
      </c>
      <c r="E6" s="98" t="s">
        <v>388</v>
      </c>
      <c r="F6" s="98" t="s">
        <v>389</v>
      </c>
      <c r="G6" s="98" t="s">
        <v>129</v>
      </c>
      <c r="H6" s="98" t="s">
        <v>390</v>
      </c>
      <c r="I6" s="98" t="s">
        <v>391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endencias">
    <tabColor rgb="FF59C6F2"/>
    <pageSetUpPr fitToPage="1"/>
  </sheetPr>
  <dimension ref="A1:R45"/>
  <sheetViews>
    <sheetView showGridLines="0" workbookViewId="0"/>
  </sheetViews>
  <sheetFormatPr defaultRowHeight="15"/>
  <cols>
    <col min="1" max="1" width="3.7109375" hidden="1" customWidth="1"/>
    <col min="2" max="2" width="12.7109375" customWidth="1"/>
    <col min="3" max="6" width="10.7109375" customWidth="1"/>
    <col min="7" max="7" width="3.7109375" customWidth="1"/>
    <col min="8" max="17" width="9.7109375" customWidth="1"/>
    <col min="18" max="18" width="10.7109375" hidden="1" customWidth="1"/>
  </cols>
  <sheetData>
    <row r="1" spans="1:18" ht="8" customHeight="1"/>
    <row r="2" spans="1:18" ht="30" customHeight="1">
      <c r="B2" s="1" t="s">
        <v>0</v>
      </c>
      <c r="C2" s="1"/>
      <c r="D2" s="2" t="s">
        <v>392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>
        <f>COUNTA('Histórico'!$A$7:$A$20000)</f>
        <v>0</v>
      </c>
    </row>
    <row r="3" spans="1:18" ht="22" customHeight="1">
      <c r="B3" s="1"/>
      <c r="C3" s="1"/>
      <c r="D3" s="3" t="s">
        <v>393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>
        <f>MATCH(tdParam&amp;" · US3",'Histórico'!$6:$6,0)</f>
        <v>0</v>
      </c>
    </row>
    <row r="4" spans="1:18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>
        <f>MATCH(tdParam&amp;" · US4",'Histórico'!$6:$6,0)</f>
        <v>0</v>
      </c>
    </row>
    <row r="5" spans="1:18">
      <c r="R5">
        <f>MATCH(tdParam,lstParam,0)</f>
        <v>0</v>
      </c>
    </row>
    <row r="6" spans="1:18" ht="26" customHeight="1">
      <c r="B6" s="99" t="s">
        <v>394</v>
      </c>
      <c r="C6" s="67" t="s">
        <v>100</v>
      </c>
      <c r="D6" s="67"/>
      <c r="E6" s="67"/>
      <c r="F6" s="67"/>
    </row>
    <row r="8" spans="1:18">
      <c r="B8" s="100" t="s">
        <v>193</v>
      </c>
      <c r="C8" s="100" t="s">
        <v>205</v>
      </c>
      <c r="D8" s="100" t="s">
        <v>207</v>
      </c>
      <c r="E8" s="100" t="s">
        <v>33</v>
      </c>
      <c r="F8" s="100" t="s">
        <v>34</v>
      </c>
    </row>
    <row r="9" spans="1:18">
      <c r="A9">
        <v>1</v>
      </c>
      <c r="B9" s="88">
        <f>IF($R$2-30+$A9&lt;1,"",TEXT(DAY(INDEX('Histórico'!$A:$A,6+$R$2-30+$A9)),"00")&amp;"/"&amp;TEXT(MONTH(INDEX('Histórico'!$A:$A,6+$R$2-30+$A9)),"00")&amp;" "&amp;LEFT(INDEX('Histórico'!$B:$B,6+$R$2-30+$A9),1))</f>
        <v>0</v>
      </c>
      <c r="C9" s="92">
        <f>IF(OR($R$2-30+$A9&lt;1,ISNA($R$3)),NA(),IF(INDEX('Histórico'!$A:$ZZ,6+$R$2-30+$A9,$R$3)="",NA(),INDEX('Histórico'!$A:$ZZ,6+$R$2-30+$A9,$R$3)))</f>
        <v>0</v>
      </c>
      <c r="D9" s="92">
        <f>IF(OR($R$2-30+$A9&lt;1,ISNA($R$4)),NA(),IF(INDEX('Histórico'!$A:$ZZ,6+$R$2-30+$A9,$R$4)="",NA(),INDEX('Histórico'!$A:$ZZ,6+$R$2-30+$A9,$R$4)))</f>
        <v>0</v>
      </c>
      <c r="E9" s="92">
        <f>IF(ISNA($R$5),NA(),IF(INDEX('Configurações'!$K$18:$K$39,$R$5)="",NA(),INDEX('Configurações'!$K$18:$K$39,$R$5)))</f>
        <v>0</v>
      </c>
      <c r="F9" s="92">
        <f>IF(ISNA($R$5),NA(),IF(INDEX('Configurações'!$L$18:$L$39,$R$5)="",NA(),INDEX('Configurações'!$L$18:$L$39,$R$5)))</f>
        <v>0</v>
      </c>
    </row>
    <row r="10" spans="1:18">
      <c r="A10">
        <v>2</v>
      </c>
      <c r="B10" s="88">
        <f>IF($R$2-30+$A10&lt;1,"",TEXT(DAY(INDEX('Histórico'!$A:$A,6+$R$2-30+$A10)),"00")&amp;"/"&amp;TEXT(MONTH(INDEX('Histórico'!$A:$A,6+$R$2-30+$A10)),"00")&amp;" "&amp;LEFT(INDEX('Histórico'!$B:$B,6+$R$2-30+$A10),1))</f>
        <v>0</v>
      </c>
      <c r="C10" s="92">
        <f>IF(OR($R$2-30+$A10&lt;1,ISNA($R$3)),NA(),IF(INDEX('Histórico'!$A:$ZZ,6+$R$2-30+$A10,$R$3)="",NA(),INDEX('Histórico'!$A:$ZZ,6+$R$2-30+$A10,$R$3)))</f>
        <v>0</v>
      </c>
      <c r="D10" s="92">
        <f>IF(OR($R$2-30+$A10&lt;1,ISNA($R$4)),NA(),IF(INDEX('Histórico'!$A:$ZZ,6+$R$2-30+$A10,$R$4)="",NA(),INDEX('Histórico'!$A:$ZZ,6+$R$2-30+$A10,$R$4)))</f>
        <v>0</v>
      </c>
      <c r="E10" s="92">
        <f>IF(ISNA($R$5),NA(),IF(INDEX('Configurações'!$K$18:$K$39,$R$5)="",NA(),INDEX('Configurações'!$K$18:$K$39,$R$5)))</f>
        <v>0</v>
      </c>
      <c r="F10" s="92">
        <f>IF(ISNA($R$5),NA(),IF(INDEX('Configurações'!$L$18:$L$39,$R$5)="",NA(),INDEX('Configurações'!$L$18:$L$39,$R$5)))</f>
        <v>0</v>
      </c>
    </row>
    <row r="11" spans="1:18">
      <c r="A11">
        <v>3</v>
      </c>
      <c r="B11" s="88">
        <f>IF($R$2-30+$A11&lt;1,"",TEXT(DAY(INDEX('Histórico'!$A:$A,6+$R$2-30+$A11)),"00")&amp;"/"&amp;TEXT(MONTH(INDEX('Histórico'!$A:$A,6+$R$2-30+$A11)),"00")&amp;" "&amp;LEFT(INDEX('Histórico'!$B:$B,6+$R$2-30+$A11),1))</f>
        <v>0</v>
      </c>
      <c r="C11" s="92">
        <f>IF(OR($R$2-30+$A11&lt;1,ISNA($R$3)),NA(),IF(INDEX('Histórico'!$A:$ZZ,6+$R$2-30+$A11,$R$3)="",NA(),INDEX('Histórico'!$A:$ZZ,6+$R$2-30+$A11,$R$3)))</f>
        <v>0</v>
      </c>
      <c r="D11" s="92">
        <f>IF(OR($R$2-30+$A11&lt;1,ISNA($R$4)),NA(),IF(INDEX('Histórico'!$A:$ZZ,6+$R$2-30+$A11,$R$4)="",NA(),INDEX('Histórico'!$A:$ZZ,6+$R$2-30+$A11,$R$4)))</f>
        <v>0</v>
      </c>
      <c r="E11" s="92">
        <f>IF(ISNA($R$5),NA(),IF(INDEX('Configurações'!$K$18:$K$39,$R$5)="",NA(),INDEX('Configurações'!$K$18:$K$39,$R$5)))</f>
        <v>0</v>
      </c>
      <c r="F11" s="92">
        <f>IF(ISNA($R$5),NA(),IF(INDEX('Configurações'!$L$18:$L$39,$R$5)="",NA(),INDEX('Configurações'!$L$18:$L$39,$R$5)))</f>
        <v>0</v>
      </c>
    </row>
    <row r="12" spans="1:18">
      <c r="A12">
        <v>4</v>
      </c>
      <c r="B12" s="88">
        <f>IF($R$2-30+$A12&lt;1,"",TEXT(DAY(INDEX('Histórico'!$A:$A,6+$R$2-30+$A12)),"00")&amp;"/"&amp;TEXT(MONTH(INDEX('Histórico'!$A:$A,6+$R$2-30+$A12)),"00")&amp;" "&amp;LEFT(INDEX('Histórico'!$B:$B,6+$R$2-30+$A12),1))</f>
        <v>0</v>
      </c>
      <c r="C12" s="92">
        <f>IF(OR($R$2-30+$A12&lt;1,ISNA($R$3)),NA(),IF(INDEX('Histórico'!$A:$ZZ,6+$R$2-30+$A12,$R$3)="",NA(),INDEX('Histórico'!$A:$ZZ,6+$R$2-30+$A12,$R$3)))</f>
        <v>0</v>
      </c>
      <c r="D12" s="92">
        <f>IF(OR($R$2-30+$A12&lt;1,ISNA($R$4)),NA(),IF(INDEX('Histórico'!$A:$ZZ,6+$R$2-30+$A12,$R$4)="",NA(),INDEX('Histórico'!$A:$ZZ,6+$R$2-30+$A12,$R$4)))</f>
        <v>0</v>
      </c>
      <c r="E12" s="92">
        <f>IF(ISNA($R$5),NA(),IF(INDEX('Configurações'!$K$18:$K$39,$R$5)="",NA(),INDEX('Configurações'!$K$18:$K$39,$R$5)))</f>
        <v>0</v>
      </c>
      <c r="F12" s="92">
        <f>IF(ISNA($R$5),NA(),IF(INDEX('Configurações'!$L$18:$L$39,$R$5)="",NA(),INDEX('Configurações'!$L$18:$L$39,$R$5)))</f>
        <v>0</v>
      </c>
    </row>
    <row r="13" spans="1:18">
      <c r="A13">
        <v>5</v>
      </c>
      <c r="B13" s="88">
        <f>IF($R$2-30+$A13&lt;1,"",TEXT(DAY(INDEX('Histórico'!$A:$A,6+$R$2-30+$A13)),"00")&amp;"/"&amp;TEXT(MONTH(INDEX('Histórico'!$A:$A,6+$R$2-30+$A13)),"00")&amp;" "&amp;LEFT(INDEX('Histórico'!$B:$B,6+$R$2-30+$A13),1))</f>
        <v>0</v>
      </c>
      <c r="C13" s="92">
        <f>IF(OR($R$2-30+$A13&lt;1,ISNA($R$3)),NA(),IF(INDEX('Histórico'!$A:$ZZ,6+$R$2-30+$A13,$R$3)="",NA(),INDEX('Histórico'!$A:$ZZ,6+$R$2-30+$A13,$R$3)))</f>
        <v>0</v>
      </c>
      <c r="D13" s="92">
        <f>IF(OR($R$2-30+$A13&lt;1,ISNA($R$4)),NA(),IF(INDEX('Histórico'!$A:$ZZ,6+$R$2-30+$A13,$R$4)="",NA(),INDEX('Histórico'!$A:$ZZ,6+$R$2-30+$A13,$R$4)))</f>
        <v>0</v>
      </c>
      <c r="E13" s="92">
        <f>IF(ISNA($R$5),NA(),IF(INDEX('Configurações'!$K$18:$K$39,$R$5)="",NA(),INDEX('Configurações'!$K$18:$K$39,$R$5)))</f>
        <v>0</v>
      </c>
      <c r="F13" s="92">
        <f>IF(ISNA($R$5),NA(),IF(INDEX('Configurações'!$L$18:$L$39,$R$5)="",NA(),INDEX('Configurações'!$L$18:$L$39,$R$5)))</f>
        <v>0</v>
      </c>
    </row>
    <row r="14" spans="1:18">
      <c r="A14">
        <v>6</v>
      </c>
      <c r="B14" s="88">
        <f>IF($R$2-30+$A14&lt;1,"",TEXT(DAY(INDEX('Histórico'!$A:$A,6+$R$2-30+$A14)),"00")&amp;"/"&amp;TEXT(MONTH(INDEX('Histórico'!$A:$A,6+$R$2-30+$A14)),"00")&amp;" "&amp;LEFT(INDEX('Histórico'!$B:$B,6+$R$2-30+$A14),1))</f>
        <v>0</v>
      </c>
      <c r="C14" s="92">
        <f>IF(OR($R$2-30+$A14&lt;1,ISNA($R$3)),NA(),IF(INDEX('Histórico'!$A:$ZZ,6+$R$2-30+$A14,$R$3)="",NA(),INDEX('Histórico'!$A:$ZZ,6+$R$2-30+$A14,$R$3)))</f>
        <v>0</v>
      </c>
      <c r="D14" s="92">
        <f>IF(OR($R$2-30+$A14&lt;1,ISNA($R$4)),NA(),IF(INDEX('Histórico'!$A:$ZZ,6+$R$2-30+$A14,$R$4)="",NA(),INDEX('Histórico'!$A:$ZZ,6+$R$2-30+$A14,$R$4)))</f>
        <v>0</v>
      </c>
      <c r="E14" s="92">
        <f>IF(ISNA($R$5),NA(),IF(INDEX('Configurações'!$K$18:$K$39,$R$5)="",NA(),INDEX('Configurações'!$K$18:$K$39,$R$5)))</f>
        <v>0</v>
      </c>
      <c r="F14" s="92">
        <f>IF(ISNA($R$5),NA(),IF(INDEX('Configurações'!$L$18:$L$39,$R$5)="",NA(),INDEX('Configurações'!$L$18:$L$39,$R$5)))</f>
        <v>0</v>
      </c>
    </row>
    <row r="15" spans="1:18">
      <c r="A15">
        <v>7</v>
      </c>
      <c r="B15" s="88">
        <f>IF($R$2-30+$A15&lt;1,"",TEXT(DAY(INDEX('Histórico'!$A:$A,6+$R$2-30+$A15)),"00")&amp;"/"&amp;TEXT(MONTH(INDEX('Histórico'!$A:$A,6+$R$2-30+$A15)),"00")&amp;" "&amp;LEFT(INDEX('Histórico'!$B:$B,6+$R$2-30+$A15),1))</f>
        <v>0</v>
      </c>
      <c r="C15" s="92">
        <f>IF(OR($R$2-30+$A15&lt;1,ISNA($R$3)),NA(),IF(INDEX('Histórico'!$A:$ZZ,6+$R$2-30+$A15,$R$3)="",NA(),INDEX('Histórico'!$A:$ZZ,6+$R$2-30+$A15,$R$3)))</f>
        <v>0</v>
      </c>
      <c r="D15" s="92">
        <f>IF(OR($R$2-30+$A15&lt;1,ISNA($R$4)),NA(),IF(INDEX('Histórico'!$A:$ZZ,6+$R$2-30+$A15,$R$4)="",NA(),INDEX('Histórico'!$A:$ZZ,6+$R$2-30+$A15,$R$4)))</f>
        <v>0</v>
      </c>
      <c r="E15" s="92">
        <f>IF(ISNA($R$5),NA(),IF(INDEX('Configurações'!$K$18:$K$39,$R$5)="",NA(),INDEX('Configurações'!$K$18:$K$39,$R$5)))</f>
        <v>0</v>
      </c>
      <c r="F15" s="92">
        <f>IF(ISNA($R$5),NA(),IF(INDEX('Configurações'!$L$18:$L$39,$R$5)="",NA(),INDEX('Configurações'!$L$18:$L$39,$R$5)))</f>
        <v>0</v>
      </c>
    </row>
    <row r="16" spans="1:18">
      <c r="A16">
        <v>8</v>
      </c>
      <c r="B16" s="88">
        <f>IF($R$2-30+$A16&lt;1,"",TEXT(DAY(INDEX('Histórico'!$A:$A,6+$R$2-30+$A16)),"00")&amp;"/"&amp;TEXT(MONTH(INDEX('Histórico'!$A:$A,6+$R$2-30+$A16)),"00")&amp;" "&amp;LEFT(INDEX('Histórico'!$B:$B,6+$R$2-30+$A16),1))</f>
        <v>0</v>
      </c>
      <c r="C16" s="92">
        <f>IF(OR($R$2-30+$A16&lt;1,ISNA($R$3)),NA(),IF(INDEX('Histórico'!$A:$ZZ,6+$R$2-30+$A16,$R$3)="",NA(),INDEX('Histórico'!$A:$ZZ,6+$R$2-30+$A16,$R$3)))</f>
        <v>0</v>
      </c>
      <c r="D16" s="92">
        <f>IF(OR($R$2-30+$A16&lt;1,ISNA($R$4)),NA(),IF(INDEX('Histórico'!$A:$ZZ,6+$R$2-30+$A16,$R$4)="",NA(),INDEX('Histórico'!$A:$ZZ,6+$R$2-30+$A16,$R$4)))</f>
        <v>0</v>
      </c>
      <c r="E16" s="92">
        <f>IF(ISNA($R$5),NA(),IF(INDEX('Configurações'!$K$18:$K$39,$R$5)="",NA(),INDEX('Configurações'!$K$18:$K$39,$R$5)))</f>
        <v>0</v>
      </c>
      <c r="F16" s="92">
        <f>IF(ISNA($R$5),NA(),IF(INDEX('Configurações'!$L$18:$L$39,$R$5)="",NA(),INDEX('Configurações'!$L$18:$L$39,$R$5)))</f>
        <v>0</v>
      </c>
    </row>
    <row r="17" spans="1:6">
      <c r="A17">
        <v>9</v>
      </c>
      <c r="B17" s="88">
        <f>IF($R$2-30+$A17&lt;1,"",TEXT(DAY(INDEX('Histórico'!$A:$A,6+$R$2-30+$A17)),"00")&amp;"/"&amp;TEXT(MONTH(INDEX('Histórico'!$A:$A,6+$R$2-30+$A17)),"00")&amp;" "&amp;LEFT(INDEX('Histórico'!$B:$B,6+$R$2-30+$A17),1))</f>
        <v>0</v>
      </c>
      <c r="C17" s="92">
        <f>IF(OR($R$2-30+$A17&lt;1,ISNA($R$3)),NA(),IF(INDEX('Histórico'!$A:$ZZ,6+$R$2-30+$A17,$R$3)="",NA(),INDEX('Histórico'!$A:$ZZ,6+$R$2-30+$A17,$R$3)))</f>
        <v>0</v>
      </c>
      <c r="D17" s="92">
        <f>IF(OR($R$2-30+$A17&lt;1,ISNA($R$4)),NA(),IF(INDEX('Histórico'!$A:$ZZ,6+$R$2-30+$A17,$R$4)="",NA(),INDEX('Histórico'!$A:$ZZ,6+$R$2-30+$A17,$R$4)))</f>
        <v>0</v>
      </c>
      <c r="E17" s="92">
        <f>IF(ISNA($R$5),NA(),IF(INDEX('Configurações'!$K$18:$K$39,$R$5)="",NA(),INDEX('Configurações'!$K$18:$K$39,$R$5)))</f>
        <v>0</v>
      </c>
      <c r="F17" s="92">
        <f>IF(ISNA($R$5),NA(),IF(INDEX('Configurações'!$L$18:$L$39,$R$5)="",NA(),INDEX('Configurações'!$L$18:$L$39,$R$5)))</f>
        <v>0</v>
      </c>
    </row>
    <row r="18" spans="1:6">
      <c r="A18">
        <v>10</v>
      </c>
      <c r="B18" s="88">
        <f>IF($R$2-30+$A18&lt;1,"",TEXT(DAY(INDEX('Histórico'!$A:$A,6+$R$2-30+$A18)),"00")&amp;"/"&amp;TEXT(MONTH(INDEX('Histórico'!$A:$A,6+$R$2-30+$A18)),"00")&amp;" "&amp;LEFT(INDEX('Histórico'!$B:$B,6+$R$2-30+$A18),1))</f>
        <v>0</v>
      </c>
      <c r="C18" s="92">
        <f>IF(OR($R$2-30+$A18&lt;1,ISNA($R$3)),NA(),IF(INDEX('Histórico'!$A:$ZZ,6+$R$2-30+$A18,$R$3)="",NA(),INDEX('Histórico'!$A:$ZZ,6+$R$2-30+$A18,$R$3)))</f>
        <v>0</v>
      </c>
      <c r="D18" s="92">
        <f>IF(OR($R$2-30+$A18&lt;1,ISNA($R$4)),NA(),IF(INDEX('Histórico'!$A:$ZZ,6+$R$2-30+$A18,$R$4)="",NA(),INDEX('Histórico'!$A:$ZZ,6+$R$2-30+$A18,$R$4)))</f>
        <v>0</v>
      </c>
      <c r="E18" s="92">
        <f>IF(ISNA($R$5),NA(),IF(INDEX('Configurações'!$K$18:$K$39,$R$5)="",NA(),INDEX('Configurações'!$K$18:$K$39,$R$5)))</f>
        <v>0</v>
      </c>
      <c r="F18" s="92">
        <f>IF(ISNA($R$5),NA(),IF(INDEX('Configurações'!$L$18:$L$39,$R$5)="",NA(),INDEX('Configurações'!$L$18:$L$39,$R$5)))</f>
        <v>0</v>
      </c>
    </row>
    <row r="19" spans="1:6">
      <c r="A19">
        <v>11</v>
      </c>
      <c r="B19" s="88">
        <f>IF($R$2-30+$A19&lt;1,"",TEXT(DAY(INDEX('Histórico'!$A:$A,6+$R$2-30+$A19)),"00")&amp;"/"&amp;TEXT(MONTH(INDEX('Histórico'!$A:$A,6+$R$2-30+$A19)),"00")&amp;" "&amp;LEFT(INDEX('Histórico'!$B:$B,6+$R$2-30+$A19),1))</f>
        <v>0</v>
      </c>
      <c r="C19" s="92">
        <f>IF(OR($R$2-30+$A19&lt;1,ISNA($R$3)),NA(),IF(INDEX('Histórico'!$A:$ZZ,6+$R$2-30+$A19,$R$3)="",NA(),INDEX('Histórico'!$A:$ZZ,6+$R$2-30+$A19,$R$3)))</f>
        <v>0</v>
      </c>
      <c r="D19" s="92">
        <f>IF(OR($R$2-30+$A19&lt;1,ISNA($R$4)),NA(),IF(INDEX('Histórico'!$A:$ZZ,6+$R$2-30+$A19,$R$4)="",NA(),INDEX('Histórico'!$A:$ZZ,6+$R$2-30+$A19,$R$4)))</f>
        <v>0</v>
      </c>
      <c r="E19" s="92">
        <f>IF(ISNA($R$5),NA(),IF(INDEX('Configurações'!$K$18:$K$39,$R$5)="",NA(),INDEX('Configurações'!$K$18:$K$39,$R$5)))</f>
        <v>0</v>
      </c>
      <c r="F19" s="92">
        <f>IF(ISNA($R$5),NA(),IF(INDEX('Configurações'!$L$18:$L$39,$R$5)="",NA(),INDEX('Configurações'!$L$18:$L$39,$R$5)))</f>
        <v>0</v>
      </c>
    </row>
    <row r="20" spans="1:6">
      <c r="A20">
        <v>12</v>
      </c>
      <c r="B20" s="88">
        <f>IF($R$2-30+$A20&lt;1,"",TEXT(DAY(INDEX('Histórico'!$A:$A,6+$R$2-30+$A20)),"00")&amp;"/"&amp;TEXT(MONTH(INDEX('Histórico'!$A:$A,6+$R$2-30+$A20)),"00")&amp;" "&amp;LEFT(INDEX('Histórico'!$B:$B,6+$R$2-30+$A20),1))</f>
        <v>0</v>
      </c>
      <c r="C20" s="92">
        <f>IF(OR($R$2-30+$A20&lt;1,ISNA($R$3)),NA(),IF(INDEX('Histórico'!$A:$ZZ,6+$R$2-30+$A20,$R$3)="",NA(),INDEX('Histórico'!$A:$ZZ,6+$R$2-30+$A20,$R$3)))</f>
        <v>0</v>
      </c>
      <c r="D20" s="92">
        <f>IF(OR($R$2-30+$A20&lt;1,ISNA($R$4)),NA(),IF(INDEX('Histórico'!$A:$ZZ,6+$R$2-30+$A20,$R$4)="",NA(),INDEX('Histórico'!$A:$ZZ,6+$R$2-30+$A20,$R$4)))</f>
        <v>0</v>
      </c>
      <c r="E20" s="92">
        <f>IF(ISNA($R$5),NA(),IF(INDEX('Configurações'!$K$18:$K$39,$R$5)="",NA(),INDEX('Configurações'!$K$18:$K$39,$R$5)))</f>
        <v>0</v>
      </c>
      <c r="F20" s="92">
        <f>IF(ISNA($R$5),NA(),IF(INDEX('Configurações'!$L$18:$L$39,$R$5)="",NA(),INDEX('Configurações'!$L$18:$L$39,$R$5)))</f>
        <v>0</v>
      </c>
    </row>
    <row r="21" spans="1:6">
      <c r="A21">
        <v>13</v>
      </c>
      <c r="B21" s="88">
        <f>IF($R$2-30+$A21&lt;1,"",TEXT(DAY(INDEX('Histórico'!$A:$A,6+$R$2-30+$A21)),"00")&amp;"/"&amp;TEXT(MONTH(INDEX('Histórico'!$A:$A,6+$R$2-30+$A21)),"00")&amp;" "&amp;LEFT(INDEX('Histórico'!$B:$B,6+$R$2-30+$A21),1))</f>
        <v>0</v>
      </c>
      <c r="C21" s="92">
        <f>IF(OR($R$2-30+$A21&lt;1,ISNA($R$3)),NA(),IF(INDEX('Histórico'!$A:$ZZ,6+$R$2-30+$A21,$R$3)="",NA(),INDEX('Histórico'!$A:$ZZ,6+$R$2-30+$A21,$R$3)))</f>
        <v>0</v>
      </c>
      <c r="D21" s="92">
        <f>IF(OR($R$2-30+$A21&lt;1,ISNA($R$4)),NA(),IF(INDEX('Histórico'!$A:$ZZ,6+$R$2-30+$A21,$R$4)="",NA(),INDEX('Histórico'!$A:$ZZ,6+$R$2-30+$A21,$R$4)))</f>
        <v>0</v>
      </c>
      <c r="E21" s="92">
        <f>IF(ISNA($R$5),NA(),IF(INDEX('Configurações'!$K$18:$K$39,$R$5)="",NA(),INDEX('Configurações'!$K$18:$K$39,$R$5)))</f>
        <v>0</v>
      </c>
      <c r="F21" s="92">
        <f>IF(ISNA($R$5),NA(),IF(INDEX('Configurações'!$L$18:$L$39,$R$5)="",NA(),INDEX('Configurações'!$L$18:$L$39,$R$5)))</f>
        <v>0</v>
      </c>
    </row>
    <row r="22" spans="1:6">
      <c r="A22">
        <v>14</v>
      </c>
      <c r="B22" s="88">
        <f>IF($R$2-30+$A22&lt;1,"",TEXT(DAY(INDEX('Histórico'!$A:$A,6+$R$2-30+$A22)),"00")&amp;"/"&amp;TEXT(MONTH(INDEX('Histórico'!$A:$A,6+$R$2-30+$A22)),"00")&amp;" "&amp;LEFT(INDEX('Histórico'!$B:$B,6+$R$2-30+$A22),1))</f>
        <v>0</v>
      </c>
      <c r="C22" s="92">
        <f>IF(OR($R$2-30+$A22&lt;1,ISNA($R$3)),NA(),IF(INDEX('Histórico'!$A:$ZZ,6+$R$2-30+$A22,$R$3)="",NA(),INDEX('Histórico'!$A:$ZZ,6+$R$2-30+$A22,$R$3)))</f>
        <v>0</v>
      </c>
      <c r="D22" s="92">
        <f>IF(OR($R$2-30+$A22&lt;1,ISNA($R$4)),NA(),IF(INDEX('Histórico'!$A:$ZZ,6+$R$2-30+$A22,$R$4)="",NA(),INDEX('Histórico'!$A:$ZZ,6+$R$2-30+$A22,$R$4)))</f>
        <v>0</v>
      </c>
      <c r="E22" s="92">
        <f>IF(ISNA($R$5),NA(),IF(INDEX('Configurações'!$K$18:$K$39,$R$5)="",NA(),INDEX('Configurações'!$K$18:$K$39,$R$5)))</f>
        <v>0</v>
      </c>
      <c r="F22" s="92">
        <f>IF(ISNA($R$5),NA(),IF(INDEX('Configurações'!$L$18:$L$39,$R$5)="",NA(),INDEX('Configurações'!$L$18:$L$39,$R$5)))</f>
        <v>0</v>
      </c>
    </row>
    <row r="23" spans="1:6">
      <c r="A23">
        <v>15</v>
      </c>
      <c r="B23" s="88">
        <f>IF($R$2-30+$A23&lt;1,"",TEXT(DAY(INDEX('Histórico'!$A:$A,6+$R$2-30+$A23)),"00")&amp;"/"&amp;TEXT(MONTH(INDEX('Histórico'!$A:$A,6+$R$2-30+$A23)),"00")&amp;" "&amp;LEFT(INDEX('Histórico'!$B:$B,6+$R$2-30+$A23),1))</f>
        <v>0</v>
      </c>
      <c r="C23" s="92">
        <f>IF(OR($R$2-30+$A23&lt;1,ISNA($R$3)),NA(),IF(INDEX('Histórico'!$A:$ZZ,6+$R$2-30+$A23,$R$3)="",NA(),INDEX('Histórico'!$A:$ZZ,6+$R$2-30+$A23,$R$3)))</f>
        <v>0</v>
      </c>
      <c r="D23" s="92">
        <f>IF(OR($R$2-30+$A23&lt;1,ISNA($R$4)),NA(),IF(INDEX('Histórico'!$A:$ZZ,6+$R$2-30+$A23,$R$4)="",NA(),INDEX('Histórico'!$A:$ZZ,6+$R$2-30+$A23,$R$4)))</f>
        <v>0</v>
      </c>
      <c r="E23" s="92">
        <f>IF(ISNA($R$5),NA(),IF(INDEX('Configurações'!$K$18:$K$39,$R$5)="",NA(),INDEX('Configurações'!$K$18:$K$39,$R$5)))</f>
        <v>0</v>
      </c>
      <c r="F23" s="92">
        <f>IF(ISNA($R$5),NA(),IF(INDEX('Configurações'!$L$18:$L$39,$R$5)="",NA(),INDEX('Configurações'!$L$18:$L$39,$R$5)))</f>
        <v>0</v>
      </c>
    </row>
    <row r="24" spans="1:6">
      <c r="A24">
        <v>16</v>
      </c>
      <c r="B24" s="88">
        <f>IF($R$2-30+$A24&lt;1,"",TEXT(DAY(INDEX('Histórico'!$A:$A,6+$R$2-30+$A24)),"00")&amp;"/"&amp;TEXT(MONTH(INDEX('Histórico'!$A:$A,6+$R$2-30+$A24)),"00")&amp;" "&amp;LEFT(INDEX('Histórico'!$B:$B,6+$R$2-30+$A24),1))</f>
        <v>0</v>
      </c>
      <c r="C24" s="92">
        <f>IF(OR($R$2-30+$A24&lt;1,ISNA($R$3)),NA(),IF(INDEX('Histórico'!$A:$ZZ,6+$R$2-30+$A24,$R$3)="",NA(),INDEX('Histórico'!$A:$ZZ,6+$R$2-30+$A24,$R$3)))</f>
        <v>0</v>
      </c>
      <c r="D24" s="92">
        <f>IF(OR($R$2-30+$A24&lt;1,ISNA($R$4)),NA(),IF(INDEX('Histórico'!$A:$ZZ,6+$R$2-30+$A24,$R$4)="",NA(),INDEX('Histórico'!$A:$ZZ,6+$R$2-30+$A24,$R$4)))</f>
        <v>0</v>
      </c>
      <c r="E24" s="92">
        <f>IF(ISNA($R$5),NA(),IF(INDEX('Configurações'!$K$18:$K$39,$R$5)="",NA(),INDEX('Configurações'!$K$18:$K$39,$R$5)))</f>
        <v>0</v>
      </c>
      <c r="F24" s="92">
        <f>IF(ISNA($R$5),NA(),IF(INDEX('Configurações'!$L$18:$L$39,$R$5)="",NA(),INDEX('Configurações'!$L$18:$L$39,$R$5)))</f>
        <v>0</v>
      </c>
    </row>
    <row r="25" spans="1:6">
      <c r="A25">
        <v>17</v>
      </c>
      <c r="B25" s="88">
        <f>IF($R$2-30+$A25&lt;1,"",TEXT(DAY(INDEX('Histórico'!$A:$A,6+$R$2-30+$A25)),"00")&amp;"/"&amp;TEXT(MONTH(INDEX('Histórico'!$A:$A,6+$R$2-30+$A25)),"00")&amp;" "&amp;LEFT(INDEX('Histórico'!$B:$B,6+$R$2-30+$A25),1))</f>
        <v>0</v>
      </c>
      <c r="C25" s="92">
        <f>IF(OR($R$2-30+$A25&lt;1,ISNA($R$3)),NA(),IF(INDEX('Histórico'!$A:$ZZ,6+$R$2-30+$A25,$R$3)="",NA(),INDEX('Histórico'!$A:$ZZ,6+$R$2-30+$A25,$R$3)))</f>
        <v>0</v>
      </c>
      <c r="D25" s="92">
        <f>IF(OR($R$2-30+$A25&lt;1,ISNA($R$4)),NA(),IF(INDEX('Histórico'!$A:$ZZ,6+$R$2-30+$A25,$R$4)="",NA(),INDEX('Histórico'!$A:$ZZ,6+$R$2-30+$A25,$R$4)))</f>
        <v>0</v>
      </c>
      <c r="E25" s="92">
        <f>IF(ISNA($R$5),NA(),IF(INDEX('Configurações'!$K$18:$K$39,$R$5)="",NA(),INDEX('Configurações'!$K$18:$K$39,$R$5)))</f>
        <v>0</v>
      </c>
      <c r="F25" s="92">
        <f>IF(ISNA($R$5),NA(),IF(INDEX('Configurações'!$L$18:$L$39,$R$5)="",NA(),INDEX('Configurações'!$L$18:$L$39,$R$5)))</f>
        <v>0</v>
      </c>
    </row>
    <row r="26" spans="1:6">
      <c r="A26">
        <v>18</v>
      </c>
      <c r="B26" s="88">
        <f>IF($R$2-30+$A26&lt;1,"",TEXT(DAY(INDEX('Histórico'!$A:$A,6+$R$2-30+$A26)),"00")&amp;"/"&amp;TEXT(MONTH(INDEX('Histórico'!$A:$A,6+$R$2-30+$A26)),"00")&amp;" "&amp;LEFT(INDEX('Histórico'!$B:$B,6+$R$2-30+$A26),1))</f>
        <v>0</v>
      </c>
      <c r="C26" s="92">
        <f>IF(OR($R$2-30+$A26&lt;1,ISNA($R$3)),NA(),IF(INDEX('Histórico'!$A:$ZZ,6+$R$2-30+$A26,$R$3)="",NA(),INDEX('Histórico'!$A:$ZZ,6+$R$2-30+$A26,$R$3)))</f>
        <v>0</v>
      </c>
      <c r="D26" s="92">
        <f>IF(OR($R$2-30+$A26&lt;1,ISNA($R$4)),NA(),IF(INDEX('Histórico'!$A:$ZZ,6+$R$2-30+$A26,$R$4)="",NA(),INDEX('Histórico'!$A:$ZZ,6+$R$2-30+$A26,$R$4)))</f>
        <v>0</v>
      </c>
      <c r="E26" s="92">
        <f>IF(ISNA($R$5),NA(),IF(INDEX('Configurações'!$K$18:$K$39,$R$5)="",NA(),INDEX('Configurações'!$K$18:$K$39,$R$5)))</f>
        <v>0</v>
      </c>
      <c r="F26" s="92">
        <f>IF(ISNA($R$5),NA(),IF(INDEX('Configurações'!$L$18:$L$39,$R$5)="",NA(),INDEX('Configurações'!$L$18:$L$39,$R$5)))</f>
        <v>0</v>
      </c>
    </row>
    <row r="27" spans="1:6">
      <c r="A27">
        <v>19</v>
      </c>
      <c r="B27" s="88">
        <f>IF($R$2-30+$A27&lt;1,"",TEXT(DAY(INDEX('Histórico'!$A:$A,6+$R$2-30+$A27)),"00")&amp;"/"&amp;TEXT(MONTH(INDEX('Histórico'!$A:$A,6+$R$2-30+$A27)),"00")&amp;" "&amp;LEFT(INDEX('Histórico'!$B:$B,6+$R$2-30+$A27),1))</f>
        <v>0</v>
      </c>
      <c r="C27" s="92">
        <f>IF(OR($R$2-30+$A27&lt;1,ISNA($R$3)),NA(),IF(INDEX('Histórico'!$A:$ZZ,6+$R$2-30+$A27,$R$3)="",NA(),INDEX('Histórico'!$A:$ZZ,6+$R$2-30+$A27,$R$3)))</f>
        <v>0</v>
      </c>
      <c r="D27" s="92">
        <f>IF(OR($R$2-30+$A27&lt;1,ISNA($R$4)),NA(),IF(INDEX('Histórico'!$A:$ZZ,6+$R$2-30+$A27,$R$4)="",NA(),INDEX('Histórico'!$A:$ZZ,6+$R$2-30+$A27,$R$4)))</f>
        <v>0</v>
      </c>
      <c r="E27" s="92">
        <f>IF(ISNA($R$5),NA(),IF(INDEX('Configurações'!$K$18:$K$39,$R$5)="",NA(),INDEX('Configurações'!$K$18:$K$39,$R$5)))</f>
        <v>0</v>
      </c>
      <c r="F27" s="92">
        <f>IF(ISNA($R$5),NA(),IF(INDEX('Configurações'!$L$18:$L$39,$R$5)="",NA(),INDEX('Configurações'!$L$18:$L$39,$R$5)))</f>
        <v>0</v>
      </c>
    </row>
    <row r="28" spans="1:6">
      <c r="A28">
        <v>20</v>
      </c>
      <c r="B28" s="88">
        <f>IF($R$2-30+$A28&lt;1,"",TEXT(DAY(INDEX('Histórico'!$A:$A,6+$R$2-30+$A28)),"00")&amp;"/"&amp;TEXT(MONTH(INDEX('Histórico'!$A:$A,6+$R$2-30+$A28)),"00")&amp;" "&amp;LEFT(INDEX('Histórico'!$B:$B,6+$R$2-30+$A28),1))</f>
        <v>0</v>
      </c>
      <c r="C28" s="92">
        <f>IF(OR($R$2-30+$A28&lt;1,ISNA($R$3)),NA(),IF(INDEX('Histórico'!$A:$ZZ,6+$R$2-30+$A28,$R$3)="",NA(),INDEX('Histórico'!$A:$ZZ,6+$R$2-30+$A28,$R$3)))</f>
        <v>0</v>
      </c>
      <c r="D28" s="92">
        <f>IF(OR($R$2-30+$A28&lt;1,ISNA($R$4)),NA(),IF(INDEX('Histórico'!$A:$ZZ,6+$R$2-30+$A28,$R$4)="",NA(),INDEX('Histórico'!$A:$ZZ,6+$R$2-30+$A28,$R$4)))</f>
        <v>0</v>
      </c>
      <c r="E28" s="92">
        <f>IF(ISNA($R$5),NA(),IF(INDEX('Configurações'!$K$18:$K$39,$R$5)="",NA(),INDEX('Configurações'!$K$18:$K$39,$R$5)))</f>
        <v>0</v>
      </c>
      <c r="F28" s="92">
        <f>IF(ISNA($R$5),NA(),IF(INDEX('Configurações'!$L$18:$L$39,$R$5)="",NA(),INDEX('Configurações'!$L$18:$L$39,$R$5)))</f>
        <v>0</v>
      </c>
    </row>
    <row r="29" spans="1:6">
      <c r="A29">
        <v>21</v>
      </c>
      <c r="B29" s="88">
        <f>IF($R$2-30+$A29&lt;1,"",TEXT(DAY(INDEX('Histórico'!$A:$A,6+$R$2-30+$A29)),"00")&amp;"/"&amp;TEXT(MONTH(INDEX('Histórico'!$A:$A,6+$R$2-30+$A29)),"00")&amp;" "&amp;LEFT(INDEX('Histórico'!$B:$B,6+$R$2-30+$A29),1))</f>
        <v>0</v>
      </c>
      <c r="C29" s="92">
        <f>IF(OR($R$2-30+$A29&lt;1,ISNA($R$3)),NA(),IF(INDEX('Histórico'!$A:$ZZ,6+$R$2-30+$A29,$R$3)="",NA(),INDEX('Histórico'!$A:$ZZ,6+$R$2-30+$A29,$R$3)))</f>
        <v>0</v>
      </c>
      <c r="D29" s="92">
        <f>IF(OR($R$2-30+$A29&lt;1,ISNA($R$4)),NA(),IF(INDEX('Histórico'!$A:$ZZ,6+$R$2-30+$A29,$R$4)="",NA(),INDEX('Histórico'!$A:$ZZ,6+$R$2-30+$A29,$R$4)))</f>
        <v>0</v>
      </c>
      <c r="E29" s="92">
        <f>IF(ISNA($R$5),NA(),IF(INDEX('Configurações'!$K$18:$K$39,$R$5)="",NA(),INDEX('Configurações'!$K$18:$K$39,$R$5)))</f>
        <v>0</v>
      </c>
      <c r="F29" s="92">
        <f>IF(ISNA($R$5),NA(),IF(INDEX('Configurações'!$L$18:$L$39,$R$5)="",NA(),INDEX('Configurações'!$L$18:$L$39,$R$5)))</f>
        <v>0</v>
      </c>
    </row>
    <row r="30" spans="1:6">
      <c r="A30">
        <v>22</v>
      </c>
      <c r="B30" s="88">
        <f>IF($R$2-30+$A30&lt;1,"",TEXT(DAY(INDEX('Histórico'!$A:$A,6+$R$2-30+$A30)),"00")&amp;"/"&amp;TEXT(MONTH(INDEX('Histórico'!$A:$A,6+$R$2-30+$A30)),"00")&amp;" "&amp;LEFT(INDEX('Histórico'!$B:$B,6+$R$2-30+$A30),1))</f>
        <v>0</v>
      </c>
      <c r="C30" s="92">
        <f>IF(OR($R$2-30+$A30&lt;1,ISNA($R$3)),NA(),IF(INDEX('Histórico'!$A:$ZZ,6+$R$2-30+$A30,$R$3)="",NA(),INDEX('Histórico'!$A:$ZZ,6+$R$2-30+$A30,$R$3)))</f>
        <v>0</v>
      </c>
      <c r="D30" s="92">
        <f>IF(OR($R$2-30+$A30&lt;1,ISNA($R$4)),NA(),IF(INDEX('Histórico'!$A:$ZZ,6+$R$2-30+$A30,$R$4)="",NA(),INDEX('Histórico'!$A:$ZZ,6+$R$2-30+$A30,$R$4)))</f>
        <v>0</v>
      </c>
      <c r="E30" s="92">
        <f>IF(ISNA($R$5),NA(),IF(INDEX('Configurações'!$K$18:$K$39,$R$5)="",NA(),INDEX('Configurações'!$K$18:$K$39,$R$5)))</f>
        <v>0</v>
      </c>
      <c r="F30" s="92">
        <f>IF(ISNA($R$5),NA(),IF(INDEX('Configurações'!$L$18:$L$39,$R$5)="",NA(),INDEX('Configurações'!$L$18:$L$39,$R$5)))</f>
        <v>0</v>
      </c>
    </row>
    <row r="31" spans="1:6">
      <c r="A31">
        <v>23</v>
      </c>
      <c r="B31" s="88">
        <f>IF($R$2-30+$A31&lt;1,"",TEXT(DAY(INDEX('Histórico'!$A:$A,6+$R$2-30+$A31)),"00")&amp;"/"&amp;TEXT(MONTH(INDEX('Histórico'!$A:$A,6+$R$2-30+$A31)),"00")&amp;" "&amp;LEFT(INDEX('Histórico'!$B:$B,6+$R$2-30+$A31),1))</f>
        <v>0</v>
      </c>
      <c r="C31" s="92">
        <f>IF(OR($R$2-30+$A31&lt;1,ISNA($R$3)),NA(),IF(INDEX('Histórico'!$A:$ZZ,6+$R$2-30+$A31,$R$3)="",NA(),INDEX('Histórico'!$A:$ZZ,6+$R$2-30+$A31,$R$3)))</f>
        <v>0</v>
      </c>
      <c r="D31" s="92">
        <f>IF(OR($R$2-30+$A31&lt;1,ISNA($R$4)),NA(),IF(INDEX('Histórico'!$A:$ZZ,6+$R$2-30+$A31,$R$4)="",NA(),INDEX('Histórico'!$A:$ZZ,6+$R$2-30+$A31,$R$4)))</f>
        <v>0</v>
      </c>
      <c r="E31" s="92">
        <f>IF(ISNA($R$5),NA(),IF(INDEX('Configurações'!$K$18:$K$39,$R$5)="",NA(),INDEX('Configurações'!$K$18:$K$39,$R$5)))</f>
        <v>0</v>
      </c>
      <c r="F31" s="92">
        <f>IF(ISNA($R$5),NA(),IF(INDEX('Configurações'!$L$18:$L$39,$R$5)="",NA(),INDEX('Configurações'!$L$18:$L$39,$R$5)))</f>
        <v>0</v>
      </c>
    </row>
    <row r="32" spans="1:6">
      <c r="A32">
        <v>24</v>
      </c>
      <c r="B32" s="88">
        <f>IF($R$2-30+$A32&lt;1,"",TEXT(DAY(INDEX('Histórico'!$A:$A,6+$R$2-30+$A32)),"00")&amp;"/"&amp;TEXT(MONTH(INDEX('Histórico'!$A:$A,6+$R$2-30+$A32)),"00")&amp;" "&amp;LEFT(INDEX('Histórico'!$B:$B,6+$R$2-30+$A32),1))</f>
        <v>0</v>
      </c>
      <c r="C32" s="92">
        <f>IF(OR($R$2-30+$A32&lt;1,ISNA($R$3)),NA(),IF(INDEX('Histórico'!$A:$ZZ,6+$R$2-30+$A32,$R$3)="",NA(),INDEX('Histórico'!$A:$ZZ,6+$R$2-30+$A32,$R$3)))</f>
        <v>0</v>
      </c>
      <c r="D32" s="92">
        <f>IF(OR($R$2-30+$A32&lt;1,ISNA($R$4)),NA(),IF(INDEX('Histórico'!$A:$ZZ,6+$R$2-30+$A32,$R$4)="",NA(),INDEX('Histórico'!$A:$ZZ,6+$R$2-30+$A32,$R$4)))</f>
        <v>0</v>
      </c>
      <c r="E32" s="92">
        <f>IF(ISNA($R$5),NA(),IF(INDEX('Configurações'!$K$18:$K$39,$R$5)="",NA(),INDEX('Configurações'!$K$18:$K$39,$R$5)))</f>
        <v>0</v>
      </c>
      <c r="F32" s="92">
        <f>IF(ISNA($R$5),NA(),IF(INDEX('Configurações'!$L$18:$L$39,$R$5)="",NA(),INDEX('Configurações'!$L$18:$L$39,$R$5)))</f>
        <v>0</v>
      </c>
    </row>
    <row r="33" spans="1:6">
      <c r="A33">
        <v>25</v>
      </c>
      <c r="B33" s="88">
        <f>IF($R$2-30+$A33&lt;1,"",TEXT(DAY(INDEX('Histórico'!$A:$A,6+$R$2-30+$A33)),"00")&amp;"/"&amp;TEXT(MONTH(INDEX('Histórico'!$A:$A,6+$R$2-30+$A33)),"00")&amp;" "&amp;LEFT(INDEX('Histórico'!$B:$B,6+$R$2-30+$A33),1))</f>
        <v>0</v>
      </c>
      <c r="C33" s="92">
        <f>IF(OR($R$2-30+$A33&lt;1,ISNA($R$3)),NA(),IF(INDEX('Histórico'!$A:$ZZ,6+$R$2-30+$A33,$R$3)="",NA(),INDEX('Histórico'!$A:$ZZ,6+$R$2-30+$A33,$R$3)))</f>
        <v>0</v>
      </c>
      <c r="D33" s="92">
        <f>IF(OR($R$2-30+$A33&lt;1,ISNA($R$4)),NA(),IF(INDEX('Histórico'!$A:$ZZ,6+$R$2-30+$A33,$R$4)="",NA(),INDEX('Histórico'!$A:$ZZ,6+$R$2-30+$A33,$R$4)))</f>
        <v>0</v>
      </c>
      <c r="E33" s="92">
        <f>IF(ISNA($R$5),NA(),IF(INDEX('Configurações'!$K$18:$K$39,$R$5)="",NA(),INDEX('Configurações'!$K$18:$K$39,$R$5)))</f>
        <v>0</v>
      </c>
      <c r="F33" s="92">
        <f>IF(ISNA($R$5),NA(),IF(INDEX('Configurações'!$L$18:$L$39,$R$5)="",NA(),INDEX('Configurações'!$L$18:$L$39,$R$5)))</f>
        <v>0</v>
      </c>
    </row>
    <row r="34" spans="1:6">
      <c r="A34">
        <v>26</v>
      </c>
      <c r="B34" s="88">
        <f>IF($R$2-30+$A34&lt;1,"",TEXT(DAY(INDEX('Histórico'!$A:$A,6+$R$2-30+$A34)),"00")&amp;"/"&amp;TEXT(MONTH(INDEX('Histórico'!$A:$A,6+$R$2-30+$A34)),"00")&amp;" "&amp;LEFT(INDEX('Histórico'!$B:$B,6+$R$2-30+$A34),1))</f>
        <v>0</v>
      </c>
      <c r="C34" s="92">
        <f>IF(OR($R$2-30+$A34&lt;1,ISNA($R$3)),NA(),IF(INDEX('Histórico'!$A:$ZZ,6+$R$2-30+$A34,$R$3)="",NA(),INDEX('Histórico'!$A:$ZZ,6+$R$2-30+$A34,$R$3)))</f>
        <v>0</v>
      </c>
      <c r="D34" s="92">
        <f>IF(OR($R$2-30+$A34&lt;1,ISNA($R$4)),NA(),IF(INDEX('Histórico'!$A:$ZZ,6+$R$2-30+$A34,$R$4)="",NA(),INDEX('Histórico'!$A:$ZZ,6+$R$2-30+$A34,$R$4)))</f>
        <v>0</v>
      </c>
      <c r="E34" s="92">
        <f>IF(ISNA($R$5),NA(),IF(INDEX('Configurações'!$K$18:$K$39,$R$5)="",NA(),INDEX('Configurações'!$K$18:$K$39,$R$5)))</f>
        <v>0</v>
      </c>
      <c r="F34" s="92">
        <f>IF(ISNA($R$5),NA(),IF(INDEX('Configurações'!$L$18:$L$39,$R$5)="",NA(),INDEX('Configurações'!$L$18:$L$39,$R$5)))</f>
        <v>0</v>
      </c>
    </row>
    <row r="35" spans="1:6">
      <c r="A35">
        <v>27</v>
      </c>
      <c r="B35" s="88">
        <f>IF($R$2-30+$A35&lt;1,"",TEXT(DAY(INDEX('Histórico'!$A:$A,6+$R$2-30+$A35)),"00")&amp;"/"&amp;TEXT(MONTH(INDEX('Histórico'!$A:$A,6+$R$2-30+$A35)),"00")&amp;" "&amp;LEFT(INDEX('Histórico'!$B:$B,6+$R$2-30+$A35),1))</f>
        <v>0</v>
      </c>
      <c r="C35" s="92">
        <f>IF(OR($R$2-30+$A35&lt;1,ISNA($R$3)),NA(),IF(INDEX('Histórico'!$A:$ZZ,6+$R$2-30+$A35,$R$3)="",NA(),INDEX('Histórico'!$A:$ZZ,6+$R$2-30+$A35,$R$3)))</f>
        <v>0</v>
      </c>
      <c r="D35" s="92">
        <f>IF(OR($R$2-30+$A35&lt;1,ISNA($R$4)),NA(),IF(INDEX('Histórico'!$A:$ZZ,6+$R$2-30+$A35,$R$4)="",NA(),INDEX('Histórico'!$A:$ZZ,6+$R$2-30+$A35,$R$4)))</f>
        <v>0</v>
      </c>
      <c r="E35" s="92">
        <f>IF(ISNA($R$5),NA(),IF(INDEX('Configurações'!$K$18:$K$39,$R$5)="",NA(),INDEX('Configurações'!$K$18:$K$39,$R$5)))</f>
        <v>0</v>
      </c>
      <c r="F35" s="92">
        <f>IF(ISNA($R$5),NA(),IF(INDEX('Configurações'!$L$18:$L$39,$R$5)="",NA(),INDEX('Configurações'!$L$18:$L$39,$R$5)))</f>
        <v>0</v>
      </c>
    </row>
    <row r="36" spans="1:6">
      <c r="A36">
        <v>28</v>
      </c>
      <c r="B36" s="88">
        <f>IF($R$2-30+$A36&lt;1,"",TEXT(DAY(INDEX('Histórico'!$A:$A,6+$R$2-30+$A36)),"00")&amp;"/"&amp;TEXT(MONTH(INDEX('Histórico'!$A:$A,6+$R$2-30+$A36)),"00")&amp;" "&amp;LEFT(INDEX('Histórico'!$B:$B,6+$R$2-30+$A36),1))</f>
        <v>0</v>
      </c>
      <c r="C36" s="92">
        <f>IF(OR($R$2-30+$A36&lt;1,ISNA($R$3)),NA(),IF(INDEX('Histórico'!$A:$ZZ,6+$R$2-30+$A36,$R$3)="",NA(),INDEX('Histórico'!$A:$ZZ,6+$R$2-30+$A36,$R$3)))</f>
        <v>0</v>
      </c>
      <c r="D36" s="92">
        <f>IF(OR($R$2-30+$A36&lt;1,ISNA($R$4)),NA(),IF(INDEX('Histórico'!$A:$ZZ,6+$R$2-30+$A36,$R$4)="",NA(),INDEX('Histórico'!$A:$ZZ,6+$R$2-30+$A36,$R$4)))</f>
        <v>0</v>
      </c>
      <c r="E36" s="92">
        <f>IF(ISNA($R$5),NA(),IF(INDEX('Configurações'!$K$18:$K$39,$R$5)="",NA(),INDEX('Configurações'!$K$18:$K$39,$R$5)))</f>
        <v>0</v>
      </c>
      <c r="F36" s="92">
        <f>IF(ISNA($R$5),NA(),IF(INDEX('Configurações'!$L$18:$L$39,$R$5)="",NA(),INDEX('Configurações'!$L$18:$L$39,$R$5)))</f>
        <v>0</v>
      </c>
    </row>
    <row r="37" spans="1:6">
      <c r="A37">
        <v>29</v>
      </c>
      <c r="B37" s="88">
        <f>IF($R$2-30+$A37&lt;1,"",TEXT(DAY(INDEX('Histórico'!$A:$A,6+$R$2-30+$A37)),"00")&amp;"/"&amp;TEXT(MONTH(INDEX('Histórico'!$A:$A,6+$R$2-30+$A37)),"00")&amp;" "&amp;LEFT(INDEX('Histórico'!$B:$B,6+$R$2-30+$A37),1))</f>
        <v>0</v>
      </c>
      <c r="C37" s="92">
        <f>IF(OR($R$2-30+$A37&lt;1,ISNA($R$3)),NA(),IF(INDEX('Histórico'!$A:$ZZ,6+$R$2-30+$A37,$R$3)="",NA(),INDEX('Histórico'!$A:$ZZ,6+$R$2-30+$A37,$R$3)))</f>
        <v>0</v>
      </c>
      <c r="D37" s="92">
        <f>IF(OR($R$2-30+$A37&lt;1,ISNA($R$4)),NA(),IF(INDEX('Histórico'!$A:$ZZ,6+$R$2-30+$A37,$R$4)="",NA(),INDEX('Histórico'!$A:$ZZ,6+$R$2-30+$A37,$R$4)))</f>
        <v>0</v>
      </c>
      <c r="E37" s="92">
        <f>IF(ISNA($R$5),NA(),IF(INDEX('Configurações'!$K$18:$K$39,$R$5)="",NA(),INDEX('Configurações'!$K$18:$K$39,$R$5)))</f>
        <v>0</v>
      </c>
      <c r="F37" s="92">
        <f>IF(ISNA($R$5),NA(),IF(INDEX('Configurações'!$L$18:$L$39,$R$5)="",NA(),INDEX('Configurações'!$L$18:$L$39,$R$5)))</f>
        <v>0</v>
      </c>
    </row>
    <row r="38" spans="1:6">
      <c r="A38">
        <v>30</v>
      </c>
      <c r="B38" s="88">
        <f>IF($R$2-30+$A38&lt;1,"",TEXT(DAY(INDEX('Histórico'!$A:$A,6+$R$2-30+$A38)),"00")&amp;"/"&amp;TEXT(MONTH(INDEX('Histórico'!$A:$A,6+$R$2-30+$A38)),"00")&amp;" "&amp;LEFT(INDEX('Histórico'!$B:$B,6+$R$2-30+$A38),1))</f>
        <v>0</v>
      </c>
      <c r="C38" s="92">
        <f>IF(OR($R$2-30+$A38&lt;1,ISNA($R$3)),NA(),IF(INDEX('Histórico'!$A:$ZZ,6+$R$2-30+$A38,$R$3)="",NA(),INDEX('Histórico'!$A:$ZZ,6+$R$2-30+$A38,$R$3)))</f>
        <v>0</v>
      </c>
      <c r="D38" s="92">
        <f>IF(OR($R$2-30+$A38&lt;1,ISNA($R$4)),NA(),IF(INDEX('Histórico'!$A:$ZZ,6+$R$2-30+$A38,$R$4)="",NA(),INDEX('Histórico'!$A:$ZZ,6+$R$2-30+$A38,$R$4)))</f>
        <v>0</v>
      </c>
      <c r="E38" s="92">
        <f>IF(ISNA($R$5),NA(),IF(INDEX('Configurações'!$K$18:$K$39,$R$5)="",NA(),INDEX('Configurações'!$K$18:$K$39,$R$5)))</f>
        <v>0</v>
      </c>
      <c r="F38" s="92">
        <f>IF(ISNA($R$5),NA(),IF(INDEX('Configurações'!$L$18:$L$39,$R$5)="",NA(),INDEX('Configurações'!$L$18:$L$39,$R$5)))</f>
        <v>0</v>
      </c>
    </row>
    <row r="40" spans="1:6">
      <c r="B40" s="100" t="s">
        <v>395</v>
      </c>
      <c r="C40" s="100" t="s">
        <v>205</v>
      </c>
      <c r="D40" s="100" t="s">
        <v>207</v>
      </c>
    </row>
    <row r="41" spans="1:6">
      <c r="B41" s="101" t="s">
        <v>396</v>
      </c>
      <c r="C41" s="102">
        <f>IFERROR(COUNT(C9:C38),"")</f>
        <v>0</v>
      </c>
      <c r="D41" s="102">
        <f>IFERROR(COUNT(D9:D38),"")</f>
        <v>0</v>
      </c>
    </row>
    <row r="42" spans="1:6">
      <c r="B42" s="101" t="s">
        <v>42</v>
      </c>
      <c r="C42" s="103">
        <f>IFERROR(AGGREGATE(1,6,C9:C38),"")</f>
        <v>0</v>
      </c>
      <c r="D42" s="103">
        <f>IFERROR(AGGREGATE(1,6,D9:D38),"")</f>
        <v>0</v>
      </c>
    </row>
    <row r="43" spans="1:6">
      <c r="B43" s="101" t="s">
        <v>397</v>
      </c>
      <c r="C43" s="103">
        <f>IFERROR(AGGREGATE(5,6,C9:C38),"")</f>
        <v>0</v>
      </c>
      <c r="D43" s="103">
        <f>IFERROR(AGGREGATE(5,6,D9:D38),"")</f>
        <v>0</v>
      </c>
    </row>
    <row r="44" spans="1:6">
      <c r="B44" s="101" t="s">
        <v>398</v>
      </c>
      <c r="C44" s="103">
        <f>IFERROR(AGGREGATE(4,6,C9:C38),"")</f>
        <v>0</v>
      </c>
      <c r="D44" s="103">
        <f>IFERROR(AGGREGATE(4,6,D9:D38),"")</f>
        <v>0</v>
      </c>
    </row>
    <row r="45" spans="1:6">
      <c r="B45" s="101" t="s">
        <v>399</v>
      </c>
      <c r="C45" s="103">
        <f>IFERROR(AGGREGATE(7,6,C9:C38),"")</f>
        <v>0</v>
      </c>
      <c r="D45" s="103">
        <f>IFERROR(AGGREGATE(7,6,D9:D38),"")</f>
        <v>0</v>
      </c>
    </row>
  </sheetData>
  <sheetProtection sheet="1" objects="1" scenarios="1" formatColumns="0" formatRows="0"/>
  <mergeCells count="4">
    <mergeCell ref="B2:C3"/>
    <mergeCell ref="D2:Q2"/>
    <mergeCell ref="D3:Q3"/>
    <mergeCell ref="C6:F6"/>
  </mergeCells>
  <conditionalFormatting sqref="C9:F38">
    <cfRule type="expression" dxfId="6" priority="1">
      <formula>ISNA(C9)</formula>
    </cfRule>
  </conditionalFormatting>
  <dataValidations count="1">
    <dataValidation type="list" allowBlank="1" showInputMessage="1" showErrorMessage="1" sqref="C6">
      <formula1>lstParam</formula1>
    </dataValidation>
  </dataValidations>
  <pageMargins left="0.7" right="0.7" top="0.75" bottom="0.75" header="0.3" footer="0.3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Y39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5" ht="8" customHeight="1"/>
    <row r="2" spans="2:25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5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5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5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104" t="s">
        <v>120</v>
      </c>
      <c r="T5" s="104"/>
      <c r="U5" s="104"/>
      <c r="V5" s="104"/>
      <c r="W5" s="104"/>
      <c r="X5" s="104"/>
      <c r="Y5" s="104"/>
    </row>
    <row r="6" spans="2:25" ht="20" customHeight="1">
      <c r="B6" s="105" t="s">
        <v>4</v>
      </c>
      <c r="C6" s="105"/>
      <c r="D6" s="73" t="s">
        <v>5</v>
      </c>
      <c r="E6" s="73"/>
      <c r="F6" s="73"/>
      <c r="G6" s="106" t="s">
        <v>6</v>
      </c>
      <c r="H6" s="106"/>
      <c r="I6" s="106"/>
      <c r="J6" s="106"/>
      <c r="S6" s="107" t="s">
        <v>121</v>
      </c>
      <c r="T6" s="107" t="s">
        <v>124</v>
      </c>
      <c r="U6" s="107" t="s">
        <v>129</v>
      </c>
      <c r="V6" s="107" t="s">
        <v>28</v>
      </c>
      <c r="W6" s="107" t="s">
        <v>133</v>
      </c>
      <c r="X6" s="107" t="s">
        <v>135</v>
      </c>
      <c r="Y6" s="107" t="s">
        <v>137</v>
      </c>
    </row>
    <row r="7" spans="2:25" ht="20" customHeight="1">
      <c r="B7" s="105" t="s">
        <v>7</v>
      </c>
      <c r="C7" s="105"/>
      <c r="D7" s="73" t="s">
        <v>8</v>
      </c>
      <c r="E7" s="73"/>
      <c r="F7" s="73"/>
      <c r="G7" s="106" t="s">
        <v>9</v>
      </c>
      <c r="H7" s="106"/>
      <c r="I7" s="106"/>
      <c r="J7" s="106"/>
      <c r="S7" s="108" t="s">
        <v>122</v>
      </c>
      <c r="T7" s="108" t="s">
        <v>125</v>
      </c>
      <c r="U7" s="108" t="s">
        <v>130</v>
      </c>
      <c r="V7" s="108" t="s">
        <v>42</v>
      </c>
      <c r="W7" s="108" t="s">
        <v>5</v>
      </c>
      <c r="X7" s="108" t="s">
        <v>136</v>
      </c>
      <c r="Y7" s="108" t="s">
        <v>50</v>
      </c>
    </row>
    <row r="8" spans="2:25" ht="20" customHeight="1">
      <c r="B8" s="105" t="s">
        <v>10</v>
      </c>
      <c r="C8" s="105"/>
      <c r="D8" s="109">
        <v>0.2916666666666667</v>
      </c>
      <c r="E8" s="109"/>
      <c r="F8" s="109"/>
      <c r="G8" s="106" t="s">
        <v>11</v>
      </c>
      <c r="H8" s="106"/>
      <c r="I8" s="106"/>
      <c r="J8" s="106"/>
      <c r="S8" s="108" t="s">
        <v>123</v>
      </c>
      <c r="T8" s="108" t="s">
        <v>126</v>
      </c>
      <c r="U8" s="108" t="s">
        <v>131</v>
      </c>
      <c r="V8" s="108" t="s">
        <v>112</v>
      </c>
      <c r="W8" s="108" t="s">
        <v>134</v>
      </c>
      <c r="X8" s="108" t="s">
        <v>17</v>
      </c>
      <c r="Y8" s="108" t="s">
        <v>44</v>
      </c>
    </row>
    <row r="9" spans="2:25" ht="20" customHeight="1">
      <c r="B9" s="105" t="s">
        <v>12</v>
      </c>
      <c r="C9" s="105"/>
      <c r="D9" s="73">
        <v>60</v>
      </c>
      <c r="E9" s="73"/>
      <c r="F9" s="73"/>
      <c r="G9" s="106" t="s">
        <v>13</v>
      </c>
      <c r="H9" s="106"/>
      <c r="I9" s="106"/>
      <c r="J9" s="106"/>
      <c r="T9" s="108" t="s">
        <v>127</v>
      </c>
      <c r="U9" s="108" t="s">
        <v>132</v>
      </c>
      <c r="V9" s="108" t="s">
        <v>117</v>
      </c>
    </row>
    <row r="10" spans="2:25" ht="20" customHeight="1">
      <c r="B10" s="105" t="s">
        <v>14</v>
      </c>
      <c r="C10" s="105"/>
      <c r="D10" s="73"/>
      <c r="E10" s="73"/>
      <c r="F10" s="73"/>
      <c r="G10" s="106" t="s">
        <v>15</v>
      </c>
      <c r="H10" s="106"/>
      <c r="I10" s="106"/>
      <c r="J10" s="106"/>
      <c r="T10" s="108" t="s">
        <v>128</v>
      </c>
    </row>
    <row r="11" spans="2:25" ht="20" customHeight="1">
      <c r="B11" s="105" t="s">
        <v>16</v>
      </c>
      <c r="C11" s="105"/>
      <c r="D11" s="73" t="s">
        <v>17</v>
      </c>
      <c r="E11" s="73"/>
      <c r="F11" s="73"/>
      <c r="G11" s="106" t="s">
        <v>18</v>
      </c>
      <c r="H11" s="106"/>
      <c r="I11" s="106"/>
      <c r="J11" s="106"/>
    </row>
    <row r="12" spans="2:25" ht="20" customHeight="1">
      <c r="B12" s="105" t="s">
        <v>19</v>
      </c>
      <c r="C12" s="105"/>
      <c r="D12" s="73"/>
      <c r="E12" s="73"/>
      <c r="F12" s="73"/>
      <c r="G12" s="106" t="s">
        <v>20</v>
      </c>
      <c r="H12" s="106"/>
      <c r="I12" s="106"/>
      <c r="J12" s="106"/>
    </row>
    <row r="13" spans="2:25" ht="20" customHeight="1">
      <c r="B13" s="105" t="s">
        <v>21</v>
      </c>
      <c r="C13" s="105"/>
      <c r="D13" s="73"/>
      <c r="E13" s="73"/>
      <c r="F13" s="73"/>
      <c r="G13" s="106"/>
      <c r="H13" s="106"/>
      <c r="I13" s="106"/>
      <c r="J13" s="106"/>
    </row>
    <row r="15" spans="2:25" ht="28" customHeight="1">
      <c r="B15" s="110" t="s">
        <v>22</v>
      </c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</row>
    <row r="16" spans="2:25" ht="21" customHeight="1">
      <c r="B16" s="60" t="s">
        <v>23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11" t="s">
        <v>24</v>
      </c>
      <c r="C17" s="111" t="s">
        <v>25</v>
      </c>
      <c r="D17" s="111" t="s">
        <v>26</v>
      </c>
      <c r="E17" s="111" t="s">
        <v>27</v>
      </c>
      <c r="F17" s="111" t="s">
        <v>28</v>
      </c>
      <c r="G17" s="111" t="s">
        <v>29</v>
      </c>
      <c r="H17" s="111" t="s">
        <v>30</v>
      </c>
      <c r="I17" s="111" t="s">
        <v>31</v>
      </c>
      <c r="J17" s="111" t="s">
        <v>32</v>
      </c>
      <c r="K17" s="111" t="s">
        <v>33</v>
      </c>
      <c r="L17" s="111" t="s">
        <v>34</v>
      </c>
      <c r="M17" s="111" t="s">
        <v>35</v>
      </c>
      <c r="N17" s="111" t="s">
        <v>36</v>
      </c>
      <c r="O17" s="111" t="s">
        <v>37</v>
      </c>
      <c r="P17" s="111" t="s">
        <v>38</v>
      </c>
    </row>
    <row r="18" spans="2:16">
      <c r="B18" s="112" t="s">
        <v>39</v>
      </c>
      <c r="C18" s="105" t="s">
        <v>40</v>
      </c>
      <c r="D18" s="73" t="s">
        <v>41</v>
      </c>
      <c r="E18" s="73">
        <v>0</v>
      </c>
      <c r="F18" s="73" t="s">
        <v>42</v>
      </c>
      <c r="G18" s="113" t="s">
        <v>43</v>
      </c>
      <c r="H18" s="78" t="s">
        <v>44</v>
      </c>
      <c r="I18" s="113" t="s">
        <v>45</v>
      </c>
      <c r="J18" s="78" t="s">
        <v>44</v>
      </c>
      <c r="K18" s="73"/>
      <c r="L18" s="73"/>
      <c r="M18" s="73">
        <v>0</v>
      </c>
      <c r="N18" s="73">
        <v>50000</v>
      </c>
      <c r="O18" s="73">
        <v>1000</v>
      </c>
      <c r="P18" s="73">
        <v>1100</v>
      </c>
    </row>
    <row r="19" spans="2:16">
      <c r="B19" s="114" t="s">
        <v>46</v>
      </c>
      <c r="C19" s="115" t="s">
        <v>47</v>
      </c>
      <c r="D19" s="73" t="s">
        <v>48</v>
      </c>
      <c r="E19" s="73">
        <v>0</v>
      </c>
      <c r="F19" s="73" t="s">
        <v>42</v>
      </c>
      <c r="G19" s="113" t="s">
        <v>49</v>
      </c>
      <c r="H19" s="78" t="s">
        <v>50</v>
      </c>
      <c r="I19" s="113" t="s">
        <v>51</v>
      </c>
      <c r="J19" s="78" t="s">
        <v>50</v>
      </c>
      <c r="K19" s="73"/>
      <c r="L19" s="73"/>
      <c r="M19" s="73">
        <v>0</v>
      </c>
      <c r="N19" s="73">
        <v>50000</v>
      </c>
      <c r="O19" s="73">
        <v>2010</v>
      </c>
      <c r="P19" s="73">
        <v>2010</v>
      </c>
    </row>
    <row r="20" spans="2:16">
      <c r="B20" s="112" t="s">
        <v>46</v>
      </c>
      <c r="C20" s="105" t="s">
        <v>52</v>
      </c>
      <c r="D20" s="73" t="s">
        <v>48</v>
      </c>
      <c r="E20" s="73">
        <v>0</v>
      </c>
      <c r="F20" s="73" t="s">
        <v>42</v>
      </c>
      <c r="G20" s="113" t="s">
        <v>53</v>
      </c>
      <c r="H20" s="78" t="s">
        <v>50</v>
      </c>
      <c r="I20" s="113" t="s">
        <v>54</v>
      </c>
      <c r="J20" s="78" t="s">
        <v>50</v>
      </c>
      <c r="K20" s="73"/>
      <c r="L20" s="73"/>
      <c r="M20" s="73">
        <v>0</v>
      </c>
      <c r="N20" s="73">
        <v>50000</v>
      </c>
      <c r="O20" s="73">
        <v>2160</v>
      </c>
      <c r="P20" s="73">
        <v>2120</v>
      </c>
    </row>
    <row r="21" spans="2:16">
      <c r="B21" s="114" t="s">
        <v>46</v>
      </c>
      <c r="C21" s="115" t="s">
        <v>55</v>
      </c>
      <c r="D21" s="73" t="s">
        <v>56</v>
      </c>
      <c r="E21" s="73">
        <v>1</v>
      </c>
      <c r="F21" s="73" t="s">
        <v>42</v>
      </c>
      <c r="G21" s="113" t="s">
        <v>57</v>
      </c>
      <c r="H21" s="78" t="s">
        <v>50</v>
      </c>
      <c r="I21" s="113" t="s">
        <v>58</v>
      </c>
      <c r="J21" s="78" t="s">
        <v>50</v>
      </c>
      <c r="K21" s="73"/>
      <c r="L21" s="73"/>
      <c r="M21" s="73">
        <v>0</v>
      </c>
      <c r="N21" s="73">
        <v>50000</v>
      </c>
      <c r="O21" s="73">
        <v>90.2</v>
      </c>
      <c r="P21" s="73">
        <v>89.90000000000001</v>
      </c>
    </row>
    <row r="22" spans="2:16">
      <c r="B22" s="112" t="s">
        <v>46</v>
      </c>
      <c r="C22" s="105" t="s">
        <v>59</v>
      </c>
      <c r="D22" s="73" t="s">
        <v>56</v>
      </c>
      <c r="E22" s="73">
        <v>2</v>
      </c>
      <c r="F22" s="73" t="s">
        <v>42</v>
      </c>
      <c r="G22" s="113" t="s">
        <v>60</v>
      </c>
      <c r="H22" s="78" t="s">
        <v>50</v>
      </c>
      <c r="I22" s="113" t="s">
        <v>61</v>
      </c>
      <c r="J22" s="78" t="s">
        <v>50</v>
      </c>
      <c r="K22" s="73"/>
      <c r="L22" s="73"/>
      <c r="M22" s="73">
        <v>0</v>
      </c>
      <c r="N22" s="73">
        <v>50000</v>
      </c>
      <c r="O22" s="73">
        <v>11.2</v>
      </c>
      <c r="P22" s="73">
        <v>11.2</v>
      </c>
    </row>
    <row r="23" spans="2:16">
      <c r="B23" s="114" t="s">
        <v>46</v>
      </c>
      <c r="C23" s="115" t="s">
        <v>62</v>
      </c>
      <c r="D23" s="73" t="s">
        <v>56</v>
      </c>
      <c r="E23" s="73">
        <v>2</v>
      </c>
      <c r="F23" s="73" t="s">
        <v>42</v>
      </c>
      <c r="G23" s="113" t="s">
        <v>63</v>
      </c>
      <c r="H23" s="78" t="s">
        <v>50</v>
      </c>
      <c r="I23" s="113" t="s">
        <v>64</v>
      </c>
      <c r="J23" s="78" t="s">
        <v>50</v>
      </c>
      <c r="K23" s="73"/>
      <c r="L23" s="73"/>
      <c r="M23" s="73">
        <v>0</v>
      </c>
      <c r="N23" s="73">
        <v>50000</v>
      </c>
      <c r="O23" s="73">
        <v>11</v>
      </c>
      <c r="P23" s="73">
        <v>11</v>
      </c>
    </row>
    <row r="24" spans="2:16">
      <c r="B24" s="112" t="s">
        <v>65</v>
      </c>
      <c r="C24" s="105" t="s">
        <v>66</v>
      </c>
      <c r="D24" s="73" t="s">
        <v>56</v>
      </c>
      <c r="E24" s="73">
        <v>2</v>
      </c>
      <c r="F24" s="73" t="s">
        <v>42</v>
      </c>
      <c r="G24" s="113" t="s">
        <v>67</v>
      </c>
      <c r="H24" s="78" t="s">
        <v>50</v>
      </c>
      <c r="I24" s="113" t="s">
        <v>67</v>
      </c>
      <c r="J24" s="78" t="s">
        <v>50</v>
      </c>
      <c r="K24" s="73"/>
      <c r="L24" s="73"/>
      <c r="M24" s="73">
        <v>0</v>
      </c>
      <c r="N24" s="73">
        <v>50000</v>
      </c>
      <c r="O24" s="73">
        <v>3.66</v>
      </c>
      <c r="P24" s="73">
        <v>3.66</v>
      </c>
    </row>
    <row r="25" spans="2:16">
      <c r="B25" s="114" t="s">
        <v>65</v>
      </c>
      <c r="C25" s="115" t="s">
        <v>68</v>
      </c>
      <c r="D25" s="73" t="s">
        <v>56</v>
      </c>
      <c r="E25" s="73">
        <v>2</v>
      </c>
      <c r="F25" s="73" t="s">
        <v>42</v>
      </c>
      <c r="G25" s="113" t="s">
        <v>69</v>
      </c>
      <c r="H25" s="78" t="s">
        <v>50</v>
      </c>
      <c r="I25" s="113" t="s">
        <v>69</v>
      </c>
      <c r="J25" s="78" t="s">
        <v>50</v>
      </c>
      <c r="K25" s="73"/>
      <c r="L25" s="73"/>
      <c r="M25" s="73">
        <v>0</v>
      </c>
      <c r="N25" s="73">
        <v>50000</v>
      </c>
      <c r="O25" s="73">
        <v>1.29</v>
      </c>
      <c r="P25" s="73">
        <v>1.29</v>
      </c>
    </row>
    <row r="26" spans="2:16">
      <c r="B26" s="112" t="s">
        <v>65</v>
      </c>
      <c r="C26" s="105" t="s">
        <v>70</v>
      </c>
      <c r="D26" s="73" t="s">
        <v>56</v>
      </c>
      <c r="E26" s="73">
        <v>2</v>
      </c>
      <c r="F26" s="73" t="s">
        <v>42</v>
      </c>
      <c r="G26" s="113" t="s">
        <v>71</v>
      </c>
      <c r="H26" s="78" t="s">
        <v>50</v>
      </c>
      <c r="I26" s="113" t="s">
        <v>71</v>
      </c>
      <c r="J26" s="78" t="s">
        <v>50</v>
      </c>
      <c r="K26" s="73"/>
      <c r="L26" s="73"/>
      <c r="M26" s="73">
        <v>0</v>
      </c>
      <c r="N26" s="73">
        <v>50000</v>
      </c>
      <c r="O26" s="73">
        <v>0.09</v>
      </c>
      <c r="P26" s="73">
        <v>0.09</v>
      </c>
    </row>
    <row r="27" spans="2:16">
      <c r="B27" s="114" t="s">
        <v>72</v>
      </c>
      <c r="C27" s="115" t="s">
        <v>73</v>
      </c>
      <c r="D27" s="73" t="s">
        <v>56</v>
      </c>
      <c r="E27" s="73">
        <v>2</v>
      </c>
      <c r="F27" s="73" t="s">
        <v>42</v>
      </c>
      <c r="G27" s="113" t="s">
        <v>74</v>
      </c>
      <c r="H27" s="78" t="s">
        <v>50</v>
      </c>
      <c r="I27" s="113" t="s">
        <v>75</v>
      </c>
      <c r="J27" s="78" t="s">
        <v>50</v>
      </c>
      <c r="K27" s="73"/>
      <c r="L27" s="73"/>
      <c r="M27" s="73">
        <v>0</v>
      </c>
      <c r="N27" s="73">
        <v>50000</v>
      </c>
      <c r="O27" s="73">
        <v>1.82</v>
      </c>
      <c r="P27" s="73">
        <v>1.9</v>
      </c>
    </row>
    <row r="28" spans="2:16">
      <c r="B28" s="112" t="s">
        <v>72</v>
      </c>
      <c r="C28" s="105" t="s">
        <v>76</v>
      </c>
      <c r="D28" s="73" t="s">
        <v>56</v>
      </c>
      <c r="E28" s="73">
        <v>2</v>
      </c>
      <c r="F28" s="73" t="s">
        <v>42</v>
      </c>
      <c r="G28" s="113" t="s">
        <v>77</v>
      </c>
      <c r="H28" s="78" t="s">
        <v>50</v>
      </c>
      <c r="I28" s="113" t="s">
        <v>78</v>
      </c>
      <c r="J28" s="78" t="s">
        <v>50</v>
      </c>
      <c r="K28" s="73"/>
      <c r="L28" s="73"/>
      <c r="M28" s="73">
        <v>0</v>
      </c>
      <c r="N28" s="73">
        <v>50000</v>
      </c>
      <c r="O28" s="73">
        <v>0.82</v>
      </c>
      <c r="P28" s="73">
        <v>0.88</v>
      </c>
    </row>
    <row r="29" spans="2:16">
      <c r="B29" s="114" t="s">
        <v>72</v>
      </c>
      <c r="C29" s="115" t="s">
        <v>79</v>
      </c>
      <c r="D29" s="73" t="s">
        <v>80</v>
      </c>
      <c r="E29" s="73">
        <v>2</v>
      </c>
      <c r="F29" s="73" t="s">
        <v>42</v>
      </c>
      <c r="G29" s="113" t="s">
        <v>81</v>
      </c>
      <c r="H29" s="78" t="s">
        <v>50</v>
      </c>
      <c r="I29" s="113" t="s">
        <v>82</v>
      </c>
      <c r="J29" s="78" t="s">
        <v>50</v>
      </c>
      <c r="K29" s="73"/>
      <c r="L29" s="73"/>
      <c r="M29" s="73">
        <v>0</v>
      </c>
      <c r="N29" s="73">
        <v>50000</v>
      </c>
      <c r="O29" s="73">
        <v>0.45</v>
      </c>
      <c r="P29" s="73">
        <v>0.46</v>
      </c>
    </row>
    <row r="30" spans="2:16">
      <c r="B30" s="112" t="s">
        <v>72</v>
      </c>
      <c r="C30" s="105" t="s">
        <v>83</v>
      </c>
      <c r="D30" s="73" t="s">
        <v>84</v>
      </c>
      <c r="E30" s="73">
        <v>1</v>
      </c>
      <c r="F30" s="73" t="s">
        <v>42</v>
      </c>
      <c r="G30" s="113" t="s">
        <v>85</v>
      </c>
      <c r="H30" s="78" t="s">
        <v>50</v>
      </c>
      <c r="I30" s="113" t="s">
        <v>86</v>
      </c>
      <c r="J30" s="78" t="s">
        <v>50</v>
      </c>
      <c r="K30" s="73"/>
      <c r="L30" s="73"/>
      <c r="M30" s="73">
        <v>0</v>
      </c>
      <c r="N30" s="73">
        <v>50000</v>
      </c>
      <c r="O30" s="73">
        <v>12.7</v>
      </c>
      <c r="P30" s="73">
        <v>17.6</v>
      </c>
    </row>
    <row r="31" spans="2:16">
      <c r="B31" s="114" t="s">
        <v>72</v>
      </c>
      <c r="C31" s="115" t="s">
        <v>87</v>
      </c>
      <c r="D31" s="73" t="s">
        <v>56</v>
      </c>
      <c r="E31" s="73">
        <v>2</v>
      </c>
      <c r="F31" s="73" t="s">
        <v>42</v>
      </c>
      <c r="G31" s="113" t="s">
        <v>88</v>
      </c>
      <c r="H31" s="78" t="s">
        <v>50</v>
      </c>
      <c r="I31" s="113" t="s">
        <v>89</v>
      </c>
      <c r="J31" s="78" t="s">
        <v>50</v>
      </c>
      <c r="K31" s="73"/>
      <c r="L31" s="73"/>
      <c r="M31" s="73">
        <v>0</v>
      </c>
      <c r="N31" s="73">
        <v>50000</v>
      </c>
      <c r="O31" s="73">
        <v>1.07</v>
      </c>
      <c r="P31" s="73">
        <v>1.2</v>
      </c>
    </row>
    <row r="32" spans="2:16">
      <c r="B32" s="112" t="s">
        <v>90</v>
      </c>
      <c r="C32" s="105" t="s">
        <v>91</v>
      </c>
      <c r="D32" s="73" t="s">
        <v>56</v>
      </c>
      <c r="E32" s="73">
        <v>1</v>
      </c>
      <c r="F32" s="73" t="s">
        <v>42</v>
      </c>
      <c r="G32" s="113" t="s">
        <v>92</v>
      </c>
      <c r="H32" s="78" t="s">
        <v>50</v>
      </c>
      <c r="I32" s="113" t="s">
        <v>93</v>
      </c>
      <c r="J32" s="78" t="s">
        <v>50</v>
      </c>
      <c r="K32" s="73"/>
      <c r="L32" s="73"/>
      <c r="M32" s="73">
        <v>0</v>
      </c>
      <c r="N32" s="73">
        <v>50000</v>
      </c>
      <c r="O32" s="73">
        <v>92.5</v>
      </c>
      <c r="P32" s="73">
        <v>90.90000000000001</v>
      </c>
    </row>
    <row r="33" spans="2:16">
      <c r="B33" s="114" t="s">
        <v>90</v>
      </c>
      <c r="C33" s="115" t="s">
        <v>94</v>
      </c>
      <c r="D33" s="73" t="s">
        <v>80</v>
      </c>
      <c r="E33" s="73">
        <v>2</v>
      </c>
      <c r="F33" s="73" t="s">
        <v>42</v>
      </c>
      <c r="G33" s="113" t="s">
        <v>95</v>
      </c>
      <c r="H33" s="78" t="s">
        <v>50</v>
      </c>
      <c r="I33" s="113" t="s">
        <v>96</v>
      </c>
      <c r="J33" s="78" t="s">
        <v>50</v>
      </c>
      <c r="K33" s="73"/>
      <c r="L33" s="73"/>
      <c r="M33" s="73">
        <v>0</v>
      </c>
      <c r="N33" s="73">
        <v>50000</v>
      </c>
      <c r="O33" s="73">
        <v>0.73</v>
      </c>
      <c r="P33" s="73">
        <v>0.8</v>
      </c>
    </row>
    <row r="34" spans="2:16">
      <c r="B34" s="112" t="s">
        <v>90</v>
      </c>
      <c r="C34" s="105" t="s">
        <v>97</v>
      </c>
      <c r="D34" s="73" t="s">
        <v>56</v>
      </c>
      <c r="E34" s="73">
        <v>1</v>
      </c>
      <c r="F34" s="73" t="s">
        <v>42</v>
      </c>
      <c r="G34" s="113" t="s">
        <v>98</v>
      </c>
      <c r="H34" s="78" t="s">
        <v>50</v>
      </c>
      <c r="I34" s="113" t="s">
        <v>99</v>
      </c>
      <c r="J34" s="78" t="s">
        <v>50</v>
      </c>
      <c r="K34" s="73"/>
      <c r="L34" s="73"/>
      <c r="M34" s="73">
        <v>0</v>
      </c>
      <c r="N34" s="73">
        <v>50000</v>
      </c>
      <c r="O34" s="73">
        <v>94</v>
      </c>
      <c r="P34" s="73">
        <v>93.90000000000001</v>
      </c>
    </row>
    <row r="35" spans="2:16">
      <c r="B35" s="114" t="s">
        <v>90</v>
      </c>
      <c r="C35" s="115" t="s">
        <v>100</v>
      </c>
      <c r="D35" s="73" t="s">
        <v>101</v>
      </c>
      <c r="E35" s="73">
        <v>0</v>
      </c>
      <c r="F35" s="73" t="s">
        <v>42</v>
      </c>
      <c r="G35" s="113" t="s">
        <v>102</v>
      </c>
      <c r="H35" s="78" t="s">
        <v>50</v>
      </c>
      <c r="I35" s="113" t="s">
        <v>103</v>
      </c>
      <c r="J35" s="78" t="s">
        <v>50</v>
      </c>
      <c r="K35" s="73"/>
      <c r="L35" s="73"/>
      <c r="M35" s="73">
        <v>0</v>
      </c>
      <c r="N35" s="73">
        <v>50000</v>
      </c>
      <c r="O35" s="73">
        <v>320</v>
      </c>
      <c r="P35" s="73">
        <v>334</v>
      </c>
    </row>
    <row r="36" spans="2:16">
      <c r="B36" s="112" t="s">
        <v>90</v>
      </c>
      <c r="C36" s="105" t="s">
        <v>104</v>
      </c>
      <c r="D36" s="73" t="s">
        <v>56</v>
      </c>
      <c r="E36" s="73">
        <v>0</v>
      </c>
      <c r="F36" s="73" t="s">
        <v>42</v>
      </c>
      <c r="G36" s="113" t="s">
        <v>105</v>
      </c>
      <c r="H36" s="78" t="s">
        <v>50</v>
      </c>
      <c r="I36" s="113" t="s">
        <v>106</v>
      </c>
      <c r="J36" s="78" t="s">
        <v>50</v>
      </c>
      <c r="K36" s="73"/>
      <c r="L36" s="73"/>
      <c r="M36" s="73">
        <v>0</v>
      </c>
      <c r="N36" s="73">
        <v>50000</v>
      </c>
      <c r="O36" s="73">
        <v>17</v>
      </c>
      <c r="P36" s="73">
        <v>16</v>
      </c>
    </row>
    <row r="37" spans="2:16">
      <c r="B37" s="114" t="s">
        <v>90</v>
      </c>
      <c r="C37" s="115" t="s">
        <v>107</v>
      </c>
      <c r="D37" s="73" t="s">
        <v>56</v>
      </c>
      <c r="E37" s="73">
        <v>1</v>
      </c>
      <c r="F37" s="73" t="s">
        <v>42</v>
      </c>
      <c r="G37" s="113" t="s">
        <v>108</v>
      </c>
      <c r="H37" s="78" t="s">
        <v>50</v>
      </c>
      <c r="I37" s="113" t="s">
        <v>109</v>
      </c>
      <c r="J37" s="78" t="s">
        <v>50</v>
      </c>
      <c r="K37" s="73"/>
      <c r="L37" s="73"/>
      <c r="M37" s="73">
        <v>0</v>
      </c>
      <c r="N37" s="73">
        <v>50000</v>
      </c>
      <c r="O37" s="73">
        <v>0.97</v>
      </c>
      <c r="P37" s="73">
        <v>1.17</v>
      </c>
    </row>
    <row r="38" spans="2:16">
      <c r="B38" s="112" t="s">
        <v>110</v>
      </c>
      <c r="C38" s="105" t="s">
        <v>110</v>
      </c>
      <c r="D38" s="73" t="s">
        <v>111</v>
      </c>
      <c r="E38" s="73">
        <v>0</v>
      </c>
      <c r="F38" s="73" t="s">
        <v>112</v>
      </c>
      <c r="G38" s="113" t="s">
        <v>113</v>
      </c>
      <c r="H38" s="78" t="s">
        <v>50</v>
      </c>
      <c r="I38" s="113" t="s">
        <v>114</v>
      </c>
      <c r="J38" s="78" t="s">
        <v>50</v>
      </c>
      <c r="K38" s="73"/>
      <c r="L38" s="73"/>
      <c r="M38" s="73">
        <v>0</v>
      </c>
      <c r="N38" s="73">
        <v>50000</v>
      </c>
      <c r="O38" s="73">
        <v>700</v>
      </c>
      <c r="P38" s="73">
        <v>750</v>
      </c>
    </row>
    <row r="39" spans="2:16">
      <c r="B39" s="114" t="s">
        <v>110</v>
      </c>
      <c r="C39" s="115" t="s">
        <v>115</v>
      </c>
      <c r="D39" s="73" t="s">
        <v>116</v>
      </c>
      <c r="E39" s="73">
        <v>0</v>
      </c>
      <c r="F39" s="73" t="s">
        <v>117</v>
      </c>
      <c r="G39" s="113" t="s">
        <v>118</v>
      </c>
      <c r="H39" s="78" t="s">
        <v>50</v>
      </c>
      <c r="I39" s="113" t="s">
        <v>119</v>
      </c>
      <c r="J39" s="78" t="s">
        <v>50</v>
      </c>
      <c r="K39" s="73"/>
      <c r="L39" s="73"/>
      <c r="M39" s="73">
        <v>0</v>
      </c>
      <c r="N39" s="73">
        <v>50000</v>
      </c>
      <c r="O39" s="73">
        <v>19000</v>
      </c>
      <c r="P39" s="73">
        <v>20600</v>
      </c>
    </row>
  </sheetData>
  <mergeCells count="31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5:P15"/>
    <mergeCell ref="B16:P16"/>
    <mergeCell ref="S5:Y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F18:F39">
      <formula1>lstAgreg</formula1>
    </dataValidation>
    <dataValidation type="list" allowBlank="1" showInputMessage="1" showErrorMessage="1" sqref="H18:H39">
      <formula1>lstTipo</formula1>
    </dataValidation>
    <dataValidation type="list" allowBlank="1" showInputMessage="1" showErrorMessage="1" sqref="J18:J3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S16"/>
  <sheetViews>
    <sheetView showGridLines="0" workbookViewId="0"/>
  </sheetViews>
  <sheetFormatPr defaultRowHeight="15"/>
  <cols>
    <col min="1" max="1" width="18.7109375" style="116" customWidth="1"/>
    <col min="2" max="45" width="14.7109375" customWidth="1"/>
  </cols>
  <sheetData>
    <row r="1" spans="1:45">
      <c r="A1" s="117" t="s">
        <v>138</v>
      </c>
    </row>
    <row r="3" spans="1:45">
      <c r="A3" s="118" t="s">
        <v>139</v>
      </c>
      <c r="B3" s="119" t="s">
        <v>140</v>
      </c>
    </row>
    <row r="4" spans="1:45">
      <c r="A4" s="118" t="s">
        <v>141</v>
      </c>
      <c r="B4" s="119" t="s">
        <v>140</v>
      </c>
    </row>
    <row r="5" spans="1:45">
      <c r="A5" s="118" t="s">
        <v>142</v>
      </c>
      <c r="B5" s="120">
        <f>'Configurações'!$G$18&amp;","&amp;'Configurações'!$I$18&amp;","&amp;'Configurações'!$G$19&amp;","&amp;'Configurações'!$I$19&amp;","&amp;'Configurações'!$G$20&amp;","&amp;'Configurações'!$I$20&amp;","&amp;'Configurações'!$G$21&amp;","&amp;'Configurações'!$I$21&amp;","&amp;'Configurações'!$G$22&amp;","&amp;'Configurações'!$I$22&amp;","&amp;'Configurações'!$G$23&amp;","&amp;'Configurações'!$I$23&amp;","&amp;'Configurações'!$G$24&amp;","&amp;'Configurações'!$I$24&amp;","&amp;'Configurações'!$G$25&amp;","&amp;'Configurações'!$I$25&amp;","&amp;'Configurações'!$G$26&amp;","&amp;'Configurações'!$I$26&amp;","&amp;'Configurações'!$G$27&amp;","&amp;'Configurações'!$I$27&amp;","&amp;'Configurações'!$G$28&amp;","&amp;'Configurações'!$I$28&amp;","&amp;'Configurações'!$G$29&amp;","&amp;'Configurações'!$I$29&amp;","&amp;'Configurações'!$G$30&amp;","&amp;'Configurações'!$I$30&amp;","&amp;'Configurações'!$G$31&amp;","&amp;'Configurações'!$I$31&amp;","&amp;'Configurações'!$G$32&amp;","&amp;'Configurações'!$I$32&amp;","&amp;'Configurações'!$G$33&amp;","&amp;'Configurações'!$I$33&amp;","&amp;'Configurações'!$G$34&amp;","&amp;'Configurações'!$I$34&amp;","&amp;'Configurações'!$G$35&amp;","&amp;'Configurações'!$I$35&amp;","&amp;'Configurações'!$G$36&amp;","&amp;'Configurações'!$I$36&amp;","&amp;'Configurações'!$G$37&amp;","&amp;'Configurações'!$I$37&amp;","&amp;'Configurações'!$G$38&amp;","&amp;'Configurações'!$I$38&amp;","&amp;'Configurações'!$G$39&amp;","&amp;'Configurações'!$I$39</f>
        <v>0</v>
      </c>
    </row>
    <row r="6" spans="1:45">
      <c r="A6" s="118" t="s">
        <v>143</v>
      </c>
      <c r="B6" s="120">
        <f>REPT(cfgServidor&amp;",",43)&amp;cfgServidor</f>
        <v>0</v>
      </c>
    </row>
    <row r="7" spans="1:45">
      <c r="A7" s="118" t="s">
        <v>144</v>
      </c>
      <c r="B7" s="120">
        <f>'Configurações'!$H$18&amp;","&amp;'Configurações'!$J$18&amp;","&amp;'Configurações'!$H$19&amp;","&amp;'Configurações'!$J$19&amp;","&amp;'Configurações'!$H$20&amp;","&amp;'Configurações'!$J$20&amp;","&amp;'Configurações'!$H$21&amp;","&amp;'Configurações'!$J$21&amp;","&amp;'Configurações'!$H$22&amp;","&amp;'Configurações'!$J$22&amp;","&amp;'Configurações'!$H$23&amp;","&amp;'Configurações'!$J$23&amp;","&amp;'Configurações'!$H$24&amp;","&amp;'Configurações'!$J$24&amp;","&amp;'Configurações'!$H$25&amp;","&amp;'Configurações'!$J$25&amp;","&amp;'Configurações'!$H$26&amp;","&amp;'Configurações'!$J$26&amp;","&amp;'Configurações'!$H$27&amp;","&amp;'Configurações'!$J$27&amp;","&amp;'Configurações'!$H$28&amp;","&amp;'Configurações'!$J$28&amp;","&amp;'Configurações'!$H$29&amp;","&amp;'Configurações'!$J$29&amp;","&amp;'Configurações'!$H$30&amp;","&amp;'Configurações'!$J$30&amp;","&amp;'Configurações'!$H$31&amp;","&amp;'Configurações'!$J$31&amp;","&amp;'Configurações'!$H$32&amp;","&amp;'Configurações'!$J$32&amp;","&amp;'Configurações'!$H$33&amp;","&amp;'Configurações'!$J$33&amp;","&amp;'Configurações'!$H$34&amp;","&amp;'Configurações'!$J$34&amp;","&amp;'Configurações'!$H$35&amp;","&amp;'Configurações'!$J$35&amp;","&amp;'Configurações'!$H$36&amp;","&amp;'Configurações'!$J$36&amp;","&amp;'Configurações'!$H$37&amp;","&amp;'Configurações'!$J$37&amp;","&amp;'Configurações'!$H$38&amp;","&amp;'Configurações'!$J$38&amp;","&amp;'Configurações'!$H$39&amp;","&amp;'Configurações'!$J$39</f>
        <v>0</v>
      </c>
    </row>
    <row r="9" spans="1:45">
      <c r="A9" s="120">
        <f>_xll.AspenTech.PME.ProcessData.Functions.GetCalculationValues("time,attribute",Dados_MES!$B$5,Dados_MES!$B$6,Dados_MES!$B$7,Dados_MES!$B$3,Dados_MES!$B$4,"2h",0,"",0,"1",0,1560,0,0,1,1,ADDRESS(ROW(Dados_MES!A9),COLUMN(Dados_MES!A9),1,,"Dados_MES"),ROWS(Dados_MES!A11:AS16)&amp;"#"&amp;COLUMNS(Dados_MES!A11:AS16),1)</f>
        <v>0</v>
      </c>
    </row>
    <row r="10" spans="1:45" ht="45" customHeight="1">
      <c r="A10" s="121" t="s">
        <v>145</v>
      </c>
      <c r="B10" s="122" t="s">
        <v>146</v>
      </c>
      <c r="C10" s="122" t="s">
        <v>147</v>
      </c>
      <c r="D10" s="122" t="s">
        <v>148</v>
      </c>
      <c r="E10" s="122" t="s">
        <v>149</v>
      </c>
      <c r="F10" s="122" t="s">
        <v>150</v>
      </c>
      <c r="G10" s="122" t="s">
        <v>151</v>
      </c>
      <c r="H10" s="122" t="s">
        <v>152</v>
      </c>
      <c r="I10" s="122" t="s">
        <v>153</v>
      </c>
      <c r="J10" s="122" t="s">
        <v>154</v>
      </c>
      <c r="K10" s="122" t="s">
        <v>155</v>
      </c>
      <c r="L10" s="122" t="s">
        <v>156</v>
      </c>
      <c r="M10" s="122" t="s">
        <v>157</v>
      </c>
      <c r="N10" s="122" t="s">
        <v>158</v>
      </c>
      <c r="O10" s="122" t="s">
        <v>159</v>
      </c>
      <c r="P10" s="122" t="s">
        <v>160</v>
      </c>
      <c r="Q10" s="122" t="s">
        <v>161</v>
      </c>
      <c r="R10" s="122" t="s">
        <v>162</v>
      </c>
      <c r="S10" s="122" t="s">
        <v>163</v>
      </c>
      <c r="T10" s="122" t="s">
        <v>164</v>
      </c>
      <c r="U10" s="122" t="s">
        <v>165</v>
      </c>
      <c r="V10" s="122" t="s">
        <v>166</v>
      </c>
      <c r="W10" s="122" t="s">
        <v>167</v>
      </c>
      <c r="X10" s="122" t="s">
        <v>168</v>
      </c>
      <c r="Y10" s="122" t="s">
        <v>169</v>
      </c>
      <c r="Z10" s="122" t="s">
        <v>170</v>
      </c>
      <c r="AA10" s="122" t="s">
        <v>171</v>
      </c>
      <c r="AB10" s="122" t="s">
        <v>172</v>
      </c>
      <c r="AC10" s="122" t="s">
        <v>173</v>
      </c>
      <c r="AD10" s="122" t="s">
        <v>174</v>
      </c>
      <c r="AE10" s="122" t="s">
        <v>175</v>
      </c>
      <c r="AF10" s="122" t="s">
        <v>176</v>
      </c>
      <c r="AG10" s="122" t="s">
        <v>177</v>
      </c>
      <c r="AH10" s="122" t="s">
        <v>178</v>
      </c>
      <c r="AI10" s="122" t="s">
        <v>179</v>
      </c>
      <c r="AJ10" s="122" t="s">
        <v>180</v>
      </c>
      <c r="AK10" s="122" t="s">
        <v>181</v>
      </c>
      <c r="AL10" s="122" t="s">
        <v>182</v>
      </c>
      <c r="AM10" s="122" t="s">
        <v>183</v>
      </c>
      <c r="AN10" s="122" t="s">
        <v>184</v>
      </c>
      <c r="AO10" s="122" t="s">
        <v>185</v>
      </c>
      <c r="AP10" s="122" t="s">
        <v>186</v>
      </c>
      <c r="AQ10" s="122" t="s">
        <v>187</v>
      </c>
      <c r="AR10" s="122" t="s">
        <v>188</v>
      </c>
      <c r="AS10" s="122" t="s">
        <v>189</v>
      </c>
    </row>
    <row r="11" spans="1:45">
      <c r="A11" s="123">
        <f t="array" ref="A11:AS16">_xll.AspenTech.PME.ProcessData.Functions.ShowCalculationValues(ADDRESS(ROW(Dados_MES!A9),COLUMN(Dados_MES!A9),1,,"Dados_MES"),Dados_MES!A9, 0)</f>
        <v>0</v>
      </c>
      <c r="B11" s="123">
        <v>0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3">
        <v>0</v>
      </c>
      <c r="W11" s="123">
        <v>0</v>
      </c>
      <c r="X11" s="123">
        <v>0</v>
      </c>
      <c r="Y11" s="123">
        <v>0</v>
      </c>
      <c r="Z11" s="123">
        <v>0</v>
      </c>
      <c r="AA11" s="123">
        <v>0</v>
      </c>
      <c r="AB11" s="123">
        <v>0</v>
      </c>
      <c r="AC11" s="123">
        <v>0</v>
      </c>
      <c r="AD11" s="123">
        <v>0</v>
      </c>
      <c r="AE11" s="123">
        <v>0</v>
      </c>
      <c r="AF11" s="123">
        <v>0</v>
      </c>
      <c r="AG11" s="123">
        <v>0</v>
      </c>
      <c r="AH11" s="123">
        <v>0</v>
      </c>
      <c r="AI11" s="123">
        <v>0</v>
      </c>
      <c r="AJ11" s="123">
        <v>0</v>
      </c>
      <c r="AK11" s="123">
        <v>0</v>
      </c>
      <c r="AL11" s="123">
        <v>0</v>
      </c>
      <c r="AM11" s="123">
        <v>0</v>
      </c>
      <c r="AN11" s="123">
        <v>0</v>
      </c>
      <c r="AO11" s="123">
        <v>0</v>
      </c>
      <c r="AP11" s="123">
        <v>0</v>
      </c>
      <c r="AQ11" s="123">
        <v>0</v>
      </c>
      <c r="AR11" s="123">
        <v>0</v>
      </c>
      <c r="AS11" s="123">
        <v>0</v>
      </c>
    </row>
    <row r="12" spans="1:45">
      <c r="A12" s="123">
        <v>0</v>
      </c>
      <c r="B12" s="123">
        <v>0</v>
      </c>
      <c r="C12" s="123">
        <v>0</v>
      </c>
      <c r="D12" s="123">
        <v>0</v>
      </c>
      <c r="E12" s="123">
        <v>0</v>
      </c>
      <c r="F12" s="123">
        <v>0</v>
      </c>
      <c r="G12" s="123">
        <v>0</v>
      </c>
      <c r="H12" s="123">
        <v>0</v>
      </c>
      <c r="I12" s="123">
        <v>0</v>
      </c>
      <c r="J12" s="123">
        <v>0</v>
      </c>
      <c r="K12" s="123">
        <v>0</v>
      </c>
      <c r="L12" s="123">
        <v>0</v>
      </c>
      <c r="M12" s="123">
        <v>0</v>
      </c>
      <c r="N12" s="123">
        <v>0</v>
      </c>
      <c r="O12" s="123">
        <v>0</v>
      </c>
      <c r="P12" s="123">
        <v>0</v>
      </c>
      <c r="Q12" s="123">
        <v>0</v>
      </c>
      <c r="R12" s="123">
        <v>0</v>
      </c>
      <c r="S12" s="123">
        <v>0</v>
      </c>
      <c r="T12" s="123">
        <v>0</v>
      </c>
      <c r="U12" s="123">
        <v>0</v>
      </c>
      <c r="V12" s="123">
        <v>0</v>
      </c>
      <c r="W12" s="123">
        <v>0</v>
      </c>
      <c r="X12" s="123">
        <v>0</v>
      </c>
      <c r="Y12" s="123">
        <v>0</v>
      </c>
      <c r="Z12" s="123">
        <v>0</v>
      </c>
      <c r="AA12" s="123">
        <v>0</v>
      </c>
      <c r="AB12" s="123">
        <v>0</v>
      </c>
      <c r="AC12" s="123">
        <v>0</v>
      </c>
      <c r="AD12" s="123">
        <v>0</v>
      </c>
      <c r="AE12" s="123">
        <v>0</v>
      </c>
      <c r="AF12" s="123">
        <v>0</v>
      </c>
      <c r="AG12" s="123">
        <v>0</v>
      </c>
      <c r="AH12" s="123">
        <v>0</v>
      </c>
      <c r="AI12" s="123">
        <v>0</v>
      </c>
      <c r="AJ12" s="123">
        <v>0</v>
      </c>
      <c r="AK12" s="123">
        <v>0</v>
      </c>
      <c r="AL12" s="123">
        <v>0</v>
      </c>
      <c r="AM12" s="123">
        <v>0</v>
      </c>
      <c r="AN12" s="123">
        <v>0</v>
      </c>
      <c r="AO12" s="123">
        <v>0</v>
      </c>
      <c r="AP12" s="123">
        <v>0</v>
      </c>
      <c r="AQ12" s="123">
        <v>0</v>
      </c>
      <c r="AR12" s="123">
        <v>0</v>
      </c>
      <c r="AS12" s="123">
        <v>0</v>
      </c>
    </row>
    <row r="13" spans="1:45">
      <c r="A13" s="123">
        <v>0</v>
      </c>
      <c r="B13" s="123">
        <v>0</v>
      </c>
      <c r="C13" s="123">
        <v>0</v>
      </c>
      <c r="D13" s="123">
        <v>0</v>
      </c>
      <c r="E13" s="123">
        <v>0</v>
      </c>
      <c r="F13" s="123">
        <v>0</v>
      </c>
      <c r="G13" s="123">
        <v>0</v>
      </c>
      <c r="H13" s="123">
        <v>0</v>
      </c>
      <c r="I13" s="123">
        <v>0</v>
      </c>
      <c r="J13" s="123">
        <v>0</v>
      </c>
      <c r="K13" s="123">
        <v>0</v>
      </c>
      <c r="L13" s="123">
        <v>0</v>
      </c>
      <c r="M13" s="123">
        <v>0</v>
      </c>
      <c r="N13" s="123">
        <v>0</v>
      </c>
      <c r="O13" s="123">
        <v>0</v>
      </c>
      <c r="P13" s="123">
        <v>0</v>
      </c>
      <c r="Q13" s="123">
        <v>0</v>
      </c>
      <c r="R13" s="123">
        <v>0</v>
      </c>
      <c r="S13" s="123">
        <v>0</v>
      </c>
      <c r="T13" s="123">
        <v>0</v>
      </c>
      <c r="U13" s="123">
        <v>0</v>
      </c>
      <c r="V13" s="123">
        <v>0</v>
      </c>
      <c r="W13" s="123">
        <v>0</v>
      </c>
      <c r="X13" s="123">
        <v>0</v>
      </c>
      <c r="Y13" s="123">
        <v>0</v>
      </c>
      <c r="Z13" s="123">
        <v>0</v>
      </c>
      <c r="AA13" s="123">
        <v>0</v>
      </c>
      <c r="AB13" s="123">
        <v>0</v>
      </c>
      <c r="AC13" s="123">
        <v>0</v>
      </c>
      <c r="AD13" s="123">
        <v>0</v>
      </c>
      <c r="AE13" s="123">
        <v>0</v>
      </c>
      <c r="AF13" s="123">
        <v>0</v>
      </c>
      <c r="AG13" s="123">
        <v>0</v>
      </c>
      <c r="AH13" s="123">
        <v>0</v>
      </c>
      <c r="AI13" s="123">
        <v>0</v>
      </c>
      <c r="AJ13" s="123">
        <v>0</v>
      </c>
      <c r="AK13" s="123">
        <v>0</v>
      </c>
      <c r="AL13" s="123">
        <v>0</v>
      </c>
      <c r="AM13" s="123">
        <v>0</v>
      </c>
      <c r="AN13" s="123">
        <v>0</v>
      </c>
      <c r="AO13" s="123">
        <v>0</v>
      </c>
      <c r="AP13" s="123">
        <v>0</v>
      </c>
      <c r="AQ13" s="123">
        <v>0</v>
      </c>
      <c r="AR13" s="123">
        <v>0</v>
      </c>
      <c r="AS13" s="123">
        <v>0</v>
      </c>
    </row>
    <row r="14" spans="1:45">
      <c r="A14" s="123">
        <v>0</v>
      </c>
      <c r="B14" s="123">
        <v>0</v>
      </c>
      <c r="C14" s="123">
        <v>0</v>
      </c>
      <c r="D14" s="123">
        <v>0</v>
      </c>
      <c r="E14" s="123">
        <v>0</v>
      </c>
      <c r="F14" s="123">
        <v>0</v>
      </c>
      <c r="G14" s="123">
        <v>0</v>
      </c>
      <c r="H14" s="123">
        <v>0</v>
      </c>
      <c r="I14" s="123">
        <v>0</v>
      </c>
      <c r="J14" s="123">
        <v>0</v>
      </c>
      <c r="K14" s="123">
        <v>0</v>
      </c>
      <c r="L14" s="123">
        <v>0</v>
      </c>
      <c r="M14" s="123">
        <v>0</v>
      </c>
      <c r="N14" s="123">
        <v>0</v>
      </c>
      <c r="O14" s="123">
        <v>0</v>
      </c>
      <c r="P14" s="123">
        <v>0</v>
      </c>
      <c r="Q14" s="123">
        <v>0</v>
      </c>
      <c r="R14" s="123">
        <v>0</v>
      </c>
      <c r="S14" s="123">
        <v>0</v>
      </c>
      <c r="T14" s="123">
        <v>0</v>
      </c>
      <c r="U14" s="123">
        <v>0</v>
      </c>
      <c r="V14" s="123">
        <v>0</v>
      </c>
      <c r="W14" s="123">
        <v>0</v>
      </c>
      <c r="X14" s="123">
        <v>0</v>
      </c>
      <c r="Y14" s="123">
        <v>0</v>
      </c>
      <c r="Z14" s="123">
        <v>0</v>
      </c>
      <c r="AA14" s="123">
        <v>0</v>
      </c>
      <c r="AB14" s="123">
        <v>0</v>
      </c>
      <c r="AC14" s="123">
        <v>0</v>
      </c>
      <c r="AD14" s="123">
        <v>0</v>
      </c>
      <c r="AE14" s="123">
        <v>0</v>
      </c>
      <c r="AF14" s="123">
        <v>0</v>
      </c>
      <c r="AG14" s="123">
        <v>0</v>
      </c>
      <c r="AH14" s="123">
        <v>0</v>
      </c>
      <c r="AI14" s="123">
        <v>0</v>
      </c>
      <c r="AJ14" s="123">
        <v>0</v>
      </c>
      <c r="AK14" s="123">
        <v>0</v>
      </c>
      <c r="AL14" s="123">
        <v>0</v>
      </c>
      <c r="AM14" s="123">
        <v>0</v>
      </c>
      <c r="AN14" s="123">
        <v>0</v>
      </c>
      <c r="AO14" s="123">
        <v>0</v>
      </c>
      <c r="AP14" s="123">
        <v>0</v>
      </c>
      <c r="AQ14" s="123">
        <v>0</v>
      </c>
      <c r="AR14" s="123">
        <v>0</v>
      </c>
      <c r="AS14" s="123">
        <v>0</v>
      </c>
    </row>
    <row r="15" spans="1:45">
      <c r="A15" s="123">
        <v>0</v>
      </c>
      <c r="B15" s="123">
        <v>0</v>
      </c>
      <c r="C15" s="123">
        <v>0</v>
      </c>
      <c r="D15" s="123">
        <v>0</v>
      </c>
      <c r="E15" s="123">
        <v>0</v>
      </c>
      <c r="F15" s="123">
        <v>0</v>
      </c>
      <c r="G15" s="123">
        <v>0</v>
      </c>
      <c r="H15" s="123">
        <v>0</v>
      </c>
      <c r="I15" s="123">
        <v>0</v>
      </c>
      <c r="J15" s="123">
        <v>0</v>
      </c>
      <c r="K15" s="123">
        <v>0</v>
      </c>
      <c r="L15" s="123">
        <v>0</v>
      </c>
      <c r="M15" s="123">
        <v>0</v>
      </c>
      <c r="N15" s="123">
        <v>0</v>
      </c>
      <c r="O15" s="123">
        <v>0</v>
      </c>
      <c r="P15" s="123">
        <v>0</v>
      </c>
      <c r="Q15" s="123">
        <v>0</v>
      </c>
      <c r="R15" s="123">
        <v>0</v>
      </c>
      <c r="S15" s="123">
        <v>0</v>
      </c>
      <c r="T15" s="123">
        <v>0</v>
      </c>
      <c r="U15" s="123">
        <v>0</v>
      </c>
      <c r="V15" s="123">
        <v>0</v>
      </c>
      <c r="W15" s="123">
        <v>0</v>
      </c>
      <c r="X15" s="123">
        <v>0</v>
      </c>
      <c r="Y15" s="123">
        <v>0</v>
      </c>
      <c r="Z15" s="123">
        <v>0</v>
      </c>
      <c r="AA15" s="123">
        <v>0</v>
      </c>
      <c r="AB15" s="123">
        <v>0</v>
      </c>
      <c r="AC15" s="123">
        <v>0</v>
      </c>
      <c r="AD15" s="123">
        <v>0</v>
      </c>
      <c r="AE15" s="123">
        <v>0</v>
      </c>
      <c r="AF15" s="123">
        <v>0</v>
      </c>
      <c r="AG15" s="123">
        <v>0</v>
      </c>
      <c r="AH15" s="123">
        <v>0</v>
      </c>
      <c r="AI15" s="123">
        <v>0</v>
      </c>
      <c r="AJ15" s="123">
        <v>0</v>
      </c>
      <c r="AK15" s="123">
        <v>0</v>
      </c>
      <c r="AL15" s="123">
        <v>0</v>
      </c>
      <c r="AM15" s="123">
        <v>0</v>
      </c>
      <c r="AN15" s="123">
        <v>0</v>
      </c>
      <c r="AO15" s="123">
        <v>0</v>
      </c>
      <c r="AP15" s="123">
        <v>0</v>
      </c>
      <c r="AQ15" s="123">
        <v>0</v>
      </c>
      <c r="AR15" s="123">
        <v>0</v>
      </c>
      <c r="AS15" s="123">
        <v>0</v>
      </c>
    </row>
    <row r="16" spans="1:45">
      <c r="A16" s="123">
        <v>0</v>
      </c>
      <c r="B16" s="123">
        <v>0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  <c r="U16" s="123">
        <v>0</v>
      </c>
      <c r="V16" s="123">
        <v>0</v>
      </c>
      <c r="W16" s="123">
        <v>0</v>
      </c>
      <c r="X16" s="123">
        <v>0</v>
      </c>
      <c r="Y16" s="123">
        <v>0</v>
      </c>
      <c r="Z16" s="123">
        <v>0</v>
      </c>
      <c r="AA16" s="123">
        <v>0</v>
      </c>
      <c r="AB16" s="123">
        <v>0</v>
      </c>
      <c r="AC16" s="123">
        <v>0</v>
      </c>
      <c r="AD16" s="123">
        <v>0</v>
      </c>
      <c r="AE16" s="123">
        <v>0</v>
      </c>
      <c r="AF16" s="123">
        <v>0</v>
      </c>
      <c r="AG16" s="123">
        <v>0</v>
      </c>
      <c r="AH16" s="123">
        <v>0</v>
      </c>
      <c r="AI16" s="123">
        <v>0</v>
      </c>
      <c r="AJ16" s="123">
        <v>0</v>
      </c>
      <c r="AK16" s="123">
        <v>0</v>
      </c>
      <c r="AL16" s="123">
        <v>0</v>
      </c>
      <c r="AM16" s="123">
        <v>0</v>
      </c>
      <c r="AN16" s="123">
        <v>0</v>
      </c>
      <c r="AO16" s="123">
        <v>0</v>
      </c>
      <c r="AP16" s="123">
        <v>0</v>
      </c>
      <c r="AQ16" s="123">
        <v>0</v>
      </c>
      <c r="AR16" s="123">
        <v>0</v>
      </c>
      <c r="AS16" s="123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I100"/>
  <sheetViews>
    <sheetView showGridLines="0" workbookViewId="0"/>
  </sheetViews>
  <sheetFormatPr defaultRowHeight="15"/>
  <sheetData>
    <row r="1" spans="1:9">
      <c r="A1" t="s">
        <v>387</v>
      </c>
      <c r="B1" t="s">
        <v>416</v>
      </c>
      <c r="C1" t="s">
        <v>389</v>
      </c>
      <c r="D1" t="s">
        <v>129</v>
      </c>
      <c r="E1" t="s">
        <v>390</v>
      </c>
      <c r="G1" t="s">
        <v>589</v>
      </c>
      <c r="H1" t="s">
        <v>199</v>
      </c>
      <c r="I1" t="s">
        <v>590</v>
      </c>
    </row>
    <row r="2" spans="1:9">
      <c r="A2" t="s">
        <v>417</v>
      </c>
      <c r="B2" t="s">
        <v>140</v>
      </c>
      <c r="C2" t="s">
        <v>261</v>
      </c>
      <c r="D2" t="s">
        <v>140</v>
      </c>
      <c r="E2" t="s">
        <v>418</v>
      </c>
      <c r="G2">
        <v>1</v>
      </c>
      <c r="H2">
        <v>1</v>
      </c>
      <c r="I2">
        <v>12</v>
      </c>
    </row>
    <row r="3" spans="1:9">
      <c r="A3" t="s">
        <v>417</v>
      </c>
      <c r="B3" t="s">
        <v>140</v>
      </c>
      <c r="C3" t="s">
        <v>262</v>
      </c>
      <c r="D3" t="s">
        <v>140</v>
      </c>
      <c r="E3" t="s">
        <v>419</v>
      </c>
      <c r="G3">
        <v>1</v>
      </c>
      <c r="H3">
        <v>2</v>
      </c>
      <c r="I3">
        <v>13</v>
      </c>
    </row>
    <row r="4" spans="1:9">
      <c r="A4" t="s">
        <v>420</v>
      </c>
      <c r="B4" t="s">
        <v>140</v>
      </c>
      <c r="C4" t="s">
        <v>421</v>
      </c>
      <c r="D4" t="s">
        <v>140</v>
      </c>
      <c r="E4" t="s">
        <v>422</v>
      </c>
      <c r="G4">
        <v>2</v>
      </c>
      <c r="H4">
        <v>1</v>
      </c>
      <c r="I4">
        <v>15</v>
      </c>
    </row>
    <row r="5" spans="1:9">
      <c r="A5" t="s">
        <v>420</v>
      </c>
      <c r="B5" t="s">
        <v>140</v>
      </c>
      <c r="C5" t="s">
        <v>423</v>
      </c>
      <c r="D5" t="s">
        <v>140</v>
      </c>
      <c r="E5" t="s">
        <v>424</v>
      </c>
      <c r="G5">
        <v>2</v>
      </c>
      <c r="H5">
        <v>2</v>
      </c>
      <c r="I5">
        <v>16</v>
      </c>
    </row>
    <row r="6" spans="1:9">
      <c r="A6" t="s">
        <v>420</v>
      </c>
      <c r="B6" t="s">
        <v>140</v>
      </c>
      <c r="C6" t="s">
        <v>425</v>
      </c>
      <c r="D6" t="s">
        <v>140</v>
      </c>
      <c r="E6" t="s">
        <v>426</v>
      </c>
      <c r="G6">
        <v>3</v>
      </c>
      <c r="H6">
        <v>1</v>
      </c>
      <c r="I6">
        <v>17</v>
      </c>
    </row>
    <row r="7" spans="1:9">
      <c r="A7" t="s">
        <v>420</v>
      </c>
      <c r="B7" t="s">
        <v>140</v>
      </c>
      <c r="C7" t="s">
        <v>427</v>
      </c>
      <c r="D7" t="s">
        <v>140</v>
      </c>
      <c r="E7" t="s">
        <v>428</v>
      </c>
      <c r="G7">
        <v>3</v>
      </c>
      <c r="H7">
        <v>2</v>
      </c>
      <c r="I7">
        <v>18</v>
      </c>
    </row>
    <row r="8" spans="1:9">
      <c r="A8" t="s">
        <v>420</v>
      </c>
      <c r="B8" t="s">
        <v>140</v>
      </c>
      <c r="C8" t="s">
        <v>429</v>
      </c>
      <c r="D8" t="s">
        <v>140</v>
      </c>
      <c r="E8" t="s">
        <v>430</v>
      </c>
      <c r="G8">
        <v>4</v>
      </c>
      <c r="H8">
        <v>1</v>
      </c>
      <c r="I8">
        <v>19</v>
      </c>
    </row>
    <row r="9" spans="1:9">
      <c r="A9" t="s">
        <v>420</v>
      </c>
      <c r="B9" t="s">
        <v>140</v>
      </c>
      <c r="C9" t="s">
        <v>431</v>
      </c>
      <c r="D9" t="s">
        <v>140</v>
      </c>
      <c r="E9" t="s">
        <v>432</v>
      </c>
      <c r="G9">
        <v>4</v>
      </c>
      <c r="H9">
        <v>2</v>
      </c>
      <c r="I9">
        <v>20</v>
      </c>
    </row>
    <row r="10" spans="1:9">
      <c r="A10" t="s">
        <v>420</v>
      </c>
      <c r="B10" t="s">
        <v>140</v>
      </c>
      <c r="C10" t="s">
        <v>433</v>
      </c>
      <c r="D10" t="s">
        <v>140</v>
      </c>
      <c r="E10" t="s">
        <v>434</v>
      </c>
      <c r="G10">
        <v>5</v>
      </c>
      <c r="H10">
        <v>1</v>
      </c>
      <c r="I10">
        <v>21</v>
      </c>
    </row>
    <row r="11" spans="1:9">
      <c r="A11" t="s">
        <v>420</v>
      </c>
      <c r="B11" t="s">
        <v>140</v>
      </c>
      <c r="C11" t="s">
        <v>435</v>
      </c>
      <c r="D11" t="s">
        <v>140</v>
      </c>
      <c r="E11" t="s">
        <v>436</v>
      </c>
      <c r="G11">
        <v>5</v>
      </c>
      <c r="H11">
        <v>2</v>
      </c>
      <c r="I11">
        <v>22</v>
      </c>
    </row>
    <row r="12" spans="1:9">
      <c r="A12" t="s">
        <v>420</v>
      </c>
      <c r="B12" t="s">
        <v>140</v>
      </c>
      <c r="C12" t="s">
        <v>437</v>
      </c>
      <c r="D12" t="s">
        <v>140</v>
      </c>
      <c r="E12" t="s">
        <v>438</v>
      </c>
      <c r="G12">
        <v>6</v>
      </c>
      <c r="H12">
        <v>1</v>
      </c>
      <c r="I12">
        <v>23</v>
      </c>
    </row>
    <row r="13" spans="1:9">
      <c r="A13" t="s">
        <v>420</v>
      </c>
      <c r="B13" t="s">
        <v>140</v>
      </c>
      <c r="C13" t="s">
        <v>439</v>
      </c>
      <c r="D13" t="s">
        <v>140</v>
      </c>
      <c r="E13" t="s">
        <v>440</v>
      </c>
      <c r="G13">
        <v>6</v>
      </c>
      <c r="H13">
        <v>2</v>
      </c>
      <c r="I13">
        <v>24</v>
      </c>
    </row>
    <row r="14" spans="1:9">
      <c r="A14" t="s">
        <v>441</v>
      </c>
      <c r="B14" t="s">
        <v>140</v>
      </c>
      <c r="C14" t="s">
        <v>442</v>
      </c>
      <c r="D14" t="s">
        <v>443</v>
      </c>
      <c r="E14" t="s">
        <v>140</v>
      </c>
      <c r="G14">
        <v>7</v>
      </c>
      <c r="H14">
        <v>1</v>
      </c>
      <c r="I14">
        <v>26</v>
      </c>
    </row>
    <row r="15" spans="1:9">
      <c r="A15" t="s">
        <v>441</v>
      </c>
      <c r="B15" t="s">
        <v>140</v>
      </c>
      <c r="C15" t="s">
        <v>277</v>
      </c>
      <c r="D15" t="s">
        <v>140</v>
      </c>
      <c r="E15" t="s">
        <v>444</v>
      </c>
      <c r="G15">
        <v>7</v>
      </c>
      <c r="H15">
        <v>2</v>
      </c>
      <c r="I15">
        <v>27</v>
      </c>
    </row>
    <row r="16" spans="1:9">
      <c r="A16" t="s">
        <v>390</v>
      </c>
      <c r="B16" t="s">
        <v>140</v>
      </c>
      <c r="C16" t="s">
        <v>279</v>
      </c>
      <c r="D16" t="s">
        <v>140</v>
      </c>
      <c r="E16" t="s">
        <v>445</v>
      </c>
      <c r="G16">
        <v>8</v>
      </c>
      <c r="H16">
        <v>1</v>
      </c>
      <c r="I16">
        <v>28</v>
      </c>
    </row>
    <row r="17" spans="1:9">
      <c r="A17" t="s">
        <v>390</v>
      </c>
      <c r="B17" t="s">
        <v>140</v>
      </c>
      <c r="C17" t="s">
        <v>280</v>
      </c>
      <c r="D17" t="s">
        <v>140</v>
      </c>
      <c r="E17" t="s">
        <v>446</v>
      </c>
      <c r="G17">
        <v>8</v>
      </c>
      <c r="H17">
        <v>2</v>
      </c>
      <c r="I17">
        <v>29</v>
      </c>
    </row>
    <row r="18" spans="1:9">
      <c r="A18" t="s">
        <v>390</v>
      </c>
      <c r="B18" t="s">
        <v>140</v>
      </c>
      <c r="C18" t="s">
        <v>281</v>
      </c>
      <c r="D18" t="s">
        <v>140</v>
      </c>
      <c r="E18" t="s">
        <v>447</v>
      </c>
      <c r="G18">
        <v>9</v>
      </c>
      <c r="H18">
        <v>1</v>
      </c>
      <c r="I18">
        <v>30</v>
      </c>
    </row>
    <row r="19" spans="1:9">
      <c r="A19" t="s">
        <v>284</v>
      </c>
      <c r="B19" t="s">
        <v>448</v>
      </c>
      <c r="C19" t="s">
        <v>284</v>
      </c>
      <c r="D19" t="s">
        <v>140</v>
      </c>
      <c r="E19" t="s">
        <v>449</v>
      </c>
      <c r="G19">
        <v>9</v>
      </c>
      <c r="H19">
        <v>2</v>
      </c>
      <c r="I19">
        <v>31</v>
      </c>
    </row>
    <row r="20" spans="1:9">
      <c r="A20" t="s">
        <v>284</v>
      </c>
      <c r="B20" t="s">
        <v>448</v>
      </c>
      <c r="C20" t="s">
        <v>139</v>
      </c>
      <c r="D20" t="s">
        <v>140</v>
      </c>
      <c r="E20" t="s">
        <v>450</v>
      </c>
      <c r="G20">
        <v>10</v>
      </c>
      <c r="H20">
        <v>1</v>
      </c>
      <c r="I20">
        <v>33</v>
      </c>
    </row>
    <row r="21" spans="1:9">
      <c r="A21" t="s">
        <v>284</v>
      </c>
      <c r="B21" t="s">
        <v>448</v>
      </c>
      <c r="C21" t="s">
        <v>285</v>
      </c>
      <c r="D21" t="s">
        <v>140</v>
      </c>
      <c r="E21" t="s">
        <v>451</v>
      </c>
      <c r="G21">
        <v>10</v>
      </c>
      <c r="H21">
        <v>2</v>
      </c>
      <c r="I21">
        <v>34</v>
      </c>
    </row>
    <row r="22" spans="1:9">
      <c r="A22" t="s">
        <v>284</v>
      </c>
      <c r="B22" t="s">
        <v>448</v>
      </c>
      <c r="C22" t="s">
        <v>286</v>
      </c>
      <c r="D22" t="s">
        <v>140</v>
      </c>
      <c r="E22" t="s">
        <v>452</v>
      </c>
      <c r="G22">
        <v>11</v>
      </c>
      <c r="H22">
        <v>1</v>
      </c>
      <c r="I22">
        <v>35</v>
      </c>
    </row>
    <row r="23" spans="1:9">
      <c r="A23" t="s">
        <v>284</v>
      </c>
      <c r="B23" t="s">
        <v>453</v>
      </c>
      <c r="C23" t="s">
        <v>284</v>
      </c>
      <c r="D23" t="s">
        <v>140</v>
      </c>
      <c r="E23" t="s">
        <v>454</v>
      </c>
      <c r="G23">
        <v>11</v>
      </c>
      <c r="H23">
        <v>2</v>
      </c>
      <c r="I23">
        <v>36</v>
      </c>
    </row>
    <row r="24" spans="1:9">
      <c r="A24" t="s">
        <v>284</v>
      </c>
      <c r="B24" t="s">
        <v>453</v>
      </c>
      <c r="C24" t="s">
        <v>139</v>
      </c>
      <c r="D24" t="s">
        <v>140</v>
      </c>
      <c r="E24" t="s">
        <v>455</v>
      </c>
      <c r="G24">
        <v>12</v>
      </c>
      <c r="H24">
        <v>1</v>
      </c>
      <c r="I24">
        <v>37</v>
      </c>
    </row>
    <row r="25" spans="1:9">
      <c r="A25" t="s">
        <v>284</v>
      </c>
      <c r="B25" t="s">
        <v>453</v>
      </c>
      <c r="C25" t="s">
        <v>285</v>
      </c>
      <c r="D25" t="s">
        <v>140</v>
      </c>
      <c r="E25" t="s">
        <v>456</v>
      </c>
      <c r="G25">
        <v>12</v>
      </c>
      <c r="H25">
        <v>2</v>
      </c>
      <c r="I25">
        <v>38</v>
      </c>
    </row>
    <row r="26" spans="1:9">
      <c r="A26" t="s">
        <v>284</v>
      </c>
      <c r="B26" t="s">
        <v>453</v>
      </c>
      <c r="C26" t="s">
        <v>286</v>
      </c>
      <c r="D26" t="s">
        <v>140</v>
      </c>
      <c r="E26" t="s">
        <v>457</v>
      </c>
      <c r="G26">
        <v>13</v>
      </c>
      <c r="H26">
        <v>1</v>
      </c>
      <c r="I26">
        <v>39</v>
      </c>
    </row>
    <row r="27" spans="1:9">
      <c r="A27" t="s">
        <v>284</v>
      </c>
      <c r="B27" t="s">
        <v>458</v>
      </c>
      <c r="C27" t="s">
        <v>284</v>
      </c>
      <c r="D27" t="s">
        <v>140</v>
      </c>
      <c r="E27" t="s">
        <v>459</v>
      </c>
      <c r="G27">
        <v>13</v>
      </c>
      <c r="H27">
        <v>2</v>
      </c>
      <c r="I27">
        <v>40</v>
      </c>
    </row>
    <row r="28" spans="1:9">
      <c r="A28" t="s">
        <v>284</v>
      </c>
      <c r="B28" t="s">
        <v>458</v>
      </c>
      <c r="C28" t="s">
        <v>139</v>
      </c>
      <c r="D28" t="s">
        <v>140</v>
      </c>
      <c r="E28" t="s">
        <v>460</v>
      </c>
      <c r="G28">
        <v>14</v>
      </c>
      <c r="H28">
        <v>1</v>
      </c>
      <c r="I28">
        <v>41</v>
      </c>
    </row>
    <row r="29" spans="1:9">
      <c r="A29" t="s">
        <v>284</v>
      </c>
      <c r="B29" t="s">
        <v>458</v>
      </c>
      <c r="C29" t="s">
        <v>285</v>
      </c>
      <c r="D29" t="s">
        <v>140</v>
      </c>
      <c r="E29" t="s">
        <v>461</v>
      </c>
      <c r="G29">
        <v>14</v>
      </c>
      <c r="H29">
        <v>2</v>
      </c>
      <c r="I29">
        <v>42</v>
      </c>
    </row>
    <row r="30" spans="1:9">
      <c r="A30" t="s">
        <v>284</v>
      </c>
      <c r="B30" t="s">
        <v>458</v>
      </c>
      <c r="C30" t="s">
        <v>286</v>
      </c>
      <c r="D30" t="s">
        <v>140</v>
      </c>
      <c r="E30" t="s">
        <v>462</v>
      </c>
      <c r="G30">
        <v>15</v>
      </c>
      <c r="H30">
        <v>1</v>
      </c>
      <c r="I30">
        <v>44</v>
      </c>
    </row>
    <row r="31" spans="1:9">
      <c r="A31" t="s">
        <v>292</v>
      </c>
      <c r="B31" t="s">
        <v>463</v>
      </c>
      <c r="C31" t="s">
        <v>464</v>
      </c>
      <c r="D31" t="s">
        <v>465</v>
      </c>
      <c r="E31" t="s">
        <v>466</v>
      </c>
      <c r="G31">
        <v>15</v>
      </c>
      <c r="H31">
        <v>2</v>
      </c>
      <c r="I31">
        <v>45</v>
      </c>
    </row>
    <row r="32" spans="1:9">
      <c r="A32" t="s">
        <v>292</v>
      </c>
      <c r="B32" t="s">
        <v>467</v>
      </c>
      <c r="C32" t="s">
        <v>468</v>
      </c>
      <c r="D32" t="s">
        <v>469</v>
      </c>
      <c r="E32" t="s">
        <v>470</v>
      </c>
      <c r="G32">
        <v>16</v>
      </c>
      <c r="H32">
        <v>1</v>
      </c>
      <c r="I32">
        <v>46</v>
      </c>
    </row>
    <row r="33" spans="1:9">
      <c r="A33" t="s">
        <v>292</v>
      </c>
      <c r="B33" t="s">
        <v>471</v>
      </c>
      <c r="C33" t="s">
        <v>472</v>
      </c>
      <c r="D33" t="s">
        <v>473</v>
      </c>
      <c r="E33" t="s">
        <v>474</v>
      </c>
      <c r="G33">
        <v>16</v>
      </c>
      <c r="H33">
        <v>2</v>
      </c>
      <c r="I33">
        <v>47</v>
      </c>
    </row>
    <row r="34" spans="1:9">
      <c r="A34" t="s">
        <v>292</v>
      </c>
      <c r="B34" t="s">
        <v>475</v>
      </c>
      <c r="C34" t="s">
        <v>476</v>
      </c>
      <c r="D34" t="s">
        <v>477</v>
      </c>
      <c r="E34" t="s">
        <v>478</v>
      </c>
      <c r="G34">
        <v>17</v>
      </c>
      <c r="H34">
        <v>1</v>
      </c>
      <c r="I34">
        <v>48</v>
      </c>
    </row>
    <row r="35" spans="1:9">
      <c r="A35" t="s">
        <v>292</v>
      </c>
      <c r="B35" t="s">
        <v>479</v>
      </c>
      <c r="C35" t="s">
        <v>480</v>
      </c>
      <c r="D35" t="s">
        <v>481</v>
      </c>
      <c r="E35" t="s">
        <v>482</v>
      </c>
      <c r="G35">
        <v>17</v>
      </c>
      <c r="H35">
        <v>2</v>
      </c>
      <c r="I35">
        <v>49</v>
      </c>
    </row>
    <row r="36" spans="1:9">
      <c r="A36" t="s">
        <v>292</v>
      </c>
      <c r="B36" t="s">
        <v>483</v>
      </c>
      <c r="C36" t="s">
        <v>484</v>
      </c>
      <c r="D36" t="s">
        <v>485</v>
      </c>
      <c r="E36" t="s">
        <v>486</v>
      </c>
      <c r="G36">
        <v>18</v>
      </c>
      <c r="H36">
        <v>1</v>
      </c>
      <c r="I36">
        <v>50</v>
      </c>
    </row>
    <row r="37" spans="1:9">
      <c r="A37" t="s">
        <v>292</v>
      </c>
      <c r="B37" t="s">
        <v>487</v>
      </c>
      <c r="C37" t="s">
        <v>488</v>
      </c>
      <c r="D37" t="s">
        <v>489</v>
      </c>
      <c r="E37" t="s">
        <v>490</v>
      </c>
      <c r="G37">
        <v>18</v>
      </c>
      <c r="H37">
        <v>2</v>
      </c>
      <c r="I37">
        <v>51</v>
      </c>
    </row>
    <row r="38" spans="1:9">
      <c r="A38" t="s">
        <v>292</v>
      </c>
      <c r="B38" t="s">
        <v>491</v>
      </c>
      <c r="C38" t="s">
        <v>492</v>
      </c>
      <c r="D38" t="s">
        <v>493</v>
      </c>
      <c r="E38" t="s">
        <v>494</v>
      </c>
      <c r="G38">
        <v>19</v>
      </c>
      <c r="H38">
        <v>1</v>
      </c>
      <c r="I38">
        <v>52</v>
      </c>
    </row>
    <row r="39" spans="1:9">
      <c r="A39" t="s">
        <v>292</v>
      </c>
      <c r="B39" t="s">
        <v>495</v>
      </c>
      <c r="C39" t="s">
        <v>496</v>
      </c>
      <c r="D39" t="s">
        <v>497</v>
      </c>
      <c r="E39" t="s">
        <v>498</v>
      </c>
      <c r="G39">
        <v>19</v>
      </c>
      <c r="H39">
        <v>2</v>
      </c>
      <c r="I39">
        <v>53</v>
      </c>
    </row>
    <row r="40" spans="1:9">
      <c r="A40" t="s">
        <v>292</v>
      </c>
      <c r="B40" t="s">
        <v>499</v>
      </c>
      <c r="C40" t="s">
        <v>500</v>
      </c>
      <c r="D40" t="s">
        <v>501</v>
      </c>
      <c r="E40" t="s">
        <v>502</v>
      </c>
      <c r="G40">
        <v>20</v>
      </c>
      <c r="H40">
        <v>1</v>
      </c>
      <c r="I40">
        <v>54</v>
      </c>
    </row>
    <row r="41" spans="1:9">
      <c r="A41" t="s">
        <v>292</v>
      </c>
      <c r="B41" t="s">
        <v>503</v>
      </c>
      <c r="C41" t="s">
        <v>504</v>
      </c>
      <c r="D41" t="s">
        <v>505</v>
      </c>
      <c r="E41" t="s">
        <v>506</v>
      </c>
      <c r="G41">
        <v>20</v>
      </c>
      <c r="H41">
        <v>2</v>
      </c>
      <c r="I41">
        <v>55</v>
      </c>
    </row>
    <row r="42" spans="1:9">
      <c r="A42" t="s">
        <v>292</v>
      </c>
      <c r="B42" t="s">
        <v>507</v>
      </c>
      <c r="C42" t="s">
        <v>508</v>
      </c>
      <c r="D42" t="s">
        <v>509</v>
      </c>
      <c r="E42" t="s">
        <v>510</v>
      </c>
      <c r="G42">
        <v>21</v>
      </c>
      <c r="H42">
        <v>1</v>
      </c>
      <c r="I42">
        <v>57</v>
      </c>
    </row>
    <row r="43" spans="1:9">
      <c r="A43" t="s">
        <v>292</v>
      </c>
      <c r="B43" t="s">
        <v>511</v>
      </c>
      <c r="C43" t="s">
        <v>512</v>
      </c>
      <c r="D43" t="s">
        <v>513</v>
      </c>
      <c r="E43" t="s">
        <v>514</v>
      </c>
      <c r="G43">
        <v>21</v>
      </c>
      <c r="H43">
        <v>2</v>
      </c>
      <c r="I43">
        <v>58</v>
      </c>
    </row>
    <row r="44" spans="1:9">
      <c r="A44" t="s">
        <v>292</v>
      </c>
      <c r="B44" t="s">
        <v>515</v>
      </c>
      <c r="C44" t="s">
        <v>516</v>
      </c>
      <c r="D44" t="s">
        <v>517</v>
      </c>
      <c r="E44" t="s">
        <v>518</v>
      </c>
      <c r="G44">
        <v>22</v>
      </c>
      <c r="H44">
        <v>1</v>
      </c>
      <c r="I44">
        <v>59</v>
      </c>
    </row>
    <row r="45" spans="1:9">
      <c r="A45" t="s">
        <v>293</v>
      </c>
      <c r="B45" t="s">
        <v>205</v>
      </c>
      <c r="C45" t="s">
        <v>519</v>
      </c>
      <c r="D45" t="s">
        <v>140</v>
      </c>
      <c r="E45" t="s">
        <v>520</v>
      </c>
      <c r="G45">
        <v>22</v>
      </c>
      <c r="H45">
        <v>2</v>
      </c>
      <c r="I45">
        <v>60</v>
      </c>
    </row>
    <row r="46" spans="1:9">
      <c r="A46" t="s">
        <v>293</v>
      </c>
      <c r="B46" t="s">
        <v>207</v>
      </c>
      <c r="C46" t="s">
        <v>519</v>
      </c>
      <c r="D46" t="s">
        <v>140</v>
      </c>
      <c r="E46" t="s">
        <v>521</v>
      </c>
    </row>
    <row r="47" spans="1:9">
      <c r="A47" t="s">
        <v>293</v>
      </c>
      <c r="B47" t="s">
        <v>205</v>
      </c>
      <c r="C47" t="s">
        <v>522</v>
      </c>
      <c r="D47" t="s">
        <v>140</v>
      </c>
      <c r="E47" t="s">
        <v>523</v>
      </c>
    </row>
    <row r="48" spans="1:9">
      <c r="A48" t="s">
        <v>293</v>
      </c>
      <c r="B48" t="s">
        <v>207</v>
      </c>
      <c r="C48" t="s">
        <v>522</v>
      </c>
      <c r="D48" t="s">
        <v>140</v>
      </c>
      <c r="E48" t="s">
        <v>524</v>
      </c>
    </row>
    <row r="49" spans="1:5">
      <c r="A49" t="s">
        <v>293</v>
      </c>
      <c r="B49" t="s">
        <v>205</v>
      </c>
      <c r="C49" t="s">
        <v>525</v>
      </c>
      <c r="D49" t="s">
        <v>140</v>
      </c>
      <c r="E49" t="s">
        <v>526</v>
      </c>
    </row>
    <row r="50" spans="1:5">
      <c r="A50" t="s">
        <v>293</v>
      </c>
      <c r="B50" t="s">
        <v>207</v>
      </c>
      <c r="C50" t="s">
        <v>525</v>
      </c>
      <c r="D50" t="s">
        <v>140</v>
      </c>
      <c r="E50" t="s">
        <v>527</v>
      </c>
    </row>
    <row r="51" spans="1:5">
      <c r="A51" t="s">
        <v>293</v>
      </c>
      <c r="B51" t="s">
        <v>205</v>
      </c>
      <c r="C51" t="s">
        <v>528</v>
      </c>
      <c r="D51" t="s">
        <v>140</v>
      </c>
      <c r="E51" t="s">
        <v>529</v>
      </c>
    </row>
    <row r="52" spans="1:5">
      <c r="A52" t="s">
        <v>293</v>
      </c>
      <c r="B52" t="s">
        <v>207</v>
      </c>
      <c r="C52" t="s">
        <v>528</v>
      </c>
      <c r="D52" t="s">
        <v>140</v>
      </c>
      <c r="E52" t="s">
        <v>530</v>
      </c>
    </row>
    <row r="53" spans="1:5">
      <c r="A53" t="s">
        <v>293</v>
      </c>
      <c r="B53" t="s">
        <v>205</v>
      </c>
      <c r="C53" t="s">
        <v>531</v>
      </c>
      <c r="D53" t="s">
        <v>140</v>
      </c>
      <c r="E53" t="s">
        <v>532</v>
      </c>
    </row>
    <row r="54" spans="1:5">
      <c r="A54" t="s">
        <v>293</v>
      </c>
      <c r="B54" t="s">
        <v>207</v>
      </c>
      <c r="C54" t="s">
        <v>531</v>
      </c>
      <c r="D54" t="s">
        <v>140</v>
      </c>
      <c r="E54" t="s">
        <v>533</v>
      </c>
    </row>
    <row r="55" spans="1:5">
      <c r="A55" t="s">
        <v>293</v>
      </c>
      <c r="B55" t="s">
        <v>205</v>
      </c>
      <c r="C55" t="s">
        <v>534</v>
      </c>
      <c r="D55" t="s">
        <v>140</v>
      </c>
      <c r="E55" t="s">
        <v>535</v>
      </c>
    </row>
    <row r="56" spans="1:5">
      <c r="A56" t="s">
        <v>293</v>
      </c>
      <c r="B56" t="s">
        <v>207</v>
      </c>
      <c r="C56" t="s">
        <v>534</v>
      </c>
      <c r="D56" t="s">
        <v>140</v>
      </c>
      <c r="E56" t="s">
        <v>536</v>
      </c>
    </row>
    <row r="57" spans="1:5">
      <c r="A57" t="s">
        <v>293</v>
      </c>
      <c r="B57" t="s">
        <v>205</v>
      </c>
      <c r="C57" t="s">
        <v>537</v>
      </c>
      <c r="D57" t="s">
        <v>140</v>
      </c>
      <c r="E57" t="s">
        <v>538</v>
      </c>
    </row>
    <row r="58" spans="1:5">
      <c r="A58" t="s">
        <v>293</v>
      </c>
      <c r="B58" t="s">
        <v>207</v>
      </c>
      <c r="C58" t="s">
        <v>537</v>
      </c>
      <c r="D58" t="s">
        <v>140</v>
      </c>
      <c r="E58" t="s">
        <v>539</v>
      </c>
    </row>
    <row r="59" spans="1:5">
      <c r="A59" t="s">
        <v>540</v>
      </c>
      <c r="B59" t="s">
        <v>541</v>
      </c>
      <c r="C59" t="s">
        <v>323</v>
      </c>
      <c r="D59" t="s">
        <v>140</v>
      </c>
      <c r="E59" t="s">
        <v>542</v>
      </c>
    </row>
    <row r="60" spans="1:5">
      <c r="A60" t="s">
        <v>540</v>
      </c>
      <c r="B60" t="s">
        <v>541</v>
      </c>
      <c r="C60" t="s">
        <v>315</v>
      </c>
      <c r="D60" t="s">
        <v>140</v>
      </c>
      <c r="E60" t="s">
        <v>543</v>
      </c>
    </row>
    <row r="61" spans="1:5">
      <c r="A61" t="s">
        <v>540</v>
      </c>
      <c r="B61" t="s">
        <v>541</v>
      </c>
      <c r="C61" t="s">
        <v>324</v>
      </c>
      <c r="D61" t="s">
        <v>140</v>
      </c>
      <c r="E61" t="s">
        <v>544</v>
      </c>
    </row>
    <row r="62" spans="1:5">
      <c r="A62" t="s">
        <v>540</v>
      </c>
      <c r="B62" t="s">
        <v>541</v>
      </c>
      <c r="C62" t="s">
        <v>139</v>
      </c>
      <c r="D62" t="s">
        <v>140</v>
      </c>
      <c r="E62" t="s">
        <v>545</v>
      </c>
    </row>
    <row r="63" spans="1:5">
      <c r="A63" t="s">
        <v>540</v>
      </c>
      <c r="B63" t="s">
        <v>541</v>
      </c>
      <c r="C63" t="s">
        <v>285</v>
      </c>
      <c r="D63" t="s">
        <v>140</v>
      </c>
      <c r="E63" t="s">
        <v>546</v>
      </c>
    </row>
    <row r="64" spans="1:5">
      <c r="A64" t="s">
        <v>540</v>
      </c>
      <c r="B64" t="s">
        <v>541</v>
      </c>
      <c r="C64" t="s">
        <v>325</v>
      </c>
      <c r="D64" t="s">
        <v>140</v>
      </c>
      <c r="E64" t="s">
        <v>547</v>
      </c>
    </row>
    <row r="65" spans="1:5">
      <c r="A65" t="s">
        <v>540</v>
      </c>
      <c r="B65" t="s">
        <v>541</v>
      </c>
      <c r="C65" t="s">
        <v>326</v>
      </c>
      <c r="D65" t="s">
        <v>140</v>
      </c>
      <c r="E65" t="s">
        <v>548</v>
      </c>
    </row>
    <row r="66" spans="1:5">
      <c r="A66" t="s">
        <v>540</v>
      </c>
      <c r="B66" t="s">
        <v>541</v>
      </c>
      <c r="C66" t="s">
        <v>327</v>
      </c>
      <c r="D66" t="s">
        <v>140</v>
      </c>
      <c r="E66" t="s">
        <v>549</v>
      </c>
    </row>
    <row r="67" spans="1:5">
      <c r="A67" t="s">
        <v>540</v>
      </c>
      <c r="B67" t="s">
        <v>541</v>
      </c>
      <c r="C67" t="s">
        <v>328</v>
      </c>
      <c r="D67" t="s">
        <v>140</v>
      </c>
      <c r="E67" t="s">
        <v>550</v>
      </c>
    </row>
    <row r="68" spans="1:5">
      <c r="A68" t="s">
        <v>540</v>
      </c>
      <c r="B68" t="s">
        <v>541</v>
      </c>
      <c r="C68" t="s">
        <v>286</v>
      </c>
      <c r="D68" t="s">
        <v>140</v>
      </c>
      <c r="E68" t="s">
        <v>551</v>
      </c>
    </row>
    <row r="69" spans="1:5">
      <c r="A69" t="s">
        <v>540</v>
      </c>
      <c r="B69" t="s">
        <v>552</v>
      </c>
      <c r="C69" t="s">
        <v>323</v>
      </c>
      <c r="D69" t="s">
        <v>140</v>
      </c>
      <c r="E69" t="s">
        <v>553</v>
      </c>
    </row>
    <row r="70" spans="1:5">
      <c r="A70" t="s">
        <v>540</v>
      </c>
      <c r="B70" t="s">
        <v>552</v>
      </c>
      <c r="C70" t="s">
        <v>315</v>
      </c>
      <c r="D70" t="s">
        <v>140</v>
      </c>
      <c r="E70" t="s">
        <v>554</v>
      </c>
    </row>
    <row r="71" spans="1:5">
      <c r="A71" t="s">
        <v>540</v>
      </c>
      <c r="B71" t="s">
        <v>552</v>
      </c>
      <c r="C71" t="s">
        <v>324</v>
      </c>
      <c r="D71" t="s">
        <v>140</v>
      </c>
      <c r="E71" t="s">
        <v>555</v>
      </c>
    </row>
    <row r="72" spans="1:5">
      <c r="A72" t="s">
        <v>540</v>
      </c>
      <c r="B72" t="s">
        <v>552</v>
      </c>
      <c r="C72" t="s">
        <v>139</v>
      </c>
      <c r="D72" t="s">
        <v>140</v>
      </c>
      <c r="E72" t="s">
        <v>556</v>
      </c>
    </row>
    <row r="73" spans="1:5">
      <c r="A73" t="s">
        <v>540</v>
      </c>
      <c r="B73" t="s">
        <v>552</v>
      </c>
      <c r="C73" t="s">
        <v>285</v>
      </c>
      <c r="D73" t="s">
        <v>140</v>
      </c>
      <c r="E73" t="s">
        <v>557</v>
      </c>
    </row>
    <row r="74" spans="1:5">
      <c r="A74" t="s">
        <v>540</v>
      </c>
      <c r="B74" t="s">
        <v>552</v>
      </c>
      <c r="C74" t="s">
        <v>325</v>
      </c>
      <c r="D74" t="s">
        <v>140</v>
      </c>
      <c r="E74" t="s">
        <v>558</v>
      </c>
    </row>
    <row r="75" spans="1:5">
      <c r="A75" t="s">
        <v>540</v>
      </c>
      <c r="B75" t="s">
        <v>552</v>
      </c>
      <c r="C75" t="s">
        <v>326</v>
      </c>
      <c r="D75" t="s">
        <v>140</v>
      </c>
      <c r="E75" t="s">
        <v>559</v>
      </c>
    </row>
    <row r="76" spans="1:5">
      <c r="A76" t="s">
        <v>540</v>
      </c>
      <c r="B76" t="s">
        <v>552</v>
      </c>
      <c r="C76" t="s">
        <v>327</v>
      </c>
      <c r="D76" t="s">
        <v>140</v>
      </c>
      <c r="E76" t="s">
        <v>560</v>
      </c>
    </row>
    <row r="77" spans="1:5">
      <c r="A77" t="s">
        <v>540</v>
      </c>
      <c r="B77" t="s">
        <v>552</v>
      </c>
      <c r="C77" t="s">
        <v>328</v>
      </c>
      <c r="D77" t="s">
        <v>140</v>
      </c>
      <c r="E77" t="s">
        <v>561</v>
      </c>
    </row>
    <row r="78" spans="1:5">
      <c r="A78" t="s">
        <v>540</v>
      </c>
      <c r="B78" t="s">
        <v>552</v>
      </c>
      <c r="C78" t="s">
        <v>286</v>
      </c>
      <c r="D78" t="s">
        <v>140</v>
      </c>
      <c r="E78" t="s">
        <v>562</v>
      </c>
    </row>
    <row r="79" spans="1:5">
      <c r="A79" t="s">
        <v>540</v>
      </c>
      <c r="B79" t="s">
        <v>563</v>
      </c>
      <c r="C79" t="s">
        <v>323</v>
      </c>
      <c r="D79" t="s">
        <v>140</v>
      </c>
      <c r="E79" t="s">
        <v>564</v>
      </c>
    </row>
    <row r="80" spans="1:5">
      <c r="A80" t="s">
        <v>540</v>
      </c>
      <c r="B80" t="s">
        <v>563</v>
      </c>
      <c r="C80" t="s">
        <v>315</v>
      </c>
      <c r="D80" t="s">
        <v>140</v>
      </c>
      <c r="E80" t="s">
        <v>565</v>
      </c>
    </row>
    <row r="81" spans="1:5">
      <c r="A81" t="s">
        <v>540</v>
      </c>
      <c r="B81" t="s">
        <v>563</v>
      </c>
      <c r="C81" t="s">
        <v>324</v>
      </c>
      <c r="D81" t="s">
        <v>140</v>
      </c>
      <c r="E81" t="s">
        <v>566</v>
      </c>
    </row>
    <row r="82" spans="1:5">
      <c r="A82" t="s">
        <v>540</v>
      </c>
      <c r="B82" t="s">
        <v>563</v>
      </c>
      <c r="C82" t="s">
        <v>139</v>
      </c>
      <c r="D82" t="s">
        <v>140</v>
      </c>
      <c r="E82" t="s">
        <v>567</v>
      </c>
    </row>
    <row r="83" spans="1:5">
      <c r="A83" t="s">
        <v>540</v>
      </c>
      <c r="B83" t="s">
        <v>563</v>
      </c>
      <c r="C83" t="s">
        <v>285</v>
      </c>
      <c r="D83" t="s">
        <v>140</v>
      </c>
      <c r="E83" t="s">
        <v>568</v>
      </c>
    </row>
    <row r="84" spans="1:5">
      <c r="A84" t="s">
        <v>540</v>
      </c>
      <c r="B84" t="s">
        <v>563</v>
      </c>
      <c r="C84" t="s">
        <v>325</v>
      </c>
      <c r="D84" t="s">
        <v>140</v>
      </c>
      <c r="E84" t="s">
        <v>569</v>
      </c>
    </row>
    <row r="85" spans="1:5">
      <c r="A85" t="s">
        <v>540</v>
      </c>
      <c r="B85" t="s">
        <v>563</v>
      </c>
      <c r="C85" t="s">
        <v>326</v>
      </c>
      <c r="D85" t="s">
        <v>140</v>
      </c>
      <c r="E85" t="s">
        <v>570</v>
      </c>
    </row>
    <row r="86" spans="1:5">
      <c r="A86" t="s">
        <v>540</v>
      </c>
      <c r="B86" t="s">
        <v>563</v>
      </c>
      <c r="C86" t="s">
        <v>327</v>
      </c>
      <c r="D86" t="s">
        <v>140</v>
      </c>
      <c r="E86" t="s">
        <v>571</v>
      </c>
    </row>
    <row r="87" spans="1:5">
      <c r="A87" t="s">
        <v>540</v>
      </c>
      <c r="B87" t="s">
        <v>563</v>
      </c>
      <c r="C87" t="s">
        <v>328</v>
      </c>
      <c r="D87" t="s">
        <v>140</v>
      </c>
      <c r="E87" t="s">
        <v>572</v>
      </c>
    </row>
    <row r="88" spans="1:5">
      <c r="A88" t="s">
        <v>540</v>
      </c>
      <c r="B88" t="s">
        <v>563</v>
      </c>
      <c r="C88" t="s">
        <v>286</v>
      </c>
      <c r="D88" t="s">
        <v>140</v>
      </c>
      <c r="E88" t="s">
        <v>573</v>
      </c>
    </row>
    <row r="89" spans="1:5">
      <c r="A89" t="s">
        <v>540</v>
      </c>
      <c r="B89" t="s">
        <v>574</v>
      </c>
      <c r="C89" t="s">
        <v>323</v>
      </c>
      <c r="D89" t="s">
        <v>140</v>
      </c>
      <c r="E89" t="s">
        <v>575</v>
      </c>
    </row>
    <row r="90" spans="1:5">
      <c r="A90" t="s">
        <v>540</v>
      </c>
      <c r="B90" t="s">
        <v>574</v>
      </c>
      <c r="C90" t="s">
        <v>315</v>
      </c>
      <c r="D90" t="s">
        <v>140</v>
      </c>
      <c r="E90" t="s">
        <v>576</v>
      </c>
    </row>
    <row r="91" spans="1:5">
      <c r="A91" t="s">
        <v>540</v>
      </c>
      <c r="B91" t="s">
        <v>574</v>
      </c>
      <c r="C91" t="s">
        <v>324</v>
      </c>
      <c r="D91" t="s">
        <v>140</v>
      </c>
      <c r="E91" t="s">
        <v>577</v>
      </c>
    </row>
    <row r="92" spans="1:5">
      <c r="A92" t="s">
        <v>540</v>
      </c>
      <c r="B92" t="s">
        <v>574</v>
      </c>
      <c r="C92" t="s">
        <v>139</v>
      </c>
      <c r="D92" t="s">
        <v>140</v>
      </c>
      <c r="E92" t="s">
        <v>578</v>
      </c>
    </row>
    <row r="93" spans="1:5">
      <c r="A93" t="s">
        <v>540</v>
      </c>
      <c r="B93" t="s">
        <v>574</v>
      </c>
      <c r="C93" t="s">
        <v>285</v>
      </c>
      <c r="D93" t="s">
        <v>140</v>
      </c>
      <c r="E93" t="s">
        <v>579</v>
      </c>
    </row>
    <row r="94" spans="1:5">
      <c r="A94" t="s">
        <v>540</v>
      </c>
      <c r="B94" t="s">
        <v>574</v>
      </c>
      <c r="C94" t="s">
        <v>325</v>
      </c>
      <c r="D94" t="s">
        <v>140</v>
      </c>
      <c r="E94" t="s">
        <v>580</v>
      </c>
    </row>
    <row r="95" spans="1:5">
      <c r="A95" t="s">
        <v>540</v>
      </c>
      <c r="B95" t="s">
        <v>574</v>
      </c>
      <c r="C95" t="s">
        <v>326</v>
      </c>
      <c r="D95" t="s">
        <v>140</v>
      </c>
      <c r="E95" t="s">
        <v>581</v>
      </c>
    </row>
    <row r="96" spans="1:5">
      <c r="A96" t="s">
        <v>540</v>
      </c>
      <c r="B96" t="s">
        <v>574</v>
      </c>
      <c r="C96" t="s">
        <v>327</v>
      </c>
      <c r="D96" t="s">
        <v>140</v>
      </c>
      <c r="E96" t="s">
        <v>582</v>
      </c>
    </row>
    <row r="97" spans="1:5">
      <c r="A97" t="s">
        <v>540</v>
      </c>
      <c r="B97" t="s">
        <v>574</v>
      </c>
      <c r="C97" t="s">
        <v>328</v>
      </c>
      <c r="D97" t="s">
        <v>140</v>
      </c>
      <c r="E97" t="s">
        <v>583</v>
      </c>
    </row>
    <row r="98" spans="1:5">
      <c r="A98" t="s">
        <v>540</v>
      </c>
      <c r="B98" t="s">
        <v>574</v>
      </c>
      <c r="C98" t="s">
        <v>286</v>
      </c>
      <c r="D98" t="s">
        <v>140</v>
      </c>
      <c r="E98" t="s">
        <v>584</v>
      </c>
    </row>
    <row r="99" spans="1:5">
      <c r="A99" t="s">
        <v>390</v>
      </c>
      <c r="B99" t="s">
        <v>140</v>
      </c>
      <c r="C99" t="s">
        <v>383</v>
      </c>
      <c r="D99" t="s">
        <v>140</v>
      </c>
      <c r="E99" t="s">
        <v>585</v>
      </c>
    </row>
    <row r="100" spans="1:5">
      <c r="A100" t="s">
        <v>586</v>
      </c>
      <c r="B100" t="s">
        <v>140</v>
      </c>
      <c r="C100" t="s">
        <v>587</v>
      </c>
      <c r="D100" t="s">
        <v>140</v>
      </c>
      <c r="E100" t="s">
        <v>588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Painel</vt:lpstr>
      <vt:lpstr>Informativo</vt:lpstr>
      <vt:lpstr>Passagem de Turno</vt:lpstr>
      <vt:lpstr>Histórico</vt:lpstr>
      <vt:lpstr>Registro Passagem</vt:lpstr>
      <vt:lpstr>Tendências</vt:lpstr>
      <vt:lpstr>Configurações</vt:lpstr>
      <vt:lpstr>Dados_MES</vt:lpstr>
      <vt:lpstr>cfgEmail</vt:lpstr>
      <vt:lpstr>cfgEmailCC</vt:lpstr>
      <vt:lpstr>cfgEmailPara</vt:lpstr>
      <vt:lpstr>cfgFonte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logoTendencias</vt:lpstr>
      <vt:lpstr>lstAgreg</vt:lpstr>
      <vt:lpstr>lstFonte</vt:lpstr>
      <vt:lpstr>lstParam</vt:lpstr>
      <vt:lpstr>lstSN</vt:lpstr>
      <vt:lpstr>lstStatus</vt:lpstr>
      <vt:lpstr>lstTipo</vt:lpstr>
      <vt:lpstr>lstTurma</vt:lpstr>
      <vt:lpstr>lstTurno</vt:lpstr>
      <vt:lpstr>mesConsulta</vt:lpstr>
      <vt:lpstr>mesFim</vt:lpstr>
      <vt:lpstr>mesInicio</vt:lpstr>
      <vt:lpstr>mesSaida</vt:lpstr>
      <vt:lpstr>pData</vt:lpstr>
      <vt:lpstr>pResp</vt:lpstr>
      <vt:lpstr>Configurações!Print_Area</vt:lpstr>
      <vt:lpstr>Informativo!Print_Area</vt:lpstr>
      <vt:lpstr>'Passagem de Turno'!Print_Area</vt:lpstr>
      <vt:lpstr>Tendências!Print_Area</vt:lpstr>
      <vt:lpstr>ptObs</vt:lpstr>
      <vt:lpstr>ptPendencias</vt:lpstr>
      <vt:lpstr>ptPendRecebidas</vt:lpstr>
      <vt:lpstr>ptRecebe</vt:lpstr>
      <vt:lpstr>ptRecebidoPor</vt:lpstr>
      <vt:lpstr>ptSegFlag</vt:lpstr>
      <vt:lpstr>ptSeguranca</vt:lpstr>
      <vt:lpstr>ptStatus</vt:lpstr>
      <vt:lpstr>ptTestes</vt:lpstr>
      <vt:lpstr>pTurma</vt:lpstr>
      <vt:lpstr>pTurno</vt:lpstr>
      <vt:lpstr>tdParam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2026-09-28T15:31:25Z</dcterms:created>
  <dcterms:modified xsi:type="dcterms:W3CDTF">2026-09-28T15:31:25Z</dcterms:modified>
</cp:coreProperties>
</file>