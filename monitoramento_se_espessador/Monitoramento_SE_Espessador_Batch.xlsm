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22500" windowHeight="14250" activeTab="1"/>
  </bookViews>
  <sheets>
    <sheet name="Painel" sheetId="1" r:id="rId1"/>
    <sheet name="Dia" sheetId="2" r:id="rId2"/>
    <sheet name="Histórico" sheetId="3" r:id="rId3"/>
    <sheet name="Diagnóstico" sheetId="4" r:id="rId4"/>
    <sheet name="Configurações" sheetId="5" state="hidden" r:id="rId5"/>
    <sheet name="Dados_MES" sheetId="6" state="hidden" r:id="rId6"/>
    <sheet name="_Graf" sheetId="7" state="hidden" r:id="rId7"/>
  </sheets>
  <definedNames>
    <definedName name="_difJ">'Dia'!$C$31</definedName>
    <definedName name="_difK">'Dia'!$C$30</definedName>
    <definedName name="_eb4P">'Dia'!$C$29</definedName>
    <definedName name="_espP">'Dia'!$C$28</definedName>
    <definedName name="_xlnm._FilterDatabase" localSheetId="2" hidden="1">Histórico!$B$6:$X$260</definedName>
    <definedName name="_lama">'Dia'!$C$32</definedName>
    <definedName name="_pctLama">'Dia'!$C$33</definedName>
    <definedName name="cfgCalc">'Configurações'!$D$34</definedName>
    <definedName name="cfgDiasPadrao">'Configurações'!$D$32</definedName>
    <definedName name="cfgFatorPadrao">'Configurações'!$D$31</definedName>
    <definedName name="cfgFonte">'Configurações'!$D$29</definedName>
    <definedName name="cfgFormatoData">'Configurações'!$D$35</definedName>
    <definedName name="cfgJanDH1">'Configurações'!$D$25</definedName>
    <definedName name="cfgJanDN">'Configurações'!$E$25</definedName>
    <definedName name="cfgJanEH1">'Configurações'!$D$24</definedName>
    <definedName name="cfgJanEN">'Configurações'!$E$24</definedName>
    <definedName name="cfgTimeout">'Configurações'!$D$33</definedName>
    <definedName name="cfgTol">'Configurações'!$D$30</definedName>
    <definedName name="d_concC2">'Dia'!$C$22</definedName>
    <definedName name="d_concC3">'Dia'!$C$21</definedName>
    <definedName name="d_eb4">'Dia'!$C$15</definedName>
    <definedName name="d_eb6">'Dia'!$C$16</definedName>
    <definedName name="d_espC2">'Dia'!$C$14</definedName>
    <definedName name="d_espC3">'Dia'!$C$13</definedName>
    <definedName name="d_fator">'Dia'!$C$23</definedName>
    <definedName name="d_lamaC2">'Dia'!$C$20</definedName>
    <definedName name="d_lamaC3">'Dia'!$C$19</definedName>
    <definedName name="d_obs">'Dia'!$C$24</definedName>
    <definedName name="d_prodC2">'Dia'!$C$12</definedName>
    <definedName name="d_prodC3">'Dia'!$C$11</definedName>
    <definedName name="d_tk01">'Dia'!$C$17</definedName>
    <definedName name="d_tk02">'Dia'!$C$18</definedName>
    <definedName name="dAte">'Dia'!$C$38</definedName>
    <definedName name="dData">'Dia'!$C$5</definedName>
    <definedName name="dDe">'Dia'!$C$37</definedName>
    <definedName name="dOrigem">'Dia'!$C$25</definedName>
    <definedName name="dStatus">'Dia'!$B$41</definedName>
    <definedName name="gComentarios">'_Graf'!$B$85</definedName>
    <definedName name="gFora_difJ">'_Graf'!$E$69</definedName>
    <definedName name="gFora_difK">'_Graf'!$E$67</definedName>
    <definedName name="gMed_concC2">'_Graf'!$C$77</definedName>
    <definedName name="gMed_concC3">'_Graf'!$C$76</definedName>
    <definedName name="gMed_difJ">'_Graf'!$C$69</definedName>
    <definedName name="gMed_difK">'_Graf'!$C$67</definedName>
    <definedName name="gMed_eb4P">'_Graf'!$C$68</definedName>
    <definedName name="gMed_eb6">'_Graf'!$C$66</definedName>
    <definedName name="gMed_espP">'_Graf'!$C$65</definedName>
    <definedName name="gMed_fator">'_Graf'!$C$78</definedName>
    <definedName name="gMed_lama">'_Graf'!$C$73</definedName>
    <definedName name="gMed_pctLama">'_Graf'!$C$72</definedName>
    <definedName name="gMed_prodC2">'_Graf'!$C$75</definedName>
    <definedName name="gMed_prodC3">'_Graf'!$C$74</definedName>
    <definedName name="gMed_tk01">'_Graf'!$C$70</definedName>
    <definedName name="gMed_tk02">'_Graf'!$C$71</definedName>
    <definedName name="gN_concC2">'_Graf'!$D$77</definedName>
    <definedName name="gN_concC3">'_Graf'!$D$76</definedName>
    <definedName name="gN_difJ">'_Graf'!$D$69</definedName>
    <definedName name="gN_difK">'_Graf'!$D$67</definedName>
    <definedName name="gN_eb4P">'_Graf'!$D$68</definedName>
    <definedName name="gN_eb6">'_Graf'!$D$66</definedName>
    <definedName name="gN_espP">'_Graf'!$D$65</definedName>
    <definedName name="gN_fator">'_Graf'!$D$78</definedName>
    <definedName name="gN_lama">'_Graf'!$D$73</definedName>
    <definedName name="gN_pctLama">'_Graf'!$D$72</definedName>
    <definedName name="gN_prodC2">'_Graf'!$D$75</definedName>
    <definedName name="gN_prodC3">'_Graf'!$D$74</definedName>
    <definedName name="gN_tk01">'_Graf'!$D$70</definedName>
    <definedName name="gN_tk02">'_Graf'!$D$71</definedName>
    <definedName name="gPctMax">'_Graf'!$B$81</definedName>
    <definedName name="gPctMaxDia">'_Graf'!$C$81</definedName>
    <definedName name="gResumo">'_Graf'!$B$86</definedName>
    <definedName name="gTeste">'_Graf'!$B$88</definedName>
    <definedName name="gUlt_concC2">'_Graf'!$B$77</definedName>
    <definedName name="gUlt_concC3">'_Graf'!$B$76</definedName>
    <definedName name="gUlt_difJ">'_Graf'!$B$69</definedName>
    <definedName name="gUlt_difK">'_Graf'!$B$67</definedName>
    <definedName name="gUlt_eb4P">'_Graf'!$B$68</definedName>
    <definedName name="gUlt_eb6">'_Graf'!$B$66</definedName>
    <definedName name="gUlt_espP">'_Graf'!$B$65</definedName>
    <definedName name="gUlt_fator">'_Graf'!$B$78</definedName>
    <definedName name="gUlt_lama">'_Graf'!$B$73</definedName>
    <definedName name="gUlt_obs">'_Graf'!$B$79</definedName>
    <definedName name="gUlt_pctLama">'_Graf'!$B$72</definedName>
    <definedName name="gUlt_prodC2">'_Graf'!$B$75</definedName>
    <definedName name="gUlt_prodC3">'_Graf'!$B$74</definedName>
    <definedName name="gUlt_tk01">'_Graf'!$B$70</definedName>
    <definedName name="gUlt_tk02">'_Graf'!$B$71</definedName>
    <definedName name="h_atual">'Histórico'!$W$7:$W$3006</definedName>
    <definedName name="h_concC2">'Histórico'!$T$7:$T$3006</definedName>
    <definedName name="h_concC3">'Histórico'!$S$7:$S$3006</definedName>
    <definedName name="h_data">'Histórico'!$B$7:$B$3006</definedName>
    <definedName name="h_difJ">'Histórico'!$K$7:$K$3006</definedName>
    <definedName name="h_difK">'Histórico'!$L$7:$L$3006</definedName>
    <definedName name="h_eb4">'Histórico'!$H$7:$H$3006</definedName>
    <definedName name="h_eb4P">'Histórico'!$I$7:$I$3006</definedName>
    <definedName name="h_eb6">'Histórico'!$J$7:$J$3006</definedName>
    <definedName name="h_espC2">'Histórico'!$F$7:$F$3006</definedName>
    <definedName name="h_espC3">'Histórico'!$E$7:$E$3006</definedName>
    <definedName name="h_espP">'Histórico'!$G$7:$G$3006</definedName>
    <definedName name="h_fator">'Histórico'!$O$7:$O$3006</definedName>
    <definedName name="h_lama">'Histórico'!$R$7:$R$3006</definedName>
    <definedName name="h_lamaC2">'Histórico'!$Q$7:$Q$3006</definedName>
    <definedName name="h_lamaC3">'Histórico'!$P$7:$P$3006</definedName>
    <definedName name="h_obs">'Histórico'!$X$7:$X$3006</definedName>
    <definedName name="h_origem">'Histórico'!$V$7:$V$3006</definedName>
    <definedName name="h_pctLama">'Histórico'!$U$7:$U$3006</definedName>
    <definedName name="h_prodC2">'Histórico'!$D$7:$D$3006</definedName>
    <definedName name="h_prodC3">'Histórico'!$C$7:$C$3006</definedName>
    <definedName name="h_tk01">'Histórico'!$M$7:$M$3006</definedName>
    <definedName name="h_tk02">'Histórico'!$N$7:$N$3006</definedName>
    <definedName name="mesFimD">'Dados_MES'!$B$7</definedName>
    <definedName name="mesFimE">'Dados_MES'!$B$4</definedName>
    <definedName name="mesIniD">'Dados_MES'!$B$6</definedName>
    <definedName name="mesIniE">'Dados_MES'!$B$3</definedName>
    <definedName name="mesInvalidas">'Dados_MES'!$B$12</definedName>
    <definedName name="mesPrefixo">'Configurações'!$D$36</definedName>
    <definedName name="mesRespD">'Dados_MES'!$B$11</definedName>
    <definedName name="mesRespE">'Dados_MES'!$B$10</definedName>
    <definedName name="mesUltima">'Dados_MES'!$B$9</definedName>
    <definedName name="pArea">'Painel'!$A$6:$O$64</definedName>
    <definedName name="_xlnm.Print_Area" localSheetId="0">Painel!$A$6:$O$64</definedName>
    <definedName name="pSt_difJ">'_Graf'!$B$83</definedName>
    <definedName name="pSt_difK">'_Graf'!$B$82</definedName>
    <definedName name="rDias">'Painel'!$D$3</definedName>
    <definedName name="rFim">'Painel'!$B$3</definedName>
    <definedName name="xData">'Diagnóstico'!$B$6</definedName>
    <definedName name="xStatus">'Diagnóstico'!$C$22</definedName>
  </definedNames>
  <calcPr calcId="124519" fullCalcOnLoad="1"/>
</workbook>
</file>

<file path=xl/sharedStrings.xml><?xml version="1.0" encoding="utf-8"?>
<sst xmlns="http://schemas.openxmlformats.org/spreadsheetml/2006/main" count="568" uniqueCount="208">
  <si>
    <t>CONFIGURAÇÕES</t>
  </si>
  <si>
    <t>Tags do MES, janelas de horário e padrões do painel</t>
  </si>
  <si>
    <t>ITENS BUSCADOS NO MES  (janela E = espessador D−1 23:00 a D 21:00 · D = dia 00:00 a 23:59 · item sem tag = lançar à mão na aba Dia)</t>
  </si>
  <si>
    <t>Chave</t>
  </si>
  <si>
    <t>Item</t>
  </si>
  <si>
    <t>Tag</t>
  </si>
  <si>
    <t>Servidor</t>
  </si>
  <si>
    <t>Mapa</t>
  </si>
  <si>
    <t>Janela</t>
  </si>
  <si>
    <t>Agregação</t>
  </si>
  <si>
    <t>Mín. válido</t>
  </si>
  <si>
    <t>Máx. válido</t>
  </si>
  <si>
    <t>Decimais</t>
  </si>
  <si>
    <t>Origem no MES (tela / receita / item)</t>
  </si>
  <si>
    <t>prodC3</t>
  </si>
  <si>
    <t>Produção C3 (t)</t>
  </si>
  <si>
    <t>M4239010000-596-HHCC</t>
  </si>
  <si>
    <t>UBU</t>
  </si>
  <si>
    <t>IP_AnalogMap</t>
  </si>
  <si>
    <t>E</t>
  </si>
  <si>
    <t>Média</t>
  </si>
  <si>
    <t>15-G2-HH INDICES PRODUCAO - Ritmo Produção Concentrador III (conferência 26/10)</t>
  </si>
  <si>
    <t>prodC2</t>
  </si>
  <si>
    <t>Produção C2 (t)</t>
  </si>
  <si>
    <t>M0239010000-0596-HHCC</t>
  </si>
  <si>
    <t>15-G2-HH INDICES PRODUCAO - Ritmo Produção Concentrador II</t>
  </si>
  <si>
    <t>espC3</t>
  </si>
  <si>
    <t>S.E. alimentação espessador C3</t>
  </si>
  <si>
    <t>M4238010000-2888-HHLQ</t>
  </si>
  <si>
    <t>40-G3-HH ALIMENTACAO ESPESSADO - SE</t>
  </si>
  <si>
    <t>espC2</t>
  </si>
  <si>
    <t>S.E. alimentação espessador C2</t>
  </si>
  <si>
    <t>M0238010000-0017-HHLQ</t>
  </si>
  <si>
    <t>40-G2-HH ALIMENTACAO ESPESSADO - SE</t>
  </si>
  <si>
    <t>eb4</t>
  </si>
  <si>
    <t>S.E. batch EB4</t>
  </si>
  <si>
    <t>M250010000-17-ABLQ</t>
  </si>
  <si>
    <t>IP_MESVALOR</t>
  </si>
  <si>
    <t>D</t>
  </si>
  <si>
    <t>50-G2-HH AMOSTRAGEM BATCH - SE</t>
  </si>
  <si>
    <t>eb6</t>
  </si>
  <si>
    <t>S.E. batch EB6</t>
  </si>
  <si>
    <t>M4250010000-17-ABLQ</t>
  </si>
  <si>
    <t>50-G3-HH AMOSTRAGEM BATCH - SE</t>
  </si>
  <si>
    <t>tk01</t>
  </si>
  <si>
    <t>S.E. TK 01 - EB6</t>
  </si>
  <si>
    <t>M0239040000-0017-TBLQ</t>
  </si>
  <si>
    <t>Tk1 U2 - SE (239040000-17-TB-LQ, cm²/g)</t>
  </si>
  <si>
    <t>tk02</t>
  </si>
  <si>
    <t>S.E. TK 02 - EB6</t>
  </si>
  <si>
    <t>M0239050000-0017-TBLQ</t>
  </si>
  <si>
    <t>Tk2 U2 - SE (239050000-17-TB-LQ, cm²/g)</t>
  </si>
  <si>
    <t>lamaC3</t>
  </si>
  <si>
    <t>Lama incorporada C3 (tms)</t>
  </si>
  <si>
    <t>M4239000000-0781-DDDVR</t>
  </si>
  <si>
    <t>Último</t>
  </si>
  <si>
    <t>BOLETIM DVR - Lama incorporada no concentrado</t>
  </si>
  <si>
    <t>lamaC2</t>
  </si>
  <si>
    <t>Lama incorporada C2 (tms)</t>
  </si>
  <si>
    <t>M0239000000-0781-DDDVR</t>
  </si>
  <si>
    <t>00-G2-DD BALANCO DVR - Lama incorporada (soma com a do C3)</t>
  </si>
  <si>
    <t>concC3</t>
  </si>
  <si>
    <t>Concentrado C3 (tms)</t>
  </si>
  <si>
    <t>M4238010000-1445-DDDVR</t>
  </si>
  <si>
    <t>BOLETIM DVR - Beneficiamento - Concentrado C3 (tms) (conferência 26/10)</t>
  </si>
  <si>
    <t>concC2</t>
  </si>
  <si>
    <t>Concentrado C2 (tms)</t>
  </si>
  <si>
    <t>M0238010000-1445-DDDVR</t>
  </si>
  <si>
    <t>BOLETIM DVR - Esp. Conc DVR (tms)</t>
  </si>
  <si>
    <t>Mapa recusado pelo MES: a planilha tenta IP_AnalogMap, IP_MESVALOR e IP_DiscreteMap e grava aqui o que funcionou. Tag recusada: tenta o código no outro formato (-0017- ↔ -17-).</t>
  </si>
  <si>
    <t>JANELAS DE HORÁRIO  (consultas de 1 h: o resultado das 01:00 cai em 00:30–01:30)</t>
  </si>
  <si>
    <t>Descrição</t>
  </si>
  <si>
    <t>1º horário (h a partir de D 00:00)</t>
  </si>
  <si>
    <t>Nº de horários</t>
  </si>
  <si>
    <t>Espessador: D-1 23:00 a D 21:00</t>
  </si>
  <si>
    <t>Dia: D 00:00 a D 23:59</t>
  </si>
  <si>
    <t>PARÂMETROS</t>
  </si>
  <si>
    <t>Fonte dos dados (MES ou SIMULAÇÃO para treinar sem MES)</t>
  </si>
  <si>
    <t>MES</t>
  </si>
  <si>
    <t>Tolerância da diferença de S.E. no painel (±, cm²/g) — linha verde tracejada e OK/NOK</t>
  </si>
  <si>
    <t>Fator padrão de um dia novo (se não houver dia anterior no histórico)</t>
  </si>
  <si>
    <t>Dias no painel (padrão ao abrir)</t>
  </si>
  <si>
    <t>Tempo máximo de espera de cada consulta (s)</t>
  </si>
  <si>
    <t>Tipo de cálculo do GetCalculationValues (1 = média da janela, igual aos relatórios)</t>
  </si>
  <si>
    <t>1</t>
  </si>
  <si>
    <t>Formato da data na consulta (DATA, TEXTO ou MM/DD)</t>
  </si>
  <si>
    <t>DATA</t>
  </si>
  <si>
    <t>Forma da função do Aspen reconhecida pelo Excel (preenchida sozinha)</t>
  </si>
  <si>
    <t/>
  </si>
  <si>
    <t>HISTÓRICO DIÁRIO</t>
  </si>
  <si>
    <t>Um dia por linha. Colunas azuis: MES ou lançamento · cinza: calculadas (não editar)</t>
  </si>
  <si>
    <t>Gravado pela aba Dia (Buscar no MES / Salvar). Pode corrigir à mão as colunas de valor (TK 01, TK 02, Fator, Observação...). A base de 28/01 a 15/10/2026 veio da planilha antiga.</t>
  </si>
  <si>
    <t>Data</t>
  </si>
  <si>
    <t>S.E. ESP C3</t>
  </si>
  <si>
    <t>S.E. ESP C2</t>
  </si>
  <si>
    <t>S.E. ESP C2 + C3 (ponderada)</t>
  </si>
  <si>
    <t>S.E. batch EB4 + ESP C3 (ponderada)</t>
  </si>
  <si>
    <t>Diferença EB6 − (EB4 + ESP C3)</t>
  </si>
  <si>
    <t>Diferença EB6 − (ESP C2 + C3)</t>
  </si>
  <si>
    <t>TK 01 - EB6</t>
  </si>
  <si>
    <t>TK 02 - EB6</t>
  </si>
  <si>
    <t>Fator</t>
  </si>
  <si>
    <t>Lama incorp. C3 (tms)</t>
  </si>
  <si>
    <t>Lama incorp. C2 (tms)</t>
  </si>
  <si>
    <t>Lama incorporada (tms)</t>
  </si>
  <si>
    <t>% lama</t>
  </si>
  <si>
    <t>Origem</t>
  </si>
  <si>
    <t>Atualizado em</t>
  </si>
  <si>
    <t>Observação</t>
  </si>
  <si>
    <t>Importado</t>
  </si>
  <si>
    <t>DADOS DO DIA</t>
  </si>
  <si>
    <t>①  DATA DO REPORT</t>
  </si>
  <si>
    <t>Dia dos dados ▸</t>
  </si>
  <si>
    <t>O DVR (produção C3, lama e concentrados) só entra no MES no fechamento do dia: busque o dia anterior. Ao trocar a data, o dia já salvo é aberto.</t>
  </si>
  <si>
    <t>②  RESULTADOS DO MES  (células amarelas: dá para corrigir · o Fator é lançado à mão)</t>
  </si>
  <si>
    <t>Valor</t>
  </si>
  <si>
    <t>Nº de resultados</t>
  </si>
  <si>
    <t>Janela no MES</t>
  </si>
  <si>
    <t>Situação</t>
  </si>
  <si>
    <t>Origem no MES</t>
  </si>
  <si>
    <t>do histórico</t>
  </si>
  <si>
    <t>Lançado à mão (dia novo: repete o do dia anterior)</t>
  </si>
  <si>
    <t>Observação (vai para o painel)</t>
  </si>
  <si>
    <t>③  RESULTADO DO DIA</t>
  </si>
  <si>
    <t>S.E. ESP C2 + C3 (ponderada pela produção)</t>
  </si>
  <si>
    <t>Lama incorporada total (tms)</t>
  </si>
  <si>
    <t>④  BUSCAR UM PERÍODO  (dias atrasados)</t>
  </si>
  <si>
    <t>De ▸</t>
  </si>
  <si>
    <t>Até ▸</t>
  </si>
  <si>
    <t>Cada dia é buscado e salvo no histórico (até ontem). Fator, Observação e valores lançados à mão em itens sem resultado no MES são mantidos.</t>
  </si>
  <si>
    <t>ÚLTIMA BUSCA</t>
  </si>
  <si>
    <t>Rótulo</t>
  </si>
  <si>
    <t>ESP C2 + C3 (ponderada)</t>
  </si>
  <si>
    <t>Batch EB6</t>
  </si>
  <si>
    <t>Diferença (EB6 − ESP C2 + C3)</t>
  </si>
  <si>
    <t>Diferença média</t>
  </si>
  <si>
    <t>Tolerância (±)</t>
  </si>
  <si>
    <t>EB4 + ESP C3 (ponderada)</t>
  </si>
  <si>
    <t>Diferença (EB6 − EB4 + ESP C3)</t>
  </si>
  <si>
    <t>% lama média</t>
  </si>
  <si>
    <t>pct0</t>
  </si>
  <si>
    <t>Estatísticas do período</t>
  </si>
  <si>
    <t>espP</t>
  </si>
  <si>
    <t>difK</t>
  </si>
  <si>
    <t>eb4P</t>
  </si>
  <si>
    <t>difJ</t>
  </si>
  <si>
    <t>pctLama</t>
  </si>
  <si>
    <t>lama</t>
  </si>
  <si>
    <t>fator</t>
  </si>
  <si>
    <t>obs</t>
  </si>
  <si>
    <t>Último dia</t>
  </si>
  <si>
    <t>Dias com valor</t>
  </si>
  <si>
    <t>Dias fora da tol.</t>
  </si>
  <si>
    <t>pctMax</t>
  </si>
  <si>
    <t>status difK</t>
  </si>
  <si>
    <t>status difJ</t>
  </si>
  <si>
    <t>Comentários</t>
  </si>
  <si>
    <t>Resumo</t>
  </si>
  <si>
    <t>Teste</t>
  </si>
  <si>
    <t>DATA FINAL</t>
  </si>
  <si>
    <t>DIAS</t>
  </si>
  <si>
    <t>MONITORAMENTO S.E. — ESPESSADOR × BATCH</t>
  </si>
  <si>
    <t>|    S.E. · MÉDIA PONDERADA PELA PRODUÇÃO C2/C3</t>
  </si>
  <si>
    <t>REPORT GERENCIAL</t>
  </si>
  <si>
    <t>COMENTÁRIOS</t>
  </si>
  <si>
    <t>PRODUÇÃO E DVR</t>
  </si>
  <si>
    <t>MÉDIA DO
PERÍODO</t>
  </si>
  <si>
    <t>TOLER.
(±)</t>
  </si>
  <si>
    <t>STATUS</t>
  </si>
  <si>
    <t>—</t>
  </si>
  <si>
    <t>ESP C2 + C3 (pond.)</t>
  </si>
  <si>
    <t>EB4 + ESP C3 (pond.)</t>
  </si>
  <si>
    <t>EB6 − (ESP C2 + C3)</t>
  </si>
  <si>
    <t>EB6 − (EB4 + ESP C3)</t>
  </si>
  <si>
    <t>% lama no batch</t>
  </si>
  <si>
    <t>OK — DIFERENÇA DENTRO DA TOLERÂNCIA</t>
  </si>
  <si>
    <t>NOK — FORA DA TOLERÂNCIA</t>
  </si>
  <si>
    <t>Conc. C3 (tms)</t>
  </si>
  <si>
    <t>Conc. C2 (tms)</t>
  </si>
  <si>
    <t>Lama incorp. (tms)</t>
  </si>
  <si>
    <t>ESPESSADOR C2 + C3 × BATCH EB6</t>
  </si>
  <si>
    <t>BATCH EB4 + ESPESSADOR C3 × BATCH EB6</t>
  </si>
  <si>
    <t>% DE LAMA NO BATCH × S.E. DO BATCH EB6 E DOS TANQUES</t>
  </si>
  <si>
    <t>DIAGNÓSTICO DO MES</t>
  </si>
  <si>
    <t>Consulta cada tag sozinha, de D−1 12:00 a D+1 12:00 em janelas de 1 h: mostra se o MES aceita a tag e o mapa e em que horários há valor</t>
  </si>
  <si>
    <t>①  DIA DO TESTE</t>
  </si>
  <si>
    <t>Use um dia já fechado (ontem ou antes). Itens sem valor no período: a tag ou o mapa não trazem dados — confira no MES. Valor fora da janela do item: ajuste a janela/agregação em Configurações.</t>
  </si>
  <si>
    <t>Tag consultada</t>
  </si>
  <si>
    <t>Janela do item</t>
  </si>
  <si>
    <t>Resultado</t>
  </si>
  <si>
    <t>Horários com valor</t>
  </si>
  <si>
    <t>1º horário</t>
  </si>
  <si>
    <t>Último horário</t>
  </si>
  <si>
    <t>Valor na janela do item</t>
  </si>
  <si>
    <t>Horários e valores (D-1 12:00 a D+1 12:00)</t>
  </si>
  <si>
    <t>Resposta do Aspen</t>
  </si>
  <si>
    <t>Última execução:</t>
  </si>
  <si>
    <t>Consultas ao MES (Aspen) - preenchido pelo botão Buscar no MES</t>
  </si>
  <si>
    <t>Janela E - início</t>
  </si>
  <si>
    <t>Janela E - fim</t>
  </si>
  <si>
    <t>Janela D - início</t>
  </si>
  <si>
    <t>Janela D - fim</t>
  </si>
  <si>
    <t>Última consulta</t>
  </si>
  <si>
    <t>Resposta E</t>
  </si>
  <si>
    <t>Resposta D</t>
  </si>
  <si>
    <t>Tags recusadas</t>
  </si>
  <si>
    <t>Consulta janela E (A15, saída A17)</t>
  </si>
  <si>
    <t>Consulta janela D e diagnóstico (A75, saída A77)</t>
  </si>
</sst>
</file>

<file path=xl/styles.xml><?xml version="1.0" encoding="utf-8"?>
<styleSheet xmlns="http://schemas.openxmlformats.org/spreadsheetml/2006/main">
  <numFmts count="8">
    <numFmt numFmtId="164" formatCode="dd/mm/yyyy"/>
    <numFmt numFmtId="165" formatCode="#,##0"/>
    <numFmt numFmtId="166" formatCode="+#,##0;&quot;−&quot;#,##0;#,##0"/>
    <numFmt numFmtId="167" formatCode="0.00%"/>
    <numFmt numFmtId="168" formatCode="#,##0.0"/>
    <numFmt numFmtId="169" formatCode="@"/>
    <numFmt numFmtId="170" formatCode="dd/mm/yyyy hh:mm"/>
    <numFmt numFmtId="171" formatCode="dd/mm/yyyy hh:mm:ss"/>
  </numFmts>
  <fonts count="33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7.5"/>
      <color rgb="FF5B6B77"/>
      <name val="Segoe UI"/>
      <family val="2"/>
    </font>
    <font>
      <b/>
      <sz val="11"/>
      <color rgb="FF1D2B36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9.5"/>
      <color rgb="FFFFFFFF"/>
      <name val="Segoe UI"/>
      <family val="2"/>
    </font>
    <font>
      <b/>
      <sz val="8"/>
      <color rgb="FF1D2B36"/>
      <name val="Segoe UI"/>
      <family val="2"/>
    </font>
    <font>
      <b/>
      <sz val="7.5"/>
      <color rgb="FF4A5A66"/>
      <name val="Segoe UI"/>
      <family val="2"/>
    </font>
    <font>
      <sz val="9.5"/>
      <color rgb="FF4A5A66"/>
      <name val="Segoe UI"/>
      <family val="2"/>
    </font>
    <font>
      <b/>
      <sz val="10"/>
      <color rgb="FF1D2B36"/>
      <name val="Segoe UI"/>
      <family val="2"/>
    </font>
    <font>
      <sz val="10"/>
      <color rgb="FF1D2B36"/>
      <name val="Segoe UI"/>
      <family val="2"/>
    </font>
    <font>
      <sz val="10"/>
      <color rgb="FF5B6B77"/>
      <name val="Segoe UI"/>
      <family val="2"/>
    </font>
    <font>
      <b/>
      <sz val="9.5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b/>
      <sz val="14"/>
      <color rgb="FFFFFFFF"/>
      <name val="Segoe UI"/>
      <family val="2"/>
    </font>
    <font>
      <b/>
      <sz val="10"/>
      <color rgb="FF003B6C"/>
      <name val="Segoe UI"/>
      <family val="2"/>
    </font>
    <font>
      <b/>
      <sz val="13"/>
      <color rgb="FF1D2B36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sz val="9"/>
      <color rgb="FF5B6B77"/>
      <name val="Segoe UI"/>
      <family val="2"/>
    </font>
    <font>
      <sz val="9"/>
      <color rgb="FF4A5A66"/>
      <name val="Segoe UI"/>
      <family val="2"/>
    </font>
    <font>
      <sz val="8"/>
      <color rgb="FFFFFFFF"/>
      <name val="Segoe UI"/>
      <family val="2"/>
    </font>
    <font>
      <b/>
      <sz val="8"/>
      <color rgb="FF5B6B77"/>
      <name val="Segoe UI"/>
      <family val="2"/>
    </font>
    <font>
      <b/>
      <sz val="9.5"/>
      <color rgb="FFD5DEEB"/>
      <name val="Segoe UI"/>
      <family val="2"/>
    </font>
    <font>
      <sz val="9.5"/>
      <color rgb="FF1D2B36"/>
      <name val="Segoe UI"/>
      <family val="2"/>
    </font>
    <font>
      <b/>
      <sz val="12"/>
      <color rgb="FF1D2B36"/>
      <name val="Segoe UI"/>
      <family val="2"/>
    </font>
    <font>
      <b/>
      <sz val="9"/>
      <color rgb="FF1D2B36"/>
      <name val="Segoe UI"/>
      <family val="2"/>
    </font>
    <font>
      <sz val="9"/>
      <color rgb="FF1D2B36"/>
      <name val="Segoe UI"/>
      <family val="2"/>
    </font>
    <font>
      <b/>
      <sz val="9"/>
      <color rgb="FF5B6B77"/>
      <name val="Segoe UI"/>
      <family val="2"/>
    </font>
    <font>
      <i/>
      <sz val="8.5"/>
      <color rgb="FF5B6B77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35A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61889B"/>
        <bgColor indexed="64"/>
      </patternFill>
    </fill>
  </fills>
  <borders count="12">
    <border>
      <left/>
      <right/>
      <top/>
      <bottom/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/>
      <right/>
      <top/>
      <bottom style="thick">
        <color rgb="FFFFC000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/>
      <right/>
      <top/>
      <bottom style="medium">
        <color rgb="FFFFC000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Alignment="1">
      <alignment vertical="center"/>
    </xf>
    <xf numFmtId="0" fontId="4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vertical="center"/>
    </xf>
    <xf numFmtId="0" fontId="1" fillId="5" borderId="2" xfId="0" applyFont="1" applyFill="1" applyBorder="1" applyAlignment="1">
      <alignment vertical="center"/>
    </xf>
    <xf numFmtId="0" fontId="6" fillId="5" borderId="2" xfId="0" applyFont="1" applyFill="1" applyBorder="1" applyAlignment="1">
      <alignment horizontal="left" vertical="center" indent="1"/>
    </xf>
    <xf numFmtId="0" fontId="7" fillId="5" borderId="2" xfId="0" applyFont="1" applyFill="1" applyBorder="1" applyAlignment="1">
      <alignment horizontal="right" vertical="center" indent="1"/>
    </xf>
    <xf numFmtId="0" fontId="6" fillId="5" borderId="2" xfId="0" applyFont="1" applyFill="1" applyBorder="1" applyAlignment="1">
      <alignment vertical="center"/>
    </xf>
    <xf numFmtId="0" fontId="1" fillId="6" borderId="0" xfId="0" applyFont="1" applyFill="1" applyAlignment="1">
      <alignment vertical="center"/>
    </xf>
    <xf numFmtId="0" fontId="8" fillId="2" borderId="1" xfId="0" applyFont="1" applyFill="1" applyBorder="1" applyAlignment="1">
      <alignment horizontal="left" vertical="center" indent="1"/>
    </xf>
    <xf numFmtId="0" fontId="9" fillId="7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vertical="top" indent="1" wrapText="1"/>
    </xf>
    <xf numFmtId="0" fontId="9" fillId="2" borderId="3" xfId="0" applyFont="1" applyFill="1" applyBorder="1" applyAlignment="1">
      <alignment horizontal="center" vertical="center"/>
    </xf>
    <xf numFmtId="0" fontId="11" fillId="0" borderId="4" xfId="0" applyFont="1" applyBorder="1" applyAlignment="1">
      <alignment horizontal="left" vertical="center" indent="1"/>
    </xf>
    <xf numFmtId="165" fontId="12" fillId="0" borderId="4" xfId="0" applyNumberFormat="1" applyFont="1" applyBorder="1" applyAlignment="1">
      <alignment horizontal="center" vertical="center"/>
    </xf>
    <xf numFmtId="165" fontId="1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left" vertical="center" indent="1"/>
    </xf>
    <xf numFmtId="166" fontId="11" fillId="0" borderId="4" xfId="0" applyNumberFormat="1" applyFont="1" applyBorder="1" applyAlignment="1">
      <alignment horizontal="center" vertical="center"/>
    </xf>
    <xf numFmtId="166" fontId="1" fillId="0" borderId="4" xfId="0" applyNumberFormat="1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167" fontId="12" fillId="0" borderId="4" xfId="0" applyNumberFormat="1" applyFont="1" applyBorder="1" applyAlignment="1">
      <alignment horizontal="center" vertical="center"/>
    </xf>
    <xf numFmtId="167" fontId="1" fillId="0" borderId="4" xfId="0" applyNumberFormat="1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indent="1"/>
    </xf>
    <xf numFmtId="0" fontId="15" fillId="0" borderId="6" xfId="0" applyFont="1" applyBorder="1" applyAlignment="1">
      <alignment horizontal="right" vertical="center" indent="1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8" fillId="8" borderId="7" xfId="0" applyFont="1" applyFill="1" applyBorder="1" applyAlignment="1">
      <alignment horizontal="left" vertical="center" indent="1"/>
    </xf>
    <xf numFmtId="0" fontId="16" fillId="8" borderId="8" xfId="0" applyFont="1" applyFill="1" applyBorder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7" fillId="4" borderId="2" xfId="0" applyFont="1" applyFill="1" applyBorder="1" applyAlignment="1">
      <alignment horizontal="left" vertical="center" indent="1"/>
    </xf>
    <xf numFmtId="0" fontId="18" fillId="0" borderId="9" xfId="0" applyFont="1" applyBorder="1" applyAlignment="1"/>
    <xf numFmtId="0" fontId="18" fillId="0" borderId="0" xfId="0" applyFont="1" applyAlignment="1">
      <alignment horizontal="right" vertical="center"/>
    </xf>
    <xf numFmtId="164" fontId="19" fillId="3" borderId="10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21" fillId="5" borderId="1" xfId="0" applyFont="1" applyFill="1" applyBorder="1" applyAlignment="1">
      <alignment horizontal="center" vertical="center" wrapText="1"/>
    </xf>
    <xf numFmtId="0" fontId="11" fillId="0" borderId="11" xfId="0" applyFont="1" applyBorder="1" applyAlignment="1">
      <alignment horizontal="left" vertical="center" indent="1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0" fontId="22" fillId="0" borderId="11" xfId="0" applyFont="1" applyBorder="1" applyAlignment="1">
      <alignment horizontal="center" vertical="center"/>
    </xf>
    <xf numFmtId="0" fontId="22" fillId="0" borderId="11" xfId="0" applyFont="1" applyBorder="1" applyAlignment="1">
      <alignment vertical="center"/>
    </xf>
    <xf numFmtId="0" fontId="23" fillId="0" borderId="11" xfId="0" applyFont="1" applyBorder="1" applyAlignment="1">
      <alignment vertical="center"/>
    </xf>
    <xf numFmtId="168" fontId="3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left" vertical="center" indent="1"/>
      <protection locked="0"/>
    </xf>
    <xf numFmtId="0" fontId="24" fillId="0" borderId="0" xfId="0" applyFont="1" applyAlignment="1">
      <alignment vertical="center"/>
    </xf>
    <xf numFmtId="0" fontId="1" fillId="0" borderId="11" xfId="0" applyFont="1" applyBorder="1" applyAlignment="1">
      <alignment horizontal="left" vertical="center" indent="1"/>
    </xf>
    <xf numFmtId="165" fontId="11" fillId="2" borderId="11" xfId="0" applyNumberFormat="1" applyFont="1" applyFill="1" applyBorder="1" applyAlignment="1">
      <alignment horizontal="center" vertical="center"/>
    </xf>
    <xf numFmtId="166" fontId="11" fillId="2" borderId="11" xfId="0" applyNumberFormat="1" applyFont="1" applyFill="1" applyBorder="1" applyAlignment="1">
      <alignment horizontal="center" vertical="center"/>
    </xf>
    <xf numFmtId="167" fontId="11" fillId="2" borderId="11" xfId="0" applyNumberFormat="1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 wrapText="1"/>
    </xf>
    <xf numFmtId="0" fontId="25" fillId="0" borderId="0" xfId="0" applyFont="1" applyAlignment="1"/>
    <xf numFmtId="0" fontId="23" fillId="2" borderId="1" xfId="0" applyFont="1" applyFill="1" applyBorder="1" applyAlignment="1">
      <alignment vertical="top" wrapText="1"/>
    </xf>
    <xf numFmtId="0" fontId="26" fillId="5" borderId="0" xfId="0" applyFont="1" applyFill="1" applyAlignment="1">
      <alignment horizontal="left" vertical="center" indent="1"/>
    </xf>
    <xf numFmtId="0" fontId="21" fillId="9" borderId="1" xfId="0" applyFont="1" applyFill="1" applyBorder="1" applyAlignment="1">
      <alignment horizontal="center" vertical="center" wrapText="1"/>
    </xf>
    <xf numFmtId="164" fontId="27" fillId="0" borderId="11" xfId="0" applyNumberFormat="1" applyFont="1" applyBorder="1" applyAlignment="1">
      <alignment horizontal="center" vertical="center"/>
    </xf>
    <xf numFmtId="165" fontId="27" fillId="0" borderId="11" xfId="0" applyNumberFormat="1" applyFont="1" applyBorder="1" applyAlignment="1">
      <alignment horizontal="center" vertical="center"/>
    </xf>
    <xf numFmtId="165" fontId="10" fillId="2" borderId="11" xfId="0" applyNumberFormat="1" applyFont="1" applyFill="1" applyBorder="1" applyAlignment="1">
      <alignment horizontal="center" vertical="center"/>
    </xf>
    <xf numFmtId="166" fontId="10" fillId="2" borderId="11" xfId="0" applyNumberFormat="1" applyFont="1" applyFill="1" applyBorder="1" applyAlignment="1">
      <alignment horizontal="center" vertical="center"/>
    </xf>
    <xf numFmtId="167" fontId="10" fillId="2" borderId="11" xfId="0" applyNumberFormat="1" applyFont="1" applyFill="1" applyBorder="1" applyAlignment="1">
      <alignment horizontal="center" vertical="center"/>
    </xf>
    <xf numFmtId="169" fontId="27" fillId="0" borderId="11" xfId="0" applyNumberFormat="1" applyFont="1" applyBorder="1" applyAlignment="1">
      <alignment horizontal="left" vertical="center"/>
    </xf>
    <xf numFmtId="170" fontId="27" fillId="0" borderId="11" xfId="0" applyNumberFormat="1" applyFont="1" applyBorder="1" applyAlignment="1">
      <alignment horizontal="center" vertical="center"/>
    </xf>
    <xf numFmtId="164" fontId="28" fillId="3" borderId="10" xfId="0" applyNumberFormat="1" applyFont="1" applyFill="1" applyBorder="1" applyAlignment="1" applyProtection="1">
      <alignment horizontal="center" vertical="center"/>
      <protection locked="0"/>
    </xf>
    <xf numFmtId="0" fontId="29" fillId="0" borderId="11" xfId="0" applyFont="1" applyBorder="1" applyAlignment="1">
      <alignment horizontal="left" vertical="center" indent="1"/>
    </xf>
    <xf numFmtId="0" fontId="30" fillId="0" borderId="11" xfId="0" applyFont="1" applyBorder="1" applyAlignment="1">
      <alignment vertical="center" wrapText="1"/>
    </xf>
    <xf numFmtId="0" fontId="31" fillId="0" borderId="0" xfId="0" applyFont="1" applyAlignment="1">
      <alignment vertical="center"/>
    </xf>
    <xf numFmtId="0" fontId="13" fillId="2" borderId="1" xfId="0" applyFont="1" applyFill="1" applyBorder="1" applyAlignment="1">
      <alignment vertical="center"/>
    </xf>
    <xf numFmtId="0" fontId="1" fillId="3" borderId="1" xfId="0" applyFont="1" applyFill="1" applyBorder="1" applyAlignment="1" applyProtection="1">
      <alignment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171" fontId="1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</cellXfs>
  <cellStyles count="1">
    <cellStyle name="Normal" xfId="0" builtinId="0"/>
  </cellStyles>
  <dxfs count="6">
    <dxf>
      <font>
        <b/>
        <color rgb="FFC62828"/>
      </font>
    </dxf>
    <dxf>
      <font>
        <color rgb="FF0A7C50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C62828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ESP C2 + C3 (ponderada)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'_Graf'!$C$2:$C$17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Batch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v>Diferença (EB6 − ESP C2 + C3)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'_Graf'!$E$2:$E$17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'_Graf'!$F$2:$F$17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'_Graf'!$G$2:$G$17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'_Graf'!$H$2:$H$17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EB4 + ESP C3 (ponderada)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'_Graf'!$I$2:$I$17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Batch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v>Diferença (EB6 − EB4 + ESP C3)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'_Graf'!$J$2:$J$17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'_Graf'!$K$2:$K$17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'_Graf'!$G$2:$G$17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'_Graf'!$H$2:$H$17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Batch EB6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TK 01 -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'_Graf'!$L$2:$L$17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2"/>
          <c:order val="2"/>
          <c:tx>
            <c:v>TK 02 - EB6</c:v>
          </c:tx>
          <c:spPr>
            <a:solidFill>
              <a:srgbClr val="B9C3CB"/>
            </a:solidFill>
            <a:ln>
              <a:noFill/>
            </a:ln>
          </c:spPr>
          <c:dPt>
            <c:idx val="15"/>
            <c:spPr>
              <a:solidFill>
                <a:srgbClr val="7D8C98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'_Graf'!$M$2:$M$17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3"/>
          <c:order val="3"/>
          <c:tx>
            <c:v>% lama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0.00%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'_Graf'!$N$2:$N$17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v>% lama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0.00%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'_Graf'!$O$2:$O$17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%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4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0</xdr:rowOff>
    </xdr:from>
    <xdr:to>
      <xdr:col>14</xdr:col>
      <xdr:colOff>0</xdr:colOff>
      <xdr:row>31</xdr:row>
      <xdr:rowOff>171450</xdr:rowOff>
    </xdr:to>
    <xdr:graphicFrame macro="">
      <xdr:nvGraphicFramePr>
        <xdr:cNvPr id="3" name="Chart 2" descr="Gráfico g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34</xdr:row>
      <xdr:rowOff>0</xdr:rowOff>
    </xdr:from>
    <xdr:to>
      <xdr:col>14</xdr:col>
      <xdr:colOff>0</xdr:colOff>
      <xdr:row>46</xdr:row>
      <xdr:rowOff>171450</xdr:rowOff>
    </xdr:to>
    <xdr:graphicFrame macro="">
      <xdr:nvGraphicFramePr>
        <xdr:cNvPr id="4" name="Chart 3" descr="Gráfico g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14</xdr:col>
      <xdr:colOff>0</xdr:colOff>
      <xdr:row>61</xdr:row>
      <xdr:rowOff>171450</xdr:rowOff>
    </xdr:to>
    <xdr:graphicFrame macro="">
      <xdr:nvGraphicFramePr>
        <xdr:cNvPr id="5" name="Chart 4" descr="Gráfico g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76200</xdr:colOff>
      <xdr:row>1</xdr:row>
      <xdr:rowOff>38100</xdr:rowOff>
    </xdr:from>
    <xdr:to>
      <xdr:col>5</xdr:col>
      <xdr:colOff>114300</xdr:colOff>
      <xdr:row>2</xdr:row>
      <xdr:rowOff>152400</xdr:rowOff>
    </xdr:to>
    <xdr:sp macro="[0]!IrUltimoDia" textlink="">
      <xdr:nvSpPr>
        <xdr:cNvPr id="6" name="TextBox 5" descr="Botão: IrUltimoDia"/>
        <xdr:cNvSpPr txBox="1"/>
      </xdr:nvSpPr>
      <xdr:spPr>
        <a:xfrm>
          <a:off x="2305050" y="133350"/>
          <a:ext cx="9144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Último dia</a:t>
          </a:r>
        </a:p>
      </xdr:txBody>
    </xdr:sp>
    <xdr:clientData fPrintsWithSheet="0"/>
  </xdr:twoCellAnchor>
  <xdr:twoCellAnchor editAs="absolute">
    <xdr:from>
      <xdr:col>5</xdr:col>
      <xdr:colOff>476250</xdr:colOff>
      <xdr:row>1</xdr:row>
      <xdr:rowOff>38100</xdr:rowOff>
    </xdr:from>
    <xdr:to>
      <xdr:col>8</xdr:col>
      <xdr:colOff>304800</xdr:colOff>
      <xdr:row>2</xdr:row>
      <xdr:rowOff>152400</xdr:rowOff>
    </xdr:to>
    <xdr:sp macro="[0]!IrDia" textlink="">
      <xdr:nvSpPr>
        <xdr:cNvPr id="7" name="TextBox 6" descr="Botão: IrDia"/>
        <xdr:cNvSpPr txBox="1"/>
      </xdr:nvSpPr>
      <xdr:spPr>
        <a:xfrm>
          <a:off x="358140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Ir para o Dia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8" name="TextBox 7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9" name="TextBox 8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0" name="TextBox 9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1428750</xdr:colOff>
      <xdr:row>1</xdr:row>
      <xdr:rowOff>47625</xdr:rowOff>
    </xdr:from>
    <xdr:to>
      <xdr:col>7</xdr:col>
      <xdr:colOff>104775</xdr:colOff>
      <xdr:row>1</xdr:row>
      <xdr:rowOff>276225</xdr:rowOff>
    </xdr:to>
    <xdr:sp macro="[0]!IrPainel" textlink="">
      <xdr:nvSpPr>
        <xdr:cNvPr id="2" name="TextBox 1" descr="Botão: IrPainel"/>
        <xdr:cNvSpPr txBox="1"/>
      </xdr:nvSpPr>
      <xdr:spPr>
        <a:xfrm>
          <a:off x="9953625" y="142875"/>
          <a:ext cx="1123950" cy="22860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7</xdr:col>
      <xdr:colOff>381000</xdr:colOff>
      <xdr:row>1</xdr:row>
      <xdr:rowOff>47625</xdr:rowOff>
    </xdr:from>
    <xdr:to>
      <xdr:col>7</xdr:col>
      <xdr:colOff>1809750</xdr:colOff>
      <xdr:row>1</xdr:row>
      <xdr:rowOff>276225</xdr:rowOff>
    </xdr:to>
    <xdr:sp macro="[0]!IrDiagnostico" textlink="">
      <xdr:nvSpPr>
        <xdr:cNvPr id="3" name="TextBox 2" descr="Botão: IrDiagnostico"/>
        <xdr:cNvSpPr txBox="1"/>
      </xdr:nvSpPr>
      <xdr:spPr>
        <a:xfrm>
          <a:off x="11353800" y="142875"/>
          <a:ext cx="1428750" cy="2286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Diagnóstico do MES</a:t>
          </a:r>
        </a:p>
      </xdr:txBody>
    </xdr:sp>
    <xdr:clientData fPrintsWithSheet="0"/>
  </xdr:twoCellAnchor>
  <xdr:twoCellAnchor editAs="absolute">
    <xdr:from>
      <xdr:col>7</xdr:col>
      <xdr:colOff>1905000</xdr:colOff>
      <xdr:row>1</xdr:row>
      <xdr:rowOff>47625</xdr:rowOff>
    </xdr:from>
    <xdr:to>
      <xdr:col>7</xdr:col>
      <xdr:colOff>3048000</xdr:colOff>
      <xdr:row>1</xdr:row>
      <xdr:rowOff>276225</xdr:rowOff>
    </xdr:to>
    <xdr:sp macro="[0]!AbrirConfiguracoes" textlink="">
      <xdr:nvSpPr>
        <xdr:cNvPr id="4" name="TextBox 3" descr="Botão: AbrirConfiguracoes"/>
        <xdr:cNvSpPr txBox="1"/>
      </xdr:nvSpPr>
      <xdr:spPr>
        <a:xfrm>
          <a:off x="12877800" y="142875"/>
          <a:ext cx="1143000" cy="2286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  <xdr:twoCellAnchor editAs="absolute">
    <xdr:from>
      <xdr:col>4</xdr:col>
      <xdr:colOff>95250</xdr:colOff>
      <xdr:row>3</xdr:row>
      <xdr:rowOff>57150</xdr:rowOff>
    </xdr:from>
    <xdr:to>
      <xdr:col>4</xdr:col>
      <xdr:colOff>1905000</xdr:colOff>
      <xdr:row>4</xdr:row>
      <xdr:rowOff>104775</xdr:rowOff>
    </xdr:to>
    <xdr:sp macro="[0]!BuscarMES" textlink="">
      <xdr:nvSpPr>
        <xdr:cNvPr id="5" name="TextBox 4" descr="Botão: BuscarMES"/>
        <xdr:cNvSpPr txBox="1"/>
      </xdr:nvSpPr>
      <xdr:spPr>
        <a:xfrm>
          <a:off x="4724400" y="771525"/>
          <a:ext cx="1809750" cy="3238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5</xdr:col>
      <xdr:colOff>190500</xdr:colOff>
      <xdr:row>3</xdr:row>
      <xdr:rowOff>57150</xdr:rowOff>
    </xdr:from>
    <xdr:to>
      <xdr:col>6</xdr:col>
      <xdr:colOff>152400</xdr:colOff>
      <xdr:row>4</xdr:row>
      <xdr:rowOff>104775</xdr:rowOff>
    </xdr:to>
    <xdr:sp macro="[0]!SalvarDia" textlink="">
      <xdr:nvSpPr>
        <xdr:cNvPr id="6" name="TextBox 5" descr="Botão: SalvarDia"/>
        <xdr:cNvSpPr txBox="1"/>
      </xdr:nvSpPr>
      <xdr:spPr>
        <a:xfrm>
          <a:off x="6867525" y="771525"/>
          <a:ext cx="180975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4</xdr:col>
      <xdr:colOff>95250</xdr:colOff>
      <xdr:row>36</xdr:row>
      <xdr:rowOff>76200</xdr:rowOff>
    </xdr:from>
    <xdr:to>
      <xdr:col>4</xdr:col>
      <xdr:colOff>1905000</xdr:colOff>
      <xdr:row>37</xdr:row>
      <xdr:rowOff>57150</xdr:rowOff>
    </xdr:to>
    <xdr:sp macro="[0]!BuscarPeriodo" textlink="">
      <xdr:nvSpPr>
        <xdr:cNvPr id="7" name="TextBox 6" descr="Botão: BuscarPeriodo"/>
        <xdr:cNvSpPr txBox="1"/>
      </xdr:nvSpPr>
      <xdr:spPr>
        <a:xfrm>
          <a:off x="4724400" y="8867775"/>
          <a:ext cx="1809750" cy="3048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período no MES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4</xdr:row>
      <xdr:rowOff>95250</xdr:rowOff>
    </xdr:from>
    <xdr:to>
      <xdr:col>3</xdr:col>
      <xdr:colOff>28575</xdr:colOff>
      <xdr:row>5</xdr:row>
      <xdr:rowOff>123825</xdr:rowOff>
    </xdr:to>
    <xdr:sp macro="[0]!DiagnosticoMES" textlink="">
      <xdr:nvSpPr>
        <xdr:cNvPr id="2" name="TextBox 1" descr="Botão: DiagnosticoMES"/>
        <xdr:cNvSpPr txBox="1"/>
      </xdr:nvSpPr>
      <xdr:spPr>
        <a:xfrm>
          <a:off x="2295525" y="1181100"/>
          <a:ext cx="1714500" cy="3048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Rodar diagnóstico</a:t>
          </a:r>
        </a:p>
      </xdr:txBody>
    </xdr:sp>
    <xdr:clientData fPrintsWithSheet="0"/>
  </xdr:twoCellAnchor>
  <xdr:twoCellAnchor editAs="absolute">
    <xdr:from>
      <xdr:col>4</xdr:col>
      <xdr:colOff>190500</xdr:colOff>
      <xdr:row>4</xdr:row>
      <xdr:rowOff>95250</xdr:rowOff>
    </xdr:from>
    <xdr:to>
      <xdr:col>5</xdr:col>
      <xdr:colOff>47625</xdr:colOff>
      <xdr:row>5</xdr:row>
      <xdr:rowOff>123825</xdr:rowOff>
    </xdr:to>
    <xdr:sp macro="[0]!IrDia" textlink="">
      <xdr:nvSpPr>
        <xdr:cNvPr id="3" name="TextBox 2" descr="Botão: IrDia"/>
        <xdr:cNvSpPr txBox="1"/>
      </xdr:nvSpPr>
      <xdr:spPr>
        <a:xfrm>
          <a:off x="5086350" y="1181100"/>
          <a:ext cx="1238250" cy="3048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Voltar ao Dia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2857500</xdr:colOff>
      <xdr:row>3</xdr:row>
      <xdr:rowOff>0</xdr:rowOff>
    </xdr:from>
    <xdr:to>
      <xdr:col>11</xdr:col>
      <xdr:colOff>3905250</xdr:colOff>
      <xdr:row>4</xdr:row>
      <xdr:rowOff>57150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12153900" y="895350"/>
          <a:ext cx="1047750" cy="2476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Voltar</a:t>
          </a:r>
        </a:p>
      </xdr:txBody>
    </xdr:sp>
    <xdr:clientData fPrintsWithSheet="0"/>
  </xdr:twoCellAnchor>
  <xdr:twoCellAnchor editAs="absolute">
    <xdr:from>
      <xdr:col>11</xdr:col>
      <xdr:colOff>1428750</xdr:colOff>
      <xdr:row>3</xdr:row>
      <xdr:rowOff>0</xdr:rowOff>
    </xdr:from>
    <xdr:to>
      <xdr:col>11</xdr:col>
      <xdr:colOff>2667000</xdr:colOff>
      <xdr:row>4</xdr:row>
      <xdr:rowOff>57150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0725150" y="895350"/>
          <a:ext cx="1238250" cy="2476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Dados_MES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4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" customHeight="1">
      <c r="A2" s="1"/>
      <c r="B2" s="2" t="s">
        <v>159</v>
      </c>
      <c r="C2" s="1"/>
      <c r="D2" s="2" t="s">
        <v>160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6" customHeight="1">
      <c r="A3" s="1"/>
      <c r="B3" s="3">
        <v>46310</v>
      </c>
      <c r="C3" s="3"/>
      <c r="D3" s="4">
        <v>15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6" spans="1:16" ht="38" customHeight="1">
      <c r="A6" s="5"/>
      <c r="B6" s="6" t="s">
        <v>161</v>
      </c>
      <c r="C6" s="6"/>
      <c r="D6" s="6"/>
      <c r="E6" s="6"/>
      <c r="F6" s="6"/>
      <c r="G6" s="6"/>
      <c r="H6" s="7" t="s">
        <v>162</v>
      </c>
      <c r="I6" s="7"/>
      <c r="J6" s="7"/>
      <c r="K6" s="7"/>
      <c r="L6" s="7"/>
      <c r="M6" s="5"/>
      <c r="N6" s="5"/>
      <c r="O6" s="5"/>
    </row>
    <row r="7" spans="1:16" ht="22" customHeight="1">
      <c r="A7" s="8"/>
      <c r="B7" s="9" t="s">
        <v>163</v>
      </c>
      <c r="C7" s="9"/>
      <c r="D7" s="9"/>
      <c r="E7" s="9"/>
      <c r="F7" s="9"/>
      <c r="G7" s="10">
        <f>"PERÍODO  "&amp;TEXT(DAY((rFim-rDias+1)),"00")&amp;"/"&amp;TEXT(MONTH((rFim-rDias+1)),"00")&amp;"/"&amp;YEAR((rFim-rDias+1))&amp;" A "&amp;TEXT(DAY(rFim),"00")&amp;"/"&amp;TEXT(MONTH(rFim),"00")&amp;"/"&amp;YEAR(rFim)&amp;"   |   "&amp;rDias&amp;" DIAS"</f>
        <v/>
      </c>
      <c r="H7" s="11"/>
      <c r="I7" s="11"/>
      <c r="J7" s="11"/>
      <c r="K7" s="11"/>
      <c r="L7" s="11"/>
      <c r="M7" s="11"/>
      <c r="N7" s="11"/>
      <c r="O7" s="8"/>
    </row>
    <row r="8" spans="1:16" ht="10" customHeight="1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6" ht="20" customHeight="1">
      <c r="B9" s="13">
        <f>"ÚLTIMO DIA · "&amp;TEXT(DAY(rFim),"00")&amp;"/"&amp;TEXT(MONTH(rFim),"00")&amp;"/"&amp;YEAR(rFim)&amp;"   |   PERÍODO DE "&amp;rDias&amp;" DIAS"</f>
        <v/>
      </c>
      <c r="C9" s="13"/>
      <c r="D9" s="13"/>
      <c r="E9" s="13"/>
      <c r="F9" s="13"/>
      <c r="G9" s="13"/>
      <c r="I9" s="13" t="s">
        <v>164</v>
      </c>
      <c r="J9" s="13"/>
      <c r="K9" s="13"/>
      <c r="M9" s="13" t="s">
        <v>165</v>
      </c>
      <c r="N9" s="13"/>
    </row>
    <row r="10" spans="1:16" ht="28" customHeight="1">
      <c r="B10" s="14"/>
      <c r="C10" s="14"/>
      <c r="D10" s="14">
        <f>"ÚLTIMO DIA"&amp;CHAR(10)&amp;"("&amp;TEXT(DAY(rFim),"00")&amp;"/"&amp;TEXT(MONTH(rFim),"00")&amp;")"</f>
        <v/>
      </c>
      <c r="E10" s="14" t="s">
        <v>166</v>
      </c>
      <c r="F10" s="14" t="s">
        <v>167</v>
      </c>
      <c r="G10" s="14" t="s">
        <v>168</v>
      </c>
      <c r="I10" s="15">
        <f>gComentarios</f>
        <v/>
      </c>
      <c r="J10" s="15"/>
      <c r="K10" s="15"/>
      <c r="M10" s="16">
        <f>"ÚLTIMO DIA · "&amp;TEXT(DAY(rFim),"00")&amp;"/"&amp;TEXT(MONTH(rFim),"00")&amp;"/"&amp;RIGHT(YEAR(rFim),2)</f>
        <v/>
      </c>
      <c r="N10" s="16"/>
    </row>
    <row r="11" spans="1:16" ht="21" customHeight="1">
      <c r="B11" s="17" t="s">
        <v>41</v>
      </c>
      <c r="C11" s="17"/>
      <c r="D11" s="18">
        <f>IF(ISNUMBER(gUlt_eb6),gUlt_eb6,"—")</f>
        <v/>
      </c>
      <c r="E11" s="19">
        <f>IF(ISNUMBER(gMed_eb6),gMed_eb6,"—")</f>
        <v/>
      </c>
      <c r="F11" s="20" t="s">
        <v>169</v>
      </c>
      <c r="G11" s="20" t="s">
        <v>169</v>
      </c>
      <c r="I11" s="15"/>
      <c r="J11" s="15"/>
      <c r="K11" s="15"/>
      <c r="M11" s="21" t="s">
        <v>15</v>
      </c>
      <c r="N11" s="19">
        <f>IF(ISNUMBER(gUlt_prodC3),gUlt_prodC3,"—")</f>
        <v/>
      </c>
    </row>
    <row r="12" spans="1:16" ht="21" customHeight="1">
      <c r="B12" s="17" t="s">
        <v>170</v>
      </c>
      <c r="C12" s="17"/>
      <c r="D12" s="18">
        <f>IF(ISNUMBER(gUlt_espP),gUlt_espP,"—")</f>
        <v/>
      </c>
      <c r="E12" s="19">
        <f>IF(ISNUMBER(gMed_espP),gMed_espP,"—")</f>
        <v/>
      </c>
      <c r="F12" s="20" t="s">
        <v>169</v>
      </c>
      <c r="G12" s="20" t="s">
        <v>169</v>
      </c>
      <c r="I12" s="15"/>
      <c r="J12" s="15"/>
      <c r="K12" s="15"/>
      <c r="M12" s="21" t="s">
        <v>23</v>
      </c>
      <c r="N12" s="19">
        <f>IF(ISNUMBER(gUlt_prodC2),gUlt_prodC2,"—")</f>
        <v/>
      </c>
    </row>
    <row r="13" spans="1:16" ht="21" customHeight="1">
      <c r="B13" s="17" t="s">
        <v>171</v>
      </c>
      <c r="C13" s="17"/>
      <c r="D13" s="18">
        <f>IF(ISNUMBER(gUlt_eb4P),gUlt_eb4P,"—")</f>
        <v/>
      </c>
      <c r="E13" s="19">
        <f>IF(ISNUMBER(gMed_eb4P),gMed_eb4P,"—")</f>
        <v/>
      </c>
      <c r="F13" s="20" t="s">
        <v>169</v>
      </c>
      <c r="G13" s="20" t="s">
        <v>169</v>
      </c>
      <c r="I13" s="15"/>
      <c r="J13" s="15"/>
      <c r="K13" s="15"/>
      <c r="M13" s="21" t="s">
        <v>177</v>
      </c>
      <c r="N13" s="19">
        <f>IF(ISNUMBER(gUlt_concC3),gUlt_concC3,"—")</f>
        <v/>
      </c>
    </row>
    <row r="14" spans="1:16" ht="21" customHeight="1">
      <c r="B14" s="17" t="s">
        <v>172</v>
      </c>
      <c r="C14" s="17"/>
      <c r="D14" s="22">
        <f>IF(ISNUMBER(gUlt_difK),gUlt_difK,"—")</f>
        <v/>
      </c>
      <c r="E14" s="23">
        <f>IF(ISNUMBER(gMed_difK),gMed_difK,"—")</f>
        <v/>
      </c>
      <c r="F14" s="19">
        <f>cfgTol</f>
        <v>150</v>
      </c>
      <c r="G14" s="24">
        <f>pSt_difK</f>
        <v/>
      </c>
      <c r="I14" s="15"/>
      <c r="J14" s="15"/>
      <c r="K14" s="15"/>
      <c r="M14" s="21" t="s">
        <v>178</v>
      </c>
      <c r="N14" s="19">
        <f>IF(ISNUMBER(gUlt_concC2),gUlt_concC2,"—")</f>
        <v/>
      </c>
    </row>
    <row r="15" spans="1:16" ht="21" customHeight="1">
      <c r="B15" s="17" t="s">
        <v>173</v>
      </c>
      <c r="C15" s="17"/>
      <c r="D15" s="22">
        <f>IF(ISNUMBER(gUlt_difJ),gUlt_difJ,"—")</f>
        <v/>
      </c>
      <c r="E15" s="23">
        <f>IF(ISNUMBER(gMed_difJ),gMed_difJ,"—")</f>
        <v/>
      </c>
      <c r="F15" s="19">
        <f>cfgTol</f>
        <v>150</v>
      </c>
      <c r="G15" s="24">
        <f>pSt_difJ</f>
        <v/>
      </c>
      <c r="I15" s="15"/>
      <c r="J15" s="15"/>
      <c r="K15" s="15"/>
      <c r="M15" s="21" t="s">
        <v>179</v>
      </c>
      <c r="N15" s="19">
        <f>IF(ISNUMBER(gUlt_lama),gUlt_lama,"—")</f>
        <v/>
      </c>
    </row>
    <row r="16" spans="1:16" ht="21" customHeight="1">
      <c r="B16" s="17" t="s">
        <v>174</v>
      </c>
      <c r="C16" s="17"/>
      <c r="D16" s="25">
        <f>IF(ISNUMBER(gUlt_pctLama),gUlt_pctLama,"—")</f>
        <v/>
      </c>
      <c r="E16" s="26">
        <f>IF(ISNUMBER(gMed_pctLama),gMed_pctLama,"—")</f>
        <v/>
      </c>
      <c r="F16" s="20" t="s">
        <v>169</v>
      </c>
      <c r="G16" s="20" t="s">
        <v>169</v>
      </c>
      <c r="I16" s="15"/>
      <c r="J16" s="15"/>
      <c r="K16" s="15"/>
      <c r="M16" s="21" t="s">
        <v>101</v>
      </c>
      <c r="N16" s="19">
        <f>IF(ISNUMBER(gUlt_fator),gUlt_fator,"—")</f>
        <v/>
      </c>
    </row>
    <row r="17" spans="2:14" ht="16" customHeight="1">
      <c r="B17" s="27" t="s">
        <v>175</v>
      </c>
      <c r="C17" s="27"/>
      <c r="D17" s="27"/>
      <c r="E17" s="28" t="s">
        <v>176</v>
      </c>
      <c r="F17" s="28"/>
      <c r="G17" s="28"/>
      <c r="I17" s="15"/>
      <c r="J17" s="15"/>
      <c r="K17" s="15"/>
      <c r="M17" s="29"/>
      <c r="N17" s="30"/>
    </row>
    <row r="18" spans="2:14" ht="10" customHeight="1"/>
    <row r="19" spans="2:14" ht="19" customHeight="1">
      <c r="B19" s="31" t="s">
        <v>180</v>
      </c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2">
        <f>IF(pSt_difK="—","—  ","●  ÚLTIMO DIA "&amp;pSt_difK&amp;"  ")</f>
        <v/>
      </c>
    </row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/>
    <row r="33" spans="2:14" ht="10" customHeight="1"/>
    <row r="34" spans="2:14" ht="19" customHeight="1">
      <c r="B34" s="31" t="s">
        <v>181</v>
      </c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2">
        <f>IF(pSt_difJ="—","—  ","●  ÚLTIMO DIA "&amp;pSt_difJ&amp;"  ")</f>
        <v/>
      </c>
    </row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/>
    <row r="48" spans="2:14" ht="10" customHeight="1"/>
    <row r="49" spans="2:14" ht="19" customHeight="1">
      <c r="B49" s="31" t="s">
        <v>182</v>
      </c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2">
        <f>"●  ÚLTIMO DIA "&amp;IF(ISNUMBER(gUlt_pctLama),FIXED(gUlt_pctLama*100,2)&amp;"%","—")&amp;"  "</f>
        <v/>
      </c>
    </row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/>
    <row r="63" spans="2:14" ht="10" customHeight="1"/>
    <row r="64" spans="2:14" ht="16" customHeight="1">
      <c r="B64" s="33">
        <f>"Diferença = batch EB6 − média ponderada pela produção (C2/C3)   ·   faixa verde tracejada = tolerância (±"&amp;cfgTol&amp;")   ·   ◆ = diferença média do período   ·   barras escuras = média do período"</f>
        <v/>
      </c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</row>
  </sheetData>
  <sheetProtection sheet="1" objects="1" scenarios="1" formatColumns="0" formatRows="0"/>
  <mergeCells count="24">
    <mergeCell ref="B3:C3"/>
    <mergeCell ref="B6:G6"/>
    <mergeCell ref="H6:L6"/>
    <mergeCell ref="M6:N6"/>
    <mergeCell ref="B7:F7"/>
    <mergeCell ref="G7:N7"/>
    <mergeCell ref="B9:G9"/>
    <mergeCell ref="I9:K9"/>
    <mergeCell ref="M9:N9"/>
    <mergeCell ref="B10:C10"/>
    <mergeCell ref="B11:C11"/>
    <mergeCell ref="B12:C12"/>
    <mergeCell ref="B13:C13"/>
    <mergeCell ref="B14:C14"/>
    <mergeCell ref="B15:C15"/>
    <mergeCell ref="B16:C16"/>
    <mergeCell ref="B17:D17"/>
    <mergeCell ref="E17:G17"/>
    <mergeCell ref="I10:K17"/>
    <mergeCell ref="M10:N10"/>
    <mergeCell ref="B19:M19"/>
    <mergeCell ref="B34:M34"/>
    <mergeCell ref="B49:M49"/>
    <mergeCell ref="B64:N64"/>
  </mergeCells>
  <conditionalFormatting sqref="B11:F16">
    <cfRule type="expression" dxfId="4" priority="3">
      <formula>$G11="NOK"</formula>
    </cfRule>
  </conditionalFormatting>
  <conditionalFormatting sqref="G11:G16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N19">
    <cfRule type="expression" dxfId="1" priority="4">
      <formula>pSt_difK="OK"</formula>
    </cfRule>
    <cfRule type="expression" dxfId="5" priority="5">
      <formula>pSt_difK="NOK"</formula>
    </cfRule>
  </conditionalFormatting>
  <conditionalFormatting sqref="N34">
    <cfRule type="expression" dxfId="1" priority="6">
      <formula>pSt_difJ="OK"</formula>
    </cfRule>
    <cfRule type="expression" dxfId="5" priority="7">
      <formula>pSt_difJ="NOK"</formula>
    </cfRule>
  </conditionalFormatting>
  <dataValidations count="1">
    <dataValidation type="whole" allowBlank="1" showInputMessage="1" showErrorMessage="1" error="De 2 a 60 dias." sqref="D3">
      <formula1>2</formula1>
      <formula2>60</formula2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Dia">
    <tabColor rgb="FFFDB913"/>
  </sheetPr>
  <dimension ref="A1:H44"/>
  <sheetViews>
    <sheetView showGridLines="0" tabSelected="1" workbookViewId="0"/>
  </sheetViews>
  <sheetFormatPr defaultRowHeight="15"/>
  <cols>
    <col min="1" max="1" width="2.28515625" customWidth="1"/>
    <col min="2" max="2" width="40.7109375" customWidth="1"/>
    <col min="3" max="3" width="14.7109375" customWidth="1"/>
    <col min="4" max="4" width="11.7109375" customWidth="1"/>
    <col min="5" max="5" width="30.7109375" customWidth="1"/>
    <col min="6" max="6" width="27.7109375" customWidth="1"/>
    <col min="7" max="7" width="36.7109375" customWidth="1"/>
    <col min="8" max="8" width="52.7109375" customWidth="1"/>
  </cols>
  <sheetData>
    <row r="1" spans="2:8" ht="8" customHeight="1"/>
    <row r="2" spans="2:8" ht="34" customHeight="1">
      <c r="B2" s="34" t="s">
        <v>110</v>
      </c>
      <c r="C2" s="34"/>
      <c r="D2" s="34"/>
      <c r="E2" s="34"/>
      <c r="F2" s="34"/>
      <c r="G2" s="34"/>
      <c r="H2" s="34"/>
    </row>
    <row r="4" spans="2:8" ht="22" customHeight="1">
      <c r="B4" s="35" t="s">
        <v>111</v>
      </c>
      <c r="C4" s="35"/>
    </row>
    <row r="5" spans="2:8" ht="30" customHeight="1">
      <c r="B5" s="36" t="s">
        <v>112</v>
      </c>
      <c r="C5" s="37">
        <v>46310</v>
      </c>
    </row>
    <row r="6" spans="2:8">
      <c r="B6" s="38">
        <f>"Report de "&amp;TEXT(DAY((dData+1)),"00")&amp;"/"&amp;TEXT(MONTH((dData+1)),"00")&amp;"  ·  produção e espessadores: "&amp;TEXT(DAY((dData-1)),"00")&amp;"/"&amp;TEXT(MONTH((dData-1)),"00")&amp;" 23:00 a "&amp;TEXT(DAY(dData),"00")&amp;"/"&amp;TEXT(MONTH(dData),"00")&amp;" 21:00  ·  batch, tanques e DVR: "&amp;TEXT(DAY(dData),"00")&amp;"/"&amp;TEXT(MONTH(dData),"00")&amp;" 00:00 a 23:59"</f>
        <v/>
      </c>
    </row>
    <row r="7" spans="2:8">
      <c r="B7" s="38" t="s">
        <v>113</v>
      </c>
    </row>
    <row r="9" spans="2:8" ht="22" customHeight="1">
      <c r="B9" s="35" t="s">
        <v>114</v>
      </c>
      <c r="C9" s="35"/>
      <c r="D9" s="35"/>
      <c r="E9" s="35"/>
      <c r="F9" s="35"/>
      <c r="G9" s="35"/>
      <c r="H9" s="35"/>
    </row>
    <row r="10" spans="2:8" ht="30" customHeight="1">
      <c r="B10" s="39" t="s">
        <v>4</v>
      </c>
      <c r="C10" s="39" t="s">
        <v>115</v>
      </c>
      <c r="D10" s="39" t="s">
        <v>116</v>
      </c>
      <c r="E10" s="39" t="s">
        <v>117</v>
      </c>
      <c r="F10" s="39" t="s">
        <v>5</v>
      </c>
      <c r="G10" s="39" t="s">
        <v>118</v>
      </c>
      <c r="H10" s="39" t="s">
        <v>119</v>
      </c>
    </row>
    <row r="11" spans="2:8" ht="21" customHeight="1">
      <c r="B11" s="40" t="str">
        <f>'Configurações'!$C$8</f>
        <v>Produção C3 (t)</v>
      </c>
      <c r="C11" s="41">
        <v>15877</v>
      </c>
      <c r="D11" s="42"/>
      <c r="E11" s="43">
        <f>IF('Configurações'!$D$8="","",IF('Configurações'!$G$8="E","D-1 23:00 a D 21:00","D 00:00 a 23:59")&amp;" · "&amp;'Configurações'!$H$8)</f>
        <v/>
      </c>
      <c r="F11" s="43">
        <f>IF('Configurações'!$D$8="","(sem tag)",'Configurações'!$D$8)</f>
        <v/>
      </c>
      <c r="G11" s="44" t="s">
        <v>120</v>
      </c>
      <c r="H11" s="43">
        <f>'Configurações'!$L$8</f>
        <v/>
      </c>
    </row>
    <row r="12" spans="2:8" ht="21" customHeight="1">
      <c r="B12" s="40" t="str">
        <f>'Configurações'!$C$9</f>
        <v>Produção C2 (t)</v>
      </c>
      <c r="C12" s="41">
        <v>17186</v>
      </c>
      <c r="D12" s="42"/>
      <c r="E12" s="43">
        <f>IF('Configurações'!$D$9="","",IF('Configurações'!$G$9="E","D-1 23:00 a D 21:00","D 00:00 a 23:59")&amp;" · "&amp;'Configurações'!$H$9)</f>
        <v/>
      </c>
      <c r="F12" s="43">
        <f>IF('Configurações'!$D$9="","(sem tag)",'Configurações'!$D$9)</f>
        <v/>
      </c>
      <c r="G12" s="44" t="s">
        <v>120</v>
      </c>
      <c r="H12" s="43">
        <f>'Configurações'!$L$9</f>
        <v/>
      </c>
    </row>
    <row r="13" spans="2:8" ht="21" customHeight="1">
      <c r="B13" s="40" t="str">
        <f>'Configurações'!$C$10</f>
        <v>S.E. alimentação espessador C3</v>
      </c>
      <c r="C13" s="41">
        <v>2115</v>
      </c>
      <c r="D13" s="42"/>
      <c r="E13" s="43">
        <f>IF('Configurações'!$D$10="","",IF('Configurações'!$G$10="E","D-1 23:00 a D 21:00","D 00:00 a 23:59")&amp;" · "&amp;'Configurações'!$H$10)</f>
        <v/>
      </c>
      <c r="F13" s="43">
        <f>IF('Configurações'!$D$10="","(sem tag)",'Configurações'!$D$10)</f>
        <v/>
      </c>
      <c r="G13" s="44" t="s">
        <v>120</v>
      </c>
      <c r="H13" s="43">
        <f>'Configurações'!$L$10</f>
        <v/>
      </c>
    </row>
    <row r="14" spans="2:8" ht="21" customHeight="1">
      <c r="B14" s="40" t="str">
        <f>'Configurações'!$C$11</f>
        <v>S.E. alimentação espessador C2</v>
      </c>
      <c r="C14" s="41">
        <v>2079</v>
      </c>
      <c r="D14" s="42"/>
      <c r="E14" s="43">
        <f>IF('Configurações'!$D$11="","",IF('Configurações'!$G$11="E","D-1 23:00 a D 21:00","D 00:00 a 23:59")&amp;" · "&amp;'Configurações'!$H$11)</f>
        <v/>
      </c>
      <c r="F14" s="43">
        <f>IF('Configurações'!$D$11="","(sem tag)",'Configurações'!$D$11)</f>
        <v/>
      </c>
      <c r="G14" s="44" t="s">
        <v>120</v>
      </c>
      <c r="H14" s="43">
        <f>'Configurações'!$L$11</f>
        <v/>
      </c>
    </row>
    <row r="15" spans="2:8" ht="21" customHeight="1">
      <c r="B15" s="40" t="str">
        <f>'Configurações'!$C$12</f>
        <v>S.E. batch EB4</v>
      </c>
      <c r="C15" s="41">
        <v>2053</v>
      </c>
      <c r="D15" s="42"/>
      <c r="E15" s="43">
        <f>IF('Configurações'!$D$12="","",IF('Configurações'!$G$12="E","D-1 23:00 a D 21:00","D 00:00 a 23:59")&amp;" · "&amp;'Configurações'!$H$12)</f>
        <v/>
      </c>
      <c r="F15" s="43">
        <f>IF('Configurações'!$D$12="","(sem tag)",'Configurações'!$D$12)</f>
        <v/>
      </c>
      <c r="G15" s="44" t="s">
        <v>120</v>
      </c>
      <c r="H15" s="43">
        <f>'Configurações'!$L$12</f>
        <v/>
      </c>
    </row>
    <row r="16" spans="2:8" ht="21" customHeight="1">
      <c r="B16" s="40" t="str">
        <f>'Configurações'!$C$13</f>
        <v>S.E. batch EB6</v>
      </c>
      <c r="C16" s="41">
        <v>2210</v>
      </c>
      <c r="D16" s="42"/>
      <c r="E16" s="43">
        <f>IF('Configurações'!$D$13="","",IF('Configurações'!$G$13="E","D-1 23:00 a D 21:00","D 00:00 a 23:59")&amp;" · "&amp;'Configurações'!$H$13)</f>
        <v/>
      </c>
      <c r="F16" s="43">
        <f>IF('Configurações'!$D$13="","(sem tag)",'Configurações'!$D$13)</f>
        <v/>
      </c>
      <c r="G16" s="44" t="s">
        <v>120</v>
      </c>
      <c r="H16" s="43">
        <f>'Configurações'!$L$13</f>
        <v/>
      </c>
    </row>
    <row r="17" spans="2:8" ht="21" customHeight="1">
      <c r="B17" s="40" t="str">
        <f>'Configurações'!$C$14</f>
        <v>S.E. TK 01 - EB6</v>
      </c>
      <c r="C17" s="41">
        <v>2475</v>
      </c>
      <c r="D17" s="42"/>
      <c r="E17" s="43">
        <f>IF('Configurações'!$D$14="","",IF('Configurações'!$G$14="E","D-1 23:00 a D 21:00","D 00:00 a 23:59")&amp;" · "&amp;'Configurações'!$H$14)</f>
        <v/>
      </c>
      <c r="F17" s="43">
        <f>IF('Configurações'!$D$14="","(sem tag)",'Configurações'!$D$14)</f>
        <v/>
      </c>
      <c r="G17" s="44" t="s">
        <v>120</v>
      </c>
      <c r="H17" s="43">
        <f>'Configurações'!$L$14</f>
        <v/>
      </c>
    </row>
    <row r="18" spans="2:8" ht="21" customHeight="1">
      <c r="B18" s="40" t="str">
        <f>'Configurações'!$C$15</f>
        <v>S.E. TK 02 - EB6</v>
      </c>
      <c r="C18" s="41">
        <v>2272</v>
      </c>
      <c r="D18" s="42"/>
      <c r="E18" s="43">
        <f>IF('Configurações'!$D$15="","",IF('Configurações'!$G$15="E","D-1 23:00 a D 21:00","D 00:00 a 23:59")&amp;" · "&amp;'Configurações'!$H$15)</f>
        <v/>
      </c>
      <c r="F18" s="43">
        <f>IF('Configurações'!$D$15="","(sem tag)",'Configurações'!$D$15)</f>
        <v/>
      </c>
      <c r="G18" s="44" t="s">
        <v>120</v>
      </c>
      <c r="H18" s="43">
        <f>'Configurações'!$L$15</f>
        <v/>
      </c>
    </row>
    <row r="19" spans="2:8" ht="21" customHeight="1">
      <c r="B19" s="40" t="str">
        <f>'Configurações'!$C$16</f>
        <v>Lama incorporada C3 (tms)</v>
      </c>
      <c r="C19" s="45">
        <v>335</v>
      </c>
      <c r="D19" s="42"/>
      <c r="E19" s="43">
        <f>IF('Configurações'!$D$16="","",IF('Configurações'!$G$16="E","D-1 23:00 a D 21:00","D 00:00 a 23:59")&amp;" · "&amp;'Configurações'!$H$16)</f>
        <v/>
      </c>
      <c r="F19" s="43">
        <f>IF('Configurações'!$D$16="","(sem tag)",'Configurações'!$D$16)</f>
        <v/>
      </c>
      <c r="G19" s="44" t="s">
        <v>120</v>
      </c>
      <c r="H19" s="43">
        <f>'Configurações'!$L$16</f>
        <v/>
      </c>
    </row>
    <row r="20" spans="2:8" ht="21" customHeight="1">
      <c r="B20" s="40" t="str">
        <f>'Configurações'!$C$17</f>
        <v>Lama incorporada C2 (tms)</v>
      </c>
      <c r="C20" s="45"/>
      <c r="D20" s="42"/>
      <c r="E20" s="43">
        <f>IF('Configurações'!$D$17="","",IF('Configurações'!$G$17="E","D-1 23:00 a D 21:00","D 00:00 a 23:59")&amp;" · "&amp;'Configurações'!$H$17)</f>
        <v/>
      </c>
      <c r="F20" s="43">
        <f>IF('Configurações'!$D$17="","(sem tag)",'Configurações'!$D$17)</f>
        <v/>
      </c>
      <c r="G20" s="44"/>
      <c r="H20" s="43">
        <f>'Configurações'!$L$17</f>
        <v/>
      </c>
    </row>
    <row r="21" spans="2:8" ht="21" customHeight="1">
      <c r="B21" s="40" t="str">
        <f>'Configurações'!$C$18</f>
        <v>Concentrado C3 (tms)</v>
      </c>
      <c r="C21" s="41">
        <v>18292</v>
      </c>
      <c r="D21" s="42"/>
      <c r="E21" s="43">
        <f>IF('Configurações'!$D$18="","",IF('Configurações'!$G$18="E","D-1 23:00 a D 21:00","D 00:00 a 23:59")&amp;" · "&amp;'Configurações'!$H$18)</f>
        <v/>
      </c>
      <c r="F21" s="43">
        <f>IF('Configurações'!$D$18="","(sem tag)",'Configurações'!$D$18)</f>
        <v/>
      </c>
      <c r="G21" s="44" t="s">
        <v>120</v>
      </c>
      <c r="H21" s="43">
        <f>'Configurações'!$L$18</f>
        <v/>
      </c>
    </row>
    <row r="22" spans="2:8" ht="21" customHeight="1">
      <c r="B22" s="40" t="str">
        <f>'Configurações'!$C$19</f>
        <v>Concentrado C2 (tms)</v>
      </c>
      <c r="C22" s="41">
        <v>22019</v>
      </c>
      <c r="D22" s="42"/>
      <c r="E22" s="43">
        <f>IF('Configurações'!$D$19="","",IF('Configurações'!$G$19="E","D-1 23:00 a D 21:00","D 00:00 a 23:59")&amp;" · "&amp;'Configurações'!$H$19)</f>
        <v/>
      </c>
      <c r="F22" s="43">
        <f>IF('Configurações'!$D$19="","(sem tag)",'Configurações'!$D$19)</f>
        <v/>
      </c>
      <c r="G22" s="44" t="s">
        <v>120</v>
      </c>
      <c r="H22" s="43">
        <f>'Configurações'!$L$19</f>
        <v/>
      </c>
    </row>
    <row r="23" spans="2:8" ht="21" customHeight="1">
      <c r="B23" s="40" t="s">
        <v>101</v>
      </c>
      <c r="C23" s="41">
        <v>160</v>
      </c>
      <c r="D23" s="43" t="s">
        <v>121</v>
      </c>
      <c r="E23" s="43"/>
      <c r="F23" s="43"/>
      <c r="G23" s="43"/>
      <c r="H23" s="43"/>
    </row>
    <row r="24" spans="2:8" ht="21" customHeight="1">
      <c r="B24" s="40" t="s">
        <v>122</v>
      </c>
      <c r="C24" s="46"/>
      <c r="D24" s="46"/>
      <c r="E24" s="46"/>
      <c r="F24" s="46"/>
      <c r="G24" s="46"/>
      <c r="H24" s="46"/>
    </row>
    <row r="25" spans="2:8">
      <c r="C25" s="47" t="s">
        <v>109</v>
      </c>
    </row>
    <row r="27" spans="2:8" ht="22" customHeight="1">
      <c r="B27" s="35" t="s">
        <v>123</v>
      </c>
      <c r="C27" s="35"/>
    </row>
    <row r="28" spans="2:8">
      <c r="B28" s="48" t="s">
        <v>124</v>
      </c>
      <c r="C28" s="49">
        <f>IF(OR(d_espC3="",d_espC2="",d_prodC3="",d_prodC2=""),"",IF(d_prodC3+d_prodC2=0,"",(d_espC3*d_prodC3+d_espC2*d_prodC2)/(d_prodC3+d_prodC2)))</f>
        <v/>
      </c>
    </row>
    <row r="29" spans="2:8">
      <c r="B29" s="48" t="s">
        <v>96</v>
      </c>
      <c r="C29" s="49">
        <f>IF(OR(d_eb4="",d_espC3="",d_prodC3="",d_prodC2=""),"",IF(d_prodC3+d_prodC2=0,"",(d_eb4*d_prodC2+d_espC3*d_prodC3)/(d_prodC3+d_prodC2)))</f>
        <v/>
      </c>
    </row>
    <row r="30" spans="2:8">
      <c r="B30" s="48" t="s">
        <v>98</v>
      </c>
      <c r="C30" s="50">
        <f>IF(OR(d_eb6="",_espP=""),"",d_eb6-_espP)</f>
        <v/>
      </c>
    </row>
    <row r="31" spans="2:8">
      <c r="B31" s="48" t="s">
        <v>97</v>
      </c>
      <c r="C31" s="50">
        <f>IF(OR(d_eb6="",_eb4P=""),"",d_eb6-_eb4P)</f>
        <v/>
      </c>
    </row>
    <row r="32" spans="2:8">
      <c r="B32" s="48" t="s">
        <v>125</v>
      </c>
      <c r="C32" s="49">
        <f>IF(AND(d_lamaC3="",d_lamaC2=""),"",N(d_lamaC3)+N(d_lamaC2))</f>
        <v/>
      </c>
    </row>
    <row r="33" spans="2:8">
      <c r="B33" s="48" t="s">
        <v>105</v>
      </c>
      <c r="C33" s="51">
        <f>IF(OR(_lama="",d_concC3="",d_concC2=""),"",IF(d_concC3+d_concC2=0,"",_lama/(d_concC3+d_concC2)))</f>
        <v/>
      </c>
    </row>
    <row r="36" spans="2:8" ht="22" customHeight="1">
      <c r="B36" s="35" t="s">
        <v>126</v>
      </c>
      <c r="C36" s="35"/>
    </row>
    <row r="37" spans="2:8" ht="26" customHeight="1">
      <c r="B37" s="36" t="s">
        <v>127</v>
      </c>
      <c r="C37" s="52"/>
      <c r="F37" s="53" t="s">
        <v>129</v>
      </c>
      <c r="G37" s="53"/>
      <c r="H37" s="53"/>
    </row>
    <row r="38" spans="2:8" ht="26" customHeight="1">
      <c r="B38" s="36" t="s">
        <v>128</v>
      </c>
      <c r="C38" s="52"/>
      <c r="F38" s="53"/>
      <c r="G38" s="53"/>
      <c r="H38" s="53"/>
    </row>
    <row r="40" spans="2:8">
      <c r="B40" s="54" t="s">
        <v>130</v>
      </c>
    </row>
    <row r="41" spans="2:8">
      <c r="B41" s="55"/>
      <c r="C41" s="55"/>
      <c r="D41" s="55"/>
      <c r="E41" s="55"/>
      <c r="F41" s="55"/>
      <c r="G41" s="55"/>
      <c r="H41" s="55"/>
    </row>
    <row r="42" spans="2:8">
      <c r="B42" s="55"/>
      <c r="C42" s="55"/>
      <c r="D42" s="55"/>
      <c r="E42" s="55"/>
      <c r="F42" s="55"/>
      <c r="G42" s="55"/>
      <c r="H42" s="55"/>
    </row>
    <row r="43" spans="2:8">
      <c r="B43" s="55"/>
      <c r="C43" s="55"/>
      <c r="D43" s="55"/>
      <c r="E43" s="55"/>
      <c r="F43" s="55"/>
      <c r="G43" s="55"/>
      <c r="H43" s="55"/>
    </row>
    <row r="44" spans="2:8">
      <c r="B44" s="55"/>
      <c r="C44" s="55"/>
      <c r="D44" s="55"/>
      <c r="E44" s="55"/>
      <c r="F44" s="55"/>
      <c r="G44" s="55"/>
      <c r="H44" s="55"/>
    </row>
  </sheetData>
  <sheetProtection sheet="1" objects="1" scenarios="1" formatColumns="0" formatRows="0"/>
  <mergeCells count="9">
    <mergeCell ref="B2:H2"/>
    <mergeCell ref="B4:C4"/>
    <mergeCell ref="B9:H9"/>
    <mergeCell ref="D23:H23"/>
    <mergeCell ref="C24:H24"/>
    <mergeCell ref="B27:C27"/>
    <mergeCell ref="B36:C36"/>
    <mergeCell ref="F37:H38"/>
    <mergeCell ref="B41:H44"/>
  </mergeCells>
  <conditionalFormatting sqref="G11:G22">
    <cfRule type="beginsWith" dxfId="0" priority="1" operator="beginsWith" text="sem resultado">
      <formula>LEFT(G11,13)="sem resultado"</formula>
    </cfRule>
    <cfRule type="beginsWith" dxfId="0" priority="2" operator="beginsWith" text="tag recusada">
      <formula>LEFT(G11,12)="tag recusada"</formula>
    </cfRule>
    <cfRule type="beginsWith" dxfId="1" priority="3" operator="beginsWith" text="MES">
      <formula>LEFT(G11,3)="MES"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X3006"/>
  <sheetViews>
    <sheetView showGridLines="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/>
  <cols>
    <col min="1" max="1" width="2.28515625" customWidth="1"/>
    <col min="2" max="4" width="11.7109375" customWidth="1"/>
    <col min="5" max="6" width="9.7109375" customWidth="1"/>
    <col min="7" max="7" width="12.7109375" customWidth="1"/>
    <col min="8" max="8" width="9.7109375" customWidth="1"/>
    <col min="9" max="9" width="12.7109375" customWidth="1"/>
    <col min="10" max="10" width="9.7109375" customWidth="1"/>
    <col min="11" max="12" width="12.7109375" customWidth="1"/>
    <col min="13" max="14" width="9.7109375" customWidth="1"/>
    <col min="15" max="15" width="7.7109375" customWidth="1"/>
    <col min="16" max="17" width="10.7109375" customWidth="1"/>
    <col min="18" max="20" width="11.7109375" customWidth="1"/>
    <col min="21" max="21" width="8.7109375" customWidth="1"/>
    <col min="22" max="22" width="10.7109375" customWidth="1"/>
    <col min="23" max="23" width="15.7109375" customWidth="1"/>
    <col min="24" max="24" width="30.7109375" customWidth="1"/>
  </cols>
  <sheetData>
    <row r="2" spans="2:24" ht="34" customHeight="1">
      <c r="B2" s="34" t="s">
        <v>89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</row>
    <row r="3" spans="2:24" ht="22" customHeight="1">
      <c r="B3" s="56" t="s">
        <v>90</v>
      </c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</row>
    <row r="4" spans="2:24">
      <c r="B4" s="38" t="s">
        <v>91</v>
      </c>
    </row>
    <row r="6" spans="2:24" ht="42" customHeight="1">
      <c r="B6" s="39" t="s">
        <v>92</v>
      </c>
      <c r="C6" s="39" t="s">
        <v>15</v>
      </c>
      <c r="D6" s="39" t="s">
        <v>23</v>
      </c>
      <c r="E6" s="39" t="s">
        <v>93</v>
      </c>
      <c r="F6" s="39" t="s">
        <v>94</v>
      </c>
      <c r="G6" s="57" t="s">
        <v>95</v>
      </c>
      <c r="H6" s="39" t="s">
        <v>35</v>
      </c>
      <c r="I6" s="57" t="s">
        <v>96</v>
      </c>
      <c r="J6" s="39" t="s">
        <v>41</v>
      </c>
      <c r="K6" s="57" t="s">
        <v>97</v>
      </c>
      <c r="L6" s="57" t="s">
        <v>98</v>
      </c>
      <c r="M6" s="39" t="s">
        <v>99</v>
      </c>
      <c r="N6" s="39" t="s">
        <v>100</v>
      </c>
      <c r="O6" s="39" t="s">
        <v>101</v>
      </c>
      <c r="P6" s="39" t="s">
        <v>102</v>
      </c>
      <c r="Q6" s="39" t="s">
        <v>103</v>
      </c>
      <c r="R6" s="57" t="s">
        <v>104</v>
      </c>
      <c r="S6" s="39" t="s">
        <v>62</v>
      </c>
      <c r="T6" s="39" t="s">
        <v>66</v>
      </c>
      <c r="U6" s="57" t="s">
        <v>105</v>
      </c>
      <c r="V6" s="39" t="s">
        <v>106</v>
      </c>
      <c r="W6" s="39" t="s">
        <v>107</v>
      </c>
      <c r="X6" s="39" t="s">
        <v>108</v>
      </c>
    </row>
    <row r="7" spans="2:24">
      <c r="B7" s="58">
        <v>46050</v>
      </c>
      <c r="C7" s="59">
        <v>25194</v>
      </c>
      <c r="D7" s="59">
        <v>13469</v>
      </c>
      <c r="E7" s="59">
        <v>1810</v>
      </c>
      <c r="F7" s="59">
        <v>1923</v>
      </c>
      <c r="G7" s="60">
        <f>IF(OR(E7="",F7="",C7="",D7=""),"",IF(C7+D7=0,"",(E7*C7+F7*D7)/(C7+D7)))</f>
        <v/>
      </c>
      <c r="H7" s="59">
        <v>2180</v>
      </c>
      <c r="I7" s="60">
        <f>IF(OR(H7="",E7="",C7="",D7=""),"",IF(C7+D7=0,"",(H7*D7+E7*C7)/(C7+D7)))</f>
        <v/>
      </c>
      <c r="J7" s="59">
        <v>2206</v>
      </c>
      <c r="K7" s="61">
        <f>IF(OR(J7="",I7=""),"",J7-I7)</f>
        <v/>
      </c>
      <c r="L7" s="61">
        <f>IF(OR(J7="",G7=""),"",J7-G7)</f>
        <v/>
      </c>
      <c r="M7" s="59"/>
      <c r="N7" s="59"/>
      <c r="O7" s="59">
        <v>180</v>
      </c>
      <c r="P7" s="59"/>
      <c r="Q7" s="59"/>
      <c r="R7" s="60">
        <f>IF(AND(P7="",Q7=""),"",N(P7)+N(Q7))</f>
        <v/>
      </c>
      <c r="S7" s="59"/>
      <c r="T7" s="59"/>
      <c r="U7" s="62">
        <f>IF(OR(R7="",S7="",T7=""),"",IF(S7+T7=0,"",R7/(S7+T7)))</f>
        <v/>
      </c>
      <c r="V7" s="63" t="s">
        <v>109</v>
      </c>
      <c r="W7" s="64"/>
      <c r="X7" s="63"/>
    </row>
    <row r="8" spans="2:24">
      <c r="B8" s="58">
        <v>46051</v>
      </c>
      <c r="C8" s="59">
        <v>15490</v>
      </c>
      <c r="D8" s="59">
        <v>18956</v>
      </c>
      <c r="E8" s="59">
        <v>1758</v>
      </c>
      <c r="F8" s="59">
        <v>1953</v>
      </c>
      <c r="G8" s="60">
        <f>IF(OR(E8="",F8="",C8="",D8=""),"",IF(C8+D8=0,"",(E8*C8+F8*D8)/(C8+D8)))</f>
        <v/>
      </c>
      <c r="H8" s="59">
        <v>2096</v>
      </c>
      <c r="I8" s="60">
        <f>IF(OR(H8="",E8="",C8="",D8=""),"",IF(C8+D8=0,"",(H8*D8+E8*C8)/(C8+D8)))</f>
        <v/>
      </c>
      <c r="J8" s="59">
        <v>2166</v>
      </c>
      <c r="K8" s="61">
        <f>IF(OR(J8="",I8=""),"",J8-I8)</f>
        <v/>
      </c>
      <c r="L8" s="61">
        <f>IF(OR(J8="",G8=""),"",J8-G8)</f>
        <v/>
      </c>
      <c r="M8" s="59"/>
      <c r="N8" s="59"/>
      <c r="O8" s="59">
        <v>180</v>
      </c>
      <c r="P8" s="59"/>
      <c r="Q8" s="59"/>
      <c r="R8" s="60">
        <f>IF(AND(P8="",Q8=""),"",N(P8)+N(Q8))</f>
        <v/>
      </c>
      <c r="S8" s="59"/>
      <c r="T8" s="59"/>
      <c r="U8" s="62">
        <f>IF(OR(R8="",S8="",T8=""),"",IF(S8+T8=0,"",R8/(S8+T8)))</f>
        <v/>
      </c>
      <c r="V8" s="63" t="s">
        <v>109</v>
      </c>
      <c r="W8" s="64"/>
      <c r="X8" s="63"/>
    </row>
    <row r="9" spans="2:24">
      <c r="B9" s="58">
        <v>46052</v>
      </c>
      <c r="C9" s="59">
        <v>4398</v>
      </c>
      <c r="D9" s="59">
        <v>18559</v>
      </c>
      <c r="E9" s="59">
        <v>1922</v>
      </c>
      <c r="F9" s="59">
        <v>1910</v>
      </c>
      <c r="G9" s="60">
        <f>IF(OR(E9="",F9="",C9="",D9=""),"",IF(C9+D9=0,"",(E9*C9+F9*D9)/(C9+D9)))</f>
        <v/>
      </c>
      <c r="H9" s="59">
        <v>2067</v>
      </c>
      <c r="I9" s="60">
        <f>IF(OR(H9="",E9="",C9="",D9=""),"",IF(C9+D9=0,"",(H9*D9+E9*C9)/(C9+D9)))</f>
        <v/>
      </c>
      <c r="J9" s="59">
        <v>2095</v>
      </c>
      <c r="K9" s="61">
        <f>IF(OR(J9="",I9=""),"",J9-I9)</f>
        <v/>
      </c>
      <c r="L9" s="61">
        <f>IF(OR(J9="",G9=""),"",J9-G9)</f>
        <v/>
      </c>
      <c r="M9" s="59"/>
      <c r="N9" s="59"/>
      <c r="O9" s="59">
        <v>180</v>
      </c>
      <c r="P9" s="59"/>
      <c r="Q9" s="59"/>
      <c r="R9" s="60">
        <f>IF(AND(P9="",Q9=""),"",N(P9)+N(Q9))</f>
        <v/>
      </c>
      <c r="S9" s="59"/>
      <c r="T9" s="59"/>
      <c r="U9" s="62">
        <f>IF(OR(R9="",S9="",T9=""),"",IF(S9+T9=0,"",R9/(S9+T9)))</f>
        <v/>
      </c>
      <c r="V9" s="63" t="s">
        <v>109</v>
      </c>
      <c r="W9" s="64"/>
      <c r="X9" s="63"/>
    </row>
    <row r="10" spans="2:24">
      <c r="B10" s="58">
        <v>46053</v>
      </c>
      <c r="C10" s="59">
        <v>27313</v>
      </c>
      <c r="D10" s="59">
        <v>18404</v>
      </c>
      <c r="E10" s="59">
        <v>1889</v>
      </c>
      <c r="F10" s="59">
        <v>1920</v>
      </c>
      <c r="G10" s="60">
        <f>IF(OR(E10="",F10="",C10="",D10=""),"",IF(C10+D10=0,"",(E10*C10+F10*D10)/(C10+D10)))</f>
        <v/>
      </c>
      <c r="H10" s="59">
        <v>2082</v>
      </c>
      <c r="I10" s="60">
        <f>IF(OR(H10="",E10="",C10="",D10=""),"",IF(C10+D10=0,"",(H10*D10+E10*C10)/(C10+D10)))</f>
        <v/>
      </c>
      <c r="J10" s="59">
        <v>2111</v>
      </c>
      <c r="K10" s="61">
        <f>IF(OR(J10="",I10=""),"",J10-I10)</f>
        <v/>
      </c>
      <c r="L10" s="61">
        <f>IF(OR(J10="",G10=""),"",J10-G10)</f>
        <v/>
      </c>
      <c r="M10" s="59"/>
      <c r="N10" s="59"/>
      <c r="O10" s="59">
        <v>180</v>
      </c>
      <c r="P10" s="59"/>
      <c r="Q10" s="59"/>
      <c r="R10" s="60">
        <f>IF(AND(P10="",Q10=""),"",N(P10)+N(Q10))</f>
        <v/>
      </c>
      <c r="S10" s="59"/>
      <c r="T10" s="59"/>
      <c r="U10" s="62">
        <f>IF(OR(R10="",S10="",T10=""),"",IF(S10+T10=0,"",R10/(S10+T10)))</f>
        <v/>
      </c>
      <c r="V10" s="63" t="s">
        <v>109</v>
      </c>
      <c r="W10" s="64"/>
      <c r="X10" s="63"/>
    </row>
    <row r="11" spans="2:24">
      <c r="B11" s="58">
        <v>46054</v>
      </c>
      <c r="C11" s="59">
        <v>28440</v>
      </c>
      <c r="D11" s="59">
        <v>13272</v>
      </c>
      <c r="E11" s="59">
        <v>1725</v>
      </c>
      <c r="F11" s="59">
        <v>2126</v>
      </c>
      <c r="G11" s="60">
        <f>IF(OR(E11="",F11="",C11="",D11=""),"",IF(C11+D11=0,"",(E11*C11+F11*D11)/(C11+D11)))</f>
        <v/>
      </c>
      <c r="H11" s="59">
        <v>2137</v>
      </c>
      <c r="I11" s="60">
        <f>IF(OR(H11="",E11="",C11="",D11=""),"",IF(C11+D11=0,"",(H11*D11+E11*C11)/(C11+D11)))</f>
        <v/>
      </c>
      <c r="J11" s="59">
        <v>2075</v>
      </c>
      <c r="K11" s="61">
        <f>IF(OR(J11="",I11=""),"",J11-I11)</f>
        <v/>
      </c>
      <c r="L11" s="61">
        <f>IF(OR(J11="",G11=""),"",J11-G11)</f>
        <v/>
      </c>
      <c r="M11" s="59"/>
      <c r="N11" s="59"/>
      <c r="O11" s="59">
        <v>180</v>
      </c>
      <c r="P11" s="59"/>
      <c r="Q11" s="59"/>
      <c r="R11" s="60">
        <f>IF(AND(P11="",Q11=""),"",N(P11)+N(Q11))</f>
        <v/>
      </c>
      <c r="S11" s="59"/>
      <c r="T11" s="59"/>
      <c r="U11" s="62">
        <f>IF(OR(R11="",S11="",T11=""),"",IF(S11+T11=0,"",R11/(S11+T11)))</f>
        <v/>
      </c>
      <c r="V11" s="63" t="s">
        <v>109</v>
      </c>
      <c r="W11" s="64"/>
      <c r="X11" s="63"/>
    </row>
    <row r="12" spans="2:24">
      <c r="B12" s="58">
        <v>46055</v>
      </c>
      <c r="C12" s="59">
        <v>27555</v>
      </c>
      <c r="D12" s="59">
        <v>18788</v>
      </c>
      <c r="E12" s="59">
        <v>1892</v>
      </c>
      <c r="F12" s="59">
        <v>2025</v>
      </c>
      <c r="G12" s="60">
        <f>IF(OR(E12="",F12="",C12="",D12=""),"",IF(C12+D12=0,"",(E12*C12+F12*D12)/(C12+D12)))</f>
        <v/>
      </c>
      <c r="H12" s="59">
        <v>2095</v>
      </c>
      <c r="I12" s="60">
        <f>IF(OR(H12="",E12="",C12="",D12=""),"",IF(C12+D12=0,"",(H12*D12+E12*C12)/(C12+D12)))</f>
        <v/>
      </c>
      <c r="J12" s="59">
        <v>2072</v>
      </c>
      <c r="K12" s="61">
        <f>IF(OR(J12="",I12=""),"",J12-I12)</f>
        <v/>
      </c>
      <c r="L12" s="61">
        <f>IF(OR(J12="",G12=""),"",J12-G12)</f>
        <v/>
      </c>
      <c r="M12" s="59"/>
      <c r="N12" s="59"/>
      <c r="O12" s="59">
        <v>180</v>
      </c>
      <c r="P12" s="59"/>
      <c r="Q12" s="59"/>
      <c r="R12" s="60">
        <f>IF(AND(P12="",Q12=""),"",N(P12)+N(Q12))</f>
        <v/>
      </c>
      <c r="S12" s="59"/>
      <c r="T12" s="59"/>
      <c r="U12" s="62">
        <f>IF(OR(R12="",S12="",T12=""),"",IF(S12+T12=0,"",R12/(S12+T12)))</f>
        <v/>
      </c>
      <c r="V12" s="63" t="s">
        <v>109</v>
      </c>
      <c r="W12" s="64"/>
      <c r="X12" s="63"/>
    </row>
    <row r="13" spans="2:24">
      <c r="B13" s="58">
        <v>46056</v>
      </c>
      <c r="C13" s="59">
        <v>27872</v>
      </c>
      <c r="D13" s="59">
        <v>10048</v>
      </c>
      <c r="E13" s="59">
        <v>2125</v>
      </c>
      <c r="F13" s="59">
        <v>2191</v>
      </c>
      <c r="G13" s="60">
        <f>IF(OR(E13="",F13="",C13="",D13=""),"",IF(C13+D13=0,"",(E13*C13+F13*D13)/(C13+D13)))</f>
        <v/>
      </c>
      <c r="H13" s="59">
        <v>2178</v>
      </c>
      <c r="I13" s="60">
        <f>IF(OR(H13="",E13="",C13="",D13=""),"",IF(C13+D13=0,"",(H13*D13+E13*C13)/(C13+D13)))</f>
        <v/>
      </c>
      <c r="J13" s="59">
        <v>2047</v>
      </c>
      <c r="K13" s="61">
        <f>IF(OR(J13="",I13=""),"",J13-I13)</f>
        <v/>
      </c>
      <c r="L13" s="61">
        <f>IF(OR(J13="",G13=""),"",J13-G13)</f>
        <v/>
      </c>
      <c r="M13" s="59"/>
      <c r="N13" s="59"/>
      <c r="O13" s="59">
        <v>180</v>
      </c>
      <c r="P13" s="59"/>
      <c r="Q13" s="59"/>
      <c r="R13" s="60">
        <f>IF(AND(P13="",Q13=""),"",N(P13)+N(Q13))</f>
        <v/>
      </c>
      <c r="S13" s="59"/>
      <c r="T13" s="59"/>
      <c r="U13" s="62">
        <f>IF(OR(R13="",S13="",T13=""),"",IF(S13+T13=0,"",R13/(S13+T13)))</f>
        <v/>
      </c>
      <c r="V13" s="63" t="s">
        <v>109</v>
      </c>
      <c r="W13" s="64"/>
      <c r="X13" s="63"/>
    </row>
    <row r="14" spans="2:24">
      <c r="B14" s="58">
        <v>46057</v>
      </c>
      <c r="C14" s="59">
        <v>27883</v>
      </c>
      <c r="D14" s="59">
        <v>12183</v>
      </c>
      <c r="E14" s="59">
        <v>2115</v>
      </c>
      <c r="F14" s="59">
        <v>1836</v>
      </c>
      <c r="G14" s="60">
        <f>IF(OR(E14="",F14="",C14="",D14=""),"",IF(C14+D14=0,"",(E14*C14+F14*D14)/(C14+D14)))</f>
        <v/>
      </c>
      <c r="H14" s="59">
        <v>1965</v>
      </c>
      <c r="I14" s="60">
        <f>IF(OR(H14="",E14="",C14="",D14=""),"",IF(C14+D14=0,"",(H14*D14+E14*C14)/(C14+D14)))</f>
        <v/>
      </c>
      <c r="J14" s="59">
        <v>2128</v>
      </c>
      <c r="K14" s="61">
        <f>IF(OR(J14="",I14=""),"",J14-I14)</f>
        <v/>
      </c>
      <c r="L14" s="61">
        <f>IF(OR(J14="",G14=""),"",J14-G14)</f>
        <v/>
      </c>
      <c r="M14" s="59"/>
      <c r="N14" s="59"/>
      <c r="O14" s="59">
        <v>180</v>
      </c>
      <c r="P14" s="59"/>
      <c r="Q14" s="59"/>
      <c r="R14" s="60">
        <f>IF(AND(P14="",Q14=""),"",N(P14)+N(Q14))</f>
        <v/>
      </c>
      <c r="S14" s="59"/>
      <c r="T14" s="59"/>
      <c r="U14" s="62">
        <f>IF(OR(R14="",S14="",T14=""),"",IF(S14+T14=0,"",R14/(S14+T14)))</f>
        <v/>
      </c>
      <c r="V14" s="63" t="s">
        <v>109</v>
      </c>
      <c r="W14" s="64"/>
      <c r="X14" s="63"/>
    </row>
    <row r="15" spans="2:24">
      <c r="B15" s="58">
        <v>46058</v>
      </c>
      <c r="C15" s="59">
        <v>30023</v>
      </c>
      <c r="D15" s="59">
        <v>2503</v>
      </c>
      <c r="E15" s="59">
        <v>1953</v>
      </c>
      <c r="F15" s="59">
        <v>2121</v>
      </c>
      <c r="G15" s="60">
        <f>IF(OR(E15="",F15="",C15="",D15=""),"",IF(C15+D15=0,"",(E15*C15+F15*D15)/(C15+D15)))</f>
        <v/>
      </c>
      <c r="H15" s="59">
        <v>2100</v>
      </c>
      <c r="I15" s="60">
        <f>IF(OR(H15="",E15="",C15="",D15=""),"",IF(C15+D15=0,"",(H15*D15+E15*C15)/(C15+D15)))</f>
        <v/>
      </c>
      <c r="J15" s="59">
        <v>2058</v>
      </c>
      <c r="K15" s="61">
        <f>IF(OR(J15="",I15=""),"",J15-I15)</f>
        <v/>
      </c>
      <c r="L15" s="61">
        <f>IF(OR(J15="",G15=""),"",J15-G15)</f>
        <v/>
      </c>
      <c r="M15" s="59"/>
      <c r="N15" s="59"/>
      <c r="O15" s="59">
        <v>180</v>
      </c>
      <c r="P15" s="59"/>
      <c r="Q15" s="59"/>
      <c r="R15" s="60">
        <f>IF(AND(P15="",Q15=""),"",N(P15)+N(Q15))</f>
        <v/>
      </c>
      <c r="S15" s="59"/>
      <c r="T15" s="59"/>
      <c r="U15" s="62">
        <f>IF(OR(R15="",S15="",T15=""),"",IF(S15+T15=0,"",R15/(S15+T15)))</f>
        <v/>
      </c>
      <c r="V15" s="63" t="s">
        <v>109</v>
      </c>
      <c r="W15" s="64"/>
      <c r="X15" s="63"/>
    </row>
    <row r="16" spans="2:24">
      <c r="B16" s="58">
        <v>46059</v>
      </c>
      <c r="C16" s="59">
        <v>29533</v>
      </c>
      <c r="D16" s="59">
        <v>18156</v>
      </c>
      <c r="E16" s="59">
        <v>1903</v>
      </c>
      <c r="F16" s="59">
        <v>2063</v>
      </c>
      <c r="G16" s="60">
        <f>IF(OR(E16="",F16="",C16="",D16=""),"",IF(C16+D16=0,"",(E16*C16+F16*D16)/(C16+D16)))</f>
        <v/>
      </c>
      <c r="H16" s="59">
        <v>2030</v>
      </c>
      <c r="I16" s="60">
        <f>IF(OR(H16="",E16="",C16="",D16=""),"",IF(C16+D16=0,"",(H16*D16+E16*C16)/(C16+D16)))</f>
        <v/>
      </c>
      <c r="J16" s="59">
        <v>2040</v>
      </c>
      <c r="K16" s="61">
        <f>IF(OR(J16="",I16=""),"",J16-I16)</f>
        <v/>
      </c>
      <c r="L16" s="61">
        <f>IF(OR(J16="",G16=""),"",J16-G16)</f>
        <v/>
      </c>
      <c r="M16" s="59"/>
      <c r="N16" s="59"/>
      <c r="O16" s="59">
        <v>180</v>
      </c>
      <c r="P16" s="59"/>
      <c r="Q16" s="59"/>
      <c r="R16" s="60">
        <f>IF(AND(P16="",Q16=""),"",N(P16)+N(Q16))</f>
        <v/>
      </c>
      <c r="S16" s="59"/>
      <c r="T16" s="59"/>
      <c r="U16" s="62">
        <f>IF(OR(R16="",S16="",T16=""),"",IF(S16+T16=0,"",R16/(S16+T16)))</f>
        <v/>
      </c>
      <c r="V16" s="63" t="s">
        <v>109</v>
      </c>
      <c r="W16" s="64"/>
      <c r="X16" s="63"/>
    </row>
    <row r="17" spans="2:24">
      <c r="B17" s="58">
        <v>46060</v>
      </c>
      <c r="C17" s="59">
        <v>24705</v>
      </c>
      <c r="D17" s="59">
        <v>17592</v>
      </c>
      <c r="E17" s="59">
        <v>2400</v>
      </c>
      <c r="F17" s="59">
        <v>2257</v>
      </c>
      <c r="G17" s="60">
        <f>IF(OR(E17="",F17="",C17="",D17=""),"",IF(C17+D17=0,"",(E17*C17+F17*D17)/(C17+D17)))</f>
        <v/>
      </c>
      <c r="H17" s="59">
        <v>2294</v>
      </c>
      <c r="I17" s="60">
        <f>IF(OR(H17="",E17="",C17="",D17=""),"",IF(C17+D17=0,"",(H17*D17+E17*C17)/(C17+D17)))</f>
        <v/>
      </c>
      <c r="J17" s="59">
        <v>2216</v>
      </c>
      <c r="K17" s="61">
        <f>IF(OR(J17="",I17=""),"",J17-I17)</f>
        <v/>
      </c>
      <c r="L17" s="61">
        <f>IF(OR(J17="",G17=""),"",J17-G17)</f>
        <v/>
      </c>
      <c r="M17" s="59"/>
      <c r="N17" s="59"/>
      <c r="O17" s="59">
        <v>180</v>
      </c>
      <c r="P17" s="59"/>
      <c r="Q17" s="59"/>
      <c r="R17" s="60">
        <f>IF(AND(P17="",Q17=""),"",N(P17)+N(Q17))</f>
        <v/>
      </c>
      <c r="S17" s="59"/>
      <c r="T17" s="59"/>
      <c r="U17" s="62">
        <f>IF(OR(R17="",S17="",T17=""),"",IF(S17+T17=0,"",R17/(S17+T17)))</f>
        <v/>
      </c>
      <c r="V17" s="63" t="s">
        <v>109</v>
      </c>
      <c r="W17" s="64"/>
      <c r="X17" s="63"/>
    </row>
    <row r="18" spans="2:24">
      <c r="B18" s="58">
        <v>46061</v>
      </c>
      <c r="C18" s="59">
        <v>27567</v>
      </c>
      <c r="D18" s="59">
        <v>11699</v>
      </c>
      <c r="E18" s="59">
        <v>1939</v>
      </c>
      <c r="F18" s="59">
        <v>2047</v>
      </c>
      <c r="G18" s="60">
        <f>IF(OR(E18="",F18="",C18="",D18=""),"",IF(C18+D18=0,"",(E18*C18+F18*D18)/(C18+D18)))</f>
        <v/>
      </c>
      <c r="H18" s="59">
        <v>2087</v>
      </c>
      <c r="I18" s="60">
        <f>IF(OR(H18="",E18="",C18="",D18=""),"",IF(C18+D18=0,"",(H18*D18+E18*C18)/(C18+D18)))</f>
        <v/>
      </c>
      <c r="J18" s="59">
        <v>2079</v>
      </c>
      <c r="K18" s="61">
        <f>IF(OR(J18="",I18=""),"",J18-I18)</f>
        <v/>
      </c>
      <c r="L18" s="61">
        <f>IF(OR(J18="",G18=""),"",J18-G18)</f>
        <v/>
      </c>
      <c r="M18" s="59"/>
      <c r="N18" s="59"/>
      <c r="O18" s="59">
        <v>180</v>
      </c>
      <c r="P18" s="59"/>
      <c r="Q18" s="59"/>
      <c r="R18" s="60">
        <f>IF(AND(P18="",Q18=""),"",N(P18)+N(Q18))</f>
        <v/>
      </c>
      <c r="S18" s="59"/>
      <c r="T18" s="59"/>
      <c r="U18" s="62">
        <f>IF(OR(R18="",S18="",T18=""),"",IF(S18+T18=0,"",R18/(S18+T18)))</f>
        <v/>
      </c>
      <c r="V18" s="63" t="s">
        <v>109</v>
      </c>
      <c r="W18" s="64"/>
      <c r="X18" s="63"/>
    </row>
    <row r="19" spans="2:24">
      <c r="B19" s="58">
        <v>46062</v>
      </c>
      <c r="C19" s="59">
        <v>26618</v>
      </c>
      <c r="D19" s="59">
        <v>16728</v>
      </c>
      <c r="E19" s="59">
        <v>1992</v>
      </c>
      <c r="F19" s="59">
        <v>2061</v>
      </c>
      <c r="G19" s="60">
        <f>IF(OR(E19="",F19="",C19="",D19=""),"",IF(C19+D19=0,"",(E19*C19+F19*D19)/(C19+D19)))</f>
        <v/>
      </c>
      <c r="H19" s="59">
        <v>1963</v>
      </c>
      <c r="I19" s="60">
        <f>IF(OR(H19="",E19="",C19="",D19=""),"",IF(C19+D19=0,"",(H19*D19+E19*C19)/(C19+D19)))</f>
        <v/>
      </c>
      <c r="J19" s="59">
        <v>1974</v>
      </c>
      <c r="K19" s="61">
        <f>IF(OR(J19="",I19=""),"",J19-I19)</f>
        <v/>
      </c>
      <c r="L19" s="61">
        <f>IF(OR(J19="",G19=""),"",J19-G19)</f>
        <v/>
      </c>
      <c r="M19" s="59"/>
      <c r="N19" s="59"/>
      <c r="O19" s="59">
        <v>180</v>
      </c>
      <c r="P19" s="59"/>
      <c r="Q19" s="59"/>
      <c r="R19" s="60">
        <f>IF(AND(P19="",Q19=""),"",N(P19)+N(Q19))</f>
        <v/>
      </c>
      <c r="S19" s="59"/>
      <c r="T19" s="59"/>
      <c r="U19" s="62">
        <f>IF(OR(R19="",S19="",T19=""),"",IF(S19+T19=0,"",R19/(S19+T19)))</f>
        <v/>
      </c>
      <c r="V19" s="63" t="s">
        <v>109</v>
      </c>
      <c r="W19" s="64"/>
      <c r="X19" s="63"/>
    </row>
    <row r="20" spans="2:24">
      <c r="B20" s="58">
        <v>46063</v>
      </c>
      <c r="C20" s="59">
        <v>22228</v>
      </c>
      <c r="D20" s="59">
        <v>19354</v>
      </c>
      <c r="E20" s="59">
        <v>2008</v>
      </c>
      <c r="F20" s="59">
        <v>2095</v>
      </c>
      <c r="G20" s="60">
        <f>IF(OR(E20="",F20="",C20="",D20=""),"",IF(C20+D20=0,"",(E20*C20+F20*D20)/(C20+D20)))</f>
        <v/>
      </c>
      <c r="H20" s="59">
        <v>2006</v>
      </c>
      <c r="I20" s="60">
        <f>IF(OR(H20="",E20="",C20="",D20=""),"",IF(C20+D20=0,"",(H20*D20+E20*C20)/(C20+D20)))</f>
        <v/>
      </c>
      <c r="J20" s="59">
        <v>2027</v>
      </c>
      <c r="K20" s="61">
        <f>IF(OR(J20="",I20=""),"",J20-I20)</f>
        <v/>
      </c>
      <c r="L20" s="61">
        <f>IF(OR(J20="",G20=""),"",J20-G20)</f>
        <v/>
      </c>
      <c r="M20" s="59"/>
      <c r="N20" s="59"/>
      <c r="O20" s="59">
        <v>180</v>
      </c>
      <c r="P20" s="59"/>
      <c r="Q20" s="59"/>
      <c r="R20" s="60">
        <f>IF(AND(P20="",Q20=""),"",N(P20)+N(Q20))</f>
        <v/>
      </c>
      <c r="S20" s="59"/>
      <c r="T20" s="59"/>
      <c r="U20" s="62">
        <f>IF(OR(R20="",S20="",T20=""),"",IF(S20+T20=0,"",R20/(S20+T20)))</f>
        <v/>
      </c>
      <c r="V20" s="63" t="s">
        <v>109</v>
      </c>
      <c r="W20" s="64"/>
      <c r="X20" s="63"/>
    </row>
    <row r="21" spans="2:24">
      <c r="B21" s="58">
        <v>46064</v>
      </c>
      <c r="C21" s="59">
        <v>26532</v>
      </c>
      <c r="D21" s="59">
        <v>21792</v>
      </c>
      <c r="E21" s="59">
        <v>2090</v>
      </c>
      <c r="F21" s="59">
        <v>2093</v>
      </c>
      <c r="G21" s="60">
        <f>IF(OR(E21="",F21="",C21="",D21=""),"",IF(C21+D21=0,"",(E21*C21+F21*D21)/(C21+D21)))</f>
        <v/>
      </c>
      <c r="H21" s="59">
        <v>2055</v>
      </c>
      <c r="I21" s="60">
        <f>IF(OR(H21="",E21="",C21="",D21=""),"",IF(C21+D21=0,"",(H21*D21+E21*C21)/(C21+D21)))</f>
        <v/>
      </c>
      <c r="J21" s="59">
        <v>2059</v>
      </c>
      <c r="K21" s="61">
        <f>IF(OR(J21="",I21=""),"",J21-I21)</f>
        <v/>
      </c>
      <c r="L21" s="61">
        <f>IF(OR(J21="",G21=""),"",J21-G21)</f>
        <v/>
      </c>
      <c r="M21" s="59"/>
      <c r="N21" s="59"/>
      <c r="O21" s="59">
        <v>180</v>
      </c>
      <c r="P21" s="59"/>
      <c r="Q21" s="59"/>
      <c r="R21" s="60">
        <f>IF(AND(P21="",Q21=""),"",N(P21)+N(Q21))</f>
        <v/>
      </c>
      <c r="S21" s="59"/>
      <c r="T21" s="59"/>
      <c r="U21" s="62">
        <f>IF(OR(R21="",S21="",T21=""),"",IF(S21+T21=0,"",R21/(S21+T21)))</f>
        <v/>
      </c>
      <c r="V21" s="63" t="s">
        <v>109</v>
      </c>
      <c r="W21" s="64"/>
      <c r="X21" s="63"/>
    </row>
    <row r="22" spans="2:24">
      <c r="B22" s="58">
        <v>46065</v>
      </c>
      <c r="C22" s="59">
        <v>21794</v>
      </c>
      <c r="D22" s="59">
        <v>16888</v>
      </c>
      <c r="E22" s="59">
        <v>2092</v>
      </c>
      <c r="F22" s="59">
        <v>2041</v>
      </c>
      <c r="G22" s="60">
        <f>IF(OR(E22="",F22="",C22="",D22=""),"",IF(C22+D22=0,"",(E22*C22+F22*D22)/(C22+D22)))</f>
        <v/>
      </c>
      <c r="H22" s="59">
        <v>2066</v>
      </c>
      <c r="I22" s="60">
        <f>IF(OR(H22="",E22="",C22="",D22=""),"",IF(C22+D22=0,"",(H22*D22+E22*C22)/(C22+D22)))</f>
        <v/>
      </c>
      <c r="J22" s="59">
        <v>2170</v>
      </c>
      <c r="K22" s="61">
        <f>IF(OR(J22="",I22=""),"",J22-I22)</f>
        <v/>
      </c>
      <c r="L22" s="61">
        <f>IF(OR(J22="",G22=""),"",J22-G22)</f>
        <v/>
      </c>
      <c r="M22" s="59"/>
      <c r="N22" s="59"/>
      <c r="O22" s="59">
        <v>180</v>
      </c>
      <c r="P22" s="59"/>
      <c r="Q22" s="59"/>
      <c r="R22" s="60">
        <f>IF(AND(P22="",Q22=""),"",N(P22)+N(Q22))</f>
        <v/>
      </c>
      <c r="S22" s="59"/>
      <c r="T22" s="59"/>
      <c r="U22" s="62">
        <f>IF(OR(R22="",S22="",T22=""),"",IF(S22+T22=0,"",R22/(S22+T22)))</f>
        <v/>
      </c>
      <c r="V22" s="63" t="s">
        <v>109</v>
      </c>
      <c r="W22" s="64"/>
      <c r="X22" s="63"/>
    </row>
    <row r="23" spans="2:24">
      <c r="B23" s="58">
        <v>46066</v>
      </c>
      <c r="C23" s="59">
        <v>28014</v>
      </c>
      <c r="D23" s="59">
        <v>18831</v>
      </c>
      <c r="E23" s="59">
        <v>2028</v>
      </c>
      <c r="F23" s="59">
        <v>1918</v>
      </c>
      <c r="G23" s="60">
        <f>IF(OR(E23="",F23="",C23="",D23=""),"",IF(C23+D23=0,"",(E23*C23+F23*D23)/(C23+D23)))</f>
        <v/>
      </c>
      <c r="H23" s="59">
        <v>1819</v>
      </c>
      <c r="I23" s="60">
        <f>IF(OR(H23="",E23="",C23="",D23=""),"",IF(C23+D23=0,"",(H23*D23+E23*C23)/(C23+D23)))</f>
        <v/>
      </c>
      <c r="J23" s="59">
        <v>1991</v>
      </c>
      <c r="K23" s="61">
        <f>IF(OR(J23="",I23=""),"",J23-I23)</f>
        <v/>
      </c>
      <c r="L23" s="61">
        <f>IF(OR(J23="",G23=""),"",J23-G23)</f>
        <v/>
      </c>
      <c r="M23" s="59"/>
      <c r="N23" s="59"/>
      <c r="O23" s="59">
        <v>180</v>
      </c>
      <c r="P23" s="59"/>
      <c r="Q23" s="59"/>
      <c r="R23" s="60">
        <f>IF(AND(P23="",Q23=""),"",N(P23)+N(Q23))</f>
        <v/>
      </c>
      <c r="S23" s="59"/>
      <c r="T23" s="59"/>
      <c r="U23" s="62">
        <f>IF(OR(R23="",S23="",T23=""),"",IF(S23+T23=0,"",R23/(S23+T23)))</f>
        <v/>
      </c>
      <c r="V23" s="63" t="s">
        <v>109</v>
      </c>
      <c r="W23" s="64"/>
      <c r="X23" s="63"/>
    </row>
    <row r="24" spans="2:24">
      <c r="B24" s="58">
        <v>46067</v>
      </c>
      <c r="C24" s="59">
        <v>29550</v>
      </c>
      <c r="D24" s="59">
        <v>22533</v>
      </c>
      <c r="E24" s="59">
        <v>2028</v>
      </c>
      <c r="F24" s="59">
        <v>1994</v>
      </c>
      <c r="G24" s="60">
        <f>IF(OR(E24="",F24="",C24="",D24=""),"",IF(C24+D24=0,"",(E24*C24+F24*D24)/(C24+D24)))</f>
        <v/>
      </c>
      <c r="H24" s="59">
        <v>1965</v>
      </c>
      <c r="I24" s="60">
        <f>IF(OR(H24="",E24="",C24="",D24=""),"",IF(C24+D24=0,"",(H24*D24+E24*C24)/(C24+D24)))</f>
        <v/>
      </c>
      <c r="J24" s="59">
        <v>2011</v>
      </c>
      <c r="K24" s="61">
        <f>IF(OR(J24="",I24=""),"",J24-I24)</f>
        <v/>
      </c>
      <c r="L24" s="61">
        <f>IF(OR(J24="",G24=""),"",J24-G24)</f>
        <v/>
      </c>
      <c r="M24" s="59"/>
      <c r="N24" s="59"/>
      <c r="O24" s="59">
        <v>180</v>
      </c>
      <c r="P24" s="59"/>
      <c r="Q24" s="59"/>
      <c r="R24" s="60">
        <f>IF(AND(P24="",Q24=""),"",N(P24)+N(Q24))</f>
        <v/>
      </c>
      <c r="S24" s="59"/>
      <c r="T24" s="59"/>
      <c r="U24" s="62">
        <f>IF(OR(R24="",S24="",T24=""),"",IF(S24+T24=0,"",R24/(S24+T24)))</f>
        <v/>
      </c>
      <c r="V24" s="63" t="s">
        <v>109</v>
      </c>
      <c r="W24" s="64"/>
      <c r="X24" s="63"/>
    </row>
    <row r="25" spans="2:24">
      <c r="B25" s="58">
        <v>46068</v>
      </c>
      <c r="C25" s="59">
        <v>28563</v>
      </c>
      <c r="D25" s="59">
        <v>18051</v>
      </c>
      <c r="E25" s="59">
        <v>1994</v>
      </c>
      <c r="F25" s="59">
        <v>1975</v>
      </c>
      <c r="G25" s="60">
        <f>IF(OR(E25="",F25="",C25="",D25=""),"",IF(C25+D25=0,"",(E25*C25+F25*D25)/(C25+D25)))</f>
        <v/>
      </c>
      <c r="H25" s="59">
        <v>1893</v>
      </c>
      <c r="I25" s="60">
        <f>IF(OR(H25="",E25="",C25="",D25=""),"",IF(C25+D25=0,"",(H25*D25+E25*C25)/(C25+D25)))</f>
        <v/>
      </c>
      <c r="J25" s="59">
        <v>1935</v>
      </c>
      <c r="K25" s="61">
        <f>IF(OR(J25="",I25=""),"",J25-I25)</f>
        <v/>
      </c>
      <c r="L25" s="61">
        <f>IF(OR(J25="",G25=""),"",J25-G25)</f>
        <v/>
      </c>
      <c r="M25" s="59"/>
      <c r="N25" s="59"/>
      <c r="O25" s="59">
        <v>180</v>
      </c>
      <c r="P25" s="59"/>
      <c r="Q25" s="59"/>
      <c r="R25" s="60">
        <f>IF(AND(P25="",Q25=""),"",N(P25)+N(Q25))</f>
        <v/>
      </c>
      <c r="S25" s="59"/>
      <c r="T25" s="59"/>
      <c r="U25" s="62">
        <f>IF(OR(R25="",S25="",T25=""),"",IF(S25+T25=0,"",R25/(S25+T25)))</f>
        <v/>
      </c>
      <c r="V25" s="63" t="s">
        <v>109</v>
      </c>
      <c r="W25" s="64"/>
      <c r="X25" s="63"/>
    </row>
    <row r="26" spans="2:24">
      <c r="B26" s="58">
        <v>46069</v>
      </c>
      <c r="C26" s="59">
        <v>28255</v>
      </c>
      <c r="D26" s="59">
        <v>24032</v>
      </c>
      <c r="E26" s="59">
        <v>1811</v>
      </c>
      <c r="F26" s="59">
        <v>1927</v>
      </c>
      <c r="G26" s="60">
        <f>IF(OR(E26="",F26="",C26="",D26=""),"",IF(C26+D26=0,"",(E26*C26+F26*D26)/(C26+D26)))</f>
        <v/>
      </c>
      <c r="H26" s="59">
        <v>1808</v>
      </c>
      <c r="I26" s="60">
        <f>IF(OR(H26="",E26="",C26="",D26=""),"",IF(C26+D26=0,"",(H26*D26+E26*C26)/(C26+D26)))</f>
        <v/>
      </c>
      <c r="J26" s="59">
        <v>1823</v>
      </c>
      <c r="K26" s="61">
        <f>IF(OR(J26="",I26=""),"",J26-I26)</f>
        <v/>
      </c>
      <c r="L26" s="61">
        <f>IF(OR(J26="",G26=""),"",J26-G26)</f>
        <v/>
      </c>
      <c r="M26" s="59"/>
      <c r="N26" s="59"/>
      <c r="O26" s="59">
        <v>180</v>
      </c>
      <c r="P26" s="59"/>
      <c r="Q26" s="59"/>
      <c r="R26" s="60">
        <f>IF(AND(P26="",Q26=""),"",N(P26)+N(Q26))</f>
        <v/>
      </c>
      <c r="S26" s="59"/>
      <c r="T26" s="59"/>
      <c r="U26" s="62">
        <f>IF(OR(R26="",S26="",T26=""),"",IF(S26+T26=0,"",R26/(S26+T26)))</f>
        <v/>
      </c>
      <c r="V26" s="63" t="s">
        <v>109</v>
      </c>
      <c r="W26" s="64"/>
      <c r="X26" s="63"/>
    </row>
    <row r="27" spans="2:24">
      <c r="B27" s="58">
        <v>46070</v>
      </c>
      <c r="C27" s="59">
        <v>26359</v>
      </c>
      <c r="D27" s="59">
        <v>24645</v>
      </c>
      <c r="E27" s="59">
        <v>1886</v>
      </c>
      <c r="F27" s="59">
        <v>1847</v>
      </c>
      <c r="G27" s="60">
        <f>IF(OR(E27="",F27="",C27="",D27=""),"",IF(C27+D27=0,"",(E27*C27+F27*D27)/(C27+D27)))</f>
        <v/>
      </c>
      <c r="H27" s="59">
        <v>1744</v>
      </c>
      <c r="I27" s="60">
        <f>IF(OR(H27="",E27="",C27="",D27=""),"",IF(C27+D27=0,"",(H27*D27+E27*C27)/(C27+D27)))</f>
        <v/>
      </c>
      <c r="J27" s="59">
        <v>1820</v>
      </c>
      <c r="K27" s="61">
        <f>IF(OR(J27="",I27=""),"",J27-I27)</f>
        <v/>
      </c>
      <c r="L27" s="61">
        <f>IF(OR(J27="",G27=""),"",J27-G27)</f>
        <v/>
      </c>
      <c r="M27" s="59"/>
      <c r="N27" s="59"/>
      <c r="O27" s="59">
        <v>180</v>
      </c>
      <c r="P27" s="59"/>
      <c r="Q27" s="59"/>
      <c r="R27" s="60">
        <f>IF(AND(P27="",Q27=""),"",N(P27)+N(Q27))</f>
        <v/>
      </c>
      <c r="S27" s="59"/>
      <c r="T27" s="59"/>
      <c r="U27" s="62">
        <f>IF(OR(R27="",S27="",T27=""),"",IF(S27+T27=0,"",R27/(S27+T27)))</f>
        <v/>
      </c>
      <c r="V27" s="63" t="s">
        <v>109</v>
      </c>
      <c r="W27" s="64"/>
      <c r="X27" s="63"/>
    </row>
    <row r="28" spans="2:24">
      <c r="B28" s="58">
        <v>46071</v>
      </c>
      <c r="C28" s="59">
        <v>27289</v>
      </c>
      <c r="D28" s="59">
        <v>21855</v>
      </c>
      <c r="E28" s="59">
        <v>1859</v>
      </c>
      <c r="F28" s="59">
        <v>1837</v>
      </c>
      <c r="G28" s="60">
        <f>IF(OR(E28="",F28="",C28="",D28=""),"",IF(C28+D28=0,"",(E28*C28+F28*D28)/(C28+D28)))</f>
        <v/>
      </c>
      <c r="H28" s="59">
        <v>1748</v>
      </c>
      <c r="I28" s="60">
        <f>IF(OR(H28="",E28="",C28="",D28=""),"",IF(C28+D28=0,"",(H28*D28+E28*C28)/(C28+D28)))</f>
        <v/>
      </c>
      <c r="J28" s="59">
        <v>1849</v>
      </c>
      <c r="K28" s="61">
        <f>IF(OR(J28="",I28=""),"",J28-I28)</f>
        <v/>
      </c>
      <c r="L28" s="61">
        <f>IF(OR(J28="",G28=""),"",J28-G28)</f>
        <v/>
      </c>
      <c r="M28" s="59"/>
      <c r="N28" s="59"/>
      <c r="O28" s="59">
        <v>180</v>
      </c>
      <c r="P28" s="59"/>
      <c r="Q28" s="59"/>
      <c r="R28" s="60">
        <f>IF(AND(P28="",Q28=""),"",N(P28)+N(Q28))</f>
        <v/>
      </c>
      <c r="S28" s="59"/>
      <c r="T28" s="59"/>
      <c r="U28" s="62">
        <f>IF(OR(R28="",S28="",T28=""),"",IF(S28+T28=0,"",R28/(S28+T28)))</f>
        <v/>
      </c>
      <c r="V28" s="63" t="s">
        <v>109</v>
      </c>
      <c r="W28" s="64"/>
      <c r="X28" s="63"/>
    </row>
    <row r="29" spans="2:24">
      <c r="B29" s="58">
        <v>46072</v>
      </c>
      <c r="C29" s="59">
        <v>26369</v>
      </c>
      <c r="D29" s="59">
        <v>18680</v>
      </c>
      <c r="E29" s="59">
        <v>1891</v>
      </c>
      <c r="F29" s="59">
        <v>1815</v>
      </c>
      <c r="G29" s="60">
        <f>IF(OR(E29="",F29="",C29="",D29=""),"",IF(C29+D29=0,"",(E29*C29+F29*D29)/(C29+D29)))</f>
        <v/>
      </c>
      <c r="H29" s="59">
        <v>1720</v>
      </c>
      <c r="I29" s="60">
        <f>IF(OR(H29="",E29="",C29="",D29=""),"",IF(C29+D29=0,"",(H29*D29+E29*C29)/(C29+D29)))</f>
        <v/>
      </c>
      <c r="J29" s="59">
        <v>1822</v>
      </c>
      <c r="K29" s="61">
        <f>IF(OR(J29="",I29=""),"",J29-I29)</f>
        <v/>
      </c>
      <c r="L29" s="61">
        <f>IF(OR(J29="",G29=""),"",J29-G29)</f>
        <v/>
      </c>
      <c r="M29" s="59"/>
      <c r="N29" s="59"/>
      <c r="O29" s="59">
        <v>180</v>
      </c>
      <c r="P29" s="59"/>
      <c r="Q29" s="59"/>
      <c r="R29" s="60">
        <f>IF(AND(P29="",Q29=""),"",N(P29)+N(Q29))</f>
        <v/>
      </c>
      <c r="S29" s="59"/>
      <c r="T29" s="59"/>
      <c r="U29" s="62">
        <f>IF(OR(R29="",S29="",T29=""),"",IF(S29+T29=0,"",R29/(S29+T29)))</f>
        <v/>
      </c>
      <c r="V29" s="63" t="s">
        <v>109</v>
      </c>
      <c r="W29" s="64"/>
      <c r="X29" s="63"/>
    </row>
    <row r="30" spans="2:24">
      <c r="B30" s="58">
        <v>46073</v>
      </c>
      <c r="C30" s="59">
        <v>16804</v>
      </c>
      <c r="D30" s="59">
        <v>22230</v>
      </c>
      <c r="E30" s="59">
        <v>2019</v>
      </c>
      <c r="F30" s="59">
        <v>1910</v>
      </c>
      <c r="G30" s="60">
        <f>IF(OR(E30="",F30="",C30="",D30=""),"",IF(C30+D30=0,"",(E30*C30+F30*D30)/(C30+D30)))</f>
        <v/>
      </c>
      <c r="H30" s="59">
        <v>1853</v>
      </c>
      <c r="I30" s="60">
        <f>IF(OR(H30="",E30="",C30="",D30=""),"",IF(C30+D30=0,"",(H30*D30+E30*C30)/(C30+D30)))</f>
        <v/>
      </c>
      <c r="J30" s="59">
        <v>1902</v>
      </c>
      <c r="K30" s="61">
        <f>IF(OR(J30="",I30=""),"",J30-I30)</f>
        <v/>
      </c>
      <c r="L30" s="61">
        <f>IF(OR(J30="",G30=""),"",J30-G30)</f>
        <v/>
      </c>
      <c r="M30" s="59"/>
      <c r="N30" s="59"/>
      <c r="O30" s="59">
        <v>180</v>
      </c>
      <c r="P30" s="59"/>
      <c r="Q30" s="59"/>
      <c r="R30" s="60">
        <f>IF(AND(P30="",Q30=""),"",N(P30)+N(Q30))</f>
        <v/>
      </c>
      <c r="S30" s="59"/>
      <c r="T30" s="59"/>
      <c r="U30" s="62">
        <f>IF(OR(R30="",S30="",T30=""),"",IF(S30+T30=0,"",R30/(S30+T30)))</f>
        <v/>
      </c>
      <c r="V30" s="63" t="s">
        <v>109</v>
      </c>
      <c r="W30" s="64"/>
      <c r="X30" s="63"/>
    </row>
    <row r="31" spans="2:24">
      <c r="B31" s="58">
        <v>46074</v>
      </c>
      <c r="C31" s="59">
        <v>2341</v>
      </c>
      <c r="D31" s="59">
        <v>15874</v>
      </c>
      <c r="E31" s="59">
        <v>1923</v>
      </c>
      <c r="F31" s="59">
        <v>1830</v>
      </c>
      <c r="G31" s="60">
        <f>IF(OR(E31="",F31="",C31="",D31=""),"",IF(C31+D31=0,"",(E31*C31+F31*D31)/(C31+D31)))</f>
        <v/>
      </c>
      <c r="H31" s="59">
        <v>1918</v>
      </c>
      <c r="I31" s="60">
        <f>IF(OR(H31="",E31="",C31="",D31=""),"",IF(C31+D31=0,"",(H31*D31+E31*C31)/(C31+D31)))</f>
        <v/>
      </c>
      <c r="J31" s="59">
        <v>1923</v>
      </c>
      <c r="K31" s="61">
        <f>IF(OR(J31="",I31=""),"",J31-I31)</f>
        <v/>
      </c>
      <c r="L31" s="61">
        <f>IF(OR(J31="",G31=""),"",J31-G31)</f>
        <v/>
      </c>
      <c r="M31" s="59"/>
      <c r="N31" s="59"/>
      <c r="O31" s="59">
        <v>180</v>
      </c>
      <c r="P31" s="59"/>
      <c r="Q31" s="59"/>
      <c r="R31" s="60">
        <f>IF(AND(P31="",Q31=""),"",N(P31)+N(Q31))</f>
        <v/>
      </c>
      <c r="S31" s="59"/>
      <c r="T31" s="59"/>
      <c r="U31" s="62">
        <f>IF(OR(R31="",S31="",T31=""),"",IF(S31+T31=0,"",R31/(S31+T31)))</f>
        <v/>
      </c>
      <c r="V31" s="63" t="s">
        <v>109</v>
      </c>
      <c r="W31" s="64"/>
      <c r="X31" s="63"/>
    </row>
    <row r="32" spans="2:24">
      <c r="B32" s="58">
        <v>46075</v>
      </c>
      <c r="C32" s="59">
        <v>26531</v>
      </c>
      <c r="D32" s="59">
        <v>15385</v>
      </c>
      <c r="E32" s="59">
        <v>1811</v>
      </c>
      <c r="F32" s="59">
        <v>1923</v>
      </c>
      <c r="G32" s="60">
        <f>IF(OR(E32="",F32="",C32="",D32=""),"",IF(C32+D32=0,"",(E32*C32+F32*D32)/(C32+D32)))</f>
        <v/>
      </c>
      <c r="H32" s="59">
        <v>1771</v>
      </c>
      <c r="I32" s="60">
        <f>IF(OR(H32="",E32="",C32="",D32=""),"",IF(C32+D32=0,"",(H32*D32+E32*C32)/(C32+D32)))</f>
        <v/>
      </c>
      <c r="J32" s="59">
        <v>1807</v>
      </c>
      <c r="K32" s="61">
        <f>IF(OR(J32="",I32=""),"",J32-I32)</f>
        <v/>
      </c>
      <c r="L32" s="61">
        <f>IF(OR(J32="",G32=""),"",J32-G32)</f>
        <v/>
      </c>
      <c r="M32" s="59"/>
      <c r="N32" s="59"/>
      <c r="O32" s="59">
        <v>180</v>
      </c>
      <c r="P32" s="59"/>
      <c r="Q32" s="59"/>
      <c r="R32" s="60">
        <f>IF(AND(P32="",Q32=""),"",N(P32)+N(Q32))</f>
        <v/>
      </c>
      <c r="S32" s="59"/>
      <c r="T32" s="59"/>
      <c r="U32" s="62">
        <f>IF(OR(R32="",S32="",T32=""),"",IF(S32+T32=0,"",R32/(S32+T32)))</f>
        <v/>
      </c>
      <c r="V32" s="63" t="s">
        <v>109</v>
      </c>
      <c r="W32" s="64"/>
      <c r="X32" s="63"/>
    </row>
    <row r="33" spans="2:24">
      <c r="B33" s="58">
        <v>46076</v>
      </c>
      <c r="C33" s="59">
        <v>31904</v>
      </c>
      <c r="D33" s="59">
        <v>11490</v>
      </c>
      <c r="E33" s="59">
        <v>1939</v>
      </c>
      <c r="F33" s="59">
        <v>1916</v>
      </c>
      <c r="G33" s="60">
        <f>IF(OR(E33="",F33="",C33="",D33=""),"",IF(C33+D33=0,"",(E33*C33+F33*D33)/(C33+D33)))</f>
        <v/>
      </c>
      <c r="H33" s="59">
        <v>1757</v>
      </c>
      <c r="I33" s="60">
        <f>IF(OR(H33="",E33="",C33="",D33=""),"",IF(C33+D33=0,"",(H33*D33+E33*C33)/(C33+D33)))</f>
        <v/>
      </c>
      <c r="J33" s="59">
        <v>1848</v>
      </c>
      <c r="K33" s="61">
        <f>IF(OR(J33="",I33=""),"",J33-I33)</f>
        <v/>
      </c>
      <c r="L33" s="61">
        <f>IF(OR(J33="",G33=""),"",J33-G33)</f>
        <v/>
      </c>
      <c r="M33" s="59"/>
      <c r="N33" s="59"/>
      <c r="O33" s="59">
        <v>180</v>
      </c>
      <c r="P33" s="59"/>
      <c r="Q33" s="59"/>
      <c r="R33" s="60">
        <f>IF(AND(P33="",Q33=""),"",N(P33)+N(Q33))</f>
        <v/>
      </c>
      <c r="S33" s="59"/>
      <c r="T33" s="59"/>
      <c r="U33" s="62">
        <f>IF(OR(R33="",S33="",T33=""),"",IF(S33+T33=0,"",R33/(S33+T33)))</f>
        <v/>
      </c>
      <c r="V33" s="63" t="s">
        <v>109</v>
      </c>
      <c r="W33" s="64"/>
      <c r="X33" s="63"/>
    </row>
    <row r="34" spans="2:24">
      <c r="B34" s="58">
        <v>46077</v>
      </c>
      <c r="C34" s="59">
        <v>29243</v>
      </c>
      <c r="D34" s="59">
        <v>13007</v>
      </c>
      <c r="E34" s="59">
        <v>1939</v>
      </c>
      <c r="F34" s="59">
        <v>1739</v>
      </c>
      <c r="G34" s="60">
        <f>IF(OR(E34="",F34="",C34="",D34=""),"",IF(C34+D34=0,"",(E34*C34+F34*D34)/(C34+D34)))</f>
        <v/>
      </c>
      <c r="H34" s="59">
        <v>1698</v>
      </c>
      <c r="I34" s="60">
        <f>IF(OR(H34="",E34="",C34="",D34=""),"",IF(C34+D34=0,"",(H34*D34+E34*C34)/(C34+D34)))</f>
        <v/>
      </c>
      <c r="J34" s="59">
        <v>1906</v>
      </c>
      <c r="K34" s="61">
        <f>IF(OR(J34="",I34=""),"",J34-I34)</f>
        <v/>
      </c>
      <c r="L34" s="61">
        <f>IF(OR(J34="",G34=""),"",J34-G34)</f>
        <v/>
      </c>
      <c r="M34" s="59"/>
      <c r="N34" s="59"/>
      <c r="O34" s="59">
        <v>180</v>
      </c>
      <c r="P34" s="59"/>
      <c r="Q34" s="59"/>
      <c r="R34" s="60">
        <f>IF(AND(P34="",Q34=""),"",N(P34)+N(Q34))</f>
        <v/>
      </c>
      <c r="S34" s="59"/>
      <c r="T34" s="59"/>
      <c r="U34" s="62">
        <f>IF(OR(R34="",S34="",T34=""),"",IF(S34+T34=0,"",R34/(S34+T34)))</f>
        <v/>
      </c>
      <c r="V34" s="63" t="s">
        <v>109</v>
      </c>
      <c r="W34" s="64"/>
      <c r="X34" s="63"/>
    </row>
    <row r="35" spans="2:24">
      <c r="B35" s="58">
        <v>46078</v>
      </c>
      <c r="C35" s="59">
        <v>27054</v>
      </c>
      <c r="D35" s="59">
        <v>11562</v>
      </c>
      <c r="E35" s="59">
        <v>1916</v>
      </c>
      <c r="F35" s="59">
        <v>1795</v>
      </c>
      <c r="G35" s="60">
        <f>IF(OR(E35="",F35="",C35="",D35=""),"",IF(C35+D35=0,"",(E35*C35+F35*D35)/(C35+D35)))</f>
        <v/>
      </c>
      <c r="H35" s="59">
        <v>1679</v>
      </c>
      <c r="I35" s="60">
        <f>IF(OR(H35="",E35="",C35="",D35=""),"",IF(C35+D35=0,"",(H35*D35+E35*C35)/(C35+D35)))</f>
        <v/>
      </c>
      <c r="J35" s="59">
        <v>1837</v>
      </c>
      <c r="K35" s="61">
        <f>IF(OR(J35="",I35=""),"",J35-I35)</f>
        <v/>
      </c>
      <c r="L35" s="61">
        <f>IF(OR(J35="",G35=""),"",J35-G35)</f>
        <v/>
      </c>
      <c r="M35" s="59"/>
      <c r="N35" s="59"/>
      <c r="O35" s="59">
        <v>180</v>
      </c>
      <c r="P35" s="59"/>
      <c r="Q35" s="59"/>
      <c r="R35" s="60">
        <f>IF(AND(P35="",Q35=""),"",N(P35)+N(Q35))</f>
        <v/>
      </c>
      <c r="S35" s="59"/>
      <c r="T35" s="59"/>
      <c r="U35" s="62">
        <f>IF(OR(R35="",S35="",T35=""),"",IF(S35+T35=0,"",R35/(S35+T35)))</f>
        <v/>
      </c>
      <c r="V35" s="63" t="s">
        <v>109</v>
      </c>
      <c r="W35" s="64"/>
      <c r="X35" s="63"/>
    </row>
    <row r="36" spans="2:24">
      <c r="B36" s="58">
        <v>46079</v>
      </c>
      <c r="C36" s="59">
        <v>25579</v>
      </c>
      <c r="D36" s="59">
        <v>13208</v>
      </c>
      <c r="E36" s="59">
        <v>1883</v>
      </c>
      <c r="F36" s="59">
        <v>1893</v>
      </c>
      <c r="G36" s="60">
        <f>IF(OR(E36="",F36="",C36="",D36=""),"",IF(C36+D36=0,"",(E36*C36+F36*D36)/(C36+D36)))</f>
        <v/>
      </c>
      <c r="H36" s="59">
        <v>1691</v>
      </c>
      <c r="I36" s="60">
        <f>IF(OR(H36="",E36="",C36="",D36=""),"",IF(C36+D36=0,"",(H36*D36+E36*C36)/(C36+D36)))</f>
        <v/>
      </c>
      <c r="J36" s="59">
        <v>1875</v>
      </c>
      <c r="K36" s="61">
        <f>IF(OR(J36="",I36=""),"",J36-I36)</f>
        <v/>
      </c>
      <c r="L36" s="61">
        <f>IF(OR(J36="",G36=""),"",J36-G36)</f>
        <v/>
      </c>
      <c r="M36" s="59"/>
      <c r="N36" s="59"/>
      <c r="O36" s="59">
        <v>180</v>
      </c>
      <c r="P36" s="59"/>
      <c r="Q36" s="59"/>
      <c r="R36" s="60">
        <f>IF(AND(P36="",Q36=""),"",N(P36)+N(Q36))</f>
        <v/>
      </c>
      <c r="S36" s="59"/>
      <c r="T36" s="59"/>
      <c r="U36" s="62">
        <f>IF(OR(R36="",S36="",T36=""),"",IF(S36+T36=0,"",R36/(S36+T36)))</f>
        <v/>
      </c>
      <c r="V36" s="63" t="s">
        <v>109</v>
      </c>
      <c r="W36" s="64"/>
      <c r="X36" s="63"/>
    </row>
    <row r="37" spans="2:24">
      <c r="B37" s="58">
        <v>46080</v>
      </c>
      <c r="C37" s="59">
        <v>27824</v>
      </c>
      <c r="D37" s="59">
        <v>10504</v>
      </c>
      <c r="E37" s="59">
        <v>1891</v>
      </c>
      <c r="F37" s="59">
        <v>1916</v>
      </c>
      <c r="G37" s="60">
        <f>IF(OR(E37="",F37="",C37="",D37=""),"",IF(C37+D37=0,"",(E37*C37+F37*D37)/(C37+D37)))</f>
        <v/>
      </c>
      <c r="H37" s="59">
        <v>1779</v>
      </c>
      <c r="I37" s="60">
        <f>IF(OR(H37="",E37="",C37="",D37=""),"",IF(C37+D37=0,"",(H37*D37+E37*C37)/(C37+D37)))</f>
        <v/>
      </c>
      <c r="J37" s="59">
        <v>1780</v>
      </c>
      <c r="K37" s="61">
        <f>IF(OR(J37="",I37=""),"",J37-I37)</f>
        <v/>
      </c>
      <c r="L37" s="61">
        <f>IF(OR(J37="",G37=""),"",J37-G37)</f>
        <v/>
      </c>
      <c r="M37" s="59"/>
      <c r="N37" s="59"/>
      <c r="O37" s="59">
        <v>180</v>
      </c>
      <c r="P37" s="59"/>
      <c r="Q37" s="59"/>
      <c r="R37" s="60">
        <f>IF(AND(P37="",Q37=""),"",N(P37)+N(Q37))</f>
        <v/>
      </c>
      <c r="S37" s="59"/>
      <c r="T37" s="59"/>
      <c r="U37" s="62">
        <f>IF(OR(R37="",S37="",T37=""),"",IF(S37+T37=0,"",R37/(S37+T37)))</f>
        <v/>
      </c>
      <c r="V37" s="63" t="s">
        <v>109</v>
      </c>
      <c r="W37" s="64"/>
      <c r="X37" s="63"/>
    </row>
    <row r="38" spans="2:24">
      <c r="B38" s="58">
        <v>46081</v>
      </c>
      <c r="C38" s="59">
        <v>29160</v>
      </c>
      <c r="D38" s="59">
        <v>12450</v>
      </c>
      <c r="E38" s="59">
        <v>1862</v>
      </c>
      <c r="F38" s="59">
        <v>1820</v>
      </c>
      <c r="G38" s="60">
        <f>IF(OR(E38="",F38="",C38="",D38=""),"",IF(C38+D38=0,"",(E38*C38+F38*D38)/(C38+D38)))</f>
        <v/>
      </c>
      <c r="H38" s="59">
        <v>1827</v>
      </c>
      <c r="I38" s="60">
        <f>IF(OR(H38="",E38="",C38="",D38=""),"",IF(C38+D38=0,"",(H38*D38+E38*C38)/(C38+D38)))</f>
        <v/>
      </c>
      <c r="J38" s="59">
        <v>1921</v>
      </c>
      <c r="K38" s="61">
        <f>IF(OR(J38="",I38=""),"",J38-I38)</f>
        <v/>
      </c>
      <c r="L38" s="61">
        <f>IF(OR(J38="",G38=""),"",J38-G38)</f>
        <v/>
      </c>
      <c r="M38" s="59"/>
      <c r="N38" s="59"/>
      <c r="O38" s="59">
        <v>180</v>
      </c>
      <c r="P38" s="59"/>
      <c r="Q38" s="59"/>
      <c r="R38" s="60">
        <f>IF(AND(P38="",Q38=""),"",N(P38)+N(Q38))</f>
        <v/>
      </c>
      <c r="S38" s="59"/>
      <c r="T38" s="59"/>
      <c r="U38" s="62">
        <f>IF(OR(R38="",S38="",T38=""),"",IF(S38+T38=0,"",R38/(S38+T38)))</f>
        <v/>
      </c>
      <c r="V38" s="63" t="s">
        <v>109</v>
      </c>
      <c r="W38" s="64"/>
      <c r="X38" s="63"/>
    </row>
    <row r="39" spans="2:24">
      <c r="B39" s="58">
        <v>46082</v>
      </c>
      <c r="C39" s="59">
        <v>27048</v>
      </c>
      <c r="D39" s="59">
        <v>21497</v>
      </c>
      <c r="E39" s="59">
        <v>1996</v>
      </c>
      <c r="F39" s="59">
        <v>1877</v>
      </c>
      <c r="G39" s="60">
        <f>IF(OR(E39="",F39="",C39="",D39=""),"",IF(C39+D39=0,"",(E39*C39+F39*D39)/(C39+D39)))</f>
        <v/>
      </c>
      <c r="H39" s="59">
        <v>1769</v>
      </c>
      <c r="I39" s="60">
        <f>IF(OR(H39="",E39="",C39="",D39=""),"",IF(C39+D39=0,"",(H39*D39+E39*C39)/(C39+D39)))</f>
        <v/>
      </c>
      <c r="J39" s="59">
        <v>2028</v>
      </c>
      <c r="K39" s="61">
        <f>IF(OR(J39="",I39=""),"",J39-I39)</f>
        <v/>
      </c>
      <c r="L39" s="61">
        <f>IF(OR(J39="",G39=""),"",J39-G39)</f>
        <v/>
      </c>
      <c r="M39" s="59"/>
      <c r="N39" s="59"/>
      <c r="O39" s="59">
        <v>180</v>
      </c>
      <c r="P39" s="59"/>
      <c r="Q39" s="59"/>
      <c r="R39" s="60">
        <f>IF(AND(P39="",Q39=""),"",N(P39)+N(Q39))</f>
        <v/>
      </c>
      <c r="S39" s="59"/>
      <c r="T39" s="59"/>
      <c r="U39" s="62">
        <f>IF(OR(R39="",S39="",T39=""),"",IF(S39+T39=0,"",R39/(S39+T39)))</f>
        <v/>
      </c>
      <c r="V39" s="63" t="s">
        <v>109</v>
      </c>
      <c r="W39" s="64"/>
      <c r="X39" s="63"/>
    </row>
    <row r="40" spans="2:24">
      <c r="B40" s="58">
        <v>46083</v>
      </c>
      <c r="C40" s="59">
        <v>29151</v>
      </c>
      <c r="D40" s="59">
        <v>18654</v>
      </c>
      <c r="E40" s="59">
        <v>2002</v>
      </c>
      <c r="F40" s="59">
        <v>1922</v>
      </c>
      <c r="G40" s="60">
        <f>IF(OR(E40="",F40="",C40="",D40=""),"",IF(C40+D40=0,"",(E40*C40+F40*D40)/(C40+D40)))</f>
        <v/>
      </c>
      <c r="H40" s="59">
        <v>1950</v>
      </c>
      <c r="I40" s="60">
        <f>IF(OR(H40="",E40="",C40="",D40=""),"",IF(C40+D40=0,"",(H40*D40+E40*C40)/(C40+D40)))</f>
        <v/>
      </c>
      <c r="J40" s="59">
        <v>2068</v>
      </c>
      <c r="K40" s="61">
        <f>IF(OR(J40="",I40=""),"",J40-I40)</f>
        <v/>
      </c>
      <c r="L40" s="61">
        <f>IF(OR(J40="",G40=""),"",J40-G40)</f>
        <v/>
      </c>
      <c r="M40" s="59"/>
      <c r="N40" s="59"/>
      <c r="O40" s="59">
        <v>180</v>
      </c>
      <c r="P40" s="59"/>
      <c r="Q40" s="59"/>
      <c r="R40" s="60">
        <f>IF(AND(P40="",Q40=""),"",N(P40)+N(Q40))</f>
        <v/>
      </c>
      <c r="S40" s="59"/>
      <c r="T40" s="59"/>
      <c r="U40" s="62">
        <f>IF(OR(R40="",S40="",T40=""),"",IF(S40+T40=0,"",R40/(S40+T40)))</f>
        <v/>
      </c>
      <c r="V40" s="63" t="s">
        <v>109</v>
      </c>
      <c r="W40" s="64"/>
      <c r="X40" s="63"/>
    </row>
    <row r="41" spans="2:24">
      <c r="B41" s="58">
        <v>46084</v>
      </c>
      <c r="C41" s="59">
        <v>30256</v>
      </c>
      <c r="D41" s="59">
        <v>15814</v>
      </c>
      <c r="E41" s="59">
        <v>1862</v>
      </c>
      <c r="F41" s="59">
        <v>2014</v>
      </c>
      <c r="G41" s="60">
        <f>IF(OR(E41="",F41="",C41="",D41=""),"",IF(C41+D41=0,"",(E41*C41+F41*D41)/(C41+D41)))</f>
        <v/>
      </c>
      <c r="H41" s="59">
        <v>1799</v>
      </c>
      <c r="I41" s="60">
        <f>IF(OR(H41="",E41="",C41="",D41=""),"",IF(C41+D41=0,"",(H41*D41+E41*C41)/(C41+D41)))</f>
        <v/>
      </c>
      <c r="J41" s="59">
        <v>1915</v>
      </c>
      <c r="K41" s="61">
        <f>IF(OR(J41="",I41=""),"",J41-I41)</f>
        <v/>
      </c>
      <c r="L41" s="61">
        <f>IF(OR(J41="",G41=""),"",J41-G41)</f>
        <v/>
      </c>
      <c r="M41" s="59"/>
      <c r="N41" s="59"/>
      <c r="O41" s="59">
        <v>180</v>
      </c>
      <c r="P41" s="59"/>
      <c r="Q41" s="59"/>
      <c r="R41" s="60">
        <f>IF(AND(P41="",Q41=""),"",N(P41)+N(Q41))</f>
        <v/>
      </c>
      <c r="S41" s="59"/>
      <c r="T41" s="59"/>
      <c r="U41" s="62">
        <f>IF(OR(R41="",S41="",T41=""),"",IF(S41+T41=0,"",R41/(S41+T41)))</f>
        <v/>
      </c>
      <c r="V41" s="63" t="s">
        <v>109</v>
      </c>
      <c r="W41" s="64"/>
      <c r="X41" s="63"/>
    </row>
    <row r="42" spans="2:24">
      <c r="B42" s="58">
        <v>46085</v>
      </c>
      <c r="C42" s="59">
        <v>29547</v>
      </c>
      <c r="D42" s="59">
        <v>17276</v>
      </c>
      <c r="E42" s="59">
        <v>1750</v>
      </c>
      <c r="F42" s="59">
        <v>2054</v>
      </c>
      <c r="G42" s="60">
        <f>IF(OR(E42="",F42="",C42="",D42=""),"",IF(C42+D42=0,"",(E42*C42+F42*D42)/(C42+D42)))</f>
        <v/>
      </c>
      <c r="H42" s="59">
        <v>1982</v>
      </c>
      <c r="I42" s="60">
        <f>IF(OR(H42="",E42="",C42="",D42=""),"",IF(C42+D42=0,"",(H42*D42+E42*C42)/(C42+D42)))</f>
        <v/>
      </c>
      <c r="J42" s="59">
        <v>1958</v>
      </c>
      <c r="K42" s="61">
        <f>IF(OR(J42="",I42=""),"",J42-I42)</f>
        <v/>
      </c>
      <c r="L42" s="61">
        <f>IF(OR(J42="",G42=""),"",J42-G42)</f>
        <v/>
      </c>
      <c r="M42" s="59"/>
      <c r="N42" s="59"/>
      <c r="O42" s="59">
        <v>180</v>
      </c>
      <c r="P42" s="59"/>
      <c r="Q42" s="59"/>
      <c r="R42" s="60">
        <f>IF(AND(P42="",Q42=""),"",N(P42)+N(Q42))</f>
        <v/>
      </c>
      <c r="S42" s="59"/>
      <c r="T42" s="59"/>
      <c r="U42" s="62">
        <f>IF(OR(R42="",S42="",T42=""),"",IF(S42+T42=0,"",R42/(S42+T42)))</f>
        <v/>
      </c>
      <c r="V42" s="63" t="s">
        <v>109</v>
      </c>
      <c r="W42" s="64"/>
      <c r="X42" s="63"/>
    </row>
    <row r="43" spans="2:24">
      <c r="B43" s="58">
        <v>46086</v>
      </c>
      <c r="C43" s="59">
        <v>22189</v>
      </c>
      <c r="D43" s="59">
        <v>20815</v>
      </c>
      <c r="E43" s="59">
        <v>1847</v>
      </c>
      <c r="F43" s="59">
        <v>1813</v>
      </c>
      <c r="G43" s="60">
        <f>IF(OR(E43="",F43="",C43="",D43=""),"",IF(C43+D43=0,"",(E43*C43+F43*D43)/(C43+D43)))</f>
        <v/>
      </c>
      <c r="H43" s="59">
        <v>1703</v>
      </c>
      <c r="I43" s="60">
        <f>IF(OR(H43="",E43="",C43="",D43=""),"",IF(C43+D43=0,"",(H43*D43+E43*C43)/(C43+D43)))</f>
        <v/>
      </c>
      <c r="J43" s="59">
        <v>1990</v>
      </c>
      <c r="K43" s="61">
        <f>IF(OR(J43="",I43=""),"",J43-I43)</f>
        <v/>
      </c>
      <c r="L43" s="61">
        <f>IF(OR(J43="",G43=""),"",J43-G43)</f>
        <v/>
      </c>
      <c r="M43" s="59"/>
      <c r="N43" s="59"/>
      <c r="O43" s="59">
        <v>180</v>
      </c>
      <c r="P43" s="59"/>
      <c r="Q43" s="59"/>
      <c r="R43" s="60">
        <f>IF(AND(P43="",Q43=""),"",N(P43)+N(Q43))</f>
        <v/>
      </c>
      <c r="S43" s="59"/>
      <c r="T43" s="59"/>
      <c r="U43" s="62">
        <f>IF(OR(R43="",S43="",T43=""),"",IF(S43+T43=0,"",R43/(S43+T43)))</f>
        <v/>
      </c>
      <c r="V43" s="63" t="s">
        <v>109</v>
      </c>
      <c r="W43" s="64"/>
      <c r="X43" s="63"/>
    </row>
    <row r="44" spans="2:24">
      <c r="B44" s="58">
        <v>46087</v>
      </c>
      <c r="C44" s="59">
        <v>26062</v>
      </c>
      <c r="D44" s="59">
        <v>16591</v>
      </c>
      <c r="E44" s="59">
        <v>1962</v>
      </c>
      <c r="F44" s="59">
        <v>2005</v>
      </c>
      <c r="G44" s="60">
        <f>IF(OR(E44="",F44="",C44="",D44=""),"",IF(C44+D44=0,"",(E44*C44+F44*D44)/(C44+D44)))</f>
        <v/>
      </c>
      <c r="H44" s="59">
        <v>1979</v>
      </c>
      <c r="I44" s="60">
        <f>IF(OR(H44="",E44="",C44="",D44=""),"",IF(C44+D44=0,"",(H44*D44+E44*C44)/(C44+D44)))</f>
        <v/>
      </c>
      <c r="J44" s="59">
        <v>2173</v>
      </c>
      <c r="K44" s="61">
        <f>IF(OR(J44="",I44=""),"",J44-I44)</f>
        <v/>
      </c>
      <c r="L44" s="61">
        <f>IF(OR(J44="",G44=""),"",J44-G44)</f>
        <v/>
      </c>
      <c r="M44" s="59"/>
      <c r="N44" s="59"/>
      <c r="O44" s="59">
        <v>180</v>
      </c>
      <c r="P44" s="59"/>
      <c r="Q44" s="59"/>
      <c r="R44" s="60">
        <f>IF(AND(P44="",Q44=""),"",N(P44)+N(Q44))</f>
        <v/>
      </c>
      <c r="S44" s="59"/>
      <c r="T44" s="59"/>
      <c r="U44" s="62">
        <f>IF(OR(R44="",S44="",T44=""),"",IF(S44+T44=0,"",R44/(S44+T44)))</f>
        <v/>
      </c>
      <c r="V44" s="63" t="s">
        <v>109</v>
      </c>
      <c r="W44" s="64"/>
      <c r="X44" s="63"/>
    </row>
    <row r="45" spans="2:24">
      <c r="B45" s="58">
        <v>46088</v>
      </c>
      <c r="C45" s="59">
        <v>31615</v>
      </c>
      <c r="D45" s="59">
        <v>18426</v>
      </c>
      <c r="E45" s="59">
        <v>1828</v>
      </c>
      <c r="F45" s="59">
        <v>1773</v>
      </c>
      <c r="G45" s="60">
        <f>IF(OR(E45="",F45="",C45="",D45=""),"",IF(C45+D45=0,"",(E45*C45+F45*D45)/(C45+D45)))</f>
        <v/>
      </c>
      <c r="H45" s="59">
        <v>1699</v>
      </c>
      <c r="I45" s="60">
        <f>IF(OR(H45="",E45="",C45="",D45=""),"",IF(C45+D45=0,"",(H45*D45+E45*C45)/(C45+D45)))</f>
        <v/>
      </c>
      <c r="J45" s="59">
        <v>2035</v>
      </c>
      <c r="K45" s="61">
        <f>IF(OR(J45="",I45=""),"",J45-I45)</f>
        <v/>
      </c>
      <c r="L45" s="61">
        <f>IF(OR(J45="",G45=""),"",J45-G45)</f>
        <v/>
      </c>
      <c r="M45" s="59"/>
      <c r="N45" s="59"/>
      <c r="O45" s="59">
        <v>180</v>
      </c>
      <c r="P45" s="59"/>
      <c r="Q45" s="59"/>
      <c r="R45" s="60">
        <f>IF(AND(P45="",Q45=""),"",N(P45)+N(Q45))</f>
        <v/>
      </c>
      <c r="S45" s="59"/>
      <c r="T45" s="59"/>
      <c r="U45" s="62">
        <f>IF(OR(R45="",S45="",T45=""),"",IF(S45+T45=0,"",R45/(S45+T45)))</f>
        <v/>
      </c>
      <c r="V45" s="63" t="s">
        <v>109</v>
      </c>
      <c r="W45" s="64"/>
      <c r="X45" s="63"/>
    </row>
    <row r="46" spans="2:24">
      <c r="B46" s="58">
        <v>46089</v>
      </c>
      <c r="C46" s="59">
        <v>30206</v>
      </c>
      <c r="D46" s="59">
        <v>15807</v>
      </c>
      <c r="E46" s="59">
        <v>1833</v>
      </c>
      <c r="F46" s="59">
        <v>1655</v>
      </c>
      <c r="G46" s="60">
        <f>IF(OR(E46="",F46="",C46="",D46=""),"",IF(C46+D46=0,"",(E46*C46+F46*D46)/(C46+D46)))</f>
        <v/>
      </c>
      <c r="H46" s="59">
        <v>1600</v>
      </c>
      <c r="I46" s="60">
        <f>IF(OR(H46="",E46="",C46="",D46=""),"",IF(C46+D46=0,"",(H46*D46+E46*C46)/(C46+D46)))</f>
        <v/>
      </c>
      <c r="J46" s="59">
        <v>1965</v>
      </c>
      <c r="K46" s="61">
        <f>IF(OR(J46="",I46=""),"",J46-I46)</f>
        <v/>
      </c>
      <c r="L46" s="61">
        <f>IF(OR(J46="",G46=""),"",J46-G46)</f>
        <v/>
      </c>
      <c r="M46" s="59"/>
      <c r="N46" s="59"/>
      <c r="O46" s="59">
        <v>180</v>
      </c>
      <c r="P46" s="59"/>
      <c r="Q46" s="59"/>
      <c r="R46" s="60">
        <f>IF(AND(P46="",Q46=""),"",N(P46)+N(Q46))</f>
        <v/>
      </c>
      <c r="S46" s="59"/>
      <c r="T46" s="59"/>
      <c r="U46" s="62">
        <f>IF(OR(R46="",S46="",T46=""),"",IF(S46+T46=0,"",R46/(S46+T46)))</f>
        <v/>
      </c>
      <c r="V46" s="63" t="s">
        <v>109</v>
      </c>
      <c r="W46" s="64"/>
      <c r="X46" s="63"/>
    </row>
    <row r="47" spans="2:24">
      <c r="B47" s="58">
        <v>46090</v>
      </c>
      <c r="C47" s="59">
        <v>28491</v>
      </c>
      <c r="D47" s="59">
        <v>16000</v>
      </c>
      <c r="E47" s="59">
        <v>1983</v>
      </c>
      <c r="F47" s="59">
        <v>1676</v>
      </c>
      <c r="G47" s="60">
        <f>IF(OR(E47="",F47="",C47="",D47=""),"",IF(C47+D47=0,"",(E47*C47+F47*D47)/(C47+D47)))</f>
        <v/>
      </c>
      <c r="H47" s="59">
        <v>1737</v>
      </c>
      <c r="I47" s="60">
        <f>IF(OR(H47="",E47="",C47="",D47=""),"",IF(C47+D47=0,"",(H47*D47+E47*C47)/(C47+D47)))</f>
        <v/>
      </c>
      <c r="J47" s="59">
        <v>2146</v>
      </c>
      <c r="K47" s="61">
        <f>IF(OR(J47="",I47=""),"",J47-I47)</f>
        <v/>
      </c>
      <c r="L47" s="61">
        <f>IF(OR(J47="",G47=""),"",J47-G47)</f>
        <v/>
      </c>
      <c r="M47" s="59"/>
      <c r="N47" s="59"/>
      <c r="O47" s="59">
        <v>180</v>
      </c>
      <c r="P47" s="59"/>
      <c r="Q47" s="59"/>
      <c r="R47" s="60">
        <f>IF(AND(P47="",Q47=""),"",N(P47)+N(Q47))</f>
        <v/>
      </c>
      <c r="S47" s="59"/>
      <c r="T47" s="59"/>
      <c r="U47" s="62">
        <f>IF(OR(R47="",S47="",T47=""),"",IF(S47+T47=0,"",R47/(S47+T47)))</f>
        <v/>
      </c>
      <c r="V47" s="63" t="s">
        <v>109</v>
      </c>
      <c r="W47" s="64"/>
      <c r="X47" s="63"/>
    </row>
    <row r="48" spans="2:24">
      <c r="B48" s="58">
        <v>46091</v>
      </c>
      <c r="C48" s="59">
        <v>22899</v>
      </c>
      <c r="D48" s="59">
        <v>12824</v>
      </c>
      <c r="E48" s="59">
        <v>1965</v>
      </c>
      <c r="F48" s="59">
        <v>1678</v>
      </c>
      <c r="G48" s="60">
        <f>IF(OR(E48="",F48="",C48="",D48=""),"",IF(C48+D48=0,"",(E48*C48+F48*D48)/(C48+D48)))</f>
        <v/>
      </c>
      <c r="H48" s="59">
        <v>1837</v>
      </c>
      <c r="I48" s="60">
        <f>IF(OR(H48="",E48="",C48="",D48=""),"",IF(C48+D48=0,"",(H48*D48+E48*C48)/(C48+D48)))</f>
        <v/>
      </c>
      <c r="J48" s="59">
        <v>2215</v>
      </c>
      <c r="K48" s="61">
        <f>IF(OR(J48="",I48=""),"",J48-I48)</f>
        <v/>
      </c>
      <c r="L48" s="61">
        <f>IF(OR(J48="",G48=""),"",J48-G48)</f>
        <v/>
      </c>
      <c r="M48" s="59"/>
      <c r="N48" s="59"/>
      <c r="O48" s="59">
        <v>180</v>
      </c>
      <c r="P48" s="59"/>
      <c r="Q48" s="59"/>
      <c r="R48" s="60">
        <f>IF(AND(P48="",Q48=""),"",N(P48)+N(Q48))</f>
        <v/>
      </c>
      <c r="S48" s="59"/>
      <c r="T48" s="59"/>
      <c r="U48" s="62">
        <f>IF(OR(R48="",S48="",T48=""),"",IF(S48+T48=0,"",R48/(S48+T48)))</f>
        <v/>
      </c>
      <c r="V48" s="63" t="s">
        <v>109</v>
      </c>
      <c r="W48" s="64"/>
      <c r="X48" s="63"/>
    </row>
    <row r="49" spans="2:24">
      <c r="B49" s="58">
        <v>46092</v>
      </c>
      <c r="C49" s="59">
        <v>27842</v>
      </c>
      <c r="D49" s="59">
        <v>12206</v>
      </c>
      <c r="E49" s="59">
        <v>1877</v>
      </c>
      <c r="F49" s="59">
        <v>1722</v>
      </c>
      <c r="G49" s="60">
        <f>IF(OR(E49="",F49="",C49="",D49=""),"",IF(C49+D49=0,"",(E49*C49+F49*D49)/(C49+D49)))</f>
        <v/>
      </c>
      <c r="H49" s="59">
        <v>1811</v>
      </c>
      <c r="I49" s="60">
        <f>IF(OR(H49="",E49="",C49="",D49=""),"",IF(C49+D49=0,"",(H49*D49+E49*C49)/(C49+D49)))</f>
        <v/>
      </c>
      <c r="J49" s="59">
        <v>2215</v>
      </c>
      <c r="K49" s="61">
        <f>IF(OR(J49="",I49=""),"",J49-I49)</f>
        <v/>
      </c>
      <c r="L49" s="61">
        <f>IF(OR(J49="",G49=""),"",J49-G49)</f>
        <v/>
      </c>
      <c r="M49" s="59"/>
      <c r="N49" s="59"/>
      <c r="O49" s="59">
        <v>180</v>
      </c>
      <c r="P49" s="59"/>
      <c r="Q49" s="59"/>
      <c r="R49" s="60">
        <f>IF(AND(P49="",Q49=""),"",N(P49)+N(Q49))</f>
        <v/>
      </c>
      <c r="S49" s="59"/>
      <c r="T49" s="59"/>
      <c r="U49" s="62">
        <f>IF(OR(R49="",S49="",T49=""),"",IF(S49+T49=0,"",R49/(S49+T49)))</f>
        <v/>
      </c>
      <c r="V49" s="63" t="s">
        <v>109</v>
      </c>
      <c r="W49" s="64"/>
      <c r="X49" s="63"/>
    </row>
    <row r="50" spans="2:24">
      <c r="B50" s="58">
        <v>46093</v>
      </c>
      <c r="C50" s="59">
        <v>32408</v>
      </c>
      <c r="D50" s="59">
        <v>11415</v>
      </c>
      <c r="E50" s="59">
        <v>1913</v>
      </c>
      <c r="F50" s="59">
        <v>1622</v>
      </c>
      <c r="G50" s="60">
        <f>IF(OR(E50="",F50="",C50="",D50=""),"",IF(C50+D50=0,"",(E50*C50+F50*D50)/(C50+D50)))</f>
        <v/>
      </c>
      <c r="H50" s="59">
        <v>1812</v>
      </c>
      <c r="I50" s="60">
        <f>IF(OR(H50="",E50="",C50="",D50=""),"",IF(C50+D50=0,"",(H50*D50+E50*C50)/(C50+D50)))</f>
        <v/>
      </c>
      <c r="J50" s="59">
        <v>2131</v>
      </c>
      <c r="K50" s="61">
        <f>IF(OR(J50="",I50=""),"",J50-I50)</f>
        <v/>
      </c>
      <c r="L50" s="61">
        <f>IF(OR(J50="",G50=""),"",J50-G50)</f>
        <v/>
      </c>
      <c r="M50" s="59"/>
      <c r="N50" s="59"/>
      <c r="O50" s="59">
        <v>180</v>
      </c>
      <c r="P50" s="59"/>
      <c r="Q50" s="59"/>
      <c r="R50" s="60">
        <f>IF(AND(P50="",Q50=""),"",N(P50)+N(Q50))</f>
        <v/>
      </c>
      <c r="S50" s="59"/>
      <c r="T50" s="59"/>
      <c r="U50" s="62">
        <f>IF(OR(R50="",S50="",T50=""),"",IF(S50+T50=0,"",R50/(S50+T50)))</f>
        <v/>
      </c>
      <c r="V50" s="63" t="s">
        <v>109</v>
      </c>
      <c r="W50" s="64"/>
      <c r="X50" s="63"/>
    </row>
    <row r="51" spans="2:24">
      <c r="B51" s="58">
        <v>46094</v>
      </c>
      <c r="C51" s="59">
        <v>31183</v>
      </c>
      <c r="D51" s="59">
        <v>3910</v>
      </c>
      <c r="E51" s="59">
        <v>1928</v>
      </c>
      <c r="F51" s="59">
        <v>2035</v>
      </c>
      <c r="G51" s="60">
        <f>IF(OR(E51="",F51="",C51="",D51=""),"",IF(C51+D51=0,"",(E51*C51+F51*D51)/(C51+D51)))</f>
        <v/>
      </c>
      <c r="H51" s="59"/>
      <c r="I51" s="60">
        <f>IF(OR(H51="",E51="",C51="",D51=""),"",IF(C51+D51=0,"",(H51*D51+E51*C51)/(C51+D51)))</f>
        <v/>
      </c>
      <c r="J51" s="59">
        <v>2057</v>
      </c>
      <c r="K51" s="61">
        <f>IF(OR(J51="",I51=""),"",J51-I51)</f>
        <v/>
      </c>
      <c r="L51" s="61">
        <f>IF(OR(J51="",G51=""),"",J51-G51)</f>
        <v/>
      </c>
      <c r="M51" s="59"/>
      <c r="N51" s="59"/>
      <c r="O51" s="59">
        <v>180</v>
      </c>
      <c r="P51" s="59"/>
      <c r="Q51" s="59"/>
      <c r="R51" s="60">
        <f>IF(AND(P51="",Q51=""),"",N(P51)+N(Q51))</f>
        <v/>
      </c>
      <c r="S51" s="59"/>
      <c r="T51" s="59"/>
      <c r="U51" s="62">
        <f>IF(OR(R51="",S51="",T51=""),"",IF(S51+T51=0,"",R51/(S51+T51)))</f>
        <v/>
      </c>
      <c r="V51" s="63" t="s">
        <v>109</v>
      </c>
      <c r="W51" s="64"/>
      <c r="X51" s="63"/>
    </row>
    <row r="52" spans="2:24">
      <c r="B52" s="58">
        <v>46095</v>
      </c>
      <c r="C52" s="59">
        <v>29847</v>
      </c>
      <c r="D52" s="59">
        <v>10677</v>
      </c>
      <c r="E52" s="59">
        <v>1921</v>
      </c>
      <c r="F52" s="59">
        <v>2302</v>
      </c>
      <c r="G52" s="60">
        <f>IF(OR(E52="",F52="",C52="",D52=""),"",IF(C52+D52=0,"",(E52*C52+F52*D52)/(C52+D52)))</f>
        <v/>
      </c>
      <c r="H52" s="59">
        <v>2145</v>
      </c>
      <c r="I52" s="60">
        <f>IF(OR(H52="",E52="",C52="",D52=""),"",IF(C52+D52=0,"",(H52*D52+E52*C52)/(C52+D52)))</f>
        <v/>
      </c>
      <c r="J52" s="59">
        <v>2122</v>
      </c>
      <c r="K52" s="61">
        <f>IF(OR(J52="",I52=""),"",J52-I52)</f>
        <v/>
      </c>
      <c r="L52" s="61">
        <f>IF(OR(J52="",G52=""),"",J52-G52)</f>
        <v/>
      </c>
      <c r="M52" s="59"/>
      <c r="N52" s="59"/>
      <c r="O52" s="59">
        <v>180</v>
      </c>
      <c r="P52" s="59"/>
      <c r="Q52" s="59"/>
      <c r="R52" s="60">
        <f>IF(AND(P52="",Q52=""),"",N(P52)+N(Q52))</f>
        <v/>
      </c>
      <c r="S52" s="59"/>
      <c r="T52" s="59"/>
      <c r="U52" s="62">
        <f>IF(OR(R52="",S52="",T52=""),"",IF(S52+T52=0,"",R52/(S52+T52)))</f>
        <v/>
      </c>
      <c r="V52" s="63" t="s">
        <v>109</v>
      </c>
      <c r="W52" s="64"/>
      <c r="X52" s="63"/>
    </row>
    <row r="53" spans="2:24">
      <c r="B53" s="58">
        <v>46096</v>
      </c>
      <c r="C53" s="59">
        <v>31907</v>
      </c>
      <c r="D53" s="59">
        <v>19769</v>
      </c>
      <c r="E53" s="59">
        <v>1891</v>
      </c>
      <c r="F53" s="59">
        <v>1983</v>
      </c>
      <c r="G53" s="60">
        <f>IF(OR(E53="",F53="",C53="",D53=""),"",IF(C53+D53=0,"",(E53*C53+F53*D53)/(C53+D53)))</f>
        <v/>
      </c>
      <c r="H53" s="59">
        <v>1879</v>
      </c>
      <c r="I53" s="60">
        <f>IF(OR(H53="",E53="",C53="",D53=""),"",IF(C53+D53=0,"",(H53*D53+E53*C53)/(C53+D53)))</f>
        <v/>
      </c>
      <c r="J53" s="59">
        <v>2039</v>
      </c>
      <c r="K53" s="61">
        <f>IF(OR(J53="",I53=""),"",J53-I53)</f>
        <v/>
      </c>
      <c r="L53" s="61">
        <f>IF(OR(J53="",G53=""),"",J53-G53)</f>
        <v/>
      </c>
      <c r="M53" s="59"/>
      <c r="N53" s="59"/>
      <c r="O53" s="59">
        <v>180</v>
      </c>
      <c r="P53" s="59"/>
      <c r="Q53" s="59"/>
      <c r="R53" s="60">
        <f>IF(AND(P53="",Q53=""),"",N(P53)+N(Q53))</f>
        <v/>
      </c>
      <c r="S53" s="59"/>
      <c r="T53" s="59"/>
      <c r="U53" s="62">
        <f>IF(OR(R53="",S53="",T53=""),"",IF(S53+T53=0,"",R53/(S53+T53)))</f>
        <v/>
      </c>
      <c r="V53" s="63" t="s">
        <v>109</v>
      </c>
      <c r="W53" s="64"/>
      <c r="X53" s="63"/>
    </row>
    <row r="54" spans="2:24">
      <c r="B54" s="58">
        <v>46097</v>
      </c>
      <c r="C54" s="59">
        <v>29111</v>
      </c>
      <c r="D54" s="59">
        <v>21370</v>
      </c>
      <c r="E54" s="59">
        <v>2000</v>
      </c>
      <c r="F54" s="59">
        <v>1861</v>
      </c>
      <c r="G54" s="60">
        <f>IF(OR(E54="",F54="",C54="",D54=""),"",IF(C54+D54=0,"",(E54*C54+F54*D54)/(C54+D54)))</f>
        <v/>
      </c>
      <c r="H54" s="59">
        <v>1987</v>
      </c>
      <c r="I54" s="60">
        <f>IF(OR(H54="",E54="",C54="",D54=""),"",IF(C54+D54=0,"",(H54*D54+E54*C54)/(C54+D54)))</f>
        <v/>
      </c>
      <c r="J54" s="59">
        <v>2284</v>
      </c>
      <c r="K54" s="61">
        <f>IF(OR(J54="",I54=""),"",J54-I54)</f>
        <v/>
      </c>
      <c r="L54" s="61">
        <f>IF(OR(J54="",G54=""),"",J54-G54)</f>
        <v/>
      </c>
      <c r="M54" s="59">
        <v>2901</v>
      </c>
      <c r="N54" s="59">
        <v>2385</v>
      </c>
      <c r="O54" s="59">
        <v>180</v>
      </c>
      <c r="P54" s="59"/>
      <c r="Q54" s="59"/>
      <c r="R54" s="60">
        <f>IF(AND(P54="",Q54=""),"",N(P54)+N(Q54))</f>
        <v/>
      </c>
      <c r="S54" s="59"/>
      <c r="T54" s="59"/>
      <c r="U54" s="62">
        <f>IF(OR(R54="",S54="",T54=""),"",IF(S54+T54=0,"",R54/(S54+T54)))</f>
        <v/>
      </c>
      <c r="V54" s="63" t="s">
        <v>109</v>
      </c>
      <c r="W54" s="64"/>
      <c r="X54" s="63"/>
    </row>
    <row r="55" spans="2:24">
      <c r="B55" s="58">
        <v>46098</v>
      </c>
      <c r="C55" s="59">
        <v>20048</v>
      </c>
      <c r="D55" s="59">
        <v>18709</v>
      </c>
      <c r="E55" s="59">
        <v>1891</v>
      </c>
      <c r="F55" s="59">
        <v>1764</v>
      </c>
      <c r="G55" s="60">
        <f>IF(OR(E55="",F55="",C55="",D55=""),"",IF(C55+D55=0,"",(E55*C55+F55*D55)/(C55+D55)))</f>
        <v/>
      </c>
      <c r="H55" s="59">
        <v>1897</v>
      </c>
      <c r="I55" s="60">
        <f>IF(OR(H55="",E55="",C55="",D55=""),"",IF(C55+D55=0,"",(H55*D55+E55*C55)/(C55+D55)))</f>
        <v/>
      </c>
      <c r="J55" s="59">
        <v>2368</v>
      </c>
      <c r="K55" s="61">
        <f>IF(OR(J55="",I55=""),"",J55-I55)</f>
        <v/>
      </c>
      <c r="L55" s="61">
        <f>IF(OR(J55="",G55=""),"",J55-G55)</f>
        <v/>
      </c>
      <c r="M55" s="59">
        <v>2621</v>
      </c>
      <c r="N55" s="59">
        <v>2202</v>
      </c>
      <c r="O55" s="59">
        <v>180</v>
      </c>
      <c r="P55" s="59"/>
      <c r="Q55" s="59"/>
      <c r="R55" s="60">
        <f>IF(AND(P55="",Q55=""),"",N(P55)+N(Q55))</f>
        <v/>
      </c>
      <c r="S55" s="59"/>
      <c r="T55" s="59"/>
      <c r="U55" s="62">
        <f>IF(OR(R55="",S55="",T55=""),"",IF(S55+T55=0,"",R55/(S55+T55)))</f>
        <v/>
      </c>
      <c r="V55" s="63" t="s">
        <v>109</v>
      </c>
      <c r="W55" s="64"/>
      <c r="X55" s="63"/>
    </row>
    <row r="56" spans="2:24">
      <c r="B56" s="58">
        <v>46099</v>
      </c>
      <c r="C56" s="59">
        <v>9855.620000000001</v>
      </c>
      <c r="D56" s="59">
        <v>17875.15</v>
      </c>
      <c r="E56" s="59">
        <v>2022.11</v>
      </c>
      <c r="F56" s="59">
        <v>1878.67</v>
      </c>
      <c r="G56" s="60">
        <f>IF(OR(E56="",F56="",C56="",D56=""),"",IF(C56+D56=0,"",(E56*C56+F56*D56)/(C56+D56)))</f>
        <v/>
      </c>
      <c r="H56" s="59">
        <v>1765.2</v>
      </c>
      <c r="I56" s="60">
        <f>IF(OR(H56="",E56="",C56="",D56=""),"",IF(C56+D56=0,"",(H56*D56+E56*C56)/(C56+D56)))</f>
        <v/>
      </c>
      <c r="J56" s="59">
        <v>2080.71</v>
      </c>
      <c r="K56" s="61">
        <f>IF(OR(J56="",I56=""),"",J56-I56)</f>
        <v/>
      </c>
      <c r="L56" s="61">
        <f>IF(OR(J56="",G56=""),"",J56-G56)</f>
        <v/>
      </c>
      <c r="M56" s="59">
        <v>2165</v>
      </c>
      <c r="N56" s="59">
        <v>2011</v>
      </c>
      <c r="O56" s="59">
        <v>180</v>
      </c>
      <c r="P56" s="59"/>
      <c r="Q56" s="59"/>
      <c r="R56" s="60">
        <f>IF(AND(P56="",Q56=""),"",N(P56)+N(Q56))</f>
        <v/>
      </c>
      <c r="S56" s="59"/>
      <c r="T56" s="59"/>
      <c r="U56" s="62">
        <f>IF(OR(R56="",S56="",T56=""),"",IF(S56+T56=0,"",R56/(S56+T56)))</f>
        <v/>
      </c>
      <c r="V56" s="63" t="s">
        <v>109</v>
      </c>
      <c r="W56" s="64"/>
      <c r="X56" s="63"/>
    </row>
    <row r="57" spans="2:24">
      <c r="B57" s="58">
        <v>46100</v>
      </c>
      <c r="C57" s="59">
        <v>27294</v>
      </c>
      <c r="D57" s="59">
        <v>19156</v>
      </c>
      <c r="E57" s="59">
        <v>1952</v>
      </c>
      <c r="F57" s="59">
        <v>1687</v>
      </c>
      <c r="G57" s="60">
        <f>IF(OR(E57="",F57="",C57="",D57=""),"",IF(C57+D57=0,"",(E57*C57+F57*D57)/(C57+D57)))</f>
        <v/>
      </c>
      <c r="H57" s="59">
        <v>1680</v>
      </c>
      <c r="I57" s="60">
        <f>IF(OR(H57="",E57="",C57="",D57=""),"",IF(C57+D57=0,"",(H57*D57+E57*C57)/(C57+D57)))</f>
        <v/>
      </c>
      <c r="J57" s="59">
        <v>2061</v>
      </c>
      <c r="K57" s="61">
        <f>IF(OR(J57="",I57=""),"",J57-I57)</f>
        <v/>
      </c>
      <c r="L57" s="61">
        <f>IF(OR(J57="",G57=""),"",J57-G57)</f>
        <v/>
      </c>
      <c r="M57" s="59">
        <v>2304</v>
      </c>
      <c r="N57" s="59">
        <v>2062</v>
      </c>
      <c r="O57" s="59">
        <v>180</v>
      </c>
      <c r="P57" s="59"/>
      <c r="Q57" s="59"/>
      <c r="R57" s="60">
        <f>IF(AND(P57="",Q57=""),"",N(P57)+N(Q57))</f>
        <v/>
      </c>
      <c r="S57" s="59"/>
      <c r="T57" s="59"/>
      <c r="U57" s="62">
        <f>IF(OR(R57="",S57="",T57=""),"",IF(S57+T57=0,"",R57/(S57+T57)))</f>
        <v/>
      </c>
      <c r="V57" s="63" t="s">
        <v>109</v>
      </c>
      <c r="W57" s="64"/>
      <c r="X57" s="63"/>
    </row>
    <row r="58" spans="2:24">
      <c r="B58" s="58">
        <v>46101</v>
      </c>
      <c r="C58" s="59">
        <v>25253</v>
      </c>
      <c r="D58" s="59">
        <v>13699</v>
      </c>
      <c r="E58" s="59">
        <v>1908</v>
      </c>
      <c r="F58" s="59">
        <v>1772</v>
      </c>
      <c r="G58" s="60">
        <f>IF(OR(E58="",F58="",C58="",D58=""),"",IF(C58+D58=0,"",(E58*C58+F58*D58)/(C58+D58)))</f>
        <v/>
      </c>
      <c r="H58" s="59">
        <v>1719</v>
      </c>
      <c r="I58" s="60">
        <f>IF(OR(H58="",E58="",C58="",D58=""),"",IF(C58+D58=0,"",(H58*D58+E58*C58)/(C58+D58)))</f>
        <v/>
      </c>
      <c r="J58" s="59">
        <v>2178</v>
      </c>
      <c r="K58" s="61">
        <f>IF(OR(J58="",I58=""),"",J58-I58)</f>
        <v/>
      </c>
      <c r="L58" s="61">
        <f>IF(OR(J58="",G58=""),"",J58-G58)</f>
        <v/>
      </c>
      <c r="M58" s="59">
        <v>2597</v>
      </c>
      <c r="N58" s="59">
        <v>2312</v>
      </c>
      <c r="O58" s="59">
        <v>180</v>
      </c>
      <c r="P58" s="59"/>
      <c r="Q58" s="59"/>
      <c r="R58" s="60">
        <f>IF(AND(P58="",Q58=""),"",N(P58)+N(Q58))</f>
        <v/>
      </c>
      <c r="S58" s="59"/>
      <c r="T58" s="59"/>
      <c r="U58" s="62">
        <f>IF(OR(R58="",S58="",T58=""),"",IF(S58+T58=0,"",R58/(S58+T58)))</f>
        <v/>
      </c>
      <c r="V58" s="63" t="s">
        <v>109</v>
      </c>
      <c r="W58" s="64"/>
      <c r="X58" s="63"/>
    </row>
    <row r="59" spans="2:24">
      <c r="B59" s="58">
        <v>46102</v>
      </c>
      <c r="C59" s="59">
        <v>23379</v>
      </c>
      <c r="D59" s="59">
        <v>18266</v>
      </c>
      <c r="E59" s="59">
        <v>2143</v>
      </c>
      <c r="F59" s="59">
        <v>1863</v>
      </c>
      <c r="G59" s="60">
        <f>IF(OR(E59="",F59="",C59="",D59=""),"",IF(C59+D59=0,"",(E59*C59+F59*D59)/(C59+D59)))</f>
        <v/>
      </c>
      <c r="H59" s="59">
        <v>1768</v>
      </c>
      <c r="I59" s="60">
        <f>IF(OR(H59="",E59="",C59="",D59=""),"",IF(C59+D59=0,"",(H59*D59+E59*C59)/(C59+D59)))</f>
        <v/>
      </c>
      <c r="J59" s="59">
        <v>2154</v>
      </c>
      <c r="K59" s="61">
        <f>IF(OR(J59="",I59=""),"",J59-I59)</f>
        <v/>
      </c>
      <c r="L59" s="61">
        <f>IF(OR(J59="",G59=""),"",J59-G59)</f>
        <v/>
      </c>
      <c r="M59" s="59">
        <v>2104</v>
      </c>
      <c r="N59" s="59">
        <v>2081</v>
      </c>
      <c r="O59" s="59">
        <v>180</v>
      </c>
      <c r="P59" s="59"/>
      <c r="Q59" s="59"/>
      <c r="R59" s="60">
        <f>IF(AND(P59="",Q59=""),"",N(P59)+N(Q59))</f>
        <v/>
      </c>
      <c r="S59" s="59"/>
      <c r="T59" s="59"/>
      <c r="U59" s="62">
        <f>IF(OR(R59="",S59="",T59=""),"",IF(S59+T59=0,"",R59/(S59+T59)))</f>
        <v/>
      </c>
      <c r="V59" s="63" t="s">
        <v>109</v>
      </c>
      <c r="W59" s="64"/>
      <c r="X59" s="63"/>
    </row>
    <row r="60" spans="2:24">
      <c r="B60" s="58">
        <v>46103</v>
      </c>
      <c r="C60" s="59">
        <v>27630</v>
      </c>
      <c r="D60" s="59">
        <v>20103</v>
      </c>
      <c r="E60" s="59">
        <v>1867</v>
      </c>
      <c r="F60" s="59">
        <v>1715</v>
      </c>
      <c r="G60" s="60">
        <f>IF(OR(E60="",F60="",C60="",D60=""),"",IF(C60+D60=0,"",(E60*C60+F60*D60)/(C60+D60)))</f>
        <v/>
      </c>
      <c r="H60" s="59">
        <v>1673</v>
      </c>
      <c r="I60" s="60">
        <f>IF(OR(H60="",E60="",C60="",D60=""),"",IF(C60+D60=0,"",(H60*D60+E60*C60)/(C60+D60)))</f>
        <v/>
      </c>
      <c r="J60" s="59">
        <v>2261</v>
      </c>
      <c r="K60" s="61">
        <f>IF(OR(J60="",I60=""),"",J60-I60)</f>
        <v/>
      </c>
      <c r="L60" s="61">
        <f>IF(OR(J60="",G60=""),"",J60-G60)</f>
        <v/>
      </c>
      <c r="M60" s="59">
        <v>2154</v>
      </c>
      <c r="N60" s="59">
        <v>2026</v>
      </c>
      <c r="O60" s="59">
        <v>180</v>
      </c>
      <c r="P60" s="59"/>
      <c r="Q60" s="59"/>
      <c r="R60" s="60">
        <f>IF(AND(P60="",Q60=""),"",N(P60)+N(Q60))</f>
        <v/>
      </c>
      <c r="S60" s="59"/>
      <c r="T60" s="59"/>
      <c r="U60" s="62">
        <f>IF(OR(R60="",S60="",T60=""),"",IF(S60+T60=0,"",R60/(S60+T60)))</f>
        <v/>
      </c>
      <c r="V60" s="63" t="s">
        <v>109</v>
      </c>
      <c r="W60" s="64"/>
      <c r="X60" s="63"/>
    </row>
    <row r="61" spans="2:24">
      <c r="B61" s="58">
        <v>46104</v>
      </c>
      <c r="C61" s="59">
        <v>23725</v>
      </c>
      <c r="D61" s="59">
        <v>19644</v>
      </c>
      <c r="E61" s="59">
        <v>1804</v>
      </c>
      <c r="F61" s="59">
        <v>1972</v>
      </c>
      <c r="G61" s="60">
        <f>IF(OR(E61="",F61="",C61="",D61=""),"",IF(C61+D61=0,"",(E61*C61+F61*D61)/(C61+D61)))</f>
        <v/>
      </c>
      <c r="H61" s="59">
        <v>1873</v>
      </c>
      <c r="I61" s="60">
        <f>IF(OR(H61="",E61="",C61="",D61=""),"",IF(C61+D61=0,"",(H61*D61+E61*C61)/(C61+D61)))</f>
        <v/>
      </c>
      <c r="J61" s="59">
        <v>2138</v>
      </c>
      <c r="K61" s="61">
        <f>IF(OR(J61="",I61=""),"",J61-I61)</f>
        <v/>
      </c>
      <c r="L61" s="61">
        <f>IF(OR(J61="",G61=""),"",J61-G61)</f>
        <v/>
      </c>
      <c r="M61" s="59">
        <v>2002</v>
      </c>
      <c r="N61" s="59">
        <v>2024</v>
      </c>
      <c r="O61" s="59">
        <v>180</v>
      </c>
      <c r="P61" s="59"/>
      <c r="Q61" s="59"/>
      <c r="R61" s="60">
        <f>IF(AND(P61="",Q61=""),"",N(P61)+N(Q61))</f>
        <v/>
      </c>
      <c r="S61" s="59"/>
      <c r="T61" s="59"/>
      <c r="U61" s="62">
        <f>IF(OR(R61="",S61="",T61=""),"",IF(S61+T61=0,"",R61/(S61+T61)))</f>
        <v/>
      </c>
      <c r="V61" s="63" t="s">
        <v>109</v>
      </c>
      <c r="W61" s="64"/>
      <c r="X61" s="63"/>
    </row>
    <row r="62" spans="2:24">
      <c r="B62" s="58">
        <v>46105</v>
      </c>
      <c r="C62" s="59">
        <v>23238</v>
      </c>
      <c r="D62" s="59">
        <v>22158</v>
      </c>
      <c r="E62" s="59">
        <v>1765</v>
      </c>
      <c r="F62" s="59">
        <v>1856</v>
      </c>
      <c r="G62" s="60">
        <f>IF(OR(E62="",F62="",C62="",D62=""),"",IF(C62+D62=0,"",(E62*C62+F62*D62)/(C62+D62)))</f>
        <v/>
      </c>
      <c r="H62" s="59">
        <v>1845</v>
      </c>
      <c r="I62" s="60">
        <f>IF(OR(H62="",E62="",C62="",D62=""),"",IF(C62+D62=0,"",(H62*D62+E62*C62)/(C62+D62)))</f>
        <v/>
      </c>
      <c r="J62" s="59">
        <v>1963</v>
      </c>
      <c r="K62" s="61">
        <f>IF(OR(J62="",I62=""),"",J62-I62)</f>
        <v/>
      </c>
      <c r="L62" s="61">
        <f>IF(OR(J62="",G62=""),"",J62-G62)</f>
        <v/>
      </c>
      <c r="M62" s="59">
        <v>2067</v>
      </c>
      <c r="N62" s="59">
        <v>1797</v>
      </c>
      <c r="O62" s="59">
        <v>180</v>
      </c>
      <c r="P62" s="59"/>
      <c r="Q62" s="59"/>
      <c r="R62" s="60">
        <f>IF(AND(P62="",Q62=""),"",N(P62)+N(Q62))</f>
        <v/>
      </c>
      <c r="S62" s="59"/>
      <c r="T62" s="59"/>
      <c r="U62" s="62">
        <f>IF(OR(R62="",S62="",T62=""),"",IF(S62+T62=0,"",R62/(S62+T62)))</f>
        <v/>
      </c>
      <c r="V62" s="63" t="s">
        <v>109</v>
      </c>
      <c r="W62" s="64"/>
      <c r="X62" s="63"/>
    </row>
    <row r="63" spans="2:24">
      <c r="B63" s="58">
        <v>46106</v>
      </c>
      <c r="C63" s="59">
        <v>27809</v>
      </c>
      <c r="D63" s="59">
        <v>22480</v>
      </c>
      <c r="E63" s="59">
        <v>1935</v>
      </c>
      <c r="F63" s="59">
        <v>1901</v>
      </c>
      <c r="G63" s="60">
        <f>IF(OR(E63="",F63="",C63="",D63=""),"",IF(C63+D63=0,"",(E63*C63+F63*D63)/(C63+D63)))</f>
        <v/>
      </c>
      <c r="H63" s="59">
        <v>1844</v>
      </c>
      <c r="I63" s="60">
        <f>IF(OR(H63="",E63="",C63="",D63=""),"",IF(C63+D63=0,"",(H63*D63+E63*C63)/(C63+D63)))</f>
        <v/>
      </c>
      <c r="J63" s="59">
        <v>2087</v>
      </c>
      <c r="K63" s="61">
        <f>IF(OR(J63="",I63=""),"",J63-I63)</f>
        <v/>
      </c>
      <c r="L63" s="61">
        <f>IF(OR(J63="",G63=""),"",J63-G63)</f>
        <v/>
      </c>
      <c r="M63" s="59">
        <v>2542</v>
      </c>
      <c r="N63" s="59">
        <v>2044</v>
      </c>
      <c r="O63" s="59">
        <v>180</v>
      </c>
      <c r="P63" s="59"/>
      <c r="Q63" s="59"/>
      <c r="R63" s="60">
        <f>IF(AND(P63="",Q63=""),"",N(P63)+N(Q63))</f>
        <v/>
      </c>
      <c r="S63" s="59"/>
      <c r="T63" s="59"/>
      <c r="U63" s="62">
        <f>IF(OR(R63="",S63="",T63=""),"",IF(S63+T63=0,"",R63/(S63+T63)))</f>
        <v/>
      </c>
      <c r="V63" s="63" t="s">
        <v>109</v>
      </c>
      <c r="W63" s="64"/>
      <c r="X63" s="63"/>
    </row>
    <row r="64" spans="2:24">
      <c r="B64" s="58">
        <v>46107</v>
      </c>
      <c r="C64" s="59">
        <v>28840</v>
      </c>
      <c r="D64" s="59">
        <v>22541</v>
      </c>
      <c r="E64" s="59">
        <v>1812</v>
      </c>
      <c r="F64" s="59">
        <v>1917</v>
      </c>
      <c r="G64" s="60">
        <f>IF(OR(E64="",F64="",C64="",D64=""),"",IF(C64+D64=0,"",(E64*C64+F64*D64)/(C64+D64)))</f>
        <v/>
      </c>
      <c r="H64" s="59">
        <v>1855</v>
      </c>
      <c r="I64" s="60">
        <f>IF(OR(H64="",E64="",C64="",D64=""),"",IF(C64+D64=0,"",(H64*D64+E64*C64)/(C64+D64)))</f>
        <v/>
      </c>
      <c r="J64" s="59">
        <v>2178</v>
      </c>
      <c r="K64" s="61">
        <f>IF(OR(J64="",I64=""),"",J64-I64)</f>
        <v/>
      </c>
      <c r="L64" s="61">
        <f>IF(OR(J64="",G64=""),"",J64-G64)</f>
        <v/>
      </c>
      <c r="M64" s="59">
        <v>2146</v>
      </c>
      <c r="N64" s="59">
        <v>2240</v>
      </c>
      <c r="O64" s="59">
        <v>180</v>
      </c>
      <c r="P64" s="59"/>
      <c r="Q64" s="59"/>
      <c r="R64" s="60">
        <f>IF(AND(P64="",Q64=""),"",N(P64)+N(Q64))</f>
        <v/>
      </c>
      <c r="S64" s="59"/>
      <c r="T64" s="59"/>
      <c r="U64" s="62">
        <f>IF(OR(R64="",S64="",T64=""),"",IF(S64+T64=0,"",R64/(S64+T64)))</f>
        <v/>
      </c>
      <c r="V64" s="63" t="s">
        <v>109</v>
      </c>
      <c r="W64" s="64"/>
      <c r="X64" s="63"/>
    </row>
    <row r="65" spans="2:24">
      <c r="B65" s="58">
        <v>46108</v>
      </c>
      <c r="C65" s="59">
        <v>27648</v>
      </c>
      <c r="D65" s="59">
        <v>21561</v>
      </c>
      <c r="E65" s="59">
        <v>1851</v>
      </c>
      <c r="F65" s="59">
        <v>1782</v>
      </c>
      <c r="G65" s="60">
        <f>IF(OR(E65="",F65="",C65="",D65=""),"",IF(C65+D65=0,"",(E65*C65+F65*D65)/(C65+D65)))</f>
        <v/>
      </c>
      <c r="H65" s="59">
        <v>1861</v>
      </c>
      <c r="I65" s="60">
        <f>IF(OR(H65="",E65="",C65="",D65=""),"",IF(C65+D65=0,"",(H65*D65+E65*C65)/(C65+D65)))</f>
        <v/>
      </c>
      <c r="J65" s="59">
        <v>2268</v>
      </c>
      <c r="K65" s="61">
        <f>IF(OR(J65="",I65=""),"",J65-I65)</f>
        <v/>
      </c>
      <c r="L65" s="61">
        <f>IF(OR(J65="",G65=""),"",J65-G65)</f>
        <v/>
      </c>
      <c r="M65" s="59">
        <v>2368</v>
      </c>
      <c r="N65" s="59">
        <v>2132</v>
      </c>
      <c r="O65" s="59">
        <v>180</v>
      </c>
      <c r="P65" s="59"/>
      <c r="Q65" s="59"/>
      <c r="R65" s="60">
        <f>IF(AND(P65="",Q65=""),"",N(P65)+N(Q65))</f>
        <v/>
      </c>
      <c r="S65" s="59"/>
      <c r="T65" s="59"/>
      <c r="U65" s="62">
        <f>IF(OR(R65="",S65="",T65=""),"",IF(S65+T65=0,"",R65/(S65+T65)))</f>
        <v/>
      </c>
      <c r="V65" s="63" t="s">
        <v>109</v>
      </c>
      <c r="W65" s="64"/>
      <c r="X65" s="63"/>
    </row>
    <row r="66" spans="2:24">
      <c r="B66" s="58">
        <v>46109</v>
      </c>
      <c r="C66" s="59">
        <v>29156</v>
      </c>
      <c r="D66" s="59">
        <v>18202</v>
      </c>
      <c r="E66" s="59">
        <v>1819</v>
      </c>
      <c r="F66" s="59">
        <v>1755</v>
      </c>
      <c r="G66" s="60">
        <f>IF(OR(E66="",F66="",C66="",D66=""),"",IF(C66+D66=0,"",(E66*C66+F66*D66)/(C66+D66)))</f>
        <v/>
      </c>
      <c r="H66" s="59">
        <v>1756</v>
      </c>
      <c r="I66" s="60">
        <f>IF(OR(H66="",E66="",C66="",D66=""),"",IF(C66+D66=0,"",(H66*D66+E66*C66)/(C66+D66)))</f>
        <v/>
      </c>
      <c r="J66" s="59">
        <v>2114</v>
      </c>
      <c r="K66" s="61">
        <f>IF(OR(J66="",I66=""),"",J66-I66)</f>
        <v/>
      </c>
      <c r="L66" s="61">
        <f>IF(OR(J66="",G66=""),"",J66-G66)</f>
        <v/>
      </c>
      <c r="M66" s="59">
        <v>2262</v>
      </c>
      <c r="N66" s="59">
        <v>2158</v>
      </c>
      <c r="O66" s="59">
        <v>180</v>
      </c>
      <c r="P66" s="59"/>
      <c r="Q66" s="59"/>
      <c r="R66" s="60">
        <f>IF(AND(P66="",Q66=""),"",N(P66)+N(Q66))</f>
        <v/>
      </c>
      <c r="S66" s="59"/>
      <c r="T66" s="59"/>
      <c r="U66" s="62">
        <f>IF(OR(R66="",S66="",T66=""),"",IF(S66+T66=0,"",R66/(S66+T66)))</f>
        <v/>
      </c>
      <c r="V66" s="63" t="s">
        <v>109</v>
      </c>
      <c r="W66" s="64"/>
      <c r="X66" s="63"/>
    </row>
    <row r="67" spans="2:24">
      <c r="B67" s="58">
        <v>46110</v>
      </c>
      <c r="C67" s="59">
        <v>28139</v>
      </c>
      <c r="D67" s="59">
        <v>13622</v>
      </c>
      <c r="E67" s="59">
        <v>2023</v>
      </c>
      <c r="F67" s="59">
        <v>1998</v>
      </c>
      <c r="G67" s="60">
        <f>IF(OR(E67="",F67="",C67="",D67=""),"",IF(C67+D67=0,"",(E67*C67+F67*D67)/(C67+D67)))</f>
        <v/>
      </c>
      <c r="H67" s="59">
        <v>1652</v>
      </c>
      <c r="I67" s="60">
        <f>IF(OR(H67="",E67="",C67="",D67=""),"",IF(C67+D67=0,"",(H67*D67+E67*C67)/(C67+D67)))</f>
        <v/>
      </c>
      <c r="J67" s="59">
        <v>2345</v>
      </c>
      <c r="K67" s="61">
        <f>IF(OR(J67="",I67=""),"",J67-I67)</f>
        <v/>
      </c>
      <c r="L67" s="61">
        <f>IF(OR(J67="",G67=""),"",J67-G67)</f>
        <v/>
      </c>
      <c r="M67" s="59">
        <v>2376</v>
      </c>
      <c r="N67" s="59">
        <v>2450</v>
      </c>
      <c r="O67" s="59">
        <v>180</v>
      </c>
      <c r="P67" s="59"/>
      <c r="Q67" s="59"/>
      <c r="R67" s="60">
        <f>IF(AND(P67="",Q67=""),"",N(P67)+N(Q67))</f>
        <v/>
      </c>
      <c r="S67" s="59"/>
      <c r="T67" s="59"/>
      <c r="U67" s="62">
        <f>IF(OR(R67="",S67="",T67=""),"",IF(S67+T67=0,"",R67/(S67+T67)))</f>
        <v/>
      </c>
      <c r="V67" s="63" t="s">
        <v>109</v>
      </c>
      <c r="W67" s="64"/>
      <c r="X67" s="63"/>
    </row>
    <row r="68" spans="2:24">
      <c r="B68" s="58">
        <v>46111</v>
      </c>
      <c r="C68" s="59">
        <v>28720</v>
      </c>
      <c r="D68" s="59">
        <v>10142</v>
      </c>
      <c r="E68" s="59">
        <v>1941</v>
      </c>
      <c r="F68" s="59">
        <v>2019</v>
      </c>
      <c r="G68" s="60">
        <f>IF(OR(E68="",F68="",C68="",D68=""),"",IF(C68+D68=0,"",(E68*C68+F68*D68)/(C68+D68)))</f>
        <v/>
      </c>
      <c r="H68" s="59">
        <v>2001</v>
      </c>
      <c r="I68" s="60">
        <f>IF(OR(H68="",E68="",C68="",D68=""),"",IF(C68+D68=0,"",(H68*D68+E68*C68)/(C68+D68)))</f>
        <v/>
      </c>
      <c r="J68" s="59">
        <v>2359</v>
      </c>
      <c r="K68" s="61">
        <f>IF(OR(J68="",I68=""),"",J68-I68)</f>
        <v/>
      </c>
      <c r="L68" s="61">
        <f>IF(OR(J68="",G68=""),"",J68-G68)</f>
        <v/>
      </c>
      <c r="M68" s="59">
        <v>2314</v>
      </c>
      <c r="N68" s="59">
        <v>2345</v>
      </c>
      <c r="O68" s="59">
        <v>180</v>
      </c>
      <c r="P68" s="59"/>
      <c r="Q68" s="59"/>
      <c r="R68" s="60">
        <f>IF(AND(P68="",Q68=""),"",N(P68)+N(Q68))</f>
        <v/>
      </c>
      <c r="S68" s="59"/>
      <c r="T68" s="59"/>
      <c r="U68" s="62">
        <f>IF(OR(R68="",S68="",T68=""),"",IF(S68+T68=0,"",R68/(S68+T68)))</f>
        <v/>
      </c>
      <c r="V68" s="63" t="s">
        <v>109</v>
      </c>
      <c r="W68" s="64"/>
      <c r="X68" s="63"/>
    </row>
    <row r="69" spans="2:24">
      <c r="B69" s="58">
        <v>46112</v>
      </c>
      <c r="C69" s="59">
        <v>27334</v>
      </c>
      <c r="D69" s="59">
        <v>9332</v>
      </c>
      <c r="E69" s="59">
        <v>1917</v>
      </c>
      <c r="F69" s="59">
        <v>2050</v>
      </c>
      <c r="G69" s="60">
        <f>IF(OR(E69="",F69="",C69="",D69=""),"",IF(C69+D69=0,"",(E69*C69+F69*D69)/(C69+D69)))</f>
        <v/>
      </c>
      <c r="H69" s="59">
        <v>1822</v>
      </c>
      <c r="I69" s="60">
        <f>IF(OR(H69="",E69="",C69="",D69=""),"",IF(C69+D69=0,"",(H69*D69+E69*C69)/(C69+D69)))</f>
        <v/>
      </c>
      <c r="J69" s="59">
        <v>2192</v>
      </c>
      <c r="K69" s="61">
        <f>IF(OR(J69="",I69=""),"",J69-I69)</f>
        <v/>
      </c>
      <c r="L69" s="61">
        <f>IF(OR(J69="",G69=""),"",J69-G69)</f>
        <v/>
      </c>
      <c r="M69" s="59">
        <v>2101</v>
      </c>
      <c r="N69" s="59">
        <v>2184</v>
      </c>
      <c r="O69" s="59">
        <v>180</v>
      </c>
      <c r="P69" s="59"/>
      <c r="Q69" s="59"/>
      <c r="R69" s="60">
        <f>IF(AND(P69="",Q69=""),"",N(P69)+N(Q69))</f>
        <v/>
      </c>
      <c r="S69" s="59"/>
      <c r="T69" s="59"/>
      <c r="U69" s="62">
        <f>IF(OR(R69="",S69="",T69=""),"",IF(S69+T69=0,"",R69/(S69+T69)))</f>
        <v/>
      </c>
      <c r="V69" s="63" t="s">
        <v>109</v>
      </c>
      <c r="W69" s="64"/>
      <c r="X69" s="63"/>
    </row>
    <row r="70" spans="2:24">
      <c r="B70" s="58">
        <v>46113</v>
      </c>
      <c r="C70" s="59">
        <v>18639</v>
      </c>
      <c r="D70" s="59">
        <v>11143</v>
      </c>
      <c r="E70" s="59">
        <v>2295</v>
      </c>
      <c r="F70" s="59">
        <v>2051</v>
      </c>
      <c r="G70" s="60">
        <f>IF(OR(E70="",F70="",C70="",D70=""),"",IF(C70+D70=0,"",(E70*C70+F70*D70)/(C70+D70)))</f>
        <v/>
      </c>
      <c r="H70" s="59">
        <v>2035</v>
      </c>
      <c r="I70" s="60">
        <f>IF(OR(H70="",E70="",C70="",D70=""),"",IF(C70+D70=0,"",(H70*D70+E70*C70)/(C70+D70)))</f>
        <v/>
      </c>
      <c r="J70" s="59">
        <v>2552</v>
      </c>
      <c r="K70" s="61">
        <f>IF(OR(J70="",I70=""),"",J70-I70)</f>
        <v/>
      </c>
      <c r="L70" s="61">
        <f>IF(OR(J70="",G70=""),"",J70-G70)</f>
        <v/>
      </c>
      <c r="M70" s="59">
        <v>2463</v>
      </c>
      <c r="N70" s="59">
        <v>2476</v>
      </c>
      <c r="O70" s="59">
        <v>180</v>
      </c>
      <c r="P70" s="59"/>
      <c r="Q70" s="59"/>
      <c r="R70" s="60">
        <f>IF(AND(P70="",Q70=""),"",N(P70)+N(Q70))</f>
        <v/>
      </c>
      <c r="S70" s="59"/>
      <c r="T70" s="59"/>
      <c r="U70" s="62">
        <f>IF(OR(R70="",S70="",T70=""),"",IF(S70+T70=0,"",R70/(S70+T70)))</f>
        <v/>
      </c>
      <c r="V70" s="63" t="s">
        <v>109</v>
      </c>
      <c r="W70" s="64"/>
      <c r="X70" s="63"/>
    </row>
    <row r="71" spans="2:24">
      <c r="B71" s="58">
        <v>46114</v>
      </c>
      <c r="C71" s="59">
        <v>26891</v>
      </c>
      <c r="D71" s="59">
        <v>10995</v>
      </c>
      <c r="E71" s="59">
        <v>2050</v>
      </c>
      <c r="F71" s="59">
        <v>2125</v>
      </c>
      <c r="G71" s="60">
        <f>IF(OR(E71="",F71="",C71="",D71=""),"",IF(C71+D71=0,"",(E71*C71+F71*D71)/(C71+D71)))</f>
        <v/>
      </c>
      <c r="H71" s="59">
        <v>2069</v>
      </c>
      <c r="I71" s="60">
        <f>IF(OR(H71="",E71="",C71="",D71=""),"",IF(C71+D71=0,"",(H71*D71+E71*C71)/(C71+D71)))</f>
        <v/>
      </c>
      <c r="J71" s="59">
        <v>2333</v>
      </c>
      <c r="K71" s="61">
        <f>IF(OR(J71="",I71=""),"",J71-I71)</f>
        <v/>
      </c>
      <c r="L71" s="61">
        <f>IF(OR(J71="",G71=""),"",J71-G71)</f>
        <v/>
      </c>
      <c r="M71" s="59">
        <v>2628</v>
      </c>
      <c r="N71" s="59">
        <v>2176</v>
      </c>
      <c r="O71" s="59">
        <v>180</v>
      </c>
      <c r="P71" s="59"/>
      <c r="Q71" s="59"/>
      <c r="R71" s="60">
        <f>IF(AND(P71="",Q71=""),"",N(P71)+N(Q71))</f>
        <v/>
      </c>
      <c r="S71" s="59"/>
      <c r="T71" s="59"/>
      <c r="U71" s="62">
        <f>IF(OR(R71="",S71="",T71=""),"",IF(S71+T71=0,"",R71/(S71+T71)))</f>
        <v/>
      </c>
      <c r="V71" s="63" t="s">
        <v>109</v>
      </c>
      <c r="W71" s="64"/>
      <c r="X71" s="63"/>
    </row>
    <row r="72" spans="2:24">
      <c r="B72" s="58">
        <v>46115</v>
      </c>
      <c r="C72" s="59">
        <v>30923</v>
      </c>
      <c r="D72" s="59">
        <v>18918</v>
      </c>
      <c r="E72" s="59">
        <v>1988</v>
      </c>
      <c r="F72" s="59">
        <v>1879</v>
      </c>
      <c r="G72" s="60">
        <f>IF(OR(E72="",F72="",C72="",D72=""),"",IF(C72+D72=0,"",(E72*C72+F72*D72)/(C72+D72)))</f>
        <v/>
      </c>
      <c r="H72" s="59">
        <v>1872</v>
      </c>
      <c r="I72" s="60">
        <f>IF(OR(H72="",E72="",C72="",D72=""),"",IF(C72+D72=0,"",(H72*D72+E72*C72)/(C72+D72)))</f>
        <v/>
      </c>
      <c r="J72" s="59">
        <v>2201</v>
      </c>
      <c r="K72" s="61">
        <f>IF(OR(J72="",I72=""),"",J72-I72)</f>
        <v/>
      </c>
      <c r="L72" s="61">
        <f>IF(OR(J72="",G72=""),"",J72-G72)</f>
        <v/>
      </c>
      <c r="M72" s="59">
        <v>2173</v>
      </c>
      <c r="N72" s="59">
        <v>2292</v>
      </c>
      <c r="O72" s="59">
        <v>180</v>
      </c>
      <c r="P72" s="59"/>
      <c r="Q72" s="59"/>
      <c r="R72" s="60">
        <f>IF(AND(P72="",Q72=""),"",N(P72)+N(Q72))</f>
        <v/>
      </c>
      <c r="S72" s="59"/>
      <c r="T72" s="59"/>
      <c r="U72" s="62">
        <f>IF(OR(R72="",S72="",T72=""),"",IF(S72+T72=0,"",R72/(S72+T72)))</f>
        <v/>
      </c>
      <c r="V72" s="63" t="s">
        <v>109</v>
      </c>
      <c r="W72" s="64"/>
      <c r="X72" s="63"/>
    </row>
    <row r="73" spans="2:24">
      <c r="B73" s="58">
        <v>46116</v>
      </c>
      <c r="C73" s="59">
        <v>26078</v>
      </c>
      <c r="D73" s="59">
        <v>19243</v>
      </c>
      <c r="E73" s="59">
        <v>2017</v>
      </c>
      <c r="F73" s="59">
        <v>2031</v>
      </c>
      <c r="G73" s="60">
        <f>IF(OR(E73="",F73="",C73="",D73=""),"",IF(C73+D73=0,"",(E73*C73+F73*D73)/(C73+D73)))</f>
        <v/>
      </c>
      <c r="H73" s="59">
        <v>2010</v>
      </c>
      <c r="I73" s="60">
        <f>IF(OR(H73="",E73="",C73="",D73=""),"",IF(C73+D73=0,"",(H73*D73+E73*C73)/(C73+D73)))</f>
        <v/>
      </c>
      <c r="J73" s="59">
        <v>2312</v>
      </c>
      <c r="K73" s="61">
        <f>IF(OR(J73="",I73=""),"",J73-I73)</f>
        <v/>
      </c>
      <c r="L73" s="61">
        <f>IF(OR(J73="",G73=""),"",J73-G73)</f>
        <v/>
      </c>
      <c r="M73" s="59">
        <v>2262</v>
      </c>
      <c r="N73" s="59">
        <v>2256</v>
      </c>
      <c r="O73" s="59">
        <v>180</v>
      </c>
      <c r="P73" s="59"/>
      <c r="Q73" s="59"/>
      <c r="R73" s="60">
        <f>IF(AND(P73="",Q73=""),"",N(P73)+N(Q73))</f>
        <v/>
      </c>
      <c r="S73" s="59"/>
      <c r="T73" s="59"/>
      <c r="U73" s="62">
        <f>IF(OR(R73="",S73="",T73=""),"",IF(S73+T73=0,"",R73/(S73+T73)))</f>
        <v/>
      </c>
      <c r="V73" s="63" t="s">
        <v>109</v>
      </c>
      <c r="W73" s="64"/>
      <c r="X73" s="63"/>
    </row>
    <row r="74" spans="2:24">
      <c r="B74" s="58">
        <v>46117</v>
      </c>
      <c r="C74" s="59">
        <v>30599</v>
      </c>
      <c r="D74" s="59">
        <v>19318</v>
      </c>
      <c r="E74" s="59">
        <v>1938</v>
      </c>
      <c r="F74" s="59">
        <v>1838</v>
      </c>
      <c r="G74" s="60">
        <f>IF(OR(E74="",F74="",C74="",D74=""),"",IF(C74+D74=0,"",(E74*C74+F74*D74)/(C74+D74)))</f>
        <v/>
      </c>
      <c r="H74" s="59">
        <v>1890</v>
      </c>
      <c r="I74" s="60">
        <f>IF(OR(H74="",E74="",C74="",D74=""),"",IF(C74+D74=0,"",(H74*D74+E74*C74)/(C74+D74)))</f>
        <v/>
      </c>
      <c r="J74" s="59">
        <v>2191</v>
      </c>
      <c r="K74" s="61">
        <f>IF(OR(J74="",I74=""),"",J74-I74)</f>
        <v/>
      </c>
      <c r="L74" s="61">
        <f>IF(OR(J74="",G74=""),"",J74-G74)</f>
        <v/>
      </c>
      <c r="M74" s="59">
        <v>2219</v>
      </c>
      <c r="N74" s="59">
        <v>2070</v>
      </c>
      <c r="O74" s="59">
        <v>180</v>
      </c>
      <c r="P74" s="59"/>
      <c r="Q74" s="59"/>
      <c r="R74" s="60">
        <f>IF(AND(P74="",Q74=""),"",N(P74)+N(Q74))</f>
        <v/>
      </c>
      <c r="S74" s="59"/>
      <c r="T74" s="59"/>
      <c r="U74" s="62">
        <f>IF(OR(R74="",S74="",T74=""),"",IF(S74+T74=0,"",R74/(S74+T74)))</f>
        <v/>
      </c>
      <c r="V74" s="63" t="s">
        <v>109</v>
      </c>
      <c r="W74" s="64"/>
      <c r="X74" s="63"/>
    </row>
    <row r="75" spans="2:24">
      <c r="B75" s="58">
        <v>46118</v>
      </c>
      <c r="C75" s="59">
        <v>28932</v>
      </c>
      <c r="D75" s="59">
        <v>19039</v>
      </c>
      <c r="E75" s="59">
        <v>1992</v>
      </c>
      <c r="F75" s="59">
        <v>2007</v>
      </c>
      <c r="G75" s="60">
        <f>IF(OR(E75="",F75="",C75="",D75=""),"",IF(C75+D75=0,"",(E75*C75+F75*D75)/(C75+D75)))</f>
        <v/>
      </c>
      <c r="H75" s="59">
        <v>1812</v>
      </c>
      <c r="I75" s="60">
        <f>IF(OR(H75="",E75="",C75="",D75=""),"",IF(C75+D75=0,"",(H75*D75+E75*C75)/(C75+D75)))</f>
        <v/>
      </c>
      <c r="J75" s="59">
        <v>2180</v>
      </c>
      <c r="K75" s="61">
        <f>IF(OR(J75="",I75=""),"",J75-I75)</f>
        <v/>
      </c>
      <c r="L75" s="61">
        <f>IF(OR(J75="",G75=""),"",J75-G75)</f>
        <v/>
      </c>
      <c r="M75" s="59">
        <v>2140</v>
      </c>
      <c r="N75" s="59">
        <v>2180</v>
      </c>
      <c r="O75" s="59">
        <v>180</v>
      </c>
      <c r="P75" s="59"/>
      <c r="Q75" s="59"/>
      <c r="R75" s="60">
        <f>IF(AND(P75="",Q75=""),"",N(P75)+N(Q75))</f>
        <v/>
      </c>
      <c r="S75" s="59"/>
      <c r="T75" s="59"/>
      <c r="U75" s="62">
        <f>IF(OR(R75="",S75="",T75=""),"",IF(S75+T75=0,"",R75/(S75+T75)))</f>
        <v/>
      </c>
      <c r="V75" s="63" t="s">
        <v>109</v>
      </c>
      <c r="W75" s="64"/>
      <c r="X75" s="63"/>
    </row>
    <row r="76" spans="2:24">
      <c r="B76" s="58">
        <v>46119</v>
      </c>
      <c r="C76" s="59">
        <v>31632</v>
      </c>
      <c r="D76" s="59">
        <v>9906</v>
      </c>
      <c r="E76" s="59">
        <v>1971</v>
      </c>
      <c r="F76" s="59">
        <v>1728</v>
      </c>
      <c r="G76" s="60">
        <f>IF(OR(E76="",F76="",C76="",D76=""),"",IF(C76+D76=0,"",(E76*C76+F76*D76)/(C76+D76)))</f>
        <v/>
      </c>
      <c r="H76" s="59">
        <v>1788</v>
      </c>
      <c r="I76" s="60">
        <f>IF(OR(H76="",E76="",C76="",D76=""),"",IF(C76+D76=0,"",(H76*D76+E76*C76)/(C76+D76)))</f>
        <v/>
      </c>
      <c r="J76" s="59">
        <v>2157</v>
      </c>
      <c r="K76" s="61">
        <f>IF(OR(J76="",I76=""),"",J76-I76)</f>
        <v/>
      </c>
      <c r="L76" s="61">
        <f>IF(OR(J76="",G76=""),"",J76-G76)</f>
        <v/>
      </c>
      <c r="M76" s="59">
        <v>2112</v>
      </c>
      <c r="N76" s="59">
        <v>2072</v>
      </c>
      <c r="O76" s="59">
        <v>180</v>
      </c>
      <c r="P76" s="59"/>
      <c r="Q76" s="59"/>
      <c r="R76" s="60">
        <f>IF(AND(P76="",Q76=""),"",N(P76)+N(Q76))</f>
        <v/>
      </c>
      <c r="S76" s="59"/>
      <c r="T76" s="59"/>
      <c r="U76" s="62">
        <f>IF(OR(R76="",S76="",T76=""),"",IF(S76+T76=0,"",R76/(S76+T76)))</f>
        <v/>
      </c>
      <c r="V76" s="63" t="s">
        <v>109</v>
      </c>
      <c r="W76" s="64"/>
      <c r="X76" s="63"/>
    </row>
    <row r="77" spans="2:24">
      <c r="B77" s="58">
        <v>46120</v>
      </c>
      <c r="C77" s="59">
        <v>34099</v>
      </c>
      <c r="D77" s="59">
        <v>14606</v>
      </c>
      <c r="E77" s="59">
        <v>1870</v>
      </c>
      <c r="F77" s="59">
        <v>2318</v>
      </c>
      <c r="G77" s="60">
        <f>IF(OR(E77="",F77="",C77="",D77=""),"",IF(C77+D77=0,"",(E77*C77+F77*D77)/(C77+D77)))</f>
        <v/>
      </c>
      <c r="H77" s="59">
        <v>2078</v>
      </c>
      <c r="I77" s="60">
        <f>IF(OR(H77="",E77="",C77="",D77=""),"",IF(C77+D77=0,"",(H77*D77+E77*C77)/(C77+D77)))</f>
        <v/>
      </c>
      <c r="J77" s="59">
        <v>2154</v>
      </c>
      <c r="K77" s="61">
        <f>IF(OR(J77="",I77=""),"",J77-I77)</f>
        <v/>
      </c>
      <c r="L77" s="61">
        <f>IF(OR(J77="",G77=""),"",J77-G77)</f>
        <v/>
      </c>
      <c r="M77" s="59">
        <v>1888</v>
      </c>
      <c r="N77" s="59">
        <v>1959</v>
      </c>
      <c r="O77" s="59">
        <v>180</v>
      </c>
      <c r="P77" s="59"/>
      <c r="Q77" s="59"/>
      <c r="R77" s="60">
        <f>IF(AND(P77="",Q77=""),"",N(P77)+N(Q77))</f>
        <v/>
      </c>
      <c r="S77" s="59"/>
      <c r="T77" s="59"/>
      <c r="U77" s="62">
        <f>IF(OR(R77="",S77="",T77=""),"",IF(S77+T77=0,"",R77/(S77+T77)))</f>
        <v/>
      </c>
      <c r="V77" s="63" t="s">
        <v>109</v>
      </c>
      <c r="W77" s="64"/>
      <c r="X77" s="63"/>
    </row>
    <row r="78" spans="2:24">
      <c r="B78" s="58">
        <v>46121</v>
      </c>
      <c r="C78" s="59">
        <v>25467</v>
      </c>
      <c r="D78" s="59">
        <v>16038</v>
      </c>
      <c r="E78" s="59">
        <v>1773</v>
      </c>
      <c r="F78" s="59">
        <v>2007</v>
      </c>
      <c r="G78" s="60">
        <f>IF(OR(E78="",F78="",C78="",D78=""),"",IF(C78+D78=0,"",(E78*C78+F78*D78)/(C78+D78)))</f>
        <v/>
      </c>
      <c r="H78" s="59">
        <v>2025</v>
      </c>
      <c r="I78" s="60">
        <f>IF(OR(H78="",E78="",C78="",D78=""),"",IF(C78+D78=0,"",(H78*D78+E78*C78)/(C78+D78)))</f>
        <v/>
      </c>
      <c r="J78" s="59">
        <v>2086</v>
      </c>
      <c r="K78" s="61">
        <f>IF(OR(J78="",I78=""),"",J78-I78)</f>
        <v/>
      </c>
      <c r="L78" s="61">
        <f>IF(OR(J78="",G78=""),"",J78-G78)</f>
        <v/>
      </c>
      <c r="M78" s="59">
        <v>2135</v>
      </c>
      <c r="N78" s="59">
        <v>2043</v>
      </c>
      <c r="O78" s="59">
        <v>200</v>
      </c>
      <c r="P78" s="59"/>
      <c r="Q78" s="59"/>
      <c r="R78" s="60">
        <f>IF(AND(P78="",Q78=""),"",N(P78)+N(Q78))</f>
        <v/>
      </c>
      <c r="S78" s="59"/>
      <c r="T78" s="59"/>
      <c r="U78" s="62">
        <f>IF(OR(R78="",S78="",T78=""),"",IF(S78+T78=0,"",R78/(S78+T78)))</f>
        <v/>
      </c>
      <c r="V78" s="63" t="s">
        <v>109</v>
      </c>
      <c r="W78" s="64"/>
      <c r="X78" s="63"/>
    </row>
    <row r="79" spans="2:24">
      <c r="B79" s="58">
        <v>46122</v>
      </c>
      <c r="C79" s="59">
        <v>25557</v>
      </c>
      <c r="D79" s="59">
        <v>19037</v>
      </c>
      <c r="E79" s="59">
        <v>1924</v>
      </c>
      <c r="F79" s="59">
        <v>1953</v>
      </c>
      <c r="G79" s="60">
        <f>IF(OR(E79="",F79="",C79="",D79=""),"",IF(C79+D79=0,"",(E79*C79+F79*D79)/(C79+D79)))</f>
        <v/>
      </c>
      <c r="H79" s="59">
        <v>1912</v>
      </c>
      <c r="I79" s="60">
        <f>IF(OR(H79="",E79="",C79="",D79=""),"",IF(C79+D79=0,"",(H79*D79+E79*C79)/(C79+D79)))</f>
        <v/>
      </c>
      <c r="J79" s="59">
        <v>2003</v>
      </c>
      <c r="K79" s="61">
        <f>IF(OR(J79="",I79=""),"",J79-I79)</f>
        <v/>
      </c>
      <c r="L79" s="61">
        <f>IF(OR(J79="",G79=""),"",J79-G79)</f>
        <v/>
      </c>
      <c r="M79" s="59">
        <v>1888</v>
      </c>
      <c r="N79" s="59">
        <v>2001</v>
      </c>
      <c r="O79" s="59">
        <v>200</v>
      </c>
      <c r="P79" s="59"/>
      <c r="Q79" s="59"/>
      <c r="R79" s="60">
        <f>IF(AND(P79="",Q79=""),"",N(P79)+N(Q79))</f>
        <v/>
      </c>
      <c r="S79" s="59"/>
      <c r="T79" s="59"/>
      <c r="U79" s="62">
        <f>IF(OR(R79="",S79="",T79=""),"",IF(S79+T79=0,"",R79/(S79+T79)))</f>
        <v/>
      </c>
      <c r="V79" s="63" t="s">
        <v>109</v>
      </c>
      <c r="W79" s="64"/>
      <c r="X79" s="63"/>
    </row>
    <row r="80" spans="2:24">
      <c r="B80" s="58">
        <v>46123</v>
      </c>
      <c r="C80" s="59">
        <v>26304</v>
      </c>
      <c r="D80" s="59">
        <v>15030</v>
      </c>
      <c r="E80" s="59">
        <v>1862</v>
      </c>
      <c r="F80" s="59">
        <v>1755</v>
      </c>
      <c r="G80" s="60">
        <f>IF(OR(E80="",F80="",C80="",D80=""),"",IF(C80+D80=0,"",(E80*C80+F80*D80)/(C80+D80)))</f>
        <v/>
      </c>
      <c r="H80" s="59">
        <v>1797</v>
      </c>
      <c r="I80" s="60">
        <f>IF(OR(H80="",E80="",C80="",D80=""),"",IF(C80+D80=0,"",(H80*D80+E80*C80)/(C80+D80)))</f>
        <v/>
      </c>
      <c r="J80" s="59">
        <v>1960</v>
      </c>
      <c r="K80" s="61">
        <f>IF(OR(J80="",I80=""),"",J80-I80)</f>
        <v/>
      </c>
      <c r="L80" s="61">
        <f>IF(OR(J80="",G80=""),"",J80-G80)</f>
        <v/>
      </c>
      <c r="M80" s="59">
        <v>1944</v>
      </c>
      <c r="N80" s="59">
        <v>2074</v>
      </c>
      <c r="O80" s="59">
        <v>200</v>
      </c>
      <c r="P80" s="59"/>
      <c r="Q80" s="59"/>
      <c r="R80" s="60">
        <f>IF(AND(P80="",Q80=""),"",N(P80)+N(Q80))</f>
        <v/>
      </c>
      <c r="S80" s="59"/>
      <c r="T80" s="59"/>
      <c r="U80" s="62">
        <f>IF(OR(R80="",S80="",T80=""),"",IF(S80+T80=0,"",R80/(S80+T80)))</f>
        <v/>
      </c>
      <c r="V80" s="63" t="s">
        <v>109</v>
      </c>
      <c r="W80" s="64"/>
      <c r="X80" s="63"/>
    </row>
    <row r="81" spans="2:24">
      <c r="B81" s="58">
        <v>46124</v>
      </c>
      <c r="C81" s="59">
        <v>29382</v>
      </c>
      <c r="D81" s="59">
        <v>19519</v>
      </c>
      <c r="E81" s="59">
        <v>1656</v>
      </c>
      <c r="F81" s="59">
        <v>1572</v>
      </c>
      <c r="G81" s="60">
        <f>IF(OR(E81="",F81="",C81="",D81=""),"",IF(C81+D81=0,"",(E81*C81+F81*D81)/(C81+D81)))</f>
        <v/>
      </c>
      <c r="H81" s="59">
        <v>1494</v>
      </c>
      <c r="I81" s="60">
        <f>IF(OR(H81="",E81="",C81="",D81=""),"",IF(C81+D81=0,"",(H81*D81+E81*C81)/(C81+D81)))</f>
        <v/>
      </c>
      <c r="J81" s="59">
        <v>1612</v>
      </c>
      <c r="K81" s="61">
        <f>IF(OR(J81="",I81=""),"",J81-I81)</f>
        <v/>
      </c>
      <c r="L81" s="61">
        <f>IF(OR(J81="",G81=""),"",J81-G81)</f>
        <v/>
      </c>
      <c r="M81" s="59">
        <v>1568</v>
      </c>
      <c r="N81" s="59">
        <v>1878</v>
      </c>
      <c r="O81" s="59">
        <v>200</v>
      </c>
      <c r="P81" s="59"/>
      <c r="Q81" s="59"/>
      <c r="R81" s="60">
        <f>IF(AND(P81="",Q81=""),"",N(P81)+N(Q81))</f>
        <v/>
      </c>
      <c r="S81" s="59"/>
      <c r="T81" s="59"/>
      <c r="U81" s="62">
        <f>IF(OR(R81="",S81="",T81=""),"",IF(S81+T81=0,"",R81/(S81+T81)))</f>
        <v/>
      </c>
      <c r="V81" s="63" t="s">
        <v>109</v>
      </c>
      <c r="W81" s="64"/>
      <c r="X81" s="63"/>
    </row>
    <row r="82" spans="2:24">
      <c r="B82" s="58">
        <v>46125</v>
      </c>
      <c r="C82" s="59">
        <v>25206</v>
      </c>
      <c r="D82" s="59">
        <v>19830</v>
      </c>
      <c r="E82" s="59">
        <v>1721</v>
      </c>
      <c r="F82" s="59">
        <v>1694</v>
      </c>
      <c r="G82" s="60">
        <f>IF(OR(E82="",F82="",C82="",D82=""),"",IF(C82+D82=0,"",(E82*C82+F82*D82)/(C82+D82)))</f>
        <v/>
      </c>
      <c r="H82" s="59">
        <v>1605</v>
      </c>
      <c r="I82" s="60">
        <f>IF(OR(H82="",E82="",C82="",D82=""),"",IF(C82+D82=0,"",(H82*D82+E82*C82)/(C82+D82)))</f>
        <v/>
      </c>
      <c r="J82" s="59">
        <v>1734</v>
      </c>
      <c r="K82" s="61">
        <f>IF(OR(J82="",I82=""),"",J82-I82)</f>
        <v/>
      </c>
      <c r="L82" s="61">
        <f>IF(OR(J82="",G82=""),"",J82-G82)</f>
        <v/>
      </c>
      <c r="M82" s="59">
        <v>1798</v>
      </c>
      <c r="N82" s="59">
        <v>1666</v>
      </c>
      <c r="O82" s="59">
        <v>180</v>
      </c>
      <c r="P82" s="59"/>
      <c r="Q82" s="59"/>
      <c r="R82" s="60">
        <f>IF(AND(P82="",Q82=""),"",N(P82)+N(Q82))</f>
        <v/>
      </c>
      <c r="S82" s="59"/>
      <c r="T82" s="59"/>
      <c r="U82" s="62">
        <f>IF(OR(R82="",S82="",T82=""),"",IF(S82+T82=0,"",R82/(S82+T82)))</f>
        <v/>
      </c>
      <c r="V82" s="63" t="s">
        <v>109</v>
      </c>
      <c r="W82" s="64"/>
      <c r="X82" s="63"/>
    </row>
    <row r="83" spans="2:24">
      <c r="B83" s="58">
        <v>46126</v>
      </c>
      <c r="C83" s="59">
        <v>16554</v>
      </c>
      <c r="D83" s="59">
        <v>21540</v>
      </c>
      <c r="E83" s="59">
        <v>1911</v>
      </c>
      <c r="F83" s="59">
        <v>1753</v>
      </c>
      <c r="G83" s="60">
        <f>IF(OR(E83="",F83="",C83="",D83=""),"",IF(C83+D83=0,"",(E83*C83+F83*D83)/(C83+D83)))</f>
        <v/>
      </c>
      <c r="H83" s="59">
        <v>1629</v>
      </c>
      <c r="I83" s="60">
        <f>IF(OR(H83="",E83="",C83="",D83=""),"",IF(C83+D83=0,"",(H83*D83+E83*C83)/(C83+D83)))</f>
        <v/>
      </c>
      <c r="J83" s="59">
        <v>1869</v>
      </c>
      <c r="K83" s="61">
        <f>IF(OR(J83="",I83=""),"",J83-I83)</f>
        <v/>
      </c>
      <c r="L83" s="61">
        <f>IF(OR(J83="",G83=""),"",J83-G83)</f>
        <v/>
      </c>
      <c r="M83" s="59">
        <v>1779</v>
      </c>
      <c r="N83" s="59">
        <v>1728</v>
      </c>
      <c r="O83" s="59">
        <v>180</v>
      </c>
      <c r="P83" s="59"/>
      <c r="Q83" s="59"/>
      <c r="R83" s="60">
        <f>IF(AND(P83="",Q83=""),"",N(P83)+N(Q83))</f>
        <v/>
      </c>
      <c r="S83" s="59"/>
      <c r="T83" s="59"/>
      <c r="U83" s="62">
        <f>IF(OR(R83="",S83="",T83=""),"",IF(S83+T83=0,"",R83/(S83+T83)))</f>
        <v/>
      </c>
      <c r="V83" s="63" t="s">
        <v>109</v>
      </c>
      <c r="W83" s="64"/>
      <c r="X83" s="63"/>
    </row>
    <row r="84" spans="2:24">
      <c r="B84" s="58">
        <v>46127</v>
      </c>
      <c r="C84" s="59">
        <v>22126</v>
      </c>
      <c r="D84" s="59">
        <v>20937</v>
      </c>
      <c r="E84" s="59">
        <v>1957</v>
      </c>
      <c r="F84" s="59">
        <v>1924</v>
      </c>
      <c r="G84" s="60">
        <f>IF(OR(E84="",F84="",C84="",D84=""),"",IF(C84+D84=0,"",(E84*C84+F84*D84)/(C84+D84)))</f>
        <v/>
      </c>
      <c r="H84" s="59">
        <v>1691</v>
      </c>
      <c r="I84" s="60">
        <f>IF(OR(H84="",E84="",C84="",D84=""),"",IF(C84+D84=0,"",(H84*D84+E84*C84)/(C84+D84)))</f>
        <v/>
      </c>
      <c r="J84" s="59">
        <v>1852</v>
      </c>
      <c r="K84" s="61">
        <f>IF(OR(J84="",I84=""),"",J84-I84)</f>
        <v/>
      </c>
      <c r="L84" s="61">
        <f>IF(OR(J84="",G84=""),"",J84-G84)</f>
        <v/>
      </c>
      <c r="M84" s="59">
        <v>1817</v>
      </c>
      <c r="N84" s="59">
        <v>1820</v>
      </c>
      <c r="O84" s="59">
        <v>160</v>
      </c>
      <c r="P84" s="59"/>
      <c r="Q84" s="59"/>
      <c r="R84" s="60">
        <f>IF(AND(P84="",Q84=""),"",N(P84)+N(Q84))</f>
        <v/>
      </c>
      <c r="S84" s="59"/>
      <c r="T84" s="59"/>
      <c r="U84" s="62">
        <f>IF(OR(R84="",S84="",T84=""),"",IF(S84+T84=0,"",R84/(S84+T84)))</f>
        <v/>
      </c>
      <c r="V84" s="63" t="s">
        <v>109</v>
      </c>
      <c r="W84" s="64"/>
      <c r="X84" s="63"/>
    </row>
    <row r="85" spans="2:24">
      <c r="B85" s="58">
        <v>46128</v>
      </c>
      <c r="C85" s="59">
        <v>26147</v>
      </c>
      <c r="D85" s="59">
        <v>18771</v>
      </c>
      <c r="E85" s="59">
        <v>1699</v>
      </c>
      <c r="F85" s="59">
        <v>1911</v>
      </c>
      <c r="G85" s="60">
        <f>IF(OR(E85="",F85="",C85="",D85=""),"",IF(C85+D85=0,"",(E85*C85+F85*D85)/(C85+D85)))</f>
        <v/>
      </c>
      <c r="H85" s="59">
        <v>1809</v>
      </c>
      <c r="I85" s="60">
        <f>IF(OR(H85="",E85="",C85="",D85=""),"",IF(C85+D85=0,"",(H85*D85+E85*C85)/(C85+D85)))</f>
        <v/>
      </c>
      <c r="J85" s="59">
        <v>1945</v>
      </c>
      <c r="K85" s="61">
        <f>IF(OR(J85="",I85=""),"",J85-I85)</f>
        <v/>
      </c>
      <c r="L85" s="61">
        <f>IF(OR(J85="",G85=""),"",J85-G85)</f>
        <v/>
      </c>
      <c r="M85" s="59">
        <v>1875</v>
      </c>
      <c r="N85" s="59">
        <v>1984</v>
      </c>
      <c r="O85" s="59">
        <v>160</v>
      </c>
      <c r="P85" s="59"/>
      <c r="Q85" s="59"/>
      <c r="R85" s="60">
        <f>IF(AND(P85="",Q85=""),"",N(P85)+N(Q85))</f>
        <v/>
      </c>
      <c r="S85" s="59"/>
      <c r="T85" s="59"/>
      <c r="U85" s="62">
        <f>IF(OR(R85="",S85="",T85=""),"",IF(S85+T85=0,"",R85/(S85+T85)))</f>
        <v/>
      </c>
      <c r="V85" s="63" t="s">
        <v>109</v>
      </c>
      <c r="W85" s="64"/>
      <c r="X85" s="63"/>
    </row>
    <row r="86" spans="2:24">
      <c r="B86" s="58">
        <v>46129</v>
      </c>
      <c r="C86" s="59">
        <v>29236</v>
      </c>
      <c r="D86" s="59">
        <v>21448</v>
      </c>
      <c r="E86" s="59">
        <v>1830</v>
      </c>
      <c r="F86" s="59">
        <v>2135</v>
      </c>
      <c r="G86" s="60">
        <f>IF(OR(E86="",F86="",C86="",D86=""),"",IF(C86+D86=0,"",(E86*C86+F86*D86)/(C86+D86)))</f>
        <v/>
      </c>
      <c r="H86" s="59">
        <v>1978</v>
      </c>
      <c r="I86" s="60">
        <f>IF(OR(H86="",E86="",C86="",D86=""),"",IF(C86+D86=0,"",(H86*D86+E86*C86)/(C86+D86)))</f>
        <v/>
      </c>
      <c r="J86" s="59">
        <v>2016</v>
      </c>
      <c r="K86" s="61">
        <f>IF(OR(J86="",I86=""),"",J86-I86)</f>
        <v/>
      </c>
      <c r="L86" s="61">
        <f>IF(OR(J86="",G86=""),"",J86-G86)</f>
        <v/>
      </c>
      <c r="M86" s="59">
        <v>1912</v>
      </c>
      <c r="N86" s="59">
        <v>2263</v>
      </c>
      <c r="O86" s="59">
        <v>160</v>
      </c>
      <c r="P86" s="59"/>
      <c r="Q86" s="59"/>
      <c r="R86" s="60">
        <f>IF(AND(P86="",Q86=""),"",N(P86)+N(Q86))</f>
        <v/>
      </c>
      <c r="S86" s="59"/>
      <c r="T86" s="59"/>
      <c r="U86" s="62">
        <f>IF(OR(R86="",S86="",T86=""),"",IF(S86+T86=0,"",R86/(S86+T86)))</f>
        <v/>
      </c>
      <c r="V86" s="63" t="s">
        <v>109</v>
      </c>
      <c r="W86" s="64"/>
      <c r="X86" s="63"/>
    </row>
    <row r="87" spans="2:24">
      <c r="B87" s="58">
        <v>46130</v>
      </c>
      <c r="C87" s="59">
        <v>31341</v>
      </c>
      <c r="D87" s="59">
        <v>9298</v>
      </c>
      <c r="E87" s="59">
        <v>1747</v>
      </c>
      <c r="F87" s="59">
        <v>2108</v>
      </c>
      <c r="G87" s="60">
        <f>IF(OR(E87="",F87="",C87="",D87=""),"",IF(C87+D87=0,"",(E87*C87+F87*D87)/(C87+D87)))</f>
        <v/>
      </c>
      <c r="H87" s="59">
        <v>2166</v>
      </c>
      <c r="I87" s="60">
        <f>IF(OR(H87="",E87="",C87="",D87=""),"",IF(C87+D87=0,"",(H87*D87+E87*C87)/(C87+D87)))</f>
        <v/>
      </c>
      <c r="J87" s="59">
        <v>1974</v>
      </c>
      <c r="K87" s="61">
        <f>IF(OR(J87="",I87=""),"",J87-I87)</f>
        <v/>
      </c>
      <c r="L87" s="61">
        <f>IF(OR(J87="",G87=""),"",J87-G87)</f>
        <v/>
      </c>
      <c r="M87" s="59">
        <v>1930</v>
      </c>
      <c r="N87" s="59">
        <v>2483</v>
      </c>
      <c r="O87" s="59">
        <v>160</v>
      </c>
      <c r="P87" s="59"/>
      <c r="Q87" s="59"/>
      <c r="R87" s="60">
        <f>IF(AND(P87="",Q87=""),"",N(P87)+N(Q87))</f>
        <v/>
      </c>
      <c r="S87" s="59"/>
      <c r="T87" s="59"/>
      <c r="U87" s="62">
        <f>IF(OR(R87="",S87="",T87=""),"",IF(S87+T87=0,"",R87/(S87+T87)))</f>
        <v/>
      </c>
      <c r="V87" s="63" t="s">
        <v>109</v>
      </c>
      <c r="W87" s="64"/>
      <c r="X87" s="63"/>
    </row>
    <row r="88" spans="2:24">
      <c r="B88" s="58">
        <v>46131</v>
      </c>
      <c r="C88" s="59">
        <v>29453</v>
      </c>
      <c r="D88" s="59">
        <v>10665</v>
      </c>
      <c r="E88" s="59">
        <v>1855</v>
      </c>
      <c r="F88" s="59">
        <v>2006</v>
      </c>
      <c r="G88" s="60">
        <f>IF(OR(E88="",F88="",C88="",D88=""),"",IF(C88+D88=0,"",(E88*C88+F88*D88)/(C88+D88)))</f>
        <v/>
      </c>
      <c r="H88" s="59">
        <v>2049</v>
      </c>
      <c r="I88" s="60">
        <f>IF(OR(H88="",E88="",C88="",D88=""),"",IF(C88+D88=0,"",(H88*D88+E88*C88)/(C88+D88)))</f>
        <v/>
      </c>
      <c r="J88" s="59">
        <v>1965</v>
      </c>
      <c r="K88" s="61">
        <f>IF(OR(J88="",I88=""),"",J88-I88)</f>
        <v/>
      </c>
      <c r="L88" s="61">
        <f>IF(OR(J88="",G88=""),"",J88-G88)</f>
        <v/>
      </c>
      <c r="M88" s="59">
        <v>1681</v>
      </c>
      <c r="N88" s="59">
        <v>1843</v>
      </c>
      <c r="O88" s="59">
        <v>160</v>
      </c>
      <c r="P88" s="59"/>
      <c r="Q88" s="59"/>
      <c r="R88" s="60">
        <f>IF(AND(P88="",Q88=""),"",N(P88)+N(Q88))</f>
        <v/>
      </c>
      <c r="S88" s="59"/>
      <c r="T88" s="59"/>
      <c r="U88" s="62">
        <f>IF(OR(R88="",S88="",T88=""),"",IF(S88+T88=0,"",R88/(S88+T88)))</f>
        <v/>
      </c>
      <c r="V88" s="63" t="s">
        <v>109</v>
      </c>
      <c r="W88" s="64"/>
      <c r="X88" s="63"/>
    </row>
    <row r="89" spans="2:24">
      <c r="B89" s="58">
        <v>46132</v>
      </c>
      <c r="C89" s="59">
        <v>29980</v>
      </c>
      <c r="D89" s="59">
        <v>11665</v>
      </c>
      <c r="E89" s="59">
        <v>1872</v>
      </c>
      <c r="F89" s="59">
        <v>2223</v>
      </c>
      <c r="G89" s="60">
        <f>IF(OR(E89="",F89="",C89="",D89=""),"",IF(C89+D89=0,"",(E89*C89+F89*D89)/(C89+D89)))</f>
        <v/>
      </c>
      <c r="H89" s="59">
        <v>2164</v>
      </c>
      <c r="I89" s="60">
        <f>IF(OR(H89="",E89="",C89="",D89=""),"",IF(C89+D89=0,"",(H89*D89+E89*C89)/(C89+D89)))</f>
        <v/>
      </c>
      <c r="J89" s="59">
        <v>2068</v>
      </c>
      <c r="K89" s="61">
        <f>IF(OR(J89="",I89=""),"",J89-I89)</f>
        <v/>
      </c>
      <c r="L89" s="61">
        <f>IF(OR(J89="",G89=""),"",J89-G89)</f>
        <v/>
      </c>
      <c r="M89" s="59">
        <v>2041</v>
      </c>
      <c r="N89" s="59">
        <v>2080</v>
      </c>
      <c r="O89" s="59">
        <v>160</v>
      </c>
      <c r="P89" s="59"/>
      <c r="Q89" s="59"/>
      <c r="R89" s="60">
        <f>IF(AND(P89="",Q89=""),"",N(P89)+N(Q89))</f>
        <v/>
      </c>
      <c r="S89" s="59"/>
      <c r="T89" s="59"/>
      <c r="U89" s="62">
        <f>IF(OR(R89="",S89="",T89=""),"",IF(S89+T89=0,"",R89/(S89+T89)))</f>
        <v/>
      </c>
      <c r="V89" s="63" t="s">
        <v>109</v>
      </c>
      <c r="W89" s="64"/>
      <c r="X89" s="63"/>
    </row>
    <row r="90" spans="2:24">
      <c r="B90" s="58">
        <v>46133</v>
      </c>
      <c r="C90" s="59">
        <v>30142</v>
      </c>
      <c r="D90" s="59">
        <v>10318</v>
      </c>
      <c r="E90" s="59">
        <v>1904</v>
      </c>
      <c r="F90" s="59">
        <v>1802</v>
      </c>
      <c r="G90" s="60">
        <f>IF(OR(E90="",F90="",C90="",D90=""),"",IF(C90+D90=0,"",(E90*C90+F90*D90)/(C90+D90)))</f>
        <v/>
      </c>
      <c r="H90" s="59">
        <v>1860</v>
      </c>
      <c r="I90" s="60">
        <f>IF(OR(H90="",E90="",C90="",D90=""),"",IF(C90+D90=0,"",(H90*D90+E90*C90)/(C90+D90)))</f>
        <v/>
      </c>
      <c r="J90" s="59">
        <v>2005</v>
      </c>
      <c r="K90" s="61">
        <f>IF(OR(J90="",I90=""),"",J90-I90)</f>
        <v/>
      </c>
      <c r="L90" s="61">
        <f>IF(OR(J90="",G90=""),"",J90-G90)</f>
        <v/>
      </c>
      <c r="M90" s="59">
        <v>2141</v>
      </c>
      <c r="N90" s="59">
        <v>2047</v>
      </c>
      <c r="O90" s="59">
        <v>160</v>
      </c>
      <c r="P90" s="59"/>
      <c r="Q90" s="59"/>
      <c r="R90" s="60">
        <f>IF(AND(P90="",Q90=""),"",N(P90)+N(Q90))</f>
        <v/>
      </c>
      <c r="S90" s="59"/>
      <c r="T90" s="59"/>
      <c r="U90" s="62">
        <f>IF(OR(R90="",S90="",T90=""),"",IF(S90+T90=0,"",R90/(S90+T90)))</f>
        <v/>
      </c>
      <c r="V90" s="63" t="s">
        <v>109</v>
      </c>
      <c r="W90" s="64"/>
      <c r="X90" s="63"/>
    </row>
    <row r="91" spans="2:24">
      <c r="B91" s="58">
        <v>46134</v>
      </c>
      <c r="C91" s="59">
        <v>30349</v>
      </c>
      <c r="D91" s="59">
        <v>12490</v>
      </c>
      <c r="E91" s="59">
        <v>1932</v>
      </c>
      <c r="F91" s="59">
        <v>1992</v>
      </c>
      <c r="G91" s="60">
        <f>IF(OR(E91="",F91="",C91="",D91=""),"",IF(C91+D91=0,"",(E91*C91+F91*D91)/(C91+D91)))</f>
        <v/>
      </c>
      <c r="H91" s="59">
        <v>1880</v>
      </c>
      <c r="I91" s="60">
        <f>IF(OR(H91="",E91="",C91="",D91=""),"",IF(C91+D91=0,"",(H91*D91+E91*C91)/(C91+D91)))</f>
        <v/>
      </c>
      <c r="J91" s="59">
        <v>2054</v>
      </c>
      <c r="K91" s="61">
        <f>IF(OR(J91="",I91=""),"",J91-I91)</f>
        <v/>
      </c>
      <c r="L91" s="61">
        <f>IF(OR(J91="",G91=""),"",J91-G91)</f>
        <v/>
      </c>
      <c r="M91" s="59">
        <v>1983</v>
      </c>
      <c r="N91" s="59">
        <v>1928</v>
      </c>
      <c r="O91" s="59">
        <v>160</v>
      </c>
      <c r="P91" s="59"/>
      <c r="Q91" s="59"/>
      <c r="R91" s="60">
        <f>IF(AND(P91="",Q91=""),"",N(P91)+N(Q91))</f>
        <v/>
      </c>
      <c r="S91" s="59"/>
      <c r="T91" s="59"/>
      <c r="U91" s="62">
        <f>IF(OR(R91="",S91="",T91=""),"",IF(S91+T91=0,"",R91/(S91+T91)))</f>
        <v/>
      </c>
      <c r="V91" s="63" t="s">
        <v>109</v>
      </c>
      <c r="W91" s="64"/>
      <c r="X91" s="63"/>
    </row>
    <row r="92" spans="2:24">
      <c r="B92" s="58">
        <v>46135</v>
      </c>
      <c r="C92" s="59">
        <v>29506</v>
      </c>
      <c r="D92" s="59">
        <v>8028</v>
      </c>
      <c r="E92" s="59">
        <v>1983</v>
      </c>
      <c r="F92" s="59">
        <v>2274</v>
      </c>
      <c r="G92" s="60">
        <f>IF(OR(E92="",F92="",C92="",D92=""),"",IF(C92+D92=0,"",(E92*C92+F92*D92)/(C92+D92)))</f>
        <v/>
      </c>
      <c r="H92" s="59">
        <v>2364</v>
      </c>
      <c r="I92" s="60">
        <f>IF(OR(H92="",E92="",C92="",D92=""),"",IF(C92+D92=0,"",(H92*D92+E92*C92)/(C92+D92)))</f>
        <v/>
      </c>
      <c r="J92" s="59">
        <v>2276</v>
      </c>
      <c r="K92" s="61">
        <f>IF(OR(J92="",I92=""),"",J92-I92)</f>
        <v/>
      </c>
      <c r="L92" s="61">
        <f>IF(OR(J92="",G92=""),"",J92-G92)</f>
        <v/>
      </c>
      <c r="M92" s="59">
        <v>2415</v>
      </c>
      <c r="N92" s="59">
        <v>2058</v>
      </c>
      <c r="O92" s="59">
        <v>160</v>
      </c>
      <c r="P92" s="59"/>
      <c r="Q92" s="59"/>
      <c r="R92" s="60">
        <f>IF(AND(P92="",Q92=""),"",N(P92)+N(Q92))</f>
        <v/>
      </c>
      <c r="S92" s="59"/>
      <c r="T92" s="59"/>
      <c r="U92" s="62">
        <f>IF(OR(R92="",S92="",T92=""),"",IF(S92+T92=0,"",R92/(S92+T92)))</f>
        <v/>
      </c>
      <c r="V92" s="63" t="s">
        <v>109</v>
      </c>
      <c r="W92" s="64"/>
      <c r="X92" s="63"/>
    </row>
    <row r="93" spans="2:24">
      <c r="B93" s="58">
        <v>46136</v>
      </c>
      <c r="C93" s="59">
        <v>30096</v>
      </c>
      <c r="D93" s="59">
        <v>848</v>
      </c>
      <c r="E93" s="59">
        <v>1840</v>
      </c>
      <c r="F93" s="59">
        <v>2268</v>
      </c>
      <c r="G93" s="60">
        <f>IF(OR(E93="",F93="",C93="",D93=""),"",IF(C93+D93=0,"",(E93*C93+F93*D93)/(C93+D93)))</f>
        <v/>
      </c>
      <c r="H93" s="59"/>
      <c r="I93" s="60">
        <f>IF(OR(H93="",E93="",C93="",D93=""),"",IF(C93+D93=0,"",(H93*D93+E93*C93)/(C93+D93)))</f>
        <v/>
      </c>
      <c r="J93" s="59">
        <v>2166</v>
      </c>
      <c r="K93" s="61">
        <f>IF(OR(J93="",I93=""),"",J93-I93)</f>
        <v/>
      </c>
      <c r="L93" s="61">
        <f>IF(OR(J93="",G93=""),"",J93-G93)</f>
        <v/>
      </c>
      <c r="M93" s="59">
        <v>2050</v>
      </c>
      <c r="N93" s="59">
        <v>2159</v>
      </c>
      <c r="O93" s="59">
        <v>160</v>
      </c>
      <c r="P93" s="59"/>
      <c r="Q93" s="59"/>
      <c r="R93" s="60">
        <f>IF(AND(P93="",Q93=""),"",N(P93)+N(Q93))</f>
        <v/>
      </c>
      <c r="S93" s="59"/>
      <c r="T93" s="59"/>
      <c r="U93" s="62">
        <f>IF(OR(R93="",S93="",T93=""),"",IF(S93+T93=0,"",R93/(S93+T93)))</f>
        <v/>
      </c>
      <c r="V93" s="63" t="s">
        <v>109</v>
      </c>
      <c r="W93" s="64"/>
      <c r="X93" s="63"/>
    </row>
    <row r="94" spans="2:24">
      <c r="B94" s="58">
        <v>46137</v>
      </c>
      <c r="C94" s="59">
        <v>26918</v>
      </c>
      <c r="D94" s="59">
        <v>17129</v>
      </c>
      <c r="E94" s="59">
        <v>1950</v>
      </c>
      <c r="F94" s="59">
        <v>2266</v>
      </c>
      <c r="G94" s="60">
        <f>IF(OR(E94="",F94="",C94="",D94=""),"",IF(C94+D94=0,"",(E94*C94+F94*D94)/(C94+D94)))</f>
        <v/>
      </c>
      <c r="H94" s="59">
        <v>2259</v>
      </c>
      <c r="I94" s="60">
        <f>IF(OR(H94="",E94="",C94="",D94=""),"",IF(C94+D94=0,"",(H94*D94+E94*C94)/(C94+D94)))</f>
        <v/>
      </c>
      <c r="J94" s="59">
        <v>2164</v>
      </c>
      <c r="K94" s="61">
        <f>IF(OR(J94="",I94=""),"",J94-I94)</f>
        <v/>
      </c>
      <c r="L94" s="61">
        <f>IF(OR(J94="",G94=""),"",J94-G94)</f>
        <v/>
      </c>
      <c r="M94" s="59">
        <v>2102</v>
      </c>
      <c r="N94" s="59">
        <v>2226</v>
      </c>
      <c r="O94" s="59">
        <v>160</v>
      </c>
      <c r="P94" s="59"/>
      <c r="Q94" s="59"/>
      <c r="R94" s="60">
        <f>IF(AND(P94="",Q94=""),"",N(P94)+N(Q94))</f>
        <v/>
      </c>
      <c r="S94" s="59"/>
      <c r="T94" s="59"/>
      <c r="U94" s="62">
        <f>IF(OR(R94="",S94="",T94=""),"",IF(S94+T94=0,"",R94/(S94+T94)))</f>
        <v/>
      </c>
      <c r="V94" s="63" t="s">
        <v>109</v>
      </c>
      <c r="W94" s="64"/>
      <c r="X94" s="63"/>
    </row>
    <row r="95" spans="2:24">
      <c r="B95" s="58">
        <v>46138</v>
      </c>
      <c r="C95" s="59">
        <v>31087</v>
      </c>
      <c r="D95" s="59">
        <v>19497</v>
      </c>
      <c r="E95" s="59">
        <v>1765</v>
      </c>
      <c r="F95" s="59">
        <v>1918</v>
      </c>
      <c r="G95" s="60">
        <f>IF(OR(E95="",F95="",C95="",D95=""),"",IF(C95+D95=0,"",(E95*C95+F95*D95)/(C95+D95)))</f>
        <v/>
      </c>
      <c r="H95" s="59">
        <v>1911</v>
      </c>
      <c r="I95" s="60">
        <f>IF(OR(H95="",E95="",C95="",D95=""),"",IF(C95+D95=0,"",(H95*D95+E95*C95)/(C95+D95)))</f>
        <v/>
      </c>
      <c r="J95" s="59">
        <v>2041</v>
      </c>
      <c r="K95" s="61">
        <f>IF(OR(J95="",I95=""),"",J95-I95)</f>
        <v/>
      </c>
      <c r="L95" s="61">
        <f>IF(OR(J95="",G95=""),"",J95-G95)</f>
        <v/>
      </c>
      <c r="M95" s="59">
        <v>2158</v>
      </c>
      <c r="N95" s="59">
        <v>2336</v>
      </c>
      <c r="O95" s="59">
        <v>160</v>
      </c>
      <c r="P95" s="59"/>
      <c r="Q95" s="59"/>
      <c r="R95" s="60">
        <f>IF(AND(P95="",Q95=""),"",N(P95)+N(Q95))</f>
        <v/>
      </c>
      <c r="S95" s="59"/>
      <c r="T95" s="59"/>
      <c r="U95" s="62">
        <f>IF(OR(R95="",S95="",T95=""),"",IF(S95+T95=0,"",R95/(S95+T95)))</f>
        <v/>
      </c>
      <c r="V95" s="63" t="s">
        <v>109</v>
      </c>
      <c r="W95" s="64"/>
      <c r="X95" s="63"/>
    </row>
    <row r="96" spans="2:24">
      <c r="B96" s="58">
        <v>46139</v>
      </c>
      <c r="C96" s="59">
        <v>32501</v>
      </c>
      <c r="D96" s="59">
        <v>17573</v>
      </c>
      <c r="E96" s="59">
        <v>1917</v>
      </c>
      <c r="F96" s="59">
        <v>2132</v>
      </c>
      <c r="G96" s="60">
        <f>IF(OR(E96="",F96="",C96="",D96=""),"",IF(C96+D96=0,"",(E96*C96+F96*D96)/(C96+D96)))</f>
        <v/>
      </c>
      <c r="H96" s="59">
        <v>1966</v>
      </c>
      <c r="I96" s="60">
        <f>IF(OR(H96="",E96="",C96="",D96=""),"",IF(C96+D96=0,"",(H96*D96+E96*C96)/(C96+D96)))</f>
        <v/>
      </c>
      <c r="J96" s="59">
        <v>2130</v>
      </c>
      <c r="K96" s="61">
        <f>IF(OR(J96="",I96=""),"",J96-I96)</f>
        <v/>
      </c>
      <c r="L96" s="61">
        <f>IF(OR(J96="",G96=""),"",J96-G96)</f>
        <v/>
      </c>
      <c r="M96" s="59">
        <v>2189</v>
      </c>
      <c r="N96" s="59">
        <v>2090</v>
      </c>
      <c r="O96" s="59">
        <v>160</v>
      </c>
      <c r="P96" s="59"/>
      <c r="Q96" s="59"/>
      <c r="R96" s="60">
        <f>IF(AND(P96="",Q96=""),"",N(P96)+N(Q96))</f>
        <v/>
      </c>
      <c r="S96" s="59"/>
      <c r="T96" s="59"/>
      <c r="U96" s="62">
        <f>IF(OR(R96="",S96="",T96=""),"",IF(S96+T96=0,"",R96/(S96+T96)))</f>
        <v/>
      </c>
      <c r="V96" s="63" t="s">
        <v>109</v>
      </c>
      <c r="W96" s="64"/>
      <c r="X96" s="63"/>
    </row>
    <row r="97" spans="2:24">
      <c r="B97" s="58">
        <v>46140</v>
      </c>
      <c r="C97" s="59">
        <v>29888</v>
      </c>
      <c r="D97" s="59">
        <v>23165</v>
      </c>
      <c r="E97" s="59">
        <v>2151</v>
      </c>
      <c r="F97" s="59">
        <v>1888</v>
      </c>
      <c r="G97" s="60">
        <f>IF(OR(E97="",F97="",C97="",D97=""),"",IF(C97+D97=0,"",(E97*C97+F97*D97)/(C97+D97)))</f>
        <v/>
      </c>
      <c r="H97" s="59">
        <v>1950</v>
      </c>
      <c r="I97" s="60">
        <f>IF(OR(H97="",E97="",C97="",D97=""),"",IF(C97+D97=0,"",(H97*D97+E97*C97)/(C97+D97)))</f>
        <v/>
      </c>
      <c r="J97" s="59">
        <v>2324</v>
      </c>
      <c r="K97" s="61">
        <f>IF(OR(J97="",I97=""),"",J97-I97)</f>
        <v/>
      </c>
      <c r="L97" s="61">
        <f>IF(OR(J97="",G97=""),"",J97-G97)</f>
        <v/>
      </c>
      <c r="M97" s="59">
        <v>2319</v>
      </c>
      <c r="N97" s="59">
        <v>2253</v>
      </c>
      <c r="O97" s="59">
        <v>160</v>
      </c>
      <c r="P97" s="59"/>
      <c r="Q97" s="59"/>
      <c r="R97" s="60">
        <f>IF(AND(P97="",Q97=""),"",N(P97)+N(Q97))</f>
        <v/>
      </c>
      <c r="S97" s="59"/>
      <c r="T97" s="59"/>
      <c r="U97" s="62">
        <f>IF(OR(R97="",S97="",T97=""),"",IF(S97+T97=0,"",R97/(S97+T97)))</f>
        <v/>
      </c>
      <c r="V97" s="63" t="s">
        <v>109</v>
      </c>
      <c r="W97" s="64"/>
      <c r="X97" s="63"/>
    </row>
    <row r="98" spans="2:24">
      <c r="B98" s="58">
        <v>46141</v>
      </c>
      <c r="C98" s="59">
        <v>28820</v>
      </c>
      <c r="D98" s="59">
        <v>21444</v>
      </c>
      <c r="E98" s="59">
        <v>2054</v>
      </c>
      <c r="F98" s="59">
        <v>1914</v>
      </c>
      <c r="G98" s="60">
        <f>IF(OR(E98="",F98="",C98="",D98=""),"",IF(C98+D98=0,"",(E98*C98+F98*D98)/(C98+D98)))</f>
        <v/>
      </c>
      <c r="H98" s="59">
        <v>1744</v>
      </c>
      <c r="I98" s="60">
        <f>IF(OR(H98="",E98="",C98="",D98=""),"",IF(C98+D98=0,"",(H98*D98+E98*C98)/(C98+D98)))</f>
        <v/>
      </c>
      <c r="J98" s="59">
        <v>2191</v>
      </c>
      <c r="K98" s="61">
        <f>IF(OR(J98="",I98=""),"",J98-I98)</f>
        <v/>
      </c>
      <c r="L98" s="61">
        <f>IF(OR(J98="",G98=""),"",J98-G98)</f>
        <v/>
      </c>
      <c r="M98" s="59">
        <v>2215</v>
      </c>
      <c r="N98" s="59">
        <v>2370</v>
      </c>
      <c r="O98" s="59">
        <v>160</v>
      </c>
      <c r="P98" s="59"/>
      <c r="Q98" s="59"/>
      <c r="R98" s="60">
        <f>IF(AND(P98="",Q98=""),"",N(P98)+N(Q98))</f>
        <v/>
      </c>
      <c r="S98" s="59"/>
      <c r="T98" s="59"/>
      <c r="U98" s="62">
        <f>IF(OR(R98="",S98="",T98=""),"",IF(S98+T98=0,"",R98/(S98+T98)))</f>
        <v/>
      </c>
      <c r="V98" s="63" t="s">
        <v>109</v>
      </c>
      <c r="W98" s="64"/>
      <c r="X98" s="63"/>
    </row>
    <row r="99" spans="2:24">
      <c r="B99" s="58">
        <v>46142</v>
      </c>
      <c r="C99" s="59">
        <v>31032</v>
      </c>
      <c r="D99" s="59">
        <v>18728</v>
      </c>
      <c r="E99" s="59">
        <v>2143</v>
      </c>
      <c r="F99" s="59">
        <v>1993</v>
      </c>
      <c r="G99" s="60">
        <f>IF(OR(E99="",F99="",C99="",D99=""),"",IF(C99+D99=0,"",(E99*C99+F99*D99)/(C99+D99)))</f>
        <v/>
      </c>
      <c r="H99" s="59">
        <v>1896</v>
      </c>
      <c r="I99" s="60">
        <f>IF(OR(H99="",E99="",C99="",D99=""),"",IF(C99+D99=0,"",(H99*D99+E99*C99)/(C99+D99)))</f>
        <v/>
      </c>
      <c r="J99" s="59">
        <v>2251</v>
      </c>
      <c r="K99" s="61">
        <f>IF(OR(J99="",I99=""),"",J99-I99)</f>
        <v/>
      </c>
      <c r="L99" s="61">
        <f>IF(OR(J99="",G99=""),"",J99-G99)</f>
        <v/>
      </c>
      <c r="M99" s="59">
        <v>2112</v>
      </c>
      <c r="N99" s="59">
        <v>2215</v>
      </c>
      <c r="O99" s="59">
        <v>160</v>
      </c>
      <c r="P99" s="59"/>
      <c r="Q99" s="59"/>
      <c r="R99" s="60">
        <f>IF(AND(P99="",Q99=""),"",N(P99)+N(Q99))</f>
        <v/>
      </c>
      <c r="S99" s="59"/>
      <c r="T99" s="59"/>
      <c r="U99" s="62">
        <f>IF(OR(R99="",S99="",T99=""),"",IF(S99+T99=0,"",R99/(S99+T99)))</f>
        <v/>
      </c>
      <c r="V99" s="63" t="s">
        <v>109</v>
      </c>
      <c r="W99" s="64"/>
      <c r="X99" s="63"/>
    </row>
    <row r="100" spans="2:24">
      <c r="B100" s="58">
        <v>46143</v>
      </c>
      <c r="C100" s="59">
        <v>27747</v>
      </c>
      <c r="D100" s="59">
        <v>14135</v>
      </c>
      <c r="E100" s="59">
        <v>1861</v>
      </c>
      <c r="F100" s="59">
        <v>1749</v>
      </c>
      <c r="G100" s="60">
        <f>IF(OR(E100="",F100="",C100="",D100=""),"",IF(C100+D100=0,"",(E100*C100+F100*D100)/(C100+D100)))</f>
        <v/>
      </c>
      <c r="H100" s="59">
        <v>1768</v>
      </c>
      <c r="I100" s="60">
        <f>IF(OR(H100="",E100="",C100="",D100=""),"",IF(C100+D100=0,"",(H100*D100+E100*C100)/(C100+D100)))</f>
        <v/>
      </c>
      <c r="J100" s="59">
        <v>2138</v>
      </c>
      <c r="K100" s="61">
        <f>IF(OR(J100="",I100=""),"",J100-I100)</f>
        <v/>
      </c>
      <c r="L100" s="61">
        <f>IF(OR(J100="",G100=""),"",J100-G100)</f>
        <v/>
      </c>
      <c r="M100" s="59">
        <v>2141</v>
      </c>
      <c r="N100" s="59">
        <v>2261</v>
      </c>
      <c r="O100" s="59">
        <v>160</v>
      </c>
      <c r="P100" s="59"/>
      <c r="Q100" s="59"/>
      <c r="R100" s="60">
        <f>IF(AND(P100="",Q100=""),"",N(P100)+N(Q100))</f>
        <v/>
      </c>
      <c r="S100" s="59"/>
      <c r="T100" s="59"/>
      <c r="U100" s="62">
        <f>IF(OR(R100="",S100="",T100=""),"",IF(S100+T100=0,"",R100/(S100+T100)))</f>
        <v/>
      </c>
      <c r="V100" s="63" t="s">
        <v>109</v>
      </c>
      <c r="W100" s="64"/>
      <c r="X100" s="63"/>
    </row>
    <row r="101" spans="2:24">
      <c r="B101" s="58">
        <v>46144</v>
      </c>
      <c r="C101" s="59">
        <v>14094</v>
      </c>
      <c r="D101" s="59">
        <v>18650</v>
      </c>
      <c r="E101" s="59">
        <v>1962</v>
      </c>
      <c r="F101" s="59">
        <v>1845</v>
      </c>
      <c r="G101" s="60">
        <f>IF(OR(E101="",F101="",C101="",D101=""),"",IF(C101+D101=0,"",(E101*C101+F101*D101)/(C101+D101)))</f>
        <v/>
      </c>
      <c r="H101" s="59">
        <v>1850</v>
      </c>
      <c r="I101" s="60">
        <f>IF(OR(H101="",E101="",C101="",D101=""),"",IF(C101+D101=0,"",(H101*D101+E101*C101)/(C101+D101)))</f>
        <v/>
      </c>
      <c r="J101" s="59">
        <v>2243</v>
      </c>
      <c r="K101" s="61">
        <f>IF(OR(J101="",I101=""),"",J101-I101)</f>
        <v/>
      </c>
      <c r="L101" s="61">
        <f>IF(OR(J101="",G101=""),"",J101-G101)</f>
        <v/>
      </c>
      <c r="M101" s="59">
        <v>2302</v>
      </c>
      <c r="N101" s="59">
        <v>2219</v>
      </c>
      <c r="O101" s="59">
        <v>160</v>
      </c>
      <c r="P101" s="59"/>
      <c r="Q101" s="59"/>
      <c r="R101" s="60">
        <f>IF(AND(P101="",Q101=""),"",N(P101)+N(Q101))</f>
        <v/>
      </c>
      <c r="S101" s="59"/>
      <c r="T101" s="59"/>
      <c r="U101" s="62">
        <f>IF(OR(R101="",S101="",T101=""),"",IF(S101+T101=0,"",R101/(S101+T101)))</f>
        <v/>
      </c>
      <c r="V101" s="63" t="s">
        <v>109</v>
      </c>
      <c r="W101" s="64"/>
      <c r="X101" s="63"/>
    </row>
    <row r="102" spans="2:24">
      <c r="B102" s="58">
        <v>46145</v>
      </c>
      <c r="C102" s="59">
        <v>26978</v>
      </c>
      <c r="D102" s="59">
        <v>22348</v>
      </c>
      <c r="E102" s="59">
        <v>1839</v>
      </c>
      <c r="F102" s="59">
        <v>1767</v>
      </c>
      <c r="G102" s="60">
        <f>IF(OR(E102="",F102="",C102="",D102=""),"",IF(C102+D102=0,"",(E102*C102+F102*D102)/(C102+D102)))</f>
        <v/>
      </c>
      <c r="H102" s="59">
        <v>1800</v>
      </c>
      <c r="I102" s="60">
        <f>IF(OR(H102="",E102="",C102="",D102=""),"",IF(C102+D102=0,"",(H102*D102+E102*C102)/(C102+D102)))</f>
        <v/>
      </c>
      <c r="J102" s="59">
        <v>2048</v>
      </c>
      <c r="K102" s="61">
        <f>IF(OR(J102="",I102=""),"",J102-I102)</f>
        <v/>
      </c>
      <c r="L102" s="61">
        <f>IF(OR(J102="",G102=""),"",J102-G102)</f>
        <v/>
      </c>
      <c r="M102" s="59">
        <v>2028</v>
      </c>
      <c r="N102" s="59">
        <v>1901</v>
      </c>
      <c r="O102" s="59">
        <v>160</v>
      </c>
      <c r="P102" s="59"/>
      <c r="Q102" s="59"/>
      <c r="R102" s="60">
        <f>IF(AND(P102="",Q102=""),"",N(P102)+N(Q102))</f>
        <v/>
      </c>
      <c r="S102" s="59"/>
      <c r="T102" s="59"/>
      <c r="U102" s="62">
        <f>IF(OR(R102="",S102="",T102=""),"",IF(S102+T102=0,"",R102/(S102+T102)))</f>
        <v/>
      </c>
      <c r="V102" s="63" t="s">
        <v>109</v>
      </c>
      <c r="W102" s="64"/>
      <c r="X102" s="63"/>
    </row>
    <row r="103" spans="2:24">
      <c r="B103" s="58">
        <v>46146</v>
      </c>
      <c r="C103" s="59">
        <v>11118</v>
      </c>
      <c r="D103" s="59">
        <v>18421</v>
      </c>
      <c r="E103" s="59"/>
      <c r="F103" s="59">
        <v>1918</v>
      </c>
      <c r="G103" s="60">
        <f>IF(OR(E103="",F103="",C103="",D103=""),"",IF(C103+D103=0,"",(E103*C103+F103*D103)/(C103+D103)))</f>
        <v/>
      </c>
      <c r="H103" s="59">
        <v>1842</v>
      </c>
      <c r="I103" s="60">
        <f>IF(OR(H103="",E103="",C103="",D103=""),"",IF(C103+D103=0,"",(H103*D103+E103*C103)/(C103+D103)))</f>
        <v/>
      </c>
      <c r="J103" s="59"/>
      <c r="K103" s="61">
        <f>IF(OR(J103="",I103=""),"",J103-I103)</f>
        <v/>
      </c>
      <c r="L103" s="61">
        <f>IF(OR(J103="",G103=""),"",J103-G103)</f>
        <v/>
      </c>
      <c r="M103" s="59"/>
      <c r="N103" s="59"/>
      <c r="O103" s="59">
        <v>160</v>
      </c>
      <c r="P103" s="59"/>
      <c r="Q103" s="59"/>
      <c r="R103" s="60">
        <f>IF(AND(P103="",Q103=""),"",N(P103)+N(Q103))</f>
        <v/>
      </c>
      <c r="S103" s="59"/>
      <c r="T103" s="59"/>
      <c r="U103" s="62">
        <f>IF(OR(R103="",S103="",T103=""),"",IF(S103+T103=0,"",R103/(S103+T103)))</f>
        <v/>
      </c>
      <c r="V103" s="63" t="s">
        <v>109</v>
      </c>
      <c r="W103" s="64"/>
      <c r="X103" s="63"/>
    </row>
    <row r="104" spans="2:24">
      <c r="B104" s="58">
        <v>46153</v>
      </c>
      <c r="C104" s="59">
        <v>14016</v>
      </c>
      <c r="D104" s="59">
        <v>19999</v>
      </c>
      <c r="E104" s="59">
        <v>1885</v>
      </c>
      <c r="F104" s="59">
        <v>2157</v>
      </c>
      <c r="G104" s="60">
        <f>IF(OR(E104="",F104="",C104="",D104=""),"",IF(C104+D104=0,"",(E104*C104+F104*D104)/(C104+D104)))</f>
        <v/>
      </c>
      <c r="H104" s="59">
        <v>2144</v>
      </c>
      <c r="I104" s="60">
        <f>IF(OR(H104="",E104="",C104="",D104=""),"",IF(C104+D104=0,"",(H104*D104+E104*C104)/(C104+D104)))</f>
        <v/>
      </c>
      <c r="J104" s="59">
        <v>2080</v>
      </c>
      <c r="K104" s="61">
        <f>IF(OR(J104="",I104=""),"",J104-I104)</f>
        <v/>
      </c>
      <c r="L104" s="61">
        <f>IF(OR(J104="",G104=""),"",J104-G104)</f>
        <v/>
      </c>
      <c r="M104" s="59">
        <v>2080</v>
      </c>
      <c r="N104" s="59">
        <v>1965</v>
      </c>
      <c r="O104" s="59">
        <v>160</v>
      </c>
      <c r="P104" s="59"/>
      <c r="Q104" s="59"/>
      <c r="R104" s="60">
        <f>IF(AND(P104="",Q104=""),"",N(P104)+N(Q104))</f>
        <v/>
      </c>
      <c r="S104" s="59"/>
      <c r="T104" s="59"/>
      <c r="U104" s="62">
        <f>IF(OR(R104="",S104="",T104=""),"",IF(S104+T104=0,"",R104/(S104+T104)))</f>
        <v/>
      </c>
      <c r="V104" s="63" t="s">
        <v>109</v>
      </c>
      <c r="W104" s="64"/>
      <c r="X104" s="63"/>
    </row>
    <row r="105" spans="2:24">
      <c r="B105" s="58">
        <v>46154</v>
      </c>
      <c r="C105" s="59">
        <v>15959</v>
      </c>
      <c r="D105" s="59">
        <v>17602</v>
      </c>
      <c r="E105" s="59">
        <v>1951</v>
      </c>
      <c r="F105" s="59">
        <v>1991</v>
      </c>
      <c r="G105" s="60">
        <f>IF(OR(E105="",F105="",C105="",D105=""),"",IF(C105+D105=0,"",(E105*C105+F105*D105)/(C105+D105)))</f>
        <v/>
      </c>
      <c r="H105" s="59">
        <v>1946</v>
      </c>
      <c r="I105" s="60">
        <f>IF(OR(H105="",E105="",C105="",D105=""),"",IF(C105+D105=0,"",(H105*D105+E105*C105)/(C105+D105)))</f>
        <v/>
      </c>
      <c r="J105" s="59">
        <v>2061</v>
      </c>
      <c r="K105" s="61">
        <f>IF(OR(J105="",I105=""),"",J105-I105)</f>
        <v/>
      </c>
      <c r="L105" s="61">
        <f>IF(OR(J105="",G105=""),"",J105-G105)</f>
        <v/>
      </c>
      <c r="M105" s="59">
        <v>2254</v>
      </c>
      <c r="N105" s="59">
        <v>2213</v>
      </c>
      <c r="O105" s="59">
        <v>160</v>
      </c>
      <c r="P105" s="59"/>
      <c r="Q105" s="59"/>
      <c r="R105" s="60">
        <f>IF(AND(P105="",Q105=""),"",N(P105)+N(Q105))</f>
        <v/>
      </c>
      <c r="S105" s="59"/>
      <c r="T105" s="59"/>
      <c r="U105" s="62">
        <f>IF(OR(R105="",S105="",T105=""),"",IF(S105+T105=0,"",R105/(S105+T105)))</f>
        <v/>
      </c>
      <c r="V105" s="63" t="s">
        <v>109</v>
      </c>
      <c r="W105" s="64"/>
      <c r="X105" s="63"/>
    </row>
    <row r="106" spans="2:24">
      <c r="B106" s="58">
        <v>46155</v>
      </c>
      <c r="C106" s="59">
        <v>15508</v>
      </c>
      <c r="D106" s="59">
        <v>1955</v>
      </c>
      <c r="E106" s="59">
        <v>1740</v>
      </c>
      <c r="F106" s="59">
        <v>2085</v>
      </c>
      <c r="G106" s="60">
        <f>IF(OR(E106="",F106="",C106="",D106=""),"",IF(C106+D106=0,"",(E106*C106+F106*D106)/(C106+D106)))</f>
        <v/>
      </c>
      <c r="H106" s="59">
        <v>2012</v>
      </c>
      <c r="I106" s="60">
        <f>IF(OR(H106="",E106="",C106="",D106=""),"",IF(C106+D106=0,"",(H106*D106+E106*C106)/(C106+D106)))</f>
        <v/>
      </c>
      <c r="J106" s="59">
        <v>2044</v>
      </c>
      <c r="K106" s="61">
        <f>IF(OR(J106="",I106=""),"",J106-I106)</f>
        <v/>
      </c>
      <c r="L106" s="61">
        <f>IF(OR(J106="",G106=""),"",J106-G106)</f>
        <v/>
      </c>
      <c r="M106" s="59">
        <v>1989</v>
      </c>
      <c r="N106" s="59">
        <v>1826</v>
      </c>
      <c r="O106" s="59">
        <v>160</v>
      </c>
      <c r="P106" s="59"/>
      <c r="Q106" s="59"/>
      <c r="R106" s="60">
        <f>IF(AND(P106="",Q106=""),"",N(P106)+N(Q106))</f>
        <v/>
      </c>
      <c r="S106" s="59"/>
      <c r="T106" s="59"/>
      <c r="U106" s="62">
        <f>IF(OR(R106="",S106="",T106=""),"",IF(S106+T106=0,"",R106/(S106+T106)))</f>
        <v/>
      </c>
      <c r="V106" s="63" t="s">
        <v>109</v>
      </c>
      <c r="W106" s="64"/>
      <c r="X106" s="63"/>
    </row>
    <row r="107" spans="2:24">
      <c r="B107" s="58">
        <v>46156</v>
      </c>
      <c r="C107" s="59">
        <v>18277</v>
      </c>
      <c r="D107" s="59">
        <v>12904</v>
      </c>
      <c r="E107" s="59">
        <v>1670</v>
      </c>
      <c r="F107" s="59">
        <v>1839</v>
      </c>
      <c r="G107" s="60">
        <f>IF(OR(E107="",F107="",C107="",D107=""),"",IF(C107+D107=0,"",(E107*C107+F107*D107)/(C107+D107)))</f>
        <v/>
      </c>
      <c r="H107" s="59">
        <v>1854</v>
      </c>
      <c r="I107" s="60">
        <f>IF(OR(H107="",E107="",C107="",D107=""),"",IF(C107+D107=0,"",(H107*D107+E107*C107)/(C107+D107)))</f>
        <v/>
      </c>
      <c r="J107" s="59">
        <v>1934</v>
      </c>
      <c r="K107" s="61">
        <f>IF(OR(J107="",I107=""),"",J107-I107)</f>
        <v/>
      </c>
      <c r="L107" s="61">
        <f>IF(OR(J107="",G107=""),"",J107-G107)</f>
        <v/>
      </c>
      <c r="M107" s="59">
        <v>1869</v>
      </c>
      <c r="N107" s="59">
        <v>1868</v>
      </c>
      <c r="O107" s="59">
        <v>160</v>
      </c>
      <c r="P107" s="59"/>
      <c r="Q107" s="59"/>
      <c r="R107" s="60">
        <f>IF(AND(P107="",Q107=""),"",N(P107)+N(Q107))</f>
        <v/>
      </c>
      <c r="S107" s="59"/>
      <c r="T107" s="59"/>
      <c r="U107" s="62">
        <f>IF(OR(R107="",S107="",T107=""),"",IF(S107+T107=0,"",R107/(S107+T107)))</f>
        <v/>
      </c>
      <c r="V107" s="63" t="s">
        <v>109</v>
      </c>
      <c r="W107" s="64"/>
      <c r="X107" s="63"/>
    </row>
    <row r="108" spans="2:24">
      <c r="B108" s="58">
        <v>46157</v>
      </c>
      <c r="C108" s="59">
        <v>15219</v>
      </c>
      <c r="D108" s="59">
        <v>22619</v>
      </c>
      <c r="E108" s="59">
        <v>1844</v>
      </c>
      <c r="F108" s="59">
        <v>1893</v>
      </c>
      <c r="G108" s="60">
        <f>IF(OR(E108="",F108="",C108="",D108=""),"",IF(C108+D108=0,"",(E108*C108+F108*D108)/(C108+D108)))</f>
        <v/>
      </c>
      <c r="H108" s="59">
        <v>1912</v>
      </c>
      <c r="I108" s="60">
        <f>IF(OR(H108="",E108="",C108="",D108=""),"",IF(C108+D108=0,"",(H108*D108+E108*C108)/(C108+D108)))</f>
        <v/>
      </c>
      <c r="J108" s="59">
        <v>2083</v>
      </c>
      <c r="K108" s="61">
        <f>IF(OR(J108="",I108=""),"",J108-I108)</f>
        <v/>
      </c>
      <c r="L108" s="61">
        <f>IF(OR(J108="",G108=""),"",J108-G108)</f>
        <v/>
      </c>
      <c r="M108" s="59"/>
      <c r="N108" s="59"/>
      <c r="O108" s="59">
        <v>160</v>
      </c>
      <c r="P108" s="59"/>
      <c r="Q108" s="59"/>
      <c r="R108" s="60">
        <f>IF(AND(P108="",Q108=""),"",N(P108)+N(Q108))</f>
        <v/>
      </c>
      <c r="S108" s="59"/>
      <c r="T108" s="59"/>
      <c r="U108" s="62">
        <f>IF(OR(R108="",S108="",T108=""),"",IF(S108+T108=0,"",R108/(S108+T108)))</f>
        <v/>
      </c>
      <c r="V108" s="63" t="s">
        <v>109</v>
      </c>
      <c r="W108" s="64"/>
      <c r="X108" s="63"/>
    </row>
    <row r="109" spans="2:24">
      <c r="B109" s="58">
        <v>46158</v>
      </c>
      <c r="C109" s="59">
        <v>24287</v>
      </c>
      <c r="D109" s="59">
        <v>24315</v>
      </c>
      <c r="E109" s="59">
        <v>1849</v>
      </c>
      <c r="F109" s="59">
        <v>1761</v>
      </c>
      <c r="G109" s="60">
        <f>IF(OR(E109="",F109="",C109="",D109=""),"",IF(C109+D109=0,"",(E109*C109+F109*D109)/(C109+D109)))</f>
        <v/>
      </c>
      <c r="H109" s="59">
        <v>1707</v>
      </c>
      <c r="I109" s="60">
        <f>IF(OR(H109="",E109="",C109="",D109=""),"",IF(C109+D109=0,"",(H109*D109+E109*C109)/(C109+D109)))</f>
        <v/>
      </c>
      <c r="J109" s="59">
        <v>2008</v>
      </c>
      <c r="K109" s="61">
        <f>IF(OR(J109="",I109=""),"",J109-I109)</f>
        <v/>
      </c>
      <c r="L109" s="61">
        <f>IF(OR(J109="",G109=""),"",J109-G109)</f>
        <v/>
      </c>
      <c r="M109" s="59"/>
      <c r="N109" s="59"/>
      <c r="O109" s="59">
        <v>160</v>
      </c>
      <c r="P109" s="59"/>
      <c r="Q109" s="59"/>
      <c r="R109" s="60">
        <f>IF(AND(P109="",Q109=""),"",N(P109)+N(Q109))</f>
        <v/>
      </c>
      <c r="S109" s="59"/>
      <c r="T109" s="59"/>
      <c r="U109" s="62">
        <f>IF(OR(R109="",S109="",T109=""),"",IF(S109+T109=0,"",R109/(S109+T109)))</f>
        <v/>
      </c>
      <c r="V109" s="63" t="s">
        <v>109</v>
      </c>
      <c r="W109" s="64"/>
      <c r="X109" s="63"/>
    </row>
    <row r="110" spans="2:24">
      <c r="B110" s="58">
        <v>46159</v>
      </c>
      <c r="C110" s="59">
        <v>26917</v>
      </c>
      <c r="D110" s="59">
        <v>10943</v>
      </c>
      <c r="E110" s="59">
        <v>1930</v>
      </c>
      <c r="F110" s="59">
        <v>2146</v>
      </c>
      <c r="G110" s="60">
        <f>IF(OR(E110="",F110="",C110="",D110=""),"",IF(C110+D110=0,"",(E110*C110+F110*D110)/(C110+D110)))</f>
        <v/>
      </c>
      <c r="H110" s="59">
        <v>1991</v>
      </c>
      <c r="I110" s="60">
        <f>IF(OR(H110="",E110="",C110="",D110=""),"",IF(C110+D110=0,"",(H110*D110+E110*C110)/(C110+D110)))</f>
        <v/>
      </c>
      <c r="J110" s="59">
        <v>2190</v>
      </c>
      <c r="K110" s="61">
        <f>IF(OR(J110="",I110=""),"",J110-I110)</f>
        <v/>
      </c>
      <c r="L110" s="61">
        <f>IF(OR(J110="",G110=""),"",J110-G110)</f>
        <v/>
      </c>
      <c r="M110" s="59"/>
      <c r="N110" s="59"/>
      <c r="O110" s="59">
        <v>160</v>
      </c>
      <c r="P110" s="59"/>
      <c r="Q110" s="59"/>
      <c r="R110" s="60">
        <f>IF(AND(P110="",Q110=""),"",N(P110)+N(Q110))</f>
        <v/>
      </c>
      <c r="S110" s="59"/>
      <c r="T110" s="59"/>
      <c r="U110" s="62">
        <f>IF(OR(R110="",S110="",T110=""),"",IF(S110+T110=0,"",R110/(S110+T110)))</f>
        <v/>
      </c>
      <c r="V110" s="63" t="s">
        <v>109</v>
      </c>
      <c r="W110" s="64"/>
      <c r="X110" s="63"/>
    </row>
    <row r="111" spans="2:24">
      <c r="B111" s="58">
        <v>46160</v>
      </c>
      <c r="C111" s="59">
        <v>27999</v>
      </c>
      <c r="D111" s="59">
        <v>22572</v>
      </c>
      <c r="E111" s="59">
        <v>1958</v>
      </c>
      <c r="F111" s="59">
        <v>1841</v>
      </c>
      <c r="G111" s="60">
        <f>IF(OR(E111="",F111="",C111="",D111=""),"",IF(C111+D111=0,"",(E111*C111+F111*D111)/(C111+D111)))</f>
        <v/>
      </c>
      <c r="H111" s="59">
        <v>1817</v>
      </c>
      <c r="I111" s="60">
        <f>IF(OR(H111="",E111="",C111="",D111=""),"",IF(C111+D111=0,"",(H111*D111+E111*C111)/(C111+D111)))</f>
        <v/>
      </c>
      <c r="J111" s="59">
        <v>2126</v>
      </c>
      <c r="K111" s="61">
        <f>IF(OR(J111="",I111=""),"",J111-I111)</f>
        <v/>
      </c>
      <c r="L111" s="61">
        <f>IF(OR(J111="",G111=""),"",J111-G111)</f>
        <v/>
      </c>
      <c r="M111" s="59"/>
      <c r="N111" s="59"/>
      <c r="O111" s="59">
        <v>160</v>
      </c>
      <c r="P111" s="59"/>
      <c r="Q111" s="59"/>
      <c r="R111" s="60">
        <f>IF(AND(P111="",Q111=""),"",N(P111)+N(Q111))</f>
        <v/>
      </c>
      <c r="S111" s="59"/>
      <c r="T111" s="59"/>
      <c r="U111" s="62">
        <f>IF(OR(R111="",S111="",T111=""),"",IF(S111+T111=0,"",R111/(S111+T111)))</f>
        <v/>
      </c>
      <c r="V111" s="63" t="s">
        <v>109</v>
      </c>
      <c r="W111" s="64"/>
      <c r="X111" s="63"/>
    </row>
    <row r="112" spans="2:24">
      <c r="B112" s="58">
        <v>46161</v>
      </c>
      <c r="C112" s="59">
        <v>27214</v>
      </c>
      <c r="D112" s="59">
        <v>20371</v>
      </c>
      <c r="E112" s="59">
        <v>2194</v>
      </c>
      <c r="F112" s="59">
        <v>1922</v>
      </c>
      <c r="G112" s="60">
        <f>IF(OR(E112="",F112="",C112="",D112=""),"",IF(C112+D112=0,"",(E112*C112+F112*D112)/(C112+D112)))</f>
        <v/>
      </c>
      <c r="H112" s="59">
        <v>1889</v>
      </c>
      <c r="I112" s="60">
        <f>IF(OR(H112="",E112="",C112="",D112=""),"",IF(C112+D112=0,"",(H112*D112+E112*C112)/(C112+D112)))</f>
        <v/>
      </c>
      <c r="J112" s="59">
        <v>2120</v>
      </c>
      <c r="K112" s="61">
        <f>IF(OR(J112="",I112=""),"",J112-I112)</f>
        <v/>
      </c>
      <c r="L112" s="61">
        <f>IF(OR(J112="",G112=""),"",J112-G112)</f>
        <v/>
      </c>
      <c r="M112" s="59"/>
      <c r="N112" s="59"/>
      <c r="O112" s="59">
        <v>160</v>
      </c>
      <c r="P112" s="59"/>
      <c r="Q112" s="59"/>
      <c r="R112" s="60">
        <f>IF(AND(P112="",Q112=""),"",N(P112)+N(Q112))</f>
        <v/>
      </c>
      <c r="S112" s="59"/>
      <c r="T112" s="59"/>
      <c r="U112" s="62">
        <f>IF(OR(R112="",S112="",T112=""),"",IF(S112+T112=0,"",R112/(S112+T112)))</f>
        <v/>
      </c>
      <c r="V112" s="63" t="s">
        <v>109</v>
      </c>
      <c r="W112" s="64"/>
      <c r="X112" s="63"/>
    </row>
    <row r="113" spans="2:24">
      <c r="B113" s="58">
        <v>46162</v>
      </c>
      <c r="C113" s="59">
        <v>26109</v>
      </c>
      <c r="D113" s="59">
        <v>23310</v>
      </c>
      <c r="E113" s="59">
        <v>1994</v>
      </c>
      <c r="F113" s="59">
        <v>1962</v>
      </c>
      <c r="G113" s="60">
        <f>IF(OR(E113="",F113="",C113="",D113=""),"",IF(C113+D113=0,"",(E113*C113+F113*D113)/(C113+D113)))</f>
        <v/>
      </c>
      <c r="H113" s="59">
        <v>1940</v>
      </c>
      <c r="I113" s="60">
        <f>IF(OR(H113="",E113="",C113="",D113=""),"",IF(C113+D113=0,"",(H113*D113+E113*C113)/(C113+D113)))</f>
        <v/>
      </c>
      <c r="J113" s="59">
        <v>1997</v>
      </c>
      <c r="K113" s="61">
        <f>IF(OR(J113="",I113=""),"",J113-I113)</f>
        <v/>
      </c>
      <c r="L113" s="61">
        <f>IF(OR(J113="",G113=""),"",J113-G113)</f>
        <v/>
      </c>
      <c r="M113" s="59"/>
      <c r="N113" s="59"/>
      <c r="O113" s="59">
        <v>160</v>
      </c>
      <c r="P113" s="59"/>
      <c r="Q113" s="59"/>
      <c r="R113" s="60">
        <f>IF(AND(P113="",Q113=""),"",N(P113)+N(Q113))</f>
        <v/>
      </c>
      <c r="S113" s="59"/>
      <c r="T113" s="59"/>
      <c r="U113" s="62">
        <f>IF(OR(R113="",S113="",T113=""),"",IF(S113+T113=0,"",R113/(S113+T113)))</f>
        <v/>
      </c>
      <c r="V113" s="63" t="s">
        <v>109</v>
      </c>
      <c r="W113" s="64"/>
      <c r="X113" s="63"/>
    </row>
    <row r="114" spans="2:24">
      <c r="B114" s="58">
        <v>46163</v>
      </c>
      <c r="C114" s="59">
        <v>26891</v>
      </c>
      <c r="D114" s="59">
        <v>19338</v>
      </c>
      <c r="E114" s="59">
        <v>1947</v>
      </c>
      <c r="F114" s="59">
        <v>1963</v>
      </c>
      <c r="G114" s="60">
        <f>IF(OR(E114="",F114="",C114="",D114=""),"",IF(C114+D114=0,"",(E114*C114+F114*D114)/(C114+D114)))</f>
        <v/>
      </c>
      <c r="H114" s="59">
        <v>1967</v>
      </c>
      <c r="I114" s="60">
        <f>IF(OR(H114="",E114="",C114="",D114=""),"",IF(C114+D114=0,"",(H114*D114+E114*C114)/(C114+D114)))</f>
        <v/>
      </c>
      <c r="J114" s="59">
        <v>1980</v>
      </c>
      <c r="K114" s="61">
        <f>IF(OR(J114="",I114=""),"",J114-I114)</f>
        <v/>
      </c>
      <c r="L114" s="61">
        <f>IF(OR(J114="",G114=""),"",J114-G114)</f>
        <v/>
      </c>
      <c r="M114" s="59"/>
      <c r="N114" s="59"/>
      <c r="O114" s="59">
        <v>160</v>
      </c>
      <c r="P114" s="59"/>
      <c r="Q114" s="59"/>
      <c r="R114" s="60">
        <f>IF(AND(P114="",Q114=""),"",N(P114)+N(Q114))</f>
        <v/>
      </c>
      <c r="S114" s="59"/>
      <c r="T114" s="59"/>
      <c r="U114" s="62">
        <f>IF(OR(R114="",S114="",T114=""),"",IF(S114+T114=0,"",R114/(S114+T114)))</f>
        <v/>
      </c>
      <c r="V114" s="63" t="s">
        <v>109</v>
      </c>
      <c r="W114" s="64"/>
      <c r="X114" s="63"/>
    </row>
    <row r="115" spans="2:24">
      <c r="B115" s="58">
        <v>46164</v>
      </c>
      <c r="C115" s="59">
        <v>20397</v>
      </c>
      <c r="D115" s="59">
        <v>10660</v>
      </c>
      <c r="E115" s="59">
        <v>2037</v>
      </c>
      <c r="F115" s="59">
        <v>1890</v>
      </c>
      <c r="G115" s="60">
        <f>IF(OR(E115="",F115="",C115="",D115=""),"",IF(C115+D115=0,"",(E115*C115+F115*D115)/(C115+D115)))</f>
        <v/>
      </c>
      <c r="H115" s="59">
        <v>1961</v>
      </c>
      <c r="I115" s="60">
        <f>IF(OR(H115="",E115="",C115="",D115=""),"",IF(C115+D115=0,"",(H115*D115+E115*C115)/(C115+D115)))</f>
        <v/>
      </c>
      <c r="J115" s="59">
        <v>2061</v>
      </c>
      <c r="K115" s="61">
        <f>IF(OR(J115="",I115=""),"",J115-I115)</f>
        <v/>
      </c>
      <c r="L115" s="61">
        <f>IF(OR(J115="",G115=""),"",J115-G115)</f>
        <v/>
      </c>
      <c r="M115" s="59"/>
      <c r="N115" s="59"/>
      <c r="O115" s="59">
        <v>160</v>
      </c>
      <c r="P115" s="59"/>
      <c r="Q115" s="59"/>
      <c r="R115" s="60">
        <f>IF(AND(P115="",Q115=""),"",N(P115)+N(Q115))</f>
        <v/>
      </c>
      <c r="S115" s="59"/>
      <c r="T115" s="59"/>
      <c r="U115" s="62">
        <f>IF(OR(R115="",S115="",T115=""),"",IF(S115+T115=0,"",R115/(S115+T115)))</f>
        <v/>
      </c>
      <c r="V115" s="63" t="s">
        <v>109</v>
      </c>
      <c r="W115" s="64"/>
      <c r="X115" s="63"/>
    </row>
    <row r="116" spans="2:24">
      <c r="B116" s="58">
        <v>46165</v>
      </c>
      <c r="C116" s="59">
        <v>21114</v>
      </c>
      <c r="D116" s="59">
        <v>17844</v>
      </c>
      <c r="E116" s="59">
        <v>2022</v>
      </c>
      <c r="F116" s="59">
        <v>1881</v>
      </c>
      <c r="G116" s="60">
        <f>IF(OR(E116="",F116="",C116="",D116=""),"",IF(C116+D116=0,"",(E116*C116+F116*D116)/(C116+D116)))</f>
        <v/>
      </c>
      <c r="H116" s="59">
        <v>1903</v>
      </c>
      <c r="I116" s="60">
        <f>IF(OR(H116="",E116="",C116="",D116=""),"",IF(C116+D116=0,"",(H116*D116+E116*C116)/(C116+D116)))</f>
        <v/>
      </c>
      <c r="J116" s="59">
        <v>2083</v>
      </c>
      <c r="K116" s="61">
        <f>IF(OR(J116="",I116=""),"",J116-I116)</f>
        <v/>
      </c>
      <c r="L116" s="61">
        <f>IF(OR(J116="",G116=""),"",J116-G116)</f>
        <v/>
      </c>
      <c r="M116" s="59"/>
      <c r="N116" s="59"/>
      <c r="O116" s="59">
        <v>160</v>
      </c>
      <c r="P116" s="59"/>
      <c r="Q116" s="59"/>
      <c r="R116" s="60">
        <f>IF(AND(P116="",Q116=""),"",N(P116)+N(Q116))</f>
        <v/>
      </c>
      <c r="S116" s="59"/>
      <c r="T116" s="59"/>
      <c r="U116" s="62">
        <f>IF(OR(R116="",S116="",T116=""),"",IF(S116+T116=0,"",R116/(S116+T116)))</f>
        <v/>
      </c>
      <c r="V116" s="63" t="s">
        <v>109</v>
      </c>
      <c r="W116" s="64"/>
      <c r="X116" s="63"/>
    </row>
    <row r="117" spans="2:24">
      <c r="B117" s="58">
        <v>46166</v>
      </c>
      <c r="C117" s="59">
        <v>26888</v>
      </c>
      <c r="D117" s="59">
        <v>22848</v>
      </c>
      <c r="E117" s="59">
        <v>2108</v>
      </c>
      <c r="F117" s="59">
        <v>1931</v>
      </c>
      <c r="G117" s="60">
        <f>IF(OR(E117="",F117="",C117="",D117=""),"",IF(C117+D117=0,"",(E117*C117+F117*D117)/(C117+D117)))</f>
        <v/>
      </c>
      <c r="H117" s="59">
        <v>1875</v>
      </c>
      <c r="I117" s="60">
        <f>IF(OR(H117="",E117="",C117="",D117=""),"",IF(C117+D117=0,"",(H117*D117+E117*C117)/(C117+D117)))</f>
        <v/>
      </c>
      <c r="J117" s="59">
        <v>2125</v>
      </c>
      <c r="K117" s="61">
        <f>IF(OR(J117="",I117=""),"",J117-I117)</f>
        <v/>
      </c>
      <c r="L117" s="61">
        <f>IF(OR(J117="",G117=""),"",J117-G117)</f>
        <v/>
      </c>
      <c r="M117" s="59"/>
      <c r="N117" s="59"/>
      <c r="O117" s="59">
        <v>160</v>
      </c>
      <c r="P117" s="59"/>
      <c r="Q117" s="59"/>
      <c r="R117" s="60">
        <f>IF(AND(P117="",Q117=""),"",N(P117)+N(Q117))</f>
        <v/>
      </c>
      <c r="S117" s="59"/>
      <c r="T117" s="59"/>
      <c r="U117" s="62">
        <f>IF(OR(R117="",S117="",T117=""),"",IF(S117+T117=0,"",R117/(S117+T117)))</f>
        <v/>
      </c>
      <c r="V117" s="63" t="s">
        <v>109</v>
      </c>
      <c r="W117" s="64"/>
      <c r="X117" s="63"/>
    </row>
    <row r="118" spans="2:24">
      <c r="B118" s="58">
        <v>46167</v>
      </c>
      <c r="C118" s="59">
        <v>30771</v>
      </c>
      <c r="D118" s="59">
        <v>22153</v>
      </c>
      <c r="E118" s="59">
        <v>1953</v>
      </c>
      <c r="F118" s="59">
        <v>2042</v>
      </c>
      <c r="G118" s="60">
        <f>IF(OR(E118="",F118="",C118="",D118=""),"",IF(C118+D118=0,"",(E118*C118+F118*D118)/(C118+D118)))</f>
        <v/>
      </c>
      <c r="H118" s="59">
        <v>2073</v>
      </c>
      <c r="I118" s="60">
        <f>IF(OR(H118="",E118="",C118="",D118=""),"",IF(C118+D118=0,"",(H118*D118+E118*C118)/(C118+D118)))</f>
        <v/>
      </c>
      <c r="J118" s="59">
        <v>2227</v>
      </c>
      <c r="K118" s="61">
        <f>IF(OR(J118="",I118=""),"",J118-I118)</f>
        <v/>
      </c>
      <c r="L118" s="61">
        <f>IF(OR(J118="",G118=""),"",J118-G118)</f>
        <v/>
      </c>
      <c r="M118" s="59"/>
      <c r="N118" s="59"/>
      <c r="O118" s="59">
        <v>160</v>
      </c>
      <c r="P118" s="59"/>
      <c r="Q118" s="59"/>
      <c r="R118" s="60">
        <f>IF(AND(P118="",Q118=""),"",N(P118)+N(Q118))</f>
        <v/>
      </c>
      <c r="S118" s="59"/>
      <c r="T118" s="59"/>
      <c r="U118" s="62">
        <f>IF(OR(R118="",S118="",T118=""),"",IF(S118+T118=0,"",R118/(S118+T118)))</f>
        <v/>
      </c>
      <c r="V118" s="63" t="s">
        <v>109</v>
      </c>
      <c r="W118" s="64"/>
      <c r="X118" s="63"/>
    </row>
    <row r="119" spans="2:24">
      <c r="B119" s="58">
        <v>46168</v>
      </c>
      <c r="C119" s="59">
        <v>29295</v>
      </c>
      <c r="D119" s="59">
        <v>20614</v>
      </c>
      <c r="E119" s="59">
        <v>2105</v>
      </c>
      <c r="F119" s="59">
        <v>2178</v>
      </c>
      <c r="G119" s="60">
        <f>IF(OR(E119="",F119="",C119="",D119=""),"",IF(C119+D119=0,"",(E119*C119+F119*D119)/(C119+D119)))</f>
        <v/>
      </c>
      <c r="H119" s="59">
        <v>2409</v>
      </c>
      <c r="I119" s="60">
        <f>IF(OR(H119="",E119="",C119="",D119=""),"",IF(C119+D119=0,"",(H119*D119+E119*C119)/(C119+D119)))</f>
        <v/>
      </c>
      <c r="J119" s="59">
        <v>2382</v>
      </c>
      <c r="K119" s="61">
        <f>IF(OR(J119="",I119=""),"",J119-I119)</f>
        <v/>
      </c>
      <c r="L119" s="61">
        <f>IF(OR(J119="",G119=""),"",J119-G119)</f>
        <v/>
      </c>
      <c r="M119" s="59"/>
      <c r="N119" s="59"/>
      <c r="O119" s="59">
        <v>160</v>
      </c>
      <c r="P119" s="59"/>
      <c r="Q119" s="59"/>
      <c r="R119" s="60">
        <f>IF(AND(P119="",Q119=""),"",N(P119)+N(Q119))</f>
        <v/>
      </c>
      <c r="S119" s="59"/>
      <c r="T119" s="59"/>
      <c r="U119" s="62">
        <f>IF(OR(R119="",S119="",T119=""),"",IF(S119+T119=0,"",R119/(S119+T119)))</f>
        <v/>
      </c>
      <c r="V119" s="63" t="s">
        <v>109</v>
      </c>
      <c r="W119" s="64"/>
      <c r="X119" s="63"/>
    </row>
    <row r="120" spans="2:24">
      <c r="B120" s="58">
        <v>46169</v>
      </c>
      <c r="C120" s="59">
        <v>27646</v>
      </c>
      <c r="D120" s="59">
        <v>20585</v>
      </c>
      <c r="E120" s="59">
        <v>2006</v>
      </c>
      <c r="F120" s="59">
        <v>2055</v>
      </c>
      <c r="G120" s="60">
        <f>IF(OR(E120="",F120="",C120="",D120=""),"",IF(C120+D120=0,"",(E120*C120+F120*D120)/(C120+D120)))</f>
        <v/>
      </c>
      <c r="H120" s="59">
        <v>2237</v>
      </c>
      <c r="I120" s="60">
        <f>IF(OR(H120="",E120="",C120="",D120=""),"",IF(C120+D120=0,"",(H120*D120+E120*C120)/(C120+D120)))</f>
        <v/>
      </c>
      <c r="J120" s="59">
        <v>2331</v>
      </c>
      <c r="K120" s="61">
        <f>IF(OR(J120="",I120=""),"",J120-I120)</f>
        <v/>
      </c>
      <c r="L120" s="61">
        <f>IF(OR(J120="",G120=""),"",J120-G120)</f>
        <v/>
      </c>
      <c r="M120" s="59"/>
      <c r="N120" s="59"/>
      <c r="O120" s="59">
        <v>160</v>
      </c>
      <c r="P120" s="59"/>
      <c r="Q120" s="59"/>
      <c r="R120" s="60">
        <f>IF(AND(P120="",Q120=""),"",N(P120)+N(Q120))</f>
        <v/>
      </c>
      <c r="S120" s="59"/>
      <c r="T120" s="59"/>
      <c r="U120" s="62">
        <f>IF(OR(R120="",S120="",T120=""),"",IF(S120+T120=0,"",R120/(S120+T120)))</f>
        <v/>
      </c>
      <c r="V120" s="63" t="s">
        <v>109</v>
      </c>
      <c r="W120" s="64"/>
      <c r="X120" s="63"/>
    </row>
    <row r="121" spans="2:24">
      <c r="B121" s="58">
        <v>46170</v>
      </c>
      <c r="C121" s="59">
        <v>20492</v>
      </c>
      <c r="D121" s="59">
        <v>20906</v>
      </c>
      <c r="E121" s="59">
        <v>1900</v>
      </c>
      <c r="F121" s="59">
        <v>1872</v>
      </c>
      <c r="G121" s="60">
        <f>IF(OR(E121="",F121="",C121="",D121=""),"",IF(C121+D121=0,"",(E121*C121+F121*D121)/(C121+D121)))</f>
        <v/>
      </c>
      <c r="H121" s="59">
        <v>1960</v>
      </c>
      <c r="I121" s="60">
        <f>IF(OR(H121="",E121="",C121="",D121=""),"",IF(C121+D121=0,"",(H121*D121+E121*C121)/(C121+D121)))</f>
        <v/>
      </c>
      <c r="J121" s="59">
        <v>2177</v>
      </c>
      <c r="K121" s="61">
        <f>IF(OR(J121="",I121=""),"",J121-I121)</f>
        <v/>
      </c>
      <c r="L121" s="61">
        <f>IF(OR(J121="",G121=""),"",J121-G121)</f>
        <v/>
      </c>
      <c r="M121" s="59"/>
      <c r="N121" s="59"/>
      <c r="O121" s="59">
        <v>160</v>
      </c>
      <c r="P121" s="59"/>
      <c r="Q121" s="59"/>
      <c r="R121" s="60">
        <f>IF(AND(P121="",Q121=""),"",N(P121)+N(Q121))</f>
        <v/>
      </c>
      <c r="S121" s="59"/>
      <c r="T121" s="59"/>
      <c r="U121" s="62">
        <f>IF(OR(R121="",S121="",T121=""),"",IF(S121+T121=0,"",R121/(S121+T121)))</f>
        <v/>
      </c>
      <c r="V121" s="63" t="s">
        <v>109</v>
      </c>
      <c r="W121" s="64"/>
      <c r="X121" s="63"/>
    </row>
    <row r="122" spans="2:24">
      <c r="B122" s="58">
        <v>46171</v>
      </c>
      <c r="C122" s="59">
        <v>29298</v>
      </c>
      <c r="D122" s="59">
        <v>20766</v>
      </c>
      <c r="E122" s="59">
        <v>2065</v>
      </c>
      <c r="F122" s="59">
        <v>1860</v>
      </c>
      <c r="G122" s="60">
        <f>IF(OR(E122="",F122="",C122="",D122=""),"",IF(C122+D122=0,"",(E122*C122+F122*D122)/(C122+D122)))</f>
        <v/>
      </c>
      <c r="H122" s="59">
        <v>1890</v>
      </c>
      <c r="I122" s="60">
        <f>IF(OR(H122="",E122="",C122="",D122=""),"",IF(C122+D122=0,"",(H122*D122+E122*C122)/(C122+D122)))</f>
        <v/>
      </c>
      <c r="J122" s="59">
        <v>2038</v>
      </c>
      <c r="K122" s="61">
        <f>IF(OR(J122="",I122=""),"",J122-I122)</f>
        <v/>
      </c>
      <c r="L122" s="61">
        <f>IF(OR(J122="",G122=""),"",J122-G122)</f>
        <v/>
      </c>
      <c r="M122" s="59"/>
      <c r="N122" s="59"/>
      <c r="O122" s="59">
        <v>160</v>
      </c>
      <c r="P122" s="59"/>
      <c r="Q122" s="59"/>
      <c r="R122" s="60">
        <f>IF(AND(P122="",Q122=""),"",N(P122)+N(Q122))</f>
        <v/>
      </c>
      <c r="S122" s="59"/>
      <c r="T122" s="59"/>
      <c r="U122" s="62">
        <f>IF(OR(R122="",S122="",T122=""),"",IF(S122+T122=0,"",R122/(S122+T122)))</f>
        <v/>
      </c>
      <c r="V122" s="63" t="s">
        <v>109</v>
      </c>
      <c r="W122" s="64"/>
      <c r="X122" s="63"/>
    </row>
    <row r="123" spans="2:24">
      <c r="B123" s="58">
        <v>46172</v>
      </c>
      <c r="C123" s="59">
        <v>31755</v>
      </c>
      <c r="D123" s="59">
        <v>19030</v>
      </c>
      <c r="E123" s="59">
        <v>1839</v>
      </c>
      <c r="F123" s="59">
        <v>1591</v>
      </c>
      <c r="G123" s="60">
        <f>IF(OR(E123="",F123="",C123="",D123=""),"",IF(C123+D123=0,"",(E123*C123+F123*D123)/(C123+D123)))</f>
        <v/>
      </c>
      <c r="H123" s="59">
        <v>1680</v>
      </c>
      <c r="I123" s="60">
        <f>IF(OR(H123="",E123="",C123="",D123=""),"",IF(C123+D123=0,"",(H123*D123+E123*C123)/(C123+D123)))</f>
        <v/>
      </c>
      <c r="J123" s="59">
        <v>1886</v>
      </c>
      <c r="K123" s="61">
        <f>IF(OR(J123="",I123=""),"",J123-I123)</f>
        <v/>
      </c>
      <c r="L123" s="61">
        <f>IF(OR(J123="",G123=""),"",J123-G123)</f>
        <v/>
      </c>
      <c r="M123" s="59"/>
      <c r="N123" s="59"/>
      <c r="O123" s="59">
        <v>160</v>
      </c>
      <c r="P123" s="59"/>
      <c r="Q123" s="59"/>
      <c r="R123" s="60">
        <f>IF(AND(P123="",Q123=""),"",N(P123)+N(Q123))</f>
        <v/>
      </c>
      <c r="S123" s="59"/>
      <c r="T123" s="59"/>
      <c r="U123" s="62">
        <f>IF(OR(R123="",S123="",T123=""),"",IF(S123+T123=0,"",R123/(S123+T123)))</f>
        <v/>
      </c>
      <c r="V123" s="63" t="s">
        <v>109</v>
      </c>
      <c r="W123" s="64"/>
      <c r="X123" s="63"/>
    </row>
    <row r="124" spans="2:24">
      <c r="B124" s="58">
        <v>46173</v>
      </c>
      <c r="C124" s="59">
        <v>28962</v>
      </c>
      <c r="D124" s="59">
        <v>23220</v>
      </c>
      <c r="E124" s="59">
        <v>1863</v>
      </c>
      <c r="F124" s="59">
        <v>1402</v>
      </c>
      <c r="G124" s="60">
        <f>IF(OR(E124="",F124="",C124="",D124=""),"",IF(C124+D124=0,"",(E124*C124+F124*D124)/(C124+D124)))</f>
        <v/>
      </c>
      <c r="H124" s="59">
        <v>1516</v>
      </c>
      <c r="I124" s="60">
        <f>IF(OR(H124="",E124="",C124="",D124=""),"",IF(C124+D124=0,"",(H124*D124+E124*C124)/(C124+D124)))</f>
        <v/>
      </c>
      <c r="J124" s="59">
        <v>1694</v>
      </c>
      <c r="K124" s="61">
        <f>IF(OR(J124="",I124=""),"",J124-I124)</f>
        <v/>
      </c>
      <c r="L124" s="61">
        <f>IF(OR(J124="",G124=""),"",J124-G124)</f>
        <v/>
      </c>
      <c r="M124" s="59"/>
      <c r="N124" s="59"/>
      <c r="O124" s="59">
        <v>160</v>
      </c>
      <c r="P124" s="59"/>
      <c r="Q124" s="59"/>
      <c r="R124" s="60">
        <f>IF(AND(P124="",Q124=""),"",N(P124)+N(Q124))</f>
        <v/>
      </c>
      <c r="S124" s="59"/>
      <c r="T124" s="59"/>
      <c r="U124" s="62">
        <f>IF(OR(R124="",S124="",T124=""),"",IF(S124+T124=0,"",R124/(S124+T124)))</f>
        <v/>
      </c>
      <c r="V124" s="63" t="s">
        <v>109</v>
      </c>
      <c r="W124" s="64"/>
      <c r="X124" s="63"/>
    </row>
    <row r="125" spans="2:24">
      <c r="B125" s="58">
        <v>46174</v>
      </c>
      <c r="C125" s="59">
        <v>27589</v>
      </c>
      <c r="D125" s="59">
        <v>20589</v>
      </c>
      <c r="E125" s="59">
        <v>2048</v>
      </c>
      <c r="F125" s="59">
        <v>1848</v>
      </c>
      <c r="G125" s="60">
        <f>IF(OR(E125="",F125="",C125="",D125=""),"",IF(C125+D125=0,"",(E125*C125+F125*D125)/(C125+D125)))</f>
        <v/>
      </c>
      <c r="H125" s="59">
        <v>1838</v>
      </c>
      <c r="I125" s="60">
        <f>IF(OR(H125="",E125="",C125="",D125=""),"",IF(C125+D125=0,"",(H125*D125+E125*C125)/(C125+D125)))</f>
        <v/>
      </c>
      <c r="J125" s="59">
        <v>1941</v>
      </c>
      <c r="K125" s="61">
        <f>IF(OR(J125="",I125=""),"",J125-I125)</f>
        <v/>
      </c>
      <c r="L125" s="61">
        <f>IF(OR(J125="",G125=""),"",J125-G125)</f>
        <v/>
      </c>
      <c r="M125" s="59"/>
      <c r="N125" s="59"/>
      <c r="O125" s="59">
        <v>160</v>
      </c>
      <c r="P125" s="59"/>
      <c r="Q125" s="59"/>
      <c r="R125" s="60">
        <f>IF(AND(P125="",Q125=""),"",N(P125)+N(Q125))</f>
        <v/>
      </c>
      <c r="S125" s="59"/>
      <c r="T125" s="59"/>
      <c r="U125" s="62">
        <f>IF(OR(R125="",S125="",T125=""),"",IF(S125+T125=0,"",R125/(S125+T125)))</f>
        <v/>
      </c>
      <c r="V125" s="63" t="s">
        <v>109</v>
      </c>
      <c r="W125" s="64"/>
      <c r="X125" s="63"/>
    </row>
    <row r="126" spans="2:24">
      <c r="B126" s="58">
        <v>46175</v>
      </c>
      <c r="C126" s="59">
        <v>28350</v>
      </c>
      <c r="D126" s="59">
        <v>12829</v>
      </c>
      <c r="E126" s="59">
        <v>2106</v>
      </c>
      <c r="F126" s="59">
        <v>1798</v>
      </c>
      <c r="G126" s="60">
        <f>IF(OR(E126="",F126="",C126="",D126=""),"",IF(C126+D126=0,"",(E126*C126+F126*D126)/(C126+D126)))</f>
        <v/>
      </c>
      <c r="H126" s="59">
        <v>1938</v>
      </c>
      <c r="I126" s="60">
        <f>IF(OR(H126="",E126="",C126="",D126=""),"",IF(C126+D126=0,"",(H126*D126+E126*C126)/(C126+D126)))</f>
        <v/>
      </c>
      <c r="J126" s="59">
        <v>2051</v>
      </c>
      <c r="K126" s="61">
        <f>IF(OR(J126="",I126=""),"",J126-I126)</f>
        <v/>
      </c>
      <c r="L126" s="61">
        <f>IF(OR(J126="",G126=""),"",J126-G126)</f>
        <v/>
      </c>
      <c r="M126" s="59"/>
      <c r="N126" s="59"/>
      <c r="O126" s="59">
        <v>160</v>
      </c>
      <c r="P126" s="59"/>
      <c r="Q126" s="59"/>
      <c r="R126" s="60">
        <f>IF(AND(P126="",Q126=""),"",N(P126)+N(Q126))</f>
        <v/>
      </c>
      <c r="S126" s="59"/>
      <c r="T126" s="59"/>
      <c r="U126" s="62">
        <f>IF(OR(R126="",S126="",T126=""),"",IF(S126+T126=0,"",R126/(S126+T126)))</f>
        <v/>
      </c>
      <c r="V126" s="63" t="s">
        <v>109</v>
      </c>
      <c r="W126" s="64"/>
      <c r="X126" s="63"/>
    </row>
    <row r="127" spans="2:24">
      <c r="B127" s="58">
        <v>46176</v>
      </c>
      <c r="C127" s="59">
        <v>26855</v>
      </c>
      <c r="D127" s="59">
        <v>3307</v>
      </c>
      <c r="E127" s="59">
        <v>1970</v>
      </c>
      <c r="F127" s="59">
        <v>2001</v>
      </c>
      <c r="G127" s="60">
        <f>IF(OR(E127="",F127="",C127="",D127=""),"",IF(C127+D127=0,"",(E127*C127+F127*D127)/(C127+D127)))</f>
        <v/>
      </c>
      <c r="H127" s="59">
        <v>2043</v>
      </c>
      <c r="I127" s="60">
        <f>IF(OR(H127="",E127="",C127="",D127=""),"",IF(C127+D127=0,"",(H127*D127+E127*C127)/(C127+D127)))</f>
        <v/>
      </c>
      <c r="J127" s="59">
        <v>1995</v>
      </c>
      <c r="K127" s="61">
        <f>IF(OR(J127="",I127=""),"",J127-I127)</f>
        <v/>
      </c>
      <c r="L127" s="61">
        <f>IF(OR(J127="",G127=""),"",J127-G127)</f>
        <v/>
      </c>
      <c r="M127" s="59"/>
      <c r="N127" s="59"/>
      <c r="O127" s="59">
        <v>160</v>
      </c>
      <c r="P127" s="59"/>
      <c r="Q127" s="59"/>
      <c r="R127" s="60">
        <f>IF(AND(P127="",Q127=""),"",N(P127)+N(Q127))</f>
        <v/>
      </c>
      <c r="S127" s="59"/>
      <c r="T127" s="59"/>
      <c r="U127" s="62">
        <f>IF(OR(R127="",S127="",T127=""),"",IF(S127+T127=0,"",R127/(S127+T127)))</f>
        <v/>
      </c>
      <c r="V127" s="63" t="s">
        <v>109</v>
      </c>
      <c r="W127" s="64"/>
      <c r="X127" s="63"/>
    </row>
    <row r="128" spans="2:24">
      <c r="B128" s="58">
        <v>46177</v>
      </c>
      <c r="C128" s="59">
        <v>15972</v>
      </c>
      <c r="D128" s="59">
        <v>20697</v>
      </c>
      <c r="E128" s="59">
        <v>2092</v>
      </c>
      <c r="F128" s="59">
        <v>1923</v>
      </c>
      <c r="G128" s="60">
        <f>IF(OR(E128="",F128="",C128="",D128=""),"",IF(C128+D128=0,"",(E128*C128+F128*D128)/(C128+D128)))</f>
        <v/>
      </c>
      <c r="H128" s="59">
        <v>1892</v>
      </c>
      <c r="I128" s="60">
        <f>IF(OR(H128="",E128="",C128="",D128=""),"",IF(C128+D128=0,"",(H128*D128+E128*C128)/(C128+D128)))</f>
        <v/>
      </c>
      <c r="J128" s="59">
        <v>2087</v>
      </c>
      <c r="K128" s="61">
        <f>IF(OR(J128="",I128=""),"",J128-I128)</f>
        <v/>
      </c>
      <c r="L128" s="61">
        <f>IF(OR(J128="",G128=""),"",J128-G128)</f>
        <v/>
      </c>
      <c r="M128" s="59"/>
      <c r="N128" s="59"/>
      <c r="O128" s="59">
        <v>160</v>
      </c>
      <c r="P128" s="59"/>
      <c r="Q128" s="59"/>
      <c r="R128" s="60">
        <f>IF(AND(P128="",Q128=""),"",N(P128)+N(Q128))</f>
        <v/>
      </c>
      <c r="S128" s="59"/>
      <c r="T128" s="59"/>
      <c r="U128" s="62">
        <f>IF(OR(R128="",S128="",T128=""),"",IF(S128+T128=0,"",R128/(S128+T128)))</f>
        <v/>
      </c>
      <c r="V128" s="63" t="s">
        <v>109</v>
      </c>
      <c r="W128" s="64"/>
      <c r="X128" s="63"/>
    </row>
    <row r="129" spans="2:24">
      <c r="B129" s="58">
        <v>46178</v>
      </c>
      <c r="C129" s="59">
        <v>24646</v>
      </c>
      <c r="D129" s="59">
        <v>22987</v>
      </c>
      <c r="E129" s="59">
        <v>1943</v>
      </c>
      <c r="F129" s="59">
        <v>1699</v>
      </c>
      <c r="G129" s="60">
        <f>IF(OR(E129="",F129="",C129="",D129=""),"",IF(C129+D129=0,"",(E129*C129+F129*D129)/(C129+D129)))</f>
        <v/>
      </c>
      <c r="H129" s="59">
        <v>1807</v>
      </c>
      <c r="I129" s="60">
        <f>IF(OR(H129="",E129="",C129="",D129=""),"",IF(C129+D129=0,"",(H129*D129+E129*C129)/(C129+D129)))</f>
        <v/>
      </c>
      <c r="J129" s="59">
        <v>1921</v>
      </c>
      <c r="K129" s="61">
        <f>IF(OR(J129="",I129=""),"",J129-I129)</f>
        <v/>
      </c>
      <c r="L129" s="61">
        <f>IF(OR(J129="",G129=""),"",J129-G129)</f>
        <v/>
      </c>
      <c r="M129" s="59"/>
      <c r="N129" s="59"/>
      <c r="O129" s="59">
        <v>160</v>
      </c>
      <c r="P129" s="59"/>
      <c r="Q129" s="59"/>
      <c r="R129" s="60">
        <f>IF(AND(P129="",Q129=""),"",N(P129)+N(Q129))</f>
        <v/>
      </c>
      <c r="S129" s="59"/>
      <c r="T129" s="59"/>
      <c r="U129" s="62">
        <f>IF(OR(R129="",S129="",T129=""),"",IF(S129+T129=0,"",R129/(S129+T129)))</f>
        <v/>
      </c>
      <c r="V129" s="63" t="s">
        <v>109</v>
      </c>
      <c r="W129" s="64"/>
      <c r="X129" s="63"/>
    </row>
    <row r="130" spans="2:24">
      <c r="B130" s="58">
        <v>46179</v>
      </c>
      <c r="C130" s="59">
        <v>27926</v>
      </c>
      <c r="D130" s="59">
        <v>13008</v>
      </c>
      <c r="E130" s="59">
        <v>1822</v>
      </c>
      <c r="F130" s="59">
        <v>1881</v>
      </c>
      <c r="G130" s="60">
        <f>IF(OR(E130="",F130="",C130="",D130=""),"",IF(C130+D130=0,"",(E130*C130+F130*D130)/(C130+D130)))</f>
        <v/>
      </c>
      <c r="H130" s="59">
        <v>1701</v>
      </c>
      <c r="I130" s="60">
        <f>IF(OR(H130="",E130="",C130="",D130=""),"",IF(C130+D130=0,"",(H130*D130+E130*C130)/(C130+D130)))</f>
        <v/>
      </c>
      <c r="J130" s="59">
        <v>1832</v>
      </c>
      <c r="K130" s="61">
        <f>IF(OR(J130="",I130=""),"",J130-I130)</f>
        <v/>
      </c>
      <c r="L130" s="61">
        <f>IF(OR(J130="",G130=""),"",J130-G130)</f>
        <v/>
      </c>
      <c r="M130" s="59"/>
      <c r="N130" s="59"/>
      <c r="O130" s="59">
        <v>160</v>
      </c>
      <c r="P130" s="59"/>
      <c r="Q130" s="59"/>
      <c r="R130" s="60">
        <f>IF(AND(P130="",Q130=""),"",N(P130)+N(Q130))</f>
        <v/>
      </c>
      <c r="S130" s="59"/>
      <c r="T130" s="59"/>
      <c r="U130" s="62">
        <f>IF(OR(R130="",S130="",T130=""),"",IF(S130+T130=0,"",R130/(S130+T130)))</f>
        <v/>
      </c>
      <c r="V130" s="63" t="s">
        <v>109</v>
      </c>
      <c r="W130" s="64"/>
      <c r="X130" s="63"/>
    </row>
    <row r="131" spans="2:24">
      <c r="B131" s="58">
        <v>46180</v>
      </c>
      <c r="C131" s="59">
        <v>28168</v>
      </c>
      <c r="D131" s="59">
        <v>20472</v>
      </c>
      <c r="E131" s="59">
        <v>2021</v>
      </c>
      <c r="F131" s="59">
        <v>1605</v>
      </c>
      <c r="G131" s="60">
        <f>IF(OR(E131="",F131="",C131="",D131=""),"",IF(C131+D131=0,"",(E131*C131+F131*D131)/(C131+D131)))</f>
        <v/>
      </c>
      <c r="H131" s="59">
        <v>1611</v>
      </c>
      <c r="I131" s="60">
        <f>IF(OR(H131="",E131="",C131="",D131=""),"",IF(C131+D131=0,"",(H131*D131+E131*C131)/(C131+D131)))</f>
        <v/>
      </c>
      <c r="J131" s="59">
        <v>1874</v>
      </c>
      <c r="K131" s="61">
        <f>IF(OR(J131="",I131=""),"",J131-I131)</f>
        <v/>
      </c>
      <c r="L131" s="61">
        <f>IF(OR(J131="",G131=""),"",J131-G131)</f>
        <v/>
      </c>
      <c r="M131" s="59"/>
      <c r="N131" s="59"/>
      <c r="O131" s="59">
        <v>160</v>
      </c>
      <c r="P131" s="59"/>
      <c r="Q131" s="59"/>
      <c r="R131" s="60">
        <f>IF(AND(P131="",Q131=""),"",N(P131)+N(Q131))</f>
        <v/>
      </c>
      <c r="S131" s="59"/>
      <c r="T131" s="59"/>
      <c r="U131" s="62">
        <f>IF(OR(R131="",S131="",T131=""),"",IF(S131+T131=0,"",R131/(S131+T131)))</f>
        <v/>
      </c>
      <c r="V131" s="63" t="s">
        <v>109</v>
      </c>
      <c r="W131" s="64"/>
      <c r="X131" s="63"/>
    </row>
    <row r="132" spans="2:24">
      <c r="B132" s="58">
        <v>46181</v>
      </c>
      <c r="C132" s="59">
        <v>28510</v>
      </c>
      <c r="D132" s="59">
        <v>18968</v>
      </c>
      <c r="E132" s="59">
        <v>1997</v>
      </c>
      <c r="F132" s="59">
        <v>1978</v>
      </c>
      <c r="G132" s="60">
        <f>IF(OR(E132="",F132="",C132="",D132=""),"",IF(C132+D132=0,"",(E132*C132+F132*D132)/(C132+D132)))</f>
        <v/>
      </c>
      <c r="H132" s="59">
        <v>1753</v>
      </c>
      <c r="I132" s="60">
        <f>IF(OR(H132="",E132="",C132="",D132=""),"",IF(C132+D132=0,"",(H132*D132+E132*C132)/(C132+D132)))</f>
        <v/>
      </c>
      <c r="J132" s="59">
        <v>1903</v>
      </c>
      <c r="K132" s="61">
        <f>IF(OR(J132="",I132=""),"",J132-I132)</f>
        <v/>
      </c>
      <c r="L132" s="61">
        <f>IF(OR(J132="",G132=""),"",J132-G132)</f>
        <v/>
      </c>
      <c r="M132" s="59"/>
      <c r="N132" s="59"/>
      <c r="O132" s="59">
        <v>160</v>
      </c>
      <c r="P132" s="59"/>
      <c r="Q132" s="59"/>
      <c r="R132" s="60">
        <f>IF(AND(P132="",Q132=""),"",N(P132)+N(Q132))</f>
        <v/>
      </c>
      <c r="S132" s="59"/>
      <c r="T132" s="59"/>
      <c r="U132" s="62">
        <f>IF(OR(R132="",S132="",T132=""),"",IF(S132+T132=0,"",R132/(S132+T132)))</f>
        <v/>
      </c>
      <c r="V132" s="63" t="s">
        <v>109</v>
      </c>
      <c r="W132" s="64"/>
      <c r="X132" s="63"/>
    </row>
    <row r="133" spans="2:24">
      <c r="B133" s="58">
        <v>46182</v>
      </c>
      <c r="C133" s="59">
        <v>23920</v>
      </c>
      <c r="D133" s="59">
        <v>20653</v>
      </c>
      <c r="E133" s="59">
        <v>2029</v>
      </c>
      <c r="F133" s="59">
        <v>1855</v>
      </c>
      <c r="G133" s="60">
        <f>IF(OR(E133="",F133="",C133="",D133=""),"",IF(C133+D133=0,"",(E133*C133+F133*D133)/(C133+D133)))</f>
        <v/>
      </c>
      <c r="H133" s="59">
        <v>1813</v>
      </c>
      <c r="I133" s="60">
        <f>IF(OR(H133="",E133="",C133="",D133=""),"",IF(C133+D133=0,"",(H133*D133+E133*C133)/(C133+D133)))</f>
        <v/>
      </c>
      <c r="J133" s="59">
        <v>2029</v>
      </c>
      <c r="K133" s="61">
        <f>IF(OR(J133="",I133=""),"",J133-I133)</f>
        <v/>
      </c>
      <c r="L133" s="61">
        <f>IF(OR(J133="",G133=""),"",J133-G133)</f>
        <v/>
      </c>
      <c r="M133" s="59"/>
      <c r="N133" s="59"/>
      <c r="O133" s="59">
        <v>160</v>
      </c>
      <c r="P133" s="59"/>
      <c r="Q133" s="59"/>
      <c r="R133" s="60">
        <f>IF(AND(P133="",Q133=""),"",N(P133)+N(Q133))</f>
        <v/>
      </c>
      <c r="S133" s="59"/>
      <c r="T133" s="59"/>
      <c r="U133" s="62">
        <f>IF(OR(R133="",S133="",T133=""),"",IF(S133+T133=0,"",R133/(S133+T133)))</f>
        <v/>
      </c>
      <c r="V133" s="63" t="s">
        <v>109</v>
      </c>
      <c r="W133" s="64"/>
      <c r="X133" s="63"/>
    </row>
    <row r="134" spans="2:24">
      <c r="B134" s="58">
        <v>46183</v>
      </c>
      <c r="C134" s="59">
        <v>10305</v>
      </c>
      <c r="D134" s="59">
        <v>21900</v>
      </c>
      <c r="E134" s="59">
        <v>2395</v>
      </c>
      <c r="F134" s="59">
        <v>1778</v>
      </c>
      <c r="G134" s="60">
        <f>IF(OR(E134="",F134="",C134="",D134=""),"",IF(C134+D134=0,"",(E134*C134+F134*D134)/(C134+D134)))</f>
        <v/>
      </c>
      <c r="H134" s="59">
        <v>1779</v>
      </c>
      <c r="I134" s="60">
        <f>IF(OR(H134="",E134="",C134="",D134=""),"",IF(C134+D134=0,"",(H134*D134+E134*C134)/(C134+D134)))</f>
        <v/>
      </c>
      <c r="J134" s="59">
        <v>2153</v>
      </c>
      <c r="K134" s="61">
        <f>IF(OR(J134="",I134=""),"",J134-I134)</f>
        <v/>
      </c>
      <c r="L134" s="61">
        <f>IF(OR(J134="",G134=""),"",J134-G134)</f>
        <v/>
      </c>
      <c r="M134" s="59"/>
      <c r="N134" s="59"/>
      <c r="O134" s="59">
        <v>160</v>
      </c>
      <c r="P134" s="59"/>
      <c r="Q134" s="59"/>
      <c r="R134" s="60">
        <f>IF(AND(P134="",Q134=""),"",N(P134)+N(Q134))</f>
        <v/>
      </c>
      <c r="S134" s="59"/>
      <c r="T134" s="59"/>
      <c r="U134" s="62">
        <f>IF(OR(R134="",S134="",T134=""),"",IF(S134+T134=0,"",R134/(S134+T134)))</f>
        <v/>
      </c>
      <c r="V134" s="63" t="s">
        <v>109</v>
      </c>
      <c r="W134" s="64"/>
      <c r="X134" s="63"/>
    </row>
    <row r="135" spans="2:24">
      <c r="B135" s="58">
        <v>46184</v>
      </c>
      <c r="C135" s="59">
        <v>21046</v>
      </c>
      <c r="D135" s="59">
        <v>21565</v>
      </c>
      <c r="E135" s="59">
        <v>1910</v>
      </c>
      <c r="F135" s="59">
        <v>1863</v>
      </c>
      <c r="G135" s="60">
        <f>IF(OR(E135="",F135="",C135="",D135=""),"",IF(C135+D135=0,"",(E135*C135+F135*D135)/(C135+D135)))</f>
        <v/>
      </c>
      <c r="H135" s="59">
        <v>1844</v>
      </c>
      <c r="I135" s="60">
        <f>IF(OR(H135="",E135="",C135="",D135=""),"",IF(C135+D135=0,"",(H135*D135+E135*C135)/(C135+D135)))</f>
        <v/>
      </c>
      <c r="J135" s="59">
        <v>2015</v>
      </c>
      <c r="K135" s="61">
        <f>IF(OR(J135="",I135=""),"",J135-I135)</f>
        <v/>
      </c>
      <c r="L135" s="61">
        <f>IF(OR(J135="",G135=""),"",J135-G135)</f>
        <v/>
      </c>
      <c r="M135" s="59"/>
      <c r="N135" s="59"/>
      <c r="O135" s="59">
        <v>160</v>
      </c>
      <c r="P135" s="59"/>
      <c r="Q135" s="59"/>
      <c r="R135" s="60">
        <f>IF(AND(P135="",Q135=""),"",N(P135)+N(Q135))</f>
        <v/>
      </c>
      <c r="S135" s="59"/>
      <c r="T135" s="59"/>
      <c r="U135" s="62">
        <f>IF(OR(R135="",S135="",T135=""),"",IF(S135+T135=0,"",R135/(S135+T135)))</f>
        <v/>
      </c>
      <c r="V135" s="63" t="s">
        <v>109</v>
      </c>
      <c r="W135" s="64"/>
      <c r="X135" s="63"/>
    </row>
    <row r="136" spans="2:24">
      <c r="B136" s="58">
        <v>46185</v>
      </c>
      <c r="C136" s="59">
        <v>21452</v>
      </c>
      <c r="D136" s="59">
        <v>18852</v>
      </c>
      <c r="E136" s="59">
        <v>2080</v>
      </c>
      <c r="F136" s="59">
        <v>1817</v>
      </c>
      <c r="G136" s="60">
        <f>IF(OR(E136="",F136="",C136="",D136=""),"",IF(C136+D136=0,"",(E136*C136+F136*D136)/(C136+D136)))</f>
        <v/>
      </c>
      <c r="H136" s="59">
        <v>1875</v>
      </c>
      <c r="I136" s="60">
        <f>IF(OR(H136="",E136="",C136="",D136=""),"",IF(C136+D136=0,"",(H136*D136+E136*C136)/(C136+D136)))</f>
        <v/>
      </c>
      <c r="J136" s="59">
        <v>2142</v>
      </c>
      <c r="K136" s="61">
        <f>IF(OR(J136="",I136=""),"",J136-I136)</f>
        <v/>
      </c>
      <c r="L136" s="61">
        <f>IF(OR(J136="",G136=""),"",J136-G136)</f>
        <v/>
      </c>
      <c r="M136" s="59"/>
      <c r="N136" s="59"/>
      <c r="O136" s="59">
        <v>160</v>
      </c>
      <c r="P136" s="59"/>
      <c r="Q136" s="59"/>
      <c r="R136" s="60">
        <f>IF(AND(P136="",Q136=""),"",N(P136)+N(Q136))</f>
        <v/>
      </c>
      <c r="S136" s="59"/>
      <c r="T136" s="59"/>
      <c r="U136" s="62">
        <f>IF(OR(R136="",S136="",T136=""),"",IF(S136+T136=0,"",R136/(S136+T136)))</f>
        <v/>
      </c>
      <c r="V136" s="63" t="s">
        <v>109</v>
      </c>
      <c r="W136" s="64"/>
      <c r="X136" s="63"/>
    </row>
    <row r="137" spans="2:24">
      <c r="B137" s="58">
        <v>46186</v>
      </c>
      <c r="C137" s="59">
        <v>26005</v>
      </c>
      <c r="D137" s="59">
        <v>20215</v>
      </c>
      <c r="E137" s="59">
        <v>2114</v>
      </c>
      <c r="F137" s="59">
        <v>2022</v>
      </c>
      <c r="G137" s="60">
        <f>IF(OR(E137="",F137="",C137="",D137=""),"",IF(C137+D137=0,"",(E137*C137+F137*D137)/(C137+D137)))</f>
        <v/>
      </c>
      <c r="H137" s="59">
        <v>1993</v>
      </c>
      <c r="I137" s="60">
        <f>IF(OR(H137="",E137="",C137="",D137=""),"",IF(C137+D137=0,"",(H137*D137+E137*C137)/(C137+D137)))</f>
        <v/>
      </c>
      <c r="J137" s="59">
        <v>2145</v>
      </c>
      <c r="K137" s="61">
        <f>IF(OR(J137="",I137=""),"",J137-I137)</f>
        <v/>
      </c>
      <c r="L137" s="61">
        <f>IF(OR(J137="",G137=""),"",J137-G137)</f>
        <v/>
      </c>
      <c r="M137" s="59"/>
      <c r="N137" s="59"/>
      <c r="O137" s="59">
        <v>160</v>
      </c>
      <c r="P137" s="59"/>
      <c r="Q137" s="59"/>
      <c r="R137" s="60">
        <f>IF(AND(P137="",Q137=""),"",N(P137)+N(Q137))</f>
        <v/>
      </c>
      <c r="S137" s="59"/>
      <c r="T137" s="59"/>
      <c r="U137" s="62">
        <f>IF(OR(R137="",S137="",T137=""),"",IF(S137+T137=0,"",R137/(S137+T137)))</f>
        <v/>
      </c>
      <c r="V137" s="63" t="s">
        <v>109</v>
      </c>
      <c r="W137" s="64"/>
      <c r="X137" s="63"/>
    </row>
    <row r="138" spans="2:24">
      <c r="B138" s="58">
        <v>46187</v>
      </c>
      <c r="C138" s="59">
        <v>26934</v>
      </c>
      <c r="D138" s="59">
        <v>15639</v>
      </c>
      <c r="E138" s="59">
        <v>1894</v>
      </c>
      <c r="F138" s="59">
        <v>2267</v>
      </c>
      <c r="G138" s="60">
        <f>IF(OR(E138="",F138="",C138="",D138=""),"",IF(C138+D138=0,"",(E138*C138+F138*D138)/(C138+D138)))</f>
        <v/>
      </c>
      <c r="H138" s="59">
        <v>2121</v>
      </c>
      <c r="I138" s="60">
        <f>IF(OR(H138="",E138="",C138="",D138=""),"",IF(C138+D138=0,"",(H138*D138+E138*C138)/(C138+D138)))</f>
        <v/>
      </c>
      <c r="J138" s="59">
        <v>2152</v>
      </c>
      <c r="K138" s="61">
        <f>IF(OR(J138="",I138=""),"",J138-I138)</f>
        <v/>
      </c>
      <c r="L138" s="61">
        <f>IF(OR(J138="",G138=""),"",J138-G138)</f>
        <v/>
      </c>
      <c r="M138" s="59"/>
      <c r="N138" s="59"/>
      <c r="O138" s="59">
        <v>160</v>
      </c>
      <c r="P138" s="59"/>
      <c r="Q138" s="59"/>
      <c r="R138" s="60">
        <f>IF(AND(P138="",Q138=""),"",N(P138)+N(Q138))</f>
        <v/>
      </c>
      <c r="S138" s="59"/>
      <c r="T138" s="59"/>
      <c r="U138" s="62">
        <f>IF(OR(R138="",S138="",T138=""),"",IF(S138+T138=0,"",R138/(S138+T138)))</f>
        <v/>
      </c>
      <c r="V138" s="63" t="s">
        <v>109</v>
      </c>
      <c r="W138" s="64"/>
      <c r="X138" s="63"/>
    </row>
    <row r="139" spans="2:24">
      <c r="B139" s="58">
        <v>46188</v>
      </c>
      <c r="C139" s="59">
        <v>26567</v>
      </c>
      <c r="D139" s="59">
        <v>24918</v>
      </c>
      <c r="E139" s="59">
        <v>2083</v>
      </c>
      <c r="F139" s="59">
        <v>1827</v>
      </c>
      <c r="G139" s="60">
        <f>IF(OR(E139="",F139="",C139="",D139=""),"",IF(C139+D139=0,"",(E139*C139+F139*D139)/(C139+D139)))</f>
        <v/>
      </c>
      <c r="H139" s="59">
        <v>1855</v>
      </c>
      <c r="I139" s="60">
        <f>IF(OR(H139="",E139="",C139="",D139=""),"",IF(C139+D139=0,"",(H139*D139+E139*C139)/(C139+D139)))</f>
        <v/>
      </c>
      <c r="J139" s="59">
        <v>2106</v>
      </c>
      <c r="K139" s="61">
        <f>IF(OR(J139="",I139=""),"",J139-I139)</f>
        <v/>
      </c>
      <c r="L139" s="61">
        <f>IF(OR(J139="",G139=""),"",J139-G139)</f>
        <v/>
      </c>
      <c r="M139" s="59"/>
      <c r="N139" s="59"/>
      <c r="O139" s="59">
        <v>160</v>
      </c>
      <c r="P139" s="59"/>
      <c r="Q139" s="59"/>
      <c r="R139" s="60">
        <f>IF(AND(P139="",Q139=""),"",N(P139)+N(Q139))</f>
        <v/>
      </c>
      <c r="S139" s="59"/>
      <c r="T139" s="59"/>
      <c r="U139" s="62">
        <f>IF(OR(R139="",S139="",T139=""),"",IF(S139+T139=0,"",R139/(S139+T139)))</f>
        <v/>
      </c>
      <c r="V139" s="63" t="s">
        <v>109</v>
      </c>
      <c r="W139" s="64"/>
      <c r="X139" s="63"/>
    </row>
    <row r="140" spans="2:24">
      <c r="B140" s="58">
        <v>46189</v>
      </c>
      <c r="C140" s="59">
        <v>26847</v>
      </c>
      <c r="D140" s="59">
        <v>23429</v>
      </c>
      <c r="E140" s="59">
        <v>2170</v>
      </c>
      <c r="F140" s="59">
        <v>1850</v>
      </c>
      <c r="G140" s="60">
        <f>IF(OR(E140="",F140="",C140="",D140=""),"",IF(C140+D140=0,"",(E140*C140+F140*D140)/(C140+D140)))</f>
        <v/>
      </c>
      <c r="H140" s="59">
        <v>1793</v>
      </c>
      <c r="I140" s="60">
        <f>IF(OR(H140="",E140="",C140="",D140=""),"",IF(C140+D140=0,"",(H140*D140+E140*C140)/(C140+D140)))</f>
        <v/>
      </c>
      <c r="J140" s="59">
        <v>2056</v>
      </c>
      <c r="K140" s="61">
        <f>IF(OR(J140="",I140=""),"",J140-I140)</f>
        <v/>
      </c>
      <c r="L140" s="61">
        <f>IF(OR(J140="",G140=""),"",J140-G140)</f>
        <v/>
      </c>
      <c r="M140" s="59"/>
      <c r="N140" s="59"/>
      <c r="O140" s="59">
        <v>160</v>
      </c>
      <c r="P140" s="59"/>
      <c r="Q140" s="59"/>
      <c r="R140" s="60">
        <f>IF(AND(P140="",Q140=""),"",N(P140)+N(Q140))</f>
        <v/>
      </c>
      <c r="S140" s="59"/>
      <c r="T140" s="59"/>
      <c r="U140" s="62">
        <f>IF(OR(R140="",S140="",T140=""),"",IF(S140+T140=0,"",R140/(S140+T140)))</f>
        <v/>
      </c>
      <c r="V140" s="63" t="s">
        <v>109</v>
      </c>
      <c r="W140" s="64"/>
      <c r="X140" s="63"/>
    </row>
    <row r="141" spans="2:24">
      <c r="B141" s="58">
        <v>46190</v>
      </c>
      <c r="C141" s="59">
        <v>30151</v>
      </c>
      <c r="D141" s="59">
        <v>26190</v>
      </c>
      <c r="E141" s="59">
        <v>1934</v>
      </c>
      <c r="F141" s="59">
        <v>1873</v>
      </c>
      <c r="G141" s="60">
        <f>IF(OR(E141="",F141="",C141="",D141=""),"",IF(C141+D141=0,"",(E141*C141+F141*D141)/(C141+D141)))</f>
        <v/>
      </c>
      <c r="H141" s="59">
        <v>1810</v>
      </c>
      <c r="I141" s="60">
        <f>IF(OR(H141="",E141="",C141="",D141=""),"",IF(C141+D141=0,"",(H141*D141+E141*C141)/(C141+D141)))</f>
        <v/>
      </c>
      <c r="J141" s="59">
        <v>2141</v>
      </c>
      <c r="K141" s="61">
        <f>IF(OR(J141="",I141=""),"",J141-I141)</f>
        <v/>
      </c>
      <c r="L141" s="61">
        <f>IF(OR(J141="",G141=""),"",J141-G141)</f>
        <v/>
      </c>
      <c r="M141" s="59"/>
      <c r="N141" s="59"/>
      <c r="O141" s="59">
        <v>160</v>
      </c>
      <c r="P141" s="59"/>
      <c r="Q141" s="59"/>
      <c r="R141" s="60">
        <f>IF(AND(P141="",Q141=""),"",N(P141)+N(Q141))</f>
        <v/>
      </c>
      <c r="S141" s="59"/>
      <c r="T141" s="59"/>
      <c r="U141" s="62">
        <f>IF(OR(R141="",S141="",T141=""),"",IF(S141+T141=0,"",R141/(S141+T141)))</f>
        <v/>
      </c>
      <c r="V141" s="63" t="s">
        <v>109</v>
      </c>
      <c r="W141" s="64"/>
      <c r="X141" s="63"/>
    </row>
    <row r="142" spans="2:24">
      <c r="B142" s="58">
        <v>46191</v>
      </c>
      <c r="C142" s="59">
        <v>26247</v>
      </c>
      <c r="D142" s="59">
        <v>21703</v>
      </c>
      <c r="E142" s="59">
        <v>2087</v>
      </c>
      <c r="F142" s="59">
        <v>1846</v>
      </c>
      <c r="G142" s="60">
        <f>IF(OR(E142="",F142="",C142="",D142=""),"",IF(C142+D142=0,"",(E142*C142+F142*D142)/(C142+D142)))</f>
        <v/>
      </c>
      <c r="H142" s="59">
        <v>1854</v>
      </c>
      <c r="I142" s="60">
        <f>IF(OR(H142="",E142="",C142="",D142=""),"",IF(C142+D142=0,"",(H142*D142+E142*C142)/(C142+D142)))</f>
        <v/>
      </c>
      <c r="J142" s="59">
        <v>2249</v>
      </c>
      <c r="K142" s="61">
        <f>IF(OR(J142="",I142=""),"",J142-I142)</f>
        <v/>
      </c>
      <c r="L142" s="61">
        <f>IF(OR(J142="",G142=""),"",J142-G142)</f>
        <v/>
      </c>
      <c r="M142" s="59"/>
      <c r="N142" s="59"/>
      <c r="O142" s="59">
        <v>160</v>
      </c>
      <c r="P142" s="59"/>
      <c r="Q142" s="59"/>
      <c r="R142" s="60">
        <f>IF(AND(P142="",Q142=""),"",N(P142)+N(Q142))</f>
        <v/>
      </c>
      <c r="S142" s="59"/>
      <c r="T142" s="59"/>
      <c r="U142" s="62">
        <f>IF(OR(R142="",S142="",T142=""),"",IF(S142+T142=0,"",R142/(S142+T142)))</f>
        <v/>
      </c>
      <c r="V142" s="63" t="s">
        <v>109</v>
      </c>
      <c r="W142" s="64"/>
      <c r="X142" s="63"/>
    </row>
    <row r="143" spans="2:24">
      <c r="B143" s="58">
        <v>46192</v>
      </c>
      <c r="C143" s="59">
        <v>26544</v>
      </c>
      <c r="D143" s="59">
        <v>22291</v>
      </c>
      <c r="E143" s="59">
        <v>2113</v>
      </c>
      <c r="F143" s="59">
        <v>1846</v>
      </c>
      <c r="G143" s="60">
        <f>IF(OR(E143="",F143="",C143="",D143=""),"",IF(C143+D143=0,"",(E143*C143+F143*D143)/(C143+D143)))</f>
        <v/>
      </c>
      <c r="H143" s="59">
        <v>1849</v>
      </c>
      <c r="I143" s="60">
        <f>IF(OR(H143="",E143="",C143="",D143=""),"",IF(C143+D143=0,"",(H143*D143+E143*C143)/(C143+D143)))</f>
        <v/>
      </c>
      <c r="J143" s="59">
        <v>2265</v>
      </c>
      <c r="K143" s="61">
        <f>IF(OR(J143="",I143=""),"",J143-I143)</f>
        <v/>
      </c>
      <c r="L143" s="61">
        <f>IF(OR(J143="",G143=""),"",J143-G143)</f>
        <v/>
      </c>
      <c r="M143" s="59"/>
      <c r="N143" s="59"/>
      <c r="O143" s="59">
        <v>160</v>
      </c>
      <c r="P143" s="59"/>
      <c r="Q143" s="59"/>
      <c r="R143" s="60">
        <f>IF(AND(P143="",Q143=""),"",N(P143)+N(Q143))</f>
        <v/>
      </c>
      <c r="S143" s="59"/>
      <c r="T143" s="59"/>
      <c r="U143" s="62">
        <f>IF(OR(R143="",S143="",T143=""),"",IF(S143+T143=0,"",R143/(S143+T143)))</f>
        <v/>
      </c>
      <c r="V143" s="63" t="s">
        <v>109</v>
      </c>
      <c r="W143" s="64"/>
      <c r="X143" s="63"/>
    </row>
    <row r="144" spans="2:24">
      <c r="B144" s="58">
        <v>46193</v>
      </c>
      <c r="C144" s="59">
        <v>30779</v>
      </c>
      <c r="D144" s="59">
        <v>21112</v>
      </c>
      <c r="E144" s="59">
        <v>1960</v>
      </c>
      <c r="F144" s="59">
        <v>1987</v>
      </c>
      <c r="G144" s="60">
        <f>IF(OR(E144="",F144="",C144="",D144=""),"",IF(C144+D144=0,"",(E144*C144+F144*D144)/(C144+D144)))</f>
        <v/>
      </c>
      <c r="H144" s="59">
        <v>1949</v>
      </c>
      <c r="I144" s="60">
        <f>IF(OR(H144="",E144="",C144="",D144=""),"",IF(C144+D144=0,"",(H144*D144+E144*C144)/(C144+D144)))</f>
        <v/>
      </c>
      <c r="J144" s="59">
        <v>2157</v>
      </c>
      <c r="K144" s="61">
        <f>IF(OR(J144="",I144=""),"",J144-I144)</f>
        <v/>
      </c>
      <c r="L144" s="61">
        <f>IF(OR(J144="",G144=""),"",J144-G144)</f>
        <v/>
      </c>
      <c r="M144" s="59"/>
      <c r="N144" s="59"/>
      <c r="O144" s="59">
        <v>160</v>
      </c>
      <c r="P144" s="59"/>
      <c r="Q144" s="59"/>
      <c r="R144" s="60">
        <f>IF(AND(P144="",Q144=""),"",N(P144)+N(Q144))</f>
        <v/>
      </c>
      <c r="S144" s="59"/>
      <c r="T144" s="59"/>
      <c r="U144" s="62">
        <f>IF(OR(R144="",S144="",T144=""),"",IF(S144+T144=0,"",R144/(S144+T144)))</f>
        <v/>
      </c>
      <c r="V144" s="63" t="s">
        <v>109</v>
      </c>
      <c r="W144" s="64"/>
      <c r="X144" s="63"/>
    </row>
    <row r="145" spans="2:24">
      <c r="B145" s="58">
        <v>46194</v>
      </c>
      <c r="C145" s="59">
        <v>27494</v>
      </c>
      <c r="D145" s="59">
        <v>22956</v>
      </c>
      <c r="E145" s="59">
        <v>1908</v>
      </c>
      <c r="F145" s="59">
        <v>1926</v>
      </c>
      <c r="G145" s="60">
        <f>IF(OR(E145="",F145="",C145="",D145=""),"",IF(C145+D145=0,"",(E145*C145+F145*D145)/(C145+D145)))</f>
        <v/>
      </c>
      <c r="H145" s="59">
        <v>1847</v>
      </c>
      <c r="I145" s="60">
        <f>IF(OR(H145="",E145="",C145="",D145=""),"",IF(C145+D145=0,"",(H145*D145+E145*C145)/(C145+D145)))</f>
        <v/>
      </c>
      <c r="J145" s="59">
        <v>2004</v>
      </c>
      <c r="K145" s="61">
        <f>IF(OR(J145="",I145=""),"",J145-I145)</f>
        <v/>
      </c>
      <c r="L145" s="61">
        <f>IF(OR(J145="",G145=""),"",J145-G145)</f>
        <v/>
      </c>
      <c r="M145" s="59"/>
      <c r="N145" s="59"/>
      <c r="O145" s="59">
        <v>160</v>
      </c>
      <c r="P145" s="59"/>
      <c r="Q145" s="59"/>
      <c r="R145" s="60">
        <f>IF(AND(P145="",Q145=""),"",N(P145)+N(Q145))</f>
        <v/>
      </c>
      <c r="S145" s="59"/>
      <c r="T145" s="59"/>
      <c r="U145" s="62">
        <f>IF(OR(R145="",S145="",T145=""),"",IF(S145+T145=0,"",R145/(S145+T145)))</f>
        <v/>
      </c>
      <c r="V145" s="63" t="s">
        <v>109</v>
      </c>
      <c r="W145" s="64"/>
      <c r="X145" s="63"/>
    </row>
    <row r="146" spans="2:24">
      <c r="B146" s="58">
        <v>46195</v>
      </c>
      <c r="C146" s="59">
        <v>23950</v>
      </c>
      <c r="D146" s="59">
        <v>22136</v>
      </c>
      <c r="E146" s="59">
        <v>1906</v>
      </c>
      <c r="F146" s="59">
        <v>1901</v>
      </c>
      <c r="G146" s="60">
        <f>IF(OR(E146="",F146="",C146="",D146=""),"",IF(C146+D146=0,"",(E146*C146+F146*D146)/(C146+D146)))</f>
        <v/>
      </c>
      <c r="H146" s="59">
        <v>1768</v>
      </c>
      <c r="I146" s="60">
        <f>IF(OR(H146="",E146="",C146="",D146=""),"",IF(C146+D146=0,"",(H146*D146+E146*C146)/(C146+D146)))</f>
        <v/>
      </c>
      <c r="J146" s="59">
        <v>1949</v>
      </c>
      <c r="K146" s="61">
        <f>IF(OR(J146="",I146=""),"",J146-I146)</f>
        <v/>
      </c>
      <c r="L146" s="61">
        <f>IF(OR(J146="",G146=""),"",J146-G146)</f>
        <v/>
      </c>
      <c r="M146" s="59"/>
      <c r="N146" s="59"/>
      <c r="O146" s="59">
        <v>160</v>
      </c>
      <c r="P146" s="59"/>
      <c r="Q146" s="59"/>
      <c r="R146" s="60">
        <f>IF(AND(P146="",Q146=""),"",N(P146)+N(Q146))</f>
        <v/>
      </c>
      <c r="S146" s="59"/>
      <c r="T146" s="59"/>
      <c r="U146" s="62">
        <f>IF(OR(R146="",S146="",T146=""),"",IF(S146+T146=0,"",R146/(S146+T146)))</f>
        <v/>
      </c>
      <c r="V146" s="63" t="s">
        <v>109</v>
      </c>
      <c r="W146" s="64"/>
      <c r="X146" s="63"/>
    </row>
    <row r="147" spans="2:24">
      <c r="B147" s="58">
        <v>46196</v>
      </c>
      <c r="C147" s="59">
        <v>24793</v>
      </c>
      <c r="D147" s="59">
        <v>23836</v>
      </c>
      <c r="E147" s="59">
        <v>1905</v>
      </c>
      <c r="F147" s="59">
        <v>2036</v>
      </c>
      <c r="G147" s="60">
        <f>IF(OR(E147="",F147="",C147="",D147=""),"",IF(C147+D147=0,"",(E147*C147+F147*D147)/(C147+D147)))</f>
        <v/>
      </c>
      <c r="H147" s="59">
        <v>1930</v>
      </c>
      <c r="I147" s="60">
        <f>IF(OR(H147="",E147="",C147="",D147=""),"",IF(C147+D147=0,"",(H147*D147+E147*C147)/(C147+D147)))</f>
        <v/>
      </c>
      <c r="J147" s="59">
        <v>2030</v>
      </c>
      <c r="K147" s="61">
        <f>IF(OR(J147="",I147=""),"",J147-I147)</f>
        <v/>
      </c>
      <c r="L147" s="61">
        <f>IF(OR(J147="",G147=""),"",J147-G147)</f>
        <v/>
      </c>
      <c r="M147" s="59"/>
      <c r="N147" s="59"/>
      <c r="O147" s="59">
        <v>160</v>
      </c>
      <c r="P147" s="59"/>
      <c r="Q147" s="59"/>
      <c r="R147" s="60">
        <f>IF(AND(P147="",Q147=""),"",N(P147)+N(Q147))</f>
        <v/>
      </c>
      <c r="S147" s="59"/>
      <c r="T147" s="59"/>
      <c r="U147" s="62">
        <f>IF(OR(R147="",S147="",T147=""),"",IF(S147+T147=0,"",R147/(S147+T147)))</f>
        <v/>
      </c>
      <c r="V147" s="63" t="s">
        <v>109</v>
      </c>
      <c r="W147" s="64"/>
      <c r="X147" s="63"/>
    </row>
    <row r="148" spans="2:24">
      <c r="B148" s="58">
        <v>46197</v>
      </c>
      <c r="C148" s="59">
        <v>31979</v>
      </c>
      <c r="D148" s="59">
        <v>15194</v>
      </c>
      <c r="E148" s="59">
        <v>1861</v>
      </c>
      <c r="F148" s="59">
        <v>1910</v>
      </c>
      <c r="G148" s="60">
        <f>IF(OR(E148="",F148="",C148="",D148=""),"",IF(C148+D148=0,"",(E148*C148+F148*D148)/(C148+D148)))</f>
        <v/>
      </c>
      <c r="H148" s="59">
        <v>1881</v>
      </c>
      <c r="I148" s="60">
        <f>IF(OR(H148="",E148="",C148="",D148=""),"",IF(C148+D148=0,"",(H148*D148+E148*C148)/(C148+D148)))</f>
        <v/>
      </c>
      <c r="J148" s="59">
        <v>2084</v>
      </c>
      <c r="K148" s="61">
        <f>IF(OR(J148="",I148=""),"",J148-I148)</f>
        <v/>
      </c>
      <c r="L148" s="61">
        <f>IF(OR(J148="",G148=""),"",J148-G148)</f>
        <v/>
      </c>
      <c r="M148" s="59"/>
      <c r="N148" s="59"/>
      <c r="O148" s="59">
        <v>160</v>
      </c>
      <c r="P148" s="59"/>
      <c r="Q148" s="59"/>
      <c r="R148" s="60">
        <f>IF(AND(P148="",Q148=""),"",N(P148)+N(Q148))</f>
        <v/>
      </c>
      <c r="S148" s="59"/>
      <c r="T148" s="59"/>
      <c r="U148" s="62">
        <f>IF(OR(R148="",S148="",T148=""),"",IF(S148+T148=0,"",R148/(S148+T148)))</f>
        <v/>
      </c>
      <c r="V148" s="63" t="s">
        <v>109</v>
      </c>
      <c r="W148" s="64"/>
      <c r="X148" s="63"/>
    </row>
    <row r="149" spans="2:24">
      <c r="B149" s="58">
        <v>46198</v>
      </c>
      <c r="C149" s="59">
        <v>30295</v>
      </c>
      <c r="D149" s="59">
        <v>19575</v>
      </c>
      <c r="E149" s="59">
        <v>1829</v>
      </c>
      <c r="F149" s="59">
        <v>1992</v>
      </c>
      <c r="G149" s="60">
        <f>IF(OR(E149="",F149="",C149="",D149=""),"",IF(C149+D149=0,"",(E149*C149+F149*D149)/(C149+D149)))</f>
        <v/>
      </c>
      <c r="H149" s="59">
        <v>1771</v>
      </c>
      <c r="I149" s="60">
        <f>IF(OR(H149="",E149="",C149="",D149=""),"",IF(C149+D149=0,"",(H149*D149+E149*C149)/(C149+D149)))</f>
        <v/>
      </c>
      <c r="J149" s="59">
        <v>2096</v>
      </c>
      <c r="K149" s="61">
        <f>IF(OR(J149="",I149=""),"",J149-I149)</f>
        <v/>
      </c>
      <c r="L149" s="61">
        <f>IF(OR(J149="",G149=""),"",J149-G149)</f>
        <v/>
      </c>
      <c r="M149" s="59"/>
      <c r="N149" s="59"/>
      <c r="O149" s="59">
        <v>160</v>
      </c>
      <c r="P149" s="59"/>
      <c r="Q149" s="59"/>
      <c r="R149" s="60">
        <f>IF(AND(P149="",Q149=""),"",N(P149)+N(Q149))</f>
        <v/>
      </c>
      <c r="S149" s="59"/>
      <c r="T149" s="59"/>
      <c r="U149" s="62">
        <f>IF(OR(R149="",S149="",T149=""),"",IF(S149+T149=0,"",R149/(S149+T149)))</f>
        <v/>
      </c>
      <c r="V149" s="63" t="s">
        <v>109</v>
      </c>
      <c r="W149" s="64"/>
      <c r="X149" s="63"/>
    </row>
    <row r="150" spans="2:24">
      <c r="B150" s="58">
        <v>46199</v>
      </c>
      <c r="C150" s="59">
        <v>30299</v>
      </c>
      <c r="D150" s="59">
        <v>22870</v>
      </c>
      <c r="E150" s="59">
        <v>1973</v>
      </c>
      <c r="F150" s="59">
        <v>1844</v>
      </c>
      <c r="G150" s="60">
        <f>IF(OR(E150="",F150="",C150="",D150=""),"",IF(C150+D150=0,"",(E150*C150+F150*D150)/(C150+D150)))</f>
        <v/>
      </c>
      <c r="H150" s="59">
        <v>1676</v>
      </c>
      <c r="I150" s="60">
        <f>IF(OR(H150="",E150="",C150="",D150=""),"",IF(C150+D150=0,"",(H150*D150+E150*C150)/(C150+D150)))</f>
        <v/>
      </c>
      <c r="J150" s="59">
        <v>2018</v>
      </c>
      <c r="K150" s="61">
        <f>IF(OR(J150="",I150=""),"",J150-I150)</f>
        <v/>
      </c>
      <c r="L150" s="61">
        <f>IF(OR(J150="",G150=""),"",J150-G150)</f>
        <v/>
      </c>
      <c r="M150" s="59"/>
      <c r="N150" s="59"/>
      <c r="O150" s="59">
        <v>160</v>
      </c>
      <c r="P150" s="59"/>
      <c r="Q150" s="59"/>
      <c r="R150" s="60">
        <f>IF(AND(P150="",Q150=""),"",N(P150)+N(Q150))</f>
        <v/>
      </c>
      <c r="S150" s="59"/>
      <c r="T150" s="59"/>
      <c r="U150" s="62">
        <f>IF(OR(R150="",S150="",T150=""),"",IF(S150+T150=0,"",R150/(S150+T150)))</f>
        <v/>
      </c>
      <c r="V150" s="63" t="s">
        <v>109</v>
      </c>
      <c r="W150" s="64"/>
      <c r="X150" s="63"/>
    </row>
    <row r="151" spans="2:24">
      <c r="B151" s="58">
        <v>46200</v>
      </c>
      <c r="C151" s="59">
        <v>29862</v>
      </c>
      <c r="D151" s="59">
        <v>23089</v>
      </c>
      <c r="E151" s="59">
        <v>1948</v>
      </c>
      <c r="F151" s="59">
        <v>1834</v>
      </c>
      <c r="G151" s="60">
        <f>IF(OR(E151="",F151="",C151="",D151=""),"",IF(C151+D151=0,"",(E151*C151+F151*D151)/(C151+D151)))</f>
        <v/>
      </c>
      <c r="H151" s="59">
        <v>1706</v>
      </c>
      <c r="I151" s="60">
        <f>IF(OR(H151="",E151="",C151="",D151=""),"",IF(C151+D151=0,"",(H151*D151+E151*C151)/(C151+D151)))</f>
        <v/>
      </c>
      <c r="J151" s="59">
        <v>2128</v>
      </c>
      <c r="K151" s="61">
        <f>IF(OR(J151="",I151=""),"",J151-I151)</f>
        <v/>
      </c>
      <c r="L151" s="61">
        <f>IF(OR(J151="",G151=""),"",J151-G151)</f>
        <v/>
      </c>
      <c r="M151" s="59"/>
      <c r="N151" s="59"/>
      <c r="O151" s="59">
        <v>160</v>
      </c>
      <c r="P151" s="59"/>
      <c r="Q151" s="59"/>
      <c r="R151" s="60">
        <f>IF(AND(P151="",Q151=""),"",N(P151)+N(Q151))</f>
        <v/>
      </c>
      <c r="S151" s="59"/>
      <c r="T151" s="59"/>
      <c r="U151" s="62">
        <f>IF(OR(R151="",S151="",T151=""),"",IF(S151+T151=0,"",R151/(S151+T151)))</f>
        <v/>
      </c>
      <c r="V151" s="63" t="s">
        <v>109</v>
      </c>
      <c r="W151" s="64"/>
      <c r="X151" s="63"/>
    </row>
    <row r="152" spans="2:24">
      <c r="B152" s="58">
        <v>46201</v>
      </c>
      <c r="C152" s="59">
        <v>27283</v>
      </c>
      <c r="D152" s="59">
        <v>21762</v>
      </c>
      <c r="E152" s="59">
        <v>2284</v>
      </c>
      <c r="F152" s="59">
        <v>1975</v>
      </c>
      <c r="G152" s="60">
        <f>IF(OR(E152="",F152="",C152="",D152=""),"",IF(C152+D152=0,"",(E152*C152+F152*D152)/(C152+D152)))</f>
        <v/>
      </c>
      <c r="H152" s="59">
        <v>1778</v>
      </c>
      <c r="I152" s="60">
        <f>IF(OR(H152="",E152="",C152="",D152=""),"",IF(C152+D152=0,"",(H152*D152+E152*C152)/(C152+D152)))</f>
        <v/>
      </c>
      <c r="J152" s="59">
        <v>2094</v>
      </c>
      <c r="K152" s="61">
        <f>IF(OR(J152="",I152=""),"",J152-I152)</f>
        <v/>
      </c>
      <c r="L152" s="61">
        <f>IF(OR(J152="",G152=""),"",J152-G152)</f>
        <v/>
      </c>
      <c r="M152" s="59"/>
      <c r="N152" s="59"/>
      <c r="O152" s="59">
        <v>160</v>
      </c>
      <c r="P152" s="59"/>
      <c r="Q152" s="59"/>
      <c r="R152" s="60">
        <f>IF(AND(P152="",Q152=""),"",N(P152)+N(Q152))</f>
        <v/>
      </c>
      <c r="S152" s="59"/>
      <c r="T152" s="59"/>
      <c r="U152" s="62">
        <f>IF(OR(R152="",S152="",T152=""),"",IF(S152+T152=0,"",R152/(S152+T152)))</f>
        <v/>
      </c>
      <c r="V152" s="63" t="s">
        <v>109</v>
      </c>
      <c r="W152" s="64"/>
      <c r="X152" s="63"/>
    </row>
    <row r="153" spans="2:24">
      <c r="B153" s="58">
        <v>46202</v>
      </c>
      <c r="C153" s="59">
        <v>28463</v>
      </c>
      <c r="D153" s="59">
        <v>21314</v>
      </c>
      <c r="E153" s="59">
        <v>1967</v>
      </c>
      <c r="F153" s="59">
        <v>1938</v>
      </c>
      <c r="G153" s="60">
        <f>IF(OR(E153="",F153="",C153="",D153=""),"",IF(C153+D153=0,"",(E153*C153+F153*D153)/(C153+D153)))</f>
        <v/>
      </c>
      <c r="H153" s="59">
        <v>1802</v>
      </c>
      <c r="I153" s="60">
        <f>IF(OR(H153="",E153="",C153="",D153=""),"",IF(C153+D153=0,"",(H153*D153+E153*C153)/(C153+D153)))</f>
        <v/>
      </c>
      <c r="J153" s="59">
        <v>2130</v>
      </c>
      <c r="K153" s="61">
        <f>IF(OR(J153="",I153=""),"",J153-I153)</f>
        <v/>
      </c>
      <c r="L153" s="61">
        <f>IF(OR(J153="",G153=""),"",J153-G153)</f>
        <v/>
      </c>
      <c r="M153" s="59"/>
      <c r="N153" s="59"/>
      <c r="O153" s="59">
        <v>160</v>
      </c>
      <c r="P153" s="59"/>
      <c r="Q153" s="59"/>
      <c r="R153" s="60">
        <f>IF(AND(P153="",Q153=""),"",N(P153)+N(Q153))</f>
        <v/>
      </c>
      <c r="S153" s="59"/>
      <c r="T153" s="59"/>
      <c r="U153" s="62">
        <f>IF(OR(R153="",S153="",T153=""),"",IF(S153+T153=0,"",R153/(S153+T153)))</f>
        <v/>
      </c>
      <c r="V153" s="63" t="s">
        <v>109</v>
      </c>
      <c r="W153" s="64"/>
      <c r="X153" s="63"/>
    </row>
    <row r="154" spans="2:24">
      <c r="B154" s="58">
        <v>46203</v>
      </c>
      <c r="C154" s="59">
        <v>28141</v>
      </c>
      <c r="D154" s="59">
        <v>19930</v>
      </c>
      <c r="E154" s="59">
        <v>2124</v>
      </c>
      <c r="F154" s="59">
        <v>1932</v>
      </c>
      <c r="G154" s="60">
        <f>IF(OR(E154="",F154="",C154="",D154=""),"",IF(C154+D154=0,"",(E154*C154+F154*D154)/(C154+D154)))</f>
        <v/>
      </c>
      <c r="H154" s="59">
        <v>1799</v>
      </c>
      <c r="I154" s="60">
        <f>IF(OR(H154="",E154="",C154="",D154=""),"",IF(C154+D154=0,"",(H154*D154+E154*C154)/(C154+D154)))</f>
        <v/>
      </c>
      <c r="J154" s="59">
        <v>2000</v>
      </c>
      <c r="K154" s="61">
        <f>IF(OR(J154="",I154=""),"",J154-I154)</f>
        <v/>
      </c>
      <c r="L154" s="61">
        <f>IF(OR(J154="",G154=""),"",J154-G154)</f>
        <v/>
      </c>
      <c r="M154" s="59"/>
      <c r="N154" s="59"/>
      <c r="O154" s="59">
        <v>160</v>
      </c>
      <c r="P154" s="59"/>
      <c r="Q154" s="59"/>
      <c r="R154" s="60">
        <f>IF(AND(P154="",Q154=""),"",N(P154)+N(Q154))</f>
        <v/>
      </c>
      <c r="S154" s="59"/>
      <c r="T154" s="59"/>
      <c r="U154" s="62">
        <f>IF(OR(R154="",S154="",T154=""),"",IF(S154+T154=0,"",R154/(S154+T154)))</f>
        <v/>
      </c>
      <c r="V154" s="63" t="s">
        <v>109</v>
      </c>
      <c r="W154" s="64"/>
      <c r="X154" s="63"/>
    </row>
    <row r="155" spans="2:24">
      <c r="B155" s="58">
        <v>46204</v>
      </c>
      <c r="C155" s="59">
        <v>27496</v>
      </c>
      <c r="D155" s="59">
        <v>20595</v>
      </c>
      <c r="E155" s="59">
        <v>2034</v>
      </c>
      <c r="F155" s="59">
        <v>1719</v>
      </c>
      <c r="G155" s="60">
        <f>IF(OR(E155="",F155="",C155="",D155=""),"",IF(C155+D155=0,"",(E155*C155+F155*D155)/(C155+D155)))</f>
        <v/>
      </c>
      <c r="H155" s="59">
        <v>1781</v>
      </c>
      <c r="I155" s="60">
        <f>IF(OR(H155="",E155="",C155="",D155=""),"",IF(C155+D155=0,"",(H155*D155+E155*C155)/(C155+D155)))</f>
        <v/>
      </c>
      <c r="J155" s="59">
        <v>1948</v>
      </c>
      <c r="K155" s="61">
        <f>IF(OR(J155="",I155=""),"",J155-I155)</f>
        <v/>
      </c>
      <c r="L155" s="61">
        <f>IF(OR(J155="",G155=""),"",J155-G155)</f>
        <v/>
      </c>
      <c r="M155" s="59"/>
      <c r="N155" s="59"/>
      <c r="O155" s="59">
        <v>160</v>
      </c>
      <c r="P155" s="59"/>
      <c r="Q155" s="59"/>
      <c r="R155" s="60">
        <f>IF(AND(P155="",Q155=""),"",N(P155)+N(Q155))</f>
        <v/>
      </c>
      <c r="S155" s="59"/>
      <c r="T155" s="59"/>
      <c r="U155" s="62">
        <f>IF(OR(R155="",S155="",T155=""),"",IF(S155+T155=0,"",R155/(S155+T155)))</f>
        <v/>
      </c>
      <c r="V155" s="63" t="s">
        <v>109</v>
      </c>
      <c r="W155" s="64"/>
      <c r="X155" s="63"/>
    </row>
    <row r="156" spans="2:24">
      <c r="B156" s="58">
        <v>46205</v>
      </c>
      <c r="C156" s="59">
        <v>29933</v>
      </c>
      <c r="D156" s="59">
        <v>17399</v>
      </c>
      <c r="E156" s="59">
        <v>1844</v>
      </c>
      <c r="F156" s="59">
        <v>1953</v>
      </c>
      <c r="G156" s="60">
        <f>IF(OR(E156="",F156="",C156="",D156=""),"",IF(C156+D156=0,"",(E156*C156+F156*D156)/(C156+D156)))</f>
        <v/>
      </c>
      <c r="H156" s="59">
        <v>1817</v>
      </c>
      <c r="I156" s="60">
        <f>IF(OR(H156="",E156="",C156="",D156=""),"",IF(C156+D156=0,"",(H156*D156+E156*C156)/(C156+D156)))</f>
        <v/>
      </c>
      <c r="J156" s="59">
        <v>1882</v>
      </c>
      <c r="K156" s="61">
        <f>IF(OR(J156="",I156=""),"",J156-I156)</f>
        <v/>
      </c>
      <c r="L156" s="61">
        <f>IF(OR(J156="",G156=""),"",J156-G156)</f>
        <v/>
      </c>
      <c r="M156" s="59"/>
      <c r="N156" s="59"/>
      <c r="O156" s="59">
        <v>160</v>
      </c>
      <c r="P156" s="59"/>
      <c r="Q156" s="59"/>
      <c r="R156" s="60">
        <f>IF(AND(P156="",Q156=""),"",N(P156)+N(Q156))</f>
        <v/>
      </c>
      <c r="S156" s="59"/>
      <c r="T156" s="59"/>
      <c r="U156" s="62">
        <f>IF(OR(R156="",S156="",T156=""),"",IF(S156+T156=0,"",R156/(S156+T156)))</f>
        <v/>
      </c>
      <c r="V156" s="63" t="s">
        <v>109</v>
      </c>
      <c r="W156" s="64"/>
      <c r="X156" s="63"/>
    </row>
    <row r="157" spans="2:24">
      <c r="B157" s="58">
        <v>46206</v>
      </c>
      <c r="C157" s="59">
        <v>25093</v>
      </c>
      <c r="D157" s="59">
        <v>1978</v>
      </c>
      <c r="E157" s="59">
        <v>1941</v>
      </c>
      <c r="F157" s="59">
        <v>1804</v>
      </c>
      <c r="G157" s="60">
        <f>IF(OR(E157="",F157="",C157="",D157=""),"",IF(C157+D157=0,"",(E157*C157+F157*D157)/(C157+D157)))</f>
        <v/>
      </c>
      <c r="H157" s="59">
        <v>1585</v>
      </c>
      <c r="I157" s="60">
        <f>IF(OR(H157="",E157="",C157="",D157=""),"",IF(C157+D157=0,"",(H157*D157+E157*C157)/(C157+D157)))</f>
        <v/>
      </c>
      <c r="J157" s="59">
        <v>1856</v>
      </c>
      <c r="K157" s="61">
        <f>IF(OR(J157="",I157=""),"",J157-I157)</f>
        <v/>
      </c>
      <c r="L157" s="61">
        <f>IF(OR(J157="",G157=""),"",J157-G157)</f>
        <v/>
      </c>
      <c r="M157" s="59"/>
      <c r="N157" s="59"/>
      <c r="O157" s="59">
        <v>160</v>
      </c>
      <c r="P157" s="59"/>
      <c r="Q157" s="59"/>
      <c r="R157" s="60">
        <f>IF(AND(P157="",Q157=""),"",N(P157)+N(Q157))</f>
        <v/>
      </c>
      <c r="S157" s="59"/>
      <c r="T157" s="59"/>
      <c r="U157" s="62">
        <f>IF(OR(R157="",S157="",T157=""),"",IF(S157+T157=0,"",R157/(S157+T157)))</f>
        <v/>
      </c>
      <c r="V157" s="63" t="s">
        <v>109</v>
      </c>
      <c r="W157" s="64"/>
      <c r="X157" s="63"/>
    </row>
    <row r="158" spans="2:24">
      <c r="B158" s="58">
        <v>46207</v>
      </c>
      <c r="C158" s="59">
        <v>27763</v>
      </c>
      <c r="D158" s="59">
        <v>17329</v>
      </c>
      <c r="E158" s="59">
        <v>1924</v>
      </c>
      <c r="F158" s="59">
        <v>1752</v>
      </c>
      <c r="G158" s="60">
        <f>IF(OR(E158="",F158="",C158="",D158=""),"",IF(C158+D158=0,"",(E158*C158+F158*D158)/(C158+D158)))</f>
        <v/>
      </c>
      <c r="H158" s="59">
        <v>1813</v>
      </c>
      <c r="I158" s="60">
        <f>IF(OR(H158="",E158="",C158="",D158=""),"",IF(C158+D158=0,"",(H158*D158+E158*C158)/(C158+D158)))</f>
        <v/>
      </c>
      <c r="J158" s="59">
        <v>1841</v>
      </c>
      <c r="K158" s="61">
        <f>IF(OR(J158="",I158=""),"",J158-I158)</f>
        <v/>
      </c>
      <c r="L158" s="61">
        <f>IF(OR(J158="",G158=""),"",J158-G158)</f>
        <v/>
      </c>
      <c r="M158" s="59"/>
      <c r="N158" s="59"/>
      <c r="O158" s="59">
        <v>160</v>
      </c>
      <c r="P158" s="59"/>
      <c r="Q158" s="59"/>
      <c r="R158" s="60">
        <f>IF(AND(P158="",Q158=""),"",N(P158)+N(Q158))</f>
        <v/>
      </c>
      <c r="S158" s="59"/>
      <c r="T158" s="59"/>
      <c r="U158" s="62">
        <f>IF(OR(R158="",S158="",T158=""),"",IF(S158+T158=0,"",R158/(S158+T158)))</f>
        <v/>
      </c>
      <c r="V158" s="63" t="s">
        <v>109</v>
      </c>
      <c r="W158" s="64"/>
      <c r="X158" s="63"/>
    </row>
    <row r="159" spans="2:24">
      <c r="B159" s="58">
        <v>46208</v>
      </c>
      <c r="C159" s="59">
        <v>27154</v>
      </c>
      <c r="D159" s="59">
        <v>21627</v>
      </c>
      <c r="E159" s="59">
        <v>1921</v>
      </c>
      <c r="F159" s="59">
        <v>1913</v>
      </c>
      <c r="G159" s="60">
        <f>IF(OR(E159="",F159="",C159="",D159=""),"",IF(C159+D159=0,"",(E159*C159+F159*D159)/(C159+D159)))</f>
        <v/>
      </c>
      <c r="H159" s="59">
        <v>1869</v>
      </c>
      <c r="I159" s="60">
        <f>IF(OR(H159="",E159="",C159="",D159=""),"",IF(C159+D159=0,"",(H159*D159+E159*C159)/(C159+D159)))</f>
        <v/>
      </c>
      <c r="J159" s="59">
        <v>1964</v>
      </c>
      <c r="K159" s="61">
        <f>IF(OR(J159="",I159=""),"",J159-I159)</f>
        <v/>
      </c>
      <c r="L159" s="61">
        <f>IF(OR(J159="",G159=""),"",J159-G159)</f>
        <v/>
      </c>
      <c r="M159" s="59"/>
      <c r="N159" s="59"/>
      <c r="O159" s="59">
        <v>160</v>
      </c>
      <c r="P159" s="59"/>
      <c r="Q159" s="59"/>
      <c r="R159" s="60">
        <f>IF(AND(P159="",Q159=""),"",N(P159)+N(Q159))</f>
        <v/>
      </c>
      <c r="S159" s="59"/>
      <c r="T159" s="59"/>
      <c r="U159" s="62">
        <f>IF(OR(R159="",S159="",T159=""),"",IF(S159+T159=0,"",R159/(S159+T159)))</f>
        <v/>
      </c>
      <c r="V159" s="63" t="s">
        <v>109</v>
      </c>
      <c r="W159" s="64"/>
      <c r="X159" s="63"/>
    </row>
    <row r="160" spans="2:24">
      <c r="B160" s="58">
        <v>46209</v>
      </c>
      <c r="C160" s="59">
        <v>25140</v>
      </c>
      <c r="D160" s="59">
        <v>21657</v>
      </c>
      <c r="E160" s="59">
        <v>1939</v>
      </c>
      <c r="F160" s="59">
        <v>1896</v>
      </c>
      <c r="G160" s="60">
        <f>IF(OR(E160="",F160="",C160="",D160=""),"",IF(C160+D160=0,"",(E160*C160+F160*D160)/(C160+D160)))</f>
        <v/>
      </c>
      <c r="H160" s="59">
        <v>1847</v>
      </c>
      <c r="I160" s="60">
        <f>IF(OR(H160="",E160="",C160="",D160=""),"",IF(C160+D160=0,"",(H160*D160+E160*C160)/(C160+D160)))</f>
        <v/>
      </c>
      <c r="J160" s="59">
        <v>1968</v>
      </c>
      <c r="K160" s="61">
        <f>IF(OR(J160="",I160=""),"",J160-I160)</f>
        <v/>
      </c>
      <c r="L160" s="61">
        <f>IF(OR(J160="",G160=""),"",J160-G160)</f>
        <v/>
      </c>
      <c r="M160" s="59"/>
      <c r="N160" s="59"/>
      <c r="O160" s="59">
        <v>160</v>
      </c>
      <c r="P160" s="59"/>
      <c r="Q160" s="59"/>
      <c r="R160" s="60">
        <f>IF(AND(P160="",Q160=""),"",N(P160)+N(Q160))</f>
        <v/>
      </c>
      <c r="S160" s="59"/>
      <c r="T160" s="59"/>
      <c r="U160" s="62">
        <f>IF(OR(R160="",S160="",T160=""),"",IF(S160+T160=0,"",R160/(S160+T160)))</f>
        <v/>
      </c>
      <c r="V160" s="63" t="s">
        <v>109</v>
      </c>
      <c r="W160" s="64"/>
      <c r="X160" s="63"/>
    </row>
    <row r="161" spans="2:24">
      <c r="B161" s="58">
        <v>46210</v>
      </c>
      <c r="C161" s="59">
        <v>29345</v>
      </c>
      <c r="D161" s="59">
        <v>24088</v>
      </c>
      <c r="E161" s="59">
        <v>1847</v>
      </c>
      <c r="F161" s="59">
        <v>1636</v>
      </c>
      <c r="G161" s="60">
        <f>IF(OR(E161="",F161="",C161="",D161=""),"",IF(C161+D161=0,"",(E161*C161+F161*D161)/(C161+D161)))</f>
        <v/>
      </c>
      <c r="H161" s="59">
        <v>1662</v>
      </c>
      <c r="I161" s="60">
        <f>IF(OR(H161="",E161="",C161="",D161=""),"",IF(C161+D161=0,"",(H161*D161+E161*C161)/(C161+D161)))</f>
        <v/>
      </c>
      <c r="J161" s="59">
        <v>1833</v>
      </c>
      <c r="K161" s="61">
        <f>IF(OR(J161="",I161=""),"",J161-I161)</f>
        <v/>
      </c>
      <c r="L161" s="61">
        <f>IF(OR(J161="",G161=""),"",J161-G161)</f>
        <v/>
      </c>
      <c r="M161" s="59"/>
      <c r="N161" s="59"/>
      <c r="O161" s="59">
        <v>160</v>
      </c>
      <c r="P161" s="59"/>
      <c r="Q161" s="59"/>
      <c r="R161" s="60">
        <f>IF(AND(P161="",Q161=""),"",N(P161)+N(Q161))</f>
        <v/>
      </c>
      <c r="S161" s="59"/>
      <c r="T161" s="59"/>
      <c r="U161" s="62">
        <f>IF(OR(R161="",S161="",T161=""),"",IF(S161+T161=0,"",R161/(S161+T161)))</f>
        <v/>
      </c>
      <c r="V161" s="63" t="s">
        <v>109</v>
      </c>
      <c r="W161" s="64"/>
      <c r="X161" s="63"/>
    </row>
    <row r="162" spans="2:24">
      <c r="B162" s="58">
        <v>46211</v>
      </c>
      <c r="C162" s="59">
        <v>29802</v>
      </c>
      <c r="D162" s="59">
        <v>16700</v>
      </c>
      <c r="E162" s="59">
        <v>1867</v>
      </c>
      <c r="F162" s="59">
        <v>1923</v>
      </c>
      <c r="G162" s="60">
        <f>IF(OR(E162="",F162="",C162="",D162=""),"",IF(C162+D162=0,"",(E162*C162+F162*D162)/(C162+D162)))</f>
        <v/>
      </c>
      <c r="H162" s="59">
        <v>1734</v>
      </c>
      <c r="I162" s="60">
        <f>IF(OR(H162="",E162="",C162="",D162=""),"",IF(C162+D162=0,"",(H162*D162+E162*C162)/(C162+D162)))</f>
        <v/>
      </c>
      <c r="J162" s="59">
        <v>1935</v>
      </c>
      <c r="K162" s="61">
        <f>IF(OR(J162="",I162=""),"",J162-I162)</f>
        <v/>
      </c>
      <c r="L162" s="61">
        <f>IF(OR(J162="",G162=""),"",J162-G162)</f>
        <v/>
      </c>
      <c r="M162" s="59"/>
      <c r="N162" s="59"/>
      <c r="O162" s="59">
        <v>160</v>
      </c>
      <c r="P162" s="59"/>
      <c r="Q162" s="59"/>
      <c r="R162" s="60">
        <f>IF(AND(P162="",Q162=""),"",N(P162)+N(Q162))</f>
        <v/>
      </c>
      <c r="S162" s="59"/>
      <c r="T162" s="59"/>
      <c r="U162" s="62">
        <f>IF(OR(R162="",S162="",T162=""),"",IF(S162+T162=0,"",R162/(S162+T162)))</f>
        <v/>
      </c>
      <c r="V162" s="63" t="s">
        <v>109</v>
      </c>
      <c r="W162" s="64"/>
      <c r="X162" s="63"/>
    </row>
    <row r="163" spans="2:24">
      <c r="B163" s="58">
        <v>46212</v>
      </c>
      <c r="C163" s="59">
        <v>15734</v>
      </c>
      <c r="D163" s="59">
        <v>24526</v>
      </c>
      <c r="E163" s="59">
        <v>2013</v>
      </c>
      <c r="F163" s="59">
        <v>1856</v>
      </c>
      <c r="G163" s="60">
        <f>IF(OR(E163="",F163="",C163="",D163=""),"",IF(C163+D163=0,"",(E163*C163+F163*D163)/(C163+D163)))</f>
        <v/>
      </c>
      <c r="H163" s="59">
        <v>1963</v>
      </c>
      <c r="I163" s="60">
        <f>IF(OR(H163="",E163="",C163="",D163=""),"",IF(C163+D163=0,"",(H163*D163+E163*C163)/(C163+D163)))</f>
        <v/>
      </c>
      <c r="J163" s="59">
        <v>2108</v>
      </c>
      <c r="K163" s="61">
        <f>IF(OR(J163="",I163=""),"",J163-I163)</f>
        <v/>
      </c>
      <c r="L163" s="61">
        <f>IF(OR(J163="",G163=""),"",J163-G163)</f>
        <v/>
      </c>
      <c r="M163" s="59"/>
      <c r="N163" s="59"/>
      <c r="O163" s="59">
        <v>160</v>
      </c>
      <c r="P163" s="59"/>
      <c r="Q163" s="59"/>
      <c r="R163" s="60">
        <f>IF(AND(P163="",Q163=""),"",N(P163)+N(Q163))</f>
        <v/>
      </c>
      <c r="S163" s="59"/>
      <c r="T163" s="59"/>
      <c r="U163" s="62">
        <f>IF(OR(R163="",S163="",T163=""),"",IF(S163+T163=0,"",R163/(S163+T163)))</f>
        <v/>
      </c>
      <c r="V163" s="63" t="s">
        <v>109</v>
      </c>
      <c r="W163" s="64"/>
      <c r="X163" s="63"/>
    </row>
    <row r="164" spans="2:24">
      <c r="B164" s="58">
        <v>46213</v>
      </c>
      <c r="C164" s="59">
        <v>922</v>
      </c>
      <c r="D164" s="59">
        <v>24560</v>
      </c>
      <c r="E164" s="59"/>
      <c r="F164" s="59">
        <v>1837</v>
      </c>
      <c r="G164" s="60">
        <f>IF(OR(E164="",F164="",C164="",D164=""),"",IF(C164+D164=0,"",(E164*C164+F164*D164)/(C164+D164)))</f>
        <v/>
      </c>
      <c r="H164" s="59">
        <v>1978</v>
      </c>
      <c r="I164" s="60">
        <f>IF(OR(H164="",E164="",C164="",D164=""),"",IF(C164+D164=0,"",(H164*D164+E164*C164)/(C164+D164)))</f>
        <v/>
      </c>
      <c r="J164" s="59">
        <v>1981</v>
      </c>
      <c r="K164" s="61">
        <f>IF(OR(J164="",I164=""),"",J164-I164)</f>
        <v/>
      </c>
      <c r="L164" s="61">
        <f>IF(OR(J164="",G164=""),"",J164-G164)</f>
        <v/>
      </c>
      <c r="M164" s="59"/>
      <c r="N164" s="59"/>
      <c r="O164" s="59">
        <v>160</v>
      </c>
      <c r="P164" s="59"/>
      <c r="Q164" s="59"/>
      <c r="R164" s="60">
        <f>IF(AND(P164="",Q164=""),"",N(P164)+N(Q164))</f>
        <v/>
      </c>
      <c r="S164" s="59"/>
      <c r="T164" s="59"/>
      <c r="U164" s="62">
        <f>IF(OR(R164="",S164="",T164=""),"",IF(S164+T164=0,"",R164/(S164+T164)))</f>
        <v/>
      </c>
      <c r="V164" s="63" t="s">
        <v>109</v>
      </c>
      <c r="W164" s="64"/>
      <c r="X164" s="63"/>
    </row>
    <row r="165" spans="2:24">
      <c r="B165" s="58">
        <v>46214</v>
      </c>
      <c r="C165" s="59">
        <v>2661</v>
      </c>
      <c r="D165" s="59">
        <v>25325</v>
      </c>
      <c r="E165" s="59">
        <v>2082</v>
      </c>
      <c r="F165" s="59">
        <v>1817</v>
      </c>
      <c r="G165" s="60">
        <f>IF(OR(E165="",F165="",C165="",D165=""),"",IF(C165+D165=0,"",(E165*C165+F165*D165)/(C165+D165)))</f>
        <v/>
      </c>
      <c r="H165" s="59">
        <v>1974</v>
      </c>
      <c r="I165" s="60">
        <f>IF(OR(H165="",E165="",C165="",D165=""),"",IF(C165+D165=0,"",(H165*D165+E165*C165)/(C165+D165)))</f>
        <v/>
      </c>
      <c r="J165" s="59">
        <v>1980</v>
      </c>
      <c r="K165" s="61">
        <f>IF(OR(J165="",I165=""),"",J165-I165)</f>
        <v/>
      </c>
      <c r="L165" s="61">
        <f>IF(OR(J165="",G165=""),"",J165-G165)</f>
        <v/>
      </c>
      <c r="M165" s="59">
        <v>1697</v>
      </c>
      <c r="N165" s="59">
        <v>2323</v>
      </c>
      <c r="O165" s="59">
        <v>160</v>
      </c>
      <c r="P165" s="59"/>
      <c r="Q165" s="59"/>
      <c r="R165" s="60">
        <f>IF(AND(P165="",Q165=""),"",N(P165)+N(Q165))</f>
        <v/>
      </c>
      <c r="S165" s="59"/>
      <c r="T165" s="59"/>
      <c r="U165" s="62">
        <f>IF(OR(R165="",S165="",T165=""),"",IF(S165+T165=0,"",R165/(S165+T165)))</f>
        <v/>
      </c>
      <c r="V165" s="63" t="s">
        <v>109</v>
      </c>
      <c r="W165" s="64"/>
      <c r="X165" s="63"/>
    </row>
    <row r="166" spans="2:24">
      <c r="B166" s="58">
        <v>46215</v>
      </c>
      <c r="C166" s="59">
        <v>26766</v>
      </c>
      <c r="D166" s="59">
        <v>23966</v>
      </c>
      <c r="E166" s="59">
        <v>1860</v>
      </c>
      <c r="F166" s="59">
        <v>1791</v>
      </c>
      <c r="G166" s="60">
        <f>IF(OR(E166="",F166="",C166="",D166=""),"",IF(C166+D166=0,"",(E166*C166+F166*D166)/(C166+D166)))</f>
        <v/>
      </c>
      <c r="H166" s="59">
        <v>1831</v>
      </c>
      <c r="I166" s="60">
        <f>IF(OR(H166="",E166="",C166="",D166=""),"",IF(C166+D166=0,"",(H166*D166+E166*C166)/(C166+D166)))</f>
        <v/>
      </c>
      <c r="J166" s="59">
        <v>2001</v>
      </c>
      <c r="K166" s="61">
        <f>IF(OR(J166="",I166=""),"",J166-I166)</f>
        <v/>
      </c>
      <c r="L166" s="61">
        <f>IF(OR(J166="",G166=""),"",J166-G166)</f>
        <v/>
      </c>
      <c r="M166" s="59">
        <v>1931</v>
      </c>
      <c r="N166" s="59">
        <v>2156</v>
      </c>
      <c r="O166" s="59">
        <v>160</v>
      </c>
      <c r="P166" s="59"/>
      <c r="Q166" s="59"/>
      <c r="R166" s="60">
        <f>IF(AND(P166="",Q166=""),"",N(P166)+N(Q166))</f>
        <v/>
      </c>
      <c r="S166" s="59"/>
      <c r="T166" s="59"/>
      <c r="U166" s="62">
        <f>IF(OR(R166="",S166="",T166=""),"",IF(S166+T166=0,"",R166/(S166+T166)))</f>
        <v/>
      </c>
      <c r="V166" s="63" t="s">
        <v>109</v>
      </c>
      <c r="W166" s="64"/>
      <c r="X166" s="63"/>
    </row>
    <row r="167" spans="2:24">
      <c r="B167" s="58">
        <v>46216</v>
      </c>
      <c r="C167" s="59">
        <v>31266</v>
      </c>
      <c r="D167" s="59">
        <v>20910</v>
      </c>
      <c r="E167" s="59">
        <v>1783</v>
      </c>
      <c r="F167" s="59">
        <v>1711</v>
      </c>
      <c r="G167" s="60">
        <f>IF(OR(E167="",F167="",C167="",D167=""),"",IF(C167+D167=0,"",(E167*C167+F167*D167)/(C167+D167)))</f>
        <v/>
      </c>
      <c r="H167" s="59">
        <v>2004</v>
      </c>
      <c r="I167" s="60">
        <f>IF(OR(H167="",E167="",C167="",D167=""),"",IF(C167+D167=0,"",(H167*D167+E167*C167)/(C167+D167)))</f>
        <v/>
      </c>
      <c r="J167" s="59">
        <v>2127</v>
      </c>
      <c r="K167" s="61">
        <f>IF(OR(J167="",I167=""),"",J167-I167)</f>
        <v/>
      </c>
      <c r="L167" s="61">
        <f>IF(OR(J167="",G167=""),"",J167-G167)</f>
        <v/>
      </c>
      <c r="M167" s="59">
        <v>2235</v>
      </c>
      <c r="N167" s="59">
        <v>2147</v>
      </c>
      <c r="O167" s="59">
        <v>160</v>
      </c>
      <c r="P167" s="59"/>
      <c r="Q167" s="59"/>
      <c r="R167" s="60">
        <f>IF(AND(P167="",Q167=""),"",N(P167)+N(Q167))</f>
        <v/>
      </c>
      <c r="S167" s="59"/>
      <c r="T167" s="59"/>
      <c r="U167" s="62">
        <f>IF(OR(R167="",S167="",T167=""),"",IF(S167+T167=0,"",R167/(S167+T167)))</f>
        <v/>
      </c>
      <c r="V167" s="63" t="s">
        <v>109</v>
      </c>
      <c r="W167" s="64"/>
      <c r="X167" s="63"/>
    </row>
    <row r="168" spans="2:24">
      <c r="B168" s="58">
        <v>46217</v>
      </c>
      <c r="C168" s="59">
        <v>27799</v>
      </c>
      <c r="D168" s="59">
        <v>21722</v>
      </c>
      <c r="E168" s="59">
        <v>1930</v>
      </c>
      <c r="F168" s="59">
        <v>2083</v>
      </c>
      <c r="G168" s="60">
        <f>IF(OR(E168="",F168="",C168="",D168=""),"",IF(C168+D168=0,"",(E168*C168+F168*D168)/(C168+D168)))</f>
        <v/>
      </c>
      <c r="H168" s="59">
        <v>1938</v>
      </c>
      <c r="I168" s="60">
        <f>IF(OR(H168="",E168="",C168="",D168=""),"",IF(C168+D168=0,"",(H168*D168+E168*C168)/(C168+D168)))</f>
        <v/>
      </c>
      <c r="J168" s="59">
        <v>2113</v>
      </c>
      <c r="K168" s="61">
        <f>IF(OR(J168="",I168=""),"",J168-I168)</f>
        <v/>
      </c>
      <c r="L168" s="61">
        <f>IF(OR(J168="",G168=""),"",J168-G168)</f>
        <v/>
      </c>
      <c r="M168" s="59">
        <v>1969</v>
      </c>
      <c r="N168" s="59">
        <v>2068</v>
      </c>
      <c r="O168" s="59">
        <v>160</v>
      </c>
      <c r="P168" s="59"/>
      <c r="Q168" s="59"/>
      <c r="R168" s="60">
        <f>IF(AND(P168="",Q168=""),"",N(P168)+N(Q168))</f>
        <v/>
      </c>
      <c r="S168" s="59"/>
      <c r="T168" s="59"/>
      <c r="U168" s="62">
        <f>IF(OR(R168="",S168="",T168=""),"",IF(S168+T168=0,"",R168/(S168+T168)))</f>
        <v/>
      </c>
      <c r="V168" s="63" t="s">
        <v>109</v>
      </c>
      <c r="W168" s="64"/>
      <c r="X168" s="63"/>
    </row>
    <row r="169" spans="2:24">
      <c r="B169" s="58">
        <v>46218</v>
      </c>
      <c r="C169" s="59">
        <v>27507</v>
      </c>
      <c r="D169" s="59">
        <v>21092</v>
      </c>
      <c r="E169" s="59">
        <v>1901</v>
      </c>
      <c r="F169" s="59">
        <v>1962</v>
      </c>
      <c r="G169" s="60">
        <f>IF(OR(E169="",F169="",C169="",D169=""),"",IF(C169+D169=0,"",(E169*C169+F169*D169)/(C169+D169)))</f>
        <v/>
      </c>
      <c r="H169" s="59">
        <v>1974</v>
      </c>
      <c r="I169" s="60">
        <f>IF(OR(H169="",E169="",C169="",D169=""),"",IF(C169+D169=0,"",(H169*D169+E169*C169)/(C169+D169)))</f>
        <v/>
      </c>
      <c r="J169" s="59">
        <v>2298</v>
      </c>
      <c r="K169" s="61">
        <f>IF(OR(J169="",I169=""),"",J169-I169)</f>
        <v/>
      </c>
      <c r="L169" s="61">
        <f>IF(OR(J169="",G169=""),"",J169-G169)</f>
        <v/>
      </c>
      <c r="M169" s="59">
        <v>1923</v>
      </c>
      <c r="N169" s="59">
        <v>2229</v>
      </c>
      <c r="O169" s="59">
        <v>160</v>
      </c>
      <c r="P169" s="59"/>
      <c r="Q169" s="59"/>
      <c r="R169" s="60">
        <f>IF(AND(P169="",Q169=""),"",N(P169)+N(Q169))</f>
        <v/>
      </c>
      <c r="S169" s="59"/>
      <c r="T169" s="59"/>
      <c r="U169" s="62">
        <f>IF(OR(R169="",S169="",T169=""),"",IF(S169+T169=0,"",R169/(S169+T169)))</f>
        <v/>
      </c>
      <c r="V169" s="63" t="s">
        <v>109</v>
      </c>
      <c r="W169" s="64"/>
      <c r="X169" s="63"/>
    </row>
    <row r="170" spans="2:24">
      <c r="B170" s="58">
        <v>46219</v>
      </c>
      <c r="C170" s="59">
        <v>29420</v>
      </c>
      <c r="D170" s="59">
        <v>17809</v>
      </c>
      <c r="E170" s="59">
        <v>1906</v>
      </c>
      <c r="F170" s="59">
        <v>2004</v>
      </c>
      <c r="G170" s="60">
        <f>IF(OR(E170="",F170="",C170="",D170=""),"",IF(C170+D170=0,"",(E170*C170+F170*D170)/(C170+D170)))</f>
        <v/>
      </c>
      <c r="H170" s="59">
        <v>2118</v>
      </c>
      <c r="I170" s="60">
        <f>IF(OR(H170="",E170="",C170="",D170=""),"",IF(C170+D170=0,"",(H170*D170+E170*C170)/(C170+D170)))</f>
        <v/>
      </c>
      <c r="J170" s="59">
        <v>2140</v>
      </c>
      <c r="K170" s="61">
        <f>IF(OR(J170="",I170=""),"",J170-I170)</f>
        <v/>
      </c>
      <c r="L170" s="61">
        <f>IF(OR(J170="",G170=""),"",J170-G170)</f>
        <v/>
      </c>
      <c r="M170" s="59">
        <v>2002</v>
      </c>
      <c r="N170" s="59">
        <v>2086</v>
      </c>
      <c r="O170" s="59">
        <v>160</v>
      </c>
      <c r="P170" s="59"/>
      <c r="Q170" s="59"/>
      <c r="R170" s="60">
        <f>IF(AND(P170="",Q170=""),"",N(P170)+N(Q170))</f>
        <v/>
      </c>
      <c r="S170" s="59"/>
      <c r="T170" s="59"/>
      <c r="U170" s="62">
        <f>IF(OR(R170="",S170="",T170=""),"",IF(S170+T170=0,"",R170/(S170+T170)))</f>
        <v/>
      </c>
      <c r="V170" s="63" t="s">
        <v>109</v>
      </c>
      <c r="W170" s="64"/>
      <c r="X170" s="63"/>
    </row>
    <row r="171" spans="2:24">
      <c r="B171" s="58">
        <v>46220</v>
      </c>
      <c r="C171" s="59">
        <v>22508</v>
      </c>
      <c r="D171" s="59">
        <v>21685</v>
      </c>
      <c r="E171" s="59">
        <v>2134</v>
      </c>
      <c r="F171" s="59">
        <v>1916</v>
      </c>
      <c r="G171" s="60">
        <f>IF(OR(E171="",F171="",C171="",D171=""),"",IF(C171+D171=0,"",(E171*C171+F171*D171)/(C171+D171)))</f>
        <v/>
      </c>
      <c r="H171" s="59">
        <v>1968</v>
      </c>
      <c r="I171" s="60">
        <f>IF(OR(H171="",E171="",C171="",D171=""),"",IF(C171+D171=0,"",(H171*D171+E171*C171)/(C171+D171)))</f>
        <v/>
      </c>
      <c r="J171" s="59">
        <v>2182</v>
      </c>
      <c r="K171" s="61">
        <f>IF(OR(J171="",I171=""),"",J171-I171)</f>
        <v/>
      </c>
      <c r="L171" s="61">
        <f>IF(OR(J171="",G171=""),"",J171-G171)</f>
        <v/>
      </c>
      <c r="M171" s="59">
        <v>2030</v>
      </c>
      <c r="N171" s="59">
        <v>2243</v>
      </c>
      <c r="O171" s="59">
        <v>160</v>
      </c>
      <c r="P171" s="59">
        <v>330.623</v>
      </c>
      <c r="Q171" s="59"/>
      <c r="R171" s="60">
        <f>IF(AND(P171="",Q171=""),"",N(P171)+N(Q171))</f>
        <v/>
      </c>
      <c r="S171" s="59">
        <v>20419</v>
      </c>
      <c r="T171" s="59">
        <v>23659</v>
      </c>
      <c r="U171" s="62">
        <f>IF(OR(R171="",S171="",T171=""),"",IF(S171+T171=0,"",R171/(S171+T171)))</f>
        <v/>
      </c>
      <c r="V171" s="63" t="s">
        <v>109</v>
      </c>
      <c r="W171" s="64"/>
      <c r="X171" s="63"/>
    </row>
    <row r="172" spans="2:24">
      <c r="B172" s="58">
        <v>46221</v>
      </c>
      <c r="C172" s="59">
        <v>24407</v>
      </c>
      <c r="D172" s="59">
        <v>22134</v>
      </c>
      <c r="E172" s="59">
        <v>2156</v>
      </c>
      <c r="F172" s="59">
        <v>1972</v>
      </c>
      <c r="G172" s="60">
        <f>IF(OR(E172="",F172="",C172="",D172=""),"",IF(C172+D172=0,"",(E172*C172+F172*D172)/(C172+D172)))</f>
        <v/>
      </c>
      <c r="H172" s="59">
        <v>1902</v>
      </c>
      <c r="I172" s="60">
        <f>IF(OR(H172="",E172="",C172="",D172=""),"",IF(C172+D172=0,"",(H172*D172+E172*C172)/(C172+D172)))</f>
        <v/>
      </c>
      <c r="J172" s="59">
        <v>2083</v>
      </c>
      <c r="K172" s="61">
        <f>IF(OR(J172="",I172=""),"",J172-I172)</f>
        <v/>
      </c>
      <c r="L172" s="61">
        <f>IF(OR(J172="",G172=""),"",J172-G172)</f>
        <v/>
      </c>
      <c r="M172" s="59">
        <v>2133</v>
      </c>
      <c r="N172" s="59">
        <v>2094</v>
      </c>
      <c r="O172" s="59">
        <v>160</v>
      </c>
      <c r="P172" s="59">
        <v>0</v>
      </c>
      <c r="Q172" s="59"/>
      <c r="R172" s="60">
        <f>IF(AND(P172="",Q172=""),"",N(P172)+N(Q172))</f>
        <v/>
      </c>
      <c r="S172" s="59">
        <v>27052</v>
      </c>
      <c r="T172" s="59">
        <v>22658</v>
      </c>
      <c r="U172" s="62">
        <f>IF(OR(R172="",S172="",T172=""),"",IF(S172+T172=0,"",R172/(S172+T172)))</f>
        <v/>
      </c>
      <c r="V172" s="63" t="s">
        <v>109</v>
      </c>
      <c r="W172" s="64"/>
      <c r="X172" s="63"/>
    </row>
    <row r="173" spans="2:24">
      <c r="B173" s="58">
        <v>46222</v>
      </c>
      <c r="C173" s="59">
        <v>28240</v>
      </c>
      <c r="D173" s="59">
        <v>21277</v>
      </c>
      <c r="E173" s="59">
        <v>2089</v>
      </c>
      <c r="F173" s="59">
        <v>1958</v>
      </c>
      <c r="G173" s="60">
        <f>IF(OR(E173="",F173="",C173="",D173=""),"",IF(C173+D173=0,"",(E173*C173+F173*D173)/(C173+D173)))</f>
        <v/>
      </c>
      <c r="H173" s="59">
        <v>1911</v>
      </c>
      <c r="I173" s="60">
        <f>IF(OR(H173="",E173="",C173="",D173=""),"",IF(C173+D173=0,"",(H173*D173+E173*C173)/(C173+D173)))</f>
        <v/>
      </c>
      <c r="J173" s="59">
        <v>2086</v>
      </c>
      <c r="K173" s="61">
        <f>IF(OR(J173="",I173=""),"",J173-I173)</f>
        <v/>
      </c>
      <c r="L173" s="61">
        <f>IF(OR(J173="",G173=""),"",J173-G173)</f>
        <v/>
      </c>
      <c r="M173" s="59">
        <v>2024</v>
      </c>
      <c r="N173" s="59">
        <v>2185</v>
      </c>
      <c r="O173" s="59">
        <v>160</v>
      </c>
      <c r="P173" s="59">
        <v>341</v>
      </c>
      <c r="Q173" s="59"/>
      <c r="R173" s="60">
        <f>IF(AND(P173="",Q173=""),"",N(P173)+N(Q173))</f>
        <v/>
      </c>
      <c r="S173" s="59">
        <v>30780</v>
      </c>
      <c r="T173" s="59">
        <v>22356</v>
      </c>
      <c r="U173" s="62">
        <f>IF(OR(R173="",S173="",T173=""),"",IF(S173+T173=0,"",R173/(S173+T173)))</f>
        <v/>
      </c>
      <c r="V173" s="63" t="s">
        <v>109</v>
      </c>
      <c r="W173" s="64"/>
      <c r="X173" s="63"/>
    </row>
    <row r="174" spans="2:24">
      <c r="B174" s="58">
        <v>46223</v>
      </c>
      <c r="C174" s="59">
        <v>28960</v>
      </c>
      <c r="D174" s="59">
        <v>21873</v>
      </c>
      <c r="E174" s="59">
        <v>1839</v>
      </c>
      <c r="F174" s="59">
        <v>1973</v>
      </c>
      <c r="G174" s="60">
        <f>IF(OR(E174="",F174="",C174="",D174=""),"",IF(C174+D174=0,"",(E174*C174+F174*D174)/(C174+D174)))</f>
        <v/>
      </c>
      <c r="H174" s="59">
        <v>1936</v>
      </c>
      <c r="I174" s="60">
        <f>IF(OR(H174="",E174="",C174="",D174=""),"",IF(C174+D174=0,"",(H174*D174+E174*C174)/(C174+D174)))</f>
        <v/>
      </c>
      <c r="J174" s="59">
        <v>2064</v>
      </c>
      <c r="K174" s="61">
        <f>IF(OR(J174="",I174=""),"",J174-I174)</f>
        <v/>
      </c>
      <c r="L174" s="61">
        <f>IF(OR(J174="",G174=""),"",J174-G174)</f>
        <v/>
      </c>
      <c r="M174" s="59">
        <v>1895</v>
      </c>
      <c r="N174" s="59">
        <v>1973</v>
      </c>
      <c r="O174" s="59">
        <v>160</v>
      </c>
      <c r="P174" s="59">
        <v>539</v>
      </c>
      <c r="Q174" s="59"/>
      <c r="R174" s="60">
        <f>IF(AND(P174="",Q174=""),"",N(P174)+N(Q174))</f>
        <v/>
      </c>
      <c r="S174" s="59">
        <v>29483</v>
      </c>
      <c r="T174" s="59">
        <v>14643</v>
      </c>
      <c r="U174" s="62">
        <f>IF(OR(R174="",S174="",T174=""),"",IF(S174+T174=0,"",R174/(S174+T174)))</f>
        <v/>
      </c>
      <c r="V174" s="63" t="s">
        <v>109</v>
      </c>
      <c r="W174" s="64"/>
      <c r="X174" s="63"/>
    </row>
    <row r="175" spans="2:24">
      <c r="B175" s="58">
        <v>46224</v>
      </c>
      <c r="C175" s="59">
        <v>28142</v>
      </c>
      <c r="D175" s="59">
        <v>12210</v>
      </c>
      <c r="E175" s="59">
        <v>1985</v>
      </c>
      <c r="F175" s="59">
        <v>1659</v>
      </c>
      <c r="G175" s="60">
        <f>IF(OR(E175="",F175="",C175="",D175=""),"",IF(C175+D175=0,"",(E175*C175+F175*D175)/(C175+D175)))</f>
        <v/>
      </c>
      <c r="H175" s="59">
        <v>1661</v>
      </c>
      <c r="I175" s="60">
        <f>IF(OR(H175="",E175="",C175="",D175=""),"",IF(C175+D175=0,"",(H175*D175+E175*C175)/(C175+D175)))</f>
        <v/>
      </c>
      <c r="J175" s="59">
        <v>2149</v>
      </c>
      <c r="K175" s="61">
        <f>IF(OR(J175="",I175=""),"",J175-I175)</f>
        <v/>
      </c>
      <c r="L175" s="61">
        <f>IF(OR(J175="",G175=""),"",J175-G175)</f>
        <v/>
      </c>
      <c r="M175" s="59">
        <v>2127</v>
      </c>
      <c r="N175" s="59">
        <v>2225</v>
      </c>
      <c r="O175" s="59">
        <v>160</v>
      </c>
      <c r="P175" s="59">
        <v>731</v>
      </c>
      <c r="Q175" s="59"/>
      <c r="R175" s="60">
        <f>IF(AND(P175="",Q175=""),"",N(P175)+N(Q175))</f>
        <v/>
      </c>
      <c r="S175" s="59">
        <v>28886</v>
      </c>
      <c r="T175" s="59">
        <v>22838</v>
      </c>
      <c r="U175" s="62">
        <f>IF(OR(R175="",S175="",T175=""),"",IF(S175+T175=0,"",R175/(S175+T175)))</f>
        <v/>
      </c>
      <c r="V175" s="63" t="s">
        <v>109</v>
      </c>
      <c r="W175" s="64"/>
      <c r="X175" s="63"/>
    </row>
    <row r="176" spans="2:24">
      <c r="B176" s="58">
        <v>46225</v>
      </c>
      <c r="C176" s="59">
        <v>28114</v>
      </c>
      <c r="D176" s="59">
        <v>20791</v>
      </c>
      <c r="E176" s="59">
        <v>2124</v>
      </c>
      <c r="F176" s="59">
        <v>1753</v>
      </c>
      <c r="G176" s="60">
        <f>IF(OR(E176="",F176="",C176="",D176=""),"",IF(C176+D176=0,"",(E176*C176+F176*D176)/(C176+D176)))</f>
        <v/>
      </c>
      <c r="H176" s="59">
        <v>1724</v>
      </c>
      <c r="I176" s="60">
        <f>IF(OR(H176="",E176="",C176="",D176=""),"",IF(C176+D176=0,"",(H176*D176+E176*C176)/(C176+D176)))</f>
        <v/>
      </c>
      <c r="J176" s="59">
        <v>1987</v>
      </c>
      <c r="K176" s="61">
        <f>IF(OR(J176="",I176=""),"",J176-I176)</f>
        <v/>
      </c>
      <c r="L176" s="61">
        <f>IF(OR(J176="",G176=""),"",J176-G176)</f>
        <v/>
      </c>
      <c r="M176" s="59">
        <v>2075</v>
      </c>
      <c r="N176" s="59">
        <v>2010</v>
      </c>
      <c r="O176" s="59">
        <v>160</v>
      </c>
      <c r="P176" s="59">
        <v>295</v>
      </c>
      <c r="Q176" s="59"/>
      <c r="R176" s="60">
        <f>IF(AND(P176="",Q176=""),"",N(P176)+N(Q176))</f>
        <v/>
      </c>
      <c r="S176" s="59">
        <v>28065</v>
      </c>
      <c r="T176" s="59">
        <v>22225</v>
      </c>
      <c r="U176" s="62">
        <f>IF(OR(R176="",S176="",T176=""),"",IF(S176+T176=0,"",R176/(S176+T176)))</f>
        <v/>
      </c>
      <c r="V176" s="63" t="s">
        <v>109</v>
      </c>
      <c r="W176" s="64"/>
      <c r="X176" s="63"/>
    </row>
    <row r="177" spans="2:24">
      <c r="B177" s="58">
        <v>46226</v>
      </c>
      <c r="C177" s="59">
        <v>29029</v>
      </c>
      <c r="D177" s="59">
        <v>23996</v>
      </c>
      <c r="E177" s="59">
        <v>2003</v>
      </c>
      <c r="F177" s="59">
        <v>2036</v>
      </c>
      <c r="G177" s="60">
        <f>IF(OR(E177="",F177="",C177="",D177=""),"",IF(C177+D177=0,"",(E177*C177+F177*D177)/(C177+D177)))</f>
        <v/>
      </c>
      <c r="H177" s="59">
        <v>1903</v>
      </c>
      <c r="I177" s="60">
        <f>IF(OR(H177="",E177="",C177="",D177=""),"",IF(C177+D177=0,"",(H177*D177+E177*C177)/(C177+D177)))</f>
        <v/>
      </c>
      <c r="J177" s="59">
        <v>2049</v>
      </c>
      <c r="K177" s="61">
        <f>IF(OR(J177="",I177=""),"",J177-I177)</f>
        <v/>
      </c>
      <c r="L177" s="61">
        <f>IF(OR(J177="",G177=""),"",J177-G177)</f>
        <v/>
      </c>
      <c r="M177" s="59">
        <v>1808</v>
      </c>
      <c r="N177" s="59">
        <v>1910</v>
      </c>
      <c r="O177" s="59">
        <v>160</v>
      </c>
      <c r="P177" s="59">
        <v>37.79</v>
      </c>
      <c r="Q177" s="59"/>
      <c r="R177" s="60">
        <f>IF(AND(P177="",Q177=""),"",N(P177)+N(Q177))</f>
        <v/>
      </c>
      <c r="S177" s="59">
        <v>29314</v>
      </c>
      <c r="T177" s="59">
        <v>23927</v>
      </c>
      <c r="U177" s="62">
        <f>IF(OR(R177="",S177="",T177=""),"",IF(S177+T177=0,"",R177/(S177+T177)))</f>
        <v/>
      </c>
      <c r="V177" s="63" t="s">
        <v>109</v>
      </c>
      <c r="W177" s="64"/>
      <c r="X177" s="63"/>
    </row>
    <row r="178" spans="2:24">
      <c r="B178" s="58">
        <v>46227</v>
      </c>
      <c r="C178" s="59">
        <v>25777</v>
      </c>
      <c r="D178" s="59">
        <v>18832</v>
      </c>
      <c r="E178" s="59">
        <v>2024</v>
      </c>
      <c r="F178" s="59">
        <v>2087</v>
      </c>
      <c r="G178" s="60">
        <f>IF(OR(E178="",F178="",C178="",D178=""),"",IF(C178+D178=0,"",(E178*C178+F178*D178)/(C178+D178)))</f>
        <v/>
      </c>
      <c r="H178" s="59">
        <v>2053</v>
      </c>
      <c r="I178" s="60">
        <f>IF(OR(H178="",E178="",C178="",D178=""),"",IF(C178+D178=0,"",(H178*D178+E178*C178)/(C178+D178)))</f>
        <v/>
      </c>
      <c r="J178" s="59">
        <v>2046</v>
      </c>
      <c r="K178" s="61">
        <f>IF(OR(J178="",I178=""),"",J178-I178)</f>
        <v/>
      </c>
      <c r="L178" s="61">
        <f>IF(OR(J178="",G178=""),"",J178-G178)</f>
        <v/>
      </c>
      <c r="M178" s="59">
        <v>2030</v>
      </c>
      <c r="N178" s="59">
        <v>1877</v>
      </c>
      <c r="O178" s="59">
        <v>160</v>
      </c>
      <c r="P178" s="59">
        <v>17.89</v>
      </c>
      <c r="Q178" s="59"/>
      <c r="R178" s="60">
        <f>IF(AND(P178="",Q178=""),"",N(P178)+N(Q178))</f>
        <v/>
      </c>
      <c r="S178" s="59">
        <v>28631</v>
      </c>
      <c r="T178" s="59">
        <v>22805</v>
      </c>
      <c r="U178" s="62">
        <f>IF(OR(R178="",S178="",T178=""),"",IF(S178+T178=0,"",R178/(S178+T178)))</f>
        <v/>
      </c>
      <c r="V178" s="63" t="s">
        <v>109</v>
      </c>
      <c r="W178" s="64"/>
      <c r="X178" s="63"/>
    </row>
    <row r="179" spans="2:24">
      <c r="B179" s="58">
        <v>46228</v>
      </c>
      <c r="C179" s="59">
        <v>28810</v>
      </c>
      <c r="D179" s="59">
        <v>21072</v>
      </c>
      <c r="E179" s="59">
        <v>2090</v>
      </c>
      <c r="F179" s="59">
        <v>1934</v>
      </c>
      <c r="G179" s="60">
        <f>IF(OR(E179="",F179="",C179="",D179=""),"",IF(C179+D179=0,"",(E179*C179+F179*D179)/(C179+D179)))</f>
        <v/>
      </c>
      <c r="H179" s="59">
        <v>1883</v>
      </c>
      <c r="I179" s="60">
        <f>IF(OR(H179="",E179="",C179="",D179=""),"",IF(C179+D179=0,"",(H179*D179+E179*C179)/(C179+D179)))</f>
        <v/>
      </c>
      <c r="J179" s="59">
        <v>2017</v>
      </c>
      <c r="K179" s="61">
        <f>IF(OR(J179="",I179=""),"",J179-I179)</f>
        <v/>
      </c>
      <c r="L179" s="61">
        <f>IF(OR(J179="",G179=""),"",J179-G179)</f>
        <v/>
      </c>
      <c r="M179" s="59">
        <v>2462</v>
      </c>
      <c r="N179" s="59">
        <v>2018</v>
      </c>
      <c r="O179" s="59">
        <v>160</v>
      </c>
      <c r="P179" s="59">
        <v>0</v>
      </c>
      <c r="Q179" s="59"/>
      <c r="R179" s="60">
        <f>IF(AND(P179="",Q179=""),"",N(P179)+N(Q179))</f>
        <v/>
      </c>
      <c r="S179" s="59">
        <v>27967</v>
      </c>
      <c r="T179" s="59">
        <v>22844</v>
      </c>
      <c r="U179" s="62">
        <f>IF(OR(R179="",S179="",T179=""),"",IF(S179+T179=0,"",R179/(S179+T179)))</f>
        <v/>
      </c>
      <c r="V179" s="63" t="s">
        <v>109</v>
      </c>
      <c r="W179" s="64"/>
      <c r="X179" s="63"/>
    </row>
    <row r="180" spans="2:24">
      <c r="B180" s="58">
        <v>46229</v>
      </c>
      <c r="C180" s="59">
        <v>27836</v>
      </c>
      <c r="D180" s="59">
        <v>25847</v>
      </c>
      <c r="E180" s="59">
        <v>1993</v>
      </c>
      <c r="F180" s="59">
        <v>1733</v>
      </c>
      <c r="G180" s="60">
        <f>IF(OR(E180="",F180="",C180="",D180=""),"",IF(C180+D180=0,"",(E180*C180+F180*D180)/(C180+D180)))</f>
        <v/>
      </c>
      <c r="H180" s="59">
        <v>1667</v>
      </c>
      <c r="I180" s="60">
        <f>IF(OR(H180="",E180="",C180="",D180=""),"",IF(C180+D180=0,"",(H180*D180+E180*C180)/(C180+D180)))</f>
        <v/>
      </c>
      <c r="J180" s="59">
        <v>1957</v>
      </c>
      <c r="K180" s="61">
        <f>IF(OR(J180="",I180=""),"",J180-I180)</f>
        <v/>
      </c>
      <c r="L180" s="61">
        <f>IF(OR(J180="",G180=""),"",J180-G180)</f>
        <v/>
      </c>
      <c r="M180" s="59">
        <v>2317</v>
      </c>
      <c r="N180" s="59">
        <v>2007</v>
      </c>
      <c r="O180" s="59">
        <v>160</v>
      </c>
      <c r="P180" s="59">
        <v>421</v>
      </c>
      <c r="Q180" s="59"/>
      <c r="R180" s="60">
        <f>IF(AND(P180="",Q180=""),"",N(P180)+N(Q180))</f>
        <v/>
      </c>
      <c r="S180" s="59">
        <v>29751</v>
      </c>
      <c r="T180" s="59">
        <v>25093</v>
      </c>
      <c r="U180" s="62">
        <f>IF(OR(R180="",S180="",T180=""),"",IF(S180+T180=0,"",R180/(S180+T180)))</f>
        <v/>
      </c>
      <c r="V180" s="63" t="s">
        <v>109</v>
      </c>
      <c r="W180" s="64"/>
      <c r="X180" s="63"/>
    </row>
    <row r="181" spans="2:24">
      <c r="B181" s="58">
        <v>46230</v>
      </c>
      <c r="C181" s="59">
        <v>30798</v>
      </c>
      <c r="D181" s="59">
        <v>21999</v>
      </c>
      <c r="E181" s="59">
        <v>2035</v>
      </c>
      <c r="F181" s="59">
        <v>1813</v>
      </c>
      <c r="G181" s="60">
        <f>IF(OR(E181="",F181="",C181="",D181=""),"",IF(C181+D181=0,"",(E181*C181+F181*D181)/(C181+D181)))</f>
        <v/>
      </c>
      <c r="H181" s="59">
        <v>1846</v>
      </c>
      <c r="I181" s="60">
        <f>IF(OR(H181="",E181="",C181="",D181=""),"",IF(C181+D181=0,"",(H181*D181+E181*C181)/(C181+D181)))</f>
        <v/>
      </c>
      <c r="J181" s="59">
        <v>2129</v>
      </c>
      <c r="K181" s="61">
        <f>IF(OR(J181="",I181=""),"",J181-I181)</f>
        <v/>
      </c>
      <c r="L181" s="61">
        <f>IF(OR(J181="",G181=""),"",J181-G181)</f>
        <v/>
      </c>
      <c r="M181" s="59">
        <v>2146</v>
      </c>
      <c r="N181" s="59">
        <v>2058</v>
      </c>
      <c r="O181" s="59">
        <v>160</v>
      </c>
      <c r="P181" s="59">
        <v>854</v>
      </c>
      <c r="Q181" s="59">
        <v>152</v>
      </c>
      <c r="R181" s="60">
        <f>IF(AND(P181="",Q181=""),"",N(P181)+N(Q181))</f>
        <v/>
      </c>
      <c r="S181" s="59">
        <v>31082</v>
      </c>
      <c r="T181" s="59">
        <v>23028</v>
      </c>
      <c r="U181" s="62">
        <f>IF(OR(R181="",S181="",T181=""),"",IF(S181+T181=0,"",R181/(S181+T181)))</f>
        <v/>
      </c>
      <c r="V181" s="63" t="s">
        <v>109</v>
      </c>
      <c r="W181" s="64"/>
      <c r="X181" s="63"/>
    </row>
    <row r="182" spans="2:24">
      <c r="B182" s="58">
        <v>46231</v>
      </c>
      <c r="C182" s="59">
        <v>28783</v>
      </c>
      <c r="D182" s="59">
        <v>21677</v>
      </c>
      <c r="E182" s="59">
        <v>2089</v>
      </c>
      <c r="F182" s="59">
        <v>1968</v>
      </c>
      <c r="G182" s="60">
        <f>IF(OR(E182="",F182="",C182="",D182=""),"",IF(C182+D182=0,"",(E182*C182+F182*D182)/(C182+D182)))</f>
        <v/>
      </c>
      <c r="H182" s="59">
        <v>1875</v>
      </c>
      <c r="I182" s="60">
        <f>IF(OR(H182="",E182="",C182="",D182=""),"",IF(C182+D182=0,"",(H182*D182+E182*C182)/(C182+D182)))</f>
        <v/>
      </c>
      <c r="J182" s="59">
        <v>2202</v>
      </c>
      <c r="K182" s="61">
        <f>IF(OR(J182="",I182=""),"",J182-I182)</f>
        <v/>
      </c>
      <c r="L182" s="61">
        <f>IF(OR(J182="",G182=""),"",J182-G182)</f>
        <v/>
      </c>
      <c r="M182" s="59">
        <v>2166</v>
      </c>
      <c r="N182" s="59">
        <v>2190</v>
      </c>
      <c r="O182" s="59">
        <v>160</v>
      </c>
      <c r="P182" s="59">
        <v>938</v>
      </c>
      <c r="Q182" s="59"/>
      <c r="R182" s="60">
        <f>IF(AND(P182="",Q182=""),"",N(P182)+N(Q182))</f>
        <v/>
      </c>
      <c r="S182" s="59">
        <v>29811</v>
      </c>
      <c r="T182" s="59">
        <v>20884</v>
      </c>
      <c r="U182" s="62">
        <f>IF(OR(R182="",S182="",T182=""),"",IF(S182+T182=0,"",R182/(S182+T182)))</f>
        <v/>
      </c>
      <c r="V182" s="63" t="s">
        <v>109</v>
      </c>
      <c r="W182" s="64"/>
      <c r="X182" s="63"/>
    </row>
    <row r="183" spans="2:24">
      <c r="B183" s="58">
        <v>46232</v>
      </c>
      <c r="C183" s="59">
        <v>30530</v>
      </c>
      <c r="D183" s="59">
        <v>10903</v>
      </c>
      <c r="E183" s="59">
        <v>2070</v>
      </c>
      <c r="F183" s="59">
        <v>1769</v>
      </c>
      <c r="G183" s="60">
        <f>IF(OR(E183="",F183="",C183="",D183=""),"",IF(C183+D183=0,"",(E183*C183+F183*D183)/(C183+D183)))</f>
        <v/>
      </c>
      <c r="H183" s="59">
        <v>1857</v>
      </c>
      <c r="I183" s="60">
        <f>IF(OR(H183="",E183="",C183="",D183=""),"",IF(C183+D183=0,"",(H183*D183+E183*C183)/(C183+D183)))</f>
        <v/>
      </c>
      <c r="J183" s="59">
        <v>2127</v>
      </c>
      <c r="K183" s="61">
        <f>IF(OR(J183="",I183=""),"",J183-I183)</f>
        <v/>
      </c>
      <c r="L183" s="61">
        <f>IF(OR(J183="",G183=""),"",J183-G183)</f>
        <v/>
      </c>
      <c r="M183" s="59">
        <v>1875</v>
      </c>
      <c r="N183" s="59">
        <v>2221</v>
      </c>
      <c r="O183" s="59">
        <v>160</v>
      </c>
      <c r="P183" s="59">
        <v>418</v>
      </c>
      <c r="Q183" s="59"/>
      <c r="R183" s="60">
        <f>IF(AND(P183="",Q183=""),"",N(P183)+N(Q183))</f>
        <v/>
      </c>
      <c r="S183" s="59">
        <v>30735</v>
      </c>
      <c r="T183" s="59">
        <v>6586</v>
      </c>
      <c r="U183" s="62">
        <f>IF(OR(R183="",S183="",T183=""),"",IF(S183+T183=0,"",R183/(S183+T183)))</f>
        <v/>
      </c>
      <c r="V183" s="63" t="s">
        <v>109</v>
      </c>
      <c r="W183" s="64"/>
      <c r="X183" s="63"/>
    </row>
    <row r="184" spans="2:24">
      <c r="B184" s="58">
        <v>46233</v>
      </c>
      <c r="C184" s="59">
        <v>29771</v>
      </c>
      <c r="D184" s="59">
        <v>9733</v>
      </c>
      <c r="E184" s="59">
        <v>1959</v>
      </c>
      <c r="F184" s="59">
        <v>1736</v>
      </c>
      <c r="G184" s="60">
        <f>IF(OR(E184="",F184="",C184="",D184=""),"",IF(C184+D184=0,"",(E184*C184+F184*D184)/(C184+D184)))</f>
        <v/>
      </c>
      <c r="H184" s="59">
        <v>1719</v>
      </c>
      <c r="I184" s="60">
        <f>IF(OR(H184="",E184="",C184="",D184=""),"",IF(C184+D184=0,"",(H184*D184+E184*C184)/(C184+D184)))</f>
        <v/>
      </c>
      <c r="J184" s="59">
        <v>2079</v>
      </c>
      <c r="K184" s="61">
        <f>IF(OR(J184="",I184=""),"",J184-I184)</f>
        <v/>
      </c>
      <c r="L184" s="61">
        <f>IF(OR(J184="",G184=""),"",J184-G184)</f>
        <v/>
      </c>
      <c r="M184" s="59">
        <v>1962</v>
      </c>
      <c r="N184" s="59">
        <v>2076</v>
      </c>
      <c r="O184" s="59">
        <v>160</v>
      </c>
      <c r="P184" s="59">
        <v>861</v>
      </c>
      <c r="Q184" s="59">
        <v>163</v>
      </c>
      <c r="R184" s="60">
        <f>IF(AND(P184="",Q184=""),"",N(P184)+N(Q184))</f>
        <v/>
      </c>
      <c r="S184" s="59">
        <v>29869</v>
      </c>
      <c r="T184" s="59">
        <v>22297</v>
      </c>
      <c r="U184" s="62">
        <f>IF(OR(R184="",S184="",T184=""),"",IF(S184+T184=0,"",R184/(S184+T184)))</f>
        <v/>
      </c>
      <c r="V184" s="63" t="s">
        <v>109</v>
      </c>
      <c r="W184" s="64"/>
      <c r="X184" s="63"/>
    </row>
    <row r="185" spans="2:24">
      <c r="B185" s="58">
        <v>46234</v>
      </c>
      <c r="C185" s="59">
        <v>28594</v>
      </c>
      <c r="D185" s="59">
        <v>21556</v>
      </c>
      <c r="E185" s="59">
        <v>2022</v>
      </c>
      <c r="F185" s="59">
        <v>1922</v>
      </c>
      <c r="G185" s="60">
        <f>IF(OR(E185="",F185="",C185="",D185=""),"",IF(C185+D185=0,"",(E185*C185+F185*D185)/(C185+D185)))</f>
        <v/>
      </c>
      <c r="H185" s="59">
        <v>1862</v>
      </c>
      <c r="I185" s="60">
        <f>IF(OR(H185="",E185="",C185="",D185=""),"",IF(C185+D185=0,"",(H185*D185+E185*C185)/(C185+D185)))</f>
        <v/>
      </c>
      <c r="J185" s="59">
        <v>2140</v>
      </c>
      <c r="K185" s="61">
        <f>IF(OR(J185="",I185=""),"",J185-I185)</f>
        <v/>
      </c>
      <c r="L185" s="61">
        <f>IF(OR(J185="",G185=""),"",J185-G185)</f>
        <v/>
      </c>
      <c r="M185" s="59">
        <v>1895</v>
      </c>
      <c r="N185" s="59">
        <v>2107</v>
      </c>
      <c r="O185" s="59">
        <v>160</v>
      </c>
      <c r="P185" s="59">
        <v>783</v>
      </c>
      <c r="Q185" s="59">
        <v>61</v>
      </c>
      <c r="R185" s="60">
        <f>IF(AND(P185="",Q185=""),"",N(P185)+N(Q185))</f>
        <v/>
      </c>
      <c r="S185" s="59">
        <v>30764</v>
      </c>
      <c r="T185" s="59">
        <v>22478</v>
      </c>
      <c r="U185" s="62">
        <f>IF(OR(R185="",S185="",T185=""),"",IF(S185+T185=0,"",R185/(S185+T185)))</f>
        <v/>
      </c>
      <c r="V185" s="63" t="s">
        <v>109</v>
      </c>
      <c r="W185" s="64"/>
      <c r="X185" s="63"/>
    </row>
    <row r="186" spans="2:24">
      <c r="B186" s="58">
        <v>46235</v>
      </c>
      <c r="C186" s="59">
        <v>28975</v>
      </c>
      <c r="D186" s="59">
        <v>19392</v>
      </c>
      <c r="E186" s="59">
        <v>1847</v>
      </c>
      <c r="F186" s="59">
        <v>1745</v>
      </c>
      <c r="G186" s="60">
        <f>IF(OR(E186="",F186="",C186="",D186=""),"",IF(C186+D186=0,"",(E186*C186+F186*D186)/(C186+D186)))</f>
        <v/>
      </c>
      <c r="H186" s="59">
        <v>1703</v>
      </c>
      <c r="I186" s="60">
        <f>IF(OR(H186="",E186="",C186="",D186=""),"",IF(C186+D186=0,"",(H186*D186+E186*C186)/(C186+D186)))</f>
        <v/>
      </c>
      <c r="J186" s="59">
        <v>2104</v>
      </c>
      <c r="K186" s="61">
        <f>IF(OR(J186="",I186=""),"",J186-I186)</f>
        <v/>
      </c>
      <c r="L186" s="61">
        <f>IF(OR(J186="",G186=""),"",J186-G186)</f>
        <v/>
      </c>
      <c r="M186" s="59">
        <v>1746</v>
      </c>
      <c r="N186" s="59">
        <v>2103</v>
      </c>
      <c r="O186" s="59">
        <v>160</v>
      </c>
      <c r="P186" s="59">
        <v>1437</v>
      </c>
      <c r="Q186" s="59">
        <v>251</v>
      </c>
      <c r="R186" s="60">
        <f>IF(AND(P186="",Q186=""),"",N(P186)+N(Q186))</f>
        <v/>
      </c>
      <c r="S186" s="59">
        <v>29615</v>
      </c>
      <c r="T186" s="59">
        <v>24467</v>
      </c>
      <c r="U186" s="62">
        <f>IF(OR(R186="",S186="",T186=""),"",IF(S186+T186=0,"",R186/(S186+T186)))</f>
        <v/>
      </c>
      <c r="V186" s="63" t="s">
        <v>109</v>
      </c>
      <c r="W186" s="64"/>
      <c r="X186" s="63"/>
    </row>
    <row r="187" spans="2:24">
      <c r="B187" s="58">
        <v>46236</v>
      </c>
      <c r="C187" s="59">
        <v>32501</v>
      </c>
      <c r="D187" s="59">
        <v>21490</v>
      </c>
      <c r="E187" s="59">
        <v>1913</v>
      </c>
      <c r="F187" s="59">
        <v>1761</v>
      </c>
      <c r="G187" s="60">
        <f>IF(OR(E187="",F187="",C187="",D187=""),"",IF(C187+D187=0,"",(E187*C187+F187*D187)/(C187+D187)))</f>
        <v/>
      </c>
      <c r="H187" s="59">
        <v>1695</v>
      </c>
      <c r="I187" s="60">
        <f>IF(OR(H187="",E187="",C187="",D187=""),"",IF(C187+D187=0,"",(H187*D187+E187*C187)/(C187+D187)))</f>
        <v/>
      </c>
      <c r="J187" s="59">
        <v>2138</v>
      </c>
      <c r="K187" s="61">
        <f>IF(OR(J187="",I187=""),"",J187-I187)</f>
        <v/>
      </c>
      <c r="L187" s="61">
        <f>IF(OR(J187="",G187=""),"",J187-G187)</f>
        <v/>
      </c>
      <c r="M187" s="59">
        <v>1779</v>
      </c>
      <c r="N187" s="59">
        <v>2150</v>
      </c>
      <c r="O187" s="59">
        <v>160</v>
      </c>
      <c r="P187" s="59">
        <v>1523</v>
      </c>
      <c r="Q187" s="59">
        <v>99</v>
      </c>
      <c r="R187" s="60">
        <f>IF(AND(P187="",Q187=""),"",N(P187)+N(Q187))</f>
        <v/>
      </c>
      <c r="S187" s="59">
        <v>30625</v>
      </c>
      <c r="T187" s="59">
        <v>24799</v>
      </c>
      <c r="U187" s="62">
        <f>IF(OR(R187="",S187="",T187=""),"",IF(S187+T187=0,"",R187/(S187+T187)))</f>
        <v/>
      </c>
      <c r="V187" s="63" t="s">
        <v>109</v>
      </c>
      <c r="W187" s="64"/>
      <c r="X187" s="63"/>
    </row>
    <row r="188" spans="2:24">
      <c r="B188" s="58">
        <v>46237</v>
      </c>
      <c r="C188" s="59">
        <v>32247</v>
      </c>
      <c r="D188" s="59">
        <v>24981</v>
      </c>
      <c r="E188" s="59">
        <v>1938</v>
      </c>
      <c r="F188" s="59">
        <v>1697</v>
      </c>
      <c r="G188" s="60">
        <f>IF(OR(E188="",F188="",C188="",D188=""),"",IF(C188+D188=0,"",(E188*C188+F188*D188)/(C188+D188)))</f>
        <v/>
      </c>
      <c r="H188" s="59">
        <v>1913</v>
      </c>
      <c r="I188" s="60">
        <f>IF(OR(H188="",E188="",C188="",D188=""),"",IF(C188+D188=0,"",(H188*D188+E188*C188)/(C188+D188)))</f>
        <v/>
      </c>
      <c r="J188" s="59">
        <v>2172</v>
      </c>
      <c r="K188" s="61">
        <f>IF(OR(J188="",I188=""),"",J188-I188)</f>
        <v/>
      </c>
      <c r="L188" s="61">
        <f>IF(OR(J188="",G188=""),"",J188-G188)</f>
        <v/>
      </c>
      <c r="M188" s="59">
        <v>1922</v>
      </c>
      <c r="N188" s="59">
        <v>2073</v>
      </c>
      <c r="O188" s="59">
        <v>160</v>
      </c>
      <c r="P188" s="59">
        <v>1458</v>
      </c>
      <c r="Q188" s="59">
        <v>441</v>
      </c>
      <c r="R188" s="60">
        <f>IF(AND(P188="",Q188=""),"",N(P188)+N(Q188))</f>
        <v/>
      </c>
      <c r="S188" s="59">
        <v>30108</v>
      </c>
      <c r="T188" s="59">
        <v>24317</v>
      </c>
      <c r="U188" s="62">
        <f>IF(OR(R188="",S188="",T188=""),"",IF(S188+T188=0,"",R188/(S188+T188)))</f>
        <v/>
      </c>
      <c r="V188" s="63" t="s">
        <v>109</v>
      </c>
      <c r="W188" s="64"/>
      <c r="X188" s="63"/>
    </row>
    <row r="189" spans="2:24">
      <c r="B189" s="58">
        <v>46238</v>
      </c>
      <c r="C189" s="59">
        <v>26483</v>
      </c>
      <c r="D189" s="59">
        <v>26792</v>
      </c>
      <c r="E189" s="59">
        <v>1912</v>
      </c>
      <c r="F189" s="59">
        <v>1780</v>
      </c>
      <c r="G189" s="60">
        <f>IF(OR(E189="",F189="",C189="",D189=""),"",IF(C189+D189=0,"",(E189*C189+F189*D189)/(C189+D189)))</f>
        <v/>
      </c>
      <c r="H189" s="59">
        <v>1729</v>
      </c>
      <c r="I189" s="60">
        <f>IF(OR(H189="",E189="",C189="",D189=""),"",IF(C189+D189=0,"",(H189*D189+E189*C189)/(C189+D189)))</f>
        <v/>
      </c>
      <c r="J189" s="59">
        <v>2118</v>
      </c>
      <c r="K189" s="61">
        <f>IF(OR(J189="",I189=""),"",J189-I189)</f>
        <v/>
      </c>
      <c r="L189" s="61">
        <f>IF(OR(J189="",G189=""),"",J189-G189)</f>
        <v/>
      </c>
      <c r="M189" s="59">
        <v>2182</v>
      </c>
      <c r="N189" s="59">
        <v>2321</v>
      </c>
      <c r="O189" s="59">
        <v>160</v>
      </c>
      <c r="P189" s="59">
        <v>638</v>
      </c>
      <c r="Q189" s="59">
        <v>485</v>
      </c>
      <c r="R189" s="60">
        <f>IF(AND(P189="",Q189=""),"",N(P189)+N(Q189))</f>
        <v/>
      </c>
      <c r="S189" s="59">
        <v>16963</v>
      </c>
      <c r="T189" s="59">
        <v>27352</v>
      </c>
      <c r="U189" s="62">
        <f>IF(OR(R189="",S189="",T189=""),"",IF(S189+T189=0,"",R189/(S189+T189)))</f>
        <v/>
      </c>
      <c r="V189" s="63" t="s">
        <v>109</v>
      </c>
      <c r="W189" s="64"/>
      <c r="X189" s="63"/>
    </row>
    <row r="190" spans="2:24">
      <c r="B190" s="58">
        <v>46239</v>
      </c>
      <c r="C190" s="59">
        <v>24492</v>
      </c>
      <c r="D190" s="59">
        <v>17435</v>
      </c>
      <c r="E190" s="59">
        <v>1948</v>
      </c>
      <c r="F190" s="59">
        <v>1951</v>
      </c>
      <c r="G190" s="60">
        <f>IF(OR(E190="",F190="",C190="",D190=""),"",IF(C190+D190=0,"",(E190*C190+F190*D190)/(C190+D190)))</f>
        <v/>
      </c>
      <c r="H190" s="59">
        <v>2024</v>
      </c>
      <c r="I190" s="60">
        <f>IF(OR(H190="",E190="",C190="",D190=""),"",IF(C190+D190=0,"",(H190*D190+E190*C190)/(C190+D190)))</f>
        <v/>
      </c>
      <c r="J190" s="59">
        <v>2156</v>
      </c>
      <c r="K190" s="61">
        <f>IF(OR(J190="",I190=""),"",J190-I190)</f>
        <v/>
      </c>
      <c r="L190" s="61">
        <f>IF(OR(J190="",G190=""),"",J190-G190)</f>
        <v/>
      </c>
      <c r="M190" s="59">
        <v>2195</v>
      </c>
      <c r="N190" s="59">
        <v>2575</v>
      </c>
      <c r="O190" s="59">
        <v>160</v>
      </c>
      <c r="P190" s="59">
        <v>758</v>
      </c>
      <c r="Q190" s="59">
        <v>10.32</v>
      </c>
      <c r="R190" s="60">
        <f>IF(AND(P190="",Q190=""),"",N(P190)+N(Q190))</f>
        <v/>
      </c>
      <c r="S190" s="59">
        <v>28652</v>
      </c>
      <c r="T190" s="59">
        <v>23197</v>
      </c>
      <c r="U190" s="62">
        <f>IF(OR(R190="",S190="",T190=""),"",IF(S190+T190=0,"",R190/(S190+T190)))</f>
        <v/>
      </c>
      <c r="V190" s="63" t="s">
        <v>109</v>
      </c>
      <c r="W190" s="64"/>
      <c r="X190" s="63"/>
    </row>
    <row r="191" spans="2:24">
      <c r="B191" s="58">
        <v>46240</v>
      </c>
      <c r="C191" s="59">
        <v>26414</v>
      </c>
      <c r="D191" s="59">
        <v>23533</v>
      </c>
      <c r="E191" s="59">
        <v>2014</v>
      </c>
      <c r="F191" s="59">
        <v>1658</v>
      </c>
      <c r="G191" s="60">
        <f>IF(OR(E191="",F191="",C191="",D191=""),"",IF(C191+D191=0,"",(E191*C191+F191*D191)/(C191+D191)))</f>
        <v/>
      </c>
      <c r="H191" s="59">
        <v>1693</v>
      </c>
      <c r="I191" s="60">
        <f>IF(OR(H191="",E191="",C191="",D191=""),"",IF(C191+D191=0,"",(H191*D191+E191*C191)/(C191+D191)))</f>
        <v/>
      </c>
      <c r="J191" s="59">
        <v>2062</v>
      </c>
      <c r="K191" s="61">
        <f>IF(OR(J191="",I191=""),"",J191-I191)</f>
        <v/>
      </c>
      <c r="L191" s="61">
        <f>IF(OR(J191="",G191=""),"",J191-G191)</f>
        <v/>
      </c>
      <c r="M191" s="59">
        <v>2164</v>
      </c>
      <c r="N191" s="59">
        <v>2012</v>
      </c>
      <c r="O191" s="59">
        <v>160</v>
      </c>
      <c r="P191" s="59">
        <v>274</v>
      </c>
      <c r="Q191" s="59"/>
      <c r="R191" s="60">
        <f>IF(AND(P191="",Q191=""),"",N(P191)+N(Q191))</f>
        <v/>
      </c>
      <c r="S191" s="59">
        <v>26704</v>
      </c>
      <c r="T191" s="59">
        <v>23783</v>
      </c>
      <c r="U191" s="62">
        <f>IF(OR(R191="",S191="",T191=""),"",IF(S191+T191=0,"",R191/(S191+T191)))</f>
        <v/>
      </c>
      <c r="V191" s="63" t="s">
        <v>109</v>
      </c>
      <c r="W191" s="64"/>
      <c r="X191" s="63"/>
    </row>
    <row r="192" spans="2:24">
      <c r="B192" s="58">
        <v>46241</v>
      </c>
      <c r="C192" s="59">
        <v>27002</v>
      </c>
      <c r="D192" s="59">
        <v>24507</v>
      </c>
      <c r="E192" s="59">
        <v>2032</v>
      </c>
      <c r="F192" s="59">
        <v>1890</v>
      </c>
      <c r="G192" s="60">
        <f>IF(OR(E192="",F192="",C192="",D192=""),"",IF(C192+D192=0,"",(E192*C192+F192*D192)/(C192+D192)))</f>
        <v/>
      </c>
      <c r="H192" s="59">
        <v>1834</v>
      </c>
      <c r="I192" s="60">
        <f>IF(OR(H192="",E192="",C192="",D192=""),"",IF(C192+D192=0,"",(H192*D192+E192*C192)/(C192+D192)))</f>
        <v/>
      </c>
      <c r="J192" s="59">
        <v>1940</v>
      </c>
      <c r="K192" s="61">
        <f>IF(OR(J192="",I192=""),"",J192-I192)</f>
        <v/>
      </c>
      <c r="L192" s="61">
        <f>IF(OR(J192="",G192=""),"",J192-G192)</f>
        <v/>
      </c>
      <c r="M192" s="59">
        <v>1878</v>
      </c>
      <c r="N192" s="59">
        <v>1993</v>
      </c>
      <c r="O192" s="59">
        <v>160</v>
      </c>
      <c r="P192" s="59">
        <v>0</v>
      </c>
      <c r="Q192" s="59"/>
      <c r="R192" s="60">
        <f>IF(AND(P192="",Q192=""),"",N(P192)+N(Q192))</f>
        <v/>
      </c>
      <c r="S192" s="59">
        <v>27364</v>
      </c>
      <c r="T192" s="59">
        <v>21842</v>
      </c>
      <c r="U192" s="62">
        <f>IF(OR(R192="",S192="",T192=""),"",IF(S192+T192=0,"",R192/(S192+T192)))</f>
        <v/>
      </c>
      <c r="V192" s="63" t="s">
        <v>109</v>
      </c>
      <c r="W192" s="64"/>
      <c r="X192" s="63"/>
    </row>
    <row r="193" spans="2:24">
      <c r="B193" s="58">
        <v>46242</v>
      </c>
      <c r="C193" s="59">
        <v>27056</v>
      </c>
      <c r="D193" s="59">
        <v>22017</v>
      </c>
      <c r="E193" s="59">
        <v>1899</v>
      </c>
      <c r="F193" s="59">
        <v>1940</v>
      </c>
      <c r="G193" s="60">
        <f>IF(OR(E193="",F193="",C193="",D193=""),"",IF(C193+D193=0,"",(E193*C193+F193*D193)/(C193+D193)))</f>
        <v/>
      </c>
      <c r="H193" s="59">
        <v>1866</v>
      </c>
      <c r="I193" s="60">
        <f>IF(OR(H193="",E193="",C193="",D193=""),"",IF(C193+D193=0,"",(H193*D193+E193*C193)/(C193+D193)))</f>
        <v/>
      </c>
      <c r="J193" s="59">
        <v>1997</v>
      </c>
      <c r="K193" s="61">
        <f>IF(OR(J193="",I193=""),"",J193-I193)</f>
        <v/>
      </c>
      <c r="L193" s="61">
        <f>IF(OR(J193="",G193=""),"",J193-G193)</f>
        <v/>
      </c>
      <c r="M193" s="59">
        <v>2038</v>
      </c>
      <c r="N193" s="59">
        <v>2160</v>
      </c>
      <c r="O193" s="59">
        <v>160</v>
      </c>
      <c r="P193" s="59">
        <v>0.025</v>
      </c>
      <c r="Q193" s="59"/>
      <c r="R193" s="60">
        <f>IF(AND(P193="",Q193=""),"",N(P193)+N(Q193))</f>
        <v/>
      </c>
      <c r="S193" s="59">
        <v>29482</v>
      </c>
      <c r="T193" s="59">
        <v>23035</v>
      </c>
      <c r="U193" s="62">
        <f>IF(OR(R193="",S193="",T193=""),"",IF(S193+T193=0,"",R193/(S193+T193)))</f>
        <v/>
      </c>
      <c r="V193" s="63" t="s">
        <v>109</v>
      </c>
      <c r="W193" s="64"/>
      <c r="X193" s="63"/>
    </row>
    <row r="194" spans="2:24">
      <c r="B194" s="58">
        <v>46243</v>
      </c>
      <c r="C194" s="59">
        <v>30093</v>
      </c>
      <c r="D194" s="59">
        <v>24408</v>
      </c>
      <c r="E194" s="59">
        <v>2044</v>
      </c>
      <c r="F194" s="59">
        <v>1994</v>
      </c>
      <c r="G194" s="60">
        <f>IF(OR(E194="",F194="",C194="",D194=""),"",IF(C194+D194=0,"",(E194*C194+F194*D194)/(C194+D194)))</f>
        <v/>
      </c>
      <c r="H194" s="59">
        <v>1998</v>
      </c>
      <c r="I194" s="60">
        <f>IF(OR(H194="",E194="",C194="",D194=""),"",IF(C194+D194=0,"",(H194*D194+E194*C194)/(C194+D194)))</f>
        <v/>
      </c>
      <c r="J194" s="59">
        <v>2318</v>
      </c>
      <c r="K194" s="61">
        <f>IF(OR(J194="",I194=""),"",J194-I194)</f>
        <v/>
      </c>
      <c r="L194" s="61">
        <f>IF(OR(J194="",G194=""),"",J194-G194)</f>
        <v/>
      </c>
      <c r="M194" s="59">
        <v>2100</v>
      </c>
      <c r="N194" s="59">
        <v>2075</v>
      </c>
      <c r="O194" s="59">
        <v>160</v>
      </c>
      <c r="P194" s="59">
        <v>1004</v>
      </c>
      <c r="Q194" s="59"/>
      <c r="R194" s="60">
        <f>IF(AND(P194="",Q194=""),"",N(P194)+N(Q194))</f>
        <v/>
      </c>
      <c r="S194" s="59">
        <v>30740</v>
      </c>
      <c r="T194" s="59">
        <v>24427</v>
      </c>
      <c r="U194" s="62">
        <f>IF(OR(R194="",S194="",T194=""),"",IF(S194+T194=0,"",R194/(S194+T194)))</f>
        <v/>
      </c>
      <c r="V194" s="63" t="s">
        <v>109</v>
      </c>
      <c r="W194" s="64"/>
      <c r="X194" s="63"/>
    </row>
    <row r="195" spans="2:24">
      <c r="B195" s="58">
        <v>46244</v>
      </c>
      <c r="C195" s="59">
        <v>28586</v>
      </c>
      <c r="D195" s="59">
        <v>20501</v>
      </c>
      <c r="E195" s="59">
        <v>2113</v>
      </c>
      <c r="F195" s="59">
        <v>2060</v>
      </c>
      <c r="G195" s="60">
        <f>IF(OR(E195="",F195="",C195="",D195=""),"",IF(C195+D195=0,"",(E195*C195+F195*D195)/(C195+D195)))</f>
        <v/>
      </c>
      <c r="H195" s="59">
        <v>2091</v>
      </c>
      <c r="I195" s="60">
        <f>IF(OR(H195="",E195="",C195="",D195=""),"",IF(C195+D195=0,"",(H195*D195+E195*C195)/(C195+D195)))</f>
        <v/>
      </c>
      <c r="J195" s="59">
        <v>2152</v>
      </c>
      <c r="K195" s="61">
        <f>IF(OR(J195="",I195=""),"",J195-I195)</f>
        <v/>
      </c>
      <c r="L195" s="61">
        <f>IF(OR(J195="",G195=""),"",J195-G195)</f>
        <v/>
      </c>
      <c r="M195" s="59">
        <v>1944</v>
      </c>
      <c r="N195" s="59">
        <v>2156</v>
      </c>
      <c r="O195" s="59">
        <v>160</v>
      </c>
      <c r="P195" s="59">
        <v>478</v>
      </c>
      <c r="Q195" s="59"/>
      <c r="R195" s="60">
        <f>IF(AND(P195="",Q195=""),"",N(P195)+N(Q195))</f>
        <v/>
      </c>
      <c r="S195" s="59">
        <v>28564</v>
      </c>
      <c r="T195" s="59">
        <v>22347</v>
      </c>
      <c r="U195" s="62">
        <f>IF(OR(R195="",S195="",T195=""),"",IF(S195+T195=0,"",R195/(S195+T195)))</f>
        <v/>
      </c>
      <c r="V195" s="63" t="s">
        <v>109</v>
      </c>
      <c r="W195" s="64"/>
      <c r="X195" s="63"/>
    </row>
    <row r="196" spans="2:24">
      <c r="B196" s="58">
        <v>46245</v>
      </c>
      <c r="C196" s="59">
        <v>22736</v>
      </c>
      <c r="D196" s="59">
        <v>20731</v>
      </c>
      <c r="E196" s="59">
        <v>2175</v>
      </c>
      <c r="F196" s="59">
        <v>1997</v>
      </c>
      <c r="G196" s="60">
        <f>IF(OR(E196="",F196="",C196="",D196=""),"",IF(C196+D196=0,"",(E196*C196+F196*D196)/(C196+D196)))</f>
        <v/>
      </c>
      <c r="H196" s="59">
        <v>2091</v>
      </c>
      <c r="I196" s="60">
        <f>IF(OR(H196="",E196="",C196="",D196=""),"",IF(C196+D196=0,"",(H196*D196+E196*C196)/(C196+D196)))</f>
        <v/>
      </c>
      <c r="J196" s="59">
        <v>2236</v>
      </c>
      <c r="K196" s="61">
        <f>IF(OR(J196="",I196=""),"",J196-I196)</f>
        <v/>
      </c>
      <c r="L196" s="61">
        <f>IF(OR(J196="",G196=""),"",J196-G196)</f>
        <v/>
      </c>
      <c r="M196" s="59">
        <v>2296</v>
      </c>
      <c r="N196" s="59">
        <v>2241</v>
      </c>
      <c r="O196" s="59">
        <v>160</v>
      </c>
      <c r="P196" s="59">
        <v>149</v>
      </c>
      <c r="Q196" s="59"/>
      <c r="R196" s="60">
        <f>IF(AND(P196="",Q196=""),"",N(P196)+N(Q196))</f>
        <v/>
      </c>
      <c r="S196" s="59">
        <v>20688</v>
      </c>
      <c r="T196" s="59">
        <v>22269</v>
      </c>
      <c r="U196" s="62">
        <f>IF(OR(R196="",S196="",T196=""),"",IF(S196+T196=0,"",R196/(S196+T196)))</f>
        <v/>
      </c>
      <c r="V196" s="63" t="s">
        <v>109</v>
      </c>
      <c r="W196" s="64"/>
      <c r="X196" s="63"/>
    </row>
    <row r="197" spans="2:24">
      <c r="B197" s="58">
        <v>46246</v>
      </c>
      <c r="C197" s="59">
        <v>18740</v>
      </c>
      <c r="D197" s="59">
        <v>19283</v>
      </c>
      <c r="E197" s="59">
        <v>1998</v>
      </c>
      <c r="F197" s="59">
        <v>1996</v>
      </c>
      <c r="G197" s="60">
        <f>IF(OR(E197="",F197="",C197="",D197=""),"",IF(C197+D197=0,"",(E197*C197+F197*D197)/(C197+D197)))</f>
        <v/>
      </c>
      <c r="H197" s="59">
        <v>2001</v>
      </c>
      <c r="I197" s="60">
        <f>IF(OR(H197="",E197="",C197="",D197=""),"",IF(C197+D197=0,"",(H197*D197+E197*C197)/(C197+D197)))</f>
        <v/>
      </c>
      <c r="J197" s="59">
        <v>2179</v>
      </c>
      <c r="K197" s="61">
        <f>IF(OR(J197="",I197=""),"",J197-I197)</f>
        <v/>
      </c>
      <c r="L197" s="61">
        <f>IF(OR(J197="",G197=""),"",J197-G197)</f>
        <v/>
      </c>
      <c r="M197" s="59">
        <v>2224</v>
      </c>
      <c r="N197" s="59">
        <v>2098</v>
      </c>
      <c r="O197" s="59">
        <v>160</v>
      </c>
      <c r="P197" s="59">
        <v>0</v>
      </c>
      <c r="Q197" s="59"/>
      <c r="R197" s="60">
        <f>IF(AND(P197="",Q197=""),"",N(P197)+N(Q197))</f>
        <v/>
      </c>
      <c r="S197" s="59">
        <v>27342</v>
      </c>
      <c r="T197" s="59">
        <v>24181</v>
      </c>
      <c r="U197" s="62">
        <f>IF(OR(R197="",S197="",T197=""),"",IF(S197+T197=0,"",R197/(S197+T197)))</f>
        <v/>
      </c>
      <c r="V197" s="63" t="s">
        <v>109</v>
      </c>
      <c r="W197" s="64"/>
      <c r="X197" s="63"/>
    </row>
    <row r="198" spans="2:24">
      <c r="B198" s="58">
        <v>46247</v>
      </c>
      <c r="C198" s="59">
        <v>24724</v>
      </c>
      <c r="D198" s="59">
        <v>22047</v>
      </c>
      <c r="E198" s="59">
        <v>2063</v>
      </c>
      <c r="F198" s="59">
        <v>1805</v>
      </c>
      <c r="G198" s="60">
        <f>IF(OR(E198="",F198="",C198="",D198=""),"",IF(C198+D198=0,"",(E198*C198+F198*D198)/(C198+D198)))</f>
        <v/>
      </c>
      <c r="H198" s="59">
        <v>1827</v>
      </c>
      <c r="I198" s="60">
        <f>IF(OR(H198="",E198="",C198="",D198=""),"",IF(C198+D198=0,"",(H198*D198+E198*C198)/(C198+D198)))</f>
        <v/>
      </c>
      <c r="J198" s="59">
        <v>2030</v>
      </c>
      <c r="K198" s="61">
        <f>IF(OR(J198="",I198=""),"",J198-I198)</f>
        <v/>
      </c>
      <c r="L198" s="61">
        <f>IF(OR(J198="",G198=""),"",J198-G198)</f>
        <v/>
      </c>
      <c r="M198" s="59">
        <v>1961</v>
      </c>
      <c r="N198" s="59">
        <v>2016</v>
      </c>
      <c r="O198" s="59">
        <v>160</v>
      </c>
      <c r="P198" s="59">
        <v>284</v>
      </c>
      <c r="Q198" s="59"/>
      <c r="R198" s="60">
        <f>IF(AND(P198="",Q198=""),"",N(P198)+N(Q198))</f>
        <v/>
      </c>
      <c r="S198" s="59">
        <v>21647</v>
      </c>
      <c r="T198" s="59">
        <v>8601</v>
      </c>
      <c r="U198" s="62">
        <f>IF(OR(R198="",S198="",T198=""),"",IF(S198+T198=0,"",R198/(S198+T198)))</f>
        <v/>
      </c>
      <c r="V198" s="63" t="s">
        <v>109</v>
      </c>
      <c r="W198" s="64"/>
      <c r="X198" s="63"/>
    </row>
    <row r="199" spans="2:24">
      <c r="B199" s="58">
        <v>46248</v>
      </c>
      <c r="C199" s="59">
        <v>25370</v>
      </c>
      <c r="D199" s="59">
        <v>4507</v>
      </c>
      <c r="E199" s="59">
        <v>2053</v>
      </c>
      <c r="F199" s="59">
        <v>2260</v>
      </c>
      <c r="G199" s="60">
        <f>IF(OR(E199="",F199="",C199="",D199=""),"",IF(C199+D199=0,"",(E199*C199+F199*D199)/(C199+D199)))</f>
        <v/>
      </c>
      <c r="H199" s="59">
        <v>2028</v>
      </c>
      <c r="I199" s="60">
        <f>IF(OR(H199="",E199="",C199="",D199=""),"",IF(C199+D199=0,"",(H199*D199+E199*C199)/(C199+D199)))</f>
        <v/>
      </c>
      <c r="J199" s="59">
        <v>2124</v>
      </c>
      <c r="K199" s="61">
        <f>IF(OR(J199="",I199=""),"",J199-I199)</f>
        <v/>
      </c>
      <c r="L199" s="61">
        <f>IF(OR(J199="",G199=""),"",J199-G199)</f>
        <v/>
      </c>
      <c r="M199" s="59">
        <v>2101</v>
      </c>
      <c r="N199" s="59">
        <v>2218</v>
      </c>
      <c r="O199" s="59">
        <v>160</v>
      </c>
      <c r="P199" s="59">
        <v>0</v>
      </c>
      <c r="Q199" s="59"/>
      <c r="R199" s="60">
        <f>IF(AND(P199="",Q199=""),"",N(P199)+N(Q199))</f>
        <v/>
      </c>
      <c r="S199" s="59">
        <v>26477</v>
      </c>
      <c r="T199" s="59">
        <v>12337</v>
      </c>
      <c r="U199" s="62">
        <f>IF(OR(R199="",S199="",T199=""),"",IF(S199+T199=0,"",R199/(S199+T199)))</f>
        <v/>
      </c>
      <c r="V199" s="63" t="s">
        <v>109</v>
      </c>
      <c r="W199" s="64"/>
      <c r="X199" s="63"/>
    </row>
    <row r="200" spans="2:24">
      <c r="B200" s="58">
        <v>46249</v>
      </c>
      <c r="C200" s="59">
        <v>11802</v>
      </c>
      <c r="D200" s="59">
        <v>24277</v>
      </c>
      <c r="E200" s="59">
        <v>2543</v>
      </c>
      <c r="F200" s="59">
        <v>2110</v>
      </c>
      <c r="G200" s="60">
        <f>IF(OR(E200="",F200="",C200="",D200=""),"",IF(C200+D200=0,"",(E200*C200+F200*D200)/(C200+D200)))</f>
        <v/>
      </c>
      <c r="H200" s="59">
        <v>2063</v>
      </c>
      <c r="I200" s="60">
        <f>IF(OR(H200="",E200="",C200="",D200=""),"",IF(C200+D200=0,"",(H200*D200+E200*C200)/(C200+D200)))</f>
        <v/>
      </c>
      <c r="J200" s="59">
        <v>2182</v>
      </c>
      <c r="K200" s="61">
        <f>IF(OR(J200="",I200=""),"",J200-I200)</f>
        <v/>
      </c>
      <c r="L200" s="61">
        <f>IF(OR(J200="",G200=""),"",J200-G200)</f>
        <v/>
      </c>
      <c r="M200" s="59">
        <v>2147</v>
      </c>
      <c r="N200" s="59">
        <v>2141</v>
      </c>
      <c r="O200" s="59">
        <v>160</v>
      </c>
      <c r="P200" s="59">
        <v>0.003</v>
      </c>
      <c r="Q200" s="59"/>
      <c r="R200" s="60">
        <f>IF(AND(P200="",Q200=""),"",N(P200)+N(Q200))</f>
        <v/>
      </c>
      <c r="S200" s="59">
        <v>16692</v>
      </c>
      <c r="T200" s="59">
        <v>25791</v>
      </c>
      <c r="U200" s="62">
        <f>IF(OR(R200="",S200="",T200=""),"",IF(S200+T200=0,"",R200/(S200+T200)))</f>
        <v/>
      </c>
      <c r="V200" s="63" t="s">
        <v>109</v>
      </c>
      <c r="W200" s="64"/>
      <c r="X200" s="63"/>
    </row>
    <row r="201" spans="2:24">
      <c r="B201" s="58">
        <v>46250</v>
      </c>
      <c r="C201" s="59">
        <v>26389</v>
      </c>
      <c r="D201" s="59">
        <v>21067</v>
      </c>
      <c r="E201" s="59">
        <v>2039</v>
      </c>
      <c r="F201" s="59">
        <v>2053</v>
      </c>
      <c r="G201" s="60">
        <f>IF(OR(E201="",F201="",C201="",D201=""),"",IF(C201+D201=0,"",(E201*C201+F201*D201)/(C201+D201)))</f>
        <v/>
      </c>
      <c r="H201" s="59">
        <v>1903</v>
      </c>
      <c r="I201" s="60">
        <f>IF(OR(H201="",E201="",C201="",D201=""),"",IF(C201+D201=0,"",(H201*D201+E201*C201)/(C201+D201)))</f>
        <v/>
      </c>
      <c r="J201" s="59">
        <v>2081</v>
      </c>
      <c r="K201" s="61">
        <f>IF(OR(J201="",I201=""),"",J201-I201)</f>
        <v/>
      </c>
      <c r="L201" s="61">
        <f>IF(OR(J201="",G201=""),"",J201-G201)</f>
        <v/>
      </c>
      <c r="M201" s="59">
        <v>2021</v>
      </c>
      <c r="N201" s="59">
        <v>2083</v>
      </c>
      <c r="O201" s="59">
        <v>160</v>
      </c>
      <c r="P201" s="59">
        <v>0</v>
      </c>
      <c r="Q201" s="59"/>
      <c r="R201" s="60">
        <f>IF(AND(P201="",Q201=""),"",N(P201)+N(Q201))</f>
        <v/>
      </c>
      <c r="S201" s="59">
        <v>28898</v>
      </c>
      <c r="T201" s="59">
        <v>23116</v>
      </c>
      <c r="U201" s="62">
        <f>IF(OR(R201="",S201="",T201=""),"",IF(S201+T201=0,"",R201/(S201+T201)))</f>
        <v/>
      </c>
      <c r="V201" s="63" t="s">
        <v>109</v>
      </c>
      <c r="W201" s="64"/>
      <c r="X201" s="63"/>
    </row>
    <row r="202" spans="2:24">
      <c r="B202" s="58">
        <v>46251</v>
      </c>
      <c r="C202" s="59">
        <v>29614</v>
      </c>
      <c r="D202" s="59">
        <v>22083</v>
      </c>
      <c r="E202" s="59">
        <v>1949</v>
      </c>
      <c r="F202" s="59">
        <v>2000</v>
      </c>
      <c r="G202" s="60">
        <f>IF(OR(E202="",F202="",C202="",D202=""),"",IF(C202+D202=0,"",(E202*C202+F202*D202)/(C202+D202)))</f>
        <v/>
      </c>
      <c r="H202" s="59">
        <v>1930</v>
      </c>
      <c r="I202" s="60">
        <f>IF(OR(H202="",E202="",C202="",D202=""),"",IF(C202+D202=0,"",(H202*D202+E202*C202)/(C202+D202)))</f>
        <v/>
      </c>
      <c r="J202" s="59">
        <v>1958</v>
      </c>
      <c r="K202" s="61">
        <f>IF(OR(J202="",I202=""),"",J202-I202)</f>
        <v/>
      </c>
      <c r="L202" s="61">
        <f>IF(OR(J202="",G202=""),"",J202-G202)</f>
        <v/>
      </c>
      <c r="M202" s="59">
        <v>1985</v>
      </c>
      <c r="N202" s="59">
        <v>2025</v>
      </c>
      <c r="O202" s="59">
        <v>160</v>
      </c>
      <c r="P202" s="59">
        <v>0</v>
      </c>
      <c r="Q202" s="59"/>
      <c r="R202" s="60">
        <f>IF(AND(P202="",Q202=""),"",N(P202)+N(Q202))</f>
        <v/>
      </c>
      <c r="S202" s="59">
        <v>29978</v>
      </c>
      <c r="T202" s="59">
        <v>22601</v>
      </c>
      <c r="U202" s="62">
        <f>IF(OR(R202="",S202="",T202=""),"",IF(S202+T202=0,"",R202/(S202+T202)))</f>
        <v/>
      </c>
      <c r="V202" s="63" t="s">
        <v>109</v>
      </c>
      <c r="W202" s="64"/>
      <c r="X202" s="63"/>
    </row>
    <row r="203" spans="2:24">
      <c r="B203" s="58">
        <v>46252</v>
      </c>
      <c r="C203" s="59">
        <v>26983</v>
      </c>
      <c r="D203" s="59">
        <v>18006</v>
      </c>
      <c r="E203" s="59">
        <v>2146</v>
      </c>
      <c r="F203" s="59">
        <v>2446</v>
      </c>
      <c r="G203" s="60">
        <f>IF(OR(E203="",F203="",C203="",D203=""),"",IF(C203+D203=0,"",(E203*C203+F203*D203)/(C203+D203)))</f>
        <v/>
      </c>
      <c r="H203" s="59">
        <v>2169</v>
      </c>
      <c r="I203" s="60">
        <f>IF(OR(H203="",E203="",C203="",D203=""),"",IF(C203+D203=0,"",(H203*D203+E203*C203)/(C203+D203)))</f>
        <v/>
      </c>
      <c r="J203" s="59">
        <v>2184</v>
      </c>
      <c r="K203" s="61">
        <f>IF(OR(J203="",I203=""),"",J203-I203)</f>
        <v/>
      </c>
      <c r="L203" s="61">
        <f>IF(OR(J203="",G203=""),"",J203-G203)</f>
        <v/>
      </c>
      <c r="M203" s="59">
        <v>2069</v>
      </c>
      <c r="N203" s="59">
        <v>2065</v>
      </c>
      <c r="O203" s="59">
        <v>160</v>
      </c>
      <c r="P203" s="59">
        <v>0</v>
      </c>
      <c r="Q203" s="59"/>
      <c r="R203" s="60">
        <f>IF(AND(P203="",Q203=""),"",N(P203)+N(Q203))</f>
        <v/>
      </c>
      <c r="S203" s="59">
        <v>23979</v>
      </c>
      <c r="T203" s="59">
        <v>19601</v>
      </c>
      <c r="U203" s="62">
        <f>IF(OR(R203="",S203="",T203=""),"",IF(S203+T203=0,"",R203/(S203+T203)))</f>
        <v/>
      </c>
      <c r="V203" s="63" t="s">
        <v>109</v>
      </c>
      <c r="W203" s="64"/>
      <c r="X203" s="63"/>
    </row>
    <row r="204" spans="2:24">
      <c r="B204" s="58">
        <v>46253</v>
      </c>
      <c r="C204" s="59">
        <v>24442.08</v>
      </c>
      <c r="D204" s="59">
        <v>21144.77</v>
      </c>
      <c r="E204" s="59">
        <v>2099.83</v>
      </c>
      <c r="F204" s="59">
        <v>1958.67</v>
      </c>
      <c r="G204" s="60">
        <f>IF(OR(E204="",F204="",C204="",D204=""),"",IF(C204+D204=0,"",(E204*C204+F204*D204)/(C204+D204)))</f>
        <v/>
      </c>
      <c r="H204" s="59">
        <v>2153</v>
      </c>
      <c r="I204" s="60">
        <f>IF(OR(H204="",E204="",C204="",D204=""),"",IF(C204+D204=0,"",(H204*D204+E204*C204)/(C204+D204)))</f>
        <v/>
      </c>
      <c r="J204" s="59">
        <v>2116.92</v>
      </c>
      <c r="K204" s="61">
        <f>IF(OR(J204="",I204=""),"",J204-I204)</f>
        <v/>
      </c>
      <c r="L204" s="61">
        <f>IF(OR(J204="",G204=""),"",J204-G204)</f>
        <v/>
      </c>
      <c r="M204" s="59">
        <v>2256.5</v>
      </c>
      <c r="N204" s="59">
        <v>2226</v>
      </c>
      <c r="O204" s="59">
        <v>160</v>
      </c>
      <c r="P204" s="59">
        <v>0.003</v>
      </c>
      <c r="Q204" s="59">
        <v>0</v>
      </c>
      <c r="R204" s="60">
        <f>IF(AND(P204="",Q204=""),"",N(P204)+N(Q204))</f>
        <v/>
      </c>
      <c r="S204" s="59">
        <v>25818.5</v>
      </c>
      <c r="T204" s="59">
        <v>21495.5</v>
      </c>
      <c r="U204" s="62">
        <f>IF(OR(R204="",S204="",T204=""),"",IF(S204+T204=0,"",R204/(S204+T204)))</f>
        <v/>
      </c>
      <c r="V204" s="63" t="s">
        <v>109</v>
      </c>
      <c r="W204" s="64"/>
      <c r="X204" s="63"/>
    </row>
    <row r="205" spans="2:24">
      <c r="B205" s="58">
        <v>46254</v>
      </c>
      <c r="C205" s="59">
        <v>28945.77</v>
      </c>
      <c r="D205" s="59">
        <v>22217.62</v>
      </c>
      <c r="E205" s="59">
        <v>2108</v>
      </c>
      <c r="F205" s="59">
        <v>1976.5</v>
      </c>
      <c r="G205" s="60">
        <f>IF(OR(E205="",F205="",C205="",D205=""),"",IF(C205+D205=0,"",(E205*C205+F205*D205)/(C205+D205)))</f>
        <v/>
      </c>
      <c r="H205" s="59">
        <v>2000</v>
      </c>
      <c r="I205" s="60">
        <f>IF(OR(H205="",E205="",C205="",D205=""),"",IF(C205+D205=0,"",(H205*D205+E205*C205)/(C205+D205)))</f>
        <v/>
      </c>
      <c r="J205" s="59">
        <v>2151.46</v>
      </c>
      <c r="K205" s="61">
        <f>IF(OR(J205="",I205=""),"",J205-I205)</f>
        <v/>
      </c>
      <c r="L205" s="61">
        <f>IF(OR(J205="",G205=""),"",J205-G205)</f>
        <v/>
      </c>
      <c r="M205" s="59">
        <v>2189.5</v>
      </c>
      <c r="N205" s="59">
        <v>2099</v>
      </c>
      <c r="O205" s="59">
        <v>160</v>
      </c>
      <c r="P205" s="59">
        <v>0</v>
      </c>
      <c r="Q205" s="59"/>
      <c r="R205" s="60">
        <f>IF(AND(P205="",Q205=""),"",N(P205)+N(Q205))</f>
        <v/>
      </c>
      <c r="S205" s="59">
        <v>29741</v>
      </c>
      <c r="T205" s="59">
        <v>24548</v>
      </c>
      <c r="U205" s="62">
        <f>IF(OR(R205="",S205="",T205=""),"",IF(S205+T205=0,"",R205/(S205+T205)))</f>
        <v/>
      </c>
      <c r="V205" s="63" t="s">
        <v>109</v>
      </c>
      <c r="W205" s="64"/>
      <c r="X205" s="63"/>
    </row>
    <row r="206" spans="2:24">
      <c r="B206" s="58">
        <v>46255</v>
      </c>
      <c r="C206" s="59">
        <v>28501.23</v>
      </c>
      <c r="D206" s="59">
        <v>23575.54</v>
      </c>
      <c r="E206" s="59">
        <v>1913.83</v>
      </c>
      <c r="F206" s="59">
        <v>1825.58</v>
      </c>
      <c r="G206" s="60">
        <f>IF(OR(E206="",F206="",C206="",D206=""),"",IF(C206+D206=0,"",(E206*C206+F206*D206)/(C206+D206)))</f>
        <v/>
      </c>
      <c r="H206" s="59">
        <v>1739.38</v>
      </c>
      <c r="I206" s="60">
        <f>IF(OR(H206="",E206="",C206="",D206=""),"",IF(C206+D206=0,"",(H206*D206+E206*C206)/(C206+D206)))</f>
        <v/>
      </c>
      <c r="J206" s="59">
        <v>1873.62</v>
      </c>
      <c r="K206" s="61">
        <f>IF(OR(J206="",I206=""),"",J206-I206)</f>
        <v/>
      </c>
      <c r="L206" s="61">
        <f>IF(OR(J206="",G206=""),"",J206-G206)</f>
        <v/>
      </c>
      <c r="M206" s="59">
        <v>2050</v>
      </c>
      <c r="N206" s="59">
        <v>1983</v>
      </c>
      <c r="O206" s="59">
        <v>160</v>
      </c>
      <c r="P206" s="59">
        <v>0</v>
      </c>
      <c r="Q206" s="59"/>
      <c r="R206" s="60">
        <f>IF(AND(P206="",Q206=""),"",N(P206)+N(Q206))</f>
        <v/>
      </c>
      <c r="S206" s="59">
        <v>31338</v>
      </c>
      <c r="T206" s="59">
        <v>24473</v>
      </c>
      <c r="U206" s="62">
        <f>IF(OR(R206="",S206="",T206=""),"",IF(S206+T206=0,"",R206/(S206+T206)))</f>
        <v/>
      </c>
      <c r="V206" s="63" t="s">
        <v>109</v>
      </c>
      <c r="W206" s="64"/>
      <c r="X206" s="63"/>
    </row>
    <row r="207" spans="2:24">
      <c r="B207" s="58">
        <v>46256</v>
      </c>
      <c r="C207" s="59">
        <v>25450.85</v>
      </c>
      <c r="D207" s="59">
        <v>24145.69</v>
      </c>
      <c r="E207" s="59">
        <v>2068.08</v>
      </c>
      <c r="F207" s="59">
        <v>1997.17</v>
      </c>
      <c r="G207" s="60">
        <f>IF(OR(E207="",F207="",C207="",D207=""),"",IF(C207+D207=0,"",(E207*C207+F207*D207)/(C207+D207)))</f>
        <v/>
      </c>
      <c r="H207" s="59">
        <v>1901.15</v>
      </c>
      <c r="I207" s="60">
        <f>IF(OR(H207="",E207="",C207="",D207=""),"",IF(C207+D207=0,"",(H207*D207+E207*C207)/(C207+D207)))</f>
        <v/>
      </c>
      <c r="J207" s="59">
        <v>2037.15</v>
      </c>
      <c r="K207" s="61">
        <f>IF(OR(J207="",I207=""),"",J207-I207)</f>
        <v/>
      </c>
      <c r="L207" s="61">
        <f>IF(OR(J207="",G207=""),"",J207-G207)</f>
        <v/>
      </c>
      <c r="M207" s="59">
        <v>1895.5</v>
      </c>
      <c r="N207" s="59">
        <v>2010.5</v>
      </c>
      <c r="O207" s="59">
        <v>160</v>
      </c>
      <c r="P207" s="59">
        <v>0.002</v>
      </c>
      <c r="Q207" s="59"/>
      <c r="R207" s="60">
        <f>IF(AND(P207="",Q207=""),"",N(P207)+N(Q207))</f>
        <v/>
      </c>
      <c r="S207" s="59">
        <v>28866</v>
      </c>
      <c r="T207" s="59">
        <v>23791</v>
      </c>
      <c r="U207" s="62">
        <f>IF(OR(R207="",S207="",T207=""),"",IF(S207+T207=0,"",R207/(S207+T207)))</f>
        <v/>
      </c>
      <c r="V207" s="63" t="s">
        <v>109</v>
      </c>
      <c r="W207" s="64"/>
      <c r="X207" s="63"/>
    </row>
    <row r="208" spans="2:24">
      <c r="B208" s="58">
        <v>46257</v>
      </c>
      <c r="C208" s="59">
        <v>23440.69</v>
      </c>
      <c r="D208" s="59">
        <v>21961.85</v>
      </c>
      <c r="E208" s="59">
        <v>2185.83</v>
      </c>
      <c r="F208" s="59">
        <v>2267.42</v>
      </c>
      <c r="G208" s="60">
        <f>IF(OR(E208="",F208="",C208="",D208=""),"",IF(C208+D208=0,"",(E208*C208+F208*D208)/(C208+D208)))</f>
        <v/>
      </c>
      <c r="H208" s="59">
        <v>2124</v>
      </c>
      <c r="I208" s="60">
        <f>IF(OR(H208="",E208="",C208="",D208=""),"",IF(C208+D208=0,"",(H208*D208+E208*C208)/(C208+D208)))</f>
        <v/>
      </c>
      <c r="J208" s="59">
        <v>2137.92</v>
      </c>
      <c r="K208" s="61">
        <f>IF(OR(J208="",I208=""),"",J208-I208)</f>
        <v/>
      </c>
      <c r="L208" s="61">
        <f>IF(OR(J208="",G208=""),"",J208-G208)</f>
        <v/>
      </c>
      <c r="M208" s="59">
        <v>2092</v>
      </c>
      <c r="N208" s="59">
        <v>2058</v>
      </c>
      <c r="O208" s="59">
        <v>160</v>
      </c>
      <c r="P208" s="59">
        <v>0</v>
      </c>
      <c r="Q208" s="59">
        <v>284</v>
      </c>
      <c r="R208" s="60">
        <f>IF(AND(P208="",Q208=""),"",N(P208)+N(Q208))</f>
        <v/>
      </c>
      <c r="S208" s="59">
        <v>28686</v>
      </c>
      <c r="T208" s="59">
        <v>23033</v>
      </c>
      <c r="U208" s="62">
        <f>IF(OR(R208="",S208="",T208=""),"",IF(S208+T208=0,"",R208/(S208+T208)))</f>
        <v/>
      </c>
      <c r="V208" s="63" t="s">
        <v>109</v>
      </c>
      <c r="W208" s="64"/>
      <c r="X208" s="63"/>
    </row>
    <row r="209" spans="2:24">
      <c r="B209" s="58">
        <v>46258</v>
      </c>
      <c r="C209" s="59">
        <v>25300.15</v>
      </c>
      <c r="D209" s="59">
        <v>22043.38</v>
      </c>
      <c r="E209" s="59">
        <v>2034.42</v>
      </c>
      <c r="F209" s="59">
        <v>2060.25</v>
      </c>
      <c r="G209" s="60">
        <f>IF(OR(E209="",F209="",C209="",D209=""),"",IF(C209+D209=0,"",(E209*C209+F209*D209)/(C209+D209)))</f>
        <v/>
      </c>
      <c r="H209" s="59">
        <v>2013.69</v>
      </c>
      <c r="I209" s="60">
        <f>IF(OR(H209="",E209="",C209="",D209=""),"",IF(C209+D209=0,"",(H209*D209+E209*C209)/(C209+D209)))</f>
        <v/>
      </c>
      <c r="J209" s="59">
        <v>2137.38</v>
      </c>
      <c r="K209" s="61">
        <f>IF(OR(J209="",I209=""),"",J209-I209)</f>
        <v/>
      </c>
      <c r="L209" s="61">
        <f>IF(OR(J209="",G209=""),"",J209-G209)</f>
        <v/>
      </c>
      <c r="M209" s="59">
        <v>2023.5</v>
      </c>
      <c r="N209" s="59">
        <v>2166</v>
      </c>
      <c r="O209" s="59">
        <v>160</v>
      </c>
      <c r="P209" s="59">
        <v>249</v>
      </c>
      <c r="Q209" s="59"/>
      <c r="R209" s="60">
        <f>IF(AND(P209="",Q209=""),"",N(P209)+N(Q209))</f>
        <v/>
      </c>
      <c r="S209" s="59">
        <v>28056</v>
      </c>
      <c r="T209" s="59">
        <v>24152</v>
      </c>
      <c r="U209" s="62">
        <f>IF(OR(R209="",S209="",T209=""),"",IF(S209+T209=0,"",R209/(S209+T209)))</f>
        <v/>
      </c>
      <c r="V209" s="63" t="s">
        <v>109</v>
      </c>
      <c r="W209" s="64"/>
      <c r="X209" s="63"/>
    </row>
    <row r="210" spans="2:24">
      <c r="B210" s="58">
        <v>46259</v>
      </c>
      <c r="C210" s="59">
        <v>26464.23</v>
      </c>
      <c r="D210" s="59">
        <v>23321.69</v>
      </c>
      <c r="E210" s="59">
        <v>1894.92</v>
      </c>
      <c r="F210" s="59">
        <v>2059.25</v>
      </c>
      <c r="G210" s="60">
        <f>IF(OR(E210="",F210="",C210="",D210=""),"",IF(C210+D210=0,"",(E210*C210+F210*D210)/(C210+D210)))</f>
        <v/>
      </c>
      <c r="H210" s="59">
        <v>1982.31</v>
      </c>
      <c r="I210" s="60">
        <f>IF(OR(H210="",E210="",C210="",D210=""),"",IF(C210+D210=0,"",(H210*D210+E210*C210)/(C210+D210)))</f>
        <v/>
      </c>
      <c r="J210" s="59">
        <v>2006</v>
      </c>
      <c r="K210" s="61">
        <f>IF(OR(J210="",I210=""),"",J210-I210)</f>
        <v/>
      </c>
      <c r="L210" s="61">
        <f>IF(OR(J210="",G210=""),"",J210-G210)</f>
        <v/>
      </c>
      <c r="M210" s="59">
        <v>2088</v>
      </c>
      <c r="N210" s="59">
        <v>2020.5</v>
      </c>
      <c r="O210" s="59">
        <v>160</v>
      </c>
      <c r="P210" s="59">
        <v>0</v>
      </c>
      <c r="Q210" s="59">
        <v>118</v>
      </c>
      <c r="R210" s="60">
        <f>IF(AND(P210="",Q210=""),"",N(P210)+N(Q210))</f>
        <v/>
      </c>
      <c r="S210" s="59">
        <v>19570</v>
      </c>
      <c r="T210" s="59">
        <v>21778</v>
      </c>
      <c r="U210" s="62">
        <f>IF(OR(R210="",S210="",T210=""),"",IF(S210+T210=0,"",R210/(S210+T210)))</f>
        <v/>
      </c>
      <c r="V210" s="63" t="s">
        <v>109</v>
      </c>
      <c r="W210" s="64"/>
      <c r="X210" s="63"/>
    </row>
    <row r="211" spans="2:24">
      <c r="B211" s="58">
        <v>46260</v>
      </c>
      <c r="C211" s="59">
        <v>24587.85</v>
      </c>
      <c r="D211" s="59">
        <v>20104.77</v>
      </c>
      <c r="E211" s="59">
        <v>2054.17</v>
      </c>
      <c r="F211" s="59">
        <v>2264.5</v>
      </c>
      <c r="G211" s="60">
        <f>IF(OR(E211="",F211="",C211="",D211=""),"",IF(C211+D211=0,"",(E211*C211+F211*D211)/(C211+D211)))</f>
        <v/>
      </c>
      <c r="H211" s="59">
        <v>2269.62</v>
      </c>
      <c r="I211" s="60">
        <f>IF(OR(H211="",E211="",C211="",D211=""),"",IF(C211+D211=0,"",(H211*D211+E211*C211)/(C211+D211)))</f>
        <v/>
      </c>
      <c r="J211" s="59">
        <v>2108.08</v>
      </c>
      <c r="K211" s="61">
        <f>IF(OR(J211="",I211=""),"",J211-I211)</f>
        <v/>
      </c>
      <c r="L211" s="61">
        <f>IF(OR(J211="",G211=""),"",J211-G211)</f>
        <v/>
      </c>
      <c r="M211" s="59">
        <v>1994.5</v>
      </c>
      <c r="N211" s="59">
        <v>2017</v>
      </c>
      <c r="O211" s="59">
        <v>160</v>
      </c>
      <c r="P211" s="59">
        <v>0</v>
      </c>
      <c r="Q211" s="59"/>
      <c r="R211" s="60">
        <f>IF(AND(P211="",Q211=""),"",N(P211)+N(Q211))</f>
        <v/>
      </c>
      <c r="S211" s="59">
        <v>26876</v>
      </c>
      <c r="T211" s="59">
        <v>20444</v>
      </c>
      <c r="U211" s="62">
        <f>IF(OR(R211="",S211="",T211=""),"",IF(S211+T211=0,"",R211/(S211+T211)))</f>
        <v/>
      </c>
      <c r="V211" s="63" t="s">
        <v>109</v>
      </c>
      <c r="W211" s="64"/>
      <c r="X211" s="63"/>
    </row>
    <row r="212" spans="2:24">
      <c r="B212" s="58">
        <v>46261</v>
      </c>
      <c r="C212" s="59">
        <v>22893.08</v>
      </c>
      <c r="D212" s="59">
        <v>22775.85</v>
      </c>
      <c r="E212" s="59">
        <v>2182.83</v>
      </c>
      <c r="F212" s="59">
        <v>1990.08</v>
      </c>
      <c r="G212" s="60">
        <f>IF(OR(E212="",F212="",C212="",D212=""),"",IF(C212+D212=0,"",(E212*C212+F212*D212)/(C212+D212)))</f>
        <v/>
      </c>
      <c r="H212" s="59">
        <v>2062.46</v>
      </c>
      <c r="I212" s="60">
        <f>IF(OR(H212="",E212="",C212="",D212=""),"",IF(C212+D212=0,"",(H212*D212+E212*C212)/(C212+D212)))</f>
        <v/>
      </c>
      <c r="J212" s="59">
        <v>2169.15</v>
      </c>
      <c r="K212" s="61">
        <f>IF(OR(J212="",I212=""),"",J212-I212)</f>
        <v/>
      </c>
      <c r="L212" s="61">
        <f>IF(OR(J212="",G212=""),"",J212-G212)</f>
        <v/>
      </c>
      <c r="M212" s="59">
        <v>2186</v>
      </c>
      <c r="N212" s="59">
        <v>2230.5</v>
      </c>
      <c r="O212" s="59">
        <v>160</v>
      </c>
      <c r="P212" s="59">
        <v>0.002</v>
      </c>
      <c r="Q212" s="59"/>
      <c r="R212" s="60">
        <f>IF(AND(P212="",Q212=""),"",N(P212)+N(Q212))</f>
        <v/>
      </c>
      <c r="S212" s="59">
        <v>24968</v>
      </c>
      <c r="T212" s="59">
        <v>17466</v>
      </c>
      <c r="U212" s="62">
        <f>IF(OR(R212="",S212="",T212=""),"",IF(S212+T212=0,"",R212/(S212+T212)))</f>
        <v/>
      </c>
      <c r="V212" s="63" t="s">
        <v>109</v>
      </c>
      <c r="W212" s="64"/>
      <c r="X212" s="63"/>
    </row>
    <row r="213" spans="2:24">
      <c r="B213" s="58">
        <v>46262</v>
      </c>
      <c r="C213" s="59">
        <v>24962.23</v>
      </c>
      <c r="D213" s="59">
        <v>16737.62</v>
      </c>
      <c r="E213" s="59">
        <v>2199.17</v>
      </c>
      <c r="F213" s="59">
        <v>2129.42</v>
      </c>
      <c r="G213" s="60">
        <f>IF(OR(E213="",F213="",C213="",D213=""),"",IF(C213+D213=0,"",(E213*C213+F213*D213)/(C213+D213)))</f>
        <v/>
      </c>
      <c r="H213" s="59">
        <v>2007.27</v>
      </c>
      <c r="I213" s="60">
        <f>IF(OR(H213="",E213="",C213="",D213=""),"",IF(C213+D213=0,"",(H213*D213+E213*C213)/(C213+D213)))</f>
        <v/>
      </c>
      <c r="J213" s="59">
        <v>2165.38</v>
      </c>
      <c r="K213" s="61">
        <f>IF(OR(J213="",I213=""),"",J213-I213)</f>
        <v/>
      </c>
      <c r="L213" s="61">
        <f>IF(OR(J213="",G213=""),"",J213-G213)</f>
        <v/>
      </c>
      <c r="M213" s="59">
        <v>2063.5</v>
      </c>
      <c r="N213" s="59">
        <v>2182.5</v>
      </c>
      <c r="O213" s="59">
        <v>160</v>
      </c>
      <c r="P213" s="59">
        <v>0.001</v>
      </c>
      <c r="Q213" s="59"/>
      <c r="R213" s="60">
        <f>IF(AND(P213="",Q213=""),"",N(P213)+N(Q213))</f>
        <v/>
      </c>
      <c r="S213" s="59">
        <v>61104.57</v>
      </c>
      <c r="T213" s="59">
        <v>20995</v>
      </c>
      <c r="U213" s="62">
        <f>IF(OR(R213="",S213="",T213=""),"",IF(S213+T213=0,"",R213/(S213+T213)))</f>
        <v/>
      </c>
      <c r="V213" s="63" t="s">
        <v>109</v>
      </c>
      <c r="W213" s="64"/>
      <c r="X213" s="63"/>
    </row>
    <row r="214" spans="2:24">
      <c r="B214" s="58">
        <v>46263</v>
      </c>
      <c r="C214" s="59">
        <v>28410.77</v>
      </c>
      <c r="D214" s="59">
        <v>19572.69</v>
      </c>
      <c r="E214" s="59">
        <v>2131.25</v>
      </c>
      <c r="F214" s="59">
        <v>2110.08</v>
      </c>
      <c r="G214" s="60">
        <f>IF(OR(E214="",F214="",C214="",D214=""),"",IF(C214+D214=0,"",(E214*C214+F214*D214)/(C214+D214)))</f>
        <v/>
      </c>
      <c r="H214" s="59">
        <v>2003.85</v>
      </c>
      <c r="I214" s="60">
        <f>IF(OR(H214="",E214="",C214="",D214=""),"",IF(C214+D214=0,"",(H214*D214+E214*C214)/(C214+D214)))</f>
        <v/>
      </c>
      <c r="J214" s="59">
        <v>2084.92</v>
      </c>
      <c r="K214" s="61">
        <f>IF(OR(J214="",I214=""),"",J214-I214)</f>
        <v/>
      </c>
      <c r="L214" s="61">
        <f>IF(OR(J214="",G214=""),"",J214-G214)</f>
        <v/>
      </c>
      <c r="M214" s="59">
        <v>2138.5</v>
      </c>
      <c r="N214" s="59">
        <v>2266</v>
      </c>
      <c r="O214" s="59">
        <v>160</v>
      </c>
      <c r="P214" s="59">
        <v>0</v>
      </c>
      <c r="Q214" s="59"/>
      <c r="R214" s="60">
        <f>IF(AND(P214="",Q214=""),"",N(P214)+N(Q214))</f>
        <v/>
      </c>
      <c r="S214" s="59">
        <v>57740.73</v>
      </c>
      <c r="T214" s="59">
        <v>23193</v>
      </c>
      <c r="U214" s="62">
        <f>IF(OR(R214="",S214="",T214=""),"",IF(S214+T214=0,"",R214/(S214+T214)))</f>
        <v/>
      </c>
      <c r="V214" s="63" t="s">
        <v>109</v>
      </c>
      <c r="W214" s="64"/>
      <c r="X214" s="63"/>
    </row>
    <row r="215" spans="2:24">
      <c r="B215" s="58">
        <v>46264</v>
      </c>
      <c r="C215" s="59">
        <v>26091.15</v>
      </c>
      <c r="D215" s="59">
        <v>18408.08</v>
      </c>
      <c r="E215" s="59">
        <v>2059.75</v>
      </c>
      <c r="F215" s="59">
        <v>1985</v>
      </c>
      <c r="G215" s="60">
        <f>IF(OR(E215="",F215="",C215="",D215=""),"",IF(C215+D215=0,"",(E215*C215+F215*D215)/(C215+D215)))</f>
        <v/>
      </c>
      <c r="H215" s="59">
        <v>1921</v>
      </c>
      <c r="I215" s="60">
        <f>IF(OR(H215="",E215="",C215="",D215=""),"",IF(C215+D215=0,"",(H215*D215+E215*C215)/(C215+D215)))</f>
        <v/>
      </c>
      <c r="J215" s="59">
        <v>2035</v>
      </c>
      <c r="K215" s="61">
        <f>IF(OR(J215="",I215=""),"",J215-I215)</f>
        <v/>
      </c>
      <c r="L215" s="61">
        <f>IF(OR(J215="",G215=""),"",J215-G215)</f>
        <v/>
      </c>
      <c r="M215" s="59">
        <v>2149</v>
      </c>
      <c r="N215" s="59">
        <v>2072.5</v>
      </c>
      <c r="O215" s="59">
        <v>160</v>
      </c>
      <c r="P215" s="59">
        <v>0</v>
      </c>
      <c r="Q215" s="59"/>
      <c r="R215" s="60">
        <f>IF(AND(P215="",Q215=""),"",N(P215)+N(Q215))</f>
        <v/>
      </c>
      <c r="S215" s="59">
        <v>61900.53</v>
      </c>
      <c r="T215" s="59">
        <v>23965</v>
      </c>
      <c r="U215" s="62">
        <f>IF(OR(R215="",S215="",T215=""),"",IF(S215+T215=0,"",R215/(S215+T215)))</f>
        <v/>
      </c>
      <c r="V215" s="63" t="s">
        <v>109</v>
      </c>
      <c r="W215" s="64"/>
      <c r="X215" s="63"/>
    </row>
    <row r="216" spans="2:24">
      <c r="B216" s="58">
        <v>46265</v>
      </c>
      <c r="C216" s="59">
        <v>24089</v>
      </c>
      <c r="D216" s="59">
        <v>18683.85</v>
      </c>
      <c r="E216" s="59">
        <v>2337.55</v>
      </c>
      <c r="F216" s="59">
        <v>2066.09</v>
      </c>
      <c r="G216" s="60">
        <f>IF(OR(E216="",F216="",C216="",D216=""),"",IF(C216+D216=0,"",(E216*C216+F216*D216)/(C216+D216)))</f>
        <v/>
      </c>
      <c r="H216" s="59">
        <v>2046.42</v>
      </c>
      <c r="I216" s="60">
        <f>IF(OR(H216="",E216="",C216="",D216=""),"",IF(C216+D216=0,"",(H216*D216+E216*C216)/(C216+D216)))</f>
        <v/>
      </c>
      <c r="J216" s="59">
        <v>2186.31</v>
      </c>
      <c r="K216" s="61">
        <f>IF(OR(J216="",I216=""),"",J216-I216)</f>
        <v/>
      </c>
      <c r="L216" s="61">
        <f>IF(OR(J216="",G216=""),"",J216-G216)</f>
        <v/>
      </c>
      <c r="M216" s="59">
        <v>2053</v>
      </c>
      <c r="N216" s="59">
        <v>2088.5</v>
      </c>
      <c r="O216" s="59">
        <v>160</v>
      </c>
      <c r="P216" s="59">
        <v>0</v>
      </c>
      <c r="Q216" s="59"/>
      <c r="R216" s="60">
        <f>IF(AND(P216="",Q216=""),"",N(P216)+N(Q216))</f>
        <v/>
      </c>
      <c r="S216" s="59">
        <v>24080</v>
      </c>
      <c r="T216" s="59">
        <v>18962</v>
      </c>
      <c r="U216" s="62">
        <f>IF(OR(R216="",S216="",T216=""),"",IF(S216+T216=0,"",R216/(S216+T216)))</f>
        <v/>
      </c>
      <c r="V216" s="63" t="s">
        <v>109</v>
      </c>
      <c r="W216" s="64"/>
      <c r="X216" s="63"/>
    </row>
    <row r="217" spans="2:24">
      <c r="B217" s="58">
        <v>46266</v>
      </c>
      <c r="C217" s="59">
        <v>28283.62</v>
      </c>
      <c r="D217" s="59">
        <v>22459.85</v>
      </c>
      <c r="E217" s="59">
        <v>2064.53</v>
      </c>
      <c r="F217" s="59">
        <v>1988.58</v>
      </c>
      <c r="G217" s="60">
        <f>IF(OR(E217="",F217="",C217="",D217=""),"",IF(C217+D217=0,"",(E217*C217+F217*D217)/(C217+D217)))</f>
        <v/>
      </c>
      <c r="H217" s="59">
        <v>1938.54</v>
      </c>
      <c r="I217" s="60">
        <f>IF(OR(H217="",E217="",C217="",D217=""),"",IF(C217+D217=0,"",(H217*D217+E217*C217)/(C217+D217)))</f>
        <v/>
      </c>
      <c r="J217" s="59">
        <v>2054</v>
      </c>
      <c r="K217" s="61">
        <f>IF(OR(J217="",I217=""),"",J217-I217)</f>
        <v/>
      </c>
      <c r="L217" s="61">
        <f>IF(OR(J217="",G217=""),"",J217-G217)</f>
        <v/>
      </c>
      <c r="M217" s="59">
        <v>2054</v>
      </c>
      <c r="N217" s="59">
        <v>2025</v>
      </c>
      <c r="O217" s="59">
        <v>160</v>
      </c>
      <c r="P217" s="59">
        <v>0</v>
      </c>
      <c r="Q217" s="59"/>
      <c r="R217" s="60">
        <f>IF(AND(P217="",Q217=""),"",N(P217)+N(Q217))</f>
        <v/>
      </c>
      <c r="S217" s="59">
        <v>31094</v>
      </c>
      <c r="T217" s="59">
        <v>22554</v>
      </c>
      <c r="U217" s="62">
        <f>IF(OR(R217="",S217="",T217=""),"",IF(S217+T217=0,"",R217/(S217+T217)))</f>
        <v/>
      </c>
      <c r="V217" s="63" t="s">
        <v>109</v>
      </c>
      <c r="W217" s="64"/>
      <c r="X217" s="63"/>
    </row>
    <row r="218" spans="2:24">
      <c r="B218" s="58">
        <v>46267</v>
      </c>
      <c r="C218" s="59">
        <v>25884</v>
      </c>
      <c r="D218" s="59">
        <v>20211</v>
      </c>
      <c r="E218" s="59">
        <v>2145</v>
      </c>
      <c r="F218" s="59">
        <v>2103</v>
      </c>
      <c r="G218" s="60">
        <f>IF(OR(E218="",F218="",C218="",D218=""),"",IF(C218+D218=0,"",(E218*C218+F218*D218)/(C218+D218)))</f>
        <v/>
      </c>
      <c r="H218" s="59">
        <v>2025</v>
      </c>
      <c r="I218" s="60">
        <f>IF(OR(H218="",E218="",C218="",D218=""),"",IF(C218+D218=0,"",(H218*D218+E218*C218)/(C218+D218)))</f>
        <v/>
      </c>
      <c r="J218" s="59">
        <v>2164</v>
      </c>
      <c r="K218" s="61">
        <f>IF(OR(J218="",I218=""),"",J218-I218)</f>
        <v/>
      </c>
      <c r="L218" s="61">
        <f>IF(OR(J218="",G218=""),"",J218-G218)</f>
        <v/>
      </c>
      <c r="M218" s="59">
        <v>2155</v>
      </c>
      <c r="N218" s="59">
        <v>1822</v>
      </c>
      <c r="O218" s="59">
        <v>160</v>
      </c>
      <c r="P218" s="59">
        <v>0</v>
      </c>
      <c r="Q218" s="59"/>
      <c r="R218" s="60">
        <f>IF(AND(P218="",Q218=""),"",N(P218)+N(Q218))</f>
        <v/>
      </c>
      <c r="S218" s="59">
        <v>18316</v>
      </c>
      <c r="T218" s="59">
        <v>20016</v>
      </c>
      <c r="U218" s="62">
        <f>IF(OR(R218="",S218="",T218=""),"",IF(S218+T218=0,"",R218/(S218+T218)))</f>
        <v/>
      </c>
      <c r="V218" s="63" t="s">
        <v>109</v>
      </c>
      <c r="W218" s="64"/>
      <c r="X218" s="63"/>
    </row>
    <row r="219" spans="2:24">
      <c r="B219" s="58">
        <v>46269</v>
      </c>
      <c r="C219" s="59">
        <v>13266</v>
      </c>
      <c r="D219" s="59">
        <v>20602</v>
      </c>
      <c r="E219" s="59">
        <v>2321</v>
      </c>
      <c r="F219" s="59">
        <v>2032</v>
      </c>
      <c r="G219" s="60">
        <f>IF(OR(E219="",F219="",C219="",D219=""),"",IF(C219+D219=0,"",(E219*C219+F219*D219)/(C219+D219)))</f>
        <v/>
      </c>
      <c r="H219" s="59">
        <v>2147</v>
      </c>
      <c r="I219" s="60">
        <f>IF(OR(H219="",E219="",C219="",D219=""),"",IF(C219+D219=0,"",(H219*D219+E219*C219)/(C219+D219)))</f>
        <v/>
      </c>
      <c r="J219" s="59">
        <v>2008</v>
      </c>
      <c r="K219" s="61">
        <f>IF(OR(J219="",I219=""),"",J219-I219)</f>
        <v/>
      </c>
      <c r="L219" s="61">
        <f>IF(OR(J219="",G219=""),"",J219-G219)</f>
        <v/>
      </c>
      <c r="M219" s="59">
        <v>2057</v>
      </c>
      <c r="N219" s="59">
        <v>2073</v>
      </c>
      <c r="O219" s="59">
        <v>160</v>
      </c>
      <c r="P219" s="59">
        <v>0</v>
      </c>
      <c r="Q219" s="59"/>
      <c r="R219" s="60">
        <f>IF(AND(P219="",Q219=""),"",N(P219)+N(Q219))</f>
        <v/>
      </c>
      <c r="S219" s="59">
        <v>11848</v>
      </c>
      <c r="T219" s="59">
        <v>14760</v>
      </c>
      <c r="U219" s="62">
        <f>IF(OR(R219="",S219="",T219=""),"",IF(S219+T219=0,"",R219/(S219+T219)))</f>
        <v/>
      </c>
      <c r="V219" s="63" t="s">
        <v>109</v>
      </c>
      <c r="W219" s="64"/>
      <c r="X219" s="63"/>
    </row>
    <row r="220" spans="2:24">
      <c r="B220" s="58">
        <v>46270</v>
      </c>
      <c r="C220" s="59">
        <v>28372</v>
      </c>
      <c r="D220" s="59">
        <v>19728</v>
      </c>
      <c r="E220" s="59">
        <v>2064</v>
      </c>
      <c r="F220" s="59">
        <v>2007</v>
      </c>
      <c r="G220" s="60">
        <f>IF(OR(E220="",F220="",C220="",D220=""),"",IF(C220+D220=0,"",(E220*C220+F220*D220)/(C220+D220)))</f>
        <v/>
      </c>
      <c r="H220" s="59">
        <v>1977</v>
      </c>
      <c r="I220" s="60">
        <f>IF(OR(H220="",E220="",C220="",D220=""),"",IF(C220+D220=0,"",(H220*D220+E220*C220)/(C220+D220)))</f>
        <v/>
      </c>
      <c r="J220" s="59">
        <v>1997</v>
      </c>
      <c r="K220" s="61">
        <f>IF(OR(J220="",I220=""),"",J220-I220)</f>
        <v/>
      </c>
      <c r="L220" s="61">
        <f>IF(OR(J220="",G220=""),"",J220-G220)</f>
        <v/>
      </c>
      <c r="M220" s="59">
        <v>2011</v>
      </c>
      <c r="N220" s="59">
        <v>1946</v>
      </c>
      <c r="O220" s="59">
        <v>160</v>
      </c>
      <c r="P220" s="59">
        <v>0</v>
      </c>
      <c r="Q220" s="59"/>
      <c r="R220" s="60">
        <f>IF(AND(P220="",Q220=""),"",N(P220)+N(Q220))</f>
        <v/>
      </c>
      <c r="S220" s="59">
        <v>20575</v>
      </c>
      <c r="T220" s="59">
        <v>22821</v>
      </c>
      <c r="U220" s="62">
        <f>IF(OR(R220="",S220="",T220=""),"",IF(S220+T220=0,"",R220/(S220+T220)))</f>
        <v/>
      </c>
      <c r="V220" s="63" t="s">
        <v>109</v>
      </c>
      <c r="W220" s="64"/>
      <c r="X220" s="63"/>
    </row>
    <row r="221" spans="2:24">
      <c r="B221" s="58">
        <v>46271</v>
      </c>
      <c r="C221" s="59">
        <v>26636</v>
      </c>
      <c r="D221" s="59">
        <v>21279</v>
      </c>
      <c r="E221" s="59">
        <v>1934</v>
      </c>
      <c r="F221" s="59">
        <v>1959</v>
      </c>
      <c r="G221" s="60">
        <f>IF(OR(E221="",F221="",C221="",D221=""),"",IF(C221+D221=0,"",(E221*C221+F221*D221)/(C221+D221)))</f>
        <v/>
      </c>
      <c r="H221" s="59">
        <v>2026</v>
      </c>
      <c r="I221" s="60">
        <f>IF(OR(H221="",E221="",C221="",D221=""),"",IF(C221+D221=0,"",(H221*D221+E221*C221)/(C221+D221)))</f>
        <v/>
      </c>
      <c r="J221" s="59">
        <v>1971</v>
      </c>
      <c r="K221" s="61">
        <f>IF(OR(J221="",I221=""),"",J221-I221)</f>
        <v/>
      </c>
      <c r="L221" s="61">
        <f>IF(OR(J221="",G221=""),"",J221-G221)</f>
        <v/>
      </c>
      <c r="M221" s="59">
        <v>1818</v>
      </c>
      <c r="N221" s="59">
        <v>2008</v>
      </c>
      <c r="O221" s="59">
        <v>160</v>
      </c>
      <c r="P221" s="59">
        <v>0</v>
      </c>
      <c r="Q221" s="59"/>
      <c r="R221" s="60">
        <f>IF(AND(P221="",Q221=""),"",N(P221)+N(Q221))</f>
        <v/>
      </c>
      <c r="S221" s="59">
        <v>29893</v>
      </c>
      <c r="T221" s="59">
        <v>24010</v>
      </c>
      <c r="U221" s="62">
        <f>IF(OR(R221="",S221="",T221=""),"",IF(S221+T221=0,"",R221/(S221+T221)))</f>
        <v/>
      </c>
      <c r="V221" s="63" t="s">
        <v>109</v>
      </c>
      <c r="W221" s="64"/>
      <c r="X221" s="63"/>
    </row>
    <row r="222" spans="2:24">
      <c r="B222" s="58">
        <v>46272</v>
      </c>
      <c r="C222" s="59">
        <v>25702</v>
      </c>
      <c r="D222" s="59">
        <v>21986</v>
      </c>
      <c r="E222" s="59">
        <v>2090</v>
      </c>
      <c r="F222" s="59">
        <v>1945</v>
      </c>
      <c r="G222" s="60">
        <f>IF(OR(E222="",F222="",C222="",D222=""),"",IF(C222+D222=0,"",(E222*C222+F222*D222)/(C222+D222)))</f>
        <v/>
      </c>
      <c r="H222" s="59">
        <v>1954</v>
      </c>
      <c r="I222" s="60">
        <f>IF(OR(H222="",E222="",C222="",D222=""),"",IF(C222+D222=0,"",(H222*D222+E222*C222)/(C222+D222)))</f>
        <v/>
      </c>
      <c r="J222" s="59">
        <v>1989</v>
      </c>
      <c r="K222" s="61">
        <f>IF(OR(J222="",I222=""),"",J222-I222)</f>
        <v/>
      </c>
      <c r="L222" s="61">
        <f>IF(OR(J222="",G222=""),"",J222-G222)</f>
        <v/>
      </c>
      <c r="M222" s="59">
        <v>2011</v>
      </c>
      <c r="N222" s="59">
        <v>2054</v>
      </c>
      <c r="O222" s="59">
        <v>160</v>
      </c>
      <c r="P222" s="59">
        <v>0</v>
      </c>
      <c r="Q222" s="59"/>
      <c r="R222" s="60">
        <f>IF(AND(P222="",Q222=""),"",N(P222)+N(Q222))</f>
        <v/>
      </c>
      <c r="S222" s="59">
        <v>29817</v>
      </c>
      <c r="T222" s="59">
        <v>23015</v>
      </c>
      <c r="U222" s="62">
        <f>IF(OR(R222="",S222="",T222=""),"",IF(S222+T222=0,"",R222/(S222+T222)))</f>
        <v/>
      </c>
      <c r="V222" s="63" t="s">
        <v>109</v>
      </c>
      <c r="W222" s="64"/>
      <c r="X222" s="63"/>
    </row>
    <row r="223" spans="2:24">
      <c r="B223" s="58">
        <v>46273</v>
      </c>
      <c r="C223" s="59">
        <v>25794</v>
      </c>
      <c r="D223" s="59">
        <v>21712</v>
      </c>
      <c r="E223" s="59">
        <v>1981</v>
      </c>
      <c r="F223" s="59">
        <v>1927</v>
      </c>
      <c r="G223" s="60">
        <f>IF(OR(E223="",F223="",C223="",D223=""),"",IF(C223+D223=0,"",(E223*C223+F223*D223)/(C223+D223)))</f>
        <v/>
      </c>
      <c r="H223" s="59">
        <v>1901</v>
      </c>
      <c r="I223" s="60">
        <f>IF(OR(H223="",E223="",C223="",D223=""),"",IF(C223+D223=0,"",(H223*D223+E223*C223)/(C223+D223)))</f>
        <v/>
      </c>
      <c r="J223" s="59">
        <v>1928</v>
      </c>
      <c r="K223" s="61">
        <f>IF(OR(J223="",I223=""),"",J223-I223)</f>
        <v/>
      </c>
      <c r="L223" s="61">
        <f>IF(OR(J223="",G223=""),"",J223-G223)</f>
        <v/>
      </c>
      <c r="M223" s="59">
        <v>1761</v>
      </c>
      <c r="N223" s="59">
        <v>1944</v>
      </c>
      <c r="O223" s="59">
        <v>160</v>
      </c>
      <c r="P223" s="59">
        <v>158</v>
      </c>
      <c r="Q223" s="59">
        <v>116</v>
      </c>
      <c r="R223" s="60">
        <f>IF(AND(P223="",Q223=""),"",N(P223)+N(Q223))</f>
        <v/>
      </c>
      <c r="S223" s="59">
        <v>27916</v>
      </c>
      <c r="T223" s="59">
        <v>20908</v>
      </c>
      <c r="U223" s="62">
        <f>IF(OR(R223="",S223="",T223=""),"",IF(S223+T223=0,"",R223/(S223+T223)))</f>
        <v/>
      </c>
      <c r="V223" s="63" t="s">
        <v>109</v>
      </c>
      <c r="W223" s="64"/>
      <c r="X223" s="63"/>
    </row>
    <row r="224" spans="2:24">
      <c r="B224" s="58">
        <v>46274</v>
      </c>
      <c r="C224" s="59">
        <v>27927</v>
      </c>
      <c r="D224" s="59">
        <v>18504</v>
      </c>
      <c r="E224" s="59">
        <v>1917</v>
      </c>
      <c r="F224" s="59">
        <v>2026</v>
      </c>
      <c r="G224" s="60">
        <f>IF(OR(E224="",F224="",C224="",D224=""),"",IF(C224+D224=0,"",(E224*C224+F224*D224)/(C224+D224)))</f>
        <v/>
      </c>
      <c r="H224" s="59">
        <v>1942</v>
      </c>
      <c r="I224" s="60">
        <f>IF(OR(H224="",E224="",C224="",D224=""),"",IF(C224+D224=0,"",(H224*D224+E224*C224)/(C224+D224)))</f>
        <v/>
      </c>
      <c r="J224" s="59">
        <v>2133</v>
      </c>
      <c r="K224" s="61">
        <f>IF(OR(J224="",I224=""),"",J224-I224)</f>
        <v/>
      </c>
      <c r="L224" s="61">
        <f>IF(OR(J224="",G224=""),"",J224-G224)</f>
        <v/>
      </c>
      <c r="M224" s="59">
        <v>2086</v>
      </c>
      <c r="N224" s="59">
        <v>2088</v>
      </c>
      <c r="O224" s="59">
        <v>160</v>
      </c>
      <c r="P224" s="59">
        <v>1177</v>
      </c>
      <c r="Q224" s="59">
        <v>280</v>
      </c>
      <c r="R224" s="60">
        <f>IF(AND(P224="",Q224=""),"",N(P224)+N(Q224))</f>
        <v/>
      </c>
      <c r="S224" s="59">
        <v>29090</v>
      </c>
      <c r="T224" s="59">
        <v>17433</v>
      </c>
      <c r="U224" s="62">
        <f>IF(OR(R224="",S224="",T224=""),"",IF(S224+T224=0,"",R224/(S224+T224)))</f>
        <v/>
      </c>
      <c r="V224" s="63" t="s">
        <v>109</v>
      </c>
      <c r="W224" s="64"/>
      <c r="X224" s="63"/>
    </row>
    <row r="225" spans="2:24">
      <c r="B225" s="58">
        <v>46275</v>
      </c>
      <c r="C225" s="59">
        <v>30054</v>
      </c>
      <c r="D225" s="59">
        <v>14259</v>
      </c>
      <c r="E225" s="59">
        <v>1998</v>
      </c>
      <c r="F225" s="59">
        <v>1886</v>
      </c>
      <c r="G225" s="60">
        <f>IF(OR(E225="",F225="",C225="",D225=""),"",IF(C225+D225=0,"",(E225*C225+F225*D225)/(C225+D225)))</f>
        <v/>
      </c>
      <c r="H225" s="59">
        <v>2043</v>
      </c>
      <c r="I225" s="60">
        <f>IF(OR(H225="",E225="",C225="",D225=""),"",IF(C225+D225=0,"",(H225*D225+E225*C225)/(C225+D225)))</f>
        <v/>
      </c>
      <c r="J225" s="59">
        <v>2141</v>
      </c>
      <c r="K225" s="61">
        <f>IF(OR(J225="",I225=""),"",J225-I225)</f>
        <v/>
      </c>
      <c r="L225" s="61">
        <f>IF(OR(J225="",G225=""),"",J225-G225)</f>
        <v/>
      </c>
      <c r="M225" s="59">
        <v>2079</v>
      </c>
      <c r="N225" s="59">
        <v>2048</v>
      </c>
      <c r="O225" s="59">
        <v>160</v>
      </c>
      <c r="P225" s="59">
        <v>615</v>
      </c>
      <c r="Q225" s="59"/>
      <c r="R225" s="60">
        <f>IF(AND(P225="",Q225=""),"",N(P225)+N(Q225))</f>
        <v/>
      </c>
      <c r="S225" s="59">
        <v>28985</v>
      </c>
      <c r="T225" s="59">
        <v>19574</v>
      </c>
      <c r="U225" s="62">
        <f>IF(OR(R225="",S225="",T225=""),"",IF(S225+T225=0,"",R225/(S225+T225)))</f>
        <v/>
      </c>
      <c r="V225" s="63" t="s">
        <v>109</v>
      </c>
      <c r="W225" s="64"/>
      <c r="X225" s="63"/>
    </row>
    <row r="226" spans="2:24">
      <c r="B226" s="58">
        <v>46276</v>
      </c>
      <c r="C226" s="59">
        <v>27470</v>
      </c>
      <c r="D226" s="59">
        <v>20508</v>
      </c>
      <c r="E226" s="59">
        <v>2199</v>
      </c>
      <c r="F226" s="59">
        <v>2063</v>
      </c>
      <c r="G226" s="60">
        <f>IF(OR(E226="",F226="",C226="",D226=""),"",IF(C226+D226=0,"",(E226*C226+F226*D226)/(C226+D226)))</f>
        <v/>
      </c>
      <c r="H226" s="59">
        <v>2056</v>
      </c>
      <c r="I226" s="60">
        <f>IF(OR(H226="",E226="",C226="",D226=""),"",IF(C226+D226=0,"",(H226*D226+E226*C226)/(C226+D226)))</f>
        <v/>
      </c>
      <c r="J226" s="59">
        <v>2159</v>
      </c>
      <c r="K226" s="61">
        <f>IF(OR(J226="",I226=""),"",J226-I226)</f>
        <v/>
      </c>
      <c r="L226" s="61">
        <f>IF(OR(J226="",G226=""),"",J226-G226)</f>
        <v/>
      </c>
      <c r="M226" s="59">
        <v>1981</v>
      </c>
      <c r="N226" s="59">
        <v>2197</v>
      </c>
      <c r="O226" s="59">
        <v>160</v>
      </c>
      <c r="P226" s="59">
        <v>260</v>
      </c>
      <c r="Q226" s="59"/>
      <c r="R226" s="60">
        <f>IF(AND(P226="",Q226=""),"",N(P226)+N(Q226))</f>
        <v/>
      </c>
      <c r="S226" s="59">
        <v>27353</v>
      </c>
      <c r="T226" s="59">
        <v>23657</v>
      </c>
      <c r="U226" s="62">
        <f>IF(OR(R226="",S226="",T226=""),"",IF(S226+T226=0,"",R226/(S226+T226)))</f>
        <v/>
      </c>
      <c r="V226" s="63" t="s">
        <v>109</v>
      </c>
      <c r="W226" s="64"/>
      <c r="X226" s="63"/>
    </row>
    <row r="227" spans="2:24">
      <c r="B227" s="58">
        <v>46277</v>
      </c>
      <c r="C227" s="59">
        <v>28820</v>
      </c>
      <c r="D227" s="59">
        <v>23429</v>
      </c>
      <c r="E227" s="59">
        <v>2006</v>
      </c>
      <c r="F227" s="59">
        <v>2017</v>
      </c>
      <c r="G227" s="60">
        <f>IF(OR(E227="",F227="",C227="",D227=""),"",IF(C227+D227=0,"",(E227*C227+F227*D227)/(C227+D227)))</f>
        <v/>
      </c>
      <c r="H227" s="59">
        <v>2078</v>
      </c>
      <c r="I227" s="60">
        <f>IF(OR(H227="",E227="",C227="",D227=""),"",IF(C227+D227=0,"",(H227*D227+E227*C227)/(C227+D227)))</f>
        <v/>
      </c>
      <c r="J227" s="59">
        <v>2154</v>
      </c>
      <c r="K227" s="61">
        <f>IF(OR(J227="",I227=""),"",J227-I227)</f>
        <v/>
      </c>
      <c r="L227" s="61">
        <f>IF(OR(J227="",G227=""),"",J227-G227)</f>
        <v/>
      </c>
      <c r="M227" s="59">
        <v>1817</v>
      </c>
      <c r="N227" s="59">
        <v>2038</v>
      </c>
      <c r="O227" s="59">
        <v>160</v>
      </c>
      <c r="P227" s="59">
        <v>694</v>
      </c>
      <c r="Q227" s="59">
        <v>389</v>
      </c>
      <c r="R227" s="60">
        <f>IF(AND(P227="",Q227=""),"",N(P227)+N(Q227))</f>
        <v/>
      </c>
      <c r="S227" s="59">
        <v>28713</v>
      </c>
      <c r="T227" s="59">
        <v>23103</v>
      </c>
      <c r="U227" s="62">
        <f>IF(OR(R227="",S227="",T227=""),"",IF(S227+T227=0,"",R227/(S227+T227)))</f>
        <v/>
      </c>
      <c r="V227" s="63" t="s">
        <v>109</v>
      </c>
      <c r="W227" s="64"/>
      <c r="X227" s="63"/>
    </row>
    <row r="228" spans="2:24">
      <c r="B228" s="58">
        <v>46278</v>
      </c>
      <c r="C228" s="59">
        <v>27981</v>
      </c>
      <c r="D228" s="59">
        <v>19236</v>
      </c>
      <c r="E228" s="59">
        <v>2150</v>
      </c>
      <c r="F228" s="59">
        <v>2091</v>
      </c>
      <c r="G228" s="60">
        <f>IF(OR(E228="",F228="",C228="",D228=""),"",IF(C228+D228=0,"",(E228*C228+F228*D228)/(C228+D228)))</f>
        <v/>
      </c>
      <c r="H228" s="59">
        <v>2108</v>
      </c>
      <c r="I228" s="60">
        <f>IF(OR(H228="",E228="",C228="",D228=""),"",IF(C228+D228=0,"",(H228*D228+E228*C228)/(C228+D228)))</f>
        <v/>
      </c>
      <c r="J228" s="59">
        <v>2220</v>
      </c>
      <c r="K228" s="61">
        <f>IF(OR(J228="",I228=""),"",J228-I228)</f>
        <v/>
      </c>
      <c r="L228" s="61">
        <f>IF(OR(J228="",G228=""),"",J228-G228)</f>
        <v/>
      </c>
      <c r="M228" s="59">
        <v>2092</v>
      </c>
      <c r="N228" s="59">
        <v>2284</v>
      </c>
      <c r="O228" s="59">
        <v>160</v>
      </c>
      <c r="P228" s="59">
        <v>384</v>
      </c>
      <c r="Q228" s="59"/>
      <c r="R228" s="60">
        <f>IF(AND(P228="",Q228=""),"",N(P228)+N(Q228))</f>
        <v/>
      </c>
      <c r="S228" s="59">
        <v>29286</v>
      </c>
      <c r="T228" s="59">
        <v>23612</v>
      </c>
      <c r="U228" s="62">
        <f>IF(OR(R228="",S228="",T228=""),"",IF(S228+T228=0,"",R228/(S228+T228)))</f>
        <v/>
      </c>
      <c r="V228" s="63" t="s">
        <v>109</v>
      </c>
      <c r="W228" s="64"/>
      <c r="X228" s="63"/>
    </row>
    <row r="229" spans="2:24">
      <c r="B229" s="58">
        <v>46279</v>
      </c>
      <c r="C229" s="59">
        <v>28894</v>
      </c>
      <c r="D229" s="59">
        <v>23745</v>
      </c>
      <c r="E229" s="59">
        <v>1979</v>
      </c>
      <c r="F229" s="59">
        <v>2038</v>
      </c>
      <c r="G229" s="60">
        <f>IF(OR(E229="",F229="",C229="",D229=""),"",IF(C229+D229=0,"",(E229*C229+F229*D229)/(C229+D229)))</f>
        <v/>
      </c>
      <c r="H229" s="59">
        <v>2013</v>
      </c>
      <c r="I229" s="60">
        <f>IF(OR(H229="",E229="",C229="",D229=""),"",IF(C229+D229=0,"",(H229*D229+E229*C229)/(C229+D229)))</f>
        <v/>
      </c>
      <c r="J229" s="59">
        <v>2060</v>
      </c>
      <c r="K229" s="61">
        <f>IF(OR(J229="",I229=""),"",J229-I229)</f>
        <v/>
      </c>
      <c r="L229" s="61">
        <f>IF(OR(J229="",G229=""),"",J229-G229)</f>
        <v/>
      </c>
      <c r="M229" s="59">
        <v>1997</v>
      </c>
      <c r="N229" s="59">
        <v>2078</v>
      </c>
      <c r="O229" s="59">
        <v>160</v>
      </c>
      <c r="P229" s="59">
        <v>569</v>
      </c>
      <c r="Q229" s="59"/>
      <c r="R229" s="60">
        <f>IF(AND(P229="",Q229=""),"",N(P229)+N(Q229))</f>
        <v/>
      </c>
      <c r="S229" s="59">
        <v>29659</v>
      </c>
      <c r="T229" s="59">
        <v>23341</v>
      </c>
      <c r="U229" s="62">
        <f>IF(OR(R229="",S229="",T229=""),"",IF(S229+T229=0,"",R229/(S229+T229)))</f>
        <v/>
      </c>
      <c r="V229" s="63" t="s">
        <v>109</v>
      </c>
      <c r="W229" s="64"/>
      <c r="X229" s="63"/>
    </row>
    <row r="230" spans="2:24">
      <c r="B230" s="58">
        <v>46280</v>
      </c>
      <c r="C230" s="59">
        <v>24940</v>
      </c>
      <c r="D230" s="59">
        <v>22050</v>
      </c>
      <c r="E230" s="59">
        <v>2119</v>
      </c>
      <c r="F230" s="59">
        <v>2053</v>
      </c>
      <c r="G230" s="60">
        <f>IF(OR(E230="",F230="",C230="",D230=""),"",IF(C230+D230=0,"",(E230*C230+F230*D230)/(C230+D230)))</f>
        <v/>
      </c>
      <c r="H230" s="59">
        <v>2068</v>
      </c>
      <c r="I230" s="60">
        <f>IF(OR(H230="",E230="",C230="",D230=""),"",IF(C230+D230=0,"",(H230*D230+E230*C230)/(C230+D230)))</f>
        <v/>
      </c>
      <c r="J230" s="59">
        <v>2052</v>
      </c>
      <c r="K230" s="61">
        <f>IF(OR(J230="",I230=""),"",J230-I230)</f>
        <v/>
      </c>
      <c r="L230" s="61">
        <f>IF(OR(J230="",G230=""),"",J230-G230)</f>
        <v/>
      </c>
      <c r="M230" s="59">
        <v>2022</v>
      </c>
      <c r="N230" s="59">
        <v>2186</v>
      </c>
      <c r="O230" s="59">
        <v>160</v>
      </c>
      <c r="P230" s="59">
        <v>164</v>
      </c>
      <c r="Q230" s="59"/>
      <c r="R230" s="60">
        <f>IF(AND(P230="",Q230=""),"",N(P230)+N(Q230))</f>
        <v/>
      </c>
      <c r="S230" s="59">
        <v>28310</v>
      </c>
      <c r="T230" s="59">
        <v>21917</v>
      </c>
      <c r="U230" s="62">
        <f>IF(OR(R230="",S230="",T230=""),"",IF(S230+T230=0,"",R230/(S230+T230)))</f>
        <v/>
      </c>
      <c r="V230" s="63" t="s">
        <v>109</v>
      </c>
      <c r="W230" s="64"/>
      <c r="X230" s="63"/>
    </row>
    <row r="231" spans="2:24">
      <c r="B231" s="58">
        <v>46281</v>
      </c>
      <c r="C231" s="59">
        <v>19648</v>
      </c>
      <c r="D231" s="59">
        <v>24480</v>
      </c>
      <c r="E231" s="59">
        <v>1948</v>
      </c>
      <c r="F231" s="59">
        <v>1893</v>
      </c>
      <c r="G231" s="60">
        <f>IF(OR(E231="",F231="",C231="",D231=""),"",IF(C231+D231=0,"",(E231*C231+F231*D231)/(C231+D231)))</f>
        <v/>
      </c>
      <c r="H231" s="59">
        <v>1949</v>
      </c>
      <c r="I231" s="60">
        <f>IF(OR(H231="",E231="",C231="",D231=""),"",IF(C231+D231=0,"",(H231*D231+E231*C231)/(C231+D231)))</f>
        <v/>
      </c>
      <c r="J231" s="59">
        <v>1993</v>
      </c>
      <c r="K231" s="61">
        <f>IF(OR(J231="",I231=""),"",J231-I231)</f>
        <v/>
      </c>
      <c r="L231" s="61">
        <f>IF(OR(J231="",G231=""),"",J231-G231)</f>
        <v/>
      </c>
      <c r="M231" s="59">
        <v>2088</v>
      </c>
      <c r="N231" s="59">
        <v>1993</v>
      </c>
      <c r="O231" s="59">
        <v>160</v>
      </c>
      <c r="P231" s="59">
        <v>0</v>
      </c>
      <c r="Q231" s="59"/>
      <c r="R231" s="60">
        <f>IF(AND(P231="",Q231=""),"",N(P231)+N(Q231))</f>
        <v/>
      </c>
      <c r="S231" s="59">
        <v>15245</v>
      </c>
      <c r="T231" s="59">
        <v>23805</v>
      </c>
      <c r="U231" s="62">
        <f>IF(OR(R231="",S231="",T231=""),"",IF(S231+T231=0,"",R231/(S231+T231)))</f>
        <v/>
      </c>
      <c r="V231" s="63" t="s">
        <v>109</v>
      </c>
      <c r="W231" s="64"/>
      <c r="X231" s="63"/>
    </row>
    <row r="232" spans="2:24">
      <c r="B232" s="58">
        <v>46282</v>
      </c>
      <c r="C232" s="59">
        <v>21507</v>
      </c>
      <c r="D232" s="59">
        <v>23418</v>
      </c>
      <c r="E232" s="59">
        <v>2049</v>
      </c>
      <c r="F232" s="59">
        <v>1960</v>
      </c>
      <c r="G232" s="60">
        <f>IF(OR(E232="",F232="",C232="",D232=""),"",IF(C232+D232=0,"",(E232*C232+F232*D232)/(C232+D232)))</f>
        <v/>
      </c>
      <c r="H232" s="59">
        <v>1927</v>
      </c>
      <c r="I232" s="60">
        <f>IF(OR(H232="",E232="",C232="",D232=""),"",IF(C232+D232=0,"",(H232*D232+E232*C232)/(C232+D232)))</f>
        <v/>
      </c>
      <c r="J232" s="59">
        <v>2022</v>
      </c>
      <c r="K232" s="61">
        <f>IF(OR(J232="",I232=""),"",J232-I232)</f>
        <v/>
      </c>
      <c r="L232" s="61">
        <f>IF(OR(J232="",G232=""),"",J232-G232)</f>
        <v/>
      </c>
      <c r="M232" s="59">
        <v>1925</v>
      </c>
      <c r="N232" s="59">
        <v>1996</v>
      </c>
      <c r="O232" s="59">
        <v>160</v>
      </c>
      <c r="P232" s="59">
        <v>0</v>
      </c>
      <c r="Q232" s="59"/>
      <c r="R232" s="60">
        <f>IF(AND(P232="",Q232=""),"",N(P232)+N(Q232))</f>
        <v/>
      </c>
      <c r="S232" s="59">
        <v>15245</v>
      </c>
      <c r="T232" s="59">
        <v>23805</v>
      </c>
      <c r="U232" s="62">
        <f>IF(OR(R232="",S232="",T232=""),"",IF(S232+T232=0,"",R232/(S232+T232)))</f>
        <v/>
      </c>
      <c r="V232" s="63" t="s">
        <v>109</v>
      </c>
      <c r="W232" s="64"/>
      <c r="X232" s="63"/>
    </row>
    <row r="233" spans="2:24">
      <c r="B233" s="58">
        <v>46283</v>
      </c>
      <c r="C233" s="59">
        <v>23239</v>
      </c>
      <c r="D233" s="59">
        <v>16564</v>
      </c>
      <c r="E233" s="59">
        <v>2017</v>
      </c>
      <c r="F233" s="59">
        <v>1932</v>
      </c>
      <c r="G233" s="60">
        <f>IF(OR(E233="",F233="",C233="",D233=""),"",IF(C233+D233=0,"",(E233*C233+F233*D233)/(C233+D233)))</f>
        <v/>
      </c>
      <c r="H233" s="59">
        <v>1910</v>
      </c>
      <c r="I233" s="60">
        <f>IF(OR(H233="",E233="",C233="",D233=""),"",IF(C233+D233=0,"",(H233*D233+E233*C233)/(C233+D233)))</f>
        <v/>
      </c>
      <c r="J233" s="59">
        <v>1961</v>
      </c>
      <c r="K233" s="61">
        <f>IF(OR(J233="",I233=""),"",J233-I233)</f>
        <v/>
      </c>
      <c r="L233" s="61">
        <f>IF(OR(J233="",G233=""),"",J233-G233)</f>
        <v/>
      </c>
      <c r="M233" s="59">
        <v>1983</v>
      </c>
      <c r="N233" s="59">
        <v>1919</v>
      </c>
      <c r="O233" s="59">
        <v>160</v>
      </c>
      <c r="P233" s="59">
        <v>257</v>
      </c>
      <c r="Q233" s="59"/>
      <c r="R233" s="60">
        <f>IF(AND(P233="",Q233=""),"",N(P233)+N(Q233))</f>
        <v/>
      </c>
      <c r="S233" s="59">
        <v>27520</v>
      </c>
      <c r="T233" s="59">
        <v>21738</v>
      </c>
      <c r="U233" s="62">
        <f>IF(OR(R233="",S233="",T233=""),"",IF(S233+T233=0,"",R233/(S233+T233)))</f>
        <v/>
      </c>
      <c r="V233" s="63" t="s">
        <v>109</v>
      </c>
      <c r="W233" s="64"/>
      <c r="X233" s="63"/>
    </row>
    <row r="234" spans="2:24">
      <c r="B234" s="58">
        <v>46284</v>
      </c>
      <c r="C234" s="59">
        <v>31295</v>
      </c>
      <c r="D234" s="59">
        <v>20840</v>
      </c>
      <c r="E234" s="59">
        <v>1877</v>
      </c>
      <c r="F234" s="59">
        <v>1849</v>
      </c>
      <c r="G234" s="60">
        <f>IF(OR(E234="",F234="",C234="",D234=""),"",IF(C234+D234=0,"",(E234*C234+F234*D234)/(C234+D234)))</f>
        <v/>
      </c>
      <c r="H234" s="59">
        <v>1791</v>
      </c>
      <c r="I234" s="60">
        <f>IF(OR(H234="",E234="",C234="",D234=""),"",IF(C234+D234=0,"",(H234*D234+E234*C234)/(C234+D234)))</f>
        <v/>
      </c>
      <c r="J234" s="59">
        <v>1897</v>
      </c>
      <c r="K234" s="61">
        <f>IF(OR(J234="",I234=""),"",J234-I234)</f>
        <v/>
      </c>
      <c r="L234" s="61">
        <f>IF(OR(J234="",G234=""),"",J234-G234)</f>
        <v/>
      </c>
      <c r="M234" s="59">
        <v>1903</v>
      </c>
      <c r="N234" s="59">
        <v>1940</v>
      </c>
      <c r="O234" s="59">
        <v>160</v>
      </c>
      <c r="P234" s="59">
        <v>495</v>
      </c>
      <c r="Q234" s="59"/>
      <c r="R234" s="60">
        <f>IF(AND(P234="",Q234=""),"",N(P234)+N(Q234))</f>
        <v/>
      </c>
      <c r="S234" s="59">
        <v>29121</v>
      </c>
      <c r="T234" s="59">
        <v>24010</v>
      </c>
      <c r="U234" s="62">
        <f>IF(OR(R234="",S234="",T234=""),"",IF(S234+T234=0,"",R234/(S234+T234)))</f>
        <v/>
      </c>
      <c r="V234" s="63" t="s">
        <v>109</v>
      </c>
      <c r="W234" s="64"/>
      <c r="X234" s="63"/>
    </row>
    <row r="235" spans="2:24">
      <c r="B235" s="58">
        <v>46285</v>
      </c>
      <c r="C235" s="59">
        <v>29162</v>
      </c>
      <c r="D235" s="59">
        <v>19892</v>
      </c>
      <c r="E235" s="59">
        <v>1990</v>
      </c>
      <c r="F235" s="59">
        <v>1872</v>
      </c>
      <c r="G235" s="60">
        <f>IF(OR(E235="",F235="",C235="",D235=""),"",IF(C235+D235=0,"",(E235*C235+F235*D235)/(C235+D235)))</f>
        <v/>
      </c>
      <c r="H235" s="59">
        <v>1871</v>
      </c>
      <c r="I235" s="60">
        <f>IF(OR(H235="",E235="",C235="",D235=""),"",IF(C235+D235=0,"",(H235*D235+E235*C235)/(C235+D235)))</f>
        <v/>
      </c>
      <c r="J235" s="59">
        <v>1893</v>
      </c>
      <c r="K235" s="61">
        <f>IF(OR(J235="",I235=""),"",J235-I235)</f>
        <v/>
      </c>
      <c r="L235" s="61">
        <f>IF(OR(J235="",G235=""),"",J235-G235)</f>
        <v/>
      </c>
      <c r="M235" s="59">
        <v>1965</v>
      </c>
      <c r="N235" s="59">
        <v>2236</v>
      </c>
      <c r="O235" s="59">
        <v>160</v>
      </c>
      <c r="P235" s="59">
        <v>215</v>
      </c>
      <c r="Q235" s="59"/>
      <c r="R235" s="60">
        <f>IF(AND(P235="",Q235=""),"",N(P235)+N(Q235))</f>
        <v/>
      </c>
      <c r="S235" s="59">
        <v>29938</v>
      </c>
      <c r="T235" s="59">
        <v>22100</v>
      </c>
      <c r="U235" s="62">
        <f>IF(OR(R235="",S235="",T235=""),"",IF(S235+T235=0,"",R235/(S235+T235)))</f>
        <v/>
      </c>
      <c r="V235" s="63" t="s">
        <v>109</v>
      </c>
      <c r="W235" s="64"/>
      <c r="X235" s="63"/>
    </row>
    <row r="236" spans="2:24">
      <c r="B236" s="58">
        <v>46286</v>
      </c>
      <c r="C236" s="59">
        <v>26958</v>
      </c>
      <c r="D236" s="59">
        <v>19570</v>
      </c>
      <c r="E236" s="59">
        <v>2077</v>
      </c>
      <c r="F236" s="59">
        <v>1890</v>
      </c>
      <c r="G236" s="60">
        <f>IF(OR(E236="",F236="",C236="",D236=""),"",IF(C236+D236=0,"",(E236*C236+F236*D236)/(C236+D236)))</f>
        <v/>
      </c>
      <c r="H236" s="59">
        <v>1869</v>
      </c>
      <c r="I236" s="60">
        <f>IF(OR(H236="",E236="",C236="",D236=""),"",IF(C236+D236=0,"",(H236*D236+E236*C236)/(C236+D236)))</f>
        <v/>
      </c>
      <c r="J236" s="59">
        <v>2060</v>
      </c>
      <c r="K236" s="61">
        <f>IF(OR(J236="",I236=""),"",J236-I236)</f>
        <v/>
      </c>
      <c r="L236" s="61">
        <f>IF(OR(J236="",G236=""),"",J236-G236)</f>
        <v/>
      </c>
      <c r="M236" s="59">
        <v>1909</v>
      </c>
      <c r="N236" s="59">
        <v>1984</v>
      </c>
      <c r="O236" s="59">
        <v>160</v>
      </c>
      <c r="P236" s="59">
        <v>153</v>
      </c>
      <c r="Q236" s="59"/>
      <c r="R236" s="60">
        <f>IF(AND(P236="",Q236=""),"",N(P236)+N(Q236))</f>
        <v/>
      </c>
      <c r="S236" s="59">
        <v>26132</v>
      </c>
      <c r="T236" s="59">
        <v>21024</v>
      </c>
      <c r="U236" s="62">
        <f>IF(OR(R236="",S236="",T236=""),"",IF(S236+T236=0,"",R236/(S236+T236)))</f>
        <v/>
      </c>
      <c r="V236" s="63" t="s">
        <v>109</v>
      </c>
      <c r="W236" s="64"/>
      <c r="X236" s="63"/>
    </row>
    <row r="237" spans="2:24">
      <c r="B237" s="58">
        <v>46287</v>
      </c>
      <c r="C237" s="59">
        <v>25910</v>
      </c>
      <c r="D237" s="59">
        <v>17939</v>
      </c>
      <c r="E237" s="59">
        <v>2032</v>
      </c>
      <c r="F237" s="59">
        <v>2116</v>
      </c>
      <c r="G237" s="60">
        <f>IF(OR(E237="",F237="",C237="",D237=""),"",IF(C237+D237=0,"",(E237*C237+F237*D237)/(C237+D237)))</f>
        <v/>
      </c>
      <c r="H237" s="59">
        <v>2023</v>
      </c>
      <c r="I237" s="60">
        <f>IF(OR(H237="",E237="",C237="",D237=""),"",IF(C237+D237=0,"",(H237*D237+E237*C237)/(C237+D237)))</f>
        <v/>
      </c>
      <c r="J237" s="59">
        <v>2006</v>
      </c>
      <c r="K237" s="61">
        <f>IF(OR(J237="",I237=""),"",J237-I237)</f>
        <v/>
      </c>
      <c r="L237" s="61">
        <f>IF(OR(J237="",G237=""),"",J237-G237)</f>
        <v/>
      </c>
      <c r="M237" s="59">
        <v>1983</v>
      </c>
      <c r="N237" s="59">
        <v>2027</v>
      </c>
      <c r="O237" s="59">
        <v>160</v>
      </c>
      <c r="P237" s="59">
        <v>0</v>
      </c>
      <c r="Q237" s="59"/>
      <c r="R237" s="60">
        <f>IF(AND(P237="",Q237=""),"",N(P237)+N(Q237))</f>
        <v/>
      </c>
      <c r="S237" s="59">
        <v>26638</v>
      </c>
      <c r="T237" s="59">
        <v>17475</v>
      </c>
      <c r="U237" s="62">
        <f>IF(OR(R237="",S237="",T237=""),"",IF(S237+T237=0,"",R237/(S237+T237)))</f>
        <v/>
      </c>
      <c r="V237" s="63" t="s">
        <v>109</v>
      </c>
      <c r="W237" s="64"/>
      <c r="X237" s="63"/>
    </row>
    <row r="238" spans="2:24">
      <c r="B238" s="58">
        <v>46288</v>
      </c>
      <c r="C238" s="59">
        <v>25434</v>
      </c>
      <c r="D238" s="59">
        <v>21214</v>
      </c>
      <c r="E238" s="59">
        <v>1951</v>
      </c>
      <c r="F238" s="59">
        <v>2019</v>
      </c>
      <c r="G238" s="60">
        <f>IF(OR(E238="",F238="",C238="",D238=""),"",IF(C238+D238=0,"",(E238*C238+F238*D238)/(C238+D238)))</f>
        <v/>
      </c>
      <c r="H238" s="59">
        <v>1977</v>
      </c>
      <c r="I238" s="60">
        <f>IF(OR(H238="",E238="",C238="",D238=""),"",IF(C238+D238=0,"",(H238*D238+E238*C238)/(C238+D238)))</f>
        <v/>
      </c>
      <c r="J238" s="59">
        <v>1983</v>
      </c>
      <c r="K238" s="61">
        <f>IF(OR(J238="",I238=""),"",J238-I238)</f>
        <v/>
      </c>
      <c r="L238" s="61">
        <f>IF(OR(J238="",G238=""),"",J238-G238)</f>
        <v/>
      </c>
      <c r="M238" s="59">
        <v>1953</v>
      </c>
      <c r="N238" s="59">
        <v>2057</v>
      </c>
      <c r="O238" s="59">
        <v>160</v>
      </c>
      <c r="P238" s="59">
        <v>0</v>
      </c>
      <c r="Q238" s="59"/>
      <c r="R238" s="60">
        <f>IF(AND(P238="",Q238=""),"",N(P238)+N(Q238))</f>
        <v/>
      </c>
      <c r="S238" s="59">
        <v>28618</v>
      </c>
      <c r="T238" s="59">
        <v>22818</v>
      </c>
      <c r="U238" s="62">
        <f>IF(OR(R238="",S238="",T238=""),"",IF(S238+T238=0,"",R238/(S238+T238)))</f>
        <v/>
      </c>
      <c r="V238" s="63" t="s">
        <v>109</v>
      </c>
      <c r="W238" s="64"/>
      <c r="X238" s="63"/>
    </row>
    <row r="239" spans="2:24">
      <c r="B239" s="58">
        <v>46289</v>
      </c>
      <c r="C239" s="59">
        <v>24384</v>
      </c>
      <c r="D239" s="59">
        <v>18038</v>
      </c>
      <c r="E239" s="59">
        <v>2109</v>
      </c>
      <c r="F239" s="59">
        <v>2174</v>
      </c>
      <c r="G239" s="60">
        <f>IF(OR(E239="",F239="",C239="",D239=""),"",IF(C239+D239=0,"",(E239*C239+F239*D239)/(C239+D239)))</f>
        <v/>
      </c>
      <c r="H239" s="59">
        <v>2110</v>
      </c>
      <c r="I239" s="60">
        <f>IF(OR(H239="",E239="",C239="",D239=""),"",IF(C239+D239=0,"",(H239*D239+E239*C239)/(C239+D239)))</f>
        <v/>
      </c>
      <c r="J239" s="59">
        <v>2129</v>
      </c>
      <c r="K239" s="61">
        <f>IF(OR(J239="",I239=""),"",J239-I239)</f>
        <v/>
      </c>
      <c r="L239" s="61">
        <f>IF(OR(J239="",G239=""),"",J239-G239)</f>
        <v/>
      </c>
      <c r="M239" s="59">
        <v>2006</v>
      </c>
      <c r="N239" s="59">
        <v>2031</v>
      </c>
      <c r="O239" s="59">
        <v>160</v>
      </c>
      <c r="P239" s="59">
        <v>0</v>
      </c>
      <c r="Q239" s="59"/>
      <c r="R239" s="60">
        <f>IF(AND(P239="",Q239=""),"",N(P239)+N(Q239))</f>
        <v/>
      </c>
      <c r="S239" s="59">
        <v>27840</v>
      </c>
      <c r="T239" s="59">
        <v>19457</v>
      </c>
      <c r="U239" s="62">
        <f>IF(OR(R239="",S239="",T239=""),"",IF(S239+T239=0,"",R239/(S239+T239)))</f>
        <v/>
      </c>
      <c r="V239" s="63" t="s">
        <v>109</v>
      </c>
      <c r="W239" s="64"/>
      <c r="X239" s="63"/>
    </row>
    <row r="240" spans="2:24">
      <c r="B240" s="58">
        <v>46290</v>
      </c>
      <c r="C240" s="59">
        <v>25680</v>
      </c>
      <c r="D240" s="59">
        <v>17089</v>
      </c>
      <c r="E240" s="59">
        <v>2051</v>
      </c>
      <c r="F240" s="59">
        <v>2109</v>
      </c>
      <c r="G240" s="60">
        <f>IF(OR(E240="",F240="",C240="",D240=""),"",IF(C240+D240=0,"",(E240*C240+F240*D240)/(C240+D240)))</f>
        <v/>
      </c>
      <c r="H240" s="59">
        <v>2195</v>
      </c>
      <c r="I240" s="60">
        <f>IF(OR(H240="",E240="",C240="",D240=""),"",IF(C240+D240=0,"",(H240*D240+E240*C240)/(C240+D240)))</f>
        <v/>
      </c>
      <c r="J240" s="59">
        <v>2110</v>
      </c>
      <c r="K240" s="61">
        <f>IF(OR(J240="",I240=""),"",J240-I240)</f>
        <v/>
      </c>
      <c r="L240" s="61">
        <f>IF(OR(J240="",G240=""),"",J240-G240)</f>
        <v/>
      </c>
      <c r="M240" s="59">
        <v>1884</v>
      </c>
      <c r="N240" s="59">
        <v>2152</v>
      </c>
      <c r="O240" s="59">
        <v>160</v>
      </c>
      <c r="P240" s="59">
        <v>0</v>
      </c>
      <c r="Q240" s="59"/>
      <c r="R240" s="60">
        <f>IF(AND(P240="",Q240=""),"",N(P240)+N(Q240))</f>
        <v/>
      </c>
      <c r="S240" s="59">
        <v>28666</v>
      </c>
      <c r="T240" s="59">
        <v>23135</v>
      </c>
      <c r="U240" s="62">
        <f>IF(OR(R240="",S240="",T240=""),"",IF(S240+T240=0,"",R240/(S240+T240)))</f>
        <v/>
      </c>
      <c r="V240" s="63" t="s">
        <v>109</v>
      </c>
      <c r="W240" s="64"/>
      <c r="X240" s="63"/>
    </row>
    <row r="241" spans="2:24">
      <c r="B241" s="58">
        <v>46291</v>
      </c>
      <c r="C241" s="59">
        <v>27377</v>
      </c>
      <c r="D241" s="59">
        <v>20608</v>
      </c>
      <c r="E241" s="59">
        <v>2049</v>
      </c>
      <c r="F241" s="59">
        <v>1944</v>
      </c>
      <c r="G241" s="60">
        <f>IF(OR(E241="",F241="",C241="",D241=""),"",IF(C241+D241=0,"",(E241*C241+F241*D241)/(C241+D241)))</f>
        <v/>
      </c>
      <c r="H241" s="59">
        <v>1932</v>
      </c>
      <c r="I241" s="60">
        <f>IF(OR(H241="",E241="",C241="",D241=""),"",IF(C241+D241=0,"",(H241*D241+E241*C241)/(C241+D241)))</f>
        <v/>
      </c>
      <c r="J241" s="59">
        <v>1992</v>
      </c>
      <c r="K241" s="61">
        <f>IF(OR(J241="",I241=""),"",J241-I241)</f>
        <v/>
      </c>
      <c r="L241" s="61">
        <f>IF(OR(J241="",G241=""),"",J241-G241)</f>
        <v/>
      </c>
      <c r="M241" s="59">
        <v>1967</v>
      </c>
      <c r="N241" s="59">
        <v>1966</v>
      </c>
      <c r="O241" s="59">
        <v>160</v>
      </c>
      <c r="P241" s="59">
        <v>0</v>
      </c>
      <c r="Q241" s="59"/>
      <c r="R241" s="60">
        <f>IF(AND(P241="",Q241=""),"",N(P241)+N(Q241))</f>
        <v/>
      </c>
      <c r="S241" s="59">
        <v>27318</v>
      </c>
      <c r="T241" s="59">
        <v>20548</v>
      </c>
      <c r="U241" s="62">
        <f>IF(OR(R241="",S241="",T241=""),"",IF(S241+T241=0,"",R241/(S241+T241)))</f>
        <v/>
      </c>
      <c r="V241" s="63" t="s">
        <v>109</v>
      </c>
      <c r="W241" s="64"/>
      <c r="X241" s="63"/>
    </row>
    <row r="242" spans="2:24">
      <c r="B242" s="58">
        <v>46292</v>
      </c>
      <c r="C242" s="59">
        <v>28399</v>
      </c>
      <c r="D242" s="59">
        <v>18506</v>
      </c>
      <c r="E242" s="59">
        <v>2122</v>
      </c>
      <c r="F242" s="59">
        <v>2204</v>
      </c>
      <c r="G242" s="60">
        <f>IF(OR(E242="",F242="",C242="",D242=""),"",IF(C242+D242=0,"",(E242*C242+F242*D242)/(C242+D242)))</f>
        <v/>
      </c>
      <c r="H242" s="59">
        <v>2103</v>
      </c>
      <c r="I242" s="60">
        <f>IF(OR(H242="",E242="",C242="",D242=""),"",IF(C242+D242=0,"",(H242*D242+E242*C242)/(C242+D242)))</f>
        <v/>
      </c>
      <c r="J242" s="59">
        <v>2101</v>
      </c>
      <c r="K242" s="61">
        <f>IF(OR(J242="",I242=""),"",J242-I242)</f>
        <v/>
      </c>
      <c r="L242" s="61">
        <f>IF(OR(J242="",G242=""),"",J242-G242)</f>
        <v/>
      </c>
      <c r="M242" s="59">
        <v>2215</v>
      </c>
      <c r="N242" s="59">
        <v>2164</v>
      </c>
      <c r="O242" s="59">
        <v>160</v>
      </c>
      <c r="P242" s="59">
        <v>0</v>
      </c>
      <c r="Q242" s="59"/>
      <c r="R242" s="60">
        <f>IF(AND(P242="",Q242=""),"",N(P242)+N(Q242))</f>
        <v/>
      </c>
      <c r="S242" s="59">
        <v>28594</v>
      </c>
      <c r="T242" s="59">
        <v>19016</v>
      </c>
      <c r="U242" s="62">
        <f>IF(OR(R242="",S242="",T242=""),"",IF(S242+T242=0,"",R242/(S242+T242)))</f>
        <v/>
      </c>
      <c r="V242" s="63" t="s">
        <v>109</v>
      </c>
      <c r="W242" s="64"/>
      <c r="X242" s="63"/>
    </row>
    <row r="243" spans="2:24">
      <c r="B243" s="58">
        <v>46293</v>
      </c>
      <c r="C243" s="59">
        <v>26744</v>
      </c>
      <c r="D243" s="59">
        <v>15791</v>
      </c>
      <c r="E243" s="59">
        <v>2143</v>
      </c>
      <c r="F243" s="59">
        <v>2169</v>
      </c>
      <c r="G243" s="60">
        <f>IF(OR(E243="",F243="",C243="",D243=""),"",IF(C243+D243=0,"",(E243*C243+F243*D243)/(C243+D243)))</f>
        <v/>
      </c>
      <c r="H243" s="59">
        <v>2142</v>
      </c>
      <c r="I243" s="60">
        <f>IF(OR(H243="",E243="",C243="",D243=""),"",IF(C243+D243=0,"",(H243*D243+E243*C243)/(C243+D243)))</f>
        <v/>
      </c>
      <c r="J243" s="59">
        <v>2146</v>
      </c>
      <c r="K243" s="61">
        <f>IF(OR(J243="",I243=""),"",J243-I243)</f>
        <v/>
      </c>
      <c r="L243" s="61">
        <f>IF(OR(J243="",G243=""),"",J243-G243)</f>
        <v/>
      </c>
      <c r="M243" s="59">
        <v>2012</v>
      </c>
      <c r="N243" s="59">
        <v>2066</v>
      </c>
      <c r="O243" s="59">
        <v>160</v>
      </c>
      <c r="P243" s="59">
        <v>123</v>
      </c>
      <c r="Q243" s="59"/>
      <c r="R243" s="60">
        <f>IF(AND(P243="",Q243=""),"",N(P243)+N(Q243))</f>
        <v/>
      </c>
      <c r="S243" s="59">
        <v>27531</v>
      </c>
      <c r="T243" s="59">
        <v>15265</v>
      </c>
      <c r="U243" s="62">
        <f>IF(OR(R243="",S243="",T243=""),"",IF(S243+T243=0,"",R243/(S243+T243)))</f>
        <v/>
      </c>
      <c r="V243" s="63" t="s">
        <v>109</v>
      </c>
      <c r="W243" s="64"/>
      <c r="X243" s="63"/>
    </row>
    <row r="244" spans="2:24">
      <c r="B244" s="58">
        <v>46294</v>
      </c>
      <c r="C244" s="59">
        <v>28322</v>
      </c>
      <c r="D244" s="59">
        <v>13554</v>
      </c>
      <c r="E244" s="59">
        <v>2167</v>
      </c>
      <c r="F244" s="59">
        <v>1966</v>
      </c>
      <c r="G244" s="60">
        <f>IF(OR(E244="",F244="",C244="",D244=""),"",IF(C244+D244=0,"",(E244*C244+F244*D244)/(C244+D244)))</f>
        <v/>
      </c>
      <c r="H244" s="59">
        <v>2188</v>
      </c>
      <c r="I244" s="60">
        <f>IF(OR(H244="",E244="",C244="",D244=""),"",IF(C244+D244=0,"",(H244*D244+E244*C244)/(C244+D244)))</f>
        <v/>
      </c>
      <c r="J244" s="59">
        <v>2280</v>
      </c>
      <c r="K244" s="61">
        <f>IF(OR(J244="",I244=""),"",J244-I244)</f>
        <v/>
      </c>
      <c r="L244" s="61">
        <f>IF(OR(J244="",G244=""),"",J244-G244)</f>
        <v/>
      </c>
      <c r="M244" s="59">
        <v>2317</v>
      </c>
      <c r="N244" s="59">
        <v>2235</v>
      </c>
      <c r="O244" s="59">
        <v>160</v>
      </c>
      <c r="P244" s="59">
        <v>309</v>
      </c>
      <c r="Q244" s="59"/>
      <c r="R244" s="60">
        <f>IF(AND(P244="",Q244=""),"",N(P244)+N(Q244))</f>
        <v/>
      </c>
      <c r="S244" s="59">
        <v>27104</v>
      </c>
      <c r="T244" s="59">
        <v>18616</v>
      </c>
      <c r="U244" s="62">
        <f>IF(OR(R244="",S244="",T244=""),"",IF(S244+T244=0,"",R244/(S244+T244)))</f>
        <v/>
      </c>
      <c r="V244" s="63" t="s">
        <v>109</v>
      </c>
      <c r="W244" s="64"/>
      <c r="X244" s="63"/>
    </row>
    <row r="245" spans="2:24">
      <c r="B245" s="58">
        <v>46295</v>
      </c>
      <c r="C245" s="59">
        <v>27172</v>
      </c>
      <c r="D245" s="59">
        <v>22547</v>
      </c>
      <c r="E245" s="59">
        <v>2120</v>
      </c>
      <c r="F245" s="59">
        <v>1901</v>
      </c>
      <c r="G245" s="60">
        <f>IF(OR(E245="",F245="",C245="",D245=""),"",IF(C245+D245=0,"",(E245*C245+F245*D245)/(C245+D245)))</f>
        <v/>
      </c>
      <c r="H245" s="59">
        <v>1911</v>
      </c>
      <c r="I245" s="60">
        <f>IF(OR(H245="",E245="",C245="",D245=""),"",IF(C245+D245=0,"",(H245*D245+E245*C245)/(C245+D245)))</f>
        <v/>
      </c>
      <c r="J245" s="59">
        <v>2050</v>
      </c>
      <c r="K245" s="61">
        <f>IF(OR(J245="",I245=""),"",J245-I245)</f>
        <v/>
      </c>
      <c r="L245" s="61">
        <f>IF(OR(J245="",G245=""),"",J245-G245)</f>
        <v/>
      </c>
      <c r="M245" s="59">
        <v>2090</v>
      </c>
      <c r="N245" s="59">
        <v>2057</v>
      </c>
      <c r="O245" s="59">
        <v>160</v>
      </c>
      <c r="P245" s="59">
        <v>0</v>
      </c>
      <c r="Q245" s="59"/>
      <c r="R245" s="60">
        <f>IF(AND(P245="",Q245=""),"",N(P245)+N(Q245))</f>
        <v/>
      </c>
      <c r="S245" s="59">
        <v>30460</v>
      </c>
      <c r="T245" s="59">
        <v>23813</v>
      </c>
      <c r="U245" s="62">
        <f>IF(OR(R245="",S245="",T245=""),"",IF(S245+T245=0,"",R245/(S245+T245)))</f>
        <v/>
      </c>
      <c r="V245" s="63" t="s">
        <v>109</v>
      </c>
      <c r="W245" s="64"/>
      <c r="X245" s="63"/>
    </row>
    <row r="246" spans="2:24">
      <c r="B246" s="58">
        <v>46296</v>
      </c>
      <c r="C246" s="59">
        <v>25877</v>
      </c>
      <c r="D246" s="59">
        <v>18025</v>
      </c>
      <c r="E246" s="59">
        <v>2088</v>
      </c>
      <c r="F246" s="59">
        <v>2134</v>
      </c>
      <c r="G246" s="60">
        <f>IF(OR(E246="",F246="",C246="",D246=""),"",IF(C246+D246=0,"",(E246*C246+F246*D246)/(C246+D246)))</f>
        <v/>
      </c>
      <c r="H246" s="59">
        <v>2025</v>
      </c>
      <c r="I246" s="60">
        <f>IF(OR(H246="",E246="",C246="",D246=""),"",IF(C246+D246=0,"",(H246*D246+E246*C246)/(C246+D246)))</f>
        <v/>
      </c>
      <c r="J246" s="59">
        <v>2095</v>
      </c>
      <c r="K246" s="61">
        <f>IF(OR(J246="",I246=""),"",J246-I246)</f>
        <v/>
      </c>
      <c r="L246" s="61">
        <f>IF(OR(J246="",G246=""),"",J246-G246)</f>
        <v/>
      </c>
      <c r="M246" s="59">
        <v>2034</v>
      </c>
      <c r="N246" s="59">
        <v>2026</v>
      </c>
      <c r="O246" s="59">
        <v>160</v>
      </c>
      <c r="P246" s="59">
        <v>153</v>
      </c>
      <c r="Q246" s="59"/>
      <c r="R246" s="60">
        <f>IF(AND(P246="",Q246=""),"",N(P246)+N(Q246))</f>
        <v/>
      </c>
      <c r="S246" s="59">
        <v>29615</v>
      </c>
      <c r="T246" s="59">
        <v>14690</v>
      </c>
      <c r="U246" s="62">
        <f>IF(OR(R246="",S246="",T246=""),"",IF(S246+T246=0,"",R246/(S246+T246)))</f>
        <v/>
      </c>
      <c r="V246" s="63" t="s">
        <v>109</v>
      </c>
      <c r="W246" s="64"/>
      <c r="X246" s="63"/>
    </row>
    <row r="247" spans="2:24">
      <c r="B247" s="58">
        <v>46297</v>
      </c>
      <c r="C247" s="59">
        <v>24006</v>
      </c>
      <c r="D247" s="59">
        <v>10570</v>
      </c>
      <c r="E247" s="59">
        <v>2224</v>
      </c>
      <c r="F247" s="59">
        <v>2060</v>
      </c>
      <c r="G247" s="60">
        <f>IF(OR(E247="",F247="",C247="",D247=""),"",IF(C247+D247=0,"",(E247*C247+F247*D247)/(C247+D247)))</f>
        <v/>
      </c>
      <c r="H247" s="59">
        <v>2039</v>
      </c>
      <c r="I247" s="60">
        <f>IF(OR(H247="",E247="",C247="",D247=""),"",IF(C247+D247=0,"",(H247*D247+E247*C247)/(C247+D247)))</f>
        <v/>
      </c>
      <c r="J247" s="59">
        <v>2129</v>
      </c>
      <c r="K247" s="61">
        <f>IF(OR(J247="",I247=""),"",J247-I247)</f>
        <v/>
      </c>
      <c r="L247" s="61">
        <f>IF(OR(J247="",G247=""),"",J247-G247)</f>
        <v/>
      </c>
      <c r="M247" s="59">
        <v>2070</v>
      </c>
      <c r="N247" s="59">
        <v>2056</v>
      </c>
      <c r="O247" s="59">
        <v>160</v>
      </c>
      <c r="P247" s="59">
        <v>25</v>
      </c>
      <c r="Q247" s="59"/>
      <c r="R247" s="60">
        <f>IF(AND(P247="",Q247=""),"",N(P247)+N(Q247))</f>
        <v/>
      </c>
      <c r="S247" s="59">
        <v>25273</v>
      </c>
      <c r="T247" s="59">
        <v>17764</v>
      </c>
      <c r="U247" s="62">
        <f>IF(OR(R247="",S247="",T247=""),"",IF(S247+T247=0,"",R247/(S247+T247)))</f>
        <v/>
      </c>
      <c r="V247" s="63" t="s">
        <v>109</v>
      </c>
      <c r="W247" s="64"/>
      <c r="X247" s="63"/>
    </row>
    <row r="248" spans="2:24">
      <c r="B248" s="58">
        <v>46298</v>
      </c>
      <c r="C248" s="59">
        <v>27818</v>
      </c>
      <c r="D248" s="59">
        <v>15763</v>
      </c>
      <c r="E248" s="59">
        <v>2067</v>
      </c>
      <c r="F248" s="59">
        <v>2100</v>
      </c>
      <c r="G248" s="60">
        <f>IF(OR(E248="",F248="",C248="",D248=""),"",IF(C248+D248=0,"",(E248*C248+F248*D248)/(C248+D248)))</f>
        <v/>
      </c>
      <c r="H248" s="59">
        <v>2104</v>
      </c>
      <c r="I248" s="60">
        <f>IF(OR(H248="",E248="",C248="",D248=""),"",IF(C248+D248=0,"",(H248*D248+E248*C248)/(C248+D248)))</f>
        <v/>
      </c>
      <c r="J248" s="59">
        <v>2028</v>
      </c>
      <c r="K248" s="61">
        <f>IF(OR(J248="",I248=""),"",J248-I248)</f>
        <v/>
      </c>
      <c r="L248" s="61">
        <f>IF(OR(J248="",G248=""),"",J248-G248)</f>
        <v/>
      </c>
      <c r="M248" s="59">
        <v>2079</v>
      </c>
      <c r="N248" s="59">
        <v>2145</v>
      </c>
      <c r="O248" s="59">
        <v>160</v>
      </c>
      <c r="P248" s="59">
        <v>0</v>
      </c>
      <c r="Q248" s="59"/>
      <c r="R248" s="60">
        <f>IF(AND(P248="",Q248=""),"",N(P248)+N(Q248))</f>
        <v/>
      </c>
      <c r="S248" s="59">
        <v>22257</v>
      </c>
      <c r="T248" s="59">
        <v>19975</v>
      </c>
      <c r="U248" s="62">
        <f>IF(OR(R248="",S248="",T248=""),"",IF(S248+T248=0,"",R248/(S248+T248)))</f>
        <v/>
      </c>
      <c r="V248" s="63" t="s">
        <v>109</v>
      </c>
      <c r="W248" s="64"/>
      <c r="X248" s="63"/>
    </row>
    <row r="249" spans="2:24">
      <c r="B249" s="58">
        <v>46299</v>
      </c>
      <c r="C249" s="59">
        <v>17132</v>
      </c>
      <c r="D249" s="59">
        <v>17412</v>
      </c>
      <c r="E249" s="59">
        <v>2246</v>
      </c>
      <c r="F249" s="59">
        <v>2366</v>
      </c>
      <c r="G249" s="60">
        <f>IF(OR(E249="",F249="",C249="",D249=""),"",IF(C249+D249=0,"",(E249*C249+F249*D249)/(C249+D249)))</f>
        <v/>
      </c>
      <c r="H249" s="59">
        <v>2355</v>
      </c>
      <c r="I249" s="60">
        <f>IF(OR(H249="",E249="",C249="",D249=""),"",IF(C249+D249=0,"",(H249*D249+E249*C249)/(C249+D249)))</f>
        <v/>
      </c>
      <c r="J249" s="59">
        <v>2214</v>
      </c>
      <c r="K249" s="61">
        <f>IF(OR(J249="",I249=""),"",J249-I249)</f>
        <v/>
      </c>
      <c r="L249" s="61">
        <f>IF(OR(J249="",G249=""),"",J249-G249)</f>
        <v/>
      </c>
      <c r="M249" s="59">
        <v>2252</v>
      </c>
      <c r="N249" s="59"/>
      <c r="O249" s="59">
        <v>160</v>
      </c>
      <c r="P249" s="59">
        <v>0</v>
      </c>
      <c r="Q249" s="59"/>
      <c r="R249" s="60">
        <f>IF(AND(P249="",Q249=""),"",N(P249)+N(Q249))</f>
        <v/>
      </c>
      <c r="S249" s="59">
        <v>25726</v>
      </c>
      <c r="T249" s="59">
        <v>19834</v>
      </c>
      <c r="U249" s="62">
        <f>IF(OR(R249="",S249="",T249=""),"",IF(S249+T249=0,"",R249/(S249+T249)))</f>
        <v/>
      </c>
      <c r="V249" s="63" t="s">
        <v>109</v>
      </c>
      <c r="W249" s="64"/>
      <c r="X249" s="63"/>
    </row>
    <row r="250" spans="2:24">
      <c r="B250" s="58">
        <v>46300</v>
      </c>
      <c r="C250" s="59">
        <v>27218</v>
      </c>
      <c r="D250" s="59">
        <v>20715</v>
      </c>
      <c r="E250" s="59">
        <v>2085</v>
      </c>
      <c r="F250" s="59">
        <v>2088</v>
      </c>
      <c r="G250" s="60">
        <f>IF(OR(E250="",F250="",C250="",D250=""),"",IF(C250+D250=0,"",(E250*C250+F250*D250)/(C250+D250)))</f>
        <v/>
      </c>
      <c r="H250" s="59">
        <v>2086</v>
      </c>
      <c r="I250" s="60">
        <f>IF(OR(H250="",E250="",C250="",D250=""),"",IF(C250+D250=0,"",(H250*D250+E250*C250)/(C250+D250)))</f>
        <v/>
      </c>
      <c r="J250" s="59">
        <v>2100</v>
      </c>
      <c r="K250" s="61">
        <f>IF(OR(J250="",I250=""),"",J250-I250)</f>
        <v/>
      </c>
      <c r="L250" s="61">
        <f>IF(OR(J250="",G250=""),"",J250-G250)</f>
        <v/>
      </c>
      <c r="M250" s="59">
        <v>2125</v>
      </c>
      <c r="N250" s="59">
        <v>2072</v>
      </c>
      <c r="O250" s="59">
        <v>160</v>
      </c>
      <c r="P250" s="59">
        <v>0</v>
      </c>
      <c r="Q250" s="59"/>
      <c r="R250" s="60">
        <f>IF(AND(P250="",Q250=""),"",N(P250)+N(Q250))</f>
        <v/>
      </c>
      <c r="S250" s="59">
        <v>27622</v>
      </c>
      <c r="T250" s="59">
        <v>20824</v>
      </c>
      <c r="U250" s="62">
        <f>IF(OR(R250="",S250="",T250=""),"",IF(S250+T250=0,"",R250/(S250+T250)))</f>
        <v/>
      </c>
      <c r="V250" s="63" t="s">
        <v>109</v>
      </c>
      <c r="W250" s="64"/>
      <c r="X250" s="63"/>
    </row>
    <row r="251" spans="2:24">
      <c r="B251" s="58">
        <v>46301</v>
      </c>
      <c r="C251" s="59">
        <v>28791</v>
      </c>
      <c r="D251" s="59">
        <v>20051</v>
      </c>
      <c r="E251" s="59">
        <v>2102</v>
      </c>
      <c r="F251" s="59">
        <v>2045</v>
      </c>
      <c r="G251" s="60">
        <f>IF(OR(E251="",F251="",C251="",D251=""),"",IF(C251+D251=0,"",(E251*C251+F251*D251)/(C251+D251)))</f>
        <v/>
      </c>
      <c r="H251" s="59">
        <v>1950</v>
      </c>
      <c r="I251" s="60">
        <f>IF(OR(H251="",E251="",C251="",D251=""),"",IF(C251+D251=0,"",(H251*D251+E251*C251)/(C251+D251)))</f>
        <v/>
      </c>
      <c r="J251" s="59">
        <v>2034</v>
      </c>
      <c r="K251" s="61">
        <f>IF(OR(J251="",I251=""),"",J251-I251)</f>
        <v/>
      </c>
      <c r="L251" s="61">
        <f>IF(OR(J251="",G251=""),"",J251-G251)</f>
        <v/>
      </c>
      <c r="M251" s="59">
        <v>2048</v>
      </c>
      <c r="N251" s="59">
        <v>2034</v>
      </c>
      <c r="O251" s="59">
        <v>160</v>
      </c>
      <c r="P251" s="59">
        <v>0</v>
      </c>
      <c r="Q251" s="59"/>
      <c r="R251" s="60">
        <f>IF(AND(P251="",Q251=""),"",N(P251)+N(Q251))</f>
        <v/>
      </c>
      <c r="S251" s="59">
        <v>28691</v>
      </c>
      <c r="T251" s="59">
        <v>21896</v>
      </c>
      <c r="U251" s="62">
        <f>IF(OR(R251="",S251="",T251=""),"",IF(S251+T251=0,"",R251/(S251+T251)))</f>
        <v/>
      </c>
      <c r="V251" s="63" t="s">
        <v>109</v>
      </c>
      <c r="W251" s="64"/>
      <c r="X251" s="63"/>
    </row>
    <row r="252" spans="2:24">
      <c r="B252" s="58">
        <v>46302</v>
      </c>
      <c r="C252" s="59">
        <v>26327</v>
      </c>
      <c r="D252" s="59">
        <v>17440</v>
      </c>
      <c r="E252" s="59">
        <v>2126</v>
      </c>
      <c r="F252" s="59">
        <v>1752</v>
      </c>
      <c r="G252" s="60">
        <f>IF(OR(E252="",F252="",C252="",D252=""),"",IF(C252+D252=0,"",(E252*C252+F252*D252)/(C252+D252)))</f>
        <v/>
      </c>
      <c r="H252" s="59">
        <v>1812</v>
      </c>
      <c r="I252" s="60">
        <f>IF(OR(H252="",E252="",C252="",D252=""),"",IF(C252+D252=0,"",(H252*D252+E252*C252)/(C252+D252)))</f>
        <v/>
      </c>
      <c r="J252" s="59">
        <v>1956</v>
      </c>
      <c r="K252" s="61">
        <f>IF(OR(J252="",I252=""),"",J252-I252)</f>
        <v/>
      </c>
      <c r="L252" s="61">
        <f>IF(OR(J252="",G252=""),"",J252-G252)</f>
        <v/>
      </c>
      <c r="M252" s="59">
        <v>2016</v>
      </c>
      <c r="N252" s="59">
        <v>2118</v>
      </c>
      <c r="O252" s="59">
        <v>160</v>
      </c>
      <c r="P252" s="59">
        <v>0</v>
      </c>
      <c r="Q252" s="59"/>
      <c r="R252" s="60">
        <f>IF(AND(P252="",Q252=""),"",N(P252)+N(Q252))</f>
        <v/>
      </c>
      <c r="S252" s="59">
        <v>27641</v>
      </c>
      <c r="T252" s="59">
        <v>18327</v>
      </c>
      <c r="U252" s="62">
        <f>IF(OR(R252="",S252="",T252=""),"",IF(S252+T252=0,"",R252/(S252+T252)))</f>
        <v/>
      </c>
      <c r="V252" s="63" t="s">
        <v>109</v>
      </c>
      <c r="W252" s="64"/>
      <c r="X252" s="63"/>
    </row>
    <row r="253" spans="2:24">
      <c r="B253" s="58">
        <v>46303</v>
      </c>
      <c r="C253" s="59">
        <v>25724</v>
      </c>
      <c r="D253" s="59">
        <v>19358</v>
      </c>
      <c r="E253" s="59">
        <v>2061</v>
      </c>
      <c r="F253" s="59">
        <v>1997</v>
      </c>
      <c r="G253" s="60">
        <f>IF(OR(E253="",F253="",C253="",D253=""),"",IF(C253+D253=0,"",(E253*C253+F253*D253)/(C253+D253)))</f>
        <v/>
      </c>
      <c r="H253" s="59">
        <v>1949</v>
      </c>
      <c r="I253" s="60">
        <f>IF(OR(H253="",E253="",C253="",D253=""),"",IF(C253+D253=0,"",(H253*D253+E253*C253)/(C253+D253)))</f>
        <v/>
      </c>
      <c r="J253" s="59">
        <v>2028</v>
      </c>
      <c r="K253" s="61">
        <f>IF(OR(J253="",I253=""),"",J253-I253)</f>
        <v/>
      </c>
      <c r="L253" s="61">
        <f>IF(OR(J253="",G253=""),"",J253-G253)</f>
        <v/>
      </c>
      <c r="M253" s="59">
        <v>1819</v>
      </c>
      <c r="N253" s="59">
        <v>2117</v>
      </c>
      <c r="O253" s="59">
        <v>160</v>
      </c>
      <c r="P253" s="59">
        <v>119</v>
      </c>
      <c r="Q253" s="59"/>
      <c r="R253" s="60">
        <f>IF(AND(P253="",Q253=""),"",N(P253)+N(Q253))</f>
        <v/>
      </c>
      <c r="S253" s="59">
        <v>29331</v>
      </c>
      <c r="T253" s="59">
        <v>23005</v>
      </c>
      <c r="U253" s="62">
        <f>IF(OR(R253="",S253="",T253=""),"",IF(S253+T253=0,"",R253/(S253+T253)))</f>
        <v/>
      </c>
      <c r="V253" s="63" t="s">
        <v>109</v>
      </c>
      <c r="W253" s="64"/>
      <c r="X253" s="63"/>
    </row>
    <row r="254" spans="2:24">
      <c r="B254" s="58">
        <v>46304</v>
      </c>
      <c r="C254" s="59">
        <v>25647</v>
      </c>
      <c r="D254" s="59">
        <v>16687</v>
      </c>
      <c r="E254" s="59">
        <v>2046</v>
      </c>
      <c r="F254" s="59">
        <v>1974</v>
      </c>
      <c r="G254" s="60">
        <f>IF(OR(E254="",F254="",C254="",D254=""),"",IF(C254+D254=0,"",(E254*C254+F254*D254)/(C254+D254)))</f>
        <v/>
      </c>
      <c r="H254" s="59">
        <v>2137</v>
      </c>
      <c r="I254" s="60">
        <f>IF(OR(H254="",E254="",C254="",D254=""),"",IF(C254+D254=0,"",(H254*D254+E254*C254)/(C254+D254)))</f>
        <v/>
      </c>
      <c r="J254" s="59">
        <v>2101</v>
      </c>
      <c r="K254" s="61">
        <f>IF(OR(J254="",I254=""),"",J254-I254)</f>
        <v/>
      </c>
      <c r="L254" s="61">
        <f>IF(OR(J254="",G254=""),"",J254-G254)</f>
        <v/>
      </c>
      <c r="M254" s="59">
        <v>1960</v>
      </c>
      <c r="N254" s="59">
        <v>2004</v>
      </c>
      <c r="O254" s="59">
        <v>160</v>
      </c>
      <c r="P254" s="59">
        <v>93</v>
      </c>
      <c r="Q254" s="59"/>
      <c r="R254" s="60">
        <f>IF(AND(P254="",Q254=""),"",N(P254)+N(Q254))</f>
        <v/>
      </c>
      <c r="S254" s="59">
        <v>28106</v>
      </c>
      <c r="T254" s="59">
        <v>18961</v>
      </c>
      <c r="U254" s="62">
        <f>IF(OR(R254="",S254="",T254=""),"",IF(S254+T254=0,"",R254/(S254+T254)))</f>
        <v/>
      </c>
      <c r="V254" s="63" t="s">
        <v>109</v>
      </c>
      <c r="W254" s="64"/>
      <c r="X254" s="63"/>
    </row>
    <row r="255" spans="2:24">
      <c r="B255" s="58">
        <v>46305</v>
      </c>
      <c r="C255" s="59">
        <v>24744</v>
      </c>
      <c r="D255" s="59">
        <v>22439</v>
      </c>
      <c r="E255" s="59">
        <v>2076</v>
      </c>
      <c r="F255" s="59">
        <v>2028</v>
      </c>
      <c r="G255" s="60">
        <f>IF(OR(E255="",F255="",C255="",D255=""),"",IF(C255+D255=0,"",(E255*C255+F255*D255)/(C255+D255)))</f>
        <v/>
      </c>
      <c r="H255" s="59">
        <v>1975</v>
      </c>
      <c r="I255" s="60">
        <f>IF(OR(H255="",E255="",C255="",D255=""),"",IF(C255+D255=0,"",(H255*D255+E255*C255)/(C255+D255)))</f>
        <v/>
      </c>
      <c r="J255" s="59">
        <v>2032</v>
      </c>
      <c r="K255" s="61">
        <f>IF(OR(J255="",I255=""),"",J255-I255)</f>
        <v/>
      </c>
      <c r="L255" s="61">
        <f>IF(OR(J255="",G255=""),"",J255-G255)</f>
        <v/>
      </c>
      <c r="M255" s="59">
        <v>2154</v>
      </c>
      <c r="N255" s="59">
        <v>2030</v>
      </c>
      <c r="O255" s="59">
        <v>160</v>
      </c>
      <c r="P255" s="59">
        <v>0</v>
      </c>
      <c r="Q255" s="59"/>
      <c r="R255" s="60">
        <f>IF(AND(P255="",Q255=""),"",N(P255)+N(Q255))</f>
        <v/>
      </c>
      <c r="S255" s="59">
        <v>28095</v>
      </c>
      <c r="T255" s="59">
        <v>24351</v>
      </c>
      <c r="U255" s="62">
        <f>IF(OR(R255="",S255="",T255=""),"",IF(S255+T255=0,"",R255/(S255+T255)))</f>
        <v/>
      </c>
      <c r="V255" s="63" t="s">
        <v>109</v>
      </c>
      <c r="W255" s="64"/>
      <c r="X255" s="63"/>
    </row>
    <row r="256" spans="2:24">
      <c r="B256" s="58">
        <v>46306</v>
      </c>
      <c r="C256" s="59">
        <v>26969</v>
      </c>
      <c r="D256" s="59">
        <v>26315</v>
      </c>
      <c r="E256" s="59">
        <v>2063</v>
      </c>
      <c r="F256" s="59">
        <v>1989</v>
      </c>
      <c r="G256" s="60">
        <f>IF(OR(E256="",F256="",C256="",D256=""),"",IF(C256+D256=0,"",(E256*C256+F256*D256)/(C256+D256)))</f>
        <v/>
      </c>
      <c r="H256" s="59">
        <v>1974</v>
      </c>
      <c r="I256" s="60">
        <f>IF(OR(H256="",E256="",C256="",D256=""),"",IF(C256+D256=0,"",(H256*D256+E256*C256)/(C256+D256)))</f>
        <v/>
      </c>
      <c r="J256" s="59">
        <v>1973</v>
      </c>
      <c r="K256" s="61">
        <f>IF(OR(J256="",I256=""),"",J256-I256)</f>
        <v/>
      </c>
      <c r="L256" s="61">
        <f>IF(OR(J256="",G256=""),"",J256-G256)</f>
        <v/>
      </c>
      <c r="M256" s="59">
        <v>1902</v>
      </c>
      <c r="N256" s="59">
        <v>1953</v>
      </c>
      <c r="O256" s="59">
        <v>160</v>
      </c>
      <c r="P256" s="59">
        <v>0</v>
      </c>
      <c r="Q256" s="59"/>
      <c r="R256" s="60">
        <f>IF(AND(P256="",Q256=""),"",N(P256)+N(Q256))</f>
        <v/>
      </c>
      <c r="S256" s="59">
        <v>28684</v>
      </c>
      <c r="T256" s="59">
        <v>24683</v>
      </c>
      <c r="U256" s="62">
        <f>IF(OR(R256="",S256="",T256=""),"",IF(S256+T256=0,"",R256/(S256+T256)))</f>
        <v/>
      </c>
      <c r="V256" s="63" t="s">
        <v>109</v>
      </c>
      <c r="W256" s="64"/>
      <c r="X256" s="63"/>
    </row>
    <row r="257" spans="2:24">
      <c r="B257" s="58">
        <v>46307</v>
      </c>
      <c r="C257" s="59">
        <v>28295</v>
      </c>
      <c r="D257" s="59">
        <v>21942</v>
      </c>
      <c r="E257" s="59">
        <v>2035</v>
      </c>
      <c r="F257" s="59">
        <v>1923</v>
      </c>
      <c r="G257" s="60">
        <f>IF(OR(E257="",F257="",C257="",D257=""),"",IF(C257+D257=0,"",(E257*C257+F257*D257)/(C257+D257)))</f>
        <v/>
      </c>
      <c r="H257" s="59">
        <v>1873</v>
      </c>
      <c r="I257" s="60">
        <f>IF(OR(H257="",E257="",C257="",D257=""),"",IF(C257+D257=0,"",(H257*D257+E257*C257)/(C257+D257)))</f>
        <v/>
      </c>
      <c r="J257" s="59">
        <v>2005</v>
      </c>
      <c r="K257" s="61">
        <f>IF(OR(J257="",I257=""),"",J257-I257)</f>
        <v/>
      </c>
      <c r="L257" s="61">
        <f>IF(OR(J257="",G257=""),"",J257-G257)</f>
        <v/>
      </c>
      <c r="M257" s="59">
        <v>1972</v>
      </c>
      <c r="N257" s="59">
        <v>1967</v>
      </c>
      <c r="O257" s="59">
        <v>160</v>
      </c>
      <c r="P257" s="59">
        <v>247</v>
      </c>
      <c r="Q257" s="59"/>
      <c r="R257" s="60">
        <f>IF(AND(P257="",Q257=""),"",N(P257)+N(Q257))</f>
        <v/>
      </c>
      <c r="S257" s="59">
        <v>29052</v>
      </c>
      <c r="T257" s="59">
        <v>24709</v>
      </c>
      <c r="U257" s="62">
        <f>IF(OR(R257="",S257="",T257=""),"",IF(S257+T257=0,"",R257/(S257+T257)))</f>
        <v/>
      </c>
      <c r="V257" s="63" t="s">
        <v>109</v>
      </c>
      <c r="W257" s="64"/>
      <c r="X257" s="63"/>
    </row>
    <row r="258" spans="2:24">
      <c r="B258" s="58">
        <v>46308</v>
      </c>
      <c r="C258" s="59">
        <v>31306</v>
      </c>
      <c r="D258" s="59">
        <v>24932</v>
      </c>
      <c r="E258" s="59">
        <v>2021</v>
      </c>
      <c r="F258" s="59">
        <v>2010</v>
      </c>
      <c r="G258" s="60">
        <f>IF(OR(E258="",F258="",C258="",D258=""),"",IF(C258+D258=0,"",(E258*C258+F258*D258)/(C258+D258)))</f>
        <v/>
      </c>
      <c r="H258" s="59">
        <v>1923</v>
      </c>
      <c r="I258" s="60">
        <f>IF(OR(H258="",E258="",C258="",D258=""),"",IF(C258+D258=0,"",(H258*D258+E258*C258)/(C258+D258)))</f>
        <v/>
      </c>
      <c r="J258" s="59">
        <v>1995</v>
      </c>
      <c r="K258" s="61">
        <f>IF(OR(J258="",I258=""),"",J258-I258)</f>
        <v/>
      </c>
      <c r="L258" s="61">
        <f>IF(OR(J258="",G258=""),"",J258-G258)</f>
        <v/>
      </c>
      <c r="M258" s="59">
        <v>1955</v>
      </c>
      <c r="N258" s="59">
        <v>1731</v>
      </c>
      <c r="O258" s="59">
        <v>160</v>
      </c>
      <c r="P258" s="59">
        <v>364</v>
      </c>
      <c r="Q258" s="59"/>
      <c r="R258" s="60">
        <f>IF(AND(P258="",Q258=""),"",N(P258)+N(Q258))</f>
        <v/>
      </c>
      <c r="S258" s="59">
        <v>28733</v>
      </c>
      <c r="T258" s="59">
        <v>23493</v>
      </c>
      <c r="U258" s="62">
        <f>IF(OR(R258="",S258="",T258=""),"",IF(S258+T258=0,"",R258/(S258+T258)))</f>
        <v/>
      </c>
      <c r="V258" s="63" t="s">
        <v>109</v>
      </c>
      <c r="W258" s="64"/>
      <c r="X258" s="63"/>
    </row>
    <row r="259" spans="2:24">
      <c r="B259" s="58">
        <v>46309</v>
      </c>
      <c r="C259" s="59">
        <v>21025</v>
      </c>
      <c r="D259" s="59">
        <v>21652</v>
      </c>
      <c r="E259" s="59">
        <v>1937</v>
      </c>
      <c r="F259" s="59">
        <v>2112</v>
      </c>
      <c r="G259" s="60">
        <f>IF(OR(E259="",F259="",C259="",D259=""),"",IF(C259+D259=0,"",(E259*C259+F259*D259)/(C259+D259)))</f>
        <v/>
      </c>
      <c r="H259" s="59">
        <v>2101</v>
      </c>
      <c r="I259" s="60">
        <f>IF(OR(H259="",E259="",C259="",D259=""),"",IF(C259+D259=0,"",(H259*D259+E259*C259)/(C259+D259)))</f>
        <v/>
      </c>
      <c r="J259" s="59">
        <v>2068</v>
      </c>
      <c r="K259" s="61">
        <f>IF(OR(J259="",I259=""),"",J259-I259)</f>
        <v/>
      </c>
      <c r="L259" s="61">
        <f>IF(OR(J259="",G259=""),"",J259-G259)</f>
        <v/>
      </c>
      <c r="M259" s="59">
        <v>2204</v>
      </c>
      <c r="N259" s="59">
        <v>2027</v>
      </c>
      <c r="O259" s="59">
        <v>160</v>
      </c>
      <c r="P259" s="59">
        <v>412</v>
      </c>
      <c r="Q259" s="59">
        <v>50</v>
      </c>
      <c r="R259" s="60">
        <f>IF(AND(P259="",Q259=""),"",N(P259)+N(Q259))</f>
        <v/>
      </c>
      <c r="S259" s="59">
        <v>16694</v>
      </c>
      <c r="T259" s="59">
        <v>21216</v>
      </c>
      <c r="U259" s="62">
        <f>IF(OR(R259="",S259="",T259=""),"",IF(S259+T259=0,"",R259/(S259+T259)))</f>
        <v/>
      </c>
      <c r="V259" s="63" t="s">
        <v>109</v>
      </c>
      <c r="W259" s="64"/>
      <c r="X259" s="63"/>
    </row>
    <row r="260" spans="2:24">
      <c r="B260" s="58">
        <v>46310</v>
      </c>
      <c r="C260" s="59">
        <v>15877</v>
      </c>
      <c r="D260" s="59">
        <v>17186</v>
      </c>
      <c r="E260" s="59">
        <v>2115</v>
      </c>
      <c r="F260" s="59">
        <v>2079</v>
      </c>
      <c r="G260" s="60">
        <f>IF(OR(E260="",F260="",C260="",D260=""),"",IF(C260+D260=0,"",(E260*C260+F260*D260)/(C260+D260)))</f>
        <v/>
      </c>
      <c r="H260" s="59">
        <v>2053</v>
      </c>
      <c r="I260" s="60">
        <f>IF(OR(H260="",E260="",C260="",D260=""),"",IF(C260+D260=0,"",(H260*D260+E260*C260)/(C260+D260)))</f>
        <v/>
      </c>
      <c r="J260" s="59">
        <v>2210</v>
      </c>
      <c r="K260" s="61">
        <f>IF(OR(J260="",I260=""),"",J260-I260)</f>
        <v/>
      </c>
      <c r="L260" s="61">
        <f>IF(OR(J260="",G260=""),"",J260-G260)</f>
        <v/>
      </c>
      <c r="M260" s="59">
        <v>2475</v>
      </c>
      <c r="N260" s="59">
        <v>2272</v>
      </c>
      <c r="O260" s="59">
        <v>160</v>
      </c>
      <c r="P260" s="59">
        <v>335</v>
      </c>
      <c r="Q260" s="59"/>
      <c r="R260" s="60">
        <f>IF(AND(P260="",Q260=""),"",N(P260)+N(Q260))</f>
        <v/>
      </c>
      <c r="S260" s="59">
        <v>18292</v>
      </c>
      <c r="T260" s="59">
        <v>22019</v>
      </c>
      <c r="U260" s="62">
        <f>IF(OR(R260="",S260="",T260=""),"",IF(S260+T260=0,"",R260/(S260+T260)))</f>
        <v/>
      </c>
      <c r="V260" s="63" t="s">
        <v>109</v>
      </c>
      <c r="W260" s="64"/>
      <c r="X260" s="63"/>
    </row>
    <row r="261" spans="2:24">
      <c r="B261" s="58"/>
      <c r="C261" s="59"/>
      <c r="D261" s="59"/>
      <c r="E261" s="59"/>
      <c r="F261" s="59"/>
      <c r="G261" s="60">
        <f>IF(OR(E261="",F261="",C261="",D261=""),"",IF(C261+D261=0,"",(E261*C261+F261*D261)/(C261+D261)))</f>
        <v/>
      </c>
      <c r="H261" s="59"/>
      <c r="I261" s="60">
        <f>IF(OR(H261="",E261="",C261="",D261=""),"",IF(C261+D261=0,"",(H261*D261+E261*C261)/(C261+D261)))</f>
        <v/>
      </c>
      <c r="J261" s="59"/>
      <c r="K261" s="61">
        <f>IF(OR(J261="",I261=""),"",J261-I261)</f>
        <v/>
      </c>
      <c r="L261" s="61">
        <f>IF(OR(J261="",G261=""),"",J261-G261)</f>
        <v/>
      </c>
      <c r="M261" s="59"/>
      <c r="N261" s="59"/>
      <c r="O261" s="59"/>
      <c r="P261" s="59"/>
      <c r="Q261" s="59"/>
      <c r="R261" s="60">
        <f>IF(AND(P261="",Q261=""),"",N(P261)+N(Q261))</f>
        <v/>
      </c>
      <c r="S261" s="59"/>
      <c r="T261" s="59"/>
      <c r="U261" s="62">
        <f>IF(OR(R261="",S261="",T261=""),"",IF(S261+T261=0,"",R261/(S261+T261)))</f>
        <v/>
      </c>
      <c r="V261" s="63"/>
      <c r="W261" s="64"/>
      <c r="X261" s="63"/>
    </row>
    <row r="262" spans="2:24">
      <c r="B262" s="58"/>
      <c r="C262" s="59"/>
      <c r="D262" s="59"/>
      <c r="E262" s="59"/>
      <c r="F262" s="59"/>
      <c r="G262" s="60">
        <f>IF(OR(E262="",F262="",C262="",D262=""),"",IF(C262+D262=0,"",(E262*C262+F262*D262)/(C262+D262)))</f>
        <v/>
      </c>
      <c r="H262" s="59"/>
      <c r="I262" s="60">
        <f>IF(OR(H262="",E262="",C262="",D262=""),"",IF(C262+D262=0,"",(H262*D262+E262*C262)/(C262+D262)))</f>
        <v/>
      </c>
      <c r="J262" s="59"/>
      <c r="K262" s="61">
        <f>IF(OR(J262="",I262=""),"",J262-I262)</f>
        <v/>
      </c>
      <c r="L262" s="61">
        <f>IF(OR(J262="",G262=""),"",J262-G262)</f>
        <v/>
      </c>
      <c r="M262" s="59"/>
      <c r="N262" s="59"/>
      <c r="O262" s="59"/>
      <c r="P262" s="59"/>
      <c r="Q262" s="59"/>
      <c r="R262" s="60">
        <f>IF(AND(P262="",Q262=""),"",N(P262)+N(Q262))</f>
        <v/>
      </c>
      <c r="S262" s="59"/>
      <c r="T262" s="59"/>
      <c r="U262" s="62">
        <f>IF(OR(R262="",S262="",T262=""),"",IF(S262+T262=0,"",R262/(S262+T262)))</f>
        <v/>
      </c>
      <c r="V262" s="63"/>
      <c r="W262" s="64"/>
      <c r="X262" s="63"/>
    </row>
    <row r="263" spans="2:24">
      <c r="B263" s="58"/>
      <c r="C263" s="59"/>
      <c r="D263" s="59"/>
      <c r="E263" s="59"/>
      <c r="F263" s="59"/>
      <c r="G263" s="60">
        <f>IF(OR(E263="",F263="",C263="",D263=""),"",IF(C263+D263=0,"",(E263*C263+F263*D263)/(C263+D263)))</f>
        <v/>
      </c>
      <c r="H263" s="59"/>
      <c r="I263" s="60">
        <f>IF(OR(H263="",E263="",C263="",D263=""),"",IF(C263+D263=0,"",(H263*D263+E263*C263)/(C263+D263)))</f>
        <v/>
      </c>
      <c r="J263" s="59"/>
      <c r="K263" s="61">
        <f>IF(OR(J263="",I263=""),"",J263-I263)</f>
        <v/>
      </c>
      <c r="L263" s="61">
        <f>IF(OR(J263="",G263=""),"",J263-G263)</f>
        <v/>
      </c>
      <c r="M263" s="59"/>
      <c r="N263" s="59"/>
      <c r="O263" s="59"/>
      <c r="P263" s="59"/>
      <c r="Q263" s="59"/>
      <c r="R263" s="60">
        <f>IF(AND(P263="",Q263=""),"",N(P263)+N(Q263))</f>
        <v/>
      </c>
      <c r="S263" s="59"/>
      <c r="T263" s="59"/>
      <c r="U263" s="62">
        <f>IF(OR(R263="",S263="",T263=""),"",IF(S263+T263=0,"",R263/(S263+T263)))</f>
        <v/>
      </c>
      <c r="V263" s="63"/>
      <c r="W263" s="64"/>
      <c r="X263" s="63"/>
    </row>
    <row r="264" spans="2:24">
      <c r="B264" s="58"/>
      <c r="C264" s="59"/>
      <c r="D264" s="59"/>
      <c r="E264" s="59"/>
      <c r="F264" s="59"/>
      <c r="G264" s="60">
        <f>IF(OR(E264="",F264="",C264="",D264=""),"",IF(C264+D264=0,"",(E264*C264+F264*D264)/(C264+D264)))</f>
        <v/>
      </c>
      <c r="H264" s="59"/>
      <c r="I264" s="60">
        <f>IF(OR(H264="",E264="",C264="",D264=""),"",IF(C264+D264=0,"",(H264*D264+E264*C264)/(C264+D264)))</f>
        <v/>
      </c>
      <c r="J264" s="59"/>
      <c r="K264" s="61">
        <f>IF(OR(J264="",I264=""),"",J264-I264)</f>
        <v/>
      </c>
      <c r="L264" s="61">
        <f>IF(OR(J264="",G264=""),"",J264-G264)</f>
        <v/>
      </c>
      <c r="M264" s="59"/>
      <c r="N264" s="59"/>
      <c r="O264" s="59"/>
      <c r="P264" s="59"/>
      <c r="Q264" s="59"/>
      <c r="R264" s="60">
        <f>IF(AND(P264="",Q264=""),"",N(P264)+N(Q264))</f>
        <v/>
      </c>
      <c r="S264" s="59"/>
      <c r="T264" s="59"/>
      <c r="U264" s="62">
        <f>IF(OR(R264="",S264="",T264=""),"",IF(S264+T264=0,"",R264/(S264+T264)))</f>
        <v/>
      </c>
      <c r="V264" s="63"/>
      <c r="W264" s="64"/>
      <c r="X264" s="63"/>
    </row>
    <row r="265" spans="2:24">
      <c r="B265" s="58"/>
      <c r="C265" s="59"/>
      <c r="D265" s="59"/>
      <c r="E265" s="59"/>
      <c r="F265" s="59"/>
      <c r="G265" s="60">
        <f>IF(OR(E265="",F265="",C265="",D265=""),"",IF(C265+D265=0,"",(E265*C265+F265*D265)/(C265+D265)))</f>
        <v/>
      </c>
      <c r="H265" s="59"/>
      <c r="I265" s="60">
        <f>IF(OR(H265="",E265="",C265="",D265=""),"",IF(C265+D265=0,"",(H265*D265+E265*C265)/(C265+D265)))</f>
        <v/>
      </c>
      <c r="J265" s="59"/>
      <c r="K265" s="61">
        <f>IF(OR(J265="",I265=""),"",J265-I265)</f>
        <v/>
      </c>
      <c r="L265" s="61">
        <f>IF(OR(J265="",G265=""),"",J265-G265)</f>
        <v/>
      </c>
      <c r="M265" s="59"/>
      <c r="N265" s="59"/>
      <c r="O265" s="59"/>
      <c r="P265" s="59"/>
      <c r="Q265" s="59"/>
      <c r="R265" s="60">
        <f>IF(AND(P265="",Q265=""),"",N(P265)+N(Q265))</f>
        <v/>
      </c>
      <c r="S265" s="59"/>
      <c r="T265" s="59"/>
      <c r="U265" s="62">
        <f>IF(OR(R265="",S265="",T265=""),"",IF(S265+T265=0,"",R265/(S265+T265)))</f>
        <v/>
      </c>
      <c r="V265" s="63"/>
      <c r="W265" s="64"/>
      <c r="X265" s="63"/>
    </row>
    <row r="266" spans="2:24">
      <c r="B266" s="58"/>
      <c r="C266" s="59"/>
      <c r="D266" s="59"/>
      <c r="E266" s="59"/>
      <c r="F266" s="59"/>
      <c r="G266" s="60">
        <f>IF(OR(E266="",F266="",C266="",D266=""),"",IF(C266+D266=0,"",(E266*C266+F266*D266)/(C266+D266)))</f>
        <v/>
      </c>
      <c r="H266" s="59"/>
      <c r="I266" s="60">
        <f>IF(OR(H266="",E266="",C266="",D266=""),"",IF(C266+D266=0,"",(H266*D266+E266*C266)/(C266+D266)))</f>
        <v/>
      </c>
      <c r="J266" s="59"/>
      <c r="K266" s="61">
        <f>IF(OR(J266="",I266=""),"",J266-I266)</f>
        <v/>
      </c>
      <c r="L266" s="61">
        <f>IF(OR(J266="",G266=""),"",J266-G266)</f>
        <v/>
      </c>
      <c r="M266" s="59"/>
      <c r="N266" s="59"/>
      <c r="O266" s="59"/>
      <c r="P266" s="59"/>
      <c r="Q266" s="59"/>
      <c r="R266" s="60">
        <f>IF(AND(P266="",Q266=""),"",N(P266)+N(Q266))</f>
        <v/>
      </c>
      <c r="S266" s="59"/>
      <c r="T266" s="59"/>
      <c r="U266" s="62">
        <f>IF(OR(R266="",S266="",T266=""),"",IF(S266+T266=0,"",R266/(S266+T266)))</f>
        <v/>
      </c>
      <c r="V266" s="63"/>
      <c r="W266" s="64"/>
      <c r="X266" s="63"/>
    </row>
    <row r="267" spans="2:24">
      <c r="B267" s="58"/>
      <c r="C267" s="59"/>
      <c r="D267" s="59"/>
      <c r="E267" s="59"/>
      <c r="F267" s="59"/>
      <c r="G267" s="60">
        <f>IF(OR(E267="",F267="",C267="",D267=""),"",IF(C267+D267=0,"",(E267*C267+F267*D267)/(C267+D267)))</f>
        <v/>
      </c>
      <c r="H267" s="59"/>
      <c r="I267" s="60">
        <f>IF(OR(H267="",E267="",C267="",D267=""),"",IF(C267+D267=0,"",(H267*D267+E267*C267)/(C267+D267)))</f>
        <v/>
      </c>
      <c r="J267" s="59"/>
      <c r="K267" s="61">
        <f>IF(OR(J267="",I267=""),"",J267-I267)</f>
        <v/>
      </c>
      <c r="L267" s="61">
        <f>IF(OR(J267="",G267=""),"",J267-G267)</f>
        <v/>
      </c>
      <c r="M267" s="59"/>
      <c r="N267" s="59"/>
      <c r="O267" s="59"/>
      <c r="P267" s="59"/>
      <c r="Q267" s="59"/>
      <c r="R267" s="60">
        <f>IF(AND(P267="",Q267=""),"",N(P267)+N(Q267))</f>
        <v/>
      </c>
      <c r="S267" s="59"/>
      <c r="T267" s="59"/>
      <c r="U267" s="62">
        <f>IF(OR(R267="",S267="",T267=""),"",IF(S267+T267=0,"",R267/(S267+T267)))</f>
        <v/>
      </c>
      <c r="V267" s="63"/>
      <c r="W267" s="64"/>
      <c r="X267" s="63"/>
    </row>
    <row r="268" spans="2:24">
      <c r="B268" s="58"/>
      <c r="C268" s="59"/>
      <c r="D268" s="59"/>
      <c r="E268" s="59"/>
      <c r="F268" s="59"/>
      <c r="G268" s="60">
        <f>IF(OR(E268="",F268="",C268="",D268=""),"",IF(C268+D268=0,"",(E268*C268+F268*D268)/(C268+D268)))</f>
        <v/>
      </c>
      <c r="H268" s="59"/>
      <c r="I268" s="60">
        <f>IF(OR(H268="",E268="",C268="",D268=""),"",IF(C268+D268=0,"",(H268*D268+E268*C268)/(C268+D268)))</f>
        <v/>
      </c>
      <c r="J268" s="59"/>
      <c r="K268" s="61">
        <f>IF(OR(J268="",I268=""),"",J268-I268)</f>
        <v/>
      </c>
      <c r="L268" s="61">
        <f>IF(OR(J268="",G268=""),"",J268-G268)</f>
        <v/>
      </c>
      <c r="M268" s="59"/>
      <c r="N268" s="59"/>
      <c r="O268" s="59"/>
      <c r="P268" s="59"/>
      <c r="Q268" s="59"/>
      <c r="R268" s="60">
        <f>IF(AND(P268="",Q268=""),"",N(P268)+N(Q268))</f>
        <v/>
      </c>
      <c r="S268" s="59"/>
      <c r="T268" s="59"/>
      <c r="U268" s="62">
        <f>IF(OR(R268="",S268="",T268=""),"",IF(S268+T268=0,"",R268/(S268+T268)))</f>
        <v/>
      </c>
      <c r="V268" s="63"/>
      <c r="W268" s="64"/>
      <c r="X268" s="63"/>
    </row>
    <row r="269" spans="2:24">
      <c r="B269" s="58"/>
      <c r="C269" s="59"/>
      <c r="D269" s="59"/>
      <c r="E269" s="59"/>
      <c r="F269" s="59"/>
      <c r="G269" s="60">
        <f>IF(OR(E269="",F269="",C269="",D269=""),"",IF(C269+D269=0,"",(E269*C269+F269*D269)/(C269+D269)))</f>
        <v/>
      </c>
      <c r="H269" s="59"/>
      <c r="I269" s="60">
        <f>IF(OR(H269="",E269="",C269="",D269=""),"",IF(C269+D269=0,"",(H269*D269+E269*C269)/(C269+D269)))</f>
        <v/>
      </c>
      <c r="J269" s="59"/>
      <c r="K269" s="61">
        <f>IF(OR(J269="",I269=""),"",J269-I269)</f>
        <v/>
      </c>
      <c r="L269" s="61">
        <f>IF(OR(J269="",G269=""),"",J269-G269)</f>
        <v/>
      </c>
      <c r="M269" s="59"/>
      <c r="N269" s="59"/>
      <c r="O269" s="59"/>
      <c r="P269" s="59"/>
      <c r="Q269" s="59"/>
      <c r="R269" s="60">
        <f>IF(AND(P269="",Q269=""),"",N(P269)+N(Q269))</f>
        <v/>
      </c>
      <c r="S269" s="59"/>
      <c r="T269" s="59"/>
      <c r="U269" s="62">
        <f>IF(OR(R269="",S269="",T269=""),"",IF(S269+T269=0,"",R269/(S269+T269)))</f>
        <v/>
      </c>
      <c r="V269" s="63"/>
      <c r="W269" s="64"/>
      <c r="X269" s="63"/>
    </row>
    <row r="270" spans="2:24">
      <c r="B270" s="58"/>
      <c r="C270" s="59"/>
      <c r="D270" s="59"/>
      <c r="E270" s="59"/>
      <c r="F270" s="59"/>
      <c r="G270" s="60">
        <f>IF(OR(E270="",F270="",C270="",D270=""),"",IF(C270+D270=0,"",(E270*C270+F270*D270)/(C270+D270)))</f>
        <v/>
      </c>
      <c r="H270" s="59"/>
      <c r="I270" s="60">
        <f>IF(OR(H270="",E270="",C270="",D270=""),"",IF(C270+D270=0,"",(H270*D270+E270*C270)/(C270+D270)))</f>
        <v/>
      </c>
      <c r="J270" s="59"/>
      <c r="K270" s="61">
        <f>IF(OR(J270="",I270=""),"",J270-I270)</f>
        <v/>
      </c>
      <c r="L270" s="61">
        <f>IF(OR(J270="",G270=""),"",J270-G270)</f>
        <v/>
      </c>
      <c r="M270" s="59"/>
      <c r="N270" s="59"/>
      <c r="O270" s="59"/>
      <c r="P270" s="59"/>
      <c r="Q270" s="59"/>
      <c r="R270" s="60">
        <f>IF(AND(P270="",Q270=""),"",N(P270)+N(Q270))</f>
        <v/>
      </c>
      <c r="S270" s="59"/>
      <c r="T270" s="59"/>
      <c r="U270" s="62">
        <f>IF(OR(R270="",S270="",T270=""),"",IF(S270+T270=0,"",R270/(S270+T270)))</f>
        <v/>
      </c>
      <c r="V270" s="63"/>
      <c r="W270" s="64"/>
      <c r="X270" s="63"/>
    </row>
    <row r="271" spans="2:24">
      <c r="B271" s="58"/>
      <c r="C271" s="59"/>
      <c r="D271" s="59"/>
      <c r="E271" s="59"/>
      <c r="F271" s="59"/>
      <c r="G271" s="60">
        <f>IF(OR(E271="",F271="",C271="",D271=""),"",IF(C271+D271=0,"",(E271*C271+F271*D271)/(C271+D271)))</f>
        <v/>
      </c>
      <c r="H271" s="59"/>
      <c r="I271" s="60">
        <f>IF(OR(H271="",E271="",C271="",D271=""),"",IF(C271+D271=0,"",(H271*D271+E271*C271)/(C271+D271)))</f>
        <v/>
      </c>
      <c r="J271" s="59"/>
      <c r="K271" s="61">
        <f>IF(OR(J271="",I271=""),"",J271-I271)</f>
        <v/>
      </c>
      <c r="L271" s="61">
        <f>IF(OR(J271="",G271=""),"",J271-G271)</f>
        <v/>
      </c>
      <c r="M271" s="59"/>
      <c r="N271" s="59"/>
      <c r="O271" s="59"/>
      <c r="P271" s="59"/>
      <c r="Q271" s="59"/>
      <c r="R271" s="60">
        <f>IF(AND(P271="",Q271=""),"",N(P271)+N(Q271))</f>
        <v/>
      </c>
      <c r="S271" s="59"/>
      <c r="T271" s="59"/>
      <c r="U271" s="62">
        <f>IF(OR(R271="",S271="",T271=""),"",IF(S271+T271=0,"",R271/(S271+T271)))</f>
        <v/>
      </c>
      <c r="V271" s="63"/>
      <c r="W271" s="64"/>
      <c r="X271" s="63"/>
    </row>
    <row r="272" spans="2:24">
      <c r="B272" s="58"/>
      <c r="C272" s="59"/>
      <c r="D272" s="59"/>
      <c r="E272" s="59"/>
      <c r="F272" s="59"/>
      <c r="G272" s="60">
        <f>IF(OR(E272="",F272="",C272="",D272=""),"",IF(C272+D272=0,"",(E272*C272+F272*D272)/(C272+D272)))</f>
        <v/>
      </c>
      <c r="H272" s="59"/>
      <c r="I272" s="60">
        <f>IF(OR(H272="",E272="",C272="",D272=""),"",IF(C272+D272=0,"",(H272*D272+E272*C272)/(C272+D272)))</f>
        <v/>
      </c>
      <c r="J272" s="59"/>
      <c r="K272" s="61">
        <f>IF(OR(J272="",I272=""),"",J272-I272)</f>
        <v/>
      </c>
      <c r="L272" s="61">
        <f>IF(OR(J272="",G272=""),"",J272-G272)</f>
        <v/>
      </c>
      <c r="M272" s="59"/>
      <c r="N272" s="59"/>
      <c r="O272" s="59"/>
      <c r="P272" s="59"/>
      <c r="Q272" s="59"/>
      <c r="R272" s="60">
        <f>IF(AND(P272="",Q272=""),"",N(P272)+N(Q272))</f>
        <v/>
      </c>
      <c r="S272" s="59"/>
      <c r="T272" s="59"/>
      <c r="U272" s="62">
        <f>IF(OR(R272="",S272="",T272=""),"",IF(S272+T272=0,"",R272/(S272+T272)))</f>
        <v/>
      </c>
      <c r="V272" s="63"/>
      <c r="W272" s="64"/>
      <c r="X272" s="63"/>
    </row>
    <row r="273" spans="2:24">
      <c r="B273" s="58"/>
      <c r="C273" s="59"/>
      <c r="D273" s="59"/>
      <c r="E273" s="59"/>
      <c r="F273" s="59"/>
      <c r="G273" s="60">
        <f>IF(OR(E273="",F273="",C273="",D273=""),"",IF(C273+D273=0,"",(E273*C273+F273*D273)/(C273+D273)))</f>
        <v/>
      </c>
      <c r="H273" s="59"/>
      <c r="I273" s="60">
        <f>IF(OR(H273="",E273="",C273="",D273=""),"",IF(C273+D273=0,"",(H273*D273+E273*C273)/(C273+D273)))</f>
        <v/>
      </c>
      <c r="J273" s="59"/>
      <c r="K273" s="61">
        <f>IF(OR(J273="",I273=""),"",J273-I273)</f>
        <v/>
      </c>
      <c r="L273" s="61">
        <f>IF(OR(J273="",G273=""),"",J273-G273)</f>
        <v/>
      </c>
      <c r="M273" s="59"/>
      <c r="N273" s="59"/>
      <c r="O273" s="59"/>
      <c r="P273" s="59"/>
      <c r="Q273" s="59"/>
      <c r="R273" s="60">
        <f>IF(AND(P273="",Q273=""),"",N(P273)+N(Q273))</f>
        <v/>
      </c>
      <c r="S273" s="59"/>
      <c r="T273" s="59"/>
      <c r="U273" s="62">
        <f>IF(OR(R273="",S273="",T273=""),"",IF(S273+T273=0,"",R273/(S273+T273)))</f>
        <v/>
      </c>
      <c r="V273" s="63"/>
      <c r="W273" s="64"/>
      <c r="X273" s="63"/>
    </row>
    <row r="274" spans="2:24">
      <c r="B274" s="58"/>
      <c r="C274" s="59"/>
      <c r="D274" s="59"/>
      <c r="E274" s="59"/>
      <c r="F274" s="59"/>
      <c r="G274" s="60">
        <f>IF(OR(E274="",F274="",C274="",D274=""),"",IF(C274+D274=0,"",(E274*C274+F274*D274)/(C274+D274)))</f>
        <v/>
      </c>
      <c r="H274" s="59"/>
      <c r="I274" s="60">
        <f>IF(OR(H274="",E274="",C274="",D274=""),"",IF(C274+D274=0,"",(H274*D274+E274*C274)/(C274+D274)))</f>
        <v/>
      </c>
      <c r="J274" s="59"/>
      <c r="K274" s="61">
        <f>IF(OR(J274="",I274=""),"",J274-I274)</f>
        <v/>
      </c>
      <c r="L274" s="61">
        <f>IF(OR(J274="",G274=""),"",J274-G274)</f>
        <v/>
      </c>
      <c r="M274" s="59"/>
      <c r="N274" s="59"/>
      <c r="O274" s="59"/>
      <c r="P274" s="59"/>
      <c r="Q274" s="59"/>
      <c r="R274" s="60">
        <f>IF(AND(P274="",Q274=""),"",N(P274)+N(Q274))</f>
        <v/>
      </c>
      <c r="S274" s="59"/>
      <c r="T274" s="59"/>
      <c r="U274" s="62">
        <f>IF(OR(R274="",S274="",T274=""),"",IF(S274+T274=0,"",R274/(S274+T274)))</f>
        <v/>
      </c>
      <c r="V274" s="63"/>
      <c r="W274" s="64"/>
      <c r="X274" s="63"/>
    </row>
    <row r="275" spans="2:24">
      <c r="B275" s="58"/>
      <c r="C275" s="59"/>
      <c r="D275" s="59"/>
      <c r="E275" s="59"/>
      <c r="F275" s="59"/>
      <c r="G275" s="60">
        <f>IF(OR(E275="",F275="",C275="",D275=""),"",IF(C275+D275=0,"",(E275*C275+F275*D275)/(C275+D275)))</f>
        <v/>
      </c>
      <c r="H275" s="59"/>
      <c r="I275" s="60">
        <f>IF(OR(H275="",E275="",C275="",D275=""),"",IF(C275+D275=0,"",(H275*D275+E275*C275)/(C275+D275)))</f>
        <v/>
      </c>
      <c r="J275" s="59"/>
      <c r="K275" s="61">
        <f>IF(OR(J275="",I275=""),"",J275-I275)</f>
        <v/>
      </c>
      <c r="L275" s="61">
        <f>IF(OR(J275="",G275=""),"",J275-G275)</f>
        <v/>
      </c>
      <c r="M275" s="59"/>
      <c r="N275" s="59"/>
      <c r="O275" s="59"/>
      <c r="P275" s="59"/>
      <c r="Q275" s="59"/>
      <c r="R275" s="60">
        <f>IF(AND(P275="",Q275=""),"",N(P275)+N(Q275))</f>
        <v/>
      </c>
      <c r="S275" s="59"/>
      <c r="T275" s="59"/>
      <c r="U275" s="62">
        <f>IF(OR(R275="",S275="",T275=""),"",IF(S275+T275=0,"",R275/(S275+T275)))</f>
        <v/>
      </c>
      <c r="V275" s="63"/>
      <c r="W275" s="64"/>
      <c r="X275" s="63"/>
    </row>
    <row r="276" spans="2:24">
      <c r="B276" s="58"/>
      <c r="C276" s="59"/>
      <c r="D276" s="59"/>
      <c r="E276" s="59"/>
      <c r="F276" s="59"/>
      <c r="G276" s="60">
        <f>IF(OR(E276="",F276="",C276="",D276=""),"",IF(C276+D276=0,"",(E276*C276+F276*D276)/(C276+D276)))</f>
        <v/>
      </c>
      <c r="H276" s="59"/>
      <c r="I276" s="60">
        <f>IF(OR(H276="",E276="",C276="",D276=""),"",IF(C276+D276=0,"",(H276*D276+E276*C276)/(C276+D276)))</f>
        <v/>
      </c>
      <c r="J276" s="59"/>
      <c r="K276" s="61">
        <f>IF(OR(J276="",I276=""),"",J276-I276)</f>
        <v/>
      </c>
      <c r="L276" s="61">
        <f>IF(OR(J276="",G276=""),"",J276-G276)</f>
        <v/>
      </c>
      <c r="M276" s="59"/>
      <c r="N276" s="59"/>
      <c r="O276" s="59"/>
      <c r="P276" s="59"/>
      <c r="Q276" s="59"/>
      <c r="R276" s="60">
        <f>IF(AND(P276="",Q276=""),"",N(P276)+N(Q276))</f>
        <v/>
      </c>
      <c r="S276" s="59"/>
      <c r="T276" s="59"/>
      <c r="U276" s="62">
        <f>IF(OR(R276="",S276="",T276=""),"",IF(S276+T276=0,"",R276/(S276+T276)))</f>
        <v/>
      </c>
      <c r="V276" s="63"/>
      <c r="W276" s="64"/>
      <c r="X276" s="63"/>
    </row>
    <row r="277" spans="2:24">
      <c r="B277" s="58"/>
      <c r="C277" s="59"/>
      <c r="D277" s="59"/>
      <c r="E277" s="59"/>
      <c r="F277" s="59"/>
      <c r="G277" s="60">
        <f>IF(OR(E277="",F277="",C277="",D277=""),"",IF(C277+D277=0,"",(E277*C277+F277*D277)/(C277+D277)))</f>
        <v/>
      </c>
      <c r="H277" s="59"/>
      <c r="I277" s="60">
        <f>IF(OR(H277="",E277="",C277="",D277=""),"",IF(C277+D277=0,"",(H277*D277+E277*C277)/(C277+D277)))</f>
        <v/>
      </c>
      <c r="J277" s="59"/>
      <c r="K277" s="61">
        <f>IF(OR(J277="",I277=""),"",J277-I277)</f>
        <v/>
      </c>
      <c r="L277" s="61">
        <f>IF(OR(J277="",G277=""),"",J277-G277)</f>
        <v/>
      </c>
      <c r="M277" s="59"/>
      <c r="N277" s="59"/>
      <c r="O277" s="59"/>
      <c r="P277" s="59"/>
      <c r="Q277" s="59"/>
      <c r="R277" s="60">
        <f>IF(AND(P277="",Q277=""),"",N(P277)+N(Q277))</f>
        <v/>
      </c>
      <c r="S277" s="59"/>
      <c r="T277" s="59"/>
      <c r="U277" s="62">
        <f>IF(OR(R277="",S277="",T277=""),"",IF(S277+T277=0,"",R277/(S277+T277)))</f>
        <v/>
      </c>
      <c r="V277" s="63"/>
      <c r="W277" s="64"/>
      <c r="X277" s="63"/>
    </row>
    <row r="278" spans="2:24">
      <c r="B278" s="58"/>
      <c r="C278" s="59"/>
      <c r="D278" s="59"/>
      <c r="E278" s="59"/>
      <c r="F278" s="59"/>
      <c r="G278" s="60">
        <f>IF(OR(E278="",F278="",C278="",D278=""),"",IF(C278+D278=0,"",(E278*C278+F278*D278)/(C278+D278)))</f>
        <v/>
      </c>
      <c r="H278" s="59"/>
      <c r="I278" s="60">
        <f>IF(OR(H278="",E278="",C278="",D278=""),"",IF(C278+D278=0,"",(H278*D278+E278*C278)/(C278+D278)))</f>
        <v/>
      </c>
      <c r="J278" s="59"/>
      <c r="K278" s="61">
        <f>IF(OR(J278="",I278=""),"",J278-I278)</f>
        <v/>
      </c>
      <c r="L278" s="61">
        <f>IF(OR(J278="",G278=""),"",J278-G278)</f>
        <v/>
      </c>
      <c r="M278" s="59"/>
      <c r="N278" s="59"/>
      <c r="O278" s="59"/>
      <c r="P278" s="59"/>
      <c r="Q278" s="59"/>
      <c r="R278" s="60">
        <f>IF(AND(P278="",Q278=""),"",N(P278)+N(Q278))</f>
        <v/>
      </c>
      <c r="S278" s="59"/>
      <c r="T278" s="59"/>
      <c r="U278" s="62">
        <f>IF(OR(R278="",S278="",T278=""),"",IF(S278+T278=0,"",R278/(S278+T278)))</f>
        <v/>
      </c>
      <c r="V278" s="63"/>
      <c r="W278" s="64"/>
      <c r="X278" s="63"/>
    </row>
    <row r="279" spans="2:24">
      <c r="B279" s="58"/>
      <c r="C279" s="59"/>
      <c r="D279" s="59"/>
      <c r="E279" s="59"/>
      <c r="F279" s="59"/>
      <c r="G279" s="60">
        <f>IF(OR(E279="",F279="",C279="",D279=""),"",IF(C279+D279=0,"",(E279*C279+F279*D279)/(C279+D279)))</f>
        <v/>
      </c>
      <c r="H279" s="59"/>
      <c r="I279" s="60">
        <f>IF(OR(H279="",E279="",C279="",D279=""),"",IF(C279+D279=0,"",(H279*D279+E279*C279)/(C279+D279)))</f>
        <v/>
      </c>
      <c r="J279" s="59"/>
      <c r="K279" s="61">
        <f>IF(OR(J279="",I279=""),"",J279-I279)</f>
        <v/>
      </c>
      <c r="L279" s="61">
        <f>IF(OR(J279="",G279=""),"",J279-G279)</f>
        <v/>
      </c>
      <c r="M279" s="59"/>
      <c r="N279" s="59"/>
      <c r="O279" s="59"/>
      <c r="P279" s="59"/>
      <c r="Q279" s="59"/>
      <c r="R279" s="60">
        <f>IF(AND(P279="",Q279=""),"",N(P279)+N(Q279))</f>
        <v/>
      </c>
      <c r="S279" s="59"/>
      <c r="T279" s="59"/>
      <c r="U279" s="62">
        <f>IF(OR(R279="",S279="",T279=""),"",IF(S279+T279=0,"",R279/(S279+T279)))</f>
        <v/>
      </c>
      <c r="V279" s="63"/>
      <c r="W279" s="64"/>
      <c r="X279" s="63"/>
    </row>
    <row r="280" spans="2:24">
      <c r="B280" s="58"/>
      <c r="C280" s="59"/>
      <c r="D280" s="59"/>
      <c r="E280" s="59"/>
      <c r="F280" s="59"/>
      <c r="G280" s="60">
        <f>IF(OR(E280="",F280="",C280="",D280=""),"",IF(C280+D280=0,"",(E280*C280+F280*D280)/(C280+D280)))</f>
        <v/>
      </c>
      <c r="H280" s="59"/>
      <c r="I280" s="60">
        <f>IF(OR(H280="",E280="",C280="",D280=""),"",IF(C280+D280=0,"",(H280*D280+E280*C280)/(C280+D280)))</f>
        <v/>
      </c>
      <c r="J280" s="59"/>
      <c r="K280" s="61">
        <f>IF(OR(J280="",I280=""),"",J280-I280)</f>
        <v/>
      </c>
      <c r="L280" s="61">
        <f>IF(OR(J280="",G280=""),"",J280-G280)</f>
        <v/>
      </c>
      <c r="M280" s="59"/>
      <c r="N280" s="59"/>
      <c r="O280" s="59"/>
      <c r="P280" s="59"/>
      <c r="Q280" s="59"/>
      <c r="R280" s="60">
        <f>IF(AND(P280="",Q280=""),"",N(P280)+N(Q280))</f>
        <v/>
      </c>
      <c r="S280" s="59"/>
      <c r="T280" s="59"/>
      <c r="U280" s="62">
        <f>IF(OR(R280="",S280="",T280=""),"",IF(S280+T280=0,"",R280/(S280+T280)))</f>
        <v/>
      </c>
      <c r="V280" s="63"/>
      <c r="W280" s="64"/>
      <c r="X280" s="63"/>
    </row>
    <row r="281" spans="2:24">
      <c r="B281" s="58"/>
      <c r="C281" s="59"/>
      <c r="D281" s="59"/>
      <c r="E281" s="59"/>
      <c r="F281" s="59"/>
      <c r="G281" s="60">
        <f>IF(OR(E281="",F281="",C281="",D281=""),"",IF(C281+D281=0,"",(E281*C281+F281*D281)/(C281+D281)))</f>
        <v/>
      </c>
      <c r="H281" s="59"/>
      <c r="I281" s="60">
        <f>IF(OR(H281="",E281="",C281="",D281=""),"",IF(C281+D281=0,"",(H281*D281+E281*C281)/(C281+D281)))</f>
        <v/>
      </c>
      <c r="J281" s="59"/>
      <c r="K281" s="61">
        <f>IF(OR(J281="",I281=""),"",J281-I281)</f>
        <v/>
      </c>
      <c r="L281" s="61">
        <f>IF(OR(J281="",G281=""),"",J281-G281)</f>
        <v/>
      </c>
      <c r="M281" s="59"/>
      <c r="N281" s="59"/>
      <c r="O281" s="59"/>
      <c r="P281" s="59"/>
      <c r="Q281" s="59"/>
      <c r="R281" s="60">
        <f>IF(AND(P281="",Q281=""),"",N(P281)+N(Q281))</f>
        <v/>
      </c>
      <c r="S281" s="59"/>
      <c r="T281" s="59"/>
      <c r="U281" s="62">
        <f>IF(OR(R281="",S281="",T281=""),"",IF(S281+T281=0,"",R281/(S281+T281)))</f>
        <v/>
      </c>
      <c r="V281" s="63"/>
      <c r="W281" s="64"/>
      <c r="X281" s="63"/>
    </row>
    <row r="282" spans="2:24">
      <c r="B282" s="58"/>
      <c r="C282" s="59"/>
      <c r="D282" s="59"/>
      <c r="E282" s="59"/>
      <c r="F282" s="59"/>
      <c r="G282" s="60">
        <f>IF(OR(E282="",F282="",C282="",D282=""),"",IF(C282+D282=0,"",(E282*C282+F282*D282)/(C282+D282)))</f>
        <v/>
      </c>
      <c r="H282" s="59"/>
      <c r="I282" s="60">
        <f>IF(OR(H282="",E282="",C282="",D282=""),"",IF(C282+D282=0,"",(H282*D282+E282*C282)/(C282+D282)))</f>
        <v/>
      </c>
      <c r="J282" s="59"/>
      <c r="K282" s="61">
        <f>IF(OR(J282="",I282=""),"",J282-I282)</f>
        <v/>
      </c>
      <c r="L282" s="61">
        <f>IF(OR(J282="",G282=""),"",J282-G282)</f>
        <v/>
      </c>
      <c r="M282" s="59"/>
      <c r="N282" s="59"/>
      <c r="O282" s="59"/>
      <c r="P282" s="59"/>
      <c r="Q282" s="59"/>
      <c r="R282" s="60">
        <f>IF(AND(P282="",Q282=""),"",N(P282)+N(Q282))</f>
        <v/>
      </c>
      <c r="S282" s="59"/>
      <c r="T282" s="59"/>
      <c r="U282" s="62">
        <f>IF(OR(R282="",S282="",T282=""),"",IF(S282+T282=0,"",R282/(S282+T282)))</f>
        <v/>
      </c>
      <c r="V282" s="63"/>
      <c r="W282" s="64"/>
      <c r="X282" s="63"/>
    </row>
    <row r="283" spans="2:24">
      <c r="B283" s="58"/>
      <c r="C283" s="59"/>
      <c r="D283" s="59"/>
      <c r="E283" s="59"/>
      <c r="F283" s="59"/>
      <c r="G283" s="60">
        <f>IF(OR(E283="",F283="",C283="",D283=""),"",IF(C283+D283=0,"",(E283*C283+F283*D283)/(C283+D283)))</f>
        <v/>
      </c>
      <c r="H283" s="59"/>
      <c r="I283" s="60">
        <f>IF(OR(H283="",E283="",C283="",D283=""),"",IF(C283+D283=0,"",(H283*D283+E283*C283)/(C283+D283)))</f>
        <v/>
      </c>
      <c r="J283" s="59"/>
      <c r="K283" s="61">
        <f>IF(OR(J283="",I283=""),"",J283-I283)</f>
        <v/>
      </c>
      <c r="L283" s="61">
        <f>IF(OR(J283="",G283=""),"",J283-G283)</f>
        <v/>
      </c>
      <c r="M283" s="59"/>
      <c r="N283" s="59"/>
      <c r="O283" s="59"/>
      <c r="P283" s="59"/>
      <c r="Q283" s="59"/>
      <c r="R283" s="60">
        <f>IF(AND(P283="",Q283=""),"",N(P283)+N(Q283))</f>
        <v/>
      </c>
      <c r="S283" s="59"/>
      <c r="T283" s="59"/>
      <c r="U283" s="62">
        <f>IF(OR(R283="",S283="",T283=""),"",IF(S283+T283=0,"",R283/(S283+T283)))</f>
        <v/>
      </c>
      <c r="V283" s="63"/>
      <c r="W283" s="64"/>
      <c r="X283" s="63"/>
    </row>
    <row r="284" spans="2:24">
      <c r="B284" s="58"/>
      <c r="C284" s="59"/>
      <c r="D284" s="59"/>
      <c r="E284" s="59"/>
      <c r="F284" s="59"/>
      <c r="G284" s="60">
        <f>IF(OR(E284="",F284="",C284="",D284=""),"",IF(C284+D284=0,"",(E284*C284+F284*D284)/(C284+D284)))</f>
        <v/>
      </c>
      <c r="H284" s="59"/>
      <c r="I284" s="60">
        <f>IF(OR(H284="",E284="",C284="",D284=""),"",IF(C284+D284=0,"",(H284*D284+E284*C284)/(C284+D284)))</f>
        <v/>
      </c>
      <c r="J284" s="59"/>
      <c r="K284" s="61">
        <f>IF(OR(J284="",I284=""),"",J284-I284)</f>
        <v/>
      </c>
      <c r="L284" s="61">
        <f>IF(OR(J284="",G284=""),"",J284-G284)</f>
        <v/>
      </c>
      <c r="M284" s="59"/>
      <c r="N284" s="59"/>
      <c r="O284" s="59"/>
      <c r="P284" s="59"/>
      <c r="Q284" s="59"/>
      <c r="R284" s="60">
        <f>IF(AND(P284="",Q284=""),"",N(P284)+N(Q284))</f>
        <v/>
      </c>
      <c r="S284" s="59"/>
      <c r="T284" s="59"/>
      <c r="U284" s="62">
        <f>IF(OR(R284="",S284="",T284=""),"",IF(S284+T284=0,"",R284/(S284+T284)))</f>
        <v/>
      </c>
      <c r="V284" s="63"/>
      <c r="W284" s="64"/>
      <c r="X284" s="63"/>
    </row>
    <row r="285" spans="2:24">
      <c r="B285" s="58"/>
      <c r="C285" s="59"/>
      <c r="D285" s="59"/>
      <c r="E285" s="59"/>
      <c r="F285" s="59"/>
      <c r="G285" s="60">
        <f>IF(OR(E285="",F285="",C285="",D285=""),"",IF(C285+D285=0,"",(E285*C285+F285*D285)/(C285+D285)))</f>
        <v/>
      </c>
      <c r="H285" s="59"/>
      <c r="I285" s="60">
        <f>IF(OR(H285="",E285="",C285="",D285=""),"",IF(C285+D285=0,"",(H285*D285+E285*C285)/(C285+D285)))</f>
        <v/>
      </c>
      <c r="J285" s="59"/>
      <c r="K285" s="61">
        <f>IF(OR(J285="",I285=""),"",J285-I285)</f>
        <v/>
      </c>
      <c r="L285" s="61">
        <f>IF(OR(J285="",G285=""),"",J285-G285)</f>
        <v/>
      </c>
      <c r="M285" s="59"/>
      <c r="N285" s="59"/>
      <c r="O285" s="59"/>
      <c r="P285" s="59"/>
      <c r="Q285" s="59"/>
      <c r="R285" s="60">
        <f>IF(AND(P285="",Q285=""),"",N(P285)+N(Q285))</f>
        <v/>
      </c>
      <c r="S285" s="59"/>
      <c r="T285" s="59"/>
      <c r="U285" s="62">
        <f>IF(OR(R285="",S285="",T285=""),"",IF(S285+T285=0,"",R285/(S285+T285)))</f>
        <v/>
      </c>
      <c r="V285" s="63"/>
      <c r="W285" s="64"/>
      <c r="X285" s="63"/>
    </row>
    <row r="286" spans="2:24">
      <c r="B286" s="58"/>
      <c r="C286" s="59"/>
      <c r="D286" s="59"/>
      <c r="E286" s="59"/>
      <c r="F286" s="59"/>
      <c r="G286" s="60">
        <f>IF(OR(E286="",F286="",C286="",D286=""),"",IF(C286+D286=0,"",(E286*C286+F286*D286)/(C286+D286)))</f>
        <v/>
      </c>
      <c r="H286" s="59"/>
      <c r="I286" s="60">
        <f>IF(OR(H286="",E286="",C286="",D286=""),"",IF(C286+D286=0,"",(H286*D286+E286*C286)/(C286+D286)))</f>
        <v/>
      </c>
      <c r="J286" s="59"/>
      <c r="K286" s="61">
        <f>IF(OR(J286="",I286=""),"",J286-I286)</f>
        <v/>
      </c>
      <c r="L286" s="61">
        <f>IF(OR(J286="",G286=""),"",J286-G286)</f>
        <v/>
      </c>
      <c r="M286" s="59"/>
      <c r="N286" s="59"/>
      <c r="O286" s="59"/>
      <c r="P286" s="59"/>
      <c r="Q286" s="59"/>
      <c r="R286" s="60">
        <f>IF(AND(P286="",Q286=""),"",N(P286)+N(Q286))</f>
        <v/>
      </c>
      <c r="S286" s="59"/>
      <c r="T286" s="59"/>
      <c r="U286" s="62">
        <f>IF(OR(R286="",S286="",T286=""),"",IF(S286+T286=0,"",R286/(S286+T286)))</f>
        <v/>
      </c>
      <c r="V286" s="63"/>
      <c r="W286" s="64"/>
      <c r="X286" s="63"/>
    </row>
    <row r="287" spans="2:24">
      <c r="B287" s="58"/>
      <c r="C287" s="59"/>
      <c r="D287" s="59"/>
      <c r="E287" s="59"/>
      <c r="F287" s="59"/>
      <c r="G287" s="60">
        <f>IF(OR(E287="",F287="",C287="",D287=""),"",IF(C287+D287=0,"",(E287*C287+F287*D287)/(C287+D287)))</f>
        <v/>
      </c>
      <c r="H287" s="59"/>
      <c r="I287" s="60">
        <f>IF(OR(H287="",E287="",C287="",D287=""),"",IF(C287+D287=0,"",(H287*D287+E287*C287)/(C287+D287)))</f>
        <v/>
      </c>
      <c r="J287" s="59"/>
      <c r="K287" s="61">
        <f>IF(OR(J287="",I287=""),"",J287-I287)</f>
        <v/>
      </c>
      <c r="L287" s="61">
        <f>IF(OR(J287="",G287=""),"",J287-G287)</f>
        <v/>
      </c>
      <c r="M287" s="59"/>
      <c r="N287" s="59"/>
      <c r="O287" s="59"/>
      <c r="P287" s="59"/>
      <c r="Q287" s="59"/>
      <c r="R287" s="60">
        <f>IF(AND(P287="",Q287=""),"",N(P287)+N(Q287))</f>
        <v/>
      </c>
      <c r="S287" s="59"/>
      <c r="T287" s="59"/>
      <c r="U287" s="62">
        <f>IF(OR(R287="",S287="",T287=""),"",IF(S287+T287=0,"",R287/(S287+T287)))</f>
        <v/>
      </c>
      <c r="V287" s="63"/>
      <c r="W287" s="64"/>
      <c r="X287" s="63"/>
    </row>
    <row r="288" spans="2:24">
      <c r="B288" s="58"/>
      <c r="C288" s="59"/>
      <c r="D288" s="59"/>
      <c r="E288" s="59"/>
      <c r="F288" s="59"/>
      <c r="G288" s="60">
        <f>IF(OR(E288="",F288="",C288="",D288=""),"",IF(C288+D288=0,"",(E288*C288+F288*D288)/(C288+D288)))</f>
        <v/>
      </c>
      <c r="H288" s="59"/>
      <c r="I288" s="60">
        <f>IF(OR(H288="",E288="",C288="",D288=""),"",IF(C288+D288=0,"",(H288*D288+E288*C288)/(C288+D288)))</f>
        <v/>
      </c>
      <c r="J288" s="59"/>
      <c r="K288" s="61">
        <f>IF(OR(J288="",I288=""),"",J288-I288)</f>
        <v/>
      </c>
      <c r="L288" s="61">
        <f>IF(OR(J288="",G288=""),"",J288-G288)</f>
        <v/>
      </c>
      <c r="M288" s="59"/>
      <c r="N288" s="59"/>
      <c r="O288" s="59"/>
      <c r="P288" s="59"/>
      <c r="Q288" s="59"/>
      <c r="R288" s="60">
        <f>IF(AND(P288="",Q288=""),"",N(P288)+N(Q288))</f>
        <v/>
      </c>
      <c r="S288" s="59"/>
      <c r="T288" s="59"/>
      <c r="U288" s="62">
        <f>IF(OR(R288="",S288="",T288=""),"",IF(S288+T288=0,"",R288/(S288+T288)))</f>
        <v/>
      </c>
      <c r="V288" s="63"/>
      <c r="W288" s="64"/>
      <c r="X288" s="63"/>
    </row>
    <row r="289" spans="2:24">
      <c r="B289" s="58"/>
      <c r="C289" s="59"/>
      <c r="D289" s="59"/>
      <c r="E289" s="59"/>
      <c r="F289" s="59"/>
      <c r="G289" s="60">
        <f>IF(OR(E289="",F289="",C289="",D289=""),"",IF(C289+D289=0,"",(E289*C289+F289*D289)/(C289+D289)))</f>
        <v/>
      </c>
      <c r="H289" s="59"/>
      <c r="I289" s="60">
        <f>IF(OR(H289="",E289="",C289="",D289=""),"",IF(C289+D289=0,"",(H289*D289+E289*C289)/(C289+D289)))</f>
        <v/>
      </c>
      <c r="J289" s="59"/>
      <c r="K289" s="61">
        <f>IF(OR(J289="",I289=""),"",J289-I289)</f>
        <v/>
      </c>
      <c r="L289" s="61">
        <f>IF(OR(J289="",G289=""),"",J289-G289)</f>
        <v/>
      </c>
      <c r="M289" s="59"/>
      <c r="N289" s="59"/>
      <c r="O289" s="59"/>
      <c r="P289" s="59"/>
      <c r="Q289" s="59"/>
      <c r="R289" s="60">
        <f>IF(AND(P289="",Q289=""),"",N(P289)+N(Q289))</f>
        <v/>
      </c>
      <c r="S289" s="59"/>
      <c r="T289" s="59"/>
      <c r="U289" s="62">
        <f>IF(OR(R289="",S289="",T289=""),"",IF(S289+T289=0,"",R289/(S289+T289)))</f>
        <v/>
      </c>
      <c r="V289" s="63"/>
      <c r="W289" s="64"/>
      <c r="X289" s="63"/>
    </row>
    <row r="290" spans="2:24">
      <c r="B290" s="58"/>
      <c r="C290" s="59"/>
      <c r="D290" s="59"/>
      <c r="E290" s="59"/>
      <c r="F290" s="59"/>
      <c r="G290" s="60">
        <f>IF(OR(E290="",F290="",C290="",D290=""),"",IF(C290+D290=0,"",(E290*C290+F290*D290)/(C290+D290)))</f>
        <v/>
      </c>
      <c r="H290" s="59"/>
      <c r="I290" s="60">
        <f>IF(OR(H290="",E290="",C290="",D290=""),"",IF(C290+D290=0,"",(H290*D290+E290*C290)/(C290+D290)))</f>
        <v/>
      </c>
      <c r="J290" s="59"/>
      <c r="K290" s="61">
        <f>IF(OR(J290="",I290=""),"",J290-I290)</f>
        <v/>
      </c>
      <c r="L290" s="61">
        <f>IF(OR(J290="",G290=""),"",J290-G290)</f>
        <v/>
      </c>
      <c r="M290" s="59"/>
      <c r="N290" s="59"/>
      <c r="O290" s="59"/>
      <c r="P290" s="59"/>
      <c r="Q290" s="59"/>
      <c r="R290" s="60">
        <f>IF(AND(P290="",Q290=""),"",N(P290)+N(Q290))</f>
        <v/>
      </c>
      <c r="S290" s="59"/>
      <c r="T290" s="59"/>
      <c r="U290" s="62">
        <f>IF(OR(R290="",S290="",T290=""),"",IF(S290+T290=0,"",R290/(S290+T290)))</f>
        <v/>
      </c>
      <c r="V290" s="63"/>
      <c r="W290" s="64"/>
      <c r="X290" s="63"/>
    </row>
    <row r="291" spans="2:24">
      <c r="B291" s="58"/>
      <c r="C291" s="59"/>
      <c r="D291" s="59"/>
      <c r="E291" s="59"/>
      <c r="F291" s="59"/>
      <c r="G291" s="60">
        <f>IF(OR(E291="",F291="",C291="",D291=""),"",IF(C291+D291=0,"",(E291*C291+F291*D291)/(C291+D291)))</f>
        <v/>
      </c>
      <c r="H291" s="59"/>
      <c r="I291" s="60">
        <f>IF(OR(H291="",E291="",C291="",D291=""),"",IF(C291+D291=0,"",(H291*D291+E291*C291)/(C291+D291)))</f>
        <v/>
      </c>
      <c r="J291" s="59"/>
      <c r="K291" s="61">
        <f>IF(OR(J291="",I291=""),"",J291-I291)</f>
        <v/>
      </c>
      <c r="L291" s="61">
        <f>IF(OR(J291="",G291=""),"",J291-G291)</f>
        <v/>
      </c>
      <c r="M291" s="59"/>
      <c r="N291" s="59"/>
      <c r="O291" s="59"/>
      <c r="P291" s="59"/>
      <c r="Q291" s="59"/>
      <c r="R291" s="60">
        <f>IF(AND(P291="",Q291=""),"",N(P291)+N(Q291))</f>
        <v/>
      </c>
      <c r="S291" s="59"/>
      <c r="T291" s="59"/>
      <c r="U291" s="62">
        <f>IF(OR(R291="",S291="",T291=""),"",IF(S291+T291=0,"",R291/(S291+T291)))</f>
        <v/>
      </c>
      <c r="V291" s="63"/>
      <c r="W291" s="64"/>
      <c r="X291" s="63"/>
    </row>
    <row r="292" spans="2:24">
      <c r="B292" s="58"/>
      <c r="C292" s="59"/>
      <c r="D292" s="59"/>
      <c r="E292" s="59"/>
      <c r="F292" s="59"/>
      <c r="G292" s="60">
        <f>IF(OR(E292="",F292="",C292="",D292=""),"",IF(C292+D292=0,"",(E292*C292+F292*D292)/(C292+D292)))</f>
        <v/>
      </c>
      <c r="H292" s="59"/>
      <c r="I292" s="60">
        <f>IF(OR(H292="",E292="",C292="",D292=""),"",IF(C292+D292=0,"",(H292*D292+E292*C292)/(C292+D292)))</f>
        <v/>
      </c>
      <c r="J292" s="59"/>
      <c r="K292" s="61">
        <f>IF(OR(J292="",I292=""),"",J292-I292)</f>
        <v/>
      </c>
      <c r="L292" s="61">
        <f>IF(OR(J292="",G292=""),"",J292-G292)</f>
        <v/>
      </c>
      <c r="M292" s="59"/>
      <c r="N292" s="59"/>
      <c r="O292" s="59"/>
      <c r="P292" s="59"/>
      <c r="Q292" s="59"/>
      <c r="R292" s="60">
        <f>IF(AND(P292="",Q292=""),"",N(P292)+N(Q292))</f>
        <v/>
      </c>
      <c r="S292" s="59"/>
      <c r="T292" s="59"/>
      <c r="U292" s="62">
        <f>IF(OR(R292="",S292="",T292=""),"",IF(S292+T292=0,"",R292/(S292+T292)))</f>
        <v/>
      </c>
      <c r="V292" s="63"/>
      <c r="W292" s="64"/>
      <c r="X292" s="63"/>
    </row>
    <row r="293" spans="2:24">
      <c r="B293" s="58"/>
      <c r="C293" s="59"/>
      <c r="D293" s="59"/>
      <c r="E293" s="59"/>
      <c r="F293" s="59"/>
      <c r="G293" s="60">
        <f>IF(OR(E293="",F293="",C293="",D293=""),"",IF(C293+D293=0,"",(E293*C293+F293*D293)/(C293+D293)))</f>
        <v/>
      </c>
      <c r="H293" s="59"/>
      <c r="I293" s="60">
        <f>IF(OR(H293="",E293="",C293="",D293=""),"",IF(C293+D293=0,"",(H293*D293+E293*C293)/(C293+D293)))</f>
        <v/>
      </c>
      <c r="J293" s="59"/>
      <c r="K293" s="61">
        <f>IF(OR(J293="",I293=""),"",J293-I293)</f>
        <v/>
      </c>
      <c r="L293" s="61">
        <f>IF(OR(J293="",G293=""),"",J293-G293)</f>
        <v/>
      </c>
      <c r="M293" s="59"/>
      <c r="N293" s="59"/>
      <c r="O293" s="59"/>
      <c r="P293" s="59"/>
      <c r="Q293" s="59"/>
      <c r="R293" s="60">
        <f>IF(AND(P293="",Q293=""),"",N(P293)+N(Q293))</f>
        <v/>
      </c>
      <c r="S293" s="59"/>
      <c r="T293" s="59"/>
      <c r="U293" s="62">
        <f>IF(OR(R293="",S293="",T293=""),"",IF(S293+T293=0,"",R293/(S293+T293)))</f>
        <v/>
      </c>
      <c r="V293" s="63"/>
      <c r="W293" s="64"/>
      <c r="X293" s="63"/>
    </row>
    <row r="294" spans="2:24">
      <c r="B294" s="58"/>
      <c r="C294" s="59"/>
      <c r="D294" s="59"/>
      <c r="E294" s="59"/>
      <c r="F294" s="59"/>
      <c r="G294" s="60">
        <f>IF(OR(E294="",F294="",C294="",D294=""),"",IF(C294+D294=0,"",(E294*C294+F294*D294)/(C294+D294)))</f>
        <v/>
      </c>
      <c r="H294" s="59"/>
      <c r="I294" s="60">
        <f>IF(OR(H294="",E294="",C294="",D294=""),"",IF(C294+D294=0,"",(H294*D294+E294*C294)/(C294+D294)))</f>
        <v/>
      </c>
      <c r="J294" s="59"/>
      <c r="K294" s="61">
        <f>IF(OR(J294="",I294=""),"",J294-I294)</f>
        <v/>
      </c>
      <c r="L294" s="61">
        <f>IF(OR(J294="",G294=""),"",J294-G294)</f>
        <v/>
      </c>
      <c r="M294" s="59"/>
      <c r="N294" s="59"/>
      <c r="O294" s="59"/>
      <c r="P294" s="59"/>
      <c r="Q294" s="59"/>
      <c r="R294" s="60">
        <f>IF(AND(P294="",Q294=""),"",N(P294)+N(Q294))</f>
        <v/>
      </c>
      <c r="S294" s="59"/>
      <c r="T294" s="59"/>
      <c r="U294" s="62">
        <f>IF(OR(R294="",S294="",T294=""),"",IF(S294+T294=0,"",R294/(S294+T294)))</f>
        <v/>
      </c>
      <c r="V294" s="63"/>
      <c r="W294" s="64"/>
      <c r="X294" s="63"/>
    </row>
    <row r="295" spans="2:24">
      <c r="B295" s="58"/>
      <c r="C295" s="59"/>
      <c r="D295" s="59"/>
      <c r="E295" s="59"/>
      <c r="F295" s="59"/>
      <c r="G295" s="60">
        <f>IF(OR(E295="",F295="",C295="",D295=""),"",IF(C295+D295=0,"",(E295*C295+F295*D295)/(C295+D295)))</f>
        <v/>
      </c>
      <c r="H295" s="59"/>
      <c r="I295" s="60">
        <f>IF(OR(H295="",E295="",C295="",D295=""),"",IF(C295+D295=0,"",(H295*D295+E295*C295)/(C295+D295)))</f>
        <v/>
      </c>
      <c r="J295" s="59"/>
      <c r="K295" s="61">
        <f>IF(OR(J295="",I295=""),"",J295-I295)</f>
        <v/>
      </c>
      <c r="L295" s="61">
        <f>IF(OR(J295="",G295=""),"",J295-G295)</f>
        <v/>
      </c>
      <c r="M295" s="59"/>
      <c r="N295" s="59"/>
      <c r="O295" s="59"/>
      <c r="P295" s="59"/>
      <c r="Q295" s="59"/>
      <c r="R295" s="60">
        <f>IF(AND(P295="",Q295=""),"",N(P295)+N(Q295))</f>
        <v/>
      </c>
      <c r="S295" s="59"/>
      <c r="T295" s="59"/>
      <c r="U295" s="62">
        <f>IF(OR(R295="",S295="",T295=""),"",IF(S295+T295=0,"",R295/(S295+T295)))</f>
        <v/>
      </c>
      <c r="V295" s="63"/>
      <c r="W295" s="64"/>
      <c r="X295" s="63"/>
    </row>
    <row r="296" spans="2:24">
      <c r="B296" s="58"/>
      <c r="C296" s="59"/>
      <c r="D296" s="59"/>
      <c r="E296" s="59"/>
      <c r="F296" s="59"/>
      <c r="G296" s="60">
        <f>IF(OR(E296="",F296="",C296="",D296=""),"",IF(C296+D296=0,"",(E296*C296+F296*D296)/(C296+D296)))</f>
        <v/>
      </c>
      <c r="H296" s="59"/>
      <c r="I296" s="60">
        <f>IF(OR(H296="",E296="",C296="",D296=""),"",IF(C296+D296=0,"",(H296*D296+E296*C296)/(C296+D296)))</f>
        <v/>
      </c>
      <c r="J296" s="59"/>
      <c r="K296" s="61">
        <f>IF(OR(J296="",I296=""),"",J296-I296)</f>
        <v/>
      </c>
      <c r="L296" s="61">
        <f>IF(OR(J296="",G296=""),"",J296-G296)</f>
        <v/>
      </c>
      <c r="M296" s="59"/>
      <c r="N296" s="59"/>
      <c r="O296" s="59"/>
      <c r="P296" s="59"/>
      <c r="Q296" s="59"/>
      <c r="R296" s="60">
        <f>IF(AND(P296="",Q296=""),"",N(P296)+N(Q296))</f>
        <v/>
      </c>
      <c r="S296" s="59"/>
      <c r="T296" s="59"/>
      <c r="U296" s="62">
        <f>IF(OR(R296="",S296="",T296=""),"",IF(S296+T296=0,"",R296/(S296+T296)))</f>
        <v/>
      </c>
      <c r="V296" s="63"/>
      <c r="W296" s="64"/>
      <c r="X296" s="63"/>
    </row>
    <row r="297" spans="2:24">
      <c r="B297" s="58"/>
      <c r="C297" s="59"/>
      <c r="D297" s="59"/>
      <c r="E297" s="59"/>
      <c r="F297" s="59"/>
      <c r="G297" s="60">
        <f>IF(OR(E297="",F297="",C297="",D297=""),"",IF(C297+D297=0,"",(E297*C297+F297*D297)/(C297+D297)))</f>
        <v/>
      </c>
      <c r="H297" s="59"/>
      <c r="I297" s="60">
        <f>IF(OR(H297="",E297="",C297="",D297=""),"",IF(C297+D297=0,"",(H297*D297+E297*C297)/(C297+D297)))</f>
        <v/>
      </c>
      <c r="J297" s="59"/>
      <c r="K297" s="61">
        <f>IF(OR(J297="",I297=""),"",J297-I297)</f>
        <v/>
      </c>
      <c r="L297" s="61">
        <f>IF(OR(J297="",G297=""),"",J297-G297)</f>
        <v/>
      </c>
      <c r="M297" s="59"/>
      <c r="N297" s="59"/>
      <c r="O297" s="59"/>
      <c r="P297" s="59"/>
      <c r="Q297" s="59"/>
      <c r="R297" s="60">
        <f>IF(AND(P297="",Q297=""),"",N(P297)+N(Q297))</f>
        <v/>
      </c>
      <c r="S297" s="59"/>
      <c r="T297" s="59"/>
      <c r="U297" s="62">
        <f>IF(OR(R297="",S297="",T297=""),"",IF(S297+T297=0,"",R297/(S297+T297)))</f>
        <v/>
      </c>
      <c r="V297" s="63"/>
      <c r="W297" s="64"/>
      <c r="X297" s="63"/>
    </row>
    <row r="298" spans="2:24">
      <c r="B298" s="58"/>
      <c r="C298" s="59"/>
      <c r="D298" s="59"/>
      <c r="E298" s="59"/>
      <c r="F298" s="59"/>
      <c r="G298" s="60">
        <f>IF(OR(E298="",F298="",C298="",D298=""),"",IF(C298+D298=0,"",(E298*C298+F298*D298)/(C298+D298)))</f>
        <v/>
      </c>
      <c r="H298" s="59"/>
      <c r="I298" s="60">
        <f>IF(OR(H298="",E298="",C298="",D298=""),"",IF(C298+D298=0,"",(H298*D298+E298*C298)/(C298+D298)))</f>
        <v/>
      </c>
      <c r="J298" s="59"/>
      <c r="K298" s="61">
        <f>IF(OR(J298="",I298=""),"",J298-I298)</f>
        <v/>
      </c>
      <c r="L298" s="61">
        <f>IF(OR(J298="",G298=""),"",J298-G298)</f>
        <v/>
      </c>
      <c r="M298" s="59"/>
      <c r="N298" s="59"/>
      <c r="O298" s="59"/>
      <c r="P298" s="59"/>
      <c r="Q298" s="59"/>
      <c r="R298" s="60">
        <f>IF(AND(P298="",Q298=""),"",N(P298)+N(Q298))</f>
        <v/>
      </c>
      <c r="S298" s="59"/>
      <c r="T298" s="59"/>
      <c r="U298" s="62">
        <f>IF(OR(R298="",S298="",T298=""),"",IF(S298+T298=0,"",R298/(S298+T298)))</f>
        <v/>
      </c>
      <c r="V298" s="63"/>
      <c r="W298" s="64"/>
      <c r="X298" s="63"/>
    </row>
    <row r="299" spans="2:24">
      <c r="B299" s="58"/>
      <c r="C299" s="59"/>
      <c r="D299" s="59"/>
      <c r="E299" s="59"/>
      <c r="F299" s="59"/>
      <c r="G299" s="60">
        <f>IF(OR(E299="",F299="",C299="",D299=""),"",IF(C299+D299=0,"",(E299*C299+F299*D299)/(C299+D299)))</f>
        <v/>
      </c>
      <c r="H299" s="59"/>
      <c r="I299" s="60">
        <f>IF(OR(H299="",E299="",C299="",D299=""),"",IF(C299+D299=0,"",(H299*D299+E299*C299)/(C299+D299)))</f>
        <v/>
      </c>
      <c r="J299" s="59"/>
      <c r="K299" s="61">
        <f>IF(OR(J299="",I299=""),"",J299-I299)</f>
        <v/>
      </c>
      <c r="L299" s="61">
        <f>IF(OR(J299="",G299=""),"",J299-G299)</f>
        <v/>
      </c>
      <c r="M299" s="59"/>
      <c r="N299" s="59"/>
      <c r="O299" s="59"/>
      <c r="P299" s="59"/>
      <c r="Q299" s="59"/>
      <c r="R299" s="60">
        <f>IF(AND(P299="",Q299=""),"",N(P299)+N(Q299))</f>
        <v/>
      </c>
      <c r="S299" s="59"/>
      <c r="T299" s="59"/>
      <c r="U299" s="62">
        <f>IF(OR(R299="",S299="",T299=""),"",IF(S299+T299=0,"",R299/(S299+T299)))</f>
        <v/>
      </c>
      <c r="V299" s="63"/>
      <c r="W299" s="64"/>
      <c r="X299" s="63"/>
    </row>
    <row r="300" spans="2:24">
      <c r="B300" s="58"/>
      <c r="C300" s="59"/>
      <c r="D300" s="59"/>
      <c r="E300" s="59"/>
      <c r="F300" s="59"/>
      <c r="G300" s="60">
        <f>IF(OR(E300="",F300="",C300="",D300=""),"",IF(C300+D300=0,"",(E300*C300+F300*D300)/(C300+D300)))</f>
        <v/>
      </c>
      <c r="H300" s="59"/>
      <c r="I300" s="60">
        <f>IF(OR(H300="",E300="",C300="",D300=""),"",IF(C300+D300=0,"",(H300*D300+E300*C300)/(C300+D300)))</f>
        <v/>
      </c>
      <c r="J300" s="59"/>
      <c r="K300" s="61">
        <f>IF(OR(J300="",I300=""),"",J300-I300)</f>
        <v/>
      </c>
      <c r="L300" s="61">
        <f>IF(OR(J300="",G300=""),"",J300-G300)</f>
        <v/>
      </c>
      <c r="M300" s="59"/>
      <c r="N300" s="59"/>
      <c r="O300" s="59"/>
      <c r="P300" s="59"/>
      <c r="Q300" s="59"/>
      <c r="R300" s="60">
        <f>IF(AND(P300="",Q300=""),"",N(P300)+N(Q300))</f>
        <v/>
      </c>
      <c r="S300" s="59"/>
      <c r="T300" s="59"/>
      <c r="U300" s="62">
        <f>IF(OR(R300="",S300="",T300=""),"",IF(S300+T300=0,"",R300/(S300+T300)))</f>
        <v/>
      </c>
      <c r="V300" s="63"/>
      <c r="W300" s="64"/>
      <c r="X300" s="63"/>
    </row>
    <row r="301" spans="2:24">
      <c r="B301" s="58"/>
      <c r="C301" s="59"/>
      <c r="D301" s="59"/>
      <c r="E301" s="59"/>
      <c r="F301" s="59"/>
      <c r="G301" s="60">
        <f>IF(OR(E301="",F301="",C301="",D301=""),"",IF(C301+D301=0,"",(E301*C301+F301*D301)/(C301+D301)))</f>
        <v/>
      </c>
      <c r="H301" s="59"/>
      <c r="I301" s="60">
        <f>IF(OR(H301="",E301="",C301="",D301=""),"",IF(C301+D301=0,"",(H301*D301+E301*C301)/(C301+D301)))</f>
        <v/>
      </c>
      <c r="J301" s="59"/>
      <c r="K301" s="61">
        <f>IF(OR(J301="",I301=""),"",J301-I301)</f>
        <v/>
      </c>
      <c r="L301" s="61">
        <f>IF(OR(J301="",G301=""),"",J301-G301)</f>
        <v/>
      </c>
      <c r="M301" s="59"/>
      <c r="N301" s="59"/>
      <c r="O301" s="59"/>
      <c r="P301" s="59"/>
      <c r="Q301" s="59"/>
      <c r="R301" s="60">
        <f>IF(AND(P301="",Q301=""),"",N(P301)+N(Q301))</f>
        <v/>
      </c>
      <c r="S301" s="59"/>
      <c r="T301" s="59"/>
      <c r="U301" s="62">
        <f>IF(OR(R301="",S301="",T301=""),"",IF(S301+T301=0,"",R301/(S301+T301)))</f>
        <v/>
      </c>
      <c r="V301" s="63"/>
      <c r="W301" s="64"/>
      <c r="X301" s="63"/>
    </row>
    <row r="302" spans="2:24">
      <c r="B302" s="58"/>
      <c r="C302" s="59"/>
      <c r="D302" s="59"/>
      <c r="E302" s="59"/>
      <c r="F302" s="59"/>
      <c r="G302" s="60">
        <f>IF(OR(E302="",F302="",C302="",D302=""),"",IF(C302+D302=0,"",(E302*C302+F302*D302)/(C302+D302)))</f>
        <v/>
      </c>
      <c r="H302" s="59"/>
      <c r="I302" s="60">
        <f>IF(OR(H302="",E302="",C302="",D302=""),"",IF(C302+D302=0,"",(H302*D302+E302*C302)/(C302+D302)))</f>
        <v/>
      </c>
      <c r="J302" s="59"/>
      <c r="K302" s="61">
        <f>IF(OR(J302="",I302=""),"",J302-I302)</f>
        <v/>
      </c>
      <c r="L302" s="61">
        <f>IF(OR(J302="",G302=""),"",J302-G302)</f>
        <v/>
      </c>
      <c r="M302" s="59"/>
      <c r="N302" s="59"/>
      <c r="O302" s="59"/>
      <c r="P302" s="59"/>
      <c r="Q302" s="59"/>
      <c r="R302" s="60">
        <f>IF(AND(P302="",Q302=""),"",N(P302)+N(Q302))</f>
        <v/>
      </c>
      <c r="S302" s="59"/>
      <c r="T302" s="59"/>
      <c r="U302" s="62">
        <f>IF(OR(R302="",S302="",T302=""),"",IF(S302+T302=0,"",R302/(S302+T302)))</f>
        <v/>
      </c>
      <c r="V302" s="63"/>
      <c r="W302" s="64"/>
      <c r="X302" s="63"/>
    </row>
    <row r="303" spans="2:24">
      <c r="B303" s="58"/>
      <c r="C303" s="59"/>
      <c r="D303" s="59"/>
      <c r="E303" s="59"/>
      <c r="F303" s="59"/>
      <c r="G303" s="60">
        <f>IF(OR(E303="",F303="",C303="",D303=""),"",IF(C303+D303=0,"",(E303*C303+F303*D303)/(C303+D303)))</f>
        <v/>
      </c>
      <c r="H303" s="59"/>
      <c r="I303" s="60">
        <f>IF(OR(H303="",E303="",C303="",D303=""),"",IF(C303+D303=0,"",(H303*D303+E303*C303)/(C303+D303)))</f>
        <v/>
      </c>
      <c r="J303" s="59"/>
      <c r="K303" s="61">
        <f>IF(OR(J303="",I303=""),"",J303-I303)</f>
        <v/>
      </c>
      <c r="L303" s="61">
        <f>IF(OR(J303="",G303=""),"",J303-G303)</f>
        <v/>
      </c>
      <c r="M303" s="59"/>
      <c r="N303" s="59"/>
      <c r="O303" s="59"/>
      <c r="P303" s="59"/>
      <c r="Q303" s="59"/>
      <c r="R303" s="60">
        <f>IF(AND(P303="",Q303=""),"",N(P303)+N(Q303))</f>
        <v/>
      </c>
      <c r="S303" s="59"/>
      <c r="T303" s="59"/>
      <c r="U303" s="62">
        <f>IF(OR(R303="",S303="",T303=""),"",IF(S303+T303=0,"",R303/(S303+T303)))</f>
        <v/>
      </c>
      <c r="V303" s="63"/>
      <c r="W303" s="64"/>
      <c r="X303" s="63"/>
    </row>
    <row r="304" spans="2:24">
      <c r="B304" s="58"/>
      <c r="C304" s="59"/>
      <c r="D304" s="59"/>
      <c r="E304" s="59"/>
      <c r="F304" s="59"/>
      <c r="G304" s="60">
        <f>IF(OR(E304="",F304="",C304="",D304=""),"",IF(C304+D304=0,"",(E304*C304+F304*D304)/(C304+D304)))</f>
        <v/>
      </c>
      <c r="H304" s="59"/>
      <c r="I304" s="60">
        <f>IF(OR(H304="",E304="",C304="",D304=""),"",IF(C304+D304=0,"",(H304*D304+E304*C304)/(C304+D304)))</f>
        <v/>
      </c>
      <c r="J304" s="59"/>
      <c r="K304" s="61">
        <f>IF(OR(J304="",I304=""),"",J304-I304)</f>
        <v/>
      </c>
      <c r="L304" s="61">
        <f>IF(OR(J304="",G304=""),"",J304-G304)</f>
        <v/>
      </c>
      <c r="M304" s="59"/>
      <c r="N304" s="59"/>
      <c r="O304" s="59"/>
      <c r="P304" s="59"/>
      <c r="Q304" s="59"/>
      <c r="R304" s="60">
        <f>IF(AND(P304="",Q304=""),"",N(P304)+N(Q304))</f>
        <v/>
      </c>
      <c r="S304" s="59"/>
      <c r="T304" s="59"/>
      <c r="U304" s="62">
        <f>IF(OR(R304="",S304="",T304=""),"",IF(S304+T304=0,"",R304/(S304+T304)))</f>
        <v/>
      </c>
      <c r="V304" s="63"/>
      <c r="W304" s="64"/>
      <c r="X304" s="63"/>
    </row>
    <row r="305" spans="2:24">
      <c r="B305" s="58"/>
      <c r="C305" s="59"/>
      <c r="D305" s="59"/>
      <c r="E305" s="59"/>
      <c r="F305" s="59"/>
      <c r="G305" s="60">
        <f>IF(OR(E305="",F305="",C305="",D305=""),"",IF(C305+D305=0,"",(E305*C305+F305*D305)/(C305+D305)))</f>
        <v/>
      </c>
      <c r="H305" s="59"/>
      <c r="I305" s="60">
        <f>IF(OR(H305="",E305="",C305="",D305=""),"",IF(C305+D305=0,"",(H305*D305+E305*C305)/(C305+D305)))</f>
        <v/>
      </c>
      <c r="J305" s="59"/>
      <c r="K305" s="61">
        <f>IF(OR(J305="",I305=""),"",J305-I305)</f>
        <v/>
      </c>
      <c r="L305" s="61">
        <f>IF(OR(J305="",G305=""),"",J305-G305)</f>
        <v/>
      </c>
      <c r="M305" s="59"/>
      <c r="N305" s="59"/>
      <c r="O305" s="59"/>
      <c r="P305" s="59"/>
      <c r="Q305" s="59"/>
      <c r="R305" s="60">
        <f>IF(AND(P305="",Q305=""),"",N(P305)+N(Q305))</f>
        <v/>
      </c>
      <c r="S305" s="59"/>
      <c r="T305" s="59"/>
      <c r="U305" s="62">
        <f>IF(OR(R305="",S305="",T305=""),"",IF(S305+T305=0,"",R305/(S305+T305)))</f>
        <v/>
      </c>
      <c r="V305" s="63"/>
      <c r="W305" s="64"/>
      <c r="X305" s="63"/>
    </row>
    <row r="306" spans="2:24">
      <c r="B306" s="58"/>
      <c r="C306" s="59"/>
      <c r="D306" s="59"/>
      <c r="E306" s="59"/>
      <c r="F306" s="59"/>
      <c r="G306" s="60">
        <f>IF(OR(E306="",F306="",C306="",D306=""),"",IF(C306+D306=0,"",(E306*C306+F306*D306)/(C306+D306)))</f>
        <v/>
      </c>
      <c r="H306" s="59"/>
      <c r="I306" s="60">
        <f>IF(OR(H306="",E306="",C306="",D306=""),"",IF(C306+D306=0,"",(H306*D306+E306*C306)/(C306+D306)))</f>
        <v/>
      </c>
      <c r="J306" s="59"/>
      <c r="K306" s="61">
        <f>IF(OR(J306="",I306=""),"",J306-I306)</f>
        <v/>
      </c>
      <c r="L306" s="61">
        <f>IF(OR(J306="",G306=""),"",J306-G306)</f>
        <v/>
      </c>
      <c r="M306" s="59"/>
      <c r="N306" s="59"/>
      <c r="O306" s="59"/>
      <c r="P306" s="59"/>
      <c r="Q306" s="59"/>
      <c r="R306" s="60">
        <f>IF(AND(P306="",Q306=""),"",N(P306)+N(Q306))</f>
        <v/>
      </c>
      <c r="S306" s="59"/>
      <c r="T306" s="59"/>
      <c r="U306" s="62">
        <f>IF(OR(R306="",S306="",T306=""),"",IF(S306+T306=0,"",R306/(S306+T306)))</f>
        <v/>
      </c>
      <c r="V306" s="63"/>
      <c r="W306" s="64"/>
      <c r="X306" s="63"/>
    </row>
    <row r="307" spans="2:24">
      <c r="B307" s="58"/>
      <c r="C307" s="59"/>
      <c r="D307" s="59"/>
      <c r="E307" s="59"/>
      <c r="F307" s="59"/>
      <c r="G307" s="60">
        <f>IF(OR(E307="",F307="",C307="",D307=""),"",IF(C307+D307=0,"",(E307*C307+F307*D307)/(C307+D307)))</f>
        <v/>
      </c>
      <c r="H307" s="59"/>
      <c r="I307" s="60">
        <f>IF(OR(H307="",E307="",C307="",D307=""),"",IF(C307+D307=0,"",(H307*D307+E307*C307)/(C307+D307)))</f>
        <v/>
      </c>
      <c r="J307" s="59"/>
      <c r="K307" s="61">
        <f>IF(OR(J307="",I307=""),"",J307-I307)</f>
        <v/>
      </c>
      <c r="L307" s="61">
        <f>IF(OR(J307="",G307=""),"",J307-G307)</f>
        <v/>
      </c>
      <c r="M307" s="59"/>
      <c r="N307" s="59"/>
      <c r="O307" s="59"/>
      <c r="P307" s="59"/>
      <c r="Q307" s="59"/>
      <c r="R307" s="60">
        <f>IF(AND(P307="",Q307=""),"",N(P307)+N(Q307))</f>
        <v/>
      </c>
      <c r="S307" s="59"/>
      <c r="T307" s="59"/>
      <c r="U307" s="62">
        <f>IF(OR(R307="",S307="",T307=""),"",IF(S307+T307=0,"",R307/(S307+T307)))</f>
        <v/>
      </c>
      <c r="V307" s="63"/>
      <c r="W307" s="64"/>
      <c r="X307" s="63"/>
    </row>
    <row r="308" spans="2:24">
      <c r="B308" s="58"/>
      <c r="C308" s="59"/>
      <c r="D308" s="59"/>
      <c r="E308" s="59"/>
      <c r="F308" s="59"/>
      <c r="G308" s="60">
        <f>IF(OR(E308="",F308="",C308="",D308=""),"",IF(C308+D308=0,"",(E308*C308+F308*D308)/(C308+D308)))</f>
        <v/>
      </c>
      <c r="H308" s="59"/>
      <c r="I308" s="60">
        <f>IF(OR(H308="",E308="",C308="",D308=""),"",IF(C308+D308=0,"",(H308*D308+E308*C308)/(C308+D308)))</f>
        <v/>
      </c>
      <c r="J308" s="59"/>
      <c r="K308" s="61">
        <f>IF(OR(J308="",I308=""),"",J308-I308)</f>
        <v/>
      </c>
      <c r="L308" s="61">
        <f>IF(OR(J308="",G308=""),"",J308-G308)</f>
        <v/>
      </c>
      <c r="M308" s="59"/>
      <c r="N308" s="59"/>
      <c r="O308" s="59"/>
      <c r="P308" s="59"/>
      <c r="Q308" s="59"/>
      <c r="R308" s="60">
        <f>IF(AND(P308="",Q308=""),"",N(P308)+N(Q308))</f>
        <v/>
      </c>
      <c r="S308" s="59"/>
      <c r="T308" s="59"/>
      <c r="U308" s="62">
        <f>IF(OR(R308="",S308="",T308=""),"",IF(S308+T308=0,"",R308/(S308+T308)))</f>
        <v/>
      </c>
      <c r="V308" s="63"/>
      <c r="W308" s="64"/>
      <c r="X308" s="63"/>
    </row>
    <row r="309" spans="2:24">
      <c r="B309" s="58"/>
      <c r="C309" s="59"/>
      <c r="D309" s="59"/>
      <c r="E309" s="59"/>
      <c r="F309" s="59"/>
      <c r="G309" s="60">
        <f>IF(OR(E309="",F309="",C309="",D309=""),"",IF(C309+D309=0,"",(E309*C309+F309*D309)/(C309+D309)))</f>
        <v/>
      </c>
      <c r="H309" s="59"/>
      <c r="I309" s="60">
        <f>IF(OR(H309="",E309="",C309="",D309=""),"",IF(C309+D309=0,"",(H309*D309+E309*C309)/(C309+D309)))</f>
        <v/>
      </c>
      <c r="J309" s="59"/>
      <c r="K309" s="61">
        <f>IF(OR(J309="",I309=""),"",J309-I309)</f>
        <v/>
      </c>
      <c r="L309" s="61">
        <f>IF(OR(J309="",G309=""),"",J309-G309)</f>
        <v/>
      </c>
      <c r="M309" s="59"/>
      <c r="N309" s="59"/>
      <c r="O309" s="59"/>
      <c r="P309" s="59"/>
      <c r="Q309" s="59"/>
      <c r="R309" s="60">
        <f>IF(AND(P309="",Q309=""),"",N(P309)+N(Q309))</f>
        <v/>
      </c>
      <c r="S309" s="59"/>
      <c r="T309" s="59"/>
      <c r="U309" s="62">
        <f>IF(OR(R309="",S309="",T309=""),"",IF(S309+T309=0,"",R309/(S309+T309)))</f>
        <v/>
      </c>
      <c r="V309" s="63"/>
      <c r="W309" s="64"/>
      <c r="X309" s="63"/>
    </row>
    <row r="310" spans="2:24">
      <c r="B310" s="58"/>
      <c r="C310" s="59"/>
      <c r="D310" s="59"/>
      <c r="E310" s="59"/>
      <c r="F310" s="59"/>
      <c r="G310" s="60">
        <f>IF(OR(E310="",F310="",C310="",D310=""),"",IF(C310+D310=0,"",(E310*C310+F310*D310)/(C310+D310)))</f>
        <v/>
      </c>
      <c r="H310" s="59"/>
      <c r="I310" s="60">
        <f>IF(OR(H310="",E310="",C310="",D310=""),"",IF(C310+D310=0,"",(H310*D310+E310*C310)/(C310+D310)))</f>
        <v/>
      </c>
      <c r="J310" s="59"/>
      <c r="K310" s="61">
        <f>IF(OR(J310="",I310=""),"",J310-I310)</f>
        <v/>
      </c>
      <c r="L310" s="61">
        <f>IF(OR(J310="",G310=""),"",J310-G310)</f>
        <v/>
      </c>
      <c r="M310" s="59"/>
      <c r="N310" s="59"/>
      <c r="O310" s="59"/>
      <c r="P310" s="59"/>
      <c r="Q310" s="59"/>
      <c r="R310" s="60">
        <f>IF(AND(P310="",Q310=""),"",N(P310)+N(Q310))</f>
        <v/>
      </c>
      <c r="S310" s="59"/>
      <c r="T310" s="59"/>
      <c r="U310" s="62">
        <f>IF(OR(R310="",S310="",T310=""),"",IF(S310+T310=0,"",R310/(S310+T310)))</f>
        <v/>
      </c>
      <c r="V310" s="63"/>
      <c r="W310" s="64"/>
      <c r="X310" s="63"/>
    </row>
    <row r="311" spans="2:24">
      <c r="B311" s="58"/>
      <c r="C311" s="59"/>
      <c r="D311" s="59"/>
      <c r="E311" s="59"/>
      <c r="F311" s="59"/>
      <c r="G311" s="60">
        <f>IF(OR(E311="",F311="",C311="",D311=""),"",IF(C311+D311=0,"",(E311*C311+F311*D311)/(C311+D311)))</f>
        <v/>
      </c>
      <c r="H311" s="59"/>
      <c r="I311" s="60">
        <f>IF(OR(H311="",E311="",C311="",D311=""),"",IF(C311+D311=0,"",(H311*D311+E311*C311)/(C311+D311)))</f>
        <v/>
      </c>
      <c r="J311" s="59"/>
      <c r="K311" s="61">
        <f>IF(OR(J311="",I311=""),"",J311-I311)</f>
        <v/>
      </c>
      <c r="L311" s="61">
        <f>IF(OR(J311="",G311=""),"",J311-G311)</f>
        <v/>
      </c>
      <c r="M311" s="59"/>
      <c r="N311" s="59"/>
      <c r="O311" s="59"/>
      <c r="P311" s="59"/>
      <c r="Q311" s="59"/>
      <c r="R311" s="60">
        <f>IF(AND(P311="",Q311=""),"",N(P311)+N(Q311))</f>
        <v/>
      </c>
      <c r="S311" s="59"/>
      <c r="T311" s="59"/>
      <c r="U311" s="62">
        <f>IF(OR(R311="",S311="",T311=""),"",IF(S311+T311=0,"",R311/(S311+T311)))</f>
        <v/>
      </c>
      <c r="V311" s="63"/>
      <c r="W311" s="64"/>
      <c r="X311" s="63"/>
    </row>
    <row r="312" spans="2:24">
      <c r="B312" s="58"/>
      <c r="C312" s="59"/>
      <c r="D312" s="59"/>
      <c r="E312" s="59"/>
      <c r="F312" s="59"/>
      <c r="G312" s="60">
        <f>IF(OR(E312="",F312="",C312="",D312=""),"",IF(C312+D312=0,"",(E312*C312+F312*D312)/(C312+D312)))</f>
        <v/>
      </c>
      <c r="H312" s="59"/>
      <c r="I312" s="60">
        <f>IF(OR(H312="",E312="",C312="",D312=""),"",IF(C312+D312=0,"",(H312*D312+E312*C312)/(C312+D312)))</f>
        <v/>
      </c>
      <c r="J312" s="59"/>
      <c r="K312" s="61">
        <f>IF(OR(J312="",I312=""),"",J312-I312)</f>
        <v/>
      </c>
      <c r="L312" s="61">
        <f>IF(OR(J312="",G312=""),"",J312-G312)</f>
        <v/>
      </c>
      <c r="M312" s="59"/>
      <c r="N312" s="59"/>
      <c r="O312" s="59"/>
      <c r="P312" s="59"/>
      <c r="Q312" s="59"/>
      <c r="R312" s="60">
        <f>IF(AND(P312="",Q312=""),"",N(P312)+N(Q312))</f>
        <v/>
      </c>
      <c r="S312" s="59"/>
      <c r="T312" s="59"/>
      <c r="U312" s="62">
        <f>IF(OR(R312="",S312="",T312=""),"",IF(S312+T312=0,"",R312/(S312+T312)))</f>
        <v/>
      </c>
      <c r="V312" s="63"/>
      <c r="W312" s="64"/>
      <c r="X312" s="63"/>
    </row>
    <row r="313" spans="2:24">
      <c r="B313" s="58"/>
      <c r="C313" s="59"/>
      <c r="D313" s="59"/>
      <c r="E313" s="59"/>
      <c r="F313" s="59"/>
      <c r="G313" s="60">
        <f>IF(OR(E313="",F313="",C313="",D313=""),"",IF(C313+D313=0,"",(E313*C313+F313*D313)/(C313+D313)))</f>
        <v/>
      </c>
      <c r="H313" s="59"/>
      <c r="I313" s="60">
        <f>IF(OR(H313="",E313="",C313="",D313=""),"",IF(C313+D313=0,"",(H313*D313+E313*C313)/(C313+D313)))</f>
        <v/>
      </c>
      <c r="J313" s="59"/>
      <c r="K313" s="61">
        <f>IF(OR(J313="",I313=""),"",J313-I313)</f>
        <v/>
      </c>
      <c r="L313" s="61">
        <f>IF(OR(J313="",G313=""),"",J313-G313)</f>
        <v/>
      </c>
      <c r="M313" s="59"/>
      <c r="N313" s="59"/>
      <c r="O313" s="59"/>
      <c r="P313" s="59"/>
      <c r="Q313" s="59"/>
      <c r="R313" s="60">
        <f>IF(AND(P313="",Q313=""),"",N(P313)+N(Q313))</f>
        <v/>
      </c>
      <c r="S313" s="59"/>
      <c r="T313" s="59"/>
      <c r="U313" s="62">
        <f>IF(OR(R313="",S313="",T313=""),"",IF(S313+T313=0,"",R313/(S313+T313)))</f>
        <v/>
      </c>
      <c r="V313" s="63"/>
      <c r="W313" s="64"/>
      <c r="X313" s="63"/>
    </row>
    <row r="314" spans="2:24">
      <c r="B314" s="58"/>
      <c r="C314" s="59"/>
      <c r="D314" s="59"/>
      <c r="E314" s="59"/>
      <c r="F314" s="59"/>
      <c r="G314" s="60">
        <f>IF(OR(E314="",F314="",C314="",D314=""),"",IF(C314+D314=0,"",(E314*C314+F314*D314)/(C314+D314)))</f>
        <v/>
      </c>
      <c r="H314" s="59"/>
      <c r="I314" s="60">
        <f>IF(OR(H314="",E314="",C314="",D314=""),"",IF(C314+D314=0,"",(H314*D314+E314*C314)/(C314+D314)))</f>
        <v/>
      </c>
      <c r="J314" s="59"/>
      <c r="K314" s="61">
        <f>IF(OR(J314="",I314=""),"",J314-I314)</f>
        <v/>
      </c>
      <c r="L314" s="61">
        <f>IF(OR(J314="",G314=""),"",J314-G314)</f>
        <v/>
      </c>
      <c r="M314" s="59"/>
      <c r="N314" s="59"/>
      <c r="O314" s="59"/>
      <c r="P314" s="59"/>
      <c r="Q314" s="59"/>
      <c r="R314" s="60">
        <f>IF(AND(P314="",Q314=""),"",N(P314)+N(Q314))</f>
        <v/>
      </c>
      <c r="S314" s="59"/>
      <c r="T314" s="59"/>
      <c r="U314" s="62">
        <f>IF(OR(R314="",S314="",T314=""),"",IF(S314+T314=0,"",R314/(S314+T314)))</f>
        <v/>
      </c>
      <c r="V314" s="63"/>
      <c r="W314" s="64"/>
      <c r="X314" s="63"/>
    </row>
    <row r="315" spans="2:24">
      <c r="B315" s="58"/>
      <c r="C315" s="59"/>
      <c r="D315" s="59"/>
      <c r="E315" s="59"/>
      <c r="F315" s="59"/>
      <c r="G315" s="60">
        <f>IF(OR(E315="",F315="",C315="",D315=""),"",IF(C315+D315=0,"",(E315*C315+F315*D315)/(C315+D315)))</f>
        <v/>
      </c>
      <c r="H315" s="59"/>
      <c r="I315" s="60">
        <f>IF(OR(H315="",E315="",C315="",D315=""),"",IF(C315+D315=0,"",(H315*D315+E315*C315)/(C315+D315)))</f>
        <v/>
      </c>
      <c r="J315" s="59"/>
      <c r="K315" s="61">
        <f>IF(OR(J315="",I315=""),"",J315-I315)</f>
        <v/>
      </c>
      <c r="L315" s="61">
        <f>IF(OR(J315="",G315=""),"",J315-G315)</f>
        <v/>
      </c>
      <c r="M315" s="59"/>
      <c r="N315" s="59"/>
      <c r="O315" s="59"/>
      <c r="P315" s="59"/>
      <c r="Q315" s="59"/>
      <c r="R315" s="60">
        <f>IF(AND(P315="",Q315=""),"",N(P315)+N(Q315))</f>
        <v/>
      </c>
      <c r="S315" s="59"/>
      <c r="T315" s="59"/>
      <c r="U315" s="62">
        <f>IF(OR(R315="",S315="",T315=""),"",IF(S315+T315=0,"",R315/(S315+T315)))</f>
        <v/>
      </c>
      <c r="V315" s="63"/>
      <c r="W315" s="64"/>
      <c r="X315" s="63"/>
    </row>
    <row r="316" spans="2:24">
      <c r="B316" s="58"/>
      <c r="C316" s="59"/>
      <c r="D316" s="59"/>
      <c r="E316" s="59"/>
      <c r="F316" s="59"/>
      <c r="G316" s="60">
        <f>IF(OR(E316="",F316="",C316="",D316=""),"",IF(C316+D316=0,"",(E316*C316+F316*D316)/(C316+D316)))</f>
        <v/>
      </c>
      <c r="H316" s="59"/>
      <c r="I316" s="60">
        <f>IF(OR(H316="",E316="",C316="",D316=""),"",IF(C316+D316=0,"",(H316*D316+E316*C316)/(C316+D316)))</f>
        <v/>
      </c>
      <c r="J316" s="59"/>
      <c r="K316" s="61">
        <f>IF(OR(J316="",I316=""),"",J316-I316)</f>
        <v/>
      </c>
      <c r="L316" s="61">
        <f>IF(OR(J316="",G316=""),"",J316-G316)</f>
        <v/>
      </c>
      <c r="M316" s="59"/>
      <c r="N316" s="59"/>
      <c r="O316" s="59"/>
      <c r="P316" s="59"/>
      <c r="Q316" s="59"/>
      <c r="R316" s="60">
        <f>IF(AND(P316="",Q316=""),"",N(P316)+N(Q316))</f>
        <v/>
      </c>
      <c r="S316" s="59"/>
      <c r="T316" s="59"/>
      <c r="U316" s="62">
        <f>IF(OR(R316="",S316="",T316=""),"",IF(S316+T316=0,"",R316/(S316+T316)))</f>
        <v/>
      </c>
      <c r="V316" s="63"/>
      <c r="W316" s="64"/>
      <c r="X316" s="63"/>
    </row>
    <row r="317" spans="2:24">
      <c r="B317" s="58"/>
      <c r="C317" s="59"/>
      <c r="D317" s="59"/>
      <c r="E317" s="59"/>
      <c r="F317" s="59"/>
      <c r="G317" s="60">
        <f>IF(OR(E317="",F317="",C317="",D317=""),"",IF(C317+D317=0,"",(E317*C317+F317*D317)/(C317+D317)))</f>
        <v/>
      </c>
      <c r="H317" s="59"/>
      <c r="I317" s="60">
        <f>IF(OR(H317="",E317="",C317="",D317=""),"",IF(C317+D317=0,"",(H317*D317+E317*C317)/(C317+D317)))</f>
        <v/>
      </c>
      <c r="J317" s="59"/>
      <c r="K317" s="61">
        <f>IF(OR(J317="",I317=""),"",J317-I317)</f>
        <v/>
      </c>
      <c r="L317" s="61">
        <f>IF(OR(J317="",G317=""),"",J317-G317)</f>
        <v/>
      </c>
      <c r="M317" s="59"/>
      <c r="N317" s="59"/>
      <c r="O317" s="59"/>
      <c r="P317" s="59"/>
      <c r="Q317" s="59"/>
      <c r="R317" s="60">
        <f>IF(AND(P317="",Q317=""),"",N(P317)+N(Q317))</f>
        <v/>
      </c>
      <c r="S317" s="59"/>
      <c r="T317" s="59"/>
      <c r="U317" s="62">
        <f>IF(OR(R317="",S317="",T317=""),"",IF(S317+T317=0,"",R317/(S317+T317)))</f>
        <v/>
      </c>
      <c r="V317" s="63"/>
      <c r="W317" s="64"/>
      <c r="X317" s="63"/>
    </row>
    <row r="318" spans="2:24">
      <c r="B318" s="58"/>
      <c r="C318" s="59"/>
      <c r="D318" s="59"/>
      <c r="E318" s="59"/>
      <c r="F318" s="59"/>
      <c r="G318" s="60">
        <f>IF(OR(E318="",F318="",C318="",D318=""),"",IF(C318+D318=0,"",(E318*C318+F318*D318)/(C318+D318)))</f>
        <v/>
      </c>
      <c r="H318" s="59"/>
      <c r="I318" s="60">
        <f>IF(OR(H318="",E318="",C318="",D318=""),"",IF(C318+D318=0,"",(H318*D318+E318*C318)/(C318+D318)))</f>
        <v/>
      </c>
      <c r="J318" s="59"/>
      <c r="K318" s="61">
        <f>IF(OR(J318="",I318=""),"",J318-I318)</f>
        <v/>
      </c>
      <c r="L318" s="61">
        <f>IF(OR(J318="",G318=""),"",J318-G318)</f>
        <v/>
      </c>
      <c r="M318" s="59"/>
      <c r="N318" s="59"/>
      <c r="O318" s="59"/>
      <c r="P318" s="59"/>
      <c r="Q318" s="59"/>
      <c r="R318" s="60">
        <f>IF(AND(P318="",Q318=""),"",N(P318)+N(Q318))</f>
        <v/>
      </c>
      <c r="S318" s="59"/>
      <c r="T318" s="59"/>
      <c r="U318" s="62">
        <f>IF(OR(R318="",S318="",T318=""),"",IF(S318+T318=0,"",R318/(S318+T318)))</f>
        <v/>
      </c>
      <c r="V318" s="63"/>
      <c r="W318" s="64"/>
      <c r="X318" s="63"/>
    </row>
    <row r="319" spans="2:24">
      <c r="B319" s="58"/>
      <c r="C319" s="59"/>
      <c r="D319" s="59"/>
      <c r="E319" s="59"/>
      <c r="F319" s="59"/>
      <c r="G319" s="60">
        <f>IF(OR(E319="",F319="",C319="",D319=""),"",IF(C319+D319=0,"",(E319*C319+F319*D319)/(C319+D319)))</f>
        <v/>
      </c>
      <c r="H319" s="59"/>
      <c r="I319" s="60">
        <f>IF(OR(H319="",E319="",C319="",D319=""),"",IF(C319+D319=0,"",(H319*D319+E319*C319)/(C319+D319)))</f>
        <v/>
      </c>
      <c r="J319" s="59"/>
      <c r="K319" s="61">
        <f>IF(OR(J319="",I319=""),"",J319-I319)</f>
        <v/>
      </c>
      <c r="L319" s="61">
        <f>IF(OR(J319="",G319=""),"",J319-G319)</f>
        <v/>
      </c>
      <c r="M319" s="59"/>
      <c r="N319" s="59"/>
      <c r="O319" s="59"/>
      <c r="P319" s="59"/>
      <c r="Q319" s="59"/>
      <c r="R319" s="60">
        <f>IF(AND(P319="",Q319=""),"",N(P319)+N(Q319))</f>
        <v/>
      </c>
      <c r="S319" s="59"/>
      <c r="T319" s="59"/>
      <c r="U319" s="62">
        <f>IF(OR(R319="",S319="",T319=""),"",IF(S319+T319=0,"",R319/(S319+T319)))</f>
        <v/>
      </c>
      <c r="V319" s="63"/>
      <c r="W319" s="64"/>
      <c r="X319" s="63"/>
    </row>
    <row r="320" spans="2:24">
      <c r="B320" s="58"/>
      <c r="C320" s="59"/>
      <c r="D320" s="59"/>
      <c r="E320" s="59"/>
      <c r="F320" s="59"/>
      <c r="G320" s="60">
        <f>IF(OR(E320="",F320="",C320="",D320=""),"",IF(C320+D320=0,"",(E320*C320+F320*D320)/(C320+D320)))</f>
        <v/>
      </c>
      <c r="H320" s="59"/>
      <c r="I320" s="60">
        <f>IF(OR(H320="",E320="",C320="",D320=""),"",IF(C320+D320=0,"",(H320*D320+E320*C320)/(C320+D320)))</f>
        <v/>
      </c>
      <c r="J320" s="59"/>
      <c r="K320" s="61">
        <f>IF(OR(J320="",I320=""),"",J320-I320)</f>
        <v/>
      </c>
      <c r="L320" s="61">
        <f>IF(OR(J320="",G320=""),"",J320-G320)</f>
        <v/>
      </c>
      <c r="M320" s="59"/>
      <c r="N320" s="59"/>
      <c r="O320" s="59"/>
      <c r="P320" s="59"/>
      <c r="Q320" s="59"/>
      <c r="R320" s="60">
        <f>IF(AND(P320="",Q320=""),"",N(P320)+N(Q320))</f>
        <v/>
      </c>
      <c r="S320" s="59"/>
      <c r="T320" s="59"/>
      <c r="U320" s="62">
        <f>IF(OR(R320="",S320="",T320=""),"",IF(S320+T320=0,"",R320/(S320+T320)))</f>
        <v/>
      </c>
      <c r="V320" s="63"/>
      <c r="W320" s="64"/>
      <c r="X320" s="63"/>
    </row>
    <row r="321" spans="2:24">
      <c r="B321" s="58"/>
      <c r="C321" s="59"/>
      <c r="D321" s="59"/>
      <c r="E321" s="59"/>
      <c r="F321" s="59"/>
      <c r="G321" s="60">
        <f>IF(OR(E321="",F321="",C321="",D321=""),"",IF(C321+D321=0,"",(E321*C321+F321*D321)/(C321+D321)))</f>
        <v/>
      </c>
      <c r="H321" s="59"/>
      <c r="I321" s="60">
        <f>IF(OR(H321="",E321="",C321="",D321=""),"",IF(C321+D321=0,"",(H321*D321+E321*C321)/(C321+D321)))</f>
        <v/>
      </c>
      <c r="J321" s="59"/>
      <c r="K321" s="61">
        <f>IF(OR(J321="",I321=""),"",J321-I321)</f>
        <v/>
      </c>
      <c r="L321" s="61">
        <f>IF(OR(J321="",G321=""),"",J321-G321)</f>
        <v/>
      </c>
      <c r="M321" s="59"/>
      <c r="N321" s="59"/>
      <c r="O321" s="59"/>
      <c r="P321" s="59"/>
      <c r="Q321" s="59"/>
      <c r="R321" s="60">
        <f>IF(AND(P321="",Q321=""),"",N(P321)+N(Q321))</f>
        <v/>
      </c>
      <c r="S321" s="59"/>
      <c r="T321" s="59"/>
      <c r="U321" s="62">
        <f>IF(OR(R321="",S321="",T321=""),"",IF(S321+T321=0,"",R321/(S321+T321)))</f>
        <v/>
      </c>
      <c r="V321" s="63"/>
      <c r="W321" s="64"/>
      <c r="X321" s="63"/>
    </row>
    <row r="322" spans="2:24">
      <c r="B322" s="58"/>
      <c r="C322" s="59"/>
      <c r="D322" s="59"/>
      <c r="E322" s="59"/>
      <c r="F322" s="59"/>
      <c r="G322" s="60">
        <f>IF(OR(E322="",F322="",C322="",D322=""),"",IF(C322+D322=0,"",(E322*C322+F322*D322)/(C322+D322)))</f>
        <v/>
      </c>
      <c r="H322" s="59"/>
      <c r="I322" s="60">
        <f>IF(OR(H322="",E322="",C322="",D322=""),"",IF(C322+D322=0,"",(H322*D322+E322*C322)/(C322+D322)))</f>
        <v/>
      </c>
      <c r="J322" s="59"/>
      <c r="K322" s="61">
        <f>IF(OR(J322="",I322=""),"",J322-I322)</f>
        <v/>
      </c>
      <c r="L322" s="61">
        <f>IF(OR(J322="",G322=""),"",J322-G322)</f>
        <v/>
      </c>
      <c r="M322" s="59"/>
      <c r="N322" s="59"/>
      <c r="O322" s="59"/>
      <c r="P322" s="59"/>
      <c r="Q322" s="59"/>
      <c r="R322" s="60">
        <f>IF(AND(P322="",Q322=""),"",N(P322)+N(Q322))</f>
        <v/>
      </c>
      <c r="S322" s="59"/>
      <c r="T322" s="59"/>
      <c r="U322" s="62">
        <f>IF(OR(R322="",S322="",T322=""),"",IF(S322+T322=0,"",R322/(S322+T322)))</f>
        <v/>
      </c>
      <c r="V322" s="63"/>
      <c r="W322" s="64"/>
      <c r="X322" s="63"/>
    </row>
    <row r="323" spans="2:24">
      <c r="B323" s="58"/>
      <c r="C323" s="59"/>
      <c r="D323" s="59"/>
      <c r="E323" s="59"/>
      <c r="F323" s="59"/>
      <c r="G323" s="60">
        <f>IF(OR(E323="",F323="",C323="",D323=""),"",IF(C323+D323=0,"",(E323*C323+F323*D323)/(C323+D323)))</f>
        <v/>
      </c>
      <c r="H323" s="59"/>
      <c r="I323" s="60">
        <f>IF(OR(H323="",E323="",C323="",D323=""),"",IF(C323+D323=0,"",(H323*D323+E323*C323)/(C323+D323)))</f>
        <v/>
      </c>
      <c r="J323" s="59"/>
      <c r="K323" s="61">
        <f>IF(OR(J323="",I323=""),"",J323-I323)</f>
        <v/>
      </c>
      <c r="L323" s="61">
        <f>IF(OR(J323="",G323=""),"",J323-G323)</f>
        <v/>
      </c>
      <c r="M323" s="59"/>
      <c r="N323" s="59"/>
      <c r="O323" s="59"/>
      <c r="P323" s="59"/>
      <c r="Q323" s="59"/>
      <c r="R323" s="60">
        <f>IF(AND(P323="",Q323=""),"",N(P323)+N(Q323))</f>
        <v/>
      </c>
      <c r="S323" s="59"/>
      <c r="T323" s="59"/>
      <c r="U323" s="62">
        <f>IF(OR(R323="",S323="",T323=""),"",IF(S323+T323=0,"",R323/(S323+T323)))</f>
        <v/>
      </c>
      <c r="V323" s="63"/>
      <c r="W323" s="64"/>
      <c r="X323" s="63"/>
    </row>
    <row r="324" spans="2:24">
      <c r="B324" s="58"/>
      <c r="C324" s="59"/>
      <c r="D324" s="59"/>
      <c r="E324" s="59"/>
      <c r="F324" s="59"/>
      <c r="G324" s="60">
        <f>IF(OR(E324="",F324="",C324="",D324=""),"",IF(C324+D324=0,"",(E324*C324+F324*D324)/(C324+D324)))</f>
        <v/>
      </c>
      <c r="H324" s="59"/>
      <c r="I324" s="60">
        <f>IF(OR(H324="",E324="",C324="",D324=""),"",IF(C324+D324=0,"",(H324*D324+E324*C324)/(C324+D324)))</f>
        <v/>
      </c>
      <c r="J324" s="59"/>
      <c r="K324" s="61">
        <f>IF(OR(J324="",I324=""),"",J324-I324)</f>
        <v/>
      </c>
      <c r="L324" s="61">
        <f>IF(OR(J324="",G324=""),"",J324-G324)</f>
        <v/>
      </c>
      <c r="M324" s="59"/>
      <c r="N324" s="59"/>
      <c r="O324" s="59"/>
      <c r="P324" s="59"/>
      <c r="Q324" s="59"/>
      <c r="R324" s="60">
        <f>IF(AND(P324="",Q324=""),"",N(P324)+N(Q324))</f>
        <v/>
      </c>
      <c r="S324" s="59"/>
      <c r="T324" s="59"/>
      <c r="U324" s="62">
        <f>IF(OR(R324="",S324="",T324=""),"",IF(S324+T324=0,"",R324/(S324+T324)))</f>
        <v/>
      </c>
      <c r="V324" s="63"/>
      <c r="W324" s="64"/>
      <c r="X324" s="63"/>
    </row>
    <row r="325" spans="2:24">
      <c r="B325" s="58"/>
      <c r="C325" s="59"/>
      <c r="D325" s="59"/>
      <c r="E325" s="59"/>
      <c r="F325" s="59"/>
      <c r="G325" s="60">
        <f>IF(OR(E325="",F325="",C325="",D325=""),"",IF(C325+D325=0,"",(E325*C325+F325*D325)/(C325+D325)))</f>
        <v/>
      </c>
      <c r="H325" s="59"/>
      <c r="I325" s="60">
        <f>IF(OR(H325="",E325="",C325="",D325=""),"",IF(C325+D325=0,"",(H325*D325+E325*C325)/(C325+D325)))</f>
        <v/>
      </c>
      <c r="J325" s="59"/>
      <c r="K325" s="61">
        <f>IF(OR(J325="",I325=""),"",J325-I325)</f>
        <v/>
      </c>
      <c r="L325" s="61">
        <f>IF(OR(J325="",G325=""),"",J325-G325)</f>
        <v/>
      </c>
      <c r="M325" s="59"/>
      <c r="N325" s="59"/>
      <c r="O325" s="59"/>
      <c r="P325" s="59"/>
      <c r="Q325" s="59"/>
      <c r="R325" s="60">
        <f>IF(AND(P325="",Q325=""),"",N(P325)+N(Q325))</f>
        <v/>
      </c>
      <c r="S325" s="59"/>
      <c r="T325" s="59"/>
      <c r="U325" s="62">
        <f>IF(OR(R325="",S325="",T325=""),"",IF(S325+T325=0,"",R325/(S325+T325)))</f>
        <v/>
      </c>
      <c r="V325" s="63"/>
      <c r="W325" s="64"/>
      <c r="X325" s="63"/>
    </row>
    <row r="326" spans="2:24">
      <c r="B326" s="58"/>
      <c r="C326" s="59"/>
      <c r="D326" s="59"/>
      <c r="E326" s="59"/>
      <c r="F326" s="59"/>
      <c r="G326" s="60">
        <f>IF(OR(E326="",F326="",C326="",D326=""),"",IF(C326+D326=0,"",(E326*C326+F326*D326)/(C326+D326)))</f>
        <v/>
      </c>
      <c r="H326" s="59"/>
      <c r="I326" s="60">
        <f>IF(OR(H326="",E326="",C326="",D326=""),"",IF(C326+D326=0,"",(H326*D326+E326*C326)/(C326+D326)))</f>
        <v/>
      </c>
      <c r="J326" s="59"/>
      <c r="K326" s="61">
        <f>IF(OR(J326="",I326=""),"",J326-I326)</f>
        <v/>
      </c>
      <c r="L326" s="61">
        <f>IF(OR(J326="",G326=""),"",J326-G326)</f>
        <v/>
      </c>
      <c r="M326" s="59"/>
      <c r="N326" s="59"/>
      <c r="O326" s="59"/>
      <c r="P326" s="59"/>
      <c r="Q326" s="59"/>
      <c r="R326" s="60">
        <f>IF(AND(P326="",Q326=""),"",N(P326)+N(Q326))</f>
        <v/>
      </c>
      <c r="S326" s="59"/>
      <c r="T326" s="59"/>
      <c r="U326" s="62">
        <f>IF(OR(R326="",S326="",T326=""),"",IF(S326+T326=0,"",R326/(S326+T326)))</f>
        <v/>
      </c>
      <c r="V326" s="63"/>
      <c r="W326" s="64"/>
      <c r="X326" s="63"/>
    </row>
    <row r="327" spans="2:24">
      <c r="B327" s="58"/>
      <c r="C327" s="59"/>
      <c r="D327" s="59"/>
      <c r="E327" s="59"/>
      <c r="F327" s="59"/>
      <c r="G327" s="60">
        <f>IF(OR(E327="",F327="",C327="",D327=""),"",IF(C327+D327=0,"",(E327*C327+F327*D327)/(C327+D327)))</f>
        <v/>
      </c>
      <c r="H327" s="59"/>
      <c r="I327" s="60">
        <f>IF(OR(H327="",E327="",C327="",D327=""),"",IF(C327+D327=0,"",(H327*D327+E327*C327)/(C327+D327)))</f>
        <v/>
      </c>
      <c r="J327" s="59"/>
      <c r="K327" s="61">
        <f>IF(OR(J327="",I327=""),"",J327-I327)</f>
        <v/>
      </c>
      <c r="L327" s="61">
        <f>IF(OR(J327="",G327=""),"",J327-G327)</f>
        <v/>
      </c>
      <c r="M327" s="59"/>
      <c r="N327" s="59"/>
      <c r="O327" s="59"/>
      <c r="P327" s="59"/>
      <c r="Q327" s="59"/>
      <c r="R327" s="60">
        <f>IF(AND(P327="",Q327=""),"",N(P327)+N(Q327))</f>
        <v/>
      </c>
      <c r="S327" s="59"/>
      <c r="T327" s="59"/>
      <c r="U327" s="62">
        <f>IF(OR(R327="",S327="",T327=""),"",IF(S327+T327=0,"",R327/(S327+T327)))</f>
        <v/>
      </c>
      <c r="V327" s="63"/>
      <c r="W327" s="64"/>
      <c r="X327" s="63"/>
    </row>
    <row r="328" spans="2:24">
      <c r="B328" s="58"/>
      <c r="C328" s="59"/>
      <c r="D328" s="59"/>
      <c r="E328" s="59"/>
      <c r="F328" s="59"/>
      <c r="G328" s="60">
        <f>IF(OR(E328="",F328="",C328="",D328=""),"",IF(C328+D328=0,"",(E328*C328+F328*D328)/(C328+D328)))</f>
        <v/>
      </c>
      <c r="H328" s="59"/>
      <c r="I328" s="60">
        <f>IF(OR(H328="",E328="",C328="",D328=""),"",IF(C328+D328=0,"",(H328*D328+E328*C328)/(C328+D328)))</f>
        <v/>
      </c>
      <c r="J328" s="59"/>
      <c r="K328" s="61">
        <f>IF(OR(J328="",I328=""),"",J328-I328)</f>
        <v/>
      </c>
      <c r="L328" s="61">
        <f>IF(OR(J328="",G328=""),"",J328-G328)</f>
        <v/>
      </c>
      <c r="M328" s="59"/>
      <c r="N328" s="59"/>
      <c r="O328" s="59"/>
      <c r="P328" s="59"/>
      <c r="Q328" s="59"/>
      <c r="R328" s="60">
        <f>IF(AND(P328="",Q328=""),"",N(P328)+N(Q328))</f>
        <v/>
      </c>
      <c r="S328" s="59"/>
      <c r="T328" s="59"/>
      <c r="U328" s="62">
        <f>IF(OR(R328="",S328="",T328=""),"",IF(S328+T328=0,"",R328/(S328+T328)))</f>
        <v/>
      </c>
      <c r="V328" s="63"/>
      <c r="W328" s="64"/>
      <c r="X328" s="63"/>
    </row>
    <row r="329" spans="2:24">
      <c r="B329" s="58"/>
      <c r="C329" s="59"/>
      <c r="D329" s="59"/>
      <c r="E329" s="59"/>
      <c r="F329" s="59"/>
      <c r="G329" s="60">
        <f>IF(OR(E329="",F329="",C329="",D329=""),"",IF(C329+D329=0,"",(E329*C329+F329*D329)/(C329+D329)))</f>
        <v/>
      </c>
      <c r="H329" s="59"/>
      <c r="I329" s="60">
        <f>IF(OR(H329="",E329="",C329="",D329=""),"",IF(C329+D329=0,"",(H329*D329+E329*C329)/(C329+D329)))</f>
        <v/>
      </c>
      <c r="J329" s="59"/>
      <c r="K329" s="61">
        <f>IF(OR(J329="",I329=""),"",J329-I329)</f>
        <v/>
      </c>
      <c r="L329" s="61">
        <f>IF(OR(J329="",G329=""),"",J329-G329)</f>
        <v/>
      </c>
      <c r="M329" s="59"/>
      <c r="N329" s="59"/>
      <c r="O329" s="59"/>
      <c r="P329" s="59"/>
      <c r="Q329" s="59"/>
      <c r="R329" s="60">
        <f>IF(AND(P329="",Q329=""),"",N(P329)+N(Q329))</f>
        <v/>
      </c>
      <c r="S329" s="59"/>
      <c r="T329" s="59"/>
      <c r="U329" s="62">
        <f>IF(OR(R329="",S329="",T329=""),"",IF(S329+T329=0,"",R329/(S329+T329)))</f>
        <v/>
      </c>
      <c r="V329" s="63"/>
      <c r="W329" s="64"/>
      <c r="X329" s="63"/>
    </row>
    <row r="330" spans="2:24">
      <c r="B330" s="58"/>
      <c r="C330" s="59"/>
      <c r="D330" s="59"/>
      <c r="E330" s="59"/>
      <c r="F330" s="59"/>
      <c r="G330" s="60">
        <f>IF(OR(E330="",F330="",C330="",D330=""),"",IF(C330+D330=0,"",(E330*C330+F330*D330)/(C330+D330)))</f>
        <v/>
      </c>
      <c r="H330" s="59"/>
      <c r="I330" s="60">
        <f>IF(OR(H330="",E330="",C330="",D330=""),"",IF(C330+D330=0,"",(H330*D330+E330*C330)/(C330+D330)))</f>
        <v/>
      </c>
      <c r="J330" s="59"/>
      <c r="K330" s="61">
        <f>IF(OR(J330="",I330=""),"",J330-I330)</f>
        <v/>
      </c>
      <c r="L330" s="61">
        <f>IF(OR(J330="",G330=""),"",J330-G330)</f>
        <v/>
      </c>
      <c r="M330" s="59"/>
      <c r="N330" s="59"/>
      <c r="O330" s="59"/>
      <c r="P330" s="59"/>
      <c r="Q330" s="59"/>
      <c r="R330" s="60">
        <f>IF(AND(P330="",Q330=""),"",N(P330)+N(Q330))</f>
        <v/>
      </c>
      <c r="S330" s="59"/>
      <c r="T330" s="59"/>
      <c r="U330" s="62">
        <f>IF(OR(R330="",S330="",T330=""),"",IF(S330+T330=0,"",R330/(S330+T330)))</f>
        <v/>
      </c>
      <c r="V330" s="63"/>
      <c r="W330" s="64"/>
      <c r="X330" s="63"/>
    </row>
    <row r="331" spans="2:24">
      <c r="B331" s="58"/>
      <c r="C331" s="59"/>
      <c r="D331" s="59"/>
      <c r="E331" s="59"/>
      <c r="F331" s="59"/>
      <c r="G331" s="60">
        <f>IF(OR(E331="",F331="",C331="",D331=""),"",IF(C331+D331=0,"",(E331*C331+F331*D331)/(C331+D331)))</f>
        <v/>
      </c>
      <c r="H331" s="59"/>
      <c r="I331" s="60">
        <f>IF(OR(H331="",E331="",C331="",D331=""),"",IF(C331+D331=0,"",(H331*D331+E331*C331)/(C331+D331)))</f>
        <v/>
      </c>
      <c r="J331" s="59"/>
      <c r="K331" s="61">
        <f>IF(OR(J331="",I331=""),"",J331-I331)</f>
        <v/>
      </c>
      <c r="L331" s="61">
        <f>IF(OR(J331="",G331=""),"",J331-G331)</f>
        <v/>
      </c>
      <c r="M331" s="59"/>
      <c r="N331" s="59"/>
      <c r="O331" s="59"/>
      <c r="P331" s="59"/>
      <c r="Q331" s="59"/>
      <c r="R331" s="60">
        <f>IF(AND(P331="",Q331=""),"",N(P331)+N(Q331))</f>
        <v/>
      </c>
      <c r="S331" s="59"/>
      <c r="T331" s="59"/>
      <c r="U331" s="62">
        <f>IF(OR(R331="",S331="",T331=""),"",IF(S331+T331=0,"",R331/(S331+T331)))</f>
        <v/>
      </c>
      <c r="V331" s="63"/>
      <c r="W331" s="64"/>
      <c r="X331" s="63"/>
    </row>
    <row r="332" spans="2:24">
      <c r="B332" s="58"/>
      <c r="C332" s="59"/>
      <c r="D332" s="59"/>
      <c r="E332" s="59"/>
      <c r="F332" s="59"/>
      <c r="G332" s="60">
        <f>IF(OR(E332="",F332="",C332="",D332=""),"",IF(C332+D332=0,"",(E332*C332+F332*D332)/(C332+D332)))</f>
        <v/>
      </c>
      <c r="H332" s="59"/>
      <c r="I332" s="60">
        <f>IF(OR(H332="",E332="",C332="",D332=""),"",IF(C332+D332=0,"",(H332*D332+E332*C332)/(C332+D332)))</f>
        <v/>
      </c>
      <c r="J332" s="59"/>
      <c r="K332" s="61">
        <f>IF(OR(J332="",I332=""),"",J332-I332)</f>
        <v/>
      </c>
      <c r="L332" s="61">
        <f>IF(OR(J332="",G332=""),"",J332-G332)</f>
        <v/>
      </c>
      <c r="M332" s="59"/>
      <c r="N332" s="59"/>
      <c r="O332" s="59"/>
      <c r="P332" s="59"/>
      <c r="Q332" s="59"/>
      <c r="R332" s="60">
        <f>IF(AND(P332="",Q332=""),"",N(P332)+N(Q332))</f>
        <v/>
      </c>
      <c r="S332" s="59"/>
      <c r="T332" s="59"/>
      <c r="U332" s="62">
        <f>IF(OR(R332="",S332="",T332=""),"",IF(S332+T332=0,"",R332/(S332+T332)))</f>
        <v/>
      </c>
      <c r="V332" s="63"/>
      <c r="W332" s="64"/>
      <c r="X332" s="63"/>
    </row>
    <row r="333" spans="2:24">
      <c r="B333" s="58"/>
      <c r="C333" s="59"/>
      <c r="D333" s="59"/>
      <c r="E333" s="59"/>
      <c r="F333" s="59"/>
      <c r="G333" s="60">
        <f>IF(OR(E333="",F333="",C333="",D333=""),"",IF(C333+D333=0,"",(E333*C333+F333*D333)/(C333+D333)))</f>
        <v/>
      </c>
      <c r="H333" s="59"/>
      <c r="I333" s="60">
        <f>IF(OR(H333="",E333="",C333="",D333=""),"",IF(C333+D333=0,"",(H333*D333+E333*C333)/(C333+D333)))</f>
        <v/>
      </c>
      <c r="J333" s="59"/>
      <c r="K333" s="61">
        <f>IF(OR(J333="",I333=""),"",J333-I333)</f>
        <v/>
      </c>
      <c r="L333" s="61">
        <f>IF(OR(J333="",G333=""),"",J333-G333)</f>
        <v/>
      </c>
      <c r="M333" s="59"/>
      <c r="N333" s="59"/>
      <c r="O333" s="59"/>
      <c r="P333" s="59"/>
      <c r="Q333" s="59"/>
      <c r="R333" s="60">
        <f>IF(AND(P333="",Q333=""),"",N(P333)+N(Q333))</f>
        <v/>
      </c>
      <c r="S333" s="59"/>
      <c r="T333" s="59"/>
      <c r="U333" s="62">
        <f>IF(OR(R333="",S333="",T333=""),"",IF(S333+T333=0,"",R333/(S333+T333)))</f>
        <v/>
      </c>
      <c r="V333" s="63"/>
      <c r="W333" s="64"/>
      <c r="X333" s="63"/>
    </row>
    <row r="334" spans="2:24">
      <c r="B334" s="58"/>
      <c r="C334" s="59"/>
      <c r="D334" s="59"/>
      <c r="E334" s="59"/>
      <c r="F334" s="59"/>
      <c r="G334" s="60">
        <f>IF(OR(E334="",F334="",C334="",D334=""),"",IF(C334+D334=0,"",(E334*C334+F334*D334)/(C334+D334)))</f>
        <v/>
      </c>
      <c r="H334" s="59"/>
      <c r="I334" s="60">
        <f>IF(OR(H334="",E334="",C334="",D334=""),"",IF(C334+D334=0,"",(H334*D334+E334*C334)/(C334+D334)))</f>
        <v/>
      </c>
      <c r="J334" s="59"/>
      <c r="K334" s="61">
        <f>IF(OR(J334="",I334=""),"",J334-I334)</f>
        <v/>
      </c>
      <c r="L334" s="61">
        <f>IF(OR(J334="",G334=""),"",J334-G334)</f>
        <v/>
      </c>
      <c r="M334" s="59"/>
      <c r="N334" s="59"/>
      <c r="O334" s="59"/>
      <c r="P334" s="59"/>
      <c r="Q334" s="59"/>
      <c r="R334" s="60">
        <f>IF(AND(P334="",Q334=""),"",N(P334)+N(Q334))</f>
        <v/>
      </c>
      <c r="S334" s="59"/>
      <c r="T334" s="59"/>
      <c r="U334" s="62">
        <f>IF(OR(R334="",S334="",T334=""),"",IF(S334+T334=0,"",R334/(S334+T334)))</f>
        <v/>
      </c>
      <c r="V334" s="63"/>
      <c r="W334" s="64"/>
      <c r="X334" s="63"/>
    </row>
    <row r="335" spans="2:24">
      <c r="B335" s="58"/>
      <c r="C335" s="59"/>
      <c r="D335" s="59"/>
      <c r="E335" s="59"/>
      <c r="F335" s="59"/>
      <c r="G335" s="60">
        <f>IF(OR(E335="",F335="",C335="",D335=""),"",IF(C335+D335=0,"",(E335*C335+F335*D335)/(C335+D335)))</f>
        <v/>
      </c>
      <c r="H335" s="59"/>
      <c r="I335" s="60">
        <f>IF(OR(H335="",E335="",C335="",D335=""),"",IF(C335+D335=0,"",(H335*D335+E335*C335)/(C335+D335)))</f>
        <v/>
      </c>
      <c r="J335" s="59"/>
      <c r="K335" s="61">
        <f>IF(OR(J335="",I335=""),"",J335-I335)</f>
        <v/>
      </c>
      <c r="L335" s="61">
        <f>IF(OR(J335="",G335=""),"",J335-G335)</f>
        <v/>
      </c>
      <c r="M335" s="59"/>
      <c r="N335" s="59"/>
      <c r="O335" s="59"/>
      <c r="P335" s="59"/>
      <c r="Q335" s="59"/>
      <c r="R335" s="60">
        <f>IF(AND(P335="",Q335=""),"",N(P335)+N(Q335))</f>
        <v/>
      </c>
      <c r="S335" s="59"/>
      <c r="T335" s="59"/>
      <c r="U335" s="62">
        <f>IF(OR(R335="",S335="",T335=""),"",IF(S335+T335=0,"",R335/(S335+T335)))</f>
        <v/>
      </c>
      <c r="V335" s="63"/>
      <c r="W335" s="64"/>
      <c r="X335" s="63"/>
    </row>
    <row r="336" spans="2:24">
      <c r="B336" s="58"/>
      <c r="C336" s="59"/>
      <c r="D336" s="59"/>
      <c r="E336" s="59"/>
      <c r="F336" s="59"/>
      <c r="G336" s="60">
        <f>IF(OR(E336="",F336="",C336="",D336=""),"",IF(C336+D336=0,"",(E336*C336+F336*D336)/(C336+D336)))</f>
        <v/>
      </c>
      <c r="H336" s="59"/>
      <c r="I336" s="60">
        <f>IF(OR(H336="",E336="",C336="",D336=""),"",IF(C336+D336=0,"",(H336*D336+E336*C336)/(C336+D336)))</f>
        <v/>
      </c>
      <c r="J336" s="59"/>
      <c r="K336" s="61">
        <f>IF(OR(J336="",I336=""),"",J336-I336)</f>
        <v/>
      </c>
      <c r="L336" s="61">
        <f>IF(OR(J336="",G336=""),"",J336-G336)</f>
        <v/>
      </c>
      <c r="M336" s="59"/>
      <c r="N336" s="59"/>
      <c r="O336" s="59"/>
      <c r="P336" s="59"/>
      <c r="Q336" s="59"/>
      <c r="R336" s="60">
        <f>IF(AND(P336="",Q336=""),"",N(P336)+N(Q336))</f>
        <v/>
      </c>
      <c r="S336" s="59"/>
      <c r="T336" s="59"/>
      <c r="U336" s="62">
        <f>IF(OR(R336="",S336="",T336=""),"",IF(S336+T336=0,"",R336/(S336+T336)))</f>
        <v/>
      </c>
      <c r="V336" s="63"/>
      <c r="W336" s="64"/>
      <c r="X336" s="63"/>
    </row>
    <row r="337" spans="2:24">
      <c r="B337" s="58"/>
      <c r="C337" s="59"/>
      <c r="D337" s="59"/>
      <c r="E337" s="59"/>
      <c r="F337" s="59"/>
      <c r="G337" s="60">
        <f>IF(OR(E337="",F337="",C337="",D337=""),"",IF(C337+D337=0,"",(E337*C337+F337*D337)/(C337+D337)))</f>
        <v/>
      </c>
      <c r="H337" s="59"/>
      <c r="I337" s="60">
        <f>IF(OR(H337="",E337="",C337="",D337=""),"",IF(C337+D337=0,"",(H337*D337+E337*C337)/(C337+D337)))</f>
        <v/>
      </c>
      <c r="J337" s="59"/>
      <c r="K337" s="61">
        <f>IF(OR(J337="",I337=""),"",J337-I337)</f>
        <v/>
      </c>
      <c r="L337" s="61">
        <f>IF(OR(J337="",G337=""),"",J337-G337)</f>
        <v/>
      </c>
      <c r="M337" s="59"/>
      <c r="N337" s="59"/>
      <c r="O337" s="59"/>
      <c r="P337" s="59"/>
      <c r="Q337" s="59"/>
      <c r="R337" s="60">
        <f>IF(AND(P337="",Q337=""),"",N(P337)+N(Q337))</f>
        <v/>
      </c>
      <c r="S337" s="59"/>
      <c r="T337" s="59"/>
      <c r="U337" s="62">
        <f>IF(OR(R337="",S337="",T337=""),"",IF(S337+T337=0,"",R337/(S337+T337)))</f>
        <v/>
      </c>
      <c r="V337" s="63"/>
      <c r="W337" s="64"/>
      <c r="X337" s="63"/>
    </row>
    <row r="338" spans="2:24">
      <c r="B338" s="58"/>
      <c r="C338" s="59"/>
      <c r="D338" s="59"/>
      <c r="E338" s="59"/>
      <c r="F338" s="59"/>
      <c r="G338" s="60">
        <f>IF(OR(E338="",F338="",C338="",D338=""),"",IF(C338+D338=0,"",(E338*C338+F338*D338)/(C338+D338)))</f>
        <v/>
      </c>
      <c r="H338" s="59"/>
      <c r="I338" s="60">
        <f>IF(OR(H338="",E338="",C338="",D338=""),"",IF(C338+D338=0,"",(H338*D338+E338*C338)/(C338+D338)))</f>
        <v/>
      </c>
      <c r="J338" s="59"/>
      <c r="K338" s="61">
        <f>IF(OR(J338="",I338=""),"",J338-I338)</f>
        <v/>
      </c>
      <c r="L338" s="61">
        <f>IF(OR(J338="",G338=""),"",J338-G338)</f>
        <v/>
      </c>
      <c r="M338" s="59"/>
      <c r="N338" s="59"/>
      <c r="O338" s="59"/>
      <c r="P338" s="59"/>
      <c r="Q338" s="59"/>
      <c r="R338" s="60">
        <f>IF(AND(P338="",Q338=""),"",N(P338)+N(Q338))</f>
        <v/>
      </c>
      <c r="S338" s="59"/>
      <c r="T338" s="59"/>
      <c r="U338" s="62">
        <f>IF(OR(R338="",S338="",T338=""),"",IF(S338+T338=0,"",R338/(S338+T338)))</f>
        <v/>
      </c>
      <c r="V338" s="63"/>
      <c r="W338" s="64"/>
      <c r="X338" s="63"/>
    </row>
    <row r="339" spans="2:24">
      <c r="B339" s="58"/>
      <c r="C339" s="59"/>
      <c r="D339" s="59"/>
      <c r="E339" s="59"/>
      <c r="F339" s="59"/>
      <c r="G339" s="60">
        <f>IF(OR(E339="",F339="",C339="",D339=""),"",IF(C339+D339=0,"",(E339*C339+F339*D339)/(C339+D339)))</f>
        <v/>
      </c>
      <c r="H339" s="59"/>
      <c r="I339" s="60">
        <f>IF(OR(H339="",E339="",C339="",D339=""),"",IF(C339+D339=0,"",(H339*D339+E339*C339)/(C339+D339)))</f>
        <v/>
      </c>
      <c r="J339" s="59"/>
      <c r="K339" s="61">
        <f>IF(OR(J339="",I339=""),"",J339-I339)</f>
        <v/>
      </c>
      <c r="L339" s="61">
        <f>IF(OR(J339="",G339=""),"",J339-G339)</f>
        <v/>
      </c>
      <c r="M339" s="59"/>
      <c r="N339" s="59"/>
      <c r="O339" s="59"/>
      <c r="P339" s="59"/>
      <c r="Q339" s="59"/>
      <c r="R339" s="60">
        <f>IF(AND(P339="",Q339=""),"",N(P339)+N(Q339))</f>
        <v/>
      </c>
      <c r="S339" s="59"/>
      <c r="T339" s="59"/>
      <c r="U339" s="62">
        <f>IF(OR(R339="",S339="",T339=""),"",IF(S339+T339=0,"",R339/(S339+T339)))</f>
        <v/>
      </c>
      <c r="V339" s="63"/>
      <c r="W339" s="64"/>
      <c r="X339" s="63"/>
    </row>
    <row r="340" spans="2:24">
      <c r="B340" s="58"/>
      <c r="C340" s="59"/>
      <c r="D340" s="59"/>
      <c r="E340" s="59"/>
      <c r="F340" s="59"/>
      <c r="G340" s="60">
        <f>IF(OR(E340="",F340="",C340="",D340=""),"",IF(C340+D340=0,"",(E340*C340+F340*D340)/(C340+D340)))</f>
        <v/>
      </c>
      <c r="H340" s="59"/>
      <c r="I340" s="60">
        <f>IF(OR(H340="",E340="",C340="",D340=""),"",IF(C340+D340=0,"",(H340*D340+E340*C340)/(C340+D340)))</f>
        <v/>
      </c>
      <c r="J340" s="59"/>
      <c r="K340" s="61">
        <f>IF(OR(J340="",I340=""),"",J340-I340)</f>
        <v/>
      </c>
      <c r="L340" s="61">
        <f>IF(OR(J340="",G340=""),"",J340-G340)</f>
        <v/>
      </c>
      <c r="M340" s="59"/>
      <c r="N340" s="59"/>
      <c r="O340" s="59"/>
      <c r="P340" s="59"/>
      <c r="Q340" s="59"/>
      <c r="R340" s="60">
        <f>IF(AND(P340="",Q340=""),"",N(P340)+N(Q340))</f>
        <v/>
      </c>
      <c r="S340" s="59"/>
      <c r="T340" s="59"/>
      <c r="U340" s="62">
        <f>IF(OR(R340="",S340="",T340=""),"",IF(S340+T340=0,"",R340/(S340+T340)))</f>
        <v/>
      </c>
      <c r="V340" s="63"/>
      <c r="W340" s="64"/>
      <c r="X340" s="63"/>
    </row>
    <row r="341" spans="2:24">
      <c r="B341" s="58"/>
      <c r="C341" s="59"/>
      <c r="D341" s="59"/>
      <c r="E341" s="59"/>
      <c r="F341" s="59"/>
      <c r="G341" s="60">
        <f>IF(OR(E341="",F341="",C341="",D341=""),"",IF(C341+D341=0,"",(E341*C341+F341*D341)/(C341+D341)))</f>
        <v/>
      </c>
      <c r="H341" s="59"/>
      <c r="I341" s="60">
        <f>IF(OR(H341="",E341="",C341="",D341=""),"",IF(C341+D341=0,"",(H341*D341+E341*C341)/(C341+D341)))</f>
        <v/>
      </c>
      <c r="J341" s="59"/>
      <c r="K341" s="61">
        <f>IF(OR(J341="",I341=""),"",J341-I341)</f>
        <v/>
      </c>
      <c r="L341" s="61">
        <f>IF(OR(J341="",G341=""),"",J341-G341)</f>
        <v/>
      </c>
      <c r="M341" s="59"/>
      <c r="N341" s="59"/>
      <c r="O341" s="59"/>
      <c r="P341" s="59"/>
      <c r="Q341" s="59"/>
      <c r="R341" s="60">
        <f>IF(AND(P341="",Q341=""),"",N(P341)+N(Q341))</f>
        <v/>
      </c>
      <c r="S341" s="59"/>
      <c r="T341" s="59"/>
      <c r="U341" s="62">
        <f>IF(OR(R341="",S341="",T341=""),"",IF(S341+T341=0,"",R341/(S341+T341)))</f>
        <v/>
      </c>
      <c r="V341" s="63"/>
      <c r="W341" s="64"/>
      <c r="X341" s="63"/>
    </row>
    <row r="342" spans="2:24">
      <c r="B342" s="58"/>
      <c r="C342" s="59"/>
      <c r="D342" s="59"/>
      <c r="E342" s="59"/>
      <c r="F342" s="59"/>
      <c r="G342" s="60">
        <f>IF(OR(E342="",F342="",C342="",D342=""),"",IF(C342+D342=0,"",(E342*C342+F342*D342)/(C342+D342)))</f>
        <v/>
      </c>
      <c r="H342" s="59"/>
      <c r="I342" s="60">
        <f>IF(OR(H342="",E342="",C342="",D342=""),"",IF(C342+D342=0,"",(H342*D342+E342*C342)/(C342+D342)))</f>
        <v/>
      </c>
      <c r="J342" s="59"/>
      <c r="K342" s="61">
        <f>IF(OR(J342="",I342=""),"",J342-I342)</f>
        <v/>
      </c>
      <c r="L342" s="61">
        <f>IF(OR(J342="",G342=""),"",J342-G342)</f>
        <v/>
      </c>
      <c r="M342" s="59"/>
      <c r="N342" s="59"/>
      <c r="O342" s="59"/>
      <c r="P342" s="59"/>
      <c r="Q342" s="59"/>
      <c r="R342" s="60">
        <f>IF(AND(P342="",Q342=""),"",N(P342)+N(Q342))</f>
        <v/>
      </c>
      <c r="S342" s="59"/>
      <c r="T342" s="59"/>
      <c r="U342" s="62">
        <f>IF(OR(R342="",S342="",T342=""),"",IF(S342+T342=0,"",R342/(S342+T342)))</f>
        <v/>
      </c>
      <c r="V342" s="63"/>
      <c r="W342" s="64"/>
      <c r="X342" s="63"/>
    </row>
    <row r="343" spans="2:24">
      <c r="B343" s="58"/>
      <c r="C343" s="59"/>
      <c r="D343" s="59"/>
      <c r="E343" s="59"/>
      <c r="F343" s="59"/>
      <c r="G343" s="60">
        <f>IF(OR(E343="",F343="",C343="",D343=""),"",IF(C343+D343=0,"",(E343*C343+F343*D343)/(C343+D343)))</f>
        <v/>
      </c>
      <c r="H343" s="59"/>
      <c r="I343" s="60">
        <f>IF(OR(H343="",E343="",C343="",D343=""),"",IF(C343+D343=0,"",(H343*D343+E343*C343)/(C343+D343)))</f>
        <v/>
      </c>
      <c r="J343" s="59"/>
      <c r="K343" s="61">
        <f>IF(OR(J343="",I343=""),"",J343-I343)</f>
        <v/>
      </c>
      <c r="L343" s="61">
        <f>IF(OR(J343="",G343=""),"",J343-G343)</f>
        <v/>
      </c>
      <c r="M343" s="59"/>
      <c r="N343" s="59"/>
      <c r="O343" s="59"/>
      <c r="P343" s="59"/>
      <c r="Q343" s="59"/>
      <c r="R343" s="60">
        <f>IF(AND(P343="",Q343=""),"",N(P343)+N(Q343))</f>
        <v/>
      </c>
      <c r="S343" s="59"/>
      <c r="T343" s="59"/>
      <c r="U343" s="62">
        <f>IF(OR(R343="",S343="",T343=""),"",IF(S343+T343=0,"",R343/(S343+T343)))</f>
        <v/>
      </c>
      <c r="V343" s="63"/>
      <c r="W343" s="64"/>
      <c r="X343" s="63"/>
    </row>
    <row r="344" spans="2:24">
      <c r="B344" s="58"/>
      <c r="C344" s="59"/>
      <c r="D344" s="59"/>
      <c r="E344" s="59"/>
      <c r="F344" s="59"/>
      <c r="G344" s="60">
        <f>IF(OR(E344="",F344="",C344="",D344=""),"",IF(C344+D344=0,"",(E344*C344+F344*D344)/(C344+D344)))</f>
        <v/>
      </c>
      <c r="H344" s="59"/>
      <c r="I344" s="60">
        <f>IF(OR(H344="",E344="",C344="",D344=""),"",IF(C344+D344=0,"",(H344*D344+E344*C344)/(C344+D344)))</f>
        <v/>
      </c>
      <c r="J344" s="59"/>
      <c r="K344" s="61">
        <f>IF(OR(J344="",I344=""),"",J344-I344)</f>
        <v/>
      </c>
      <c r="L344" s="61">
        <f>IF(OR(J344="",G344=""),"",J344-G344)</f>
        <v/>
      </c>
      <c r="M344" s="59"/>
      <c r="N344" s="59"/>
      <c r="O344" s="59"/>
      <c r="P344" s="59"/>
      <c r="Q344" s="59"/>
      <c r="R344" s="60">
        <f>IF(AND(P344="",Q344=""),"",N(P344)+N(Q344))</f>
        <v/>
      </c>
      <c r="S344" s="59"/>
      <c r="T344" s="59"/>
      <c r="U344" s="62">
        <f>IF(OR(R344="",S344="",T344=""),"",IF(S344+T344=0,"",R344/(S344+T344)))</f>
        <v/>
      </c>
      <c r="V344" s="63"/>
      <c r="W344" s="64"/>
      <c r="X344" s="63"/>
    </row>
    <row r="345" spans="2:24">
      <c r="B345" s="58"/>
      <c r="C345" s="59"/>
      <c r="D345" s="59"/>
      <c r="E345" s="59"/>
      <c r="F345" s="59"/>
      <c r="G345" s="60">
        <f>IF(OR(E345="",F345="",C345="",D345=""),"",IF(C345+D345=0,"",(E345*C345+F345*D345)/(C345+D345)))</f>
        <v/>
      </c>
      <c r="H345" s="59"/>
      <c r="I345" s="60">
        <f>IF(OR(H345="",E345="",C345="",D345=""),"",IF(C345+D345=0,"",(H345*D345+E345*C345)/(C345+D345)))</f>
        <v/>
      </c>
      <c r="J345" s="59"/>
      <c r="K345" s="61">
        <f>IF(OR(J345="",I345=""),"",J345-I345)</f>
        <v/>
      </c>
      <c r="L345" s="61">
        <f>IF(OR(J345="",G345=""),"",J345-G345)</f>
        <v/>
      </c>
      <c r="M345" s="59"/>
      <c r="N345" s="59"/>
      <c r="O345" s="59"/>
      <c r="P345" s="59"/>
      <c r="Q345" s="59"/>
      <c r="R345" s="60">
        <f>IF(AND(P345="",Q345=""),"",N(P345)+N(Q345))</f>
        <v/>
      </c>
      <c r="S345" s="59"/>
      <c r="T345" s="59"/>
      <c r="U345" s="62">
        <f>IF(OR(R345="",S345="",T345=""),"",IF(S345+T345=0,"",R345/(S345+T345)))</f>
        <v/>
      </c>
      <c r="V345" s="63"/>
      <c r="W345" s="64"/>
      <c r="X345" s="63"/>
    </row>
    <row r="346" spans="2:24">
      <c r="B346" s="58"/>
      <c r="C346" s="59"/>
      <c r="D346" s="59"/>
      <c r="E346" s="59"/>
      <c r="F346" s="59"/>
      <c r="G346" s="60">
        <f>IF(OR(E346="",F346="",C346="",D346=""),"",IF(C346+D346=0,"",(E346*C346+F346*D346)/(C346+D346)))</f>
        <v/>
      </c>
      <c r="H346" s="59"/>
      <c r="I346" s="60">
        <f>IF(OR(H346="",E346="",C346="",D346=""),"",IF(C346+D346=0,"",(H346*D346+E346*C346)/(C346+D346)))</f>
        <v/>
      </c>
      <c r="J346" s="59"/>
      <c r="K346" s="61">
        <f>IF(OR(J346="",I346=""),"",J346-I346)</f>
        <v/>
      </c>
      <c r="L346" s="61">
        <f>IF(OR(J346="",G346=""),"",J346-G346)</f>
        <v/>
      </c>
      <c r="M346" s="59"/>
      <c r="N346" s="59"/>
      <c r="O346" s="59"/>
      <c r="P346" s="59"/>
      <c r="Q346" s="59"/>
      <c r="R346" s="60">
        <f>IF(AND(P346="",Q346=""),"",N(P346)+N(Q346))</f>
        <v/>
      </c>
      <c r="S346" s="59"/>
      <c r="T346" s="59"/>
      <c r="U346" s="62">
        <f>IF(OR(R346="",S346="",T346=""),"",IF(S346+T346=0,"",R346/(S346+T346)))</f>
        <v/>
      </c>
      <c r="V346" s="63"/>
      <c r="W346" s="64"/>
      <c r="X346" s="63"/>
    </row>
    <row r="347" spans="2:24">
      <c r="B347" s="58"/>
      <c r="C347" s="59"/>
      <c r="D347" s="59"/>
      <c r="E347" s="59"/>
      <c r="F347" s="59"/>
      <c r="G347" s="60">
        <f>IF(OR(E347="",F347="",C347="",D347=""),"",IF(C347+D347=0,"",(E347*C347+F347*D347)/(C347+D347)))</f>
        <v/>
      </c>
      <c r="H347" s="59"/>
      <c r="I347" s="60">
        <f>IF(OR(H347="",E347="",C347="",D347=""),"",IF(C347+D347=0,"",(H347*D347+E347*C347)/(C347+D347)))</f>
        <v/>
      </c>
      <c r="J347" s="59"/>
      <c r="K347" s="61">
        <f>IF(OR(J347="",I347=""),"",J347-I347)</f>
        <v/>
      </c>
      <c r="L347" s="61">
        <f>IF(OR(J347="",G347=""),"",J347-G347)</f>
        <v/>
      </c>
      <c r="M347" s="59"/>
      <c r="N347" s="59"/>
      <c r="O347" s="59"/>
      <c r="P347" s="59"/>
      <c r="Q347" s="59"/>
      <c r="R347" s="60">
        <f>IF(AND(P347="",Q347=""),"",N(P347)+N(Q347))</f>
        <v/>
      </c>
      <c r="S347" s="59"/>
      <c r="T347" s="59"/>
      <c r="U347" s="62">
        <f>IF(OR(R347="",S347="",T347=""),"",IF(S347+T347=0,"",R347/(S347+T347)))</f>
        <v/>
      </c>
      <c r="V347" s="63"/>
      <c r="W347" s="64"/>
      <c r="X347" s="63"/>
    </row>
    <row r="348" spans="2:24">
      <c r="B348" s="58"/>
      <c r="C348" s="59"/>
      <c r="D348" s="59"/>
      <c r="E348" s="59"/>
      <c r="F348" s="59"/>
      <c r="G348" s="60">
        <f>IF(OR(E348="",F348="",C348="",D348=""),"",IF(C348+D348=0,"",(E348*C348+F348*D348)/(C348+D348)))</f>
        <v/>
      </c>
      <c r="H348" s="59"/>
      <c r="I348" s="60">
        <f>IF(OR(H348="",E348="",C348="",D348=""),"",IF(C348+D348=0,"",(H348*D348+E348*C348)/(C348+D348)))</f>
        <v/>
      </c>
      <c r="J348" s="59"/>
      <c r="K348" s="61">
        <f>IF(OR(J348="",I348=""),"",J348-I348)</f>
        <v/>
      </c>
      <c r="L348" s="61">
        <f>IF(OR(J348="",G348=""),"",J348-G348)</f>
        <v/>
      </c>
      <c r="M348" s="59"/>
      <c r="N348" s="59"/>
      <c r="O348" s="59"/>
      <c r="P348" s="59"/>
      <c r="Q348" s="59"/>
      <c r="R348" s="60">
        <f>IF(AND(P348="",Q348=""),"",N(P348)+N(Q348))</f>
        <v/>
      </c>
      <c r="S348" s="59"/>
      <c r="T348" s="59"/>
      <c r="U348" s="62">
        <f>IF(OR(R348="",S348="",T348=""),"",IF(S348+T348=0,"",R348/(S348+T348)))</f>
        <v/>
      </c>
      <c r="V348" s="63"/>
      <c r="W348" s="64"/>
      <c r="X348" s="63"/>
    </row>
    <row r="349" spans="2:24">
      <c r="B349" s="58"/>
      <c r="C349" s="59"/>
      <c r="D349" s="59"/>
      <c r="E349" s="59"/>
      <c r="F349" s="59"/>
      <c r="G349" s="60">
        <f>IF(OR(E349="",F349="",C349="",D349=""),"",IF(C349+D349=0,"",(E349*C349+F349*D349)/(C349+D349)))</f>
        <v/>
      </c>
      <c r="H349" s="59"/>
      <c r="I349" s="60">
        <f>IF(OR(H349="",E349="",C349="",D349=""),"",IF(C349+D349=0,"",(H349*D349+E349*C349)/(C349+D349)))</f>
        <v/>
      </c>
      <c r="J349" s="59"/>
      <c r="K349" s="61">
        <f>IF(OR(J349="",I349=""),"",J349-I349)</f>
        <v/>
      </c>
      <c r="L349" s="61">
        <f>IF(OR(J349="",G349=""),"",J349-G349)</f>
        <v/>
      </c>
      <c r="M349" s="59"/>
      <c r="N349" s="59"/>
      <c r="O349" s="59"/>
      <c r="P349" s="59"/>
      <c r="Q349" s="59"/>
      <c r="R349" s="60">
        <f>IF(AND(P349="",Q349=""),"",N(P349)+N(Q349))</f>
        <v/>
      </c>
      <c r="S349" s="59"/>
      <c r="T349" s="59"/>
      <c r="U349" s="62">
        <f>IF(OR(R349="",S349="",T349=""),"",IF(S349+T349=0,"",R349/(S349+T349)))</f>
        <v/>
      </c>
      <c r="V349" s="63"/>
      <c r="W349" s="64"/>
      <c r="X349" s="63"/>
    </row>
    <row r="350" spans="2:24">
      <c r="B350" s="58"/>
      <c r="C350" s="59"/>
      <c r="D350" s="59"/>
      <c r="E350" s="59"/>
      <c r="F350" s="59"/>
      <c r="G350" s="60">
        <f>IF(OR(E350="",F350="",C350="",D350=""),"",IF(C350+D350=0,"",(E350*C350+F350*D350)/(C350+D350)))</f>
        <v/>
      </c>
      <c r="H350" s="59"/>
      <c r="I350" s="60">
        <f>IF(OR(H350="",E350="",C350="",D350=""),"",IF(C350+D350=0,"",(H350*D350+E350*C350)/(C350+D350)))</f>
        <v/>
      </c>
      <c r="J350" s="59"/>
      <c r="K350" s="61">
        <f>IF(OR(J350="",I350=""),"",J350-I350)</f>
        <v/>
      </c>
      <c r="L350" s="61">
        <f>IF(OR(J350="",G350=""),"",J350-G350)</f>
        <v/>
      </c>
      <c r="M350" s="59"/>
      <c r="N350" s="59"/>
      <c r="O350" s="59"/>
      <c r="P350" s="59"/>
      <c r="Q350" s="59"/>
      <c r="R350" s="60">
        <f>IF(AND(P350="",Q350=""),"",N(P350)+N(Q350))</f>
        <v/>
      </c>
      <c r="S350" s="59"/>
      <c r="T350" s="59"/>
      <c r="U350" s="62">
        <f>IF(OR(R350="",S350="",T350=""),"",IF(S350+T350=0,"",R350/(S350+T350)))</f>
        <v/>
      </c>
      <c r="V350" s="63"/>
      <c r="W350" s="64"/>
      <c r="X350" s="63"/>
    </row>
    <row r="351" spans="2:24">
      <c r="B351" s="58"/>
      <c r="C351" s="59"/>
      <c r="D351" s="59"/>
      <c r="E351" s="59"/>
      <c r="F351" s="59"/>
      <c r="G351" s="60">
        <f>IF(OR(E351="",F351="",C351="",D351=""),"",IF(C351+D351=0,"",(E351*C351+F351*D351)/(C351+D351)))</f>
        <v/>
      </c>
      <c r="H351" s="59"/>
      <c r="I351" s="60">
        <f>IF(OR(H351="",E351="",C351="",D351=""),"",IF(C351+D351=0,"",(H351*D351+E351*C351)/(C351+D351)))</f>
        <v/>
      </c>
      <c r="J351" s="59"/>
      <c r="K351" s="61">
        <f>IF(OR(J351="",I351=""),"",J351-I351)</f>
        <v/>
      </c>
      <c r="L351" s="61">
        <f>IF(OR(J351="",G351=""),"",J351-G351)</f>
        <v/>
      </c>
      <c r="M351" s="59"/>
      <c r="N351" s="59"/>
      <c r="O351" s="59"/>
      <c r="P351" s="59"/>
      <c r="Q351" s="59"/>
      <c r="R351" s="60">
        <f>IF(AND(P351="",Q351=""),"",N(P351)+N(Q351))</f>
        <v/>
      </c>
      <c r="S351" s="59"/>
      <c r="T351" s="59"/>
      <c r="U351" s="62">
        <f>IF(OR(R351="",S351="",T351=""),"",IF(S351+T351=0,"",R351/(S351+T351)))</f>
        <v/>
      </c>
      <c r="V351" s="63"/>
      <c r="W351" s="64"/>
      <c r="X351" s="63"/>
    </row>
    <row r="352" spans="2:24">
      <c r="B352" s="58"/>
      <c r="C352" s="59"/>
      <c r="D352" s="59"/>
      <c r="E352" s="59"/>
      <c r="F352" s="59"/>
      <c r="G352" s="60">
        <f>IF(OR(E352="",F352="",C352="",D352=""),"",IF(C352+D352=0,"",(E352*C352+F352*D352)/(C352+D352)))</f>
        <v/>
      </c>
      <c r="H352" s="59"/>
      <c r="I352" s="60">
        <f>IF(OR(H352="",E352="",C352="",D352=""),"",IF(C352+D352=0,"",(H352*D352+E352*C352)/(C352+D352)))</f>
        <v/>
      </c>
      <c r="J352" s="59"/>
      <c r="K352" s="61">
        <f>IF(OR(J352="",I352=""),"",J352-I352)</f>
        <v/>
      </c>
      <c r="L352" s="61">
        <f>IF(OR(J352="",G352=""),"",J352-G352)</f>
        <v/>
      </c>
      <c r="M352" s="59"/>
      <c r="N352" s="59"/>
      <c r="O352" s="59"/>
      <c r="P352" s="59"/>
      <c r="Q352" s="59"/>
      <c r="R352" s="60">
        <f>IF(AND(P352="",Q352=""),"",N(P352)+N(Q352))</f>
        <v/>
      </c>
      <c r="S352" s="59"/>
      <c r="T352" s="59"/>
      <c r="U352" s="62">
        <f>IF(OR(R352="",S352="",T352=""),"",IF(S352+T352=0,"",R352/(S352+T352)))</f>
        <v/>
      </c>
      <c r="V352" s="63"/>
      <c r="W352" s="64"/>
      <c r="X352" s="63"/>
    </row>
    <row r="353" spans="2:24">
      <c r="B353" s="58"/>
      <c r="C353" s="59"/>
      <c r="D353" s="59"/>
      <c r="E353" s="59"/>
      <c r="F353" s="59"/>
      <c r="G353" s="60">
        <f>IF(OR(E353="",F353="",C353="",D353=""),"",IF(C353+D353=0,"",(E353*C353+F353*D353)/(C353+D353)))</f>
        <v/>
      </c>
      <c r="H353" s="59"/>
      <c r="I353" s="60">
        <f>IF(OR(H353="",E353="",C353="",D353=""),"",IF(C353+D353=0,"",(H353*D353+E353*C353)/(C353+D353)))</f>
        <v/>
      </c>
      <c r="J353" s="59"/>
      <c r="K353" s="61">
        <f>IF(OR(J353="",I353=""),"",J353-I353)</f>
        <v/>
      </c>
      <c r="L353" s="61">
        <f>IF(OR(J353="",G353=""),"",J353-G353)</f>
        <v/>
      </c>
      <c r="M353" s="59"/>
      <c r="N353" s="59"/>
      <c r="O353" s="59"/>
      <c r="P353" s="59"/>
      <c r="Q353" s="59"/>
      <c r="R353" s="60">
        <f>IF(AND(P353="",Q353=""),"",N(P353)+N(Q353))</f>
        <v/>
      </c>
      <c r="S353" s="59"/>
      <c r="T353" s="59"/>
      <c r="U353" s="62">
        <f>IF(OR(R353="",S353="",T353=""),"",IF(S353+T353=0,"",R353/(S353+T353)))</f>
        <v/>
      </c>
      <c r="V353" s="63"/>
      <c r="W353" s="64"/>
      <c r="X353" s="63"/>
    </row>
    <row r="354" spans="2:24">
      <c r="B354" s="58"/>
      <c r="C354" s="59"/>
      <c r="D354" s="59"/>
      <c r="E354" s="59"/>
      <c r="F354" s="59"/>
      <c r="G354" s="60">
        <f>IF(OR(E354="",F354="",C354="",D354=""),"",IF(C354+D354=0,"",(E354*C354+F354*D354)/(C354+D354)))</f>
        <v/>
      </c>
      <c r="H354" s="59"/>
      <c r="I354" s="60">
        <f>IF(OR(H354="",E354="",C354="",D354=""),"",IF(C354+D354=0,"",(H354*D354+E354*C354)/(C354+D354)))</f>
        <v/>
      </c>
      <c r="J354" s="59"/>
      <c r="K354" s="61">
        <f>IF(OR(J354="",I354=""),"",J354-I354)</f>
        <v/>
      </c>
      <c r="L354" s="61">
        <f>IF(OR(J354="",G354=""),"",J354-G354)</f>
        <v/>
      </c>
      <c r="M354" s="59"/>
      <c r="N354" s="59"/>
      <c r="O354" s="59"/>
      <c r="P354" s="59"/>
      <c r="Q354" s="59"/>
      <c r="R354" s="60">
        <f>IF(AND(P354="",Q354=""),"",N(P354)+N(Q354))</f>
        <v/>
      </c>
      <c r="S354" s="59"/>
      <c r="T354" s="59"/>
      <c r="U354" s="62">
        <f>IF(OR(R354="",S354="",T354=""),"",IF(S354+T354=0,"",R354/(S354+T354)))</f>
        <v/>
      </c>
      <c r="V354" s="63"/>
      <c r="W354" s="64"/>
      <c r="X354" s="63"/>
    </row>
    <row r="355" spans="2:24">
      <c r="B355" s="58"/>
      <c r="C355" s="59"/>
      <c r="D355" s="59"/>
      <c r="E355" s="59"/>
      <c r="F355" s="59"/>
      <c r="G355" s="60">
        <f>IF(OR(E355="",F355="",C355="",D355=""),"",IF(C355+D355=0,"",(E355*C355+F355*D355)/(C355+D355)))</f>
        <v/>
      </c>
      <c r="H355" s="59"/>
      <c r="I355" s="60">
        <f>IF(OR(H355="",E355="",C355="",D355=""),"",IF(C355+D355=0,"",(H355*D355+E355*C355)/(C355+D355)))</f>
        <v/>
      </c>
      <c r="J355" s="59"/>
      <c r="K355" s="61">
        <f>IF(OR(J355="",I355=""),"",J355-I355)</f>
        <v/>
      </c>
      <c r="L355" s="61">
        <f>IF(OR(J355="",G355=""),"",J355-G355)</f>
        <v/>
      </c>
      <c r="M355" s="59"/>
      <c r="N355" s="59"/>
      <c r="O355" s="59"/>
      <c r="P355" s="59"/>
      <c r="Q355" s="59"/>
      <c r="R355" s="60">
        <f>IF(AND(P355="",Q355=""),"",N(P355)+N(Q355))</f>
        <v/>
      </c>
      <c r="S355" s="59"/>
      <c r="T355" s="59"/>
      <c r="U355" s="62">
        <f>IF(OR(R355="",S355="",T355=""),"",IF(S355+T355=0,"",R355/(S355+T355)))</f>
        <v/>
      </c>
      <c r="V355" s="63"/>
      <c r="W355" s="64"/>
      <c r="X355" s="63"/>
    </row>
    <row r="356" spans="2:24">
      <c r="B356" s="58"/>
      <c r="C356" s="59"/>
      <c r="D356" s="59"/>
      <c r="E356" s="59"/>
      <c r="F356" s="59"/>
      <c r="G356" s="60">
        <f>IF(OR(E356="",F356="",C356="",D356=""),"",IF(C356+D356=0,"",(E356*C356+F356*D356)/(C356+D356)))</f>
        <v/>
      </c>
      <c r="H356" s="59"/>
      <c r="I356" s="60">
        <f>IF(OR(H356="",E356="",C356="",D356=""),"",IF(C356+D356=0,"",(H356*D356+E356*C356)/(C356+D356)))</f>
        <v/>
      </c>
      <c r="J356" s="59"/>
      <c r="K356" s="61">
        <f>IF(OR(J356="",I356=""),"",J356-I356)</f>
        <v/>
      </c>
      <c r="L356" s="61">
        <f>IF(OR(J356="",G356=""),"",J356-G356)</f>
        <v/>
      </c>
      <c r="M356" s="59"/>
      <c r="N356" s="59"/>
      <c r="O356" s="59"/>
      <c r="P356" s="59"/>
      <c r="Q356" s="59"/>
      <c r="R356" s="60">
        <f>IF(AND(P356="",Q356=""),"",N(P356)+N(Q356))</f>
        <v/>
      </c>
      <c r="S356" s="59"/>
      <c r="T356" s="59"/>
      <c r="U356" s="62">
        <f>IF(OR(R356="",S356="",T356=""),"",IF(S356+T356=0,"",R356/(S356+T356)))</f>
        <v/>
      </c>
      <c r="V356" s="63"/>
      <c r="W356" s="64"/>
      <c r="X356" s="63"/>
    </row>
    <row r="357" spans="2:24">
      <c r="B357" s="58"/>
      <c r="C357" s="59"/>
      <c r="D357" s="59"/>
      <c r="E357" s="59"/>
      <c r="F357" s="59"/>
      <c r="G357" s="60">
        <f>IF(OR(E357="",F357="",C357="",D357=""),"",IF(C357+D357=0,"",(E357*C357+F357*D357)/(C357+D357)))</f>
        <v/>
      </c>
      <c r="H357" s="59"/>
      <c r="I357" s="60">
        <f>IF(OR(H357="",E357="",C357="",D357=""),"",IF(C357+D357=0,"",(H357*D357+E357*C357)/(C357+D357)))</f>
        <v/>
      </c>
      <c r="J357" s="59"/>
      <c r="K357" s="61">
        <f>IF(OR(J357="",I357=""),"",J357-I357)</f>
        <v/>
      </c>
      <c r="L357" s="61">
        <f>IF(OR(J357="",G357=""),"",J357-G357)</f>
        <v/>
      </c>
      <c r="M357" s="59"/>
      <c r="N357" s="59"/>
      <c r="O357" s="59"/>
      <c r="P357" s="59"/>
      <c r="Q357" s="59"/>
      <c r="R357" s="60">
        <f>IF(AND(P357="",Q357=""),"",N(P357)+N(Q357))</f>
        <v/>
      </c>
      <c r="S357" s="59"/>
      <c r="T357" s="59"/>
      <c r="U357" s="62">
        <f>IF(OR(R357="",S357="",T357=""),"",IF(S357+T357=0,"",R357/(S357+T357)))</f>
        <v/>
      </c>
      <c r="V357" s="63"/>
      <c r="W357" s="64"/>
      <c r="X357" s="63"/>
    </row>
    <row r="358" spans="2:24">
      <c r="B358" s="58"/>
      <c r="C358" s="59"/>
      <c r="D358" s="59"/>
      <c r="E358" s="59"/>
      <c r="F358" s="59"/>
      <c r="G358" s="60">
        <f>IF(OR(E358="",F358="",C358="",D358=""),"",IF(C358+D358=0,"",(E358*C358+F358*D358)/(C358+D358)))</f>
        <v/>
      </c>
      <c r="H358" s="59"/>
      <c r="I358" s="60">
        <f>IF(OR(H358="",E358="",C358="",D358=""),"",IF(C358+D358=0,"",(H358*D358+E358*C358)/(C358+D358)))</f>
        <v/>
      </c>
      <c r="J358" s="59"/>
      <c r="K358" s="61">
        <f>IF(OR(J358="",I358=""),"",J358-I358)</f>
        <v/>
      </c>
      <c r="L358" s="61">
        <f>IF(OR(J358="",G358=""),"",J358-G358)</f>
        <v/>
      </c>
      <c r="M358" s="59"/>
      <c r="N358" s="59"/>
      <c r="O358" s="59"/>
      <c r="P358" s="59"/>
      <c r="Q358" s="59"/>
      <c r="R358" s="60">
        <f>IF(AND(P358="",Q358=""),"",N(P358)+N(Q358))</f>
        <v/>
      </c>
      <c r="S358" s="59"/>
      <c r="T358" s="59"/>
      <c r="U358" s="62">
        <f>IF(OR(R358="",S358="",T358=""),"",IF(S358+T358=0,"",R358/(S358+T358)))</f>
        <v/>
      </c>
      <c r="V358" s="63"/>
      <c r="W358" s="64"/>
      <c r="X358" s="63"/>
    </row>
    <row r="359" spans="2:24">
      <c r="B359" s="58"/>
      <c r="C359" s="59"/>
      <c r="D359" s="59"/>
      <c r="E359" s="59"/>
      <c r="F359" s="59"/>
      <c r="G359" s="60">
        <f>IF(OR(E359="",F359="",C359="",D359=""),"",IF(C359+D359=0,"",(E359*C359+F359*D359)/(C359+D359)))</f>
        <v/>
      </c>
      <c r="H359" s="59"/>
      <c r="I359" s="60">
        <f>IF(OR(H359="",E359="",C359="",D359=""),"",IF(C359+D359=0,"",(H359*D359+E359*C359)/(C359+D359)))</f>
        <v/>
      </c>
      <c r="J359" s="59"/>
      <c r="K359" s="61">
        <f>IF(OR(J359="",I359=""),"",J359-I359)</f>
        <v/>
      </c>
      <c r="L359" s="61">
        <f>IF(OR(J359="",G359=""),"",J359-G359)</f>
        <v/>
      </c>
      <c r="M359" s="59"/>
      <c r="N359" s="59"/>
      <c r="O359" s="59"/>
      <c r="P359" s="59"/>
      <c r="Q359" s="59"/>
      <c r="R359" s="60">
        <f>IF(AND(P359="",Q359=""),"",N(P359)+N(Q359))</f>
        <v/>
      </c>
      <c r="S359" s="59"/>
      <c r="T359" s="59"/>
      <c r="U359" s="62">
        <f>IF(OR(R359="",S359="",T359=""),"",IF(S359+T359=0,"",R359/(S359+T359)))</f>
        <v/>
      </c>
      <c r="V359" s="63"/>
      <c r="W359" s="64"/>
      <c r="X359" s="63"/>
    </row>
    <row r="360" spans="2:24">
      <c r="B360" s="58"/>
      <c r="C360" s="59"/>
      <c r="D360" s="59"/>
      <c r="E360" s="59"/>
      <c r="F360" s="59"/>
      <c r="G360" s="60">
        <f>IF(OR(E360="",F360="",C360="",D360=""),"",IF(C360+D360=0,"",(E360*C360+F360*D360)/(C360+D360)))</f>
        <v/>
      </c>
      <c r="H360" s="59"/>
      <c r="I360" s="60">
        <f>IF(OR(H360="",E360="",C360="",D360=""),"",IF(C360+D360=0,"",(H360*D360+E360*C360)/(C360+D360)))</f>
        <v/>
      </c>
      <c r="J360" s="59"/>
      <c r="K360" s="61">
        <f>IF(OR(J360="",I360=""),"",J360-I360)</f>
        <v/>
      </c>
      <c r="L360" s="61">
        <f>IF(OR(J360="",G360=""),"",J360-G360)</f>
        <v/>
      </c>
      <c r="M360" s="59"/>
      <c r="N360" s="59"/>
      <c r="O360" s="59"/>
      <c r="P360" s="59"/>
      <c r="Q360" s="59"/>
      <c r="R360" s="60">
        <f>IF(AND(P360="",Q360=""),"",N(P360)+N(Q360))</f>
        <v/>
      </c>
      <c r="S360" s="59"/>
      <c r="T360" s="59"/>
      <c r="U360" s="62">
        <f>IF(OR(R360="",S360="",T360=""),"",IF(S360+T360=0,"",R360/(S360+T360)))</f>
        <v/>
      </c>
      <c r="V360" s="63"/>
      <c r="W360" s="64"/>
      <c r="X360" s="63"/>
    </row>
    <row r="361" spans="2:24">
      <c r="B361" s="58"/>
      <c r="C361" s="59"/>
      <c r="D361" s="59"/>
      <c r="E361" s="59"/>
      <c r="F361" s="59"/>
      <c r="G361" s="60">
        <f>IF(OR(E361="",F361="",C361="",D361=""),"",IF(C361+D361=0,"",(E361*C361+F361*D361)/(C361+D361)))</f>
        <v/>
      </c>
      <c r="H361" s="59"/>
      <c r="I361" s="60">
        <f>IF(OR(H361="",E361="",C361="",D361=""),"",IF(C361+D361=0,"",(H361*D361+E361*C361)/(C361+D361)))</f>
        <v/>
      </c>
      <c r="J361" s="59"/>
      <c r="K361" s="61">
        <f>IF(OR(J361="",I361=""),"",J361-I361)</f>
        <v/>
      </c>
      <c r="L361" s="61">
        <f>IF(OR(J361="",G361=""),"",J361-G361)</f>
        <v/>
      </c>
      <c r="M361" s="59"/>
      <c r="N361" s="59"/>
      <c r="O361" s="59"/>
      <c r="P361" s="59"/>
      <c r="Q361" s="59"/>
      <c r="R361" s="60">
        <f>IF(AND(P361="",Q361=""),"",N(P361)+N(Q361))</f>
        <v/>
      </c>
      <c r="S361" s="59"/>
      <c r="T361" s="59"/>
      <c r="U361" s="62">
        <f>IF(OR(R361="",S361="",T361=""),"",IF(S361+T361=0,"",R361/(S361+T361)))</f>
        <v/>
      </c>
      <c r="V361" s="63"/>
      <c r="W361" s="64"/>
      <c r="X361" s="63"/>
    </row>
    <row r="362" spans="2:24">
      <c r="B362" s="58"/>
      <c r="C362" s="59"/>
      <c r="D362" s="59"/>
      <c r="E362" s="59"/>
      <c r="F362" s="59"/>
      <c r="G362" s="60">
        <f>IF(OR(E362="",F362="",C362="",D362=""),"",IF(C362+D362=0,"",(E362*C362+F362*D362)/(C362+D362)))</f>
        <v/>
      </c>
      <c r="H362" s="59"/>
      <c r="I362" s="60">
        <f>IF(OR(H362="",E362="",C362="",D362=""),"",IF(C362+D362=0,"",(H362*D362+E362*C362)/(C362+D362)))</f>
        <v/>
      </c>
      <c r="J362" s="59"/>
      <c r="K362" s="61">
        <f>IF(OR(J362="",I362=""),"",J362-I362)</f>
        <v/>
      </c>
      <c r="L362" s="61">
        <f>IF(OR(J362="",G362=""),"",J362-G362)</f>
        <v/>
      </c>
      <c r="M362" s="59"/>
      <c r="N362" s="59"/>
      <c r="O362" s="59"/>
      <c r="P362" s="59"/>
      <c r="Q362" s="59"/>
      <c r="R362" s="60">
        <f>IF(AND(P362="",Q362=""),"",N(P362)+N(Q362))</f>
        <v/>
      </c>
      <c r="S362" s="59"/>
      <c r="T362" s="59"/>
      <c r="U362" s="62">
        <f>IF(OR(R362="",S362="",T362=""),"",IF(S362+T362=0,"",R362/(S362+T362)))</f>
        <v/>
      </c>
      <c r="V362" s="63"/>
      <c r="W362" s="64"/>
      <c r="X362" s="63"/>
    </row>
    <row r="363" spans="2:24">
      <c r="B363" s="58"/>
      <c r="C363" s="59"/>
      <c r="D363" s="59"/>
      <c r="E363" s="59"/>
      <c r="F363" s="59"/>
      <c r="G363" s="60">
        <f>IF(OR(E363="",F363="",C363="",D363=""),"",IF(C363+D363=0,"",(E363*C363+F363*D363)/(C363+D363)))</f>
        <v/>
      </c>
      <c r="H363" s="59"/>
      <c r="I363" s="60">
        <f>IF(OR(H363="",E363="",C363="",D363=""),"",IF(C363+D363=0,"",(H363*D363+E363*C363)/(C363+D363)))</f>
        <v/>
      </c>
      <c r="J363" s="59"/>
      <c r="K363" s="61">
        <f>IF(OR(J363="",I363=""),"",J363-I363)</f>
        <v/>
      </c>
      <c r="L363" s="61">
        <f>IF(OR(J363="",G363=""),"",J363-G363)</f>
        <v/>
      </c>
      <c r="M363" s="59"/>
      <c r="N363" s="59"/>
      <c r="O363" s="59"/>
      <c r="P363" s="59"/>
      <c r="Q363" s="59"/>
      <c r="R363" s="60">
        <f>IF(AND(P363="",Q363=""),"",N(P363)+N(Q363))</f>
        <v/>
      </c>
      <c r="S363" s="59"/>
      <c r="T363" s="59"/>
      <c r="U363" s="62">
        <f>IF(OR(R363="",S363="",T363=""),"",IF(S363+T363=0,"",R363/(S363+T363)))</f>
        <v/>
      </c>
      <c r="V363" s="63"/>
      <c r="W363" s="64"/>
      <c r="X363" s="63"/>
    </row>
    <row r="364" spans="2:24">
      <c r="B364" s="58"/>
      <c r="C364" s="59"/>
      <c r="D364" s="59"/>
      <c r="E364" s="59"/>
      <c r="F364" s="59"/>
      <c r="G364" s="60">
        <f>IF(OR(E364="",F364="",C364="",D364=""),"",IF(C364+D364=0,"",(E364*C364+F364*D364)/(C364+D364)))</f>
        <v/>
      </c>
      <c r="H364" s="59"/>
      <c r="I364" s="60">
        <f>IF(OR(H364="",E364="",C364="",D364=""),"",IF(C364+D364=0,"",(H364*D364+E364*C364)/(C364+D364)))</f>
        <v/>
      </c>
      <c r="J364" s="59"/>
      <c r="K364" s="61">
        <f>IF(OR(J364="",I364=""),"",J364-I364)</f>
        <v/>
      </c>
      <c r="L364" s="61">
        <f>IF(OR(J364="",G364=""),"",J364-G364)</f>
        <v/>
      </c>
      <c r="M364" s="59"/>
      <c r="N364" s="59"/>
      <c r="O364" s="59"/>
      <c r="P364" s="59"/>
      <c r="Q364" s="59"/>
      <c r="R364" s="60">
        <f>IF(AND(P364="",Q364=""),"",N(P364)+N(Q364))</f>
        <v/>
      </c>
      <c r="S364" s="59"/>
      <c r="T364" s="59"/>
      <c r="U364" s="62">
        <f>IF(OR(R364="",S364="",T364=""),"",IF(S364+T364=0,"",R364/(S364+T364)))</f>
        <v/>
      </c>
      <c r="V364" s="63"/>
      <c r="W364" s="64"/>
      <c r="X364" s="63"/>
    </row>
    <row r="365" spans="2:24">
      <c r="B365" s="58"/>
      <c r="C365" s="59"/>
      <c r="D365" s="59"/>
      <c r="E365" s="59"/>
      <c r="F365" s="59"/>
      <c r="G365" s="60">
        <f>IF(OR(E365="",F365="",C365="",D365=""),"",IF(C365+D365=0,"",(E365*C365+F365*D365)/(C365+D365)))</f>
        <v/>
      </c>
      <c r="H365" s="59"/>
      <c r="I365" s="60">
        <f>IF(OR(H365="",E365="",C365="",D365=""),"",IF(C365+D365=0,"",(H365*D365+E365*C365)/(C365+D365)))</f>
        <v/>
      </c>
      <c r="J365" s="59"/>
      <c r="K365" s="61">
        <f>IF(OR(J365="",I365=""),"",J365-I365)</f>
        <v/>
      </c>
      <c r="L365" s="61">
        <f>IF(OR(J365="",G365=""),"",J365-G365)</f>
        <v/>
      </c>
      <c r="M365" s="59"/>
      <c r="N365" s="59"/>
      <c r="O365" s="59"/>
      <c r="P365" s="59"/>
      <c r="Q365" s="59"/>
      <c r="R365" s="60">
        <f>IF(AND(P365="",Q365=""),"",N(P365)+N(Q365))</f>
        <v/>
      </c>
      <c r="S365" s="59"/>
      <c r="T365" s="59"/>
      <c r="U365" s="62">
        <f>IF(OR(R365="",S365="",T365=""),"",IF(S365+T365=0,"",R365/(S365+T365)))</f>
        <v/>
      </c>
      <c r="V365" s="63"/>
      <c r="W365" s="64"/>
      <c r="X365" s="63"/>
    </row>
    <row r="366" spans="2:24">
      <c r="B366" s="58"/>
      <c r="C366" s="59"/>
      <c r="D366" s="59"/>
      <c r="E366" s="59"/>
      <c r="F366" s="59"/>
      <c r="G366" s="60">
        <f>IF(OR(E366="",F366="",C366="",D366=""),"",IF(C366+D366=0,"",(E366*C366+F366*D366)/(C366+D366)))</f>
        <v/>
      </c>
      <c r="H366" s="59"/>
      <c r="I366" s="60">
        <f>IF(OR(H366="",E366="",C366="",D366=""),"",IF(C366+D366=0,"",(H366*D366+E366*C366)/(C366+D366)))</f>
        <v/>
      </c>
      <c r="J366" s="59"/>
      <c r="K366" s="61">
        <f>IF(OR(J366="",I366=""),"",J366-I366)</f>
        <v/>
      </c>
      <c r="L366" s="61">
        <f>IF(OR(J366="",G366=""),"",J366-G366)</f>
        <v/>
      </c>
      <c r="M366" s="59"/>
      <c r="N366" s="59"/>
      <c r="O366" s="59"/>
      <c r="P366" s="59"/>
      <c r="Q366" s="59"/>
      <c r="R366" s="60">
        <f>IF(AND(P366="",Q366=""),"",N(P366)+N(Q366))</f>
        <v/>
      </c>
      <c r="S366" s="59"/>
      <c r="T366" s="59"/>
      <c r="U366" s="62">
        <f>IF(OR(R366="",S366="",T366=""),"",IF(S366+T366=0,"",R366/(S366+T366)))</f>
        <v/>
      </c>
      <c r="V366" s="63"/>
      <c r="W366" s="64"/>
      <c r="X366" s="63"/>
    </row>
    <row r="367" spans="2:24">
      <c r="B367" s="58"/>
      <c r="C367" s="59"/>
      <c r="D367" s="59"/>
      <c r="E367" s="59"/>
      <c r="F367" s="59"/>
      <c r="G367" s="60">
        <f>IF(OR(E367="",F367="",C367="",D367=""),"",IF(C367+D367=0,"",(E367*C367+F367*D367)/(C367+D367)))</f>
        <v/>
      </c>
      <c r="H367" s="59"/>
      <c r="I367" s="60">
        <f>IF(OR(H367="",E367="",C367="",D367=""),"",IF(C367+D367=0,"",(H367*D367+E367*C367)/(C367+D367)))</f>
        <v/>
      </c>
      <c r="J367" s="59"/>
      <c r="K367" s="61">
        <f>IF(OR(J367="",I367=""),"",J367-I367)</f>
        <v/>
      </c>
      <c r="L367" s="61">
        <f>IF(OR(J367="",G367=""),"",J367-G367)</f>
        <v/>
      </c>
      <c r="M367" s="59"/>
      <c r="N367" s="59"/>
      <c r="O367" s="59"/>
      <c r="P367" s="59"/>
      <c r="Q367" s="59"/>
      <c r="R367" s="60">
        <f>IF(AND(P367="",Q367=""),"",N(P367)+N(Q367))</f>
        <v/>
      </c>
      <c r="S367" s="59"/>
      <c r="T367" s="59"/>
      <c r="U367" s="62">
        <f>IF(OR(R367="",S367="",T367=""),"",IF(S367+T367=0,"",R367/(S367+T367)))</f>
        <v/>
      </c>
      <c r="V367" s="63"/>
      <c r="W367" s="64"/>
      <c r="X367" s="63"/>
    </row>
    <row r="368" spans="2:24">
      <c r="B368" s="58"/>
      <c r="C368" s="59"/>
      <c r="D368" s="59"/>
      <c r="E368" s="59"/>
      <c r="F368" s="59"/>
      <c r="G368" s="60">
        <f>IF(OR(E368="",F368="",C368="",D368=""),"",IF(C368+D368=0,"",(E368*C368+F368*D368)/(C368+D368)))</f>
        <v/>
      </c>
      <c r="H368" s="59"/>
      <c r="I368" s="60">
        <f>IF(OR(H368="",E368="",C368="",D368=""),"",IF(C368+D368=0,"",(H368*D368+E368*C368)/(C368+D368)))</f>
        <v/>
      </c>
      <c r="J368" s="59"/>
      <c r="K368" s="61">
        <f>IF(OR(J368="",I368=""),"",J368-I368)</f>
        <v/>
      </c>
      <c r="L368" s="61">
        <f>IF(OR(J368="",G368=""),"",J368-G368)</f>
        <v/>
      </c>
      <c r="M368" s="59"/>
      <c r="N368" s="59"/>
      <c r="O368" s="59"/>
      <c r="P368" s="59"/>
      <c r="Q368" s="59"/>
      <c r="R368" s="60">
        <f>IF(AND(P368="",Q368=""),"",N(P368)+N(Q368))</f>
        <v/>
      </c>
      <c r="S368" s="59"/>
      <c r="T368" s="59"/>
      <c r="U368" s="62">
        <f>IF(OR(R368="",S368="",T368=""),"",IF(S368+T368=0,"",R368/(S368+T368)))</f>
        <v/>
      </c>
      <c r="V368" s="63"/>
      <c r="W368" s="64"/>
      <c r="X368" s="63"/>
    </row>
    <row r="369" spans="2:24">
      <c r="B369" s="58"/>
      <c r="C369" s="59"/>
      <c r="D369" s="59"/>
      <c r="E369" s="59"/>
      <c r="F369" s="59"/>
      <c r="G369" s="60">
        <f>IF(OR(E369="",F369="",C369="",D369=""),"",IF(C369+D369=0,"",(E369*C369+F369*D369)/(C369+D369)))</f>
        <v/>
      </c>
      <c r="H369" s="59"/>
      <c r="I369" s="60">
        <f>IF(OR(H369="",E369="",C369="",D369=""),"",IF(C369+D369=0,"",(H369*D369+E369*C369)/(C369+D369)))</f>
        <v/>
      </c>
      <c r="J369" s="59"/>
      <c r="K369" s="61">
        <f>IF(OR(J369="",I369=""),"",J369-I369)</f>
        <v/>
      </c>
      <c r="L369" s="61">
        <f>IF(OR(J369="",G369=""),"",J369-G369)</f>
        <v/>
      </c>
      <c r="M369" s="59"/>
      <c r="N369" s="59"/>
      <c r="O369" s="59"/>
      <c r="P369" s="59"/>
      <c r="Q369" s="59"/>
      <c r="R369" s="60">
        <f>IF(AND(P369="",Q369=""),"",N(P369)+N(Q369))</f>
        <v/>
      </c>
      <c r="S369" s="59"/>
      <c r="T369" s="59"/>
      <c r="U369" s="62">
        <f>IF(OR(R369="",S369="",T369=""),"",IF(S369+T369=0,"",R369/(S369+T369)))</f>
        <v/>
      </c>
      <c r="V369" s="63"/>
      <c r="W369" s="64"/>
      <c r="X369" s="63"/>
    </row>
    <row r="370" spans="2:24">
      <c r="B370" s="58"/>
      <c r="C370" s="59"/>
      <c r="D370" s="59"/>
      <c r="E370" s="59"/>
      <c r="F370" s="59"/>
      <c r="G370" s="60">
        <f>IF(OR(E370="",F370="",C370="",D370=""),"",IF(C370+D370=0,"",(E370*C370+F370*D370)/(C370+D370)))</f>
        <v/>
      </c>
      <c r="H370" s="59"/>
      <c r="I370" s="60">
        <f>IF(OR(H370="",E370="",C370="",D370=""),"",IF(C370+D370=0,"",(H370*D370+E370*C370)/(C370+D370)))</f>
        <v/>
      </c>
      <c r="J370" s="59"/>
      <c r="K370" s="61">
        <f>IF(OR(J370="",I370=""),"",J370-I370)</f>
        <v/>
      </c>
      <c r="L370" s="61">
        <f>IF(OR(J370="",G370=""),"",J370-G370)</f>
        <v/>
      </c>
      <c r="M370" s="59"/>
      <c r="N370" s="59"/>
      <c r="O370" s="59"/>
      <c r="P370" s="59"/>
      <c r="Q370" s="59"/>
      <c r="R370" s="60">
        <f>IF(AND(P370="",Q370=""),"",N(P370)+N(Q370))</f>
        <v/>
      </c>
      <c r="S370" s="59"/>
      <c r="T370" s="59"/>
      <c r="U370" s="62">
        <f>IF(OR(R370="",S370="",T370=""),"",IF(S370+T370=0,"",R370/(S370+T370)))</f>
        <v/>
      </c>
      <c r="V370" s="63"/>
      <c r="W370" s="64"/>
      <c r="X370" s="63"/>
    </row>
    <row r="371" spans="2:24">
      <c r="B371" s="58"/>
      <c r="C371" s="59"/>
      <c r="D371" s="59"/>
      <c r="E371" s="59"/>
      <c r="F371" s="59"/>
      <c r="G371" s="60">
        <f>IF(OR(E371="",F371="",C371="",D371=""),"",IF(C371+D371=0,"",(E371*C371+F371*D371)/(C371+D371)))</f>
        <v/>
      </c>
      <c r="H371" s="59"/>
      <c r="I371" s="60">
        <f>IF(OR(H371="",E371="",C371="",D371=""),"",IF(C371+D371=0,"",(H371*D371+E371*C371)/(C371+D371)))</f>
        <v/>
      </c>
      <c r="J371" s="59"/>
      <c r="K371" s="61">
        <f>IF(OR(J371="",I371=""),"",J371-I371)</f>
        <v/>
      </c>
      <c r="L371" s="61">
        <f>IF(OR(J371="",G371=""),"",J371-G371)</f>
        <v/>
      </c>
      <c r="M371" s="59"/>
      <c r="N371" s="59"/>
      <c r="O371" s="59"/>
      <c r="P371" s="59"/>
      <c r="Q371" s="59"/>
      <c r="R371" s="60">
        <f>IF(AND(P371="",Q371=""),"",N(P371)+N(Q371))</f>
        <v/>
      </c>
      <c r="S371" s="59"/>
      <c r="T371" s="59"/>
      <c r="U371" s="62">
        <f>IF(OR(R371="",S371="",T371=""),"",IF(S371+T371=0,"",R371/(S371+T371)))</f>
        <v/>
      </c>
      <c r="V371" s="63"/>
      <c r="W371" s="64"/>
      <c r="X371" s="63"/>
    </row>
    <row r="372" spans="2:24">
      <c r="B372" s="58"/>
      <c r="C372" s="59"/>
      <c r="D372" s="59"/>
      <c r="E372" s="59"/>
      <c r="F372" s="59"/>
      <c r="G372" s="60">
        <f>IF(OR(E372="",F372="",C372="",D372=""),"",IF(C372+D372=0,"",(E372*C372+F372*D372)/(C372+D372)))</f>
        <v/>
      </c>
      <c r="H372" s="59"/>
      <c r="I372" s="60">
        <f>IF(OR(H372="",E372="",C372="",D372=""),"",IF(C372+D372=0,"",(H372*D372+E372*C372)/(C372+D372)))</f>
        <v/>
      </c>
      <c r="J372" s="59"/>
      <c r="K372" s="61">
        <f>IF(OR(J372="",I372=""),"",J372-I372)</f>
        <v/>
      </c>
      <c r="L372" s="61">
        <f>IF(OR(J372="",G372=""),"",J372-G372)</f>
        <v/>
      </c>
      <c r="M372" s="59"/>
      <c r="N372" s="59"/>
      <c r="O372" s="59"/>
      <c r="P372" s="59"/>
      <c r="Q372" s="59"/>
      <c r="R372" s="60">
        <f>IF(AND(P372="",Q372=""),"",N(P372)+N(Q372))</f>
        <v/>
      </c>
      <c r="S372" s="59"/>
      <c r="T372" s="59"/>
      <c r="U372" s="62">
        <f>IF(OR(R372="",S372="",T372=""),"",IF(S372+T372=0,"",R372/(S372+T372)))</f>
        <v/>
      </c>
      <c r="V372" s="63"/>
      <c r="W372" s="64"/>
      <c r="X372" s="63"/>
    </row>
    <row r="373" spans="2:24">
      <c r="B373" s="58"/>
      <c r="C373" s="59"/>
      <c r="D373" s="59"/>
      <c r="E373" s="59"/>
      <c r="F373" s="59"/>
      <c r="G373" s="60">
        <f>IF(OR(E373="",F373="",C373="",D373=""),"",IF(C373+D373=0,"",(E373*C373+F373*D373)/(C373+D373)))</f>
        <v/>
      </c>
      <c r="H373" s="59"/>
      <c r="I373" s="60">
        <f>IF(OR(H373="",E373="",C373="",D373=""),"",IF(C373+D373=0,"",(H373*D373+E373*C373)/(C373+D373)))</f>
        <v/>
      </c>
      <c r="J373" s="59"/>
      <c r="K373" s="61">
        <f>IF(OR(J373="",I373=""),"",J373-I373)</f>
        <v/>
      </c>
      <c r="L373" s="61">
        <f>IF(OR(J373="",G373=""),"",J373-G373)</f>
        <v/>
      </c>
      <c r="M373" s="59"/>
      <c r="N373" s="59"/>
      <c r="O373" s="59"/>
      <c r="P373" s="59"/>
      <c r="Q373" s="59"/>
      <c r="R373" s="60">
        <f>IF(AND(P373="",Q373=""),"",N(P373)+N(Q373))</f>
        <v/>
      </c>
      <c r="S373" s="59"/>
      <c r="T373" s="59"/>
      <c r="U373" s="62">
        <f>IF(OR(R373="",S373="",T373=""),"",IF(S373+T373=0,"",R373/(S373+T373)))</f>
        <v/>
      </c>
      <c r="V373" s="63"/>
      <c r="W373" s="64"/>
      <c r="X373" s="63"/>
    </row>
    <row r="374" spans="2:24">
      <c r="B374" s="58"/>
      <c r="C374" s="59"/>
      <c r="D374" s="59"/>
      <c r="E374" s="59"/>
      <c r="F374" s="59"/>
      <c r="G374" s="60">
        <f>IF(OR(E374="",F374="",C374="",D374=""),"",IF(C374+D374=0,"",(E374*C374+F374*D374)/(C374+D374)))</f>
        <v/>
      </c>
      <c r="H374" s="59"/>
      <c r="I374" s="60">
        <f>IF(OR(H374="",E374="",C374="",D374=""),"",IF(C374+D374=0,"",(H374*D374+E374*C374)/(C374+D374)))</f>
        <v/>
      </c>
      <c r="J374" s="59"/>
      <c r="K374" s="61">
        <f>IF(OR(J374="",I374=""),"",J374-I374)</f>
        <v/>
      </c>
      <c r="L374" s="61">
        <f>IF(OR(J374="",G374=""),"",J374-G374)</f>
        <v/>
      </c>
      <c r="M374" s="59"/>
      <c r="N374" s="59"/>
      <c r="O374" s="59"/>
      <c r="P374" s="59"/>
      <c r="Q374" s="59"/>
      <c r="R374" s="60">
        <f>IF(AND(P374="",Q374=""),"",N(P374)+N(Q374))</f>
        <v/>
      </c>
      <c r="S374" s="59"/>
      <c r="T374" s="59"/>
      <c r="U374" s="62">
        <f>IF(OR(R374="",S374="",T374=""),"",IF(S374+T374=0,"",R374/(S374+T374)))</f>
        <v/>
      </c>
      <c r="V374" s="63"/>
      <c r="W374" s="64"/>
      <c r="X374" s="63"/>
    </row>
    <row r="375" spans="2:24">
      <c r="B375" s="58"/>
      <c r="C375" s="59"/>
      <c r="D375" s="59"/>
      <c r="E375" s="59"/>
      <c r="F375" s="59"/>
      <c r="G375" s="60">
        <f>IF(OR(E375="",F375="",C375="",D375=""),"",IF(C375+D375=0,"",(E375*C375+F375*D375)/(C375+D375)))</f>
        <v/>
      </c>
      <c r="H375" s="59"/>
      <c r="I375" s="60">
        <f>IF(OR(H375="",E375="",C375="",D375=""),"",IF(C375+D375=0,"",(H375*D375+E375*C375)/(C375+D375)))</f>
        <v/>
      </c>
      <c r="J375" s="59"/>
      <c r="K375" s="61">
        <f>IF(OR(J375="",I375=""),"",J375-I375)</f>
        <v/>
      </c>
      <c r="L375" s="61">
        <f>IF(OR(J375="",G375=""),"",J375-G375)</f>
        <v/>
      </c>
      <c r="M375" s="59"/>
      <c r="N375" s="59"/>
      <c r="O375" s="59"/>
      <c r="P375" s="59"/>
      <c r="Q375" s="59"/>
      <c r="R375" s="60">
        <f>IF(AND(P375="",Q375=""),"",N(P375)+N(Q375))</f>
        <v/>
      </c>
      <c r="S375" s="59"/>
      <c r="T375" s="59"/>
      <c r="U375" s="62">
        <f>IF(OR(R375="",S375="",T375=""),"",IF(S375+T375=0,"",R375/(S375+T375)))</f>
        <v/>
      </c>
      <c r="V375" s="63"/>
      <c r="W375" s="64"/>
      <c r="X375" s="63"/>
    </row>
    <row r="376" spans="2:24">
      <c r="B376" s="58"/>
      <c r="C376" s="59"/>
      <c r="D376" s="59"/>
      <c r="E376" s="59"/>
      <c r="F376" s="59"/>
      <c r="G376" s="60">
        <f>IF(OR(E376="",F376="",C376="",D376=""),"",IF(C376+D376=0,"",(E376*C376+F376*D376)/(C376+D376)))</f>
        <v/>
      </c>
      <c r="H376" s="59"/>
      <c r="I376" s="60">
        <f>IF(OR(H376="",E376="",C376="",D376=""),"",IF(C376+D376=0,"",(H376*D376+E376*C376)/(C376+D376)))</f>
        <v/>
      </c>
      <c r="J376" s="59"/>
      <c r="K376" s="61">
        <f>IF(OR(J376="",I376=""),"",J376-I376)</f>
        <v/>
      </c>
      <c r="L376" s="61">
        <f>IF(OR(J376="",G376=""),"",J376-G376)</f>
        <v/>
      </c>
      <c r="M376" s="59"/>
      <c r="N376" s="59"/>
      <c r="O376" s="59"/>
      <c r="P376" s="59"/>
      <c r="Q376" s="59"/>
      <c r="R376" s="60">
        <f>IF(AND(P376="",Q376=""),"",N(P376)+N(Q376))</f>
        <v/>
      </c>
      <c r="S376" s="59"/>
      <c r="T376" s="59"/>
      <c r="U376" s="62">
        <f>IF(OR(R376="",S376="",T376=""),"",IF(S376+T376=0,"",R376/(S376+T376)))</f>
        <v/>
      </c>
      <c r="V376" s="63"/>
      <c r="W376" s="64"/>
      <c r="X376" s="63"/>
    </row>
    <row r="377" spans="2:24">
      <c r="B377" s="58"/>
      <c r="C377" s="59"/>
      <c r="D377" s="59"/>
      <c r="E377" s="59"/>
      <c r="F377" s="59"/>
      <c r="G377" s="60">
        <f>IF(OR(E377="",F377="",C377="",D377=""),"",IF(C377+D377=0,"",(E377*C377+F377*D377)/(C377+D377)))</f>
        <v/>
      </c>
      <c r="H377" s="59"/>
      <c r="I377" s="60">
        <f>IF(OR(H377="",E377="",C377="",D377=""),"",IF(C377+D377=0,"",(H377*D377+E377*C377)/(C377+D377)))</f>
        <v/>
      </c>
      <c r="J377" s="59"/>
      <c r="K377" s="61">
        <f>IF(OR(J377="",I377=""),"",J377-I377)</f>
        <v/>
      </c>
      <c r="L377" s="61">
        <f>IF(OR(J377="",G377=""),"",J377-G377)</f>
        <v/>
      </c>
      <c r="M377" s="59"/>
      <c r="N377" s="59"/>
      <c r="O377" s="59"/>
      <c r="P377" s="59"/>
      <c r="Q377" s="59"/>
      <c r="R377" s="60">
        <f>IF(AND(P377="",Q377=""),"",N(P377)+N(Q377))</f>
        <v/>
      </c>
      <c r="S377" s="59"/>
      <c r="T377" s="59"/>
      <c r="U377" s="62">
        <f>IF(OR(R377="",S377="",T377=""),"",IF(S377+T377=0,"",R377/(S377+T377)))</f>
        <v/>
      </c>
      <c r="V377" s="63"/>
      <c r="W377" s="64"/>
      <c r="X377" s="63"/>
    </row>
    <row r="378" spans="2:24">
      <c r="B378" s="58"/>
      <c r="C378" s="59"/>
      <c r="D378" s="59"/>
      <c r="E378" s="59"/>
      <c r="F378" s="59"/>
      <c r="G378" s="60">
        <f>IF(OR(E378="",F378="",C378="",D378=""),"",IF(C378+D378=0,"",(E378*C378+F378*D378)/(C378+D378)))</f>
        <v/>
      </c>
      <c r="H378" s="59"/>
      <c r="I378" s="60">
        <f>IF(OR(H378="",E378="",C378="",D378=""),"",IF(C378+D378=0,"",(H378*D378+E378*C378)/(C378+D378)))</f>
        <v/>
      </c>
      <c r="J378" s="59"/>
      <c r="K378" s="61">
        <f>IF(OR(J378="",I378=""),"",J378-I378)</f>
        <v/>
      </c>
      <c r="L378" s="61">
        <f>IF(OR(J378="",G378=""),"",J378-G378)</f>
        <v/>
      </c>
      <c r="M378" s="59"/>
      <c r="N378" s="59"/>
      <c r="O378" s="59"/>
      <c r="P378" s="59"/>
      <c r="Q378" s="59"/>
      <c r="R378" s="60">
        <f>IF(AND(P378="",Q378=""),"",N(P378)+N(Q378))</f>
        <v/>
      </c>
      <c r="S378" s="59"/>
      <c r="T378" s="59"/>
      <c r="U378" s="62">
        <f>IF(OR(R378="",S378="",T378=""),"",IF(S378+T378=0,"",R378/(S378+T378)))</f>
        <v/>
      </c>
      <c r="V378" s="63"/>
      <c r="W378" s="64"/>
      <c r="X378" s="63"/>
    </row>
    <row r="379" spans="2:24">
      <c r="B379" s="58"/>
      <c r="C379" s="59"/>
      <c r="D379" s="59"/>
      <c r="E379" s="59"/>
      <c r="F379" s="59"/>
      <c r="G379" s="60">
        <f>IF(OR(E379="",F379="",C379="",D379=""),"",IF(C379+D379=0,"",(E379*C379+F379*D379)/(C379+D379)))</f>
        <v/>
      </c>
      <c r="H379" s="59"/>
      <c r="I379" s="60">
        <f>IF(OR(H379="",E379="",C379="",D379=""),"",IF(C379+D379=0,"",(H379*D379+E379*C379)/(C379+D379)))</f>
        <v/>
      </c>
      <c r="J379" s="59"/>
      <c r="K379" s="61">
        <f>IF(OR(J379="",I379=""),"",J379-I379)</f>
        <v/>
      </c>
      <c r="L379" s="61">
        <f>IF(OR(J379="",G379=""),"",J379-G379)</f>
        <v/>
      </c>
      <c r="M379" s="59"/>
      <c r="N379" s="59"/>
      <c r="O379" s="59"/>
      <c r="P379" s="59"/>
      <c r="Q379" s="59"/>
      <c r="R379" s="60">
        <f>IF(AND(P379="",Q379=""),"",N(P379)+N(Q379))</f>
        <v/>
      </c>
      <c r="S379" s="59"/>
      <c r="T379" s="59"/>
      <c r="U379" s="62">
        <f>IF(OR(R379="",S379="",T379=""),"",IF(S379+T379=0,"",R379/(S379+T379)))</f>
        <v/>
      </c>
      <c r="V379" s="63"/>
      <c r="W379" s="64"/>
      <c r="X379" s="63"/>
    </row>
    <row r="380" spans="2:24">
      <c r="B380" s="58"/>
      <c r="C380" s="59"/>
      <c r="D380" s="59"/>
      <c r="E380" s="59"/>
      <c r="F380" s="59"/>
      <c r="G380" s="60">
        <f>IF(OR(E380="",F380="",C380="",D380=""),"",IF(C380+D380=0,"",(E380*C380+F380*D380)/(C380+D380)))</f>
        <v/>
      </c>
      <c r="H380" s="59"/>
      <c r="I380" s="60">
        <f>IF(OR(H380="",E380="",C380="",D380=""),"",IF(C380+D380=0,"",(H380*D380+E380*C380)/(C380+D380)))</f>
        <v/>
      </c>
      <c r="J380" s="59"/>
      <c r="K380" s="61">
        <f>IF(OR(J380="",I380=""),"",J380-I380)</f>
        <v/>
      </c>
      <c r="L380" s="61">
        <f>IF(OR(J380="",G380=""),"",J380-G380)</f>
        <v/>
      </c>
      <c r="M380" s="59"/>
      <c r="N380" s="59"/>
      <c r="O380" s="59"/>
      <c r="P380" s="59"/>
      <c r="Q380" s="59"/>
      <c r="R380" s="60">
        <f>IF(AND(P380="",Q380=""),"",N(P380)+N(Q380))</f>
        <v/>
      </c>
      <c r="S380" s="59"/>
      <c r="T380" s="59"/>
      <c r="U380" s="62">
        <f>IF(OR(R380="",S380="",T380=""),"",IF(S380+T380=0,"",R380/(S380+T380)))</f>
        <v/>
      </c>
      <c r="V380" s="63"/>
      <c r="W380" s="64"/>
      <c r="X380" s="63"/>
    </row>
    <row r="381" spans="2:24">
      <c r="B381" s="58"/>
      <c r="C381" s="59"/>
      <c r="D381" s="59"/>
      <c r="E381" s="59"/>
      <c r="F381" s="59"/>
      <c r="G381" s="60">
        <f>IF(OR(E381="",F381="",C381="",D381=""),"",IF(C381+D381=0,"",(E381*C381+F381*D381)/(C381+D381)))</f>
        <v/>
      </c>
      <c r="H381" s="59"/>
      <c r="I381" s="60">
        <f>IF(OR(H381="",E381="",C381="",D381=""),"",IF(C381+D381=0,"",(H381*D381+E381*C381)/(C381+D381)))</f>
        <v/>
      </c>
      <c r="J381" s="59"/>
      <c r="K381" s="61">
        <f>IF(OR(J381="",I381=""),"",J381-I381)</f>
        <v/>
      </c>
      <c r="L381" s="61">
        <f>IF(OR(J381="",G381=""),"",J381-G381)</f>
        <v/>
      </c>
      <c r="M381" s="59"/>
      <c r="N381" s="59"/>
      <c r="O381" s="59"/>
      <c r="P381" s="59"/>
      <c r="Q381" s="59"/>
      <c r="R381" s="60">
        <f>IF(AND(P381="",Q381=""),"",N(P381)+N(Q381))</f>
        <v/>
      </c>
      <c r="S381" s="59"/>
      <c r="T381" s="59"/>
      <c r="U381" s="62">
        <f>IF(OR(R381="",S381="",T381=""),"",IF(S381+T381=0,"",R381/(S381+T381)))</f>
        <v/>
      </c>
      <c r="V381" s="63"/>
      <c r="W381" s="64"/>
      <c r="X381" s="63"/>
    </row>
    <row r="382" spans="2:24">
      <c r="B382" s="58"/>
      <c r="C382" s="59"/>
      <c r="D382" s="59"/>
      <c r="E382" s="59"/>
      <c r="F382" s="59"/>
      <c r="G382" s="60">
        <f>IF(OR(E382="",F382="",C382="",D382=""),"",IF(C382+D382=0,"",(E382*C382+F382*D382)/(C382+D382)))</f>
        <v/>
      </c>
      <c r="H382" s="59"/>
      <c r="I382" s="60">
        <f>IF(OR(H382="",E382="",C382="",D382=""),"",IF(C382+D382=0,"",(H382*D382+E382*C382)/(C382+D382)))</f>
        <v/>
      </c>
      <c r="J382" s="59"/>
      <c r="K382" s="61">
        <f>IF(OR(J382="",I382=""),"",J382-I382)</f>
        <v/>
      </c>
      <c r="L382" s="61">
        <f>IF(OR(J382="",G382=""),"",J382-G382)</f>
        <v/>
      </c>
      <c r="M382" s="59"/>
      <c r="N382" s="59"/>
      <c r="O382" s="59"/>
      <c r="P382" s="59"/>
      <c r="Q382" s="59"/>
      <c r="R382" s="60">
        <f>IF(AND(P382="",Q382=""),"",N(P382)+N(Q382))</f>
        <v/>
      </c>
      <c r="S382" s="59"/>
      <c r="T382" s="59"/>
      <c r="U382" s="62">
        <f>IF(OR(R382="",S382="",T382=""),"",IF(S382+T382=0,"",R382/(S382+T382)))</f>
        <v/>
      </c>
      <c r="V382" s="63"/>
      <c r="W382" s="64"/>
      <c r="X382" s="63"/>
    </row>
    <row r="383" spans="2:24">
      <c r="B383" s="58"/>
      <c r="C383" s="59"/>
      <c r="D383" s="59"/>
      <c r="E383" s="59"/>
      <c r="F383" s="59"/>
      <c r="G383" s="60">
        <f>IF(OR(E383="",F383="",C383="",D383=""),"",IF(C383+D383=0,"",(E383*C383+F383*D383)/(C383+D383)))</f>
        <v/>
      </c>
      <c r="H383" s="59"/>
      <c r="I383" s="60">
        <f>IF(OR(H383="",E383="",C383="",D383=""),"",IF(C383+D383=0,"",(H383*D383+E383*C383)/(C383+D383)))</f>
        <v/>
      </c>
      <c r="J383" s="59"/>
      <c r="K383" s="61">
        <f>IF(OR(J383="",I383=""),"",J383-I383)</f>
        <v/>
      </c>
      <c r="L383" s="61">
        <f>IF(OR(J383="",G383=""),"",J383-G383)</f>
        <v/>
      </c>
      <c r="M383" s="59"/>
      <c r="N383" s="59"/>
      <c r="O383" s="59"/>
      <c r="P383" s="59"/>
      <c r="Q383" s="59"/>
      <c r="R383" s="60">
        <f>IF(AND(P383="",Q383=""),"",N(P383)+N(Q383))</f>
        <v/>
      </c>
      <c r="S383" s="59"/>
      <c r="T383" s="59"/>
      <c r="U383" s="62">
        <f>IF(OR(R383="",S383="",T383=""),"",IF(S383+T383=0,"",R383/(S383+T383)))</f>
        <v/>
      </c>
      <c r="V383" s="63"/>
      <c r="W383" s="64"/>
      <c r="X383" s="63"/>
    </row>
    <row r="384" spans="2:24">
      <c r="B384" s="58"/>
      <c r="C384" s="59"/>
      <c r="D384" s="59"/>
      <c r="E384" s="59"/>
      <c r="F384" s="59"/>
      <c r="G384" s="60">
        <f>IF(OR(E384="",F384="",C384="",D384=""),"",IF(C384+D384=0,"",(E384*C384+F384*D384)/(C384+D384)))</f>
        <v/>
      </c>
      <c r="H384" s="59"/>
      <c r="I384" s="60">
        <f>IF(OR(H384="",E384="",C384="",D384=""),"",IF(C384+D384=0,"",(H384*D384+E384*C384)/(C384+D384)))</f>
        <v/>
      </c>
      <c r="J384" s="59"/>
      <c r="K384" s="61">
        <f>IF(OR(J384="",I384=""),"",J384-I384)</f>
        <v/>
      </c>
      <c r="L384" s="61">
        <f>IF(OR(J384="",G384=""),"",J384-G384)</f>
        <v/>
      </c>
      <c r="M384" s="59"/>
      <c r="N384" s="59"/>
      <c r="O384" s="59"/>
      <c r="P384" s="59"/>
      <c r="Q384" s="59"/>
      <c r="R384" s="60">
        <f>IF(AND(P384="",Q384=""),"",N(P384)+N(Q384))</f>
        <v/>
      </c>
      <c r="S384" s="59"/>
      <c r="T384" s="59"/>
      <c r="U384" s="62">
        <f>IF(OR(R384="",S384="",T384=""),"",IF(S384+T384=0,"",R384/(S384+T384)))</f>
        <v/>
      </c>
      <c r="V384" s="63"/>
      <c r="W384" s="64"/>
      <c r="X384" s="63"/>
    </row>
    <row r="385" spans="2:24">
      <c r="B385" s="58"/>
      <c r="C385" s="59"/>
      <c r="D385" s="59"/>
      <c r="E385" s="59"/>
      <c r="F385" s="59"/>
      <c r="G385" s="60">
        <f>IF(OR(E385="",F385="",C385="",D385=""),"",IF(C385+D385=0,"",(E385*C385+F385*D385)/(C385+D385)))</f>
        <v/>
      </c>
      <c r="H385" s="59"/>
      <c r="I385" s="60">
        <f>IF(OR(H385="",E385="",C385="",D385=""),"",IF(C385+D385=0,"",(H385*D385+E385*C385)/(C385+D385)))</f>
        <v/>
      </c>
      <c r="J385" s="59"/>
      <c r="K385" s="61">
        <f>IF(OR(J385="",I385=""),"",J385-I385)</f>
        <v/>
      </c>
      <c r="L385" s="61">
        <f>IF(OR(J385="",G385=""),"",J385-G385)</f>
        <v/>
      </c>
      <c r="M385" s="59"/>
      <c r="N385" s="59"/>
      <c r="O385" s="59"/>
      <c r="P385" s="59"/>
      <c r="Q385" s="59"/>
      <c r="R385" s="60">
        <f>IF(AND(P385="",Q385=""),"",N(P385)+N(Q385))</f>
        <v/>
      </c>
      <c r="S385" s="59"/>
      <c r="T385" s="59"/>
      <c r="U385" s="62">
        <f>IF(OR(R385="",S385="",T385=""),"",IF(S385+T385=0,"",R385/(S385+T385)))</f>
        <v/>
      </c>
      <c r="V385" s="63"/>
      <c r="W385" s="64"/>
      <c r="X385" s="63"/>
    </row>
    <row r="386" spans="2:24">
      <c r="B386" s="58"/>
      <c r="C386" s="59"/>
      <c r="D386" s="59"/>
      <c r="E386" s="59"/>
      <c r="F386" s="59"/>
      <c r="G386" s="60">
        <f>IF(OR(E386="",F386="",C386="",D386=""),"",IF(C386+D386=0,"",(E386*C386+F386*D386)/(C386+D386)))</f>
        <v/>
      </c>
      <c r="H386" s="59"/>
      <c r="I386" s="60">
        <f>IF(OR(H386="",E386="",C386="",D386=""),"",IF(C386+D386=0,"",(H386*D386+E386*C386)/(C386+D386)))</f>
        <v/>
      </c>
      <c r="J386" s="59"/>
      <c r="K386" s="61">
        <f>IF(OR(J386="",I386=""),"",J386-I386)</f>
        <v/>
      </c>
      <c r="L386" s="61">
        <f>IF(OR(J386="",G386=""),"",J386-G386)</f>
        <v/>
      </c>
      <c r="M386" s="59"/>
      <c r="N386" s="59"/>
      <c r="O386" s="59"/>
      <c r="P386" s="59"/>
      <c r="Q386" s="59"/>
      <c r="R386" s="60">
        <f>IF(AND(P386="",Q386=""),"",N(P386)+N(Q386))</f>
        <v/>
      </c>
      <c r="S386" s="59"/>
      <c r="T386" s="59"/>
      <c r="U386" s="62">
        <f>IF(OR(R386="",S386="",T386=""),"",IF(S386+T386=0,"",R386/(S386+T386)))</f>
        <v/>
      </c>
      <c r="V386" s="63"/>
      <c r="W386" s="64"/>
      <c r="X386" s="63"/>
    </row>
    <row r="387" spans="2:24">
      <c r="B387" s="58"/>
      <c r="C387" s="59"/>
      <c r="D387" s="59"/>
      <c r="E387" s="59"/>
      <c r="F387" s="59"/>
      <c r="G387" s="60">
        <f>IF(OR(E387="",F387="",C387="",D387=""),"",IF(C387+D387=0,"",(E387*C387+F387*D387)/(C387+D387)))</f>
        <v/>
      </c>
      <c r="H387" s="59"/>
      <c r="I387" s="60">
        <f>IF(OR(H387="",E387="",C387="",D387=""),"",IF(C387+D387=0,"",(H387*D387+E387*C387)/(C387+D387)))</f>
        <v/>
      </c>
      <c r="J387" s="59"/>
      <c r="K387" s="61">
        <f>IF(OR(J387="",I387=""),"",J387-I387)</f>
        <v/>
      </c>
      <c r="L387" s="61">
        <f>IF(OR(J387="",G387=""),"",J387-G387)</f>
        <v/>
      </c>
      <c r="M387" s="59"/>
      <c r="N387" s="59"/>
      <c r="O387" s="59"/>
      <c r="P387" s="59"/>
      <c r="Q387" s="59"/>
      <c r="R387" s="60">
        <f>IF(AND(P387="",Q387=""),"",N(P387)+N(Q387))</f>
        <v/>
      </c>
      <c r="S387" s="59"/>
      <c r="T387" s="59"/>
      <c r="U387" s="62">
        <f>IF(OR(R387="",S387="",T387=""),"",IF(S387+T387=0,"",R387/(S387+T387)))</f>
        <v/>
      </c>
      <c r="V387" s="63"/>
      <c r="W387" s="64"/>
      <c r="X387" s="63"/>
    </row>
    <row r="388" spans="2:24">
      <c r="B388" s="58"/>
      <c r="C388" s="59"/>
      <c r="D388" s="59"/>
      <c r="E388" s="59"/>
      <c r="F388" s="59"/>
      <c r="G388" s="60">
        <f>IF(OR(E388="",F388="",C388="",D388=""),"",IF(C388+D388=0,"",(E388*C388+F388*D388)/(C388+D388)))</f>
        <v/>
      </c>
      <c r="H388" s="59"/>
      <c r="I388" s="60">
        <f>IF(OR(H388="",E388="",C388="",D388=""),"",IF(C388+D388=0,"",(H388*D388+E388*C388)/(C388+D388)))</f>
        <v/>
      </c>
      <c r="J388" s="59"/>
      <c r="K388" s="61">
        <f>IF(OR(J388="",I388=""),"",J388-I388)</f>
        <v/>
      </c>
      <c r="L388" s="61">
        <f>IF(OR(J388="",G388=""),"",J388-G388)</f>
        <v/>
      </c>
      <c r="M388" s="59"/>
      <c r="N388" s="59"/>
      <c r="O388" s="59"/>
      <c r="P388" s="59"/>
      <c r="Q388" s="59"/>
      <c r="R388" s="60">
        <f>IF(AND(P388="",Q388=""),"",N(P388)+N(Q388))</f>
        <v/>
      </c>
      <c r="S388" s="59"/>
      <c r="T388" s="59"/>
      <c r="U388" s="62">
        <f>IF(OR(R388="",S388="",T388=""),"",IF(S388+T388=0,"",R388/(S388+T388)))</f>
        <v/>
      </c>
      <c r="V388" s="63"/>
      <c r="W388" s="64"/>
      <c r="X388" s="63"/>
    </row>
    <row r="389" spans="2:24">
      <c r="B389" s="58"/>
      <c r="C389" s="59"/>
      <c r="D389" s="59"/>
      <c r="E389" s="59"/>
      <c r="F389" s="59"/>
      <c r="G389" s="60">
        <f>IF(OR(E389="",F389="",C389="",D389=""),"",IF(C389+D389=0,"",(E389*C389+F389*D389)/(C389+D389)))</f>
        <v/>
      </c>
      <c r="H389" s="59"/>
      <c r="I389" s="60">
        <f>IF(OR(H389="",E389="",C389="",D389=""),"",IF(C389+D389=0,"",(H389*D389+E389*C389)/(C389+D389)))</f>
        <v/>
      </c>
      <c r="J389" s="59"/>
      <c r="K389" s="61">
        <f>IF(OR(J389="",I389=""),"",J389-I389)</f>
        <v/>
      </c>
      <c r="L389" s="61">
        <f>IF(OR(J389="",G389=""),"",J389-G389)</f>
        <v/>
      </c>
      <c r="M389" s="59"/>
      <c r="N389" s="59"/>
      <c r="O389" s="59"/>
      <c r="P389" s="59"/>
      <c r="Q389" s="59"/>
      <c r="R389" s="60">
        <f>IF(AND(P389="",Q389=""),"",N(P389)+N(Q389))</f>
        <v/>
      </c>
      <c r="S389" s="59"/>
      <c r="T389" s="59"/>
      <c r="U389" s="62">
        <f>IF(OR(R389="",S389="",T389=""),"",IF(S389+T389=0,"",R389/(S389+T389)))</f>
        <v/>
      </c>
      <c r="V389" s="63"/>
      <c r="W389" s="64"/>
      <c r="X389" s="63"/>
    </row>
    <row r="390" spans="2:24">
      <c r="B390" s="58"/>
      <c r="C390" s="59"/>
      <c r="D390" s="59"/>
      <c r="E390" s="59"/>
      <c r="F390" s="59"/>
      <c r="G390" s="60">
        <f>IF(OR(E390="",F390="",C390="",D390=""),"",IF(C390+D390=0,"",(E390*C390+F390*D390)/(C390+D390)))</f>
        <v/>
      </c>
      <c r="H390" s="59"/>
      <c r="I390" s="60">
        <f>IF(OR(H390="",E390="",C390="",D390=""),"",IF(C390+D390=0,"",(H390*D390+E390*C390)/(C390+D390)))</f>
        <v/>
      </c>
      <c r="J390" s="59"/>
      <c r="K390" s="61">
        <f>IF(OR(J390="",I390=""),"",J390-I390)</f>
        <v/>
      </c>
      <c r="L390" s="61">
        <f>IF(OR(J390="",G390=""),"",J390-G390)</f>
        <v/>
      </c>
      <c r="M390" s="59"/>
      <c r="N390" s="59"/>
      <c r="O390" s="59"/>
      <c r="P390" s="59"/>
      <c r="Q390" s="59"/>
      <c r="R390" s="60">
        <f>IF(AND(P390="",Q390=""),"",N(P390)+N(Q390))</f>
        <v/>
      </c>
      <c r="S390" s="59"/>
      <c r="T390" s="59"/>
      <c r="U390" s="62">
        <f>IF(OR(R390="",S390="",T390=""),"",IF(S390+T390=0,"",R390/(S390+T390)))</f>
        <v/>
      </c>
      <c r="V390" s="63"/>
      <c r="W390" s="64"/>
      <c r="X390" s="63"/>
    </row>
    <row r="391" spans="2:24">
      <c r="B391" s="58"/>
      <c r="C391" s="59"/>
      <c r="D391" s="59"/>
      <c r="E391" s="59"/>
      <c r="F391" s="59"/>
      <c r="G391" s="60">
        <f>IF(OR(E391="",F391="",C391="",D391=""),"",IF(C391+D391=0,"",(E391*C391+F391*D391)/(C391+D391)))</f>
        <v/>
      </c>
      <c r="H391" s="59"/>
      <c r="I391" s="60">
        <f>IF(OR(H391="",E391="",C391="",D391=""),"",IF(C391+D391=0,"",(H391*D391+E391*C391)/(C391+D391)))</f>
        <v/>
      </c>
      <c r="J391" s="59"/>
      <c r="K391" s="61">
        <f>IF(OR(J391="",I391=""),"",J391-I391)</f>
        <v/>
      </c>
      <c r="L391" s="61">
        <f>IF(OR(J391="",G391=""),"",J391-G391)</f>
        <v/>
      </c>
      <c r="M391" s="59"/>
      <c r="N391" s="59"/>
      <c r="O391" s="59"/>
      <c r="P391" s="59"/>
      <c r="Q391" s="59"/>
      <c r="R391" s="60">
        <f>IF(AND(P391="",Q391=""),"",N(P391)+N(Q391))</f>
        <v/>
      </c>
      <c r="S391" s="59"/>
      <c r="T391" s="59"/>
      <c r="U391" s="62">
        <f>IF(OR(R391="",S391="",T391=""),"",IF(S391+T391=0,"",R391/(S391+T391)))</f>
        <v/>
      </c>
      <c r="V391" s="63"/>
      <c r="W391" s="64"/>
      <c r="X391" s="63"/>
    </row>
    <row r="392" spans="2:24">
      <c r="B392" s="58"/>
      <c r="C392" s="59"/>
      <c r="D392" s="59"/>
      <c r="E392" s="59"/>
      <c r="F392" s="59"/>
      <c r="G392" s="60">
        <f>IF(OR(E392="",F392="",C392="",D392=""),"",IF(C392+D392=0,"",(E392*C392+F392*D392)/(C392+D392)))</f>
        <v/>
      </c>
      <c r="H392" s="59"/>
      <c r="I392" s="60">
        <f>IF(OR(H392="",E392="",C392="",D392=""),"",IF(C392+D392=0,"",(H392*D392+E392*C392)/(C392+D392)))</f>
        <v/>
      </c>
      <c r="J392" s="59"/>
      <c r="K392" s="61">
        <f>IF(OR(J392="",I392=""),"",J392-I392)</f>
        <v/>
      </c>
      <c r="L392" s="61">
        <f>IF(OR(J392="",G392=""),"",J392-G392)</f>
        <v/>
      </c>
      <c r="M392" s="59"/>
      <c r="N392" s="59"/>
      <c r="O392" s="59"/>
      <c r="P392" s="59"/>
      <c r="Q392" s="59"/>
      <c r="R392" s="60">
        <f>IF(AND(P392="",Q392=""),"",N(P392)+N(Q392))</f>
        <v/>
      </c>
      <c r="S392" s="59"/>
      <c r="T392" s="59"/>
      <c r="U392" s="62">
        <f>IF(OR(R392="",S392="",T392=""),"",IF(S392+T392=0,"",R392/(S392+T392)))</f>
        <v/>
      </c>
      <c r="V392" s="63"/>
      <c r="W392" s="64"/>
      <c r="X392" s="63"/>
    </row>
    <row r="393" spans="2:24">
      <c r="B393" s="58"/>
      <c r="C393" s="59"/>
      <c r="D393" s="59"/>
      <c r="E393" s="59"/>
      <c r="F393" s="59"/>
      <c r="G393" s="60">
        <f>IF(OR(E393="",F393="",C393="",D393=""),"",IF(C393+D393=0,"",(E393*C393+F393*D393)/(C393+D393)))</f>
        <v/>
      </c>
      <c r="H393" s="59"/>
      <c r="I393" s="60">
        <f>IF(OR(H393="",E393="",C393="",D393=""),"",IF(C393+D393=0,"",(H393*D393+E393*C393)/(C393+D393)))</f>
        <v/>
      </c>
      <c r="J393" s="59"/>
      <c r="K393" s="61">
        <f>IF(OR(J393="",I393=""),"",J393-I393)</f>
        <v/>
      </c>
      <c r="L393" s="61">
        <f>IF(OR(J393="",G393=""),"",J393-G393)</f>
        <v/>
      </c>
      <c r="M393" s="59"/>
      <c r="N393" s="59"/>
      <c r="O393" s="59"/>
      <c r="P393" s="59"/>
      <c r="Q393" s="59"/>
      <c r="R393" s="60">
        <f>IF(AND(P393="",Q393=""),"",N(P393)+N(Q393))</f>
        <v/>
      </c>
      <c r="S393" s="59"/>
      <c r="T393" s="59"/>
      <c r="U393" s="62">
        <f>IF(OR(R393="",S393="",T393=""),"",IF(S393+T393=0,"",R393/(S393+T393)))</f>
        <v/>
      </c>
      <c r="V393" s="63"/>
      <c r="W393" s="64"/>
      <c r="X393" s="63"/>
    </row>
    <row r="394" spans="2:24">
      <c r="B394" s="58"/>
      <c r="C394" s="59"/>
      <c r="D394" s="59"/>
      <c r="E394" s="59"/>
      <c r="F394" s="59"/>
      <c r="G394" s="60">
        <f>IF(OR(E394="",F394="",C394="",D394=""),"",IF(C394+D394=0,"",(E394*C394+F394*D394)/(C394+D394)))</f>
        <v/>
      </c>
      <c r="H394" s="59"/>
      <c r="I394" s="60">
        <f>IF(OR(H394="",E394="",C394="",D394=""),"",IF(C394+D394=0,"",(H394*D394+E394*C394)/(C394+D394)))</f>
        <v/>
      </c>
      <c r="J394" s="59"/>
      <c r="K394" s="61">
        <f>IF(OR(J394="",I394=""),"",J394-I394)</f>
        <v/>
      </c>
      <c r="L394" s="61">
        <f>IF(OR(J394="",G394=""),"",J394-G394)</f>
        <v/>
      </c>
      <c r="M394" s="59"/>
      <c r="N394" s="59"/>
      <c r="O394" s="59"/>
      <c r="P394" s="59"/>
      <c r="Q394" s="59"/>
      <c r="R394" s="60">
        <f>IF(AND(P394="",Q394=""),"",N(P394)+N(Q394))</f>
        <v/>
      </c>
      <c r="S394" s="59"/>
      <c r="T394" s="59"/>
      <c r="U394" s="62">
        <f>IF(OR(R394="",S394="",T394=""),"",IF(S394+T394=0,"",R394/(S394+T394)))</f>
        <v/>
      </c>
      <c r="V394" s="63"/>
      <c r="W394" s="64"/>
      <c r="X394" s="63"/>
    </row>
    <row r="395" spans="2:24">
      <c r="B395" s="58"/>
      <c r="C395" s="59"/>
      <c r="D395" s="59"/>
      <c r="E395" s="59"/>
      <c r="F395" s="59"/>
      <c r="G395" s="60">
        <f>IF(OR(E395="",F395="",C395="",D395=""),"",IF(C395+D395=0,"",(E395*C395+F395*D395)/(C395+D395)))</f>
        <v/>
      </c>
      <c r="H395" s="59"/>
      <c r="I395" s="60">
        <f>IF(OR(H395="",E395="",C395="",D395=""),"",IF(C395+D395=0,"",(H395*D395+E395*C395)/(C395+D395)))</f>
        <v/>
      </c>
      <c r="J395" s="59"/>
      <c r="K395" s="61">
        <f>IF(OR(J395="",I395=""),"",J395-I395)</f>
        <v/>
      </c>
      <c r="L395" s="61">
        <f>IF(OR(J395="",G395=""),"",J395-G395)</f>
        <v/>
      </c>
      <c r="M395" s="59"/>
      <c r="N395" s="59"/>
      <c r="O395" s="59"/>
      <c r="P395" s="59"/>
      <c r="Q395" s="59"/>
      <c r="R395" s="60">
        <f>IF(AND(P395="",Q395=""),"",N(P395)+N(Q395))</f>
        <v/>
      </c>
      <c r="S395" s="59"/>
      <c r="T395" s="59"/>
      <c r="U395" s="62">
        <f>IF(OR(R395="",S395="",T395=""),"",IF(S395+T395=0,"",R395/(S395+T395)))</f>
        <v/>
      </c>
      <c r="V395" s="63"/>
      <c r="W395" s="64"/>
      <c r="X395" s="63"/>
    </row>
    <row r="396" spans="2:24">
      <c r="B396" s="58"/>
      <c r="C396" s="59"/>
      <c r="D396" s="59"/>
      <c r="E396" s="59"/>
      <c r="F396" s="59"/>
      <c r="G396" s="60">
        <f>IF(OR(E396="",F396="",C396="",D396=""),"",IF(C396+D396=0,"",(E396*C396+F396*D396)/(C396+D396)))</f>
        <v/>
      </c>
      <c r="H396" s="59"/>
      <c r="I396" s="60">
        <f>IF(OR(H396="",E396="",C396="",D396=""),"",IF(C396+D396=0,"",(H396*D396+E396*C396)/(C396+D396)))</f>
        <v/>
      </c>
      <c r="J396" s="59"/>
      <c r="K396" s="61">
        <f>IF(OR(J396="",I396=""),"",J396-I396)</f>
        <v/>
      </c>
      <c r="L396" s="61">
        <f>IF(OR(J396="",G396=""),"",J396-G396)</f>
        <v/>
      </c>
      <c r="M396" s="59"/>
      <c r="N396" s="59"/>
      <c r="O396" s="59"/>
      <c r="P396" s="59"/>
      <c r="Q396" s="59"/>
      <c r="R396" s="60">
        <f>IF(AND(P396="",Q396=""),"",N(P396)+N(Q396))</f>
        <v/>
      </c>
      <c r="S396" s="59"/>
      <c r="T396" s="59"/>
      <c r="U396" s="62">
        <f>IF(OR(R396="",S396="",T396=""),"",IF(S396+T396=0,"",R396/(S396+T396)))</f>
        <v/>
      </c>
      <c r="V396" s="63"/>
      <c r="W396" s="64"/>
      <c r="X396" s="63"/>
    </row>
    <row r="397" spans="2:24">
      <c r="B397" s="58"/>
      <c r="C397" s="59"/>
      <c r="D397" s="59"/>
      <c r="E397" s="59"/>
      <c r="F397" s="59"/>
      <c r="G397" s="60">
        <f>IF(OR(E397="",F397="",C397="",D397=""),"",IF(C397+D397=0,"",(E397*C397+F397*D397)/(C397+D397)))</f>
        <v/>
      </c>
      <c r="H397" s="59"/>
      <c r="I397" s="60">
        <f>IF(OR(H397="",E397="",C397="",D397=""),"",IF(C397+D397=0,"",(H397*D397+E397*C397)/(C397+D397)))</f>
        <v/>
      </c>
      <c r="J397" s="59"/>
      <c r="K397" s="61">
        <f>IF(OR(J397="",I397=""),"",J397-I397)</f>
        <v/>
      </c>
      <c r="L397" s="61">
        <f>IF(OR(J397="",G397=""),"",J397-G397)</f>
        <v/>
      </c>
      <c r="M397" s="59"/>
      <c r="N397" s="59"/>
      <c r="O397" s="59"/>
      <c r="P397" s="59"/>
      <c r="Q397" s="59"/>
      <c r="R397" s="60">
        <f>IF(AND(P397="",Q397=""),"",N(P397)+N(Q397))</f>
        <v/>
      </c>
      <c r="S397" s="59"/>
      <c r="T397" s="59"/>
      <c r="U397" s="62">
        <f>IF(OR(R397="",S397="",T397=""),"",IF(S397+T397=0,"",R397/(S397+T397)))</f>
        <v/>
      </c>
      <c r="V397" s="63"/>
      <c r="W397" s="64"/>
      <c r="X397" s="63"/>
    </row>
    <row r="398" spans="2:24">
      <c r="B398" s="58"/>
      <c r="C398" s="59"/>
      <c r="D398" s="59"/>
      <c r="E398" s="59"/>
      <c r="F398" s="59"/>
      <c r="G398" s="60">
        <f>IF(OR(E398="",F398="",C398="",D398=""),"",IF(C398+D398=0,"",(E398*C398+F398*D398)/(C398+D398)))</f>
        <v/>
      </c>
      <c r="H398" s="59"/>
      <c r="I398" s="60">
        <f>IF(OR(H398="",E398="",C398="",D398=""),"",IF(C398+D398=0,"",(H398*D398+E398*C398)/(C398+D398)))</f>
        <v/>
      </c>
      <c r="J398" s="59"/>
      <c r="K398" s="61">
        <f>IF(OR(J398="",I398=""),"",J398-I398)</f>
        <v/>
      </c>
      <c r="L398" s="61">
        <f>IF(OR(J398="",G398=""),"",J398-G398)</f>
        <v/>
      </c>
      <c r="M398" s="59"/>
      <c r="N398" s="59"/>
      <c r="O398" s="59"/>
      <c r="P398" s="59"/>
      <c r="Q398" s="59"/>
      <c r="R398" s="60">
        <f>IF(AND(P398="",Q398=""),"",N(P398)+N(Q398))</f>
        <v/>
      </c>
      <c r="S398" s="59"/>
      <c r="T398" s="59"/>
      <c r="U398" s="62">
        <f>IF(OR(R398="",S398="",T398=""),"",IF(S398+T398=0,"",R398/(S398+T398)))</f>
        <v/>
      </c>
      <c r="V398" s="63"/>
      <c r="W398" s="64"/>
      <c r="X398" s="63"/>
    </row>
    <row r="399" spans="2:24">
      <c r="B399" s="58"/>
      <c r="C399" s="59"/>
      <c r="D399" s="59"/>
      <c r="E399" s="59"/>
      <c r="F399" s="59"/>
      <c r="G399" s="60">
        <f>IF(OR(E399="",F399="",C399="",D399=""),"",IF(C399+D399=0,"",(E399*C399+F399*D399)/(C399+D399)))</f>
        <v/>
      </c>
      <c r="H399" s="59"/>
      <c r="I399" s="60">
        <f>IF(OR(H399="",E399="",C399="",D399=""),"",IF(C399+D399=0,"",(H399*D399+E399*C399)/(C399+D399)))</f>
        <v/>
      </c>
      <c r="J399" s="59"/>
      <c r="K399" s="61">
        <f>IF(OR(J399="",I399=""),"",J399-I399)</f>
        <v/>
      </c>
      <c r="L399" s="61">
        <f>IF(OR(J399="",G399=""),"",J399-G399)</f>
        <v/>
      </c>
      <c r="M399" s="59"/>
      <c r="N399" s="59"/>
      <c r="O399" s="59"/>
      <c r="P399" s="59"/>
      <c r="Q399" s="59"/>
      <c r="R399" s="60">
        <f>IF(AND(P399="",Q399=""),"",N(P399)+N(Q399))</f>
        <v/>
      </c>
      <c r="S399" s="59"/>
      <c r="T399" s="59"/>
      <c r="U399" s="62">
        <f>IF(OR(R399="",S399="",T399=""),"",IF(S399+T399=0,"",R399/(S399+T399)))</f>
        <v/>
      </c>
      <c r="V399" s="63"/>
      <c r="W399" s="64"/>
      <c r="X399" s="63"/>
    </row>
    <row r="400" spans="2:24">
      <c r="B400" s="58"/>
      <c r="C400" s="59"/>
      <c r="D400" s="59"/>
      <c r="E400" s="59"/>
      <c r="F400" s="59"/>
      <c r="G400" s="60">
        <f>IF(OR(E400="",F400="",C400="",D400=""),"",IF(C400+D400=0,"",(E400*C400+F400*D400)/(C400+D400)))</f>
        <v/>
      </c>
      <c r="H400" s="59"/>
      <c r="I400" s="60">
        <f>IF(OR(H400="",E400="",C400="",D400=""),"",IF(C400+D400=0,"",(H400*D400+E400*C400)/(C400+D400)))</f>
        <v/>
      </c>
      <c r="J400" s="59"/>
      <c r="K400" s="61">
        <f>IF(OR(J400="",I400=""),"",J400-I400)</f>
        <v/>
      </c>
      <c r="L400" s="61">
        <f>IF(OR(J400="",G400=""),"",J400-G400)</f>
        <v/>
      </c>
      <c r="M400" s="59"/>
      <c r="N400" s="59"/>
      <c r="O400" s="59"/>
      <c r="P400" s="59"/>
      <c r="Q400" s="59"/>
      <c r="R400" s="60">
        <f>IF(AND(P400="",Q400=""),"",N(P400)+N(Q400))</f>
        <v/>
      </c>
      <c r="S400" s="59"/>
      <c r="T400" s="59"/>
      <c r="U400" s="62">
        <f>IF(OR(R400="",S400="",T400=""),"",IF(S400+T400=0,"",R400/(S400+T400)))</f>
        <v/>
      </c>
      <c r="V400" s="63"/>
      <c r="W400" s="64"/>
      <c r="X400" s="63"/>
    </row>
    <row r="401" spans="2:24">
      <c r="B401" s="58"/>
      <c r="C401" s="59"/>
      <c r="D401" s="59"/>
      <c r="E401" s="59"/>
      <c r="F401" s="59"/>
      <c r="G401" s="60">
        <f>IF(OR(E401="",F401="",C401="",D401=""),"",IF(C401+D401=0,"",(E401*C401+F401*D401)/(C401+D401)))</f>
        <v/>
      </c>
      <c r="H401" s="59"/>
      <c r="I401" s="60">
        <f>IF(OR(H401="",E401="",C401="",D401=""),"",IF(C401+D401=0,"",(H401*D401+E401*C401)/(C401+D401)))</f>
        <v/>
      </c>
      <c r="J401" s="59"/>
      <c r="K401" s="61">
        <f>IF(OR(J401="",I401=""),"",J401-I401)</f>
        <v/>
      </c>
      <c r="L401" s="61">
        <f>IF(OR(J401="",G401=""),"",J401-G401)</f>
        <v/>
      </c>
      <c r="M401" s="59"/>
      <c r="N401" s="59"/>
      <c r="O401" s="59"/>
      <c r="P401" s="59"/>
      <c r="Q401" s="59"/>
      <c r="R401" s="60">
        <f>IF(AND(P401="",Q401=""),"",N(P401)+N(Q401))</f>
        <v/>
      </c>
      <c r="S401" s="59"/>
      <c r="T401" s="59"/>
      <c r="U401" s="62">
        <f>IF(OR(R401="",S401="",T401=""),"",IF(S401+T401=0,"",R401/(S401+T401)))</f>
        <v/>
      </c>
      <c r="V401" s="63"/>
      <c r="W401" s="64"/>
      <c r="X401" s="63"/>
    </row>
    <row r="402" spans="2:24">
      <c r="B402" s="58"/>
      <c r="C402" s="59"/>
      <c r="D402" s="59"/>
      <c r="E402" s="59"/>
      <c r="F402" s="59"/>
      <c r="G402" s="60">
        <f>IF(OR(E402="",F402="",C402="",D402=""),"",IF(C402+D402=0,"",(E402*C402+F402*D402)/(C402+D402)))</f>
        <v/>
      </c>
      <c r="H402" s="59"/>
      <c r="I402" s="60">
        <f>IF(OR(H402="",E402="",C402="",D402=""),"",IF(C402+D402=0,"",(H402*D402+E402*C402)/(C402+D402)))</f>
        <v/>
      </c>
      <c r="J402" s="59"/>
      <c r="K402" s="61">
        <f>IF(OR(J402="",I402=""),"",J402-I402)</f>
        <v/>
      </c>
      <c r="L402" s="61">
        <f>IF(OR(J402="",G402=""),"",J402-G402)</f>
        <v/>
      </c>
      <c r="M402" s="59"/>
      <c r="N402" s="59"/>
      <c r="O402" s="59"/>
      <c r="P402" s="59"/>
      <c r="Q402" s="59"/>
      <c r="R402" s="60">
        <f>IF(AND(P402="",Q402=""),"",N(P402)+N(Q402))</f>
        <v/>
      </c>
      <c r="S402" s="59"/>
      <c r="T402" s="59"/>
      <c r="U402" s="62">
        <f>IF(OR(R402="",S402="",T402=""),"",IF(S402+T402=0,"",R402/(S402+T402)))</f>
        <v/>
      </c>
      <c r="V402" s="63"/>
      <c r="W402" s="64"/>
      <c r="X402" s="63"/>
    </row>
    <row r="403" spans="2:24">
      <c r="B403" s="58"/>
      <c r="C403" s="59"/>
      <c r="D403" s="59"/>
      <c r="E403" s="59"/>
      <c r="F403" s="59"/>
      <c r="G403" s="60">
        <f>IF(OR(E403="",F403="",C403="",D403=""),"",IF(C403+D403=0,"",(E403*C403+F403*D403)/(C403+D403)))</f>
        <v/>
      </c>
      <c r="H403" s="59"/>
      <c r="I403" s="60">
        <f>IF(OR(H403="",E403="",C403="",D403=""),"",IF(C403+D403=0,"",(H403*D403+E403*C403)/(C403+D403)))</f>
        <v/>
      </c>
      <c r="J403" s="59"/>
      <c r="K403" s="61">
        <f>IF(OR(J403="",I403=""),"",J403-I403)</f>
        <v/>
      </c>
      <c r="L403" s="61">
        <f>IF(OR(J403="",G403=""),"",J403-G403)</f>
        <v/>
      </c>
      <c r="M403" s="59"/>
      <c r="N403" s="59"/>
      <c r="O403" s="59"/>
      <c r="P403" s="59"/>
      <c r="Q403" s="59"/>
      <c r="R403" s="60">
        <f>IF(AND(P403="",Q403=""),"",N(P403)+N(Q403))</f>
        <v/>
      </c>
      <c r="S403" s="59"/>
      <c r="T403" s="59"/>
      <c r="U403" s="62">
        <f>IF(OR(R403="",S403="",T403=""),"",IF(S403+T403=0,"",R403/(S403+T403)))</f>
        <v/>
      </c>
      <c r="V403" s="63"/>
      <c r="W403" s="64"/>
      <c r="X403" s="63"/>
    </row>
    <row r="404" spans="2:24">
      <c r="B404" s="58"/>
      <c r="C404" s="59"/>
      <c r="D404" s="59"/>
      <c r="E404" s="59"/>
      <c r="F404" s="59"/>
      <c r="G404" s="60">
        <f>IF(OR(E404="",F404="",C404="",D404=""),"",IF(C404+D404=0,"",(E404*C404+F404*D404)/(C404+D404)))</f>
        <v/>
      </c>
      <c r="H404" s="59"/>
      <c r="I404" s="60">
        <f>IF(OR(H404="",E404="",C404="",D404=""),"",IF(C404+D404=0,"",(H404*D404+E404*C404)/(C404+D404)))</f>
        <v/>
      </c>
      <c r="J404" s="59"/>
      <c r="K404" s="61">
        <f>IF(OR(J404="",I404=""),"",J404-I404)</f>
        <v/>
      </c>
      <c r="L404" s="61">
        <f>IF(OR(J404="",G404=""),"",J404-G404)</f>
        <v/>
      </c>
      <c r="M404" s="59"/>
      <c r="N404" s="59"/>
      <c r="O404" s="59"/>
      <c r="P404" s="59"/>
      <c r="Q404" s="59"/>
      <c r="R404" s="60">
        <f>IF(AND(P404="",Q404=""),"",N(P404)+N(Q404))</f>
        <v/>
      </c>
      <c r="S404" s="59"/>
      <c r="T404" s="59"/>
      <c r="U404" s="62">
        <f>IF(OR(R404="",S404="",T404=""),"",IF(S404+T404=0,"",R404/(S404+T404)))</f>
        <v/>
      </c>
      <c r="V404" s="63"/>
      <c r="W404" s="64"/>
      <c r="X404" s="63"/>
    </row>
    <row r="405" spans="2:24">
      <c r="B405" s="58"/>
      <c r="C405" s="59"/>
      <c r="D405" s="59"/>
      <c r="E405" s="59"/>
      <c r="F405" s="59"/>
      <c r="G405" s="60">
        <f>IF(OR(E405="",F405="",C405="",D405=""),"",IF(C405+D405=0,"",(E405*C405+F405*D405)/(C405+D405)))</f>
        <v/>
      </c>
      <c r="H405" s="59"/>
      <c r="I405" s="60">
        <f>IF(OR(H405="",E405="",C405="",D405=""),"",IF(C405+D405=0,"",(H405*D405+E405*C405)/(C405+D405)))</f>
        <v/>
      </c>
      <c r="J405" s="59"/>
      <c r="K405" s="61">
        <f>IF(OR(J405="",I405=""),"",J405-I405)</f>
        <v/>
      </c>
      <c r="L405" s="61">
        <f>IF(OR(J405="",G405=""),"",J405-G405)</f>
        <v/>
      </c>
      <c r="M405" s="59"/>
      <c r="N405" s="59"/>
      <c r="O405" s="59"/>
      <c r="P405" s="59"/>
      <c r="Q405" s="59"/>
      <c r="R405" s="60">
        <f>IF(AND(P405="",Q405=""),"",N(P405)+N(Q405))</f>
        <v/>
      </c>
      <c r="S405" s="59"/>
      <c r="T405" s="59"/>
      <c r="U405" s="62">
        <f>IF(OR(R405="",S405="",T405=""),"",IF(S405+T405=0,"",R405/(S405+T405)))</f>
        <v/>
      </c>
      <c r="V405" s="63"/>
      <c r="W405" s="64"/>
      <c r="X405" s="63"/>
    </row>
    <row r="406" spans="2:24">
      <c r="B406" s="58"/>
      <c r="C406" s="59"/>
      <c r="D406" s="59"/>
      <c r="E406" s="59"/>
      <c r="F406" s="59"/>
      <c r="G406" s="60">
        <f>IF(OR(E406="",F406="",C406="",D406=""),"",IF(C406+D406=0,"",(E406*C406+F406*D406)/(C406+D406)))</f>
        <v/>
      </c>
      <c r="H406" s="59"/>
      <c r="I406" s="60">
        <f>IF(OR(H406="",E406="",C406="",D406=""),"",IF(C406+D406=0,"",(H406*D406+E406*C406)/(C406+D406)))</f>
        <v/>
      </c>
      <c r="J406" s="59"/>
      <c r="K406" s="61">
        <f>IF(OR(J406="",I406=""),"",J406-I406)</f>
        <v/>
      </c>
      <c r="L406" s="61">
        <f>IF(OR(J406="",G406=""),"",J406-G406)</f>
        <v/>
      </c>
      <c r="M406" s="59"/>
      <c r="N406" s="59"/>
      <c r="O406" s="59"/>
      <c r="P406" s="59"/>
      <c r="Q406" s="59"/>
      <c r="R406" s="60">
        <f>IF(AND(P406="",Q406=""),"",N(P406)+N(Q406))</f>
        <v/>
      </c>
      <c r="S406" s="59"/>
      <c r="T406" s="59"/>
      <c r="U406" s="62">
        <f>IF(OR(R406="",S406="",T406=""),"",IF(S406+T406=0,"",R406/(S406+T406)))</f>
        <v/>
      </c>
      <c r="V406" s="63"/>
      <c r="W406" s="64"/>
      <c r="X406" s="63"/>
    </row>
    <row r="407" spans="2:24">
      <c r="B407" s="58"/>
      <c r="C407" s="59"/>
      <c r="D407" s="59"/>
      <c r="E407" s="59"/>
      <c r="F407" s="59"/>
      <c r="G407" s="60">
        <f>IF(OR(E407="",F407="",C407="",D407=""),"",IF(C407+D407=0,"",(E407*C407+F407*D407)/(C407+D407)))</f>
        <v/>
      </c>
      <c r="H407" s="59"/>
      <c r="I407" s="60">
        <f>IF(OR(H407="",E407="",C407="",D407=""),"",IF(C407+D407=0,"",(H407*D407+E407*C407)/(C407+D407)))</f>
        <v/>
      </c>
      <c r="J407" s="59"/>
      <c r="K407" s="61">
        <f>IF(OR(J407="",I407=""),"",J407-I407)</f>
        <v/>
      </c>
      <c r="L407" s="61">
        <f>IF(OR(J407="",G407=""),"",J407-G407)</f>
        <v/>
      </c>
      <c r="M407" s="59"/>
      <c r="N407" s="59"/>
      <c r="O407" s="59"/>
      <c r="P407" s="59"/>
      <c r="Q407" s="59"/>
      <c r="R407" s="60">
        <f>IF(AND(P407="",Q407=""),"",N(P407)+N(Q407))</f>
        <v/>
      </c>
      <c r="S407" s="59"/>
      <c r="T407" s="59"/>
      <c r="U407" s="62">
        <f>IF(OR(R407="",S407="",T407=""),"",IF(S407+T407=0,"",R407/(S407+T407)))</f>
        <v/>
      </c>
      <c r="V407" s="63"/>
      <c r="W407" s="64"/>
      <c r="X407" s="63"/>
    </row>
    <row r="408" spans="2:24">
      <c r="B408" s="58"/>
      <c r="C408" s="59"/>
      <c r="D408" s="59"/>
      <c r="E408" s="59"/>
      <c r="F408" s="59"/>
      <c r="G408" s="60">
        <f>IF(OR(E408="",F408="",C408="",D408=""),"",IF(C408+D408=0,"",(E408*C408+F408*D408)/(C408+D408)))</f>
        <v/>
      </c>
      <c r="H408" s="59"/>
      <c r="I408" s="60">
        <f>IF(OR(H408="",E408="",C408="",D408=""),"",IF(C408+D408=0,"",(H408*D408+E408*C408)/(C408+D408)))</f>
        <v/>
      </c>
      <c r="J408" s="59"/>
      <c r="K408" s="61">
        <f>IF(OR(J408="",I408=""),"",J408-I408)</f>
        <v/>
      </c>
      <c r="L408" s="61">
        <f>IF(OR(J408="",G408=""),"",J408-G408)</f>
        <v/>
      </c>
      <c r="M408" s="59"/>
      <c r="N408" s="59"/>
      <c r="O408" s="59"/>
      <c r="P408" s="59"/>
      <c r="Q408" s="59"/>
      <c r="R408" s="60">
        <f>IF(AND(P408="",Q408=""),"",N(P408)+N(Q408))</f>
        <v/>
      </c>
      <c r="S408" s="59"/>
      <c r="T408" s="59"/>
      <c r="U408" s="62">
        <f>IF(OR(R408="",S408="",T408=""),"",IF(S408+T408=0,"",R408/(S408+T408)))</f>
        <v/>
      </c>
      <c r="V408" s="63"/>
      <c r="W408" s="64"/>
      <c r="X408" s="63"/>
    </row>
    <row r="409" spans="2:24">
      <c r="B409" s="58"/>
      <c r="C409" s="59"/>
      <c r="D409" s="59"/>
      <c r="E409" s="59"/>
      <c r="F409" s="59"/>
      <c r="G409" s="60">
        <f>IF(OR(E409="",F409="",C409="",D409=""),"",IF(C409+D409=0,"",(E409*C409+F409*D409)/(C409+D409)))</f>
        <v/>
      </c>
      <c r="H409" s="59"/>
      <c r="I409" s="60">
        <f>IF(OR(H409="",E409="",C409="",D409=""),"",IF(C409+D409=0,"",(H409*D409+E409*C409)/(C409+D409)))</f>
        <v/>
      </c>
      <c r="J409" s="59"/>
      <c r="K409" s="61">
        <f>IF(OR(J409="",I409=""),"",J409-I409)</f>
        <v/>
      </c>
      <c r="L409" s="61">
        <f>IF(OR(J409="",G409=""),"",J409-G409)</f>
        <v/>
      </c>
      <c r="M409" s="59"/>
      <c r="N409" s="59"/>
      <c r="O409" s="59"/>
      <c r="P409" s="59"/>
      <c r="Q409" s="59"/>
      <c r="R409" s="60">
        <f>IF(AND(P409="",Q409=""),"",N(P409)+N(Q409))</f>
        <v/>
      </c>
      <c r="S409" s="59"/>
      <c r="T409" s="59"/>
      <c r="U409" s="62">
        <f>IF(OR(R409="",S409="",T409=""),"",IF(S409+T409=0,"",R409/(S409+T409)))</f>
        <v/>
      </c>
      <c r="V409" s="63"/>
      <c r="W409" s="64"/>
      <c r="X409" s="63"/>
    </row>
    <row r="410" spans="2:24">
      <c r="B410" s="58"/>
      <c r="C410" s="59"/>
      <c r="D410" s="59"/>
      <c r="E410" s="59"/>
      <c r="F410" s="59"/>
      <c r="G410" s="60">
        <f>IF(OR(E410="",F410="",C410="",D410=""),"",IF(C410+D410=0,"",(E410*C410+F410*D410)/(C410+D410)))</f>
        <v/>
      </c>
      <c r="H410" s="59"/>
      <c r="I410" s="60">
        <f>IF(OR(H410="",E410="",C410="",D410=""),"",IF(C410+D410=0,"",(H410*D410+E410*C410)/(C410+D410)))</f>
        <v/>
      </c>
      <c r="J410" s="59"/>
      <c r="K410" s="61">
        <f>IF(OR(J410="",I410=""),"",J410-I410)</f>
        <v/>
      </c>
      <c r="L410" s="61">
        <f>IF(OR(J410="",G410=""),"",J410-G410)</f>
        <v/>
      </c>
      <c r="M410" s="59"/>
      <c r="N410" s="59"/>
      <c r="O410" s="59"/>
      <c r="P410" s="59"/>
      <c r="Q410" s="59"/>
      <c r="R410" s="60">
        <f>IF(AND(P410="",Q410=""),"",N(P410)+N(Q410))</f>
        <v/>
      </c>
      <c r="S410" s="59"/>
      <c r="T410" s="59"/>
      <c r="U410" s="62">
        <f>IF(OR(R410="",S410="",T410=""),"",IF(S410+T410=0,"",R410/(S410+T410)))</f>
        <v/>
      </c>
      <c r="V410" s="63"/>
      <c r="W410" s="64"/>
      <c r="X410" s="63"/>
    </row>
    <row r="411" spans="2:24">
      <c r="B411" s="58"/>
      <c r="C411" s="59"/>
      <c r="D411" s="59"/>
      <c r="E411" s="59"/>
      <c r="F411" s="59"/>
      <c r="G411" s="60">
        <f>IF(OR(E411="",F411="",C411="",D411=""),"",IF(C411+D411=0,"",(E411*C411+F411*D411)/(C411+D411)))</f>
        <v/>
      </c>
      <c r="H411" s="59"/>
      <c r="I411" s="60">
        <f>IF(OR(H411="",E411="",C411="",D411=""),"",IF(C411+D411=0,"",(H411*D411+E411*C411)/(C411+D411)))</f>
        <v/>
      </c>
      <c r="J411" s="59"/>
      <c r="K411" s="61">
        <f>IF(OR(J411="",I411=""),"",J411-I411)</f>
        <v/>
      </c>
      <c r="L411" s="61">
        <f>IF(OR(J411="",G411=""),"",J411-G411)</f>
        <v/>
      </c>
      <c r="M411" s="59"/>
      <c r="N411" s="59"/>
      <c r="O411" s="59"/>
      <c r="P411" s="59"/>
      <c r="Q411" s="59"/>
      <c r="R411" s="60">
        <f>IF(AND(P411="",Q411=""),"",N(P411)+N(Q411))</f>
        <v/>
      </c>
      <c r="S411" s="59"/>
      <c r="T411" s="59"/>
      <c r="U411" s="62">
        <f>IF(OR(R411="",S411="",T411=""),"",IF(S411+T411=0,"",R411/(S411+T411)))</f>
        <v/>
      </c>
      <c r="V411" s="63"/>
      <c r="W411" s="64"/>
      <c r="X411" s="63"/>
    </row>
    <row r="412" spans="2:24">
      <c r="B412" s="58"/>
      <c r="C412" s="59"/>
      <c r="D412" s="59"/>
      <c r="E412" s="59"/>
      <c r="F412" s="59"/>
      <c r="G412" s="60">
        <f>IF(OR(E412="",F412="",C412="",D412=""),"",IF(C412+D412=0,"",(E412*C412+F412*D412)/(C412+D412)))</f>
        <v/>
      </c>
      <c r="H412" s="59"/>
      <c r="I412" s="60">
        <f>IF(OR(H412="",E412="",C412="",D412=""),"",IF(C412+D412=0,"",(H412*D412+E412*C412)/(C412+D412)))</f>
        <v/>
      </c>
      <c r="J412" s="59"/>
      <c r="K412" s="61">
        <f>IF(OR(J412="",I412=""),"",J412-I412)</f>
        <v/>
      </c>
      <c r="L412" s="61">
        <f>IF(OR(J412="",G412=""),"",J412-G412)</f>
        <v/>
      </c>
      <c r="M412" s="59"/>
      <c r="N412" s="59"/>
      <c r="O412" s="59"/>
      <c r="P412" s="59"/>
      <c r="Q412" s="59"/>
      <c r="R412" s="60">
        <f>IF(AND(P412="",Q412=""),"",N(P412)+N(Q412))</f>
        <v/>
      </c>
      <c r="S412" s="59"/>
      <c r="T412" s="59"/>
      <c r="U412" s="62">
        <f>IF(OR(R412="",S412="",T412=""),"",IF(S412+T412=0,"",R412/(S412+T412)))</f>
        <v/>
      </c>
      <c r="V412" s="63"/>
      <c r="W412" s="64"/>
      <c r="X412" s="63"/>
    </row>
    <row r="413" spans="2:24">
      <c r="B413" s="58"/>
      <c r="C413" s="59"/>
      <c r="D413" s="59"/>
      <c r="E413" s="59"/>
      <c r="F413" s="59"/>
      <c r="G413" s="60">
        <f>IF(OR(E413="",F413="",C413="",D413=""),"",IF(C413+D413=0,"",(E413*C413+F413*D413)/(C413+D413)))</f>
        <v/>
      </c>
      <c r="H413" s="59"/>
      <c r="I413" s="60">
        <f>IF(OR(H413="",E413="",C413="",D413=""),"",IF(C413+D413=0,"",(H413*D413+E413*C413)/(C413+D413)))</f>
        <v/>
      </c>
      <c r="J413" s="59"/>
      <c r="K413" s="61">
        <f>IF(OR(J413="",I413=""),"",J413-I413)</f>
        <v/>
      </c>
      <c r="L413" s="61">
        <f>IF(OR(J413="",G413=""),"",J413-G413)</f>
        <v/>
      </c>
      <c r="M413" s="59"/>
      <c r="N413" s="59"/>
      <c r="O413" s="59"/>
      <c r="P413" s="59"/>
      <c r="Q413" s="59"/>
      <c r="R413" s="60">
        <f>IF(AND(P413="",Q413=""),"",N(P413)+N(Q413))</f>
        <v/>
      </c>
      <c r="S413" s="59"/>
      <c r="T413" s="59"/>
      <c r="U413" s="62">
        <f>IF(OR(R413="",S413="",T413=""),"",IF(S413+T413=0,"",R413/(S413+T413)))</f>
        <v/>
      </c>
      <c r="V413" s="63"/>
      <c r="W413" s="64"/>
      <c r="X413" s="63"/>
    </row>
    <row r="414" spans="2:24">
      <c r="B414" s="58"/>
      <c r="C414" s="59"/>
      <c r="D414" s="59"/>
      <c r="E414" s="59"/>
      <c r="F414" s="59"/>
      <c r="G414" s="60">
        <f>IF(OR(E414="",F414="",C414="",D414=""),"",IF(C414+D414=0,"",(E414*C414+F414*D414)/(C414+D414)))</f>
        <v/>
      </c>
      <c r="H414" s="59"/>
      <c r="I414" s="60">
        <f>IF(OR(H414="",E414="",C414="",D414=""),"",IF(C414+D414=0,"",(H414*D414+E414*C414)/(C414+D414)))</f>
        <v/>
      </c>
      <c r="J414" s="59"/>
      <c r="K414" s="61">
        <f>IF(OR(J414="",I414=""),"",J414-I414)</f>
        <v/>
      </c>
      <c r="L414" s="61">
        <f>IF(OR(J414="",G414=""),"",J414-G414)</f>
        <v/>
      </c>
      <c r="M414" s="59"/>
      <c r="N414" s="59"/>
      <c r="O414" s="59"/>
      <c r="P414" s="59"/>
      <c r="Q414" s="59"/>
      <c r="R414" s="60">
        <f>IF(AND(P414="",Q414=""),"",N(P414)+N(Q414))</f>
        <v/>
      </c>
      <c r="S414" s="59"/>
      <c r="T414" s="59"/>
      <c r="U414" s="62">
        <f>IF(OR(R414="",S414="",T414=""),"",IF(S414+T414=0,"",R414/(S414+T414)))</f>
        <v/>
      </c>
      <c r="V414" s="63"/>
      <c r="W414" s="64"/>
      <c r="X414" s="63"/>
    </row>
    <row r="415" spans="2:24">
      <c r="B415" s="58"/>
      <c r="C415" s="59"/>
      <c r="D415" s="59"/>
      <c r="E415" s="59"/>
      <c r="F415" s="59"/>
      <c r="G415" s="60">
        <f>IF(OR(E415="",F415="",C415="",D415=""),"",IF(C415+D415=0,"",(E415*C415+F415*D415)/(C415+D415)))</f>
        <v/>
      </c>
      <c r="H415" s="59"/>
      <c r="I415" s="60">
        <f>IF(OR(H415="",E415="",C415="",D415=""),"",IF(C415+D415=0,"",(H415*D415+E415*C415)/(C415+D415)))</f>
        <v/>
      </c>
      <c r="J415" s="59"/>
      <c r="K415" s="61">
        <f>IF(OR(J415="",I415=""),"",J415-I415)</f>
        <v/>
      </c>
      <c r="L415" s="61">
        <f>IF(OR(J415="",G415=""),"",J415-G415)</f>
        <v/>
      </c>
      <c r="M415" s="59"/>
      <c r="N415" s="59"/>
      <c r="O415" s="59"/>
      <c r="P415" s="59"/>
      <c r="Q415" s="59"/>
      <c r="R415" s="60">
        <f>IF(AND(P415="",Q415=""),"",N(P415)+N(Q415))</f>
        <v/>
      </c>
      <c r="S415" s="59"/>
      <c r="T415" s="59"/>
      <c r="U415" s="62">
        <f>IF(OR(R415="",S415="",T415=""),"",IF(S415+T415=0,"",R415/(S415+T415)))</f>
        <v/>
      </c>
      <c r="V415" s="63"/>
      <c r="W415" s="64"/>
      <c r="X415" s="63"/>
    </row>
    <row r="416" spans="2:24">
      <c r="B416" s="58"/>
      <c r="C416" s="59"/>
      <c r="D416" s="59"/>
      <c r="E416" s="59"/>
      <c r="F416" s="59"/>
      <c r="G416" s="60">
        <f>IF(OR(E416="",F416="",C416="",D416=""),"",IF(C416+D416=0,"",(E416*C416+F416*D416)/(C416+D416)))</f>
        <v/>
      </c>
      <c r="H416" s="59"/>
      <c r="I416" s="60">
        <f>IF(OR(H416="",E416="",C416="",D416=""),"",IF(C416+D416=0,"",(H416*D416+E416*C416)/(C416+D416)))</f>
        <v/>
      </c>
      <c r="J416" s="59"/>
      <c r="K416" s="61">
        <f>IF(OR(J416="",I416=""),"",J416-I416)</f>
        <v/>
      </c>
      <c r="L416" s="61">
        <f>IF(OR(J416="",G416=""),"",J416-G416)</f>
        <v/>
      </c>
      <c r="M416" s="59"/>
      <c r="N416" s="59"/>
      <c r="O416" s="59"/>
      <c r="P416" s="59"/>
      <c r="Q416" s="59"/>
      <c r="R416" s="60">
        <f>IF(AND(P416="",Q416=""),"",N(P416)+N(Q416))</f>
        <v/>
      </c>
      <c r="S416" s="59"/>
      <c r="T416" s="59"/>
      <c r="U416" s="62">
        <f>IF(OR(R416="",S416="",T416=""),"",IF(S416+T416=0,"",R416/(S416+T416)))</f>
        <v/>
      </c>
      <c r="V416" s="63"/>
      <c r="W416" s="64"/>
      <c r="X416" s="63"/>
    </row>
    <row r="417" spans="2:24">
      <c r="B417" s="58"/>
      <c r="C417" s="59"/>
      <c r="D417" s="59"/>
      <c r="E417" s="59"/>
      <c r="F417" s="59"/>
      <c r="G417" s="60">
        <f>IF(OR(E417="",F417="",C417="",D417=""),"",IF(C417+D417=0,"",(E417*C417+F417*D417)/(C417+D417)))</f>
        <v/>
      </c>
      <c r="H417" s="59"/>
      <c r="I417" s="60">
        <f>IF(OR(H417="",E417="",C417="",D417=""),"",IF(C417+D417=0,"",(H417*D417+E417*C417)/(C417+D417)))</f>
        <v/>
      </c>
      <c r="J417" s="59"/>
      <c r="K417" s="61">
        <f>IF(OR(J417="",I417=""),"",J417-I417)</f>
        <v/>
      </c>
      <c r="L417" s="61">
        <f>IF(OR(J417="",G417=""),"",J417-G417)</f>
        <v/>
      </c>
      <c r="M417" s="59"/>
      <c r="N417" s="59"/>
      <c r="O417" s="59"/>
      <c r="P417" s="59"/>
      <c r="Q417" s="59"/>
      <c r="R417" s="60">
        <f>IF(AND(P417="",Q417=""),"",N(P417)+N(Q417))</f>
        <v/>
      </c>
      <c r="S417" s="59"/>
      <c r="T417" s="59"/>
      <c r="U417" s="62">
        <f>IF(OR(R417="",S417="",T417=""),"",IF(S417+T417=0,"",R417/(S417+T417)))</f>
        <v/>
      </c>
      <c r="V417" s="63"/>
      <c r="W417" s="64"/>
      <c r="X417" s="63"/>
    </row>
    <row r="418" spans="2:24">
      <c r="B418" s="58"/>
      <c r="C418" s="59"/>
      <c r="D418" s="59"/>
      <c r="E418" s="59"/>
      <c r="F418" s="59"/>
      <c r="G418" s="60">
        <f>IF(OR(E418="",F418="",C418="",D418=""),"",IF(C418+D418=0,"",(E418*C418+F418*D418)/(C418+D418)))</f>
        <v/>
      </c>
      <c r="H418" s="59"/>
      <c r="I418" s="60">
        <f>IF(OR(H418="",E418="",C418="",D418=""),"",IF(C418+D418=0,"",(H418*D418+E418*C418)/(C418+D418)))</f>
        <v/>
      </c>
      <c r="J418" s="59"/>
      <c r="K418" s="61">
        <f>IF(OR(J418="",I418=""),"",J418-I418)</f>
        <v/>
      </c>
      <c r="L418" s="61">
        <f>IF(OR(J418="",G418=""),"",J418-G418)</f>
        <v/>
      </c>
      <c r="M418" s="59"/>
      <c r="N418" s="59"/>
      <c r="O418" s="59"/>
      <c r="P418" s="59"/>
      <c r="Q418" s="59"/>
      <c r="R418" s="60">
        <f>IF(AND(P418="",Q418=""),"",N(P418)+N(Q418))</f>
        <v/>
      </c>
      <c r="S418" s="59"/>
      <c r="T418" s="59"/>
      <c r="U418" s="62">
        <f>IF(OR(R418="",S418="",T418=""),"",IF(S418+T418=0,"",R418/(S418+T418)))</f>
        <v/>
      </c>
      <c r="V418" s="63"/>
      <c r="W418" s="64"/>
      <c r="X418" s="63"/>
    </row>
    <row r="419" spans="2:24">
      <c r="B419" s="58"/>
      <c r="C419" s="59"/>
      <c r="D419" s="59"/>
      <c r="E419" s="59"/>
      <c r="F419" s="59"/>
      <c r="G419" s="60">
        <f>IF(OR(E419="",F419="",C419="",D419=""),"",IF(C419+D419=0,"",(E419*C419+F419*D419)/(C419+D419)))</f>
        <v/>
      </c>
      <c r="H419" s="59"/>
      <c r="I419" s="60">
        <f>IF(OR(H419="",E419="",C419="",D419=""),"",IF(C419+D419=0,"",(H419*D419+E419*C419)/(C419+D419)))</f>
        <v/>
      </c>
      <c r="J419" s="59"/>
      <c r="K419" s="61">
        <f>IF(OR(J419="",I419=""),"",J419-I419)</f>
        <v/>
      </c>
      <c r="L419" s="61">
        <f>IF(OR(J419="",G419=""),"",J419-G419)</f>
        <v/>
      </c>
      <c r="M419" s="59"/>
      <c r="N419" s="59"/>
      <c r="O419" s="59"/>
      <c r="P419" s="59"/>
      <c r="Q419" s="59"/>
      <c r="R419" s="60">
        <f>IF(AND(P419="",Q419=""),"",N(P419)+N(Q419))</f>
        <v/>
      </c>
      <c r="S419" s="59"/>
      <c r="T419" s="59"/>
      <c r="U419" s="62">
        <f>IF(OR(R419="",S419="",T419=""),"",IF(S419+T419=0,"",R419/(S419+T419)))</f>
        <v/>
      </c>
      <c r="V419" s="63"/>
      <c r="W419" s="64"/>
      <c r="X419" s="63"/>
    </row>
    <row r="420" spans="2:24">
      <c r="B420" s="58"/>
      <c r="C420" s="59"/>
      <c r="D420" s="59"/>
      <c r="E420" s="59"/>
      <c r="F420" s="59"/>
      <c r="G420" s="60">
        <f>IF(OR(E420="",F420="",C420="",D420=""),"",IF(C420+D420=0,"",(E420*C420+F420*D420)/(C420+D420)))</f>
        <v/>
      </c>
      <c r="H420" s="59"/>
      <c r="I420" s="60">
        <f>IF(OR(H420="",E420="",C420="",D420=""),"",IF(C420+D420=0,"",(H420*D420+E420*C420)/(C420+D420)))</f>
        <v/>
      </c>
      <c r="J420" s="59"/>
      <c r="K420" s="61">
        <f>IF(OR(J420="",I420=""),"",J420-I420)</f>
        <v/>
      </c>
      <c r="L420" s="61">
        <f>IF(OR(J420="",G420=""),"",J420-G420)</f>
        <v/>
      </c>
      <c r="M420" s="59"/>
      <c r="N420" s="59"/>
      <c r="O420" s="59"/>
      <c r="P420" s="59"/>
      <c r="Q420" s="59"/>
      <c r="R420" s="60">
        <f>IF(AND(P420="",Q420=""),"",N(P420)+N(Q420))</f>
        <v/>
      </c>
      <c r="S420" s="59"/>
      <c r="T420" s="59"/>
      <c r="U420" s="62">
        <f>IF(OR(R420="",S420="",T420=""),"",IF(S420+T420=0,"",R420/(S420+T420)))</f>
        <v/>
      </c>
      <c r="V420" s="63"/>
      <c r="W420" s="64"/>
      <c r="X420" s="63"/>
    </row>
    <row r="421" spans="2:24">
      <c r="B421" s="58"/>
      <c r="C421" s="59"/>
      <c r="D421" s="59"/>
      <c r="E421" s="59"/>
      <c r="F421" s="59"/>
      <c r="G421" s="60">
        <f>IF(OR(E421="",F421="",C421="",D421=""),"",IF(C421+D421=0,"",(E421*C421+F421*D421)/(C421+D421)))</f>
        <v/>
      </c>
      <c r="H421" s="59"/>
      <c r="I421" s="60">
        <f>IF(OR(H421="",E421="",C421="",D421=""),"",IF(C421+D421=0,"",(H421*D421+E421*C421)/(C421+D421)))</f>
        <v/>
      </c>
      <c r="J421" s="59"/>
      <c r="K421" s="61">
        <f>IF(OR(J421="",I421=""),"",J421-I421)</f>
        <v/>
      </c>
      <c r="L421" s="61">
        <f>IF(OR(J421="",G421=""),"",J421-G421)</f>
        <v/>
      </c>
      <c r="M421" s="59"/>
      <c r="N421" s="59"/>
      <c r="O421" s="59"/>
      <c r="P421" s="59"/>
      <c r="Q421" s="59"/>
      <c r="R421" s="60">
        <f>IF(AND(P421="",Q421=""),"",N(P421)+N(Q421))</f>
        <v/>
      </c>
      <c r="S421" s="59"/>
      <c r="T421" s="59"/>
      <c r="U421" s="62">
        <f>IF(OR(R421="",S421="",T421=""),"",IF(S421+T421=0,"",R421/(S421+T421)))</f>
        <v/>
      </c>
      <c r="V421" s="63"/>
      <c r="W421" s="64"/>
      <c r="X421" s="63"/>
    </row>
    <row r="422" spans="2:24">
      <c r="B422" s="58"/>
      <c r="C422" s="59"/>
      <c r="D422" s="59"/>
      <c r="E422" s="59"/>
      <c r="F422" s="59"/>
      <c r="G422" s="60">
        <f>IF(OR(E422="",F422="",C422="",D422=""),"",IF(C422+D422=0,"",(E422*C422+F422*D422)/(C422+D422)))</f>
        <v/>
      </c>
      <c r="H422" s="59"/>
      <c r="I422" s="60">
        <f>IF(OR(H422="",E422="",C422="",D422=""),"",IF(C422+D422=0,"",(H422*D422+E422*C422)/(C422+D422)))</f>
        <v/>
      </c>
      <c r="J422" s="59"/>
      <c r="K422" s="61">
        <f>IF(OR(J422="",I422=""),"",J422-I422)</f>
        <v/>
      </c>
      <c r="L422" s="61">
        <f>IF(OR(J422="",G422=""),"",J422-G422)</f>
        <v/>
      </c>
      <c r="M422" s="59"/>
      <c r="N422" s="59"/>
      <c r="O422" s="59"/>
      <c r="P422" s="59"/>
      <c r="Q422" s="59"/>
      <c r="R422" s="60">
        <f>IF(AND(P422="",Q422=""),"",N(P422)+N(Q422))</f>
        <v/>
      </c>
      <c r="S422" s="59"/>
      <c r="T422" s="59"/>
      <c r="U422" s="62">
        <f>IF(OR(R422="",S422="",T422=""),"",IF(S422+T422=0,"",R422/(S422+T422)))</f>
        <v/>
      </c>
      <c r="V422" s="63"/>
      <c r="W422" s="64"/>
      <c r="X422" s="63"/>
    </row>
    <row r="423" spans="2:24">
      <c r="B423" s="58"/>
      <c r="C423" s="59"/>
      <c r="D423" s="59"/>
      <c r="E423" s="59"/>
      <c r="F423" s="59"/>
      <c r="G423" s="60">
        <f>IF(OR(E423="",F423="",C423="",D423=""),"",IF(C423+D423=0,"",(E423*C423+F423*D423)/(C423+D423)))</f>
        <v/>
      </c>
      <c r="H423" s="59"/>
      <c r="I423" s="60">
        <f>IF(OR(H423="",E423="",C423="",D423=""),"",IF(C423+D423=0,"",(H423*D423+E423*C423)/(C423+D423)))</f>
        <v/>
      </c>
      <c r="J423" s="59"/>
      <c r="K423" s="61">
        <f>IF(OR(J423="",I423=""),"",J423-I423)</f>
        <v/>
      </c>
      <c r="L423" s="61">
        <f>IF(OR(J423="",G423=""),"",J423-G423)</f>
        <v/>
      </c>
      <c r="M423" s="59"/>
      <c r="N423" s="59"/>
      <c r="O423" s="59"/>
      <c r="P423" s="59"/>
      <c r="Q423" s="59"/>
      <c r="R423" s="60">
        <f>IF(AND(P423="",Q423=""),"",N(P423)+N(Q423))</f>
        <v/>
      </c>
      <c r="S423" s="59"/>
      <c r="T423" s="59"/>
      <c r="U423" s="62">
        <f>IF(OR(R423="",S423="",T423=""),"",IF(S423+T423=0,"",R423/(S423+T423)))</f>
        <v/>
      </c>
      <c r="V423" s="63"/>
      <c r="W423" s="64"/>
      <c r="X423" s="63"/>
    </row>
    <row r="424" spans="2:24">
      <c r="B424" s="58"/>
      <c r="C424" s="59"/>
      <c r="D424" s="59"/>
      <c r="E424" s="59"/>
      <c r="F424" s="59"/>
      <c r="G424" s="60">
        <f>IF(OR(E424="",F424="",C424="",D424=""),"",IF(C424+D424=0,"",(E424*C424+F424*D424)/(C424+D424)))</f>
        <v/>
      </c>
      <c r="H424" s="59"/>
      <c r="I424" s="60">
        <f>IF(OR(H424="",E424="",C424="",D424=""),"",IF(C424+D424=0,"",(H424*D424+E424*C424)/(C424+D424)))</f>
        <v/>
      </c>
      <c r="J424" s="59"/>
      <c r="K424" s="61">
        <f>IF(OR(J424="",I424=""),"",J424-I424)</f>
        <v/>
      </c>
      <c r="L424" s="61">
        <f>IF(OR(J424="",G424=""),"",J424-G424)</f>
        <v/>
      </c>
      <c r="M424" s="59"/>
      <c r="N424" s="59"/>
      <c r="O424" s="59"/>
      <c r="P424" s="59"/>
      <c r="Q424" s="59"/>
      <c r="R424" s="60">
        <f>IF(AND(P424="",Q424=""),"",N(P424)+N(Q424))</f>
        <v/>
      </c>
      <c r="S424" s="59"/>
      <c r="T424" s="59"/>
      <c r="U424" s="62">
        <f>IF(OR(R424="",S424="",T424=""),"",IF(S424+T424=0,"",R424/(S424+T424)))</f>
        <v/>
      </c>
      <c r="V424" s="63"/>
      <c r="W424" s="64"/>
      <c r="X424" s="63"/>
    </row>
    <row r="425" spans="2:24">
      <c r="B425" s="58"/>
      <c r="C425" s="59"/>
      <c r="D425" s="59"/>
      <c r="E425" s="59"/>
      <c r="F425" s="59"/>
      <c r="G425" s="60">
        <f>IF(OR(E425="",F425="",C425="",D425=""),"",IF(C425+D425=0,"",(E425*C425+F425*D425)/(C425+D425)))</f>
        <v/>
      </c>
      <c r="H425" s="59"/>
      <c r="I425" s="60">
        <f>IF(OR(H425="",E425="",C425="",D425=""),"",IF(C425+D425=0,"",(H425*D425+E425*C425)/(C425+D425)))</f>
        <v/>
      </c>
      <c r="J425" s="59"/>
      <c r="K425" s="61">
        <f>IF(OR(J425="",I425=""),"",J425-I425)</f>
        <v/>
      </c>
      <c r="L425" s="61">
        <f>IF(OR(J425="",G425=""),"",J425-G425)</f>
        <v/>
      </c>
      <c r="M425" s="59"/>
      <c r="N425" s="59"/>
      <c r="O425" s="59"/>
      <c r="P425" s="59"/>
      <c r="Q425" s="59"/>
      <c r="R425" s="60">
        <f>IF(AND(P425="",Q425=""),"",N(P425)+N(Q425))</f>
        <v/>
      </c>
      <c r="S425" s="59"/>
      <c r="T425" s="59"/>
      <c r="U425" s="62">
        <f>IF(OR(R425="",S425="",T425=""),"",IF(S425+T425=0,"",R425/(S425+T425)))</f>
        <v/>
      </c>
      <c r="V425" s="63"/>
      <c r="W425" s="64"/>
      <c r="X425" s="63"/>
    </row>
    <row r="426" spans="2:24">
      <c r="B426" s="58"/>
      <c r="C426" s="59"/>
      <c r="D426" s="59"/>
      <c r="E426" s="59"/>
      <c r="F426" s="59"/>
      <c r="G426" s="60">
        <f>IF(OR(E426="",F426="",C426="",D426=""),"",IF(C426+D426=0,"",(E426*C426+F426*D426)/(C426+D426)))</f>
        <v/>
      </c>
      <c r="H426" s="59"/>
      <c r="I426" s="60">
        <f>IF(OR(H426="",E426="",C426="",D426=""),"",IF(C426+D426=0,"",(H426*D426+E426*C426)/(C426+D426)))</f>
        <v/>
      </c>
      <c r="J426" s="59"/>
      <c r="K426" s="61">
        <f>IF(OR(J426="",I426=""),"",J426-I426)</f>
        <v/>
      </c>
      <c r="L426" s="61">
        <f>IF(OR(J426="",G426=""),"",J426-G426)</f>
        <v/>
      </c>
      <c r="M426" s="59"/>
      <c r="N426" s="59"/>
      <c r="O426" s="59"/>
      <c r="P426" s="59"/>
      <c r="Q426" s="59"/>
      <c r="R426" s="60">
        <f>IF(AND(P426="",Q426=""),"",N(P426)+N(Q426))</f>
        <v/>
      </c>
      <c r="S426" s="59"/>
      <c r="T426" s="59"/>
      <c r="U426" s="62">
        <f>IF(OR(R426="",S426="",T426=""),"",IF(S426+T426=0,"",R426/(S426+T426)))</f>
        <v/>
      </c>
      <c r="V426" s="63"/>
      <c r="W426" s="64"/>
      <c r="X426" s="63"/>
    </row>
    <row r="427" spans="2:24">
      <c r="B427" s="58"/>
      <c r="C427" s="59"/>
      <c r="D427" s="59"/>
      <c r="E427" s="59"/>
      <c r="F427" s="59"/>
      <c r="G427" s="60">
        <f>IF(OR(E427="",F427="",C427="",D427=""),"",IF(C427+D427=0,"",(E427*C427+F427*D427)/(C427+D427)))</f>
        <v/>
      </c>
      <c r="H427" s="59"/>
      <c r="I427" s="60">
        <f>IF(OR(H427="",E427="",C427="",D427=""),"",IF(C427+D427=0,"",(H427*D427+E427*C427)/(C427+D427)))</f>
        <v/>
      </c>
      <c r="J427" s="59"/>
      <c r="K427" s="61">
        <f>IF(OR(J427="",I427=""),"",J427-I427)</f>
        <v/>
      </c>
      <c r="L427" s="61">
        <f>IF(OR(J427="",G427=""),"",J427-G427)</f>
        <v/>
      </c>
      <c r="M427" s="59"/>
      <c r="N427" s="59"/>
      <c r="O427" s="59"/>
      <c r="P427" s="59"/>
      <c r="Q427" s="59"/>
      <c r="R427" s="60">
        <f>IF(AND(P427="",Q427=""),"",N(P427)+N(Q427))</f>
        <v/>
      </c>
      <c r="S427" s="59"/>
      <c r="T427" s="59"/>
      <c r="U427" s="62">
        <f>IF(OR(R427="",S427="",T427=""),"",IF(S427+T427=0,"",R427/(S427+T427)))</f>
        <v/>
      </c>
      <c r="V427" s="63"/>
      <c r="W427" s="64"/>
      <c r="X427" s="63"/>
    </row>
    <row r="428" spans="2:24">
      <c r="B428" s="58"/>
      <c r="C428" s="59"/>
      <c r="D428" s="59"/>
      <c r="E428" s="59"/>
      <c r="F428" s="59"/>
      <c r="G428" s="60">
        <f>IF(OR(E428="",F428="",C428="",D428=""),"",IF(C428+D428=0,"",(E428*C428+F428*D428)/(C428+D428)))</f>
        <v/>
      </c>
      <c r="H428" s="59"/>
      <c r="I428" s="60">
        <f>IF(OR(H428="",E428="",C428="",D428=""),"",IF(C428+D428=0,"",(H428*D428+E428*C428)/(C428+D428)))</f>
        <v/>
      </c>
      <c r="J428" s="59"/>
      <c r="K428" s="61">
        <f>IF(OR(J428="",I428=""),"",J428-I428)</f>
        <v/>
      </c>
      <c r="L428" s="61">
        <f>IF(OR(J428="",G428=""),"",J428-G428)</f>
        <v/>
      </c>
      <c r="M428" s="59"/>
      <c r="N428" s="59"/>
      <c r="O428" s="59"/>
      <c r="P428" s="59"/>
      <c r="Q428" s="59"/>
      <c r="R428" s="60">
        <f>IF(AND(P428="",Q428=""),"",N(P428)+N(Q428))</f>
        <v/>
      </c>
      <c r="S428" s="59"/>
      <c r="T428" s="59"/>
      <c r="U428" s="62">
        <f>IF(OR(R428="",S428="",T428=""),"",IF(S428+T428=0,"",R428/(S428+T428)))</f>
        <v/>
      </c>
      <c r="V428" s="63"/>
      <c r="W428" s="64"/>
      <c r="X428" s="63"/>
    </row>
    <row r="429" spans="2:24">
      <c r="B429" s="58"/>
      <c r="C429" s="59"/>
      <c r="D429" s="59"/>
      <c r="E429" s="59"/>
      <c r="F429" s="59"/>
      <c r="G429" s="60">
        <f>IF(OR(E429="",F429="",C429="",D429=""),"",IF(C429+D429=0,"",(E429*C429+F429*D429)/(C429+D429)))</f>
        <v/>
      </c>
      <c r="H429" s="59"/>
      <c r="I429" s="60">
        <f>IF(OR(H429="",E429="",C429="",D429=""),"",IF(C429+D429=0,"",(H429*D429+E429*C429)/(C429+D429)))</f>
        <v/>
      </c>
      <c r="J429" s="59"/>
      <c r="K429" s="61">
        <f>IF(OR(J429="",I429=""),"",J429-I429)</f>
        <v/>
      </c>
      <c r="L429" s="61">
        <f>IF(OR(J429="",G429=""),"",J429-G429)</f>
        <v/>
      </c>
      <c r="M429" s="59"/>
      <c r="N429" s="59"/>
      <c r="O429" s="59"/>
      <c r="P429" s="59"/>
      <c r="Q429" s="59"/>
      <c r="R429" s="60">
        <f>IF(AND(P429="",Q429=""),"",N(P429)+N(Q429))</f>
        <v/>
      </c>
      <c r="S429" s="59"/>
      <c r="T429" s="59"/>
      <c r="U429" s="62">
        <f>IF(OR(R429="",S429="",T429=""),"",IF(S429+T429=0,"",R429/(S429+T429)))</f>
        <v/>
      </c>
      <c r="V429" s="63"/>
      <c r="W429" s="64"/>
      <c r="X429" s="63"/>
    </row>
    <row r="430" spans="2:24">
      <c r="B430" s="58"/>
      <c r="C430" s="59"/>
      <c r="D430" s="59"/>
      <c r="E430" s="59"/>
      <c r="F430" s="59"/>
      <c r="G430" s="60">
        <f>IF(OR(E430="",F430="",C430="",D430=""),"",IF(C430+D430=0,"",(E430*C430+F430*D430)/(C430+D430)))</f>
        <v/>
      </c>
      <c r="H430" s="59"/>
      <c r="I430" s="60">
        <f>IF(OR(H430="",E430="",C430="",D430=""),"",IF(C430+D430=0,"",(H430*D430+E430*C430)/(C430+D430)))</f>
        <v/>
      </c>
      <c r="J430" s="59"/>
      <c r="K430" s="61">
        <f>IF(OR(J430="",I430=""),"",J430-I430)</f>
        <v/>
      </c>
      <c r="L430" s="61">
        <f>IF(OR(J430="",G430=""),"",J430-G430)</f>
        <v/>
      </c>
      <c r="M430" s="59"/>
      <c r="N430" s="59"/>
      <c r="O430" s="59"/>
      <c r="P430" s="59"/>
      <c r="Q430" s="59"/>
      <c r="R430" s="60">
        <f>IF(AND(P430="",Q430=""),"",N(P430)+N(Q430))</f>
        <v/>
      </c>
      <c r="S430" s="59"/>
      <c r="T430" s="59"/>
      <c r="U430" s="62">
        <f>IF(OR(R430="",S430="",T430=""),"",IF(S430+T430=0,"",R430/(S430+T430)))</f>
        <v/>
      </c>
      <c r="V430" s="63"/>
      <c r="W430" s="64"/>
      <c r="X430" s="63"/>
    </row>
    <row r="431" spans="2:24">
      <c r="B431" s="58"/>
      <c r="C431" s="59"/>
      <c r="D431" s="59"/>
      <c r="E431" s="59"/>
      <c r="F431" s="59"/>
      <c r="G431" s="60">
        <f>IF(OR(E431="",F431="",C431="",D431=""),"",IF(C431+D431=0,"",(E431*C431+F431*D431)/(C431+D431)))</f>
        <v/>
      </c>
      <c r="H431" s="59"/>
      <c r="I431" s="60">
        <f>IF(OR(H431="",E431="",C431="",D431=""),"",IF(C431+D431=0,"",(H431*D431+E431*C431)/(C431+D431)))</f>
        <v/>
      </c>
      <c r="J431" s="59"/>
      <c r="K431" s="61">
        <f>IF(OR(J431="",I431=""),"",J431-I431)</f>
        <v/>
      </c>
      <c r="L431" s="61">
        <f>IF(OR(J431="",G431=""),"",J431-G431)</f>
        <v/>
      </c>
      <c r="M431" s="59"/>
      <c r="N431" s="59"/>
      <c r="O431" s="59"/>
      <c r="P431" s="59"/>
      <c r="Q431" s="59"/>
      <c r="R431" s="60">
        <f>IF(AND(P431="",Q431=""),"",N(P431)+N(Q431))</f>
        <v/>
      </c>
      <c r="S431" s="59"/>
      <c r="T431" s="59"/>
      <c r="U431" s="62">
        <f>IF(OR(R431="",S431="",T431=""),"",IF(S431+T431=0,"",R431/(S431+T431)))</f>
        <v/>
      </c>
      <c r="V431" s="63"/>
      <c r="W431" s="64"/>
      <c r="X431" s="63"/>
    </row>
    <row r="432" spans="2:24">
      <c r="B432" s="58"/>
      <c r="C432" s="59"/>
      <c r="D432" s="59"/>
      <c r="E432" s="59"/>
      <c r="F432" s="59"/>
      <c r="G432" s="60">
        <f>IF(OR(E432="",F432="",C432="",D432=""),"",IF(C432+D432=0,"",(E432*C432+F432*D432)/(C432+D432)))</f>
        <v/>
      </c>
      <c r="H432" s="59"/>
      <c r="I432" s="60">
        <f>IF(OR(H432="",E432="",C432="",D432=""),"",IF(C432+D432=0,"",(H432*D432+E432*C432)/(C432+D432)))</f>
        <v/>
      </c>
      <c r="J432" s="59"/>
      <c r="K432" s="61">
        <f>IF(OR(J432="",I432=""),"",J432-I432)</f>
        <v/>
      </c>
      <c r="L432" s="61">
        <f>IF(OR(J432="",G432=""),"",J432-G432)</f>
        <v/>
      </c>
      <c r="M432" s="59"/>
      <c r="N432" s="59"/>
      <c r="O432" s="59"/>
      <c r="P432" s="59"/>
      <c r="Q432" s="59"/>
      <c r="R432" s="60">
        <f>IF(AND(P432="",Q432=""),"",N(P432)+N(Q432))</f>
        <v/>
      </c>
      <c r="S432" s="59"/>
      <c r="T432" s="59"/>
      <c r="U432" s="62">
        <f>IF(OR(R432="",S432="",T432=""),"",IF(S432+T432=0,"",R432/(S432+T432)))</f>
        <v/>
      </c>
      <c r="V432" s="63"/>
      <c r="W432" s="64"/>
      <c r="X432" s="63"/>
    </row>
    <row r="433" spans="2:24">
      <c r="B433" s="58"/>
      <c r="C433" s="59"/>
      <c r="D433" s="59"/>
      <c r="E433" s="59"/>
      <c r="F433" s="59"/>
      <c r="G433" s="60">
        <f>IF(OR(E433="",F433="",C433="",D433=""),"",IF(C433+D433=0,"",(E433*C433+F433*D433)/(C433+D433)))</f>
        <v/>
      </c>
      <c r="H433" s="59"/>
      <c r="I433" s="60">
        <f>IF(OR(H433="",E433="",C433="",D433=""),"",IF(C433+D433=0,"",(H433*D433+E433*C433)/(C433+D433)))</f>
        <v/>
      </c>
      <c r="J433" s="59"/>
      <c r="K433" s="61">
        <f>IF(OR(J433="",I433=""),"",J433-I433)</f>
        <v/>
      </c>
      <c r="L433" s="61">
        <f>IF(OR(J433="",G433=""),"",J433-G433)</f>
        <v/>
      </c>
      <c r="M433" s="59"/>
      <c r="N433" s="59"/>
      <c r="O433" s="59"/>
      <c r="P433" s="59"/>
      <c r="Q433" s="59"/>
      <c r="R433" s="60">
        <f>IF(AND(P433="",Q433=""),"",N(P433)+N(Q433))</f>
        <v/>
      </c>
      <c r="S433" s="59"/>
      <c r="T433" s="59"/>
      <c r="U433" s="62">
        <f>IF(OR(R433="",S433="",T433=""),"",IF(S433+T433=0,"",R433/(S433+T433)))</f>
        <v/>
      </c>
      <c r="V433" s="63"/>
      <c r="W433" s="64"/>
      <c r="X433" s="63"/>
    </row>
    <row r="434" spans="2:24">
      <c r="B434" s="58"/>
      <c r="C434" s="59"/>
      <c r="D434" s="59"/>
      <c r="E434" s="59"/>
      <c r="F434" s="59"/>
      <c r="G434" s="60">
        <f>IF(OR(E434="",F434="",C434="",D434=""),"",IF(C434+D434=0,"",(E434*C434+F434*D434)/(C434+D434)))</f>
        <v/>
      </c>
      <c r="H434" s="59"/>
      <c r="I434" s="60">
        <f>IF(OR(H434="",E434="",C434="",D434=""),"",IF(C434+D434=0,"",(H434*D434+E434*C434)/(C434+D434)))</f>
        <v/>
      </c>
      <c r="J434" s="59"/>
      <c r="K434" s="61">
        <f>IF(OR(J434="",I434=""),"",J434-I434)</f>
        <v/>
      </c>
      <c r="L434" s="61">
        <f>IF(OR(J434="",G434=""),"",J434-G434)</f>
        <v/>
      </c>
      <c r="M434" s="59"/>
      <c r="N434" s="59"/>
      <c r="O434" s="59"/>
      <c r="P434" s="59"/>
      <c r="Q434" s="59"/>
      <c r="R434" s="60">
        <f>IF(AND(P434="",Q434=""),"",N(P434)+N(Q434))</f>
        <v/>
      </c>
      <c r="S434" s="59"/>
      <c r="T434" s="59"/>
      <c r="U434" s="62">
        <f>IF(OR(R434="",S434="",T434=""),"",IF(S434+T434=0,"",R434/(S434+T434)))</f>
        <v/>
      </c>
      <c r="V434" s="63"/>
      <c r="W434" s="64"/>
      <c r="X434" s="63"/>
    </row>
    <row r="435" spans="2:24">
      <c r="B435" s="58"/>
      <c r="C435" s="59"/>
      <c r="D435" s="59"/>
      <c r="E435" s="59"/>
      <c r="F435" s="59"/>
      <c r="G435" s="60">
        <f>IF(OR(E435="",F435="",C435="",D435=""),"",IF(C435+D435=0,"",(E435*C435+F435*D435)/(C435+D435)))</f>
        <v/>
      </c>
      <c r="H435" s="59"/>
      <c r="I435" s="60">
        <f>IF(OR(H435="",E435="",C435="",D435=""),"",IF(C435+D435=0,"",(H435*D435+E435*C435)/(C435+D435)))</f>
        <v/>
      </c>
      <c r="J435" s="59"/>
      <c r="K435" s="61">
        <f>IF(OR(J435="",I435=""),"",J435-I435)</f>
        <v/>
      </c>
      <c r="L435" s="61">
        <f>IF(OR(J435="",G435=""),"",J435-G435)</f>
        <v/>
      </c>
      <c r="M435" s="59"/>
      <c r="N435" s="59"/>
      <c r="O435" s="59"/>
      <c r="P435" s="59"/>
      <c r="Q435" s="59"/>
      <c r="R435" s="60">
        <f>IF(AND(P435="",Q435=""),"",N(P435)+N(Q435))</f>
        <v/>
      </c>
      <c r="S435" s="59"/>
      <c r="T435" s="59"/>
      <c r="U435" s="62">
        <f>IF(OR(R435="",S435="",T435=""),"",IF(S435+T435=0,"",R435/(S435+T435)))</f>
        <v/>
      </c>
      <c r="V435" s="63"/>
      <c r="W435" s="64"/>
      <c r="X435" s="63"/>
    </row>
    <row r="436" spans="2:24">
      <c r="B436" s="58"/>
      <c r="C436" s="59"/>
      <c r="D436" s="59"/>
      <c r="E436" s="59"/>
      <c r="F436" s="59"/>
      <c r="G436" s="60">
        <f>IF(OR(E436="",F436="",C436="",D436=""),"",IF(C436+D436=0,"",(E436*C436+F436*D436)/(C436+D436)))</f>
        <v/>
      </c>
      <c r="H436" s="59"/>
      <c r="I436" s="60">
        <f>IF(OR(H436="",E436="",C436="",D436=""),"",IF(C436+D436=0,"",(H436*D436+E436*C436)/(C436+D436)))</f>
        <v/>
      </c>
      <c r="J436" s="59"/>
      <c r="K436" s="61">
        <f>IF(OR(J436="",I436=""),"",J436-I436)</f>
        <v/>
      </c>
      <c r="L436" s="61">
        <f>IF(OR(J436="",G436=""),"",J436-G436)</f>
        <v/>
      </c>
      <c r="M436" s="59"/>
      <c r="N436" s="59"/>
      <c r="O436" s="59"/>
      <c r="P436" s="59"/>
      <c r="Q436" s="59"/>
      <c r="R436" s="60">
        <f>IF(AND(P436="",Q436=""),"",N(P436)+N(Q436))</f>
        <v/>
      </c>
      <c r="S436" s="59"/>
      <c r="T436" s="59"/>
      <c r="U436" s="62">
        <f>IF(OR(R436="",S436="",T436=""),"",IF(S436+T436=0,"",R436/(S436+T436)))</f>
        <v/>
      </c>
      <c r="V436" s="63"/>
      <c r="W436" s="64"/>
      <c r="X436" s="63"/>
    </row>
    <row r="437" spans="2:24">
      <c r="B437" s="58"/>
      <c r="C437" s="59"/>
      <c r="D437" s="59"/>
      <c r="E437" s="59"/>
      <c r="F437" s="59"/>
      <c r="G437" s="60">
        <f>IF(OR(E437="",F437="",C437="",D437=""),"",IF(C437+D437=0,"",(E437*C437+F437*D437)/(C437+D437)))</f>
        <v/>
      </c>
      <c r="H437" s="59"/>
      <c r="I437" s="60">
        <f>IF(OR(H437="",E437="",C437="",D437=""),"",IF(C437+D437=0,"",(H437*D437+E437*C437)/(C437+D437)))</f>
        <v/>
      </c>
      <c r="J437" s="59"/>
      <c r="K437" s="61">
        <f>IF(OR(J437="",I437=""),"",J437-I437)</f>
        <v/>
      </c>
      <c r="L437" s="61">
        <f>IF(OR(J437="",G437=""),"",J437-G437)</f>
        <v/>
      </c>
      <c r="M437" s="59"/>
      <c r="N437" s="59"/>
      <c r="O437" s="59"/>
      <c r="P437" s="59"/>
      <c r="Q437" s="59"/>
      <c r="R437" s="60">
        <f>IF(AND(P437="",Q437=""),"",N(P437)+N(Q437))</f>
        <v/>
      </c>
      <c r="S437" s="59"/>
      <c r="T437" s="59"/>
      <c r="U437" s="62">
        <f>IF(OR(R437="",S437="",T437=""),"",IF(S437+T437=0,"",R437/(S437+T437)))</f>
        <v/>
      </c>
      <c r="V437" s="63"/>
      <c r="W437" s="64"/>
      <c r="X437" s="63"/>
    </row>
    <row r="438" spans="2:24">
      <c r="B438" s="58"/>
      <c r="C438" s="59"/>
      <c r="D438" s="59"/>
      <c r="E438" s="59"/>
      <c r="F438" s="59"/>
      <c r="G438" s="60">
        <f>IF(OR(E438="",F438="",C438="",D438=""),"",IF(C438+D438=0,"",(E438*C438+F438*D438)/(C438+D438)))</f>
        <v/>
      </c>
      <c r="H438" s="59"/>
      <c r="I438" s="60">
        <f>IF(OR(H438="",E438="",C438="",D438=""),"",IF(C438+D438=0,"",(H438*D438+E438*C438)/(C438+D438)))</f>
        <v/>
      </c>
      <c r="J438" s="59"/>
      <c r="K438" s="61">
        <f>IF(OR(J438="",I438=""),"",J438-I438)</f>
        <v/>
      </c>
      <c r="L438" s="61">
        <f>IF(OR(J438="",G438=""),"",J438-G438)</f>
        <v/>
      </c>
      <c r="M438" s="59"/>
      <c r="N438" s="59"/>
      <c r="O438" s="59"/>
      <c r="P438" s="59"/>
      <c r="Q438" s="59"/>
      <c r="R438" s="60">
        <f>IF(AND(P438="",Q438=""),"",N(P438)+N(Q438))</f>
        <v/>
      </c>
      <c r="S438" s="59"/>
      <c r="T438" s="59"/>
      <c r="U438" s="62">
        <f>IF(OR(R438="",S438="",T438=""),"",IF(S438+T438=0,"",R438/(S438+T438)))</f>
        <v/>
      </c>
      <c r="V438" s="63"/>
      <c r="W438" s="64"/>
      <c r="X438" s="63"/>
    </row>
    <row r="439" spans="2:24">
      <c r="B439" s="58"/>
      <c r="C439" s="59"/>
      <c r="D439" s="59"/>
      <c r="E439" s="59"/>
      <c r="F439" s="59"/>
      <c r="G439" s="60">
        <f>IF(OR(E439="",F439="",C439="",D439=""),"",IF(C439+D439=0,"",(E439*C439+F439*D439)/(C439+D439)))</f>
        <v/>
      </c>
      <c r="H439" s="59"/>
      <c r="I439" s="60">
        <f>IF(OR(H439="",E439="",C439="",D439=""),"",IF(C439+D439=0,"",(H439*D439+E439*C439)/(C439+D439)))</f>
        <v/>
      </c>
      <c r="J439" s="59"/>
      <c r="K439" s="61">
        <f>IF(OR(J439="",I439=""),"",J439-I439)</f>
        <v/>
      </c>
      <c r="L439" s="61">
        <f>IF(OR(J439="",G439=""),"",J439-G439)</f>
        <v/>
      </c>
      <c r="M439" s="59"/>
      <c r="N439" s="59"/>
      <c r="O439" s="59"/>
      <c r="P439" s="59"/>
      <c r="Q439" s="59"/>
      <c r="R439" s="60">
        <f>IF(AND(P439="",Q439=""),"",N(P439)+N(Q439))</f>
        <v/>
      </c>
      <c r="S439" s="59"/>
      <c r="T439" s="59"/>
      <c r="U439" s="62">
        <f>IF(OR(R439="",S439="",T439=""),"",IF(S439+T439=0,"",R439/(S439+T439)))</f>
        <v/>
      </c>
      <c r="V439" s="63"/>
      <c r="W439" s="64"/>
      <c r="X439" s="63"/>
    </row>
    <row r="440" spans="2:24">
      <c r="B440" s="58"/>
      <c r="C440" s="59"/>
      <c r="D440" s="59"/>
      <c r="E440" s="59"/>
      <c r="F440" s="59"/>
      <c r="G440" s="60">
        <f>IF(OR(E440="",F440="",C440="",D440=""),"",IF(C440+D440=0,"",(E440*C440+F440*D440)/(C440+D440)))</f>
        <v/>
      </c>
      <c r="H440" s="59"/>
      <c r="I440" s="60">
        <f>IF(OR(H440="",E440="",C440="",D440=""),"",IF(C440+D440=0,"",(H440*D440+E440*C440)/(C440+D440)))</f>
        <v/>
      </c>
      <c r="J440" s="59"/>
      <c r="K440" s="61">
        <f>IF(OR(J440="",I440=""),"",J440-I440)</f>
        <v/>
      </c>
      <c r="L440" s="61">
        <f>IF(OR(J440="",G440=""),"",J440-G440)</f>
        <v/>
      </c>
      <c r="M440" s="59"/>
      <c r="N440" s="59"/>
      <c r="O440" s="59"/>
      <c r="P440" s="59"/>
      <c r="Q440" s="59"/>
      <c r="R440" s="60">
        <f>IF(AND(P440="",Q440=""),"",N(P440)+N(Q440))</f>
        <v/>
      </c>
      <c r="S440" s="59"/>
      <c r="T440" s="59"/>
      <c r="U440" s="62">
        <f>IF(OR(R440="",S440="",T440=""),"",IF(S440+T440=0,"",R440/(S440+T440)))</f>
        <v/>
      </c>
      <c r="V440" s="63"/>
      <c r="W440" s="64"/>
      <c r="X440" s="63"/>
    </row>
    <row r="441" spans="2:24">
      <c r="B441" s="58"/>
      <c r="C441" s="59"/>
      <c r="D441" s="59"/>
      <c r="E441" s="59"/>
      <c r="F441" s="59"/>
      <c r="G441" s="60">
        <f>IF(OR(E441="",F441="",C441="",D441=""),"",IF(C441+D441=0,"",(E441*C441+F441*D441)/(C441+D441)))</f>
        <v/>
      </c>
      <c r="H441" s="59"/>
      <c r="I441" s="60">
        <f>IF(OR(H441="",E441="",C441="",D441=""),"",IF(C441+D441=0,"",(H441*D441+E441*C441)/(C441+D441)))</f>
        <v/>
      </c>
      <c r="J441" s="59"/>
      <c r="K441" s="61">
        <f>IF(OR(J441="",I441=""),"",J441-I441)</f>
        <v/>
      </c>
      <c r="L441" s="61">
        <f>IF(OR(J441="",G441=""),"",J441-G441)</f>
        <v/>
      </c>
      <c r="M441" s="59"/>
      <c r="N441" s="59"/>
      <c r="O441" s="59"/>
      <c r="P441" s="59"/>
      <c r="Q441" s="59"/>
      <c r="R441" s="60">
        <f>IF(AND(P441="",Q441=""),"",N(P441)+N(Q441))</f>
        <v/>
      </c>
      <c r="S441" s="59"/>
      <c r="T441" s="59"/>
      <c r="U441" s="62">
        <f>IF(OR(R441="",S441="",T441=""),"",IF(S441+T441=0,"",R441/(S441+T441)))</f>
        <v/>
      </c>
      <c r="V441" s="63"/>
      <c r="W441" s="64"/>
      <c r="X441" s="63"/>
    </row>
    <row r="442" spans="2:24">
      <c r="B442" s="58"/>
      <c r="C442" s="59"/>
      <c r="D442" s="59"/>
      <c r="E442" s="59"/>
      <c r="F442" s="59"/>
      <c r="G442" s="60">
        <f>IF(OR(E442="",F442="",C442="",D442=""),"",IF(C442+D442=0,"",(E442*C442+F442*D442)/(C442+D442)))</f>
        <v/>
      </c>
      <c r="H442" s="59"/>
      <c r="I442" s="60">
        <f>IF(OR(H442="",E442="",C442="",D442=""),"",IF(C442+D442=0,"",(H442*D442+E442*C442)/(C442+D442)))</f>
        <v/>
      </c>
      <c r="J442" s="59"/>
      <c r="K442" s="61">
        <f>IF(OR(J442="",I442=""),"",J442-I442)</f>
        <v/>
      </c>
      <c r="L442" s="61">
        <f>IF(OR(J442="",G442=""),"",J442-G442)</f>
        <v/>
      </c>
      <c r="M442" s="59"/>
      <c r="N442" s="59"/>
      <c r="O442" s="59"/>
      <c r="P442" s="59"/>
      <c r="Q442" s="59"/>
      <c r="R442" s="60">
        <f>IF(AND(P442="",Q442=""),"",N(P442)+N(Q442))</f>
        <v/>
      </c>
      <c r="S442" s="59"/>
      <c r="T442" s="59"/>
      <c r="U442" s="62">
        <f>IF(OR(R442="",S442="",T442=""),"",IF(S442+T442=0,"",R442/(S442+T442)))</f>
        <v/>
      </c>
      <c r="V442" s="63"/>
      <c r="W442" s="64"/>
      <c r="X442" s="63"/>
    </row>
    <row r="443" spans="2:24">
      <c r="B443" s="58"/>
      <c r="C443" s="59"/>
      <c r="D443" s="59"/>
      <c r="E443" s="59"/>
      <c r="F443" s="59"/>
      <c r="G443" s="60">
        <f>IF(OR(E443="",F443="",C443="",D443=""),"",IF(C443+D443=0,"",(E443*C443+F443*D443)/(C443+D443)))</f>
        <v/>
      </c>
      <c r="H443" s="59"/>
      <c r="I443" s="60">
        <f>IF(OR(H443="",E443="",C443="",D443=""),"",IF(C443+D443=0,"",(H443*D443+E443*C443)/(C443+D443)))</f>
        <v/>
      </c>
      <c r="J443" s="59"/>
      <c r="K443" s="61">
        <f>IF(OR(J443="",I443=""),"",J443-I443)</f>
        <v/>
      </c>
      <c r="L443" s="61">
        <f>IF(OR(J443="",G443=""),"",J443-G443)</f>
        <v/>
      </c>
      <c r="M443" s="59"/>
      <c r="N443" s="59"/>
      <c r="O443" s="59"/>
      <c r="P443" s="59"/>
      <c r="Q443" s="59"/>
      <c r="R443" s="60">
        <f>IF(AND(P443="",Q443=""),"",N(P443)+N(Q443))</f>
        <v/>
      </c>
      <c r="S443" s="59"/>
      <c r="T443" s="59"/>
      <c r="U443" s="62">
        <f>IF(OR(R443="",S443="",T443=""),"",IF(S443+T443=0,"",R443/(S443+T443)))</f>
        <v/>
      </c>
      <c r="V443" s="63"/>
      <c r="W443" s="64"/>
      <c r="X443" s="63"/>
    </row>
    <row r="444" spans="2:24">
      <c r="B444" s="58"/>
      <c r="C444" s="59"/>
      <c r="D444" s="59"/>
      <c r="E444" s="59"/>
      <c r="F444" s="59"/>
      <c r="G444" s="60">
        <f>IF(OR(E444="",F444="",C444="",D444=""),"",IF(C444+D444=0,"",(E444*C444+F444*D444)/(C444+D444)))</f>
        <v/>
      </c>
      <c r="H444" s="59"/>
      <c r="I444" s="60">
        <f>IF(OR(H444="",E444="",C444="",D444=""),"",IF(C444+D444=0,"",(H444*D444+E444*C444)/(C444+D444)))</f>
        <v/>
      </c>
      <c r="J444" s="59"/>
      <c r="K444" s="61">
        <f>IF(OR(J444="",I444=""),"",J444-I444)</f>
        <v/>
      </c>
      <c r="L444" s="61">
        <f>IF(OR(J444="",G444=""),"",J444-G444)</f>
        <v/>
      </c>
      <c r="M444" s="59"/>
      <c r="N444" s="59"/>
      <c r="O444" s="59"/>
      <c r="P444" s="59"/>
      <c r="Q444" s="59"/>
      <c r="R444" s="60">
        <f>IF(AND(P444="",Q444=""),"",N(P444)+N(Q444))</f>
        <v/>
      </c>
      <c r="S444" s="59"/>
      <c r="T444" s="59"/>
      <c r="U444" s="62">
        <f>IF(OR(R444="",S444="",T444=""),"",IF(S444+T444=0,"",R444/(S444+T444)))</f>
        <v/>
      </c>
      <c r="V444" s="63"/>
      <c r="W444" s="64"/>
      <c r="X444" s="63"/>
    </row>
    <row r="445" spans="2:24">
      <c r="B445" s="58"/>
      <c r="C445" s="59"/>
      <c r="D445" s="59"/>
      <c r="E445" s="59"/>
      <c r="F445" s="59"/>
      <c r="G445" s="60">
        <f>IF(OR(E445="",F445="",C445="",D445=""),"",IF(C445+D445=0,"",(E445*C445+F445*D445)/(C445+D445)))</f>
        <v/>
      </c>
      <c r="H445" s="59"/>
      <c r="I445" s="60">
        <f>IF(OR(H445="",E445="",C445="",D445=""),"",IF(C445+D445=0,"",(H445*D445+E445*C445)/(C445+D445)))</f>
        <v/>
      </c>
      <c r="J445" s="59"/>
      <c r="K445" s="61">
        <f>IF(OR(J445="",I445=""),"",J445-I445)</f>
        <v/>
      </c>
      <c r="L445" s="61">
        <f>IF(OR(J445="",G445=""),"",J445-G445)</f>
        <v/>
      </c>
      <c r="M445" s="59"/>
      <c r="N445" s="59"/>
      <c r="O445" s="59"/>
      <c r="P445" s="59"/>
      <c r="Q445" s="59"/>
      <c r="R445" s="60">
        <f>IF(AND(P445="",Q445=""),"",N(P445)+N(Q445))</f>
        <v/>
      </c>
      <c r="S445" s="59"/>
      <c r="T445" s="59"/>
      <c r="U445" s="62">
        <f>IF(OR(R445="",S445="",T445=""),"",IF(S445+T445=0,"",R445/(S445+T445)))</f>
        <v/>
      </c>
      <c r="V445" s="63"/>
      <c r="W445" s="64"/>
      <c r="X445" s="63"/>
    </row>
    <row r="446" spans="2:24">
      <c r="B446" s="58"/>
      <c r="C446" s="59"/>
      <c r="D446" s="59"/>
      <c r="E446" s="59"/>
      <c r="F446" s="59"/>
      <c r="G446" s="60">
        <f>IF(OR(E446="",F446="",C446="",D446=""),"",IF(C446+D446=0,"",(E446*C446+F446*D446)/(C446+D446)))</f>
        <v/>
      </c>
      <c r="H446" s="59"/>
      <c r="I446" s="60">
        <f>IF(OR(H446="",E446="",C446="",D446=""),"",IF(C446+D446=0,"",(H446*D446+E446*C446)/(C446+D446)))</f>
        <v/>
      </c>
      <c r="J446" s="59"/>
      <c r="K446" s="61">
        <f>IF(OR(J446="",I446=""),"",J446-I446)</f>
        <v/>
      </c>
      <c r="L446" s="61">
        <f>IF(OR(J446="",G446=""),"",J446-G446)</f>
        <v/>
      </c>
      <c r="M446" s="59"/>
      <c r="N446" s="59"/>
      <c r="O446" s="59"/>
      <c r="P446" s="59"/>
      <c r="Q446" s="59"/>
      <c r="R446" s="60">
        <f>IF(AND(P446="",Q446=""),"",N(P446)+N(Q446))</f>
        <v/>
      </c>
      <c r="S446" s="59"/>
      <c r="T446" s="59"/>
      <c r="U446" s="62">
        <f>IF(OR(R446="",S446="",T446=""),"",IF(S446+T446=0,"",R446/(S446+T446)))</f>
        <v/>
      </c>
      <c r="V446" s="63"/>
      <c r="W446" s="64"/>
      <c r="X446" s="63"/>
    </row>
    <row r="447" spans="2:24">
      <c r="B447" s="58"/>
      <c r="C447" s="59"/>
      <c r="D447" s="59"/>
      <c r="E447" s="59"/>
      <c r="F447" s="59"/>
      <c r="G447" s="60">
        <f>IF(OR(E447="",F447="",C447="",D447=""),"",IF(C447+D447=0,"",(E447*C447+F447*D447)/(C447+D447)))</f>
        <v/>
      </c>
      <c r="H447" s="59"/>
      <c r="I447" s="60">
        <f>IF(OR(H447="",E447="",C447="",D447=""),"",IF(C447+D447=0,"",(H447*D447+E447*C447)/(C447+D447)))</f>
        <v/>
      </c>
      <c r="J447" s="59"/>
      <c r="K447" s="61">
        <f>IF(OR(J447="",I447=""),"",J447-I447)</f>
        <v/>
      </c>
      <c r="L447" s="61">
        <f>IF(OR(J447="",G447=""),"",J447-G447)</f>
        <v/>
      </c>
      <c r="M447" s="59"/>
      <c r="N447" s="59"/>
      <c r="O447" s="59"/>
      <c r="P447" s="59"/>
      <c r="Q447" s="59"/>
      <c r="R447" s="60">
        <f>IF(AND(P447="",Q447=""),"",N(P447)+N(Q447))</f>
        <v/>
      </c>
      <c r="S447" s="59"/>
      <c r="T447" s="59"/>
      <c r="U447" s="62">
        <f>IF(OR(R447="",S447="",T447=""),"",IF(S447+T447=0,"",R447/(S447+T447)))</f>
        <v/>
      </c>
      <c r="V447" s="63"/>
      <c r="W447" s="64"/>
      <c r="X447" s="63"/>
    </row>
    <row r="448" spans="2:24">
      <c r="B448" s="58"/>
      <c r="C448" s="59"/>
      <c r="D448" s="59"/>
      <c r="E448" s="59"/>
      <c r="F448" s="59"/>
      <c r="G448" s="60">
        <f>IF(OR(E448="",F448="",C448="",D448=""),"",IF(C448+D448=0,"",(E448*C448+F448*D448)/(C448+D448)))</f>
        <v/>
      </c>
      <c r="H448" s="59"/>
      <c r="I448" s="60">
        <f>IF(OR(H448="",E448="",C448="",D448=""),"",IF(C448+D448=0,"",(H448*D448+E448*C448)/(C448+D448)))</f>
        <v/>
      </c>
      <c r="J448" s="59"/>
      <c r="K448" s="61">
        <f>IF(OR(J448="",I448=""),"",J448-I448)</f>
        <v/>
      </c>
      <c r="L448" s="61">
        <f>IF(OR(J448="",G448=""),"",J448-G448)</f>
        <v/>
      </c>
      <c r="M448" s="59"/>
      <c r="N448" s="59"/>
      <c r="O448" s="59"/>
      <c r="P448" s="59"/>
      <c r="Q448" s="59"/>
      <c r="R448" s="60">
        <f>IF(AND(P448="",Q448=""),"",N(P448)+N(Q448))</f>
        <v/>
      </c>
      <c r="S448" s="59"/>
      <c r="T448" s="59"/>
      <c r="U448" s="62">
        <f>IF(OR(R448="",S448="",T448=""),"",IF(S448+T448=0,"",R448/(S448+T448)))</f>
        <v/>
      </c>
      <c r="V448" s="63"/>
      <c r="W448" s="64"/>
      <c r="X448" s="63"/>
    </row>
    <row r="449" spans="2:24">
      <c r="B449" s="58"/>
      <c r="C449" s="59"/>
      <c r="D449" s="59"/>
      <c r="E449" s="59"/>
      <c r="F449" s="59"/>
      <c r="G449" s="60">
        <f>IF(OR(E449="",F449="",C449="",D449=""),"",IF(C449+D449=0,"",(E449*C449+F449*D449)/(C449+D449)))</f>
        <v/>
      </c>
      <c r="H449" s="59"/>
      <c r="I449" s="60">
        <f>IF(OR(H449="",E449="",C449="",D449=""),"",IF(C449+D449=0,"",(H449*D449+E449*C449)/(C449+D449)))</f>
        <v/>
      </c>
      <c r="J449" s="59"/>
      <c r="K449" s="61">
        <f>IF(OR(J449="",I449=""),"",J449-I449)</f>
        <v/>
      </c>
      <c r="L449" s="61">
        <f>IF(OR(J449="",G449=""),"",J449-G449)</f>
        <v/>
      </c>
      <c r="M449" s="59"/>
      <c r="N449" s="59"/>
      <c r="O449" s="59"/>
      <c r="P449" s="59"/>
      <c r="Q449" s="59"/>
      <c r="R449" s="60">
        <f>IF(AND(P449="",Q449=""),"",N(P449)+N(Q449))</f>
        <v/>
      </c>
      <c r="S449" s="59"/>
      <c r="T449" s="59"/>
      <c r="U449" s="62">
        <f>IF(OR(R449="",S449="",T449=""),"",IF(S449+T449=0,"",R449/(S449+T449)))</f>
        <v/>
      </c>
      <c r="V449" s="63"/>
      <c r="W449" s="64"/>
      <c r="X449" s="63"/>
    </row>
    <row r="450" spans="2:24">
      <c r="B450" s="58"/>
      <c r="C450" s="59"/>
      <c r="D450" s="59"/>
      <c r="E450" s="59"/>
      <c r="F450" s="59"/>
      <c r="G450" s="60">
        <f>IF(OR(E450="",F450="",C450="",D450=""),"",IF(C450+D450=0,"",(E450*C450+F450*D450)/(C450+D450)))</f>
        <v/>
      </c>
      <c r="H450" s="59"/>
      <c r="I450" s="60">
        <f>IF(OR(H450="",E450="",C450="",D450=""),"",IF(C450+D450=0,"",(H450*D450+E450*C450)/(C450+D450)))</f>
        <v/>
      </c>
      <c r="J450" s="59"/>
      <c r="K450" s="61">
        <f>IF(OR(J450="",I450=""),"",J450-I450)</f>
        <v/>
      </c>
      <c r="L450" s="61">
        <f>IF(OR(J450="",G450=""),"",J450-G450)</f>
        <v/>
      </c>
      <c r="M450" s="59"/>
      <c r="N450" s="59"/>
      <c r="O450" s="59"/>
      <c r="P450" s="59"/>
      <c r="Q450" s="59"/>
      <c r="R450" s="60">
        <f>IF(AND(P450="",Q450=""),"",N(P450)+N(Q450))</f>
        <v/>
      </c>
      <c r="S450" s="59"/>
      <c r="T450" s="59"/>
      <c r="U450" s="62">
        <f>IF(OR(R450="",S450="",T450=""),"",IF(S450+T450=0,"",R450/(S450+T450)))</f>
        <v/>
      </c>
      <c r="V450" s="63"/>
      <c r="W450" s="64"/>
      <c r="X450" s="63"/>
    </row>
    <row r="451" spans="2:24">
      <c r="B451" s="58"/>
      <c r="C451" s="59"/>
      <c r="D451" s="59"/>
      <c r="E451" s="59"/>
      <c r="F451" s="59"/>
      <c r="G451" s="60">
        <f>IF(OR(E451="",F451="",C451="",D451=""),"",IF(C451+D451=0,"",(E451*C451+F451*D451)/(C451+D451)))</f>
        <v/>
      </c>
      <c r="H451" s="59"/>
      <c r="I451" s="60">
        <f>IF(OR(H451="",E451="",C451="",D451=""),"",IF(C451+D451=0,"",(H451*D451+E451*C451)/(C451+D451)))</f>
        <v/>
      </c>
      <c r="J451" s="59"/>
      <c r="K451" s="61">
        <f>IF(OR(J451="",I451=""),"",J451-I451)</f>
        <v/>
      </c>
      <c r="L451" s="61">
        <f>IF(OR(J451="",G451=""),"",J451-G451)</f>
        <v/>
      </c>
      <c r="M451" s="59"/>
      <c r="N451" s="59"/>
      <c r="O451" s="59"/>
      <c r="P451" s="59"/>
      <c r="Q451" s="59"/>
      <c r="R451" s="60">
        <f>IF(AND(P451="",Q451=""),"",N(P451)+N(Q451))</f>
        <v/>
      </c>
      <c r="S451" s="59"/>
      <c r="T451" s="59"/>
      <c r="U451" s="62">
        <f>IF(OR(R451="",S451="",T451=""),"",IF(S451+T451=0,"",R451/(S451+T451)))</f>
        <v/>
      </c>
      <c r="V451" s="63"/>
      <c r="W451" s="64"/>
      <c r="X451" s="63"/>
    </row>
    <row r="452" spans="2:24">
      <c r="B452" s="58"/>
      <c r="C452" s="59"/>
      <c r="D452" s="59"/>
      <c r="E452" s="59"/>
      <c r="F452" s="59"/>
      <c r="G452" s="60">
        <f>IF(OR(E452="",F452="",C452="",D452=""),"",IF(C452+D452=0,"",(E452*C452+F452*D452)/(C452+D452)))</f>
        <v/>
      </c>
      <c r="H452" s="59"/>
      <c r="I452" s="60">
        <f>IF(OR(H452="",E452="",C452="",D452=""),"",IF(C452+D452=0,"",(H452*D452+E452*C452)/(C452+D452)))</f>
        <v/>
      </c>
      <c r="J452" s="59"/>
      <c r="K452" s="61">
        <f>IF(OR(J452="",I452=""),"",J452-I452)</f>
        <v/>
      </c>
      <c r="L452" s="61">
        <f>IF(OR(J452="",G452=""),"",J452-G452)</f>
        <v/>
      </c>
      <c r="M452" s="59"/>
      <c r="N452" s="59"/>
      <c r="O452" s="59"/>
      <c r="P452" s="59"/>
      <c r="Q452" s="59"/>
      <c r="R452" s="60">
        <f>IF(AND(P452="",Q452=""),"",N(P452)+N(Q452))</f>
        <v/>
      </c>
      <c r="S452" s="59"/>
      <c r="T452" s="59"/>
      <c r="U452" s="62">
        <f>IF(OR(R452="",S452="",T452=""),"",IF(S452+T452=0,"",R452/(S452+T452)))</f>
        <v/>
      </c>
      <c r="V452" s="63"/>
      <c r="W452" s="64"/>
      <c r="X452" s="63"/>
    </row>
    <row r="453" spans="2:24">
      <c r="B453" s="58"/>
      <c r="C453" s="59"/>
      <c r="D453" s="59"/>
      <c r="E453" s="59"/>
      <c r="F453" s="59"/>
      <c r="G453" s="60">
        <f>IF(OR(E453="",F453="",C453="",D453=""),"",IF(C453+D453=0,"",(E453*C453+F453*D453)/(C453+D453)))</f>
        <v/>
      </c>
      <c r="H453" s="59"/>
      <c r="I453" s="60">
        <f>IF(OR(H453="",E453="",C453="",D453=""),"",IF(C453+D453=0,"",(H453*D453+E453*C453)/(C453+D453)))</f>
        <v/>
      </c>
      <c r="J453" s="59"/>
      <c r="K453" s="61">
        <f>IF(OR(J453="",I453=""),"",J453-I453)</f>
        <v/>
      </c>
      <c r="L453" s="61">
        <f>IF(OR(J453="",G453=""),"",J453-G453)</f>
        <v/>
      </c>
      <c r="M453" s="59"/>
      <c r="N453" s="59"/>
      <c r="O453" s="59"/>
      <c r="P453" s="59"/>
      <c r="Q453" s="59"/>
      <c r="R453" s="60">
        <f>IF(AND(P453="",Q453=""),"",N(P453)+N(Q453))</f>
        <v/>
      </c>
      <c r="S453" s="59"/>
      <c r="T453" s="59"/>
      <c r="U453" s="62">
        <f>IF(OR(R453="",S453="",T453=""),"",IF(S453+T453=0,"",R453/(S453+T453)))</f>
        <v/>
      </c>
      <c r="V453" s="63"/>
      <c r="W453" s="64"/>
      <c r="X453" s="63"/>
    </row>
    <row r="454" spans="2:24">
      <c r="B454" s="58"/>
      <c r="C454" s="59"/>
      <c r="D454" s="59"/>
      <c r="E454" s="59"/>
      <c r="F454" s="59"/>
      <c r="G454" s="60">
        <f>IF(OR(E454="",F454="",C454="",D454=""),"",IF(C454+D454=0,"",(E454*C454+F454*D454)/(C454+D454)))</f>
        <v/>
      </c>
      <c r="H454" s="59"/>
      <c r="I454" s="60">
        <f>IF(OR(H454="",E454="",C454="",D454=""),"",IF(C454+D454=0,"",(H454*D454+E454*C454)/(C454+D454)))</f>
        <v/>
      </c>
      <c r="J454" s="59"/>
      <c r="K454" s="61">
        <f>IF(OR(J454="",I454=""),"",J454-I454)</f>
        <v/>
      </c>
      <c r="L454" s="61">
        <f>IF(OR(J454="",G454=""),"",J454-G454)</f>
        <v/>
      </c>
      <c r="M454" s="59"/>
      <c r="N454" s="59"/>
      <c r="O454" s="59"/>
      <c r="P454" s="59"/>
      <c r="Q454" s="59"/>
      <c r="R454" s="60">
        <f>IF(AND(P454="",Q454=""),"",N(P454)+N(Q454))</f>
        <v/>
      </c>
      <c r="S454" s="59"/>
      <c r="T454" s="59"/>
      <c r="U454" s="62">
        <f>IF(OR(R454="",S454="",T454=""),"",IF(S454+T454=0,"",R454/(S454+T454)))</f>
        <v/>
      </c>
      <c r="V454" s="63"/>
      <c r="W454" s="64"/>
      <c r="X454" s="63"/>
    </row>
    <row r="455" spans="2:24">
      <c r="B455" s="58"/>
      <c r="C455" s="59"/>
      <c r="D455" s="59"/>
      <c r="E455" s="59"/>
      <c r="F455" s="59"/>
      <c r="G455" s="60">
        <f>IF(OR(E455="",F455="",C455="",D455=""),"",IF(C455+D455=0,"",(E455*C455+F455*D455)/(C455+D455)))</f>
        <v/>
      </c>
      <c r="H455" s="59"/>
      <c r="I455" s="60">
        <f>IF(OR(H455="",E455="",C455="",D455=""),"",IF(C455+D455=0,"",(H455*D455+E455*C455)/(C455+D455)))</f>
        <v/>
      </c>
      <c r="J455" s="59"/>
      <c r="K455" s="61">
        <f>IF(OR(J455="",I455=""),"",J455-I455)</f>
        <v/>
      </c>
      <c r="L455" s="61">
        <f>IF(OR(J455="",G455=""),"",J455-G455)</f>
        <v/>
      </c>
      <c r="M455" s="59"/>
      <c r="N455" s="59"/>
      <c r="O455" s="59"/>
      <c r="P455" s="59"/>
      <c r="Q455" s="59"/>
      <c r="R455" s="60">
        <f>IF(AND(P455="",Q455=""),"",N(P455)+N(Q455))</f>
        <v/>
      </c>
      <c r="S455" s="59"/>
      <c r="T455" s="59"/>
      <c r="U455" s="62">
        <f>IF(OR(R455="",S455="",T455=""),"",IF(S455+T455=0,"",R455/(S455+T455)))</f>
        <v/>
      </c>
      <c r="V455" s="63"/>
      <c r="W455" s="64"/>
      <c r="X455" s="63"/>
    </row>
    <row r="456" spans="2:24">
      <c r="B456" s="58"/>
      <c r="C456" s="59"/>
      <c r="D456" s="59"/>
      <c r="E456" s="59"/>
      <c r="F456" s="59"/>
      <c r="G456" s="60">
        <f>IF(OR(E456="",F456="",C456="",D456=""),"",IF(C456+D456=0,"",(E456*C456+F456*D456)/(C456+D456)))</f>
        <v/>
      </c>
      <c r="H456" s="59"/>
      <c r="I456" s="60">
        <f>IF(OR(H456="",E456="",C456="",D456=""),"",IF(C456+D456=0,"",(H456*D456+E456*C456)/(C456+D456)))</f>
        <v/>
      </c>
      <c r="J456" s="59"/>
      <c r="K456" s="61">
        <f>IF(OR(J456="",I456=""),"",J456-I456)</f>
        <v/>
      </c>
      <c r="L456" s="61">
        <f>IF(OR(J456="",G456=""),"",J456-G456)</f>
        <v/>
      </c>
      <c r="M456" s="59"/>
      <c r="N456" s="59"/>
      <c r="O456" s="59"/>
      <c r="P456" s="59"/>
      <c r="Q456" s="59"/>
      <c r="R456" s="60">
        <f>IF(AND(P456="",Q456=""),"",N(P456)+N(Q456))</f>
        <v/>
      </c>
      <c r="S456" s="59"/>
      <c r="T456" s="59"/>
      <c r="U456" s="62">
        <f>IF(OR(R456="",S456="",T456=""),"",IF(S456+T456=0,"",R456/(S456+T456)))</f>
        <v/>
      </c>
      <c r="V456" s="63"/>
      <c r="W456" s="64"/>
      <c r="X456" s="63"/>
    </row>
    <row r="457" spans="2:24">
      <c r="B457" s="58"/>
      <c r="C457" s="59"/>
      <c r="D457" s="59"/>
      <c r="E457" s="59"/>
      <c r="F457" s="59"/>
      <c r="G457" s="60">
        <f>IF(OR(E457="",F457="",C457="",D457=""),"",IF(C457+D457=0,"",(E457*C457+F457*D457)/(C457+D457)))</f>
        <v/>
      </c>
      <c r="H457" s="59"/>
      <c r="I457" s="60">
        <f>IF(OR(H457="",E457="",C457="",D457=""),"",IF(C457+D457=0,"",(H457*D457+E457*C457)/(C457+D457)))</f>
        <v/>
      </c>
      <c r="J457" s="59"/>
      <c r="K457" s="61">
        <f>IF(OR(J457="",I457=""),"",J457-I457)</f>
        <v/>
      </c>
      <c r="L457" s="61">
        <f>IF(OR(J457="",G457=""),"",J457-G457)</f>
        <v/>
      </c>
      <c r="M457" s="59"/>
      <c r="N457" s="59"/>
      <c r="O457" s="59"/>
      <c r="P457" s="59"/>
      <c r="Q457" s="59"/>
      <c r="R457" s="60">
        <f>IF(AND(P457="",Q457=""),"",N(P457)+N(Q457))</f>
        <v/>
      </c>
      <c r="S457" s="59"/>
      <c r="T457" s="59"/>
      <c r="U457" s="62">
        <f>IF(OR(R457="",S457="",T457=""),"",IF(S457+T457=0,"",R457/(S457+T457)))</f>
        <v/>
      </c>
      <c r="V457" s="63"/>
      <c r="W457" s="64"/>
      <c r="X457" s="63"/>
    </row>
    <row r="458" spans="2:24">
      <c r="B458" s="58"/>
      <c r="C458" s="59"/>
      <c r="D458" s="59"/>
      <c r="E458" s="59"/>
      <c r="F458" s="59"/>
      <c r="G458" s="60">
        <f>IF(OR(E458="",F458="",C458="",D458=""),"",IF(C458+D458=0,"",(E458*C458+F458*D458)/(C458+D458)))</f>
        <v/>
      </c>
      <c r="H458" s="59"/>
      <c r="I458" s="60">
        <f>IF(OR(H458="",E458="",C458="",D458=""),"",IF(C458+D458=0,"",(H458*D458+E458*C458)/(C458+D458)))</f>
        <v/>
      </c>
      <c r="J458" s="59"/>
      <c r="K458" s="61">
        <f>IF(OR(J458="",I458=""),"",J458-I458)</f>
        <v/>
      </c>
      <c r="L458" s="61">
        <f>IF(OR(J458="",G458=""),"",J458-G458)</f>
        <v/>
      </c>
      <c r="M458" s="59"/>
      <c r="N458" s="59"/>
      <c r="O458" s="59"/>
      <c r="P458" s="59"/>
      <c r="Q458" s="59"/>
      <c r="R458" s="60">
        <f>IF(AND(P458="",Q458=""),"",N(P458)+N(Q458))</f>
        <v/>
      </c>
      <c r="S458" s="59"/>
      <c r="T458" s="59"/>
      <c r="U458" s="62">
        <f>IF(OR(R458="",S458="",T458=""),"",IF(S458+T458=0,"",R458/(S458+T458)))</f>
        <v/>
      </c>
      <c r="V458" s="63"/>
      <c r="W458" s="64"/>
      <c r="X458" s="63"/>
    </row>
    <row r="459" spans="2:24">
      <c r="B459" s="58"/>
      <c r="C459" s="59"/>
      <c r="D459" s="59"/>
      <c r="E459" s="59"/>
      <c r="F459" s="59"/>
      <c r="G459" s="60">
        <f>IF(OR(E459="",F459="",C459="",D459=""),"",IF(C459+D459=0,"",(E459*C459+F459*D459)/(C459+D459)))</f>
        <v/>
      </c>
      <c r="H459" s="59"/>
      <c r="I459" s="60">
        <f>IF(OR(H459="",E459="",C459="",D459=""),"",IF(C459+D459=0,"",(H459*D459+E459*C459)/(C459+D459)))</f>
        <v/>
      </c>
      <c r="J459" s="59"/>
      <c r="K459" s="61">
        <f>IF(OR(J459="",I459=""),"",J459-I459)</f>
        <v/>
      </c>
      <c r="L459" s="61">
        <f>IF(OR(J459="",G459=""),"",J459-G459)</f>
        <v/>
      </c>
      <c r="M459" s="59"/>
      <c r="N459" s="59"/>
      <c r="O459" s="59"/>
      <c r="P459" s="59"/>
      <c r="Q459" s="59"/>
      <c r="R459" s="60">
        <f>IF(AND(P459="",Q459=""),"",N(P459)+N(Q459))</f>
        <v/>
      </c>
      <c r="S459" s="59"/>
      <c r="T459" s="59"/>
      <c r="U459" s="62">
        <f>IF(OR(R459="",S459="",T459=""),"",IF(S459+T459=0,"",R459/(S459+T459)))</f>
        <v/>
      </c>
      <c r="V459" s="63"/>
      <c r="W459" s="64"/>
      <c r="X459" s="63"/>
    </row>
    <row r="460" spans="2:24">
      <c r="B460" s="58"/>
      <c r="C460" s="59"/>
      <c r="D460" s="59"/>
      <c r="E460" s="59"/>
      <c r="F460" s="59"/>
      <c r="G460" s="60">
        <f>IF(OR(E460="",F460="",C460="",D460=""),"",IF(C460+D460=0,"",(E460*C460+F460*D460)/(C460+D460)))</f>
        <v/>
      </c>
      <c r="H460" s="59"/>
      <c r="I460" s="60">
        <f>IF(OR(H460="",E460="",C460="",D460=""),"",IF(C460+D460=0,"",(H460*D460+E460*C460)/(C460+D460)))</f>
        <v/>
      </c>
      <c r="J460" s="59"/>
      <c r="K460" s="61">
        <f>IF(OR(J460="",I460=""),"",J460-I460)</f>
        <v/>
      </c>
      <c r="L460" s="61">
        <f>IF(OR(J460="",G460=""),"",J460-G460)</f>
        <v/>
      </c>
      <c r="M460" s="59"/>
      <c r="N460" s="59"/>
      <c r="O460" s="59"/>
      <c r="P460" s="59"/>
      <c r="Q460" s="59"/>
      <c r="R460" s="60">
        <f>IF(AND(P460="",Q460=""),"",N(P460)+N(Q460))</f>
        <v/>
      </c>
      <c r="S460" s="59"/>
      <c r="T460" s="59"/>
      <c r="U460" s="62">
        <f>IF(OR(R460="",S460="",T460=""),"",IF(S460+T460=0,"",R460/(S460+T460)))</f>
        <v/>
      </c>
      <c r="V460" s="63"/>
      <c r="W460" s="64"/>
      <c r="X460" s="63"/>
    </row>
    <row r="461" spans="2:24">
      <c r="B461" s="58"/>
      <c r="C461" s="59"/>
      <c r="D461" s="59"/>
      <c r="E461" s="59"/>
      <c r="F461" s="59"/>
      <c r="G461" s="60">
        <f>IF(OR(E461="",F461="",C461="",D461=""),"",IF(C461+D461=0,"",(E461*C461+F461*D461)/(C461+D461)))</f>
        <v/>
      </c>
      <c r="H461" s="59"/>
      <c r="I461" s="60">
        <f>IF(OR(H461="",E461="",C461="",D461=""),"",IF(C461+D461=0,"",(H461*D461+E461*C461)/(C461+D461)))</f>
        <v/>
      </c>
      <c r="J461" s="59"/>
      <c r="K461" s="61">
        <f>IF(OR(J461="",I461=""),"",J461-I461)</f>
        <v/>
      </c>
      <c r="L461" s="61">
        <f>IF(OR(J461="",G461=""),"",J461-G461)</f>
        <v/>
      </c>
      <c r="M461" s="59"/>
      <c r="N461" s="59"/>
      <c r="O461" s="59"/>
      <c r="P461" s="59"/>
      <c r="Q461" s="59"/>
      <c r="R461" s="60">
        <f>IF(AND(P461="",Q461=""),"",N(P461)+N(Q461))</f>
        <v/>
      </c>
      <c r="S461" s="59"/>
      <c r="T461" s="59"/>
      <c r="U461" s="62">
        <f>IF(OR(R461="",S461="",T461=""),"",IF(S461+T461=0,"",R461/(S461+T461)))</f>
        <v/>
      </c>
      <c r="V461" s="63"/>
      <c r="W461" s="64"/>
      <c r="X461" s="63"/>
    </row>
    <row r="462" spans="2:24">
      <c r="B462" s="58"/>
      <c r="C462" s="59"/>
      <c r="D462" s="59"/>
      <c r="E462" s="59"/>
      <c r="F462" s="59"/>
      <c r="G462" s="60">
        <f>IF(OR(E462="",F462="",C462="",D462=""),"",IF(C462+D462=0,"",(E462*C462+F462*D462)/(C462+D462)))</f>
        <v/>
      </c>
      <c r="H462" s="59"/>
      <c r="I462" s="60">
        <f>IF(OR(H462="",E462="",C462="",D462=""),"",IF(C462+D462=0,"",(H462*D462+E462*C462)/(C462+D462)))</f>
        <v/>
      </c>
      <c r="J462" s="59"/>
      <c r="K462" s="61">
        <f>IF(OR(J462="",I462=""),"",J462-I462)</f>
        <v/>
      </c>
      <c r="L462" s="61">
        <f>IF(OR(J462="",G462=""),"",J462-G462)</f>
        <v/>
      </c>
      <c r="M462" s="59"/>
      <c r="N462" s="59"/>
      <c r="O462" s="59"/>
      <c r="P462" s="59"/>
      <c r="Q462" s="59"/>
      <c r="R462" s="60">
        <f>IF(AND(P462="",Q462=""),"",N(P462)+N(Q462))</f>
        <v/>
      </c>
      <c r="S462" s="59"/>
      <c r="T462" s="59"/>
      <c r="U462" s="62">
        <f>IF(OR(R462="",S462="",T462=""),"",IF(S462+T462=0,"",R462/(S462+T462)))</f>
        <v/>
      </c>
      <c r="V462" s="63"/>
      <c r="W462" s="64"/>
      <c r="X462" s="63"/>
    </row>
    <row r="463" spans="2:24">
      <c r="B463" s="58"/>
      <c r="C463" s="59"/>
      <c r="D463" s="59"/>
      <c r="E463" s="59"/>
      <c r="F463" s="59"/>
      <c r="G463" s="60">
        <f>IF(OR(E463="",F463="",C463="",D463=""),"",IF(C463+D463=0,"",(E463*C463+F463*D463)/(C463+D463)))</f>
        <v/>
      </c>
      <c r="H463" s="59"/>
      <c r="I463" s="60">
        <f>IF(OR(H463="",E463="",C463="",D463=""),"",IF(C463+D463=0,"",(H463*D463+E463*C463)/(C463+D463)))</f>
        <v/>
      </c>
      <c r="J463" s="59"/>
      <c r="K463" s="61">
        <f>IF(OR(J463="",I463=""),"",J463-I463)</f>
        <v/>
      </c>
      <c r="L463" s="61">
        <f>IF(OR(J463="",G463=""),"",J463-G463)</f>
        <v/>
      </c>
      <c r="M463" s="59"/>
      <c r="N463" s="59"/>
      <c r="O463" s="59"/>
      <c r="P463" s="59"/>
      <c r="Q463" s="59"/>
      <c r="R463" s="60">
        <f>IF(AND(P463="",Q463=""),"",N(P463)+N(Q463))</f>
        <v/>
      </c>
      <c r="S463" s="59"/>
      <c r="T463" s="59"/>
      <c r="U463" s="62">
        <f>IF(OR(R463="",S463="",T463=""),"",IF(S463+T463=0,"",R463/(S463+T463)))</f>
        <v/>
      </c>
      <c r="V463" s="63"/>
      <c r="W463" s="64"/>
      <c r="X463" s="63"/>
    </row>
    <row r="464" spans="2:24">
      <c r="B464" s="58"/>
      <c r="C464" s="59"/>
      <c r="D464" s="59"/>
      <c r="E464" s="59"/>
      <c r="F464" s="59"/>
      <c r="G464" s="60">
        <f>IF(OR(E464="",F464="",C464="",D464=""),"",IF(C464+D464=0,"",(E464*C464+F464*D464)/(C464+D464)))</f>
        <v/>
      </c>
      <c r="H464" s="59"/>
      <c r="I464" s="60">
        <f>IF(OR(H464="",E464="",C464="",D464=""),"",IF(C464+D464=0,"",(H464*D464+E464*C464)/(C464+D464)))</f>
        <v/>
      </c>
      <c r="J464" s="59"/>
      <c r="K464" s="61">
        <f>IF(OR(J464="",I464=""),"",J464-I464)</f>
        <v/>
      </c>
      <c r="L464" s="61">
        <f>IF(OR(J464="",G464=""),"",J464-G464)</f>
        <v/>
      </c>
      <c r="M464" s="59"/>
      <c r="N464" s="59"/>
      <c r="O464" s="59"/>
      <c r="P464" s="59"/>
      <c r="Q464" s="59"/>
      <c r="R464" s="60">
        <f>IF(AND(P464="",Q464=""),"",N(P464)+N(Q464))</f>
        <v/>
      </c>
      <c r="S464" s="59"/>
      <c r="T464" s="59"/>
      <c r="U464" s="62">
        <f>IF(OR(R464="",S464="",T464=""),"",IF(S464+T464=0,"",R464/(S464+T464)))</f>
        <v/>
      </c>
      <c r="V464" s="63"/>
      <c r="W464" s="64"/>
      <c r="X464" s="63"/>
    </row>
    <row r="465" spans="2:24">
      <c r="B465" s="58"/>
      <c r="C465" s="59"/>
      <c r="D465" s="59"/>
      <c r="E465" s="59"/>
      <c r="F465" s="59"/>
      <c r="G465" s="60">
        <f>IF(OR(E465="",F465="",C465="",D465=""),"",IF(C465+D465=0,"",(E465*C465+F465*D465)/(C465+D465)))</f>
        <v/>
      </c>
      <c r="H465" s="59"/>
      <c r="I465" s="60">
        <f>IF(OR(H465="",E465="",C465="",D465=""),"",IF(C465+D465=0,"",(H465*D465+E465*C465)/(C465+D465)))</f>
        <v/>
      </c>
      <c r="J465" s="59"/>
      <c r="K465" s="61">
        <f>IF(OR(J465="",I465=""),"",J465-I465)</f>
        <v/>
      </c>
      <c r="L465" s="61">
        <f>IF(OR(J465="",G465=""),"",J465-G465)</f>
        <v/>
      </c>
      <c r="M465" s="59"/>
      <c r="N465" s="59"/>
      <c r="O465" s="59"/>
      <c r="P465" s="59"/>
      <c r="Q465" s="59"/>
      <c r="R465" s="60">
        <f>IF(AND(P465="",Q465=""),"",N(P465)+N(Q465))</f>
        <v/>
      </c>
      <c r="S465" s="59"/>
      <c r="T465" s="59"/>
      <c r="U465" s="62">
        <f>IF(OR(R465="",S465="",T465=""),"",IF(S465+T465=0,"",R465/(S465+T465)))</f>
        <v/>
      </c>
      <c r="V465" s="63"/>
      <c r="W465" s="64"/>
      <c r="X465" s="63"/>
    </row>
    <row r="466" spans="2:24">
      <c r="B466" s="58"/>
      <c r="C466" s="59"/>
      <c r="D466" s="59"/>
      <c r="E466" s="59"/>
      <c r="F466" s="59"/>
      <c r="G466" s="60">
        <f>IF(OR(E466="",F466="",C466="",D466=""),"",IF(C466+D466=0,"",(E466*C466+F466*D466)/(C466+D466)))</f>
        <v/>
      </c>
      <c r="H466" s="59"/>
      <c r="I466" s="60">
        <f>IF(OR(H466="",E466="",C466="",D466=""),"",IF(C466+D466=0,"",(H466*D466+E466*C466)/(C466+D466)))</f>
        <v/>
      </c>
      <c r="J466" s="59"/>
      <c r="K466" s="61">
        <f>IF(OR(J466="",I466=""),"",J466-I466)</f>
        <v/>
      </c>
      <c r="L466" s="61">
        <f>IF(OR(J466="",G466=""),"",J466-G466)</f>
        <v/>
      </c>
      <c r="M466" s="59"/>
      <c r="N466" s="59"/>
      <c r="O466" s="59"/>
      <c r="P466" s="59"/>
      <c r="Q466" s="59"/>
      <c r="R466" s="60">
        <f>IF(AND(P466="",Q466=""),"",N(P466)+N(Q466))</f>
        <v/>
      </c>
      <c r="S466" s="59"/>
      <c r="T466" s="59"/>
      <c r="U466" s="62">
        <f>IF(OR(R466="",S466="",T466=""),"",IF(S466+T466=0,"",R466/(S466+T466)))</f>
        <v/>
      </c>
      <c r="V466" s="63"/>
      <c r="W466" s="64"/>
      <c r="X466" s="63"/>
    </row>
    <row r="467" spans="2:24">
      <c r="B467" s="58"/>
      <c r="C467" s="59"/>
      <c r="D467" s="59"/>
      <c r="E467" s="59"/>
      <c r="F467" s="59"/>
      <c r="G467" s="60">
        <f>IF(OR(E467="",F467="",C467="",D467=""),"",IF(C467+D467=0,"",(E467*C467+F467*D467)/(C467+D467)))</f>
        <v/>
      </c>
      <c r="H467" s="59"/>
      <c r="I467" s="60">
        <f>IF(OR(H467="",E467="",C467="",D467=""),"",IF(C467+D467=0,"",(H467*D467+E467*C467)/(C467+D467)))</f>
        <v/>
      </c>
      <c r="J467" s="59"/>
      <c r="K467" s="61">
        <f>IF(OR(J467="",I467=""),"",J467-I467)</f>
        <v/>
      </c>
      <c r="L467" s="61">
        <f>IF(OR(J467="",G467=""),"",J467-G467)</f>
        <v/>
      </c>
      <c r="M467" s="59"/>
      <c r="N467" s="59"/>
      <c r="O467" s="59"/>
      <c r="P467" s="59"/>
      <c r="Q467" s="59"/>
      <c r="R467" s="60">
        <f>IF(AND(P467="",Q467=""),"",N(P467)+N(Q467))</f>
        <v/>
      </c>
      <c r="S467" s="59"/>
      <c r="T467" s="59"/>
      <c r="U467" s="62">
        <f>IF(OR(R467="",S467="",T467=""),"",IF(S467+T467=0,"",R467/(S467+T467)))</f>
        <v/>
      </c>
      <c r="V467" s="63"/>
      <c r="W467" s="64"/>
      <c r="X467" s="63"/>
    </row>
    <row r="468" spans="2:24">
      <c r="B468" s="58"/>
      <c r="C468" s="59"/>
      <c r="D468" s="59"/>
      <c r="E468" s="59"/>
      <c r="F468" s="59"/>
      <c r="G468" s="60">
        <f>IF(OR(E468="",F468="",C468="",D468=""),"",IF(C468+D468=0,"",(E468*C468+F468*D468)/(C468+D468)))</f>
        <v/>
      </c>
      <c r="H468" s="59"/>
      <c r="I468" s="60">
        <f>IF(OR(H468="",E468="",C468="",D468=""),"",IF(C468+D468=0,"",(H468*D468+E468*C468)/(C468+D468)))</f>
        <v/>
      </c>
      <c r="J468" s="59"/>
      <c r="K468" s="61">
        <f>IF(OR(J468="",I468=""),"",J468-I468)</f>
        <v/>
      </c>
      <c r="L468" s="61">
        <f>IF(OR(J468="",G468=""),"",J468-G468)</f>
        <v/>
      </c>
      <c r="M468" s="59"/>
      <c r="N468" s="59"/>
      <c r="O468" s="59"/>
      <c r="P468" s="59"/>
      <c r="Q468" s="59"/>
      <c r="R468" s="60">
        <f>IF(AND(P468="",Q468=""),"",N(P468)+N(Q468))</f>
        <v/>
      </c>
      <c r="S468" s="59"/>
      <c r="T468" s="59"/>
      <c r="U468" s="62">
        <f>IF(OR(R468="",S468="",T468=""),"",IF(S468+T468=0,"",R468/(S468+T468)))</f>
        <v/>
      </c>
      <c r="V468" s="63"/>
      <c r="W468" s="64"/>
      <c r="X468" s="63"/>
    </row>
    <row r="469" spans="2:24">
      <c r="B469" s="58"/>
      <c r="C469" s="59"/>
      <c r="D469" s="59"/>
      <c r="E469" s="59"/>
      <c r="F469" s="59"/>
      <c r="G469" s="60">
        <f>IF(OR(E469="",F469="",C469="",D469=""),"",IF(C469+D469=0,"",(E469*C469+F469*D469)/(C469+D469)))</f>
        <v/>
      </c>
      <c r="H469" s="59"/>
      <c r="I469" s="60">
        <f>IF(OR(H469="",E469="",C469="",D469=""),"",IF(C469+D469=0,"",(H469*D469+E469*C469)/(C469+D469)))</f>
        <v/>
      </c>
      <c r="J469" s="59"/>
      <c r="K469" s="61">
        <f>IF(OR(J469="",I469=""),"",J469-I469)</f>
        <v/>
      </c>
      <c r="L469" s="61">
        <f>IF(OR(J469="",G469=""),"",J469-G469)</f>
        <v/>
      </c>
      <c r="M469" s="59"/>
      <c r="N469" s="59"/>
      <c r="O469" s="59"/>
      <c r="P469" s="59"/>
      <c r="Q469" s="59"/>
      <c r="R469" s="60">
        <f>IF(AND(P469="",Q469=""),"",N(P469)+N(Q469))</f>
        <v/>
      </c>
      <c r="S469" s="59"/>
      <c r="T469" s="59"/>
      <c r="U469" s="62">
        <f>IF(OR(R469="",S469="",T469=""),"",IF(S469+T469=0,"",R469/(S469+T469)))</f>
        <v/>
      </c>
      <c r="V469" s="63"/>
      <c r="W469" s="64"/>
      <c r="X469" s="63"/>
    </row>
    <row r="470" spans="2:24">
      <c r="B470" s="58"/>
      <c r="C470" s="59"/>
      <c r="D470" s="59"/>
      <c r="E470" s="59"/>
      <c r="F470" s="59"/>
      <c r="G470" s="60">
        <f>IF(OR(E470="",F470="",C470="",D470=""),"",IF(C470+D470=0,"",(E470*C470+F470*D470)/(C470+D470)))</f>
        <v/>
      </c>
      <c r="H470" s="59"/>
      <c r="I470" s="60">
        <f>IF(OR(H470="",E470="",C470="",D470=""),"",IF(C470+D470=0,"",(H470*D470+E470*C470)/(C470+D470)))</f>
        <v/>
      </c>
      <c r="J470" s="59"/>
      <c r="K470" s="61">
        <f>IF(OR(J470="",I470=""),"",J470-I470)</f>
        <v/>
      </c>
      <c r="L470" s="61">
        <f>IF(OR(J470="",G470=""),"",J470-G470)</f>
        <v/>
      </c>
      <c r="M470" s="59"/>
      <c r="N470" s="59"/>
      <c r="O470" s="59"/>
      <c r="P470" s="59"/>
      <c r="Q470" s="59"/>
      <c r="R470" s="60">
        <f>IF(AND(P470="",Q470=""),"",N(P470)+N(Q470))</f>
        <v/>
      </c>
      <c r="S470" s="59"/>
      <c r="T470" s="59"/>
      <c r="U470" s="62">
        <f>IF(OR(R470="",S470="",T470=""),"",IF(S470+T470=0,"",R470/(S470+T470)))</f>
        <v/>
      </c>
      <c r="V470" s="63"/>
      <c r="W470" s="64"/>
      <c r="X470" s="63"/>
    </row>
    <row r="471" spans="2:24">
      <c r="B471" s="58"/>
      <c r="C471" s="59"/>
      <c r="D471" s="59"/>
      <c r="E471" s="59"/>
      <c r="F471" s="59"/>
      <c r="G471" s="60">
        <f>IF(OR(E471="",F471="",C471="",D471=""),"",IF(C471+D471=0,"",(E471*C471+F471*D471)/(C471+D471)))</f>
        <v/>
      </c>
      <c r="H471" s="59"/>
      <c r="I471" s="60">
        <f>IF(OR(H471="",E471="",C471="",D471=""),"",IF(C471+D471=0,"",(H471*D471+E471*C471)/(C471+D471)))</f>
        <v/>
      </c>
      <c r="J471" s="59"/>
      <c r="K471" s="61">
        <f>IF(OR(J471="",I471=""),"",J471-I471)</f>
        <v/>
      </c>
      <c r="L471" s="61">
        <f>IF(OR(J471="",G471=""),"",J471-G471)</f>
        <v/>
      </c>
      <c r="M471" s="59"/>
      <c r="N471" s="59"/>
      <c r="O471" s="59"/>
      <c r="P471" s="59"/>
      <c r="Q471" s="59"/>
      <c r="R471" s="60">
        <f>IF(AND(P471="",Q471=""),"",N(P471)+N(Q471))</f>
        <v/>
      </c>
      <c r="S471" s="59"/>
      <c r="T471" s="59"/>
      <c r="U471" s="62">
        <f>IF(OR(R471="",S471="",T471=""),"",IF(S471+T471=0,"",R471/(S471+T471)))</f>
        <v/>
      </c>
      <c r="V471" s="63"/>
      <c r="W471" s="64"/>
      <c r="X471" s="63"/>
    </row>
    <row r="472" spans="2:24">
      <c r="B472" s="58"/>
      <c r="C472" s="59"/>
      <c r="D472" s="59"/>
      <c r="E472" s="59"/>
      <c r="F472" s="59"/>
      <c r="G472" s="60">
        <f>IF(OR(E472="",F472="",C472="",D472=""),"",IF(C472+D472=0,"",(E472*C472+F472*D472)/(C472+D472)))</f>
        <v/>
      </c>
      <c r="H472" s="59"/>
      <c r="I472" s="60">
        <f>IF(OR(H472="",E472="",C472="",D472=""),"",IF(C472+D472=0,"",(H472*D472+E472*C472)/(C472+D472)))</f>
        <v/>
      </c>
      <c r="J472" s="59"/>
      <c r="K472" s="61">
        <f>IF(OR(J472="",I472=""),"",J472-I472)</f>
        <v/>
      </c>
      <c r="L472" s="61">
        <f>IF(OR(J472="",G472=""),"",J472-G472)</f>
        <v/>
      </c>
      <c r="M472" s="59"/>
      <c r="N472" s="59"/>
      <c r="O472" s="59"/>
      <c r="P472" s="59"/>
      <c r="Q472" s="59"/>
      <c r="R472" s="60">
        <f>IF(AND(P472="",Q472=""),"",N(P472)+N(Q472))</f>
        <v/>
      </c>
      <c r="S472" s="59"/>
      <c r="T472" s="59"/>
      <c r="U472" s="62">
        <f>IF(OR(R472="",S472="",T472=""),"",IF(S472+T472=0,"",R472/(S472+T472)))</f>
        <v/>
      </c>
      <c r="V472" s="63"/>
      <c r="W472" s="64"/>
      <c r="X472" s="63"/>
    </row>
    <row r="473" spans="2:24">
      <c r="B473" s="58"/>
      <c r="C473" s="59"/>
      <c r="D473" s="59"/>
      <c r="E473" s="59"/>
      <c r="F473" s="59"/>
      <c r="G473" s="60">
        <f>IF(OR(E473="",F473="",C473="",D473=""),"",IF(C473+D473=0,"",(E473*C473+F473*D473)/(C473+D473)))</f>
        <v/>
      </c>
      <c r="H473" s="59"/>
      <c r="I473" s="60">
        <f>IF(OR(H473="",E473="",C473="",D473=""),"",IF(C473+D473=0,"",(H473*D473+E473*C473)/(C473+D473)))</f>
        <v/>
      </c>
      <c r="J473" s="59"/>
      <c r="K473" s="61">
        <f>IF(OR(J473="",I473=""),"",J473-I473)</f>
        <v/>
      </c>
      <c r="L473" s="61">
        <f>IF(OR(J473="",G473=""),"",J473-G473)</f>
        <v/>
      </c>
      <c r="M473" s="59"/>
      <c r="N473" s="59"/>
      <c r="O473" s="59"/>
      <c r="P473" s="59"/>
      <c r="Q473" s="59"/>
      <c r="R473" s="60">
        <f>IF(AND(P473="",Q473=""),"",N(P473)+N(Q473))</f>
        <v/>
      </c>
      <c r="S473" s="59"/>
      <c r="T473" s="59"/>
      <c r="U473" s="62">
        <f>IF(OR(R473="",S473="",T473=""),"",IF(S473+T473=0,"",R473/(S473+T473)))</f>
        <v/>
      </c>
      <c r="V473" s="63"/>
      <c r="W473" s="64"/>
      <c r="X473" s="63"/>
    </row>
    <row r="474" spans="2:24">
      <c r="B474" s="58"/>
      <c r="C474" s="59"/>
      <c r="D474" s="59"/>
      <c r="E474" s="59"/>
      <c r="F474" s="59"/>
      <c r="G474" s="60">
        <f>IF(OR(E474="",F474="",C474="",D474=""),"",IF(C474+D474=0,"",(E474*C474+F474*D474)/(C474+D474)))</f>
        <v/>
      </c>
      <c r="H474" s="59"/>
      <c r="I474" s="60">
        <f>IF(OR(H474="",E474="",C474="",D474=""),"",IF(C474+D474=0,"",(H474*D474+E474*C474)/(C474+D474)))</f>
        <v/>
      </c>
      <c r="J474" s="59"/>
      <c r="K474" s="61">
        <f>IF(OR(J474="",I474=""),"",J474-I474)</f>
        <v/>
      </c>
      <c r="L474" s="61">
        <f>IF(OR(J474="",G474=""),"",J474-G474)</f>
        <v/>
      </c>
      <c r="M474" s="59"/>
      <c r="N474" s="59"/>
      <c r="O474" s="59"/>
      <c r="P474" s="59"/>
      <c r="Q474" s="59"/>
      <c r="R474" s="60">
        <f>IF(AND(P474="",Q474=""),"",N(P474)+N(Q474))</f>
        <v/>
      </c>
      <c r="S474" s="59"/>
      <c r="T474" s="59"/>
      <c r="U474" s="62">
        <f>IF(OR(R474="",S474="",T474=""),"",IF(S474+T474=0,"",R474/(S474+T474)))</f>
        <v/>
      </c>
      <c r="V474" s="63"/>
      <c r="W474" s="64"/>
      <c r="X474" s="63"/>
    </row>
    <row r="475" spans="2:24">
      <c r="B475" s="58"/>
      <c r="C475" s="59"/>
      <c r="D475" s="59"/>
      <c r="E475" s="59"/>
      <c r="F475" s="59"/>
      <c r="G475" s="60">
        <f>IF(OR(E475="",F475="",C475="",D475=""),"",IF(C475+D475=0,"",(E475*C475+F475*D475)/(C475+D475)))</f>
        <v/>
      </c>
      <c r="H475" s="59"/>
      <c r="I475" s="60">
        <f>IF(OR(H475="",E475="",C475="",D475=""),"",IF(C475+D475=0,"",(H475*D475+E475*C475)/(C475+D475)))</f>
        <v/>
      </c>
      <c r="J475" s="59"/>
      <c r="K475" s="61">
        <f>IF(OR(J475="",I475=""),"",J475-I475)</f>
        <v/>
      </c>
      <c r="L475" s="61">
        <f>IF(OR(J475="",G475=""),"",J475-G475)</f>
        <v/>
      </c>
      <c r="M475" s="59"/>
      <c r="N475" s="59"/>
      <c r="O475" s="59"/>
      <c r="P475" s="59"/>
      <c r="Q475" s="59"/>
      <c r="R475" s="60">
        <f>IF(AND(P475="",Q475=""),"",N(P475)+N(Q475))</f>
        <v/>
      </c>
      <c r="S475" s="59"/>
      <c r="T475" s="59"/>
      <c r="U475" s="62">
        <f>IF(OR(R475="",S475="",T475=""),"",IF(S475+T475=0,"",R475/(S475+T475)))</f>
        <v/>
      </c>
      <c r="V475" s="63"/>
      <c r="W475" s="64"/>
      <c r="X475" s="63"/>
    </row>
    <row r="476" spans="2:24">
      <c r="B476" s="58"/>
      <c r="C476" s="59"/>
      <c r="D476" s="59"/>
      <c r="E476" s="59"/>
      <c r="F476" s="59"/>
      <c r="G476" s="60">
        <f>IF(OR(E476="",F476="",C476="",D476=""),"",IF(C476+D476=0,"",(E476*C476+F476*D476)/(C476+D476)))</f>
        <v/>
      </c>
      <c r="H476" s="59"/>
      <c r="I476" s="60">
        <f>IF(OR(H476="",E476="",C476="",D476=""),"",IF(C476+D476=0,"",(H476*D476+E476*C476)/(C476+D476)))</f>
        <v/>
      </c>
      <c r="J476" s="59"/>
      <c r="K476" s="61">
        <f>IF(OR(J476="",I476=""),"",J476-I476)</f>
        <v/>
      </c>
      <c r="L476" s="61">
        <f>IF(OR(J476="",G476=""),"",J476-G476)</f>
        <v/>
      </c>
      <c r="M476" s="59"/>
      <c r="N476" s="59"/>
      <c r="O476" s="59"/>
      <c r="P476" s="59"/>
      <c r="Q476" s="59"/>
      <c r="R476" s="60">
        <f>IF(AND(P476="",Q476=""),"",N(P476)+N(Q476))</f>
        <v/>
      </c>
      <c r="S476" s="59"/>
      <c r="T476" s="59"/>
      <c r="U476" s="62">
        <f>IF(OR(R476="",S476="",T476=""),"",IF(S476+T476=0,"",R476/(S476+T476)))</f>
        <v/>
      </c>
      <c r="V476" s="63"/>
      <c r="W476" s="64"/>
      <c r="X476" s="63"/>
    </row>
    <row r="477" spans="2:24">
      <c r="B477" s="58"/>
      <c r="C477" s="59"/>
      <c r="D477" s="59"/>
      <c r="E477" s="59"/>
      <c r="F477" s="59"/>
      <c r="G477" s="60">
        <f>IF(OR(E477="",F477="",C477="",D477=""),"",IF(C477+D477=0,"",(E477*C477+F477*D477)/(C477+D477)))</f>
        <v/>
      </c>
      <c r="H477" s="59"/>
      <c r="I477" s="60">
        <f>IF(OR(H477="",E477="",C477="",D477=""),"",IF(C477+D477=0,"",(H477*D477+E477*C477)/(C477+D477)))</f>
        <v/>
      </c>
      <c r="J477" s="59"/>
      <c r="K477" s="61">
        <f>IF(OR(J477="",I477=""),"",J477-I477)</f>
        <v/>
      </c>
      <c r="L477" s="61">
        <f>IF(OR(J477="",G477=""),"",J477-G477)</f>
        <v/>
      </c>
      <c r="M477" s="59"/>
      <c r="N477" s="59"/>
      <c r="O477" s="59"/>
      <c r="P477" s="59"/>
      <c r="Q477" s="59"/>
      <c r="R477" s="60">
        <f>IF(AND(P477="",Q477=""),"",N(P477)+N(Q477))</f>
        <v/>
      </c>
      <c r="S477" s="59"/>
      <c r="T477" s="59"/>
      <c r="U477" s="62">
        <f>IF(OR(R477="",S477="",T477=""),"",IF(S477+T477=0,"",R477/(S477+T477)))</f>
        <v/>
      </c>
      <c r="V477" s="63"/>
      <c r="W477" s="64"/>
      <c r="X477" s="63"/>
    </row>
    <row r="478" spans="2:24">
      <c r="B478" s="58"/>
      <c r="C478" s="59"/>
      <c r="D478" s="59"/>
      <c r="E478" s="59"/>
      <c r="F478" s="59"/>
      <c r="G478" s="60">
        <f>IF(OR(E478="",F478="",C478="",D478=""),"",IF(C478+D478=0,"",(E478*C478+F478*D478)/(C478+D478)))</f>
        <v/>
      </c>
      <c r="H478" s="59"/>
      <c r="I478" s="60">
        <f>IF(OR(H478="",E478="",C478="",D478=""),"",IF(C478+D478=0,"",(H478*D478+E478*C478)/(C478+D478)))</f>
        <v/>
      </c>
      <c r="J478" s="59"/>
      <c r="K478" s="61">
        <f>IF(OR(J478="",I478=""),"",J478-I478)</f>
        <v/>
      </c>
      <c r="L478" s="61">
        <f>IF(OR(J478="",G478=""),"",J478-G478)</f>
        <v/>
      </c>
      <c r="M478" s="59"/>
      <c r="N478" s="59"/>
      <c r="O478" s="59"/>
      <c r="P478" s="59"/>
      <c r="Q478" s="59"/>
      <c r="R478" s="60">
        <f>IF(AND(P478="",Q478=""),"",N(P478)+N(Q478))</f>
        <v/>
      </c>
      <c r="S478" s="59"/>
      <c r="T478" s="59"/>
      <c r="U478" s="62">
        <f>IF(OR(R478="",S478="",T478=""),"",IF(S478+T478=0,"",R478/(S478+T478)))</f>
        <v/>
      </c>
      <c r="V478" s="63"/>
      <c r="W478" s="64"/>
      <c r="X478" s="63"/>
    </row>
    <row r="479" spans="2:24">
      <c r="B479" s="58"/>
      <c r="C479" s="59"/>
      <c r="D479" s="59"/>
      <c r="E479" s="59"/>
      <c r="F479" s="59"/>
      <c r="G479" s="60">
        <f>IF(OR(E479="",F479="",C479="",D479=""),"",IF(C479+D479=0,"",(E479*C479+F479*D479)/(C479+D479)))</f>
        <v/>
      </c>
      <c r="H479" s="59"/>
      <c r="I479" s="60">
        <f>IF(OR(H479="",E479="",C479="",D479=""),"",IF(C479+D479=0,"",(H479*D479+E479*C479)/(C479+D479)))</f>
        <v/>
      </c>
      <c r="J479" s="59"/>
      <c r="K479" s="61">
        <f>IF(OR(J479="",I479=""),"",J479-I479)</f>
        <v/>
      </c>
      <c r="L479" s="61">
        <f>IF(OR(J479="",G479=""),"",J479-G479)</f>
        <v/>
      </c>
      <c r="M479" s="59"/>
      <c r="N479" s="59"/>
      <c r="O479" s="59"/>
      <c r="P479" s="59"/>
      <c r="Q479" s="59"/>
      <c r="R479" s="60">
        <f>IF(AND(P479="",Q479=""),"",N(P479)+N(Q479))</f>
        <v/>
      </c>
      <c r="S479" s="59"/>
      <c r="T479" s="59"/>
      <c r="U479" s="62">
        <f>IF(OR(R479="",S479="",T479=""),"",IF(S479+T479=0,"",R479/(S479+T479)))</f>
        <v/>
      </c>
      <c r="V479" s="63"/>
      <c r="W479" s="64"/>
      <c r="X479" s="63"/>
    </row>
    <row r="480" spans="2:24">
      <c r="B480" s="58"/>
      <c r="C480" s="59"/>
      <c r="D480" s="59"/>
      <c r="E480" s="59"/>
      <c r="F480" s="59"/>
      <c r="G480" s="60">
        <f>IF(OR(E480="",F480="",C480="",D480=""),"",IF(C480+D480=0,"",(E480*C480+F480*D480)/(C480+D480)))</f>
        <v/>
      </c>
      <c r="H480" s="59"/>
      <c r="I480" s="60">
        <f>IF(OR(H480="",E480="",C480="",D480=""),"",IF(C480+D480=0,"",(H480*D480+E480*C480)/(C480+D480)))</f>
        <v/>
      </c>
      <c r="J480" s="59"/>
      <c r="K480" s="61">
        <f>IF(OR(J480="",I480=""),"",J480-I480)</f>
        <v/>
      </c>
      <c r="L480" s="61">
        <f>IF(OR(J480="",G480=""),"",J480-G480)</f>
        <v/>
      </c>
      <c r="M480" s="59"/>
      <c r="N480" s="59"/>
      <c r="O480" s="59"/>
      <c r="P480" s="59"/>
      <c r="Q480" s="59"/>
      <c r="R480" s="60">
        <f>IF(AND(P480="",Q480=""),"",N(P480)+N(Q480))</f>
        <v/>
      </c>
      <c r="S480" s="59"/>
      <c r="T480" s="59"/>
      <c r="U480" s="62">
        <f>IF(OR(R480="",S480="",T480=""),"",IF(S480+T480=0,"",R480/(S480+T480)))</f>
        <v/>
      </c>
      <c r="V480" s="63"/>
      <c r="W480" s="64"/>
      <c r="X480" s="63"/>
    </row>
    <row r="481" spans="2:24">
      <c r="B481" s="58"/>
      <c r="C481" s="59"/>
      <c r="D481" s="59"/>
      <c r="E481" s="59"/>
      <c r="F481" s="59"/>
      <c r="G481" s="60">
        <f>IF(OR(E481="",F481="",C481="",D481=""),"",IF(C481+D481=0,"",(E481*C481+F481*D481)/(C481+D481)))</f>
        <v/>
      </c>
      <c r="H481" s="59"/>
      <c r="I481" s="60">
        <f>IF(OR(H481="",E481="",C481="",D481=""),"",IF(C481+D481=0,"",(H481*D481+E481*C481)/(C481+D481)))</f>
        <v/>
      </c>
      <c r="J481" s="59"/>
      <c r="K481" s="61">
        <f>IF(OR(J481="",I481=""),"",J481-I481)</f>
        <v/>
      </c>
      <c r="L481" s="61">
        <f>IF(OR(J481="",G481=""),"",J481-G481)</f>
        <v/>
      </c>
      <c r="M481" s="59"/>
      <c r="N481" s="59"/>
      <c r="O481" s="59"/>
      <c r="P481" s="59"/>
      <c r="Q481" s="59"/>
      <c r="R481" s="60">
        <f>IF(AND(P481="",Q481=""),"",N(P481)+N(Q481))</f>
        <v/>
      </c>
      <c r="S481" s="59"/>
      <c r="T481" s="59"/>
      <c r="U481" s="62">
        <f>IF(OR(R481="",S481="",T481=""),"",IF(S481+T481=0,"",R481/(S481+T481)))</f>
        <v/>
      </c>
      <c r="V481" s="63"/>
      <c r="W481" s="64"/>
      <c r="X481" s="63"/>
    </row>
    <row r="482" spans="2:24">
      <c r="B482" s="58"/>
      <c r="C482" s="59"/>
      <c r="D482" s="59"/>
      <c r="E482" s="59"/>
      <c r="F482" s="59"/>
      <c r="G482" s="60">
        <f>IF(OR(E482="",F482="",C482="",D482=""),"",IF(C482+D482=0,"",(E482*C482+F482*D482)/(C482+D482)))</f>
        <v/>
      </c>
      <c r="H482" s="59"/>
      <c r="I482" s="60">
        <f>IF(OR(H482="",E482="",C482="",D482=""),"",IF(C482+D482=0,"",(H482*D482+E482*C482)/(C482+D482)))</f>
        <v/>
      </c>
      <c r="J482" s="59"/>
      <c r="K482" s="61">
        <f>IF(OR(J482="",I482=""),"",J482-I482)</f>
        <v/>
      </c>
      <c r="L482" s="61">
        <f>IF(OR(J482="",G482=""),"",J482-G482)</f>
        <v/>
      </c>
      <c r="M482" s="59"/>
      <c r="N482" s="59"/>
      <c r="O482" s="59"/>
      <c r="P482" s="59"/>
      <c r="Q482" s="59"/>
      <c r="R482" s="60">
        <f>IF(AND(P482="",Q482=""),"",N(P482)+N(Q482))</f>
        <v/>
      </c>
      <c r="S482" s="59"/>
      <c r="T482" s="59"/>
      <c r="U482" s="62">
        <f>IF(OR(R482="",S482="",T482=""),"",IF(S482+T482=0,"",R482/(S482+T482)))</f>
        <v/>
      </c>
      <c r="V482" s="63"/>
      <c r="W482" s="64"/>
      <c r="X482" s="63"/>
    </row>
    <row r="483" spans="2:24">
      <c r="B483" s="58"/>
      <c r="C483" s="59"/>
      <c r="D483" s="59"/>
      <c r="E483" s="59"/>
      <c r="F483" s="59"/>
      <c r="G483" s="60">
        <f>IF(OR(E483="",F483="",C483="",D483=""),"",IF(C483+D483=0,"",(E483*C483+F483*D483)/(C483+D483)))</f>
        <v/>
      </c>
      <c r="H483" s="59"/>
      <c r="I483" s="60">
        <f>IF(OR(H483="",E483="",C483="",D483=""),"",IF(C483+D483=0,"",(H483*D483+E483*C483)/(C483+D483)))</f>
        <v/>
      </c>
      <c r="J483" s="59"/>
      <c r="K483" s="61">
        <f>IF(OR(J483="",I483=""),"",J483-I483)</f>
        <v/>
      </c>
      <c r="L483" s="61">
        <f>IF(OR(J483="",G483=""),"",J483-G483)</f>
        <v/>
      </c>
      <c r="M483" s="59"/>
      <c r="N483" s="59"/>
      <c r="O483" s="59"/>
      <c r="P483" s="59"/>
      <c r="Q483" s="59"/>
      <c r="R483" s="60">
        <f>IF(AND(P483="",Q483=""),"",N(P483)+N(Q483))</f>
        <v/>
      </c>
      <c r="S483" s="59"/>
      <c r="T483" s="59"/>
      <c r="U483" s="62">
        <f>IF(OR(R483="",S483="",T483=""),"",IF(S483+T483=0,"",R483/(S483+T483)))</f>
        <v/>
      </c>
      <c r="V483" s="63"/>
      <c r="W483" s="64"/>
      <c r="X483" s="63"/>
    </row>
    <row r="484" spans="2:24">
      <c r="B484" s="58"/>
      <c r="C484" s="59"/>
      <c r="D484" s="59"/>
      <c r="E484" s="59"/>
      <c r="F484" s="59"/>
      <c r="G484" s="60">
        <f>IF(OR(E484="",F484="",C484="",D484=""),"",IF(C484+D484=0,"",(E484*C484+F484*D484)/(C484+D484)))</f>
        <v/>
      </c>
      <c r="H484" s="59"/>
      <c r="I484" s="60">
        <f>IF(OR(H484="",E484="",C484="",D484=""),"",IF(C484+D484=0,"",(H484*D484+E484*C484)/(C484+D484)))</f>
        <v/>
      </c>
      <c r="J484" s="59"/>
      <c r="K484" s="61">
        <f>IF(OR(J484="",I484=""),"",J484-I484)</f>
        <v/>
      </c>
      <c r="L484" s="61">
        <f>IF(OR(J484="",G484=""),"",J484-G484)</f>
        <v/>
      </c>
      <c r="M484" s="59"/>
      <c r="N484" s="59"/>
      <c r="O484" s="59"/>
      <c r="P484" s="59"/>
      <c r="Q484" s="59"/>
      <c r="R484" s="60">
        <f>IF(AND(P484="",Q484=""),"",N(P484)+N(Q484))</f>
        <v/>
      </c>
      <c r="S484" s="59"/>
      <c r="T484" s="59"/>
      <c r="U484" s="62">
        <f>IF(OR(R484="",S484="",T484=""),"",IF(S484+T484=0,"",R484/(S484+T484)))</f>
        <v/>
      </c>
      <c r="V484" s="63"/>
      <c r="W484" s="64"/>
      <c r="X484" s="63"/>
    </row>
    <row r="485" spans="2:24">
      <c r="B485" s="58"/>
      <c r="C485" s="59"/>
      <c r="D485" s="59"/>
      <c r="E485" s="59"/>
      <c r="F485" s="59"/>
      <c r="G485" s="60">
        <f>IF(OR(E485="",F485="",C485="",D485=""),"",IF(C485+D485=0,"",(E485*C485+F485*D485)/(C485+D485)))</f>
        <v/>
      </c>
      <c r="H485" s="59"/>
      <c r="I485" s="60">
        <f>IF(OR(H485="",E485="",C485="",D485=""),"",IF(C485+D485=0,"",(H485*D485+E485*C485)/(C485+D485)))</f>
        <v/>
      </c>
      <c r="J485" s="59"/>
      <c r="K485" s="61">
        <f>IF(OR(J485="",I485=""),"",J485-I485)</f>
        <v/>
      </c>
      <c r="L485" s="61">
        <f>IF(OR(J485="",G485=""),"",J485-G485)</f>
        <v/>
      </c>
      <c r="M485" s="59"/>
      <c r="N485" s="59"/>
      <c r="O485" s="59"/>
      <c r="P485" s="59"/>
      <c r="Q485" s="59"/>
      <c r="R485" s="60">
        <f>IF(AND(P485="",Q485=""),"",N(P485)+N(Q485))</f>
        <v/>
      </c>
      <c r="S485" s="59"/>
      <c r="T485" s="59"/>
      <c r="U485" s="62">
        <f>IF(OR(R485="",S485="",T485=""),"",IF(S485+T485=0,"",R485/(S485+T485)))</f>
        <v/>
      </c>
      <c r="V485" s="63"/>
      <c r="W485" s="64"/>
      <c r="X485" s="63"/>
    </row>
    <row r="486" spans="2:24">
      <c r="B486" s="58"/>
      <c r="C486" s="59"/>
      <c r="D486" s="59"/>
      <c r="E486" s="59"/>
      <c r="F486" s="59"/>
      <c r="G486" s="60">
        <f>IF(OR(E486="",F486="",C486="",D486=""),"",IF(C486+D486=0,"",(E486*C486+F486*D486)/(C486+D486)))</f>
        <v/>
      </c>
      <c r="H486" s="59"/>
      <c r="I486" s="60">
        <f>IF(OR(H486="",E486="",C486="",D486=""),"",IF(C486+D486=0,"",(H486*D486+E486*C486)/(C486+D486)))</f>
        <v/>
      </c>
      <c r="J486" s="59"/>
      <c r="K486" s="61">
        <f>IF(OR(J486="",I486=""),"",J486-I486)</f>
        <v/>
      </c>
      <c r="L486" s="61">
        <f>IF(OR(J486="",G486=""),"",J486-G486)</f>
        <v/>
      </c>
      <c r="M486" s="59"/>
      <c r="N486" s="59"/>
      <c r="O486" s="59"/>
      <c r="P486" s="59"/>
      <c r="Q486" s="59"/>
      <c r="R486" s="60">
        <f>IF(AND(P486="",Q486=""),"",N(P486)+N(Q486))</f>
        <v/>
      </c>
      <c r="S486" s="59"/>
      <c r="T486" s="59"/>
      <c r="U486" s="62">
        <f>IF(OR(R486="",S486="",T486=""),"",IF(S486+T486=0,"",R486/(S486+T486)))</f>
        <v/>
      </c>
      <c r="V486" s="63"/>
      <c r="W486" s="64"/>
      <c r="X486" s="63"/>
    </row>
    <row r="487" spans="2:24">
      <c r="B487" s="58"/>
      <c r="C487" s="59"/>
      <c r="D487" s="59"/>
      <c r="E487" s="59"/>
      <c r="F487" s="59"/>
      <c r="G487" s="60">
        <f>IF(OR(E487="",F487="",C487="",D487=""),"",IF(C487+D487=0,"",(E487*C487+F487*D487)/(C487+D487)))</f>
        <v/>
      </c>
      <c r="H487" s="59"/>
      <c r="I487" s="60">
        <f>IF(OR(H487="",E487="",C487="",D487=""),"",IF(C487+D487=0,"",(H487*D487+E487*C487)/(C487+D487)))</f>
        <v/>
      </c>
      <c r="J487" s="59"/>
      <c r="K487" s="61">
        <f>IF(OR(J487="",I487=""),"",J487-I487)</f>
        <v/>
      </c>
      <c r="L487" s="61">
        <f>IF(OR(J487="",G487=""),"",J487-G487)</f>
        <v/>
      </c>
      <c r="M487" s="59"/>
      <c r="N487" s="59"/>
      <c r="O487" s="59"/>
      <c r="P487" s="59"/>
      <c r="Q487" s="59"/>
      <c r="R487" s="60">
        <f>IF(AND(P487="",Q487=""),"",N(P487)+N(Q487))</f>
        <v/>
      </c>
      <c r="S487" s="59"/>
      <c r="T487" s="59"/>
      <c r="U487" s="62">
        <f>IF(OR(R487="",S487="",T487=""),"",IF(S487+T487=0,"",R487/(S487+T487)))</f>
        <v/>
      </c>
      <c r="V487" s="63"/>
      <c r="W487" s="64"/>
      <c r="X487" s="63"/>
    </row>
    <row r="488" spans="2:24">
      <c r="B488" s="58"/>
      <c r="C488" s="59"/>
      <c r="D488" s="59"/>
      <c r="E488" s="59"/>
      <c r="F488" s="59"/>
      <c r="G488" s="60">
        <f>IF(OR(E488="",F488="",C488="",D488=""),"",IF(C488+D488=0,"",(E488*C488+F488*D488)/(C488+D488)))</f>
        <v/>
      </c>
      <c r="H488" s="59"/>
      <c r="I488" s="60">
        <f>IF(OR(H488="",E488="",C488="",D488=""),"",IF(C488+D488=0,"",(H488*D488+E488*C488)/(C488+D488)))</f>
        <v/>
      </c>
      <c r="J488" s="59"/>
      <c r="K488" s="61">
        <f>IF(OR(J488="",I488=""),"",J488-I488)</f>
        <v/>
      </c>
      <c r="L488" s="61">
        <f>IF(OR(J488="",G488=""),"",J488-G488)</f>
        <v/>
      </c>
      <c r="M488" s="59"/>
      <c r="N488" s="59"/>
      <c r="O488" s="59"/>
      <c r="P488" s="59"/>
      <c r="Q488" s="59"/>
      <c r="R488" s="60">
        <f>IF(AND(P488="",Q488=""),"",N(P488)+N(Q488))</f>
        <v/>
      </c>
      <c r="S488" s="59"/>
      <c r="T488" s="59"/>
      <c r="U488" s="62">
        <f>IF(OR(R488="",S488="",T488=""),"",IF(S488+T488=0,"",R488/(S488+T488)))</f>
        <v/>
      </c>
      <c r="V488" s="63"/>
      <c r="W488" s="64"/>
      <c r="X488" s="63"/>
    </row>
    <row r="489" spans="2:24">
      <c r="B489" s="58"/>
      <c r="C489" s="59"/>
      <c r="D489" s="59"/>
      <c r="E489" s="59"/>
      <c r="F489" s="59"/>
      <c r="G489" s="60">
        <f>IF(OR(E489="",F489="",C489="",D489=""),"",IF(C489+D489=0,"",(E489*C489+F489*D489)/(C489+D489)))</f>
        <v/>
      </c>
      <c r="H489" s="59"/>
      <c r="I489" s="60">
        <f>IF(OR(H489="",E489="",C489="",D489=""),"",IF(C489+D489=0,"",(H489*D489+E489*C489)/(C489+D489)))</f>
        <v/>
      </c>
      <c r="J489" s="59"/>
      <c r="K489" s="61">
        <f>IF(OR(J489="",I489=""),"",J489-I489)</f>
        <v/>
      </c>
      <c r="L489" s="61">
        <f>IF(OR(J489="",G489=""),"",J489-G489)</f>
        <v/>
      </c>
      <c r="M489" s="59"/>
      <c r="N489" s="59"/>
      <c r="O489" s="59"/>
      <c r="P489" s="59"/>
      <c r="Q489" s="59"/>
      <c r="R489" s="60">
        <f>IF(AND(P489="",Q489=""),"",N(P489)+N(Q489))</f>
        <v/>
      </c>
      <c r="S489" s="59"/>
      <c r="T489" s="59"/>
      <c r="U489" s="62">
        <f>IF(OR(R489="",S489="",T489=""),"",IF(S489+T489=0,"",R489/(S489+T489)))</f>
        <v/>
      </c>
      <c r="V489" s="63"/>
      <c r="W489" s="64"/>
      <c r="X489" s="63"/>
    </row>
    <row r="490" spans="2:24">
      <c r="B490" s="58"/>
      <c r="C490" s="59"/>
      <c r="D490" s="59"/>
      <c r="E490" s="59"/>
      <c r="F490" s="59"/>
      <c r="G490" s="60">
        <f>IF(OR(E490="",F490="",C490="",D490=""),"",IF(C490+D490=0,"",(E490*C490+F490*D490)/(C490+D490)))</f>
        <v/>
      </c>
      <c r="H490" s="59"/>
      <c r="I490" s="60">
        <f>IF(OR(H490="",E490="",C490="",D490=""),"",IF(C490+D490=0,"",(H490*D490+E490*C490)/(C490+D490)))</f>
        <v/>
      </c>
      <c r="J490" s="59"/>
      <c r="K490" s="61">
        <f>IF(OR(J490="",I490=""),"",J490-I490)</f>
        <v/>
      </c>
      <c r="L490" s="61">
        <f>IF(OR(J490="",G490=""),"",J490-G490)</f>
        <v/>
      </c>
      <c r="M490" s="59"/>
      <c r="N490" s="59"/>
      <c r="O490" s="59"/>
      <c r="P490" s="59"/>
      <c r="Q490" s="59"/>
      <c r="R490" s="60">
        <f>IF(AND(P490="",Q490=""),"",N(P490)+N(Q490))</f>
        <v/>
      </c>
      <c r="S490" s="59"/>
      <c r="T490" s="59"/>
      <c r="U490" s="62">
        <f>IF(OR(R490="",S490="",T490=""),"",IF(S490+T490=0,"",R490/(S490+T490)))</f>
        <v/>
      </c>
      <c r="V490" s="63"/>
      <c r="W490" s="64"/>
      <c r="X490" s="63"/>
    </row>
    <row r="491" spans="2:24">
      <c r="B491" s="58"/>
      <c r="C491" s="59"/>
      <c r="D491" s="59"/>
      <c r="E491" s="59"/>
      <c r="F491" s="59"/>
      <c r="G491" s="60">
        <f>IF(OR(E491="",F491="",C491="",D491=""),"",IF(C491+D491=0,"",(E491*C491+F491*D491)/(C491+D491)))</f>
        <v/>
      </c>
      <c r="H491" s="59"/>
      <c r="I491" s="60">
        <f>IF(OR(H491="",E491="",C491="",D491=""),"",IF(C491+D491=0,"",(H491*D491+E491*C491)/(C491+D491)))</f>
        <v/>
      </c>
      <c r="J491" s="59"/>
      <c r="K491" s="61">
        <f>IF(OR(J491="",I491=""),"",J491-I491)</f>
        <v/>
      </c>
      <c r="L491" s="61">
        <f>IF(OR(J491="",G491=""),"",J491-G491)</f>
        <v/>
      </c>
      <c r="M491" s="59"/>
      <c r="N491" s="59"/>
      <c r="O491" s="59"/>
      <c r="P491" s="59"/>
      <c r="Q491" s="59"/>
      <c r="R491" s="60">
        <f>IF(AND(P491="",Q491=""),"",N(P491)+N(Q491))</f>
        <v/>
      </c>
      <c r="S491" s="59"/>
      <c r="T491" s="59"/>
      <c r="U491" s="62">
        <f>IF(OR(R491="",S491="",T491=""),"",IF(S491+T491=0,"",R491/(S491+T491)))</f>
        <v/>
      </c>
      <c r="V491" s="63"/>
      <c r="W491" s="64"/>
      <c r="X491" s="63"/>
    </row>
    <row r="492" spans="2:24">
      <c r="B492" s="58"/>
      <c r="C492" s="59"/>
      <c r="D492" s="59"/>
      <c r="E492" s="59"/>
      <c r="F492" s="59"/>
      <c r="G492" s="60">
        <f>IF(OR(E492="",F492="",C492="",D492=""),"",IF(C492+D492=0,"",(E492*C492+F492*D492)/(C492+D492)))</f>
        <v/>
      </c>
      <c r="H492" s="59"/>
      <c r="I492" s="60">
        <f>IF(OR(H492="",E492="",C492="",D492=""),"",IF(C492+D492=0,"",(H492*D492+E492*C492)/(C492+D492)))</f>
        <v/>
      </c>
      <c r="J492" s="59"/>
      <c r="K492" s="61">
        <f>IF(OR(J492="",I492=""),"",J492-I492)</f>
        <v/>
      </c>
      <c r="L492" s="61">
        <f>IF(OR(J492="",G492=""),"",J492-G492)</f>
        <v/>
      </c>
      <c r="M492" s="59"/>
      <c r="N492" s="59"/>
      <c r="O492" s="59"/>
      <c r="P492" s="59"/>
      <c r="Q492" s="59"/>
      <c r="R492" s="60">
        <f>IF(AND(P492="",Q492=""),"",N(P492)+N(Q492))</f>
        <v/>
      </c>
      <c r="S492" s="59"/>
      <c r="T492" s="59"/>
      <c r="U492" s="62">
        <f>IF(OR(R492="",S492="",T492=""),"",IF(S492+T492=0,"",R492/(S492+T492)))</f>
        <v/>
      </c>
      <c r="V492" s="63"/>
      <c r="W492" s="64"/>
      <c r="X492" s="63"/>
    </row>
    <row r="493" spans="2:24">
      <c r="B493" s="58"/>
      <c r="C493" s="59"/>
      <c r="D493" s="59"/>
      <c r="E493" s="59"/>
      <c r="F493" s="59"/>
      <c r="G493" s="60">
        <f>IF(OR(E493="",F493="",C493="",D493=""),"",IF(C493+D493=0,"",(E493*C493+F493*D493)/(C493+D493)))</f>
        <v/>
      </c>
      <c r="H493" s="59"/>
      <c r="I493" s="60">
        <f>IF(OR(H493="",E493="",C493="",D493=""),"",IF(C493+D493=0,"",(H493*D493+E493*C493)/(C493+D493)))</f>
        <v/>
      </c>
      <c r="J493" s="59"/>
      <c r="K493" s="61">
        <f>IF(OR(J493="",I493=""),"",J493-I493)</f>
        <v/>
      </c>
      <c r="L493" s="61">
        <f>IF(OR(J493="",G493=""),"",J493-G493)</f>
        <v/>
      </c>
      <c r="M493" s="59"/>
      <c r="N493" s="59"/>
      <c r="O493" s="59"/>
      <c r="P493" s="59"/>
      <c r="Q493" s="59"/>
      <c r="R493" s="60">
        <f>IF(AND(P493="",Q493=""),"",N(P493)+N(Q493))</f>
        <v/>
      </c>
      <c r="S493" s="59"/>
      <c r="T493" s="59"/>
      <c r="U493" s="62">
        <f>IF(OR(R493="",S493="",T493=""),"",IF(S493+T493=0,"",R493/(S493+T493)))</f>
        <v/>
      </c>
      <c r="V493" s="63"/>
      <c r="W493" s="64"/>
      <c r="X493" s="63"/>
    </row>
    <row r="494" spans="2:24">
      <c r="B494" s="58"/>
      <c r="C494" s="59"/>
      <c r="D494" s="59"/>
      <c r="E494" s="59"/>
      <c r="F494" s="59"/>
      <c r="G494" s="60">
        <f>IF(OR(E494="",F494="",C494="",D494=""),"",IF(C494+D494=0,"",(E494*C494+F494*D494)/(C494+D494)))</f>
        <v/>
      </c>
      <c r="H494" s="59"/>
      <c r="I494" s="60">
        <f>IF(OR(H494="",E494="",C494="",D494=""),"",IF(C494+D494=0,"",(H494*D494+E494*C494)/(C494+D494)))</f>
        <v/>
      </c>
      <c r="J494" s="59"/>
      <c r="K494" s="61">
        <f>IF(OR(J494="",I494=""),"",J494-I494)</f>
        <v/>
      </c>
      <c r="L494" s="61">
        <f>IF(OR(J494="",G494=""),"",J494-G494)</f>
        <v/>
      </c>
      <c r="M494" s="59"/>
      <c r="N494" s="59"/>
      <c r="O494" s="59"/>
      <c r="P494" s="59"/>
      <c r="Q494" s="59"/>
      <c r="R494" s="60">
        <f>IF(AND(P494="",Q494=""),"",N(P494)+N(Q494))</f>
        <v/>
      </c>
      <c r="S494" s="59"/>
      <c r="T494" s="59"/>
      <c r="U494" s="62">
        <f>IF(OR(R494="",S494="",T494=""),"",IF(S494+T494=0,"",R494/(S494+T494)))</f>
        <v/>
      </c>
      <c r="V494" s="63"/>
      <c r="W494" s="64"/>
      <c r="X494" s="63"/>
    </row>
    <row r="495" spans="2:24">
      <c r="B495" s="58"/>
      <c r="C495" s="59"/>
      <c r="D495" s="59"/>
      <c r="E495" s="59"/>
      <c r="F495" s="59"/>
      <c r="G495" s="60">
        <f>IF(OR(E495="",F495="",C495="",D495=""),"",IF(C495+D495=0,"",(E495*C495+F495*D495)/(C495+D495)))</f>
        <v/>
      </c>
      <c r="H495" s="59"/>
      <c r="I495" s="60">
        <f>IF(OR(H495="",E495="",C495="",D495=""),"",IF(C495+D495=0,"",(H495*D495+E495*C495)/(C495+D495)))</f>
        <v/>
      </c>
      <c r="J495" s="59"/>
      <c r="K495" s="61">
        <f>IF(OR(J495="",I495=""),"",J495-I495)</f>
        <v/>
      </c>
      <c r="L495" s="61">
        <f>IF(OR(J495="",G495=""),"",J495-G495)</f>
        <v/>
      </c>
      <c r="M495" s="59"/>
      <c r="N495" s="59"/>
      <c r="O495" s="59"/>
      <c r="P495" s="59"/>
      <c r="Q495" s="59"/>
      <c r="R495" s="60">
        <f>IF(AND(P495="",Q495=""),"",N(P495)+N(Q495))</f>
        <v/>
      </c>
      <c r="S495" s="59"/>
      <c r="T495" s="59"/>
      <c r="U495" s="62">
        <f>IF(OR(R495="",S495="",T495=""),"",IF(S495+T495=0,"",R495/(S495+T495)))</f>
        <v/>
      </c>
      <c r="V495" s="63"/>
      <c r="W495" s="64"/>
      <c r="X495" s="63"/>
    </row>
    <row r="496" spans="2:24">
      <c r="B496" s="58"/>
      <c r="C496" s="59"/>
      <c r="D496" s="59"/>
      <c r="E496" s="59"/>
      <c r="F496" s="59"/>
      <c r="G496" s="60">
        <f>IF(OR(E496="",F496="",C496="",D496=""),"",IF(C496+D496=0,"",(E496*C496+F496*D496)/(C496+D496)))</f>
        <v/>
      </c>
      <c r="H496" s="59"/>
      <c r="I496" s="60">
        <f>IF(OR(H496="",E496="",C496="",D496=""),"",IF(C496+D496=0,"",(H496*D496+E496*C496)/(C496+D496)))</f>
        <v/>
      </c>
      <c r="J496" s="59"/>
      <c r="K496" s="61">
        <f>IF(OR(J496="",I496=""),"",J496-I496)</f>
        <v/>
      </c>
      <c r="L496" s="61">
        <f>IF(OR(J496="",G496=""),"",J496-G496)</f>
        <v/>
      </c>
      <c r="M496" s="59"/>
      <c r="N496" s="59"/>
      <c r="O496" s="59"/>
      <c r="P496" s="59"/>
      <c r="Q496" s="59"/>
      <c r="R496" s="60">
        <f>IF(AND(P496="",Q496=""),"",N(P496)+N(Q496))</f>
        <v/>
      </c>
      <c r="S496" s="59"/>
      <c r="T496" s="59"/>
      <c r="U496" s="62">
        <f>IF(OR(R496="",S496="",T496=""),"",IF(S496+T496=0,"",R496/(S496+T496)))</f>
        <v/>
      </c>
      <c r="V496" s="63"/>
      <c r="W496" s="64"/>
      <c r="X496" s="63"/>
    </row>
    <row r="497" spans="2:24">
      <c r="B497" s="58"/>
      <c r="C497" s="59"/>
      <c r="D497" s="59"/>
      <c r="E497" s="59"/>
      <c r="F497" s="59"/>
      <c r="G497" s="60">
        <f>IF(OR(E497="",F497="",C497="",D497=""),"",IF(C497+D497=0,"",(E497*C497+F497*D497)/(C497+D497)))</f>
        <v/>
      </c>
      <c r="H497" s="59"/>
      <c r="I497" s="60">
        <f>IF(OR(H497="",E497="",C497="",D497=""),"",IF(C497+D497=0,"",(H497*D497+E497*C497)/(C497+D497)))</f>
        <v/>
      </c>
      <c r="J497" s="59"/>
      <c r="K497" s="61">
        <f>IF(OR(J497="",I497=""),"",J497-I497)</f>
        <v/>
      </c>
      <c r="L497" s="61">
        <f>IF(OR(J497="",G497=""),"",J497-G497)</f>
        <v/>
      </c>
      <c r="M497" s="59"/>
      <c r="N497" s="59"/>
      <c r="O497" s="59"/>
      <c r="P497" s="59"/>
      <c r="Q497" s="59"/>
      <c r="R497" s="60">
        <f>IF(AND(P497="",Q497=""),"",N(P497)+N(Q497))</f>
        <v/>
      </c>
      <c r="S497" s="59"/>
      <c r="T497" s="59"/>
      <c r="U497" s="62">
        <f>IF(OR(R497="",S497="",T497=""),"",IF(S497+T497=0,"",R497/(S497+T497)))</f>
        <v/>
      </c>
      <c r="V497" s="63"/>
      <c r="W497" s="64"/>
      <c r="X497" s="63"/>
    </row>
    <row r="498" spans="2:24">
      <c r="B498" s="58"/>
      <c r="C498" s="59"/>
      <c r="D498" s="59"/>
      <c r="E498" s="59"/>
      <c r="F498" s="59"/>
      <c r="G498" s="60">
        <f>IF(OR(E498="",F498="",C498="",D498=""),"",IF(C498+D498=0,"",(E498*C498+F498*D498)/(C498+D498)))</f>
        <v/>
      </c>
      <c r="H498" s="59"/>
      <c r="I498" s="60">
        <f>IF(OR(H498="",E498="",C498="",D498=""),"",IF(C498+D498=0,"",(H498*D498+E498*C498)/(C498+D498)))</f>
        <v/>
      </c>
      <c r="J498" s="59"/>
      <c r="K498" s="61">
        <f>IF(OR(J498="",I498=""),"",J498-I498)</f>
        <v/>
      </c>
      <c r="L498" s="61">
        <f>IF(OR(J498="",G498=""),"",J498-G498)</f>
        <v/>
      </c>
      <c r="M498" s="59"/>
      <c r="N498" s="59"/>
      <c r="O498" s="59"/>
      <c r="P498" s="59"/>
      <c r="Q498" s="59"/>
      <c r="R498" s="60">
        <f>IF(AND(P498="",Q498=""),"",N(P498)+N(Q498))</f>
        <v/>
      </c>
      <c r="S498" s="59"/>
      <c r="T498" s="59"/>
      <c r="U498" s="62">
        <f>IF(OR(R498="",S498="",T498=""),"",IF(S498+T498=0,"",R498/(S498+T498)))</f>
        <v/>
      </c>
      <c r="V498" s="63"/>
      <c r="W498" s="64"/>
      <c r="X498" s="63"/>
    </row>
    <row r="499" spans="2:24">
      <c r="B499" s="58"/>
      <c r="C499" s="59"/>
      <c r="D499" s="59"/>
      <c r="E499" s="59"/>
      <c r="F499" s="59"/>
      <c r="G499" s="60">
        <f>IF(OR(E499="",F499="",C499="",D499=""),"",IF(C499+D499=0,"",(E499*C499+F499*D499)/(C499+D499)))</f>
        <v/>
      </c>
      <c r="H499" s="59"/>
      <c r="I499" s="60">
        <f>IF(OR(H499="",E499="",C499="",D499=""),"",IF(C499+D499=0,"",(H499*D499+E499*C499)/(C499+D499)))</f>
        <v/>
      </c>
      <c r="J499" s="59"/>
      <c r="K499" s="61">
        <f>IF(OR(J499="",I499=""),"",J499-I499)</f>
        <v/>
      </c>
      <c r="L499" s="61">
        <f>IF(OR(J499="",G499=""),"",J499-G499)</f>
        <v/>
      </c>
      <c r="M499" s="59"/>
      <c r="N499" s="59"/>
      <c r="O499" s="59"/>
      <c r="P499" s="59"/>
      <c r="Q499" s="59"/>
      <c r="R499" s="60">
        <f>IF(AND(P499="",Q499=""),"",N(P499)+N(Q499))</f>
        <v/>
      </c>
      <c r="S499" s="59"/>
      <c r="T499" s="59"/>
      <c r="U499" s="62">
        <f>IF(OR(R499="",S499="",T499=""),"",IF(S499+T499=0,"",R499/(S499+T499)))</f>
        <v/>
      </c>
      <c r="V499" s="63"/>
      <c r="W499" s="64"/>
      <c r="X499" s="63"/>
    </row>
    <row r="500" spans="2:24">
      <c r="B500" s="58"/>
      <c r="C500" s="59"/>
      <c r="D500" s="59"/>
      <c r="E500" s="59"/>
      <c r="F500" s="59"/>
      <c r="G500" s="60">
        <f>IF(OR(E500="",F500="",C500="",D500=""),"",IF(C500+D500=0,"",(E500*C500+F500*D500)/(C500+D500)))</f>
        <v/>
      </c>
      <c r="H500" s="59"/>
      <c r="I500" s="60">
        <f>IF(OR(H500="",E500="",C500="",D500=""),"",IF(C500+D500=0,"",(H500*D500+E500*C500)/(C500+D500)))</f>
        <v/>
      </c>
      <c r="J500" s="59"/>
      <c r="K500" s="61">
        <f>IF(OR(J500="",I500=""),"",J500-I500)</f>
        <v/>
      </c>
      <c r="L500" s="61">
        <f>IF(OR(J500="",G500=""),"",J500-G500)</f>
        <v/>
      </c>
      <c r="M500" s="59"/>
      <c r="N500" s="59"/>
      <c r="O500" s="59"/>
      <c r="P500" s="59"/>
      <c r="Q500" s="59"/>
      <c r="R500" s="60">
        <f>IF(AND(P500="",Q500=""),"",N(P500)+N(Q500))</f>
        <v/>
      </c>
      <c r="S500" s="59"/>
      <c r="T500" s="59"/>
      <c r="U500" s="62">
        <f>IF(OR(R500="",S500="",T500=""),"",IF(S500+T500=0,"",R500/(S500+T500)))</f>
        <v/>
      </c>
      <c r="V500" s="63"/>
      <c r="W500" s="64"/>
      <c r="X500" s="63"/>
    </row>
    <row r="501" spans="2:24">
      <c r="B501" s="58"/>
      <c r="C501" s="59"/>
      <c r="D501" s="59"/>
      <c r="E501" s="59"/>
      <c r="F501" s="59"/>
      <c r="G501" s="60">
        <f>IF(OR(E501="",F501="",C501="",D501=""),"",IF(C501+D501=0,"",(E501*C501+F501*D501)/(C501+D501)))</f>
        <v/>
      </c>
      <c r="H501" s="59"/>
      <c r="I501" s="60">
        <f>IF(OR(H501="",E501="",C501="",D501=""),"",IF(C501+D501=0,"",(H501*D501+E501*C501)/(C501+D501)))</f>
        <v/>
      </c>
      <c r="J501" s="59"/>
      <c r="K501" s="61">
        <f>IF(OR(J501="",I501=""),"",J501-I501)</f>
        <v/>
      </c>
      <c r="L501" s="61">
        <f>IF(OR(J501="",G501=""),"",J501-G501)</f>
        <v/>
      </c>
      <c r="M501" s="59"/>
      <c r="N501" s="59"/>
      <c r="O501" s="59"/>
      <c r="P501" s="59"/>
      <c r="Q501" s="59"/>
      <c r="R501" s="60">
        <f>IF(AND(P501="",Q501=""),"",N(P501)+N(Q501))</f>
        <v/>
      </c>
      <c r="S501" s="59"/>
      <c r="T501" s="59"/>
      <c r="U501" s="62">
        <f>IF(OR(R501="",S501="",T501=""),"",IF(S501+T501=0,"",R501/(S501+T501)))</f>
        <v/>
      </c>
      <c r="V501" s="63"/>
      <c r="W501" s="64"/>
      <c r="X501" s="63"/>
    </row>
    <row r="502" spans="2:24">
      <c r="B502" s="58"/>
      <c r="C502" s="59"/>
      <c r="D502" s="59"/>
      <c r="E502" s="59"/>
      <c r="F502" s="59"/>
      <c r="G502" s="60">
        <f>IF(OR(E502="",F502="",C502="",D502=""),"",IF(C502+D502=0,"",(E502*C502+F502*D502)/(C502+D502)))</f>
        <v/>
      </c>
      <c r="H502" s="59"/>
      <c r="I502" s="60">
        <f>IF(OR(H502="",E502="",C502="",D502=""),"",IF(C502+D502=0,"",(H502*D502+E502*C502)/(C502+D502)))</f>
        <v/>
      </c>
      <c r="J502" s="59"/>
      <c r="K502" s="61">
        <f>IF(OR(J502="",I502=""),"",J502-I502)</f>
        <v/>
      </c>
      <c r="L502" s="61">
        <f>IF(OR(J502="",G502=""),"",J502-G502)</f>
        <v/>
      </c>
      <c r="M502" s="59"/>
      <c r="N502" s="59"/>
      <c r="O502" s="59"/>
      <c r="P502" s="59"/>
      <c r="Q502" s="59"/>
      <c r="R502" s="60">
        <f>IF(AND(P502="",Q502=""),"",N(P502)+N(Q502))</f>
        <v/>
      </c>
      <c r="S502" s="59"/>
      <c r="T502" s="59"/>
      <c r="U502" s="62">
        <f>IF(OR(R502="",S502="",T502=""),"",IF(S502+T502=0,"",R502/(S502+T502)))</f>
        <v/>
      </c>
      <c r="V502" s="63"/>
      <c r="W502" s="64"/>
      <c r="X502" s="63"/>
    </row>
    <row r="503" spans="2:24">
      <c r="B503" s="58"/>
      <c r="C503" s="59"/>
      <c r="D503" s="59"/>
      <c r="E503" s="59"/>
      <c r="F503" s="59"/>
      <c r="G503" s="60">
        <f>IF(OR(E503="",F503="",C503="",D503=""),"",IF(C503+D503=0,"",(E503*C503+F503*D503)/(C503+D503)))</f>
        <v/>
      </c>
      <c r="H503" s="59"/>
      <c r="I503" s="60">
        <f>IF(OR(H503="",E503="",C503="",D503=""),"",IF(C503+D503=0,"",(H503*D503+E503*C503)/(C503+D503)))</f>
        <v/>
      </c>
      <c r="J503" s="59"/>
      <c r="K503" s="61">
        <f>IF(OR(J503="",I503=""),"",J503-I503)</f>
        <v/>
      </c>
      <c r="L503" s="61">
        <f>IF(OR(J503="",G503=""),"",J503-G503)</f>
        <v/>
      </c>
      <c r="M503" s="59"/>
      <c r="N503" s="59"/>
      <c r="O503" s="59"/>
      <c r="P503" s="59"/>
      <c r="Q503" s="59"/>
      <c r="R503" s="60">
        <f>IF(AND(P503="",Q503=""),"",N(P503)+N(Q503))</f>
        <v/>
      </c>
      <c r="S503" s="59"/>
      <c r="T503" s="59"/>
      <c r="U503" s="62">
        <f>IF(OR(R503="",S503="",T503=""),"",IF(S503+T503=0,"",R503/(S503+T503)))</f>
        <v/>
      </c>
      <c r="V503" s="63"/>
      <c r="W503" s="64"/>
      <c r="X503" s="63"/>
    </row>
    <row r="504" spans="2:24">
      <c r="B504" s="58"/>
      <c r="C504" s="59"/>
      <c r="D504" s="59"/>
      <c r="E504" s="59"/>
      <c r="F504" s="59"/>
      <c r="G504" s="60">
        <f>IF(OR(E504="",F504="",C504="",D504=""),"",IF(C504+D504=0,"",(E504*C504+F504*D504)/(C504+D504)))</f>
        <v/>
      </c>
      <c r="H504" s="59"/>
      <c r="I504" s="60">
        <f>IF(OR(H504="",E504="",C504="",D504=""),"",IF(C504+D504=0,"",(H504*D504+E504*C504)/(C504+D504)))</f>
        <v/>
      </c>
      <c r="J504" s="59"/>
      <c r="K504" s="61">
        <f>IF(OR(J504="",I504=""),"",J504-I504)</f>
        <v/>
      </c>
      <c r="L504" s="61">
        <f>IF(OR(J504="",G504=""),"",J504-G504)</f>
        <v/>
      </c>
      <c r="M504" s="59"/>
      <c r="N504" s="59"/>
      <c r="O504" s="59"/>
      <c r="P504" s="59"/>
      <c r="Q504" s="59"/>
      <c r="R504" s="60">
        <f>IF(AND(P504="",Q504=""),"",N(P504)+N(Q504))</f>
        <v/>
      </c>
      <c r="S504" s="59"/>
      <c r="T504" s="59"/>
      <c r="U504" s="62">
        <f>IF(OR(R504="",S504="",T504=""),"",IF(S504+T504=0,"",R504/(S504+T504)))</f>
        <v/>
      </c>
      <c r="V504" s="63"/>
      <c r="W504" s="64"/>
      <c r="X504" s="63"/>
    </row>
    <row r="505" spans="2:24">
      <c r="B505" s="58"/>
      <c r="C505" s="59"/>
      <c r="D505" s="59"/>
      <c r="E505" s="59"/>
      <c r="F505" s="59"/>
      <c r="G505" s="60">
        <f>IF(OR(E505="",F505="",C505="",D505=""),"",IF(C505+D505=0,"",(E505*C505+F505*D505)/(C505+D505)))</f>
        <v/>
      </c>
      <c r="H505" s="59"/>
      <c r="I505" s="60">
        <f>IF(OR(H505="",E505="",C505="",D505=""),"",IF(C505+D505=0,"",(H505*D505+E505*C505)/(C505+D505)))</f>
        <v/>
      </c>
      <c r="J505" s="59"/>
      <c r="K505" s="61">
        <f>IF(OR(J505="",I505=""),"",J505-I505)</f>
        <v/>
      </c>
      <c r="L505" s="61">
        <f>IF(OR(J505="",G505=""),"",J505-G505)</f>
        <v/>
      </c>
      <c r="M505" s="59"/>
      <c r="N505" s="59"/>
      <c r="O505" s="59"/>
      <c r="P505" s="59"/>
      <c r="Q505" s="59"/>
      <c r="R505" s="60">
        <f>IF(AND(P505="",Q505=""),"",N(P505)+N(Q505))</f>
        <v/>
      </c>
      <c r="S505" s="59"/>
      <c r="T505" s="59"/>
      <c r="U505" s="62">
        <f>IF(OR(R505="",S505="",T505=""),"",IF(S505+T505=0,"",R505/(S505+T505)))</f>
        <v/>
      </c>
      <c r="V505" s="63"/>
      <c r="W505" s="64"/>
      <c r="X505" s="63"/>
    </row>
    <row r="506" spans="2:24">
      <c r="B506" s="58"/>
      <c r="C506" s="59"/>
      <c r="D506" s="59"/>
      <c r="E506" s="59"/>
      <c r="F506" s="59"/>
      <c r="G506" s="60">
        <f>IF(OR(E506="",F506="",C506="",D506=""),"",IF(C506+D506=0,"",(E506*C506+F506*D506)/(C506+D506)))</f>
        <v/>
      </c>
      <c r="H506" s="59"/>
      <c r="I506" s="60">
        <f>IF(OR(H506="",E506="",C506="",D506=""),"",IF(C506+D506=0,"",(H506*D506+E506*C506)/(C506+D506)))</f>
        <v/>
      </c>
      <c r="J506" s="59"/>
      <c r="K506" s="61">
        <f>IF(OR(J506="",I506=""),"",J506-I506)</f>
        <v/>
      </c>
      <c r="L506" s="61">
        <f>IF(OR(J506="",G506=""),"",J506-G506)</f>
        <v/>
      </c>
      <c r="M506" s="59"/>
      <c r="N506" s="59"/>
      <c r="O506" s="59"/>
      <c r="P506" s="59"/>
      <c r="Q506" s="59"/>
      <c r="R506" s="60">
        <f>IF(AND(P506="",Q506=""),"",N(P506)+N(Q506))</f>
        <v/>
      </c>
      <c r="S506" s="59"/>
      <c r="T506" s="59"/>
      <c r="U506" s="62">
        <f>IF(OR(R506="",S506="",T506=""),"",IF(S506+T506=0,"",R506/(S506+T506)))</f>
        <v/>
      </c>
      <c r="V506" s="63"/>
      <c r="W506" s="64"/>
      <c r="X506" s="63"/>
    </row>
    <row r="507" spans="2:24">
      <c r="B507" s="58"/>
      <c r="C507" s="59"/>
      <c r="D507" s="59"/>
      <c r="E507" s="59"/>
      <c r="F507" s="59"/>
      <c r="G507" s="60">
        <f>IF(OR(E507="",F507="",C507="",D507=""),"",IF(C507+D507=0,"",(E507*C507+F507*D507)/(C507+D507)))</f>
        <v/>
      </c>
      <c r="H507" s="59"/>
      <c r="I507" s="60">
        <f>IF(OR(H507="",E507="",C507="",D507=""),"",IF(C507+D507=0,"",(H507*D507+E507*C507)/(C507+D507)))</f>
        <v/>
      </c>
      <c r="J507" s="59"/>
      <c r="K507" s="61">
        <f>IF(OR(J507="",I507=""),"",J507-I507)</f>
        <v/>
      </c>
      <c r="L507" s="61">
        <f>IF(OR(J507="",G507=""),"",J507-G507)</f>
        <v/>
      </c>
      <c r="M507" s="59"/>
      <c r="N507" s="59"/>
      <c r="O507" s="59"/>
      <c r="P507" s="59"/>
      <c r="Q507" s="59"/>
      <c r="R507" s="60">
        <f>IF(AND(P507="",Q507=""),"",N(P507)+N(Q507))</f>
        <v/>
      </c>
      <c r="S507" s="59"/>
      <c r="T507" s="59"/>
      <c r="U507" s="62">
        <f>IF(OR(R507="",S507="",T507=""),"",IF(S507+T507=0,"",R507/(S507+T507)))</f>
        <v/>
      </c>
      <c r="V507" s="63"/>
      <c r="W507" s="64"/>
      <c r="X507" s="63"/>
    </row>
    <row r="508" spans="2:24">
      <c r="B508" s="58"/>
      <c r="C508" s="59"/>
      <c r="D508" s="59"/>
      <c r="E508" s="59"/>
      <c r="F508" s="59"/>
      <c r="G508" s="60">
        <f>IF(OR(E508="",F508="",C508="",D508=""),"",IF(C508+D508=0,"",(E508*C508+F508*D508)/(C508+D508)))</f>
        <v/>
      </c>
      <c r="H508" s="59"/>
      <c r="I508" s="60">
        <f>IF(OR(H508="",E508="",C508="",D508=""),"",IF(C508+D508=0,"",(H508*D508+E508*C508)/(C508+D508)))</f>
        <v/>
      </c>
      <c r="J508" s="59"/>
      <c r="K508" s="61">
        <f>IF(OR(J508="",I508=""),"",J508-I508)</f>
        <v/>
      </c>
      <c r="L508" s="61">
        <f>IF(OR(J508="",G508=""),"",J508-G508)</f>
        <v/>
      </c>
      <c r="M508" s="59"/>
      <c r="N508" s="59"/>
      <c r="O508" s="59"/>
      <c r="P508" s="59"/>
      <c r="Q508" s="59"/>
      <c r="R508" s="60">
        <f>IF(AND(P508="",Q508=""),"",N(P508)+N(Q508))</f>
        <v/>
      </c>
      <c r="S508" s="59"/>
      <c r="T508" s="59"/>
      <c r="U508" s="62">
        <f>IF(OR(R508="",S508="",T508=""),"",IF(S508+T508=0,"",R508/(S508+T508)))</f>
        <v/>
      </c>
      <c r="V508" s="63"/>
      <c r="W508" s="64"/>
      <c r="X508" s="63"/>
    </row>
    <row r="509" spans="2:24">
      <c r="B509" s="58"/>
      <c r="C509" s="59"/>
      <c r="D509" s="59"/>
      <c r="E509" s="59"/>
      <c r="F509" s="59"/>
      <c r="G509" s="60">
        <f>IF(OR(E509="",F509="",C509="",D509=""),"",IF(C509+D509=0,"",(E509*C509+F509*D509)/(C509+D509)))</f>
        <v/>
      </c>
      <c r="H509" s="59"/>
      <c r="I509" s="60">
        <f>IF(OR(H509="",E509="",C509="",D509=""),"",IF(C509+D509=0,"",(H509*D509+E509*C509)/(C509+D509)))</f>
        <v/>
      </c>
      <c r="J509" s="59"/>
      <c r="K509" s="61">
        <f>IF(OR(J509="",I509=""),"",J509-I509)</f>
        <v/>
      </c>
      <c r="L509" s="61">
        <f>IF(OR(J509="",G509=""),"",J509-G509)</f>
        <v/>
      </c>
      <c r="M509" s="59"/>
      <c r="N509" s="59"/>
      <c r="O509" s="59"/>
      <c r="P509" s="59"/>
      <c r="Q509" s="59"/>
      <c r="R509" s="60">
        <f>IF(AND(P509="",Q509=""),"",N(P509)+N(Q509))</f>
        <v/>
      </c>
      <c r="S509" s="59"/>
      <c r="T509" s="59"/>
      <c r="U509" s="62">
        <f>IF(OR(R509="",S509="",T509=""),"",IF(S509+T509=0,"",R509/(S509+T509)))</f>
        <v/>
      </c>
      <c r="V509" s="63"/>
      <c r="W509" s="64"/>
      <c r="X509" s="63"/>
    </row>
    <row r="510" spans="2:24">
      <c r="B510" s="58"/>
      <c r="C510" s="59"/>
      <c r="D510" s="59"/>
      <c r="E510" s="59"/>
      <c r="F510" s="59"/>
      <c r="G510" s="60">
        <f>IF(OR(E510="",F510="",C510="",D510=""),"",IF(C510+D510=0,"",(E510*C510+F510*D510)/(C510+D510)))</f>
        <v/>
      </c>
      <c r="H510" s="59"/>
      <c r="I510" s="60">
        <f>IF(OR(H510="",E510="",C510="",D510=""),"",IF(C510+D510=0,"",(H510*D510+E510*C510)/(C510+D510)))</f>
        <v/>
      </c>
      <c r="J510" s="59"/>
      <c r="K510" s="61">
        <f>IF(OR(J510="",I510=""),"",J510-I510)</f>
        <v/>
      </c>
      <c r="L510" s="61">
        <f>IF(OR(J510="",G510=""),"",J510-G510)</f>
        <v/>
      </c>
      <c r="M510" s="59"/>
      <c r="N510" s="59"/>
      <c r="O510" s="59"/>
      <c r="P510" s="59"/>
      <c r="Q510" s="59"/>
      <c r="R510" s="60">
        <f>IF(AND(P510="",Q510=""),"",N(P510)+N(Q510))</f>
        <v/>
      </c>
      <c r="S510" s="59"/>
      <c r="T510" s="59"/>
      <c r="U510" s="62">
        <f>IF(OR(R510="",S510="",T510=""),"",IF(S510+T510=0,"",R510/(S510+T510)))</f>
        <v/>
      </c>
      <c r="V510" s="63"/>
      <c r="W510" s="64"/>
      <c r="X510" s="63"/>
    </row>
    <row r="511" spans="2:24">
      <c r="B511" s="58"/>
      <c r="C511" s="59"/>
      <c r="D511" s="59"/>
      <c r="E511" s="59"/>
      <c r="F511" s="59"/>
      <c r="G511" s="60">
        <f>IF(OR(E511="",F511="",C511="",D511=""),"",IF(C511+D511=0,"",(E511*C511+F511*D511)/(C511+D511)))</f>
        <v/>
      </c>
      <c r="H511" s="59"/>
      <c r="I511" s="60">
        <f>IF(OR(H511="",E511="",C511="",D511=""),"",IF(C511+D511=0,"",(H511*D511+E511*C511)/(C511+D511)))</f>
        <v/>
      </c>
      <c r="J511" s="59"/>
      <c r="K511" s="61">
        <f>IF(OR(J511="",I511=""),"",J511-I511)</f>
        <v/>
      </c>
      <c r="L511" s="61">
        <f>IF(OR(J511="",G511=""),"",J511-G511)</f>
        <v/>
      </c>
      <c r="M511" s="59"/>
      <c r="N511" s="59"/>
      <c r="O511" s="59"/>
      <c r="P511" s="59"/>
      <c r="Q511" s="59"/>
      <c r="R511" s="60">
        <f>IF(AND(P511="",Q511=""),"",N(P511)+N(Q511))</f>
        <v/>
      </c>
      <c r="S511" s="59"/>
      <c r="T511" s="59"/>
      <c r="U511" s="62">
        <f>IF(OR(R511="",S511="",T511=""),"",IF(S511+T511=0,"",R511/(S511+T511)))</f>
        <v/>
      </c>
      <c r="V511" s="63"/>
      <c r="W511" s="64"/>
      <c r="X511" s="63"/>
    </row>
    <row r="512" spans="2:24">
      <c r="B512" s="58"/>
      <c r="C512" s="59"/>
      <c r="D512" s="59"/>
      <c r="E512" s="59"/>
      <c r="F512" s="59"/>
      <c r="G512" s="60">
        <f>IF(OR(E512="",F512="",C512="",D512=""),"",IF(C512+D512=0,"",(E512*C512+F512*D512)/(C512+D512)))</f>
        <v/>
      </c>
      <c r="H512" s="59"/>
      <c r="I512" s="60">
        <f>IF(OR(H512="",E512="",C512="",D512=""),"",IF(C512+D512=0,"",(H512*D512+E512*C512)/(C512+D512)))</f>
        <v/>
      </c>
      <c r="J512" s="59"/>
      <c r="K512" s="61">
        <f>IF(OR(J512="",I512=""),"",J512-I512)</f>
        <v/>
      </c>
      <c r="L512" s="61">
        <f>IF(OR(J512="",G512=""),"",J512-G512)</f>
        <v/>
      </c>
      <c r="M512" s="59"/>
      <c r="N512" s="59"/>
      <c r="O512" s="59"/>
      <c r="P512" s="59"/>
      <c r="Q512" s="59"/>
      <c r="R512" s="60">
        <f>IF(AND(P512="",Q512=""),"",N(P512)+N(Q512))</f>
        <v/>
      </c>
      <c r="S512" s="59"/>
      <c r="T512" s="59"/>
      <c r="U512" s="62">
        <f>IF(OR(R512="",S512="",T512=""),"",IF(S512+T512=0,"",R512/(S512+T512)))</f>
        <v/>
      </c>
      <c r="V512" s="63"/>
      <c r="W512" s="64"/>
      <c r="X512" s="63"/>
    </row>
    <row r="513" spans="2:24">
      <c r="B513" s="58"/>
      <c r="C513" s="59"/>
      <c r="D513" s="59"/>
      <c r="E513" s="59"/>
      <c r="F513" s="59"/>
      <c r="G513" s="60">
        <f>IF(OR(E513="",F513="",C513="",D513=""),"",IF(C513+D513=0,"",(E513*C513+F513*D513)/(C513+D513)))</f>
        <v/>
      </c>
      <c r="H513" s="59"/>
      <c r="I513" s="60">
        <f>IF(OR(H513="",E513="",C513="",D513=""),"",IF(C513+D513=0,"",(H513*D513+E513*C513)/(C513+D513)))</f>
        <v/>
      </c>
      <c r="J513" s="59"/>
      <c r="K513" s="61">
        <f>IF(OR(J513="",I513=""),"",J513-I513)</f>
        <v/>
      </c>
      <c r="L513" s="61">
        <f>IF(OR(J513="",G513=""),"",J513-G513)</f>
        <v/>
      </c>
      <c r="M513" s="59"/>
      <c r="N513" s="59"/>
      <c r="O513" s="59"/>
      <c r="P513" s="59"/>
      <c r="Q513" s="59"/>
      <c r="R513" s="60">
        <f>IF(AND(P513="",Q513=""),"",N(P513)+N(Q513))</f>
        <v/>
      </c>
      <c r="S513" s="59"/>
      <c r="T513" s="59"/>
      <c r="U513" s="62">
        <f>IF(OR(R513="",S513="",T513=""),"",IF(S513+T513=0,"",R513/(S513+T513)))</f>
        <v/>
      </c>
      <c r="V513" s="63"/>
      <c r="W513" s="64"/>
      <c r="X513" s="63"/>
    </row>
    <row r="514" spans="2:24">
      <c r="B514" s="58"/>
      <c r="C514" s="59"/>
      <c r="D514" s="59"/>
      <c r="E514" s="59"/>
      <c r="F514" s="59"/>
      <c r="G514" s="60">
        <f>IF(OR(E514="",F514="",C514="",D514=""),"",IF(C514+D514=0,"",(E514*C514+F514*D514)/(C514+D514)))</f>
        <v/>
      </c>
      <c r="H514" s="59"/>
      <c r="I514" s="60">
        <f>IF(OR(H514="",E514="",C514="",D514=""),"",IF(C514+D514=0,"",(H514*D514+E514*C514)/(C514+D514)))</f>
        <v/>
      </c>
      <c r="J514" s="59"/>
      <c r="K514" s="61">
        <f>IF(OR(J514="",I514=""),"",J514-I514)</f>
        <v/>
      </c>
      <c r="L514" s="61">
        <f>IF(OR(J514="",G514=""),"",J514-G514)</f>
        <v/>
      </c>
      <c r="M514" s="59"/>
      <c r="N514" s="59"/>
      <c r="O514" s="59"/>
      <c r="P514" s="59"/>
      <c r="Q514" s="59"/>
      <c r="R514" s="60">
        <f>IF(AND(P514="",Q514=""),"",N(P514)+N(Q514))</f>
        <v/>
      </c>
      <c r="S514" s="59"/>
      <c r="T514" s="59"/>
      <c r="U514" s="62">
        <f>IF(OR(R514="",S514="",T514=""),"",IF(S514+T514=0,"",R514/(S514+T514)))</f>
        <v/>
      </c>
      <c r="V514" s="63"/>
      <c r="W514" s="64"/>
      <c r="X514" s="63"/>
    </row>
    <row r="515" spans="2:24">
      <c r="B515" s="58"/>
      <c r="C515" s="59"/>
      <c r="D515" s="59"/>
      <c r="E515" s="59"/>
      <c r="F515" s="59"/>
      <c r="G515" s="60">
        <f>IF(OR(E515="",F515="",C515="",D515=""),"",IF(C515+D515=0,"",(E515*C515+F515*D515)/(C515+D515)))</f>
        <v/>
      </c>
      <c r="H515" s="59"/>
      <c r="I515" s="60">
        <f>IF(OR(H515="",E515="",C515="",D515=""),"",IF(C515+D515=0,"",(H515*D515+E515*C515)/(C515+D515)))</f>
        <v/>
      </c>
      <c r="J515" s="59"/>
      <c r="K515" s="61">
        <f>IF(OR(J515="",I515=""),"",J515-I515)</f>
        <v/>
      </c>
      <c r="L515" s="61">
        <f>IF(OR(J515="",G515=""),"",J515-G515)</f>
        <v/>
      </c>
      <c r="M515" s="59"/>
      <c r="N515" s="59"/>
      <c r="O515" s="59"/>
      <c r="P515" s="59"/>
      <c r="Q515" s="59"/>
      <c r="R515" s="60">
        <f>IF(AND(P515="",Q515=""),"",N(P515)+N(Q515))</f>
        <v/>
      </c>
      <c r="S515" s="59"/>
      <c r="T515" s="59"/>
      <c r="U515" s="62">
        <f>IF(OR(R515="",S515="",T515=""),"",IF(S515+T515=0,"",R515/(S515+T515)))</f>
        <v/>
      </c>
      <c r="V515" s="63"/>
      <c r="W515" s="64"/>
      <c r="X515" s="63"/>
    </row>
    <row r="516" spans="2:24">
      <c r="B516" s="58"/>
      <c r="C516" s="59"/>
      <c r="D516" s="59"/>
      <c r="E516" s="59"/>
      <c r="F516" s="59"/>
      <c r="G516" s="60">
        <f>IF(OR(E516="",F516="",C516="",D516=""),"",IF(C516+D516=0,"",(E516*C516+F516*D516)/(C516+D516)))</f>
        <v/>
      </c>
      <c r="H516" s="59"/>
      <c r="I516" s="60">
        <f>IF(OR(H516="",E516="",C516="",D516=""),"",IF(C516+D516=0,"",(H516*D516+E516*C516)/(C516+D516)))</f>
        <v/>
      </c>
      <c r="J516" s="59"/>
      <c r="K516" s="61">
        <f>IF(OR(J516="",I516=""),"",J516-I516)</f>
        <v/>
      </c>
      <c r="L516" s="61">
        <f>IF(OR(J516="",G516=""),"",J516-G516)</f>
        <v/>
      </c>
      <c r="M516" s="59"/>
      <c r="N516" s="59"/>
      <c r="O516" s="59"/>
      <c r="P516" s="59"/>
      <c r="Q516" s="59"/>
      <c r="R516" s="60">
        <f>IF(AND(P516="",Q516=""),"",N(P516)+N(Q516))</f>
        <v/>
      </c>
      <c r="S516" s="59"/>
      <c r="T516" s="59"/>
      <c r="U516" s="62">
        <f>IF(OR(R516="",S516="",T516=""),"",IF(S516+T516=0,"",R516/(S516+T516)))</f>
        <v/>
      </c>
      <c r="V516" s="63"/>
      <c r="W516" s="64"/>
      <c r="X516" s="63"/>
    </row>
    <row r="517" spans="2:24">
      <c r="B517" s="58"/>
      <c r="C517" s="59"/>
      <c r="D517" s="59"/>
      <c r="E517" s="59"/>
      <c r="F517" s="59"/>
      <c r="G517" s="60">
        <f>IF(OR(E517="",F517="",C517="",D517=""),"",IF(C517+D517=0,"",(E517*C517+F517*D517)/(C517+D517)))</f>
        <v/>
      </c>
      <c r="H517" s="59"/>
      <c r="I517" s="60">
        <f>IF(OR(H517="",E517="",C517="",D517=""),"",IF(C517+D517=0,"",(H517*D517+E517*C517)/(C517+D517)))</f>
        <v/>
      </c>
      <c r="J517" s="59"/>
      <c r="K517" s="61">
        <f>IF(OR(J517="",I517=""),"",J517-I517)</f>
        <v/>
      </c>
      <c r="L517" s="61">
        <f>IF(OR(J517="",G517=""),"",J517-G517)</f>
        <v/>
      </c>
      <c r="M517" s="59"/>
      <c r="N517" s="59"/>
      <c r="O517" s="59"/>
      <c r="P517" s="59"/>
      <c r="Q517" s="59"/>
      <c r="R517" s="60">
        <f>IF(AND(P517="",Q517=""),"",N(P517)+N(Q517))</f>
        <v/>
      </c>
      <c r="S517" s="59"/>
      <c r="T517" s="59"/>
      <c r="U517" s="62">
        <f>IF(OR(R517="",S517="",T517=""),"",IF(S517+T517=0,"",R517/(S517+T517)))</f>
        <v/>
      </c>
      <c r="V517" s="63"/>
      <c r="W517" s="64"/>
      <c r="X517" s="63"/>
    </row>
    <row r="518" spans="2:24">
      <c r="B518" s="58"/>
      <c r="C518" s="59"/>
      <c r="D518" s="59"/>
      <c r="E518" s="59"/>
      <c r="F518" s="59"/>
      <c r="G518" s="60">
        <f>IF(OR(E518="",F518="",C518="",D518=""),"",IF(C518+D518=0,"",(E518*C518+F518*D518)/(C518+D518)))</f>
        <v/>
      </c>
      <c r="H518" s="59"/>
      <c r="I518" s="60">
        <f>IF(OR(H518="",E518="",C518="",D518=""),"",IF(C518+D518=0,"",(H518*D518+E518*C518)/(C518+D518)))</f>
        <v/>
      </c>
      <c r="J518" s="59"/>
      <c r="K518" s="61">
        <f>IF(OR(J518="",I518=""),"",J518-I518)</f>
        <v/>
      </c>
      <c r="L518" s="61">
        <f>IF(OR(J518="",G518=""),"",J518-G518)</f>
        <v/>
      </c>
      <c r="M518" s="59"/>
      <c r="N518" s="59"/>
      <c r="O518" s="59"/>
      <c r="P518" s="59"/>
      <c r="Q518" s="59"/>
      <c r="R518" s="60">
        <f>IF(AND(P518="",Q518=""),"",N(P518)+N(Q518))</f>
        <v/>
      </c>
      <c r="S518" s="59"/>
      <c r="T518" s="59"/>
      <c r="U518" s="62">
        <f>IF(OR(R518="",S518="",T518=""),"",IF(S518+T518=0,"",R518/(S518+T518)))</f>
        <v/>
      </c>
      <c r="V518" s="63"/>
      <c r="W518" s="64"/>
      <c r="X518" s="63"/>
    </row>
    <row r="519" spans="2:24">
      <c r="B519" s="58"/>
      <c r="C519" s="59"/>
      <c r="D519" s="59"/>
      <c r="E519" s="59"/>
      <c r="F519" s="59"/>
      <c r="G519" s="60">
        <f>IF(OR(E519="",F519="",C519="",D519=""),"",IF(C519+D519=0,"",(E519*C519+F519*D519)/(C519+D519)))</f>
        <v/>
      </c>
      <c r="H519" s="59"/>
      <c r="I519" s="60">
        <f>IF(OR(H519="",E519="",C519="",D519=""),"",IF(C519+D519=0,"",(H519*D519+E519*C519)/(C519+D519)))</f>
        <v/>
      </c>
      <c r="J519" s="59"/>
      <c r="K519" s="61">
        <f>IF(OR(J519="",I519=""),"",J519-I519)</f>
        <v/>
      </c>
      <c r="L519" s="61">
        <f>IF(OR(J519="",G519=""),"",J519-G519)</f>
        <v/>
      </c>
      <c r="M519" s="59"/>
      <c r="N519" s="59"/>
      <c r="O519" s="59"/>
      <c r="P519" s="59"/>
      <c r="Q519" s="59"/>
      <c r="R519" s="60">
        <f>IF(AND(P519="",Q519=""),"",N(P519)+N(Q519))</f>
        <v/>
      </c>
      <c r="S519" s="59"/>
      <c r="T519" s="59"/>
      <c r="U519" s="62">
        <f>IF(OR(R519="",S519="",T519=""),"",IF(S519+T519=0,"",R519/(S519+T519)))</f>
        <v/>
      </c>
      <c r="V519" s="63"/>
      <c r="W519" s="64"/>
      <c r="X519" s="63"/>
    </row>
    <row r="520" spans="2:24">
      <c r="B520" s="58"/>
      <c r="C520" s="59"/>
      <c r="D520" s="59"/>
      <c r="E520" s="59"/>
      <c r="F520" s="59"/>
      <c r="G520" s="60">
        <f>IF(OR(E520="",F520="",C520="",D520=""),"",IF(C520+D520=0,"",(E520*C520+F520*D520)/(C520+D520)))</f>
        <v/>
      </c>
      <c r="H520" s="59"/>
      <c r="I520" s="60">
        <f>IF(OR(H520="",E520="",C520="",D520=""),"",IF(C520+D520=0,"",(H520*D520+E520*C520)/(C520+D520)))</f>
        <v/>
      </c>
      <c r="J520" s="59"/>
      <c r="K520" s="61">
        <f>IF(OR(J520="",I520=""),"",J520-I520)</f>
        <v/>
      </c>
      <c r="L520" s="61">
        <f>IF(OR(J520="",G520=""),"",J520-G520)</f>
        <v/>
      </c>
      <c r="M520" s="59"/>
      <c r="N520" s="59"/>
      <c r="O520" s="59"/>
      <c r="P520" s="59"/>
      <c r="Q520" s="59"/>
      <c r="R520" s="60">
        <f>IF(AND(P520="",Q520=""),"",N(P520)+N(Q520))</f>
        <v/>
      </c>
      <c r="S520" s="59"/>
      <c r="T520" s="59"/>
      <c r="U520" s="62">
        <f>IF(OR(R520="",S520="",T520=""),"",IF(S520+T520=0,"",R520/(S520+T520)))</f>
        <v/>
      </c>
      <c r="V520" s="63"/>
      <c r="W520" s="64"/>
      <c r="X520" s="63"/>
    </row>
    <row r="521" spans="2:24">
      <c r="B521" s="58"/>
      <c r="C521" s="59"/>
      <c r="D521" s="59"/>
      <c r="E521" s="59"/>
      <c r="F521" s="59"/>
      <c r="G521" s="60">
        <f>IF(OR(E521="",F521="",C521="",D521=""),"",IF(C521+D521=0,"",(E521*C521+F521*D521)/(C521+D521)))</f>
        <v/>
      </c>
      <c r="H521" s="59"/>
      <c r="I521" s="60">
        <f>IF(OR(H521="",E521="",C521="",D521=""),"",IF(C521+D521=0,"",(H521*D521+E521*C521)/(C521+D521)))</f>
        <v/>
      </c>
      <c r="J521" s="59"/>
      <c r="K521" s="61">
        <f>IF(OR(J521="",I521=""),"",J521-I521)</f>
        <v/>
      </c>
      <c r="L521" s="61">
        <f>IF(OR(J521="",G521=""),"",J521-G521)</f>
        <v/>
      </c>
      <c r="M521" s="59"/>
      <c r="N521" s="59"/>
      <c r="O521" s="59"/>
      <c r="P521" s="59"/>
      <c r="Q521" s="59"/>
      <c r="R521" s="60">
        <f>IF(AND(P521="",Q521=""),"",N(P521)+N(Q521))</f>
        <v/>
      </c>
      <c r="S521" s="59"/>
      <c r="T521" s="59"/>
      <c r="U521" s="62">
        <f>IF(OR(R521="",S521="",T521=""),"",IF(S521+T521=0,"",R521/(S521+T521)))</f>
        <v/>
      </c>
      <c r="V521" s="63"/>
      <c r="W521" s="64"/>
      <c r="X521" s="63"/>
    </row>
    <row r="522" spans="2:24">
      <c r="B522" s="58"/>
      <c r="C522" s="59"/>
      <c r="D522" s="59"/>
      <c r="E522" s="59"/>
      <c r="F522" s="59"/>
      <c r="G522" s="60">
        <f>IF(OR(E522="",F522="",C522="",D522=""),"",IF(C522+D522=0,"",(E522*C522+F522*D522)/(C522+D522)))</f>
        <v/>
      </c>
      <c r="H522" s="59"/>
      <c r="I522" s="60">
        <f>IF(OR(H522="",E522="",C522="",D522=""),"",IF(C522+D522=0,"",(H522*D522+E522*C522)/(C522+D522)))</f>
        <v/>
      </c>
      <c r="J522" s="59"/>
      <c r="K522" s="61">
        <f>IF(OR(J522="",I522=""),"",J522-I522)</f>
        <v/>
      </c>
      <c r="L522" s="61">
        <f>IF(OR(J522="",G522=""),"",J522-G522)</f>
        <v/>
      </c>
      <c r="M522" s="59"/>
      <c r="N522" s="59"/>
      <c r="O522" s="59"/>
      <c r="P522" s="59"/>
      <c r="Q522" s="59"/>
      <c r="R522" s="60">
        <f>IF(AND(P522="",Q522=""),"",N(P522)+N(Q522))</f>
        <v/>
      </c>
      <c r="S522" s="59"/>
      <c r="T522" s="59"/>
      <c r="U522" s="62">
        <f>IF(OR(R522="",S522="",T522=""),"",IF(S522+T522=0,"",R522/(S522+T522)))</f>
        <v/>
      </c>
      <c r="V522" s="63"/>
      <c r="W522" s="64"/>
      <c r="X522" s="63"/>
    </row>
    <row r="523" spans="2:24">
      <c r="B523" s="58"/>
      <c r="C523" s="59"/>
      <c r="D523" s="59"/>
      <c r="E523" s="59"/>
      <c r="F523" s="59"/>
      <c r="G523" s="60">
        <f>IF(OR(E523="",F523="",C523="",D523=""),"",IF(C523+D523=0,"",(E523*C523+F523*D523)/(C523+D523)))</f>
        <v/>
      </c>
      <c r="H523" s="59"/>
      <c r="I523" s="60">
        <f>IF(OR(H523="",E523="",C523="",D523=""),"",IF(C523+D523=0,"",(H523*D523+E523*C523)/(C523+D523)))</f>
        <v/>
      </c>
      <c r="J523" s="59"/>
      <c r="K523" s="61">
        <f>IF(OR(J523="",I523=""),"",J523-I523)</f>
        <v/>
      </c>
      <c r="L523" s="61">
        <f>IF(OR(J523="",G523=""),"",J523-G523)</f>
        <v/>
      </c>
      <c r="M523" s="59"/>
      <c r="N523" s="59"/>
      <c r="O523" s="59"/>
      <c r="P523" s="59"/>
      <c r="Q523" s="59"/>
      <c r="R523" s="60">
        <f>IF(AND(P523="",Q523=""),"",N(P523)+N(Q523))</f>
        <v/>
      </c>
      <c r="S523" s="59"/>
      <c r="T523" s="59"/>
      <c r="U523" s="62">
        <f>IF(OR(R523="",S523="",T523=""),"",IF(S523+T523=0,"",R523/(S523+T523)))</f>
        <v/>
      </c>
      <c r="V523" s="63"/>
      <c r="W523" s="64"/>
      <c r="X523" s="63"/>
    </row>
    <row r="524" spans="2:24">
      <c r="B524" s="58"/>
      <c r="C524" s="59"/>
      <c r="D524" s="59"/>
      <c r="E524" s="59"/>
      <c r="F524" s="59"/>
      <c r="G524" s="60">
        <f>IF(OR(E524="",F524="",C524="",D524=""),"",IF(C524+D524=0,"",(E524*C524+F524*D524)/(C524+D524)))</f>
        <v/>
      </c>
      <c r="H524" s="59"/>
      <c r="I524" s="60">
        <f>IF(OR(H524="",E524="",C524="",D524=""),"",IF(C524+D524=0,"",(H524*D524+E524*C524)/(C524+D524)))</f>
        <v/>
      </c>
      <c r="J524" s="59"/>
      <c r="K524" s="61">
        <f>IF(OR(J524="",I524=""),"",J524-I524)</f>
        <v/>
      </c>
      <c r="L524" s="61">
        <f>IF(OR(J524="",G524=""),"",J524-G524)</f>
        <v/>
      </c>
      <c r="M524" s="59"/>
      <c r="N524" s="59"/>
      <c r="O524" s="59"/>
      <c r="P524" s="59"/>
      <c r="Q524" s="59"/>
      <c r="R524" s="60">
        <f>IF(AND(P524="",Q524=""),"",N(P524)+N(Q524))</f>
        <v/>
      </c>
      <c r="S524" s="59"/>
      <c r="T524" s="59"/>
      <c r="U524" s="62">
        <f>IF(OR(R524="",S524="",T524=""),"",IF(S524+T524=0,"",R524/(S524+T524)))</f>
        <v/>
      </c>
      <c r="V524" s="63"/>
      <c r="W524" s="64"/>
      <c r="X524" s="63"/>
    </row>
    <row r="525" spans="2:24">
      <c r="B525" s="58"/>
      <c r="C525" s="59"/>
      <c r="D525" s="59"/>
      <c r="E525" s="59"/>
      <c r="F525" s="59"/>
      <c r="G525" s="60">
        <f>IF(OR(E525="",F525="",C525="",D525=""),"",IF(C525+D525=0,"",(E525*C525+F525*D525)/(C525+D525)))</f>
        <v/>
      </c>
      <c r="H525" s="59"/>
      <c r="I525" s="60">
        <f>IF(OR(H525="",E525="",C525="",D525=""),"",IF(C525+D525=0,"",(H525*D525+E525*C525)/(C525+D525)))</f>
        <v/>
      </c>
      <c r="J525" s="59"/>
      <c r="K525" s="61">
        <f>IF(OR(J525="",I525=""),"",J525-I525)</f>
        <v/>
      </c>
      <c r="L525" s="61">
        <f>IF(OR(J525="",G525=""),"",J525-G525)</f>
        <v/>
      </c>
      <c r="M525" s="59"/>
      <c r="N525" s="59"/>
      <c r="O525" s="59"/>
      <c r="P525" s="59"/>
      <c r="Q525" s="59"/>
      <c r="R525" s="60">
        <f>IF(AND(P525="",Q525=""),"",N(P525)+N(Q525))</f>
        <v/>
      </c>
      <c r="S525" s="59"/>
      <c r="T525" s="59"/>
      <c r="U525" s="62">
        <f>IF(OR(R525="",S525="",T525=""),"",IF(S525+T525=0,"",R525/(S525+T525)))</f>
        <v/>
      </c>
      <c r="V525" s="63"/>
      <c r="W525" s="64"/>
      <c r="X525" s="63"/>
    </row>
    <row r="526" spans="2:24">
      <c r="B526" s="58"/>
      <c r="C526" s="59"/>
      <c r="D526" s="59"/>
      <c r="E526" s="59"/>
      <c r="F526" s="59"/>
      <c r="G526" s="60">
        <f>IF(OR(E526="",F526="",C526="",D526=""),"",IF(C526+D526=0,"",(E526*C526+F526*D526)/(C526+D526)))</f>
        <v/>
      </c>
      <c r="H526" s="59"/>
      <c r="I526" s="60">
        <f>IF(OR(H526="",E526="",C526="",D526=""),"",IF(C526+D526=0,"",(H526*D526+E526*C526)/(C526+D526)))</f>
        <v/>
      </c>
      <c r="J526" s="59"/>
      <c r="K526" s="61">
        <f>IF(OR(J526="",I526=""),"",J526-I526)</f>
        <v/>
      </c>
      <c r="L526" s="61">
        <f>IF(OR(J526="",G526=""),"",J526-G526)</f>
        <v/>
      </c>
      <c r="M526" s="59"/>
      <c r="N526" s="59"/>
      <c r="O526" s="59"/>
      <c r="P526" s="59"/>
      <c r="Q526" s="59"/>
      <c r="R526" s="60">
        <f>IF(AND(P526="",Q526=""),"",N(P526)+N(Q526))</f>
        <v/>
      </c>
      <c r="S526" s="59"/>
      <c r="T526" s="59"/>
      <c r="U526" s="62">
        <f>IF(OR(R526="",S526="",T526=""),"",IF(S526+T526=0,"",R526/(S526+T526)))</f>
        <v/>
      </c>
      <c r="V526" s="63"/>
      <c r="W526" s="64"/>
      <c r="X526" s="63"/>
    </row>
    <row r="527" spans="2:24">
      <c r="B527" s="58"/>
      <c r="C527" s="59"/>
      <c r="D527" s="59"/>
      <c r="E527" s="59"/>
      <c r="F527" s="59"/>
      <c r="G527" s="60">
        <f>IF(OR(E527="",F527="",C527="",D527=""),"",IF(C527+D527=0,"",(E527*C527+F527*D527)/(C527+D527)))</f>
        <v/>
      </c>
      <c r="H527" s="59"/>
      <c r="I527" s="60">
        <f>IF(OR(H527="",E527="",C527="",D527=""),"",IF(C527+D527=0,"",(H527*D527+E527*C527)/(C527+D527)))</f>
        <v/>
      </c>
      <c r="J527" s="59"/>
      <c r="K527" s="61">
        <f>IF(OR(J527="",I527=""),"",J527-I527)</f>
        <v/>
      </c>
      <c r="L527" s="61">
        <f>IF(OR(J527="",G527=""),"",J527-G527)</f>
        <v/>
      </c>
      <c r="M527" s="59"/>
      <c r="N527" s="59"/>
      <c r="O527" s="59"/>
      <c r="P527" s="59"/>
      <c r="Q527" s="59"/>
      <c r="R527" s="60">
        <f>IF(AND(P527="",Q527=""),"",N(P527)+N(Q527))</f>
        <v/>
      </c>
      <c r="S527" s="59"/>
      <c r="T527" s="59"/>
      <c r="U527" s="62">
        <f>IF(OR(R527="",S527="",T527=""),"",IF(S527+T527=0,"",R527/(S527+T527)))</f>
        <v/>
      </c>
      <c r="V527" s="63"/>
      <c r="W527" s="64"/>
      <c r="X527" s="63"/>
    </row>
    <row r="528" spans="2:24">
      <c r="B528" s="58"/>
      <c r="C528" s="59"/>
      <c r="D528" s="59"/>
      <c r="E528" s="59"/>
      <c r="F528" s="59"/>
      <c r="G528" s="60">
        <f>IF(OR(E528="",F528="",C528="",D528=""),"",IF(C528+D528=0,"",(E528*C528+F528*D528)/(C528+D528)))</f>
        <v/>
      </c>
      <c r="H528" s="59"/>
      <c r="I528" s="60">
        <f>IF(OR(H528="",E528="",C528="",D528=""),"",IF(C528+D528=0,"",(H528*D528+E528*C528)/(C528+D528)))</f>
        <v/>
      </c>
      <c r="J528" s="59"/>
      <c r="K528" s="61">
        <f>IF(OR(J528="",I528=""),"",J528-I528)</f>
        <v/>
      </c>
      <c r="L528" s="61">
        <f>IF(OR(J528="",G528=""),"",J528-G528)</f>
        <v/>
      </c>
      <c r="M528" s="59"/>
      <c r="N528" s="59"/>
      <c r="O528" s="59"/>
      <c r="P528" s="59"/>
      <c r="Q528" s="59"/>
      <c r="R528" s="60">
        <f>IF(AND(P528="",Q528=""),"",N(P528)+N(Q528))</f>
        <v/>
      </c>
      <c r="S528" s="59"/>
      <c r="T528" s="59"/>
      <c r="U528" s="62">
        <f>IF(OR(R528="",S528="",T528=""),"",IF(S528+T528=0,"",R528/(S528+T528)))</f>
        <v/>
      </c>
      <c r="V528" s="63"/>
      <c r="W528" s="64"/>
      <c r="X528" s="63"/>
    </row>
    <row r="529" spans="2:24">
      <c r="B529" s="58"/>
      <c r="C529" s="59"/>
      <c r="D529" s="59"/>
      <c r="E529" s="59"/>
      <c r="F529" s="59"/>
      <c r="G529" s="60">
        <f>IF(OR(E529="",F529="",C529="",D529=""),"",IF(C529+D529=0,"",(E529*C529+F529*D529)/(C529+D529)))</f>
        <v/>
      </c>
      <c r="H529" s="59"/>
      <c r="I529" s="60">
        <f>IF(OR(H529="",E529="",C529="",D529=""),"",IF(C529+D529=0,"",(H529*D529+E529*C529)/(C529+D529)))</f>
        <v/>
      </c>
      <c r="J529" s="59"/>
      <c r="K529" s="61">
        <f>IF(OR(J529="",I529=""),"",J529-I529)</f>
        <v/>
      </c>
      <c r="L529" s="61">
        <f>IF(OR(J529="",G529=""),"",J529-G529)</f>
        <v/>
      </c>
      <c r="M529" s="59"/>
      <c r="N529" s="59"/>
      <c r="O529" s="59"/>
      <c r="P529" s="59"/>
      <c r="Q529" s="59"/>
      <c r="R529" s="60">
        <f>IF(AND(P529="",Q529=""),"",N(P529)+N(Q529))</f>
        <v/>
      </c>
      <c r="S529" s="59"/>
      <c r="T529" s="59"/>
      <c r="U529" s="62">
        <f>IF(OR(R529="",S529="",T529=""),"",IF(S529+T529=0,"",R529/(S529+T529)))</f>
        <v/>
      </c>
      <c r="V529" s="63"/>
      <c r="W529" s="64"/>
      <c r="X529" s="63"/>
    </row>
    <row r="530" spans="2:24">
      <c r="B530" s="58"/>
      <c r="C530" s="59"/>
      <c r="D530" s="59"/>
      <c r="E530" s="59"/>
      <c r="F530" s="59"/>
      <c r="G530" s="60">
        <f>IF(OR(E530="",F530="",C530="",D530=""),"",IF(C530+D530=0,"",(E530*C530+F530*D530)/(C530+D530)))</f>
        <v/>
      </c>
      <c r="H530" s="59"/>
      <c r="I530" s="60">
        <f>IF(OR(H530="",E530="",C530="",D530=""),"",IF(C530+D530=0,"",(H530*D530+E530*C530)/(C530+D530)))</f>
        <v/>
      </c>
      <c r="J530" s="59"/>
      <c r="K530" s="61">
        <f>IF(OR(J530="",I530=""),"",J530-I530)</f>
        <v/>
      </c>
      <c r="L530" s="61">
        <f>IF(OR(J530="",G530=""),"",J530-G530)</f>
        <v/>
      </c>
      <c r="M530" s="59"/>
      <c r="N530" s="59"/>
      <c r="O530" s="59"/>
      <c r="P530" s="59"/>
      <c r="Q530" s="59"/>
      <c r="R530" s="60">
        <f>IF(AND(P530="",Q530=""),"",N(P530)+N(Q530))</f>
        <v/>
      </c>
      <c r="S530" s="59"/>
      <c r="T530" s="59"/>
      <c r="U530" s="62">
        <f>IF(OR(R530="",S530="",T530=""),"",IF(S530+T530=0,"",R530/(S530+T530)))</f>
        <v/>
      </c>
      <c r="V530" s="63"/>
      <c r="W530" s="64"/>
      <c r="X530" s="63"/>
    </row>
    <row r="531" spans="2:24">
      <c r="B531" s="58"/>
      <c r="C531" s="59"/>
      <c r="D531" s="59"/>
      <c r="E531" s="59"/>
      <c r="F531" s="59"/>
      <c r="G531" s="60">
        <f>IF(OR(E531="",F531="",C531="",D531=""),"",IF(C531+D531=0,"",(E531*C531+F531*D531)/(C531+D531)))</f>
        <v/>
      </c>
      <c r="H531" s="59"/>
      <c r="I531" s="60">
        <f>IF(OR(H531="",E531="",C531="",D531=""),"",IF(C531+D531=0,"",(H531*D531+E531*C531)/(C531+D531)))</f>
        <v/>
      </c>
      <c r="J531" s="59"/>
      <c r="K531" s="61">
        <f>IF(OR(J531="",I531=""),"",J531-I531)</f>
        <v/>
      </c>
      <c r="L531" s="61">
        <f>IF(OR(J531="",G531=""),"",J531-G531)</f>
        <v/>
      </c>
      <c r="M531" s="59"/>
      <c r="N531" s="59"/>
      <c r="O531" s="59"/>
      <c r="P531" s="59"/>
      <c r="Q531" s="59"/>
      <c r="R531" s="60">
        <f>IF(AND(P531="",Q531=""),"",N(P531)+N(Q531))</f>
        <v/>
      </c>
      <c r="S531" s="59"/>
      <c r="T531" s="59"/>
      <c r="U531" s="62">
        <f>IF(OR(R531="",S531="",T531=""),"",IF(S531+T531=0,"",R531/(S531+T531)))</f>
        <v/>
      </c>
      <c r="V531" s="63"/>
      <c r="W531" s="64"/>
      <c r="X531" s="63"/>
    </row>
    <row r="532" spans="2:24">
      <c r="B532" s="58"/>
      <c r="C532" s="59"/>
      <c r="D532" s="59"/>
      <c r="E532" s="59"/>
      <c r="F532" s="59"/>
      <c r="G532" s="60">
        <f>IF(OR(E532="",F532="",C532="",D532=""),"",IF(C532+D532=0,"",(E532*C532+F532*D532)/(C532+D532)))</f>
        <v/>
      </c>
      <c r="H532" s="59"/>
      <c r="I532" s="60">
        <f>IF(OR(H532="",E532="",C532="",D532=""),"",IF(C532+D532=0,"",(H532*D532+E532*C532)/(C532+D532)))</f>
        <v/>
      </c>
      <c r="J532" s="59"/>
      <c r="K532" s="61">
        <f>IF(OR(J532="",I532=""),"",J532-I532)</f>
        <v/>
      </c>
      <c r="L532" s="61">
        <f>IF(OR(J532="",G532=""),"",J532-G532)</f>
        <v/>
      </c>
      <c r="M532" s="59"/>
      <c r="N532" s="59"/>
      <c r="O532" s="59"/>
      <c r="P532" s="59"/>
      <c r="Q532" s="59"/>
      <c r="R532" s="60">
        <f>IF(AND(P532="",Q532=""),"",N(P532)+N(Q532))</f>
        <v/>
      </c>
      <c r="S532" s="59"/>
      <c r="T532" s="59"/>
      <c r="U532" s="62">
        <f>IF(OR(R532="",S532="",T532=""),"",IF(S532+T532=0,"",R532/(S532+T532)))</f>
        <v/>
      </c>
      <c r="V532" s="63"/>
      <c r="W532" s="64"/>
      <c r="X532" s="63"/>
    </row>
    <row r="533" spans="2:24">
      <c r="B533" s="58"/>
      <c r="C533" s="59"/>
      <c r="D533" s="59"/>
      <c r="E533" s="59"/>
      <c r="F533" s="59"/>
      <c r="G533" s="60">
        <f>IF(OR(E533="",F533="",C533="",D533=""),"",IF(C533+D533=0,"",(E533*C533+F533*D533)/(C533+D533)))</f>
        <v/>
      </c>
      <c r="H533" s="59"/>
      <c r="I533" s="60">
        <f>IF(OR(H533="",E533="",C533="",D533=""),"",IF(C533+D533=0,"",(H533*D533+E533*C533)/(C533+D533)))</f>
        <v/>
      </c>
      <c r="J533" s="59"/>
      <c r="K533" s="61">
        <f>IF(OR(J533="",I533=""),"",J533-I533)</f>
        <v/>
      </c>
      <c r="L533" s="61">
        <f>IF(OR(J533="",G533=""),"",J533-G533)</f>
        <v/>
      </c>
      <c r="M533" s="59"/>
      <c r="N533" s="59"/>
      <c r="O533" s="59"/>
      <c r="P533" s="59"/>
      <c r="Q533" s="59"/>
      <c r="R533" s="60">
        <f>IF(AND(P533="",Q533=""),"",N(P533)+N(Q533))</f>
        <v/>
      </c>
      <c r="S533" s="59"/>
      <c r="T533" s="59"/>
      <c r="U533" s="62">
        <f>IF(OR(R533="",S533="",T533=""),"",IF(S533+T533=0,"",R533/(S533+T533)))</f>
        <v/>
      </c>
      <c r="V533" s="63"/>
      <c r="W533" s="64"/>
      <c r="X533" s="63"/>
    </row>
    <row r="534" spans="2:24">
      <c r="B534" s="58"/>
      <c r="C534" s="59"/>
      <c r="D534" s="59"/>
      <c r="E534" s="59"/>
      <c r="F534" s="59"/>
      <c r="G534" s="60">
        <f>IF(OR(E534="",F534="",C534="",D534=""),"",IF(C534+D534=0,"",(E534*C534+F534*D534)/(C534+D534)))</f>
        <v/>
      </c>
      <c r="H534" s="59"/>
      <c r="I534" s="60">
        <f>IF(OR(H534="",E534="",C534="",D534=""),"",IF(C534+D534=0,"",(H534*D534+E534*C534)/(C534+D534)))</f>
        <v/>
      </c>
      <c r="J534" s="59"/>
      <c r="K534" s="61">
        <f>IF(OR(J534="",I534=""),"",J534-I534)</f>
        <v/>
      </c>
      <c r="L534" s="61">
        <f>IF(OR(J534="",G534=""),"",J534-G534)</f>
        <v/>
      </c>
      <c r="M534" s="59"/>
      <c r="N534" s="59"/>
      <c r="O534" s="59"/>
      <c r="P534" s="59"/>
      <c r="Q534" s="59"/>
      <c r="R534" s="60">
        <f>IF(AND(P534="",Q534=""),"",N(P534)+N(Q534))</f>
        <v/>
      </c>
      <c r="S534" s="59"/>
      <c r="T534" s="59"/>
      <c r="U534" s="62">
        <f>IF(OR(R534="",S534="",T534=""),"",IF(S534+T534=0,"",R534/(S534+T534)))</f>
        <v/>
      </c>
      <c r="V534" s="63"/>
      <c r="W534" s="64"/>
      <c r="X534" s="63"/>
    </row>
    <row r="535" spans="2:24">
      <c r="B535" s="58"/>
      <c r="C535" s="59"/>
      <c r="D535" s="59"/>
      <c r="E535" s="59"/>
      <c r="F535" s="59"/>
      <c r="G535" s="60">
        <f>IF(OR(E535="",F535="",C535="",D535=""),"",IF(C535+D535=0,"",(E535*C535+F535*D535)/(C535+D535)))</f>
        <v/>
      </c>
      <c r="H535" s="59"/>
      <c r="I535" s="60">
        <f>IF(OR(H535="",E535="",C535="",D535=""),"",IF(C535+D535=0,"",(H535*D535+E535*C535)/(C535+D535)))</f>
        <v/>
      </c>
      <c r="J535" s="59"/>
      <c r="K535" s="61">
        <f>IF(OR(J535="",I535=""),"",J535-I535)</f>
        <v/>
      </c>
      <c r="L535" s="61">
        <f>IF(OR(J535="",G535=""),"",J535-G535)</f>
        <v/>
      </c>
      <c r="M535" s="59"/>
      <c r="N535" s="59"/>
      <c r="O535" s="59"/>
      <c r="P535" s="59"/>
      <c r="Q535" s="59"/>
      <c r="R535" s="60">
        <f>IF(AND(P535="",Q535=""),"",N(P535)+N(Q535))</f>
        <v/>
      </c>
      <c r="S535" s="59"/>
      <c r="T535" s="59"/>
      <c r="U535" s="62">
        <f>IF(OR(R535="",S535="",T535=""),"",IF(S535+T535=0,"",R535/(S535+T535)))</f>
        <v/>
      </c>
      <c r="V535" s="63"/>
      <c r="W535" s="64"/>
      <c r="X535" s="63"/>
    </row>
    <row r="536" spans="2:24">
      <c r="B536" s="58"/>
      <c r="C536" s="59"/>
      <c r="D536" s="59"/>
      <c r="E536" s="59"/>
      <c r="F536" s="59"/>
      <c r="G536" s="60">
        <f>IF(OR(E536="",F536="",C536="",D536=""),"",IF(C536+D536=0,"",(E536*C536+F536*D536)/(C536+D536)))</f>
        <v/>
      </c>
      <c r="H536" s="59"/>
      <c r="I536" s="60">
        <f>IF(OR(H536="",E536="",C536="",D536=""),"",IF(C536+D536=0,"",(H536*D536+E536*C536)/(C536+D536)))</f>
        <v/>
      </c>
      <c r="J536" s="59"/>
      <c r="K536" s="61">
        <f>IF(OR(J536="",I536=""),"",J536-I536)</f>
        <v/>
      </c>
      <c r="L536" s="61">
        <f>IF(OR(J536="",G536=""),"",J536-G536)</f>
        <v/>
      </c>
      <c r="M536" s="59"/>
      <c r="N536" s="59"/>
      <c r="O536" s="59"/>
      <c r="P536" s="59"/>
      <c r="Q536" s="59"/>
      <c r="R536" s="60">
        <f>IF(AND(P536="",Q536=""),"",N(P536)+N(Q536))</f>
        <v/>
      </c>
      <c r="S536" s="59"/>
      <c r="T536" s="59"/>
      <c r="U536" s="62">
        <f>IF(OR(R536="",S536="",T536=""),"",IF(S536+T536=0,"",R536/(S536+T536)))</f>
        <v/>
      </c>
      <c r="V536" s="63"/>
      <c r="W536" s="64"/>
      <c r="X536" s="63"/>
    </row>
    <row r="537" spans="2:24">
      <c r="B537" s="58"/>
      <c r="C537" s="59"/>
      <c r="D537" s="59"/>
      <c r="E537" s="59"/>
      <c r="F537" s="59"/>
      <c r="G537" s="60">
        <f>IF(OR(E537="",F537="",C537="",D537=""),"",IF(C537+D537=0,"",(E537*C537+F537*D537)/(C537+D537)))</f>
        <v/>
      </c>
      <c r="H537" s="59"/>
      <c r="I537" s="60">
        <f>IF(OR(H537="",E537="",C537="",D537=""),"",IF(C537+D537=0,"",(H537*D537+E537*C537)/(C537+D537)))</f>
        <v/>
      </c>
      <c r="J537" s="59"/>
      <c r="K537" s="61">
        <f>IF(OR(J537="",I537=""),"",J537-I537)</f>
        <v/>
      </c>
      <c r="L537" s="61">
        <f>IF(OR(J537="",G537=""),"",J537-G537)</f>
        <v/>
      </c>
      <c r="M537" s="59"/>
      <c r="N537" s="59"/>
      <c r="O537" s="59"/>
      <c r="P537" s="59"/>
      <c r="Q537" s="59"/>
      <c r="R537" s="60">
        <f>IF(AND(P537="",Q537=""),"",N(P537)+N(Q537))</f>
        <v/>
      </c>
      <c r="S537" s="59"/>
      <c r="T537" s="59"/>
      <c r="U537" s="62">
        <f>IF(OR(R537="",S537="",T537=""),"",IF(S537+T537=0,"",R537/(S537+T537)))</f>
        <v/>
      </c>
      <c r="V537" s="63"/>
      <c r="W537" s="64"/>
      <c r="X537" s="63"/>
    </row>
    <row r="538" spans="2:24">
      <c r="B538" s="58"/>
      <c r="C538" s="59"/>
      <c r="D538" s="59"/>
      <c r="E538" s="59"/>
      <c r="F538" s="59"/>
      <c r="G538" s="60">
        <f>IF(OR(E538="",F538="",C538="",D538=""),"",IF(C538+D538=0,"",(E538*C538+F538*D538)/(C538+D538)))</f>
        <v/>
      </c>
      <c r="H538" s="59"/>
      <c r="I538" s="60">
        <f>IF(OR(H538="",E538="",C538="",D538=""),"",IF(C538+D538=0,"",(H538*D538+E538*C538)/(C538+D538)))</f>
        <v/>
      </c>
      <c r="J538" s="59"/>
      <c r="K538" s="61">
        <f>IF(OR(J538="",I538=""),"",J538-I538)</f>
        <v/>
      </c>
      <c r="L538" s="61">
        <f>IF(OR(J538="",G538=""),"",J538-G538)</f>
        <v/>
      </c>
      <c r="M538" s="59"/>
      <c r="N538" s="59"/>
      <c r="O538" s="59"/>
      <c r="P538" s="59"/>
      <c r="Q538" s="59"/>
      <c r="R538" s="60">
        <f>IF(AND(P538="",Q538=""),"",N(P538)+N(Q538))</f>
        <v/>
      </c>
      <c r="S538" s="59"/>
      <c r="T538" s="59"/>
      <c r="U538" s="62">
        <f>IF(OR(R538="",S538="",T538=""),"",IF(S538+T538=0,"",R538/(S538+T538)))</f>
        <v/>
      </c>
      <c r="V538" s="63"/>
      <c r="W538" s="64"/>
      <c r="X538" s="63"/>
    </row>
    <row r="539" spans="2:24">
      <c r="B539" s="58"/>
      <c r="C539" s="59"/>
      <c r="D539" s="59"/>
      <c r="E539" s="59"/>
      <c r="F539" s="59"/>
      <c r="G539" s="60">
        <f>IF(OR(E539="",F539="",C539="",D539=""),"",IF(C539+D539=0,"",(E539*C539+F539*D539)/(C539+D539)))</f>
        <v/>
      </c>
      <c r="H539" s="59"/>
      <c r="I539" s="60">
        <f>IF(OR(H539="",E539="",C539="",D539=""),"",IF(C539+D539=0,"",(H539*D539+E539*C539)/(C539+D539)))</f>
        <v/>
      </c>
      <c r="J539" s="59"/>
      <c r="K539" s="61">
        <f>IF(OR(J539="",I539=""),"",J539-I539)</f>
        <v/>
      </c>
      <c r="L539" s="61">
        <f>IF(OR(J539="",G539=""),"",J539-G539)</f>
        <v/>
      </c>
      <c r="M539" s="59"/>
      <c r="N539" s="59"/>
      <c r="O539" s="59"/>
      <c r="P539" s="59"/>
      <c r="Q539" s="59"/>
      <c r="R539" s="60">
        <f>IF(AND(P539="",Q539=""),"",N(P539)+N(Q539))</f>
        <v/>
      </c>
      <c r="S539" s="59"/>
      <c r="T539" s="59"/>
      <c r="U539" s="62">
        <f>IF(OR(R539="",S539="",T539=""),"",IF(S539+T539=0,"",R539/(S539+T539)))</f>
        <v/>
      </c>
      <c r="V539" s="63"/>
      <c r="W539" s="64"/>
      <c r="X539" s="63"/>
    </row>
    <row r="540" spans="2:24">
      <c r="B540" s="58"/>
      <c r="C540" s="59"/>
      <c r="D540" s="59"/>
      <c r="E540" s="59"/>
      <c r="F540" s="59"/>
      <c r="G540" s="60">
        <f>IF(OR(E540="",F540="",C540="",D540=""),"",IF(C540+D540=0,"",(E540*C540+F540*D540)/(C540+D540)))</f>
        <v/>
      </c>
      <c r="H540" s="59"/>
      <c r="I540" s="60">
        <f>IF(OR(H540="",E540="",C540="",D540=""),"",IF(C540+D540=0,"",(H540*D540+E540*C540)/(C540+D540)))</f>
        <v/>
      </c>
      <c r="J540" s="59"/>
      <c r="K540" s="61">
        <f>IF(OR(J540="",I540=""),"",J540-I540)</f>
        <v/>
      </c>
      <c r="L540" s="61">
        <f>IF(OR(J540="",G540=""),"",J540-G540)</f>
        <v/>
      </c>
      <c r="M540" s="59"/>
      <c r="N540" s="59"/>
      <c r="O540" s="59"/>
      <c r="P540" s="59"/>
      <c r="Q540" s="59"/>
      <c r="R540" s="60">
        <f>IF(AND(P540="",Q540=""),"",N(P540)+N(Q540))</f>
        <v/>
      </c>
      <c r="S540" s="59"/>
      <c r="T540" s="59"/>
      <c r="U540" s="62">
        <f>IF(OR(R540="",S540="",T540=""),"",IF(S540+T540=0,"",R540/(S540+T540)))</f>
        <v/>
      </c>
      <c r="V540" s="63"/>
      <c r="W540" s="64"/>
      <c r="X540" s="63"/>
    </row>
    <row r="541" spans="2:24">
      <c r="B541" s="58"/>
      <c r="C541" s="59"/>
      <c r="D541" s="59"/>
      <c r="E541" s="59"/>
      <c r="F541" s="59"/>
      <c r="G541" s="60">
        <f>IF(OR(E541="",F541="",C541="",D541=""),"",IF(C541+D541=0,"",(E541*C541+F541*D541)/(C541+D541)))</f>
        <v/>
      </c>
      <c r="H541" s="59"/>
      <c r="I541" s="60">
        <f>IF(OR(H541="",E541="",C541="",D541=""),"",IF(C541+D541=0,"",(H541*D541+E541*C541)/(C541+D541)))</f>
        <v/>
      </c>
      <c r="J541" s="59"/>
      <c r="K541" s="61">
        <f>IF(OR(J541="",I541=""),"",J541-I541)</f>
        <v/>
      </c>
      <c r="L541" s="61">
        <f>IF(OR(J541="",G541=""),"",J541-G541)</f>
        <v/>
      </c>
      <c r="M541" s="59"/>
      <c r="N541" s="59"/>
      <c r="O541" s="59"/>
      <c r="P541" s="59"/>
      <c r="Q541" s="59"/>
      <c r="R541" s="60">
        <f>IF(AND(P541="",Q541=""),"",N(P541)+N(Q541))</f>
        <v/>
      </c>
      <c r="S541" s="59"/>
      <c r="T541" s="59"/>
      <c r="U541" s="62">
        <f>IF(OR(R541="",S541="",T541=""),"",IF(S541+T541=0,"",R541/(S541+T541)))</f>
        <v/>
      </c>
      <c r="V541" s="63"/>
      <c r="W541" s="64"/>
      <c r="X541" s="63"/>
    </row>
    <row r="542" spans="2:24">
      <c r="B542" s="58"/>
      <c r="C542" s="59"/>
      <c r="D542" s="59"/>
      <c r="E542" s="59"/>
      <c r="F542" s="59"/>
      <c r="G542" s="60">
        <f>IF(OR(E542="",F542="",C542="",D542=""),"",IF(C542+D542=0,"",(E542*C542+F542*D542)/(C542+D542)))</f>
        <v/>
      </c>
      <c r="H542" s="59"/>
      <c r="I542" s="60">
        <f>IF(OR(H542="",E542="",C542="",D542=""),"",IF(C542+D542=0,"",(H542*D542+E542*C542)/(C542+D542)))</f>
        <v/>
      </c>
      <c r="J542" s="59"/>
      <c r="K542" s="61">
        <f>IF(OR(J542="",I542=""),"",J542-I542)</f>
        <v/>
      </c>
      <c r="L542" s="61">
        <f>IF(OR(J542="",G542=""),"",J542-G542)</f>
        <v/>
      </c>
      <c r="M542" s="59"/>
      <c r="N542" s="59"/>
      <c r="O542" s="59"/>
      <c r="P542" s="59"/>
      <c r="Q542" s="59"/>
      <c r="R542" s="60">
        <f>IF(AND(P542="",Q542=""),"",N(P542)+N(Q542))</f>
        <v/>
      </c>
      <c r="S542" s="59"/>
      <c r="T542" s="59"/>
      <c r="U542" s="62">
        <f>IF(OR(R542="",S542="",T542=""),"",IF(S542+T542=0,"",R542/(S542+T542)))</f>
        <v/>
      </c>
      <c r="V542" s="63"/>
      <c r="W542" s="64"/>
      <c r="X542" s="63"/>
    </row>
    <row r="543" spans="2:24">
      <c r="B543" s="58"/>
      <c r="C543" s="59"/>
      <c r="D543" s="59"/>
      <c r="E543" s="59"/>
      <c r="F543" s="59"/>
      <c r="G543" s="60">
        <f>IF(OR(E543="",F543="",C543="",D543=""),"",IF(C543+D543=0,"",(E543*C543+F543*D543)/(C543+D543)))</f>
        <v/>
      </c>
      <c r="H543" s="59"/>
      <c r="I543" s="60">
        <f>IF(OR(H543="",E543="",C543="",D543=""),"",IF(C543+D543=0,"",(H543*D543+E543*C543)/(C543+D543)))</f>
        <v/>
      </c>
      <c r="J543" s="59"/>
      <c r="K543" s="61">
        <f>IF(OR(J543="",I543=""),"",J543-I543)</f>
        <v/>
      </c>
      <c r="L543" s="61">
        <f>IF(OR(J543="",G543=""),"",J543-G543)</f>
        <v/>
      </c>
      <c r="M543" s="59"/>
      <c r="N543" s="59"/>
      <c r="O543" s="59"/>
      <c r="P543" s="59"/>
      <c r="Q543" s="59"/>
      <c r="R543" s="60">
        <f>IF(AND(P543="",Q543=""),"",N(P543)+N(Q543))</f>
        <v/>
      </c>
      <c r="S543" s="59"/>
      <c r="T543" s="59"/>
      <c r="U543" s="62">
        <f>IF(OR(R543="",S543="",T543=""),"",IF(S543+T543=0,"",R543/(S543+T543)))</f>
        <v/>
      </c>
      <c r="V543" s="63"/>
      <c r="W543" s="64"/>
      <c r="X543" s="63"/>
    </row>
    <row r="544" spans="2:24">
      <c r="B544" s="58"/>
      <c r="C544" s="59"/>
      <c r="D544" s="59"/>
      <c r="E544" s="59"/>
      <c r="F544" s="59"/>
      <c r="G544" s="60">
        <f>IF(OR(E544="",F544="",C544="",D544=""),"",IF(C544+D544=0,"",(E544*C544+F544*D544)/(C544+D544)))</f>
        <v/>
      </c>
      <c r="H544" s="59"/>
      <c r="I544" s="60">
        <f>IF(OR(H544="",E544="",C544="",D544=""),"",IF(C544+D544=0,"",(H544*D544+E544*C544)/(C544+D544)))</f>
        <v/>
      </c>
      <c r="J544" s="59"/>
      <c r="K544" s="61">
        <f>IF(OR(J544="",I544=""),"",J544-I544)</f>
        <v/>
      </c>
      <c r="L544" s="61">
        <f>IF(OR(J544="",G544=""),"",J544-G544)</f>
        <v/>
      </c>
      <c r="M544" s="59"/>
      <c r="N544" s="59"/>
      <c r="O544" s="59"/>
      <c r="P544" s="59"/>
      <c r="Q544" s="59"/>
      <c r="R544" s="60">
        <f>IF(AND(P544="",Q544=""),"",N(P544)+N(Q544))</f>
        <v/>
      </c>
      <c r="S544" s="59"/>
      <c r="T544" s="59"/>
      <c r="U544" s="62">
        <f>IF(OR(R544="",S544="",T544=""),"",IF(S544+T544=0,"",R544/(S544+T544)))</f>
        <v/>
      </c>
      <c r="V544" s="63"/>
      <c r="W544" s="64"/>
      <c r="X544" s="63"/>
    </row>
    <row r="545" spans="2:24">
      <c r="B545" s="58"/>
      <c r="C545" s="59"/>
      <c r="D545" s="59"/>
      <c r="E545" s="59"/>
      <c r="F545" s="59"/>
      <c r="G545" s="60">
        <f>IF(OR(E545="",F545="",C545="",D545=""),"",IF(C545+D545=0,"",(E545*C545+F545*D545)/(C545+D545)))</f>
        <v/>
      </c>
      <c r="H545" s="59"/>
      <c r="I545" s="60">
        <f>IF(OR(H545="",E545="",C545="",D545=""),"",IF(C545+D545=0,"",(H545*D545+E545*C545)/(C545+D545)))</f>
        <v/>
      </c>
      <c r="J545" s="59"/>
      <c r="K545" s="61">
        <f>IF(OR(J545="",I545=""),"",J545-I545)</f>
        <v/>
      </c>
      <c r="L545" s="61">
        <f>IF(OR(J545="",G545=""),"",J545-G545)</f>
        <v/>
      </c>
      <c r="M545" s="59"/>
      <c r="N545" s="59"/>
      <c r="O545" s="59"/>
      <c r="P545" s="59"/>
      <c r="Q545" s="59"/>
      <c r="R545" s="60">
        <f>IF(AND(P545="",Q545=""),"",N(P545)+N(Q545))</f>
        <v/>
      </c>
      <c r="S545" s="59"/>
      <c r="T545" s="59"/>
      <c r="U545" s="62">
        <f>IF(OR(R545="",S545="",T545=""),"",IF(S545+T545=0,"",R545/(S545+T545)))</f>
        <v/>
      </c>
      <c r="V545" s="63"/>
      <c r="W545" s="64"/>
      <c r="X545" s="63"/>
    </row>
    <row r="546" spans="2:24">
      <c r="B546" s="58"/>
      <c r="C546" s="59"/>
      <c r="D546" s="59"/>
      <c r="E546" s="59"/>
      <c r="F546" s="59"/>
      <c r="G546" s="60">
        <f>IF(OR(E546="",F546="",C546="",D546=""),"",IF(C546+D546=0,"",(E546*C546+F546*D546)/(C546+D546)))</f>
        <v/>
      </c>
      <c r="H546" s="59"/>
      <c r="I546" s="60">
        <f>IF(OR(H546="",E546="",C546="",D546=""),"",IF(C546+D546=0,"",(H546*D546+E546*C546)/(C546+D546)))</f>
        <v/>
      </c>
      <c r="J546" s="59"/>
      <c r="K546" s="61">
        <f>IF(OR(J546="",I546=""),"",J546-I546)</f>
        <v/>
      </c>
      <c r="L546" s="61">
        <f>IF(OR(J546="",G546=""),"",J546-G546)</f>
        <v/>
      </c>
      <c r="M546" s="59"/>
      <c r="N546" s="59"/>
      <c r="O546" s="59"/>
      <c r="P546" s="59"/>
      <c r="Q546" s="59"/>
      <c r="R546" s="60">
        <f>IF(AND(P546="",Q546=""),"",N(P546)+N(Q546))</f>
        <v/>
      </c>
      <c r="S546" s="59"/>
      <c r="T546" s="59"/>
      <c r="U546" s="62">
        <f>IF(OR(R546="",S546="",T546=""),"",IF(S546+T546=0,"",R546/(S546+T546)))</f>
        <v/>
      </c>
      <c r="V546" s="63"/>
      <c r="W546" s="64"/>
      <c r="X546" s="63"/>
    </row>
    <row r="547" spans="2:24">
      <c r="B547" s="58"/>
      <c r="C547" s="59"/>
      <c r="D547" s="59"/>
      <c r="E547" s="59"/>
      <c r="F547" s="59"/>
      <c r="G547" s="60">
        <f>IF(OR(E547="",F547="",C547="",D547=""),"",IF(C547+D547=0,"",(E547*C547+F547*D547)/(C547+D547)))</f>
        <v/>
      </c>
      <c r="H547" s="59"/>
      <c r="I547" s="60">
        <f>IF(OR(H547="",E547="",C547="",D547=""),"",IF(C547+D547=0,"",(H547*D547+E547*C547)/(C547+D547)))</f>
        <v/>
      </c>
      <c r="J547" s="59"/>
      <c r="K547" s="61">
        <f>IF(OR(J547="",I547=""),"",J547-I547)</f>
        <v/>
      </c>
      <c r="L547" s="61">
        <f>IF(OR(J547="",G547=""),"",J547-G547)</f>
        <v/>
      </c>
      <c r="M547" s="59"/>
      <c r="N547" s="59"/>
      <c r="O547" s="59"/>
      <c r="P547" s="59"/>
      <c r="Q547" s="59"/>
      <c r="R547" s="60">
        <f>IF(AND(P547="",Q547=""),"",N(P547)+N(Q547))</f>
        <v/>
      </c>
      <c r="S547" s="59"/>
      <c r="T547" s="59"/>
      <c r="U547" s="62">
        <f>IF(OR(R547="",S547="",T547=""),"",IF(S547+T547=0,"",R547/(S547+T547)))</f>
        <v/>
      </c>
      <c r="V547" s="63"/>
      <c r="W547" s="64"/>
      <c r="X547" s="63"/>
    </row>
    <row r="548" spans="2:24">
      <c r="B548" s="58"/>
      <c r="C548" s="59"/>
      <c r="D548" s="59"/>
      <c r="E548" s="59"/>
      <c r="F548" s="59"/>
      <c r="G548" s="60">
        <f>IF(OR(E548="",F548="",C548="",D548=""),"",IF(C548+D548=0,"",(E548*C548+F548*D548)/(C548+D548)))</f>
        <v/>
      </c>
      <c r="H548" s="59"/>
      <c r="I548" s="60">
        <f>IF(OR(H548="",E548="",C548="",D548=""),"",IF(C548+D548=0,"",(H548*D548+E548*C548)/(C548+D548)))</f>
        <v/>
      </c>
      <c r="J548" s="59"/>
      <c r="K548" s="61">
        <f>IF(OR(J548="",I548=""),"",J548-I548)</f>
        <v/>
      </c>
      <c r="L548" s="61">
        <f>IF(OR(J548="",G548=""),"",J548-G548)</f>
        <v/>
      </c>
      <c r="M548" s="59"/>
      <c r="N548" s="59"/>
      <c r="O548" s="59"/>
      <c r="P548" s="59"/>
      <c r="Q548" s="59"/>
      <c r="R548" s="60">
        <f>IF(AND(P548="",Q548=""),"",N(P548)+N(Q548))</f>
        <v/>
      </c>
      <c r="S548" s="59"/>
      <c r="T548" s="59"/>
      <c r="U548" s="62">
        <f>IF(OR(R548="",S548="",T548=""),"",IF(S548+T548=0,"",R548/(S548+T548)))</f>
        <v/>
      </c>
      <c r="V548" s="63"/>
      <c r="W548" s="64"/>
      <c r="X548" s="63"/>
    </row>
    <row r="549" spans="2:24">
      <c r="B549" s="58"/>
      <c r="C549" s="59"/>
      <c r="D549" s="59"/>
      <c r="E549" s="59"/>
      <c r="F549" s="59"/>
      <c r="G549" s="60">
        <f>IF(OR(E549="",F549="",C549="",D549=""),"",IF(C549+D549=0,"",(E549*C549+F549*D549)/(C549+D549)))</f>
        <v/>
      </c>
      <c r="H549" s="59"/>
      <c r="I549" s="60">
        <f>IF(OR(H549="",E549="",C549="",D549=""),"",IF(C549+D549=0,"",(H549*D549+E549*C549)/(C549+D549)))</f>
        <v/>
      </c>
      <c r="J549" s="59"/>
      <c r="K549" s="61">
        <f>IF(OR(J549="",I549=""),"",J549-I549)</f>
        <v/>
      </c>
      <c r="L549" s="61">
        <f>IF(OR(J549="",G549=""),"",J549-G549)</f>
        <v/>
      </c>
      <c r="M549" s="59"/>
      <c r="N549" s="59"/>
      <c r="O549" s="59"/>
      <c r="P549" s="59"/>
      <c r="Q549" s="59"/>
      <c r="R549" s="60">
        <f>IF(AND(P549="",Q549=""),"",N(P549)+N(Q549))</f>
        <v/>
      </c>
      <c r="S549" s="59"/>
      <c r="T549" s="59"/>
      <c r="U549" s="62">
        <f>IF(OR(R549="",S549="",T549=""),"",IF(S549+T549=0,"",R549/(S549+T549)))</f>
        <v/>
      </c>
      <c r="V549" s="63"/>
      <c r="W549" s="64"/>
      <c r="X549" s="63"/>
    </row>
    <row r="550" spans="2:24">
      <c r="B550" s="58"/>
      <c r="C550" s="59"/>
      <c r="D550" s="59"/>
      <c r="E550" s="59"/>
      <c r="F550" s="59"/>
      <c r="G550" s="60">
        <f>IF(OR(E550="",F550="",C550="",D550=""),"",IF(C550+D550=0,"",(E550*C550+F550*D550)/(C550+D550)))</f>
        <v/>
      </c>
      <c r="H550" s="59"/>
      <c r="I550" s="60">
        <f>IF(OR(H550="",E550="",C550="",D550=""),"",IF(C550+D550=0,"",(H550*D550+E550*C550)/(C550+D550)))</f>
        <v/>
      </c>
      <c r="J550" s="59"/>
      <c r="K550" s="61">
        <f>IF(OR(J550="",I550=""),"",J550-I550)</f>
        <v/>
      </c>
      <c r="L550" s="61">
        <f>IF(OR(J550="",G550=""),"",J550-G550)</f>
        <v/>
      </c>
      <c r="M550" s="59"/>
      <c r="N550" s="59"/>
      <c r="O550" s="59"/>
      <c r="P550" s="59"/>
      <c r="Q550" s="59"/>
      <c r="R550" s="60">
        <f>IF(AND(P550="",Q550=""),"",N(P550)+N(Q550))</f>
        <v/>
      </c>
      <c r="S550" s="59"/>
      <c r="T550" s="59"/>
      <c r="U550" s="62">
        <f>IF(OR(R550="",S550="",T550=""),"",IF(S550+T550=0,"",R550/(S550+T550)))</f>
        <v/>
      </c>
      <c r="V550" s="63"/>
      <c r="W550" s="64"/>
      <c r="X550" s="63"/>
    </row>
    <row r="551" spans="2:24">
      <c r="B551" s="58"/>
      <c r="C551" s="59"/>
      <c r="D551" s="59"/>
      <c r="E551" s="59"/>
      <c r="F551" s="59"/>
      <c r="G551" s="60">
        <f>IF(OR(E551="",F551="",C551="",D551=""),"",IF(C551+D551=0,"",(E551*C551+F551*D551)/(C551+D551)))</f>
        <v/>
      </c>
      <c r="H551" s="59"/>
      <c r="I551" s="60">
        <f>IF(OR(H551="",E551="",C551="",D551=""),"",IF(C551+D551=0,"",(H551*D551+E551*C551)/(C551+D551)))</f>
        <v/>
      </c>
      <c r="J551" s="59"/>
      <c r="K551" s="61">
        <f>IF(OR(J551="",I551=""),"",J551-I551)</f>
        <v/>
      </c>
      <c r="L551" s="61">
        <f>IF(OR(J551="",G551=""),"",J551-G551)</f>
        <v/>
      </c>
      <c r="M551" s="59"/>
      <c r="N551" s="59"/>
      <c r="O551" s="59"/>
      <c r="P551" s="59"/>
      <c r="Q551" s="59"/>
      <c r="R551" s="60">
        <f>IF(AND(P551="",Q551=""),"",N(P551)+N(Q551))</f>
        <v/>
      </c>
      <c r="S551" s="59"/>
      <c r="T551" s="59"/>
      <c r="U551" s="62">
        <f>IF(OR(R551="",S551="",T551=""),"",IF(S551+T551=0,"",R551/(S551+T551)))</f>
        <v/>
      </c>
      <c r="V551" s="63"/>
      <c r="W551" s="64"/>
      <c r="X551" s="63"/>
    </row>
    <row r="552" spans="2:24">
      <c r="B552" s="58"/>
      <c r="C552" s="59"/>
      <c r="D552" s="59"/>
      <c r="E552" s="59"/>
      <c r="F552" s="59"/>
      <c r="G552" s="60">
        <f>IF(OR(E552="",F552="",C552="",D552=""),"",IF(C552+D552=0,"",(E552*C552+F552*D552)/(C552+D552)))</f>
        <v/>
      </c>
      <c r="H552" s="59"/>
      <c r="I552" s="60">
        <f>IF(OR(H552="",E552="",C552="",D552=""),"",IF(C552+D552=0,"",(H552*D552+E552*C552)/(C552+D552)))</f>
        <v/>
      </c>
      <c r="J552" s="59"/>
      <c r="K552" s="61">
        <f>IF(OR(J552="",I552=""),"",J552-I552)</f>
        <v/>
      </c>
      <c r="L552" s="61">
        <f>IF(OR(J552="",G552=""),"",J552-G552)</f>
        <v/>
      </c>
      <c r="M552" s="59"/>
      <c r="N552" s="59"/>
      <c r="O552" s="59"/>
      <c r="P552" s="59"/>
      <c r="Q552" s="59"/>
      <c r="R552" s="60">
        <f>IF(AND(P552="",Q552=""),"",N(P552)+N(Q552))</f>
        <v/>
      </c>
      <c r="S552" s="59"/>
      <c r="T552" s="59"/>
      <c r="U552" s="62">
        <f>IF(OR(R552="",S552="",T552=""),"",IF(S552+T552=0,"",R552/(S552+T552)))</f>
        <v/>
      </c>
      <c r="V552" s="63"/>
      <c r="W552" s="64"/>
      <c r="X552" s="63"/>
    </row>
    <row r="553" spans="2:24">
      <c r="B553" s="58"/>
      <c r="C553" s="59"/>
      <c r="D553" s="59"/>
      <c r="E553" s="59"/>
      <c r="F553" s="59"/>
      <c r="G553" s="60">
        <f>IF(OR(E553="",F553="",C553="",D553=""),"",IF(C553+D553=0,"",(E553*C553+F553*D553)/(C553+D553)))</f>
        <v/>
      </c>
      <c r="H553" s="59"/>
      <c r="I553" s="60">
        <f>IF(OR(H553="",E553="",C553="",D553=""),"",IF(C553+D553=0,"",(H553*D553+E553*C553)/(C553+D553)))</f>
        <v/>
      </c>
      <c r="J553" s="59"/>
      <c r="K553" s="61">
        <f>IF(OR(J553="",I553=""),"",J553-I553)</f>
        <v/>
      </c>
      <c r="L553" s="61">
        <f>IF(OR(J553="",G553=""),"",J553-G553)</f>
        <v/>
      </c>
      <c r="M553" s="59"/>
      <c r="N553" s="59"/>
      <c r="O553" s="59"/>
      <c r="P553" s="59"/>
      <c r="Q553" s="59"/>
      <c r="R553" s="60">
        <f>IF(AND(P553="",Q553=""),"",N(P553)+N(Q553))</f>
        <v/>
      </c>
      <c r="S553" s="59"/>
      <c r="T553" s="59"/>
      <c r="U553" s="62">
        <f>IF(OR(R553="",S553="",T553=""),"",IF(S553+T553=0,"",R553/(S553+T553)))</f>
        <v/>
      </c>
      <c r="V553" s="63"/>
      <c r="W553" s="64"/>
      <c r="X553" s="63"/>
    </row>
    <row r="554" spans="2:24">
      <c r="B554" s="58"/>
      <c r="C554" s="59"/>
      <c r="D554" s="59"/>
      <c r="E554" s="59"/>
      <c r="F554" s="59"/>
      <c r="G554" s="60">
        <f>IF(OR(E554="",F554="",C554="",D554=""),"",IF(C554+D554=0,"",(E554*C554+F554*D554)/(C554+D554)))</f>
        <v/>
      </c>
      <c r="H554" s="59"/>
      <c r="I554" s="60">
        <f>IF(OR(H554="",E554="",C554="",D554=""),"",IF(C554+D554=0,"",(H554*D554+E554*C554)/(C554+D554)))</f>
        <v/>
      </c>
      <c r="J554" s="59"/>
      <c r="K554" s="61">
        <f>IF(OR(J554="",I554=""),"",J554-I554)</f>
        <v/>
      </c>
      <c r="L554" s="61">
        <f>IF(OR(J554="",G554=""),"",J554-G554)</f>
        <v/>
      </c>
      <c r="M554" s="59"/>
      <c r="N554" s="59"/>
      <c r="O554" s="59"/>
      <c r="P554" s="59"/>
      <c r="Q554" s="59"/>
      <c r="R554" s="60">
        <f>IF(AND(P554="",Q554=""),"",N(P554)+N(Q554))</f>
        <v/>
      </c>
      <c r="S554" s="59"/>
      <c r="T554" s="59"/>
      <c r="U554" s="62">
        <f>IF(OR(R554="",S554="",T554=""),"",IF(S554+T554=0,"",R554/(S554+T554)))</f>
        <v/>
      </c>
      <c r="V554" s="63"/>
      <c r="W554" s="64"/>
      <c r="X554" s="63"/>
    </row>
    <row r="555" spans="2:24">
      <c r="B555" s="58"/>
      <c r="C555" s="59"/>
      <c r="D555" s="59"/>
      <c r="E555" s="59"/>
      <c r="F555" s="59"/>
      <c r="G555" s="60">
        <f>IF(OR(E555="",F555="",C555="",D555=""),"",IF(C555+D555=0,"",(E555*C555+F555*D555)/(C555+D555)))</f>
        <v/>
      </c>
      <c r="H555" s="59"/>
      <c r="I555" s="60">
        <f>IF(OR(H555="",E555="",C555="",D555=""),"",IF(C555+D555=0,"",(H555*D555+E555*C555)/(C555+D555)))</f>
        <v/>
      </c>
      <c r="J555" s="59"/>
      <c r="K555" s="61">
        <f>IF(OR(J555="",I555=""),"",J555-I555)</f>
        <v/>
      </c>
      <c r="L555" s="61">
        <f>IF(OR(J555="",G555=""),"",J555-G555)</f>
        <v/>
      </c>
      <c r="M555" s="59"/>
      <c r="N555" s="59"/>
      <c r="O555" s="59"/>
      <c r="P555" s="59"/>
      <c r="Q555" s="59"/>
      <c r="R555" s="60">
        <f>IF(AND(P555="",Q555=""),"",N(P555)+N(Q555))</f>
        <v/>
      </c>
      <c r="S555" s="59"/>
      <c r="T555" s="59"/>
      <c r="U555" s="62">
        <f>IF(OR(R555="",S555="",T555=""),"",IF(S555+T555=0,"",R555/(S555+T555)))</f>
        <v/>
      </c>
      <c r="V555" s="63"/>
      <c r="W555" s="64"/>
      <c r="X555" s="63"/>
    </row>
    <row r="556" spans="2:24">
      <c r="B556" s="58"/>
      <c r="C556" s="59"/>
      <c r="D556" s="59"/>
      <c r="E556" s="59"/>
      <c r="F556" s="59"/>
      <c r="G556" s="60">
        <f>IF(OR(E556="",F556="",C556="",D556=""),"",IF(C556+D556=0,"",(E556*C556+F556*D556)/(C556+D556)))</f>
        <v/>
      </c>
      <c r="H556" s="59"/>
      <c r="I556" s="60">
        <f>IF(OR(H556="",E556="",C556="",D556=""),"",IF(C556+D556=0,"",(H556*D556+E556*C556)/(C556+D556)))</f>
        <v/>
      </c>
      <c r="J556" s="59"/>
      <c r="K556" s="61">
        <f>IF(OR(J556="",I556=""),"",J556-I556)</f>
        <v/>
      </c>
      <c r="L556" s="61">
        <f>IF(OR(J556="",G556=""),"",J556-G556)</f>
        <v/>
      </c>
      <c r="M556" s="59"/>
      <c r="N556" s="59"/>
      <c r="O556" s="59"/>
      <c r="P556" s="59"/>
      <c r="Q556" s="59"/>
      <c r="R556" s="60">
        <f>IF(AND(P556="",Q556=""),"",N(P556)+N(Q556))</f>
        <v/>
      </c>
      <c r="S556" s="59"/>
      <c r="T556" s="59"/>
      <c r="U556" s="62">
        <f>IF(OR(R556="",S556="",T556=""),"",IF(S556+T556=0,"",R556/(S556+T556)))</f>
        <v/>
      </c>
      <c r="V556" s="63"/>
      <c r="W556" s="64"/>
      <c r="X556" s="63"/>
    </row>
    <row r="557" spans="2:24">
      <c r="B557" s="58"/>
      <c r="C557" s="59"/>
      <c r="D557" s="59"/>
      <c r="E557" s="59"/>
      <c r="F557" s="59"/>
      <c r="G557" s="60">
        <f>IF(OR(E557="",F557="",C557="",D557=""),"",IF(C557+D557=0,"",(E557*C557+F557*D557)/(C557+D557)))</f>
        <v/>
      </c>
      <c r="H557" s="59"/>
      <c r="I557" s="60">
        <f>IF(OR(H557="",E557="",C557="",D557=""),"",IF(C557+D557=0,"",(H557*D557+E557*C557)/(C557+D557)))</f>
        <v/>
      </c>
      <c r="J557" s="59"/>
      <c r="K557" s="61">
        <f>IF(OR(J557="",I557=""),"",J557-I557)</f>
        <v/>
      </c>
      <c r="L557" s="61">
        <f>IF(OR(J557="",G557=""),"",J557-G557)</f>
        <v/>
      </c>
      <c r="M557" s="59"/>
      <c r="N557" s="59"/>
      <c r="O557" s="59"/>
      <c r="P557" s="59"/>
      <c r="Q557" s="59"/>
      <c r="R557" s="60">
        <f>IF(AND(P557="",Q557=""),"",N(P557)+N(Q557))</f>
        <v/>
      </c>
      <c r="S557" s="59"/>
      <c r="T557" s="59"/>
      <c r="U557" s="62">
        <f>IF(OR(R557="",S557="",T557=""),"",IF(S557+T557=0,"",R557/(S557+T557)))</f>
        <v/>
      </c>
      <c r="V557" s="63"/>
      <c r="W557" s="64"/>
      <c r="X557" s="63"/>
    </row>
    <row r="558" spans="2:24">
      <c r="B558" s="58"/>
      <c r="C558" s="59"/>
      <c r="D558" s="59"/>
      <c r="E558" s="59"/>
      <c r="F558" s="59"/>
      <c r="G558" s="60">
        <f>IF(OR(E558="",F558="",C558="",D558=""),"",IF(C558+D558=0,"",(E558*C558+F558*D558)/(C558+D558)))</f>
        <v/>
      </c>
      <c r="H558" s="59"/>
      <c r="I558" s="60">
        <f>IF(OR(H558="",E558="",C558="",D558=""),"",IF(C558+D558=0,"",(H558*D558+E558*C558)/(C558+D558)))</f>
        <v/>
      </c>
      <c r="J558" s="59"/>
      <c r="K558" s="61">
        <f>IF(OR(J558="",I558=""),"",J558-I558)</f>
        <v/>
      </c>
      <c r="L558" s="61">
        <f>IF(OR(J558="",G558=""),"",J558-G558)</f>
        <v/>
      </c>
      <c r="M558" s="59"/>
      <c r="N558" s="59"/>
      <c r="O558" s="59"/>
      <c r="P558" s="59"/>
      <c r="Q558" s="59"/>
      <c r="R558" s="60">
        <f>IF(AND(P558="",Q558=""),"",N(P558)+N(Q558))</f>
        <v/>
      </c>
      <c r="S558" s="59"/>
      <c r="T558" s="59"/>
      <c r="U558" s="62">
        <f>IF(OR(R558="",S558="",T558=""),"",IF(S558+T558=0,"",R558/(S558+T558)))</f>
        <v/>
      </c>
      <c r="V558" s="63"/>
      <c r="W558" s="64"/>
      <c r="X558" s="63"/>
    </row>
    <row r="559" spans="2:24">
      <c r="B559" s="58"/>
      <c r="C559" s="59"/>
      <c r="D559" s="59"/>
      <c r="E559" s="59"/>
      <c r="F559" s="59"/>
      <c r="G559" s="60">
        <f>IF(OR(E559="",F559="",C559="",D559=""),"",IF(C559+D559=0,"",(E559*C559+F559*D559)/(C559+D559)))</f>
        <v/>
      </c>
      <c r="H559" s="59"/>
      <c r="I559" s="60">
        <f>IF(OR(H559="",E559="",C559="",D559=""),"",IF(C559+D559=0,"",(H559*D559+E559*C559)/(C559+D559)))</f>
        <v/>
      </c>
      <c r="J559" s="59"/>
      <c r="K559" s="61">
        <f>IF(OR(J559="",I559=""),"",J559-I559)</f>
        <v/>
      </c>
      <c r="L559" s="61">
        <f>IF(OR(J559="",G559=""),"",J559-G559)</f>
        <v/>
      </c>
      <c r="M559" s="59"/>
      <c r="N559" s="59"/>
      <c r="O559" s="59"/>
      <c r="P559" s="59"/>
      <c r="Q559" s="59"/>
      <c r="R559" s="60">
        <f>IF(AND(P559="",Q559=""),"",N(P559)+N(Q559))</f>
        <v/>
      </c>
      <c r="S559" s="59"/>
      <c r="T559" s="59"/>
      <c r="U559" s="62">
        <f>IF(OR(R559="",S559="",T559=""),"",IF(S559+T559=0,"",R559/(S559+T559)))</f>
        <v/>
      </c>
      <c r="V559" s="63"/>
      <c r="W559" s="64"/>
      <c r="X559" s="63"/>
    </row>
    <row r="560" spans="2:24">
      <c r="B560" s="58"/>
      <c r="C560" s="59"/>
      <c r="D560" s="59"/>
      <c r="E560" s="59"/>
      <c r="F560" s="59"/>
      <c r="G560" s="60">
        <f>IF(OR(E560="",F560="",C560="",D560=""),"",IF(C560+D560=0,"",(E560*C560+F560*D560)/(C560+D560)))</f>
        <v/>
      </c>
      <c r="H560" s="59"/>
      <c r="I560" s="60">
        <f>IF(OR(H560="",E560="",C560="",D560=""),"",IF(C560+D560=0,"",(H560*D560+E560*C560)/(C560+D560)))</f>
        <v/>
      </c>
      <c r="J560" s="59"/>
      <c r="K560" s="61">
        <f>IF(OR(J560="",I560=""),"",J560-I560)</f>
        <v/>
      </c>
      <c r="L560" s="61">
        <f>IF(OR(J560="",G560=""),"",J560-G560)</f>
        <v/>
      </c>
      <c r="M560" s="59"/>
      <c r="N560" s="59"/>
      <c r="O560" s="59"/>
      <c r="P560" s="59"/>
      <c r="Q560" s="59"/>
      <c r="R560" s="60">
        <f>IF(AND(P560="",Q560=""),"",N(P560)+N(Q560))</f>
        <v/>
      </c>
      <c r="S560" s="59"/>
      <c r="T560" s="59"/>
      <c r="U560" s="62">
        <f>IF(OR(R560="",S560="",T560=""),"",IF(S560+T560=0,"",R560/(S560+T560)))</f>
        <v/>
      </c>
      <c r="V560" s="63"/>
      <c r="W560" s="64"/>
      <c r="X560" s="63"/>
    </row>
    <row r="561" spans="2:24">
      <c r="B561" s="58"/>
      <c r="C561" s="59"/>
      <c r="D561" s="59"/>
      <c r="E561" s="59"/>
      <c r="F561" s="59"/>
      <c r="G561" s="60">
        <f>IF(OR(E561="",F561="",C561="",D561=""),"",IF(C561+D561=0,"",(E561*C561+F561*D561)/(C561+D561)))</f>
        <v/>
      </c>
      <c r="H561" s="59"/>
      <c r="I561" s="60">
        <f>IF(OR(H561="",E561="",C561="",D561=""),"",IF(C561+D561=0,"",(H561*D561+E561*C561)/(C561+D561)))</f>
        <v/>
      </c>
      <c r="J561" s="59"/>
      <c r="K561" s="61">
        <f>IF(OR(J561="",I561=""),"",J561-I561)</f>
        <v/>
      </c>
      <c r="L561" s="61">
        <f>IF(OR(J561="",G561=""),"",J561-G561)</f>
        <v/>
      </c>
      <c r="M561" s="59"/>
      <c r="N561" s="59"/>
      <c r="O561" s="59"/>
      <c r="P561" s="59"/>
      <c r="Q561" s="59"/>
      <c r="R561" s="60">
        <f>IF(AND(P561="",Q561=""),"",N(P561)+N(Q561))</f>
        <v/>
      </c>
      <c r="S561" s="59"/>
      <c r="T561" s="59"/>
      <c r="U561" s="62">
        <f>IF(OR(R561="",S561="",T561=""),"",IF(S561+T561=0,"",R561/(S561+T561)))</f>
        <v/>
      </c>
      <c r="V561" s="63"/>
      <c r="W561" s="64"/>
      <c r="X561" s="63"/>
    </row>
    <row r="562" spans="2:24">
      <c r="B562" s="58"/>
      <c r="C562" s="59"/>
      <c r="D562" s="59"/>
      <c r="E562" s="59"/>
      <c r="F562" s="59"/>
      <c r="G562" s="60">
        <f>IF(OR(E562="",F562="",C562="",D562=""),"",IF(C562+D562=0,"",(E562*C562+F562*D562)/(C562+D562)))</f>
        <v/>
      </c>
      <c r="H562" s="59"/>
      <c r="I562" s="60">
        <f>IF(OR(H562="",E562="",C562="",D562=""),"",IF(C562+D562=0,"",(H562*D562+E562*C562)/(C562+D562)))</f>
        <v/>
      </c>
      <c r="J562" s="59"/>
      <c r="K562" s="61">
        <f>IF(OR(J562="",I562=""),"",J562-I562)</f>
        <v/>
      </c>
      <c r="L562" s="61">
        <f>IF(OR(J562="",G562=""),"",J562-G562)</f>
        <v/>
      </c>
      <c r="M562" s="59"/>
      <c r="N562" s="59"/>
      <c r="O562" s="59"/>
      <c r="P562" s="59"/>
      <c r="Q562" s="59"/>
      <c r="R562" s="60">
        <f>IF(AND(P562="",Q562=""),"",N(P562)+N(Q562))</f>
        <v/>
      </c>
      <c r="S562" s="59"/>
      <c r="T562" s="59"/>
      <c r="U562" s="62">
        <f>IF(OR(R562="",S562="",T562=""),"",IF(S562+T562=0,"",R562/(S562+T562)))</f>
        <v/>
      </c>
      <c r="V562" s="63"/>
      <c r="W562" s="64"/>
      <c r="X562" s="63"/>
    </row>
    <row r="563" spans="2:24">
      <c r="B563" s="58"/>
      <c r="C563" s="59"/>
      <c r="D563" s="59"/>
      <c r="E563" s="59"/>
      <c r="F563" s="59"/>
      <c r="G563" s="60">
        <f>IF(OR(E563="",F563="",C563="",D563=""),"",IF(C563+D563=0,"",(E563*C563+F563*D563)/(C563+D563)))</f>
        <v/>
      </c>
      <c r="H563" s="59"/>
      <c r="I563" s="60">
        <f>IF(OR(H563="",E563="",C563="",D563=""),"",IF(C563+D563=0,"",(H563*D563+E563*C563)/(C563+D563)))</f>
        <v/>
      </c>
      <c r="J563" s="59"/>
      <c r="K563" s="61">
        <f>IF(OR(J563="",I563=""),"",J563-I563)</f>
        <v/>
      </c>
      <c r="L563" s="61">
        <f>IF(OR(J563="",G563=""),"",J563-G563)</f>
        <v/>
      </c>
      <c r="M563" s="59"/>
      <c r="N563" s="59"/>
      <c r="O563" s="59"/>
      <c r="P563" s="59"/>
      <c r="Q563" s="59"/>
      <c r="R563" s="60">
        <f>IF(AND(P563="",Q563=""),"",N(P563)+N(Q563))</f>
        <v/>
      </c>
      <c r="S563" s="59"/>
      <c r="T563" s="59"/>
      <c r="U563" s="62">
        <f>IF(OR(R563="",S563="",T563=""),"",IF(S563+T563=0,"",R563/(S563+T563)))</f>
        <v/>
      </c>
      <c r="V563" s="63"/>
      <c r="W563" s="64"/>
      <c r="X563" s="63"/>
    </row>
    <row r="564" spans="2:24">
      <c r="B564" s="58"/>
      <c r="C564" s="59"/>
      <c r="D564" s="59"/>
      <c r="E564" s="59"/>
      <c r="F564" s="59"/>
      <c r="G564" s="60">
        <f>IF(OR(E564="",F564="",C564="",D564=""),"",IF(C564+D564=0,"",(E564*C564+F564*D564)/(C564+D564)))</f>
        <v/>
      </c>
      <c r="H564" s="59"/>
      <c r="I564" s="60">
        <f>IF(OR(H564="",E564="",C564="",D564=""),"",IF(C564+D564=0,"",(H564*D564+E564*C564)/(C564+D564)))</f>
        <v/>
      </c>
      <c r="J564" s="59"/>
      <c r="K564" s="61">
        <f>IF(OR(J564="",I564=""),"",J564-I564)</f>
        <v/>
      </c>
      <c r="L564" s="61">
        <f>IF(OR(J564="",G564=""),"",J564-G564)</f>
        <v/>
      </c>
      <c r="M564" s="59"/>
      <c r="N564" s="59"/>
      <c r="O564" s="59"/>
      <c r="P564" s="59"/>
      <c r="Q564" s="59"/>
      <c r="R564" s="60">
        <f>IF(AND(P564="",Q564=""),"",N(P564)+N(Q564))</f>
        <v/>
      </c>
      <c r="S564" s="59"/>
      <c r="T564" s="59"/>
      <c r="U564" s="62">
        <f>IF(OR(R564="",S564="",T564=""),"",IF(S564+T564=0,"",R564/(S564+T564)))</f>
        <v/>
      </c>
      <c r="V564" s="63"/>
      <c r="W564" s="64"/>
      <c r="X564" s="63"/>
    </row>
    <row r="565" spans="2:24">
      <c r="B565" s="58"/>
      <c r="C565" s="59"/>
      <c r="D565" s="59"/>
      <c r="E565" s="59"/>
      <c r="F565" s="59"/>
      <c r="G565" s="60">
        <f>IF(OR(E565="",F565="",C565="",D565=""),"",IF(C565+D565=0,"",(E565*C565+F565*D565)/(C565+D565)))</f>
        <v/>
      </c>
      <c r="H565" s="59"/>
      <c r="I565" s="60">
        <f>IF(OR(H565="",E565="",C565="",D565=""),"",IF(C565+D565=0,"",(H565*D565+E565*C565)/(C565+D565)))</f>
        <v/>
      </c>
      <c r="J565" s="59"/>
      <c r="K565" s="61">
        <f>IF(OR(J565="",I565=""),"",J565-I565)</f>
        <v/>
      </c>
      <c r="L565" s="61">
        <f>IF(OR(J565="",G565=""),"",J565-G565)</f>
        <v/>
      </c>
      <c r="M565" s="59"/>
      <c r="N565" s="59"/>
      <c r="O565" s="59"/>
      <c r="P565" s="59"/>
      <c r="Q565" s="59"/>
      <c r="R565" s="60">
        <f>IF(AND(P565="",Q565=""),"",N(P565)+N(Q565))</f>
        <v/>
      </c>
      <c r="S565" s="59"/>
      <c r="T565" s="59"/>
      <c r="U565" s="62">
        <f>IF(OR(R565="",S565="",T565=""),"",IF(S565+T565=0,"",R565/(S565+T565)))</f>
        <v/>
      </c>
      <c r="V565" s="63"/>
      <c r="W565" s="64"/>
      <c r="X565" s="63"/>
    </row>
    <row r="566" spans="2:24">
      <c r="B566" s="58"/>
      <c r="C566" s="59"/>
      <c r="D566" s="59"/>
      <c r="E566" s="59"/>
      <c r="F566" s="59"/>
      <c r="G566" s="60">
        <f>IF(OR(E566="",F566="",C566="",D566=""),"",IF(C566+D566=0,"",(E566*C566+F566*D566)/(C566+D566)))</f>
        <v/>
      </c>
      <c r="H566" s="59"/>
      <c r="I566" s="60">
        <f>IF(OR(H566="",E566="",C566="",D566=""),"",IF(C566+D566=0,"",(H566*D566+E566*C566)/(C566+D566)))</f>
        <v/>
      </c>
      <c r="J566" s="59"/>
      <c r="K566" s="61">
        <f>IF(OR(J566="",I566=""),"",J566-I566)</f>
        <v/>
      </c>
      <c r="L566" s="61">
        <f>IF(OR(J566="",G566=""),"",J566-G566)</f>
        <v/>
      </c>
      <c r="M566" s="59"/>
      <c r="N566" s="59"/>
      <c r="O566" s="59"/>
      <c r="P566" s="59"/>
      <c r="Q566" s="59"/>
      <c r="R566" s="60">
        <f>IF(AND(P566="",Q566=""),"",N(P566)+N(Q566))</f>
        <v/>
      </c>
      <c r="S566" s="59"/>
      <c r="T566" s="59"/>
      <c r="U566" s="62">
        <f>IF(OR(R566="",S566="",T566=""),"",IF(S566+T566=0,"",R566/(S566+T566)))</f>
        <v/>
      </c>
      <c r="V566" s="63"/>
      <c r="W566" s="64"/>
      <c r="X566" s="63"/>
    </row>
    <row r="567" spans="2:24">
      <c r="B567" s="58"/>
      <c r="C567" s="59"/>
      <c r="D567" s="59"/>
      <c r="E567" s="59"/>
      <c r="F567" s="59"/>
      <c r="G567" s="60">
        <f>IF(OR(E567="",F567="",C567="",D567=""),"",IF(C567+D567=0,"",(E567*C567+F567*D567)/(C567+D567)))</f>
        <v/>
      </c>
      <c r="H567" s="59"/>
      <c r="I567" s="60">
        <f>IF(OR(H567="",E567="",C567="",D567=""),"",IF(C567+D567=0,"",(H567*D567+E567*C567)/(C567+D567)))</f>
        <v/>
      </c>
      <c r="J567" s="59"/>
      <c r="K567" s="61">
        <f>IF(OR(J567="",I567=""),"",J567-I567)</f>
        <v/>
      </c>
      <c r="L567" s="61">
        <f>IF(OR(J567="",G567=""),"",J567-G567)</f>
        <v/>
      </c>
      <c r="M567" s="59"/>
      <c r="N567" s="59"/>
      <c r="O567" s="59"/>
      <c r="P567" s="59"/>
      <c r="Q567" s="59"/>
      <c r="R567" s="60">
        <f>IF(AND(P567="",Q567=""),"",N(P567)+N(Q567))</f>
        <v/>
      </c>
      <c r="S567" s="59"/>
      <c r="T567" s="59"/>
      <c r="U567" s="62">
        <f>IF(OR(R567="",S567="",T567=""),"",IF(S567+T567=0,"",R567/(S567+T567)))</f>
        <v/>
      </c>
      <c r="V567" s="63"/>
      <c r="W567" s="64"/>
      <c r="X567" s="63"/>
    </row>
    <row r="568" spans="2:24">
      <c r="B568" s="58"/>
      <c r="C568" s="59"/>
      <c r="D568" s="59"/>
      <c r="E568" s="59"/>
      <c r="F568" s="59"/>
      <c r="G568" s="60">
        <f>IF(OR(E568="",F568="",C568="",D568=""),"",IF(C568+D568=0,"",(E568*C568+F568*D568)/(C568+D568)))</f>
        <v/>
      </c>
      <c r="H568" s="59"/>
      <c r="I568" s="60">
        <f>IF(OR(H568="",E568="",C568="",D568=""),"",IF(C568+D568=0,"",(H568*D568+E568*C568)/(C568+D568)))</f>
        <v/>
      </c>
      <c r="J568" s="59"/>
      <c r="K568" s="61">
        <f>IF(OR(J568="",I568=""),"",J568-I568)</f>
        <v/>
      </c>
      <c r="L568" s="61">
        <f>IF(OR(J568="",G568=""),"",J568-G568)</f>
        <v/>
      </c>
      <c r="M568" s="59"/>
      <c r="N568" s="59"/>
      <c r="O568" s="59"/>
      <c r="P568" s="59"/>
      <c r="Q568" s="59"/>
      <c r="R568" s="60">
        <f>IF(AND(P568="",Q568=""),"",N(P568)+N(Q568))</f>
        <v/>
      </c>
      <c r="S568" s="59"/>
      <c r="T568" s="59"/>
      <c r="U568" s="62">
        <f>IF(OR(R568="",S568="",T568=""),"",IF(S568+T568=0,"",R568/(S568+T568)))</f>
        <v/>
      </c>
      <c r="V568" s="63"/>
      <c r="W568" s="64"/>
      <c r="X568" s="63"/>
    </row>
    <row r="569" spans="2:24">
      <c r="B569" s="58"/>
      <c r="C569" s="59"/>
      <c r="D569" s="59"/>
      <c r="E569" s="59"/>
      <c r="F569" s="59"/>
      <c r="G569" s="60">
        <f>IF(OR(E569="",F569="",C569="",D569=""),"",IF(C569+D569=0,"",(E569*C569+F569*D569)/(C569+D569)))</f>
        <v/>
      </c>
      <c r="H569" s="59"/>
      <c r="I569" s="60">
        <f>IF(OR(H569="",E569="",C569="",D569=""),"",IF(C569+D569=0,"",(H569*D569+E569*C569)/(C569+D569)))</f>
        <v/>
      </c>
      <c r="J569" s="59"/>
      <c r="K569" s="61">
        <f>IF(OR(J569="",I569=""),"",J569-I569)</f>
        <v/>
      </c>
      <c r="L569" s="61">
        <f>IF(OR(J569="",G569=""),"",J569-G569)</f>
        <v/>
      </c>
      <c r="M569" s="59"/>
      <c r="N569" s="59"/>
      <c r="O569" s="59"/>
      <c r="P569" s="59"/>
      <c r="Q569" s="59"/>
      <c r="R569" s="60">
        <f>IF(AND(P569="",Q569=""),"",N(P569)+N(Q569))</f>
        <v/>
      </c>
      <c r="S569" s="59"/>
      <c r="T569" s="59"/>
      <c r="U569" s="62">
        <f>IF(OR(R569="",S569="",T569=""),"",IF(S569+T569=0,"",R569/(S569+T569)))</f>
        <v/>
      </c>
      <c r="V569" s="63"/>
      <c r="W569" s="64"/>
      <c r="X569" s="63"/>
    </row>
    <row r="570" spans="2:24">
      <c r="B570" s="58"/>
      <c r="C570" s="59"/>
      <c r="D570" s="59"/>
      <c r="E570" s="59"/>
      <c r="F570" s="59"/>
      <c r="G570" s="60">
        <f>IF(OR(E570="",F570="",C570="",D570=""),"",IF(C570+D570=0,"",(E570*C570+F570*D570)/(C570+D570)))</f>
        <v/>
      </c>
      <c r="H570" s="59"/>
      <c r="I570" s="60">
        <f>IF(OR(H570="",E570="",C570="",D570=""),"",IF(C570+D570=0,"",(H570*D570+E570*C570)/(C570+D570)))</f>
        <v/>
      </c>
      <c r="J570" s="59"/>
      <c r="K570" s="61">
        <f>IF(OR(J570="",I570=""),"",J570-I570)</f>
        <v/>
      </c>
      <c r="L570" s="61">
        <f>IF(OR(J570="",G570=""),"",J570-G570)</f>
        <v/>
      </c>
      <c r="M570" s="59"/>
      <c r="N570" s="59"/>
      <c r="O570" s="59"/>
      <c r="P570" s="59"/>
      <c r="Q570" s="59"/>
      <c r="R570" s="60">
        <f>IF(AND(P570="",Q570=""),"",N(P570)+N(Q570))</f>
        <v/>
      </c>
      <c r="S570" s="59"/>
      <c r="T570" s="59"/>
      <c r="U570" s="62">
        <f>IF(OR(R570="",S570="",T570=""),"",IF(S570+T570=0,"",R570/(S570+T570)))</f>
        <v/>
      </c>
      <c r="V570" s="63"/>
      <c r="W570" s="64"/>
      <c r="X570" s="63"/>
    </row>
    <row r="571" spans="2:24">
      <c r="B571" s="58"/>
      <c r="C571" s="59"/>
      <c r="D571" s="59"/>
      <c r="E571" s="59"/>
      <c r="F571" s="59"/>
      <c r="G571" s="60">
        <f>IF(OR(E571="",F571="",C571="",D571=""),"",IF(C571+D571=0,"",(E571*C571+F571*D571)/(C571+D571)))</f>
        <v/>
      </c>
      <c r="H571" s="59"/>
      <c r="I571" s="60">
        <f>IF(OR(H571="",E571="",C571="",D571=""),"",IF(C571+D571=0,"",(H571*D571+E571*C571)/(C571+D571)))</f>
        <v/>
      </c>
      <c r="J571" s="59"/>
      <c r="K571" s="61">
        <f>IF(OR(J571="",I571=""),"",J571-I571)</f>
        <v/>
      </c>
      <c r="L571" s="61">
        <f>IF(OR(J571="",G571=""),"",J571-G571)</f>
        <v/>
      </c>
      <c r="M571" s="59"/>
      <c r="N571" s="59"/>
      <c r="O571" s="59"/>
      <c r="P571" s="59"/>
      <c r="Q571" s="59"/>
      <c r="R571" s="60">
        <f>IF(AND(P571="",Q571=""),"",N(P571)+N(Q571))</f>
        <v/>
      </c>
      <c r="S571" s="59"/>
      <c r="T571" s="59"/>
      <c r="U571" s="62">
        <f>IF(OR(R571="",S571="",T571=""),"",IF(S571+T571=0,"",R571/(S571+T571)))</f>
        <v/>
      </c>
      <c r="V571" s="63"/>
      <c r="W571" s="64"/>
      <c r="X571" s="63"/>
    </row>
    <row r="572" spans="2:24">
      <c r="B572" s="58"/>
      <c r="C572" s="59"/>
      <c r="D572" s="59"/>
      <c r="E572" s="59"/>
      <c r="F572" s="59"/>
      <c r="G572" s="60">
        <f>IF(OR(E572="",F572="",C572="",D572=""),"",IF(C572+D572=0,"",(E572*C572+F572*D572)/(C572+D572)))</f>
        <v/>
      </c>
      <c r="H572" s="59"/>
      <c r="I572" s="60">
        <f>IF(OR(H572="",E572="",C572="",D572=""),"",IF(C572+D572=0,"",(H572*D572+E572*C572)/(C572+D572)))</f>
        <v/>
      </c>
      <c r="J572" s="59"/>
      <c r="K572" s="61">
        <f>IF(OR(J572="",I572=""),"",J572-I572)</f>
        <v/>
      </c>
      <c r="L572" s="61">
        <f>IF(OR(J572="",G572=""),"",J572-G572)</f>
        <v/>
      </c>
      <c r="M572" s="59"/>
      <c r="N572" s="59"/>
      <c r="O572" s="59"/>
      <c r="P572" s="59"/>
      <c r="Q572" s="59"/>
      <c r="R572" s="60">
        <f>IF(AND(P572="",Q572=""),"",N(P572)+N(Q572))</f>
        <v/>
      </c>
      <c r="S572" s="59"/>
      <c r="T572" s="59"/>
      <c r="U572" s="62">
        <f>IF(OR(R572="",S572="",T572=""),"",IF(S572+T572=0,"",R572/(S572+T572)))</f>
        <v/>
      </c>
      <c r="V572" s="63"/>
      <c r="W572" s="64"/>
      <c r="X572" s="63"/>
    </row>
    <row r="573" spans="2:24">
      <c r="B573" s="58"/>
      <c r="C573" s="59"/>
      <c r="D573" s="59"/>
      <c r="E573" s="59"/>
      <c r="F573" s="59"/>
      <c r="G573" s="60">
        <f>IF(OR(E573="",F573="",C573="",D573=""),"",IF(C573+D573=0,"",(E573*C573+F573*D573)/(C573+D573)))</f>
        <v/>
      </c>
      <c r="H573" s="59"/>
      <c r="I573" s="60">
        <f>IF(OR(H573="",E573="",C573="",D573=""),"",IF(C573+D573=0,"",(H573*D573+E573*C573)/(C573+D573)))</f>
        <v/>
      </c>
      <c r="J573" s="59"/>
      <c r="K573" s="61">
        <f>IF(OR(J573="",I573=""),"",J573-I573)</f>
        <v/>
      </c>
      <c r="L573" s="61">
        <f>IF(OR(J573="",G573=""),"",J573-G573)</f>
        <v/>
      </c>
      <c r="M573" s="59"/>
      <c r="N573" s="59"/>
      <c r="O573" s="59"/>
      <c r="P573" s="59"/>
      <c r="Q573" s="59"/>
      <c r="R573" s="60">
        <f>IF(AND(P573="",Q573=""),"",N(P573)+N(Q573))</f>
        <v/>
      </c>
      <c r="S573" s="59"/>
      <c r="T573" s="59"/>
      <c r="U573" s="62">
        <f>IF(OR(R573="",S573="",T573=""),"",IF(S573+T573=0,"",R573/(S573+T573)))</f>
        <v/>
      </c>
      <c r="V573" s="63"/>
      <c r="W573" s="64"/>
      <c r="X573" s="63"/>
    </row>
    <row r="574" spans="2:24">
      <c r="B574" s="58"/>
      <c r="C574" s="59"/>
      <c r="D574" s="59"/>
      <c r="E574" s="59"/>
      <c r="F574" s="59"/>
      <c r="G574" s="60">
        <f>IF(OR(E574="",F574="",C574="",D574=""),"",IF(C574+D574=0,"",(E574*C574+F574*D574)/(C574+D574)))</f>
        <v/>
      </c>
      <c r="H574" s="59"/>
      <c r="I574" s="60">
        <f>IF(OR(H574="",E574="",C574="",D574=""),"",IF(C574+D574=0,"",(H574*D574+E574*C574)/(C574+D574)))</f>
        <v/>
      </c>
      <c r="J574" s="59"/>
      <c r="K574" s="61">
        <f>IF(OR(J574="",I574=""),"",J574-I574)</f>
        <v/>
      </c>
      <c r="L574" s="61">
        <f>IF(OR(J574="",G574=""),"",J574-G574)</f>
        <v/>
      </c>
      <c r="M574" s="59"/>
      <c r="N574" s="59"/>
      <c r="O574" s="59"/>
      <c r="P574" s="59"/>
      <c r="Q574" s="59"/>
      <c r="R574" s="60">
        <f>IF(AND(P574="",Q574=""),"",N(P574)+N(Q574))</f>
        <v/>
      </c>
      <c r="S574" s="59"/>
      <c r="T574" s="59"/>
      <c r="U574" s="62">
        <f>IF(OR(R574="",S574="",T574=""),"",IF(S574+T574=0,"",R574/(S574+T574)))</f>
        <v/>
      </c>
      <c r="V574" s="63"/>
      <c r="W574" s="64"/>
      <c r="X574" s="63"/>
    </row>
    <row r="575" spans="2:24">
      <c r="B575" s="58"/>
      <c r="C575" s="59"/>
      <c r="D575" s="59"/>
      <c r="E575" s="59"/>
      <c r="F575" s="59"/>
      <c r="G575" s="60">
        <f>IF(OR(E575="",F575="",C575="",D575=""),"",IF(C575+D575=0,"",(E575*C575+F575*D575)/(C575+D575)))</f>
        <v/>
      </c>
      <c r="H575" s="59"/>
      <c r="I575" s="60">
        <f>IF(OR(H575="",E575="",C575="",D575=""),"",IF(C575+D575=0,"",(H575*D575+E575*C575)/(C575+D575)))</f>
        <v/>
      </c>
      <c r="J575" s="59"/>
      <c r="K575" s="61">
        <f>IF(OR(J575="",I575=""),"",J575-I575)</f>
        <v/>
      </c>
      <c r="L575" s="61">
        <f>IF(OR(J575="",G575=""),"",J575-G575)</f>
        <v/>
      </c>
      <c r="M575" s="59"/>
      <c r="N575" s="59"/>
      <c r="O575" s="59"/>
      <c r="P575" s="59"/>
      <c r="Q575" s="59"/>
      <c r="R575" s="60">
        <f>IF(AND(P575="",Q575=""),"",N(P575)+N(Q575))</f>
        <v/>
      </c>
      <c r="S575" s="59"/>
      <c r="T575" s="59"/>
      <c r="U575" s="62">
        <f>IF(OR(R575="",S575="",T575=""),"",IF(S575+T575=0,"",R575/(S575+T575)))</f>
        <v/>
      </c>
      <c r="V575" s="63"/>
      <c r="W575" s="64"/>
      <c r="X575" s="63"/>
    </row>
    <row r="576" spans="2:24">
      <c r="B576" s="58"/>
      <c r="C576" s="59"/>
      <c r="D576" s="59"/>
      <c r="E576" s="59"/>
      <c r="F576" s="59"/>
      <c r="G576" s="60">
        <f>IF(OR(E576="",F576="",C576="",D576=""),"",IF(C576+D576=0,"",(E576*C576+F576*D576)/(C576+D576)))</f>
        <v/>
      </c>
      <c r="H576" s="59"/>
      <c r="I576" s="60">
        <f>IF(OR(H576="",E576="",C576="",D576=""),"",IF(C576+D576=0,"",(H576*D576+E576*C576)/(C576+D576)))</f>
        <v/>
      </c>
      <c r="J576" s="59"/>
      <c r="K576" s="61">
        <f>IF(OR(J576="",I576=""),"",J576-I576)</f>
        <v/>
      </c>
      <c r="L576" s="61">
        <f>IF(OR(J576="",G576=""),"",J576-G576)</f>
        <v/>
      </c>
      <c r="M576" s="59"/>
      <c r="N576" s="59"/>
      <c r="O576" s="59"/>
      <c r="P576" s="59"/>
      <c r="Q576" s="59"/>
      <c r="R576" s="60">
        <f>IF(AND(P576="",Q576=""),"",N(P576)+N(Q576))</f>
        <v/>
      </c>
      <c r="S576" s="59"/>
      <c r="T576" s="59"/>
      <c r="U576" s="62">
        <f>IF(OR(R576="",S576="",T576=""),"",IF(S576+T576=0,"",R576/(S576+T576)))</f>
        <v/>
      </c>
      <c r="V576" s="63"/>
      <c r="W576" s="64"/>
      <c r="X576" s="63"/>
    </row>
    <row r="577" spans="2:24">
      <c r="B577" s="58"/>
      <c r="C577" s="59"/>
      <c r="D577" s="59"/>
      <c r="E577" s="59"/>
      <c r="F577" s="59"/>
      <c r="G577" s="60">
        <f>IF(OR(E577="",F577="",C577="",D577=""),"",IF(C577+D577=0,"",(E577*C577+F577*D577)/(C577+D577)))</f>
        <v/>
      </c>
      <c r="H577" s="59"/>
      <c r="I577" s="60">
        <f>IF(OR(H577="",E577="",C577="",D577=""),"",IF(C577+D577=0,"",(H577*D577+E577*C577)/(C577+D577)))</f>
        <v/>
      </c>
      <c r="J577" s="59"/>
      <c r="K577" s="61">
        <f>IF(OR(J577="",I577=""),"",J577-I577)</f>
        <v/>
      </c>
      <c r="L577" s="61">
        <f>IF(OR(J577="",G577=""),"",J577-G577)</f>
        <v/>
      </c>
      <c r="M577" s="59"/>
      <c r="N577" s="59"/>
      <c r="O577" s="59"/>
      <c r="P577" s="59"/>
      <c r="Q577" s="59"/>
      <c r="R577" s="60">
        <f>IF(AND(P577="",Q577=""),"",N(P577)+N(Q577))</f>
        <v/>
      </c>
      <c r="S577" s="59"/>
      <c r="T577" s="59"/>
      <c r="U577" s="62">
        <f>IF(OR(R577="",S577="",T577=""),"",IF(S577+T577=0,"",R577/(S577+T577)))</f>
        <v/>
      </c>
      <c r="V577" s="63"/>
      <c r="W577" s="64"/>
      <c r="X577" s="63"/>
    </row>
    <row r="578" spans="2:24">
      <c r="B578" s="58"/>
      <c r="C578" s="59"/>
      <c r="D578" s="59"/>
      <c r="E578" s="59"/>
      <c r="F578" s="59"/>
      <c r="G578" s="60">
        <f>IF(OR(E578="",F578="",C578="",D578=""),"",IF(C578+D578=0,"",(E578*C578+F578*D578)/(C578+D578)))</f>
        <v/>
      </c>
      <c r="H578" s="59"/>
      <c r="I578" s="60">
        <f>IF(OR(H578="",E578="",C578="",D578=""),"",IF(C578+D578=0,"",(H578*D578+E578*C578)/(C578+D578)))</f>
        <v/>
      </c>
      <c r="J578" s="59"/>
      <c r="K578" s="61">
        <f>IF(OR(J578="",I578=""),"",J578-I578)</f>
        <v/>
      </c>
      <c r="L578" s="61">
        <f>IF(OR(J578="",G578=""),"",J578-G578)</f>
        <v/>
      </c>
      <c r="M578" s="59"/>
      <c r="N578" s="59"/>
      <c r="O578" s="59"/>
      <c r="P578" s="59"/>
      <c r="Q578" s="59"/>
      <c r="R578" s="60">
        <f>IF(AND(P578="",Q578=""),"",N(P578)+N(Q578))</f>
        <v/>
      </c>
      <c r="S578" s="59"/>
      <c r="T578" s="59"/>
      <c r="U578" s="62">
        <f>IF(OR(R578="",S578="",T578=""),"",IF(S578+T578=0,"",R578/(S578+T578)))</f>
        <v/>
      </c>
      <c r="V578" s="63"/>
      <c r="W578" s="64"/>
      <c r="X578" s="63"/>
    </row>
    <row r="579" spans="2:24">
      <c r="B579" s="58"/>
      <c r="C579" s="59"/>
      <c r="D579" s="59"/>
      <c r="E579" s="59"/>
      <c r="F579" s="59"/>
      <c r="G579" s="60">
        <f>IF(OR(E579="",F579="",C579="",D579=""),"",IF(C579+D579=0,"",(E579*C579+F579*D579)/(C579+D579)))</f>
        <v/>
      </c>
      <c r="H579" s="59"/>
      <c r="I579" s="60">
        <f>IF(OR(H579="",E579="",C579="",D579=""),"",IF(C579+D579=0,"",(H579*D579+E579*C579)/(C579+D579)))</f>
        <v/>
      </c>
      <c r="J579" s="59"/>
      <c r="K579" s="61">
        <f>IF(OR(J579="",I579=""),"",J579-I579)</f>
        <v/>
      </c>
      <c r="L579" s="61">
        <f>IF(OR(J579="",G579=""),"",J579-G579)</f>
        <v/>
      </c>
      <c r="M579" s="59"/>
      <c r="N579" s="59"/>
      <c r="O579" s="59"/>
      <c r="P579" s="59"/>
      <c r="Q579" s="59"/>
      <c r="R579" s="60">
        <f>IF(AND(P579="",Q579=""),"",N(P579)+N(Q579))</f>
        <v/>
      </c>
      <c r="S579" s="59"/>
      <c r="T579" s="59"/>
      <c r="U579" s="62">
        <f>IF(OR(R579="",S579="",T579=""),"",IF(S579+T579=0,"",R579/(S579+T579)))</f>
        <v/>
      </c>
      <c r="V579" s="63"/>
      <c r="W579" s="64"/>
      <c r="X579" s="63"/>
    </row>
    <row r="580" spans="2:24">
      <c r="B580" s="58"/>
      <c r="C580" s="59"/>
      <c r="D580" s="59"/>
      <c r="E580" s="59"/>
      <c r="F580" s="59"/>
      <c r="G580" s="60">
        <f>IF(OR(E580="",F580="",C580="",D580=""),"",IF(C580+D580=0,"",(E580*C580+F580*D580)/(C580+D580)))</f>
        <v/>
      </c>
      <c r="H580" s="59"/>
      <c r="I580" s="60">
        <f>IF(OR(H580="",E580="",C580="",D580=""),"",IF(C580+D580=0,"",(H580*D580+E580*C580)/(C580+D580)))</f>
        <v/>
      </c>
      <c r="J580" s="59"/>
      <c r="K580" s="61">
        <f>IF(OR(J580="",I580=""),"",J580-I580)</f>
        <v/>
      </c>
      <c r="L580" s="61">
        <f>IF(OR(J580="",G580=""),"",J580-G580)</f>
        <v/>
      </c>
      <c r="M580" s="59"/>
      <c r="N580" s="59"/>
      <c r="O580" s="59"/>
      <c r="P580" s="59"/>
      <c r="Q580" s="59"/>
      <c r="R580" s="60">
        <f>IF(AND(P580="",Q580=""),"",N(P580)+N(Q580))</f>
        <v/>
      </c>
      <c r="S580" s="59"/>
      <c r="T580" s="59"/>
      <c r="U580" s="62">
        <f>IF(OR(R580="",S580="",T580=""),"",IF(S580+T580=0,"",R580/(S580+T580)))</f>
        <v/>
      </c>
      <c r="V580" s="63"/>
      <c r="W580" s="64"/>
      <c r="X580" s="63"/>
    </row>
    <row r="581" spans="2:24">
      <c r="B581" s="58"/>
      <c r="C581" s="59"/>
      <c r="D581" s="59"/>
      <c r="E581" s="59"/>
      <c r="F581" s="59"/>
      <c r="G581" s="60">
        <f>IF(OR(E581="",F581="",C581="",D581=""),"",IF(C581+D581=0,"",(E581*C581+F581*D581)/(C581+D581)))</f>
        <v/>
      </c>
      <c r="H581" s="59"/>
      <c r="I581" s="60">
        <f>IF(OR(H581="",E581="",C581="",D581=""),"",IF(C581+D581=0,"",(H581*D581+E581*C581)/(C581+D581)))</f>
        <v/>
      </c>
      <c r="J581" s="59"/>
      <c r="K581" s="61">
        <f>IF(OR(J581="",I581=""),"",J581-I581)</f>
        <v/>
      </c>
      <c r="L581" s="61">
        <f>IF(OR(J581="",G581=""),"",J581-G581)</f>
        <v/>
      </c>
      <c r="M581" s="59"/>
      <c r="N581" s="59"/>
      <c r="O581" s="59"/>
      <c r="P581" s="59"/>
      <c r="Q581" s="59"/>
      <c r="R581" s="60">
        <f>IF(AND(P581="",Q581=""),"",N(P581)+N(Q581))</f>
        <v/>
      </c>
      <c r="S581" s="59"/>
      <c r="T581" s="59"/>
      <c r="U581" s="62">
        <f>IF(OR(R581="",S581="",T581=""),"",IF(S581+T581=0,"",R581/(S581+T581)))</f>
        <v/>
      </c>
      <c r="V581" s="63"/>
      <c r="W581" s="64"/>
      <c r="X581" s="63"/>
    </row>
    <row r="582" spans="2:24">
      <c r="B582" s="58"/>
      <c r="C582" s="59"/>
      <c r="D582" s="59"/>
      <c r="E582" s="59"/>
      <c r="F582" s="59"/>
      <c r="G582" s="60">
        <f>IF(OR(E582="",F582="",C582="",D582=""),"",IF(C582+D582=0,"",(E582*C582+F582*D582)/(C582+D582)))</f>
        <v/>
      </c>
      <c r="H582" s="59"/>
      <c r="I582" s="60">
        <f>IF(OR(H582="",E582="",C582="",D582=""),"",IF(C582+D582=0,"",(H582*D582+E582*C582)/(C582+D582)))</f>
        <v/>
      </c>
      <c r="J582" s="59"/>
      <c r="K582" s="61">
        <f>IF(OR(J582="",I582=""),"",J582-I582)</f>
        <v/>
      </c>
      <c r="L582" s="61">
        <f>IF(OR(J582="",G582=""),"",J582-G582)</f>
        <v/>
      </c>
      <c r="M582" s="59"/>
      <c r="N582" s="59"/>
      <c r="O582" s="59"/>
      <c r="P582" s="59"/>
      <c r="Q582" s="59"/>
      <c r="R582" s="60">
        <f>IF(AND(P582="",Q582=""),"",N(P582)+N(Q582))</f>
        <v/>
      </c>
      <c r="S582" s="59"/>
      <c r="T582" s="59"/>
      <c r="U582" s="62">
        <f>IF(OR(R582="",S582="",T582=""),"",IF(S582+T582=0,"",R582/(S582+T582)))</f>
        <v/>
      </c>
      <c r="V582" s="63"/>
      <c r="W582" s="64"/>
      <c r="X582" s="63"/>
    </row>
    <row r="583" spans="2:24">
      <c r="B583" s="58"/>
      <c r="C583" s="59"/>
      <c r="D583" s="59"/>
      <c r="E583" s="59"/>
      <c r="F583" s="59"/>
      <c r="G583" s="60">
        <f>IF(OR(E583="",F583="",C583="",D583=""),"",IF(C583+D583=0,"",(E583*C583+F583*D583)/(C583+D583)))</f>
        <v/>
      </c>
      <c r="H583" s="59"/>
      <c r="I583" s="60">
        <f>IF(OR(H583="",E583="",C583="",D583=""),"",IF(C583+D583=0,"",(H583*D583+E583*C583)/(C583+D583)))</f>
        <v/>
      </c>
      <c r="J583" s="59"/>
      <c r="K583" s="61">
        <f>IF(OR(J583="",I583=""),"",J583-I583)</f>
        <v/>
      </c>
      <c r="L583" s="61">
        <f>IF(OR(J583="",G583=""),"",J583-G583)</f>
        <v/>
      </c>
      <c r="M583" s="59"/>
      <c r="N583" s="59"/>
      <c r="O583" s="59"/>
      <c r="P583" s="59"/>
      <c r="Q583" s="59"/>
      <c r="R583" s="60">
        <f>IF(AND(P583="",Q583=""),"",N(P583)+N(Q583))</f>
        <v/>
      </c>
      <c r="S583" s="59"/>
      <c r="T583" s="59"/>
      <c r="U583" s="62">
        <f>IF(OR(R583="",S583="",T583=""),"",IF(S583+T583=0,"",R583/(S583+T583)))</f>
        <v/>
      </c>
      <c r="V583" s="63"/>
      <c r="W583" s="64"/>
      <c r="X583" s="63"/>
    </row>
    <row r="584" spans="2:24">
      <c r="B584" s="58"/>
      <c r="C584" s="59"/>
      <c r="D584" s="59"/>
      <c r="E584" s="59"/>
      <c r="F584" s="59"/>
      <c r="G584" s="60">
        <f>IF(OR(E584="",F584="",C584="",D584=""),"",IF(C584+D584=0,"",(E584*C584+F584*D584)/(C584+D584)))</f>
        <v/>
      </c>
      <c r="H584" s="59"/>
      <c r="I584" s="60">
        <f>IF(OR(H584="",E584="",C584="",D584=""),"",IF(C584+D584=0,"",(H584*D584+E584*C584)/(C584+D584)))</f>
        <v/>
      </c>
      <c r="J584" s="59"/>
      <c r="K584" s="61">
        <f>IF(OR(J584="",I584=""),"",J584-I584)</f>
        <v/>
      </c>
      <c r="L584" s="61">
        <f>IF(OR(J584="",G584=""),"",J584-G584)</f>
        <v/>
      </c>
      <c r="M584" s="59"/>
      <c r="N584" s="59"/>
      <c r="O584" s="59"/>
      <c r="P584" s="59"/>
      <c r="Q584" s="59"/>
      <c r="R584" s="60">
        <f>IF(AND(P584="",Q584=""),"",N(P584)+N(Q584))</f>
        <v/>
      </c>
      <c r="S584" s="59"/>
      <c r="T584" s="59"/>
      <c r="U584" s="62">
        <f>IF(OR(R584="",S584="",T584=""),"",IF(S584+T584=0,"",R584/(S584+T584)))</f>
        <v/>
      </c>
      <c r="V584" s="63"/>
      <c r="W584" s="64"/>
      <c r="X584" s="63"/>
    </row>
    <row r="585" spans="2:24">
      <c r="B585" s="58"/>
      <c r="C585" s="59"/>
      <c r="D585" s="59"/>
      <c r="E585" s="59"/>
      <c r="F585" s="59"/>
      <c r="G585" s="60">
        <f>IF(OR(E585="",F585="",C585="",D585=""),"",IF(C585+D585=0,"",(E585*C585+F585*D585)/(C585+D585)))</f>
        <v/>
      </c>
      <c r="H585" s="59"/>
      <c r="I585" s="60">
        <f>IF(OR(H585="",E585="",C585="",D585=""),"",IF(C585+D585=0,"",(H585*D585+E585*C585)/(C585+D585)))</f>
        <v/>
      </c>
      <c r="J585" s="59"/>
      <c r="K585" s="61">
        <f>IF(OR(J585="",I585=""),"",J585-I585)</f>
        <v/>
      </c>
      <c r="L585" s="61">
        <f>IF(OR(J585="",G585=""),"",J585-G585)</f>
        <v/>
      </c>
      <c r="M585" s="59"/>
      <c r="N585" s="59"/>
      <c r="O585" s="59"/>
      <c r="P585" s="59"/>
      <c r="Q585" s="59"/>
      <c r="R585" s="60">
        <f>IF(AND(P585="",Q585=""),"",N(P585)+N(Q585))</f>
        <v/>
      </c>
      <c r="S585" s="59"/>
      <c r="T585" s="59"/>
      <c r="U585" s="62">
        <f>IF(OR(R585="",S585="",T585=""),"",IF(S585+T585=0,"",R585/(S585+T585)))</f>
        <v/>
      </c>
      <c r="V585" s="63"/>
      <c r="W585" s="64"/>
      <c r="X585" s="63"/>
    </row>
    <row r="586" spans="2:24">
      <c r="B586" s="58"/>
      <c r="C586" s="59"/>
      <c r="D586" s="59"/>
      <c r="E586" s="59"/>
      <c r="F586" s="59"/>
      <c r="G586" s="60">
        <f>IF(OR(E586="",F586="",C586="",D586=""),"",IF(C586+D586=0,"",(E586*C586+F586*D586)/(C586+D586)))</f>
        <v/>
      </c>
      <c r="H586" s="59"/>
      <c r="I586" s="60">
        <f>IF(OR(H586="",E586="",C586="",D586=""),"",IF(C586+D586=0,"",(H586*D586+E586*C586)/(C586+D586)))</f>
        <v/>
      </c>
      <c r="J586" s="59"/>
      <c r="K586" s="61">
        <f>IF(OR(J586="",I586=""),"",J586-I586)</f>
        <v/>
      </c>
      <c r="L586" s="61">
        <f>IF(OR(J586="",G586=""),"",J586-G586)</f>
        <v/>
      </c>
      <c r="M586" s="59"/>
      <c r="N586" s="59"/>
      <c r="O586" s="59"/>
      <c r="P586" s="59"/>
      <c r="Q586" s="59"/>
      <c r="R586" s="60">
        <f>IF(AND(P586="",Q586=""),"",N(P586)+N(Q586))</f>
        <v/>
      </c>
      <c r="S586" s="59"/>
      <c r="T586" s="59"/>
      <c r="U586" s="62">
        <f>IF(OR(R586="",S586="",T586=""),"",IF(S586+T586=0,"",R586/(S586+T586)))</f>
        <v/>
      </c>
      <c r="V586" s="63"/>
      <c r="W586" s="64"/>
      <c r="X586" s="63"/>
    </row>
    <row r="587" spans="2:24">
      <c r="B587" s="58"/>
      <c r="C587" s="59"/>
      <c r="D587" s="59"/>
      <c r="E587" s="59"/>
      <c r="F587" s="59"/>
      <c r="G587" s="60">
        <f>IF(OR(E587="",F587="",C587="",D587=""),"",IF(C587+D587=0,"",(E587*C587+F587*D587)/(C587+D587)))</f>
        <v/>
      </c>
      <c r="H587" s="59"/>
      <c r="I587" s="60">
        <f>IF(OR(H587="",E587="",C587="",D587=""),"",IF(C587+D587=0,"",(H587*D587+E587*C587)/(C587+D587)))</f>
        <v/>
      </c>
      <c r="J587" s="59"/>
      <c r="K587" s="61">
        <f>IF(OR(J587="",I587=""),"",J587-I587)</f>
        <v/>
      </c>
      <c r="L587" s="61">
        <f>IF(OR(J587="",G587=""),"",J587-G587)</f>
        <v/>
      </c>
      <c r="M587" s="59"/>
      <c r="N587" s="59"/>
      <c r="O587" s="59"/>
      <c r="P587" s="59"/>
      <c r="Q587" s="59"/>
      <c r="R587" s="60">
        <f>IF(AND(P587="",Q587=""),"",N(P587)+N(Q587))</f>
        <v/>
      </c>
      <c r="S587" s="59"/>
      <c r="T587" s="59"/>
      <c r="U587" s="62">
        <f>IF(OR(R587="",S587="",T587=""),"",IF(S587+T587=0,"",R587/(S587+T587)))</f>
        <v/>
      </c>
      <c r="V587" s="63"/>
      <c r="W587" s="64"/>
      <c r="X587" s="63"/>
    </row>
    <row r="588" spans="2:24">
      <c r="B588" s="58"/>
      <c r="C588" s="59"/>
      <c r="D588" s="59"/>
      <c r="E588" s="59"/>
      <c r="F588" s="59"/>
      <c r="G588" s="60">
        <f>IF(OR(E588="",F588="",C588="",D588=""),"",IF(C588+D588=0,"",(E588*C588+F588*D588)/(C588+D588)))</f>
        <v/>
      </c>
      <c r="H588" s="59"/>
      <c r="I588" s="60">
        <f>IF(OR(H588="",E588="",C588="",D588=""),"",IF(C588+D588=0,"",(H588*D588+E588*C588)/(C588+D588)))</f>
        <v/>
      </c>
      <c r="J588" s="59"/>
      <c r="K588" s="61">
        <f>IF(OR(J588="",I588=""),"",J588-I588)</f>
        <v/>
      </c>
      <c r="L588" s="61">
        <f>IF(OR(J588="",G588=""),"",J588-G588)</f>
        <v/>
      </c>
      <c r="M588" s="59"/>
      <c r="N588" s="59"/>
      <c r="O588" s="59"/>
      <c r="P588" s="59"/>
      <c r="Q588" s="59"/>
      <c r="R588" s="60">
        <f>IF(AND(P588="",Q588=""),"",N(P588)+N(Q588))</f>
        <v/>
      </c>
      <c r="S588" s="59"/>
      <c r="T588" s="59"/>
      <c r="U588" s="62">
        <f>IF(OR(R588="",S588="",T588=""),"",IF(S588+T588=0,"",R588/(S588+T588)))</f>
        <v/>
      </c>
      <c r="V588" s="63"/>
      <c r="W588" s="64"/>
      <c r="X588" s="63"/>
    </row>
    <row r="589" spans="2:24">
      <c r="B589" s="58"/>
      <c r="C589" s="59"/>
      <c r="D589" s="59"/>
      <c r="E589" s="59"/>
      <c r="F589" s="59"/>
      <c r="G589" s="60">
        <f>IF(OR(E589="",F589="",C589="",D589=""),"",IF(C589+D589=0,"",(E589*C589+F589*D589)/(C589+D589)))</f>
        <v/>
      </c>
      <c r="H589" s="59"/>
      <c r="I589" s="60">
        <f>IF(OR(H589="",E589="",C589="",D589=""),"",IF(C589+D589=0,"",(H589*D589+E589*C589)/(C589+D589)))</f>
        <v/>
      </c>
      <c r="J589" s="59"/>
      <c r="K589" s="61">
        <f>IF(OR(J589="",I589=""),"",J589-I589)</f>
        <v/>
      </c>
      <c r="L589" s="61">
        <f>IF(OR(J589="",G589=""),"",J589-G589)</f>
        <v/>
      </c>
      <c r="M589" s="59"/>
      <c r="N589" s="59"/>
      <c r="O589" s="59"/>
      <c r="P589" s="59"/>
      <c r="Q589" s="59"/>
      <c r="R589" s="60">
        <f>IF(AND(P589="",Q589=""),"",N(P589)+N(Q589))</f>
        <v/>
      </c>
      <c r="S589" s="59"/>
      <c r="T589" s="59"/>
      <c r="U589" s="62">
        <f>IF(OR(R589="",S589="",T589=""),"",IF(S589+T589=0,"",R589/(S589+T589)))</f>
        <v/>
      </c>
      <c r="V589" s="63"/>
      <c r="W589" s="64"/>
      <c r="X589" s="63"/>
    </row>
    <row r="590" spans="2:24">
      <c r="B590" s="58"/>
      <c r="C590" s="59"/>
      <c r="D590" s="59"/>
      <c r="E590" s="59"/>
      <c r="F590" s="59"/>
      <c r="G590" s="60">
        <f>IF(OR(E590="",F590="",C590="",D590=""),"",IF(C590+D590=0,"",(E590*C590+F590*D590)/(C590+D590)))</f>
        <v/>
      </c>
      <c r="H590" s="59"/>
      <c r="I590" s="60">
        <f>IF(OR(H590="",E590="",C590="",D590=""),"",IF(C590+D590=0,"",(H590*D590+E590*C590)/(C590+D590)))</f>
        <v/>
      </c>
      <c r="J590" s="59"/>
      <c r="K590" s="61">
        <f>IF(OR(J590="",I590=""),"",J590-I590)</f>
        <v/>
      </c>
      <c r="L590" s="61">
        <f>IF(OR(J590="",G590=""),"",J590-G590)</f>
        <v/>
      </c>
      <c r="M590" s="59"/>
      <c r="N590" s="59"/>
      <c r="O590" s="59"/>
      <c r="P590" s="59"/>
      <c r="Q590" s="59"/>
      <c r="R590" s="60">
        <f>IF(AND(P590="",Q590=""),"",N(P590)+N(Q590))</f>
        <v/>
      </c>
      <c r="S590" s="59"/>
      <c r="T590" s="59"/>
      <c r="U590" s="62">
        <f>IF(OR(R590="",S590="",T590=""),"",IF(S590+T590=0,"",R590/(S590+T590)))</f>
        <v/>
      </c>
      <c r="V590" s="63"/>
      <c r="W590" s="64"/>
      <c r="X590" s="63"/>
    </row>
    <row r="591" spans="2:24">
      <c r="B591" s="58"/>
      <c r="C591" s="59"/>
      <c r="D591" s="59"/>
      <c r="E591" s="59"/>
      <c r="F591" s="59"/>
      <c r="G591" s="60">
        <f>IF(OR(E591="",F591="",C591="",D591=""),"",IF(C591+D591=0,"",(E591*C591+F591*D591)/(C591+D591)))</f>
        <v/>
      </c>
      <c r="H591" s="59"/>
      <c r="I591" s="60">
        <f>IF(OR(H591="",E591="",C591="",D591=""),"",IF(C591+D591=0,"",(H591*D591+E591*C591)/(C591+D591)))</f>
        <v/>
      </c>
      <c r="J591" s="59"/>
      <c r="K591" s="61">
        <f>IF(OR(J591="",I591=""),"",J591-I591)</f>
        <v/>
      </c>
      <c r="L591" s="61">
        <f>IF(OR(J591="",G591=""),"",J591-G591)</f>
        <v/>
      </c>
      <c r="M591" s="59"/>
      <c r="N591" s="59"/>
      <c r="O591" s="59"/>
      <c r="P591" s="59"/>
      <c r="Q591" s="59"/>
      <c r="R591" s="60">
        <f>IF(AND(P591="",Q591=""),"",N(P591)+N(Q591))</f>
        <v/>
      </c>
      <c r="S591" s="59"/>
      <c r="T591" s="59"/>
      <c r="U591" s="62">
        <f>IF(OR(R591="",S591="",T591=""),"",IF(S591+T591=0,"",R591/(S591+T591)))</f>
        <v/>
      </c>
      <c r="V591" s="63"/>
      <c r="W591" s="64"/>
      <c r="X591" s="63"/>
    </row>
    <row r="592" spans="2:24">
      <c r="B592" s="58"/>
      <c r="C592" s="59"/>
      <c r="D592" s="59"/>
      <c r="E592" s="59"/>
      <c r="F592" s="59"/>
      <c r="G592" s="60">
        <f>IF(OR(E592="",F592="",C592="",D592=""),"",IF(C592+D592=0,"",(E592*C592+F592*D592)/(C592+D592)))</f>
        <v/>
      </c>
      <c r="H592" s="59"/>
      <c r="I592" s="60">
        <f>IF(OR(H592="",E592="",C592="",D592=""),"",IF(C592+D592=0,"",(H592*D592+E592*C592)/(C592+D592)))</f>
        <v/>
      </c>
      <c r="J592" s="59"/>
      <c r="K592" s="61">
        <f>IF(OR(J592="",I592=""),"",J592-I592)</f>
        <v/>
      </c>
      <c r="L592" s="61">
        <f>IF(OR(J592="",G592=""),"",J592-G592)</f>
        <v/>
      </c>
      <c r="M592" s="59"/>
      <c r="N592" s="59"/>
      <c r="O592" s="59"/>
      <c r="P592" s="59"/>
      <c r="Q592" s="59"/>
      <c r="R592" s="60">
        <f>IF(AND(P592="",Q592=""),"",N(P592)+N(Q592))</f>
        <v/>
      </c>
      <c r="S592" s="59"/>
      <c r="T592" s="59"/>
      <c r="U592" s="62">
        <f>IF(OR(R592="",S592="",T592=""),"",IF(S592+T592=0,"",R592/(S592+T592)))</f>
        <v/>
      </c>
      <c r="V592" s="63"/>
      <c r="W592" s="64"/>
      <c r="X592" s="63"/>
    </row>
    <row r="593" spans="2:24">
      <c r="B593" s="58"/>
      <c r="C593" s="59"/>
      <c r="D593" s="59"/>
      <c r="E593" s="59"/>
      <c r="F593" s="59"/>
      <c r="G593" s="60">
        <f>IF(OR(E593="",F593="",C593="",D593=""),"",IF(C593+D593=0,"",(E593*C593+F593*D593)/(C593+D593)))</f>
        <v/>
      </c>
      <c r="H593" s="59"/>
      <c r="I593" s="60">
        <f>IF(OR(H593="",E593="",C593="",D593=""),"",IF(C593+D593=0,"",(H593*D593+E593*C593)/(C593+D593)))</f>
        <v/>
      </c>
      <c r="J593" s="59"/>
      <c r="K593" s="61">
        <f>IF(OR(J593="",I593=""),"",J593-I593)</f>
        <v/>
      </c>
      <c r="L593" s="61">
        <f>IF(OR(J593="",G593=""),"",J593-G593)</f>
        <v/>
      </c>
      <c r="M593" s="59"/>
      <c r="N593" s="59"/>
      <c r="O593" s="59"/>
      <c r="P593" s="59"/>
      <c r="Q593" s="59"/>
      <c r="R593" s="60">
        <f>IF(AND(P593="",Q593=""),"",N(P593)+N(Q593))</f>
        <v/>
      </c>
      <c r="S593" s="59"/>
      <c r="T593" s="59"/>
      <c r="U593" s="62">
        <f>IF(OR(R593="",S593="",T593=""),"",IF(S593+T593=0,"",R593/(S593+T593)))</f>
        <v/>
      </c>
      <c r="V593" s="63"/>
      <c r="W593" s="64"/>
      <c r="X593" s="63"/>
    </row>
    <row r="594" spans="2:24">
      <c r="B594" s="58"/>
      <c r="C594" s="59"/>
      <c r="D594" s="59"/>
      <c r="E594" s="59"/>
      <c r="F594" s="59"/>
      <c r="G594" s="60">
        <f>IF(OR(E594="",F594="",C594="",D594=""),"",IF(C594+D594=0,"",(E594*C594+F594*D594)/(C594+D594)))</f>
        <v/>
      </c>
      <c r="H594" s="59"/>
      <c r="I594" s="60">
        <f>IF(OR(H594="",E594="",C594="",D594=""),"",IF(C594+D594=0,"",(H594*D594+E594*C594)/(C594+D594)))</f>
        <v/>
      </c>
      <c r="J594" s="59"/>
      <c r="K594" s="61">
        <f>IF(OR(J594="",I594=""),"",J594-I594)</f>
        <v/>
      </c>
      <c r="L594" s="61">
        <f>IF(OR(J594="",G594=""),"",J594-G594)</f>
        <v/>
      </c>
      <c r="M594" s="59"/>
      <c r="N594" s="59"/>
      <c r="O594" s="59"/>
      <c r="P594" s="59"/>
      <c r="Q594" s="59"/>
      <c r="R594" s="60">
        <f>IF(AND(P594="",Q594=""),"",N(P594)+N(Q594))</f>
        <v/>
      </c>
      <c r="S594" s="59"/>
      <c r="T594" s="59"/>
      <c r="U594" s="62">
        <f>IF(OR(R594="",S594="",T594=""),"",IF(S594+T594=0,"",R594/(S594+T594)))</f>
        <v/>
      </c>
      <c r="V594" s="63"/>
      <c r="W594" s="64"/>
      <c r="X594" s="63"/>
    </row>
    <row r="595" spans="2:24">
      <c r="B595" s="58"/>
      <c r="C595" s="59"/>
      <c r="D595" s="59"/>
      <c r="E595" s="59"/>
      <c r="F595" s="59"/>
      <c r="G595" s="60">
        <f>IF(OR(E595="",F595="",C595="",D595=""),"",IF(C595+D595=0,"",(E595*C595+F595*D595)/(C595+D595)))</f>
        <v/>
      </c>
      <c r="H595" s="59"/>
      <c r="I595" s="60">
        <f>IF(OR(H595="",E595="",C595="",D595=""),"",IF(C595+D595=0,"",(H595*D595+E595*C595)/(C595+D595)))</f>
        <v/>
      </c>
      <c r="J595" s="59"/>
      <c r="K595" s="61">
        <f>IF(OR(J595="",I595=""),"",J595-I595)</f>
        <v/>
      </c>
      <c r="L595" s="61">
        <f>IF(OR(J595="",G595=""),"",J595-G595)</f>
        <v/>
      </c>
      <c r="M595" s="59"/>
      <c r="N595" s="59"/>
      <c r="O595" s="59"/>
      <c r="P595" s="59"/>
      <c r="Q595" s="59"/>
      <c r="R595" s="60">
        <f>IF(AND(P595="",Q595=""),"",N(P595)+N(Q595))</f>
        <v/>
      </c>
      <c r="S595" s="59"/>
      <c r="T595" s="59"/>
      <c r="U595" s="62">
        <f>IF(OR(R595="",S595="",T595=""),"",IF(S595+T595=0,"",R595/(S595+T595)))</f>
        <v/>
      </c>
      <c r="V595" s="63"/>
      <c r="W595" s="64"/>
      <c r="X595" s="63"/>
    </row>
    <row r="596" spans="2:24">
      <c r="B596" s="58"/>
      <c r="C596" s="59"/>
      <c r="D596" s="59"/>
      <c r="E596" s="59"/>
      <c r="F596" s="59"/>
      <c r="G596" s="60">
        <f>IF(OR(E596="",F596="",C596="",D596=""),"",IF(C596+D596=0,"",(E596*C596+F596*D596)/(C596+D596)))</f>
        <v/>
      </c>
      <c r="H596" s="59"/>
      <c r="I596" s="60">
        <f>IF(OR(H596="",E596="",C596="",D596=""),"",IF(C596+D596=0,"",(H596*D596+E596*C596)/(C596+D596)))</f>
        <v/>
      </c>
      <c r="J596" s="59"/>
      <c r="K596" s="61">
        <f>IF(OR(J596="",I596=""),"",J596-I596)</f>
        <v/>
      </c>
      <c r="L596" s="61">
        <f>IF(OR(J596="",G596=""),"",J596-G596)</f>
        <v/>
      </c>
      <c r="M596" s="59"/>
      <c r="N596" s="59"/>
      <c r="O596" s="59"/>
      <c r="P596" s="59"/>
      <c r="Q596" s="59"/>
      <c r="R596" s="60">
        <f>IF(AND(P596="",Q596=""),"",N(P596)+N(Q596))</f>
        <v/>
      </c>
      <c r="S596" s="59"/>
      <c r="T596" s="59"/>
      <c r="U596" s="62">
        <f>IF(OR(R596="",S596="",T596=""),"",IF(S596+T596=0,"",R596/(S596+T596)))</f>
        <v/>
      </c>
      <c r="V596" s="63"/>
      <c r="W596" s="64"/>
      <c r="X596" s="63"/>
    </row>
    <row r="597" spans="2:24">
      <c r="B597" s="58"/>
      <c r="C597" s="59"/>
      <c r="D597" s="59"/>
      <c r="E597" s="59"/>
      <c r="F597" s="59"/>
      <c r="G597" s="60">
        <f>IF(OR(E597="",F597="",C597="",D597=""),"",IF(C597+D597=0,"",(E597*C597+F597*D597)/(C597+D597)))</f>
        <v/>
      </c>
      <c r="H597" s="59"/>
      <c r="I597" s="60">
        <f>IF(OR(H597="",E597="",C597="",D597=""),"",IF(C597+D597=0,"",(H597*D597+E597*C597)/(C597+D597)))</f>
        <v/>
      </c>
      <c r="J597" s="59"/>
      <c r="K597" s="61">
        <f>IF(OR(J597="",I597=""),"",J597-I597)</f>
        <v/>
      </c>
      <c r="L597" s="61">
        <f>IF(OR(J597="",G597=""),"",J597-G597)</f>
        <v/>
      </c>
      <c r="M597" s="59"/>
      <c r="N597" s="59"/>
      <c r="O597" s="59"/>
      <c r="P597" s="59"/>
      <c r="Q597" s="59"/>
      <c r="R597" s="60">
        <f>IF(AND(P597="",Q597=""),"",N(P597)+N(Q597))</f>
        <v/>
      </c>
      <c r="S597" s="59"/>
      <c r="T597" s="59"/>
      <c r="U597" s="62">
        <f>IF(OR(R597="",S597="",T597=""),"",IF(S597+T597=0,"",R597/(S597+T597)))</f>
        <v/>
      </c>
      <c r="V597" s="63"/>
      <c r="W597" s="64"/>
      <c r="X597" s="63"/>
    </row>
    <row r="598" spans="2:24">
      <c r="B598" s="58"/>
      <c r="C598" s="59"/>
      <c r="D598" s="59"/>
      <c r="E598" s="59"/>
      <c r="F598" s="59"/>
      <c r="G598" s="60">
        <f>IF(OR(E598="",F598="",C598="",D598=""),"",IF(C598+D598=0,"",(E598*C598+F598*D598)/(C598+D598)))</f>
        <v/>
      </c>
      <c r="H598" s="59"/>
      <c r="I598" s="60">
        <f>IF(OR(H598="",E598="",C598="",D598=""),"",IF(C598+D598=0,"",(H598*D598+E598*C598)/(C598+D598)))</f>
        <v/>
      </c>
      <c r="J598" s="59"/>
      <c r="K598" s="61">
        <f>IF(OR(J598="",I598=""),"",J598-I598)</f>
        <v/>
      </c>
      <c r="L598" s="61">
        <f>IF(OR(J598="",G598=""),"",J598-G598)</f>
        <v/>
      </c>
      <c r="M598" s="59"/>
      <c r="N598" s="59"/>
      <c r="O598" s="59"/>
      <c r="P598" s="59"/>
      <c r="Q598" s="59"/>
      <c r="R598" s="60">
        <f>IF(AND(P598="",Q598=""),"",N(P598)+N(Q598))</f>
        <v/>
      </c>
      <c r="S598" s="59"/>
      <c r="T598" s="59"/>
      <c r="U598" s="62">
        <f>IF(OR(R598="",S598="",T598=""),"",IF(S598+T598=0,"",R598/(S598+T598)))</f>
        <v/>
      </c>
      <c r="V598" s="63"/>
      <c r="W598" s="64"/>
      <c r="X598" s="63"/>
    </row>
    <row r="599" spans="2:24">
      <c r="B599" s="58"/>
      <c r="C599" s="59"/>
      <c r="D599" s="59"/>
      <c r="E599" s="59"/>
      <c r="F599" s="59"/>
      <c r="G599" s="60">
        <f>IF(OR(E599="",F599="",C599="",D599=""),"",IF(C599+D599=0,"",(E599*C599+F599*D599)/(C599+D599)))</f>
        <v/>
      </c>
      <c r="H599" s="59"/>
      <c r="I599" s="60">
        <f>IF(OR(H599="",E599="",C599="",D599=""),"",IF(C599+D599=0,"",(H599*D599+E599*C599)/(C599+D599)))</f>
        <v/>
      </c>
      <c r="J599" s="59"/>
      <c r="K599" s="61">
        <f>IF(OR(J599="",I599=""),"",J599-I599)</f>
        <v/>
      </c>
      <c r="L599" s="61">
        <f>IF(OR(J599="",G599=""),"",J599-G599)</f>
        <v/>
      </c>
      <c r="M599" s="59"/>
      <c r="N599" s="59"/>
      <c r="O599" s="59"/>
      <c r="P599" s="59"/>
      <c r="Q599" s="59"/>
      <c r="R599" s="60">
        <f>IF(AND(P599="",Q599=""),"",N(P599)+N(Q599))</f>
        <v/>
      </c>
      <c r="S599" s="59"/>
      <c r="T599" s="59"/>
      <c r="U599" s="62">
        <f>IF(OR(R599="",S599="",T599=""),"",IF(S599+T599=0,"",R599/(S599+T599)))</f>
        <v/>
      </c>
      <c r="V599" s="63"/>
      <c r="W599" s="64"/>
      <c r="X599" s="63"/>
    </row>
    <row r="600" spans="2:24">
      <c r="B600" s="58"/>
      <c r="C600" s="59"/>
      <c r="D600" s="59"/>
      <c r="E600" s="59"/>
      <c r="F600" s="59"/>
      <c r="G600" s="60">
        <f>IF(OR(E600="",F600="",C600="",D600=""),"",IF(C600+D600=0,"",(E600*C600+F600*D600)/(C600+D600)))</f>
        <v/>
      </c>
      <c r="H600" s="59"/>
      <c r="I600" s="60">
        <f>IF(OR(H600="",E600="",C600="",D600=""),"",IF(C600+D600=0,"",(H600*D600+E600*C600)/(C600+D600)))</f>
        <v/>
      </c>
      <c r="J600" s="59"/>
      <c r="K600" s="61">
        <f>IF(OR(J600="",I600=""),"",J600-I600)</f>
        <v/>
      </c>
      <c r="L600" s="61">
        <f>IF(OR(J600="",G600=""),"",J600-G600)</f>
        <v/>
      </c>
      <c r="M600" s="59"/>
      <c r="N600" s="59"/>
      <c r="O600" s="59"/>
      <c r="P600" s="59"/>
      <c r="Q600" s="59"/>
      <c r="R600" s="60">
        <f>IF(AND(P600="",Q600=""),"",N(P600)+N(Q600))</f>
        <v/>
      </c>
      <c r="S600" s="59"/>
      <c r="T600" s="59"/>
      <c r="U600" s="62">
        <f>IF(OR(R600="",S600="",T600=""),"",IF(S600+T600=0,"",R600/(S600+T600)))</f>
        <v/>
      </c>
      <c r="V600" s="63"/>
      <c r="W600" s="64"/>
      <c r="X600" s="63"/>
    </row>
    <row r="601" spans="2:24">
      <c r="B601" s="58"/>
      <c r="C601" s="59"/>
      <c r="D601" s="59"/>
      <c r="E601" s="59"/>
      <c r="F601" s="59"/>
      <c r="G601" s="60">
        <f>IF(OR(E601="",F601="",C601="",D601=""),"",IF(C601+D601=0,"",(E601*C601+F601*D601)/(C601+D601)))</f>
        <v/>
      </c>
      <c r="H601" s="59"/>
      <c r="I601" s="60">
        <f>IF(OR(H601="",E601="",C601="",D601=""),"",IF(C601+D601=0,"",(H601*D601+E601*C601)/(C601+D601)))</f>
        <v/>
      </c>
      <c r="J601" s="59"/>
      <c r="K601" s="61">
        <f>IF(OR(J601="",I601=""),"",J601-I601)</f>
        <v/>
      </c>
      <c r="L601" s="61">
        <f>IF(OR(J601="",G601=""),"",J601-G601)</f>
        <v/>
      </c>
      <c r="M601" s="59"/>
      <c r="N601" s="59"/>
      <c r="O601" s="59"/>
      <c r="P601" s="59"/>
      <c r="Q601" s="59"/>
      <c r="R601" s="60">
        <f>IF(AND(P601="",Q601=""),"",N(P601)+N(Q601))</f>
        <v/>
      </c>
      <c r="S601" s="59"/>
      <c r="T601" s="59"/>
      <c r="U601" s="62">
        <f>IF(OR(R601="",S601="",T601=""),"",IF(S601+T601=0,"",R601/(S601+T601)))</f>
        <v/>
      </c>
      <c r="V601" s="63"/>
      <c r="W601" s="64"/>
      <c r="X601" s="63"/>
    </row>
    <row r="602" spans="2:24">
      <c r="B602" s="58"/>
      <c r="C602" s="59"/>
      <c r="D602" s="59"/>
      <c r="E602" s="59"/>
      <c r="F602" s="59"/>
      <c r="G602" s="60">
        <f>IF(OR(E602="",F602="",C602="",D602=""),"",IF(C602+D602=0,"",(E602*C602+F602*D602)/(C602+D602)))</f>
        <v/>
      </c>
      <c r="H602" s="59"/>
      <c r="I602" s="60">
        <f>IF(OR(H602="",E602="",C602="",D602=""),"",IF(C602+D602=0,"",(H602*D602+E602*C602)/(C602+D602)))</f>
        <v/>
      </c>
      <c r="J602" s="59"/>
      <c r="K602" s="61">
        <f>IF(OR(J602="",I602=""),"",J602-I602)</f>
        <v/>
      </c>
      <c r="L602" s="61">
        <f>IF(OR(J602="",G602=""),"",J602-G602)</f>
        <v/>
      </c>
      <c r="M602" s="59"/>
      <c r="N602" s="59"/>
      <c r="O602" s="59"/>
      <c r="P602" s="59"/>
      <c r="Q602" s="59"/>
      <c r="R602" s="60">
        <f>IF(AND(P602="",Q602=""),"",N(P602)+N(Q602))</f>
        <v/>
      </c>
      <c r="S602" s="59"/>
      <c r="T602" s="59"/>
      <c r="U602" s="62">
        <f>IF(OR(R602="",S602="",T602=""),"",IF(S602+T602=0,"",R602/(S602+T602)))</f>
        <v/>
      </c>
      <c r="V602" s="63"/>
      <c r="W602" s="64"/>
      <c r="X602" s="63"/>
    </row>
    <row r="603" spans="2:24">
      <c r="B603" s="58"/>
      <c r="C603" s="59"/>
      <c r="D603" s="59"/>
      <c r="E603" s="59"/>
      <c r="F603" s="59"/>
      <c r="G603" s="60">
        <f>IF(OR(E603="",F603="",C603="",D603=""),"",IF(C603+D603=0,"",(E603*C603+F603*D603)/(C603+D603)))</f>
        <v/>
      </c>
      <c r="H603" s="59"/>
      <c r="I603" s="60">
        <f>IF(OR(H603="",E603="",C603="",D603=""),"",IF(C603+D603=0,"",(H603*D603+E603*C603)/(C603+D603)))</f>
        <v/>
      </c>
      <c r="J603" s="59"/>
      <c r="K603" s="61">
        <f>IF(OR(J603="",I603=""),"",J603-I603)</f>
        <v/>
      </c>
      <c r="L603" s="61">
        <f>IF(OR(J603="",G603=""),"",J603-G603)</f>
        <v/>
      </c>
      <c r="M603" s="59"/>
      <c r="N603" s="59"/>
      <c r="O603" s="59"/>
      <c r="P603" s="59"/>
      <c r="Q603" s="59"/>
      <c r="R603" s="60">
        <f>IF(AND(P603="",Q603=""),"",N(P603)+N(Q603))</f>
        <v/>
      </c>
      <c r="S603" s="59"/>
      <c r="T603" s="59"/>
      <c r="U603" s="62">
        <f>IF(OR(R603="",S603="",T603=""),"",IF(S603+T603=0,"",R603/(S603+T603)))</f>
        <v/>
      </c>
      <c r="V603" s="63"/>
      <c r="W603" s="64"/>
      <c r="X603" s="63"/>
    </row>
    <row r="604" spans="2:24">
      <c r="B604" s="58"/>
      <c r="C604" s="59"/>
      <c r="D604" s="59"/>
      <c r="E604" s="59"/>
      <c r="F604" s="59"/>
      <c r="G604" s="60">
        <f>IF(OR(E604="",F604="",C604="",D604=""),"",IF(C604+D604=0,"",(E604*C604+F604*D604)/(C604+D604)))</f>
        <v/>
      </c>
      <c r="H604" s="59"/>
      <c r="I604" s="60">
        <f>IF(OR(H604="",E604="",C604="",D604=""),"",IF(C604+D604=0,"",(H604*D604+E604*C604)/(C604+D604)))</f>
        <v/>
      </c>
      <c r="J604" s="59"/>
      <c r="K604" s="61">
        <f>IF(OR(J604="",I604=""),"",J604-I604)</f>
        <v/>
      </c>
      <c r="L604" s="61">
        <f>IF(OR(J604="",G604=""),"",J604-G604)</f>
        <v/>
      </c>
      <c r="M604" s="59"/>
      <c r="N604" s="59"/>
      <c r="O604" s="59"/>
      <c r="P604" s="59"/>
      <c r="Q604" s="59"/>
      <c r="R604" s="60">
        <f>IF(AND(P604="",Q604=""),"",N(P604)+N(Q604))</f>
        <v/>
      </c>
      <c r="S604" s="59"/>
      <c r="T604" s="59"/>
      <c r="U604" s="62">
        <f>IF(OR(R604="",S604="",T604=""),"",IF(S604+T604=0,"",R604/(S604+T604)))</f>
        <v/>
      </c>
      <c r="V604" s="63"/>
      <c r="W604" s="64"/>
      <c r="X604" s="63"/>
    </row>
    <row r="605" spans="2:24">
      <c r="B605" s="58"/>
      <c r="C605" s="59"/>
      <c r="D605" s="59"/>
      <c r="E605" s="59"/>
      <c r="F605" s="59"/>
      <c r="G605" s="60">
        <f>IF(OR(E605="",F605="",C605="",D605=""),"",IF(C605+D605=0,"",(E605*C605+F605*D605)/(C605+D605)))</f>
        <v/>
      </c>
      <c r="H605" s="59"/>
      <c r="I605" s="60">
        <f>IF(OR(H605="",E605="",C605="",D605=""),"",IF(C605+D605=0,"",(H605*D605+E605*C605)/(C605+D605)))</f>
        <v/>
      </c>
      <c r="J605" s="59"/>
      <c r="K605" s="61">
        <f>IF(OR(J605="",I605=""),"",J605-I605)</f>
        <v/>
      </c>
      <c r="L605" s="61">
        <f>IF(OR(J605="",G605=""),"",J605-G605)</f>
        <v/>
      </c>
      <c r="M605" s="59"/>
      <c r="N605" s="59"/>
      <c r="O605" s="59"/>
      <c r="P605" s="59"/>
      <c r="Q605" s="59"/>
      <c r="R605" s="60">
        <f>IF(AND(P605="",Q605=""),"",N(P605)+N(Q605))</f>
        <v/>
      </c>
      <c r="S605" s="59"/>
      <c r="T605" s="59"/>
      <c r="U605" s="62">
        <f>IF(OR(R605="",S605="",T605=""),"",IF(S605+T605=0,"",R605/(S605+T605)))</f>
        <v/>
      </c>
      <c r="V605" s="63"/>
      <c r="W605" s="64"/>
      <c r="X605" s="63"/>
    </row>
    <row r="606" spans="2:24">
      <c r="B606" s="58"/>
      <c r="C606" s="59"/>
      <c r="D606" s="59"/>
      <c r="E606" s="59"/>
      <c r="F606" s="59"/>
      <c r="G606" s="60">
        <f>IF(OR(E606="",F606="",C606="",D606=""),"",IF(C606+D606=0,"",(E606*C606+F606*D606)/(C606+D606)))</f>
        <v/>
      </c>
      <c r="H606" s="59"/>
      <c r="I606" s="60">
        <f>IF(OR(H606="",E606="",C606="",D606=""),"",IF(C606+D606=0,"",(H606*D606+E606*C606)/(C606+D606)))</f>
        <v/>
      </c>
      <c r="J606" s="59"/>
      <c r="K606" s="61">
        <f>IF(OR(J606="",I606=""),"",J606-I606)</f>
        <v/>
      </c>
      <c r="L606" s="61">
        <f>IF(OR(J606="",G606=""),"",J606-G606)</f>
        <v/>
      </c>
      <c r="M606" s="59"/>
      <c r="N606" s="59"/>
      <c r="O606" s="59"/>
      <c r="P606" s="59"/>
      <c r="Q606" s="59"/>
      <c r="R606" s="60">
        <f>IF(AND(P606="",Q606=""),"",N(P606)+N(Q606))</f>
        <v/>
      </c>
      <c r="S606" s="59"/>
      <c r="T606" s="59"/>
      <c r="U606" s="62">
        <f>IF(OR(R606="",S606="",T606=""),"",IF(S606+T606=0,"",R606/(S606+T606)))</f>
        <v/>
      </c>
      <c r="V606" s="63"/>
      <c r="W606" s="64"/>
      <c r="X606" s="63"/>
    </row>
    <row r="607" spans="2:24">
      <c r="B607" s="58"/>
      <c r="C607" s="59"/>
      <c r="D607" s="59"/>
      <c r="E607" s="59"/>
      <c r="F607" s="59"/>
      <c r="G607" s="60">
        <f>IF(OR(E607="",F607="",C607="",D607=""),"",IF(C607+D607=0,"",(E607*C607+F607*D607)/(C607+D607)))</f>
        <v/>
      </c>
      <c r="H607" s="59"/>
      <c r="I607" s="60">
        <f>IF(OR(H607="",E607="",C607="",D607=""),"",IF(C607+D607=0,"",(H607*D607+E607*C607)/(C607+D607)))</f>
        <v/>
      </c>
      <c r="J607" s="59"/>
      <c r="K607" s="61">
        <f>IF(OR(J607="",I607=""),"",J607-I607)</f>
        <v/>
      </c>
      <c r="L607" s="61">
        <f>IF(OR(J607="",G607=""),"",J607-G607)</f>
        <v/>
      </c>
      <c r="M607" s="59"/>
      <c r="N607" s="59"/>
      <c r="O607" s="59"/>
      <c r="P607" s="59"/>
      <c r="Q607" s="59"/>
      <c r="R607" s="60">
        <f>IF(AND(P607="",Q607=""),"",N(P607)+N(Q607))</f>
        <v/>
      </c>
      <c r="S607" s="59"/>
      <c r="T607" s="59"/>
      <c r="U607" s="62">
        <f>IF(OR(R607="",S607="",T607=""),"",IF(S607+T607=0,"",R607/(S607+T607)))</f>
        <v/>
      </c>
      <c r="V607" s="63"/>
      <c r="W607" s="64"/>
      <c r="X607" s="63"/>
    </row>
    <row r="608" spans="2:24">
      <c r="B608" s="58"/>
      <c r="C608" s="59"/>
      <c r="D608" s="59"/>
      <c r="E608" s="59"/>
      <c r="F608" s="59"/>
      <c r="G608" s="60">
        <f>IF(OR(E608="",F608="",C608="",D608=""),"",IF(C608+D608=0,"",(E608*C608+F608*D608)/(C608+D608)))</f>
        <v/>
      </c>
      <c r="H608" s="59"/>
      <c r="I608" s="60">
        <f>IF(OR(H608="",E608="",C608="",D608=""),"",IF(C608+D608=0,"",(H608*D608+E608*C608)/(C608+D608)))</f>
        <v/>
      </c>
      <c r="J608" s="59"/>
      <c r="K608" s="61">
        <f>IF(OR(J608="",I608=""),"",J608-I608)</f>
        <v/>
      </c>
      <c r="L608" s="61">
        <f>IF(OR(J608="",G608=""),"",J608-G608)</f>
        <v/>
      </c>
      <c r="M608" s="59"/>
      <c r="N608" s="59"/>
      <c r="O608" s="59"/>
      <c r="P608" s="59"/>
      <c r="Q608" s="59"/>
      <c r="R608" s="60">
        <f>IF(AND(P608="",Q608=""),"",N(P608)+N(Q608))</f>
        <v/>
      </c>
      <c r="S608" s="59"/>
      <c r="T608" s="59"/>
      <c r="U608" s="62">
        <f>IF(OR(R608="",S608="",T608=""),"",IF(S608+T608=0,"",R608/(S608+T608)))</f>
        <v/>
      </c>
      <c r="V608" s="63"/>
      <c r="W608" s="64"/>
      <c r="X608" s="63"/>
    </row>
    <row r="609" spans="2:24">
      <c r="B609" s="58"/>
      <c r="C609" s="59"/>
      <c r="D609" s="59"/>
      <c r="E609" s="59"/>
      <c r="F609" s="59"/>
      <c r="G609" s="60">
        <f>IF(OR(E609="",F609="",C609="",D609=""),"",IF(C609+D609=0,"",(E609*C609+F609*D609)/(C609+D609)))</f>
        <v/>
      </c>
      <c r="H609" s="59"/>
      <c r="I609" s="60">
        <f>IF(OR(H609="",E609="",C609="",D609=""),"",IF(C609+D609=0,"",(H609*D609+E609*C609)/(C609+D609)))</f>
        <v/>
      </c>
      <c r="J609" s="59"/>
      <c r="K609" s="61">
        <f>IF(OR(J609="",I609=""),"",J609-I609)</f>
        <v/>
      </c>
      <c r="L609" s="61">
        <f>IF(OR(J609="",G609=""),"",J609-G609)</f>
        <v/>
      </c>
      <c r="M609" s="59"/>
      <c r="N609" s="59"/>
      <c r="O609" s="59"/>
      <c r="P609" s="59"/>
      <c r="Q609" s="59"/>
      <c r="R609" s="60">
        <f>IF(AND(P609="",Q609=""),"",N(P609)+N(Q609))</f>
        <v/>
      </c>
      <c r="S609" s="59"/>
      <c r="T609" s="59"/>
      <c r="U609" s="62">
        <f>IF(OR(R609="",S609="",T609=""),"",IF(S609+T609=0,"",R609/(S609+T609)))</f>
        <v/>
      </c>
      <c r="V609" s="63"/>
      <c r="W609" s="64"/>
      <c r="X609" s="63"/>
    </row>
    <row r="610" spans="2:24">
      <c r="B610" s="58"/>
      <c r="C610" s="59"/>
      <c r="D610" s="59"/>
      <c r="E610" s="59"/>
      <c r="F610" s="59"/>
      <c r="G610" s="60">
        <f>IF(OR(E610="",F610="",C610="",D610=""),"",IF(C610+D610=0,"",(E610*C610+F610*D610)/(C610+D610)))</f>
        <v/>
      </c>
      <c r="H610" s="59"/>
      <c r="I610" s="60">
        <f>IF(OR(H610="",E610="",C610="",D610=""),"",IF(C610+D610=0,"",(H610*D610+E610*C610)/(C610+D610)))</f>
        <v/>
      </c>
      <c r="J610" s="59"/>
      <c r="K610" s="61">
        <f>IF(OR(J610="",I610=""),"",J610-I610)</f>
        <v/>
      </c>
      <c r="L610" s="61">
        <f>IF(OR(J610="",G610=""),"",J610-G610)</f>
        <v/>
      </c>
      <c r="M610" s="59"/>
      <c r="N610" s="59"/>
      <c r="O610" s="59"/>
      <c r="P610" s="59"/>
      <c r="Q610" s="59"/>
      <c r="R610" s="60">
        <f>IF(AND(P610="",Q610=""),"",N(P610)+N(Q610))</f>
        <v/>
      </c>
      <c r="S610" s="59"/>
      <c r="T610" s="59"/>
      <c r="U610" s="62">
        <f>IF(OR(R610="",S610="",T610=""),"",IF(S610+T610=0,"",R610/(S610+T610)))</f>
        <v/>
      </c>
      <c r="V610" s="63"/>
      <c r="W610" s="64"/>
      <c r="X610" s="63"/>
    </row>
    <row r="611" spans="2:24">
      <c r="B611" s="58"/>
      <c r="C611" s="59"/>
      <c r="D611" s="59"/>
      <c r="E611" s="59"/>
      <c r="F611" s="59"/>
      <c r="G611" s="60">
        <f>IF(OR(E611="",F611="",C611="",D611=""),"",IF(C611+D611=0,"",(E611*C611+F611*D611)/(C611+D611)))</f>
        <v/>
      </c>
      <c r="H611" s="59"/>
      <c r="I611" s="60">
        <f>IF(OR(H611="",E611="",C611="",D611=""),"",IF(C611+D611=0,"",(H611*D611+E611*C611)/(C611+D611)))</f>
        <v/>
      </c>
      <c r="J611" s="59"/>
      <c r="K611" s="61">
        <f>IF(OR(J611="",I611=""),"",J611-I611)</f>
        <v/>
      </c>
      <c r="L611" s="61">
        <f>IF(OR(J611="",G611=""),"",J611-G611)</f>
        <v/>
      </c>
      <c r="M611" s="59"/>
      <c r="N611" s="59"/>
      <c r="O611" s="59"/>
      <c r="P611" s="59"/>
      <c r="Q611" s="59"/>
      <c r="R611" s="60">
        <f>IF(AND(P611="",Q611=""),"",N(P611)+N(Q611))</f>
        <v/>
      </c>
      <c r="S611" s="59"/>
      <c r="T611" s="59"/>
      <c r="U611" s="62">
        <f>IF(OR(R611="",S611="",T611=""),"",IF(S611+T611=0,"",R611/(S611+T611)))</f>
        <v/>
      </c>
      <c r="V611" s="63"/>
      <c r="W611" s="64"/>
      <c r="X611" s="63"/>
    </row>
    <row r="612" spans="2:24">
      <c r="B612" s="58"/>
      <c r="C612" s="59"/>
      <c r="D612" s="59"/>
      <c r="E612" s="59"/>
      <c r="F612" s="59"/>
      <c r="G612" s="60">
        <f>IF(OR(E612="",F612="",C612="",D612=""),"",IF(C612+D612=0,"",(E612*C612+F612*D612)/(C612+D612)))</f>
        <v/>
      </c>
      <c r="H612" s="59"/>
      <c r="I612" s="60">
        <f>IF(OR(H612="",E612="",C612="",D612=""),"",IF(C612+D612=0,"",(H612*D612+E612*C612)/(C612+D612)))</f>
        <v/>
      </c>
      <c r="J612" s="59"/>
      <c r="K612" s="61">
        <f>IF(OR(J612="",I612=""),"",J612-I612)</f>
        <v/>
      </c>
      <c r="L612" s="61">
        <f>IF(OR(J612="",G612=""),"",J612-G612)</f>
        <v/>
      </c>
      <c r="M612" s="59"/>
      <c r="N612" s="59"/>
      <c r="O612" s="59"/>
      <c r="P612" s="59"/>
      <c r="Q612" s="59"/>
      <c r="R612" s="60">
        <f>IF(AND(P612="",Q612=""),"",N(P612)+N(Q612))</f>
        <v/>
      </c>
      <c r="S612" s="59"/>
      <c r="T612" s="59"/>
      <c r="U612" s="62">
        <f>IF(OR(R612="",S612="",T612=""),"",IF(S612+T612=0,"",R612/(S612+T612)))</f>
        <v/>
      </c>
      <c r="V612" s="63"/>
      <c r="W612" s="64"/>
      <c r="X612" s="63"/>
    </row>
    <row r="613" spans="2:24">
      <c r="B613" s="58"/>
      <c r="C613" s="59"/>
      <c r="D613" s="59"/>
      <c r="E613" s="59"/>
      <c r="F613" s="59"/>
      <c r="G613" s="60">
        <f>IF(OR(E613="",F613="",C613="",D613=""),"",IF(C613+D613=0,"",(E613*C613+F613*D613)/(C613+D613)))</f>
        <v/>
      </c>
      <c r="H613" s="59"/>
      <c r="I613" s="60">
        <f>IF(OR(H613="",E613="",C613="",D613=""),"",IF(C613+D613=0,"",(H613*D613+E613*C613)/(C613+D613)))</f>
        <v/>
      </c>
      <c r="J613" s="59"/>
      <c r="K613" s="61">
        <f>IF(OR(J613="",I613=""),"",J613-I613)</f>
        <v/>
      </c>
      <c r="L613" s="61">
        <f>IF(OR(J613="",G613=""),"",J613-G613)</f>
        <v/>
      </c>
      <c r="M613" s="59"/>
      <c r="N613" s="59"/>
      <c r="O613" s="59"/>
      <c r="P613" s="59"/>
      <c r="Q613" s="59"/>
      <c r="R613" s="60">
        <f>IF(AND(P613="",Q613=""),"",N(P613)+N(Q613))</f>
        <v/>
      </c>
      <c r="S613" s="59"/>
      <c r="T613" s="59"/>
      <c r="U613" s="62">
        <f>IF(OR(R613="",S613="",T613=""),"",IF(S613+T613=0,"",R613/(S613+T613)))</f>
        <v/>
      </c>
      <c r="V613" s="63"/>
      <c r="W613" s="64"/>
      <c r="X613" s="63"/>
    </row>
    <row r="614" spans="2:24">
      <c r="B614" s="58"/>
      <c r="C614" s="59"/>
      <c r="D614" s="59"/>
      <c r="E614" s="59"/>
      <c r="F614" s="59"/>
      <c r="G614" s="60">
        <f>IF(OR(E614="",F614="",C614="",D614=""),"",IF(C614+D614=0,"",(E614*C614+F614*D614)/(C614+D614)))</f>
        <v/>
      </c>
      <c r="H614" s="59"/>
      <c r="I614" s="60">
        <f>IF(OR(H614="",E614="",C614="",D614=""),"",IF(C614+D614=0,"",(H614*D614+E614*C614)/(C614+D614)))</f>
        <v/>
      </c>
      <c r="J614" s="59"/>
      <c r="K614" s="61">
        <f>IF(OR(J614="",I614=""),"",J614-I614)</f>
        <v/>
      </c>
      <c r="L614" s="61">
        <f>IF(OR(J614="",G614=""),"",J614-G614)</f>
        <v/>
      </c>
      <c r="M614" s="59"/>
      <c r="N614" s="59"/>
      <c r="O614" s="59"/>
      <c r="P614" s="59"/>
      <c r="Q614" s="59"/>
      <c r="R614" s="60">
        <f>IF(AND(P614="",Q614=""),"",N(P614)+N(Q614))</f>
        <v/>
      </c>
      <c r="S614" s="59"/>
      <c r="T614" s="59"/>
      <c r="U614" s="62">
        <f>IF(OR(R614="",S614="",T614=""),"",IF(S614+T614=0,"",R614/(S614+T614)))</f>
        <v/>
      </c>
      <c r="V614" s="63"/>
      <c r="W614" s="64"/>
      <c r="X614" s="63"/>
    </row>
    <row r="615" spans="2:24">
      <c r="B615" s="58"/>
      <c r="C615" s="59"/>
      <c r="D615" s="59"/>
      <c r="E615" s="59"/>
      <c r="F615" s="59"/>
      <c r="G615" s="60">
        <f>IF(OR(E615="",F615="",C615="",D615=""),"",IF(C615+D615=0,"",(E615*C615+F615*D615)/(C615+D615)))</f>
        <v/>
      </c>
      <c r="H615" s="59"/>
      <c r="I615" s="60">
        <f>IF(OR(H615="",E615="",C615="",D615=""),"",IF(C615+D615=0,"",(H615*D615+E615*C615)/(C615+D615)))</f>
        <v/>
      </c>
      <c r="J615" s="59"/>
      <c r="K615" s="61">
        <f>IF(OR(J615="",I615=""),"",J615-I615)</f>
        <v/>
      </c>
      <c r="L615" s="61">
        <f>IF(OR(J615="",G615=""),"",J615-G615)</f>
        <v/>
      </c>
      <c r="M615" s="59"/>
      <c r="N615" s="59"/>
      <c r="O615" s="59"/>
      <c r="P615" s="59"/>
      <c r="Q615" s="59"/>
      <c r="R615" s="60">
        <f>IF(AND(P615="",Q615=""),"",N(P615)+N(Q615))</f>
        <v/>
      </c>
      <c r="S615" s="59"/>
      <c r="T615" s="59"/>
      <c r="U615" s="62">
        <f>IF(OR(R615="",S615="",T615=""),"",IF(S615+T615=0,"",R615/(S615+T615)))</f>
        <v/>
      </c>
      <c r="V615" s="63"/>
      <c r="W615" s="64"/>
      <c r="X615" s="63"/>
    </row>
    <row r="616" spans="2:24">
      <c r="B616" s="58"/>
      <c r="C616" s="59"/>
      <c r="D616" s="59"/>
      <c r="E616" s="59"/>
      <c r="F616" s="59"/>
      <c r="G616" s="60">
        <f>IF(OR(E616="",F616="",C616="",D616=""),"",IF(C616+D616=0,"",(E616*C616+F616*D616)/(C616+D616)))</f>
        <v/>
      </c>
      <c r="H616" s="59"/>
      <c r="I616" s="60">
        <f>IF(OR(H616="",E616="",C616="",D616=""),"",IF(C616+D616=0,"",(H616*D616+E616*C616)/(C616+D616)))</f>
        <v/>
      </c>
      <c r="J616" s="59"/>
      <c r="K616" s="61">
        <f>IF(OR(J616="",I616=""),"",J616-I616)</f>
        <v/>
      </c>
      <c r="L616" s="61">
        <f>IF(OR(J616="",G616=""),"",J616-G616)</f>
        <v/>
      </c>
      <c r="M616" s="59"/>
      <c r="N616" s="59"/>
      <c r="O616" s="59"/>
      <c r="P616" s="59"/>
      <c r="Q616" s="59"/>
      <c r="R616" s="60">
        <f>IF(AND(P616="",Q616=""),"",N(P616)+N(Q616))</f>
        <v/>
      </c>
      <c r="S616" s="59"/>
      <c r="T616" s="59"/>
      <c r="U616" s="62">
        <f>IF(OR(R616="",S616="",T616=""),"",IF(S616+T616=0,"",R616/(S616+T616)))</f>
        <v/>
      </c>
      <c r="V616" s="63"/>
      <c r="W616" s="64"/>
      <c r="X616" s="63"/>
    </row>
    <row r="617" spans="2:24">
      <c r="B617" s="58"/>
      <c r="C617" s="59"/>
      <c r="D617" s="59"/>
      <c r="E617" s="59"/>
      <c r="F617" s="59"/>
      <c r="G617" s="60">
        <f>IF(OR(E617="",F617="",C617="",D617=""),"",IF(C617+D617=0,"",(E617*C617+F617*D617)/(C617+D617)))</f>
        <v/>
      </c>
      <c r="H617" s="59"/>
      <c r="I617" s="60">
        <f>IF(OR(H617="",E617="",C617="",D617=""),"",IF(C617+D617=0,"",(H617*D617+E617*C617)/(C617+D617)))</f>
        <v/>
      </c>
      <c r="J617" s="59"/>
      <c r="K617" s="61">
        <f>IF(OR(J617="",I617=""),"",J617-I617)</f>
        <v/>
      </c>
      <c r="L617" s="61">
        <f>IF(OR(J617="",G617=""),"",J617-G617)</f>
        <v/>
      </c>
      <c r="M617" s="59"/>
      <c r="N617" s="59"/>
      <c r="O617" s="59"/>
      <c r="P617" s="59"/>
      <c r="Q617" s="59"/>
      <c r="R617" s="60">
        <f>IF(AND(P617="",Q617=""),"",N(P617)+N(Q617))</f>
        <v/>
      </c>
      <c r="S617" s="59"/>
      <c r="T617" s="59"/>
      <c r="U617" s="62">
        <f>IF(OR(R617="",S617="",T617=""),"",IF(S617+T617=0,"",R617/(S617+T617)))</f>
        <v/>
      </c>
      <c r="V617" s="63"/>
      <c r="W617" s="64"/>
      <c r="X617" s="63"/>
    </row>
    <row r="618" spans="2:24">
      <c r="B618" s="58"/>
      <c r="C618" s="59"/>
      <c r="D618" s="59"/>
      <c r="E618" s="59"/>
      <c r="F618" s="59"/>
      <c r="G618" s="60">
        <f>IF(OR(E618="",F618="",C618="",D618=""),"",IF(C618+D618=0,"",(E618*C618+F618*D618)/(C618+D618)))</f>
        <v/>
      </c>
      <c r="H618" s="59"/>
      <c r="I618" s="60">
        <f>IF(OR(H618="",E618="",C618="",D618=""),"",IF(C618+D618=0,"",(H618*D618+E618*C618)/(C618+D618)))</f>
        <v/>
      </c>
      <c r="J618" s="59"/>
      <c r="K618" s="61">
        <f>IF(OR(J618="",I618=""),"",J618-I618)</f>
        <v/>
      </c>
      <c r="L618" s="61">
        <f>IF(OR(J618="",G618=""),"",J618-G618)</f>
        <v/>
      </c>
      <c r="M618" s="59"/>
      <c r="N618" s="59"/>
      <c r="O618" s="59"/>
      <c r="P618" s="59"/>
      <c r="Q618" s="59"/>
      <c r="R618" s="60">
        <f>IF(AND(P618="",Q618=""),"",N(P618)+N(Q618))</f>
        <v/>
      </c>
      <c r="S618" s="59"/>
      <c r="T618" s="59"/>
      <c r="U618" s="62">
        <f>IF(OR(R618="",S618="",T618=""),"",IF(S618+T618=0,"",R618/(S618+T618)))</f>
        <v/>
      </c>
      <c r="V618" s="63"/>
      <c r="W618" s="64"/>
      <c r="X618" s="63"/>
    </row>
    <row r="619" spans="2:24">
      <c r="B619" s="58"/>
      <c r="C619" s="59"/>
      <c r="D619" s="59"/>
      <c r="E619" s="59"/>
      <c r="F619" s="59"/>
      <c r="G619" s="60">
        <f>IF(OR(E619="",F619="",C619="",D619=""),"",IF(C619+D619=0,"",(E619*C619+F619*D619)/(C619+D619)))</f>
        <v/>
      </c>
      <c r="H619" s="59"/>
      <c r="I619" s="60">
        <f>IF(OR(H619="",E619="",C619="",D619=""),"",IF(C619+D619=0,"",(H619*D619+E619*C619)/(C619+D619)))</f>
        <v/>
      </c>
      <c r="J619" s="59"/>
      <c r="K619" s="61">
        <f>IF(OR(J619="",I619=""),"",J619-I619)</f>
        <v/>
      </c>
      <c r="L619" s="61">
        <f>IF(OR(J619="",G619=""),"",J619-G619)</f>
        <v/>
      </c>
      <c r="M619" s="59"/>
      <c r="N619" s="59"/>
      <c r="O619" s="59"/>
      <c r="P619" s="59"/>
      <c r="Q619" s="59"/>
      <c r="R619" s="60">
        <f>IF(AND(P619="",Q619=""),"",N(P619)+N(Q619))</f>
        <v/>
      </c>
      <c r="S619" s="59"/>
      <c r="T619" s="59"/>
      <c r="U619" s="62">
        <f>IF(OR(R619="",S619="",T619=""),"",IF(S619+T619=0,"",R619/(S619+T619)))</f>
        <v/>
      </c>
      <c r="V619" s="63"/>
      <c r="W619" s="64"/>
      <c r="X619" s="63"/>
    </row>
    <row r="620" spans="2:24">
      <c r="B620" s="58"/>
      <c r="C620" s="59"/>
      <c r="D620" s="59"/>
      <c r="E620" s="59"/>
      <c r="F620" s="59"/>
      <c r="G620" s="60">
        <f>IF(OR(E620="",F620="",C620="",D620=""),"",IF(C620+D620=0,"",(E620*C620+F620*D620)/(C620+D620)))</f>
        <v/>
      </c>
      <c r="H620" s="59"/>
      <c r="I620" s="60">
        <f>IF(OR(H620="",E620="",C620="",D620=""),"",IF(C620+D620=0,"",(H620*D620+E620*C620)/(C620+D620)))</f>
        <v/>
      </c>
      <c r="J620" s="59"/>
      <c r="K620" s="61">
        <f>IF(OR(J620="",I620=""),"",J620-I620)</f>
        <v/>
      </c>
      <c r="L620" s="61">
        <f>IF(OR(J620="",G620=""),"",J620-G620)</f>
        <v/>
      </c>
      <c r="M620" s="59"/>
      <c r="N620" s="59"/>
      <c r="O620" s="59"/>
      <c r="P620" s="59"/>
      <c r="Q620" s="59"/>
      <c r="R620" s="60">
        <f>IF(AND(P620="",Q620=""),"",N(P620)+N(Q620))</f>
        <v/>
      </c>
      <c r="S620" s="59"/>
      <c r="T620" s="59"/>
      <c r="U620" s="62">
        <f>IF(OR(R620="",S620="",T620=""),"",IF(S620+T620=0,"",R620/(S620+T620)))</f>
        <v/>
      </c>
      <c r="V620" s="63"/>
      <c r="W620" s="64"/>
      <c r="X620" s="63"/>
    </row>
    <row r="621" spans="2:24">
      <c r="B621" s="58"/>
      <c r="C621" s="59"/>
      <c r="D621" s="59"/>
      <c r="E621" s="59"/>
      <c r="F621" s="59"/>
      <c r="G621" s="60">
        <f>IF(OR(E621="",F621="",C621="",D621=""),"",IF(C621+D621=0,"",(E621*C621+F621*D621)/(C621+D621)))</f>
        <v/>
      </c>
      <c r="H621" s="59"/>
      <c r="I621" s="60">
        <f>IF(OR(H621="",E621="",C621="",D621=""),"",IF(C621+D621=0,"",(H621*D621+E621*C621)/(C621+D621)))</f>
        <v/>
      </c>
      <c r="J621" s="59"/>
      <c r="K621" s="61">
        <f>IF(OR(J621="",I621=""),"",J621-I621)</f>
        <v/>
      </c>
      <c r="L621" s="61">
        <f>IF(OR(J621="",G621=""),"",J621-G621)</f>
        <v/>
      </c>
      <c r="M621" s="59"/>
      <c r="N621" s="59"/>
      <c r="O621" s="59"/>
      <c r="P621" s="59"/>
      <c r="Q621" s="59"/>
      <c r="R621" s="60">
        <f>IF(AND(P621="",Q621=""),"",N(P621)+N(Q621))</f>
        <v/>
      </c>
      <c r="S621" s="59"/>
      <c r="T621" s="59"/>
      <c r="U621" s="62">
        <f>IF(OR(R621="",S621="",T621=""),"",IF(S621+T621=0,"",R621/(S621+T621)))</f>
        <v/>
      </c>
      <c r="V621" s="63"/>
      <c r="W621" s="64"/>
      <c r="X621" s="63"/>
    </row>
    <row r="622" spans="2:24">
      <c r="B622" s="58"/>
      <c r="C622" s="59"/>
      <c r="D622" s="59"/>
      <c r="E622" s="59"/>
      <c r="F622" s="59"/>
      <c r="G622" s="60">
        <f>IF(OR(E622="",F622="",C622="",D622=""),"",IF(C622+D622=0,"",(E622*C622+F622*D622)/(C622+D622)))</f>
        <v/>
      </c>
      <c r="H622" s="59"/>
      <c r="I622" s="60">
        <f>IF(OR(H622="",E622="",C622="",D622=""),"",IF(C622+D622=0,"",(H622*D622+E622*C622)/(C622+D622)))</f>
        <v/>
      </c>
      <c r="J622" s="59"/>
      <c r="K622" s="61">
        <f>IF(OR(J622="",I622=""),"",J622-I622)</f>
        <v/>
      </c>
      <c r="L622" s="61">
        <f>IF(OR(J622="",G622=""),"",J622-G622)</f>
        <v/>
      </c>
      <c r="M622" s="59"/>
      <c r="N622" s="59"/>
      <c r="O622" s="59"/>
      <c r="P622" s="59"/>
      <c r="Q622" s="59"/>
      <c r="R622" s="60">
        <f>IF(AND(P622="",Q622=""),"",N(P622)+N(Q622))</f>
        <v/>
      </c>
      <c r="S622" s="59"/>
      <c r="T622" s="59"/>
      <c r="U622" s="62">
        <f>IF(OR(R622="",S622="",T622=""),"",IF(S622+T622=0,"",R622/(S622+T622)))</f>
        <v/>
      </c>
      <c r="V622" s="63"/>
      <c r="W622" s="64"/>
      <c r="X622" s="63"/>
    </row>
    <row r="623" spans="2:24">
      <c r="B623" s="58"/>
      <c r="C623" s="59"/>
      <c r="D623" s="59"/>
      <c r="E623" s="59"/>
      <c r="F623" s="59"/>
      <c r="G623" s="60">
        <f>IF(OR(E623="",F623="",C623="",D623=""),"",IF(C623+D623=0,"",(E623*C623+F623*D623)/(C623+D623)))</f>
        <v/>
      </c>
      <c r="H623" s="59"/>
      <c r="I623" s="60">
        <f>IF(OR(H623="",E623="",C623="",D623=""),"",IF(C623+D623=0,"",(H623*D623+E623*C623)/(C623+D623)))</f>
        <v/>
      </c>
      <c r="J623" s="59"/>
      <c r="K623" s="61">
        <f>IF(OR(J623="",I623=""),"",J623-I623)</f>
        <v/>
      </c>
      <c r="L623" s="61">
        <f>IF(OR(J623="",G623=""),"",J623-G623)</f>
        <v/>
      </c>
      <c r="M623" s="59"/>
      <c r="N623" s="59"/>
      <c r="O623" s="59"/>
      <c r="P623" s="59"/>
      <c r="Q623" s="59"/>
      <c r="R623" s="60">
        <f>IF(AND(P623="",Q623=""),"",N(P623)+N(Q623))</f>
        <v/>
      </c>
      <c r="S623" s="59"/>
      <c r="T623" s="59"/>
      <c r="U623" s="62">
        <f>IF(OR(R623="",S623="",T623=""),"",IF(S623+T623=0,"",R623/(S623+T623)))</f>
        <v/>
      </c>
      <c r="V623" s="63"/>
      <c r="W623" s="64"/>
      <c r="X623" s="63"/>
    </row>
    <row r="624" spans="2:24">
      <c r="B624" s="58"/>
      <c r="C624" s="59"/>
      <c r="D624" s="59"/>
      <c r="E624" s="59"/>
      <c r="F624" s="59"/>
      <c r="G624" s="60">
        <f>IF(OR(E624="",F624="",C624="",D624=""),"",IF(C624+D624=0,"",(E624*C624+F624*D624)/(C624+D624)))</f>
        <v/>
      </c>
      <c r="H624" s="59"/>
      <c r="I624" s="60">
        <f>IF(OR(H624="",E624="",C624="",D624=""),"",IF(C624+D624=0,"",(H624*D624+E624*C624)/(C624+D624)))</f>
        <v/>
      </c>
      <c r="J624" s="59"/>
      <c r="K624" s="61">
        <f>IF(OR(J624="",I624=""),"",J624-I624)</f>
        <v/>
      </c>
      <c r="L624" s="61">
        <f>IF(OR(J624="",G624=""),"",J624-G624)</f>
        <v/>
      </c>
      <c r="M624" s="59"/>
      <c r="N624" s="59"/>
      <c r="O624" s="59"/>
      <c r="P624" s="59"/>
      <c r="Q624" s="59"/>
      <c r="R624" s="60">
        <f>IF(AND(P624="",Q624=""),"",N(P624)+N(Q624))</f>
        <v/>
      </c>
      <c r="S624" s="59"/>
      <c r="T624" s="59"/>
      <c r="U624" s="62">
        <f>IF(OR(R624="",S624="",T624=""),"",IF(S624+T624=0,"",R624/(S624+T624)))</f>
        <v/>
      </c>
      <c r="V624" s="63"/>
      <c r="W624" s="64"/>
      <c r="X624" s="63"/>
    </row>
    <row r="625" spans="2:24">
      <c r="B625" s="58"/>
      <c r="C625" s="59"/>
      <c r="D625" s="59"/>
      <c r="E625" s="59"/>
      <c r="F625" s="59"/>
      <c r="G625" s="60">
        <f>IF(OR(E625="",F625="",C625="",D625=""),"",IF(C625+D625=0,"",(E625*C625+F625*D625)/(C625+D625)))</f>
        <v/>
      </c>
      <c r="H625" s="59"/>
      <c r="I625" s="60">
        <f>IF(OR(H625="",E625="",C625="",D625=""),"",IF(C625+D625=0,"",(H625*D625+E625*C625)/(C625+D625)))</f>
        <v/>
      </c>
      <c r="J625" s="59"/>
      <c r="K625" s="61">
        <f>IF(OR(J625="",I625=""),"",J625-I625)</f>
        <v/>
      </c>
      <c r="L625" s="61">
        <f>IF(OR(J625="",G625=""),"",J625-G625)</f>
        <v/>
      </c>
      <c r="M625" s="59"/>
      <c r="N625" s="59"/>
      <c r="O625" s="59"/>
      <c r="P625" s="59"/>
      <c r="Q625" s="59"/>
      <c r="R625" s="60">
        <f>IF(AND(P625="",Q625=""),"",N(P625)+N(Q625))</f>
        <v/>
      </c>
      <c r="S625" s="59"/>
      <c r="T625" s="59"/>
      <c r="U625" s="62">
        <f>IF(OR(R625="",S625="",T625=""),"",IF(S625+T625=0,"",R625/(S625+T625)))</f>
        <v/>
      </c>
      <c r="V625" s="63"/>
      <c r="W625" s="64"/>
      <c r="X625" s="63"/>
    </row>
    <row r="626" spans="2:24">
      <c r="B626" s="58"/>
      <c r="C626" s="59"/>
      <c r="D626" s="59"/>
      <c r="E626" s="59"/>
      <c r="F626" s="59"/>
      <c r="G626" s="60">
        <f>IF(OR(E626="",F626="",C626="",D626=""),"",IF(C626+D626=0,"",(E626*C626+F626*D626)/(C626+D626)))</f>
        <v/>
      </c>
      <c r="H626" s="59"/>
      <c r="I626" s="60">
        <f>IF(OR(H626="",E626="",C626="",D626=""),"",IF(C626+D626=0,"",(H626*D626+E626*C626)/(C626+D626)))</f>
        <v/>
      </c>
      <c r="J626" s="59"/>
      <c r="K626" s="61">
        <f>IF(OR(J626="",I626=""),"",J626-I626)</f>
        <v/>
      </c>
      <c r="L626" s="61">
        <f>IF(OR(J626="",G626=""),"",J626-G626)</f>
        <v/>
      </c>
      <c r="M626" s="59"/>
      <c r="N626" s="59"/>
      <c r="O626" s="59"/>
      <c r="P626" s="59"/>
      <c r="Q626" s="59"/>
      <c r="R626" s="60">
        <f>IF(AND(P626="",Q626=""),"",N(P626)+N(Q626))</f>
        <v/>
      </c>
      <c r="S626" s="59"/>
      <c r="T626" s="59"/>
      <c r="U626" s="62">
        <f>IF(OR(R626="",S626="",T626=""),"",IF(S626+T626=0,"",R626/(S626+T626)))</f>
        <v/>
      </c>
      <c r="V626" s="63"/>
      <c r="W626" s="64"/>
      <c r="X626" s="63"/>
    </row>
    <row r="627" spans="2:24">
      <c r="B627" s="58"/>
      <c r="C627" s="59"/>
      <c r="D627" s="59"/>
      <c r="E627" s="59"/>
      <c r="F627" s="59"/>
      <c r="G627" s="60">
        <f>IF(OR(E627="",F627="",C627="",D627=""),"",IF(C627+D627=0,"",(E627*C627+F627*D627)/(C627+D627)))</f>
        <v/>
      </c>
      <c r="H627" s="59"/>
      <c r="I627" s="60">
        <f>IF(OR(H627="",E627="",C627="",D627=""),"",IF(C627+D627=0,"",(H627*D627+E627*C627)/(C627+D627)))</f>
        <v/>
      </c>
      <c r="J627" s="59"/>
      <c r="K627" s="61">
        <f>IF(OR(J627="",I627=""),"",J627-I627)</f>
        <v/>
      </c>
      <c r="L627" s="61">
        <f>IF(OR(J627="",G627=""),"",J627-G627)</f>
        <v/>
      </c>
      <c r="M627" s="59"/>
      <c r="N627" s="59"/>
      <c r="O627" s="59"/>
      <c r="P627" s="59"/>
      <c r="Q627" s="59"/>
      <c r="R627" s="60">
        <f>IF(AND(P627="",Q627=""),"",N(P627)+N(Q627))</f>
        <v/>
      </c>
      <c r="S627" s="59"/>
      <c r="T627" s="59"/>
      <c r="U627" s="62">
        <f>IF(OR(R627="",S627="",T627=""),"",IF(S627+T627=0,"",R627/(S627+T627)))</f>
        <v/>
      </c>
      <c r="V627" s="63"/>
      <c r="W627" s="64"/>
      <c r="X627" s="63"/>
    </row>
    <row r="628" spans="2:24">
      <c r="B628" s="58"/>
      <c r="C628" s="59"/>
      <c r="D628" s="59"/>
      <c r="E628" s="59"/>
      <c r="F628" s="59"/>
      <c r="G628" s="60">
        <f>IF(OR(E628="",F628="",C628="",D628=""),"",IF(C628+D628=0,"",(E628*C628+F628*D628)/(C628+D628)))</f>
        <v/>
      </c>
      <c r="H628" s="59"/>
      <c r="I628" s="60">
        <f>IF(OR(H628="",E628="",C628="",D628=""),"",IF(C628+D628=0,"",(H628*D628+E628*C628)/(C628+D628)))</f>
        <v/>
      </c>
      <c r="J628" s="59"/>
      <c r="K628" s="61">
        <f>IF(OR(J628="",I628=""),"",J628-I628)</f>
        <v/>
      </c>
      <c r="L628" s="61">
        <f>IF(OR(J628="",G628=""),"",J628-G628)</f>
        <v/>
      </c>
      <c r="M628" s="59"/>
      <c r="N628" s="59"/>
      <c r="O628" s="59"/>
      <c r="P628" s="59"/>
      <c r="Q628" s="59"/>
      <c r="R628" s="60">
        <f>IF(AND(P628="",Q628=""),"",N(P628)+N(Q628))</f>
        <v/>
      </c>
      <c r="S628" s="59"/>
      <c r="T628" s="59"/>
      <c r="U628" s="62">
        <f>IF(OR(R628="",S628="",T628=""),"",IF(S628+T628=0,"",R628/(S628+T628)))</f>
        <v/>
      </c>
      <c r="V628" s="63"/>
      <c r="W628" s="64"/>
      <c r="X628" s="63"/>
    </row>
    <row r="629" spans="2:24">
      <c r="B629" s="58"/>
      <c r="C629" s="59"/>
      <c r="D629" s="59"/>
      <c r="E629" s="59"/>
      <c r="F629" s="59"/>
      <c r="G629" s="60">
        <f>IF(OR(E629="",F629="",C629="",D629=""),"",IF(C629+D629=0,"",(E629*C629+F629*D629)/(C629+D629)))</f>
        <v/>
      </c>
      <c r="H629" s="59"/>
      <c r="I629" s="60">
        <f>IF(OR(H629="",E629="",C629="",D629=""),"",IF(C629+D629=0,"",(H629*D629+E629*C629)/(C629+D629)))</f>
        <v/>
      </c>
      <c r="J629" s="59"/>
      <c r="K629" s="61">
        <f>IF(OR(J629="",I629=""),"",J629-I629)</f>
        <v/>
      </c>
      <c r="L629" s="61">
        <f>IF(OR(J629="",G629=""),"",J629-G629)</f>
        <v/>
      </c>
      <c r="M629" s="59"/>
      <c r="N629" s="59"/>
      <c r="O629" s="59"/>
      <c r="P629" s="59"/>
      <c r="Q629" s="59"/>
      <c r="R629" s="60">
        <f>IF(AND(P629="",Q629=""),"",N(P629)+N(Q629))</f>
        <v/>
      </c>
      <c r="S629" s="59"/>
      <c r="T629" s="59"/>
      <c r="U629" s="62">
        <f>IF(OR(R629="",S629="",T629=""),"",IF(S629+T629=0,"",R629/(S629+T629)))</f>
        <v/>
      </c>
      <c r="V629" s="63"/>
      <c r="W629" s="64"/>
      <c r="X629" s="63"/>
    </row>
    <row r="630" spans="2:24">
      <c r="B630" s="58"/>
      <c r="C630" s="59"/>
      <c r="D630" s="59"/>
      <c r="E630" s="59"/>
      <c r="F630" s="59"/>
      <c r="G630" s="60">
        <f>IF(OR(E630="",F630="",C630="",D630=""),"",IF(C630+D630=0,"",(E630*C630+F630*D630)/(C630+D630)))</f>
        <v/>
      </c>
      <c r="H630" s="59"/>
      <c r="I630" s="60">
        <f>IF(OR(H630="",E630="",C630="",D630=""),"",IF(C630+D630=0,"",(H630*D630+E630*C630)/(C630+D630)))</f>
        <v/>
      </c>
      <c r="J630" s="59"/>
      <c r="K630" s="61">
        <f>IF(OR(J630="",I630=""),"",J630-I630)</f>
        <v/>
      </c>
      <c r="L630" s="61">
        <f>IF(OR(J630="",G630=""),"",J630-G630)</f>
        <v/>
      </c>
      <c r="M630" s="59"/>
      <c r="N630" s="59"/>
      <c r="O630" s="59"/>
      <c r="P630" s="59"/>
      <c r="Q630" s="59"/>
      <c r="R630" s="60">
        <f>IF(AND(P630="",Q630=""),"",N(P630)+N(Q630))</f>
        <v/>
      </c>
      <c r="S630" s="59"/>
      <c r="T630" s="59"/>
      <c r="U630" s="62">
        <f>IF(OR(R630="",S630="",T630=""),"",IF(S630+T630=0,"",R630/(S630+T630)))</f>
        <v/>
      </c>
      <c r="V630" s="63"/>
      <c r="W630" s="64"/>
      <c r="X630" s="63"/>
    </row>
    <row r="631" spans="2:24">
      <c r="B631" s="58"/>
      <c r="C631" s="59"/>
      <c r="D631" s="59"/>
      <c r="E631" s="59"/>
      <c r="F631" s="59"/>
      <c r="G631" s="60">
        <f>IF(OR(E631="",F631="",C631="",D631=""),"",IF(C631+D631=0,"",(E631*C631+F631*D631)/(C631+D631)))</f>
        <v/>
      </c>
      <c r="H631" s="59"/>
      <c r="I631" s="60">
        <f>IF(OR(H631="",E631="",C631="",D631=""),"",IF(C631+D631=0,"",(H631*D631+E631*C631)/(C631+D631)))</f>
        <v/>
      </c>
      <c r="J631" s="59"/>
      <c r="K631" s="61">
        <f>IF(OR(J631="",I631=""),"",J631-I631)</f>
        <v/>
      </c>
      <c r="L631" s="61">
        <f>IF(OR(J631="",G631=""),"",J631-G631)</f>
        <v/>
      </c>
      <c r="M631" s="59"/>
      <c r="N631" s="59"/>
      <c r="O631" s="59"/>
      <c r="P631" s="59"/>
      <c r="Q631" s="59"/>
      <c r="R631" s="60">
        <f>IF(AND(P631="",Q631=""),"",N(P631)+N(Q631))</f>
        <v/>
      </c>
      <c r="S631" s="59"/>
      <c r="T631" s="59"/>
      <c r="U631" s="62">
        <f>IF(OR(R631="",S631="",T631=""),"",IF(S631+T631=0,"",R631/(S631+T631)))</f>
        <v/>
      </c>
      <c r="V631" s="63"/>
      <c r="W631" s="64"/>
      <c r="X631" s="63"/>
    </row>
    <row r="632" spans="2:24">
      <c r="B632" s="58"/>
      <c r="C632" s="59"/>
      <c r="D632" s="59"/>
      <c r="E632" s="59"/>
      <c r="F632" s="59"/>
      <c r="G632" s="60">
        <f>IF(OR(E632="",F632="",C632="",D632=""),"",IF(C632+D632=0,"",(E632*C632+F632*D632)/(C632+D632)))</f>
        <v/>
      </c>
      <c r="H632" s="59"/>
      <c r="I632" s="60">
        <f>IF(OR(H632="",E632="",C632="",D632=""),"",IF(C632+D632=0,"",(H632*D632+E632*C632)/(C632+D632)))</f>
        <v/>
      </c>
      <c r="J632" s="59"/>
      <c r="K632" s="61">
        <f>IF(OR(J632="",I632=""),"",J632-I632)</f>
        <v/>
      </c>
      <c r="L632" s="61">
        <f>IF(OR(J632="",G632=""),"",J632-G632)</f>
        <v/>
      </c>
      <c r="M632" s="59"/>
      <c r="N632" s="59"/>
      <c r="O632" s="59"/>
      <c r="P632" s="59"/>
      <c r="Q632" s="59"/>
      <c r="R632" s="60">
        <f>IF(AND(P632="",Q632=""),"",N(P632)+N(Q632))</f>
        <v/>
      </c>
      <c r="S632" s="59"/>
      <c r="T632" s="59"/>
      <c r="U632" s="62">
        <f>IF(OR(R632="",S632="",T632=""),"",IF(S632+T632=0,"",R632/(S632+T632)))</f>
        <v/>
      </c>
      <c r="V632" s="63"/>
      <c r="W632" s="64"/>
      <c r="X632" s="63"/>
    </row>
    <row r="633" spans="2:24">
      <c r="B633" s="58"/>
      <c r="C633" s="59"/>
      <c r="D633" s="59"/>
      <c r="E633" s="59"/>
      <c r="F633" s="59"/>
      <c r="G633" s="60">
        <f>IF(OR(E633="",F633="",C633="",D633=""),"",IF(C633+D633=0,"",(E633*C633+F633*D633)/(C633+D633)))</f>
        <v/>
      </c>
      <c r="H633" s="59"/>
      <c r="I633" s="60">
        <f>IF(OR(H633="",E633="",C633="",D633=""),"",IF(C633+D633=0,"",(H633*D633+E633*C633)/(C633+D633)))</f>
        <v/>
      </c>
      <c r="J633" s="59"/>
      <c r="K633" s="61">
        <f>IF(OR(J633="",I633=""),"",J633-I633)</f>
        <v/>
      </c>
      <c r="L633" s="61">
        <f>IF(OR(J633="",G633=""),"",J633-G633)</f>
        <v/>
      </c>
      <c r="M633" s="59"/>
      <c r="N633" s="59"/>
      <c r="O633" s="59"/>
      <c r="P633" s="59"/>
      <c r="Q633" s="59"/>
      <c r="R633" s="60">
        <f>IF(AND(P633="",Q633=""),"",N(P633)+N(Q633))</f>
        <v/>
      </c>
      <c r="S633" s="59"/>
      <c r="T633" s="59"/>
      <c r="U633" s="62">
        <f>IF(OR(R633="",S633="",T633=""),"",IF(S633+T633=0,"",R633/(S633+T633)))</f>
        <v/>
      </c>
      <c r="V633" s="63"/>
      <c r="W633" s="64"/>
      <c r="X633" s="63"/>
    </row>
    <row r="634" spans="2:24">
      <c r="B634" s="58"/>
      <c r="C634" s="59"/>
      <c r="D634" s="59"/>
      <c r="E634" s="59"/>
      <c r="F634" s="59"/>
      <c r="G634" s="60">
        <f>IF(OR(E634="",F634="",C634="",D634=""),"",IF(C634+D634=0,"",(E634*C634+F634*D634)/(C634+D634)))</f>
        <v/>
      </c>
      <c r="H634" s="59"/>
      <c r="I634" s="60">
        <f>IF(OR(H634="",E634="",C634="",D634=""),"",IF(C634+D634=0,"",(H634*D634+E634*C634)/(C634+D634)))</f>
        <v/>
      </c>
      <c r="J634" s="59"/>
      <c r="K634" s="61">
        <f>IF(OR(J634="",I634=""),"",J634-I634)</f>
        <v/>
      </c>
      <c r="L634" s="61">
        <f>IF(OR(J634="",G634=""),"",J634-G634)</f>
        <v/>
      </c>
      <c r="M634" s="59"/>
      <c r="N634" s="59"/>
      <c r="O634" s="59"/>
      <c r="P634" s="59"/>
      <c r="Q634" s="59"/>
      <c r="R634" s="60">
        <f>IF(AND(P634="",Q634=""),"",N(P634)+N(Q634))</f>
        <v/>
      </c>
      <c r="S634" s="59"/>
      <c r="T634" s="59"/>
      <c r="U634" s="62">
        <f>IF(OR(R634="",S634="",T634=""),"",IF(S634+T634=0,"",R634/(S634+T634)))</f>
        <v/>
      </c>
      <c r="V634" s="63"/>
      <c r="W634" s="64"/>
      <c r="X634" s="63"/>
    </row>
    <row r="635" spans="2:24">
      <c r="B635" s="58"/>
      <c r="C635" s="59"/>
      <c r="D635" s="59"/>
      <c r="E635" s="59"/>
      <c r="F635" s="59"/>
      <c r="G635" s="60">
        <f>IF(OR(E635="",F635="",C635="",D635=""),"",IF(C635+D635=0,"",(E635*C635+F635*D635)/(C635+D635)))</f>
        <v/>
      </c>
      <c r="H635" s="59"/>
      <c r="I635" s="60">
        <f>IF(OR(H635="",E635="",C635="",D635=""),"",IF(C635+D635=0,"",(H635*D635+E635*C635)/(C635+D635)))</f>
        <v/>
      </c>
      <c r="J635" s="59"/>
      <c r="K635" s="61">
        <f>IF(OR(J635="",I635=""),"",J635-I635)</f>
        <v/>
      </c>
      <c r="L635" s="61">
        <f>IF(OR(J635="",G635=""),"",J635-G635)</f>
        <v/>
      </c>
      <c r="M635" s="59"/>
      <c r="N635" s="59"/>
      <c r="O635" s="59"/>
      <c r="P635" s="59"/>
      <c r="Q635" s="59"/>
      <c r="R635" s="60">
        <f>IF(AND(P635="",Q635=""),"",N(P635)+N(Q635))</f>
        <v/>
      </c>
      <c r="S635" s="59"/>
      <c r="T635" s="59"/>
      <c r="U635" s="62">
        <f>IF(OR(R635="",S635="",T635=""),"",IF(S635+T635=0,"",R635/(S635+T635)))</f>
        <v/>
      </c>
      <c r="V635" s="63"/>
      <c r="W635" s="64"/>
      <c r="X635" s="63"/>
    </row>
    <row r="636" spans="2:24">
      <c r="B636" s="58"/>
      <c r="C636" s="59"/>
      <c r="D636" s="59"/>
      <c r="E636" s="59"/>
      <c r="F636" s="59"/>
      <c r="G636" s="60">
        <f>IF(OR(E636="",F636="",C636="",D636=""),"",IF(C636+D636=0,"",(E636*C636+F636*D636)/(C636+D636)))</f>
        <v/>
      </c>
      <c r="H636" s="59"/>
      <c r="I636" s="60">
        <f>IF(OR(H636="",E636="",C636="",D636=""),"",IF(C636+D636=0,"",(H636*D636+E636*C636)/(C636+D636)))</f>
        <v/>
      </c>
      <c r="J636" s="59"/>
      <c r="K636" s="61">
        <f>IF(OR(J636="",I636=""),"",J636-I636)</f>
        <v/>
      </c>
      <c r="L636" s="61">
        <f>IF(OR(J636="",G636=""),"",J636-G636)</f>
        <v/>
      </c>
      <c r="M636" s="59"/>
      <c r="N636" s="59"/>
      <c r="O636" s="59"/>
      <c r="P636" s="59"/>
      <c r="Q636" s="59"/>
      <c r="R636" s="60">
        <f>IF(AND(P636="",Q636=""),"",N(P636)+N(Q636))</f>
        <v/>
      </c>
      <c r="S636" s="59"/>
      <c r="T636" s="59"/>
      <c r="U636" s="62">
        <f>IF(OR(R636="",S636="",T636=""),"",IF(S636+T636=0,"",R636/(S636+T636)))</f>
        <v/>
      </c>
      <c r="V636" s="63"/>
      <c r="W636" s="64"/>
      <c r="X636" s="63"/>
    </row>
    <row r="637" spans="2:24">
      <c r="B637" s="58"/>
      <c r="C637" s="59"/>
      <c r="D637" s="59"/>
      <c r="E637" s="59"/>
      <c r="F637" s="59"/>
      <c r="G637" s="60">
        <f>IF(OR(E637="",F637="",C637="",D637=""),"",IF(C637+D637=0,"",(E637*C637+F637*D637)/(C637+D637)))</f>
        <v/>
      </c>
      <c r="H637" s="59"/>
      <c r="I637" s="60">
        <f>IF(OR(H637="",E637="",C637="",D637=""),"",IF(C637+D637=0,"",(H637*D637+E637*C637)/(C637+D637)))</f>
        <v/>
      </c>
      <c r="J637" s="59"/>
      <c r="K637" s="61">
        <f>IF(OR(J637="",I637=""),"",J637-I637)</f>
        <v/>
      </c>
      <c r="L637" s="61">
        <f>IF(OR(J637="",G637=""),"",J637-G637)</f>
        <v/>
      </c>
      <c r="M637" s="59"/>
      <c r="N637" s="59"/>
      <c r="O637" s="59"/>
      <c r="P637" s="59"/>
      <c r="Q637" s="59"/>
      <c r="R637" s="60">
        <f>IF(AND(P637="",Q637=""),"",N(P637)+N(Q637))</f>
        <v/>
      </c>
      <c r="S637" s="59"/>
      <c r="T637" s="59"/>
      <c r="U637" s="62">
        <f>IF(OR(R637="",S637="",T637=""),"",IF(S637+T637=0,"",R637/(S637+T637)))</f>
        <v/>
      </c>
      <c r="V637" s="63"/>
      <c r="W637" s="64"/>
      <c r="X637" s="63"/>
    </row>
    <row r="638" spans="2:24">
      <c r="B638" s="58"/>
      <c r="C638" s="59"/>
      <c r="D638" s="59"/>
      <c r="E638" s="59"/>
      <c r="F638" s="59"/>
      <c r="G638" s="60">
        <f>IF(OR(E638="",F638="",C638="",D638=""),"",IF(C638+D638=0,"",(E638*C638+F638*D638)/(C638+D638)))</f>
        <v/>
      </c>
      <c r="H638" s="59"/>
      <c r="I638" s="60">
        <f>IF(OR(H638="",E638="",C638="",D638=""),"",IF(C638+D638=0,"",(H638*D638+E638*C638)/(C638+D638)))</f>
        <v/>
      </c>
      <c r="J638" s="59"/>
      <c r="K638" s="61">
        <f>IF(OR(J638="",I638=""),"",J638-I638)</f>
        <v/>
      </c>
      <c r="L638" s="61">
        <f>IF(OR(J638="",G638=""),"",J638-G638)</f>
        <v/>
      </c>
      <c r="M638" s="59"/>
      <c r="N638" s="59"/>
      <c r="O638" s="59"/>
      <c r="P638" s="59"/>
      <c r="Q638" s="59"/>
      <c r="R638" s="60">
        <f>IF(AND(P638="",Q638=""),"",N(P638)+N(Q638))</f>
        <v/>
      </c>
      <c r="S638" s="59"/>
      <c r="T638" s="59"/>
      <c r="U638" s="62">
        <f>IF(OR(R638="",S638="",T638=""),"",IF(S638+T638=0,"",R638/(S638+T638)))</f>
        <v/>
      </c>
      <c r="V638" s="63"/>
      <c r="W638" s="64"/>
      <c r="X638" s="63"/>
    </row>
    <row r="639" spans="2:24">
      <c r="B639" s="58"/>
      <c r="C639" s="59"/>
      <c r="D639" s="59"/>
      <c r="E639" s="59"/>
      <c r="F639" s="59"/>
      <c r="G639" s="60">
        <f>IF(OR(E639="",F639="",C639="",D639=""),"",IF(C639+D639=0,"",(E639*C639+F639*D639)/(C639+D639)))</f>
        <v/>
      </c>
      <c r="H639" s="59"/>
      <c r="I639" s="60">
        <f>IF(OR(H639="",E639="",C639="",D639=""),"",IF(C639+D639=0,"",(H639*D639+E639*C639)/(C639+D639)))</f>
        <v/>
      </c>
      <c r="J639" s="59"/>
      <c r="K639" s="61">
        <f>IF(OR(J639="",I639=""),"",J639-I639)</f>
        <v/>
      </c>
      <c r="L639" s="61">
        <f>IF(OR(J639="",G639=""),"",J639-G639)</f>
        <v/>
      </c>
      <c r="M639" s="59"/>
      <c r="N639" s="59"/>
      <c r="O639" s="59"/>
      <c r="P639" s="59"/>
      <c r="Q639" s="59"/>
      <c r="R639" s="60">
        <f>IF(AND(P639="",Q639=""),"",N(P639)+N(Q639))</f>
        <v/>
      </c>
      <c r="S639" s="59"/>
      <c r="T639" s="59"/>
      <c r="U639" s="62">
        <f>IF(OR(R639="",S639="",T639=""),"",IF(S639+T639=0,"",R639/(S639+T639)))</f>
        <v/>
      </c>
      <c r="V639" s="63"/>
      <c r="W639" s="64"/>
      <c r="X639" s="63"/>
    </row>
    <row r="640" spans="2:24">
      <c r="B640" s="58"/>
      <c r="C640" s="59"/>
      <c r="D640" s="59"/>
      <c r="E640" s="59"/>
      <c r="F640" s="59"/>
      <c r="G640" s="60">
        <f>IF(OR(E640="",F640="",C640="",D640=""),"",IF(C640+D640=0,"",(E640*C640+F640*D640)/(C640+D640)))</f>
        <v/>
      </c>
      <c r="H640" s="59"/>
      <c r="I640" s="60">
        <f>IF(OR(H640="",E640="",C640="",D640=""),"",IF(C640+D640=0,"",(H640*D640+E640*C640)/(C640+D640)))</f>
        <v/>
      </c>
      <c r="J640" s="59"/>
      <c r="K640" s="61">
        <f>IF(OR(J640="",I640=""),"",J640-I640)</f>
        <v/>
      </c>
      <c r="L640" s="61">
        <f>IF(OR(J640="",G640=""),"",J640-G640)</f>
        <v/>
      </c>
      <c r="M640" s="59"/>
      <c r="N640" s="59"/>
      <c r="O640" s="59"/>
      <c r="P640" s="59"/>
      <c r="Q640" s="59"/>
      <c r="R640" s="60">
        <f>IF(AND(P640="",Q640=""),"",N(P640)+N(Q640))</f>
        <v/>
      </c>
      <c r="S640" s="59"/>
      <c r="T640" s="59"/>
      <c r="U640" s="62">
        <f>IF(OR(R640="",S640="",T640=""),"",IF(S640+T640=0,"",R640/(S640+T640)))</f>
        <v/>
      </c>
      <c r="V640" s="63"/>
      <c r="W640" s="64"/>
      <c r="X640" s="63"/>
    </row>
    <row r="641" spans="2:24">
      <c r="B641" s="58"/>
      <c r="C641" s="59"/>
      <c r="D641" s="59"/>
      <c r="E641" s="59"/>
      <c r="F641" s="59"/>
      <c r="G641" s="60">
        <f>IF(OR(E641="",F641="",C641="",D641=""),"",IF(C641+D641=0,"",(E641*C641+F641*D641)/(C641+D641)))</f>
        <v/>
      </c>
      <c r="H641" s="59"/>
      <c r="I641" s="60">
        <f>IF(OR(H641="",E641="",C641="",D641=""),"",IF(C641+D641=0,"",(H641*D641+E641*C641)/(C641+D641)))</f>
        <v/>
      </c>
      <c r="J641" s="59"/>
      <c r="K641" s="61">
        <f>IF(OR(J641="",I641=""),"",J641-I641)</f>
        <v/>
      </c>
      <c r="L641" s="61">
        <f>IF(OR(J641="",G641=""),"",J641-G641)</f>
        <v/>
      </c>
      <c r="M641" s="59"/>
      <c r="N641" s="59"/>
      <c r="O641" s="59"/>
      <c r="P641" s="59"/>
      <c r="Q641" s="59"/>
      <c r="R641" s="60">
        <f>IF(AND(P641="",Q641=""),"",N(P641)+N(Q641))</f>
        <v/>
      </c>
      <c r="S641" s="59"/>
      <c r="T641" s="59"/>
      <c r="U641" s="62">
        <f>IF(OR(R641="",S641="",T641=""),"",IF(S641+T641=0,"",R641/(S641+T641)))</f>
        <v/>
      </c>
      <c r="V641" s="63"/>
      <c r="W641" s="64"/>
      <c r="X641" s="63"/>
    </row>
    <row r="642" spans="2:24">
      <c r="B642" s="58"/>
      <c r="C642" s="59"/>
      <c r="D642" s="59"/>
      <c r="E642" s="59"/>
      <c r="F642" s="59"/>
      <c r="G642" s="60">
        <f>IF(OR(E642="",F642="",C642="",D642=""),"",IF(C642+D642=0,"",(E642*C642+F642*D642)/(C642+D642)))</f>
        <v/>
      </c>
      <c r="H642" s="59"/>
      <c r="I642" s="60">
        <f>IF(OR(H642="",E642="",C642="",D642=""),"",IF(C642+D642=0,"",(H642*D642+E642*C642)/(C642+D642)))</f>
        <v/>
      </c>
      <c r="J642" s="59"/>
      <c r="K642" s="61">
        <f>IF(OR(J642="",I642=""),"",J642-I642)</f>
        <v/>
      </c>
      <c r="L642" s="61">
        <f>IF(OR(J642="",G642=""),"",J642-G642)</f>
        <v/>
      </c>
      <c r="M642" s="59"/>
      <c r="N642" s="59"/>
      <c r="O642" s="59"/>
      <c r="P642" s="59"/>
      <c r="Q642" s="59"/>
      <c r="R642" s="60">
        <f>IF(AND(P642="",Q642=""),"",N(P642)+N(Q642))</f>
        <v/>
      </c>
      <c r="S642" s="59"/>
      <c r="T642" s="59"/>
      <c r="U642" s="62">
        <f>IF(OR(R642="",S642="",T642=""),"",IF(S642+T642=0,"",R642/(S642+T642)))</f>
        <v/>
      </c>
      <c r="V642" s="63"/>
      <c r="W642" s="64"/>
      <c r="X642" s="63"/>
    </row>
    <row r="643" spans="2:24">
      <c r="B643" s="58"/>
      <c r="C643" s="59"/>
      <c r="D643" s="59"/>
      <c r="E643" s="59"/>
      <c r="F643" s="59"/>
      <c r="G643" s="60">
        <f>IF(OR(E643="",F643="",C643="",D643=""),"",IF(C643+D643=0,"",(E643*C643+F643*D643)/(C643+D643)))</f>
        <v/>
      </c>
      <c r="H643" s="59"/>
      <c r="I643" s="60">
        <f>IF(OR(H643="",E643="",C643="",D643=""),"",IF(C643+D643=0,"",(H643*D643+E643*C643)/(C643+D643)))</f>
        <v/>
      </c>
      <c r="J643" s="59"/>
      <c r="K643" s="61">
        <f>IF(OR(J643="",I643=""),"",J643-I643)</f>
        <v/>
      </c>
      <c r="L643" s="61">
        <f>IF(OR(J643="",G643=""),"",J643-G643)</f>
        <v/>
      </c>
      <c r="M643" s="59"/>
      <c r="N643" s="59"/>
      <c r="O643" s="59"/>
      <c r="P643" s="59"/>
      <c r="Q643" s="59"/>
      <c r="R643" s="60">
        <f>IF(AND(P643="",Q643=""),"",N(P643)+N(Q643))</f>
        <v/>
      </c>
      <c r="S643" s="59"/>
      <c r="T643" s="59"/>
      <c r="U643" s="62">
        <f>IF(OR(R643="",S643="",T643=""),"",IF(S643+T643=0,"",R643/(S643+T643)))</f>
        <v/>
      </c>
      <c r="V643" s="63"/>
      <c r="W643" s="64"/>
      <c r="X643" s="63"/>
    </row>
    <row r="644" spans="2:24">
      <c r="B644" s="58"/>
      <c r="C644" s="59"/>
      <c r="D644" s="59"/>
      <c r="E644" s="59"/>
      <c r="F644" s="59"/>
      <c r="G644" s="60">
        <f>IF(OR(E644="",F644="",C644="",D644=""),"",IF(C644+D644=0,"",(E644*C644+F644*D644)/(C644+D644)))</f>
        <v/>
      </c>
      <c r="H644" s="59"/>
      <c r="I644" s="60">
        <f>IF(OR(H644="",E644="",C644="",D644=""),"",IF(C644+D644=0,"",(H644*D644+E644*C644)/(C644+D644)))</f>
        <v/>
      </c>
      <c r="J644" s="59"/>
      <c r="K644" s="61">
        <f>IF(OR(J644="",I644=""),"",J644-I644)</f>
        <v/>
      </c>
      <c r="L644" s="61">
        <f>IF(OR(J644="",G644=""),"",J644-G644)</f>
        <v/>
      </c>
      <c r="M644" s="59"/>
      <c r="N644" s="59"/>
      <c r="O644" s="59"/>
      <c r="P644" s="59"/>
      <c r="Q644" s="59"/>
      <c r="R644" s="60">
        <f>IF(AND(P644="",Q644=""),"",N(P644)+N(Q644))</f>
        <v/>
      </c>
      <c r="S644" s="59"/>
      <c r="T644" s="59"/>
      <c r="U644" s="62">
        <f>IF(OR(R644="",S644="",T644=""),"",IF(S644+T644=0,"",R644/(S644+T644)))</f>
        <v/>
      </c>
      <c r="V644" s="63"/>
      <c r="W644" s="64"/>
      <c r="X644" s="63"/>
    </row>
    <row r="645" spans="2:24">
      <c r="B645" s="58"/>
      <c r="C645" s="59"/>
      <c r="D645" s="59"/>
      <c r="E645" s="59"/>
      <c r="F645" s="59"/>
      <c r="G645" s="60">
        <f>IF(OR(E645="",F645="",C645="",D645=""),"",IF(C645+D645=0,"",(E645*C645+F645*D645)/(C645+D645)))</f>
        <v/>
      </c>
      <c r="H645" s="59"/>
      <c r="I645" s="60">
        <f>IF(OR(H645="",E645="",C645="",D645=""),"",IF(C645+D645=0,"",(H645*D645+E645*C645)/(C645+D645)))</f>
        <v/>
      </c>
      <c r="J645" s="59"/>
      <c r="K645" s="61">
        <f>IF(OR(J645="",I645=""),"",J645-I645)</f>
        <v/>
      </c>
      <c r="L645" s="61">
        <f>IF(OR(J645="",G645=""),"",J645-G645)</f>
        <v/>
      </c>
      <c r="M645" s="59"/>
      <c r="N645" s="59"/>
      <c r="O645" s="59"/>
      <c r="P645" s="59"/>
      <c r="Q645" s="59"/>
      <c r="R645" s="60">
        <f>IF(AND(P645="",Q645=""),"",N(P645)+N(Q645))</f>
        <v/>
      </c>
      <c r="S645" s="59"/>
      <c r="T645" s="59"/>
      <c r="U645" s="62">
        <f>IF(OR(R645="",S645="",T645=""),"",IF(S645+T645=0,"",R645/(S645+T645)))</f>
        <v/>
      </c>
      <c r="V645" s="63"/>
      <c r="W645" s="64"/>
      <c r="X645" s="63"/>
    </row>
    <row r="646" spans="2:24">
      <c r="B646" s="58"/>
      <c r="C646" s="59"/>
      <c r="D646" s="59"/>
      <c r="E646" s="59"/>
      <c r="F646" s="59"/>
      <c r="G646" s="60">
        <f>IF(OR(E646="",F646="",C646="",D646=""),"",IF(C646+D646=0,"",(E646*C646+F646*D646)/(C646+D646)))</f>
        <v/>
      </c>
      <c r="H646" s="59"/>
      <c r="I646" s="60">
        <f>IF(OR(H646="",E646="",C646="",D646=""),"",IF(C646+D646=0,"",(H646*D646+E646*C646)/(C646+D646)))</f>
        <v/>
      </c>
      <c r="J646" s="59"/>
      <c r="K646" s="61">
        <f>IF(OR(J646="",I646=""),"",J646-I646)</f>
        <v/>
      </c>
      <c r="L646" s="61">
        <f>IF(OR(J646="",G646=""),"",J646-G646)</f>
        <v/>
      </c>
      <c r="M646" s="59"/>
      <c r="N646" s="59"/>
      <c r="O646" s="59"/>
      <c r="P646" s="59"/>
      <c r="Q646" s="59"/>
      <c r="R646" s="60">
        <f>IF(AND(P646="",Q646=""),"",N(P646)+N(Q646))</f>
        <v/>
      </c>
      <c r="S646" s="59"/>
      <c r="T646" s="59"/>
      <c r="U646" s="62">
        <f>IF(OR(R646="",S646="",T646=""),"",IF(S646+T646=0,"",R646/(S646+T646)))</f>
        <v/>
      </c>
      <c r="V646" s="63"/>
      <c r="W646" s="64"/>
      <c r="X646" s="63"/>
    </row>
    <row r="647" spans="2:24">
      <c r="B647" s="58"/>
      <c r="C647" s="59"/>
      <c r="D647" s="59"/>
      <c r="E647" s="59"/>
      <c r="F647" s="59"/>
      <c r="G647" s="60">
        <f>IF(OR(E647="",F647="",C647="",D647=""),"",IF(C647+D647=0,"",(E647*C647+F647*D647)/(C647+D647)))</f>
        <v/>
      </c>
      <c r="H647" s="59"/>
      <c r="I647" s="60">
        <f>IF(OR(H647="",E647="",C647="",D647=""),"",IF(C647+D647=0,"",(H647*D647+E647*C647)/(C647+D647)))</f>
        <v/>
      </c>
      <c r="J647" s="59"/>
      <c r="K647" s="61">
        <f>IF(OR(J647="",I647=""),"",J647-I647)</f>
        <v/>
      </c>
      <c r="L647" s="61">
        <f>IF(OR(J647="",G647=""),"",J647-G647)</f>
        <v/>
      </c>
      <c r="M647" s="59"/>
      <c r="N647" s="59"/>
      <c r="O647" s="59"/>
      <c r="P647" s="59"/>
      <c r="Q647" s="59"/>
      <c r="R647" s="60">
        <f>IF(AND(P647="",Q647=""),"",N(P647)+N(Q647))</f>
        <v/>
      </c>
      <c r="S647" s="59"/>
      <c r="T647" s="59"/>
      <c r="U647" s="62">
        <f>IF(OR(R647="",S647="",T647=""),"",IF(S647+T647=0,"",R647/(S647+T647)))</f>
        <v/>
      </c>
      <c r="V647" s="63"/>
      <c r="W647" s="64"/>
      <c r="X647" s="63"/>
    </row>
    <row r="648" spans="2:24">
      <c r="B648" s="58"/>
      <c r="C648" s="59"/>
      <c r="D648" s="59"/>
      <c r="E648" s="59"/>
      <c r="F648" s="59"/>
      <c r="G648" s="60">
        <f>IF(OR(E648="",F648="",C648="",D648=""),"",IF(C648+D648=0,"",(E648*C648+F648*D648)/(C648+D648)))</f>
        <v/>
      </c>
      <c r="H648" s="59"/>
      <c r="I648" s="60">
        <f>IF(OR(H648="",E648="",C648="",D648=""),"",IF(C648+D648=0,"",(H648*D648+E648*C648)/(C648+D648)))</f>
        <v/>
      </c>
      <c r="J648" s="59"/>
      <c r="K648" s="61">
        <f>IF(OR(J648="",I648=""),"",J648-I648)</f>
        <v/>
      </c>
      <c r="L648" s="61">
        <f>IF(OR(J648="",G648=""),"",J648-G648)</f>
        <v/>
      </c>
      <c r="M648" s="59"/>
      <c r="N648" s="59"/>
      <c r="O648" s="59"/>
      <c r="P648" s="59"/>
      <c r="Q648" s="59"/>
      <c r="R648" s="60">
        <f>IF(AND(P648="",Q648=""),"",N(P648)+N(Q648))</f>
        <v/>
      </c>
      <c r="S648" s="59"/>
      <c r="T648" s="59"/>
      <c r="U648" s="62">
        <f>IF(OR(R648="",S648="",T648=""),"",IF(S648+T648=0,"",R648/(S648+T648)))</f>
        <v/>
      </c>
      <c r="V648" s="63"/>
      <c r="W648" s="64"/>
      <c r="X648" s="63"/>
    </row>
    <row r="649" spans="2:24">
      <c r="B649" s="58"/>
      <c r="C649" s="59"/>
      <c r="D649" s="59"/>
      <c r="E649" s="59"/>
      <c r="F649" s="59"/>
      <c r="G649" s="60">
        <f>IF(OR(E649="",F649="",C649="",D649=""),"",IF(C649+D649=0,"",(E649*C649+F649*D649)/(C649+D649)))</f>
        <v/>
      </c>
      <c r="H649" s="59"/>
      <c r="I649" s="60">
        <f>IF(OR(H649="",E649="",C649="",D649=""),"",IF(C649+D649=0,"",(H649*D649+E649*C649)/(C649+D649)))</f>
        <v/>
      </c>
      <c r="J649" s="59"/>
      <c r="K649" s="61">
        <f>IF(OR(J649="",I649=""),"",J649-I649)</f>
        <v/>
      </c>
      <c r="L649" s="61">
        <f>IF(OR(J649="",G649=""),"",J649-G649)</f>
        <v/>
      </c>
      <c r="M649" s="59"/>
      <c r="N649" s="59"/>
      <c r="O649" s="59"/>
      <c r="P649" s="59"/>
      <c r="Q649" s="59"/>
      <c r="R649" s="60">
        <f>IF(AND(P649="",Q649=""),"",N(P649)+N(Q649))</f>
        <v/>
      </c>
      <c r="S649" s="59"/>
      <c r="T649" s="59"/>
      <c r="U649" s="62">
        <f>IF(OR(R649="",S649="",T649=""),"",IF(S649+T649=0,"",R649/(S649+T649)))</f>
        <v/>
      </c>
      <c r="V649" s="63"/>
      <c r="W649" s="64"/>
      <c r="X649" s="63"/>
    </row>
    <row r="650" spans="2:24">
      <c r="B650" s="58"/>
      <c r="C650" s="59"/>
      <c r="D650" s="59"/>
      <c r="E650" s="59"/>
      <c r="F650" s="59"/>
      <c r="G650" s="60">
        <f>IF(OR(E650="",F650="",C650="",D650=""),"",IF(C650+D650=0,"",(E650*C650+F650*D650)/(C650+D650)))</f>
        <v/>
      </c>
      <c r="H650" s="59"/>
      <c r="I650" s="60">
        <f>IF(OR(H650="",E650="",C650="",D650=""),"",IF(C650+D650=0,"",(H650*D650+E650*C650)/(C650+D650)))</f>
        <v/>
      </c>
      <c r="J650" s="59"/>
      <c r="K650" s="61">
        <f>IF(OR(J650="",I650=""),"",J650-I650)</f>
        <v/>
      </c>
      <c r="L650" s="61">
        <f>IF(OR(J650="",G650=""),"",J650-G650)</f>
        <v/>
      </c>
      <c r="M650" s="59"/>
      <c r="N650" s="59"/>
      <c r="O650" s="59"/>
      <c r="P650" s="59"/>
      <c r="Q650" s="59"/>
      <c r="R650" s="60">
        <f>IF(AND(P650="",Q650=""),"",N(P650)+N(Q650))</f>
        <v/>
      </c>
      <c r="S650" s="59"/>
      <c r="T650" s="59"/>
      <c r="U650" s="62">
        <f>IF(OR(R650="",S650="",T650=""),"",IF(S650+T650=0,"",R650/(S650+T650)))</f>
        <v/>
      </c>
      <c r="V650" s="63"/>
      <c r="W650" s="64"/>
      <c r="X650" s="63"/>
    </row>
    <row r="651" spans="2:24">
      <c r="B651" s="58"/>
      <c r="C651" s="59"/>
      <c r="D651" s="59"/>
      <c r="E651" s="59"/>
      <c r="F651" s="59"/>
      <c r="G651" s="60">
        <f>IF(OR(E651="",F651="",C651="",D651=""),"",IF(C651+D651=0,"",(E651*C651+F651*D651)/(C651+D651)))</f>
        <v/>
      </c>
      <c r="H651" s="59"/>
      <c r="I651" s="60">
        <f>IF(OR(H651="",E651="",C651="",D651=""),"",IF(C651+D651=0,"",(H651*D651+E651*C651)/(C651+D651)))</f>
        <v/>
      </c>
      <c r="J651" s="59"/>
      <c r="K651" s="61">
        <f>IF(OR(J651="",I651=""),"",J651-I651)</f>
        <v/>
      </c>
      <c r="L651" s="61">
        <f>IF(OR(J651="",G651=""),"",J651-G651)</f>
        <v/>
      </c>
      <c r="M651" s="59"/>
      <c r="N651" s="59"/>
      <c r="O651" s="59"/>
      <c r="P651" s="59"/>
      <c r="Q651" s="59"/>
      <c r="R651" s="60">
        <f>IF(AND(P651="",Q651=""),"",N(P651)+N(Q651))</f>
        <v/>
      </c>
      <c r="S651" s="59"/>
      <c r="T651" s="59"/>
      <c r="U651" s="62">
        <f>IF(OR(R651="",S651="",T651=""),"",IF(S651+T651=0,"",R651/(S651+T651)))</f>
        <v/>
      </c>
      <c r="V651" s="63"/>
      <c r="W651" s="64"/>
      <c r="X651" s="63"/>
    </row>
    <row r="652" spans="2:24">
      <c r="B652" s="58"/>
      <c r="C652" s="59"/>
      <c r="D652" s="59"/>
      <c r="E652" s="59"/>
      <c r="F652" s="59"/>
      <c r="G652" s="60">
        <f>IF(OR(E652="",F652="",C652="",D652=""),"",IF(C652+D652=0,"",(E652*C652+F652*D652)/(C652+D652)))</f>
        <v/>
      </c>
      <c r="H652" s="59"/>
      <c r="I652" s="60">
        <f>IF(OR(H652="",E652="",C652="",D652=""),"",IF(C652+D652=0,"",(H652*D652+E652*C652)/(C652+D652)))</f>
        <v/>
      </c>
      <c r="J652" s="59"/>
      <c r="K652" s="61">
        <f>IF(OR(J652="",I652=""),"",J652-I652)</f>
        <v/>
      </c>
      <c r="L652" s="61">
        <f>IF(OR(J652="",G652=""),"",J652-G652)</f>
        <v/>
      </c>
      <c r="M652" s="59"/>
      <c r="N652" s="59"/>
      <c r="O652" s="59"/>
      <c r="P652" s="59"/>
      <c r="Q652" s="59"/>
      <c r="R652" s="60">
        <f>IF(AND(P652="",Q652=""),"",N(P652)+N(Q652))</f>
        <v/>
      </c>
      <c r="S652" s="59"/>
      <c r="T652" s="59"/>
      <c r="U652" s="62">
        <f>IF(OR(R652="",S652="",T652=""),"",IF(S652+T652=0,"",R652/(S652+T652)))</f>
        <v/>
      </c>
      <c r="V652" s="63"/>
      <c r="W652" s="64"/>
      <c r="X652" s="63"/>
    </row>
    <row r="653" spans="2:24">
      <c r="B653" s="58"/>
      <c r="C653" s="59"/>
      <c r="D653" s="59"/>
      <c r="E653" s="59"/>
      <c r="F653" s="59"/>
      <c r="G653" s="60">
        <f>IF(OR(E653="",F653="",C653="",D653=""),"",IF(C653+D653=0,"",(E653*C653+F653*D653)/(C653+D653)))</f>
        <v/>
      </c>
      <c r="H653" s="59"/>
      <c r="I653" s="60">
        <f>IF(OR(H653="",E653="",C653="",D653=""),"",IF(C653+D653=0,"",(H653*D653+E653*C653)/(C653+D653)))</f>
        <v/>
      </c>
      <c r="J653" s="59"/>
      <c r="K653" s="61">
        <f>IF(OR(J653="",I653=""),"",J653-I653)</f>
        <v/>
      </c>
      <c r="L653" s="61">
        <f>IF(OR(J653="",G653=""),"",J653-G653)</f>
        <v/>
      </c>
      <c r="M653" s="59"/>
      <c r="N653" s="59"/>
      <c r="O653" s="59"/>
      <c r="P653" s="59"/>
      <c r="Q653" s="59"/>
      <c r="R653" s="60">
        <f>IF(AND(P653="",Q653=""),"",N(P653)+N(Q653))</f>
        <v/>
      </c>
      <c r="S653" s="59"/>
      <c r="T653" s="59"/>
      <c r="U653" s="62">
        <f>IF(OR(R653="",S653="",T653=""),"",IF(S653+T653=0,"",R653/(S653+T653)))</f>
        <v/>
      </c>
      <c r="V653" s="63"/>
      <c r="W653" s="64"/>
      <c r="X653" s="63"/>
    </row>
    <row r="654" spans="2:24">
      <c r="B654" s="58"/>
      <c r="C654" s="59"/>
      <c r="D654" s="59"/>
      <c r="E654" s="59"/>
      <c r="F654" s="59"/>
      <c r="G654" s="60">
        <f>IF(OR(E654="",F654="",C654="",D654=""),"",IF(C654+D654=0,"",(E654*C654+F654*D654)/(C654+D654)))</f>
        <v/>
      </c>
      <c r="H654" s="59"/>
      <c r="I654" s="60">
        <f>IF(OR(H654="",E654="",C654="",D654=""),"",IF(C654+D654=0,"",(H654*D654+E654*C654)/(C654+D654)))</f>
        <v/>
      </c>
      <c r="J654" s="59"/>
      <c r="K654" s="61">
        <f>IF(OR(J654="",I654=""),"",J654-I654)</f>
        <v/>
      </c>
      <c r="L654" s="61">
        <f>IF(OR(J654="",G654=""),"",J654-G654)</f>
        <v/>
      </c>
      <c r="M654" s="59"/>
      <c r="N654" s="59"/>
      <c r="O654" s="59"/>
      <c r="P654" s="59"/>
      <c r="Q654" s="59"/>
      <c r="R654" s="60">
        <f>IF(AND(P654="",Q654=""),"",N(P654)+N(Q654))</f>
        <v/>
      </c>
      <c r="S654" s="59"/>
      <c r="T654" s="59"/>
      <c r="U654" s="62">
        <f>IF(OR(R654="",S654="",T654=""),"",IF(S654+T654=0,"",R654/(S654+T654)))</f>
        <v/>
      </c>
      <c r="V654" s="63"/>
      <c r="W654" s="64"/>
      <c r="X654" s="63"/>
    </row>
    <row r="655" spans="2:24">
      <c r="B655" s="58"/>
      <c r="C655" s="59"/>
      <c r="D655" s="59"/>
      <c r="E655" s="59"/>
      <c r="F655" s="59"/>
      <c r="G655" s="60">
        <f>IF(OR(E655="",F655="",C655="",D655=""),"",IF(C655+D655=0,"",(E655*C655+F655*D655)/(C655+D655)))</f>
        <v/>
      </c>
      <c r="H655" s="59"/>
      <c r="I655" s="60">
        <f>IF(OR(H655="",E655="",C655="",D655=""),"",IF(C655+D655=0,"",(H655*D655+E655*C655)/(C655+D655)))</f>
        <v/>
      </c>
      <c r="J655" s="59"/>
      <c r="K655" s="61">
        <f>IF(OR(J655="",I655=""),"",J655-I655)</f>
        <v/>
      </c>
      <c r="L655" s="61">
        <f>IF(OR(J655="",G655=""),"",J655-G655)</f>
        <v/>
      </c>
      <c r="M655" s="59"/>
      <c r="N655" s="59"/>
      <c r="O655" s="59"/>
      <c r="P655" s="59"/>
      <c r="Q655" s="59"/>
      <c r="R655" s="60">
        <f>IF(AND(P655="",Q655=""),"",N(P655)+N(Q655))</f>
        <v/>
      </c>
      <c r="S655" s="59"/>
      <c r="T655" s="59"/>
      <c r="U655" s="62">
        <f>IF(OR(R655="",S655="",T655=""),"",IF(S655+T655=0,"",R655/(S655+T655)))</f>
        <v/>
      </c>
      <c r="V655" s="63"/>
      <c r="W655" s="64"/>
      <c r="X655" s="63"/>
    </row>
    <row r="656" spans="2:24">
      <c r="B656" s="58"/>
      <c r="C656" s="59"/>
      <c r="D656" s="59"/>
      <c r="E656" s="59"/>
      <c r="F656" s="59"/>
      <c r="G656" s="60">
        <f>IF(OR(E656="",F656="",C656="",D656=""),"",IF(C656+D656=0,"",(E656*C656+F656*D656)/(C656+D656)))</f>
        <v/>
      </c>
      <c r="H656" s="59"/>
      <c r="I656" s="60">
        <f>IF(OR(H656="",E656="",C656="",D656=""),"",IF(C656+D656=0,"",(H656*D656+E656*C656)/(C656+D656)))</f>
        <v/>
      </c>
      <c r="J656" s="59"/>
      <c r="K656" s="61">
        <f>IF(OR(J656="",I656=""),"",J656-I656)</f>
        <v/>
      </c>
      <c r="L656" s="61">
        <f>IF(OR(J656="",G656=""),"",J656-G656)</f>
        <v/>
      </c>
      <c r="M656" s="59"/>
      <c r="N656" s="59"/>
      <c r="O656" s="59"/>
      <c r="P656" s="59"/>
      <c r="Q656" s="59"/>
      <c r="R656" s="60">
        <f>IF(AND(P656="",Q656=""),"",N(P656)+N(Q656))</f>
        <v/>
      </c>
      <c r="S656" s="59"/>
      <c r="T656" s="59"/>
      <c r="U656" s="62">
        <f>IF(OR(R656="",S656="",T656=""),"",IF(S656+T656=0,"",R656/(S656+T656)))</f>
        <v/>
      </c>
      <c r="V656" s="63"/>
      <c r="W656" s="64"/>
      <c r="X656" s="63"/>
    </row>
    <row r="657" spans="2:24">
      <c r="B657" s="58"/>
      <c r="C657" s="59"/>
      <c r="D657" s="59"/>
      <c r="E657" s="59"/>
      <c r="F657" s="59"/>
      <c r="G657" s="60">
        <f>IF(OR(E657="",F657="",C657="",D657=""),"",IF(C657+D657=0,"",(E657*C657+F657*D657)/(C657+D657)))</f>
        <v/>
      </c>
      <c r="H657" s="59"/>
      <c r="I657" s="60">
        <f>IF(OR(H657="",E657="",C657="",D657=""),"",IF(C657+D657=0,"",(H657*D657+E657*C657)/(C657+D657)))</f>
        <v/>
      </c>
      <c r="J657" s="59"/>
      <c r="K657" s="61">
        <f>IF(OR(J657="",I657=""),"",J657-I657)</f>
        <v/>
      </c>
      <c r="L657" s="61">
        <f>IF(OR(J657="",G657=""),"",J657-G657)</f>
        <v/>
      </c>
      <c r="M657" s="59"/>
      <c r="N657" s="59"/>
      <c r="O657" s="59"/>
      <c r="P657" s="59"/>
      <c r="Q657" s="59"/>
      <c r="R657" s="60">
        <f>IF(AND(P657="",Q657=""),"",N(P657)+N(Q657))</f>
        <v/>
      </c>
      <c r="S657" s="59"/>
      <c r="T657" s="59"/>
      <c r="U657" s="62">
        <f>IF(OR(R657="",S657="",T657=""),"",IF(S657+T657=0,"",R657/(S657+T657)))</f>
        <v/>
      </c>
      <c r="V657" s="63"/>
      <c r="W657" s="64"/>
      <c r="X657" s="63"/>
    </row>
    <row r="658" spans="2:24">
      <c r="B658" s="58"/>
      <c r="C658" s="59"/>
      <c r="D658" s="59"/>
      <c r="E658" s="59"/>
      <c r="F658" s="59"/>
      <c r="G658" s="60">
        <f>IF(OR(E658="",F658="",C658="",D658=""),"",IF(C658+D658=0,"",(E658*C658+F658*D658)/(C658+D658)))</f>
        <v/>
      </c>
      <c r="H658" s="59"/>
      <c r="I658" s="60">
        <f>IF(OR(H658="",E658="",C658="",D658=""),"",IF(C658+D658=0,"",(H658*D658+E658*C658)/(C658+D658)))</f>
        <v/>
      </c>
      <c r="J658" s="59"/>
      <c r="K658" s="61">
        <f>IF(OR(J658="",I658=""),"",J658-I658)</f>
        <v/>
      </c>
      <c r="L658" s="61">
        <f>IF(OR(J658="",G658=""),"",J658-G658)</f>
        <v/>
      </c>
      <c r="M658" s="59"/>
      <c r="N658" s="59"/>
      <c r="O658" s="59"/>
      <c r="P658" s="59"/>
      <c r="Q658" s="59"/>
      <c r="R658" s="60">
        <f>IF(AND(P658="",Q658=""),"",N(P658)+N(Q658))</f>
        <v/>
      </c>
      <c r="S658" s="59"/>
      <c r="T658" s="59"/>
      <c r="U658" s="62">
        <f>IF(OR(R658="",S658="",T658=""),"",IF(S658+T658=0,"",R658/(S658+T658)))</f>
        <v/>
      </c>
      <c r="V658" s="63"/>
      <c r="W658" s="64"/>
      <c r="X658" s="63"/>
    </row>
    <row r="659" spans="2:24">
      <c r="B659" s="58"/>
      <c r="C659" s="59"/>
      <c r="D659" s="59"/>
      <c r="E659" s="59"/>
      <c r="F659" s="59"/>
      <c r="G659" s="60">
        <f>IF(OR(E659="",F659="",C659="",D659=""),"",IF(C659+D659=0,"",(E659*C659+F659*D659)/(C659+D659)))</f>
        <v/>
      </c>
      <c r="H659" s="59"/>
      <c r="I659" s="60">
        <f>IF(OR(H659="",E659="",C659="",D659=""),"",IF(C659+D659=0,"",(H659*D659+E659*C659)/(C659+D659)))</f>
        <v/>
      </c>
      <c r="J659" s="59"/>
      <c r="K659" s="61">
        <f>IF(OR(J659="",I659=""),"",J659-I659)</f>
        <v/>
      </c>
      <c r="L659" s="61">
        <f>IF(OR(J659="",G659=""),"",J659-G659)</f>
        <v/>
      </c>
      <c r="M659" s="59"/>
      <c r="N659" s="59"/>
      <c r="O659" s="59"/>
      <c r="P659" s="59"/>
      <c r="Q659" s="59"/>
      <c r="R659" s="60">
        <f>IF(AND(P659="",Q659=""),"",N(P659)+N(Q659))</f>
        <v/>
      </c>
      <c r="S659" s="59"/>
      <c r="T659" s="59"/>
      <c r="U659" s="62">
        <f>IF(OR(R659="",S659="",T659=""),"",IF(S659+T659=0,"",R659/(S659+T659)))</f>
        <v/>
      </c>
      <c r="V659" s="63"/>
      <c r="W659" s="64"/>
      <c r="X659" s="63"/>
    </row>
    <row r="660" spans="2:24">
      <c r="B660" s="58"/>
      <c r="C660" s="59"/>
      <c r="D660" s="59"/>
      <c r="E660" s="59"/>
      <c r="F660" s="59"/>
      <c r="G660" s="60">
        <f>IF(OR(E660="",F660="",C660="",D660=""),"",IF(C660+D660=0,"",(E660*C660+F660*D660)/(C660+D660)))</f>
        <v/>
      </c>
      <c r="H660" s="59"/>
      <c r="I660" s="60">
        <f>IF(OR(H660="",E660="",C660="",D660=""),"",IF(C660+D660=0,"",(H660*D660+E660*C660)/(C660+D660)))</f>
        <v/>
      </c>
      <c r="J660" s="59"/>
      <c r="K660" s="61">
        <f>IF(OR(J660="",I660=""),"",J660-I660)</f>
        <v/>
      </c>
      <c r="L660" s="61">
        <f>IF(OR(J660="",G660=""),"",J660-G660)</f>
        <v/>
      </c>
      <c r="M660" s="59"/>
      <c r="N660" s="59"/>
      <c r="O660" s="59"/>
      <c r="P660" s="59"/>
      <c r="Q660" s="59"/>
      <c r="R660" s="60">
        <f>IF(AND(P660="",Q660=""),"",N(P660)+N(Q660))</f>
        <v/>
      </c>
      <c r="S660" s="59"/>
      <c r="T660" s="59"/>
      <c r="U660" s="62">
        <f>IF(OR(R660="",S660="",T660=""),"",IF(S660+T660=0,"",R660/(S660+T660)))</f>
        <v/>
      </c>
      <c r="V660" s="63"/>
      <c r="W660" s="64"/>
      <c r="X660" s="63"/>
    </row>
    <row r="661" spans="2:24">
      <c r="B661" s="58"/>
      <c r="C661" s="59"/>
      <c r="D661" s="59"/>
      <c r="E661" s="59"/>
      <c r="F661" s="59"/>
      <c r="G661" s="60">
        <f>IF(OR(E661="",F661="",C661="",D661=""),"",IF(C661+D661=0,"",(E661*C661+F661*D661)/(C661+D661)))</f>
        <v/>
      </c>
      <c r="H661" s="59"/>
      <c r="I661" s="60">
        <f>IF(OR(H661="",E661="",C661="",D661=""),"",IF(C661+D661=0,"",(H661*D661+E661*C661)/(C661+D661)))</f>
        <v/>
      </c>
      <c r="J661" s="59"/>
      <c r="K661" s="61">
        <f>IF(OR(J661="",I661=""),"",J661-I661)</f>
        <v/>
      </c>
      <c r="L661" s="61">
        <f>IF(OR(J661="",G661=""),"",J661-G661)</f>
        <v/>
      </c>
      <c r="M661" s="59"/>
      <c r="N661" s="59"/>
      <c r="O661" s="59"/>
      <c r="P661" s="59"/>
      <c r="Q661" s="59"/>
      <c r="R661" s="60">
        <f>IF(AND(P661="",Q661=""),"",N(P661)+N(Q661))</f>
        <v/>
      </c>
      <c r="S661" s="59"/>
      <c r="T661" s="59"/>
      <c r="U661" s="62">
        <f>IF(OR(R661="",S661="",T661=""),"",IF(S661+T661=0,"",R661/(S661+T661)))</f>
        <v/>
      </c>
      <c r="V661" s="63"/>
      <c r="W661" s="64"/>
      <c r="X661" s="63"/>
    </row>
    <row r="662" spans="2:24">
      <c r="B662" s="58"/>
      <c r="C662" s="59"/>
      <c r="D662" s="59"/>
      <c r="E662" s="59"/>
      <c r="F662" s="59"/>
      <c r="G662" s="60">
        <f>IF(OR(E662="",F662="",C662="",D662=""),"",IF(C662+D662=0,"",(E662*C662+F662*D662)/(C662+D662)))</f>
        <v/>
      </c>
      <c r="H662" s="59"/>
      <c r="I662" s="60">
        <f>IF(OR(H662="",E662="",C662="",D662=""),"",IF(C662+D662=0,"",(H662*D662+E662*C662)/(C662+D662)))</f>
        <v/>
      </c>
      <c r="J662" s="59"/>
      <c r="K662" s="61">
        <f>IF(OR(J662="",I662=""),"",J662-I662)</f>
        <v/>
      </c>
      <c r="L662" s="61">
        <f>IF(OR(J662="",G662=""),"",J662-G662)</f>
        <v/>
      </c>
      <c r="M662" s="59"/>
      <c r="N662" s="59"/>
      <c r="O662" s="59"/>
      <c r="P662" s="59"/>
      <c r="Q662" s="59"/>
      <c r="R662" s="60">
        <f>IF(AND(P662="",Q662=""),"",N(P662)+N(Q662))</f>
        <v/>
      </c>
      <c r="S662" s="59"/>
      <c r="T662" s="59"/>
      <c r="U662" s="62">
        <f>IF(OR(R662="",S662="",T662=""),"",IF(S662+T662=0,"",R662/(S662+T662)))</f>
        <v/>
      </c>
      <c r="V662" s="63"/>
      <c r="W662" s="64"/>
      <c r="X662" s="63"/>
    </row>
    <row r="663" spans="2:24">
      <c r="B663" s="58"/>
      <c r="C663" s="59"/>
      <c r="D663" s="59"/>
      <c r="E663" s="59"/>
      <c r="F663" s="59"/>
      <c r="G663" s="60">
        <f>IF(OR(E663="",F663="",C663="",D663=""),"",IF(C663+D663=0,"",(E663*C663+F663*D663)/(C663+D663)))</f>
        <v/>
      </c>
      <c r="H663" s="59"/>
      <c r="I663" s="60">
        <f>IF(OR(H663="",E663="",C663="",D663=""),"",IF(C663+D663=0,"",(H663*D663+E663*C663)/(C663+D663)))</f>
        <v/>
      </c>
      <c r="J663" s="59"/>
      <c r="K663" s="61">
        <f>IF(OR(J663="",I663=""),"",J663-I663)</f>
        <v/>
      </c>
      <c r="L663" s="61">
        <f>IF(OR(J663="",G663=""),"",J663-G663)</f>
        <v/>
      </c>
      <c r="M663" s="59"/>
      <c r="N663" s="59"/>
      <c r="O663" s="59"/>
      <c r="P663" s="59"/>
      <c r="Q663" s="59"/>
      <c r="R663" s="60">
        <f>IF(AND(P663="",Q663=""),"",N(P663)+N(Q663))</f>
        <v/>
      </c>
      <c r="S663" s="59"/>
      <c r="T663" s="59"/>
      <c r="U663" s="62">
        <f>IF(OR(R663="",S663="",T663=""),"",IF(S663+T663=0,"",R663/(S663+T663)))</f>
        <v/>
      </c>
      <c r="V663" s="63"/>
      <c r="W663" s="64"/>
      <c r="X663" s="63"/>
    </row>
    <row r="664" spans="2:24">
      <c r="B664" s="58"/>
      <c r="C664" s="59"/>
      <c r="D664" s="59"/>
      <c r="E664" s="59"/>
      <c r="F664" s="59"/>
      <c r="G664" s="60">
        <f>IF(OR(E664="",F664="",C664="",D664=""),"",IF(C664+D664=0,"",(E664*C664+F664*D664)/(C664+D664)))</f>
        <v/>
      </c>
      <c r="H664" s="59"/>
      <c r="I664" s="60">
        <f>IF(OR(H664="",E664="",C664="",D664=""),"",IF(C664+D664=0,"",(H664*D664+E664*C664)/(C664+D664)))</f>
        <v/>
      </c>
      <c r="J664" s="59"/>
      <c r="K664" s="61">
        <f>IF(OR(J664="",I664=""),"",J664-I664)</f>
        <v/>
      </c>
      <c r="L664" s="61">
        <f>IF(OR(J664="",G664=""),"",J664-G664)</f>
        <v/>
      </c>
      <c r="M664" s="59"/>
      <c r="N664" s="59"/>
      <c r="O664" s="59"/>
      <c r="P664" s="59"/>
      <c r="Q664" s="59"/>
      <c r="R664" s="60">
        <f>IF(AND(P664="",Q664=""),"",N(P664)+N(Q664))</f>
        <v/>
      </c>
      <c r="S664" s="59"/>
      <c r="T664" s="59"/>
      <c r="U664" s="62">
        <f>IF(OR(R664="",S664="",T664=""),"",IF(S664+T664=0,"",R664/(S664+T664)))</f>
        <v/>
      </c>
      <c r="V664" s="63"/>
      <c r="W664" s="64"/>
      <c r="X664" s="63"/>
    </row>
    <row r="665" spans="2:24">
      <c r="B665" s="58"/>
      <c r="C665" s="59"/>
      <c r="D665" s="59"/>
      <c r="E665" s="59"/>
      <c r="F665" s="59"/>
      <c r="G665" s="60">
        <f>IF(OR(E665="",F665="",C665="",D665=""),"",IF(C665+D665=0,"",(E665*C665+F665*D665)/(C665+D665)))</f>
        <v/>
      </c>
      <c r="H665" s="59"/>
      <c r="I665" s="60">
        <f>IF(OR(H665="",E665="",C665="",D665=""),"",IF(C665+D665=0,"",(H665*D665+E665*C665)/(C665+D665)))</f>
        <v/>
      </c>
      <c r="J665" s="59"/>
      <c r="K665" s="61">
        <f>IF(OR(J665="",I665=""),"",J665-I665)</f>
        <v/>
      </c>
      <c r="L665" s="61">
        <f>IF(OR(J665="",G665=""),"",J665-G665)</f>
        <v/>
      </c>
      <c r="M665" s="59"/>
      <c r="N665" s="59"/>
      <c r="O665" s="59"/>
      <c r="P665" s="59"/>
      <c r="Q665" s="59"/>
      <c r="R665" s="60">
        <f>IF(AND(P665="",Q665=""),"",N(P665)+N(Q665))</f>
        <v/>
      </c>
      <c r="S665" s="59"/>
      <c r="T665" s="59"/>
      <c r="U665" s="62">
        <f>IF(OR(R665="",S665="",T665=""),"",IF(S665+T665=0,"",R665/(S665+T665)))</f>
        <v/>
      </c>
      <c r="V665" s="63"/>
      <c r="W665" s="64"/>
      <c r="X665" s="63"/>
    </row>
    <row r="666" spans="2:24">
      <c r="B666" s="58"/>
      <c r="C666" s="59"/>
      <c r="D666" s="59"/>
      <c r="E666" s="59"/>
      <c r="F666" s="59"/>
      <c r="G666" s="60">
        <f>IF(OR(E666="",F666="",C666="",D666=""),"",IF(C666+D666=0,"",(E666*C666+F666*D666)/(C666+D666)))</f>
        <v/>
      </c>
      <c r="H666" s="59"/>
      <c r="I666" s="60">
        <f>IF(OR(H666="",E666="",C666="",D666=""),"",IF(C666+D666=0,"",(H666*D666+E666*C666)/(C666+D666)))</f>
        <v/>
      </c>
      <c r="J666" s="59"/>
      <c r="K666" s="61">
        <f>IF(OR(J666="",I666=""),"",J666-I666)</f>
        <v/>
      </c>
      <c r="L666" s="61">
        <f>IF(OR(J666="",G666=""),"",J666-G666)</f>
        <v/>
      </c>
      <c r="M666" s="59"/>
      <c r="N666" s="59"/>
      <c r="O666" s="59"/>
      <c r="P666" s="59"/>
      <c r="Q666" s="59"/>
      <c r="R666" s="60">
        <f>IF(AND(P666="",Q666=""),"",N(P666)+N(Q666))</f>
        <v/>
      </c>
      <c r="S666" s="59"/>
      <c r="T666" s="59"/>
      <c r="U666" s="62">
        <f>IF(OR(R666="",S666="",T666=""),"",IF(S666+T666=0,"",R666/(S666+T666)))</f>
        <v/>
      </c>
      <c r="V666" s="63"/>
      <c r="W666" s="64"/>
      <c r="X666" s="63"/>
    </row>
    <row r="667" spans="2:24">
      <c r="B667" s="58"/>
      <c r="C667" s="59"/>
      <c r="D667" s="59"/>
      <c r="E667" s="59"/>
      <c r="F667" s="59"/>
      <c r="G667" s="60">
        <f>IF(OR(E667="",F667="",C667="",D667=""),"",IF(C667+D667=0,"",(E667*C667+F667*D667)/(C667+D667)))</f>
        <v/>
      </c>
      <c r="H667" s="59"/>
      <c r="I667" s="60">
        <f>IF(OR(H667="",E667="",C667="",D667=""),"",IF(C667+D667=0,"",(H667*D667+E667*C667)/(C667+D667)))</f>
        <v/>
      </c>
      <c r="J667" s="59"/>
      <c r="K667" s="61">
        <f>IF(OR(J667="",I667=""),"",J667-I667)</f>
        <v/>
      </c>
      <c r="L667" s="61">
        <f>IF(OR(J667="",G667=""),"",J667-G667)</f>
        <v/>
      </c>
      <c r="M667" s="59"/>
      <c r="N667" s="59"/>
      <c r="O667" s="59"/>
      <c r="P667" s="59"/>
      <c r="Q667" s="59"/>
      <c r="R667" s="60">
        <f>IF(AND(P667="",Q667=""),"",N(P667)+N(Q667))</f>
        <v/>
      </c>
      <c r="S667" s="59"/>
      <c r="T667" s="59"/>
      <c r="U667" s="62">
        <f>IF(OR(R667="",S667="",T667=""),"",IF(S667+T667=0,"",R667/(S667+T667)))</f>
        <v/>
      </c>
      <c r="V667" s="63"/>
      <c r="W667" s="64"/>
      <c r="X667" s="63"/>
    </row>
    <row r="668" spans="2:24">
      <c r="B668" s="58"/>
      <c r="C668" s="59"/>
      <c r="D668" s="59"/>
      <c r="E668" s="59"/>
      <c r="F668" s="59"/>
      <c r="G668" s="60">
        <f>IF(OR(E668="",F668="",C668="",D668=""),"",IF(C668+D668=0,"",(E668*C668+F668*D668)/(C668+D668)))</f>
        <v/>
      </c>
      <c r="H668" s="59"/>
      <c r="I668" s="60">
        <f>IF(OR(H668="",E668="",C668="",D668=""),"",IF(C668+D668=0,"",(H668*D668+E668*C668)/(C668+D668)))</f>
        <v/>
      </c>
      <c r="J668" s="59"/>
      <c r="K668" s="61">
        <f>IF(OR(J668="",I668=""),"",J668-I668)</f>
        <v/>
      </c>
      <c r="L668" s="61">
        <f>IF(OR(J668="",G668=""),"",J668-G668)</f>
        <v/>
      </c>
      <c r="M668" s="59"/>
      <c r="N668" s="59"/>
      <c r="O668" s="59"/>
      <c r="P668" s="59"/>
      <c r="Q668" s="59"/>
      <c r="R668" s="60">
        <f>IF(AND(P668="",Q668=""),"",N(P668)+N(Q668))</f>
        <v/>
      </c>
      <c r="S668" s="59"/>
      <c r="T668" s="59"/>
      <c r="U668" s="62">
        <f>IF(OR(R668="",S668="",T668=""),"",IF(S668+T668=0,"",R668/(S668+T668)))</f>
        <v/>
      </c>
      <c r="V668" s="63"/>
      <c r="W668" s="64"/>
      <c r="X668" s="63"/>
    </row>
    <row r="669" spans="2:24">
      <c r="B669" s="58"/>
      <c r="C669" s="59"/>
      <c r="D669" s="59"/>
      <c r="E669" s="59"/>
      <c r="F669" s="59"/>
      <c r="G669" s="60">
        <f>IF(OR(E669="",F669="",C669="",D669=""),"",IF(C669+D669=0,"",(E669*C669+F669*D669)/(C669+D669)))</f>
        <v/>
      </c>
      <c r="H669" s="59"/>
      <c r="I669" s="60">
        <f>IF(OR(H669="",E669="",C669="",D669=""),"",IF(C669+D669=0,"",(H669*D669+E669*C669)/(C669+D669)))</f>
        <v/>
      </c>
      <c r="J669" s="59"/>
      <c r="K669" s="61">
        <f>IF(OR(J669="",I669=""),"",J669-I669)</f>
        <v/>
      </c>
      <c r="L669" s="61">
        <f>IF(OR(J669="",G669=""),"",J669-G669)</f>
        <v/>
      </c>
      <c r="M669" s="59"/>
      <c r="N669" s="59"/>
      <c r="O669" s="59"/>
      <c r="P669" s="59"/>
      <c r="Q669" s="59"/>
      <c r="R669" s="60">
        <f>IF(AND(P669="",Q669=""),"",N(P669)+N(Q669))</f>
        <v/>
      </c>
      <c r="S669" s="59"/>
      <c r="T669" s="59"/>
      <c r="U669" s="62">
        <f>IF(OR(R669="",S669="",T669=""),"",IF(S669+T669=0,"",R669/(S669+T669)))</f>
        <v/>
      </c>
      <c r="V669" s="63"/>
      <c r="W669" s="64"/>
      <c r="X669" s="63"/>
    </row>
    <row r="670" spans="2:24">
      <c r="B670" s="58"/>
      <c r="C670" s="59"/>
      <c r="D670" s="59"/>
      <c r="E670" s="59"/>
      <c r="F670" s="59"/>
      <c r="G670" s="60">
        <f>IF(OR(E670="",F670="",C670="",D670=""),"",IF(C670+D670=0,"",(E670*C670+F670*D670)/(C670+D670)))</f>
        <v/>
      </c>
      <c r="H670" s="59"/>
      <c r="I670" s="60">
        <f>IF(OR(H670="",E670="",C670="",D670=""),"",IF(C670+D670=0,"",(H670*D670+E670*C670)/(C670+D670)))</f>
        <v/>
      </c>
      <c r="J670" s="59"/>
      <c r="K670" s="61">
        <f>IF(OR(J670="",I670=""),"",J670-I670)</f>
        <v/>
      </c>
      <c r="L670" s="61">
        <f>IF(OR(J670="",G670=""),"",J670-G670)</f>
        <v/>
      </c>
      <c r="M670" s="59"/>
      <c r="N670" s="59"/>
      <c r="O670" s="59"/>
      <c r="P670" s="59"/>
      <c r="Q670" s="59"/>
      <c r="R670" s="60">
        <f>IF(AND(P670="",Q670=""),"",N(P670)+N(Q670))</f>
        <v/>
      </c>
      <c r="S670" s="59"/>
      <c r="T670" s="59"/>
      <c r="U670" s="62">
        <f>IF(OR(R670="",S670="",T670=""),"",IF(S670+T670=0,"",R670/(S670+T670)))</f>
        <v/>
      </c>
      <c r="V670" s="63"/>
      <c r="W670" s="64"/>
      <c r="X670" s="63"/>
    </row>
    <row r="671" spans="2:24">
      <c r="B671" s="58"/>
      <c r="C671" s="59"/>
      <c r="D671" s="59"/>
      <c r="E671" s="59"/>
      <c r="F671" s="59"/>
      <c r="G671" s="60">
        <f>IF(OR(E671="",F671="",C671="",D671=""),"",IF(C671+D671=0,"",(E671*C671+F671*D671)/(C671+D671)))</f>
        <v/>
      </c>
      <c r="H671" s="59"/>
      <c r="I671" s="60">
        <f>IF(OR(H671="",E671="",C671="",D671=""),"",IF(C671+D671=0,"",(H671*D671+E671*C671)/(C671+D671)))</f>
        <v/>
      </c>
      <c r="J671" s="59"/>
      <c r="K671" s="61">
        <f>IF(OR(J671="",I671=""),"",J671-I671)</f>
        <v/>
      </c>
      <c r="L671" s="61">
        <f>IF(OR(J671="",G671=""),"",J671-G671)</f>
        <v/>
      </c>
      <c r="M671" s="59"/>
      <c r="N671" s="59"/>
      <c r="O671" s="59"/>
      <c r="P671" s="59"/>
      <c r="Q671" s="59"/>
      <c r="R671" s="60">
        <f>IF(AND(P671="",Q671=""),"",N(P671)+N(Q671))</f>
        <v/>
      </c>
      <c r="S671" s="59"/>
      <c r="T671" s="59"/>
      <c r="U671" s="62">
        <f>IF(OR(R671="",S671="",T671=""),"",IF(S671+T671=0,"",R671/(S671+T671)))</f>
        <v/>
      </c>
      <c r="V671" s="63"/>
      <c r="W671" s="64"/>
      <c r="X671" s="63"/>
    </row>
    <row r="672" spans="2:24">
      <c r="B672" s="58"/>
      <c r="C672" s="59"/>
      <c r="D672" s="59"/>
      <c r="E672" s="59"/>
      <c r="F672" s="59"/>
      <c r="G672" s="60">
        <f>IF(OR(E672="",F672="",C672="",D672=""),"",IF(C672+D672=0,"",(E672*C672+F672*D672)/(C672+D672)))</f>
        <v/>
      </c>
      <c r="H672" s="59"/>
      <c r="I672" s="60">
        <f>IF(OR(H672="",E672="",C672="",D672=""),"",IF(C672+D672=0,"",(H672*D672+E672*C672)/(C672+D672)))</f>
        <v/>
      </c>
      <c r="J672" s="59"/>
      <c r="K672" s="61">
        <f>IF(OR(J672="",I672=""),"",J672-I672)</f>
        <v/>
      </c>
      <c r="L672" s="61">
        <f>IF(OR(J672="",G672=""),"",J672-G672)</f>
        <v/>
      </c>
      <c r="M672" s="59"/>
      <c r="N672" s="59"/>
      <c r="O672" s="59"/>
      <c r="P672" s="59"/>
      <c r="Q672" s="59"/>
      <c r="R672" s="60">
        <f>IF(AND(P672="",Q672=""),"",N(P672)+N(Q672))</f>
        <v/>
      </c>
      <c r="S672" s="59"/>
      <c r="T672" s="59"/>
      <c r="U672" s="62">
        <f>IF(OR(R672="",S672="",T672=""),"",IF(S672+T672=0,"",R672/(S672+T672)))</f>
        <v/>
      </c>
      <c r="V672" s="63"/>
      <c r="W672" s="64"/>
      <c r="X672" s="63"/>
    </row>
    <row r="673" spans="2:24">
      <c r="B673" s="58"/>
      <c r="C673" s="59"/>
      <c r="D673" s="59"/>
      <c r="E673" s="59"/>
      <c r="F673" s="59"/>
      <c r="G673" s="60">
        <f>IF(OR(E673="",F673="",C673="",D673=""),"",IF(C673+D673=0,"",(E673*C673+F673*D673)/(C673+D673)))</f>
        <v/>
      </c>
      <c r="H673" s="59"/>
      <c r="I673" s="60">
        <f>IF(OR(H673="",E673="",C673="",D673=""),"",IF(C673+D673=0,"",(H673*D673+E673*C673)/(C673+D673)))</f>
        <v/>
      </c>
      <c r="J673" s="59"/>
      <c r="K673" s="61">
        <f>IF(OR(J673="",I673=""),"",J673-I673)</f>
        <v/>
      </c>
      <c r="L673" s="61">
        <f>IF(OR(J673="",G673=""),"",J673-G673)</f>
        <v/>
      </c>
      <c r="M673" s="59"/>
      <c r="N673" s="59"/>
      <c r="O673" s="59"/>
      <c r="P673" s="59"/>
      <c r="Q673" s="59"/>
      <c r="R673" s="60">
        <f>IF(AND(P673="",Q673=""),"",N(P673)+N(Q673))</f>
        <v/>
      </c>
      <c r="S673" s="59"/>
      <c r="T673" s="59"/>
      <c r="U673" s="62">
        <f>IF(OR(R673="",S673="",T673=""),"",IF(S673+T673=0,"",R673/(S673+T673)))</f>
        <v/>
      </c>
      <c r="V673" s="63"/>
      <c r="W673" s="64"/>
      <c r="X673" s="63"/>
    </row>
    <row r="674" spans="2:24">
      <c r="B674" s="58"/>
      <c r="C674" s="59"/>
      <c r="D674" s="59"/>
      <c r="E674" s="59"/>
      <c r="F674" s="59"/>
      <c r="G674" s="60">
        <f>IF(OR(E674="",F674="",C674="",D674=""),"",IF(C674+D674=0,"",(E674*C674+F674*D674)/(C674+D674)))</f>
        <v/>
      </c>
      <c r="H674" s="59"/>
      <c r="I674" s="60">
        <f>IF(OR(H674="",E674="",C674="",D674=""),"",IF(C674+D674=0,"",(H674*D674+E674*C674)/(C674+D674)))</f>
        <v/>
      </c>
      <c r="J674" s="59"/>
      <c r="K674" s="61">
        <f>IF(OR(J674="",I674=""),"",J674-I674)</f>
        <v/>
      </c>
      <c r="L674" s="61">
        <f>IF(OR(J674="",G674=""),"",J674-G674)</f>
        <v/>
      </c>
      <c r="M674" s="59"/>
      <c r="N674" s="59"/>
      <c r="O674" s="59"/>
      <c r="P674" s="59"/>
      <c r="Q674" s="59"/>
      <c r="R674" s="60">
        <f>IF(AND(P674="",Q674=""),"",N(P674)+N(Q674))</f>
        <v/>
      </c>
      <c r="S674" s="59"/>
      <c r="T674" s="59"/>
      <c r="U674" s="62">
        <f>IF(OR(R674="",S674="",T674=""),"",IF(S674+T674=0,"",R674/(S674+T674)))</f>
        <v/>
      </c>
      <c r="V674" s="63"/>
      <c r="W674" s="64"/>
      <c r="X674" s="63"/>
    </row>
    <row r="675" spans="2:24">
      <c r="B675" s="58"/>
      <c r="C675" s="59"/>
      <c r="D675" s="59"/>
      <c r="E675" s="59"/>
      <c r="F675" s="59"/>
      <c r="G675" s="60">
        <f>IF(OR(E675="",F675="",C675="",D675=""),"",IF(C675+D675=0,"",(E675*C675+F675*D675)/(C675+D675)))</f>
        <v/>
      </c>
      <c r="H675" s="59"/>
      <c r="I675" s="60">
        <f>IF(OR(H675="",E675="",C675="",D675=""),"",IF(C675+D675=0,"",(H675*D675+E675*C675)/(C675+D675)))</f>
        <v/>
      </c>
      <c r="J675" s="59"/>
      <c r="K675" s="61">
        <f>IF(OR(J675="",I675=""),"",J675-I675)</f>
        <v/>
      </c>
      <c r="L675" s="61">
        <f>IF(OR(J675="",G675=""),"",J675-G675)</f>
        <v/>
      </c>
      <c r="M675" s="59"/>
      <c r="N675" s="59"/>
      <c r="O675" s="59"/>
      <c r="P675" s="59"/>
      <c r="Q675" s="59"/>
      <c r="R675" s="60">
        <f>IF(AND(P675="",Q675=""),"",N(P675)+N(Q675))</f>
        <v/>
      </c>
      <c r="S675" s="59"/>
      <c r="T675" s="59"/>
      <c r="U675" s="62">
        <f>IF(OR(R675="",S675="",T675=""),"",IF(S675+T675=0,"",R675/(S675+T675)))</f>
        <v/>
      </c>
      <c r="V675" s="63"/>
      <c r="W675" s="64"/>
      <c r="X675" s="63"/>
    </row>
    <row r="676" spans="2:24">
      <c r="B676" s="58"/>
      <c r="C676" s="59"/>
      <c r="D676" s="59"/>
      <c r="E676" s="59"/>
      <c r="F676" s="59"/>
      <c r="G676" s="60">
        <f>IF(OR(E676="",F676="",C676="",D676=""),"",IF(C676+D676=0,"",(E676*C676+F676*D676)/(C676+D676)))</f>
        <v/>
      </c>
      <c r="H676" s="59"/>
      <c r="I676" s="60">
        <f>IF(OR(H676="",E676="",C676="",D676=""),"",IF(C676+D676=0,"",(H676*D676+E676*C676)/(C676+D676)))</f>
        <v/>
      </c>
      <c r="J676" s="59"/>
      <c r="K676" s="61">
        <f>IF(OR(J676="",I676=""),"",J676-I676)</f>
        <v/>
      </c>
      <c r="L676" s="61">
        <f>IF(OR(J676="",G676=""),"",J676-G676)</f>
        <v/>
      </c>
      <c r="M676" s="59"/>
      <c r="N676" s="59"/>
      <c r="O676" s="59"/>
      <c r="P676" s="59"/>
      <c r="Q676" s="59"/>
      <c r="R676" s="60">
        <f>IF(AND(P676="",Q676=""),"",N(P676)+N(Q676))</f>
        <v/>
      </c>
      <c r="S676" s="59"/>
      <c r="T676" s="59"/>
      <c r="U676" s="62">
        <f>IF(OR(R676="",S676="",T676=""),"",IF(S676+T676=0,"",R676/(S676+T676)))</f>
        <v/>
      </c>
      <c r="V676" s="63"/>
      <c r="W676" s="64"/>
      <c r="X676" s="63"/>
    </row>
    <row r="677" spans="2:24">
      <c r="B677" s="58"/>
      <c r="C677" s="59"/>
      <c r="D677" s="59"/>
      <c r="E677" s="59"/>
      <c r="F677" s="59"/>
      <c r="G677" s="60">
        <f>IF(OR(E677="",F677="",C677="",D677=""),"",IF(C677+D677=0,"",(E677*C677+F677*D677)/(C677+D677)))</f>
        <v/>
      </c>
      <c r="H677" s="59"/>
      <c r="I677" s="60">
        <f>IF(OR(H677="",E677="",C677="",D677=""),"",IF(C677+D677=0,"",(H677*D677+E677*C677)/(C677+D677)))</f>
        <v/>
      </c>
      <c r="J677" s="59"/>
      <c r="K677" s="61">
        <f>IF(OR(J677="",I677=""),"",J677-I677)</f>
        <v/>
      </c>
      <c r="L677" s="61">
        <f>IF(OR(J677="",G677=""),"",J677-G677)</f>
        <v/>
      </c>
      <c r="M677" s="59"/>
      <c r="N677" s="59"/>
      <c r="O677" s="59"/>
      <c r="P677" s="59"/>
      <c r="Q677" s="59"/>
      <c r="R677" s="60">
        <f>IF(AND(P677="",Q677=""),"",N(P677)+N(Q677))</f>
        <v/>
      </c>
      <c r="S677" s="59"/>
      <c r="T677" s="59"/>
      <c r="U677" s="62">
        <f>IF(OR(R677="",S677="",T677=""),"",IF(S677+T677=0,"",R677/(S677+T677)))</f>
        <v/>
      </c>
      <c r="V677" s="63"/>
      <c r="W677" s="64"/>
      <c r="X677" s="63"/>
    </row>
    <row r="678" spans="2:24">
      <c r="B678" s="58"/>
      <c r="C678" s="59"/>
      <c r="D678" s="59"/>
      <c r="E678" s="59"/>
      <c r="F678" s="59"/>
      <c r="G678" s="60">
        <f>IF(OR(E678="",F678="",C678="",D678=""),"",IF(C678+D678=0,"",(E678*C678+F678*D678)/(C678+D678)))</f>
        <v/>
      </c>
      <c r="H678" s="59"/>
      <c r="I678" s="60">
        <f>IF(OR(H678="",E678="",C678="",D678=""),"",IF(C678+D678=0,"",(H678*D678+E678*C678)/(C678+D678)))</f>
        <v/>
      </c>
      <c r="J678" s="59"/>
      <c r="K678" s="61">
        <f>IF(OR(J678="",I678=""),"",J678-I678)</f>
        <v/>
      </c>
      <c r="L678" s="61">
        <f>IF(OR(J678="",G678=""),"",J678-G678)</f>
        <v/>
      </c>
      <c r="M678" s="59"/>
      <c r="N678" s="59"/>
      <c r="O678" s="59"/>
      <c r="P678" s="59"/>
      <c r="Q678" s="59"/>
      <c r="R678" s="60">
        <f>IF(AND(P678="",Q678=""),"",N(P678)+N(Q678))</f>
        <v/>
      </c>
      <c r="S678" s="59"/>
      <c r="T678" s="59"/>
      <c r="U678" s="62">
        <f>IF(OR(R678="",S678="",T678=""),"",IF(S678+T678=0,"",R678/(S678+T678)))</f>
        <v/>
      </c>
      <c r="V678" s="63"/>
      <c r="W678" s="64"/>
      <c r="X678" s="63"/>
    </row>
    <row r="679" spans="2:24">
      <c r="B679" s="58"/>
      <c r="C679" s="59"/>
      <c r="D679" s="59"/>
      <c r="E679" s="59"/>
      <c r="F679" s="59"/>
      <c r="G679" s="60">
        <f>IF(OR(E679="",F679="",C679="",D679=""),"",IF(C679+D679=0,"",(E679*C679+F679*D679)/(C679+D679)))</f>
        <v/>
      </c>
      <c r="H679" s="59"/>
      <c r="I679" s="60">
        <f>IF(OR(H679="",E679="",C679="",D679=""),"",IF(C679+D679=0,"",(H679*D679+E679*C679)/(C679+D679)))</f>
        <v/>
      </c>
      <c r="J679" s="59"/>
      <c r="K679" s="61">
        <f>IF(OR(J679="",I679=""),"",J679-I679)</f>
        <v/>
      </c>
      <c r="L679" s="61">
        <f>IF(OR(J679="",G679=""),"",J679-G679)</f>
        <v/>
      </c>
      <c r="M679" s="59"/>
      <c r="N679" s="59"/>
      <c r="O679" s="59"/>
      <c r="P679" s="59"/>
      <c r="Q679" s="59"/>
      <c r="R679" s="60">
        <f>IF(AND(P679="",Q679=""),"",N(P679)+N(Q679))</f>
        <v/>
      </c>
      <c r="S679" s="59"/>
      <c r="T679" s="59"/>
      <c r="U679" s="62">
        <f>IF(OR(R679="",S679="",T679=""),"",IF(S679+T679=0,"",R679/(S679+T679)))</f>
        <v/>
      </c>
      <c r="V679" s="63"/>
      <c r="W679" s="64"/>
      <c r="X679" s="63"/>
    </row>
    <row r="680" spans="2:24">
      <c r="B680" s="58"/>
      <c r="C680" s="59"/>
      <c r="D680" s="59"/>
      <c r="E680" s="59"/>
      <c r="F680" s="59"/>
      <c r="G680" s="60">
        <f>IF(OR(E680="",F680="",C680="",D680=""),"",IF(C680+D680=0,"",(E680*C680+F680*D680)/(C680+D680)))</f>
        <v/>
      </c>
      <c r="H680" s="59"/>
      <c r="I680" s="60">
        <f>IF(OR(H680="",E680="",C680="",D680=""),"",IF(C680+D680=0,"",(H680*D680+E680*C680)/(C680+D680)))</f>
        <v/>
      </c>
      <c r="J680" s="59"/>
      <c r="K680" s="61">
        <f>IF(OR(J680="",I680=""),"",J680-I680)</f>
        <v/>
      </c>
      <c r="L680" s="61">
        <f>IF(OR(J680="",G680=""),"",J680-G680)</f>
        <v/>
      </c>
      <c r="M680" s="59"/>
      <c r="N680" s="59"/>
      <c r="O680" s="59"/>
      <c r="P680" s="59"/>
      <c r="Q680" s="59"/>
      <c r="R680" s="60">
        <f>IF(AND(P680="",Q680=""),"",N(P680)+N(Q680))</f>
        <v/>
      </c>
      <c r="S680" s="59"/>
      <c r="T680" s="59"/>
      <c r="U680" s="62">
        <f>IF(OR(R680="",S680="",T680=""),"",IF(S680+T680=0,"",R680/(S680+T680)))</f>
        <v/>
      </c>
      <c r="V680" s="63"/>
      <c r="W680" s="64"/>
      <c r="X680" s="63"/>
    </row>
    <row r="681" spans="2:24">
      <c r="B681" s="58"/>
      <c r="C681" s="59"/>
      <c r="D681" s="59"/>
      <c r="E681" s="59"/>
      <c r="F681" s="59"/>
      <c r="G681" s="60">
        <f>IF(OR(E681="",F681="",C681="",D681=""),"",IF(C681+D681=0,"",(E681*C681+F681*D681)/(C681+D681)))</f>
        <v/>
      </c>
      <c r="H681" s="59"/>
      <c r="I681" s="60">
        <f>IF(OR(H681="",E681="",C681="",D681=""),"",IF(C681+D681=0,"",(H681*D681+E681*C681)/(C681+D681)))</f>
        <v/>
      </c>
      <c r="J681" s="59"/>
      <c r="K681" s="61">
        <f>IF(OR(J681="",I681=""),"",J681-I681)</f>
        <v/>
      </c>
      <c r="L681" s="61">
        <f>IF(OR(J681="",G681=""),"",J681-G681)</f>
        <v/>
      </c>
      <c r="M681" s="59"/>
      <c r="N681" s="59"/>
      <c r="O681" s="59"/>
      <c r="P681" s="59"/>
      <c r="Q681" s="59"/>
      <c r="R681" s="60">
        <f>IF(AND(P681="",Q681=""),"",N(P681)+N(Q681))</f>
        <v/>
      </c>
      <c r="S681" s="59"/>
      <c r="T681" s="59"/>
      <c r="U681" s="62">
        <f>IF(OR(R681="",S681="",T681=""),"",IF(S681+T681=0,"",R681/(S681+T681)))</f>
        <v/>
      </c>
      <c r="V681" s="63"/>
      <c r="W681" s="64"/>
      <c r="X681" s="63"/>
    </row>
    <row r="682" spans="2:24">
      <c r="B682" s="58"/>
      <c r="C682" s="59"/>
      <c r="D682" s="59"/>
      <c r="E682" s="59"/>
      <c r="F682" s="59"/>
      <c r="G682" s="60">
        <f>IF(OR(E682="",F682="",C682="",D682=""),"",IF(C682+D682=0,"",(E682*C682+F682*D682)/(C682+D682)))</f>
        <v/>
      </c>
      <c r="H682" s="59"/>
      <c r="I682" s="60">
        <f>IF(OR(H682="",E682="",C682="",D682=""),"",IF(C682+D682=0,"",(H682*D682+E682*C682)/(C682+D682)))</f>
        <v/>
      </c>
      <c r="J682" s="59"/>
      <c r="K682" s="61">
        <f>IF(OR(J682="",I682=""),"",J682-I682)</f>
        <v/>
      </c>
      <c r="L682" s="61">
        <f>IF(OR(J682="",G682=""),"",J682-G682)</f>
        <v/>
      </c>
      <c r="M682" s="59"/>
      <c r="N682" s="59"/>
      <c r="O682" s="59"/>
      <c r="P682" s="59"/>
      <c r="Q682" s="59"/>
      <c r="R682" s="60">
        <f>IF(AND(P682="",Q682=""),"",N(P682)+N(Q682))</f>
        <v/>
      </c>
      <c r="S682" s="59"/>
      <c r="T682" s="59"/>
      <c r="U682" s="62">
        <f>IF(OR(R682="",S682="",T682=""),"",IF(S682+T682=0,"",R682/(S682+T682)))</f>
        <v/>
      </c>
      <c r="V682" s="63"/>
      <c r="W682" s="64"/>
      <c r="X682" s="63"/>
    </row>
    <row r="683" spans="2:24">
      <c r="B683" s="58"/>
      <c r="C683" s="59"/>
      <c r="D683" s="59"/>
      <c r="E683" s="59"/>
      <c r="F683" s="59"/>
      <c r="G683" s="60">
        <f>IF(OR(E683="",F683="",C683="",D683=""),"",IF(C683+D683=0,"",(E683*C683+F683*D683)/(C683+D683)))</f>
        <v/>
      </c>
      <c r="H683" s="59"/>
      <c r="I683" s="60">
        <f>IF(OR(H683="",E683="",C683="",D683=""),"",IF(C683+D683=0,"",(H683*D683+E683*C683)/(C683+D683)))</f>
        <v/>
      </c>
      <c r="J683" s="59"/>
      <c r="K683" s="61">
        <f>IF(OR(J683="",I683=""),"",J683-I683)</f>
        <v/>
      </c>
      <c r="L683" s="61">
        <f>IF(OR(J683="",G683=""),"",J683-G683)</f>
        <v/>
      </c>
      <c r="M683" s="59"/>
      <c r="N683" s="59"/>
      <c r="O683" s="59"/>
      <c r="P683" s="59"/>
      <c r="Q683" s="59"/>
      <c r="R683" s="60">
        <f>IF(AND(P683="",Q683=""),"",N(P683)+N(Q683))</f>
        <v/>
      </c>
      <c r="S683" s="59"/>
      <c r="T683" s="59"/>
      <c r="U683" s="62">
        <f>IF(OR(R683="",S683="",T683=""),"",IF(S683+T683=0,"",R683/(S683+T683)))</f>
        <v/>
      </c>
      <c r="V683" s="63"/>
      <c r="W683" s="64"/>
      <c r="X683" s="63"/>
    </row>
    <row r="684" spans="2:24">
      <c r="B684" s="58"/>
      <c r="C684" s="59"/>
      <c r="D684" s="59"/>
      <c r="E684" s="59"/>
      <c r="F684" s="59"/>
      <c r="G684" s="60">
        <f>IF(OR(E684="",F684="",C684="",D684=""),"",IF(C684+D684=0,"",(E684*C684+F684*D684)/(C684+D684)))</f>
        <v/>
      </c>
      <c r="H684" s="59"/>
      <c r="I684" s="60">
        <f>IF(OR(H684="",E684="",C684="",D684=""),"",IF(C684+D684=0,"",(H684*D684+E684*C684)/(C684+D684)))</f>
        <v/>
      </c>
      <c r="J684" s="59"/>
      <c r="K684" s="61">
        <f>IF(OR(J684="",I684=""),"",J684-I684)</f>
        <v/>
      </c>
      <c r="L684" s="61">
        <f>IF(OR(J684="",G684=""),"",J684-G684)</f>
        <v/>
      </c>
      <c r="M684" s="59"/>
      <c r="N684" s="59"/>
      <c r="O684" s="59"/>
      <c r="P684" s="59"/>
      <c r="Q684" s="59"/>
      <c r="R684" s="60">
        <f>IF(AND(P684="",Q684=""),"",N(P684)+N(Q684))</f>
        <v/>
      </c>
      <c r="S684" s="59"/>
      <c r="T684" s="59"/>
      <c r="U684" s="62">
        <f>IF(OR(R684="",S684="",T684=""),"",IF(S684+T684=0,"",R684/(S684+T684)))</f>
        <v/>
      </c>
      <c r="V684" s="63"/>
      <c r="W684" s="64"/>
      <c r="X684" s="63"/>
    </row>
    <row r="685" spans="2:24">
      <c r="B685" s="58"/>
      <c r="C685" s="59"/>
      <c r="D685" s="59"/>
      <c r="E685" s="59"/>
      <c r="F685" s="59"/>
      <c r="G685" s="60">
        <f>IF(OR(E685="",F685="",C685="",D685=""),"",IF(C685+D685=0,"",(E685*C685+F685*D685)/(C685+D685)))</f>
        <v/>
      </c>
      <c r="H685" s="59"/>
      <c r="I685" s="60">
        <f>IF(OR(H685="",E685="",C685="",D685=""),"",IF(C685+D685=0,"",(H685*D685+E685*C685)/(C685+D685)))</f>
        <v/>
      </c>
      <c r="J685" s="59"/>
      <c r="K685" s="61">
        <f>IF(OR(J685="",I685=""),"",J685-I685)</f>
        <v/>
      </c>
      <c r="L685" s="61">
        <f>IF(OR(J685="",G685=""),"",J685-G685)</f>
        <v/>
      </c>
      <c r="M685" s="59"/>
      <c r="N685" s="59"/>
      <c r="O685" s="59"/>
      <c r="P685" s="59"/>
      <c r="Q685" s="59"/>
      <c r="R685" s="60">
        <f>IF(AND(P685="",Q685=""),"",N(P685)+N(Q685))</f>
        <v/>
      </c>
      <c r="S685" s="59"/>
      <c r="T685" s="59"/>
      <c r="U685" s="62">
        <f>IF(OR(R685="",S685="",T685=""),"",IF(S685+T685=0,"",R685/(S685+T685)))</f>
        <v/>
      </c>
      <c r="V685" s="63"/>
      <c r="W685" s="64"/>
      <c r="X685" s="63"/>
    </row>
    <row r="686" spans="2:24">
      <c r="B686" s="58"/>
      <c r="C686" s="59"/>
      <c r="D686" s="59"/>
      <c r="E686" s="59"/>
      <c r="F686" s="59"/>
      <c r="G686" s="60">
        <f>IF(OR(E686="",F686="",C686="",D686=""),"",IF(C686+D686=0,"",(E686*C686+F686*D686)/(C686+D686)))</f>
        <v/>
      </c>
      <c r="H686" s="59"/>
      <c r="I686" s="60">
        <f>IF(OR(H686="",E686="",C686="",D686=""),"",IF(C686+D686=0,"",(H686*D686+E686*C686)/(C686+D686)))</f>
        <v/>
      </c>
      <c r="J686" s="59"/>
      <c r="K686" s="61">
        <f>IF(OR(J686="",I686=""),"",J686-I686)</f>
        <v/>
      </c>
      <c r="L686" s="61">
        <f>IF(OR(J686="",G686=""),"",J686-G686)</f>
        <v/>
      </c>
      <c r="M686" s="59"/>
      <c r="N686" s="59"/>
      <c r="O686" s="59"/>
      <c r="P686" s="59"/>
      <c r="Q686" s="59"/>
      <c r="R686" s="60">
        <f>IF(AND(P686="",Q686=""),"",N(P686)+N(Q686))</f>
        <v/>
      </c>
      <c r="S686" s="59"/>
      <c r="T686" s="59"/>
      <c r="U686" s="62">
        <f>IF(OR(R686="",S686="",T686=""),"",IF(S686+T686=0,"",R686/(S686+T686)))</f>
        <v/>
      </c>
      <c r="V686" s="63"/>
      <c r="W686" s="64"/>
      <c r="X686" s="63"/>
    </row>
    <row r="687" spans="2:24">
      <c r="B687" s="58"/>
      <c r="C687" s="59"/>
      <c r="D687" s="59"/>
      <c r="E687" s="59"/>
      <c r="F687" s="59"/>
      <c r="G687" s="60">
        <f>IF(OR(E687="",F687="",C687="",D687=""),"",IF(C687+D687=0,"",(E687*C687+F687*D687)/(C687+D687)))</f>
        <v/>
      </c>
      <c r="H687" s="59"/>
      <c r="I687" s="60">
        <f>IF(OR(H687="",E687="",C687="",D687=""),"",IF(C687+D687=0,"",(H687*D687+E687*C687)/(C687+D687)))</f>
        <v/>
      </c>
      <c r="J687" s="59"/>
      <c r="K687" s="61">
        <f>IF(OR(J687="",I687=""),"",J687-I687)</f>
        <v/>
      </c>
      <c r="L687" s="61">
        <f>IF(OR(J687="",G687=""),"",J687-G687)</f>
        <v/>
      </c>
      <c r="M687" s="59"/>
      <c r="N687" s="59"/>
      <c r="O687" s="59"/>
      <c r="P687" s="59"/>
      <c r="Q687" s="59"/>
      <c r="R687" s="60">
        <f>IF(AND(P687="",Q687=""),"",N(P687)+N(Q687))</f>
        <v/>
      </c>
      <c r="S687" s="59"/>
      <c r="T687" s="59"/>
      <c r="U687" s="62">
        <f>IF(OR(R687="",S687="",T687=""),"",IF(S687+T687=0,"",R687/(S687+T687)))</f>
        <v/>
      </c>
      <c r="V687" s="63"/>
      <c r="W687" s="64"/>
      <c r="X687" s="63"/>
    </row>
    <row r="688" spans="2:24">
      <c r="B688" s="58"/>
      <c r="C688" s="59"/>
      <c r="D688" s="59"/>
      <c r="E688" s="59"/>
      <c r="F688" s="59"/>
      <c r="G688" s="60">
        <f>IF(OR(E688="",F688="",C688="",D688=""),"",IF(C688+D688=0,"",(E688*C688+F688*D688)/(C688+D688)))</f>
        <v/>
      </c>
      <c r="H688" s="59"/>
      <c r="I688" s="60">
        <f>IF(OR(H688="",E688="",C688="",D688=""),"",IF(C688+D688=0,"",(H688*D688+E688*C688)/(C688+D688)))</f>
        <v/>
      </c>
      <c r="J688" s="59"/>
      <c r="K688" s="61">
        <f>IF(OR(J688="",I688=""),"",J688-I688)</f>
        <v/>
      </c>
      <c r="L688" s="61">
        <f>IF(OR(J688="",G688=""),"",J688-G688)</f>
        <v/>
      </c>
      <c r="M688" s="59"/>
      <c r="N688" s="59"/>
      <c r="O688" s="59"/>
      <c r="P688" s="59"/>
      <c r="Q688" s="59"/>
      <c r="R688" s="60">
        <f>IF(AND(P688="",Q688=""),"",N(P688)+N(Q688))</f>
        <v/>
      </c>
      <c r="S688" s="59"/>
      <c r="T688" s="59"/>
      <c r="U688" s="62">
        <f>IF(OR(R688="",S688="",T688=""),"",IF(S688+T688=0,"",R688/(S688+T688)))</f>
        <v/>
      </c>
      <c r="V688" s="63"/>
      <c r="W688" s="64"/>
      <c r="X688" s="63"/>
    </row>
    <row r="689" spans="2:24">
      <c r="B689" s="58"/>
      <c r="C689" s="59"/>
      <c r="D689" s="59"/>
      <c r="E689" s="59"/>
      <c r="F689" s="59"/>
      <c r="G689" s="60">
        <f>IF(OR(E689="",F689="",C689="",D689=""),"",IF(C689+D689=0,"",(E689*C689+F689*D689)/(C689+D689)))</f>
        <v/>
      </c>
      <c r="H689" s="59"/>
      <c r="I689" s="60">
        <f>IF(OR(H689="",E689="",C689="",D689=""),"",IF(C689+D689=0,"",(H689*D689+E689*C689)/(C689+D689)))</f>
        <v/>
      </c>
      <c r="J689" s="59"/>
      <c r="K689" s="61">
        <f>IF(OR(J689="",I689=""),"",J689-I689)</f>
        <v/>
      </c>
      <c r="L689" s="61">
        <f>IF(OR(J689="",G689=""),"",J689-G689)</f>
        <v/>
      </c>
      <c r="M689" s="59"/>
      <c r="N689" s="59"/>
      <c r="O689" s="59"/>
      <c r="P689" s="59"/>
      <c r="Q689" s="59"/>
      <c r="R689" s="60">
        <f>IF(AND(P689="",Q689=""),"",N(P689)+N(Q689))</f>
        <v/>
      </c>
      <c r="S689" s="59"/>
      <c r="T689" s="59"/>
      <c r="U689" s="62">
        <f>IF(OR(R689="",S689="",T689=""),"",IF(S689+T689=0,"",R689/(S689+T689)))</f>
        <v/>
      </c>
      <c r="V689" s="63"/>
      <c r="W689" s="64"/>
      <c r="X689" s="63"/>
    </row>
    <row r="690" spans="2:24">
      <c r="B690" s="58"/>
      <c r="C690" s="59"/>
      <c r="D690" s="59"/>
      <c r="E690" s="59"/>
      <c r="F690" s="59"/>
      <c r="G690" s="60">
        <f>IF(OR(E690="",F690="",C690="",D690=""),"",IF(C690+D690=0,"",(E690*C690+F690*D690)/(C690+D690)))</f>
        <v/>
      </c>
      <c r="H690" s="59"/>
      <c r="I690" s="60">
        <f>IF(OR(H690="",E690="",C690="",D690=""),"",IF(C690+D690=0,"",(H690*D690+E690*C690)/(C690+D690)))</f>
        <v/>
      </c>
      <c r="J690" s="59"/>
      <c r="K690" s="61">
        <f>IF(OR(J690="",I690=""),"",J690-I690)</f>
        <v/>
      </c>
      <c r="L690" s="61">
        <f>IF(OR(J690="",G690=""),"",J690-G690)</f>
        <v/>
      </c>
      <c r="M690" s="59"/>
      <c r="N690" s="59"/>
      <c r="O690" s="59"/>
      <c r="P690" s="59"/>
      <c r="Q690" s="59"/>
      <c r="R690" s="60">
        <f>IF(AND(P690="",Q690=""),"",N(P690)+N(Q690))</f>
        <v/>
      </c>
      <c r="S690" s="59"/>
      <c r="T690" s="59"/>
      <c r="U690" s="62">
        <f>IF(OR(R690="",S690="",T690=""),"",IF(S690+T690=0,"",R690/(S690+T690)))</f>
        <v/>
      </c>
      <c r="V690" s="63"/>
      <c r="W690" s="64"/>
      <c r="X690" s="63"/>
    </row>
    <row r="691" spans="2:24">
      <c r="B691" s="58"/>
      <c r="C691" s="59"/>
      <c r="D691" s="59"/>
      <c r="E691" s="59"/>
      <c r="F691" s="59"/>
      <c r="G691" s="60">
        <f>IF(OR(E691="",F691="",C691="",D691=""),"",IF(C691+D691=0,"",(E691*C691+F691*D691)/(C691+D691)))</f>
        <v/>
      </c>
      <c r="H691" s="59"/>
      <c r="I691" s="60">
        <f>IF(OR(H691="",E691="",C691="",D691=""),"",IF(C691+D691=0,"",(H691*D691+E691*C691)/(C691+D691)))</f>
        <v/>
      </c>
      <c r="J691" s="59"/>
      <c r="K691" s="61">
        <f>IF(OR(J691="",I691=""),"",J691-I691)</f>
        <v/>
      </c>
      <c r="L691" s="61">
        <f>IF(OR(J691="",G691=""),"",J691-G691)</f>
        <v/>
      </c>
      <c r="M691" s="59"/>
      <c r="N691" s="59"/>
      <c r="O691" s="59"/>
      <c r="P691" s="59"/>
      <c r="Q691" s="59"/>
      <c r="R691" s="60">
        <f>IF(AND(P691="",Q691=""),"",N(P691)+N(Q691))</f>
        <v/>
      </c>
      <c r="S691" s="59"/>
      <c r="T691" s="59"/>
      <c r="U691" s="62">
        <f>IF(OR(R691="",S691="",T691=""),"",IF(S691+T691=0,"",R691/(S691+T691)))</f>
        <v/>
      </c>
      <c r="V691" s="63"/>
      <c r="W691" s="64"/>
      <c r="X691" s="63"/>
    </row>
    <row r="692" spans="2:24">
      <c r="B692" s="58"/>
      <c r="C692" s="59"/>
      <c r="D692" s="59"/>
      <c r="E692" s="59"/>
      <c r="F692" s="59"/>
      <c r="G692" s="60">
        <f>IF(OR(E692="",F692="",C692="",D692=""),"",IF(C692+D692=0,"",(E692*C692+F692*D692)/(C692+D692)))</f>
        <v/>
      </c>
      <c r="H692" s="59"/>
      <c r="I692" s="60">
        <f>IF(OR(H692="",E692="",C692="",D692=""),"",IF(C692+D692=0,"",(H692*D692+E692*C692)/(C692+D692)))</f>
        <v/>
      </c>
      <c r="J692" s="59"/>
      <c r="K692" s="61">
        <f>IF(OR(J692="",I692=""),"",J692-I692)</f>
        <v/>
      </c>
      <c r="L692" s="61">
        <f>IF(OR(J692="",G692=""),"",J692-G692)</f>
        <v/>
      </c>
      <c r="M692" s="59"/>
      <c r="N692" s="59"/>
      <c r="O692" s="59"/>
      <c r="P692" s="59"/>
      <c r="Q692" s="59"/>
      <c r="R692" s="60">
        <f>IF(AND(P692="",Q692=""),"",N(P692)+N(Q692))</f>
        <v/>
      </c>
      <c r="S692" s="59"/>
      <c r="T692" s="59"/>
      <c r="U692" s="62">
        <f>IF(OR(R692="",S692="",T692=""),"",IF(S692+T692=0,"",R692/(S692+T692)))</f>
        <v/>
      </c>
      <c r="V692" s="63"/>
      <c r="W692" s="64"/>
      <c r="X692" s="63"/>
    </row>
    <row r="693" spans="2:24">
      <c r="B693" s="58"/>
      <c r="C693" s="59"/>
      <c r="D693" s="59"/>
      <c r="E693" s="59"/>
      <c r="F693" s="59"/>
      <c r="G693" s="60">
        <f>IF(OR(E693="",F693="",C693="",D693=""),"",IF(C693+D693=0,"",(E693*C693+F693*D693)/(C693+D693)))</f>
        <v/>
      </c>
      <c r="H693" s="59"/>
      <c r="I693" s="60">
        <f>IF(OR(H693="",E693="",C693="",D693=""),"",IF(C693+D693=0,"",(H693*D693+E693*C693)/(C693+D693)))</f>
        <v/>
      </c>
      <c r="J693" s="59"/>
      <c r="K693" s="61">
        <f>IF(OR(J693="",I693=""),"",J693-I693)</f>
        <v/>
      </c>
      <c r="L693" s="61">
        <f>IF(OR(J693="",G693=""),"",J693-G693)</f>
        <v/>
      </c>
      <c r="M693" s="59"/>
      <c r="N693" s="59"/>
      <c r="O693" s="59"/>
      <c r="P693" s="59"/>
      <c r="Q693" s="59"/>
      <c r="R693" s="60">
        <f>IF(AND(P693="",Q693=""),"",N(P693)+N(Q693))</f>
        <v/>
      </c>
      <c r="S693" s="59"/>
      <c r="T693" s="59"/>
      <c r="U693" s="62">
        <f>IF(OR(R693="",S693="",T693=""),"",IF(S693+T693=0,"",R693/(S693+T693)))</f>
        <v/>
      </c>
      <c r="V693" s="63"/>
      <c r="W693" s="64"/>
      <c r="X693" s="63"/>
    </row>
    <row r="694" spans="2:24">
      <c r="B694" s="58"/>
      <c r="C694" s="59"/>
      <c r="D694" s="59"/>
      <c r="E694" s="59"/>
      <c r="F694" s="59"/>
      <c r="G694" s="60">
        <f>IF(OR(E694="",F694="",C694="",D694=""),"",IF(C694+D694=0,"",(E694*C694+F694*D694)/(C694+D694)))</f>
        <v/>
      </c>
      <c r="H694" s="59"/>
      <c r="I694" s="60">
        <f>IF(OR(H694="",E694="",C694="",D694=""),"",IF(C694+D694=0,"",(H694*D694+E694*C694)/(C694+D694)))</f>
        <v/>
      </c>
      <c r="J694" s="59"/>
      <c r="K694" s="61">
        <f>IF(OR(J694="",I694=""),"",J694-I694)</f>
        <v/>
      </c>
      <c r="L694" s="61">
        <f>IF(OR(J694="",G694=""),"",J694-G694)</f>
        <v/>
      </c>
      <c r="M694" s="59"/>
      <c r="N694" s="59"/>
      <c r="O694" s="59"/>
      <c r="P694" s="59"/>
      <c r="Q694" s="59"/>
      <c r="R694" s="60">
        <f>IF(AND(P694="",Q694=""),"",N(P694)+N(Q694))</f>
        <v/>
      </c>
      <c r="S694" s="59"/>
      <c r="T694" s="59"/>
      <c r="U694" s="62">
        <f>IF(OR(R694="",S694="",T694=""),"",IF(S694+T694=0,"",R694/(S694+T694)))</f>
        <v/>
      </c>
      <c r="V694" s="63"/>
      <c r="W694" s="64"/>
      <c r="X694" s="63"/>
    </row>
    <row r="695" spans="2:24">
      <c r="B695" s="58"/>
      <c r="C695" s="59"/>
      <c r="D695" s="59"/>
      <c r="E695" s="59"/>
      <c r="F695" s="59"/>
      <c r="G695" s="60">
        <f>IF(OR(E695="",F695="",C695="",D695=""),"",IF(C695+D695=0,"",(E695*C695+F695*D695)/(C695+D695)))</f>
        <v/>
      </c>
      <c r="H695" s="59"/>
      <c r="I695" s="60">
        <f>IF(OR(H695="",E695="",C695="",D695=""),"",IF(C695+D695=0,"",(H695*D695+E695*C695)/(C695+D695)))</f>
        <v/>
      </c>
      <c r="J695" s="59"/>
      <c r="K695" s="61">
        <f>IF(OR(J695="",I695=""),"",J695-I695)</f>
        <v/>
      </c>
      <c r="L695" s="61">
        <f>IF(OR(J695="",G695=""),"",J695-G695)</f>
        <v/>
      </c>
      <c r="M695" s="59"/>
      <c r="N695" s="59"/>
      <c r="O695" s="59"/>
      <c r="P695" s="59"/>
      <c r="Q695" s="59"/>
      <c r="R695" s="60">
        <f>IF(AND(P695="",Q695=""),"",N(P695)+N(Q695))</f>
        <v/>
      </c>
      <c r="S695" s="59"/>
      <c r="T695" s="59"/>
      <c r="U695" s="62">
        <f>IF(OR(R695="",S695="",T695=""),"",IF(S695+T695=0,"",R695/(S695+T695)))</f>
        <v/>
      </c>
      <c r="V695" s="63"/>
      <c r="W695" s="64"/>
      <c r="X695" s="63"/>
    </row>
    <row r="696" spans="2:24">
      <c r="B696" s="58"/>
      <c r="C696" s="59"/>
      <c r="D696" s="59"/>
      <c r="E696" s="59"/>
      <c r="F696" s="59"/>
      <c r="G696" s="60">
        <f>IF(OR(E696="",F696="",C696="",D696=""),"",IF(C696+D696=0,"",(E696*C696+F696*D696)/(C696+D696)))</f>
        <v/>
      </c>
      <c r="H696" s="59"/>
      <c r="I696" s="60">
        <f>IF(OR(H696="",E696="",C696="",D696=""),"",IF(C696+D696=0,"",(H696*D696+E696*C696)/(C696+D696)))</f>
        <v/>
      </c>
      <c r="J696" s="59"/>
      <c r="K696" s="61">
        <f>IF(OR(J696="",I696=""),"",J696-I696)</f>
        <v/>
      </c>
      <c r="L696" s="61">
        <f>IF(OR(J696="",G696=""),"",J696-G696)</f>
        <v/>
      </c>
      <c r="M696" s="59"/>
      <c r="N696" s="59"/>
      <c r="O696" s="59"/>
      <c r="P696" s="59"/>
      <c r="Q696" s="59"/>
      <c r="R696" s="60">
        <f>IF(AND(P696="",Q696=""),"",N(P696)+N(Q696))</f>
        <v/>
      </c>
      <c r="S696" s="59"/>
      <c r="T696" s="59"/>
      <c r="U696" s="62">
        <f>IF(OR(R696="",S696="",T696=""),"",IF(S696+T696=0,"",R696/(S696+T696)))</f>
        <v/>
      </c>
      <c r="V696" s="63"/>
      <c r="W696" s="64"/>
      <c r="X696" s="63"/>
    </row>
    <row r="697" spans="2:24">
      <c r="B697" s="58"/>
      <c r="C697" s="59"/>
      <c r="D697" s="59"/>
      <c r="E697" s="59"/>
      <c r="F697" s="59"/>
      <c r="G697" s="60">
        <f>IF(OR(E697="",F697="",C697="",D697=""),"",IF(C697+D697=0,"",(E697*C697+F697*D697)/(C697+D697)))</f>
        <v/>
      </c>
      <c r="H697" s="59"/>
      <c r="I697" s="60">
        <f>IF(OR(H697="",E697="",C697="",D697=""),"",IF(C697+D697=0,"",(H697*D697+E697*C697)/(C697+D697)))</f>
        <v/>
      </c>
      <c r="J697" s="59"/>
      <c r="K697" s="61">
        <f>IF(OR(J697="",I697=""),"",J697-I697)</f>
        <v/>
      </c>
      <c r="L697" s="61">
        <f>IF(OR(J697="",G697=""),"",J697-G697)</f>
        <v/>
      </c>
      <c r="M697" s="59"/>
      <c r="N697" s="59"/>
      <c r="O697" s="59"/>
      <c r="P697" s="59"/>
      <c r="Q697" s="59"/>
      <c r="R697" s="60">
        <f>IF(AND(P697="",Q697=""),"",N(P697)+N(Q697))</f>
        <v/>
      </c>
      <c r="S697" s="59"/>
      <c r="T697" s="59"/>
      <c r="U697" s="62">
        <f>IF(OR(R697="",S697="",T697=""),"",IF(S697+T697=0,"",R697/(S697+T697)))</f>
        <v/>
      </c>
      <c r="V697" s="63"/>
      <c r="W697" s="64"/>
      <c r="X697" s="63"/>
    </row>
    <row r="698" spans="2:24">
      <c r="B698" s="58"/>
      <c r="C698" s="59"/>
      <c r="D698" s="59"/>
      <c r="E698" s="59"/>
      <c r="F698" s="59"/>
      <c r="G698" s="60">
        <f>IF(OR(E698="",F698="",C698="",D698=""),"",IF(C698+D698=0,"",(E698*C698+F698*D698)/(C698+D698)))</f>
        <v/>
      </c>
      <c r="H698" s="59"/>
      <c r="I698" s="60">
        <f>IF(OR(H698="",E698="",C698="",D698=""),"",IF(C698+D698=0,"",(H698*D698+E698*C698)/(C698+D698)))</f>
        <v/>
      </c>
      <c r="J698" s="59"/>
      <c r="K698" s="61">
        <f>IF(OR(J698="",I698=""),"",J698-I698)</f>
        <v/>
      </c>
      <c r="L698" s="61">
        <f>IF(OR(J698="",G698=""),"",J698-G698)</f>
        <v/>
      </c>
      <c r="M698" s="59"/>
      <c r="N698" s="59"/>
      <c r="O698" s="59"/>
      <c r="P698" s="59"/>
      <c r="Q698" s="59"/>
      <c r="R698" s="60">
        <f>IF(AND(P698="",Q698=""),"",N(P698)+N(Q698))</f>
        <v/>
      </c>
      <c r="S698" s="59"/>
      <c r="T698" s="59"/>
      <c r="U698" s="62">
        <f>IF(OR(R698="",S698="",T698=""),"",IF(S698+T698=0,"",R698/(S698+T698)))</f>
        <v/>
      </c>
      <c r="V698" s="63"/>
      <c r="W698" s="64"/>
      <c r="X698" s="63"/>
    </row>
    <row r="699" spans="2:24">
      <c r="B699" s="58"/>
      <c r="C699" s="59"/>
      <c r="D699" s="59"/>
      <c r="E699" s="59"/>
      <c r="F699" s="59"/>
      <c r="G699" s="60">
        <f>IF(OR(E699="",F699="",C699="",D699=""),"",IF(C699+D699=0,"",(E699*C699+F699*D699)/(C699+D699)))</f>
        <v/>
      </c>
      <c r="H699" s="59"/>
      <c r="I699" s="60">
        <f>IF(OR(H699="",E699="",C699="",D699=""),"",IF(C699+D699=0,"",(H699*D699+E699*C699)/(C699+D699)))</f>
        <v/>
      </c>
      <c r="J699" s="59"/>
      <c r="K699" s="61">
        <f>IF(OR(J699="",I699=""),"",J699-I699)</f>
        <v/>
      </c>
      <c r="L699" s="61">
        <f>IF(OR(J699="",G699=""),"",J699-G699)</f>
        <v/>
      </c>
      <c r="M699" s="59"/>
      <c r="N699" s="59"/>
      <c r="O699" s="59"/>
      <c r="P699" s="59"/>
      <c r="Q699" s="59"/>
      <c r="R699" s="60">
        <f>IF(AND(P699="",Q699=""),"",N(P699)+N(Q699))</f>
        <v/>
      </c>
      <c r="S699" s="59"/>
      <c r="T699" s="59"/>
      <c r="U699" s="62">
        <f>IF(OR(R699="",S699="",T699=""),"",IF(S699+T699=0,"",R699/(S699+T699)))</f>
        <v/>
      </c>
      <c r="V699" s="63"/>
      <c r="W699" s="64"/>
      <c r="X699" s="63"/>
    </row>
    <row r="700" spans="2:24">
      <c r="B700" s="58"/>
      <c r="C700" s="59"/>
      <c r="D700" s="59"/>
      <c r="E700" s="59"/>
      <c r="F700" s="59"/>
      <c r="G700" s="60">
        <f>IF(OR(E700="",F700="",C700="",D700=""),"",IF(C700+D700=0,"",(E700*C700+F700*D700)/(C700+D700)))</f>
        <v/>
      </c>
      <c r="H700" s="59"/>
      <c r="I700" s="60">
        <f>IF(OR(H700="",E700="",C700="",D700=""),"",IF(C700+D700=0,"",(H700*D700+E700*C700)/(C700+D700)))</f>
        <v/>
      </c>
      <c r="J700" s="59"/>
      <c r="K700" s="61">
        <f>IF(OR(J700="",I700=""),"",J700-I700)</f>
        <v/>
      </c>
      <c r="L700" s="61">
        <f>IF(OR(J700="",G700=""),"",J700-G700)</f>
        <v/>
      </c>
      <c r="M700" s="59"/>
      <c r="N700" s="59"/>
      <c r="O700" s="59"/>
      <c r="P700" s="59"/>
      <c r="Q700" s="59"/>
      <c r="R700" s="60">
        <f>IF(AND(P700="",Q700=""),"",N(P700)+N(Q700))</f>
        <v/>
      </c>
      <c r="S700" s="59"/>
      <c r="T700" s="59"/>
      <c r="U700" s="62">
        <f>IF(OR(R700="",S700="",T700=""),"",IF(S700+T700=0,"",R700/(S700+T700)))</f>
        <v/>
      </c>
      <c r="V700" s="63"/>
      <c r="W700" s="64"/>
      <c r="X700" s="63"/>
    </row>
    <row r="701" spans="2:24">
      <c r="B701" s="58"/>
      <c r="C701" s="59"/>
      <c r="D701" s="59"/>
      <c r="E701" s="59"/>
      <c r="F701" s="59"/>
      <c r="G701" s="60">
        <f>IF(OR(E701="",F701="",C701="",D701=""),"",IF(C701+D701=0,"",(E701*C701+F701*D701)/(C701+D701)))</f>
        <v/>
      </c>
      <c r="H701" s="59"/>
      <c r="I701" s="60">
        <f>IF(OR(H701="",E701="",C701="",D701=""),"",IF(C701+D701=0,"",(H701*D701+E701*C701)/(C701+D701)))</f>
        <v/>
      </c>
      <c r="J701" s="59"/>
      <c r="K701" s="61">
        <f>IF(OR(J701="",I701=""),"",J701-I701)</f>
        <v/>
      </c>
      <c r="L701" s="61">
        <f>IF(OR(J701="",G701=""),"",J701-G701)</f>
        <v/>
      </c>
      <c r="M701" s="59"/>
      <c r="N701" s="59"/>
      <c r="O701" s="59"/>
      <c r="P701" s="59"/>
      <c r="Q701" s="59"/>
      <c r="R701" s="60">
        <f>IF(AND(P701="",Q701=""),"",N(P701)+N(Q701))</f>
        <v/>
      </c>
      <c r="S701" s="59"/>
      <c r="T701" s="59"/>
      <c r="U701" s="62">
        <f>IF(OR(R701="",S701="",T701=""),"",IF(S701+T701=0,"",R701/(S701+T701)))</f>
        <v/>
      </c>
      <c r="V701" s="63"/>
      <c r="W701" s="64"/>
      <c r="X701" s="63"/>
    </row>
    <row r="702" spans="2:24">
      <c r="B702" s="58"/>
      <c r="C702" s="59"/>
      <c r="D702" s="59"/>
      <c r="E702" s="59"/>
      <c r="F702" s="59"/>
      <c r="G702" s="60">
        <f>IF(OR(E702="",F702="",C702="",D702=""),"",IF(C702+D702=0,"",(E702*C702+F702*D702)/(C702+D702)))</f>
        <v/>
      </c>
      <c r="H702" s="59"/>
      <c r="I702" s="60">
        <f>IF(OR(H702="",E702="",C702="",D702=""),"",IF(C702+D702=0,"",(H702*D702+E702*C702)/(C702+D702)))</f>
        <v/>
      </c>
      <c r="J702" s="59"/>
      <c r="K702" s="61">
        <f>IF(OR(J702="",I702=""),"",J702-I702)</f>
        <v/>
      </c>
      <c r="L702" s="61">
        <f>IF(OR(J702="",G702=""),"",J702-G702)</f>
        <v/>
      </c>
      <c r="M702" s="59"/>
      <c r="N702" s="59"/>
      <c r="O702" s="59"/>
      <c r="P702" s="59"/>
      <c r="Q702" s="59"/>
      <c r="R702" s="60">
        <f>IF(AND(P702="",Q702=""),"",N(P702)+N(Q702))</f>
        <v/>
      </c>
      <c r="S702" s="59"/>
      <c r="T702" s="59"/>
      <c r="U702" s="62">
        <f>IF(OR(R702="",S702="",T702=""),"",IF(S702+T702=0,"",R702/(S702+T702)))</f>
        <v/>
      </c>
      <c r="V702" s="63"/>
      <c r="W702" s="64"/>
      <c r="X702" s="63"/>
    </row>
    <row r="703" spans="2:24">
      <c r="B703" s="58"/>
      <c r="C703" s="59"/>
      <c r="D703" s="59"/>
      <c r="E703" s="59"/>
      <c r="F703" s="59"/>
      <c r="G703" s="60">
        <f>IF(OR(E703="",F703="",C703="",D703=""),"",IF(C703+D703=0,"",(E703*C703+F703*D703)/(C703+D703)))</f>
        <v/>
      </c>
      <c r="H703" s="59"/>
      <c r="I703" s="60">
        <f>IF(OR(H703="",E703="",C703="",D703=""),"",IF(C703+D703=0,"",(H703*D703+E703*C703)/(C703+D703)))</f>
        <v/>
      </c>
      <c r="J703" s="59"/>
      <c r="K703" s="61">
        <f>IF(OR(J703="",I703=""),"",J703-I703)</f>
        <v/>
      </c>
      <c r="L703" s="61">
        <f>IF(OR(J703="",G703=""),"",J703-G703)</f>
        <v/>
      </c>
      <c r="M703" s="59"/>
      <c r="N703" s="59"/>
      <c r="O703" s="59"/>
      <c r="P703" s="59"/>
      <c r="Q703" s="59"/>
      <c r="R703" s="60">
        <f>IF(AND(P703="",Q703=""),"",N(P703)+N(Q703))</f>
        <v/>
      </c>
      <c r="S703" s="59"/>
      <c r="T703" s="59"/>
      <c r="U703" s="62">
        <f>IF(OR(R703="",S703="",T703=""),"",IF(S703+T703=0,"",R703/(S703+T703)))</f>
        <v/>
      </c>
      <c r="V703" s="63"/>
      <c r="W703" s="64"/>
      <c r="X703" s="63"/>
    </row>
    <row r="704" spans="2:24">
      <c r="B704" s="58"/>
      <c r="C704" s="59"/>
      <c r="D704" s="59"/>
      <c r="E704" s="59"/>
      <c r="F704" s="59"/>
      <c r="G704" s="60">
        <f>IF(OR(E704="",F704="",C704="",D704=""),"",IF(C704+D704=0,"",(E704*C704+F704*D704)/(C704+D704)))</f>
        <v/>
      </c>
      <c r="H704" s="59"/>
      <c r="I704" s="60">
        <f>IF(OR(H704="",E704="",C704="",D704=""),"",IF(C704+D704=0,"",(H704*D704+E704*C704)/(C704+D704)))</f>
        <v/>
      </c>
      <c r="J704" s="59"/>
      <c r="K704" s="61">
        <f>IF(OR(J704="",I704=""),"",J704-I704)</f>
        <v/>
      </c>
      <c r="L704" s="61">
        <f>IF(OR(J704="",G704=""),"",J704-G704)</f>
        <v/>
      </c>
      <c r="M704" s="59"/>
      <c r="N704" s="59"/>
      <c r="O704" s="59"/>
      <c r="P704" s="59"/>
      <c r="Q704" s="59"/>
      <c r="R704" s="60">
        <f>IF(AND(P704="",Q704=""),"",N(P704)+N(Q704))</f>
        <v/>
      </c>
      <c r="S704" s="59"/>
      <c r="T704" s="59"/>
      <c r="U704" s="62">
        <f>IF(OR(R704="",S704="",T704=""),"",IF(S704+T704=0,"",R704/(S704+T704)))</f>
        <v/>
      </c>
      <c r="V704" s="63"/>
      <c r="W704" s="64"/>
      <c r="X704" s="63"/>
    </row>
    <row r="705" spans="2:24">
      <c r="B705" s="58"/>
      <c r="C705" s="59"/>
      <c r="D705" s="59"/>
      <c r="E705" s="59"/>
      <c r="F705" s="59"/>
      <c r="G705" s="60">
        <f>IF(OR(E705="",F705="",C705="",D705=""),"",IF(C705+D705=0,"",(E705*C705+F705*D705)/(C705+D705)))</f>
        <v/>
      </c>
      <c r="H705" s="59"/>
      <c r="I705" s="60">
        <f>IF(OR(H705="",E705="",C705="",D705=""),"",IF(C705+D705=0,"",(H705*D705+E705*C705)/(C705+D705)))</f>
        <v/>
      </c>
      <c r="J705" s="59"/>
      <c r="K705" s="61">
        <f>IF(OR(J705="",I705=""),"",J705-I705)</f>
        <v/>
      </c>
      <c r="L705" s="61">
        <f>IF(OR(J705="",G705=""),"",J705-G705)</f>
        <v/>
      </c>
      <c r="M705" s="59"/>
      <c r="N705" s="59"/>
      <c r="O705" s="59"/>
      <c r="P705" s="59"/>
      <c r="Q705" s="59"/>
      <c r="R705" s="60">
        <f>IF(AND(P705="",Q705=""),"",N(P705)+N(Q705))</f>
        <v/>
      </c>
      <c r="S705" s="59"/>
      <c r="T705" s="59"/>
      <c r="U705" s="62">
        <f>IF(OR(R705="",S705="",T705=""),"",IF(S705+T705=0,"",R705/(S705+T705)))</f>
        <v/>
      </c>
      <c r="V705" s="63"/>
      <c r="W705" s="64"/>
      <c r="X705" s="63"/>
    </row>
    <row r="706" spans="2:24">
      <c r="B706" s="58"/>
      <c r="C706" s="59"/>
      <c r="D706" s="59"/>
      <c r="E706" s="59"/>
      <c r="F706" s="59"/>
      <c r="G706" s="60">
        <f>IF(OR(E706="",F706="",C706="",D706=""),"",IF(C706+D706=0,"",(E706*C706+F706*D706)/(C706+D706)))</f>
        <v/>
      </c>
      <c r="H706" s="59"/>
      <c r="I706" s="60">
        <f>IF(OR(H706="",E706="",C706="",D706=""),"",IF(C706+D706=0,"",(H706*D706+E706*C706)/(C706+D706)))</f>
        <v/>
      </c>
      <c r="J706" s="59"/>
      <c r="K706" s="61">
        <f>IF(OR(J706="",I706=""),"",J706-I706)</f>
        <v/>
      </c>
      <c r="L706" s="61">
        <f>IF(OR(J706="",G706=""),"",J706-G706)</f>
        <v/>
      </c>
      <c r="M706" s="59"/>
      <c r="N706" s="59"/>
      <c r="O706" s="59"/>
      <c r="P706" s="59"/>
      <c r="Q706" s="59"/>
      <c r="R706" s="60">
        <f>IF(AND(P706="",Q706=""),"",N(P706)+N(Q706))</f>
        <v/>
      </c>
      <c r="S706" s="59"/>
      <c r="T706" s="59"/>
      <c r="U706" s="62">
        <f>IF(OR(R706="",S706="",T706=""),"",IF(S706+T706=0,"",R706/(S706+T706)))</f>
        <v/>
      </c>
      <c r="V706" s="63"/>
      <c r="W706" s="64"/>
      <c r="X706" s="63"/>
    </row>
    <row r="707" spans="2:24">
      <c r="B707" s="58"/>
      <c r="C707" s="59"/>
      <c r="D707" s="59"/>
      <c r="E707" s="59"/>
      <c r="F707" s="59"/>
      <c r="G707" s="60">
        <f>IF(OR(E707="",F707="",C707="",D707=""),"",IF(C707+D707=0,"",(E707*C707+F707*D707)/(C707+D707)))</f>
        <v/>
      </c>
      <c r="H707" s="59"/>
      <c r="I707" s="60">
        <f>IF(OR(H707="",E707="",C707="",D707=""),"",IF(C707+D707=0,"",(H707*D707+E707*C707)/(C707+D707)))</f>
        <v/>
      </c>
      <c r="J707" s="59"/>
      <c r="K707" s="61">
        <f>IF(OR(J707="",I707=""),"",J707-I707)</f>
        <v/>
      </c>
      <c r="L707" s="61">
        <f>IF(OR(J707="",G707=""),"",J707-G707)</f>
        <v/>
      </c>
      <c r="M707" s="59"/>
      <c r="N707" s="59"/>
      <c r="O707" s="59"/>
      <c r="P707" s="59"/>
      <c r="Q707" s="59"/>
      <c r="R707" s="60">
        <f>IF(AND(P707="",Q707=""),"",N(P707)+N(Q707))</f>
        <v/>
      </c>
      <c r="S707" s="59"/>
      <c r="T707" s="59"/>
      <c r="U707" s="62">
        <f>IF(OR(R707="",S707="",T707=""),"",IF(S707+T707=0,"",R707/(S707+T707)))</f>
        <v/>
      </c>
      <c r="V707" s="63"/>
      <c r="W707" s="64"/>
      <c r="X707" s="63"/>
    </row>
    <row r="708" spans="2:24">
      <c r="B708" s="58"/>
      <c r="C708" s="59"/>
      <c r="D708" s="59"/>
      <c r="E708" s="59"/>
      <c r="F708" s="59"/>
      <c r="G708" s="60">
        <f>IF(OR(E708="",F708="",C708="",D708=""),"",IF(C708+D708=0,"",(E708*C708+F708*D708)/(C708+D708)))</f>
        <v/>
      </c>
      <c r="H708" s="59"/>
      <c r="I708" s="60">
        <f>IF(OR(H708="",E708="",C708="",D708=""),"",IF(C708+D708=0,"",(H708*D708+E708*C708)/(C708+D708)))</f>
        <v/>
      </c>
      <c r="J708" s="59"/>
      <c r="K708" s="61">
        <f>IF(OR(J708="",I708=""),"",J708-I708)</f>
        <v/>
      </c>
      <c r="L708" s="61">
        <f>IF(OR(J708="",G708=""),"",J708-G708)</f>
        <v/>
      </c>
      <c r="M708" s="59"/>
      <c r="N708" s="59"/>
      <c r="O708" s="59"/>
      <c r="P708" s="59"/>
      <c r="Q708" s="59"/>
      <c r="R708" s="60">
        <f>IF(AND(P708="",Q708=""),"",N(P708)+N(Q708))</f>
        <v/>
      </c>
      <c r="S708" s="59"/>
      <c r="T708" s="59"/>
      <c r="U708" s="62">
        <f>IF(OR(R708="",S708="",T708=""),"",IF(S708+T708=0,"",R708/(S708+T708)))</f>
        <v/>
      </c>
      <c r="V708" s="63"/>
      <c r="W708" s="64"/>
      <c r="X708" s="63"/>
    </row>
    <row r="709" spans="2:24">
      <c r="B709" s="58"/>
      <c r="C709" s="59"/>
      <c r="D709" s="59"/>
      <c r="E709" s="59"/>
      <c r="F709" s="59"/>
      <c r="G709" s="60">
        <f>IF(OR(E709="",F709="",C709="",D709=""),"",IF(C709+D709=0,"",(E709*C709+F709*D709)/(C709+D709)))</f>
        <v/>
      </c>
      <c r="H709" s="59"/>
      <c r="I709" s="60">
        <f>IF(OR(H709="",E709="",C709="",D709=""),"",IF(C709+D709=0,"",(H709*D709+E709*C709)/(C709+D709)))</f>
        <v/>
      </c>
      <c r="J709" s="59"/>
      <c r="K709" s="61">
        <f>IF(OR(J709="",I709=""),"",J709-I709)</f>
        <v/>
      </c>
      <c r="L709" s="61">
        <f>IF(OR(J709="",G709=""),"",J709-G709)</f>
        <v/>
      </c>
      <c r="M709" s="59"/>
      <c r="N709" s="59"/>
      <c r="O709" s="59"/>
      <c r="P709" s="59"/>
      <c r="Q709" s="59"/>
      <c r="R709" s="60">
        <f>IF(AND(P709="",Q709=""),"",N(P709)+N(Q709))</f>
        <v/>
      </c>
      <c r="S709" s="59"/>
      <c r="T709" s="59"/>
      <c r="U709" s="62">
        <f>IF(OR(R709="",S709="",T709=""),"",IF(S709+T709=0,"",R709/(S709+T709)))</f>
        <v/>
      </c>
      <c r="V709" s="63"/>
      <c r="W709" s="64"/>
      <c r="X709" s="63"/>
    </row>
    <row r="710" spans="2:24">
      <c r="B710" s="58"/>
      <c r="C710" s="59"/>
      <c r="D710" s="59"/>
      <c r="E710" s="59"/>
      <c r="F710" s="59"/>
      <c r="G710" s="60">
        <f>IF(OR(E710="",F710="",C710="",D710=""),"",IF(C710+D710=0,"",(E710*C710+F710*D710)/(C710+D710)))</f>
        <v/>
      </c>
      <c r="H710" s="59"/>
      <c r="I710" s="60">
        <f>IF(OR(H710="",E710="",C710="",D710=""),"",IF(C710+D710=0,"",(H710*D710+E710*C710)/(C710+D710)))</f>
        <v/>
      </c>
      <c r="J710" s="59"/>
      <c r="K710" s="61">
        <f>IF(OR(J710="",I710=""),"",J710-I710)</f>
        <v/>
      </c>
      <c r="L710" s="61">
        <f>IF(OR(J710="",G710=""),"",J710-G710)</f>
        <v/>
      </c>
      <c r="M710" s="59"/>
      <c r="N710" s="59"/>
      <c r="O710" s="59"/>
      <c r="P710" s="59"/>
      <c r="Q710" s="59"/>
      <c r="R710" s="60">
        <f>IF(AND(P710="",Q710=""),"",N(P710)+N(Q710))</f>
        <v/>
      </c>
      <c r="S710" s="59"/>
      <c r="T710" s="59"/>
      <c r="U710" s="62">
        <f>IF(OR(R710="",S710="",T710=""),"",IF(S710+T710=0,"",R710/(S710+T710)))</f>
        <v/>
      </c>
      <c r="V710" s="63"/>
      <c r="W710" s="64"/>
      <c r="X710" s="63"/>
    </row>
    <row r="711" spans="2:24">
      <c r="B711" s="58"/>
      <c r="C711" s="59"/>
      <c r="D711" s="59"/>
      <c r="E711" s="59"/>
      <c r="F711" s="59"/>
      <c r="G711" s="60">
        <f>IF(OR(E711="",F711="",C711="",D711=""),"",IF(C711+D711=0,"",(E711*C711+F711*D711)/(C711+D711)))</f>
        <v/>
      </c>
      <c r="H711" s="59"/>
      <c r="I711" s="60">
        <f>IF(OR(H711="",E711="",C711="",D711=""),"",IF(C711+D711=0,"",(H711*D711+E711*C711)/(C711+D711)))</f>
        <v/>
      </c>
      <c r="J711" s="59"/>
      <c r="K711" s="61">
        <f>IF(OR(J711="",I711=""),"",J711-I711)</f>
        <v/>
      </c>
      <c r="L711" s="61">
        <f>IF(OR(J711="",G711=""),"",J711-G711)</f>
        <v/>
      </c>
      <c r="M711" s="59"/>
      <c r="N711" s="59"/>
      <c r="O711" s="59"/>
      <c r="P711" s="59"/>
      <c r="Q711" s="59"/>
      <c r="R711" s="60">
        <f>IF(AND(P711="",Q711=""),"",N(P711)+N(Q711))</f>
        <v/>
      </c>
      <c r="S711" s="59"/>
      <c r="T711" s="59"/>
      <c r="U711" s="62">
        <f>IF(OR(R711="",S711="",T711=""),"",IF(S711+T711=0,"",R711/(S711+T711)))</f>
        <v/>
      </c>
      <c r="V711" s="63"/>
      <c r="W711" s="64"/>
      <c r="X711" s="63"/>
    </row>
    <row r="712" spans="2:24">
      <c r="B712" s="58"/>
      <c r="C712" s="59"/>
      <c r="D712" s="59"/>
      <c r="E712" s="59"/>
      <c r="F712" s="59"/>
      <c r="G712" s="60">
        <f>IF(OR(E712="",F712="",C712="",D712=""),"",IF(C712+D712=0,"",(E712*C712+F712*D712)/(C712+D712)))</f>
        <v/>
      </c>
      <c r="H712" s="59"/>
      <c r="I712" s="60">
        <f>IF(OR(H712="",E712="",C712="",D712=""),"",IF(C712+D712=0,"",(H712*D712+E712*C712)/(C712+D712)))</f>
        <v/>
      </c>
      <c r="J712" s="59"/>
      <c r="K712" s="61">
        <f>IF(OR(J712="",I712=""),"",J712-I712)</f>
        <v/>
      </c>
      <c r="L712" s="61">
        <f>IF(OR(J712="",G712=""),"",J712-G712)</f>
        <v/>
      </c>
      <c r="M712" s="59"/>
      <c r="N712" s="59"/>
      <c r="O712" s="59"/>
      <c r="P712" s="59"/>
      <c r="Q712" s="59"/>
      <c r="R712" s="60">
        <f>IF(AND(P712="",Q712=""),"",N(P712)+N(Q712))</f>
        <v/>
      </c>
      <c r="S712" s="59"/>
      <c r="T712" s="59"/>
      <c r="U712" s="62">
        <f>IF(OR(R712="",S712="",T712=""),"",IF(S712+T712=0,"",R712/(S712+T712)))</f>
        <v/>
      </c>
      <c r="V712" s="63"/>
      <c r="W712" s="64"/>
      <c r="X712" s="63"/>
    </row>
    <row r="713" spans="2:24">
      <c r="B713" s="58"/>
      <c r="C713" s="59"/>
      <c r="D713" s="59"/>
      <c r="E713" s="59"/>
      <c r="F713" s="59"/>
      <c r="G713" s="60">
        <f>IF(OR(E713="",F713="",C713="",D713=""),"",IF(C713+D713=0,"",(E713*C713+F713*D713)/(C713+D713)))</f>
        <v/>
      </c>
      <c r="H713" s="59"/>
      <c r="I713" s="60">
        <f>IF(OR(H713="",E713="",C713="",D713=""),"",IF(C713+D713=0,"",(H713*D713+E713*C713)/(C713+D713)))</f>
        <v/>
      </c>
      <c r="J713" s="59"/>
      <c r="K713" s="61">
        <f>IF(OR(J713="",I713=""),"",J713-I713)</f>
        <v/>
      </c>
      <c r="L713" s="61">
        <f>IF(OR(J713="",G713=""),"",J713-G713)</f>
        <v/>
      </c>
      <c r="M713" s="59"/>
      <c r="N713" s="59"/>
      <c r="O713" s="59"/>
      <c r="P713" s="59"/>
      <c r="Q713" s="59"/>
      <c r="R713" s="60">
        <f>IF(AND(P713="",Q713=""),"",N(P713)+N(Q713))</f>
        <v/>
      </c>
      <c r="S713" s="59"/>
      <c r="T713" s="59"/>
      <c r="U713" s="62">
        <f>IF(OR(R713="",S713="",T713=""),"",IF(S713+T713=0,"",R713/(S713+T713)))</f>
        <v/>
      </c>
      <c r="V713" s="63"/>
      <c r="W713" s="64"/>
      <c r="X713" s="63"/>
    </row>
    <row r="714" spans="2:24">
      <c r="B714" s="58"/>
      <c r="C714" s="59"/>
      <c r="D714" s="59"/>
      <c r="E714" s="59"/>
      <c r="F714" s="59"/>
      <c r="G714" s="60">
        <f>IF(OR(E714="",F714="",C714="",D714=""),"",IF(C714+D714=0,"",(E714*C714+F714*D714)/(C714+D714)))</f>
        <v/>
      </c>
      <c r="H714" s="59"/>
      <c r="I714" s="60">
        <f>IF(OR(H714="",E714="",C714="",D714=""),"",IF(C714+D714=0,"",(H714*D714+E714*C714)/(C714+D714)))</f>
        <v/>
      </c>
      <c r="J714" s="59"/>
      <c r="K714" s="61">
        <f>IF(OR(J714="",I714=""),"",J714-I714)</f>
        <v/>
      </c>
      <c r="L714" s="61">
        <f>IF(OR(J714="",G714=""),"",J714-G714)</f>
        <v/>
      </c>
      <c r="M714" s="59"/>
      <c r="N714" s="59"/>
      <c r="O714" s="59"/>
      <c r="P714" s="59"/>
      <c r="Q714" s="59"/>
      <c r="R714" s="60">
        <f>IF(AND(P714="",Q714=""),"",N(P714)+N(Q714))</f>
        <v/>
      </c>
      <c r="S714" s="59"/>
      <c r="T714" s="59"/>
      <c r="U714" s="62">
        <f>IF(OR(R714="",S714="",T714=""),"",IF(S714+T714=0,"",R714/(S714+T714)))</f>
        <v/>
      </c>
      <c r="V714" s="63"/>
      <c r="W714" s="64"/>
      <c r="X714" s="63"/>
    </row>
    <row r="715" spans="2:24">
      <c r="B715" s="58"/>
      <c r="C715" s="59"/>
      <c r="D715" s="59"/>
      <c r="E715" s="59"/>
      <c r="F715" s="59"/>
      <c r="G715" s="60">
        <f>IF(OR(E715="",F715="",C715="",D715=""),"",IF(C715+D715=0,"",(E715*C715+F715*D715)/(C715+D715)))</f>
        <v/>
      </c>
      <c r="H715" s="59"/>
      <c r="I715" s="60">
        <f>IF(OR(H715="",E715="",C715="",D715=""),"",IF(C715+D715=0,"",(H715*D715+E715*C715)/(C715+D715)))</f>
        <v/>
      </c>
      <c r="J715" s="59"/>
      <c r="K715" s="61">
        <f>IF(OR(J715="",I715=""),"",J715-I715)</f>
        <v/>
      </c>
      <c r="L715" s="61">
        <f>IF(OR(J715="",G715=""),"",J715-G715)</f>
        <v/>
      </c>
      <c r="M715" s="59"/>
      <c r="N715" s="59"/>
      <c r="O715" s="59"/>
      <c r="P715" s="59"/>
      <c r="Q715" s="59"/>
      <c r="R715" s="60">
        <f>IF(AND(P715="",Q715=""),"",N(P715)+N(Q715))</f>
        <v/>
      </c>
      <c r="S715" s="59"/>
      <c r="T715" s="59"/>
      <c r="U715" s="62">
        <f>IF(OR(R715="",S715="",T715=""),"",IF(S715+T715=0,"",R715/(S715+T715)))</f>
        <v/>
      </c>
      <c r="V715" s="63"/>
      <c r="W715" s="64"/>
      <c r="X715" s="63"/>
    </row>
    <row r="716" spans="2:24">
      <c r="B716" s="58"/>
      <c r="C716" s="59"/>
      <c r="D716" s="59"/>
      <c r="E716" s="59"/>
      <c r="F716" s="59"/>
      <c r="G716" s="60">
        <f>IF(OR(E716="",F716="",C716="",D716=""),"",IF(C716+D716=0,"",(E716*C716+F716*D716)/(C716+D716)))</f>
        <v/>
      </c>
      <c r="H716" s="59"/>
      <c r="I716" s="60">
        <f>IF(OR(H716="",E716="",C716="",D716=""),"",IF(C716+D716=0,"",(H716*D716+E716*C716)/(C716+D716)))</f>
        <v/>
      </c>
      <c r="J716" s="59"/>
      <c r="K716" s="61">
        <f>IF(OR(J716="",I716=""),"",J716-I716)</f>
        <v/>
      </c>
      <c r="L716" s="61">
        <f>IF(OR(J716="",G716=""),"",J716-G716)</f>
        <v/>
      </c>
      <c r="M716" s="59"/>
      <c r="N716" s="59"/>
      <c r="O716" s="59"/>
      <c r="P716" s="59"/>
      <c r="Q716" s="59"/>
      <c r="R716" s="60">
        <f>IF(AND(P716="",Q716=""),"",N(P716)+N(Q716))</f>
        <v/>
      </c>
      <c r="S716" s="59"/>
      <c r="T716" s="59"/>
      <c r="U716" s="62">
        <f>IF(OR(R716="",S716="",T716=""),"",IF(S716+T716=0,"",R716/(S716+T716)))</f>
        <v/>
      </c>
      <c r="V716" s="63"/>
      <c r="W716" s="64"/>
      <c r="X716" s="63"/>
    </row>
    <row r="717" spans="2:24">
      <c r="B717" s="58"/>
      <c r="C717" s="59"/>
      <c r="D717" s="59"/>
      <c r="E717" s="59"/>
      <c r="F717" s="59"/>
      <c r="G717" s="60">
        <f>IF(OR(E717="",F717="",C717="",D717=""),"",IF(C717+D717=0,"",(E717*C717+F717*D717)/(C717+D717)))</f>
        <v/>
      </c>
      <c r="H717" s="59"/>
      <c r="I717" s="60">
        <f>IF(OR(H717="",E717="",C717="",D717=""),"",IF(C717+D717=0,"",(H717*D717+E717*C717)/(C717+D717)))</f>
        <v/>
      </c>
      <c r="J717" s="59"/>
      <c r="K717" s="61">
        <f>IF(OR(J717="",I717=""),"",J717-I717)</f>
        <v/>
      </c>
      <c r="L717" s="61">
        <f>IF(OR(J717="",G717=""),"",J717-G717)</f>
        <v/>
      </c>
      <c r="M717" s="59"/>
      <c r="N717" s="59"/>
      <c r="O717" s="59"/>
      <c r="P717" s="59"/>
      <c r="Q717" s="59"/>
      <c r="R717" s="60">
        <f>IF(AND(P717="",Q717=""),"",N(P717)+N(Q717))</f>
        <v/>
      </c>
      <c r="S717" s="59"/>
      <c r="T717" s="59"/>
      <c r="U717" s="62">
        <f>IF(OR(R717="",S717="",T717=""),"",IF(S717+T717=0,"",R717/(S717+T717)))</f>
        <v/>
      </c>
      <c r="V717" s="63"/>
      <c r="W717" s="64"/>
      <c r="X717" s="63"/>
    </row>
    <row r="718" spans="2:24">
      <c r="B718" s="58"/>
      <c r="C718" s="59"/>
      <c r="D718" s="59"/>
      <c r="E718" s="59"/>
      <c r="F718" s="59"/>
      <c r="G718" s="60">
        <f>IF(OR(E718="",F718="",C718="",D718=""),"",IF(C718+D718=0,"",(E718*C718+F718*D718)/(C718+D718)))</f>
        <v/>
      </c>
      <c r="H718" s="59"/>
      <c r="I718" s="60">
        <f>IF(OR(H718="",E718="",C718="",D718=""),"",IF(C718+D718=0,"",(H718*D718+E718*C718)/(C718+D718)))</f>
        <v/>
      </c>
      <c r="J718" s="59"/>
      <c r="K718" s="61">
        <f>IF(OR(J718="",I718=""),"",J718-I718)</f>
        <v/>
      </c>
      <c r="L718" s="61">
        <f>IF(OR(J718="",G718=""),"",J718-G718)</f>
        <v/>
      </c>
      <c r="M718" s="59"/>
      <c r="N718" s="59"/>
      <c r="O718" s="59"/>
      <c r="P718" s="59"/>
      <c r="Q718" s="59"/>
      <c r="R718" s="60">
        <f>IF(AND(P718="",Q718=""),"",N(P718)+N(Q718))</f>
        <v/>
      </c>
      <c r="S718" s="59"/>
      <c r="T718" s="59"/>
      <c r="U718" s="62">
        <f>IF(OR(R718="",S718="",T718=""),"",IF(S718+T718=0,"",R718/(S718+T718)))</f>
        <v/>
      </c>
      <c r="V718" s="63"/>
      <c r="W718" s="64"/>
      <c r="X718" s="63"/>
    </row>
    <row r="719" spans="2:24">
      <c r="B719" s="58"/>
      <c r="C719" s="59"/>
      <c r="D719" s="59"/>
      <c r="E719" s="59"/>
      <c r="F719" s="59"/>
      <c r="G719" s="60">
        <f>IF(OR(E719="",F719="",C719="",D719=""),"",IF(C719+D719=0,"",(E719*C719+F719*D719)/(C719+D719)))</f>
        <v/>
      </c>
      <c r="H719" s="59"/>
      <c r="I719" s="60">
        <f>IF(OR(H719="",E719="",C719="",D719=""),"",IF(C719+D719=0,"",(H719*D719+E719*C719)/(C719+D719)))</f>
        <v/>
      </c>
      <c r="J719" s="59"/>
      <c r="K719" s="61">
        <f>IF(OR(J719="",I719=""),"",J719-I719)</f>
        <v/>
      </c>
      <c r="L719" s="61">
        <f>IF(OR(J719="",G719=""),"",J719-G719)</f>
        <v/>
      </c>
      <c r="M719" s="59"/>
      <c r="N719" s="59"/>
      <c r="O719" s="59"/>
      <c r="P719" s="59"/>
      <c r="Q719" s="59"/>
      <c r="R719" s="60">
        <f>IF(AND(P719="",Q719=""),"",N(P719)+N(Q719))</f>
        <v/>
      </c>
      <c r="S719" s="59"/>
      <c r="T719" s="59"/>
      <c r="U719" s="62">
        <f>IF(OR(R719="",S719="",T719=""),"",IF(S719+T719=0,"",R719/(S719+T719)))</f>
        <v/>
      </c>
      <c r="V719" s="63"/>
      <c r="W719" s="64"/>
      <c r="X719" s="63"/>
    </row>
    <row r="720" spans="2:24">
      <c r="B720" s="58"/>
      <c r="C720" s="59"/>
      <c r="D720" s="59"/>
      <c r="E720" s="59"/>
      <c r="F720" s="59"/>
      <c r="G720" s="60">
        <f>IF(OR(E720="",F720="",C720="",D720=""),"",IF(C720+D720=0,"",(E720*C720+F720*D720)/(C720+D720)))</f>
        <v/>
      </c>
      <c r="H720" s="59"/>
      <c r="I720" s="60">
        <f>IF(OR(H720="",E720="",C720="",D720=""),"",IF(C720+D720=0,"",(H720*D720+E720*C720)/(C720+D720)))</f>
        <v/>
      </c>
      <c r="J720" s="59"/>
      <c r="K720" s="61">
        <f>IF(OR(J720="",I720=""),"",J720-I720)</f>
        <v/>
      </c>
      <c r="L720" s="61">
        <f>IF(OR(J720="",G720=""),"",J720-G720)</f>
        <v/>
      </c>
      <c r="M720" s="59"/>
      <c r="N720" s="59"/>
      <c r="O720" s="59"/>
      <c r="P720" s="59"/>
      <c r="Q720" s="59"/>
      <c r="R720" s="60">
        <f>IF(AND(P720="",Q720=""),"",N(P720)+N(Q720))</f>
        <v/>
      </c>
      <c r="S720" s="59"/>
      <c r="T720" s="59"/>
      <c r="U720" s="62">
        <f>IF(OR(R720="",S720="",T720=""),"",IF(S720+T720=0,"",R720/(S720+T720)))</f>
        <v/>
      </c>
      <c r="V720" s="63"/>
      <c r="W720" s="64"/>
      <c r="X720" s="63"/>
    </row>
    <row r="721" spans="2:24">
      <c r="B721" s="58"/>
      <c r="C721" s="59"/>
      <c r="D721" s="59"/>
      <c r="E721" s="59"/>
      <c r="F721" s="59"/>
      <c r="G721" s="60">
        <f>IF(OR(E721="",F721="",C721="",D721=""),"",IF(C721+D721=0,"",(E721*C721+F721*D721)/(C721+D721)))</f>
        <v/>
      </c>
      <c r="H721" s="59"/>
      <c r="I721" s="60">
        <f>IF(OR(H721="",E721="",C721="",D721=""),"",IF(C721+D721=0,"",(H721*D721+E721*C721)/(C721+D721)))</f>
        <v/>
      </c>
      <c r="J721" s="59"/>
      <c r="K721" s="61">
        <f>IF(OR(J721="",I721=""),"",J721-I721)</f>
        <v/>
      </c>
      <c r="L721" s="61">
        <f>IF(OR(J721="",G721=""),"",J721-G721)</f>
        <v/>
      </c>
      <c r="M721" s="59"/>
      <c r="N721" s="59"/>
      <c r="O721" s="59"/>
      <c r="P721" s="59"/>
      <c r="Q721" s="59"/>
      <c r="R721" s="60">
        <f>IF(AND(P721="",Q721=""),"",N(P721)+N(Q721))</f>
        <v/>
      </c>
      <c r="S721" s="59"/>
      <c r="T721" s="59"/>
      <c r="U721" s="62">
        <f>IF(OR(R721="",S721="",T721=""),"",IF(S721+T721=0,"",R721/(S721+T721)))</f>
        <v/>
      </c>
      <c r="V721" s="63"/>
      <c r="W721" s="64"/>
      <c r="X721" s="63"/>
    </row>
    <row r="722" spans="2:24">
      <c r="B722" s="58"/>
      <c r="C722" s="59"/>
      <c r="D722" s="59"/>
      <c r="E722" s="59"/>
      <c r="F722" s="59"/>
      <c r="G722" s="60">
        <f>IF(OR(E722="",F722="",C722="",D722=""),"",IF(C722+D722=0,"",(E722*C722+F722*D722)/(C722+D722)))</f>
        <v/>
      </c>
      <c r="H722" s="59"/>
      <c r="I722" s="60">
        <f>IF(OR(H722="",E722="",C722="",D722=""),"",IF(C722+D722=0,"",(H722*D722+E722*C722)/(C722+D722)))</f>
        <v/>
      </c>
      <c r="J722" s="59"/>
      <c r="K722" s="61">
        <f>IF(OR(J722="",I722=""),"",J722-I722)</f>
        <v/>
      </c>
      <c r="L722" s="61">
        <f>IF(OR(J722="",G722=""),"",J722-G722)</f>
        <v/>
      </c>
      <c r="M722" s="59"/>
      <c r="N722" s="59"/>
      <c r="O722" s="59"/>
      <c r="P722" s="59"/>
      <c r="Q722" s="59"/>
      <c r="R722" s="60">
        <f>IF(AND(P722="",Q722=""),"",N(P722)+N(Q722))</f>
        <v/>
      </c>
      <c r="S722" s="59"/>
      <c r="T722" s="59"/>
      <c r="U722" s="62">
        <f>IF(OR(R722="",S722="",T722=""),"",IF(S722+T722=0,"",R722/(S722+T722)))</f>
        <v/>
      </c>
      <c r="V722" s="63"/>
      <c r="W722" s="64"/>
      <c r="X722" s="63"/>
    </row>
    <row r="723" spans="2:24">
      <c r="B723" s="58"/>
      <c r="C723" s="59"/>
      <c r="D723" s="59"/>
      <c r="E723" s="59"/>
      <c r="F723" s="59"/>
      <c r="G723" s="60">
        <f>IF(OR(E723="",F723="",C723="",D723=""),"",IF(C723+D723=0,"",(E723*C723+F723*D723)/(C723+D723)))</f>
        <v/>
      </c>
      <c r="H723" s="59"/>
      <c r="I723" s="60">
        <f>IF(OR(H723="",E723="",C723="",D723=""),"",IF(C723+D723=0,"",(H723*D723+E723*C723)/(C723+D723)))</f>
        <v/>
      </c>
      <c r="J723" s="59"/>
      <c r="K723" s="61">
        <f>IF(OR(J723="",I723=""),"",J723-I723)</f>
        <v/>
      </c>
      <c r="L723" s="61">
        <f>IF(OR(J723="",G723=""),"",J723-G723)</f>
        <v/>
      </c>
      <c r="M723" s="59"/>
      <c r="N723" s="59"/>
      <c r="O723" s="59"/>
      <c r="P723" s="59"/>
      <c r="Q723" s="59"/>
      <c r="R723" s="60">
        <f>IF(AND(P723="",Q723=""),"",N(P723)+N(Q723))</f>
        <v/>
      </c>
      <c r="S723" s="59"/>
      <c r="T723" s="59"/>
      <c r="U723" s="62">
        <f>IF(OR(R723="",S723="",T723=""),"",IF(S723+T723=0,"",R723/(S723+T723)))</f>
        <v/>
      </c>
      <c r="V723" s="63"/>
      <c r="W723" s="64"/>
      <c r="X723" s="63"/>
    </row>
    <row r="724" spans="2:24">
      <c r="B724" s="58"/>
      <c r="C724" s="59"/>
      <c r="D724" s="59"/>
      <c r="E724" s="59"/>
      <c r="F724" s="59"/>
      <c r="G724" s="60">
        <f>IF(OR(E724="",F724="",C724="",D724=""),"",IF(C724+D724=0,"",(E724*C724+F724*D724)/(C724+D724)))</f>
        <v/>
      </c>
      <c r="H724" s="59"/>
      <c r="I724" s="60">
        <f>IF(OR(H724="",E724="",C724="",D724=""),"",IF(C724+D724=0,"",(H724*D724+E724*C724)/(C724+D724)))</f>
        <v/>
      </c>
      <c r="J724" s="59"/>
      <c r="K724" s="61">
        <f>IF(OR(J724="",I724=""),"",J724-I724)</f>
        <v/>
      </c>
      <c r="L724" s="61">
        <f>IF(OR(J724="",G724=""),"",J724-G724)</f>
        <v/>
      </c>
      <c r="M724" s="59"/>
      <c r="N724" s="59"/>
      <c r="O724" s="59"/>
      <c r="P724" s="59"/>
      <c r="Q724" s="59"/>
      <c r="R724" s="60">
        <f>IF(AND(P724="",Q724=""),"",N(P724)+N(Q724))</f>
        <v/>
      </c>
      <c r="S724" s="59"/>
      <c r="T724" s="59"/>
      <c r="U724" s="62">
        <f>IF(OR(R724="",S724="",T724=""),"",IF(S724+T724=0,"",R724/(S724+T724)))</f>
        <v/>
      </c>
      <c r="V724" s="63"/>
      <c r="W724" s="64"/>
      <c r="X724" s="63"/>
    </row>
    <row r="725" spans="2:24">
      <c r="B725" s="58"/>
      <c r="C725" s="59"/>
      <c r="D725" s="59"/>
      <c r="E725" s="59"/>
      <c r="F725" s="59"/>
      <c r="G725" s="60">
        <f>IF(OR(E725="",F725="",C725="",D725=""),"",IF(C725+D725=0,"",(E725*C725+F725*D725)/(C725+D725)))</f>
        <v/>
      </c>
      <c r="H725" s="59"/>
      <c r="I725" s="60">
        <f>IF(OR(H725="",E725="",C725="",D725=""),"",IF(C725+D725=0,"",(H725*D725+E725*C725)/(C725+D725)))</f>
        <v/>
      </c>
      <c r="J725" s="59"/>
      <c r="K725" s="61">
        <f>IF(OR(J725="",I725=""),"",J725-I725)</f>
        <v/>
      </c>
      <c r="L725" s="61">
        <f>IF(OR(J725="",G725=""),"",J725-G725)</f>
        <v/>
      </c>
      <c r="M725" s="59"/>
      <c r="N725" s="59"/>
      <c r="O725" s="59"/>
      <c r="P725" s="59"/>
      <c r="Q725" s="59"/>
      <c r="R725" s="60">
        <f>IF(AND(P725="",Q725=""),"",N(P725)+N(Q725))</f>
        <v/>
      </c>
      <c r="S725" s="59"/>
      <c r="T725" s="59"/>
      <c r="U725" s="62">
        <f>IF(OR(R725="",S725="",T725=""),"",IF(S725+T725=0,"",R725/(S725+T725)))</f>
        <v/>
      </c>
      <c r="V725" s="63"/>
      <c r="W725" s="64"/>
      <c r="X725" s="63"/>
    </row>
    <row r="726" spans="2:24">
      <c r="B726" s="58"/>
      <c r="C726" s="59"/>
      <c r="D726" s="59"/>
      <c r="E726" s="59"/>
      <c r="F726" s="59"/>
      <c r="G726" s="60">
        <f>IF(OR(E726="",F726="",C726="",D726=""),"",IF(C726+D726=0,"",(E726*C726+F726*D726)/(C726+D726)))</f>
        <v/>
      </c>
      <c r="H726" s="59"/>
      <c r="I726" s="60">
        <f>IF(OR(H726="",E726="",C726="",D726=""),"",IF(C726+D726=0,"",(H726*D726+E726*C726)/(C726+D726)))</f>
        <v/>
      </c>
      <c r="J726" s="59"/>
      <c r="K726" s="61">
        <f>IF(OR(J726="",I726=""),"",J726-I726)</f>
        <v/>
      </c>
      <c r="L726" s="61">
        <f>IF(OR(J726="",G726=""),"",J726-G726)</f>
        <v/>
      </c>
      <c r="M726" s="59"/>
      <c r="N726" s="59"/>
      <c r="O726" s="59"/>
      <c r="P726" s="59"/>
      <c r="Q726" s="59"/>
      <c r="R726" s="60">
        <f>IF(AND(P726="",Q726=""),"",N(P726)+N(Q726))</f>
        <v/>
      </c>
      <c r="S726" s="59"/>
      <c r="T726" s="59"/>
      <c r="U726" s="62">
        <f>IF(OR(R726="",S726="",T726=""),"",IF(S726+T726=0,"",R726/(S726+T726)))</f>
        <v/>
      </c>
      <c r="V726" s="63"/>
      <c r="W726" s="64"/>
      <c r="X726" s="63"/>
    </row>
    <row r="727" spans="2:24">
      <c r="B727" s="58"/>
      <c r="C727" s="59"/>
      <c r="D727" s="59"/>
      <c r="E727" s="59"/>
      <c r="F727" s="59"/>
      <c r="G727" s="60">
        <f>IF(OR(E727="",F727="",C727="",D727=""),"",IF(C727+D727=0,"",(E727*C727+F727*D727)/(C727+D727)))</f>
        <v/>
      </c>
      <c r="H727" s="59"/>
      <c r="I727" s="60">
        <f>IF(OR(H727="",E727="",C727="",D727=""),"",IF(C727+D727=0,"",(H727*D727+E727*C727)/(C727+D727)))</f>
        <v/>
      </c>
      <c r="J727" s="59"/>
      <c r="K727" s="61">
        <f>IF(OR(J727="",I727=""),"",J727-I727)</f>
        <v/>
      </c>
      <c r="L727" s="61">
        <f>IF(OR(J727="",G727=""),"",J727-G727)</f>
        <v/>
      </c>
      <c r="M727" s="59"/>
      <c r="N727" s="59"/>
      <c r="O727" s="59"/>
      <c r="P727" s="59"/>
      <c r="Q727" s="59"/>
      <c r="R727" s="60">
        <f>IF(AND(P727="",Q727=""),"",N(P727)+N(Q727))</f>
        <v/>
      </c>
      <c r="S727" s="59"/>
      <c r="T727" s="59"/>
      <c r="U727" s="62">
        <f>IF(OR(R727="",S727="",T727=""),"",IF(S727+T727=0,"",R727/(S727+T727)))</f>
        <v/>
      </c>
      <c r="V727" s="63"/>
      <c r="W727" s="64"/>
      <c r="X727" s="63"/>
    </row>
    <row r="728" spans="2:24">
      <c r="B728" s="58"/>
      <c r="C728" s="59"/>
      <c r="D728" s="59"/>
      <c r="E728" s="59"/>
      <c r="F728" s="59"/>
      <c r="G728" s="60">
        <f>IF(OR(E728="",F728="",C728="",D728=""),"",IF(C728+D728=0,"",(E728*C728+F728*D728)/(C728+D728)))</f>
        <v/>
      </c>
      <c r="H728" s="59"/>
      <c r="I728" s="60">
        <f>IF(OR(H728="",E728="",C728="",D728=""),"",IF(C728+D728=0,"",(H728*D728+E728*C728)/(C728+D728)))</f>
        <v/>
      </c>
      <c r="J728" s="59"/>
      <c r="K728" s="61">
        <f>IF(OR(J728="",I728=""),"",J728-I728)</f>
        <v/>
      </c>
      <c r="L728" s="61">
        <f>IF(OR(J728="",G728=""),"",J728-G728)</f>
        <v/>
      </c>
      <c r="M728" s="59"/>
      <c r="N728" s="59"/>
      <c r="O728" s="59"/>
      <c r="P728" s="59"/>
      <c r="Q728" s="59"/>
      <c r="R728" s="60">
        <f>IF(AND(P728="",Q728=""),"",N(P728)+N(Q728))</f>
        <v/>
      </c>
      <c r="S728" s="59"/>
      <c r="T728" s="59"/>
      <c r="U728" s="62">
        <f>IF(OR(R728="",S728="",T728=""),"",IF(S728+T728=0,"",R728/(S728+T728)))</f>
        <v/>
      </c>
      <c r="V728" s="63"/>
      <c r="W728" s="64"/>
      <c r="X728" s="63"/>
    </row>
    <row r="729" spans="2:24">
      <c r="B729" s="58"/>
      <c r="C729" s="59"/>
      <c r="D729" s="59"/>
      <c r="E729" s="59"/>
      <c r="F729" s="59"/>
      <c r="G729" s="60">
        <f>IF(OR(E729="",F729="",C729="",D729=""),"",IF(C729+D729=0,"",(E729*C729+F729*D729)/(C729+D729)))</f>
        <v/>
      </c>
      <c r="H729" s="59"/>
      <c r="I729" s="60">
        <f>IF(OR(H729="",E729="",C729="",D729=""),"",IF(C729+D729=0,"",(H729*D729+E729*C729)/(C729+D729)))</f>
        <v/>
      </c>
      <c r="J729" s="59"/>
      <c r="K729" s="61">
        <f>IF(OR(J729="",I729=""),"",J729-I729)</f>
        <v/>
      </c>
      <c r="L729" s="61">
        <f>IF(OR(J729="",G729=""),"",J729-G729)</f>
        <v/>
      </c>
      <c r="M729" s="59"/>
      <c r="N729" s="59"/>
      <c r="O729" s="59"/>
      <c r="P729" s="59"/>
      <c r="Q729" s="59"/>
      <c r="R729" s="60">
        <f>IF(AND(P729="",Q729=""),"",N(P729)+N(Q729))</f>
        <v/>
      </c>
      <c r="S729" s="59"/>
      <c r="T729" s="59"/>
      <c r="U729" s="62">
        <f>IF(OR(R729="",S729="",T729=""),"",IF(S729+T729=0,"",R729/(S729+T729)))</f>
        <v/>
      </c>
      <c r="V729" s="63"/>
      <c r="W729" s="64"/>
      <c r="X729" s="63"/>
    </row>
    <row r="730" spans="2:24">
      <c r="B730" s="58"/>
      <c r="C730" s="59"/>
      <c r="D730" s="59"/>
      <c r="E730" s="59"/>
      <c r="F730" s="59"/>
      <c r="G730" s="60">
        <f>IF(OR(E730="",F730="",C730="",D730=""),"",IF(C730+D730=0,"",(E730*C730+F730*D730)/(C730+D730)))</f>
        <v/>
      </c>
      <c r="H730" s="59"/>
      <c r="I730" s="60">
        <f>IF(OR(H730="",E730="",C730="",D730=""),"",IF(C730+D730=0,"",(H730*D730+E730*C730)/(C730+D730)))</f>
        <v/>
      </c>
      <c r="J730" s="59"/>
      <c r="K730" s="61">
        <f>IF(OR(J730="",I730=""),"",J730-I730)</f>
        <v/>
      </c>
      <c r="L730" s="61">
        <f>IF(OR(J730="",G730=""),"",J730-G730)</f>
        <v/>
      </c>
      <c r="M730" s="59"/>
      <c r="N730" s="59"/>
      <c r="O730" s="59"/>
      <c r="P730" s="59"/>
      <c r="Q730" s="59"/>
      <c r="R730" s="60">
        <f>IF(AND(P730="",Q730=""),"",N(P730)+N(Q730))</f>
        <v/>
      </c>
      <c r="S730" s="59"/>
      <c r="T730" s="59"/>
      <c r="U730" s="62">
        <f>IF(OR(R730="",S730="",T730=""),"",IF(S730+T730=0,"",R730/(S730+T730)))</f>
        <v/>
      </c>
      <c r="V730" s="63"/>
      <c r="W730" s="64"/>
      <c r="X730" s="63"/>
    </row>
    <row r="731" spans="2:24">
      <c r="B731" s="58"/>
      <c r="C731" s="59"/>
      <c r="D731" s="59"/>
      <c r="E731" s="59"/>
      <c r="F731" s="59"/>
      <c r="G731" s="60">
        <f>IF(OR(E731="",F731="",C731="",D731=""),"",IF(C731+D731=0,"",(E731*C731+F731*D731)/(C731+D731)))</f>
        <v/>
      </c>
      <c r="H731" s="59"/>
      <c r="I731" s="60">
        <f>IF(OR(H731="",E731="",C731="",D731=""),"",IF(C731+D731=0,"",(H731*D731+E731*C731)/(C731+D731)))</f>
        <v/>
      </c>
      <c r="J731" s="59"/>
      <c r="K731" s="61">
        <f>IF(OR(J731="",I731=""),"",J731-I731)</f>
        <v/>
      </c>
      <c r="L731" s="61">
        <f>IF(OR(J731="",G731=""),"",J731-G731)</f>
        <v/>
      </c>
      <c r="M731" s="59"/>
      <c r="N731" s="59"/>
      <c r="O731" s="59"/>
      <c r="P731" s="59"/>
      <c r="Q731" s="59"/>
      <c r="R731" s="60">
        <f>IF(AND(P731="",Q731=""),"",N(P731)+N(Q731))</f>
        <v/>
      </c>
      <c r="S731" s="59"/>
      <c r="T731" s="59"/>
      <c r="U731" s="62">
        <f>IF(OR(R731="",S731="",T731=""),"",IF(S731+T731=0,"",R731/(S731+T731)))</f>
        <v/>
      </c>
      <c r="V731" s="63"/>
      <c r="W731" s="64"/>
      <c r="X731" s="63"/>
    </row>
    <row r="732" spans="2:24">
      <c r="B732" s="58"/>
      <c r="C732" s="59"/>
      <c r="D732" s="59"/>
      <c r="E732" s="59"/>
      <c r="F732" s="59"/>
      <c r="G732" s="60">
        <f>IF(OR(E732="",F732="",C732="",D732=""),"",IF(C732+D732=0,"",(E732*C732+F732*D732)/(C732+D732)))</f>
        <v/>
      </c>
      <c r="H732" s="59"/>
      <c r="I732" s="60">
        <f>IF(OR(H732="",E732="",C732="",D732=""),"",IF(C732+D732=0,"",(H732*D732+E732*C732)/(C732+D732)))</f>
        <v/>
      </c>
      <c r="J732" s="59"/>
      <c r="K732" s="61">
        <f>IF(OR(J732="",I732=""),"",J732-I732)</f>
        <v/>
      </c>
      <c r="L732" s="61">
        <f>IF(OR(J732="",G732=""),"",J732-G732)</f>
        <v/>
      </c>
      <c r="M732" s="59"/>
      <c r="N732" s="59"/>
      <c r="O732" s="59"/>
      <c r="P732" s="59"/>
      <c r="Q732" s="59"/>
      <c r="R732" s="60">
        <f>IF(AND(P732="",Q732=""),"",N(P732)+N(Q732))</f>
        <v/>
      </c>
      <c r="S732" s="59"/>
      <c r="T732" s="59"/>
      <c r="U732" s="62">
        <f>IF(OR(R732="",S732="",T732=""),"",IF(S732+T732=0,"",R732/(S732+T732)))</f>
        <v/>
      </c>
      <c r="V732" s="63"/>
      <c r="W732" s="64"/>
      <c r="X732" s="63"/>
    </row>
    <row r="733" spans="2:24">
      <c r="B733" s="58"/>
      <c r="C733" s="59"/>
      <c r="D733" s="59"/>
      <c r="E733" s="59"/>
      <c r="F733" s="59"/>
      <c r="G733" s="60">
        <f>IF(OR(E733="",F733="",C733="",D733=""),"",IF(C733+D733=0,"",(E733*C733+F733*D733)/(C733+D733)))</f>
        <v/>
      </c>
      <c r="H733" s="59"/>
      <c r="I733" s="60">
        <f>IF(OR(H733="",E733="",C733="",D733=""),"",IF(C733+D733=0,"",(H733*D733+E733*C733)/(C733+D733)))</f>
        <v/>
      </c>
      <c r="J733" s="59"/>
      <c r="K733" s="61">
        <f>IF(OR(J733="",I733=""),"",J733-I733)</f>
        <v/>
      </c>
      <c r="L733" s="61">
        <f>IF(OR(J733="",G733=""),"",J733-G733)</f>
        <v/>
      </c>
      <c r="M733" s="59"/>
      <c r="N733" s="59"/>
      <c r="O733" s="59"/>
      <c r="P733" s="59"/>
      <c r="Q733" s="59"/>
      <c r="R733" s="60">
        <f>IF(AND(P733="",Q733=""),"",N(P733)+N(Q733))</f>
        <v/>
      </c>
      <c r="S733" s="59"/>
      <c r="T733" s="59"/>
      <c r="U733" s="62">
        <f>IF(OR(R733="",S733="",T733=""),"",IF(S733+T733=0,"",R733/(S733+T733)))</f>
        <v/>
      </c>
      <c r="V733" s="63"/>
      <c r="W733" s="64"/>
      <c r="X733" s="63"/>
    </row>
    <row r="734" spans="2:24">
      <c r="B734" s="58"/>
      <c r="C734" s="59"/>
      <c r="D734" s="59"/>
      <c r="E734" s="59"/>
      <c r="F734" s="59"/>
      <c r="G734" s="60">
        <f>IF(OR(E734="",F734="",C734="",D734=""),"",IF(C734+D734=0,"",(E734*C734+F734*D734)/(C734+D734)))</f>
        <v/>
      </c>
      <c r="H734" s="59"/>
      <c r="I734" s="60">
        <f>IF(OR(H734="",E734="",C734="",D734=""),"",IF(C734+D734=0,"",(H734*D734+E734*C734)/(C734+D734)))</f>
        <v/>
      </c>
      <c r="J734" s="59"/>
      <c r="K734" s="61">
        <f>IF(OR(J734="",I734=""),"",J734-I734)</f>
        <v/>
      </c>
      <c r="L734" s="61">
        <f>IF(OR(J734="",G734=""),"",J734-G734)</f>
        <v/>
      </c>
      <c r="M734" s="59"/>
      <c r="N734" s="59"/>
      <c r="O734" s="59"/>
      <c r="P734" s="59"/>
      <c r="Q734" s="59"/>
      <c r="R734" s="60">
        <f>IF(AND(P734="",Q734=""),"",N(P734)+N(Q734))</f>
        <v/>
      </c>
      <c r="S734" s="59"/>
      <c r="T734" s="59"/>
      <c r="U734" s="62">
        <f>IF(OR(R734="",S734="",T734=""),"",IF(S734+T734=0,"",R734/(S734+T734)))</f>
        <v/>
      </c>
      <c r="V734" s="63"/>
      <c r="W734" s="64"/>
      <c r="X734" s="63"/>
    </row>
    <row r="735" spans="2:24">
      <c r="B735" s="58"/>
      <c r="C735" s="59"/>
      <c r="D735" s="59"/>
      <c r="E735" s="59"/>
      <c r="F735" s="59"/>
      <c r="G735" s="60">
        <f>IF(OR(E735="",F735="",C735="",D735=""),"",IF(C735+D735=0,"",(E735*C735+F735*D735)/(C735+D735)))</f>
        <v/>
      </c>
      <c r="H735" s="59"/>
      <c r="I735" s="60">
        <f>IF(OR(H735="",E735="",C735="",D735=""),"",IF(C735+D735=0,"",(H735*D735+E735*C735)/(C735+D735)))</f>
        <v/>
      </c>
      <c r="J735" s="59"/>
      <c r="K735" s="61">
        <f>IF(OR(J735="",I735=""),"",J735-I735)</f>
        <v/>
      </c>
      <c r="L735" s="61">
        <f>IF(OR(J735="",G735=""),"",J735-G735)</f>
        <v/>
      </c>
      <c r="M735" s="59"/>
      <c r="N735" s="59"/>
      <c r="O735" s="59"/>
      <c r="P735" s="59"/>
      <c r="Q735" s="59"/>
      <c r="R735" s="60">
        <f>IF(AND(P735="",Q735=""),"",N(P735)+N(Q735))</f>
        <v/>
      </c>
      <c r="S735" s="59"/>
      <c r="T735" s="59"/>
      <c r="U735" s="62">
        <f>IF(OR(R735="",S735="",T735=""),"",IF(S735+T735=0,"",R735/(S735+T735)))</f>
        <v/>
      </c>
      <c r="V735" s="63"/>
      <c r="W735" s="64"/>
      <c r="X735" s="63"/>
    </row>
    <row r="736" spans="2:24">
      <c r="B736" s="58"/>
      <c r="C736" s="59"/>
      <c r="D736" s="59"/>
      <c r="E736" s="59"/>
      <c r="F736" s="59"/>
      <c r="G736" s="60">
        <f>IF(OR(E736="",F736="",C736="",D736=""),"",IF(C736+D736=0,"",(E736*C736+F736*D736)/(C736+D736)))</f>
        <v/>
      </c>
      <c r="H736" s="59"/>
      <c r="I736" s="60">
        <f>IF(OR(H736="",E736="",C736="",D736=""),"",IF(C736+D736=0,"",(H736*D736+E736*C736)/(C736+D736)))</f>
        <v/>
      </c>
      <c r="J736" s="59"/>
      <c r="K736" s="61">
        <f>IF(OR(J736="",I736=""),"",J736-I736)</f>
        <v/>
      </c>
      <c r="L736" s="61">
        <f>IF(OR(J736="",G736=""),"",J736-G736)</f>
        <v/>
      </c>
      <c r="M736" s="59"/>
      <c r="N736" s="59"/>
      <c r="O736" s="59"/>
      <c r="P736" s="59"/>
      <c r="Q736" s="59"/>
      <c r="R736" s="60">
        <f>IF(AND(P736="",Q736=""),"",N(P736)+N(Q736))</f>
        <v/>
      </c>
      <c r="S736" s="59"/>
      <c r="T736" s="59"/>
      <c r="U736" s="62">
        <f>IF(OR(R736="",S736="",T736=""),"",IF(S736+T736=0,"",R736/(S736+T736)))</f>
        <v/>
      </c>
      <c r="V736" s="63"/>
      <c r="W736" s="64"/>
      <c r="X736" s="63"/>
    </row>
    <row r="737" spans="2:24">
      <c r="B737" s="58"/>
      <c r="C737" s="59"/>
      <c r="D737" s="59"/>
      <c r="E737" s="59"/>
      <c r="F737" s="59"/>
      <c r="G737" s="60">
        <f>IF(OR(E737="",F737="",C737="",D737=""),"",IF(C737+D737=0,"",(E737*C737+F737*D737)/(C737+D737)))</f>
        <v/>
      </c>
      <c r="H737" s="59"/>
      <c r="I737" s="60">
        <f>IF(OR(H737="",E737="",C737="",D737=""),"",IF(C737+D737=0,"",(H737*D737+E737*C737)/(C737+D737)))</f>
        <v/>
      </c>
      <c r="J737" s="59"/>
      <c r="K737" s="61">
        <f>IF(OR(J737="",I737=""),"",J737-I737)</f>
        <v/>
      </c>
      <c r="L737" s="61">
        <f>IF(OR(J737="",G737=""),"",J737-G737)</f>
        <v/>
      </c>
      <c r="M737" s="59"/>
      <c r="N737" s="59"/>
      <c r="O737" s="59"/>
      <c r="P737" s="59"/>
      <c r="Q737" s="59"/>
      <c r="R737" s="60">
        <f>IF(AND(P737="",Q737=""),"",N(P737)+N(Q737))</f>
        <v/>
      </c>
      <c r="S737" s="59"/>
      <c r="T737" s="59"/>
      <c r="U737" s="62">
        <f>IF(OR(R737="",S737="",T737=""),"",IF(S737+T737=0,"",R737/(S737+T737)))</f>
        <v/>
      </c>
      <c r="V737" s="63"/>
      <c r="W737" s="64"/>
      <c r="X737" s="63"/>
    </row>
    <row r="738" spans="2:24">
      <c r="B738" s="58"/>
      <c r="C738" s="59"/>
      <c r="D738" s="59"/>
      <c r="E738" s="59"/>
      <c r="F738" s="59"/>
      <c r="G738" s="60">
        <f>IF(OR(E738="",F738="",C738="",D738=""),"",IF(C738+D738=0,"",(E738*C738+F738*D738)/(C738+D738)))</f>
        <v/>
      </c>
      <c r="H738" s="59"/>
      <c r="I738" s="60">
        <f>IF(OR(H738="",E738="",C738="",D738=""),"",IF(C738+D738=0,"",(H738*D738+E738*C738)/(C738+D738)))</f>
        <v/>
      </c>
      <c r="J738" s="59"/>
      <c r="K738" s="61">
        <f>IF(OR(J738="",I738=""),"",J738-I738)</f>
        <v/>
      </c>
      <c r="L738" s="61">
        <f>IF(OR(J738="",G738=""),"",J738-G738)</f>
        <v/>
      </c>
      <c r="M738" s="59"/>
      <c r="N738" s="59"/>
      <c r="O738" s="59"/>
      <c r="P738" s="59"/>
      <c r="Q738" s="59"/>
      <c r="R738" s="60">
        <f>IF(AND(P738="",Q738=""),"",N(P738)+N(Q738))</f>
        <v/>
      </c>
      <c r="S738" s="59"/>
      <c r="T738" s="59"/>
      <c r="U738" s="62">
        <f>IF(OR(R738="",S738="",T738=""),"",IF(S738+T738=0,"",R738/(S738+T738)))</f>
        <v/>
      </c>
      <c r="V738" s="63"/>
      <c r="W738" s="64"/>
      <c r="X738" s="63"/>
    </row>
    <row r="739" spans="2:24">
      <c r="B739" s="58"/>
      <c r="C739" s="59"/>
      <c r="D739" s="59"/>
      <c r="E739" s="59"/>
      <c r="F739" s="59"/>
      <c r="G739" s="60">
        <f>IF(OR(E739="",F739="",C739="",D739=""),"",IF(C739+D739=0,"",(E739*C739+F739*D739)/(C739+D739)))</f>
        <v/>
      </c>
      <c r="H739" s="59"/>
      <c r="I739" s="60">
        <f>IF(OR(H739="",E739="",C739="",D739=""),"",IF(C739+D739=0,"",(H739*D739+E739*C739)/(C739+D739)))</f>
        <v/>
      </c>
      <c r="J739" s="59"/>
      <c r="K739" s="61">
        <f>IF(OR(J739="",I739=""),"",J739-I739)</f>
        <v/>
      </c>
      <c r="L739" s="61">
        <f>IF(OR(J739="",G739=""),"",J739-G739)</f>
        <v/>
      </c>
      <c r="M739" s="59"/>
      <c r="N739" s="59"/>
      <c r="O739" s="59"/>
      <c r="P739" s="59"/>
      <c r="Q739" s="59"/>
      <c r="R739" s="60">
        <f>IF(AND(P739="",Q739=""),"",N(P739)+N(Q739))</f>
        <v/>
      </c>
      <c r="S739" s="59"/>
      <c r="T739" s="59"/>
      <c r="U739" s="62">
        <f>IF(OR(R739="",S739="",T739=""),"",IF(S739+T739=0,"",R739/(S739+T739)))</f>
        <v/>
      </c>
      <c r="V739" s="63"/>
      <c r="W739" s="64"/>
      <c r="X739" s="63"/>
    </row>
    <row r="740" spans="2:24">
      <c r="B740" s="58"/>
      <c r="C740" s="59"/>
      <c r="D740" s="59"/>
      <c r="E740" s="59"/>
      <c r="F740" s="59"/>
      <c r="G740" s="60">
        <f>IF(OR(E740="",F740="",C740="",D740=""),"",IF(C740+D740=0,"",(E740*C740+F740*D740)/(C740+D740)))</f>
        <v/>
      </c>
      <c r="H740" s="59"/>
      <c r="I740" s="60">
        <f>IF(OR(H740="",E740="",C740="",D740=""),"",IF(C740+D740=0,"",(H740*D740+E740*C740)/(C740+D740)))</f>
        <v/>
      </c>
      <c r="J740" s="59"/>
      <c r="K740" s="61">
        <f>IF(OR(J740="",I740=""),"",J740-I740)</f>
        <v/>
      </c>
      <c r="L740" s="61">
        <f>IF(OR(J740="",G740=""),"",J740-G740)</f>
        <v/>
      </c>
      <c r="M740" s="59"/>
      <c r="N740" s="59"/>
      <c r="O740" s="59"/>
      <c r="P740" s="59"/>
      <c r="Q740" s="59"/>
      <c r="R740" s="60">
        <f>IF(AND(P740="",Q740=""),"",N(P740)+N(Q740))</f>
        <v/>
      </c>
      <c r="S740" s="59"/>
      <c r="T740" s="59"/>
      <c r="U740" s="62">
        <f>IF(OR(R740="",S740="",T740=""),"",IF(S740+T740=0,"",R740/(S740+T740)))</f>
        <v/>
      </c>
      <c r="V740" s="63"/>
      <c r="W740" s="64"/>
      <c r="X740" s="63"/>
    </row>
    <row r="741" spans="2:24">
      <c r="B741" s="58"/>
      <c r="C741" s="59"/>
      <c r="D741" s="59"/>
      <c r="E741" s="59"/>
      <c r="F741" s="59"/>
      <c r="G741" s="60">
        <f>IF(OR(E741="",F741="",C741="",D741=""),"",IF(C741+D741=0,"",(E741*C741+F741*D741)/(C741+D741)))</f>
        <v/>
      </c>
      <c r="H741" s="59"/>
      <c r="I741" s="60">
        <f>IF(OR(H741="",E741="",C741="",D741=""),"",IF(C741+D741=0,"",(H741*D741+E741*C741)/(C741+D741)))</f>
        <v/>
      </c>
      <c r="J741" s="59"/>
      <c r="K741" s="61">
        <f>IF(OR(J741="",I741=""),"",J741-I741)</f>
        <v/>
      </c>
      <c r="L741" s="61">
        <f>IF(OR(J741="",G741=""),"",J741-G741)</f>
        <v/>
      </c>
      <c r="M741" s="59"/>
      <c r="N741" s="59"/>
      <c r="O741" s="59"/>
      <c r="P741" s="59"/>
      <c r="Q741" s="59"/>
      <c r="R741" s="60">
        <f>IF(AND(P741="",Q741=""),"",N(P741)+N(Q741))</f>
        <v/>
      </c>
      <c r="S741" s="59"/>
      <c r="T741" s="59"/>
      <c r="U741" s="62">
        <f>IF(OR(R741="",S741="",T741=""),"",IF(S741+T741=0,"",R741/(S741+T741)))</f>
        <v/>
      </c>
      <c r="V741" s="63"/>
      <c r="W741" s="64"/>
      <c r="X741" s="63"/>
    </row>
    <row r="742" spans="2:24">
      <c r="B742" s="58"/>
      <c r="C742" s="59"/>
      <c r="D742" s="59"/>
      <c r="E742" s="59"/>
      <c r="F742" s="59"/>
      <c r="G742" s="60">
        <f>IF(OR(E742="",F742="",C742="",D742=""),"",IF(C742+D742=0,"",(E742*C742+F742*D742)/(C742+D742)))</f>
        <v/>
      </c>
      <c r="H742" s="59"/>
      <c r="I742" s="60">
        <f>IF(OR(H742="",E742="",C742="",D742=""),"",IF(C742+D742=0,"",(H742*D742+E742*C742)/(C742+D742)))</f>
        <v/>
      </c>
      <c r="J742" s="59"/>
      <c r="K742" s="61">
        <f>IF(OR(J742="",I742=""),"",J742-I742)</f>
        <v/>
      </c>
      <c r="L742" s="61">
        <f>IF(OR(J742="",G742=""),"",J742-G742)</f>
        <v/>
      </c>
      <c r="M742" s="59"/>
      <c r="N742" s="59"/>
      <c r="O742" s="59"/>
      <c r="P742" s="59"/>
      <c r="Q742" s="59"/>
      <c r="R742" s="60">
        <f>IF(AND(P742="",Q742=""),"",N(P742)+N(Q742))</f>
        <v/>
      </c>
      <c r="S742" s="59"/>
      <c r="T742" s="59"/>
      <c r="U742" s="62">
        <f>IF(OR(R742="",S742="",T742=""),"",IF(S742+T742=0,"",R742/(S742+T742)))</f>
        <v/>
      </c>
      <c r="V742" s="63"/>
      <c r="W742" s="64"/>
      <c r="X742" s="63"/>
    </row>
    <row r="743" spans="2:24">
      <c r="B743" s="58"/>
      <c r="C743" s="59"/>
      <c r="D743" s="59"/>
      <c r="E743" s="59"/>
      <c r="F743" s="59"/>
      <c r="G743" s="60">
        <f>IF(OR(E743="",F743="",C743="",D743=""),"",IF(C743+D743=0,"",(E743*C743+F743*D743)/(C743+D743)))</f>
        <v/>
      </c>
      <c r="H743" s="59"/>
      <c r="I743" s="60">
        <f>IF(OR(H743="",E743="",C743="",D743=""),"",IF(C743+D743=0,"",(H743*D743+E743*C743)/(C743+D743)))</f>
        <v/>
      </c>
      <c r="J743" s="59"/>
      <c r="K743" s="61">
        <f>IF(OR(J743="",I743=""),"",J743-I743)</f>
        <v/>
      </c>
      <c r="L743" s="61">
        <f>IF(OR(J743="",G743=""),"",J743-G743)</f>
        <v/>
      </c>
      <c r="M743" s="59"/>
      <c r="N743" s="59"/>
      <c r="O743" s="59"/>
      <c r="P743" s="59"/>
      <c r="Q743" s="59"/>
      <c r="R743" s="60">
        <f>IF(AND(P743="",Q743=""),"",N(P743)+N(Q743))</f>
        <v/>
      </c>
      <c r="S743" s="59"/>
      <c r="T743" s="59"/>
      <c r="U743" s="62">
        <f>IF(OR(R743="",S743="",T743=""),"",IF(S743+T743=0,"",R743/(S743+T743)))</f>
        <v/>
      </c>
      <c r="V743" s="63"/>
      <c r="W743" s="64"/>
      <c r="X743" s="63"/>
    </row>
    <row r="744" spans="2:24">
      <c r="B744" s="58"/>
      <c r="C744" s="59"/>
      <c r="D744" s="59"/>
      <c r="E744" s="59"/>
      <c r="F744" s="59"/>
      <c r="G744" s="60">
        <f>IF(OR(E744="",F744="",C744="",D744=""),"",IF(C744+D744=0,"",(E744*C744+F744*D744)/(C744+D744)))</f>
        <v/>
      </c>
      <c r="H744" s="59"/>
      <c r="I744" s="60">
        <f>IF(OR(H744="",E744="",C744="",D744=""),"",IF(C744+D744=0,"",(H744*D744+E744*C744)/(C744+D744)))</f>
        <v/>
      </c>
      <c r="J744" s="59"/>
      <c r="K744" s="61">
        <f>IF(OR(J744="",I744=""),"",J744-I744)</f>
        <v/>
      </c>
      <c r="L744" s="61">
        <f>IF(OR(J744="",G744=""),"",J744-G744)</f>
        <v/>
      </c>
      <c r="M744" s="59"/>
      <c r="N744" s="59"/>
      <c r="O744" s="59"/>
      <c r="P744" s="59"/>
      <c r="Q744" s="59"/>
      <c r="R744" s="60">
        <f>IF(AND(P744="",Q744=""),"",N(P744)+N(Q744))</f>
        <v/>
      </c>
      <c r="S744" s="59"/>
      <c r="T744" s="59"/>
      <c r="U744" s="62">
        <f>IF(OR(R744="",S744="",T744=""),"",IF(S744+T744=0,"",R744/(S744+T744)))</f>
        <v/>
      </c>
      <c r="V744" s="63"/>
      <c r="W744" s="64"/>
      <c r="X744" s="63"/>
    </row>
    <row r="745" spans="2:24">
      <c r="B745" s="58"/>
      <c r="C745" s="59"/>
      <c r="D745" s="59"/>
      <c r="E745" s="59"/>
      <c r="F745" s="59"/>
      <c r="G745" s="60">
        <f>IF(OR(E745="",F745="",C745="",D745=""),"",IF(C745+D745=0,"",(E745*C745+F745*D745)/(C745+D745)))</f>
        <v/>
      </c>
      <c r="H745" s="59"/>
      <c r="I745" s="60">
        <f>IF(OR(H745="",E745="",C745="",D745=""),"",IF(C745+D745=0,"",(H745*D745+E745*C745)/(C745+D745)))</f>
        <v/>
      </c>
      <c r="J745" s="59"/>
      <c r="K745" s="61">
        <f>IF(OR(J745="",I745=""),"",J745-I745)</f>
        <v/>
      </c>
      <c r="L745" s="61">
        <f>IF(OR(J745="",G745=""),"",J745-G745)</f>
        <v/>
      </c>
      <c r="M745" s="59"/>
      <c r="N745" s="59"/>
      <c r="O745" s="59"/>
      <c r="P745" s="59"/>
      <c r="Q745" s="59"/>
      <c r="R745" s="60">
        <f>IF(AND(P745="",Q745=""),"",N(P745)+N(Q745))</f>
        <v/>
      </c>
      <c r="S745" s="59"/>
      <c r="T745" s="59"/>
      <c r="U745" s="62">
        <f>IF(OR(R745="",S745="",T745=""),"",IF(S745+T745=0,"",R745/(S745+T745)))</f>
        <v/>
      </c>
      <c r="V745" s="63"/>
      <c r="W745" s="64"/>
      <c r="X745" s="63"/>
    </row>
    <row r="746" spans="2:24">
      <c r="B746" s="58"/>
      <c r="C746" s="59"/>
      <c r="D746" s="59"/>
      <c r="E746" s="59"/>
      <c r="F746" s="59"/>
      <c r="G746" s="60">
        <f>IF(OR(E746="",F746="",C746="",D746=""),"",IF(C746+D746=0,"",(E746*C746+F746*D746)/(C746+D746)))</f>
        <v/>
      </c>
      <c r="H746" s="59"/>
      <c r="I746" s="60">
        <f>IF(OR(H746="",E746="",C746="",D746=""),"",IF(C746+D746=0,"",(H746*D746+E746*C746)/(C746+D746)))</f>
        <v/>
      </c>
      <c r="J746" s="59"/>
      <c r="K746" s="61">
        <f>IF(OR(J746="",I746=""),"",J746-I746)</f>
        <v/>
      </c>
      <c r="L746" s="61">
        <f>IF(OR(J746="",G746=""),"",J746-G746)</f>
        <v/>
      </c>
      <c r="M746" s="59"/>
      <c r="N746" s="59"/>
      <c r="O746" s="59"/>
      <c r="P746" s="59"/>
      <c r="Q746" s="59"/>
      <c r="R746" s="60">
        <f>IF(AND(P746="",Q746=""),"",N(P746)+N(Q746))</f>
        <v/>
      </c>
      <c r="S746" s="59"/>
      <c r="T746" s="59"/>
      <c r="U746" s="62">
        <f>IF(OR(R746="",S746="",T746=""),"",IF(S746+T746=0,"",R746/(S746+T746)))</f>
        <v/>
      </c>
      <c r="V746" s="63"/>
      <c r="W746" s="64"/>
      <c r="X746" s="63"/>
    </row>
    <row r="747" spans="2:24">
      <c r="B747" s="58"/>
      <c r="C747" s="59"/>
      <c r="D747" s="59"/>
      <c r="E747" s="59"/>
      <c r="F747" s="59"/>
      <c r="G747" s="60">
        <f>IF(OR(E747="",F747="",C747="",D747=""),"",IF(C747+D747=0,"",(E747*C747+F747*D747)/(C747+D747)))</f>
        <v/>
      </c>
      <c r="H747" s="59"/>
      <c r="I747" s="60">
        <f>IF(OR(H747="",E747="",C747="",D747=""),"",IF(C747+D747=0,"",(H747*D747+E747*C747)/(C747+D747)))</f>
        <v/>
      </c>
      <c r="J747" s="59"/>
      <c r="K747" s="61">
        <f>IF(OR(J747="",I747=""),"",J747-I747)</f>
        <v/>
      </c>
      <c r="L747" s="61">
        <f>IF(OR(J747="",G747=""),"",J747-G747)</f>
        <v/>
      </c>
      <c r="M747" s="59"/>
      <c r="N747" s="59"/>
      <c r="O747" s="59"/>
      <c r="P747" s="59"/>
      <c r="Q747" s="59"/>
      <c r="R747" s="60">
        <f>IF(AND(P747="",Q747=""),"",N(P747)+N(Q747))</f>
        <v/>
      </c>
      <c r="S747" s="59"/>
      <c r="T747" s="59"/>
      <c r="U747" s="62">
        <f>IF(OR(R747="",S747="",T747=""),"",IF(S747+T747=0,"",R747/(S747+T747)))</f>
        <v/>
      </c>
      <c r="V747" s="63"/>
      <c r="W747" s="64"/>
      <c r="X747" s="63"/>
    </row>
    <row r="748" spans="2:24">
      <c r="B748" s="58"/>
      <c r="C748" s="59"/>
      <c r="D748" s="59"/>
      <c r="E748" s="59"/>
      <c r="F748" s="59"/>
      <c r="G748" s="60">
        <f>IF(OR(E748="",F748="",C748="",D748=""),"",IF(C748+D748=0,"",(E748*C748+F748*D748)/(C748+D748)))</f>
        <v/>
      </c>
      <c r="H748" s="59"/>
      <c r="I748" s="60">
        <f>IF(OR(H748="",E748="",C748="",D748=""),"",IF(C748+D748=0,"",(H748*D748+E748*C748)/(C748+D748)))</f>
        <v/>
      </c>
      <c r="J748" s="59"/>
      <c r="K748" s="61">
        <f>IF(OR(J748="",I748=""),"",J748-I748)</f>
        <v/>
      </c>
      <c r="L748" s="61">
        <f>IF(OR(J748="",G748=""),"",J748-G748)</f>
        <v/>
      </c>
      <c r="M748" s="59"/>
      <c r="N748" s="59"/>
      <c r="O748" s="59"/>
      <c r="P748" s="59"/>
      <c r="Q748" s="59"/>
      <c r="R748" s="60">
        <f>IF(AND(P748="",Q748=""),"",N(P748)+N(Q748))</f>
        <v/>
      </c>
      <c r="S748" s="59"/>
      <c r="T748" s="59"/>
      <c r="U748" s="62">
        <f>IF(OR(R748="",S748="",T748=""),"",IF(S748+T748=0,"",R748/(S748+T748)))</f>
        <v/>
      </c>
      <c r="V748" s="63"/>
      <c r="W748" s="64"/>
      <c r="X748" s="63"/>
    </row>
    <row r="749" spans="2:24">
      <c r="B749" s="58"/>
      <c r="C749" s="59"/>
      <c r="D749" s="59"/>
      <c r="E749" s="59"/>
      <c r="F749" s="59"/>
      <c r="G749" s="60">
        <f>IF(OR(E749="",F749="",C749="",D749=""),"",IF(C749+D749=0,"",(E749*C749+F749*D749)/(C749+D749)))</f>
        <v/>
      </c>
      <c r="H749" s="59"/>
      <c r="I749" s="60">
        <f>IF(OR(H749="",E749="",C749="",D749=""),"",IF(C749+D749=0,"",(H749*D749+E749*C749)/(C749+D749)))</f>
        <v/>
      </c>
      <c r="J749" s="59"/>
      <c r="K749" s="61">
        <f>IF(OR(J749="",I749=""),"",J749-I749)</f>
        <v/>
      </c>
      <c r="L749" s="61">
        <f>IF(OR(J749="",G749=""),"",J749-G749)</f>
        <v/>
      </c>
      <c r="M749" s="59"/>
      <c r="N749" s="59"/>
      <c r="O749" s="59"/>
      <c r="P749" s="59"/>
      <c r="Q749" s="59"/>
      <c r="R749" s="60">
        <f>IF(AND(P749="",Q749=""),"",N(P749)+N(Q749))</f>
        <v/>
      </c>
      <c r="S749" s="59"/>
      <c r="T749" s="59"/>
      <c r="U749" s="62">
        <f>IF(OR(R749="",S749="",T749=""),"",IF(S749+T749=0,"",R749/(S749+T749)))</f>
        <v/>
      </c>
      <c r="V749" s="63"/>
      <c r="W749" s="64"/>
      <c r="X749" s="63"/>
    </row>
    <row r="750" spans="2:24">
      <c r="B750" s="58"/>
      <c r="C750" s="59"/>
      <c r="D750" s="59"/>
      <c r="E750" s="59"/>
      <c r="F750" s="59"/>
      <c r="G750" s="60">
        <f>IF(OR(E750="",F750="",C750="",D750=""),"",IF(C750+D750=0,"",(E750*C750+F750*D750)/(C750+D750)))</f>
        <v/>
      </c>
      <c r="H750" s="59"/>
      <c r="I750" s="60">
        <f>IF(OR(H750="",E750="",C750="",D750=""),"",IF(C750+D750=0,"",(H750*D750+E750*C750)/(C750+D750)))</f>
        <v/>
      </c>
      <c r="J750" s="59"/>
      <c r="K750" s="61">
        <f>IF(OR(J750="",I750=""),"",J750-I750)</f>
        <v/>
      </c>
      <c r="L750" s="61">
        <f>IF(OR(J750="",G750=""),"",J750-G750)</f>
        <v/>
      </c>
      <c r="M750" s="59"/>
      <c r="N750" s="59"/>
      <c r="O750" s="59"/>
      <c r="P750" s="59"/>
      <c r="Q750" s="59"/>
      <c r="R750" s="60">
        <f>IF(AND(P750="",Q750=""),"",N(P750)+N(Q750))</f>
        <v/>
      </c>
      <c r="S750" s="59"/>
      <c r="T750" s="59"/>
      <c r="U750" s="62">
        <f>IF(OR(R750="",S750="",T750=""),"",IF(S750+T750=0,"",R750/(S750+T750)))</f>
        <v/>
      </c>
      <c r="V750" s="63"/>
      <c r="W750" s="64"/>
      <c r="X750" s="63"/>
    </row>
    <row r="751" spans="2:24">
      <c r="B751" s="58"/>
      <c r="C751" s="59"/>
      <c r="D751" s="59"/>
      <c r="E751" s="59"/>
      <c r="F751" s="59"/>
      <c r="G751" s="60">
        <f>IF(OR(E751="",F751="",C751="",D751=""),"",IF(C751+D751=0,"",(E751*C751+F751*D751)/(C751+D751)))</f>
        <v/>
      </c>
      <c r="H751" s="59"/>
      <c r="I751" s="60">
        <f>IF(OR(H751="",E751="",C751="",D751=""),"",IF(C751+D751=0,"",(H751*D751+E751*C751)/(C751+D751)))</f>
        <v/>
      </c>
      <c r="J751" s="59"/>
      <c r="K751" s="61">
        <f>IF(OR(J751="",I751=""),"",J751-I751)</f>
        <v/>
      </c>
      <c r="L751" s="61">
        <f>IF(OR(J751="",G751=""),"",J751-G751)</f>
        <v/>
      </c>
      <c r="M751" s="59"/>
      <c r="N751" s="59"/>
      <c r="O751" s="59"/>
      <c r="P751" s="59"/>
      <c r="Q751" s="59"/>
      <c r="R751" s="60">
        <f>IF(AND(P751="",Q751=""),"",N(P751)+N(Q751))</f>
        <v/>
      </c>
      <c r="S751" s="59"/>
      <c r="T751" s="59"/>
      <c r="U751" s="62">
        <f>IF(OR(R751="",S751="",T751=""),"",IF(S751+T751=0,"",R751/(S751+T751)))</f>
        <v/>
      </c>
      <c r="V751" s="63"/>
      <c r="W751" s="64"/>
      <c r="X751" s="63"/>
    </row>
    <row r="752" spans="2:24">
      <c r="B752" s="58"/>
      <c r="C752" s="59"/>
      <c r="D752" s="59"/>
      <c r="E752" s="59"/>
      <c r="F752" s="59"/>
      <c r="G752" s="60">
        <f>IF(OR(E752="",F752="",C752="",D752=""),"",IF(C752+D752=0,"",(E752*C752+F752*D752)/(C752+D752)))</f>
        <v/>
      </c>
      <c r="H752" s="59"/>
      <c r="I752" s="60">
        <f>IF(OR(H752="",E752="",C752="",D752=""),"",IF(C752+D752=0,"",(H752*D752+E752*C752)/(C752+D752)))</f>
        <v/>
      </c>
      <c r="J752" s="59"/>
      <c r="K752" s="61">
        <f>IF(OR(J752="",I752=""),"",J752-I752)</f>
        <v/>
      </c>
      <c r="L752" s="61">
        <f>IF(OR(J752="",G752=""),"",J752-G752)</f>
        <v/>
      </c>
      <c r="M752" s="59"/>
      <c r="N752" s="59"/>
      <c r="O752" s="59"/>
      <c r="P752" s="59"/>
      <c r="Q752" s="59"/>
      <c r="R752" s="60">
        <f>IF(AND(P752="",Q752=""),"",N(P752)+N(Q752))</f>
        <v/>
      </c>
      <c r="S752" s="59"/>
      <c r="T752" s="59"/>
      <c r="U752" s="62">
        <f>IF(OR(R752="",S752="",T752=""),"",IF(S752+T752=0,"",R752/(S752+T752)))</f>
        <v/>
      </c>
      <c r="V752" s="63"/>
      <c r="W752" s="64"/>
      <c r="X752" s="63"/>
    </row>
    <row r="753" spans="2:24">
      <c r="B753" s="58"/>
      <c r="C753" s="59"/>
      <c r="D753" s="59"/>
      <c r="E753" s="59"/>
      <c r="F753" s="59"/>
      <c r="G753" s="60">
        <f>IF(OR(E753="",F753="",C753="",D753=""),"",IF(C753+D753=0,"",(E753*C753+F753*D753)/(C753+D753)))</f>
        <v/>
      </c>
      <c r="H753" s="59"/>
      <c r="I753" s="60">
        <f>IF(OR(H753="",E753="",C753="",D753=""),"",IF(C753+D753=0,"",(H753*D753+E753*C753)/(C753+D753)))</f>
        <v/>
      </c>
      <c r="J753" s="59"/>
      <c r="K753" s="61">
        <f>IF(OR(J753="",I753=""),"",J753-I753)</f>
        <v/>
      </c>
      <c r="L753" s="61">
        <f>IF(OR(J753="",G753=""),"",J753-G753)</f>
        <v/>
      </c>
      <c r="M753" s="59"/>
      <c r="N753" s="59"/>
      <c r="O753" s="59"/>
      <c r="P753" s="59"/>
      <c r="Q753" s="59"/>
      <c r="R753" s="60">
        <f>IF(AND(P753="",Q753=""),"",N(P753)+N(Q753))</f>
        <v/>
      </c>
      <c r="S753" s="59"/>
      <c r="T753" s="59"/>
      <c r="U753" s="62">
        <f>IF(OR(R753="",S753="",T753=""),"",IF(S753+T753=0,"",R753/(S753+T753)))</f>
        <v/>
      </c>
      <c r="V753" s="63"/>
      <c r="W753" s="64"/>
      <c r="X753" s="63"/>
    </row>
    <row r="754" spans="2:24">
      <c r="B754" s="58"/>
      <c r="C754" s="59"/>
      <c r="D754" s="59"/>
      <c r="E754" s="59"/>
      <c r="F754" s="59"/>
      <c r="G754" s="60">
        <f>IF(OR(E754="",F754="",C754="",D754=""),"",IF(C754+D754=0,"",(E754*C754+F754*D754)/(C754+D754)))</f>
        <v/>
      </c>
      <c r="H754" s="59"/>
      <c r="I754" s="60">
        <f>IF(OR(H754="",E754="",C754="",D754=""),"",IF(C754+D754=0,"",(H754*D754+E754*C754)/(C754+D754)))</f>
        <v/>
      </c>
      <c r="J754" s="59"/>
      <c r="K754" s="61">
        <f>IF(OR(J754="",I754=""),"",J754-I754)</f>
        <v/>
      </c>
      <c r="L754" s="61">
        <f>IF(OR(J754="",G754=""),"",J754-G754)</f>
        <v/>
      </c>
      <c r="M754" s="59"/>
      <c r="N754" s="59"/>
      <c r="O754" s="59"/>
      <c r="P754" s="59"/>
      <c r="Q754" s="59"/>
      <c r="R754" s="60">
        <f>IF(AND(P754="",Q754=""),"",N(P754)+N(Q754))</f>
        <v/>
      </c>
      <c r="S754" s="59"/>
      <c r="T754" s="59"/>
      <c r="U754" s="62">
        <f>IF(OR(R754="",S754="",T754=""),"",IF(S754+T754=0,"",R754/(S754+T754)))</f>
        <v/>
      </c>
      <c r="V754" s="63"/>
      <c r="W754" s="64"/>
      <c r="X754" s="63"/>
    </row>
    <row r="755" spans="2:24">
      <c r="B755" s="58"/>
      <c r="C755" s="59"/>
      <c r="D755" s="59"/>
      <c r="E755" s="59"/>
      <c r="F755" s="59"/>
      <c r="G755" s="60">
        <f>IF(OR(E755="",F755="",C755="",D755=""),"",IF(C755+D755=0,"",(E755*C755+F755*D755)/(C755+D755)))</f>
        <v/>
      </c>
      <c r="H755" s="59"/>
      <c r="I755" s="60">
        <f>IF(OR(H755="",E755="",C755="",D755=""),"",IF(C755+D755=0,"",(H755*D755+E755*C755)/(C755+D755)))</f>
        <v/>
      </c>
      <c r="J755" s="59"/>
      <c r="K755" s="61">
        <f>IF(OR(J755="",I755=""),"",J755-I755)</f>
        <v/>
      </c>
      <c r="L755" s="61">
        <f>IF(OR(J755="",G755=""),"",J755-G755)</f>
        <v/>
      </c>
      <c r="M755" s="59"/>
      <c r="N755" s="59"/>
      <c r="O755" s="59"/>
      <c r="P755" s="59"/>
      <c r="Q755" s="59"/>
      <c r="R755" s="60">
        <f>IF(AND(P755="",Q755=""),"",N(P755)+N(Q755))</f>
        <v/>
      </c>
      <c r="S755" s="59"/>
      <c r="T755" s="59"/>
      <c r="U755" s="62">
        <f>IF(OR(R755="",S755="",T755=""),"",IF(S755+T755=0,"",R755/(S755+T755)))</f>
        <v/>
      </c>
      <c r="V755" s="63"/>
      <c r="W755" s="64"/>
      <c r="X755" s="63"/>
    </row>
    <row r="756" spans="2:24">
      <c r="B756" s="58"/>
      <c r="C756" s="59"/>
      <c r="D756" s="59"/>
      <c r="E756" s="59"/>
      <c r="F756" s="59"/>
      <c r="G756" s="60">
        <f>IF(OR(E756="",F756="",C756="",D756=""),"",IF(C756+D756=0,"",(E756*C756+F756*D756)/(C756+D756)))</f>
        <v/>
      </c>
      <c r="H756" s="59"/>
      <c r="I756" s="60">
        <f>IF(OR(H756="",E756="",C756="",D756=""),"",IF(C756+D756=0,"",(H756*D756+E756*C756)/(C756+D756)))</f>
        <v/>
      </c>
      <c r="J756" s="59"/>
      <c r="K756" s="61">
        <f>IF(OR(J756="",I756=""),"",J756-I756)</f>
        <v/>
      </c>
      <c r="L756" s="61">
        <f>IF(OR(J756="",G756=""),"",J756-G756)</f>
        <v/>
      </c>
      <c r="M756" s="59"/>
      <c r="N756" s="59"/>
      <c r="O756" s="59"/>
      <c r="P756" s="59"/>
      <c r="Q756" s="59"/>
      <c r="R756" s="60">
        <f>IF(AND(P756="",Q756=""),"",N(P756)+N(Q756))</f>
        <v/>
      </c>
      <c r="S756" s="59"/>
      <c r="T756" s="59"/>
      <c r="U756" s="62">
        <f>IF(OR(R756="",S756="",T756=""),"",IF(S756+T756=0,"",R756/(S756+T756)))</f>
        <v/>
      </c>
      <c r="V756" s="63"/>
      <c r="W756" s="64"/>
      <c r="X756" s="63"/>
    </row>
    <row r="757" spans="2:24">
      <c r="B757" s="58"/>
      <c r="C757" s="59"/>
      <c r="D757" s="59"/>
      <c r="E757" s="59"/>
      <c r="F757" s="59"/>
      <c r="G757" s="60">
        <f>IF(OR(E757="",F757="",C757="",D757=""),"",IF(C757+D757=0,"",(E757*C757+F757*D757)/(C757+D757)))</f>
        <v/>
      </c>
      <c r="H757" s="59"/>
      <c r="I757" s="60">
        <f>IF(OR(H757="",E757="",C757="",D757=""),"",IF(C757+D757=0,"",(H757*D757+E757*C757)/(C757+D757)))</f>
        <v/>
      </c>
      <c r="J757" s="59"/>
      <c r="K757" s="61">
        <f>IF(OR(J757="",I757=""),"",J757-I757)</f>
        <v/>
      </c>
      <c r="L757" s="61">
        <f>IF(OR(J757="",G757=""),"",J757-G757)</f>
        <v/>
      </c>
      <c r="M757" s="59"/>
      <c r="N757" s="59"/>
      <c r="O757" s="59"/>
      <c r="P757" s="59"/>
      <c r="Q757" s="59"/>
      <c r="R757" s="60">
        <f>IF(AND(P757="",Q757=""),"",N(P757)+N(Q757))</f>
        <v/>
      </c>
      <c r="S757" s="59"/>
      <c r="T757" s="59"/>
      <c r="U757" s="62">
        <f>IF(OR(R757="",S757="",T757=""),"",IF(S757+T757=0,"",R757/(S757+T757)))</f>
        <v/>
      </c>
      <c r="V757" s="63"/>
      <c r="W757" s="64"/>
      <c r="X757" s="63"/>
    </row>
    <row r="758" spans="2:24">
      <c r="B758" s="58"/>
      <c r="C758" s="59"/>
      <c r="D758" s="59"/>
      <c r="E758" s="59"/>
      <c r="F758" s="59"/>
      <c r="G758" s="60">
        <f>IF(OR(E758="",F758="",C758="",D758=""),"",IF(C758+D758=0,"",(E758*C758+F758*D758)/(C758+D758)))</f>
        <v/>
      </c>
      <c r="H758" s="59"/>
      <c r="I758" s="60">
        <f>IF(OR(H758="",E758="",C758="",D758=""),"",IF(C758+D758=0,"",(H758*D758+E758*C758)/(C758+D758)))</f>
        <v/>
      </c>
      <c r="J758" s="59"/>
      <c r="K758" s="61">
        <f>IF(OR(J758="",I758=""),"",J758-I758)</f>
        <v/>
      </c>
      <c r="L758" s="61">
        <f>IF(OR(J758="",G758=""),"",J758-G758)</f>
        <v/>
      </c>
      <c r="M758" s="59"/>
      <c r="N758" s="59"/>
      <c r="O758" s="59"/>
      <c r="P758" s="59"/>
      <c r="Q758" s="59"/>
      <c r="R758" s="60">
        <f>IF(AND(P758="",Q758=""),"",N(P758)+N(Q758))</f>
        <v/>
      </c>
      <c r="S758" s="59"/>
      <c r="T758" s="59"/>
      <c r="U758" s="62">
        <f>IF(OR(R758="",S758="",T758=""),"",IF(S758+T758=0,"",R758/(S758+T758)))</f>
        <v/>
      </c>
      <c r="V758" s="63"/>
      <c r="W758" s="64"/>
      <c r="X758" s="63"/>
    </row>
    <row r="759" spans="2:24">
      <c r="B759" s="58"/>
      <c r="C759" s="59"/>
      <c r="D759" s="59"/>
      <c r="E759" s="59"/>
      <c r="F759" s="59"/>
      <c r="G759" s="60">
        <f>IF(OR(E759="",F759="",C759="",D759=""),"",IF(C759+D759=0,"",(E759*C759+F759*D759)/(C759+D759)))</f>
        <v/>
      </c>
      <c r="H759" s="59"/>
      <c r="I759" s="60">
        <f>IF(OR(H759="",E759="",C759="",D759=""),"",IF(C759+D759=0,"",(H759*D759+E759*C759)/(C759+D759)))</f>
        <v/>
      </c>
      <c r="J759" s="59"/>
      <c r="K759" s="61">
        <f>IF(OR(J759="",I759=""),"",J759-I759)</f>
        <v/>
      </c>
      <c r="L759" s="61">
        <f>IF(OR(J759="",G759=""),"",J759-G759)</f>
        <v/>
      </c>
      <c r="M759" s="59"/>
      <c r="N759" s="59"/>
      <c r="O759" s="59"/>
      <c r="P759" s="59"/>
      <c r="Q759" s="59"/>
      <c r="R759" s="60">
        <f>IF(AND(P759="",Q759=""),"",N(P759)+N(Q759))</f>
        <v/>
      </c>
      <c r="S759" s="59"/>
      <c r="T759" s="59"/>
      <c r="U759" s="62">
        <f>IF(OR(R759="",S759="",T759=""),"",IF(S759+T759=0,"",R759/(S759+T759)))</f>
        <v/>
      </c>
      <c r="V759" s="63"/>
      <c r="W759" s="64"/>
      <c r="X759" s="63"/>
    </row>
    <row r="760" spans="2:24">
      <c r="B760" s="58"/>
      <c r="C760" s="59"/>
      <c r="D760" s="59"/>
      <c r="E760" s="59"/>
      <c r="F760" s="59"/>
      <c r="G760" s="60">
        <f>IF(OR(E760="",F760="",C760="",D760=""),"",IF(C760+D760=0,"",(E760*C760+F760*D760)/(C760+D760)))</f>
        <v/>
      </c>
      <c r="H760" s="59"/>
      <c r="I760" s="60">
        <f>IF(OR(H760="",E760="",C760="",D760=""),"",IF(C760+D760=0,"",(H760*D760+E760*C760)/(C760+D760)))</f>
        <v/>
      </c>
      <c r="J760" s="59"/>
      <c r="K760" s="61">
        <f>IF(OR(J760="",I760=""),"",J760-I760)</f>
        <v/>
      </c>
      <c r="L760" s="61">
        <f>IF(OR(J760="",G760=""),"",J760-G760)</f>
        <v/>
      </c>
      <c r="M760" s="59"/>
      <c r="N760" s="59"/>
      <c r="O760" s="59"/>
      <c r="P760" s="59"/>
      <c r="Q760" s="59"/>
      <c r="R760" s="60">
        <f>IF(AND(P760="",Q760=""),"",N(P760)+N(Q760))</f>
        <v/>
      </c>
      <c r="S760" s="59"/>
      <c r="T760" s="59"/>
      <c r="U760" s="62">
        <f>IF(OR(R760="",S760="",T760=""),"",IF(S760+T760=0,"",R760/(S760+T760)))</f>
        <v/>
      </c>
      <c r="V760" s="63"/>
      <c r="W760" s="64"/>
      <c r="X760" s="63"/>
    </row>
    <row r="761" spans="2:24">
      <c r="B761" s="58"/>
      <c r="C761" s="59"/>
      <c r="D761" s="59"/>
      <c r="E761" s="59"/>
      <c r="F761" s="59"/>
      <c r="G761" s="60">
        <f>IF(OR(E761="",F761="",C761="",D761=""),"",IF(C761+D761=0,"",(E761*C761+F761*D761)/(C761+D761)))</f>
        <v/>
      </c>
      <c r="H761" s="59"/>
      <c r="I761" s="60">
        <f>IF(OR(H761="",E761="",C761="",D761=""),"",IF(C761+D761=0,"",(H761*D761+E761*C761)/(C761+D761)))</f>
        <v/>
      </c>
      <c r="J761" s="59"/>
      <c r="K761" s="61">
        <f>IF(OR(J761="",I761=""),"",J761-I761)</f>
        <v/>
      </c>
      <c r="L761" s="61">
        <f>IF(OR(J761="",G761=""),"",J761-G761)</f>
        <v/>
      </c>
      <c r="M761" s="59"/>
      <c r="N761" s="59"/>
      <c r="O761" s="59"/>
      <c r="P761" s="59"/>
      <c r="Q761" s="59"/>
      <c r="R761" s="60">
        <f>IF(AND(P761="",Q761=""),"",N(P761)+N(Q761))</f>
        <v/>
      </c>
      <c r="S761" s="59"/>
      <c r="T761" s="59"/>
      <c r="U761" s="62">
        <f>IF(OR(R761="",S761="",T761=""),"",IF(S761+T761=0,"",R761/(S761+T761)))</f>
        <v/>
      </c>
      <c r="V761" s="63"/>
      <c r="W761" s="64"/>
      <c r="X761" s="63"/>
    </row>
    <row r="762" spans="2:24">
      <c r="B762" s="58"/>
      <c r="C762" s="59"/>
      <c r="D762" s="59"/>
      <c r="E762" s="59"/>
      <c r="F762" s="59"/>
      <c r="G762" s="60">
        <f>IF(OR(E762="",F762="",C762="",D762=""),"",IF(C762+D762=0,"",(E762*C762+F762*D762)/(C762+D762)))</f>
        <v/>
      </c>
      <c r="H762" s="59"/>
      <c r="I762" s="60">
        <f>IF(OR(H762="",E762="",C762="",D762=""),"",IF(C762+D762=0,"",(H762*D762+E762*C762)/(C762+D762)))</f>
        <v/>
      </c>
      <c r="J762" s="59"/>
      <c r="K762" s="61">
        <f>IF(OR(J762="",I762=""),"",J762-I762)</f>
        <v/>
      </c>
      <c r="L762" s="61">
        <f>IF(OR(J762="",G762=""),"",J762-G762)</f>
        <v/>
      </c>
      <c r="M762" s="59"/>
      <c r="N762" s="59"/>
      <c r="O762" s="59"/>
      <c r="P762" s="59"/>
      <c r="Q762" s="59"/>
      <c r="R762" s="60">
        <f>IF(AND(P762="",Q762=""),"",N(P762)+N(Q762))</f>
        <v/>
      </c>
      <c r="S762" s="59"/>
      <c r="T762" s="59"/>
      <c r="U762" s="62">
        <f>IF(OR(R762="",S762="",T762=""),"",IF(S762+T762=0,"",R762/(S762+T762)))</f>
        <v/>
      </c>
      <c r="V762" s="63"/>
      <c r="W762" s="64"/>
      <c r="X762" s="63"/>
    </row>
    <row r="763" spans="2:24">
      <c r="B763" s="58"/>
      <c r="C763" s="59"/>
      <c r="D763" s="59"/>
      <c r="E763" s="59"/>
      <c r="F763" s="59"/>
      <c r="G763" s="60">
        <f>IF(OR(E763="",F763="",C763="",D763=""),"",IF(C763+D763=0,"",(E763*C763+F763*D763)/(C763+D763)))</f>
        <v/>
      </c>
      <c r="H763" s="59"/>
      <c r="I763" s="60">
        <f>IF(OR(H763="",E763="",C763="",D763=""),"",IF(C763+D763=0,"",(H763*D763+E763*C763)/(C763+D763)))</f>
        <v/>
      </c>
      <c r="J763" s="59"/>
      <c r="K763" s="61">
        <f>IF(OR(J763="",I763=""),"",J763-I763)</f>
        <v/>
      </c>
      <c r="L763" s="61">
        <f>IF(OR(J763="",G763=""),"",J763-G763)</f>
        <v/>
      </c>
      <c r="M763" s="59"/>
      <c r="N763" s="59"/>
      <c r="O763" s="59"/>
      <c r="P763" s="59"/>
      <c r="Q763" s="59"/>
      <c r="R763" s="60">
        <f>IF(AND(P763="",Q763=""),"",N(P763)+N(Q763))</f>
        <v/>
      </c>
      <c r="S763" s="59"/>
      <c r="T763" s="59"/>
      <c r="U763" s="62">
        <f>IF(OR(R763="",S763="",T763=""),"",IF(S763+T763=0,"",R763/(S763+T763)))</f>
        <v/>
      </c>
      <c r="V763" s="63"/>
      <c r="W763" s="64"/>
      <c r="X763" s="63"/>
    </row>
    <row r="764" spans="2:24">
      <c r="B764" s="58"/>
      <c r="C764" s="59"/>
      <c r="D764" s="59"/>
      <c r="E764" s="59"/>
      <c r="F764" s="59"/>
      <c r="G764" s="60">
        <f>IF(OR(E764="",F764="",C764="",D764=""),"",IF(C764+D764=0,"",(E764*C764+F764*D764)/(C764+D764)))</f>
        <v/>
      </c>
      <c r="H764" s="59"/>
      <c r="I764" s="60">
        <f>IF(OR(H764="",E764="",C764="",D764=""),"",IF(C764+D764=0,"",(H764*D764+E764*C764)/(C764+D764)))</f>
        <v/>
      </c>
      <c r="J764" s="59"/>
      <c r="K764" s="61">
        <f>IF(OR(J764="",I764=""),"",J764-I764)</f>
        <v/>
      </c>
      <c r="L764" s="61">
        <f>IF(OR(J764="",G764=""),"",J764-G764)</f>
        <v/>
      </c>
      <c r="M764" s="59"/>
      <c r="N764" s="59"/>
      <c r="O764" s="59"/>
      <c r="P764" s="59"/>
      <c r="Q764" s="59"/>
      <c r="R764" s="60">
        <f>IF(AND(P764="",Q764=""),"",N(P764)+N(Q764))</f>
        <v/>
      </c>
      <c r="S764" s="59"/>
      <c r="T764" s="59"/>
      <c r="U764" s="62">
        <f>IF(OR(R764="",S764="",T764=""),"",IF(S764+T764=0,"",R764/(S764+T764)))</f>
        <v/>
      </c>
      <c r="V764" s="63"/>
      <c r="W764" s="64"/>
      <c r="X764" s="63"/>
    </row>
    <row r="765" spans="2:24">
      <c r="B765" s="58"/>
      <c r="C765" s="59"/>
      <c r="D765" s="59"/>
      <c r="E765" s="59"/>
      <c r="F765" s="59"/>
      <c r="G765" s="60">
        <f>IF(OR(E765="",F765="",C765="",D765=""),"",IF(C765+D765=0,"",(E765*C765+F765*D765)/(C765+D765)))</f>
        <v/>
      </c>
      <c r="H765" s="59"/>
      <c r="I765" s="60">
        <f>IF(OR(H765="",E765="",C765="",D765=""),"",IF(C765+D765=0,"",(H765*D765+E765*C765)/(C765+D765)))</f>
        <v/>
      </c>
      <c r="J765" s="59"/>
      <c r="K765" s="61">
        <f>IF(OR(J765="",I765=""),"",J765-I765)</f>
        <v/>
      </c>
      <c r="L765" s="61">
        <f>IF(OR(J765="",G765=""),"",J765-G765)</f>
        <v/>
      </c>
      <c r="M765" s="59"/>
      <c r="N765" s="59"/>
      <c r="O765" s="59"/>
      <c r="P765" s="59"/>
      <c r="Q765" s="59"/>
      <c r="R765" s="60">
        <f>IF(AND(P765="",Q765=""),"",N(P765)+N(Q765))</f>
        <v/>
      </c>
      <c r="S765" s="59"/>
      <c r="T765" s="59"/>
      <c r="U765" s="62">
        <f>IF(OR(R765="",S765="",T765=""),"",IF(S765+T765=0,"",R765/(S765+T765)))</f>
        <v/>
      </c>
      <c r="V765" s="63"/>
      <c r="W765" s="64"/>
      <c r="X765" s="63"/>
    </row>
    <row r="766" spans="2:24">
      <c r="B766" s="58"/>
      <c r="C766" s="59"/>
      <c r="D766" s="59"/>
      <c r="E766" s="59"/>
      <c r="F766" s="59"/>
      <c r="G766" s="60">
        <f>IF(OR(E766="",F766="",C766="",D766=""),"",IF(C766+D766=0,"",(E766*C766+F766*D766)/(C766+D766)))</f>
        <v/>
      </c>
      <c r="H766" s="59"/>
      <c r="I766" s="60">
        <f>IF(OR(H766="",E766="",C766="",D766=""),"",IF(C766+D766=0,"",(H766*D766+E766*C766)/(C766+D766)))</f>
        <v/>
      </c>
      <c r="J766" s="59"/>
      <c r="K766" s="61">
        <f>IF(OR(J766="",I766=""),"",J766-I766)</f>
        <v/>
      </c>
      <c r="L766" s="61">
        <f>IF(OR(J766="",G766=""),"",J766-G766)</f>
        <v/>
      </c>
      <c r="M766" s="59"/>
      <c r="N766" s="59"/>
      <c r="O766" s="59"/>
      <c r="P766" s="59"/>
      <c r="Q766" s="59"/>
      <c r="R766" s="60">
        <f>IF(AND(P766="",Q766=""),"",N(P766)+N(Q766))</f>
        <v/>
      </c>
      <c r="S766" s="59"/>
      <c r="T766" s="59"/>
      <c r="U766" s="62">
        <f>IF(OR(R766="",S766="",T766=""),"",IF(S766+T766=0,"",R766/(S766+T766)))</f>
        <v/>
      </c>
      <c r="V766" s="63"/>
      <c r="W766" s="64"/>
      <c r="X766" s="63"/>
    </row>
    <row r="767" spans="2:24">
      <c r="B767" s="58"/>
      <c r="C767" s="59"/>
      <c r="D767" s="59"/>
      <c r="E767" s="59"/>
      <c r="F767" s="59"/>
      <c r="G767" s="60">
        <f>IF(OR(E767="",F767="",C767="",D767=""),"",IF(C767+D767=0,"",(E767*C767+F767*D767)/(C767+D767)))</f>
        <v/>
      </c>
      <c r="H767" s="59"/>
      <c r="I767" s="60">
        <f>IF(OR(H767="",E767="",C767="",D767=""),"",IF(C767+D767=0,"",(H767*D767+E767*C767)/(C767+D767)))</f>
        <v/>
      </c>
      <c r="J767" s="59"/>
      <c r="K767" s="61">
        <f>IF(OR(J767="",I767=""),"",J767-I767)</f>
        <v/>
      </c>
      <c r="L767" s="61">
        <f>IF(OR(J767="",G767=""),"",J767-G767)</f>
        <v/>
      </c>
      <c r="M767" s="59"/>
      <c r="N767" s="59"/>
      <c r="O767" s="59"/>
      <c r="P767" s="59"/>
      <c r="Q767" s="59"/>
      <c r="R767" s="60">
        <f>IF(AND(P767="",Q767=""),"",N(P767)+N(Q767))</f>
        <v/>
      </c>
      <c r="S767" s="59"/>
      <c r="T767" s="59"/>
      <c r="U767" s="62">
        <f>IF(OR(R767="",S767="",T767=""),"",IF(S767+T767=0,"",R767/(S767+T767)))</f>
        <v/>
      </c>
      <c r="V767" s="63"/>
      <c r="W767" s="64"/>
      <c r="X767" s="63"/>
    </row>
    <row r="768" spans="2:24">
      <c r="B768" s="58"/>
      <c r="C768" s="59"/>
      <c r="D768" s="59"/>
      <c r="E768" s="59"/>
      <c r="F768" s="59"/>
      <c r="G768" s="60">
        <f>IF(OR(E768="",F768="",C768="",D768=""),"",IF(C768+D768=0,"",(E768*C768+F768*D768)/(C768+D768)))</f>
        <v/>
      </c>
      <c r="H768" s="59"/>
      <c r="I768" s="60">
        <f>IF(OR(H768="",E768="",C768="",D768=""),"",IF(C768+D768=0,"",(H768*D768+E768*C768)/(C768+D768)))</f>
        <v/>
      </c>
      <c r="J768" s="59"/>
      <c r="K768" s="61">
        <f>IF(OR(J768="",I768=""),"",J768-I768)</f>
        <v/>
      </c>
      <c r="L768" s="61">
        <f>IF(OR(J768="",G768=""),"",J768-G768)</f>
        <v/>
      </c>
      <c r="M768" s="59"/>
      <c r="N768" s="59"/>
      <c r="O768" s="59"/>
      <c r="P768" s="59"/>
      <c r="Q768" s="59"/>
      <c r="R768" s="60">
        <f>IF(AND(P768="",Q768=""),"",N(P768)+N(Q768))</f>
        <v/>
      </c>
      <c r="S768" s="59"/>
      <c r="T768" s="59"/>
      <c r="U768" s="62">
        <f>IF(OR(R768="",S768="",T768=""),"",IF(S768+T768=0,"",R768/(S768+T768)))</f>
        <v/>
      </c>
      <c r="V768" s="63"/>
      <c r="W768" s="64"/>
      <c r="X768" s="63"/>
    </row>
    <row r="769" spans="2:24">
      <c r="B769" s="58"/>
      <c r="C769" s="59"/>
      <c r="D769" s="59"/>
      <c r="E769" s="59"/>
      <c r="F769" s="59"/>
      <c r="G769" s="60">
        <f>IF(OR(E769="",F769="",C769="",D769=""),"",IF(C769+D769=0,"",(E769*C769+F769*D769)/(C769+D769)))</f>
        <v/>
      </c>
      <c r="H769" s="59"/>
      <c r="I769" s="60">
        <f>IF(OR(H769="",E769="",C769="",D769=""),"",IF(C769+D769=0,"",(H769*D769+E769*C769)/(C769+D769)))</f>
        <v/>
      </c>
      <c r="J769" s="59"/>
      <c r="K769" s="61">
        <f>IF(OR(J769="",I769=""),"",J769-I769)</f>
        <v/>
      </c>
      <c r="L769" s="61">
        <f>IF(OR(J769="",G769=""),"",J769-G769)</f>
        <v/>
      </c>
      <c r="M769" s="59"/>
      <c r="N769" s="59"/>
      <c r="O769" s="59"/>
      <c r="P769" s="59"/>
      <c r="Q769" s="59"/>
      <c r="R769" s="60">
        <f>IF(AND(P769="",Q769=""),"",N(P769)+N(Q769))</f>
        <v/>
      </c>
      <c r="S769" s="59"/>
      <c r="T769" s="59"/>
      <c r="U769" s="62">
        <f>IF(OR(R769="",S769="",T769=""),"",IF(S769+T769=0,"",R769/(S769+T769)))</f>
        <v/>
      </c>
      <c r="V769" s="63"/>
      <c r="W769" s="64"/>
      <c r="X769" s="63"/>
    </row>
    <row r="770" spans="2:24">
      <c r="B770" s="58"/>
      <c r="C770" s="59"/>
      <c r="D770" s="59"/>
      <c r="E770" s="59"/>
      <c r="F770" s="59"/>
      <c r="G770" s="60">
        <f>IF(OR(E770="",F770="",C770="",D770=""),"",IF(C770+D770=0,"",(E770*C770+F770*D770)/(C770+D770)))</f>
        <v/>
      </c>
      <c r="H770" s="59"/>
      <c r="I770" s="60">
        <f>IF(OR(H770="",E770="",C770="",D770=""),"",IF(C770+D770=0,"",(H770*D770+E770*C770)/(C770+D770)))</f>
        <v/>
      </c>
      <c r="J770" s="59"/>
      <c r="K770" s="61">
        <f>IF(OR(J770="",I770=""),"",J770-I770)</f>
        <v/>
      </c>
      <c r="L770" s="61">
        <f>IF(OR(J770="",G770=""),"",J770-G770)</f>
        <v/>
      </c>
      <c r="M770" s="59"/>
      <c r="N770" s="59"/>
      <c r="O770" s="59"/>
      <c r="P770" s="59"/>
      <c r="Q770" s="59"/>
      <c r="R770" s="60">
        <f>IF(AND(P770="",Q770=""),"",N(P770)+N(Q770))</f>
        <v/>
      </c>
      <c r="S770" s="59"/>
      <c r="T770" s="59"/>
      <c r="U770" s="62">
        <f>IF(OR(R770="",S770="",T770=""),"",IF(S770+T770=0,"",R770/(S770+T770)))</f>
        <v/>
      </c>
      <c r="V770" s="63"/>
      <c r="W770" s="64"/>
      <c r="X770" s="63"/>
    </row>
    <row r="771" spans="2:24">
      <c r="B771" s="58"/>
      <c r="C771" s="59"/>
      <c r="D771" s="59"/>
      <c r="E771" s="59"/>
      <c r="F771" s="59"/>
      <c r="G771" s="60">
        <f>IF(OR(E771="",F771="",C771="",D771=""),"",IF(C771+D771=0,"",(E771*C771+F771*D771)/(C771+D771)))</f>
        <v/>
      </c>
      <c r="H771" s="59"/>
      <c r="I771" s="60">
        <f>IF(OR(H771="",E771="",C771="",D771=""),"",IF(C771+D771=0,"",(H771*D771+E771*C771)/(C771+D771)))</f>
        <v/>
      </c>
      <c r="J771" s="59"/>
      <c r="K771" s="61">
        <f>IF(OR(J771="",I771=""),"",J771-I771)</f>
        <v/>
      </c>
      <c r="L771" s="61">
        <f>IF(OR(J771="",G771=""),"",J771-G771)</f>
        <v/>
      </c>
      <c r="M771" s="59"/>
      <c r="N771" s="59"/>
      <c r="O771" s="59"/>
      <c r="P771" s="59"/>
      <c r="Q771" s="59"/>
      <c r="R771" s="60">
        <f>IF(AND(P771="",Q771=""),"",N(P771)+N(Q771))</f>
        <v/>
      </c>
      <c r="S771" s="59"/>
      <c r="T771" s="59"/>
      <c r="U771" s="62">
        <f>IF(OR(R771="",S771="",T771=""),"",IF(S771+T771=0,"",R771/(S771+T771)))</f>
        <v/>
      </c>
      <c r="V771" s="63"/>
      <c r="W771" s="64"/>
      <c r="X771" s="63"/>
    </row>
    <row r="772" spans="2:24">
      <c r="B772" s="58"/>
      <c r="C772" s="59"/>
      <c r="D772" s="59"/>
      <c r="E772" s="59"/>
      <c r="F772" s="59"/>
      <c r="G772" s="60">
        <f>IF(OR(E772="",F772="",C772="",D772=""),"",IF(C772+D772=0,"",(E772*C772+F772*D772)/(C772+D772)))</f>
        <v/>
      </c>
      <c r="H772" s="59"/>
      <c r="I772" s="60">
        <f>IF(OR(H772="",E772="",C772="",D772=""),"",IF(C772+D772=0,"",(H772*D772+E772*C772)/(C772+D772)))</f>
        <v/>
      </c>
      <c r="J772" s="59"/>
      <c r="K772" s="61">
        <f>IF(OR(J772="",I772=""),"",J772-I772)</f>
        <v/>
      </c>
      <c r="L772" s="61">
        <f>IF(OR(J772="",G772=""),"",J772-G772)</f>
        <v/>
      </c>
      <c r="M772" s="59"/>
      <c r="N772" s="59"/>
      <c r="O772" s="59"/>
      <c r="P772" s="59"/>
      <c r="Q772" s="59"/>
      <c r="R772" s="60">
        <f>IF(AND(P772="",Q772=""),"",N(P772)+N(Q772))</f>
        <v/>
      </c>
      <c r="S772" s="59"/>
      <c r="T772" s="59"/>
      <c r="U772" s="62">
        <f>IF(OR(R772="",S772="",T772=""),"",IF(S772+T772=0,"",R772/(S772+T772)))</f>
        <v/>
      </c>
      <c r="V772" s="63"/>
      <c r="W772" s="64"/>
      <c r="X772" s="63"/>
    </row>
    <row r="773" spans="2:24">
      <c r="B773" s="58"/>
      <c r="C773" s="59"/>
      <c r="D773" s="59"/>
      <c r="E773" s="59"/>
      <c r="F773" s="59"/>
      <c r="G773" s="60">
        <f>IF(OR(E773="",F773="",C773="",D773=""),"",IF(C773+D773=0,"",(E773*C773+F773*D773)/(C773+D773)))</f>
        <v/>
      </c>
      <c r="H773" s="59"/>
      <c r="I773" s="60">
        <f>IF(OR(H773="",E773="",C773="",D773=""),"",IF(C773+D773=0,"",(H773*D773+E773*C773)/(C773+D773)))</f>
        <v/>
      </c>
      <c r="J773" s="59"/>
      <c r="K773" s="61">
        <f>IF(OR(J773="",I773=""),"",J773-I773)</f>
        <v/>
      </c>
      <c r="L773" s="61">
        <f>IF(OR(J773="",G773=""),"",J773-G773)</f>
        <v/>
      </c>
      <c r="M773" s="59"/>
      <c r="N773" s="59"/>
      <c r="O773" s="59"/>
      <c r="P773" s="59"/>
      <c r="Q773" s="59"/>
      <c r="R773" s="60">
        <f>IF(AND(P773="",Q773=""),"",N(P773)+N(Q773))</f>
        <v/>
      </c>
      <c r="S773" s="59"/>
      <c r="T773" s="59"/>
      <c r="U773" s="62">
        <f>IF(OR(R773="",S773="",T773=""),"",IF(S773+T773=0,"",R773/(S773+T773)))</f>
        <v/>
      </c>
      <c r="V773" s="63"/>
      <c r="W773" s="64"/>
      <c r="X773" s="63"/>
    </row>
    <row r="774" spans="2:24">
      <c r="B774" s="58"/>
      <c r="C774" s="59"/>
      <c r="D774" s="59"/>
      <c r="E774" s="59"/>
      <c r="F774" s="59"/>
      <c r="G774" s="60">
        <f>IF(OR(E774="",F774="",C774="",D774=""),"",IF(C774+D774=0,"",(E774*C774+F774*D774)/(C774+D774)))</f>
        <v/>
      </c>
      <c r="H774" s="59"/>
      <c r="I774" s="60">
        <f>IF(OR(H774="",E774="",C774="",D774=""),"",IF(C774+D774=0,"",(H774*D774+E774*C774)/(C774+D774)))</f>
        <v/>
      </c>
      <c r="J774" s="59"/>
      <c r="K774" s="61">
        <f>IF(OR(J774="",I774=""),"",J774-I774)</f>
        <v/>
      </c>
      <c r="L774" s="61">
        <f>IF(OR(J774="",G774=""),"",J774-G774)</f>
        <v/>
      </c>
      <c r="M774" s="59"/>
      <c r="N774" s="59"/>
      <c r="O774" s="59"/>
      <c r="P774" s="59"/>
      <c r="Q774" s="59"/>
      <c r="R774" s="60">
        <f>IF(AND(P774="",Q774=""),"",N(P774)+N(Q774))</f>
        <v/>
      </c>
      <c r="S774" s="59"/>
      <c r="T774" s="59"/>
      <c r="U774" s="62">
        <f>IF(OR(R774="",S774="",T774=""),"",IF(S774+T774=0,"",R774/(S774+T774)))</f>
        <v/>
      </c>
      <c r="V774" s="63"/>
      <c r="W774" s="64"/>
      <c r="X774" s="63"/>
    </row>
    <row r="775" spans="2:24">
      <c r="B775" s="58"/>
      <c r="C775" s="59"/>
      <c r="D775" s="59"/>
      <c r="E775" s="59"/>
      <c r="F775" s="59"/>
      <c r="G775" s="60">
        <f>IF(OR(E775="",F775="",C775="",D775=""),"",IF(C775+D775=0,"",(E775*C775+F775*D775)/(C775+D775)))</f>
        <v/>
      </c>
      <c r="H775" s="59"/>
      <c r="I775" s="60">
        <f>IF(OR(H775="",E775="",C775="",D775=""),"",IF(C775+D775=0,"",(H775*D775+E775*C775)/(C775+D775)))</f>
        <v/>
      </c>
      <c r="J775" s="59"/>
      <c r="K775" s="61">
        <f>IF(OR(J775="",I775=""),"",J775-I775)</f>
        <v/>
      </c>
      <c r="L775" s="61">
        <f>IF(OR(J775="",G775=""),"",J775-G775)</f>
        <v/>
      </c>
      <c r="M775" s="59"/>
      <c r="N775" s="59"/>
      <c r="O775" s="59"/>
      <c r="P775" s="59"/>
      <c r="Q775" s="59"/>
      <c r="R775" s="60">
        <f>IF(AND(P775="",Q775=""),"",N(P775)+N(Q775))</f>
        <v/>
      </c>
      <c r="S775" s="59"/>
      <c r="T775" s="59"/>
      <c r="U775" s="62">
        <f>IF(OR(R775="",S775="",T775=""),"",IF(S775+T775=0,"",R775/(S775+T775)))</f>
        <v/>
      </c>
      <c r="V775" s="63"/>
      <c r="W775" s="64"/>
      <c r="X775" s="63"/>
    </row>
    <row r="776" spans="2:24">
      <c r="B776" s="58"/>
      <c r="C776" s="59"/>
      <c r="D776" s="59"/>
      <c r="E776" s="59"/>
      <c r="F776" s="59"/>
      <c r="G776" s="60">
        <f>IF(OR(E776="",F776="",C776="",D776=""),"",IF(C776+D776=0,"",(E776*C776+F776*D776)/(C776+D776)))</f>
        <v/>
      </c>
      <c r="H776" s="59"/>
      <c r="I776" s="60">
        <f>IF(OR(H776="",E776="",C776="",D776=""),"",IF(C776+D776=0,"",(H776*D776+E776*C776)/(C776+D776)))</f>
        <v/>
      </c>
      <c r="J776" s="59"/>
      <c r="K776" s="61">
        <f>IF(OR(J776="",I776=""),"",J776-I776)</f>
        <v/>
      </c>
      <c r="L776" s="61">
        <f>IF(OR(J776="",G776=""),"",J776-G776)</f>
        <v/>
      </c>
      <c r="M776" s="59"/>
      <c r="N776" s="59"/>
      <c r="O776" s="59"/>
      <c r="P776" s="59"/>
      <c r="Q776" s="59"/>
      <c r="R776" s="60">
        <f>IF(AND(P776="",Q776=""),"",N(P776)+N(Q776))</f>
        <v/>
      </c>
      <c r="S776" s="59"/>
      <c r="T776" s="59"/>
      <c r="U776" s="62">
        <f>IF(OR(R776="",S776="",T776=""),"",IF(S776+T776=0,"",R776/(S776+T776)))</f>
        <v/>
      </c>
      <c r="V776" s="63"/>
      <c r="W776" s="64"/>
      <c r="X776" s="63"/>
    </row>
    <row r="777" spans="2:24">
      <c r="B777" s="58"/>
      <c r="C777" s="59"/>
      <c r="D777" s="59"/>
      <c r="E777" s="59"/>
      <c r="F777" s="59"/>
      <c r="G777" s="60">
        <f>IF(OR(E777="",F777="",C777="",D777=""),"",IF(C777+D777=0,"",(E777*C777+F777*D777)/(C777+D777)))</f>
        <v/>
      </c>
      <c r="H777" s="59"/>
      <c r="I777" s="60">
        <f>IF(OR(H777="",E777="",C777="",D777=""),"",IF(C777+D777=0,"",(H777*D777+E777*C777)/(C777+D777)))</f>
        <v/>
      </c>
      <c r="J777" s="59"/>
      <c r="K777" s="61">
        <f>IF(OR(J777="",I777=""),"",J777-I777)</f>
        <v/>
      </c>
      <c r="L777" s="61">
        <f>IF(OR(J777="",G777=""),"",J777-G777)</f>
        <v/>
      </c>
      <c r="M777" s="59"/>
      <c r="N777" s="59"/>
      <c r="O777" s="59"/>
      <c r="P777" s="59"/>
      <c r="Q777" s="59"/>
      <c r="R777" s="60">
        <f>IF(AND(P777="",Q777=""),"",N(P777)+N(Q777))</f>
        <v/>
      </c>
      <c r="S777" s="59"/>
      <c r="T777" s="59"/>
      <c r="U777" s="62">
        <f>IF(OR(R777="",S777="",T777=""),"",IF(S777+T777=0,"",R777/(S777+T777)))</f>
        <v/>
      </c>
      <c r="V777" s="63"/>
      <c r="W777" s="64"/>
      <c r="X777" s="63"/>
    </row>
    <row r="778" spans="2:24">
      <c r="B778" s="58"/>
      <c r="C778" s="59"/>
      <c r="D778" s="59"/>
      <c r="E778" s="59"/>
      <c r="F778" s="59"/>
      <c r="G778" s="60">
        <f>IF(OR(E778="",F778="",C778="",D778=""),"",IF(C778+D778=0,"",(E778*C778+F778*D778)/(C778+D778)))</f>
        <v/>
      </c>
      <c r="H778" s="59"/>
      <c r="I778" s="60">
        <f>IF(OR(H778="",E778="",C778="",D778=""),"",IF(C778+D778=0,"",(H778*D778+E778*C778)/(C778+D778)))</f>
        <v/>
      </c>
      <c r="J778" s="59"/>
      <c r="K778" s="61">
        <f>IF(OR(J778="",I778=""),"",J778-I778)</f>
        <v/>
      </c>
      <c r="L778" s="61">
        <f>IF(OR(J778="",G778=""),"",J778-G778)</f>
        <v/>
      </c>
      <c r="M778" s="59"/>
      <c r="N778" s="59"/>
      <c r="O778" s="59"/>
      <c r="P778" s="59"/>
      <c r="Q778" s="59"/>
      <c r="R778" s="60">
        <f>IF(AND(P778="",Q778=""),"",N(P778)+N(Q778))</f>
        <v/>
      </c>
      <c r="S778" s="59"/>
      <c r="T778" s="59"/>
      <c r="U778" s="62">
        <f>IF(OR(R778="",S778="",T778=""),"",IF(S778+T778=0,"",R778/(S778+T778)))</f>
        <v/>
      </c>
      <c r="V778" s="63"/>
      <c r="W778" s="64"/>
      <c r="X778" s="63"/>
    </row>
    <row r="779" spans="2:24">
      <c r="B779" s="58"/>
      <c r="C779" s="59"/>
      <c r="D779" s="59"/>
      <c r="E779" s="59"/>
      <c r="F779" s="59"/>
      <c r="G779" s="60">
        <f>IF(OR(E779="",F779="",C779="",D779=""),"",IF(C779+D779=0,"",(E779*C779+F779*D779)/(C779+D779)))</f>
        <v/>
      </c>
      <c r="H779" s="59"/>
      <c r="I779" s="60">
        <f>IF(OR(H779="",E779="",C779="",D779=""),"",IF(C779+D779=0,"",(H779*D779+E779*C779)/(C779+D779)))</f>
        <v/>
      </c>
      <c r="J779" s="59"/>
      <c r="K779" s="61">
        <f>IF(OR(J779="",I779=""),"",J779-I779)</f>
        <v/>
      </c>
      <c r="L779" s="61">
        <f>IF(OR(J779="",G779=""),"",J779-G779)</f>
        <v/>
      </c>
      <c r="M779" s="59"/>
      <c r="N779" s="59"/>
      <c r="O779" s="59"/>
      <c r="P779" s="59"/>
      <c r="Q779" s="59"/>
      <c r="R779" s="60">
        <f>IF(AND(P779="",Q779=""),"",N(P779)+N(Q779))</f>
        <v/>
      </c>
      <c r="S779" s="59"/>
      <c r="T779" s="59"/>
      <c r="U779" s="62">
        <f>IF(OR(R779="",S779="",T779=""),"",IF(S779+T779=0,"",R779/(S779+T779)))</f>
        <v/>
      </c>
      <c r="V779" s="63"/>
      <c r="W779" s="64"/>
      <c r="X779" s="63"/>
    </row>
    <row r="780" spans="2:24">
      <c r="B780" s="58"/>
      <c r="C780" s="59"/>
      <c r="D780" s="59"/>
      <c r="E780" s="59"/>
      <c r="F780" s="59"/>
      <c r="G780" s="60">
        <f>IF(OR(E780="",F780="",C780="",D780=""),"",IF(C780+D780=0,"",(E780*C780+F780*D780)/(C780+D780)))</f>
        <v/>
      </c>
      <c r="H780" s="59"/>
      <c r="I780" s="60">
        <f>IF(OR(H780="",E780="",C780="",D780=""),"",IF(C780+D780=0,"",(H780*D780+E780*C780)/(C780+D780)))</f>
        <v/>
      </c>
      <c r="J780" s="59"/>
      <c r="K780" s="61">
        <f>IF(OR(J780="",I780=""),"",J780-I780)</f>
        <v/>
      </c>
      <c r="L780" s="61">
        <f>IF(OR(J780="",G780=""),"",J780-G780)</f>
        <v/>
      </c>
      <c r="M780" s="59"/>
      <c r="N780" s="59"/>
      <c r="O780" s="59"/>
      <c r="P780" s="59"/>
      <c r="Q780" s="59"/>
      <c r="R780" s="60">
        <f>IF(AND(P780="",Q780=""),"",N(P780)+N(Q780))</f>
        <v/>
      </c>
      <c r="S780" s="59"/>
      <c r="T780" s="59"/>
      <c r="U780" s="62">
        <f>IF(OR(R780="",S780="",T780=""),"",IF(S780+T780=0,"",R780/(S780+T780)))</f>
        <v/>
      </c>
      <c r="V780" s="63"/>
      <c r="W780" s="64"/>
      <c r="X780" s="63"/>
    </row>
    <row r="781" spans="2:24">
      <c r="B781" s="58"/>
      <c r="C781" s="59"/>
      <c r="D781" s="59"/>
      <c r="E781" s="59"/>
      <c r="F781" s="59"/>
      <c r="G781" s="60">
        <f>IF(OR(E781="",F781="",C781="",D781=""),"",IF(C781+D781=0,"",(E781*C781+F781*D781)/(C781+D781)))</f>
        <v/>
      </c>
      <c r="H781" s="59"/>
      <c r="I781" s="60">
        <f>IF(OR(H781="",E781="",C781="",D781=""),"",IF(C781+D781=0,"",(H781*D781+E781*C781)/(C781+D781)))</f>
        <v/>
      </c>
      <c r="J781" s="59"/>
      <c r="K781" s="61">
        <f>IF(OR(J781="",I781=""),"",J781-I781)</f>
        <v/>
      </c>
      <c r="L781" s="61">
        <f>IF(OR(J781="",G781=""),"",J781-G781)</f>
        <v/>
      </c>
      <c r="M781" s="59"/>
      <c r="N781" s="59"/>
      <c r="O781" s="59"/>
      <c r="P781" s="59"/>
      <c r="Q781" s="59"/>
      <c r="R781" s="60">
        <f>IF(AND(P781="",Q781=""),"",N(P781)+N(Q781))</f>
        <v/>
      </c>
      <c r="S781" s="59"/>
      <c r="T781" s="59"/>
      <c r="U781" s="62">
        <f>IF(OR(R781="",S781="",T781=""),"",IF(S781+T781=0,"",R781/(S781+T781)))</f>
        <v/>
      </c>
      <c r="V781" s="63"/>
      <c r="W781" s="64"/>
      <c r="X781" s="63"/>
    </row>
    <row r="782" spans="2:24">
      <c r="B782" s="58"/>
      <c r="C782" s="59"/>
      <c r="D782" s="59"/>
      <c r="E782" s="59"/>
      <c r="F782" s="59"/>
      <c r="G782" s="60">
        <f>IF(OR(E782="",F782="",C782="",D782=""),"",IF(C782+D782=0,"",(E782*C782+F782*D782)/(C782+D782)))</f>
        <v/>
      </c>
      <c r="H782" s="59"/>
      <c r="I782" s="60">
        <f>IF(OR(H782="",E782="",C782="",D782=""),"",IF(C782+D782=0,"",(H782*D782+E782*C782)/(C782+D782)))</f>
        <v/>
      </c>
      <c r="J782" s="59"/>
      <c r="K782" s="61">
        <f>IF(OR(J782="",I782=""),"",J782-I782)</f>
        <v/>
      </c>
      <c r="L782" s="61">
        <f>IF(OR(J782="",G782=""),"",J782-G782)</f>
        <v/>
      </c>
      <c r="M782" s="59"/>
      <c r="N782" s="59"/>
      <c r="O782" s="59"/>
      <c r="P782" s="59"/>
      <c r="Q782" s="59"/>
      <c r="R782" s="60">
        <f>IF(AND(P782="",Q782=""),"",N(P782)+N(Q782))</f>
        <v/>
      </c>
      <c r="S782" s="59"/>
      <c r="T782" s="59"/>
      <c r="U782" s="62">
        <f>IF(OR(R782="",S782="",T782=""),"",IF(S782+T782=0,"",R782/(S782+T782)))</f>
        <v/>
      </c>
      <c r="V782" s="63"/>
      <c r="W782" s="64"/>
      <c r="X782" s="63"/>
    </row>
    <row r="783" spans="2:24">
      <c r="B783" s="58"/>
      <c r="C783" s="59"/>
      <c r="D783" s="59"/>
      <c r="E783" s="59"/>
      <c r="F783" s="59"/>
      <c r="G783" s="60">
        <f>IF(OR(E783="",F783="",C783="",D783=""),"",IF(C783+D783=0,"",(E783*C783+F783*D783)/(C783+D783)))</f>
        <v/>
      </c>
      <c r="H783" s="59"/>
      <c r="I783" s="60">
        <f>IF(OR(H783="",E783="",C783="",D783=""),"",IF(C783+D783=0,"",(H783*D783+E783*C783)/(C783+D783)))</f>
        <v/>
      </c>
      <c r="J783" s="59"/>
      <c r="K783" s="61">
        <f>IF(OR(J783="",I783=""),"",J783-I783)</f>
        <v/>
      </c>
      <c r="L783" s="61">
        <f>IF(OR(J783="",G783=""),"",J783-G783)</f>
        <v/>
      </c>
      <c r="M783" s="59"/>
      <c r="N783" s="59"/>
      <c r="O783" s="59"/>
      <c r="P783" s="59"/>
      <c r="Q783" s="59"/>
      <c r="R783" s="60">
        <f>IF(AND(P783="",Q783=""),"",N(P783)+N(Q783))</f>
        <v/>
      </c>
      <c r="S783" s="59"/>
      <c r="T783" s="59"/>
      <c r="U783" s="62">
        <f>IF(OR(R783="",S783="",T783=""),"",IF(S783+T783=0,"",R783/(S783+T783)))</f>
        <v/>
      </c>
      <c r="V783" s="63"/>
      <c r="W783" s="64"/>
      <c r="X783" s="63"/>
    </row>
    <row r="784" spans="2:24">
      <c r="B784" s="58"/>
      <c r="C784" s="59"/>
      <c r="D784" s="59"/>
      <c r="E784" s="59"/>
      <c r="F784" s="59"/>
      <c r="G784" s="60">
        <f>IF(OR(E784="",F784="",C784="",D784=""),"",IF(C784+D784=0,"",(E784*C784+F784*D784)/(C784+D784)))</f>
        <v/>
      </c>
      <c r="H784" s="59"/>
      <c r="I784" s="60">
        <f>IF(OR(H784="",E784="",C784="",D784=""),"",IF(C784+D784=0,"",(H784*D784+E784*C784)/(C784+D784)))</f>
        <v/>
      </c>
      <c r="J784" s="59"/>
      <c r="K784" s="61">
        <f>IF(OR(J784="",I784=""),"",J784-I784)</f>
        <v/>
      </c>
      <c r="L784" s="61">
        <f>IF(OR(J784="",G784=""),"",J784-G784)</f>
        <v/>
      </c>
      <c r="M784" s="59"/>
      <c r="N784" s="59"/>
      <c r="O784" s="59"/>
      <c r="P784" s="59"/>
      <c r="Q784" s="59"/>
      <c r="R784" s="60">
        <f>IF(AND(P784="",Q784=""),"",N(P784)+N(Q784))</f>
        <v/>
      </c>
      <c r="S784" s="59"/>
      <c r="T784" s="59"/>
      <c r="U784" s="62">
        <f>IF(OR(R784="",S784="",T784=""),"",IF(S784+T784=0,"",R784/(S784+T784)))</f>
        <v/>
      </c>
      <c r="V784" s="63"/>
      <c r="W784" s="64"/>
      <c r="X784" s="63"/>
    </row>
    <row r="785" spans="2:24">
      <c r="B785" s="58"/>
      <c r="C785" s="59"/>
      <c r="D785" s="59"/>
      <c r="E785" s="59"/>
      <c r="F785" s="59"/>
      <c r="G785" s="60">
        <f>IF(OR(E785="",F785="",C785="",D785=""),"",IF(C785+D785=0,"",(E785*C785+F785*D785)/(C785+D785)))</f>
        <v/>
      </c>
      <c r="H785" s="59"/>
      <c r="I785" s="60">
        <f>IF(OR(H785="",E785="",C785="",D785=""),"",IF(C785+D785=0,"",(H785*D785+E785*C785)/(C785+D785)))</f>
        <v/>
      </c>
      <c r="J785" s="59"/>
      <c r="K785" s="61">
        <f>IF(OR(J785="",I785=""),"",J785-I785)</f>
        <v/>
      </c>
      <c r="L785" s="61">
        <f>IF(OR(J785="",G785=""),"",J785-G785)</f>
        <v/>
      </c>
      <c r="M785" s="59"/>
      <c r="N785" s="59"/>
      <c r="O785" s="59"/>
      <c r="P785" s="59"/>
      <c r="Q785" s="59"/>
      <c r="R785" s="60">
        <f>IF(AND(P785="",Q785=""),"",N(P785)+N(Q785))</f>
        <v/>
      </c>
      <c r="S785" s="59"/>
      <c r="T785" s="59"/>
      <c r="U785" s="62">
        <f>IF(OR(R785="",S785="",T785=""),"",IF(S785+T785=0,"",R785/(S785+T785)))</f>
        <v/>
      </c>
      <c r="V785" s="63"/>
      <c r="W785" s="64"/>
      <c r="X785" s="63"/>
    </row>
    <row r="786" spans="2:24">
      <c r="B786" s="58"/>
      <c r="C786" s="59"/>
      <c r="D786" s="59"/>
      <c r="E786" s="59"/>
      <c r="F786" s="59"/>
      <c r="G786" s="60">
        <f>IF(OR(E786="",F786="",C786="",D786=""),"",IF(C786+D786=0,"",(E786*C786+F786*D786)/(C786+D786)))</f>
        <v/>
      </c>
      <c r="H786" s="59"/>
      <c r="I786" s="60">
        <f>IF(OR(H786="",E786="",C786="",D786=""),"",IF(C786+D786=0,"",(H786*D786+E786*C786)/(C786+D786)))</f>
        <v/>
      </c>
      <c r="J786" s="59"/>
      <c r="K786" s="61">
        <f>IF(OR(J786="",I786=""),"",J786-I786)</f>
        <v/>
      </c>
      <c r="L786" s="61">
        <f>IF(OR(J786="",G786=""),"",J786-G786)</f>
        <v/>
      </c>
      <c r="M786" s="59"/>
      <c r="N786" s="59"/>
      <c r="O786" s="59"/>
      <c r="P786" s="59"/>
      <c r="Q786" s="59"/>
      <c r="R786" s="60">
        <f>IF(AND(P786="",Q786=""),"",N(P786)+N(Q786))</f>
        <v/>
      </c>
      <c r="S786" s="59"/>
      <c r="T786" s="59"/>
      <c r="U786" s="62">
        <f>IF(OR(R786="",S786="",T786=""),"",IF(S786+T786=0,"",R786/(S786+T786)))</f>
        <v/>
      </c>
      <c r="V786" s="63"/>
      <c r="W786" s="64"/>
      <c r="X786" s="63"/>
    </row>
    <row r="787" spans="2:24">
      <c r="B787" s="58"/>
      <c r="C787" s="59"/>
      <c r="D787" s="59"/>
      <c r="E787" s="59"/>
      <c r="F787" s="59"/>
      <c r="G787" s="60">
        <f>IF(OR(E787="",F787="",C787="",D787=""),"",IF(C787+D787=0,"",(E787*C787+F787*D787)/(C787+D787)))</f>
        <v/>
      </c>
      <c r="H787" s="59"/>
      <c r="I787" s="60">
        <f>IF(OR(H787="",E787="",C787="",D787=""),"",IF(C787+D787=0,"",(H787*D787+E787*C787)/(C787+D787)))</f>
        <v/>
      </c>
      <c r="J787" s="59"/>
      <c r="K787" s="61">
        <f>IF(OR(J787="",I787=""),"",J787-I787)</f>
        <v/>
      </c>
      <c r="L787" s="61">
        <f>IF(OR(J787="",G787=""),"",J787-G787)</f>
        <v/>
      </c>
      <c r="M787" s="59"/>
      <c r="N787" s="59"/>
      <c r="O787" s="59"/>
      <c r="P787" s="59"/>
      <c r="Q787" s="59"/>
      <c r="R787" s="60">
        <f>IF(AND(P787="",Q787=""),"",N(P787)+N(Q787))</f>
        <v/>
      </c>
      <c r="S787" s="59"/>
      <c r="T787" s="59"/>
      <c r="U787" s="62">
        <f>IF(OR(R787="",S787="",T787=""),"",IF(S787+T787=0,"",R787/(S787+T787)))</f>
        <v/>
      </c>
      <c r="V787" s="63"/>
      <c r="W787" s="64"/>
      <c r="X787" s="63"/>
    </row>
    <row r="788" spans="2:24">
      <c r="B788" s="58"/>
      <c r="C788" s="59"/>
      <c r="D788" s="59"/>
      <c r="E788" s="59"/>
      <c r="F788" s="59"/>
      <c r="G788" s="60">
        <f>IF(OR(E788="",F788="",C788="",D788=""),"",IF(C788+D788=0,"",(E788*C788+F788*D788)/(C788+D788)))</f>
        <v/>
      </c>
      <c r="H788" s="59"/>
      <c r="I788" s="60">
        <f>IF(OR(H788="",E788="",C788="",D788=""),"",IF(C788+D788=0,"",(H788*D788+E788*C788)/(C788+D788)))</f>
        <v/>
      </c>
      <c r="J788" s="59"/>
      <c r="K788" s="61">
        <f>IF(OR(J788="",I788=""),"",J788-I788)</f>
        <v/>
      </c>
      <c r="L788" s="61">
        <f>IF(OR(J788="",G788=""),"",J788-G788)</f>
        <v/>
      </c>
      <c r="M788" s="59"/>
      <c r="N788" s="59"/>
      <c r="O788" s="59"/>
      <c r="P788" s="59"/>
      <c r="Q788" s="59"/>
      <c r="R788" s="60">
        <f>IF(AND(P788="",Q788=""),"",N(P788)+N(Q788))</f>
        <v/>
      </c>
      <c r="S788" s="59"/>
      <c r="T788" s="59"/>
      <c r="U788" s="62">
        <f>IF(OR(R788="",S788="",T788=""),"",IF(S788+T788=0,"",R788/(S788+T788)))</f>
        <v/>
      </c>
      <c r="V788" s="63"/>
      <c r="W788" s="64"/>
      <c r="X788" s="63"/>
    </row>
    <row r="789" spans="2:24">
      <c r="B789" s="58"/>
      <c r="C789" s="59"/>
      <c r="D789" s="59"/>
      <c r="E789" s="59"/>
      <c r="F789" s="59"/>
      <c r="G789" s="60">
        <f>IF(OR(E789="",F789="",C789="",D789=""),"",IF(C789+D789=0,"",(E789*C789+F789*D789)/(C789+D789)))</f>
        <v/>
      </c>
      <c r="H789" s="59"/>
      <c r="I789" s="60">
        <f>IF(OR(H789="",E789="",C789="",D789=""),"",IF(C789+D789=0,"",(H789*D789+E789*C789)/(C789+D789)))</f>
        <v/>
      </c>
      <c r="J789" s="59"/>
      <c r="K789" s="61">
        <f>IF(OR(J789="",I789=""),"",J789-I789)</f>
        <v/>
      </c>
      <c r="L789" s="61">
        <f>IF(OR(J789="",G789=""),"",J789-G789)</f>
        <v/>
      </c>
      <c r="M789" s="59"/>
      <c r="N789" s="59"/>
      <c r="O789" s="59"/>
      <c r="P789" s="59"/>
      <c r="Q789" s="59"/>
      <c r="R789" s="60">
        <f>IF(AND(P789="",Q789=""),"",N(P789)+N(Q789))</f>
        <v/>
      </c>
      <c r="S789" s="59"/>
      <c r="T789" s="59"/>
      <c r="U789" s="62">
        <f>IF(OR(R789="",S789="",T789=""),"",IF(S789+T789=0,"",R789/(S789+T789)))</f>
        <v/>
      </c>
      <c r="V789" s="63"/>
      <c r="W789" s="64"/>
      <c r="X789" s="63"/>
    </row>
    <row r="790" spans="2:24">
      <c r="B790" s="58"/>
      <c r="C790" s="59"/>
      <c r="D790" s="59"/>
      <c r="E790" s="59"/>
      <c r="F790" s="59"/>
      <c r="G790" s="60">
        <f>IF(OR(E790="",F790="",C790="",D790=""),"",IF(C790+D790=0,"",(E790*C790+F790*D790)/(C790+D790)))</f>
        <v/>
      </c>
      <c r="H790" s="59"/>
      <c r="I790" s="60">
        <f>IF(OR(H790="",E790="",C790="",D790=""),"",IF(C790+D790=0,"",(H790*D790+E790*C790)/(C790+D790)))</f>
        <v/>
      </c>
      <c r="J790" s="59"/>
      <c r="K790" s="61">
        <f>IF(OR(J790="",I790=""),"",J790-I790)</f>
        <v/>
      </c>
      <c r="L790" s="61">
        <f>IF(OR(J790="",G790=""),"",J790-G790)</f>
        <v/>
      </c>
      <c r="M790" s="59"/>
      <c r="N790" s="59"/>
      <c r="O790" s="59"/>
      <c r="P790" s="59"/>
      <c r="Q790" s="59"/>
      <c r="R790" s="60">
        <f>IF(AND(P790="",Q790=""),"",N(P790)+N(Q790))</f>
        <v/>
      </c>
      <c r="S790" s="59"/>
      <c r="T790" s="59"/>
      <c r="U790" s="62">
        <f>IF(OR(R790="",S790="",T790=""),"",IF(S790+T790=0,"",R790/(S790+T790)))</f>
        <v/>
      </c>
      <c r="V790" s="63"/>
      <c r="W790" s="64"/>
      <c r="X790" s="63"/>
    </row>
    <row r="791" spans="2:24">
      <c r="B791" s="58"/>
      <c r="C791" s="59"/>
      <c r="D791" s="59"/>
      <c r="E791" s="59"/>
      <c r="F791" s="59"/>
      <c r="G791" s="60">
        <f>IF(OR(E791="",F791="",C791="",D791=""),"",IF(C791+D791=0,"",(E791*C791+F791*D791)/(C791+D791)))</f>
        <v/>
      </c>
      <c r="H791" s="59"/>
      <c r="I791" s="60">
        <f>IF(OR(H791="",E791="",C791="",D791=""),"",IF(C791+D791=0,"",(H791*D791+E791*C791)/(C791+D791)))</f>
        <v/>
      </c>
      <c r="J791" s="59"/>
      <c r="K791" s="61">
        <f>IF(OR(J791="",I791=""),"",J791-I791)</f>
        <v/>
      </c>
      <c r="L791" s="61">
        <f>IF(OR(J791="",G791=""),"",J791-G791)</f>
        <v/>
      </c>
      <c r="M791" s="59"/>
      <c r="N791" s="59"/>
      <c r="O791" s="59"/>
      <c r="P791" s="59"/>
      <c r="Q791" s="59"/>
      <c r="R791" s="60">
        <f>IF(AND(P791="",Q791=""),"",N(P791)+N(Q791))</f>
        <v/>
      </c>
      <c r="S791" s="59"/>
      <c r="T791" s="59"/>
      <c r="U791" s="62">
        <f>IF(OR(R791="",S791="",T791=""),"",IF(S791+T791=0,"",R791/(S791+T791)))</f>
        <v/>
      </c>
      <c r="V791" s="63"/>
      <c r="W791" s="64"/>
      <c r="X791" s="63"/>
    </row>
    <row r="792" spans="2:24">
      <c r="B792" s="58"/>
      <c r="C792" s="59"/>
      <c r="D792" s="59"/>
      <c r="E792" s="59"/>
      <c r="F792" s="59"/>
      <c r="G792" s="60">
        <f>IF(OR(E792="",F792="",C792="",D792=""),"",IF(C792+D792=0,"",(E792*C792+F792*D792)/(C792+D792)))</f>
        <v/>
      </c>
      <c r="H792" s="59"/>
      <c r="I792" s="60">
        <f>IF(OR(H792="",E792="",C792="",D792=""),"",IF(C792+D792=0,"",(H792*D792+E792*C792)/(C792+D792)))</f>
        <v/>
      </c>
      <c r="J792" s="59"/>
      <c r="K792" s="61">
        <f>IF(OR(J792="",I792=""),"",J792-I792)</f>
        <v/>
      </c>
      <c r="L792" s="61">
        <f>IF(OR(J792="",G792=""),"",J792-G792)</f>
        <v/>
      </c>
      <c r="M792" s="59"/>
      <c r="N792" s="59"/>
      <c r="O792" s="59"/>
      <c r="P792" s="59"/>
      <c r="Q792" s="59"/>
      <c r="R792" s="60">
        <f>IF(AND(P792="",Q792=""),"",N(P792)+N(Q792))</f>
        <v/>
      </c>
      <c r="S792" s="59"/>
      <c r="T792" s="59"/>
      <c r="U792" s="62">
        <f>IF(OR(R792="",S792="",T792=""),"",IF(S792+T792=0,"",R792/(S792+T792)))</f>
        <v/>
      </c>
      <c r="V792" s="63"/>
      <c r="W792" s="64"/>
      <c r="X792" s="63"/>
    </row>
    <row r="793" spans="2:24">
      <c r="B793" s="58"/>
      <c r="C793" s="59"/>
      <c r="D793" s="59"/>
      <c r="E793" s="59"/>
      <c r="F793" s="59"/>
      <c r="G793" s="60">
        <f>IF(OR(E793="",F793="",C793="",D793=""),"",IF(C793+D793=0,"",(E793*C793+F793*D793)/(C793+D793)))</f>
        <v/>
      </c>
      <c r="H793" s="59"/>
      <c r="I793" s="60">
        <f>IF(OR(H793="",E793="",C793="",D793=""),"",IF(C793+D793=0,"",(H793*D793+E793*C793)/(C793+D793)))</f>
        <v/>
      </c>
      <c r="J793" s="59"/>
      <c r="K793" s="61">
        <f>IF(OR(J793="",I793=""),"",J793-I793)</f>
        <v/>
      </c>
      <c r="L793" s="61">
        <f>IF(OR(J793="",G793=""),"",J793-G793)</f>
        <v/>
      </c>
      <c r="M793" s="59"/>
      <c r="N793" s="59"/>
      <c r="O793" s="59"/>
      <c r="P793" s="59"/>
      <c r="Q793" s="59"/>
      <c r="R793" s="60">
        <f>IF(AND(P793="",Q793=""),"",N(P793)+N(Q793))</f>
        <v/>
      </c>
      <c r="S793" s="59"/>
      <c r="T793" s="59"/>
      <c r="U793" s="62">
        <f>IF(OR(R793="",S793="",T793=""),"",IF(S793+T793=0,"",R793/(S793+T793)))</f>
        <v/>
      </c>
      <c r="V793" s="63"/>
      <c r="W793" s="64"/>
      <c r="X793" s="63"/>
    </row>
    <row r="794" spans="2:24">
      <c r="B794" s="58"/>
      <c r="C794" s="59"/>
      <c r="D794" s="59"/>
      <c r="E794" s="59"/>
      <c r="F794" s="59"/>
      <c r="G794" s="60">
        <f>IF(OR(E794="",F794="",C794="",D794=""),"",IF(C794+D794=0,"",(E794*C794+F794*D794)/(C794+D794)))</f>
        <v/>
      </c>
      <c r="H794" s="59"/>
      <c r="I794" s="60">
        <f>IF(OR(H794="",E794="",C794="",D794=""),"",IF(C794+D794=0,"",(H794*D794+E794*C794)/(C794+D794)))</f>
        <v/>
      </c>
      <c r="J794" s="59"/>
      <c r="K794" s="61">
        <f>IF(OR(J794="",I794=""),"",J794-I794)</f>
        <v/>
      </c>
      <c r="L794" s="61">
        <f>IF(OR(J794="",G794=""),"",J794-G794)</f>
        <v/>
      </c>
      <c r="M794" s="59"/>
      <c r="N794" s="59"/>
      <c r="O794" s="59"/>
      <c r="P794" s="59"/>
      <c r="Q794" s="59"/>
      <c r="R794" s="60">
        <f>IF(AND(P794="",Q794=""),"",N(P794)+N(Q794))</f>
        <v/>
      </c>
      <c r="S794" s="59"/>
      <c r="T794" s="59"/>
      <c r="U794" s="62">
        <f>IF(OR(R794="",S794="",T794=""),"",IF(S794+T794=0,"",R794/(S794+T794)))</f>
        <v/>
      </c>
      <c r="V794" s="63"/>
      <c r="W794" s="64"/>
      <c r="X794" s="63"/>
    </row>
    <row r="795" spans="2:24">
      <c r="B795" s="58"/>
      <c r="C795" s="59"/>
      <c r="D795" s="59"/>
      <c r="E795" s="59"/>
      <c r="F795" s="59"/>
      <c r="G795" s="60">
        <f>IF(OR(E795="",F795="",C795="",D795=""),"",IF(C795+D795=0,"",(E795*C795+F795*D795)/(C795+D795)))</f>
        <v/>
      </c>
      <c r="H795" s="59"/>
      <c r="I795" s="60">
        <f>IF(OR(H795="",E795="",C795="",D795=""),"",IF(C795+D795=0,"",(H795*D795+E795*C795)/(C795+D795)))</f>
        <v/>
      </c>
      <c r="J795" s="59"/>
      <c r="K795" s="61">
        <f>IF(OR(J795="",I795=""),"",J795-I795)</f>
        <v/>
      </c>
      <c r="L795" s="61">
        <f>IF(OR(J795="",G795=""),"",J795-G795)</f>
        <v/>
      </c>
      <c r="M795" s="59"/>
      <c r="N795" s="59"/>
      <c r="O795" s="59"/>
      <c r="P795" s="59"/>
      <c r="Q795" s="59"/>
      <c r="R795" s="60">
        <f>IF(AND(P795="",Q795=""),"",N(P795)+N(Q795))</f>
        <v/>
      </c>
      <c r="S795" s="59"/>
      <c r="T795" s="59"/>
      <c r="U795" s="62">
        <f>IF(OR(R795="",S795="",T795=""),"",IF(S795+T795=0,"",R795/(S795+T795)))</f>
        <v/>
      </c>
      <c r="V795" s="63"/>
      <c r="W795" s="64"/>
      <c r="X795" s="63"/>
    </row>
    <row r="796" spans="2:24">
      <c r="B796" s="58"/>
      <c r="C796" s="59"/>
      <c r="D796" s="59"/>
      <c r="E796" s="59"/>
      <c r="F796" s="59"/>
      <c r="G796" s="60">
        <f>IF(OR(E796="",F796="",C796="",D796=""),"",IF(C796+D796=0,"",(E796*C796+F796*D796)/(C796+D796)))</f>
        <v/>
      </c>
      <c r="H796" s="59"/>
      <c r="I796" s="60">
        <f>IF(OR(H796="",E796="",C796="",D796=""),"",IF(C796+D796=0,"",(H796*D796+E796*C796)/(C796+D796)))</f>
        <v/>
      </c>
      <c r="J796" s="59"/>
      <c r="K796" s="61">
        <f>IF(OR(J796="",I796=""),"",J796-I796)</f>
        <v/>
      </c>
      <c r="L796" s="61">
        <f>IF(OR(J796="",G796=""),"",J796-G796)</f>
        <v/>
      </c>
      <c r="M796" s="59"/>
      <c r="N796" s="59"/>
      <c r="O796" s="59"/>
      <c r="P796" s="59"/>
      <c r="Q796" s="59"/>
      <c r="R796" s="60">
        <f>IF(AND(P796="",Q796=""),"",N(P796)+N(Q796))</f>
        <v/>
      </c>
      <c r="S796" s="59"/>
      <c r="T796" s="59"/>
      <c r="U796" s="62">
        <f>IF(OR(R796="",S796="",T796=""),"",IF(S796+T796=0,"",R796/(S796+T796)))</f>
        <v/>
      </c>
      <c r="V796" s="63"/>
      <c r="W796" s="64"/>
      <c r="X796" s="63"/>
    </row>
    <row r="797" spans="2:24">
      <c r="B797" s="58"/>
      <c r="C797" s="59"/>
      <c r="D797" s="59"/>
      <c r="E797" s="59"/>
      <c r="F797" s="59"/>
      <c r="G797" s="60">
        <f>IF(OR(E797="",F797="",C797="",D797=""),"",IF(C797+D797=0,"",(E797*C797+F797*D797)/(C797+D797)))</f>
        <v/>
      </c>
      <c r="H797" s="59"/>
      <c r="I797" s="60">
        <f>IF(OR(H797="",E797="",C797="",D797=""),"",IF(C797+D797=0,"",(H797*D797+E797*C797)/(C797+D797)))</f>
        <v/>
      </c>
      <c r="J797" s="59"/>
      <c r="K797" s="61">
        <f>IF(OR(J797="",I797=""),"",J797-I797)</f>
        <v/>
      </c>
      <c r="L797" s="61">
        <f>IF(OR(J797="",G797=""),"",J797-G797)</f>
        <v/>
      </c>
      <c r="M797" s="59"/>
      <c r="N797" s="59"/>
      <c r="O797" s="59"/>
      <c r="P797" s="59"/>
      <c r="Q797" s="59"/>
      <c r="R797" s="60">
        <f>IF(AND(P797="",Q797=""),"",N(P797)+N(Q797))</f>
        <v/>
      </c>
      <c r="S797" s="59"/>
      <c r="T797" s="59"/>
      <c r="U797" s="62">
        <f>IF(OR(R797="",S797="",T797=""),"",IF(S797+T797=0,"",R797/(S797+T797)))</f>
        <v/>
      </c>
      <c r="V797" s="63"/>
      <c r="W797" s="64"/>
      <c r="X797" s="63"/>
    </row>
    <row r="798" spans="2:24">
      <c r="B798" s="58"/>
      <c r="C798" s="59"/>
      <c r="D798" s="59"/>
      <c r="E798" s="59"/>
      <c r="F798" s="59"/>
      <c r="G798" s="60">
        <f>IF(OR(E798="",F798="",C798="",D798=""),"",IF(C798+D798=0,"",(E798*C798+F798*D798)/(C798+D798)))</f>
        <v/>
      </c>
      <c r="H798" s="59"/>
      <c r="I798" s="60">
        <f>IF(OR(H798="",E798="",C798="",D798=""),"",IF(C798+D798=0,"",(H798*D798+E798*C798)/(C798+D798)))</f>
        <v/>
      </c>
      <c r="J798" s="59"/>
      <c r="K798" s="61">
        <f>IF(OR(J798="",I798=""),"",J798-I798)</f>
        <v/>
      </c>
      <c r="L798" s="61">
        <f>IF(OR(J798="",G798=""),"",J798-G798)</f>
        <v/>
      </c>
      <c r="M798" s="59"/>
      <c r="N798" s="59"/>
      <c r="O798" s="59"/>
      <c r="P798" s="59"/>
      <c r="Q798" s="59"/>
      <c r="R798" s="60">
        <f>IF(AND(P798="",Q798=""),"",N(P798)+N(Q798))</f>
        <v/>
      </c>
      <c r="S798" s="59"/>
      <c r="T798" s="59"/>
      <c r="U798" s="62">
        <f>IF(OR(R798="",S798="",T798=""),"",IF(S798+T798=0,"",R798/(S798+T798)))</f>
        <v/>
      </c>
      <c r="V798" s="63"/>
      <c r="W798" s="64"/>
      <c r="X798" s="63"/>
    </row>
    <row r="799" spans="2:24">
      <c r="B799" s="58"/>
      <c r="C799" s="59"/>
      <c r="D799" s="59"/>
      <c r="E799" s="59"/>
      <c r="F799" s="59"/>
      <c r="G799" s="60">
        <f>IF(OR(E799="",F799="",C799="",D799=""),"",IF(C799+D799=0,"",(E799*C799+F799*D799)/(C799+D799)))</f>
        <v/>
      </c>
      <c r="H799" s="59"/>
      <c r="I799" s="60">
        <f>IF(OR(H799="",E799="",C799="",D799=""),"",IF(C799+D799=0,"",(H799*D799+E799*C799)/(C799+D799)))</f>
        <v/>
      </c>
      <c r="J799" s="59"/>
      <c r="K799" s="61">
        <f>IF(OR(J799="",I799=""),"",J799-I799)</f>
        <v/>
      </c>
      <c r="L799" s="61">
        <f>IF(OR(J799="",G799=""),"",J799-G799)</f>
        <v/>
      </c>
      <c r="M799" s="59"/>
      <c r="N799" s="59"/>
      <c r="O799" s="59"/>
      <c r="P799" s="59"/>
      <c r="Q799" s="59"/>
      <c r="R799" s="60">
        <f>IF(AND(P799="",Q799=""),"",N(P799)+N(Q799))</f>
        <v/>
      </c>
      <c r="S799" s="59"/>
      <c r="T799" s="59"/>
      <c r="U799" s="62">
        <f>IF(OR(R799="",S799="",T799=""),"",IF(S799+T799=0,"",R799/(S799+T799)))</f>
        <v/>
      </c>
      <c r="V799" s="63"/>
      <c r="W799" s="64"/>
      <c r="X799" s="63"/>
    </row>
    <row r="800" spans="2:24">
      <c r="B800" s="58"/>
      <c r="C800" s="59"/>
      <c r="D800" s="59"/>
      <c r="E800" s="59"/>
      <c r="F800" s="59"/>
      <c r="G800" s="60">
        <f>IF(OR(E800="",F800="",C800="",D800=""),"",IF(C800+D800=0,"",(E800*C800+F800*D800)/(C800+D800)))</f>
        <v/>
      </c>
      <c r="H800" s="59"/>
      <c r="I800" s="60">
        <f>IF(OR(H800="",E800="",C800="",D800=""),"",IF(C800+D800=0,"",(H800*D800+E800*C800)/(C800+D800)))</f>
        <v/>
      </c>
      <c r="J800" s="59"/>
      <c r="K800" s="61">
        <f>IF(OR(J800="",I800=""),"",J800-I800)</f>
        <v/>
      </c>
      <c r="L800" s="61">
        <f>IF(OR(J800="",G800=""),"",J800-G800)</f>
        <v/>
      </c>
      <c r="M800" s="59"/>
      <c r="N800" s="59"/>
      <c r="O800" s="59"/>
      <c r="P800" s="59"/>
      <c r="Q800" s="59"/>
      <c r="R800" s="60">
        <f>IF(AND(P800="",Q800=""),"",N(P800)+N(Q800))</f>
        <v/>
      </c>
      <c r="S800" s="59"/>
      <c r="T800" s="59"/>
      <c r="U800" s="62">
        <f>IF(OR(R800="",S800="",T800=""),"",IF(S800+T800=0,"",R800/(S800+T800)))</f>
        <v/>
      </c>
      <c r="V800" s="63"/>
      <c r="W800" s="64"/>
      <c r="X800" s="63"/>
    </row>
    <row r="801" spans="2:24">
      <c r="B801" s="58"/>
      <c r="C801" s="59"/>
      <c r="D801" s="59"/>
      <c r="E801" s="59"/>
      <c r="F801" s="59"/>
      <c r="G801" s="60">
        <f>IF(OR(E801="",F801="",C801="",D801=""),"",IF(C801+D801=0,"",(E801*C801+F801*D801)/(C801+D801)))</f>
        <v/>
      </c>
      <c r="H801" s="59"/>
      <c r="I801" s="60">
        <f>IF(OR(H801="",E801="",C801="",D801=""),"",IF(C801+D801=0,"",(H801*D801+E801*C801)/(C801+D801)))</f>
        <v/>
      </c>
      <c r="J801" s="59"/>
      <c r="K801" s="61">
        <f>IF(OR(J801="",I801=""),"",J801-I801)</f>
        <v/>
      </c>
      <c r="L801" s="61">
        <f>IF(OR(J801="",G801=""),"",J801-G801)</f>
        <v/>
      </c>
      <c r="M801" s="59"/>
      <c r="N801" s="59"/>
      <c r="O801" s="59"/>
      <c r="P801" s="59"/>
      <c r="Q801" s="59"/>
      <c r="R801" s="60">
        <f>IF(AND(P801="",Q801=""),"",N(P801)+N(Q801))</f>
        <v/>
      </c>
      <c r="S801" s="59"/>
      <c r="T801" s="59"/>
      <c r="U801" s="62">
        <f>IF(OR(R801="",S801="",T801=""),"",IF(S801+T801=0,"",R801/(S801+T801)))</f>
        <v/>
      </c>
      <c r="V801" s="63"/>
      <c r="W801" s="64"/>
      <c r="X801" s="63"/>
    </row>
    <row r="802" spans="2:24">
      <c r="B802" s="58"/>
      <c r="C802" s="59"/>
      <c r="D802" s="59"/>
      <c r="E802" s="59"/>
      <c r="F802" s="59"/>
      <c r="G802" s="60">
        <f>IF(OR(E802="",F802="",C802="",D802=""),"",IF(C802+D802=0,"",(E802*C802+F802*D802)/(C802+D802)))</f>
        <v/>
      </c>
      <c r="H802" s="59"/>
      <c r="I802" s="60">
        <f>IF(OR(H802="",E802="",C802="",D802=""),"",IF(C802+D802=0,"",(H802*D802+E802*C802)/(C802+D802)))</f>
        <v/>
      </c>
      <c r="J802" s="59"/>
      <c r="K802" s="61">
        <f>IF(OR(J802="",I802=""),"",J802-I802)</f>
        <v/>
      </c>
      <c r="L802" s="61">
        <f>IF(OR(J802="",G802=""),"",J802-G802)</f>
        <v/>
      </c>
      <c r="M802" s="59"/>
      <c r="N802" s="59"/>
      <c r="O802" s="59"/>
      <c r="P802" s="59"/>
      <c r="Q802" s="59"/>
      <c r="R802" s="60">
        <f>IF(AND(P802="",Q802=""),"",N(P802)+N(Q802))</f>
        <v/>
      </c>
      <c r="S802" s="59"/>
      <c r="T802" s="59"/>
      <c r="U802" s="62">
        <f>IF(OR(R802="",S802="",T802=""),"",IF(S802+T802=0,"",R802/(S802+T802)))</f>
        <v/>
      </c>
      <c r="V802" s="63"/>
      <c r="W802" s="64"/>
      <c r="X802" s="63"/>
    </row>
    <row r="803" spans="2:24">
      <c r="B803" s="58"/>
      <c r="C803" s="59"/>
      <c r="D803" s="59"/>
      <c r="E803" s="59"/>
      <c r="F803" s="59"/>
      <c r="G803" s="60">
        <f>IF(OR(E803="",F803="",C803="",D803=""),"",IF(C803+D803=0,"",(E803*C803+F803*D803)/(C803+D803)))</f>
        <v/>
      </c>
      <c r="H803" s="59"/>
      <c r="I803" s="60">
        <f>IF(OR(H803="",E803="",C803="",D803=""),"",IF(C803+D803=0,"",(H803*D803+E803*C803)/(C803+D803)))</f>
        <v/>
      </c>
      <c r="J803" s="59"/>
      <c r="K803" s="61">
        <f>IF(OR(J803="",I803=""),"",J803-I803)</f>
        <v/>
      </c>
      <c r="L803" s="61">
        <f>IF(OR(J803="",G803=""),"",J803-G803)</f>
        <v/>
      </c>
      <c r="M803" s="59"/>
      <c r="N803" s="59"/>
      <c r="O803" s="59"/>
      <c r="P803" s="59"/>
      <c r="Q803" s="59"/>
      <c r="R803" s="60">
        <f>IF(AND(P803="",Q803=""),"",N(P803)+N(Q803))</f>
        <v/>
      </c>
      <c r="S803" s="59"/>
      <c r="T803" s="59"/>
      <c r="U803" s="62">
        <f>IF(OR(R803="",S803="",T803=""),"",IF(S803+T803=0,"",R803/(S803+T803)))</f>
        <v/>
      </c>
      <c r="V803" s="63"/>
      <c r="W803" s="64"/>
      <c r="X803" s="63"/>
    </row>
    <row r="804" spans="2:24">
      <c r="B804" s="58"/>
      <c r="C804" s="59"/>
      <c r="D804" s="59"/>
      <c r="E804" s="59"/>
      <c r="F804" s="59"/>
      <c r="G804" s="60">
        <f>IF(OR(E804="",F804="",C804="",D804=""),"",IF(C804+D804=0,"",(E804*C804+F804*D804)/(C804+D804)))</f>
        <v/>
      </c>
      <c r="H804" s="59"/>
      <c r="I804" s="60">
        <f>IF(OR(H804="",E804="",C804="",D804=""),"",IF(C804+D804=0,"",(H804*D804+E804*C804)/(C804+D804)))</f>
        <v/>
      </c>
      <c r="J804" s="59"/>
      <c r="K804" s="61">
        <f>IF(OR(J804="",I804=""),"",J804-I804)</f>
        <v/>
      </c>
      <c r="L804" s="61">
        <f>IF(OR(J804="",G804=""),"",J804-G804)</f>
        <v/>
      </c>
      <c r="M804" s="59"/>
      <c r="N804" s="59"/>
      <c r="O804" s="59"/>
      <c r="P804" s="59"/>
      <c r="Q804" s="59"/>
      <c r="R804" s="60">
        <f>IF(AND(P804="",Q804=""),"",N(P804)+N(Q804))</f>
        <v/>
      </c>
      <c r="S804" s="59"/>
      <c r="T804" s="59"/>
      <c r="U804" s="62">
        <f>IF(OR(R804="",S804="",T804=""),"",IF(S804+T804=0,"",R804/(S804+T804)))</f>
        <v/>
      </c>
      <c r="V804" s="63"/>
      <c r="W804" s="64"/>
      <c r="X804" s="63"/>
    </row>
    <row r="805" spans="2:24">
      <c r="B805" s="58"/>
      <c r="C805" s="59"/>
      <c r="D805" s="59"/>
      <c r="E805" s="59"/>
      <c r="F805" s="59"/>
      <c r="G805" s="60">
        <f>IF(OR(E805="",F805="",C805="",D805=""),"",IF(C805+D805=0,"",(E805*C805+F805*D805)/(C805+D805)))</f>
        <v/>
      </c>
      <c r="H805" s="59"/>
      <c r="I805" s="60">
        <f>IF(OR(H805="",E805="",C805="",D805=""),"",IF(C805+D805=0,"",(H805*D805+E805*C805)/(C805+D805)))</f>
        <v/>
      </c>
      <c r="J805" s="59"/>
      <c r="K805" s="61">
        <f>IF(OR(J805="",I805=""),"",J805-I805)</f>
        <v/>
      </c>
      <c r="L805" s="61">
        <f>IF(OR(J805="",G805=""),"",J805-G805)</f>
        <v/>
      </c>
      <c r="M805" s="59"/>
      <c r="N805" s="59"/>
      <c r="O805" s="59"/>
      <c r="P805" s="59"/>
      <c r="Q805" s="59"/>
      <c r="R805" s="60">
        <f>IF(AND(P805="",Q805=""),"",N(P805)+N(Q805))</f>
        <v/>
      </c>
      <c r="S805" s="59"/>
      <c r="T805" s="59"/>
      <c r="U805" s="62">
        <f>IF(OR(R805="",S805="",T805=""),"",IF(S805+T805=0,"",R805/(S805+T805)))</f>
        <v/>
      </c>
      <c r="V805" s="63"/>
      <c r="W805" s="64"/>
      <c r="X805" s="63"/>
    </row>
    <row r="806" spans="2:24">
      <c r="B806" s="58"/>
      <c r="C806" s="59"/>
      <c r="D806" s="59"/>
      <c r="E806" s="59"/>
      <c r="F806" s="59"/>
      <c r="G806" s="60">
        <f>IF(OR(E806="",F806="",C806="",D806=""),"",IF(C806+D806=0,"",(E806*C806+F806*D806)/(C806+D806)))</f>
        <v/>
      </c>
      <c r="H806" s="59"/>
      <c r="I806" s="60">
        <f>IF(OR(H806="",E806="",C806="",D806=""),"",IF(C806+D806=0,"",(H806*D806+E806*C806)/(C806+D806)))</f>
        <v/>
      </c>
      <c r="J806" s="59"/>
      <c r="K806" s="61">
        <f>IF(OR(J806="",I806=""),"",J806-I806)</f>
        <v/>
      </c>
      <c r="L806" s="61">
        <f>IF(OR(J806="",G806=""),"",J806-G806)</f>
        <v/>
      </c>
      <c r="M806" s="59"/>
      <c r="N806" s="59"/>
      <c r="O806" s="59"/>
      <c r="P806" s="59"/>
      <c r="Q806" s="59"/>
      <c r="R806" s="60">
        <f>IF(AND(P806="",Q806=""),"",N(P806)+N(Q806))</f>
        <v/>
      </c>
      <c r="S806" s="59"/>
      <c r="T806" s="59"/>
      <c r="U806" s="62">
        <f>IF(OR(R806="",S806="",T806=""),"",IF(S806+T806=0,"",R806/(S806+T806)))</f>
        <v/>
      </c>
      <c r="V806" s="63"/>
      <c r="W806" s="64"/>
      <c r="X806" s="63"/>
    </row>
    <row r="807" spans="2:24">
      <c r="B807" s="58"/>
      <c r="C807" s="59"/>
      <c r="D807" s="59"/>
      <c r="E807" s="59"/>
      <c r="F807" s="59"/>
      <c r="G807" s="60">
        <f>IF(OR(E807="",F807="",C807="",D807=""),"",IF(C807+D807=0,"",(E807*C807+F807*D807)/(C807+D807)))</f>
        <v/>
      </c>
      <c r="H807" s="59"/>
      <c r="I807" s="60">
        <f>IF(OR(H807="",E807="",C807="",D807=""),"",IF(C807+D807=0,"",(H807*D807+E807*C807)/(C807+D807)))</f>
        <v/>
      </c>
      <c r="J807" s="59"/>
      <c r="K807" s="61">
        <f>IF(OR(J807="",I807=""),"",J807-I807)</f>
        <v/>
      </c>
      <c r="L807" s="61">
        <f>IF(OR(J807="",G807=""),"",J807-G807)</f>
        <v/>
      </c>
      <c r="M807" s="59"/>
      <c r="N807" s="59"/>
      <c r="O807" s="59"/>
      <c r="P807" s="59"/>
      <c r="Q807" s="59"/>
      <c r="R807" s="60">
        <f>IF(AND(P807="",Q807=""),"",N(P807)+N(Q807))</f>
        <v/>
      </c>
      <c r="S807" s="59"/>
      <c r="T807" s="59"/>
      <c r="U807" s="62">
        <f>IF(OR(R807="",S807="",T807=""),"",IF(S807+T807=0,"",R807/(S807+T807)))</f>
        <v/>
      </c>
      <c r="V807" s="63"/>
      <c r="W807" s="64"/>
      <c r="X807" s="63"/>
    </row>
    <row r="808" spans="2:24">
      <c r="B808" s="58"/>
      <c r="C808" s="59"/>
      <c r="D808" s="59"/>
      <c r="E808" s="59"/>
      <c r="F808" s="59"/>
      <c r="G808" s="60">
        <f>IF(OR(E808="",F808="",C808="",D808=""),"",IF(C808+D808=0,"",(E808*C808+F808*D808)/(C808+D808)))</f>
        <v/>
      </c>
      <c r="H808" s="59"/>
      <c r="I808" s="60">
        <f>IF(OR(H808="",E808="",C808="",D808=""),"",IF(C808+D808=0,"",(H808*D808+E808*C808)/(C808+D808)))</f>
        <v/>
      </c>
      <c r="J808" s="59"/>
      <c r="K808" s="61">
        <f>IF(OR(J808="",I808=""),"",J808-I808)</f>
        <v/>
      </c>
      <c r="L808" s="61">
        <f>IF(OR(J808="",G808=""),"",J808-G808)</f>
        <v/>
      </c>
      <c r="M808" s="59"/>
      <c r="N808" s="59"/>
      <c r="O808" s="59"/>
      <c r="P808" s="59"/>
      <c r="Q808" s="59"/>
      <c r="R808" s="60">
        <f>IF(AND(P808="",Q808=""),"",N(P808)+N(Q808))</f>
        <v/>
      </c>
      <c r="S808" s="59"/>
      <c r="T808" s="59"/>
      <c r="U808" s="62">
        <f>IF(OR(R808="",S808="",T808=""),"",IF(S808+T808=0,"",R808/(S808+T808)))</f>
        <v/>
      </c>
      <c r="V808" s="63"/>
      <c r="W808" s="64"/>
      <c r="X808" s="63"/>
    </row>
    <row r="809" spans="2:24">
      <c r="B809" s="58"/>
      <c r="C809" s="59"/>
      <c r="D809" s="59"/>
      <c r="E809" s="59"/>
      <c r="F809" s="59"/>
      <c r="G809" s="60">
        <f>IF(OR(E809="",F809="",C809="",D809=""),"",IF(C809+D809=0,"",(E809*C809+F809*D809)/(C809+D809)))</f>
        <v/>
      </c>
      <c r="H809" s="59"/>
      <c r="I809" s="60">
        <f>IF(OR(H809="",E809="",C809="",D809=""),"",IF(C809+D809=0,"",(H809*D809+E809*C809)/(C809+D809)))</f>
        <v/>
      </c>
      <c r="J809" s="59"/>
      <c r="K809" s="61">
        <f>IF(OR(J809="",I809=""),"",J809-I809)</f>
        <v/>
      </c>
      <c r="L809" s="61">
        <f>IF(OR(J809="",G809=""),"",J809-G809)</f>
        <v/>
      </c>
      <c r="M809" s="59"/>
      <c r="N809" s="59"/>
      <c r="O809" s="59"/>
      <c r="P809" s="59"/>
      <c r="Q809" s="59"/>
      <c r="R809" s="60">
        <f>IF(AND(P809="",Q809=""),"",N(P809)+N(Q809))</f>
        <v/>
      </c>
      <c r="S809" s="59"/>
      <c r="T809" s="59"/>
      <c r="U809" s="62">
        <f>IF(OR(R809="",S809="",T809=""),"",IF(S809+T809=0,"",R809/(S809+T809)))</f>
        <v/>
      </c>
      <c r="V809" s="63"/>
      <c r="W809" s="64"/>
      <c r="X809" s="63"/>
    </row>
    <row r="810" spans="2:24">
      <c r="B810" s="58"/>
      <c r="C810" s="59"/>
      <c r="D810" s="59"/>
      <c r="E810" s="59"/>
      <c r="F810" s="59"/>
      <c r="G810" s="60">
        <f>IF(OR(E810="",F810="",C810="",D810=""),"",IF(C810+D810=0,"",(E810*C810+F810*D810)/(C810+D810)))</f>
        <v/>
      </c>
      <c r="H810" s="59"/>
      <c r="I810" s="60">
        <f>IF(OR(H810="",E810="",C810="",D810=""),"",IF(C810+D810=0,"",(H810*D810+E810*C810)/(C810+D810)))</f>
        <v/>
      </c>
      <c r="J810" s="59"/>
      <c r="K810" s="61">
        <f>IF(OR(J810="",I810=""),"",J810-I810)</f>
        <v/>
      </c>
      <c r="L810" s="61">
        <f>IF(OR(J810="",G810=""),"",J810-G810)</f>
        <v/>
      </c>
      <c r="M810" s="59"/>
      <c r="N810" s="59"/>
      <c r="O810" s="59"/>
      <c r="P810" s="59"/>
      <c r="Q810" s="59"/>
      <c r="R810" s="60">
        <f>IF(AND(P810="",Q810=""),"",N(P810)+N(Q810))</f>
        <v/>
      </c>
      <c r="S810" s="59"/>
      <c r="T810" s="59"/>
      <c r="U810" s="62">
        <f>IF(OR(R810="",S810="",T810=""),"",IF(S810+T810=0,"",R810/(S810+T810)))</f>
        <v/>
      </c>
      <c r="V810" s="63"/>
      <c r="W810" s="64"/>
      <c r="X810" s="63"/>
    </row>
    <row r="811" spans="2:24">
      <c r="B811" s="58"/>
      <c r="C811" s="59"/>
      <c r="D811" s="59"/>
      <c r="E811" s="59"/>
      <c r="F811" s="59"/>
      <c r="G811" s="60">
        <f>IF(OR(E811="",F811="",C811="",D811=""),"",IF(C811+D811=0,"",(E811*C811+F811*D811)/(C811+D811)))</f>
        <v/>
      </c>
      <c r="H811" s="59"/>
      <c r="I811" s="60">
        <f>IF(OR(H811="",E811="",C811="",D811=""),"",IF(C811+D811=0,"",(H811*D811+E811*C811)/(C811+D811)))</f>
        <v/>
      </c>
      <c r="J811" s="59"/>
      <c r="K811" s="61">
        <f>IF(OR(J811="",I811=""),"",J811-I811)</f>
        <v/>
      </c>
      <c r="L811" s="61">
        <f>IF(OR(J811="",G811=""),"",J811-G811)</f>
        <v/>
      </c>
      <c r="M811" s="59"/>
      <c r="N811" s="59"/>
      <c r="O811" s="59"/>
      <c r="P811" s="59"/>
      <c r="Q811" s="59"/>
      <c r="R811" s="60">
        <f>IF(AND(P811="",Q811=""),"",N(P811)+N(Q811))</f>
        <v/>
      </c>
      <c r="S811" s="59"/>
      <c r="T811" s="59"/>
      <c r="U811" s="62">
        <f>IF(OR(R811="",S811="",T811=""),"",IF(S811+T811=0,"",R811/(S811+T811)))</f>
        <v/>
      </c>
      <c r="V811" s="63"/>
      <c r="W811" s="64"/>
      <c r="X811" s="63"/>
    </row>
    <row r="812" spans="2:24">
      <c r="B812" s="58"/>
      <c r="C812" s="59"/>
      <c r="D812" s="59"/>
      <c r="E812" s="59"/>
      <c r="F812" s="59"/>
      <c r="G812" s="60">
        <f>IF(OR(E812="",F812="",C812="",D812=""),"",IF(C812+D812=0,"",(E812*C812+F812*D812)/(C812+D812)))</f>
        <v/>
      </c>
      <c r="H812" s="59"/>
      <c r="I812" s="60">
        <f>IF(OR(H812="",E812="",C812="",D812=""),"",IF(C812+D812=0,"",(H812*D812+E812*C812)/(C812+D812)))</f>
        <v/>
      </c>
      <c r="J812" s="59"/>
      <c r="K812" s="61">
        <f>IF(OR(J812="",I812=""),"",J812-I812)</f>
        <v/>
      </c>
      <c r="L812" s="61">
        <f>IF(OR(J812="",G812=""),"",J812-G812)</f>
        <v/>
      </c>
      <c r="M812" s="59"/>
      <c r="N812" s="59"/>
      <c r="O812" s="59"/>
      <c r="P812" s="59"/>
      <c r="Q812" s="59"/>
      <c r="R812" s="60">
        <f>IF(AND(P812="",Q812=""),"",N(P812)+N(Q812))</f>
        <v/>
      </c>
      <c r="S812" s="59"/>
      <c r="T812" s="59"/>
      <c r="U812" s="62">
        <f>IF(OR(R812="",S812="",T812=""),"",IF(S812+T812=0,"",R812/(S812+T812)))</f>
        <v/>
      </c>
      <c r="V812" s="63"/>
      <c r="W812" s="64"/>
      <c r="X812" s="63"/>
    </row>
    <row r="813" spans="2:24">
      <c r="B813" s="58"/>
      <c r="C813" s="59"/>
      <c r="D813" s="59"/>
      <c r="E813" s="59"/>
      <c r="F813" s="59"/>
      <c r="G813" s="60">
        <f>IF(OR(E813="",F813="",C813="",D813=""),"",IF(C813+D813=0,"",(E813*C813+F813*D813)/(C813+D813)))</f>
        <v/>
      </c>
      <c r="H813" s="59"/>
      <c r="I813" s="60">
        <f>IF(OR(H813="",E813="",C813="",D813=""),"",IF(C813+D813=0,"",(H813*D813+E813*C813)/(C813+D813)))</f>
        <v/>
      </c>
      <c r="J813" s="59"/>
      <c r="K813" s="61">
        <f>IF(OR(J813="",I813=""),"",J813-I813)</f>
        <v/>
      </c>
      <c r="L813" s="61">
        <f>IF(OR(J813="",G813=""),"",J813-G813)</f>
        <v/>
      </c>
      <c r="M813" s="59"/>
      <c r="N813" s="59"/>
      <c r="O813" s="59"/>
      <c r="P813" s="59"/>
      <c r="Q813" s="59"/>
      <c r="R813" s="60">
        <f>IF(AND(P813="",Q813=""),"",N(P813)+N(Q813))</f>
        <v/>
      </c>
      <c r="S813" s="59"/>
      <c r="T813" s="59"/>
      <c r="U813" s="62">
        <f>IF(OR(R813="",S813="",T813=""),"",IF(S813+T813=0,"",R813/(S813+T813)))</f>
        <v/>
      </c>
      <c r="V813" s="63"/>
      <c r="W813" s="64"/>
      <c r="X813" s="63"/>
    </row>
    <row r="814" spans="2:24">
      <c r="B814" s="58"/>
      <c r="C814" s="59"/>
      <c r="D814" s="59"/>
      <c r="E814" s="59"/>
      <c r="F814" s="59"/>
      <c r="G814" s="60">
        <f>IF(OR(E814="",F814="",C814="",D814=""),"",IF(C814+D814=0,"",(E814*C814+F814*D814)/(C814+D814)))</f>
        <v/>
      </c>
      <c r="H814" s="59"/>
      <c r="I814" s="60">
        <f>IF(OR(H814="",E814="",C814="",D814=""),"",IF(C814+D814=0,"",(H814*D814+E814*C814)/(C814+D814)))</f>
        <v/>
      </c>
      <c r="J814" s="59"/>
      <c r="K814" s="61">
        <f>IF(OR(J814="",I814=""),"",J814-I814)</f>
        <v/>
      </c>
      <c r="L814" s="61">
        <f>IF(OR(J814="",G814=""),"",J814-G814)</f>
        <v/>
      </c>
      <c r="M814" s="59"/>
      <c r="N814" s="59"/>
      <c r="O814" s="59"/>
      <c r="P814" s="59"/>
      <c r="Q814" s="59"/>
      <c r="R814" s="60">
        <f>IF(AND(P814="",Q814=""),"",N(P814)+N(Q814))</f>
        <v/>
      </c>
      <c r="S814" s="59"/>
      <c r="T814" s="59"/>
      <c r="U814" s="62">
        <f>IF(OR(R814="",S814="",T814=""),"",IF(S814+T814=0,"",R814/(S814+T814)))</f>
        <v/>
      </c>
      <c r="V814" s="63"/>
      <c r="W814" s="64"/>
      <c r="X814" s="63"/>
    </row>
    <row r="815" spans="2:24">
      <c r="B815" s="58"/>
      <c r="C815" s="59"/>
      <c r="D815" s="59"/>
      <c r="E815" s="59"/>
      <c r="F815" s="59"/>
      <c r="G815" s="60">
        <f>IF(OR(E815="",F815="",C815="",D815=""),"",IF(C815+D815=0,"",(E815*C815+F815*D815)/(C815+D815)))</f>
        <v/>
      </c>
      <c r="H815" s="59"/>
      <c r="I815" s="60">
        <f>IF(OR(H815="",E815="",C815="",D815=""),"",IF(C815+D815=0,"",(H815*D815+E815*C815)/(C815+D815)))</f>
        <v/>
      </c>
      <c r="J815" s="59"/>
      <c r="K815" s="61">
        <f>IF(OR(J815="",I815=""),"",J815-I815)</f>
        <v/>
      </c>
      <c r="L815" s="61">
        <f>IF(OR(J815="",G815=""),"",J815-G815)</f>
        <v/>
      </c>
      <c r="M815" s="59"/>
      <c r="N815" s="59"/>
      <c r="O815" s="59"/>
      <c r="P815" s="59"/>
      <c r="Q815" s="59"/>
      <c r="R815" s="60">
        <f>IF(AND(P815="",Q815=""),"",N(P815)+N(Q815))</f>
        <v/>
      </c>
      <c r="S815" s="59"/>
      <c r="T815" s="59"/>
      <c r="U815" s="62">
        <f>IF(OR(R815="",S815="",T815=""),"",IF(S815+T815=0,"",R815/(S815+T815)))</f>
        <v/>
      </c>
      <c r="V815" s="63"/>
      <c r="W815" s="64"/>
      <c r="X815" s="63"/>
    </row>
    <row r="816" spans="2:24">
      <c r="B816" s="58"/>
      <c r="C816" s="59"/>
      <c r="D816" s="59"/>
      <c r="E816" s="59"/>
      <c r="F816" s="59"/>
      <c r="G816" s="60">
        <f>IF(OR(E816="",F816="",C816="",D816=""),"",IF(C816+D816=0,"",(E816*C816+F816*D816)/(C816+D816)))</f>
        <v/>
      </c>
      <c r="H816" s="59"/>
      <c r="I816" s="60">
        <f>IF(OR(H816="",E816="",C816="",D816=""),"",IF(C816+D816=0,"",(H816*D816+E816*C816)/(C816+D816)))</f>
        <v/>
      </c>
      <c r="J816" s="59"/>
      <c r="K816" s="61">
        <f>IF(OR(J816="",I816=""),"",J816-I816)</f>
        <v/>
      </c>
      <c r="L816" s="61">
        <f>IF(OR(J816="",G816=""),"",J816-G816)</f>
        <v/>
      </c>
      <c r="M816" s="59"/>
      <c r="N816" s="59"/>
      <c r="O816" s="59"/>
      <c r="P816" s="59"/>
      <c r="Q816" s="59"/>
      <c r="R816" s="60">
        <f>IF(AND(P816="",Q816=""),"",N(P816)+N(Q816))</f>
        <v/>
      </c>
      <c r="S816" s="59"/>
      <c r="T816" s="59"/>
      <c r="U816" s="62">
        <f>IF(OR(R816="",S816="",T816=""),"",IF(S816+T816=0,"",R816/(S816+T816)))</f>
        <v/>
      </c>
      <c r="V816" s="63"/>
      <c r="W816" s="64"/>
      <c r="X816" s="63"/>
    </row>
    <row r="817" spans="2:24">
      <c r="B817" s="58"/>
      <c r="C817" s="59"/>
      <c r="D817" s="59"/>
      <c r="E817" s="59"/>
      <c r="F817" s="59"/>
      <c r="G817" s="60">
        <f>IF(OR(E817="",F817="",C817="",D817=""),"",IF(C817+D817=0,"",(E817*C817+F817*D817)/(C817+D817)))</f>
        <v/>
      </c>
      <c r="H817" s="59"/>
      <c r="I817" s="60">
        <f>IF(OR(H817="",E817="",C817="",D817=""),"",IF(C817+D817=0,"",(H817*D817+E817*C817)/(C817+D817)))</f>
        <v/>
      </c>
      <c r="J817" s="59"/>
      <c r="K817" s="61">
        <f>IF(OR(J817="",I817=""),"",J817-I817)</f>
        <v/>
      </c>
      <c r="L817" s="61">
        <f>IF(OR(J817="",G817=""),"",J817-G817)</f>
        <v/>
      </c>
      <c r="M817" s="59"/>
      <c r="N817" s="59"/>
      <c r="O817" s="59"/>
      <c r="P817" s="59"/>
      <c r="Q817" s="59"/>
      <c r="R817" s="60">
        <f>IF(AND(P817="",Q817=""),"",N(P817)+N(Q817))</f>
        <v/>
      </c>
      <c r="S817" s="59"/>
      <c r="T817" s="59"/>
      <c r="U817" s="62">
        <f>IF(OR(R817="",S817="",T817=""),"",IF(S817+T817=0,"",R817/(S817+T817)))</f>
        <v/>
      </c>
      <c r="V817" s="63"/>
      <c r="W817" s="64"/>
      <c r="X817" s="63"/>
    </row>
    <row r="818" spans="2:24">
      <c r="B818" s="58"/>
      <c r="C818" s="59"/>
      <c r="D818" s="59"/>
      <c r="E818" s="59"/>
      <c r="F818" s="59"/>
      <c r="G818" s="60">
        <f>IF(OR(E818="",F818="",C818="",D818=""),"",IF(C818+D818=0,"",(E818*C818+F818*D818)/(C818+D818)))</f>
        <v/>
      </c>
      <c r="H818" s="59"/>
      <c r="I818" s="60">
        <f>IF(OR(H818="",E818="",C818="",D818=""),"",IF(C818+D818=0,"",(H818*D818+E818*C818)/(C818+D818)))</f>
        <v/>
      </c>
      <c r="J818" s="59"/>
      <c r="K818" s="61">
        <f>IF(OR(J818="",I818=""),"",J818-I818)</f>
        <v/>
      </c>
      <c r="L818" s="61">
        <f>IF(OR(J818="",G818=""),"",J818-G818)</f>
        <v/>
      </c>
      <c r="M818" s="59"/>
      <c r="N818" s="59"/>
      <c r="O818" s="59"/>
      <c r="P818" s="59"/>
      <c r="Q818" s="59"/>
      <c r="R818" s="60">
        <f>IF(AND(P818="",Q818=""),"",N(P818)+N(Q818))</f>
        <v/>
      </c>
      <c r="S818" s="59"/>
      <c r="T818" s="59"/>
      <c r="U818" s="62">
        <f>IF(OR(R818="",S818="",T818=""),"",IF(S818+T818=0,"",R818/(S818+T818)))</f>
        <v/>
      </c>
      <c r="V818" s="63"/>
      <c r="W818" s="64"/>
      <c r="X818" s="63"/>
    </row>
    <row r="819" spans="2:24">
      <c r="B819" s="58"/>
      <c r="C819" s="59"/>
      <c r="D819" s="59"/>
      <c r="E819" s="59"/>
      <c r="F819" s="59"/>
      <c r="G819" s="60">
        <f>IF(OR(E819="",F819="",C819="",D819=""),"",IF(C819+D819=0,"",(E819*C819+F819*D819)/(C819+D819)))</f>
        <v/>
      </c>
      <c r="H819" s="59"/>
      <c r="I819" s="60">
        <f>IF(OR(H819="",E819="",C819="",D819=""),"",IF(C819+D819=0,"",(H819*D819+E819*C819)/(C819+D819)))</f>
        <v/>
      </c>
      <c r="J819" s="59"/>
      <c r="K819" s="61">
        <f>IF(OR(J819="",I819=""),"",J819-I819)</f>
        <v/>
      </c>
      <c r="L819" s="61">
        <f>IF(OR(J819="",G819=""),"",J819-G819)</f>
        <v/>
      </c>
      <c r="M819" s="59"/>
      <c r="N819" s="59"/>
      <c r="O819" s="59"/>
      <c r="P819" s="59"/>
      <c r="Q819" s="59"/>
      <c r="R819" s="60">
        <f>IF(AND(P819="",Q819=""),"",N(P819)+N(Q819))</f>
        <v/>
      </c>
      <c r="S819" s="59"/>
      <c r="T819" s="59"/>
      <c r="U819" s="62">
        <f>IF(OR(R819="",S819="",T819=""),"",IF(S819+T819=0,"",R819/(S819+T819)))</f>
        <v/>
      </c>
      <c r="V819" s="63"/>
      <c r="W819" s="64"/>
      <c r="X819" s="63"/>
    </row>
    <row r="820" spans="2:24">
      <c r="B820" s="58"/>
      <c r="C820" s="59"/>
      <c r="D820" s="59"/>
      <c r="E820" s="59"/>
      <c r="F820" s="59"/>
      <c r="G820" s="60">
        <f>IF(OR(E820="",F820="",C820="",D820=""),"",IF(C820+D820=0,"",(E820*C820+F820*D820)/(C820+D820)))</f>
        <v/>
      </c>
      <c r="H820" s="59"/>
      <c r="I820" s="60">
        <f>IF(OR(H820="",E820="",C820="",D820=""),"",IF(C820+D820=0,"",(H820*D820+E820*C820)/(C820+D820)))</f>
        <v/>
      </c>
      <c r="J820" s="59"/>
      <c r="K820" s="61">
        <f>IF(OR(J820="",I820=""),"",J820-I820)</f>
        <v/>
      </c>
      <c r="L820" s="61">
        <f>IF(OR(J820="",G820=""),"",J820-G820)</f>
        <v/>
      </c>
      <c r="M820" s="59"/>
      <c r="N820" s="59"/>
      <c r="O820" s="59"/>
      <c r="P820" s="59"/>
      <c r="Q820" s="59"/>
      <c r="R820" s="60">
        <f>IF(AND(P820="",Q820=""),"",N(P820)+N(Q820))</f>
        <v/>
      </c>
      <c r="S820" s="59"/>
      <c r="T820" s="59"/>
      <c r="U820" s="62">
        <f>IF(OR(R820="",S820="",T820=""),"",IF(S820+T820=0,"",R820/(S820+T820)))</f>
        <v/>
      </c>
      <c r="V820" s="63"/>
      <c r="W820" s="64"/>
      <c r="X820" s="63"/>
    </row>
    <row r="821" spans="2:24">
      <c r="B821" s="58"/>
      <c r="C821" s="59"/>
      <c r="D821" s="59"/>
      <c r="E821" s="59"/>
      <c r="F821" s="59"/>
      <c r="G821" s="60">
        <f>IF(OR(E821="",F821="",C821="",D821=""),"",IF(C821+D821=0,"",(E821*C821+F821*D821)/(C821+D821)))</f>
        <v/>
      </c>
      <c r="H821" s="59"/>
      <c r="I821" s="60">
        <f>IF(OR(H821="",E821="",C821="",D821=""),"",IF(C821+D821=0,"",(H821*D821+E821*C821)/(C821+D821)))</f>
        <v/>
      </c>
      <c r="J821" s="59"/>
      <c r="K821" s="61">
        <f>IF(OR(J821="",I821=""),"",J821-I821)</f>
        <v/>
      </c>
      <c r="L821" s="61">
        <f>IF(OR(J821="",G821=""),"",J821-G821)</f>
        <v/>
      </c>
      <c r="M821" s="59"/>
      <c r="N821" s="59"/>
      <c r="O821" s="59"/>
      <c r="P821" s="59"/>
      <c r="Q821" s="59"/>
      <c r="R821" s="60">
        <f>IF(AND(P821="",Q821=""),"",N(P821)+N(Q821))</f>
        <v/>
      </c>
      <c r="S821" s="59"/>
      <c r="T821" s="59"/>
      <c r="U821" s="62">
        <f>IF(OR(R821="",S821="",T821=""),"",IF(S821+T821=0,"",R821/(S821+T821)))</f>
        <v/>
      </c>
      <c r="V821" s="63"/>
      <c r="W821" s="64"/>
      <c r="X821" s="63"/>
    </row>
    <row r="822" spans="2:24">
      <c r="B822" s="58"/>
      <c r="C822" s="59"/>
      <c r="D822" s="59"/>
      <c r="E822" s="59"/>
      <c r="F822" s="59"/>
      <c r="G822" s="60">
        <f>IF(OR(E822="",F822="",C822="",D822=""),"",IF(C822+D822=0,"",(E822*C822+F822*D822)/(C822+D822)))</f>
        <v/>
      </c>
      <c r="H822" s="59"/>
      <c r="I822" s="60">
        <f>IF(OR(H822="",E822="",C822="",D822=""),"",IF(C822+D822=0,"",(H822*D822+E822*C822)/(C822+D822)))</f>
        <v/>
      </c>
      <c r="J822" s="59"/>
      <c r="K822" s="61">
        <f>IF(OR(J822="",I822=""),"",J822-I822)</f>
        <v/>
      </c>
      <c r="L822" s="61">
        <f>IF(OR(J822="",G822=""),"",J822-G822)</f>
        <v/>
      </c>
      <c r="M822" s="59"/>
      <c r="N822" s="59"/>
      <c r="O822" s="59"/>
      <c r="P822" s="59"/>
      <c r="Q822" s="59"/>
      <c r="R822" s="60">
        <f>IF(AND(P822="",Q822=""),"",N(P822)+N(Q822))</f>
        <v/>
      </c>
      <c r="S822" s="59"/>
      <c r="T822" s="59"/>
      <c r="U822" s="62">
        <f>IF(OR(R822="",S822="",T822=""),"",IF(S822+T822=0,"",R822/(S822+T822)))</f>
        <v/>
      </c>
      <c r="V822" s="63"/>
      <c r="W822" s="64"/>
      <c r="X822" s="63"/>
    </row>
    <row r="823" spans="2:24">
      <c r="B823" s="58"/>
      <c r="C823" s="59"/>
      <c r="D823" s="59"/>
      <c r="E823" s="59"/>
      <c r="F823" s="59"/>
      <c r="G823" s="60">
        <f>IF(OR(E823="",F823="",C823="",D823=""),"",IF(C823+D823=0,"",(E823*C823+F823*D823)/(C823+D823)))</f>
        <v/>
      </c>
      <c r="H823" s="59"/>
      <c r="I823" s="60">
        <f>IF(OR(H823="",E823="",C823="",D823=""),"",IF(C823+D823=0,"",(H823*D823+E823*C823)/(C823+D823)))</f>
        <v/>
      </c>
      <c r="J823" s="59"/>
      <c r="K823" s="61">
        <f>IF(OR(J823="",I823=""),"",J823-I823)</f>
        <v/>
      </c>
      <c r="L823" s="61">
        <f>IF(OR(J823="",G823=""),"",J823-G823)</f>
        <v/>
      </c>
      <c r="M823" s="59"/>
      <c r="N823" s="59"/>
      <c r="O823" s="59"/>
      <c r="P823" s="59"/>
      <c r="Q823" s="59"/>
      <c r="R823" s="60">
        <f>IF(AND(P823="",Q823=""),"",N(P823)+N(Q823))</f>
        <v/>
      </c>
      <c r="S823" s="59"/>
      <c r="T823" s="59"/>
      <c r="U823" s="62">
        <f>IF(OR(R823="",S823="",T823=""),"",IF(S823+T823=0,"",R823/(S823+T823)))</f>
        <v/>
      </c>
      <c r="V823" s="63"/>
      <c r="W823" s="64"/>
      <c r="X823" s="63"/>
    </row>
    <row r="824" spans="2:24">
      <c r="B824" s="58"/>
      <c r="C824" s="59"/>
      <c r="D824" s="59"/>
      <c r="E824" s="59"/>
      <c r="F824" s="59"/>
      <c r="G824" s="60">
        <f>IF(OR(E824="",F824="",C824="",D824=""),"",IF(C824+D824=0,"",(E824*C824+F824*D824)/(C824+D824)))</f>
        <v/>
      </c>
      <c r="H824" s="59"/>
      <c r="I824" s="60">
        <f>IF(OR(H824="",E824="",C824="",D824=""),"",IF(C824+D824=0,"",(H824*D824+E824*C824)/(C824+D824)))</f>
        <v/>
      </c>
      <c r="J824" s="59"/>
      <c r="K824" s="61">
        <f>IF(OR(J824="",I824=""),"",J824-I824)</f>
        <v/>
      </c>
      <c r="L824" s="61">
        <f>IF(OR(J824="",G824=""),"",J824-G824)</f>
        <v/>
      </c>
      <c r="M824" s="59"/>
      <c r="N824" s="59"/>
      <c r="O824" s="59"/>
      <c r="P824" s="59"/>
      <c r="Q824" s="59"/>
      <c r="R824" s="60">
        <f>IF(AND(P824="",Q824=""),"",N(P824)+N(Q824))</f>
        <v/>
      </c>
      <c r="S824" s="59"/>
      <c r="T824" s="59"/>
      <c r="U824" s="62">
        <f>IF(OR(R824="",S824="",T824=""),"",IF(S824+T824=0,"",R824/(S824+T824)))</f>
        <v/>
      </c>
      <c r="V824" s="63"/>
      <c r="W824" s="64"/>
      <c r="X824" s="63"/>
    </row>
    <row r="825" spans="2:24">
      <c r="B825" s="58"/>
      <c r="C825" s="59"/>
      <c r="D825" s="59"/>
      <c r="E825" s="59"/>
      <c r="F825" s="59"/>
      <c r="G825" s="60">
        <f>IF(OR(E825="",F825="",C825="",D825=""),"",IF(C825+D825=0,"",(E825*C825+F825*D825)/(C825+D825)))</f>
        <v/>
      </c>
      <c r="H825" s="59"/>
      <c r="I825" s="60">
        <f>IF(OR(H825="",E825="",C825="",D825=""),"",IF(C825+D825=0,"",(H825*D825+E825*C825)/(C825+D825)))</f>
        <v/>
      </c>
      <c r="J825" s="59"/>
      <c r="K825" s="61">
        <f>IF(OR(J825="",I825=""),"",J825-I825)</f>
        <v/>
      </c>
      <c r="L825" s="61">
        <f>IF(OR(J825="",G825=""),"",J825-G825)</f>
        <v/>
      </c>
      <c r="M825" s="59"/>
      <c r="N825" s="59"/>
      <c r="O825" s="59"/>
      <c r="P825" s="59"/>
      <c r="Q825" s="59"/>
      <c r="R825" s="60">
        <f>IF(AND(P825="",Q825=""),"",N(P825)+N(Q825))</f>
        <v/>
      </c>
      <c r="S825" s="59"/>
      <c r="T825" s="59"/>
      <c r="U825" s="62">
        <f>IF(OR(R825="",S825="",T825=""),"",IF(S825+T825=0,"",R825/(S825+T825)))</f>
        <v/>
      </c>
      <c r="V825" s="63"/>
      <c r="W825" s="64"/>
      <c r="X825" s="63"/>
    </row>
    <row r="826" spans="2:24">
      <c r="B826" s="58"/>
      <c r="C826" s="59"/>
      <c r="D826" s="59"/>
      <c r="E826" s="59"/>
      <c r="F826" s="59"/>
      <c r="G826" s="60">
        <f>IF(OR(E826="",F826="",C826="",D826=""),"",IF(C826+D826=0,"",(E826*C826+F826*D826)/(C826+D826)))</f>
        <v/>
      </c>
      <c r="H826" s="59"/>
      <c r="I826" s="60">
        <f>IF(OR(H826="",E826="",C826="",D826=""),"",IF(C826+D826=0,"",(H826*D826+E826*C826)/(C826+D826)))</f>
        <v/>
      </c>
      <c r="J826" s="59"/>
      <c r="K826" s="61">
        <f>IF(OR(J826="",I826=""),"",J826-I826)</f>
        <v/>
      </c>
      <c r="L826" s="61">
        <f>IF(OR(J826="",G826=""),"",J826-G826)</f>
        <v/>
      </c>
      <c r="M826" s="59"/>
      <c r="N826" s="59"/>
      <c r="O826" s="59"/>
      <c r="P826" s="59"/>
      <c r="Q826" s="59"/>
      <c r="R826" s="60">
        <f>IF(AND(P826="",Q826=""),"",N(P826)+N(Q826))</f>
        <v/>
      </c>
      <c r="S826" s="59"/>
      <c r="T826" s="59"/>
      <c r="U826" s="62">
        <f>IF(OR(R826="",S826="",T826=""),"",IF(S826+T826=0,"",R826/(S826+T826)))</f>
        <v/>
      </c>
      <c r="V826" s="63"/>
      <c r="W826" s="64"/>
      <c r="X826" s="63"/>
    </row>
    <row r="827" spans="2:24">
      <c r="B827" s="58"/>
      <c r="C827" s="59"/>
      <c r="D827" s="59"/>
      <c r="E827" s="59"/>
      <c r="F827" s="59"/>
      <c r="G827" s="60">
        <f>IF(OR(E827="",F827="",C827="",D827=""),"",IF(C827+D827=0,"",(E827*C827+F827*D827)/(C827+D827)))</f>
        <v/>
      </c>
      <c r="H827" s="59"/>
      <c r="I827" s="60">
        <f>IF(OR(H827="",E827="",C827="",D827=""),"",IF(C827+D827=0,"",(H827*D827+E827*C827)/(C827+D827)))</f>
        <v/>
      </c>
      <c r="J827" s="59"/>
      <c r="K827" s="61">
        <f>IF(OR(J827="",I827=""),"",J827-I827)</f>
        <v/>
      </c>
      <c r="L827" s="61">
        <f>IF(OR(J827="",G827=""),"",J827-G827)</f>
        <v/>
      </c>
      <c r="M827" s="59"/>
      <c r="N827" s="59"/>
      <c r="O827" s="59"/>
      <c r="P827" s="59"/>
      <c r="Q827" s="59"/>
      <c r="R827" s="60">
        <f>IF(AND(P827="",Q827=""),"",N(P827)+N(Q827))</f>
        <v/>
      </c>
      <c r="S827" s="59"/>
      <c r="T827" s="59"/>
      <c r="U827" s="62">
        <f>IF(OR(R827="",S827="",T827=""),"",IF(S827+T827=0,"",R827/(S827+T827)))</f>
        <v/>
      </c>
      <c r="V827" s="63"/>
      <c r="W827" s="64"/>
      <c r="X827" s="63"/>
    </row>
    <row r="828" spans="2:24">
      <c r="B828" s="58"/>
      <c r="C828" s="59"/>
      <c r="D828" s="59"/>
      <c r="E828" s="59"/>
      <c r="F828" s="59"/>
      <c r="G828" s="60">
        <f>IF(OR(E828="",F828="",C828="",D828=""),"",IF(C828+D828=0,"",(E828*C828+F828*D828)/(C828+D828)))</f>
        <v/>
      </c>
      <c r="H828" s="59"/>
      <c r="I828" s="60">
        <f>IF(OR(H828="",E828="",C828="",D828=""),"",IF(C828+D828=0,"",(H828*D828+E828*C828)/(C828+D828)))</f>
        <v/>
      </c>
      <c r="J828" s="59"/>
      <c r="K828" s="61">
        <f>IF(OR(J828="",I828=""),"",J828-I828)</f>
        <v/>
      </c>
      <c r="L828" s="61">
        <f>IF(OR(J828="",G828=""),"",J828-G828)</f>
        <v/>
      </c>
      <c r="M828" s="59"/>
      <c r="N828" s="59"/>
      <c r="O828" s="59"/>
      <c r="P828" s="59"/>
      <c r="Q828" s="59"/>
      <c r="R828" s="60">
        <f>IF(AND(P828="",Q828=""),"",N(P828)+N(Q828))</f>
        <v/>
      </c>
      <c r="S828" s="59"/>
      <c r="T828" s="59"/>
      <c r="U828" s="62">
        <f>IF(OR(R828="",S828="",T828=""),"",IF(S828+T828=0,"",R828/(S828+T828)))</f>
        <v/>
      </c>
      <c r="V828" s="63"/>
      <c r="W828" s="64"/>
      <c r="X828" s="63"/>
    </row>
    <row r="829" spans="2:24">
      <c r="B829" s="58"/>
      <c r="C829" s="59"/>
      <c r="D829" s="59"/>
      <c r="E829" s="59"/>
      <c r="F829" s="59"/>
      <c r="G829" s="60">
        <f>IF(OR(E829="",F829="",C829="",D829=""),"",IF(C829+D829=0,"",(E829*C829+F829*D829)/(C829+D829)))</f>
        <v/>
      </c>
      <c r="H829" s="59"/>
      <c r="I829" s="60">
        <f>IF(OR(H829="",E829="",C829="",D829=""),"",IF(C829+D829=0,"",(H829*D829+E829*C829)/(C829+D829)))</f>
        <v/>
      </c>
      <c r="J829" s="59"/>
      <c r="K829" s="61">
        <f>IF(OR(J829="",I829=""),"",J829-I829)</f>
        <v/>
      </c>
      <c r="L829" s="61">
        <f>IF(OR(J829="",G829=""),"",J829-G829)</f>
        <v/>
      </c>
      <c r="M829" s="59"/>
      <c r="N829" s="59"/>
      <c r="O829" s="59"/>
      <c r="P829" s="59"/>
      <c r="Q829" s="59"/>
      <c r="R829" s="60">
        <f>IF(AND(P829="",Q829=""),"",N(P829)+N(Q829))</f>
        <v/>
      </c>
      <c r="S829" s="59"/>
      <c r="T829" s="59"/>
      <c r="U829" s="62">
        <f>IF(OR(R829="",S829="",T829=""),"",IF(S829+T829=0,"",R829/(S829+T829)))</f>
        <v/>
      </c>
      <c r="V829" s="63"/>
      <c r="W829" s="64"/>
      <c r="X829" s="63"/>
    </row>
    <row r="830" spans="2:24">
      <c r="B830" s="58"/>
      <c r="C830" s="59"/>
      <c r="D830" s="59"/>
      <c r="E830" s="59"/>
      <c r="F830" s="59"/>
      <c r="G830" s="60">
        <f>IF(OR(E830="",F830="",C830="",D830=""),"",IF(C830+D830=0,"",(E830*C830+F830*D830)/(C830+D830)))</f>
        <v/>
      </c>
      <c r="H830" s="59"/>
      <c r="I830" s="60">
        <f>IF(OR(H830="",E830="",C830="",D830=""),"",IF(C830+D830=0,"",(H830*D830+E830*C830)/(C830+D830)))</f>
        <v/>
      </c>
      <c r="J830" s="59"/>
      <c r="K830" s="61">
        <f>IF(OR(J830="",I830=""),"",J830-I830)</f>
        <v/>
      </c>
      <c r="L830" s="61">
        <f>IF(OR(J830="",G830=""),"",J830-G830)</f>
        <v/>
      </c>
      <c r="M830" s="59"/>
      <c r="N830" s="59"/>
      <c r="O830" s="59"/>
      <c r="P830" s="59"/>
      <c r="Q830" s="59"/>
      <c r="R830" s="60">
        <f>IF(AND(P830="",Q830=""),"",N(P830)+N(Q830))</f>
        <v/>
      </c>
      <c r="S830" s="59"/>
      <c r="T830" s="59"/>
      <c r="U830" s="62">
        <f>IF(OR(R830="",S830="",T830=""),"",IF(S830+T830=0,"",R830/(S830+T830)))</f>
        <v/>
      </c>
      <c r="V830" s="63"/>
      <c r="W830" s="64"/>
      <c r="X830" s="63"/>
    </row>
    <row r="831" spans="2:24">
      <c r="B831" s="58"/>
      <c r="C831" s="59"/>
      <c r="D831" s="59"/>
      <c r="E831" s="59"/>
      <c r="F831" s="59"/>
      <c r="G831" s="60">
        <f>IF(OR(E831="",F831="",C831="",D831=""),"",IF(C831+D831=0,"",(E831*C831+F831*D831)/(C831+D831)))</f>
        <v/>
      </c>
      <c r="H831" s="59"/>
      <c r="I831" s="60">
        <f>IF(OR(H831="",E831="",C831="",D831=""),"",IF(C831+D831=0,"",(H831*D831+E831*C831)/(C831+D831)))</f>
        <v/>
      </c>
      <c r="J831" s="59"/>
      <c r="K831" s="61">
        <f>IF(OR(J831="",I831=""),"",J831-I831)</f>
        <v/>
      </c>
      <c r="L831" s="61">
        <f>IF(OR(J831="",G831=""),"",J831-G831)</f>
        <v/>
      </c>
      <c r="M831" s="59"/>
      <c r="N831" s="59"/>
      <c r="O831" s="59"/>
      <c r="P831" s="59"/>
      <c r="Q831" s="59"/>
      <c r="R831" s="60">
        <f>IF(AND(P831="",Q831=""),"",N(P831)+N(Q831))</f>
        <v/>
      </c>
      <c r="S831" s="59"/>
      <c r="T831" s="59"/>
      <c r="U831" s="62">
        <f>IF(OR(R831="",S831="",T831=""),"",IF(S831+T831=0,"",R831/(S831+T831)))</f>
        <v/>
      </c>
      <c r="V831" s="63"/>
      <c r="W831" s="64"/>
      <c r="X831" s="63"/>
    </row>
    <row r="832" spans="2:24">
      <c r="B832" s="58"/>
      <c r="C832" s="59"/>
      <c r="D832" s="59"/>
      <c r="E832" s="59"/>
      <c r="F832" s="59"/>
      <c r="G832" s="60">
        <f>IF(OR(E832="",F832="",C832="",D832=""),"",IF(C832+D832=0,"",(E832*C832+F832*D832)/(C832+D832)))</f>
        <v/>
      </c>
      <c r="H832" s="59"/>
      <c r="I832" s="60">
        <f>IF(OR(H832="",E832="",C832="",D832=""),"",IF(C832+D832=0,"",(H832*D832+E832*C832)/(C832+D832)))</f>
        <v/>
      </c>
      <c r="J832" s="59"/>
      <c r="K832" s="61">
        <f>IF(OR(J832="",I832=""),"",J832-I832)</f>
        <v/>
      </c>
      <c r="L832" s="61">
        <f>IF(OR(J832="",G832=""),"",J832-G832)</f>
        <v/>
      </c>
      <c r="M832" s="59"/>
      <c r="N832" s="59"/>
      <c r="O832" s="59"/>
      <c r="P832" s="59"/>
      <c r="Q832" s="59"/>
      <c r="R832" s="60">
        <f>IF(AND(P832="",Q832=""),"",N(P832)+N(Q832))</f>
        <v/>
      </c>
      <c r="S832" s="59"/>
      <c r="T832" s="59"/>
      <c r="U832" s="62">
        <f>IF(OR(R832="",S832="",T832=""),"",IF(S832+T832=0,"",R832/(S832+T832)))</f>
        <v/>
      </c>
      <c r="V832" s="63"/>
      <c r="W832" s="64"/>
      <c r="X832" s="63"/>
    </row>
    <row r="833" spans="2:24">
      <c r="B833" s="58"/>
      <c r="C833" s="59"/>
      <c r="D833" s="59"/>
      <c r="E833" s="59"/>
      <c r="F833" s="59"/>
      <c r="G833" s="60">
        <f>IF(OR(E833="",F833="",C833="",D833=""),"",IF(C833+D833=0,"",(E833*C833+F833*D833)/(C833+D833)))</f>
        <v/>
      </c>
      <c r="H833" s="59"/>
      <c r="I833" s="60">
        <f>IF(OR(H833="",E833="",C833="",D833=""),"",IF(C833+D833=0,"",(H833*D833+E833*C833)/(C833+D833)))</f>
        <v/>
      </c>
      <c r="J833" s="59"/>
      <c r="K833" s="61">
        <f>IF(OR(J833="",I833=""),"",J833-I833)</f>
        <v/>
      </c>
      <c r="L833" s="61">
        <f>IF(OR(J833="",G833=""),"",J833-G833)</f>
        <v/>
      </c>
      <c r="M833" s="59"/>
      <c r="N833" s="59"/>
      <c r="O833" s="59"/>
      <c r="P833" s="59"/>
      <c r="Q833" s="59"/>
      <c r="R833" s="60">
        <f>IF(AND(P833="",Q833=""),"",N(P833)+N(Q833))</f>
        <v/>
      </c>
      <c r="S833" s="59"/>
      <c r="T833" s="59"/>
      <c r="U833" s="62">
        <f>IF(OR(R833="",S833="",T833=""),"",IF(S833+T833=0,"",R833/(S833+T833)))</f>
        <v/>
      </c>
      <c r="V833" s="63"/>
      <c r="W833" s="64"/>
      <c r="X833" s="63"/>
    </row>
    <row r="834" spans="2:24">
      <c r="B834" s="58"/>
      <c r="C834" s="59"/>
      <c r="D834" s="59"/>
      <c r="E834" s="59"/>
      <c r="F834" s="59"/>
      <c r="G834" s="60">
        <f>IF(OR(E834="",F834="",C834="",D834=""),"",IF(C834+D834=0,"",(E834*C834+F834*D834)/(C834+D834)))</f>
        <v/>
      </c>
      <c r="H834" s="59"/>
      <c r="I834" s="60">
        <f>IF(OR(H834="",E834="",C834="",D834=""),"",IF(C834+D834=0,"",(H834*D834+E834*C834)/(C834+D834)))</f>
        <v/>
      </c>
      <c r="J834" s="59"/>
      <c r="K834" s="61">
        <f>IF(OR(J834="",I834=""),"",J834-I834)</f>
        <v/>
      </c>
      <c r="L834" s="61">
        <f>IF(OR(J834="",G834=""),"",J834-G834)</f>
        <v/>
      </c>
      <c r="M834" s="59"/>
      <c r="N834" s="59"/>
      <c r="O834" s="59"/>
      <c r="P834" s="59"/>
      <c r="Q834" s="59"/>
      <c r="R834" s="60">
        <f>IF(AND(P834="",Q834=""),"",N(P834)+N(Q834))</f>
        <v/>
      </c>
      <c r="S834" s="59"/>
      <c r="T834" s="59"/>
      <c r="U834" s="62">
        <f>IF(OR(R834="",S834="",T834=""),"",IF(S834+T834=0,"",R834/(S834+T834)))</f>
        <v/>
      </c>
      <c r="V834" s="63"/>
      <c r="W834" s="64"/>
      <c r="X834" s="63"/>
    </row>
    <row r="835" spans="2:24">
      <c r="B835" s="58"/>
      <c r="C835" s="59"/>
      <c r="D835" s="59"/>
      <c r="E835" s="59"/>
      <c r="F835" s="59"/>
      <c r="G835" s="60">
        <f>IF(OR(E835="",F835="",C835="",D835=""),"",IF(C835+D835=0,"",(E835*C835+F835*D835)/(C835+D835)))</f>
        <v/>
      </c>
      <c r="H835" s="59"/>
      <c r="I835" s="60">
        <f>IF(OR(H835="",E835="",C835="",D835=""),"",IF(C835+D835=0,"",(H835*D835+E835*C835)/(C835+D835)))</f>
        <v/>
      </c>
      <c r="J835" s="59"/>
      <c r="K835" s="61">
        <f>IF(OR(J835="",I835=""),"",J835-I835)</f>
        <v/>
      </c>
      <c r="L835" s="61">
        <f>IF(OR(J835="",G835=""),"",J835-G835)</f>
        <v/>
      </c>
      <c r="M835" s="59"/>
      <c r="N835" s="59"/>
      <c r="O835" s="59"/>
      <c r="P835" s="59"/>
      <c r="Q835" s="59"/>
      <c r="R835" s="60">
        <f>IF(AND(P835="",Q835=""),"",N(P835)+N(Q835))</f>
        <v/>
      </c>
      <c r="S835" s="59"/>
      <c r="T835" s="59"/>
      <c r="U835" s="62">
        <f>IF(OR(R835="",S835="",T835=""),"",IF(S835+T835=0,"",R835/(S835+T835)))</f>
        <v/>
      </c>
      <c r="V835" s="63"/>
      <c r="W835" s="64"/>
      <c r="X835" s="63"/>
    </row>
    <row r="836" spans="2:24">
      <c r="B836" s="58"/>
      <c r="C836" s="59"/>
      <c r="D836" s="59"/>
      <c r="E836" s="59"/>
      <c r="F836" s="59"/>
      <c r="G836" s="60">
        <f>IF(OR(E836="",F836="",C836="",D836=""),"",IF(C836+D836=0,"",(E836*C836+F836*D836)/(C836+D836)))</f>
        <v/>
      </c>
      <c r="H836" s="59"/>
      <c r="I836" s="60">
        <f>IF(OR(H836="",E836="",C836="",D836=""),"",IF(C836+D836=0,"",(H836*D836+E836*C836)/(C836+D836)))</f>
        <v/>
      </c>
      <c r="J836" s="59"/>
      <c r="K836" s="61">
        <f>IF(OR(J836="",I836=""),"",J836-I836)</f>
        <v/>
      </c>
      <c r="L836" s="61">
        <f>IF(OR(J836="",G836=""),"",J836-G836)</f>
        <v/>
      </c>
      <c r="M836" s="59"/>
      <c r="N836" s="59"/>
      <c r="O836" s="59"/>
      <c r="P836" s="59"/>
      <c r="Q836" s="59"/>
      <c r="R836" s="60">
        <f>IF(AND(P836="",Q836=""),"",N(P836)+N(Q836))</f>
        <v/>
      </c>
      <c r="S836" s="59"/>
      <c r="T836" s="59"/>
      <c r="U836" s="62">
        <f>IF(OR(R836="",S836="",T836=""),"",IF(S836+T836=0,"",R836/(S836+T836)))</f>
        <v/>
      </c>
      <c r="V836" s="63"/>
      <c r="W836" s="64"/>
      <c r="X836" s="63"/>
    </row>
    <row r="837" spans="2:24">
      <c r="B837" s="58"/>
      <c r="C837" s="59"/>
      <c r="D837" s="59"/>
      <c r="E837" s="59"/>
      <c r="F837" s="59"/>
      <c r="G837" s="60">
        <f>IF(OR(E837="",F837="",C837="",D837=""),"",IF(C837+D837=0,"",(E837*C837+F837*D837)/(C837+D837)))</f>
        <v/>
      </c>
      <c r="H837" s="59"/>
      <c r="I837" s="60">
        <f>IF(OR(H837="",E837="",C837="",D837=""),"",IF(C837+D837=0,"",(H837*D837+E837*C837)/(C837+D837)))</f>
        <v/>
      </c>
      <c r="J837" s="59"/>
      <c r="K837" s="61">
        <f>IF(OR(J837="",I837=""),"",J837-I837)</f>
        <v/>
      </c>
      <c r="L837" s="61">
        <f>IF(OR(J837="",G837=""),"",J837-G837)</f>
        <v/>
      </c>
      <c r="M837" s="59"/>
      <c r="N837" s="59"/>
      <c r="O837" s="59"/>
      <c r="P837" s="59"/>
      <c r="Q837" s="59"/>
      <c r="R837" s="60">
        <f>IF(AND(P837="",Q837=""),"",N(P837)+N(Q837))</f>
        <v/>
      </c>
      <c r="S837" s="59"/>
      <c r="T837" s="59"/>
      <c r="U837" s="62">
        <f>IF(OR(R837="",S837="",T837=""),"",IF(S837+T837=0,"",R837/(S837+T837)))</f>
        <v/>
      </c>
      <c r="V837" s="63"/>
      <c r="W837" s="64"/>
      <c r="X837" s="63"/>
    </row>
    <row r="838" spans="2:24">
      <c r="B838" s="58"/>
      <c r="C838" s="59"/>
      <c r="D838" s="59"/>
      <c r="E838" s="59"/>
      <c r="F838" s="59"/>
      <c r="G838" s="60">
        <f>IF(OR(E838="",F838="",C838="",D838=""),"",IF(C838+D838=0,"",(E838*C838+F838*D838)/(C838+D838)))</f>
        <v/>
      </c>
      <c r="H838" s="59"/>
      <c r="I838" s="60">
        <f>IF(OR(H838="",E838="",C838="",D838=""),"",IF(C838+D838=0,"",(H838*D838+E838*C838)/(C838+D838)))</f>
        <v/>
      </c>
      <c r="J838" s="59"/>
      <c r="K838" s="61">
        <f>IF(OR(J838="",I838=""),"",J838-I838)</f>
        <v/>
      </c>
      <c r="L838" s="61">
        <f>IF(OR(J838="",G838=""),"",J838-G838)</f>
        <v/>
      </c>
      <c r="M838" s="59"/>
      <c r="N838" s="59"/>
      <c r="O838" s="59"/>
      <c r="P838" s="59"/>
      <c r="Q838" s="59"/>
      <c r="R838" s="60">
        <f>IF(AND(P838="",Q838=""),"",N(P838)+N(Q838))</f>
        <v/>
      </c>
      <c r="S838" s="59"/>
      <c r="T838" s="59"/>
      <c r="U838" s="62">
        <f>IF(OR(R838="",S838="",T838=""),"",IF(S838+T838=0,"",R838/(S838+T838)))</f>
        <v/>
      </c>
      <c r="V838" s="63"/>
      <c r="W838" s="64"/>
      <c r="X838" s="63"/>
    </row>
    <row r="839" spans="2:24">
      <c r="B839" s="58"/>
      <c r="C839" s="59"/>
      <c r="D839" s="59"/>
      <c r="E839" s="59"/>
      <c r="F839" s="59"/>
      <c r="G839" s="60">
        <f>IF(OR(E839="",F839="",C839="",D839=""),"",IF(C839+D839=0,"",(E839*C839+F839*D839)/(C839+D839)))</f>
        <v/>
      </c>
      <c r="H839" s="59"/>
      <c r="I839" s="60">
        <f>IF(OR(H839="",E839="",C839="",D839=""),"",IF(C839+D839=0,"",(H839*D839+E839*C839)/(C839+D839)))</f>
        <v/>
      </c>
      <c r="J839" s="59"/>
      <c r="K839" s="61">
        <f>IF(OR(J839="",I839=""),"",J839-I839)</f>
        <v/>
      </c>
      <c r="L839" s="61">
        <f>IF(OR(J839="",G839=""),"",J839-G839)</f>
        <v/>
      </c>
      <c r="M839" s="59"/>
      <c r="N839" s="59"/>
      <c r="O839" s="59"/>
      <c r="P839" s="59"/>
      <c r="Q839" s="59"/>
      <c r="R839" s="60">
        <f>IF(AND(P839="",Q839=""),"",N(P839)+N(Q839))</f>
        <v/>
      </c>
      <c r="S839" s="59"/>
      <c r="T839" s="59"/>
      <c r="U839" s="62">
        <f>IF(OR(R839="",S839="",T839=""),"",IF(S839+T839=0,"",R839/(S839+T839)))</f>
        <v/>
      </c>
      <c r="V839" s="63"/>
      <c r="W839" s="64"/>
      <c r="X839" s="63"/>
    </row>
    <row r="840" spans="2:24">
      <c r="B840" s="58"/>
      <c r="C840" s="59"/>
      <c r="D840" s="59"/>
      <c r="E840" s="59"/>
      <c r="F840" s="59"/>
      <c r="G840" s="60">
        <f>IF(OR(E840="",F840="",C840="",D840=""),"",IF(C840+D840=0,"",(E840*C840+F840*D840)/(C840+D840)))</f>
        <v/>
      </c>
      <c r="H840" s="59"/>
      <c r="I840" s="60">
        <f>IF(OR(H840="",E840="",C840="",D840=""),"",IF(C840+D840=0,"",(H840*D840+E840*C840)/(C840+D840)))</f>
        <v/>
      </c>
      <c r="J840" s="59"/>
      <c r="K840" s="61">
        <f>IF(OR(J840="",I840=""),"",J840-I840)</f>
        <v/>
      </c>
      <c r="L840" s="61">
        <f>IF(OR(J840="",G840=""),"",J840-G840)</f>
        <v/>
      </c>
      <c r="M840" s="59"/>
      <c r="N840" s="59"/>
      <c r="O840" s="59"/>
      <c r="P840" s="59"/>
      <c r="Q840" s="59"/>
      <c r="R840" s="60">
        <f>IF(AND(P840="",Q840=""),"",N(P840)+N(Q840))</f>
        <v/>
      </c>
      <c r="S840" s="59"/>
      <c r="T840" s="59"/>
      <c r="U840" s="62">
        <f>IF(OR(R840="",S840="",T840=""),"",IF(S840+T840=0,"",R840/(S840+T840)))</f>
        <v/>
      </c>
      <c r="V840" s="63"/>
      <c r="W840" s="64"/>
      <c r="X840" s="63"/>
    </row>
    <row r="841" spans="2:24">
      <c r="B841" s="58"/>
      <c r="C841" s="59"/>
      <c r="D841" s="59"/>
      <c r="E841" s="59"/>
      <c r="F841" s="59"/>
      <c r="G841" s="60">
        <f>IF(OR(E841="",F841="",C841="",D841=""),"",IF(C841+D841=0,"",(E841*C841+F841*D841)/(C841+D841)))</f>
        <v/>
      </c>
      <c r="H841" s="59"/>
      <c r="I841" s="60">
        <f>IF(OR(H841="",E841="",C841="",D841=""),"",IF(C841+D841=0,"",(H841*D841+E841*C841)/(C841+D841)))</f>
        <v/>
      </c>
      <c r="J841" s="59"/>
      <c r="K841" s="61">
        <f>IF(OR(J841="",I841=""),"",J841-I841)</f>
        <v/>
      </c>
      <c r="L841" s="61">
        <f>IF(OR(J841="",G841=""),"",J841-G841)</f>
        <v/>
      </c>
      <c r="M841" s="59"/>
      <c r="N841" s="59"/>
      <c r="O841" s="59"/>
      <c r="P841" s="59"/>
      <c r="Q841" s="59"/>
      <c r="R841" s="60">
        <f>IF(AND(P841="",Q841=""),"",N(P841)+N(Q841))</f>
        <v/>
      </c>
      <c r="S841" s="59"/>
      <c r="T841" s="59"/>
      <c r="U841" s="62">
        <f>IF(OR(R841="",S841="",T841=""),"",IF(S841+T841=0,"",R841/(S841+T841)))</f>
        <v/>
      </c>
      <c r="V841" s="63"/>
      <c r="W841" s="64"/>
      <c r="X841" s="63"/>
    </row>
    <row r="842" spans="2:24">
      <c r="B842" s="58"/>
      <c r="C842" s="59"/>
      <c r="D842" s="59"/>
      <c r="E842" s="59"/>
      <c r="F842" s="59"/>
      <c r="G842" s="60">
        <f>IF(OR(E842="",F842="",C842="",D842=""),"",IF(C842+D842=0,"",(E842*C842+F842*D842)/(C842+D842)))</f>
        <v/>
      </c>
      <c r="H842" s="59"/>
      <c r="I842" s="60">
        <f>IF(OR(H842="",E842="",C842="",D842=""),"",IF(C842+D842=0,"",(H842*D842+E842*C842)/(C842+D842)))</f>
        <v/>
      </c>
      <c r="J842" s="59"/>
      <c r="K842" s="61">
        <f>IF(OR(J842="",I842=""),"",J842-I842)</f>
        <v/>
      </c>
      <c r="L842" s="61">
        <f>IF(OR(J842="",G842=""),"",J842-G842)</f>
        <v/>
      </c>
      <c r="M842" s="59"/>
      <c r="N842" s="59"/>
      <c r="O842" s="59"/>
      <c r="P842" s="59"/>
      <c r="Q842" s="59"/>
      <c r="R842" s="60">
        <f>IF(AND(P842="",Q842=""),"",N(P842)+N(Q842))</f>
        <v/>
      </c>
      <c r="S842" s="59"/>
      <c r="T842" s="59"/>
      <c r="U842" s="62">
        <f>IF(OR(R842="",S842="",T842=""),"",IF(S842+T842=0,"",R842/(S842+T842)))</f>
        <v/>
      </c>
      <c r="V842" s="63"/>
      <c r="W842" s="64"/>
      <c r="X842" s="63"/>
    </row>
    <row r="843" spans="2:24">
      <c r="B843" s="58"/>
      <c r="C843" s="59"/>
      <c r="D843" s="59"/>
      <c r="E843" s="59"/>
      <c r="F843" s="59"/>
      <c r="G843" s="60">
        <f>IF(OR(E843="",F843="",C843="",D843=""),"",IF(C843+D843=0,"",(E843*C843+F843*D843)/(C843+D843)))</f>
        <v/>
      </c>
      <c r="H843" s="59"/>
      <c r="I843" s="60">
        <f>IF(OR(H843="",E843="",C843="",D843=""),"",IF(C843+D843=0,"",(H843*D843+E843*C843)/(C843+D843)))</f>
        <v/>
      </c>
      <c r="J843" s="59"/>
      <c r="K843" s="61">
        <f>IF(OR(J843="",I843=""),"",J843-I843)</f>
        <v/>
      </c>
      <c r="L843" s="61">
        <f>IF(OR(J843="",G843=""),"",J843-G843)</f>
        <v/>
      </c>
      <c r="M843" s="59"/>
      <c r="N843" s="59"/>
      <c r="O843" s="59"/>
      <c r="P843" s="59"/>
      <c r="Q843" s="59"/>
      <c r="R843" s="60">
        <f>IF(AND(P843="",Q843=""),"",N(P843)+N(Q843))</f>
        <v/>
      </c>
      <c r="S843" s="59"/>
      <c r="T843" s="59"/>
      <c r="U843" s="62">
        <f>IF(OR(R843="",S843="",T843=""),"",IF(S843+T843=0,"",R843/(S843+T843)))</f>
        <v/>
      </c>
      <c r="V843" s="63"/>
      <c r="W843" s="64"/>
      <c r="X843" s="63"/>
    </row>
    <row r="844" spans="2:24">
      <c r="B844" s="58"/>
      <c r="C844" s="59"/>
      <c r="D844" s="59"/>
      <c r="E844" s="59"/>
      <c r="F844" s="59"/>
      <c r="G844" s="60">
        <f>IF(OR(E844="",F844="",C844="",D844=""),"",IF(C844+D844=0,"",(E844*C844+F844*D844)/(C844+D844)))</f>
        <v/>
      </c>
      <c r="H844" s="59"/>
      <c r="I844" s="60">
        <f>IF(OR(H844="",E844="",C844="",D844=""),"",IF(C844+D844=0,"",(H844*D844+E844*C844)/(C844+D844)))</f>
        <v/>
      </c>
      <c r="J844" s="59"/>
      <c r="K844" s="61">
        <f>IF(OR(J844="",I844=""),"",J844-I844)</f>
        <v/>
      </c>
      <c r="L844" s="61">
        <f>IF(OR(J844="",G844=""),"",J844-G844)</f>
        <v/>
      </c>
      <c r="M844" s="59"/>
      <c r="N844" s="59"/>
      <c r="O844" s="59"/>
      <c r="P844" s="59"/>
      <c r="Q844" s="59"/>
      <c r="R844" s="60">
        <f>IF(AND(P844="",Q844=""),"",N(P844)+N(Q844))</f>
        <v/>
      </c>
      <c r="S844" s="59"/>
      <c r="T844" s="59"/>
      <c r="U844" s="62">
        <f>IF(OR(R844="",S844="",T844=""),"",IF(S844+T844=0,"",R844/(S844+T844)))</f>
        <v/>
      </c>
      <c r="V844" s="63"/>
      <c r="W844" s="64"/>
      <c r="X844" s="63"/>
    </row>
    <row r="845" spans="2:24">
      <c r="B845" s="58"/>
      <c r="C845" s="59"/>
      <c r="D845" s="59"/>
      <c r="E845" s="59"/>
      <c r="F845" s="59"/>
      <c r="G845" s="60">
        <f>IF(OR(E845="",F845="",C845="",D845=""),"",IF(C845+D845=0,"",(E845*C845+F845*D845)/(C845+D845)))</f>
        <v/>
      </c>
      <c r="H845" s="59"/>
      <c r="I845" s="60">
        <f>IF(OR(H845="",E845="",C845="",D845=""),"",IF(C845+D845=0,"",(H845*D845+E845*C845)/(C845+D845)))</f>
        <v/>
      </c>
      <c r="J845" s="59"/>
      <c r="K845" s="61">
        <f>IF(OR(J845="",I845=""),"",J845-I845)</f>
        <v/>
      </c>
      <c r="L845" s="61">
        <f>IF(OR(J845="",G845=""),"",J845-G845)</f>
        <v/>
      </c>
      <c r="M845" s="59"/>
      <c r="N845" s="59"/>
      <c r="O845" s="59"/>
      <c r="P845" s="59"/>
      <c r="Q845" s="59"/>
      <c r="R845" s="60">
        <f>IF(AND(P845="",Q845=""),"",N(P845)+N(Q845))</f>
        <v/>
      </c>
      <c r="S845" s="59"/>
      <c r="T845" s="59"/>
      <c r="U845" s="62">
        <f>IF(OR(R845="",S845="",T845=""),"",IF(S845+T845=0,"",R845/(S845+T845)))</f>
        <v/>
      </c>
      <c r="V845" s="63"/>
      <c r="W845" s="64"/>
      <c r="X845" s="63"/>
    </row>
    <row r="846" spans="2:24">
      <c r="B846" s="58"/>
      <c r="C846" s="59"/>
      <c r="D846" s="59"/>
      <c r="E846" s="59"/>
      <c r="F846" s="59"/>
      <c r="G846" s="60">
        <f>IF(OR(E846="",F846="",C846="",D846=""),"",IF(C846+D846=0,"",(E846*C846+F846*D846)/(C846+D846)))</f>
        <v/>
      </c>
      <c r="H846" s="59"/>
      <c r="I846" s="60">
        <f>IF(OR(H846="",E846="",C846="",D846=""),"",IF(C846+D846=0,"",(H846*D846+E846*C846)/(C846+D846)))</f>
        <v/>
      </c>
      <c r="J846" s="59"/>
      <c r="K846" s="61">
        <f>IF(OR(J846="",I846=""),"",J846-I846)</f>
        <v/>
      </c>
      <c r="L846" s="61">
        <f>IF(OR(J846="",G846=""),"",J846-G846)</f>
        <v/>
      </c>
      <c r="M846" s="59"/>
      <c r="N846" s="59"/>
      <c r="O846" s="59"/>
      <c r="P846" s="59"/>
      <c r="Q846" s="59"/>
      <c r="R846" s="60">
        <f>IF(AND(P846="",Q846=""),"",N(P846)+N(Q846))</f>
        <v/>
      </c>
      <c r="S846" s="59"/>
      <c r="T846" s="59"/>
      <c r="U846" s="62">
        <f>IF(OR(R846="",S846="",T846=""),"",IF(S846+T846=0,"",R846/(S846+T846)))</f>
        <v/>
      </c>
      <c r="V846" s="63"/>
      <c r="W846" s="64"/>
      <c r="X846" s="63"/>
    </row>
    <row r="847" spans="2:24">
      <c r="B847" s="58"/>
      <c r="C847" s="59"/>
      <c r="D847" s="59"/>
      <c r="E847" s="59"/>
      <c r="F847" s="59"/>
      <c r="G847" s="60">
        <f>IF(OR(E847="",F847="",C847="",D847=""),"",IF(C847+D847=0,"",(E847*C847+F847*D847)/(C847+D847)))</f>
        <v/>
      </c>
      <c r="H847" s="59"/>
      <c r="I847" s="60">
        <f>IF(OR(H847="",E847="",C847="",D847=""),"",IF(C847+D847=0,"",(H847*D847+E847*C847)/(C847+D847)))</f>
        <v/>
      </c>
      <c r="J847" s="59"/>
      <c r="K847" s="61">
        <f>IF(OR(J847="",I847=""),"",J847-I847)</f>
        <v/>
      </c>
      <c r="L847" s="61">
        <f>IF(OR(J847="",G847=""),"",J847-G847)</f>
        <v/>
      </c>
      <c r="M847" s="59"/>
      <c r="N847" s="59"/>
      <c r="O847" s="59"/>
      <c r="P847" s="59"/>
      <c r="Q847" s="59"/>
      <c r="R847" s="60">
        <f>IF(AND(P847="",Q847=""),"",N(P847)+N(Q847))</f>
        <v/>
      </c>
      <c r="S847" s="59"/>
      <c r="T847" s="59"/>
      <c r="U847" s="62">
        <f>IF(OR(R847="",S847="",T847=""),"",IF(S847+T847=0,"",R847/(S847+T847)))</f>
        <v/>
      </c>
      <c r="V847" s="63"/>
      <c r="W847" s="64"/>
      <c r="X847" s="63"/>
    </row>
    <row r="848" spans="2:24">
      <c r="B848" s="58"/>
      <c r="C848" s="59"/>
      <c r="D848" s="59"/>
      <c r="E848" s="59"/>
      <c r="F848" s="59"/>
      <c r="G848" s="60">
        <f>IF(OR(E848="",F848="",C848="",D848=""),"",IF(C848+D848=0,"",(E848*C848+F848*D848)/(C848+D848)))</f>
        <v/>
      </c>
      <c r="H848" s="59"/>
      <c r="I848" s="60">
        <f>IF(OR(H848="",E848="",C848="",D848=""),"",IF(C848+D848=0,"",(H848*D848+E848*C848)/(C848+D848)))</f>
        <v/>
      </c>
      <c r="J848" s="59"/>
      <c r="K848" s="61">
        <f>IF(OR(J848="",I848=""),"",J848-I848)</f>
        <v/>
      </c>
      <c r="L848" s="61">
        <f>IF(OR(J848="",G848=""),"",J848-G848)</f>
        <v/>
      </c>
      <c r="M848" s="59"/>
      <c r="N848" s="59"/>
      <c r="O848" s="59"/>
      <c r="P848" s="59"/>
      <c r="Q848" s="59"/>
      <c r="R848" s="60">
        <f>IF(AND(P848="",Q848=""),"",N(P848)+N(Q848))</f>
        <v/>
      </c>
      <c r="S848" s="59"/>
      <c r="T848" s="59"/>
      <c r="U848" s="62">
        <f>IF(OR(R848="",S848="",T848=""),"",IF(S848+T848=0,"",R848/(S848+T848)))</f>
        <v/>
      </c>
      <c r="V848" s="63"/>
      <c r="W848" s="64"/>
      <c r="X848" s="63"/>
    </row>
    <row r="849" spans="2:24">
      <c r="B849" s="58"/>
      <c r="C849" s="59"/>
      <c r="D849" s="59"/>
      <c r="E849" s="59"/>
      <c r="F849" s="59"/>
      <c r="G849" s="60">
        <f>IF(OR(E849="",F849="",C849="",D849=""),"",IF(C849+D849=0,"",(E849*C849+F849*D849)/(C849+D849)))</f>
        <v/>
      </c>
      <c r="H849" s="59"/>
      <c r="I849" s="60">
        <f>IF(OR(H849="",E849="",C849="",D849=""),"",IF(C849+D849=0,"",(H849*D849+E849*C849)/(C849+D849)))</f>
        <v/>
      </c>
      <c r="J849" s="59"/>
      <c r="K849" s="61">
        <f>IF(OR(J849="",I849=""),"",J849-I849)</f>
        <v/>
      </c>
      <c r="L849" s="61">
        <f>IF(OR(J849="",G849=""),"",J849-G849)</f>
        <v/>
      </c>
      <c r="M849" s="59"/>
      <c r="N849" s="59"/>
      <c r="O849" s="59"/>
      <c r="P849" s="59"/>
      <c r="Q849" s="59"/>
      <c r="R849" s="60">
        <f>IF(AND(P849="",Q849=""),"",N(P849)+N(Q849))</f>
        <v/>
      </c>
      <c r="S849" s="59"/>
      <c r="T849" s="59"/>
      <c r="U849" s="62">
        <f>IF(OR(R849="",S849="",T849=""),"",IF(S849+T849=0,"",R849/(S849+T849)))</f>
        <v/>
      </c>
      <c r="V849" s="63"/>
      <c r="W849" s="64"/>
      <c r="X849" s="63"/>
    </row>
    <row r="850" spans="2:24">
      <c r="B850" s="58"/>
      <c r="C850" s="59"/>
      <c r="D850" s="59"/>
      <c r="E850" s="59"/>
      <c r="F850" s="59"/>
      <c r="G850" s="60">
        <f>IF(OR(E850="",F850="",C850="",D850=""),"",IF(C850+D850=0,"",(E850*C850+F850*D850)/(C850+D850)))</f>
        <v/>
      </c>
      <c r="H850" s="59"/>
      <c r="I850" s="60">
        <f>IF(OR(H850="",E850="",C850="",D850=""),"",IF(C850+D850=0,"",(H850*D850+E850*C850)/(C850+D850)))</f>
        <v/>
      </c>
      <c r="J850" s="59"/>
      <c r="K850" s="61">
        <f>IF(OR(J850="",I850=""),"",J850-I850)</f>
        <v/>
      </c>
      <c r="L850" s="61">
        <f>IF(OR(J850="",G850=""),"",J850-G850)</f>
        <v/>
      </c>
      <c r="M850" s="59"/>
      <c r="N850" s="59"/>
      <c r="O850" s="59"/>
      <c r="P850" s="59"/>
      <c r="Q850" s="59"/>
      <c r="R850" s="60">
        <f>IF(AND(P850="",Q850=""),"",N(P850)+N(Q850))</f>
        <v/>
      </c>
      <c r="S850" s="59"/>
      <c r="T850" s="59"/>
      <c r="U850" s="62">
        <f>IF(OR(R850="",S850="",T850=""),"",IF(S850+T850=0,"",R850/(S850+T850)))</f>
        <v/>
      </c>
      <c r="V850" s="63"/>
      <c r="W850" s="64"/>
      <c r="X850" s="63"/>
    </row>
    <row r="851" spans="2:24">
      <c r="B851" s="58"/>
      <c r="C851" s="59"/>
      <c r="D851" s="59"/>
      <c r="E851" s="59"/>
      <c r="F851" s="59"/>
      <c r="G851" s="60">
        <f>IF(OR(E851="",F851="",C851="",D851=""),"",IF(C851+D851=0,"",(E851*C851+F851*D851)/(C851+D851)))</f>
        <v/>
      </c>
      <c r="H851" s="59"/>
      <c r="I851" s="60">
        <f>IF(OR(H851="",E851="",C851="",D851=""),"",IF(C851+D851=0,"",(H851*D851+E851*C851)/(C851+D851)))</f>
        <v/>
      </c>
      <c r="J851" s="59"/>
      <c r="K851" s="61">
        <f>IF(OR(J851="",I851=""),"",J851-I851)</f>
        <v/>
      </c>
      <c r="L851" s="61">
        <f>IF(OR(J851="",G851=""),"",J851-G851)</f>
        <v/>
      </c>
      <c r="M851" s="59"/>
      <c r="N851" s="59"/>
      <c r="O851" s="59"/>
      <c r="P851" s="59"/>
      <c r="Q851" s="59"/>
      <c r="R851" s="60">
        <f>IF(AND(P851="",Q851=""),"",N(P851)+N(Q851))</f>
        <v/>
      </c>
      <c r="S851" s="59"/>
      <c r="T851" s="59"/>
      <c r="U851" s="62">
        <f>IF(OR(R851="",S851="",T851=""),"",IF(S851+T851=0,"",R851/(S851+T851)))</f>
        <v/>
      </c>
      <c r="V851" s="63"/>
      <c r="W851" s="64"/>
      <c r="X851" s="63"/>
    </row>
    <row r="852" spans="2:24">
      <c r="B852" s="58"/>
      <c r="C852" s="59"/>
      <c r="D852" s="59"/>
      <c r="E852" s="59"/>
      <c r="F852" s="59"/>
      <c r="G852" s="60">
        <f>IF(OR(E852="",F852="",C852="",D852=""),"",IF(C852+D852=0,"",(E852*C852+F852*D852)/(C852+D852)))</f>
        <v/>
      </c>
      <c r="H852" s="59"/>
      <c r="I852" s="60">
        <f>IF(OR(H852="",E852="",C852="",D852=""),"",IF(C852+D852=0,"",(H852*D852+E852*C852)/(C852+D852)))</f>
        <v/>
      </c>
      <c r="J852" s="59"/>
      <c r="K852" s="61">
        <f>IF(OR(J852="",I852=""),"",J852-I852)</f>
        <v/>
      </c>
      <c r="L852" s="61">
        <f>IF(OR(J852="",G852=""),"",J852-G852)</f>
        <v/>
      </c>
      <c r="M852" s="59"/>
      <c r="N852" s="59"/>
      <c r="O852" s="59"/>
      <c r="P852" s="59"/>
      <c r="Q852" s="59"/>
      <c r="R852" s="60">
        <f>IF(AND(P852="",Q852=""),"",N(P852)+N(Q852))</f>
        <v/>
      </c>
      <c r="S852" s="59"/>
      <c r="T852" s="59"/>
      <c r="U852" s="62">
        <f>IF(OR(R852="",S852="",T852=""),"",IF(S852+T852=0,"",R852/(S852+T852)))</f>
        <v/>
      </c>
      <c r="V852" s="63"/>
      <c r="W852" s="64"/>
      <c r="X852" s="63"/>
    </row>
    <row r="853" spans="2:24">
      <c r="B853" s="58"/>
      <c r="C853" s="59"/>
      <c r="D853" s="59"/>
      <c r="E853" s="59"/>
      <c r="F853" s="59"/>
      <c r="G853" s="60">
        <f>IF(OR(E853="",F853="",C853="",D853=""),"",IF(C853+D853=0,"",(E853*C853+F853*D853)/(C853+D853)))</f>
        <v/>
      </c>
      <c r="H853" s="59"/>
      <c r="I853" s="60">
        <f>IF(OR(H853="",E853="",C853="",D853=""),"",IF(C853+D853=0,"",(H853*D853+E853*C853)/(C853+D853)))</f>
        <v/>
      </c>
      <c r="J853" s="59"/>
      <c r="K853" s="61">
        <f>IF(OR(J853="",I853=""),"",J853-I853)</f>
        <v/>
      </c>
      <c r="L853" s="61">
        <f>IF(OR(J853="",G853=""),"",J853-G853)</f>
        <v/>
      </c>
      <c r="M853" s="59"/>
      <c r="N853" s="59"/>
      <c r="O853" s="59"/>
      <c r="P853" s="59"/>
      <c r="Q853" s="59"/>
      <c r="R853" s="60">
        <f>IF(AND(P853="",Q853=""),"",N(P853)+N(Q853))</f>
        <v/>
      </c>
      <c r="S853" s="59"/>
      <c r="T853" s="59"/>
      <c r="U853" s="62">
        <f>IF(OR(R853="",S853="",T853=""),"",IF(S853+T853=0,"",R853/(S853+T853)))</f>
        <v/>
      </c>
      <c r="V853" s="63"/>
      <c r="W853" s="64"/>
      <c r="X853" s="63"/>
    </row>
    <row r="854" spans="2:24">
      <c r="B854" s="58"/>
      <c r="C854" s="59"/>
      <c r="D854" s="59"/>
      <c r="E854" s="59"/>
      <c r="F854" s="59"/>
      <c r="G854" s="60">
        <f>IF(OR(E854="",F854="",C854="",D854=""),"",IF(C854+D854=0,"",(E854*C854+F854*D854)/(C854+D854)))</f>
        <v/>
      </c>
      <c r="H854" s="59"/>
      <c r="I854" s="60">
        <f>IF(OR(H854="",E854="",C854="",D854=""),"",IF(C854+D854=0,"",(H854*D854+E854*C854)/(C854+D854)))</f>
        <v/>
      </c>
      <c r="J854" s="59"/>
      <c r="K854" s="61">
        <f>IF(OR(J854="",I854=""),"",J854-I854)</f>
        <v/>
      </c>
      <c r="L854" s="61">
        <f>IF(OR(J854="",G854=""),"",J854-G854)</f>
        <v/>
      </c>
      <c r="M854" s="59"/>
      <c r="N854" s="59"/>
      <c r="O854" s="59"/>
      <c r="P854" s="59"/>
      <c r="Q854" s="59"/>
      <c r="R854" s="60">
        <f>IF(AND(P854="",Q854=""),"",N(P854)+N(Q854))</f>
        <v/>
      </c>
      <c r="S854" s="59"/>
      <c r="T854" s="59"/>
      <c r="U854" s="62">
        <f>IF(OR(R854="",S854="",T854=""),"",IF(S854+T854=0,"",R854/(S854+T854)))</f>
        <v/>
      </c>
      <c r="V854" s="63"/>
      <c r="W854" s="64"/>
      <c r="X854" s="63"/>
    </row>
    <row r="855" spans="2:24">
      <c r="B855" s="58"/>
      <c r="C855" s="59"/>
      <c r="D855" s="59"/>
      <c r="E855" s="59"/>
      <c r="F855" s="59"/>
      <c r="G855" s="60">
        <f>IF(OR(E855="",F855="",C855="",D855=""),"",IF(C855+D855=0,"",(E855*C855+F855*D855)/(C855+D855)))</f>
        <v/>
      </c>
      <c r="H855" s="59"/>
      <c r="I855" s="60">
        <f>IF(OR(H855="",E855="",C855="",D855=""),"",IF(C855+D855=0,"",(H855*D855+E855*C855)/(C855+D855)))</f>
        <v/>
      </c>
      <c r="J855" s="59"/>
      <c r="K855" s="61">
        <f>IF(OR(J855="",I855=""),"",J855-I855)</f>
        <v/>
      </c>
      <c r="L855" s="61">
        <f>IF(OR(J855="",G855=""),"",J855-G855)</f>
        <v/>
      </c>
      <c r="M855" s="59"/>
      <c r="N855" s="59"/>
      <c r="O855" s="59"/>
      <c r="P855" s="59"/>
      <c r="Q855" s="59"/>
      <c r="R855" s="60">
        <f>IF(AND(P855="",Q855=""),"",N(P855)+N(Q855))</f>
        <v/>
      </c>
      <c r="S855" s="59"/>
      <c r="T855" s="59"/>
      <c r="U855" s="62">
        <f>IF(OR(R855="",S855="",T855=""),"",IF(S855+T855=0,"",R855/(S855+T855)))</f>
        <v/>
      </c>
      <c r="V855" s="63"/>
      <c r="W855" s="64"/>
      <c r="X855" s="63"/>
    </row>
    <row r="856" spans="2:24">
      <c r="B856" s="58"/>
      <c r="C856" s="59"/>
      <c r="D856" s="59"/>
      <c r="E856" s="59"/>
      <c r="F856" s="59"/>
      <c r="G856" s="60">
        <f>IF(OR(E856="",F856="",C856="",D856=""),"",IF(C856+D856=0,"",(E856*C856+F856*D856)/(C856+D856)))</f>
        <v/>
      </c>
      <c r="H856" s="59"/>
      <c r="I856" s="60">
        <f>IF(OR(H856="",E856="",C856="",D856=""),"",IF(C856+D856=0,"",(H856*D856+E856*C856)/(C856+D856)))</f>
        <v/>
      </c>
      <c r="J856" s="59"/>
      <c r="K856" s="61">
        <f>IF(OR(J856="",I856=""),"",J856-I856)</f>
        <v/>
      </c>
      <c r="L856" s="61">
        <f>IF(OR(J856="",G856=""),"",J856-G856)</f>
        <v/>
      </c>
      <c r="M856" s="59"/>
      <c r="N856" s="59"/>
      <c r="O856" s="59"/>
      <c r="P856" s="59"/>
      <c r="Q856" s="59"/>
      <c r="R856" s="60">
        <f>IF(AND(P856="",Q856=""),"",N(P856)+N(Q856))</f>
        <v/>
      </c>
      <c r="S856" s="59"/>
      <c r="T856" s="59"/>
      <c r="U856" s="62">
        <f>IF(OR(R856="",S856="",T856=""),"",IF(S856+T856=0,"",R856/(S856+T856)))</f>
        <v/>
      </c>
      <c r="V856" s="63"/>
      <c r="W856" s="64"/>
      <c r="X856" s="63"/>
    </row>
    <row r="857" spans="2:24">
      <c r="B857" s="58"/>
      <c r="C857" s="59"/>
      <c r="D857" s="59"/>
      <c r="E857" s="59"/>
      <c r="F857" s="59"/>
      <c r="G857" s="60">
        <f>IF(OR(E857="",F857="",C857="",D857=""),"",IF(C857+D857=0,"",(E857*C857+F857*D857)/(C857+D857)))</f>
        <v/>
      </c>
      <c r="H857" s="59"/>
      <c r="I857" s="60">
        <f>IF(OR(H857="",E857="",C857="",D857=""),"",IF(C857+D857=0,"",(H857*D857+E857*C857)/(C857+D857)))</f>
        <v/>
      </c>
      <c r="J857" s="59"/>
      <c r="K857" s="61">
        <f>IF(OR(J857="",I857=""),"",J857-I857)</f>
        <v/>
      </c>
      <c r="L857" s="61">
        <f>IF(OR(J857="",G857=""),"",J857-G857)</f>
        <v/>
      </c>
      <c r="M857" s="59"/>
      <c r="N857" s="59"/>
      <c r="O857" s="59"/>
      <c r="P857" s="59"/>
      <c r="Q857" s="59"/>
      <c r="R857" s="60">
        <f>IF(AND(P857="",Q857=""),"",N(P857)+N(Q857))</f>
        <v/>
      </c>
      <c r="S857" s="59"/>
      <c r="T857" s="59"/>
      <c r="U857" s="62">
        <f>IF(OR(R857="",S857="",T857=""),"",IF(S857+T857=0,"",R857/(S857+T857)))</f>
        <v/>
      </c>
      <c r="V857" s="63"/>
      <c r="W857" s="64"/>
      <c r="X857" s="63"/>
    </row>
    <row r="858" spans="2:24">
      <c r="B858" s="58"/>
      <c r="C858" s="59"/>
      <c r="D858" s="59"/>
      <c r="E858" s="59"/>
      <c r="F858" s="59"/>
      <c r="G858" s="60">
        <f>IF(OR(E858="",F858="",C858="",D858=""),"",IF(C858+D858=0,"",(E858*C858+F858*D858)/(C858+D858)))</f>
        <v/>
      </c>
      <c r="H858" s="59"/>
      <c r="I858" s="60">
        <f>IF(OR(H858="",E858="",C858="",D858=""),"",IF(C858+D858=0,"",(H858*D858+E858*C858)/(C858+D858)))</f>
        <v/>
      </c>
      <c r="J858" s="59"/>
      <c r="K858" s="61">
        <f>IF(OR(J858="",I858=""),"",J858-I858)</f>
        <v/>
      </c>
      <c r="L858" s="61">
        <f>IF(OR(J858="",G858=""),"",J858-G858)</f>
        <v/>
      </c>
      <c r="M858" s="59"/>
      <c r="N858" s="59"/>
      <c r="O858" s="59"/>
      <c r="P858" s="59"/>
      <c r="Q858" s="59"/>
      <c r="R858" s="60">
        <f>IF(AND(P858="",Q858=""),"",N(P858)+N(Q858))</f>
        <v/>
      </c>
      <c r="S858" s="59"/>
      <c r="T858" s="59"/>
      <c r="U858" s="62">
        <f>IF(OR(R858="",S858="",T858=""),"",IF(S858+T858=0,"",R858/(S858+T858)))</f>
        <v/>
      </c>
      <c r="V858" s="63"/>
      <c r="W858" s="64"/>
      <c r="X858" s="63"/>
    </row>
    <row r="859" spans="2:24">
      <c r="B859" s="58"/>
      <c r="C859" s="59"/>
      <c r="D859" s="59"/>
      <c r="E859" s="59"/>
      <c r="F859" s="59"/>
      <c r="G859" s="60">
        <f>IF(OR(E859="",F859="",C859="",D859=""),"",IF(C859+D859=0,"",(E859*C859+F859*D859)/(C859+D859)))</f>
        <v/>
      </c>
      <c r="H859" s="59"/>
      <c r="I859" s="60">
        <f>IF(OR(H859="",E859="",C859="",D859=""),"",IF(C859+D859=0,"",(H859*D859+E859*C859)/(C859+D859)))</f>
        <v/>
      </c>
      <c r="J859" s="59"/>
      <c r="K859" s="61">
        <f>IF(OR(J859="",I859=""),"",J859-I859)</f>
        <v/>
      </c>
      <c r="L859" s="61">
        <f>IF(OR(J859="",G859=""),"",J859-G859)</f>
        <v/>
      </c>
      <c r="M859" s="59"/>
      <c r="N859" s="59"/>
      <c r="O859" s="59"/>
      <c r="P859" s="59"/>
      <c r="Q859" s="59"/>
      <c r="R859" s="60">
        <f>IF(AND(P859="",Q859=""),"",N(P859)+N(Q859))</f>
        <v/>
      </c>
      <c r="S859" s="59"/>
      <c r="T859" s="59"/>
      <c r="U859" s="62">
        <f>IF(OR(R859="",S859="",T859=""),"",IF(S859+T859=0,"",R859/(S859+T859)))</f>
        <v/>
      </c>
      <c r="V859" s="63"/>
      <c r="W859" s="64"/>
      <c r="X859" s="63"/>
    </row>
    <row r="860" spans="2:24">
      <c r="B860" s="58"/>
      <c r="C860" s="59"/>
      <c r="D860" s="59"/>
      <c r="E860" s="59"/>
      <c r="F860" s="59"/>
      <c r="G860" s="60">
        <f>IF(OR(E860="",F860="",C860="",D860=""),"",IF(C860+D860=0,"",(E860*C860+F860*D860)/(C860+D860)))</f>
        <v/>
      </c>
      <c r="H860" s="59"/>
      <c r="I860" s="60">
        <f>IF(OR(H860="",E860="",C860="",D860=""),"",IF(C860+D860=0,"",(H860*D860+E860*C860)/(C860+D860)))</f>
        <v/>
      </c>
      <c r="J860" s="59"/>
      <c r="K860" s="61">
        <f>IF(OR(J860="",I860=""),"",J860-I860)</f>
        <v/>
      </c>
      <c r="L860" s="61">
        <f>IF(OR(J860="",G860=""),"",J860-G860)</f>
        <v/>
      </c>
      <c r="M860" s="59"/>
      <c r="N860" s="59"/>
      <c r="O860" s="59"/>
      <c r="P860" s="59"/>
      <c r="Q860" s="59"/>
      <c r="R860" s="60">
        <f>IF(AND(P860="",Q860=""),"",N(P860)+N(Q860))</f>
        <v/>
      </c>
      <c r="S860" s="59"/>
      <c r="T860" s="59"/>
      <c r="U860" s="62">
        <f>IF(OR(R860="",S860="",T860=""),"",IF(S860+T860=0,"",R860/(S860+T860)))</f>
        <v/>
      </c>
      <c r="V860" s="63"/>
      <c r="W860" s="64"/>
      <c r="X860" s="63"/>
    </row>
    <row r="861" spans="2:24">
      <c r="B861" s="58"/>
      <c r="C861" s="59"/>
      <c r="D861" s="59"/>
      <c r="E861" s="59"/>
      <c r="F861" s="59"/>
      <c r="G861" s="60">
        <f>IF(OR(E861="",F861="",C861="",D861=""),"",IF(C861+D861=0,"",(E861*C861+F861*D861)/(C861+D861)))</f>
        <v/>
      </c>
      <c r="H861" s="59"/>
      <c r="I861" s="60">
        <f>IF(OR(H861="",E861="",C861="",D861=""),"",IF(C861+D861=0,"",(H861*D861+E861*C861)/(C861+D861)))</f>
        <v/>
      </c>
      <c r="J861" s="59"/>
      <c r="K861" s="61">
        <f>IF(OR(J861="",I861=""),"",J861-I861)</f>
        <v/>
      </c>
      <c r="L861" s="61">
        <f>IF(OR(J861="",G861=""),"",J861-G861)</f>
        <v/>
      </c>
      <c r="M861" s="59"/>
      <c r="N861" s="59"/>
      <c r="O861" s="59"/>
      <c r="P861" s="59"/>
      <c r="Q861" s="59"/>
      <c r="R861" s="60">
        <f>IF(AND(P861="",Q861=""),"",N(P861)+N(Q861))</f>
        <v/>
      </c>
      <c r="S861" s="59"/>
      <c r="T861" s="59"/>
      <c r="U861" s="62">
        <f>IF(OR(R861="",S861="",T861=""),"",IF(S861+T861=0,"",R861/(S861+T861)))</f>
        <v/>
      </c>
      <c r="V861" s="63"/>
      <c r="W861" s="64"/>
      <c r="X861" s="63"/>
    </row>
    <row r="862" spans="2:24">
      <c r="B862" s="58"/>
      <c r="C862" s="59"/>
      <c r="D862" s="59"/>
      <c r="E862" s="59"/>
      <c r="F862" s="59"/>
      <c r="G862" s="60">
        <f>IF(OR(E862="",F862="",C862="",D862=""),"",IF(C862+D862=0,"",(E862*C862+F862*D862)/(C862+D862)))</f>
        <v/>
      </c>
      <c r="H862" s="59"/>
      <c r="I862" s="60">
        <f>IF(OR(H862="",E862="",C862="",D862=""),"",IF(C862+D862=0,"",(H862*D862+E862*C862)/(C862+D862)))</f>
        <v/>
      </c>
      <c r="J862" s="59"/>
      <c r="K862" s="61">
        <f>IF(OR(J862="",I862=""),"",J862-I862)</f>
        <v/>
      </c>
      <c r="L862" s="61">
        <f>IF(OR(J862="",G862=""),"",J862-G862)</f>
        <v/>
      </c>
      <c r="M862" s="59"/>
      <c r="N862" s="59"/>
      <c r="O862" s="59"/>
      <c r="P862" s="59"/>
      <c r="Q862" s="59"/>
      <c r="R862" s="60">
        <f>IF(AND(P862="",Q862=""),"",N(P862)+N(Q862))</f>
        <v/>
      </c>
      <c r="S862" s="59"/>
      <c r="T862" s="59"/>
      <c r="U862" s="62">
        <f>IF(OR(R862="",S862="",T862=""),"",IF(S862+T862=0,"",R862/(S862+T862)))</f>
        <v/>
      </c>
      <c r="V862" s="63"/>
      <c r="W862" s="64"/>
      <c r="X862" s="63"/>
    </row>
    <row r="863" spans="2:24">
      <c r="B863" s="58"/>
      <c r="C863" s="59"/>
      <c r="D863" s="59"/>
      <c r="E863" s="59"/>
      <c r="F863" s="59"/>
      <c r="G863" s="60">
        <f>IF(OR(E863="",F863="",C863="",D863=""),"",IF(C863+D863=0,"",(E863*C863+F863*D863)/(C863+D863)))</f>
        <v/>
      </c>
      <c r="H863" s="59"/>
      <c r="I863" s="60">
        <f>IF(OR(H863="",E863="",C863="",D863=""),"",IF(C863+D863=0,"",(H863*D863+E863*C863)/(C863+D863)))</f>
        <v/>
      </c>
      <c r="J863" s="59"/>
      <c r="K863" s="61">
        <f>IF(OR(J863="",I863=""),"",J863-I863)</f>
        <v/>
      </c>
      <c r="L863" s="61">
        <f>IF(OR(J863="",G863=""),"",J863-G863)</f>
        <v/>
      </c>
      <c r="M863" s="59"/>
      <c r="N863" s="59"/>
      <c r="O863" s="59"/>
      <c r="P863" s="59"/>
      <c r="Q863" s="59"/>
      <c r="R863" s="60">
        <f>IF(AND(P863="",Q863=""),"",N(P863)+N(Q863))</f>
        <v/>
      </c>
      <c r="S863" s="59"/>
      <c r="T863" s="59"/>
      <c r="U863" s="62">
        <f>IF(OR(R863="",S863="",T863=""),"",IF(S863+T863=0,"",R863/(S863+T863)))</f>
        <v/>
      </c>
      <c r="V863" s="63"/>
      <c r="W863" s="64"/>
      <c r="X863" s="63"/>
    </row>
    <row r="864" spans="2:24">
      <c r="B864" s="58"/>
      <c r="C864" s="59"/>
      <c r="D864" s="59"/>
      <c r="E864" s="59"/>
      <c r="F864" s="59"/>
      <c r="G864" s="60">
        <f>IF(OR(E864="",F864="",C864="",D864=""),"",IF(C864+D864=0,"",(E864*C864+F864*D864)/(C864+D864)))</f>
        <v/>
      </c>
      <c r="H864" s="59"/>
      <c r="I864" s="60">
        <f>IF(OR(H864="",E864="",C864="",D864=""),"",IF(C864+D864=0,"",(H864*D864+E864*C864)/(C864+D864)))</f>
        <v/>
      </c>
      <c r="J864" s="59"/>
      <c r="K864" s="61">
        <f>IF(OR(J864="",I864=""),"",J864-I864)</f>
        <v/>
      </c>
      <c r="L864" s="61">
        <f>IF(OR(J864="",G864=""),"",J864-G864)</f>
        <v/>
      </c>
      <c r="M864" s="59"/>
      <c r="N864" s="59"/>
      <c r="O864" s="59"/>
      <c r="P864" s="59"/>
      <c r="Q864" s="59"/>
      <c r="R864" s="60">
        <f>IF(AND(P864="",Q864=""),"",N(P864)+N(Q864))</f>
        <v/>
      </c>
      <c r="S864" s="59"/>
      <c r="T864" s="59"/>
      <c r="U864" s="62">
        <f>IF(OR(R864="",S864="",T864=""),"",IF(S864+T864=0,"",R864/(S864+T864)))</f>
        <v/>
      </c>
      <c r="V864" s="63"/>
      <c r="W864" s="64"/>
      <c r="X864" s="63"/>
    </row>
    <row r="865" spans="2:24">
      <c r="B865" s="58"/>
      <c r="C865" s="59"/>
      <c r="D865" s="59"/>
      <c r="E865" s="59"/>
      <c r="F865" s="59"/>
      <c r="G865" s="60">
        <f>IF(OR(E865="",F865="",C865="",D865=""),"",IF(C865+D865=0,"",(E865*C865+F865*D865)/(C865+D865)))</f>
        <v/>
      </c>
      <c r="H865" s="59"/>
      <c r="I865" s="60">
        <f>IF(OR(H865="",E865="",C865="",D865=""),"",IF(C865+D865=0,"",(H865*D865+E865*C865)/(C865+D865)))</f>
        <v/>
      </c>
      <c r="J865" s="59"/>
      <c r="K865" s="61">
        <f>IF(OR(J865="",I865=""),"",J865-I865)</f>
        <v/>
      </c>
      <c r="L865" s="61">
        <f>IF(OR(J865="",G865=""),"",J865-G865)</f>
        <v/>
      </c>
      <c r="M865" s="59"/>
      <c r="N865" s="59"/>
      <c r="O865" s="59"/>
      <c r="P865" s="59"/>
      <c r="Q865" s="59"/>
      <c r="R865" s="60">
        <f>IF(AND(P865="",Q865=""),"",N(P865)+N(Q865))</f>
        <v/>
      </c>
      <c r="S865" s="59"/>
      <c r="T865" s="59"/>
      <c r="U865" s="62">
        <f>IF(OR(R865="",S865="",T865=""),"",IF(S865+T865=0,"",R865/(S865+T865)))</f>
        <v/>
      </c>
      <c r="V865" s="63"/>
      <c r="W865" s="64"/>
      <c r="X865" s="63"/>
    </row>
    <row r="866" spans="2:24">
      <c r="B866" s="58"/>
      <c r="C866" s="59"/>
      <c r="D866" s="59"/>
      <c r="E866" s="59"/>
      <c r="F866" s="59"/>
      <c r="G866" s="60">
        <f>IF(OR(E866="",F866="",C866="",D866=""),"",IF(C866+D866=0,"",(E866*C866+F866*D866)/(C866+D866)))</f>
        <v/>
      </c>
      <c r="H866" s="59"/>
      <c r="I866" s="60">
        <f>IF(OR(H866="",E866="",C866="",D866=""),"",IF(C866+D866=0,"",(H866*D866+E866*C866)/(C866+D866)))</f>
        <v/>
      </c>
      <c r="J866" s="59"/>
      <c r="K866" s="61">
        <f>IF(OR(J866="",I866=""),"",J866-I866)</f>
        <v/>
      </c>
      <c r="L866" s="61">
        <f>IF(OR(J866="",G866=""),"",J866-G866)</f>
        <v/>
      </c>
      <c r="M866" s="59"/>
      <c r="N866" s="59"/>
      <c r="O866" s="59"/>
      <c r="P866" s="59"/>
      <c r="Q866" s="59"/>
      <c r="R866" s="60">
        <f>IF(AND(P866="",Q866=""),"",N(P866)+N(Q866))</f>
        <v/>
      </c>
      <c r="S866" s="59"/>
      <c r="T866" s="59"/>
      <c r="U866" s="62">
        <f>IF(OR(R866="",S866="",T866=""),"",IF(S866+T866=0,"",R866/(S866+T866)))</f>
        <v/>
      </c>
      <c r="V866" s="63"/>
      <c r="W866" s="64"/>
      <c r="X866" s="63"/>
    </row>
    <row r="867" spans="2:24">
      <c r="B867" s="58"/>
      <c r="C867" s="59"/>
      <c r="D867" s="59"/>
      <c r="E867" s="59"/>
      <c r="F867" s="59"/>
      <c r="G867" s="60">
        <f>IF(OR(E867="",F867="",C867="",D867=""),"",IF(C867+D867=0,"",(E867*C867+F867*D867)/(C867+D867)))</f>
        <v/>
      </c>
      <c r="H867" s="59"/>
      <c r="I867" s="60">
        <f>IF(OR(H867="",E867="",C867="",D867=""),"",IF(C867+D867=0,"",(H867*D867+E867*C867)/(C867+D867)))</f>
        <v/>
      </c>
      <c r="J867" s="59"/>
      <c r="K867" s="61">
        <f>IF(OR(J867="",I867=""),"",J867-I867)</f>
        <v/>
      </c>
      <c r="L867" s="61">
        <f>IF(OR(J867="",G867=""),"",J867-G867)</f>
        <v/>
      </c>
      <c r="M867" s="59"/>
      <c r="N867" s="59"/>
      <c r="O867" s="59"/>
      <c r="P867" s="59"/>
      <c r="Q867" s="59"/>
      <c r="R867" s="60">
        <f>IF(AND(P867="",Q867=""),"",N(P867)+N(Q867))</f>
        <v/>
      </c>
      <c r="S867" s="59"/>
      <c r="T867" s="59"/>
      <c r="U867" s="62">
        <f>IF(OR(R867="",S867="",T867=""),"",IF(S867+T867=0,"",R867/(S867+T867)))</f>
        <v/>
      </c>
      <c r="V867" s="63"/>
      <c r="W867" s="64"/>
      <c r="X867" s="63"/>
    </row>
    <row r="868" spans="2:24">
      <c r="B868" s="58"/>
      <c r="C868" s="59"/>
      <c r="D868" s="59"/>
      <c r="E868" s="59"/>
      <c r="F868" s="59"/>
      <c r="G868" s="60">
        <f>IF(OR(E868="",F868="",C868="",D868=""),"",IF(C868+D868=0,"",(E868*C868+F868*D868)/(C868+D868)))</f>
        <v/>
      </c>
      <c r="H868" s="59"/>
      <c r="I868" s="60">
        <f>IF(OR(H868="",E868="",C868="",D868=""),"",IF(C868+D868=0,"",(H868*D868+E868*C868)/(C868+D868)))</f>
        <v/>
      </c>
      <c r="J868" s="59"/>
      <c r="K868" s="61">
        <f>IF(OR(J868="",I868=""),"",J868-I868)</f>
        <v/>
      </c>
      <c r="L868" s="61">
        <f>IF(OR(J868="",G868=""),"",J868-G868)</f>
        <v/>
      </c>
      <c r="M868" s="59"/>
      <c r="N868" s="59"/>
      <c r="O868" s="59"/>
      <c r="P868" s="59"/>
      <c r="Q868" s="59"/>
      <c r="R868" s="60">
        <f>IF(AND(P868="",Q868=""),"",N(P868)+N(Q868))</f>
        <v/>
      </c>
      <c r="S868" s="59"/>
      <c r="T868" s="59"/>
      <c r="U868" s="62">
        <f>IF(OR(R868="",S868="",T868=""),"",IF(S868+T868=0,"",R868/(S868+T868)))</f>
        <v/>
      </c>
      <c r="V868" s="63"/>
      <c r="W868" s="64"/>
      <c r="X868" s="63"/>
    </row>
    <row r="869" spans="2:24">
      <c r="B869" s="58"/>
      <c r="C869" s="59"/>
      <c r="D869" s="59"/>
      <c r="E869" s="59"/>
      <c r="F869" s="59"/>
      <c r="G869" s="60">
        <f>IF(OR(E869="",F869="",C869="",D869=""),"",IF(C869+D869=0,"",(E869*C869+F869*D869)/(C869+D869)))</f>
        <v/>
      </c>
      <c r="H869" s="59"/>
      <c r="I869" s="60">
        <f>IF(OR(H869="",E869="",C869="",D869=""),"",IF(C869+D869=0,"",(H869*D869+E869*C869)/(C869+D869)))</f>
        <v/>
      </c>
      <c r="J869" s="59"/>
      <c r="K869" s="61">
        <f>IF(OR(J869="",I869=""),"",J869-I869)</f>
        <v/>
      </c>
      <c r="L869" s="61">
        <f>IF(OR(J869="",G869=""),"",J869-G869)</f>
        <v/>
      </c>
      <c r="M869" s="59"/>
      <c r="N869" s="59"/>
      <c r="O869" s="59"/>
      <c r="P869" s="59"/>
      <c r="Q869" s="59"/>
      <c r="R869" s="60">
        <f>IF(AND(P869="",Q869=""),"",N(P869)+N(Q869))</f>
        <v/>
      </c>
      <c r="S869" s="59"/>
      <c r="T869" s="59"/>
      <c r="U869" s="62">
        <f>IF(OR(R869="",S869="",T869=""),"",IF(S869+T869=0,"",R869/(S869+T869)))</f>
        <v/>
      </c>
      <c r="V869" s="63"/>
      <c r="W869" s="64"/>
      <c r="X869" s="63"/>
    </row>
    <row r="870" spans="2:24">
      <c r="B870" s="58"/>
      <c r="C870" s="59"/>
      <c r="D870" s="59"/>
      <c r="E870" s="59"/>
      <c r="F870" s="59"/>
      <c r="G870" s="60">
        <f>IF(OR(E870="",F870="",C870="",D870=""),"",IF(C870+D870=0,"",(E870*C870+F870*D870)/(C870+D870)))</f>
        <v/>
      </c>
      <c r="H870" s="59"/>
      <c r="I870" s="60">
        <f>IF(OR(H870="",E870="",C870="",D870=""),"",IF(C870+D870=0,"",(H870*D870+E870*C870)/(C870+D870)))</f>
        <v/>
      </c>
      <c r="J870" s="59"/>
      <c r="K870" s="61">
        <f>IF(OR(J870="",I870=""),"",J870-I870)</f>
        <v/>
      </c>
      <c r="L870" s="61">
        <f>IF(OR(J870="",G870=""),"",J870-G870)</f>
        <v/>
      </c>
      <c r="M870" s="59"/>
      <c r="N870" s="59"/>
      <c r="O870" s="59"/>
      <c r="P870" s="59"/>
      <c r="Q870" s="59"/>
      <c r="R870" s="60">
        <f>IF(AND(P870="",Q870=""),"",N(P870)+N(Q870))</f>
        <v/>
      </c>
      <c r="S870" s="59"/>
      <c r="T870" s="59"/>
      <c r="U870" s="62">
        <f>IF(OR(R870="",S870="",T870=""),"",IF(S870+T870=0,"",R870/(S870+T870)))</f>
        <v/>
      </c>
      <c r="V870" s="63"/>
      <c r="W870" s="64"/>
      <c r="X870" s="63"/>
    </row>
    <row r="871" spans="2:24">
      <c r="B871" s="58"/>
      <c r="C871" s="59"/>
      <c r="D871" s="59"/>
      <c r="E871" s="59"/>
      <c r="F871" s="59"/>
      <c r="G871" s="60">
        <f>IF(OR(E871="",F871="",C871="",D871=""),"",IF(C871+D871=0,"",(E871*C871+F871*D871)/(C871+D871)))</f>
        <v/>
      </c>
      <c r="H871" s="59"/>
      <c r="I871" s="60">
        <f>IF(OR(H871="",E871="",C871="",D871=""),"",IF(C871+D871=0,"",(H871*D871+E871*C871)/(C871+D871)))</f>
        <v/>
      </c>
      <c r="J871" s="59"/>
      <c r="K871" s="61">
        <f>IF(OR(J871="",I871=""),"",J871-I871)</f>
        <v/>
      </c>
      <c r="L871" s="61">
        <f>IF(OR(J871="",G871=""),"",J871-G871)</f>
        <v/>
      </c>
      <c r="M871" s="59"/>
      <c r="N871" s="59"/>
      <c r="O871" s="59"/>
      <c r="P871" s="59"/>
      <c r="Q871" s="59"/>
      <c r="R871" s="60">
        <f>IF(AND(P871="",Q871=""),"",N(P871)+N(Q871))</f>
        <v/>
      </c>
      <c r="S871" s="59"/>
      <c r="T871" s="59"/>
      <c r="U871" s="62">
        <f>IF(OR(R871="",S871="",T871=""),"",IF(S871+T871=0,"",R871/(S871+T871)))</f>
        <v/>
      </c>
      <c r="V871" s="63"/>
      <c r="W871" s="64"/>
      <c r="X871" s="63"/>
    </row>
    <row r="872" spans="2:24">
      <c r="B872" s="58"/>
      <c r="C872" s="59"/>
      <c r="D872" s="59"/>
      <c r="E872" s="59"/>
      <c r="F872" s="59"/>
      <c r="G872" s="60">
        <f>IF(OR(E872="",F872="",C872="",D872=""),"",IF(C872+D872=0,"",(E872*C872+F872*D872)/(C872+D872)))</f>
        <v/>
      </c>
      <c r="H872" s="59"/>
      <c r="I872" s="60">
        <f>IF(OR(H872="",E872="",C872="",D872=""),"",IF(C872+D872=0,"",(H872*D872+E872*C872)/(C872+D872)))</f>
        <v/>
      </c>
      <c r="J872" s="59"/>
      <c r="K872" s="61">
        <f>IF(OR(J872="",I872=""),"",J872-I872)</f>
        <v/>
      </c>
      <c r="L872" s="61">
        <f>IF(OR(J872="",G872=""),"",J872-G872)</f>
        <v/>
      </c>
      <c r="M872" s="59"/>
      <c r="N872" s="59"/>
      <c r="O872" s="59"/>
      <c r="P872" s="59"/>
      <c r="Q872" s="59"/>
      <c r="R872" s="60">
        <f>IF(AND(P872="",Q872=""),"",N(P872)+N(Q872))</f>
        <v/>
      </c>
      <c r="S872" s="59"/>
      <c r="T872" s="59"/>
      <c r="U872" s="62">
        <f>IF(OR(R872="",S872="",T872=""),"",IF(S872+T872=0,"",R872/(S872+T872)))</f>
        <v/>
      </c>
      <c r="V872" s="63"/>
      <c r="W872" s="64"/>
      <c r="X872" s="63"/>
    </row>
    <row r="873" spans="2:24">
      <c r="B873" s="58"/>
      <c r="C873" s="59"/>
      <c r="D873" s="59"/>
      <c r="E873" s="59"/>
      <c r="F873" s="59"/>
      <c r="G873" s="60">
        <f>IF(OR(E873="",F873="",C873="",D873=""),"",IF(C873+D873=0,"",(E873*C873+F873*D873)/(C873+D873)))</f>
        <v/>
      </c>
      <c r="H873" s="59"/>
      <c r="I873" s="60">
        <f>IF(OR(H873="",E873="",C873="",D873=""),"",IF(C873+D873=0,"",(H873*D873+E873*C873)/(C873+D873)))</f>
        <v/>
      </c>
      <c r="J873" s="59"/>
      <c r="K873" s="61">
        <f>IF(OR(J873="",I873=""),"",J873-I873)</f>
        <v/>
      </c>
      <c r="L873" s="61">
        <f>IF(OR(J873="",G873=""),"",J873-G873)</f>
        <v/>
      </c>
      <c r="M873" s="59"/>
      <c r="N873" s="59"/>
      <c r="O873" s="59"/>
      <c r="P873" s="59"/>
      <c r="Q873" s="59"/>
      <c r="R873" s="60">
        <f>IF(AND(P873="",Q873=""),"",N(P873)+N(Q873))</f>
        <v/>
      </c>
      <c r="S873" s="59"/>
      <c r="T873" s="59"/>
      <c r="U873" s="62">
        <f>IF(OR(R873="",S873="",T873=""),"",IF(S873+T873=0,"",R873/(S873+T873)))</f>
        <v/>
      </c>
      <c r="V873" s="63"/>
      <c r="W873" s="64"/>
      <c r="X873" s="63"/>
    </row>
    <row r="874" spans="2:24">
      <c r="B874" s="58"/>
      <c r="C874" s="59"/>
      <c r="D874" s="59"/>
      <c r="E874" s="59"/>
      <c r="F874" s="59"/>
      <c r="G874" s="60">
        <f>IF(OR(E874="",F874="",C874="",D874=""),"",IF(C874+D874=0,"",(E874*C874+F874*D874)/(C874+D874)))</f>
        <v/>
      </c>
      <c r="H874" s="59"/>
      <c r="I874" s="60">
        <f>IF(OR(H874="",E874="",C874="",D874=""),"",IF(C874+D874=0,"",(H874*D874+E874*C874)/(C874+D874)))</f>
        <v/>
      </c>
      <c r="J874" s="59"/>
      <c r="K874" s="61">
        <f>IF(OR(J874="",I874=""),"",J874-I874)</f>
        <v/>
      </c>
      <c r="L874" s="61">
        <f>IF(OR(J874="",G874=""),"",J874-G874)</f>
        <v/>
      </c>
      <c r="M874" s="59"/>
      <c r="N874" s="59"/>
      <c r="O874" s="59"/>
      <c r="P874" s="59"/>
      <c r="Q874" s="59"/>
      <c r="R874" s="60">
        <f>IF(AND(P874="",Q874=""),"",N(P874)+N(Q874))</f>
        <v/>
      </c>
      <c r="S874" s="59"/>
      <c r="T874" s="59"/>
      <c r="U874" s="62">
        <f>IF(OR(R874="",S874="",T874=""),"",IF(S874+T874=0,"",R874/(S874+T874)))</f>
        <v/>
      </c>
      <c r="V874" s="63"/>
      <c r="W874" s="64"/>
      <c r="X874" s="63"/>
    </row>
    <row r="875" spans="2:24">
      <c r="B875" s="58"/>
      <c r="C875" s="59"/>
      <c r="D875" s="59"/>
      <c r="E875" s="59"/>
      <c r="F875" s="59"/>
      <c r="G875" s="60">
        <f>IF(OR(E875="",F875="",C875="",D875=""),"",IF(C875+D875=0,"",(E875*C875+F875*D875)/(C875+D875)))</f>
        <v/>
      </c>
      <c r="H875" s="59"/>
      <c r="I875" s="60">
        <f>IF(OR(H875="",E875="",C875="",D875=""),"",IF(C875+D875=0,"",(H875*D875+E875*C875)/(C875+D875)))</f>
        <v/>
      </c>
      <c r="J875" s="59"/>
      <c r="K875" s="61">
        <f>IF(OR(J875="",I875=""),"",J875-I875)</f>
        <v/>
      </c>
      <c r="L875" s="61">
        <f>IF(OR(J875="",G875=""),"",J875-G875)</f>
        <v/>
      </c>
      <c r="M875" s="59"/>
      <c r="N875" s="59"/>
      <c r="O875" s="59"/>
      <c r="P875" s="59"/>
      <c r="Q875" s="59"/>
      <c r="R875" s="60">
        <f>IF(AND(P875="",Q875=""),"",N(P875)+N(Q875))</f>
        <v/>
      </c>
      <c r="S875" s="59"/>
      <c r="T875" s="59"/>
      <c r="U875" s="62">
        <f>IF(OR(R875="",S875="",T875=""),"",IF(S875+T875=0,"",R875/(S875+T875)))</f>
        <v/>
      </c>
      <c r="V875" s="63"/>
      <c r="W875" s="64"/>
      <c r="X875" s="63"/>
    </row>
    <row r="876" spans="2:24">
      <c r="B876" s="58"/>
      <c r="C876" s="59"/>
      <c r="D876" s="59"/>
      <c r="E876" s="59"/>
      <c r="F876" s="59"/>
      <c r="G876" s="60">
        <f>IF(OR(E876="",F876="",C876="",D876=""),"",IF(C876+D876=0,"",(E876*C876+F876*D876)/(C876+D876)))</f>
        <v/>
      </c>
      <c r="H876" s="59"/>
      <c r="I876" s="60">
        <f>IF(OR(H876="",E876="",C876="",D876=""),"",IF(C876+D876=0,"",(H876*D876+E876*C876)/(C876+D876)))</f>
        <v/>
      </c>
      <c r="J876" s="59"/>
      <c r="K876" s="61">
        <f>IF(OR(J876="",I876=""),"",J876-I876)</f>
        <v/>
      </c>
      <c r="L876" s="61">
        <f>IF(OR(J876="",G876=""),"",J876-G876)</f>
        <v/>
      </c>
      <c r="M876" s="59"/>
      <c r="N876" s="59"/>
      <c r="O876" s="59"/>
      <c r="P876" s="59"/>
      <c r="Q876" s="59"/>
      <c r="R876" s="60">
        <f>IF(AND(P876="",Q876=""),"",N(P876)+N(Q876))</f>
        <v/>
      </c>
      <c r="S876" s="59"/>
      <c r="T876" s="59"/>
      <c r="U876" s="62">
        <f>IF(OR(R876="",S876="",T876=""),"",IF(S876+T876=0,"",R876/(S876+T876)))</f>
        <v/>
      </c>
      <c r="V876" s="63"/>
      <c r="W876" s="64"/>
      <c r="X876" s="63"/>
    </row>
    <row r="877" spans="2:24">
      <c r="B877" s="58"/>
      <c r="C877" s="59"/>
      <c r="D877" s="59"/>
      <c r="E877" s="59"/>
      <c r="F877" s="59"/>
      <c r="G877" s="60">
        <f>IF(OR(E877="",F877="",C877="",D877=""),"",IF(C877+D877=0,"",(E877*C877+F877*D877)/(C877+D877)))</f>
        <v/>
      </c>
      <c r="H877" s="59"/>
      <c r="I877" s="60">
        <f>IF(OR(H877="",E877="",C877="",D877=""),"",IF(C877+D877=0,"",(H877*D877+E877*C877)/(C877+D877)))</f>
        <v/>
      </c>
      <c r="J877" s="59"/>
      <c r="K877" s="61">
        <f>IF(OR(J877="",I877=""),"",J877-I877)</f>
        <v/>
      </c>
      <c r="L877" s="61">
        <f>IF(OR(J877="",G877=""),"",J877-G877)</f>
        <v/>
      </c>
      <c r="M877" s="59"/>
      <c r="N877" s="59"/>
      <c r="O877" s="59"/>
      <c r="P877" s="59"/>
      <c r="Q877" s="59"/>
      <c r="R877" s="60">
        <f>IF(AND(P877="",Q877=""),"",N(P877)+N(Q877))</f>
        <v/>
      </c>
      <c r="S877" s="59"/>
      <c r="T877" s="59"/>
      <c r="U877" s="62">
        <f>IF(OR(R877="",S877="",T877=""),"",IF(S877+T877=0,"",R877/(S877+T877)))</f>
        <v/>
      </c>
      <c r="V877" s="63"/>
      <c r="W877" s="64"/>
      <c r="X877" s="63"/>
    </row>
    <row r="878" spans="2:24">
      <c r="B878" s="58"/>
      <c r="C878" s="59"/>
      <c r="D878" s="59"/>
      <c r="E878" s="59"/>
      <c r="F878" s="59"/>
      <c r="G878" s="60">
        <f>IF(OR(E878="",F878="",C878="",D878=""),"",IF(C878+D878=0,"",(E878*C878+F878*D878)/(C878+D878)))</f>
        <v/>
      </c>
      <c r="H878" s="59"/>
      <c r="I878" s="60">
        <f>IF(OR(H878="",E878="",C878="",D878=""),"",IF(C878+D878=0,"",(H878*D878+E878*C878)/(C878+D878)))</f>
        <v/>
      </c>
      <c r="J878" s="59"/>
      <c r="K878" s="61">
        <f>IF(OR(J878="",I878=""),"",J878-I878)</f>
        <v/>
      </c>
      <c r="L878" s="61">
        <f>IF(OR(J878="",G878=""),"",J878-G878)</f>
        <v/>
      </c>
      <c r="M878" s="59"/>
      <c r="N878" s="59"/>
      <c r="O878" s="59"/>
      <c r="P878" s="59"/>
      <c r="Q878" s="59"/>
      <c r="R878" s="60">
        <f>IF(AND(P878="",Q878=""),"",N(P878)+N(Q878))</f>
        <v/>
      </c>
      <c r="S878" s="59"/>
      <c r="T878" s="59"/>
      <c r="U878" s="62">
        <f>IF(OR(R878="",S878="",T878=""),"",IF(S878+T878=0,"",R878/(S878+T878)))</f>
        <v/>
      </c>
      <c r="V878" s="63"/>
      <c r="W878" s="64"/>
      <c r="X878" s="63"/>
    </row>
    <row r="879" spans="2:24">
      <c r="B879" s="58"/>
      <c r="C879" s="59"/>
      <c r="D879" s="59"/>
      <c r="E879" s="59"/>
      <c r="F879" s="59"/>
      <c r="G879" s="60">
        <f>IF(OR(E879="",F879="",C879="",D879=""),"",IF(C879+D879=0,"",(E879*C879+F879*D879)/(C879+D879)))</f>
        <v/>
      </c>
      <c r="H879" s="59"/>
      <c r="I879" s="60">
        <f>IF(OR(H879="",E879="",C879="",D879=""),"",IF(C879+D879=0,"",(H879*D879+E879*C879)/(C879+D879)))</f>
        <v/>
      </c>
      <c r="J879" s="59"/>
      <c r="K879" s="61">
        <f>IF(OR(J879="",I879=""),"",J879-I879)</f>
        <v/>
      </c>
      <c r="L879" s="61">
        <f>IF(OR(J879="",G879=""),"",J879-G879)</f>
        <v/>
      </c>
      <c r="M879" s="59"/>
      <c r="N879" s="59"/>
      <c r="O879" s="59"/>
      <c r="P879" s="59"/>
      <c r="Q879" s="59"/>
      <c r="R879" s="60">
        <f>IF(AND(P879="",Q879=""),"",N(P879)+N(Q879))</f>
        <v/>
      </c>
      <c r="S879" s="59"/>
      <c r="T879" s="59"/>
      <c r="U879" s="62">
        <f>IF(OR(R879="",S879="",T879=""),"",IF(S879+T879=0,"",R879/(S879+T879)))</f>
        <v/>
      </c>
      <c r="V879" s="63"/>
      <c r="W879" s="64"/>
      <c r="X879" s="63"/>
    </row>
    <row r="880" spans="2:24">
      <c r="B880" s="58"/>
      <c r="C880" s="59"/>
      <c r="D880" s="59"/>
      <c r="E880" s="59"/>
      <c r="F880" s="59"/>
      <c r="G880" s="60">
        <f>IF(OR(E880="",F880="",C880="",D880=""),"",IF(C880+D880=0,"",(E880*C880+F880*D880)/(C880+D880)))</f>
        <v/>
      </c>
      <c r="H880" s="59"/>
      <c r="I880" s="60">
        <f>IF(OR(H880="",E880="",C880="",D880=""),"",IF(C880+D880=0,"",(H880*D880+E880*C880)/(C880+D880)))</f>
        <v/>
      </c>
      <c r="J880" s="59"/>
      <c r="K880" s="61">
        <f>IF(OR(J880="",I880=""),"",J880-I880)</f>
        <v/>
      </c>
      <c r="L880" s="61">
        <f>IF(OR(J880="",G880=""),"",J880-G880)</f>
        <v/>
      </c>
      <c r="M880" s="59"/>
      <c r="N880" s="59"/>
      <c r="O880" s="59"/>
      <c r="P880" s="59"/>
      <c r="Q880" s="59"/>
      <c r="R880" s="60">
        <f>IF(AND(P880="",Q880=""),"",N(P880)+N(Q880))</f>
        <v/>
      </c>
      <c r="S880" s="59"/>
      <c r="T880" s="59"/>
      <c r="U880" s="62">
        <f>IF(OR(R880="",S880="",T880=""),"",IF(S880+T880=0,"",R880/(S880+T880)))</f>
        <v/>
      </c>
      <c r="V880" s="63"/>
      <c r="W880" s="64"/>
      <c r="X880" s="63"/>
    </row>
    <row r="881" spans="2:24">
      <c r="B881" s="58"/>
      <c r="C881" s="59"/>
      <c r="D881" s="59"/>
      <c r="E881" s="59"/>
      <c r="F881" s="59"/>
      <c r="G881" s="60">
        <f>IF(OR(E881="",F881="",C881="",D881=""),"",IF(C881+D881=0,"",(E881*C881+F881*D881)/(C881+D881)))</f>
        <v/>
      </c>
      <c r="H881" s="59"/>
      <c r="I881" s="60">
        <f>IF(OR(H881="",E881="",C881="",D881=""),"",IF(C881+D881=0,"",(H881*D881+E881*C881)/(C881+D881)))</f>
        <v/>
      </c>
      <c r="J881" s="59"/>
      <c r="K881" s="61">
        <f>IF(OR(J881="",I881=""),"",J881-I881)</f>
        <v/>
      </c>
      <c r="L881" s="61">
        <f>IF(OR(J881="",G881=""),"",J881-G881)</f>
        <v/>
      </c>
      <c r="M881" s="59"/>
      <c r="N881" s="59"/>
      <c r="O881" s="59"/>
      <c r="P881" s="59"/>
      <c r="Q881" s="59"/>
      <c r="R881" s="60">
        <f>IF(AND(P881="",Q881=""),"",N(P881)+N(Q881))</f>
        <v/>
      </c>
      <c r="S881" s="59"/>
      <c r="T881" s="59"/>
      <c r="U881" s="62">
        <f>IF(OR(R881="",S881="",T881=""),"",IF(S881+T881=0,"",R881/(S881+T881)))</f>
        <v/>
      </c>
      <c r="V881" s="63"/>
      <c r="W881" s="64"/>
      <c r="X881" s="63"/>
    </row>
    <row r="882" spans="2:24">
      <c r="B882" s="58"/>
      <c r="C882" s="59"/>
      <c r="D882" s="59"/>
      <c r="E882" s="59"/>
      <c r="F882" s="59"/>
      <c r="G882" s="60">
        <f>IF(OR(E882="",F882="",C882="",D882=""),"",IF(C882+D882=0,"",(E882*C882+F882*D882)/(C882+D882)))</f>
        <v/>
      </c>
      <c r="H882" s="59"/>
      <c r="I882" s="60">
        <f>IF(OR(H882="",E882="",C882="",D882=""),"",IF(C882+D882=0,"",(H882*D882+E882*C882)/(C882+D882)))</f>
        <v/>
      </c>
      <c r="J882" s="59"/>
      <c r="K882" s="61">
        <f>IF(OR(J882="",I882=""),"",J882-I882)</f>
        <v/>
      </c>
      <c r="L882" s="61">
        <f>IF(OR(J882="",G882=""),"",J882-G882)</f>
        <v/>
      </c>
      <c r="M882" s="59"/>
      <c r="N882" s="59"/>
      <c r="O882" s="59"/>
      <c r="P882" s="59"/>
      <c r="Q882" s="59"/>
      <c r="R882" s="60">
        <f>IF(AND(P882="",Q882=""),"",N(P882)+N(Q882))</f>
        <v/>
      </c>
      <c r="S882" s="59"/>
      <c r="T882" s="59"/>
      <c r="U882" s="62">
        <f>IF(OR(R882="",S882="",T882=""),"",IF(S882+T882=0,"",R882/(S882+T882)))</f>
        <v/>
      </c>
      <c r="V882" s="63"/>
      <c r="W882" s="64"/>
      <c r="X882" s="63"/>
    </row>
    <row r="883" spans="2:24">
      <c r="B883" s="58"/>
      <c r="C883" s="59"/>
      <c r="D883" s="59"/>
      <c r="E883" s="59"/>
      <c r="F883" s="59"/>
      <c r="G883" s="60">
        <f>IF(OR(E883="",F883="",C883="",D883=""),"",IF(C883+D883=0,"",(E883*C883+F883*D883)/(C883+D883)))</f>
        <v/>
      </c>
      <c r="H883" s="59"/>
      <c r="I883" s="60">
        <f>IF(OR(H883="",E883="",C883="",D883=""),"",IF(C883+D883=0,"",(H883*D883+E883*C883)/(C883+D883)))</f>
        <v/>
      </c>
      <c r="J883" s="59"/>
      <c r="K883" s="61">
        <f>IF(OR(J883="",I883=""),"",J883-I883)</f>
        <v/>
      </c>
      <c r="L883" s="61">
        <f>IF(OR(J883="",G883=""),"",J883-G883)</f>
        <v/>
      </c>
      <c r="M883" s="59"/>
      <c r="N883" s="59"/>
      <c r="O883" s="59"/>
      <c r="P883" s="59"/>
      <c r="Q883" s="59"/>
      <c r="R883" s="60">
        <f>IF(AND(P883="",Q883=""),"",N(P883)+N(Q883))</f>
        <v/>
      </c>
      <c r="S883" s="59"/>
      <c r="T883" s="59"/>
      <c r="U883" s="62">
        <f>IF(OR(R883="",S883="",T883=""),"",IF(S883+T883=0,"",R883/(S883+T883)))</f>
        <v/>
      </c>
      <c r="V883" s="63"/>
      <c r="W883" s="64"/>
      <c r="X883" s="63"/>
    </row>
    <row r="884" spans="2:24">
      <c r="B884" s="58"/>
      <c r="C884" s="59"/>
      <c r="D884" s="59"/>
      <c r="E884" s="59"/>
      <c r="F884" s="59"/>
      <c r="G884" s="60">
        <f>IF(OR(E884="",F884="",C884="",D884=""),"",IF(C884+D884=0,"",(E884*C884+F884*D884)/(C884+D884)))</f>
        <v/>
      </c>
      <c r="H884" s="59"/>
      <c r="I884" s="60">
        <f>IF(OR(H884="",E884="",C884="",D884=""),"",IF(C884+D884=0,"",(H884*D884+E884*C884)/(C884+D884)))</f>
        <v/>
      </c>
      <c r="J884" s="59"/>
      <c r="K884" s="61">
        <f>IF(OR(J884="",I884=""),"",J884-I884)</f>
        <v/>
      </c>
      <c r="L884" s="61">
        <f>IF(OR(J884="",G884=""),"",J884-G884)</f>
        <v/>
      </c>
      <c r="M884" s="59"/>
      <c r="N884" s="59"/>
      <c r="O884" s="59"/>
      <c r="P884" s="59"/>
      <c r="Q884" s="59"/>
      <c r="R884" s="60">
        <f>IF(AND(P884="",Q884=""),"",N(P884)+N(Q884))</f>
        <v/>
      </c>
      <c r="S884" s="59"/>
      <c r="T884" s="59"/>
      <c r="U884" s="62">
        <f>IF(OR(R884="",S884="",T884=""),"",IF(S884+T884=0,"",R884/(S884+T884)))</f>
        <v/>
      </c>
      <c r="V884" s="63"/>
      <c r="W884" s="64"/>
      <c r="X884" s="63"/>
    </row>
    <row r="885" spans="2:24">
      <c r="B885" s="58"/>
      <c r="C885" s="59"/>
      <c r="D885" s="59"/>
      <c r="E885" s="59"/>
      <c r="F885" s="59"/>
      <c r="G885" s="60">
        <f>IF(OR(E885="",F885="",C885="",D885=""),"",IF(C885+D885=0,"",(E885*C885+F885*D885)/(C885+D885)))</f>
        <v/>
      </c>
      <c r="H885" s="59"/>
      <c r="I885" s="60">
        <f>IF(OR(H885="",E885="",C885="",D885=""),"",IF(C885+D885=0,"",(H885*D885+E885*C885)/(C885+D885)))</f>
        <v/>
      </c>
      <c r="J885" s="59"/>
      <c r="K885" s="61">
        <f>IF(OR(J885="",I885=""),"",J885-I885)</f>
        <v/>
      </c>
      <c r="L885" s="61">
        <f>IF(OR(J885="",G885=""),"",J885-G885)</f>
        <v/>
      </c>
      <c r="M885" s="59"/>
      <c r="N885" s="59"/>
      <c r="O885" s="59"/>
      <c r="P885" s="59"/>
      <c r="Q885" s="59"/>
      <c r="R885" s="60">
        <f>IF(AND(P885="",Q885=""),"",N(P885)+N(Q885))</f>
        <v/>
      </c>
      <c r="S885" s="59"/>
      <c r="T885" s="59"/>
      <c r="U885" s="62">
        <f>IF(OR(R885="",S885="",T885=""),"",IF(S885+T885=0,"",R885/(S885+T885)))</f>
        <v/>
      </c>
      <c r="V885" s="63"/>
      <c r="W885" s="64"/>
      <c r="X885" s="63"/>
    </row>
    <row r="886" spans="2:24">
      <c r="B886" s="58"/>
      <c r="C886" s="59"/>
      <c r="D886" s="59"/>
      <c r="E886" s="59"/>
      <c r="F886" s="59"/>
      <c r="G886" s="60">
        <f>IF(OR(E886="",F886="",C886="",D886=""),"",IF(C886+D886=0,"",(E886*C886+F886*D886)/(C886+D886)))</f>
        <v/>
      </c>
      <c r="H886" s="59"/>
      <c r="I886" s="60">
        <f>IF(OR(H886="",E886="",C886="",D886=""),"",IF(C886+D886=0,"",(H886*D886+E886*C886)/(C886+D886)))</f>
        <v/>
      </c>
      <c r="J886" s="59"/>
      <c r="K886" s="61">
        <f>IF(OR(J886="",I886=""),"",J886-I886)</f>
        <v/>
      </c>
      <c r="L886" s="61">
        <f>IF(OR(J886="",G886=""),"",J886-G886)</f>
        <v/>
      </c>
      <c r="M886" s="59"/>
      <c r="N886" s="59"/>
      <c r="O886" s="59"/>
      <c r="P886" s="59"/>
      <c r="Q886" s="59"/>
      <c r="R886" s="60">
        <f>IF(AND(P886="",Q886=""),"",N(P886)+N(Q886))</f>
        <v/>
      </c>
      <c r="S886" s="59"/>
      <c r="T886" s="59"/>
      <c r="U886" s="62">
        <f>IF(OR(R886="",S886="",T886=""),"",IF(S886+T886=0,"",R886/(S886+T886)))</f>
        <v/>
      </c>
      <c r="V886" s="63"/>
      <c r="W886" s="64"/>
      <c r="X886" s="63"/>
    </row>
    <row r="887" spans="2:24">
      <c r="B887" s="58"/>
      <c r="C887" s="59"/>
      <c r="D887" s="59"/>
      <c r="E887" s="59"/>
      <c r="F887" s="59"/>
      <c r="G887" s="60">
        <f>IF(OR(E887="",F887="",C887="",D887=""),"",IF(C887+D887=0,"",(E887*C887+F887*D887)/(C887+D887)))</f>
        <v/>
      </c>
      <c r="H887" s="59"/>
      <c r="I887" s="60">
        <f>IF(OR(H887="",E887="",C887="",D887=""),"",IF(C887+D887=0,"",(H887*D887+E887*C887)/(C887+D887)))</f>
        <v/>
      </c>
      <c r="J887" s="59"/>
      <c r="K887" s="61">
        <f>IF(OR(J887="",I887=""),"",J887-I887)</f>
        <v/>
      </c>
      <c r="L887" s="61">
        <f>IF(OR(J887="",G887=""),"",J887-G887)</f>
        <v/>
      </c>
      <c r="M887" s="59"/>
      <c r="N887" s="59"/>
      <c r="O887" s="59"/>
      <c r="P887" s="59"/>
      <c r="Q887" s="59"/>
      <c r="R887" s="60">
        <f>IF(AND(P887="",Q887=""),"",N(P887)+N(Q887))</f>
        <v/>
      </c>
      <c r="S887" s="59"/>
      <c r="T887" s="59"/>
      <c r="U887" s="62">
        <f>IF(OR(R887="",S887="",T887=""),"",IF(S887+T887=0,"",R887/(S887+T887)))</f>
        <v/>
      </c>
      <c r="V887" s="63"/>
      <c r="W887" s="64"/>
      <c r="X887" s="63"/>
    </row>
    <row r="888" spans="2:24">
      <c r="B888" s="58"/>
      <c r="C888" s="59"/>
      <c r="D888" s="59"/>
      <c r="E888" s="59"/>
      <c r="F888" s="59"/>
      <c r="G888" s="60">
        <f>IF(OR(E888="",F888="",C888="",D888=""),"",IF(C888+D888=0,"",(E888*C888+F888*D888)/(C888+D888)))</f>
        <v/>
      </c>
      <c r="H888" s="59"/>
      <c r="I888" s="60">
        <f>IF(OR(H888="",E888="",C888="",D888=""),"",IF(C888+D888=0,"",(H888*D888+E888*C888)/(C888+D888)))</f>
        <v/>
      </c>
      <c r="J888" s="59"/>
      <c r="K888" s="61">
        <f>IF(OR(J888="",I888=""),"",J888-I888)</f>
        <v/>
      </c>
      <c r="L888" s="61">
        <f>IF(OR(J888="",G888=""),"",J888-G888)</f>
        <v/>
      </c>
      <c r="M888" s="59"/>
      <c r="N888" s="59"/>
      <c r="O888" s="59"/>
      <c r="P888" s="59"/>
      <c r="Q888" s="59"/>
      <c r="R888" s="60">
        <f>IF(AND(P888="",Q888=""),"",N(P888)+N(Q888))</f>
        <v/>
      </c>
      <c r="S888" s="59"/>
      <c r="T888" s="59"/>
      <c r="U888" s="62">
        <f>IF(OR(R888="",S888="",T888=""),"",IF(S888+T888=0,"",R888/(S888+T888)))</f>
        <v/>
      </c>
      <c r="V888" s="63"/>
      <c r="W888" s="64"/>
      <c r="X888" s="63"/>
    </row>
    <row r="889" spans="2:24">
      <c r="B889" s="58"/>
      <c r="C889" s="59"/>
      <c r="D889" s="59"/>
      <c r="E889" s="59"/>
      <c r="F889" s="59"/>
      <c r="G889" s="60">
        <f>IF(OR(E889="",F889="",C889="",D889=""),"",IF(C889+D889=0,"",(E889*C889+F889*D889)/(C889+D889)))</f>
        <v/>
      </c>
      <c r="H889" s="59"/>
      <c r="I889" s="60">
        <f>IF(OR(H889="",E889="",C889="",D889=""),"",IF(C889+D889=0,"",(H889*D889+E889*C889)/(C889+D889)))</f>
        <v/>
      </c>
      <c r="J889" s="59"/>
      <c r="K889" s="61">
        <f>IF(OR(J889="",I889=""),"",J889-I889)</f>
        <v/>
      </c>
      <c r="L889" s="61">
        <f>IF(OR(J889="",G889=""),"",J889-G889)</f>
        <v/>
      </c>
      <c r="M889" s="59"/>
      <c r="N889" s="59"/>
      <c r="O889" s="59"/>
      <c r="P889" s="59"/>
      <c r="Q889" s="59"/>
      <c r="R889" s="60">
        <f>IF(AND(P889="",Q889=""),"",N(P889)+N(Q889))</f>
        <v/>
      </c>
      <c r="S889" s="59"/>
      <c r="T889" s="59"/>
      <c r="U889" s="62">
        <f>IF(OR(R889="",S889="",T889=""),"",IF(S889+T889=0,"",R889/(S889+T889)))</f>
        <v/>
      </c>
      <c r="V889" s="63"/>
      <c r="W889" s="64"/>
      <c r="X889" s="63"/>
    </row>
    <row r="890" spans="2:24">
      <c r="B890" s="58"/>
      <c r="C890" s="59"/>
      <c r="D890" s="59"/>
      <c r="E890" s="59"/>
      <c r="F890" s="59"/>
      <c r="G890" s="60">
        <f>IF(OR(E890="",F890="",C890="",D890=""),"",IF(C890+D890=0,"",(E890*C890+F890*D890)/(C890+D890)))</f>
        <v/>
      </c>
      <c r="H890" s="59"/>
      <c r="I890" s="60">
        <f>IF(OR(H890="",E890="",C890="",D890=""),"",IF(C890+D890=0,"",(H890*D890+E890*C890)/(C890+D890)))</f>
        <v/>
      </c>
      <c r="J890" s="59"/>
      <c r="K890" s="61">
        <f>IF(OR(J890="",I890=""),"",J890-I890)</f>
        <v/>
      </c>
      <c r="L890" s="61">
        <f>IF(OR(J890="",G890=""),"",J890-G890)</f>
        <v/>
      </c>
      <c r="M890" s="59"/>
      <c r="N890" s="59"/>
      <c r="O890" s="59"/>
      <c r="P890" s="59"/>
      <c r="Q890" s="59"/>
      <c r="R890" s="60">
        <f>IF(AND(P890="",Q890=""),"",N(P890)+N(Q890))</f>
        <v/>
      </c>
      <c r="S890" s="59"/>
      <c r="T890" s="59"/>
      <c r="U890" s="62">
        <f>IF(OR(R890="",S890="",T890=""),"",IF(S890+T890=0,"",R890/(S890+T890)))</f>
        <v/>
      </c>
      <c r="V890" s="63"/>
      <c r="W890" s="64"/>
      <c r="X890" s="63"/>
    </row>
    <row r="891" spans="2:24">
      <c r="B891" s="58"/>
      <c r="C891" s="59"/>
      <c r="D891" s="59"/>
      <c r="E891" s="59"/>
      <c r="F891" s="59"/>
      <c r="G891" s="60">
        <f>IF(OR(E891="",F891="",C891="",D891=""),"",IF(C891+D891=0,"",(E891*C891+F891*D891)/(C891+D891)))</f>
        <v/>
      </c>
      <c r="H891" s="59"/>
      <c r="I891" s="60">
        <f>IF(OR(H891="",E891="",C891="",D891=""),"",IF(C891+D891=0,"",(H891*D891+E891*C891)/(C891+D891)))</f>
        <v/>
      </c>
      <c r="J891" s="59"/>
      <c r="K891" s="61">
        <f>IF(OR(J891="",I891=""),"",J891-I891)</f>
        <v/>
      </c>
      <c r="L891" s="61">
        <f>IF(OR(J891="",G891=""),"",J891-G891)</f>
        <v/>
      </c>
      <c r="M891" s="59"/>
      <c r="N891" s="59"/>
      <c r="O891" s="59"/>
      <c r="P891" s="59"/>
      <c r="Q891" s="59"/>
      <c r="R891" s="60">
        <f>IF(AND(P891="",Q891=""),"",N(P891)+N(Q891))</f>
        <v/>
      </c>
      <c r="S891" s="59"/>
      <c r="T891" s="59"/>
      <c r="U891" s="62">
        <f>IF(OR(R891="",S891="",T891=""),"",IF(S891+T891=0,"",R891/(S891+T891)))</f>
        <v/>
      </c>
      <c r="V891" s="63"/>
      <c r="W891" s="64"/>
      <c r="X891" s="63"/>
    </row>
    <row r="892" spans="2:24">
      <c r="B892" s="58"/>
      <c r="C892" s="59"/>
      <c r="D892" s="59"/>
      <c r="E892" s="59"/>
      <c r="F892" s="59"/>
      <c r="G892" s="60">
        <f>IF(OR(E892="",F892="",C892="",D892=""),"",IF(C892+D892=0,"",(E892*C892+F892*D892)/(C892+D892)))</f>
        <v/>
      </c>
      <c r="H892" s="59"/>
      <c r="I892" s="60">
        <f>IF(OR(H892="",E892="",C892="",D892=""),"",IF(C892+D892=0,"",(H892*D892+E892*C892)/(C892+D892)))</f>
        <v/>
      </c>
      <c r="J892" s="59"/>
      <c r="K892" s="61">
        <f>IF(OR(J892="",I892=""),"",J892-I892)</f>
        <v/>
      </c>
      <c r="L892" s="61">
        <f>IF(OR(J892="",G892=""),"",J892-G892)</f>
        <v/>
      </c>
      <c r="M892" s="59"/>
      <c r="N892" s="59"/>
      <c r="O892" s="59"/>
      <c r="P892" s="59"/>
      <c r="Q892" s="59"/>
      <c r="R892" s="60">
        <f>IF(AND(P892="",Q892=""),"",N(P892)+N(Q892))</f>
        <v/>
      </c>
      <c r="S892" s="59"/>
      <c r="T892" s="59"/>
      <c r="U892" s="62">
        <f>IF(OR(R892="",S892="",T892=""),"",IF(S892+T892=0,"",R892/(S892+T892)))</f>
        <v/>
      </c>
      <c r="V892" s="63"/>
      <c r="W892" s="64"/>
      <c r="X892" s="63"/>
    </row>
    <row r="893" spans="2:24">
      <c r="B893" s="58"/>
      <c r="C893" s="59"/>
      <c r="D893" s="59"/>
      <c r="E893" s="59"/>
      <c r="F893" s="59"/>
      <c r="G893" s="60">
        <f>IF(OR(E893="",F893="",C893="",D893=""),"",IF(C893+D893=0,"",(E893*C893+F893*D893)/(C893+D893)))</f>
        <v/>
      </c>
      <c r="H893" s="59"/>
      <c r="I893" s="60">
        <f>IF(OR(H893="",E893="",C893="",D893=""),"",IF(C893+D893=0,"",(H893*D893+E893*C893)/(C893+D893)))</f>
        <v/>
      </c>
      <c r="J893" s="59"/>
      <c r="K893" s="61">
        <f>IF(OR(J893="",I893=""),"",J893-I893)</f>
        <v/>
      </c>
      <c r="L893" s="61">
        <f>IF(OR(J893="",G893=""),"",J893-G893)</f>
        <v/>
      </c>
      <c r="M893" s="59"/>
      <c r="N893" s="59"/>
      <c r="O893" s="59"/>
      <c r="P893" s="59"/>
      <c r="Q893" s="59"/>
      <c r="R893" s="60">
        <f>IF(AND(P893="",Q893=""),"",N(P893)+N(Q893))</f>
        <v/>
      </c>
      <c r="S893" s="59"/>
      <c r="T893" s="59"/>
      <c r="U893" s="62">
        <f>IF(OR(R893="",S893="",T893=""),"",IF(S893+T893=0,"",R893/(S893+T893)))</f>
        <v/>
      </c>
      <c r="V893" s="63"/>
      <c r="W893" s="64"/>
      <c r="X893" s="63"/>
    </row>
    <row r="894" spans="2:24">
      <c r="B894" s="58"/>
      <c r="C894" s="59"/>
      <c r="D894" s="59"/>
      <c r="E894" s="59"/>
      <c r="F894" s="59"/>
      <c r="G894" s="60">
        <f>IF(OR(E894="",F894="",C894="",D894=""),"",IF(C894+D894=0,"",(E894*C894+F894*D894)/(C894+D894)))</f>
        <v/>
      </c>
      <c r="H894" s="59"/>
      <c r="I894" s="60">
        <f>IF(OR(H894="",E894="",C894="",D894=""),"",IF(C894+D894=0,"",(H894*D894+E894*C894)/(C894+D894)))</f>
        <v/>
      </c>
      <c r="J894" s="59"/>
      <c r="K894" s="61">
        <f>IF(OR(J894="",I894=""),"",J894-I894)</f>
        <v/>
      </c>
      <c r="L894" s="61">
        <f>IF(OR(J894="",G894=""),"",J894-G894)</f>
        <v/>
      </c>
      <c r="M894" s="59"/>
      <c r="N894" s="59"/>
      <c r="O894" s="59"/>
      <c r="P894" s="59"/>
      <c r="Q894" s="59"/>
      <c r="R894" s="60">
        <f>IF(AND(P894="",Q894=""),"",N(P894)+N(Q894))</f>
        <v/>
      </c>
      <c r="S894" s="59"/>
      <c r="T894" s="59"/>
      <c r="U894" s="62">
        <f>IF(OR(R894="",S894="",T894=""),"",IF(S894+T894=0,"",R894/(S894+T894)))</f>
        <v/>
      </c>
      <c r="V894" s="63"/>
      <c r="W894" s="64"/>
      <c r="X894" s="63"/>
    </row>
    <row r="895" spans="2:24">
      <c r="B895" s="58"/>
      <c r="C895" s="59"/>
      <c r="D895" s="59"/>
      <c r="E895" s="59"/>
      <c r="F895" s="59"/>
      <c r="G895" s="60">
        <f>IF(OR(E895="",F895="",C895="",D895=""),"",IF(C895+D895=0,"",(E895*C895+F895*D895)/(C895+D895)))</f>
        <v/>
      </c>
      <c r="H895" s="59"/>
      <c r="I895" s="60">
        <f>IF(OR(H895="",E895="",C895="",D895=""),"",IF(C895+D895=0,"",(H895*D895+E895*C895)/(C895+D895)))</f>
        <v/>
      </c>
      <c r="J895" s="59"/>
      <c r="K895" s="61">
        <f>IF(OR(J895="",I895=""),"",J895-I895)</f>
        <v/>
      </c>
      <c r="L895" s="61">
        <f>IF(OR(J895="",G895=""),"",J895-G895)</f>
        <v/>
      </c>
      <c r="M895" s="59"/>
      <c r="N895" s="59"/>
      <c r="O895" s="59"/>
      <c r="P895" s="59"/>
      <c r="Q895" s="59"/>
      <c r="R895" s="60">
        <f>IF(AND(P895="",Q895=""),"",N(P895)+N(Q895))</f>
        <v/>
      </c>
      <c r="S895" s="59"/>
      <c r="T895" s="59"/>
      <c r="U895" s="62">
        <f>IF(OR(R895="",S895="",T895=""),"",IF(S895+T895=0,"",R895/(S895+T895)))</f>
        <v/>
      </c>
      <c r="V895" s="63"/>
      <c r="W895" s="64"/>
      <c r="X895" s="63"/>
    </row>
    <row r="896" spans="2:24">
      <c r="B896" s="58"/>
      <c r="C896" s="59"/>
      <c r="D896" s="59"/>
      <c r="E896" s="59"/>
      <c r="F896" s="59"/>
      <c r="G896" s="60">
        <f>IF(OR(E896="",F896="",C896="",D896=""),"",IF(C896+D896=0,"",(E896*C896+F896*D896)/(C896+D896)))</f>
        <v/>
      </c>
      <c r="H896" s="59"/>
      <c r="I896" s="60">
        <f>IF(OR(H896="",E896="",C896="",D896=""),"",IF(C896+D896=0,"",(H896*D896+E896*C896)/(C896+D896)))</f>
        <v/>
      </c>
      <c r="J896" s="59"/>
      <c r="K896" s="61">
        <f>IF(OR(J896="",I896=""),"",J896-I896)</f>
        <v/>
      </c>
      <c r="L896" s="61">
        <f>IF(OR(J896="",G896=""),"",J896-G896)</f>
        <v/>
      </c>
      <c r="M896" s="59"/>
      <c r="N896" s="59"/>
      <c r="O896" s="59"/>
      <c r="P896" s="59"/>
      <c r="Q896" s="59"/>
      <c r="R896" s="60">
        <f>IF(AND(P896="",Q896=""),"",N(P896)+N(Q896))</f>
        <v/>
      </c>
      <c r="S896" s="59"/>
      <c r="T896" s="59"/>
      <c r="U896" s="62">
        <f>IF(OR(R896="",S896="",T896=""),"",IF(S896+T896=0,"",R896/(S896+T896)))</f>
        <v/>
      </c>
      <c r="V896" s="63"/>
      <c r="W896" s="64"/>
      <c r="X896" s="63"/>
    </row>
    <row r="897" spans="2:24">
      <c r="B897" s="58"/>
      <c r="C897" s="59"/>
      <c r="D897" s="59"/>
      <c r="E897" s="59"/>
      <c r="F897" s="59"/>
      <c r="G897" s="60">
        <f>IF(OR(E897="",F897="",C897="",D897=""),"",IF(C897+D897=0,"",(E897*C897+F897*D897)/(C897+D897)))</f>
        <v/>
      </c>
      <c r="H897" s="59"/>
      <c r="I897" s="60">
        <f>IF(OR(H897="",E897="",C897="",D897=""),"",IF(C897+D897=0,"",(H897*D897+E897*C897)/(C897+D897)))</f>
        <v/>
      </c>
      <c r="J897" s="59"/>
      <c r="K897" s="61">
        <f>IF(OR(J897="",I897=""),"",J897-I897)</f>
        <v/>
      </c>
      <c r="L897" s="61">
        <f>IF(OR(J897="",G897=""),"",J897-G897)</f>
        <v/>
      </c>
      <c r="M897" s="59"/>
      <c r="N897" s="59"/>
      <c r="O897" s="59"/>
      <c r="P897" s="59"/>
      <c r="Q897" s="59"/>
      <c r="R897" s="60">
        <f>IF(AND(P897="",Q897=""),"",N(P897)+N(Q897))</f>
        <v/>
      </c>
      <c r="S897" s="59"/>
      <c r="T897" s="59"/>
      <c r="U897" s="62">
        <f>IF(OR(R897="",S897="",T897=""),"",IF(S897+T897=0,"",R897/(S897+T897)))</f>
        <v/>
      </c>
      <c r="V897" s="63"/>
      <c r="W897" s="64"/>
      <c r="X897" s="63"/>
    </row>
    <row r="898" spans="2:24">
      <c r="B898" s="58"/>
      <c r="C898" s="59"/>
      <c r="D898" s="59"/>
      <c r="E898" s="59"/>
      <c r="F898" s="59"/>
      <c r="G898" s="60">
        <f>IF(OR(E898="",F898="",C898="",D898=""),"",IF(C898+D898=0,"",(E898*C898+F898*D898)/(C898+D898)))</f>
        <v/>
      </c>
      <c r="H898" s="59"/>
      <c r="I898" s="60">
        <f>IF(OR(H898="",E898="",C898="",D898=""),"",IF(C898+D898=0,"",(H898*D898+E898*C898)/(C898+D898)))</f>
        <v/>
      </c>
      <c r="J898" s="59"/>
      <c r="K898" s="61">
        <f>IF(OR(J898="",I898=""),"",J898-I898)</f>
        <v/>
      </c>
      <c r="L898" s="61">
        <f>IF(OR(J898="",G898=""),"",J898-G898)</f>
        <v/>
      </c>
      <c r="M898" s="59"/>
      <c r="N898" s="59"/>
      <c r="O898" s="59"/>
      <c r="P898" s="59"/>
      <c r="Q898" s="59"/>
      <c r="R898" s="60">
        <f>IF(AND(P898="",Q898=""),"",N(P898)+N(Q898))</f>
        <v/>
      </c>
      <c r="S898" s="59"/>
      <c r="T898" s="59"/>
      <c r="U898" s="62">
        <f>IF(OR(R898="",S898="",T898=""),"",IF(S898+T898=0,"",R898/(S898+T898)))</f>
        <v/>
      </c>
      <c r="V898" s="63"/>
      <c r="W898" s="64"/>
      <c r="X898" s="63"/>
    </row>
    <row r="899" spans="2:24">
      <c r="B899" s="58"/>
      <c r="C899" s="59"/>
      <c r="D899" s="59"/>
      <c r="E899" s="59"/>
      <c r="F899" s="59"/>
      <c r="G899" s="60">
        <f>IF(OR(E899="",F899="",C899="",D899=""),"",IF(C899+D899=0,"",(E899*C899+F899*D899)/(C899+D899)))</f>
        <v/>
      </c>
      <c r="H899" s="59"/>
      <c r="I899" s="60">
        <f>IF(OR(H899="",E899="",C899="",D899=""),"",IF(C899+D899=0,"",(H899*D899+E899*C899)/(C899+D899)))</f>
        <v/>
      </c>
      <c r="J899" s="59"/>
      <c r="K899" s="61">
        <f>IF(OR(J899="",I899=""),"",J899-I899)</f>
        <v/>
      </c>
      <c r="L899" s="61">
        <f>IF(OR(J899="",G899=""),"",J899-G899)</f>
        <v/>
      </c>
      <c r="M899" s="59"/>
      <c r="N899" s="59"/>
      <c r="O899" s="59"/>
      <c r="P899" s="59"/>
      <c r="Q899" s="59"/>
      <c r="R899" s="60">
        <f>IF(AND(P899="",Q899=""),"",N(P899)+N(Q899))</f>
        <v/>
      </c>
      <c r="S899" s="59"/>
      <c r="T899" s="59"/>
      <c r="U899" s="62">
        <f>IF(OR(R899="",S899="",T899=""),"",IF(S899+T899=0,"",R899/(S899+T899)))</f>
        <v/>
      </c>
      <c r="V899" s="63"/>
      <c r="W899" s="64"/>
      <c r="X899" s="63"/>
    </row>
    <row r="900" spans="2:24">
      <c r="B900" s="58"/>
      <c r="C900" s="59"/>
      <c r="D900" s="59"/>
      <c r="E900" s="59"/>
      <c r="F900" s="59"/>
      <c r="G900" s="60">
        <f>IF(OR(E900="",F900="",C900="",D900=""),"",IF(C900+D900=0,"",(E900*C900+F900*D900)/(C900+D900)))</f>
        <v/>
      </c>
      <c r="H900" s="59"/>
      <c r="I900" s="60">
        <f>IF(OR(H900="",E900="",C900="",D900=""),"",IF(C900+D900=0,"",(H900*D900+E900*C900)/(C900+D900)))</f>
        <v/>
      </c>
      <c r="J900" s="59"/>
      <c r="K900" s="61">
        <f>IF(OR(J900="",I900=""),"",J900-I900)</f>
        <v/>
      </c>
      <c r="L900" s="61">
        <f>IF(OR(J900="",G900=""),"",J900-G900)</f>
        <v/>
      </c>
      <c r="M900" s="59"/>
      <c r="N900" s="59"/>
      <c r="O900" s="59"/>
      <c r="P900" s="59"/>
      <c r="Q900" s="59"/>
      <c r="R900" s="60">
        <f>IF(AND(P900="",Q900=""),"",N(P900)+N(Q900))</f>
        <v/>
      </c>
      <c r="S900" s="59"/>
      <c r="T900" s="59"/>
      <c r="U900" s="62">
        <f>IF(OR(R900="",S900="",T900=""),"",IF(S900+T900=0,"",R900/(S900+T900)))</f>
        <v/>
      </c>
      <c r="V900" s="63"/>
      <c r="W900" s="64"/>
      <c r="X900" s="63"/>
    </row>
    <row r="901" spans="2:24">
      <c r="B901" s="58"/>
      <c r="C901" s="59"/>
      <c r="D901" s="59"/>
      <c r="E901" s="59"/>
      <c r="F901" s="59"/>
      <c r="G901" s="60">
        <f>IF(OR(E901="",F901="",C901="",D901=""),"",IF(C901+D901=0,"",(E901*C901+F901*D901)/(C901+D901)))</f>
        <v/>
      </c>
      <c r="H901" s="59"/>
      <c r="I901" s="60">
        <f>IF(OR(H901="",E901="",C901="",D901=""),"",IF(C901+D901=0,"",(H901*D901+E901*C901)/(C901+D901)))</f>
        <v/>
      </c>
      <c r="J901" s="59"/>
      <c r="K901" s="61">
        <f>IF(OR(J901="",I901=""),"",J901-I901)</f>
        <v/>
      </c>
      <c r="L901" s="61">
        <f>IF(OR(J901="",G901=""),"",J901-G901)</f>
        <v/>
      </c>
      <c r="M901" s="59"/>
      <c r="N901" s="59"/>
      <c r="O901" s="59"/>
      <c r="P901" s="59"/>
      <c r="Q901" s="59"/>
      <c r="R901" s="60">
        <f>IF(AND(P901="",Q901=""),"",N(P901)+N(Q901))</f>
        <v/>
      </c>
      <c r="S901" s="59"/>
      <c r="T901" s="59"/>
      <c r="U901" s="62">
        <f>IF(OR(R901="",S901="",T901=""),"",IF(S901+T901=0,"",R901/(S901+T901)))</f>
        <v/>
      </c>
      <c r="V901" s="63"/>
      <c r="W901" s="64"/>
      <c r="X901" s="63"/>
    </row>
    <row r="902" spans="2:24">
      <c r="B902" s="58"/>
      <c r="C902" s="59"/>
      <c r="D902" s="59"/>
      <c r="E902" s="59"/>
      <c r="F902" s="59"/>
      <c r="G902" s="60">
        <f>IF(OR(E902="",F902="",C902="",D902=""),"",IF(C902+D902=0,"",(E902*C902+F902*D902)/(C902+D902)))</f>
        <v/>
      </c>
      <c r="H902" s="59"/>
      <c r="I902" s="60">
        <f>IF(OR(H902="",E902="",C902="",D902=""),"",IF(C902+D902=0,"",(H902*D902+E902*C902)/(C902+D902)))</f>
        <v/>
      </c>
      <c r="J902" s="59"/>
      <c r="K902" s="61">
        <f>IF(OR(J902="",I902=""),"",J902-I902)</f>
        <v/>
      </c>
      <c r="L902" s="61">
        <f>IF(OR(J902="",G902=""),"",J902-G902)</f>
        <v/>
      </c>
      <c r="M902" s="59"/>
      <c r="N902" s="59"/>
      <c r="O902" s="59"/>
      <c r="P902" s="59"/>
      <c r="Q902" s="59"/>
      <c r="R902" s="60">
        <f>IF(AND(P902="",Q902=""),"",N(P902)+N(Q902))</f>
        <v/>
      </c>
      <c r="S902" s="59"/>
      <c r="T902" s="59"/>
      <c r="U902" s="62">
        <f>IF(OR(R902="",S902="",T902=""),"",IF(S902+T902=0,"",R902/(S902+T902)))</f>
        <v/>
      </c>
      <c r="V902" s="63"/>
      <c r="W902" s="64"/>
      <c r="X902" s="63"/>
    </row>
    <row r="903" spans="2:24">
      <c r="B903" s="58"/>
      <c r="C903" s="59"/>
      <c r="D903" s="59"/>
      <c r="E903" s="59"/>
      <c r="F903" s="59"/>
      <c r="G903" s="60">
        <f>IF(OR(E903="",F903="",C903="",D903=""),"",IF(C903+D903=0,"",(E903*C903+F903*D903)/(C903+D903)))</f>
        <v/>
      </c>
      <c r="H903" s="59"/>
      <c r="I903" s="60">
        <f>IF(OR(H903="",E903="",C903="",D903=""),"",IF(C903+D903=0,"",(H903*D903+E903*C903)/(C903+D903)))</f>
        <v/>
      </c>
      <c r="J903" s="59"/>
      <c r="K903" s="61">
        <f>IF(OR(J903="",I903=""),"",J903-I903)</f>
        <v/>
      </c>
      <c r="L903" s="61">
        <f>IF(OR(J903="",G903=""),"",J903-G903)</f>
        <v/>
      </c>
      <c r="M903" s="59"/>
      <c r="N903" s="59"/>
      <c r="O903" s="59"/>
      <c r="P903" s="59"/>
      <c r="Q903" s="59"/>
      <c r="R903" s="60">
        <f>IF(AND(P903="",Q903=""),"",N(P903)+N(Q903))</f>
        <v/>
      </c>
      <c r="S903" s="59"/>
      <c r="T903" s="59"/>
      <c r="U903" s="62">
        <f>IF(OR(R903="",S903="",T903=""),"",IF(S903+T903=0,"",R903/(S903+T903)))</f>
        <v/>
      </c>
      <c r="V903" s="63"/>
      <c r="W903" s="64"/>
      <c r="X903" s="63"/>
    </row>
    <row r="904" spans="2:24">
      <c r="B904" s="58"/>
      <c r="C904" s="59"/>
      <c r="D904" s="59"/>
      <c r="E904" s="59"/>
      <c r="F904" s="59"/>
      <c r="G904" s="60">
        <f>IF(OR(E904="",F904="",C904="",D904=""),"",IF(C904+D904=0,"",(E904*C904+F904*D904)/(C904+D904)))</f>
        <v/>
      </c>
      <c r="H904" s="59"/>
      <c r="I904" s="60">
        <f>IF(OR(H904="",E904="",C904="",D904=""),"",IF(C904+D904=0,"",(H904*D904+E904*C904)/(C904+D904)))</f>
        <v/>
      </c>
      <c r="J904" s="59"/>
      <c r="K904" s="61">
        <f>IF(OR(J904="",I904=""),"",J904-I904)</f>
        <v/>
      </c>
      <c r="L904" s="61">
        <f>IF(OR(J904="",G904=""),"",J904-G904)</f>
        <v/>
      </c>
      <c r="M904" s="59"/>
      <c r="N904" s="59"/>
      <c r="O904" s="59"/>
      <c r="P904" s="59"/>
      <c r="Q904" s="59"/>
      <c r="R904" s="60">
        <f>IF(AND(P904="",Q904=""),"",N(P904)+N(Q904))</f>
        <v/>
      </c>
      <c r="S904" s="59"/>
      <c r="T904" s="59"/>
      <c r="U904" s="62">
        <f>IF(OR(R904="",S904="",T904=""),"",IF(S904+T904=0,"",R904/(S904+T904)))</f>
        <v/>
      </c>
      <c r="V904" s="63"/>
      <c r="W904" s="64"/>
      <c r="X904" s="63"/>
    </row>
    <row r="905" spans="2:24">
      <c r="B905" s="58"/>
      <c r="C905" s="59"/>
      <c r="D905" s="59"/>
      <c r="E905" s="59"/>
      <c r="F905" s="59"/>
      <c r="G905" s="60">
        <f>IF(OR(E905="",F905="",C905="",D905=""),"",IF(C905+D905=0,"",(E905*C905+F905*D905)/(C905+D905)))</f>
        <v/>
      </c>
      <c r="H905" s="59"/>
      <c r="I905" s="60">
        <f>IF(OR(H905="",E905="",C905="",D905=""),"",IF(C905+D905=0,"",(H905*D905+E905*C905)/(C905+D905)))</f>
        <v/>
      </c>
      <c r="J905" s="59"/>
      <c r="K905" s="61">
        <f>IF(OR(J905="",I905=""),"",J905-I905)</f>
        <v/>
      </c>
      <c r="L905" s="61">
        <f>IF(OR(J905="",G905=""),"",J905-G905)</f>
        <v/>
      </c>
      <c r="M905" s="59"/>
      <c r="N905" s="59"/>
      <c r="O905" s="59"/>
      <c r="P905" s="59"/>
      <c r="Q905" s="59"/>
      <c r="R905" s="60">
        <f>IF(AND(P905="",Q905=""),"",N(P905)+N(Q905))</f>
        <v/>
      </c>
      <c r="S905" s="59"/>
      <c r="T905" s="59"/>
      <c r="U905" s="62">
        <f>IF(OR(R905="",S905="",T905=""),"",IF(S905+T905=0,"",R905/(S905+T905)))</f>
        <v/>
      </c>
      <c r="V905" s="63"/>
      <c r="W905" s="64"/>
      <c r="X905" s="63"/>
    </row>
    <row r="906" spans="2:24">
      <c r="B906" s="58"/>
      <c r="C906" s="59"/>
      <c r="D906" s="59"/>
      <c r="E906" s="59"/>
      <c r="F906" s="59"/>
      <c r="G906" s="60">
        <f>IF(OR(E906="",F906="",C906="",D906=""),"",IF(C906+D906=0,"",(E906*C906+F906*D906)/(C906+D906)))</f>
        <v/>
      </c>
      <c r="H906" s="59"/>
      <c r="I906" s="60">
        <f>IF(OR(H906="",E906="",C906="",D906=""),"",IF(C906+D906=0,"",(H906*D906+E906*C906)/(C906+D906)))</f>
        <v/>
      </c>
      <c r="J906" s="59"/>
      <c r="K906" s="61">
        <f>IF(OR(J906="",I906=""),"",J906-I906)</f>
        <v/>
      </c>
      <c r="L906" s="61">
        <f>IF(OR(J906="",G906=""),"",J906-G906)</f>
        <v/>
      </c>
      <c r="M906" s="59"/>
      <c r="N906" s="59"/>
      <c r="O906" s="59"/>
      <c r="P906" s="59"/>
      <c r="Q906" s="59"/>
      <c r="R906" s="60">
        <f>IF(AND(P906="",Q906=""),"",N(P906)+N(Q906))</f>
        <v/>
      </c>
      <c r="S906" s="59"/>
      <c r="T906" s="59"/>
      <c r="U906" s="62">
        <f>IF(OR(R906="",S906="",T906=""),"",IF(S906+T906=0,"",R906/(S906+T906)))</f>
        <v/>
      </c>
      <c r="V906" s="63"/>
      <c r="W906" s="64"/>
      <c r="X906" s="63"/>
    </row>
    <row r="907" spans="2:24">
      <c r="B907" s="58"/>
      <c r="C907" s="59"/>
      <c r="D907" s="59"/>
      <c r="E907" s="59"/>
      <c r="F907" s="59"/>
      <c r="G907" s="60">
        <f>IF(OR(E907="",F907="",C907="",D907=""),"",IF(C907+D907=0,"",(E907*C907+F907*D907)/(C907+D907)))</f>
        <v/>
      </c>
      <c r="H907" s="59"/>
      <c r="I907" s="60">
        <f>IF(OR(H907="",E907="",C907="",D907=""),"",IF(C907+D907=0,"",(H907*D907+E907*C907)/(C907+D907)))</f>
        <v/>
      </c>
      <c r="J907" s="59"/>
      <c r="K907" s="61">
        <f>IF(OR(J907="",I907=""),"",J907-I907)</f>
        <v/>
      </c>
      <c r="L907" s="61">
        <f>IF(OR(J907="",G907=""),"",J907-G907)</f>
        <v/>
      </c>
      <c r="M907" s="59"/>
      <c r="N907" s="59"/>
      <c r="O907" s="59"/>
      <c r="P907" s="59"/>
      <c r="Q907" s="59"/>
      <c r="R907" s="60">
        <f>IF(AND(P907="",Q907=""),"",N(P907)+N(Q907))</f>
        <v/>
      </c>
      <c r="S907" s="59"/>
      <c r="T907" s="59"/>
      <c r="U907" s="62">
        <f>IF(OR(R907="",S907="",T907=""),"",IF(S907+T907=0,"",R907/(S907+T907)))</f>
        <v/>
      </c>
      <c r="V907" s="63"/>
      <c r="W907" s="64"/>
      <c r="X907" s="63"/>
    </row>
    <row r="908" spans="2:24">
      <c r="B908" s="58"/>
      <c r="C908" s="59"/>
      <c r="D908" s="59"/>
      <c r="E908" s="59"/>
      <c r="F908" s="59"/>
      <c r="G908" s="60">
        <f>IF(OR(E908="",F908="",C908="",D908=""),"",IF(C908+D908=0,"",(E908*C908+F908*D908)/(C908+D908)))</f>
        <v/>
      </c>
      <c r="H908" s="59"/>
      <c r="I908" s="60">
        <f>IF(OR(H908="",E908="",C908="",D908=""),"",IF(C908+D908=0,"",(H908*D908+E908*C908)/(C908+D908)))</f>
        <v/>
      </c>
      <c r="J908" s="59"/>
      <c r="K908" s="61">
        <f>IF(OR(J908="",I908=""),"",J908-I908)</f>
        <v/>
      </c>
      <c r="L908" s="61">
        <f>IF(OR(J908="",G908=""),"",J908-G908)</f>
        <v/>
      </c>
      <c r="M908" s="59"/>
      <c r="N908" s="59"/>
      <c r="O908" s="59"/>
      <c r="P908" s="59"/>
      <c r="Q908" s="59"/>
      <c r="R908" s="60">
        <f>IF(AND(P908="",Q908=""),"",N(P908)+N(Q908))</f>
        <v/>
      </c>
      <c r="S908" s="59"/>
      <c r="T908" s="59"/>
      <c r="U908" s="62">
        <f>IF(OR(R908="",S908="",T908=""),"",IF(S908+T908=0,"",R908/(S908+T908)))</f>
        <v/>
      </c>
      <c r="V908" s="63"/>
      <c r="W908" s="64"/>
      <c r="X908" s="63"/>
    </row>
    <row r="909" spans="2:24">
      <c r="B909" s="58"/>
      <c r="C909" s="59"/>
      <c r="D909" s="59"/>
      <c r="E909" s="59"/>
      <c r="F909" s="59"/>
      <c r="G909" s="60">
        <f>IF(OR(E909="",F909="",C909="",D909=""),"",IF(C909+D909=0,"",(E909*C909+F909*D909)/(C909+D909)))</f>
        <v/>
      </c>
      <c r="H909" s="59"/>
      <c r="I909" s="60">
        <f>IF(OR(H909="",E909="",C909="",D909=""),"",IF(C909+D909=0,"",(H909*D909+E909*C909)/(C909+D909)))</f>
        <v/>
      </c>
      <c r="J909" s="59"/>
      <c r="K909" s="61">
        <f>IF(OR(J909="",I909=""),"",J909-I909)</f>
        <v/>
      </c>
      <c r="L909" s="61">
        <f>IF(OR(J909="",G909=""),"",J909-G909)</f>
        <v/>
      </c>
      <c r="M909" s="59"/>
      <c r="N909" s="59"/>
      <c r="O909" s="59"/>
      <c r="P909" s="59"/>
      <c r="Q909" s="59"/>
      <c r="R909" s="60">
        <f>IF(AND(P909="",Q909=""),"",N(P909)+N(Q909))</f>
        <v/>
      </c>
      <c r="S909" s="59"/>
      <c r="T909" s="59"/>
      <c r="U909" s="62">
        <f>IF(OR(R909="",S909="",T909=""),"",IF(S909+T909=0,"",R909/(S909+T909)))</f>
        <v/>
      </c>
      <c r="V909" s="63"/>
      <c r="W909" s="64"/>
      <c r="X909" s="63"/>
    </row>
    <row r="910" spans="2:24">
      <c r="B910" s="58"/>
      <c r="C910" s="59"/>
      <c r="D910" s="59"/>
      <c r="E910" s="59"/>
      <c r="F910" s="59"/>
      <c r="G910" s="60">
        <f>IF(OR(E910="",F910="",C910="",D910=""),"",IF(C910+D910=0,"",(E910*C910+F910*D910)/(C910+D910)))</f>
        <v/>
      </c>
      <c r="H910" s="59"/>
      <c r="I910" s="60">
        <f>IF(OR(H910="",E910="",C910="",D910=""),"",IF(C910+D910=0,"",(H910*D910+E910*C910)/(C910+D910)))</f>
        <v/>
      </c>
      <c r="J910" s="59"/>
      <c r="K910" s="61">
        <f>IF(OR(J910="",I910=""),"",J910-I910)</f>
        <v/>
      </c>
      <c r="L910" s="61">
        <f>IF(OR(J910="",G910=""),"",J910-G910)</f>
        <v/>
      </c>
      <c r="M910" s="59"/>
      <c r="N910" s="59"/>
      <c r="O910" s="59"/>
      <c r="P910" s="59"/>
      <c r="Q910" s="59"/>
      <c r="R910" s="60">
        <f>IF(AND(P910="",Q910=""),"",N(P910)+N(Q910))</f>
        <v/>
      </c>
      <c r="S910" s="59"/>
      <c r="T910" s="59"/>
      <c r="U910" s="62">
        <f>IF(OR(R910="",S910="",T910=""),"",IF(S910+T910=0,"",R910/(S910+T910)))</f>
        <v/>
      </c>
      <c r="V910" s="63"/>
      <c r="W910" s="64"/>
      <c r="X910" s="63"/>
    </row>
    <row r="911" spans="2:24">
      <c r="B911" s="58"/>
      <c r="C911" s="59"/>
      <c r="D911" s="59"/>
      <c r="E911" s="59"/>
      <c r="F911" s="59"/>
      <c r="G911" s="60">
        <f>IF(OR(E911="",F911="",C911="",D911=""),"",IF(C911+D911=0,"",(E911*C911+F911*D911)/(C911+D911)))</f>
        <v/>
      </c>
      <c r="H911" s="59"/>
      <c r="I911" s="60">
        <f>IF(OR(H911="",E911="",C911="",D911=""),"",IF(C911+D911=0,"",(H911*D911+E911*C911)/(C911+D911)))</f>
        <v/>
      </c>
      <c r="J911" s="59"/>
      <c r="K911" s="61">
        <f>IF(OR(J911="",I911=""),"",J911-I911)</f>
        <v/>
      </c>
      <c r="L911" s="61">
        <f>IF(OR(J911="",G911=""),"",J911-G911)</f>
        <v/>
      </c>
      <c r="M911" s="59"/>
      <c r="N911" s="59"/>
      <c r="O911" s="59"/>
      <c r="P911" s="59"/>
      <c r="Q911" s="59"/>
      <c r="R911" s="60">
        <f>IF(AND(P911="",Q911=""),"",N(P911)+N(Q911))</f>
        <v/>
      </c>
      <c r="S911" s="59"/>
      <c r="T911" s="59"/>
      <c r="U911" s="62">
        <f>IF(OR(R911="",S911="",T911=""),"",IF(S911+T911=0,"",R911/(S911+T911)))</f>
        <v/>
      </c>
      <c r="V911" s="63"/>
      <c r="W911" s="64"/>
      <c r="X911" s="63"/>
    </row>
    <row r="912" spans="2:24">
      <c r="B912" s="58"/>
      <c r="C912" s="59"/>
      <c r="D912" s="59"/>
      <c r="E912" s="59"/>
      <c r="F912" s="59"/>
      <c r="G912" s="60">
        <f>IF(OR(E912="",F912="",C912="",D912=""),"",IF(C912+D912=0,"",(E912*C912+F912*D912)/(C912+D912)))</f>
        <v/>
      </c>
      <c r="H912" s="59"/>
      <c r="I912" s="60">
        <f>IF(OR(H912="",E912="",C912="",D912=""),"",IF(C912+D912=0,"",(H912*D912+E912*C912)/(C912+D912)))</f>
        <v/>
      </c>
      <c r="J912" s="59"/>
      <c r="K912" s="61">
        <f>IF(OR(J912="",I912=""),"",J912-I912)</f>
        <v/>
      </c>
      <c r="L912" s="61">
        <f>IF(OR(J912="",G912=""),"",J912-G912)</f>
        <v/>
      </c>
      <c r="M912" s="59"/>
      <c r="N912" s="59"/>
      <c r="O912" s="59"/>
      <c r="P912" s="59"/>
      <c r="Q912" s="59"/>
      <c r="R912" s="60">
        <f>IF(AND(P912="",Q912=""),"",N(P912)+N(Q912))</f>
        <v/>
      </c>
      <c r="S912" s="59"/>
      <c r="T912" s="59"/>
      <c r="U912" s="62">
        <f>IF(OR(R912="",S912="",T912=""),"",IF(S912+T912=0,"",R912/(S912+T912)))</f>
        <v/>
      </c>
      <c r="V912" s="63"/>
      <c r="W912" s="64"/>
      <c r="X912" s="63"/>
    </row>
    <row r="913" spans="2:24">
      <c r="B913" s="58"/>
      <c r="C913" s="59"/>
      <c r="D913" s="59"/>
      <c r="E913" s="59"/>
      <c r="F913" s="59"/>
      <c r="G913" s="60">
        <f>IF(OR(E913="",F913="",C913="",D913=""),"",IF(C913+D913=0,"",(E913*C913+F913*D913)/(C913+D913)))</f>
        <v/>
      </c>
      <c r="H913" s="59"/>
      <c r="I913" s="60">
        <f>IF(OR(H913="",E913="",C913="",D913=""),"",IF(C913+D913=0,"",(H913*D913+E913*C913)/(C913+D913)))</f>
        <v/>
      </c>
      <c r="J913" s="59"/>
      <c r="K913" s="61">
        <f>IF(OR(J913="",I913=""),"",J913-I913)</f>
        <v/>
      </c>
      <c r="L913" s="61">
        <f>IF(OR(J913="",G913=""),"",J913-G913)</f>
        <v/>
      </c>
      <c r="M913" s="59"/>
      <c r="N913" s="59"/>
      <c r="O913" s="59"/>
      <c r="P913" s="59"/>
      <c r="Q913" s="59"/>
      <c r="R913" s="60">
        <f>IF(AND(P913="",Q913=""),"",N(P913)+N(Q913))</f>
        <v/>
      </c>
      <c r="S913" s="59"/>
      <c r="T913" s="59"/>
      <c r="U913" s="62">
        <f>IF(OR(R913="",S913="",T913=""),"",IF(S913+T913=0,"",R913/(S913+T913)))</f>
        <v/>
      </c>
      <c r="V913" s="63"/>
      <c r="W913" s="64"/>
      <c r="X913" s="63"/>
    </row>
    <row r="914" spans="2:24">
      <c r="B914" s="58"/>
      <c r="C914" s="59"/>
      <c r="D914" s="59"/>
      <c r="E914" s="59"/>
      <c r="F914" s="59"/>
      <c r="G914" s="60">
        <f>IF(OR(E914="",F914="",C914="",D914=""),"",IF(C914+D914=0,"",(E914*C914+F914*D914)/(C914+D914)))</f>
        <v/>
      </c>
      <c r="H914" s="59"/>
      <c r="I914" s="60">
        <f>IF(OR(H914="",E914="",C914="",D914=""),"",IF(C914+D914=0,"",(H914*D914+E914*C914)/(C914+D914)))</f>
        <v/>
      </c>
      <c r="J914" s="59"/>
      <c r="K914" s="61">
        <f>IF(OR(J914="",I914=""),"",J914-I914)</f>
        <v/>
      </c>
      <c r="L914" s="61">
        <f>IF(OR(J914="",G914=""),"",J914-G914)</f>
        <v/>
      </c>
      <c r="M914" s="59"/>
      <c r="N914" s="59"/>
      <c r="O914" s="59"/>
      <c r="P914" s="59"/>
      <c r="Q914" s="59"/>
      <c r="R914" s="60">
        <f>IF(AND(P914="",Q914=""),"",N(P914)+N(Q914))</f>
        <v/>
      </c>
      <c r="S914" s="59"/>
      <c r="T914" s="59"/>
      <c r="U914" s="62">
        <f>IF(OR(R914="",S914="",T914=""),"",IF(S914+T914=0,"",R914/(S914+T914)))</f>
        <v/>
      </c>
      <c r="V914" s="63"/>
      <c r="W914" s="64"/>
      <c r="X914" s="63"/>
    </row>
    <row r="915" spans="2:24">
      <c r="B915" s="58"/>
      <c r="C915" s="59"/>
      <c r="D915" s="59"/>
      <c r="E915" s="59"/>
      <c r="F915" s="59"/>
      <c r="G915" s="60">
        <f>IF(OR(E915="",F915="",C915="",D915=""),"",IF(C915+D915=0,"",(E915*C915+F915*D915)/(C915+D915)))</f>
        <v/>
      </c>
      <c r="H915" s="59"/>
      <c r="I915" s="60">
        <f>IF(OR(H915="",E915="",C915="",D915=""),"",IF(C915+D915=0,"",(H915*D915+E915*C915)/(C915+D915)))</f>
        <v/>
      </c>
      <c r="J915" s="59"/>
      <c r="K915" s="61">
        <f>IF(OR(J915="",I915=""),"",J915-I915)</f>
        <v/>
      </c>
      <c r="L915" s="61">
        <f>IF(OR(J915="",G915=""),"",J915-G915)</f>
        <v/>
      </c>
      <c r="M915" s="59"/>
      <c r="N915" s="59"/>
      <c r="O915" s="59"/>
      <c r="P915" s="59"/>
      <c r="Q915" s="59"/>
      <c r="R915" s="60">
        <f>IF(AND(P915="",Q915=""),"",N(P915)+N(Q915))</f>
        <v/>
      </c>
      <c r="S915" s="59"/>
      <c r="T915" s="59"/>
      <c r="U915" s="62">
        <f>IF(OR(R915="",S915="",T915=""),"",IF(S915+T915=0,"",R915/(S915+T915)))</f>
        <v/>
      </c>
      <c r="V915" s="63"/>
      <c r="W915" s="64"/>
      <c r="X915" s="63"/>
    </row>
    <row r="916" spans="2:24">
      <c r="B916" s="58"/>
      <c r="C916" s="59"/>
      <c r="D916" s="59"/>
      <c r="E916" s="59"/>
      <c r="F916" s="59"/>
      <c r="G916" s="60">
        <f>IF(OR(E916="",F916="",C916="",D916=""),"",IF(C916+D916=0,"",(E916*C916+F916*D916)/(C916+D916)))</f>
        <v/>
      </c>
      <c r="H916" s="59"/>
      <c r="I916" s="60">
        <f>IF(OR(H916="",E916="",C916="",D916=""),"",IF(C916+D916=0,"",(H916*D916+E916*C916)/(C916+D916)))</f>
        <v/>
      </c>
      <c r="J916" s="59"/>
      <c r="K916" s="61">
        <f>IF(OR(J916="",I916=""),"",J916-I916)</f>
        <v/>
      </c>
      <c r="L916" s="61">
        <f>IF(OR(J916="",G916=""),"",J916-G916)</f>
        <v/>
      </c>
      <c r="M916" s="59"/>
      <c r="N916" s="59"/>
      <c r="O916" s="59"/>
      <c r="P916" s="59"/>
      <c r="Q916" s="59"/>
      <c r="R916" s="60">
        <f>IF(AND(P916="",Q916=""),"",N(P916)+N(Q916))</f>
        <v/>
      </c>
      <c r="S916" s="59"/>
      <c r="T916" s="59"/>
      <c r="U916" s="62">
        <f>IF(OR(R916="",S916="",T916=""),"",IF(S916+T916=0,"",R916/(S916+T916)))</f>
        <v/>
      </c>
      <c r="V916" s="63"/>
      <c r="W916" s="64"/>
      <c r="X916" s="63"/>
    </row>
    <row r="917" spans="2:24">
      <c r="B917" s="58"/>
      <c r="C917" s="59"/>
      <c r="D917" s="59"/>
      <c r="E917" s="59"/>
      <c r="F917" s="59"/>
      <c r="G917" s="60">
        <f>IF(OR(E917="",F917="",C917="",D917=""),"",IF(C917+D917=0,"",(E917*C917+F917*D917)/(C917+D917)))</f>
        <v/>
      </c>
      <c r="H917" s="59"/>
      <c r="I917" s="60">
        <f>IF(OR(H917="",E917="",C917="",D917=""),"",IF(C917+D917=0,"",(H917*D917+E917*C917)/(C917+D917)))</f>
        <v/>
      </c>
      <c r="J917" s="59"/>
      <c r="K917" s="61">
        <f>IF(OR(J917="",I917=""),"",J917-I917)</f>
        <v/>
      </c>
      <c r="L917" s="61">
        <f>IF(OR(J917="",G917=""),"",J917-G917)</f>
        <v/>
      </c>
      <c r="M917" s="59"/>
      <c r="N917" s="59"/>
      <c r="O917" s="59"/>
      <c r="P917" s="59"/>
      <c r="Q917" s="59"/>
      <c r="R917" s="60">
        <f>IF(AND(P917="",Q917=""),"",N(P917)+N(Q917))</f>
        <v/>
      </c>
      <c r="S917" s="59"/>
      <c r="T917" s="59"/>
      <c r="U917" s="62">
        <f>IF(OR(R917="",S917="",T917=""),"",IF(S917+T917=0,"",R917/(S917+T917)))</f>
        <v/>
      </c>
      <c r="V917" s="63"/>
      <c r="W917" s="64"/>
      <c r="X917" s="63"/>
    </row>
    <row r="918" spans="2:24">
      <c r="B918" s="58"/>
      <c r="C918" s="59"/>
      <c r="D918" s="59"/>
      <c r="E918" s="59"/>
      <c r="F918" s="59"/>
      <c r="G918" s="60">
        <f>IF(OR(E918="",F918="",C918="",D918=""),"",IF(C918+D918=0,"",(E918*C918+F918*D918)/(C918+D918)))</f>
        <v/>
      </c>
      <c r="H918" s="59"/>
      <c r="I918" s="60">
        <f>IF(OR(H918="",E918="",C918="",D918=""),"",IF(C918+D918=0,"",(H918*D918+E918*C918)/(C918+D918)))</f>
        <v/>
      </c>
      <c r="J918" s="59"/>
      <c r="K918" s="61">
        <f>IF(OR(J918="",I918=""),"",J918-I918)</f>
        <v/>
      </c>
      <c r="L918" s="61">
        <f>IF(OR(J918="",G918=""),"",J918-G918)</f>
        <v/>
      </c>
      <c r="M918" s="59"/>
      <c r="N918" s="59"/>
      <c r="O918" s="59"/>
      <c r="P918" s="59"/>
      <c r="Q918" s="59"/>
      <c r="R918" s="60">
        <f>IF(AND(P918="",Q918=""),"",N(P918)+N(Q918))</f>
        <v/>
      </c>
      <c r="S918" s="59"/>
      <c r="T918" s="59"/>
      <c r="U918" s="62">
        <f>IF(OR(R918="",S918="",T918=""),"",IF(S918+T918=0,"",R918/(S918+T918)))</f>
        <v/>
      </c>
      <c r="V918" s="63"/>
      <c r="W918" s="64"/>
      <c r="X918" s="63"/>
    </row>
    <row r="919" spans="2:24">
      <c r="B919" s="58"/>
      <c r="C919" s="59"/>
      <c r="D919" s="59"/>
      <c r="E919" s="59"/>
      <c r="F919" s="59"/>
      <c r="G919" s="60">
        <f>IF(OR(E919="",F919="",C919="",D919=""),"",IF(C919+D919=0,"",(E919*C919+F919*D919)/(C919+D919)))</f>
        <v/>
      </c>
      <c r="H919" s="59"/>
      <c r="I919" s="60">
        <f>IF(OR(H919="",E919="",C919="",D919=""),"",IF(C919+D919=0,"",(H919*D919+E919*C919)/(C919+D919)))</f>
        <v/>
      </c>
      <c r="J919" s="59"/>
      <c r="K919" s="61">
        <f>IF(OR(J919="",I919=""),"",J919-I919)</f>
        <v/>
      </c>
      <c r="L919" s="61">
        <f>IF(OR(J919="",G919=""),"",J919-G919)</f>
        <v/>
      </c>
      <c r="M919" s="59"/>
      <c r="N919" s="59"/>
      <c r="O919" s="59"/>
      <c r="P919" s="59"/>
      <c r="Q919" s="59"/>
      <c r="R919" s="60">
        <f>IF(AND(P919="",Q919=""),"",N(P919)+N(Q919))</f>
        <v/>
      </c>
      <c r="S919" s="59"/>
      <c r="T919" s="59"/>
      <c r="U919" s="62">
        <f>IF(OR(R919="",S919="",T919=""),"",IF(S919+T919=0,"",R919/(S919+T919)))</f>
        <v/>
      </c>
      <c r="V919" s="63"/>
      <c r="W919" s="64"/>
      <c r="X919" s="63"/>
    </row>
    <row r="920" spans="2:24">
      <c r="B920" s="58"/>
      <c r="C920" s="59"/>
      <c r="D920" s="59"/>
      <c r="E920" s="59"/>
      <c r="F920" s="59"/>
      <c r="G920" s="60">
        <f>IF(OR(E920="",F920="",C920="",D920=""),"",IF(C920+D920=0,"",(E920*C920+F920*D920)/(C920+D920)))</f>
        <v/>
      </c>
      <c r="H920" s="59"/>
      <c r="I920" s="60">
        <f>IF(OR(H920="",E920="",C920="",D920=""),"",IF(C920+D920=0,"",(H920*D920+E920*C920)/(C920+D920)))</f>
        <v/>
      </c>
      <c r="J920" s="59"/>
      <c r="K920" s="61">
        <f>IF(OR(J920="",I920=""),"",J920-I920)</f>
        <v/>
      </c>
      <c r="L920" s="61">
        <f>IF(OR(J920="",G920=""),"",J920-G920)</f>
        <v/>
      </c>
      <c r="M920" s="59"/>
      <c r="N920" s="59"/>
      <c r="O920" s="59"/>
      <c r="P920" s="59"/>
      <c r="Q920" s="59"/>
      <c r="R920" s="60">
        <f>IF(AND(P920="",Q920=""),"",N(P920)+N(Q920))</f>
        <v/>
      </c>
      <c r="S920" s="59"/>
      <c r="T920" s="59"/>
      <c r="U920" s="62">
        <f>IF(OR(R920="",S920="",T920=""),"",IF(S920+T920=0,"",R920/(S920+T920)))</f>
        <v/>
      </c>
      <c r="V920" s="63"/>
      <c r="W920" s="64"/>
      <c r="X920" s="63"/>
    </row>
    <row r="921" spans="2:24">
      <c r="B921" s="58"/>
      <c r="C921" s="59"/>
      <c r="D921" s="59"/>
      <c r="E921" s="59"/>
      <c r="F921" s="59"/>
      <c r="G921" s="60">
        <f>IF(OR(E921="",F921="",C921="",D921=""),"",IF(C921+D921=0,"",(E921*C921+F921*D921)/(C921+D921)))</f>
        <v/>
      </c>
      <c r="H921" s="59"/>
      <c r="I921" s="60">
        <f>IF(OR(H921="",E921="",C921="",D921=""),"",IF(C921+D921=0,"",(H921*D921+E921*C921)/(C921+D921)))</f>
        <v/>
      </c>
      <c r="J921" s="59"/>
      <c r="K921" s="61">
        <f>IF(OR(J921="",I921=""),"",J921-I921)</f>
        <v/>
      </c>
      <c r="L921" s="61">
        <f>IF(OR(J921="",G921=""),"",J921-G921)</f>
        <v/>
      </c>
      <c r="M921" s="59"/>
      <c r="N921" s="59"/>
      <c r="O921" s="59"/>
      <c r="P921" s="59"/>
      <c r="Q921" s="59"/>
      <c r="R921" s="60">
        <f>IF(AND(P921="",Q921=""),"",N(P921)+N(Q921))</f>
        <v/>
      </c>
      <c r="S921" s="59"/>
      <c r="T921" s="59"/>
      <c r="U921" s="62">
        <f>IF(OR(R921="",S921="",T921=""),"",IF(S921+T921=0,"",R921/(S921+T921)))</f>
        <v/>
      </c>
      <c r="V921" s="63"/>
      <c r="W921" s="64"/>
      <c r="X921" s="63"/>
    </row>
    <row r="922" spans="2:24">
      <c r="B922" s="58"/>
      <c r="C922" s="59"/>
      <c r="D922" s="59"/>
      <c r="E922" s="59"/>
      <c r="F922" s="59"/>
      <c r="G922" s="60">
        <f>IF(OR(E922="",F922="",C922="",D922=""),"",IF(C922+D922=0,"",(E922*C922+F922*D922)/(C922+D922)))</f>
        <v/>
      </c>
      <c r="H922" s="59"/>
      <c r="I922" s="60">
        <f>IF(OR(H922="",E922="",C922="",D922=""),"",IF(C922+D922=0,"",(H922*D922+E922*C922)/(C922+D922)))</f>
        <v/>
      </c>
      <c r="J922" s="59"/>
      <c r="K922" s="61">
        <f>IF(OR(J922="",I922=""),"",J922-I922)</f>
        <v/>
      </c>
      <c r="L922" s="61">
        <f>IF(OR(J922="",G922=""),"",J922-G922)</f>
        <v/>
      </c>
      <c r="M922" s="59"/>
      <c r="N922" s="59"/>
      <c r="O922" s="59"/>
      <c r="P922" s="59"/>
      <c r="Q922" s="59"/>
      <c r="R922" s="60">
        <f>IF(AND(P922="",Q922=""),"",N(P922)+N(Q922))</f>
        <v/>
      </c>
      <c r="S922" s="59"/>
      <c r="T922" s="59"/>
      <c r="U922" s="62">
        <f>IF(OR(R922="",S922="",T922=""),"",IF(S922+T922=0,"",R922/(S922+T922)))</f>
        <v/>
      </c>
      <c r="V922" s="63"/>
      <c r="W922" s="64"/>
      <c r="X922" s="63"/>
    </row>
    <row r="923" spans="2:24">
      <c r="B923" s="58"/>
      <c r="C923" s="59"/>
      <c r="D923" s="59"/>
      <c r="E923" s="59"/>
      <c r="F923" s="59"/>
      <c r="G923" s="60">
        <f>IF(OR(E923="",F923="",C923="",D923=""),"",IF(C923+D923=0,"",(E923*C923+F923*D923)/(C923+D923)))</f>
        <v/>
      </c>
      <c r="H923" s="59"/>
      <c r="I923" s="60">
        <f>IF(OR(H923="",E923="",C923="",D923=""),"",IF(C923+D923=0,"",(H923*D923+E923*C923)/(C923+D923)))</f>
        <v/>
      </c>
      <c r="J923" s="59"/>
      <c r="K923" s="61">
        <f>IF(OR(J923="",I923=""),"",J923-I923)</f>
        <v/>
      </c>
      <c r="L923" s="61">
        <f>IF(OR(J923="",G923=""),"",J923-G923)</f>
        <v/>
      </c>
      <c r="M923" s="59"/>
      <c r="N923" s="59"/>
      <c r="O923" s="59"/>
      <c r="P923" s="59"/>
      <c r="Q923" s="59"/>
      <c r="R923" s="60">
        <f>IF(AND(P923="",Q923=""),"",N(P923)+N(Q923))</f>
        <v/>
      </c>
      <c r="S923" s="59"/>
      <c r="T923" s="59"/>
      <c r="U923" s="62">
        <f>IF(OR(R923="",S923="",T923=""),"",IF(S923+T923=0,"",R923/(S923+T923)))</f>
        <v/>
      </c>
      <c r="V923" s="63"/>
      <c r="W923" s="64"/>
      <c r="X923" s="63"/>
    </row>
    <row r="924" spans="2:24">
      <c r="B924" s="58"/>
      <c r="C924" s="59"/>
      <c r="D924" s="59"/>
      <c r="E924" s="59"/>
      <c r="F924" s="59"/>
      <c r="G924" s="60">
        <f>IF(OR(E924="",F924="",C924="",D924=""),"",IF(C924+D924=0,"",(E924*C924+F924*D924)/(C924+D924)))</f>
        <v/>
      </c>
      <c r="H924" s="59"/>
      <c r="I924" s="60">
        <f>IF(OR(H924="",E924="",C924="",D924=""),"",IF(C924+D924=0,"",(H924*D924+E924*C924)/(C924+D924)))</f>
        <v/>
      </c>
      <c r="J924" s="59"/>
      <c r="K924" s="61">
        <f>IF(OR(J924="",I924=""),"",J924-I924)</f>
        <v/>
      </c>
      <c r="L924" s="61">
        <f>IF(OR(J924="",G924=""),"",J924-G924)</f>
        <v/>
      </c>
      <c r="M924" s="59"/>
      <c r="N924" s="59"/>
      <c r="O924" s="59"/>
      <c r="P924" s="59"/>
      <c r="Q924" s="59"/>
      <c r="R924" s="60">
        <f>IF(AND(P924="",Q924=""),"",N(P924)+N(Q924))</f>
        <v/>
      </c>
      <c r="S924" s="59"/>
      <c r="T924" s="59"/>
      <c r="U924" s="62">
        <f>IF(OR(R924="",S924="",T924=""),"",IF(S924+T924=0,"",R924/(S924+T924)))</f>
        <v/>
      </c>
      <c r="V924" s="63"/>
      <c r="W924" s="64"/>
      <c r="X924" s="63"/>
    </row>
    <row r="925" spans="2:24">
      <c r="B925" s="58"/>
      <c r="C925" s="59"/>
      <c r="D925" s="59"/>
      <c r="E925" s="59"/>
      <c r="F925" s="59"/>
      <c r="G925" s="60">
        <f>IF(OR(E925="",F925="",C925="",D925=""),"",IF(C925+D925=0,"",(E925*C925+F925*D925)/(C925+D925)))</f>
        <v/>
      </c>
      <c r="H925" s="59"/>
      <c r="I925" s="60">
        <f>IF(OR(H925="",E925="",C925="",D925=""),"",IF(C925+D925=0,"",(H925*D925+E925*C925)/(C925+D925)))</f>
        <v/>
      </c>
      <c r="J925" s="59"/>
      <c r="K925" s="61">
        <f>IF(OR(J925="",I925=""),"",J925-I925)</f>
        <v/>
      </c>
      <c r="L925" s="61">
        <f>IF(OR(J925="",G925=""),"",J925-G925)</f>
        <v/>
      </c>
      <c r="M925" s="59"/>
      <c r="N925" s="59"/>
      <c r="O925" s="59"/>
      <c r="P925" s="59"/>
      <c r="Q925" s="59"/>
      <c r="R925" s="60">
        <f>IF(AND(P925="",Q925=""),"",N(P925)+N(Q925))</f>
        <v/>
      </c>
      <c r="S925" s="59"/>
      <c r="T925" s="59"/>
      <c r="U925" s="62">
        <f>IF(OR(R925="",S925="",T925=""),"",IF(S925+T925=0,"",R925/(S925+T925)))</f>
        <v/>
      </c>
      <c r="V925" s="63"/>
      <c r="W925" s="64"/>
      <c r="X925" s="63"/>
    </row>
    <row r="926" spans="2:24">
      <c r="B926" s="58"/>
      <c r="C926" s="59"/>
      <c r="D926" s="59"/>
      <c r="E926" s="59"/>
      <c r="F926" s="59"/>
      <c r="G926" s="60">
        <f>IF(OR(E926="",F926="",C926="",D926=""),"",IF(C926+D926=0,"",(E926*C926+F926*D926)/(C926+D926)))</f>
        <v/>
      </c>
      <c r="H926" s="59"/>
      <c r="I926" s="60">
        <f>IF(OR(H926="",E926="",C926="",D926=""),"",IF(C926+D926=0,"",(H926*D926+E926*C926)/(C926+D926)))</f>
        <v/>
      </c>
      <c r="J926" s="59"/>
      <c r="K926" s="61">
        <f>IF(OR(J926="",I926=""),"",J926-I926)</f>
        <v/>
      </c>
      <c r="L926" s="61">
        <f>IF(OR(J926="",G926=""),"",J926-G926)</f>
        <v/>
      </c>
      <c r="M926" s="59"/>
      <c r="N926" s="59"/>
      <c r="O926" s="59"/>
      <c r="P926" s="59"/>
      <c r="Q926" s="59"/>
      <c r="R926" s="60">
        <f>IF(AND(P926="",Q926=""),"",N(P926)+N(Q926))</f>
        <v/>
      </c>
      <c r="S926" s="59"/>
      <c r="T926" s="59"/>
      <c r="U926" s="62">
        <f>IF(OR(R926="",S926="",T926=""),"",IF(S926+T926=0,"",R926/(S926+T926)))</f>
        <v/>
      </c>
      <c r="V926" s="63"/>
      <c r="W926" s="64"/>
      <c r="X926" s="63"/>
    </row>
    <row r="927" spans="2:24">
      <c r="B927" s="58"/>
      <c r="C927" s="59"/>
      <c r="D927" s="59"/>
      <c r="E927" s="59"/>
      <c r="F927" s="59"/>
      <c r="G927" s="60">
        <f>IF(OR(E927="",F927="",C927="",D927=""),"",IF(C927+D927=0,"",(E927*C927+F927*D927)/(C927+D927)))</f>
        <v/>
      </c>
      <c r="H927" s="59"/>
      <c r="I927" s="60">
        <f>IF(OR(H927="",E927="",C927="",D927=""),"",IF(C927+D927=0,"",(H927*D927+E927*C927)/(C927+D927)))</f>
        <v/>
      </c>
      <c r="J927" s="59"/>
      <c r="K927" s="61">
        <f>IF(OR(J927="",I927=""),"",J927-I927)</f>
        <v/>
      </c>
      <c r="L927" s="61">
        <f>IF(OR(J927="",G927=""),"",J927-G927)</f>
        <v/>
      </c>
      <c r="M927" s="59"/>
      <c r="N927" s="59"/>
      <c r="O927" s="59"/>
      <c r="P927" s="59"/>
      <c r="Q927" s="59"/>
      <c r="R927" s="60">
        <f>IF(AND(P927="",Q927=""),"",N(P927)+N(Q927))</f>
        <v/>
      </c>
      <c r="S927" s="59"/>
      <c r="T927" s="59"/>
      <c r="U927" s="62">
        <f>IF(OR(R927="",S927="",T927=""),"",IF(S927+T927=0,"",R927/(S927+T927)))</f>
        <v/>
      </c>
      <c r="V927" s="63"/>
      <c r="W927" s="64"/>
      <c r="X927" s="63"/>
    </row>
    <row r="928" spans="2:24">
      <c r="B928" s="58"/>
      <c r="C928" s="59"/>
      <c r="D928" s="59"/>
      <c r="E928" s="59"/>
      <c r="F928" s="59"/>
      <c r="G928" s="60">
        <f>IF(OR(E928="",F928="",C928="",D928=""),"",IF(C928+D928=0,"",(E928*C928+F928*D928)/(C928+D928)))</f>
        <v/>
      </c>
      <c r="H928" s="59"/>
      <c r="I928" s="60">
        <f>IF(OR(H928="",E928="",C928="",D928=""),"",IF(C928+D928=0,"",(H928*D928+E928*C928)/(C928+D928)))</f>
        <v/>
      </c>
      <c r="J928" s="59"/>
      <c r="K928" s="61">
        <f>IF(OR(J928="",I928=""),"",J928-I928)</f>
        <v/>
      </c>
      <c r="L928" s="61">
        <f>IF(OR(J928="",G928=""),"",J928-G928)</f>
        <v/>
      </c>
      <c r="M928" s="59"/>
      <c r="N928" s="59"/>
      <c r="O928" s="59"/>
      <c r="P928" s="59"/>
      <c r="Q928" s="59"/>
      <c r="R928" s="60">
        <f>IF(AND(P928="",Q928=""),"",N(P928)+N(Q928))</f>
        <v/>
      </c>
      <c r="S928" s="59"/>
      <c r="T928" s="59"/>
      <c r="U928" s="62">
        <f>IF(OR(R928="",S928="",T928=""),"",IF(S928+T928=0,"",R928/(S928+T928)))</f>
        <v/>
      </c>
      <c r="V928" s="63"/>
      <c r="W928" s="64"/>
      <c r="X928" s="63"/>
    </row>
    <row r="929" spans="2:24">
      <c r="B929" s="58"/>
      <c r="C929" s="59"/>
      <c r="D929" s="59"/>
      <c r="E929" s="59"/>
      <c r="F929" s="59"/>
      <c r="G929" s="60">
        <f>IF(OR(E929="",F929="",C929="",D929=""),"",IF(C929+D929=0,"",(E929*C929+F929*D929)/(C929+D929)))</f>
        <v/>
      </c>
      <c r="H929" s="59"/>
      <c r="I929" s="60">
        <f>IF(OR(H929="",E929="",C929="",D929=""),"",IF(C929+D929=0,"",(H929*D929+E929*C929)/(C929+D929)))</f>
        <v/>
      </c>
      <c r="J929" s="59"/>
      <c r="K929" s="61">
        <f>IF(OR(J929="",I929=""),"",J929-I929)</f>
        <v/>
      </c>
      <c r="L929" s="61">
        <f>IF(OR(J929="",G929=""),"",J929-G929)</f>
        <v/>
      </c>
      <c r="M929" s="59"/>
      <c r="N929" s="59"/>
      <c r="O929" s="59"/>
      <c r="P929" s="59"/>
      <c r="Q929" s="59"/>
      <c r="R929" s="60">
        <f>IF(AND(P929="",Q929=""),"",N(P929)+N(Q929))</f>
        <v/>
      </c>
      <c r="S929" s="59"/>
      <c r="T929" s="59"/>
      <c r="U929" s="62">
        <f>IF(OR(R929="",S929="",T929=""),"",IF(S929+T929=0,"",R929/(S929+T929)))</f>
        <v/>
      </c>
      <c r="V929" s="63"/>
      <c r="W929" s="64"/>
      <c r="X929" s="63"/>
    </row>
    <row r="930" spans="2:24">
      <c r="B930" s="58"/>
      <c r="C930" s="59"/>
      <c r="D930" s="59"/>
      <c r="E930" s="59"/>
      <c r="F930" s="59"/>
      <c r="G930" s="60">
        <f>IF(OR(E930="",F930="",C930="",D930=""),"",IF(C930+D930=0,"",(E930*C930+F930*D930)/(C930+D930)))</f>
        <v/>
      </c>
      <c r="H930" s="59"/>
      <c r="I930" s="60">
        <f>IF(OR(H930="",E930="",C930="",D930=""),"",IF(C930+D930=0,"",(H930*D930+E930*C930)/(C930+D930)))</f>
        <v/>
      </c>
      <c r="J930" s="59"/>
      <c r="K930" s="61">
        <f>IF(OR(J930="",I930=""),"",J930-I930)</f>
        <v/>
      </c>
      <c r="L930" s="61">
        <f>IF(OR(J930="",G930=""),"",J930-G930)</f>
        <v/>
      </c>
      <c r="M930" s="59"/>
      <c r="N930" s="59"/>
      <c r="O930" s="59"/>
      <c r="P930" s="59"/>
      <c r="Q930" s="59"/>
      <c r="R930" s="60">
        <f>IF(AND(P930="",Q930=""),"",N(P930)+N(Q930))</f>
        <v/>
      </c>
      <c r="S930" s="59"/>
      <c r="T930" s="59"/>
      <c r="U930" s="62">
        <f>IF(OR(R930="",S930="",T930=""),"",IF(S930+T930=0,"",R930/(S930+T930)))</f>
        <v/>
      </c>
      <c r="V930" s="63"/>
      <c r="W930" s="64"/>
      <c r="X930" s="63"/>
    </row>
    <row r="931" spans="2:24">
      <c r="B931" s="58"/>
      <c r="C931" s="59"/>
      <c r="D931" s="59"/>
      <c r="E931" s="59"/>
      <c r="F931" s="59"/>
      <c r="G931" s="60">
        <f>IF(OR(E931="",F931="",C931="",D931=""),"",IF(C931+D931=0,"",(E931*C931+F931*D931)/(C931+D931)))</f>
        <v/>
      </c>
      <c r="H931" s="59"/>
      <c r="I931" s="60">
        <f>IF(OR(H931="",E931="",C931="",D931=""),"",IF(C931+D931=0,"",(H931*D931+E931*C931)/(C931+D931)))</f>
        <v/>
      </c>
      <c r="J931" s="59"/>
      <c r="K931" s="61">
        <f>IF(OR(J931="",I931=""),"",J931-I931)</f>
        <v/>
      </c>
      <c r="L931" s="61">
        <f>IF(OR(J931="",G931=""),"",J931-G931)</f>
        <v/>
      </c>
      <c r="M931" s="59"/>
      <c r="N931" s="59"/>
      <c r="O931" s="59"/>
      <c r="P931" s="59"/>
      <c r="Q931" s="59"/>
      <c r="R931" s="60">
        <f>IF(AND(P931="",Q931=""),"",N(P931)+N(Q931))</f>
        <v/>
      </c>
      <c r="S931" s="59"/>
      <c r="T931" s="59"/>
      <c r="U931" s="62">
        <f>IF(OR(R931="",S931="",T931=""),"",IF(S931+T931=0,"",R931/(S931+T931)))</f>
        <v/>
      </c>
      <c r="V931" s="63"/>
      <c r="W931" s="64"/>
      <c r="X931" s="63"/>
    </row>
    <row r="932" spans="2:24">
      <c r="B932" s="58"/>
      <c r="C932" s="59"/>
      <c r="D932" s="59"/>
      <c r="E932" s="59"/>
      <c r="F932" s="59"/>
      <c r="G932" s="60">
        <f>IF(OR(E932="",F932="",C932="",D932=""),"",IF(C932+D932=0,"",(E932*C932+F932*D932)/(C932+D932)))</f>
        <v/>
      </c>
      <c r="H932" s="59"/>
      <c r="I932" s="60">
        <f>IF(OR(H932="",E932="",C932="",D932=""),"",IF(C932+D932=0,"",(H932*D932+E932*C932)/(C932+D932)))</f>
        <v/>
      </c>
      <c r="J932" s="59"/>
      <c r="K932" s="61">
        <f>IF(OR(J932="",I932=""),"",J932-I932)</f>
        <v/>
      </c>
      <c r="L932" s="61">
        <f>IF(OR(J932="",G932=""),"",J932-G932)</f>
        <v/>
      </c>
      <c r="M932" s="59"/>
      <c r="N932" s="59"/>
      <c r="O932" s="59"/>
      <c r="P932" s="59"/>
      <c r="Q932" s="59"/>
      <c r="R932" s="60">
        <f>IF(AND(P932="",Q932=""),"",N(P932)+N(Q932))</f>
        <v/>
      </c>
      <c r="S932" s="59"/>
      <c r="T932" s="59"/>
      <c r="U932" s="62">
        <f>IF(OR(R932="",S932="",T932=""),"",IF(S932+T932=0,"",R932/(S932+T932)))</f>
        <v/>
      </c>
      <c r="V932" s="63"/>
      <c r="W932" s="64"/>
      <c r="X932" s="63"/>
    </row>
    <row r="933" spans="2:24">
      <c r="B933" s="58"/>
      <c r="C933" s="59"/>
      <c r="D933" s="59"/>
      <c r="E933" s="59"/>
      <c r="F933" s="59"/>
      <c r="G933" s="60">
        <f>IF(OR(E933="",F933="",C933="",D933=""),"",IF(C933+D933=0,"",(E933*C933+F933*D933)/(C933+D933)))</f>
        <v/>
      </c>
      <c r="H933" s="59"/>
      <c r="I933" s="60">
        <f>IF(OR(H933="",E933="",C933="",D933=""),"",IF(C933+D933=0,"",(H933*D933+E933*C933)/(C933+D933)))</f>
        <v/>
      </c>
      <c r="J933" s="59"/>
      <c r="K933" s="61">
        <f>IF(OR(J933="",I933=""),"",J933-I933)</f>
        <v/>
      </c>
      <c r="L933" s="61">
        <f>IF(OR(J933="",G933=""),"",J933-G933)</f>
        <v/>
      </c>
      <c r="M933" s="59"/>
      <c r="N933" s="59"/>
      <c r="O933" s="59"/>
      <c r="P933" s="59"/>
      <c r="Q933" s="59"/>
      <c r="R933" s="60">
        <f>IF(AND(P933="",Q933=""),"",N(P933)+N(Q933))</f>
        <v/>
      </c>
      <c r="S933" s="59"/>
      <c r="T933" s="59"/>
      <c r="U933" s="62">
        <f>IF(OR(R933="",S933="",T933=""),"",IF(S933+T933=0,"",R933/(S933+T933)))</f>
        <v/>
      </c>
      <c r="V933" s="63"/>
      <c r="W933" s="64"/>
      <c r="X933" s="63"/>
    </row>
    <row r="934" spans="2:24">
      <c r="B934" s="58"/>
      <c r="C934" s="59"/>
      <c r="D934" s="59"/>
      <c r="E934" s="59"/>
      <c r="F934" s="59"/>
      <c r="G934" s="60">
        <f>IF(OR(E934="",F934="",C934="",D934=""),"",IF(C934+D934=0,"",(E934*C934+F934*D934)/(C934+D934)))</f>
        <v/>
      </c>
      <c r="H934" s="59"/>
      <c r="I934" s="60">
        <f>IF(OR(H934="",E934="",C934="",D934=""),"",IF(C934+D934=0,"",(H934*D934+E934*C934)/(C934+D934)))</f>
        <v/>
      </c>
      <c r="J934" s="59"/>
      <c r="K934" s="61">
        <f>IF(OR(J934="",I934=""),"",J934-I934)</f>
        <v/>
      </c>
      <c r="L934" s="61">
        <f>IF(OR(J934="",G934=""),"",J934-G934)</f>
        <v/>
      </c>
      <c r="M934" s="59"/>
      <c r="N934" s="59"/>
      <c r="O934" s="59"/>
      <c r="P934" s="59"/>
      <c r="Q934" s="59"/>
      <c r="R934" s="60">
        <f>IF(AND(P934="",Q934=""),"",N(P934)+N(Q934))</f>
        <v/>
      </c>
      <c r="S934" s="59"/>
      <c r="T934" s="59"/>
      <c r="U934" s="62">
        <f>IF(OR(R934="",S934="",T934=""),"",IF(S934+T934=0,"",R934/(S934+T934)))</f>
        <v/>
      </c>
      <c r="V934" s="63"/>
      <c r="W934" s="64"/>
      <c r="X934" s="63"/>
    </row>
    <row r="935" spans="2:24">
      <c r="B935" s="58"/>
      <c r="C935" s="59"/>
      <c r="D935" s="59"/>
      <c r="E935" s="59"/>
      <c r="F935" s="59"/>
      <c r="G935" s="60">
        <f>IF(OR(E935="",F935="",C935="",D935=""),"",IF(C935+D935=0,"",(E935*C935+F935*D935)/(C935+D935)))</f>
        <v/>
      </c>
      <c r="H935" s="59"/>
      <c r="I935" s="60">
        <f>IF(OR(H935="",E935="",C935="",D935=""),"",IF(C935+D935=0,"",(H935*D935+E935*C935)/(C935+D935)))</f>
        <v/>
      </c>
      <c r="J935" s="59"/>
      <c r="K935" s="61">
        <f>IF(OR(J935="",I935=""),"",J935-I935)</f>
        <v/>
      </c>
      <c r="L935" s="61">
        <f>IF(OR(J935="",G935=""),"",J935-G935)</f>
        <v/>
      </c>
      <c r="M935" s="59"/>
      <c r="N935" s="59"/>
      <c r="O935" s="59"/>
      <c r="P935" s="59"/>
      <c r="Q935" s="59"/>
      <c r="R935" s="60">
        <f>IF(AND(P935="",Q935=""),"",N(P935)+N(Q935))</f>
        <v/>
      </c>
      <c r="S935" s="59"/>
      <c r="T935" s="59"/>
      <c r="U935" s="62">
        <f>IF(OR(R935="",S935="",T935=""),"",IF(S935+T935=0,"",R935/(S935+T935)))</f>
        <v/>
      </c>
      <c r="V935" s="63"/>
      <c r="W935" s="64"/>
      <c r="X935" s="63"/>
    </row>
    <row r="936" spans="2:24">
      <c r="B936" s="58"/>
      <c r="C936" s="59"/>
      <c r="D936" s="59"/>
      <c r="E936" s="59"/>
      <c r="F936" s="59"/>
      <c r="G936" s="60">
        <f>IF(OR(E936="",F936="",C936="",D936=""),"",IF(C936+D936=0,"",(E936*C936+F936*D936)/(C936+D936)))</f>
        <v/>
      </c>
      <c r="H936" s="59"/>
      <c r="I936" s="60">
        <f>IF(OR(H936="",E936="",C936="",D936=""),"",IF(C936+D936=0,"",(H936*D936+E936*C936)/(C936+D936)))</f>
        <v/>
      </c>
      <c r="J936" s="59"/>
      <c r="K936" s="61">
        <f>IF(OR(J936="",I936=""),"",J936-I936)</f>
        <v/>
      </c>
      <c r="L936" s="61">
        <f>IF(OR(J936="",G936=""),"",J936-G936)</f>
        <v/>
      </c>
      <c r="M936" s="59"/>
      <c r="N936" s="59"/>
      <c r="O936" s="59"/>
      <c r="P936" s="59"/>
      <c r="Q936" s="59"/>
      <c r="R936" s="60">
        <f>IF(AND(P936="",Q936=""),"",N(P936)+N(Q936))</f>
        <v/>
      </c>
      <c r="S936" s="59"/>
      <c r="T936" s="59"/>
      <c r="U936" s="62">
        <f>IF(OR(R936="",S936="",T936=""),"",IF(S936+T936=0,"",R936/(S936+T936)))</f>
        <v/>
      </c>
      <c r="V936" s="63"/>
      <c r="W936" s="64"/>
      <c r="X936" s="63"/>
    </row>
    <row r="937" spans="2:24">
      <c r="B937" s="58"/>
      <c r="C937" s="59"/>
      <c r="D937" s="59"/>
      <c r="E937" s="59"/>
      <c r="F937" s="59"/>
      <c r="G937" s="60">
        <f>IF(OR(E937="",F937="",C937="",D937=""),"",IF(C937+D937=0,"",(E937*C937+F937*D937)/(C937+D937)))</f>
        <v/>
      </c>
      <c r="H937" s="59"/>
      <c r="I937" s="60">
        <f>IF(OR(H937="",E937="",C937="",D937=""),"",IF(C937+D937=0,"",(H937*D937+E937*C937)/(C937+D937)))</f>
        <v/>
      </c>
      <c r="J937" s="59"/>
      <c r="K937" s="61">
        <f>IF(OR(J937="",I937=""),"",J937-I937)</f>
        <v/>
      </c>
      <c r="L937" s="61">
        <f>IF(OR(J937="",G937=""),"",J937-G937)</f>
        <v/>
      </c>
      <c r="M937" s="59"/>
      <c r="N937" s="59"/>
      <c r="O937" s="59"/>
      <c r="P937" s="59"/>
      <c r="Q937" s="59"/>
      <c r="R937" s="60">
        <f>IF(AND(P937="",Q937=""),"",N(P937)+N(Q937))</f>
        <v/>
      </c>
      <c r="S937" s="59"/>
      <c r="T937" s="59"/>
      <c r="U937" s="62">
        <f>IF(OR(R937="",S937="",T937=""),"",IF(S937+T937=0,"",R937/(S937+T937)))</f>
        <v/>
      </c>
      <c r="V937" s="63"/>
      <c r="W937" s="64"/>
      <c r="X937" s="63"/>
    </row>
    <row r="938" spans="2:24">
      <c r="B938" s="58"/>
      <c r="C938" s="59"/>
      <c r="D938" s="59"/>
      <c r="E938" s="59"/>
      <c r="F938" s="59"/>
      <c r="G938" s="60">
        <f>IF(OR(E938="",F938="",C938="",D938=""),"",IF(C938+D938=0,"",(E938*C938+F938*D938)/(C938+D938)))</f>
        <v/>
      </c>
      <c r="H938" s="59"/>
      <c r="I938" s="60">
        <f>IF(OR(H938="",E938="",C938="",D938=""),"",IF(C938+D938=0,"",(H938*D938+E938*C938)/(C938+D938)))</f>
        <v/>
      </c>
      <c r="J938" s="59"/>
      <c r="K938" s="61">
        <f>IF(OR(J938="",I938=""),"",J938-I938)</f>
        <v/>
      </c>
      <c r="L938" s="61">
        <f>IF(OR(J938="",G938=""),"",J938-G938)</f>
        <v/>
      </c>
      <c r="M938" s="59"/>
      <c r="N938" s="59"/>
      <c r="O938" s="59"/>
      <c r="P938" s="59"/>
      <c r="Q938" s="59"/>
      <c r="R938" s="60">
        <f>IF(AND(P938="",Q938=""),"",N(P938)+N(Q938))</f>
        <v/>
      </c>
      <c r="S938" s="59"/>
      <c r="T938" s="59"/>
      <c r="U938" s="62">
        <f>IF(OR(R938="",S938="",T938=""),"",IF(S938+T938=0,"",R938/(S938+T938)))</f>
        <v/>
      </c>
      <c r="V938" s="63"/>
      <c r="W938" s="64"/>
      <c r="X938" s="63"/>
    </row>
    <row r="939" spans="2:24">
      <c r="B939" s="58"/>
      <c r="C939" s="59"/>
      <c r="D939" s="59"/>
      <c r="E939" s="59"/>
      <c r="F939" s="59"/>
      <c r="G939" s="60">
        <f>IF(OR(E939="",F939="",C939="",D939=""),"",IF(C939+D939=0,"",(E939*C939+F939*D939)/(C939+D939)))</f>
        <v/>
      </c>
      <c r="H939" s="59"/>
      <c r="I939" s="60">
        <f>IF(OR(H939="",E939="",C939="",D939=""),"",IF(C939+D939=0,"",(H939*D939+E939*C939)/(C939+D939)))</f>
        <v/>
      </c>
      <c r="J939" s="59"/>
      <c r="K939" s="61">
        <f>IF(OR(J939="",I939=""),"",J939-I939)</f>
        <v/>
      </c>
      <c r="L939" s="61">
        <f>IF(OR(J939="",G939=""),"",J939-G939)</f>
        <v/>
      </c>
      <c r="M939" s="59"/>
      <c r="N939" s="59"/>
      <c r="O939" s="59"/>
      <c r="P939" s="59"/>
      <c r="Q939" s="59"/>
      <c r="R939" s="60">
        <f>IF(AND(P939="",Q939=""),"",N(P939)+N(Q939))</f>
        <v/>
      </c>
      <c r="S939" s="59"/>
      <c r="T939" s="59"/>
      <c r="U939" s="62">
        <f>IF(OR(R939="",S939="",T939=""),"",IF(S939+T939=0,"",R939/(S939+T939)))</f>
        <v/>
      </c>
      <c r="V939" s="63"/>
      <c r="W939" s="64"/>
      <c r="X939" s="63"/>
    </row>
    <row r="940" spans="2:24">
      <c r="B940" s="58"/>
      <c r="C940" s="59"/>
      <c r="D940" s="59"/>
      <c r="E940" s="59"/>
      <c r="F940" s="59"/>
      <c r="G940" s="60">
        <f>IF(OR(E940="",F940="",C940="",D940=""),"",IF(C940+D940=0,"",(E940*C940+F940*D940)/(C940+D940)))</f>
        <v/>
      </c>
      <c r="H940" s="59"/>
      <c r="I940" s="60">
        <f>IF(OR(H940="",E940="",C940="",D940=""),"",IF(C940+D940=0,"",(H940*D940+E940*C940)/(C940+D940)))</f>
        <v/>
      </c>
      <c r="J940" s="59"/>
      <c r="K940" s="61">
        <f>IF(OR(J940="",I940=""),"",J940-I940)</f>
        <v/>
      </c>
      <c r="L940" s="61">
        <f>IF(OR(J940="",G940=""),"",J940-G940)</f>
        <v/>
      </c>
      <c r="M940" s="59"/>
      <c r="N940" s="59"/>
      <c r="O940" s="59"/>
      <c r="P940" s="59"/>
      <c r="Q940" s="59"/>
      <c r="R940" s="60">
        <f>IF(AND(P940="",Q940=""),"",N(P940)+N(Q940))</f>
        <v/>
      </c>
      <c r="S940" s="59"/>
      <c r="T940" s="59"/>
      <c r="U940" s="62">
        <f>IF(OR(R940="",S940="",T940=""),"",IF(S940+T940=0,"",R940/(S940+T940)))</f>
        <v/>
      </c>
      <c r="V940" s="63"/>
      <c r="W940" s="64"/>
      <c r="X940" s="63"/>
    </row>
    <row r="941" spans="2:24">
      <c r="B941" s="58"/>
      <c r="C941" s="59"/>
      <c r="D941" s="59"/>
      <c r="E941" s="59"/>
      <c r="F941" s="59"/>
      <c r="G941" s="60">
        <f>IF(OR(E941="",F941="",C941="",D941=""),"",IF(C941+D941=0,"",(E941*C941+F941*D941)/(C941+D941)))</f>
        <v/>
      </c>
      <c r="H941" s="59"/>
      <c r="I941" s="60">
        <f>IF(OR(H941="",E941="",C941="",D941=""),"",IF(C941+D941=0,"",(H941*D941+E941*C941)/(C941+D941)))</f>
        <v/>
      </c>
      <c r="J941" s="59"/>
      <c r="K941" s="61">
        <f>IF(OR(J941="",I941=""),"",J941-I941)</f>
        <v/>
      </c>
      <c r="L941" s="61">
        <f>IF(OR(J941="",G941=""),"",J941-G941)</f>
        <v/>
      </c>
      <c r="M941" s="59"/>
      <c r="N941" s="59"/>
      <c r="O941" s="59"/>
      <c r="P941" s="59"/>
      <c r="Q941" s="59"/>
      <c r="R941" s="60">
        <f>IF(AND(P941="",Q941=""),"",N(P941)+N(Q941))</f>
        <v/>
      </c>
      <c r="S941" s="59"/>
      <c r="T941" s="59"/>
      <c r="U941" s="62">
        <f>IF(OR(R941="",S941="",T941=""),"",IF(S941+T941=0,"",R941/(S941+T941)))</f>
        <v/>
      </c>
      <c r="V941" s="63"/>
      <c r="W941" s="64"/>
      <c r="X941" s="63"/>
    </row>
    <row r="942" spans="2:24">
      <c r="B942" s="58"/>
      <c r="C942" s="59"/>
      <c r="D942" s="59"/>
      <c r="E942" s="59"/>
      <c r="F942" s="59"/>
      <c r="G942" s="60">
        <f>IF(OR(E942="",F942="",C942="",D942=""),"",IF(C942+D942=0,"",(E942*C942+F942*D942)/(C942+D942)))</f>
        <v/>
      </c>
      <c r="H942" s="59"/>
      <c r="I942" s="60">
        <f>IF(OR(H942="",E942="",C942="",D942=""),"",IF(C942+D942=0,"",(H942*D942+E942*C942)/(C942+D942)))</f>
        <v/>
      </c>
      <c r="J942" s="59"/>
      <c r="K942" s="61">
        <f>IF(OR(J942="",I942=""),"",J942-I942)</f>
        <v/>
      </c>
      <c r="L942" s="61">
        <f>IF(OR(J942="",G942=""),"",J942-G942)</f>
        <v/>
      </c>
      <c r="M942" s="59"/>
      <c r="N942" s="59"/>
      <c r="O942" s="59"/>
      <c r="P942" s="59"/>
      <c r="Q942" s="59"/>
      <c r="R942" s="60">
        <f>IF(AND(P942="",Q942=""),"",N(P942)+N(Q942))</f>
        <v/>
      </c>
      <c r="S942" s="59"/>
      <c r="T942" s="59"/>
      <c r="U942" s="62">
        <f>IF(OR(R942="",S942="",T942=""),"",IF(S942+T942=0,"",R942/(S942+T942)))</f>
        <v/>
      </c>
      <c r="V942" s="63"/>
      <c r="W942" s="64"/>
      <c r="X942" s="63"/>
    </row>
    <row r="943" spans="2:24">
      <c r="B943" s="58"/>
      <c r="C943" s="59"/>
      <c r="D943" s="59"/>
      <c r="E943" s="59"/>
      <c r="F943" s="59"/>
      <c r="G943" s="60">
        <f>IF(OR(E943="",F943="",C943="",D943=""),"",IF(C943+D943=0,"",(E943*C943+F943*D943)/(C943+D943)))</f>
        <v/>
      </c>
      <c r="H943" s="59"/>
      <c r="I943" s="60">
        <f>IF(OR(H943="",E943="",C943="",D943=""),"",IF(C943+D943=0,"",(H943*D943+E943*C943)/(C943+D943)))</f>
        <v/>
      </c>
      <c r="J943" s="59"/>
      <c r="K943" s="61">
        <f>IF(OR(J943="",I943=""),"",J943-I943)</f>
        <v/>
      </c>
      <c r="L943" s="61">
        <f>IF(OR(J943="",G943=""),"",J943-G943)</f>
        <v/>
      </c>
      <c r="M943" s="59"/>
      <c r="N943" s="59"/>
      <c r="O943" s="59"/>
      <c r="P943" s="59"/>
      <c r="Q943" s="59"/>
      <c r="R943" s="60">
        <f>IF(AND(P943="",Q943=""),"",N(P943)+N(Q943))</f>
        <v/>
      </c>
      <c r="S943" s="59"/>
      <c r="T943" s="59"/>
      <c r="U943" s="62">
        <f>IF(OR(R943="",S943="",T943=""),"",IF(S943+T943=0,"",R943/(S943+T943)))</f>
        <v/>
      </c>
      <c r="V943" s="63"/>
      <c r="W943" s="64"/>
      <c r="X943" s="63"/>
    </row>
    <row r="944" spans="2:24">
      <c r="B944" s="58"/>
      <c r="C944" s="59"/>
      <c r="D944" s="59"/>
      <c r="E944" s="59"/>
      <c r="F944" s="59"/>
      <c r="G944" s="60">
        <f>IF(OR(E944="",F944="",C944="",D944=""),"",IF(C944+D944=0,"",(E944*C944+F944*D944)/(C944+D944)))</f>
        <v/>
      </c>
      <c r="H944" s="59"/>
      <c r="I944" s="60">
        <f>IF(OR(H944="",E944="",C944="",D944=""),"",IF(C944+D944=0,"",(H944*D944+E944*C944)/(C944+D944)))</f>
        <v/>
      </c>
      <c r="J944" s="59"/>
      <c r="K944" s="61">
        <f>IF(OR(J944="",I944=""),"",J944-I944)</f>
        <v/>
      </c>
      <c r="L944" s="61">
        <f>IF(OR(J944="",G944=""),"",J944-G944)</f>
        <v/>
      </c>
      <c r="M944" s="59"/>
      <c r="N944" s="59"/>
      <c r="O944" s="59"/>
      <c r="P944" s="59"/>
      <c r="Q944" s="59"/>
      <c r="R944" s="60">
        <f>IF(AND(P944="",Q944=""),"",N(P944)+N(Q944))</f>
        <v/>
      </c>
      <c r="S944" s="59"/>
      <c r="T944" s="59"/>
      <c r="U944" s="62">
        <f>IF(OR(R944="",S944="",T944=""),"",IF(S944+T944=0,"",R944/(S944+T944)))</f>
        <v/>
      </c>
      <c r="V944" s="63"/>
      <c r="W944" s="64"/>
      <c r="X944" s="63"/>
    </row>
    <row r="945" spans="2:24">
      <c r="B945" s="58"/>
      <c r="C945" s="59"/>
      <c r="D945" s="59"/>
      <c r="E945" s="59"/>
      <c r="F945" s="59"/>
      <c r="G945" s="60">
        <f>IF(OR(E945="",F945="",C945="",D945=""),"",IF(C945+D945=0,"",(E945*C945+F945*D945)/(C945+D945)))</f>
        <v/>
      </c>
      <c r="H945" s="59"/>
      <c r="I945" s="60">
        <f>IF(OR(H945="",E945="",C945="",D945=""),"",IF(C945+D945=0,"",(H945*D945+E945*C945)/(C945+D945)))</f>
        <v/>
      </c>
      <c r="J945" s="59"/>
      <c r="K945" s="61">
        <f>IF(OR(J945="",I945=""),"",J945-I945)</f>
        <v/>
      </c>
      <c r="L945" s="61">
        <f>IF(OR(J945="",G945=""),"",J945-G945)</f>
        <v/>
      </c>
      <c r="M945" s="59"/>
      <c r="N945" s="59"/>
      <c r="O945" s="59"/>
      <c r="P945" s="59"/>
      <c r="Q945" s="59"/>
      <c r="R945" s="60">
        <f>IF(AND(P945="",Q945=""),"",N(P945)+N(Q945))</f>
        <v/>
      </c>
      <c r="S945" s="59"/>
      <c r="T945" s="59"/>
      <c r="U945" s="62">
        <f>IF(OR(R945="",S945="",T945=""),"",IF(S945+T945=0,"",R945/(S945+T945)))</f>
        <v/>
      </c>
      <c r="V945" s="63"/>
      <c r="W945" s="64"/>
      <c r="X945" s="63"/>
    </row>
    <row r="946" spans="2:24">
      <c r="B946" s="58"/>
      <c r="C946" s="59"/>
      <c r="D946" s="59"/>
      <c r="E946" s="59"/>
      <c r="F946" s="59"/>
      <c r="G946" s="60">
        <f>IF(OR(E946="",F946="",C946="",D946=""),"",IF(C946+D946=0,"",(E946*C946+F946*D946)/(C946+D946)))</f>
        <v/>
      </c>
      <c r="H946" s="59"/>
      <c r="I946" s="60">
        <f>IF(OR(H946="",E946="",C946="",D946=""),"",IF(C946+D946=0,"",(H946*D946+E946*C946)/(C946+D946)))</f>
        <v/>
      </c>
      <c r="J946" s="59"/>
      <c r="K946" s="61">
        <f>IF(OR(J946="",I946=""),"",J946-I946)</f>
        <v/>
      </c>
      <c r="L946" s="61">
        <f>IF(OR(J946="",G946=""),"",J946-G946)</f>
        <v/>
      </c>
      <c r="M946" s="59"/>
      <c r="N946" s="59"/>
      <c r="O946" s="59"/>
      <c r="P946" s="59"/>
      <c r="Q946" s="59"/>
      <c r="R946" s="60">
        <f>IF(AND(P946="",Q946=""),"",N(P946)+N(Q946))</f>
        <v/>
      </c>
      <c r="S946" s="59"/>
      <c r="T946" s="59"/>
      <c r="U946" s="62">
        <f>IF(OR(R946="",S946="",T946=""),"",IF(S946+T946=0,"",R946/(S946+T946)))</f>
        <v/>
      </c>
      <c r="V946" s="63"/>
      <c r="W946" s="64"/>
      <c r="X946" s="63"/>
    </row>
    <row r="947" spans="2:24">
      <c r="B947" s="58"/>
      <c r="C947" s="59"/>
      <c r="D947" s="59"/>
      <c r="E947" s="59"/>
      <c r="F947" s="59"/>
      <c r="G947" s="60">
        <f>IF(OR(E947="",F947="",C947="",D947=""),"",IF(C947+D947=0,"",(E947*C947+F947*D947)/(C947+D947)))</f>
        <v/>
      </c>
      <c r="H947" s="59"/>
      <c r="I947" s="60">
        <f>IF(OR(H947="",E947="",C947="",D947=""),"",IF(C947+D947=0,"",(H947*D947+E947*C947)/(C947+D947)))</f>
        <v/>
      </c>
      <c r="J947" s="59"/>
      <c r="K947" s="61">
        <f>IF(OR(J947="",I947=""),"",J947-I947)</f>
        <v/>
      </c>
      <c r="L947" s="61">
        <f>IF(OR(J947="",G947=""),"",J947-G947)</f>
        <v/>
      </c>
      <c r="M947" s="59"/>
      <c r="N947" s="59"/>
      <c r="O947" s="59"/>
      <c r="P947" s="59"/>
      <c r="Q947" s="59"/>
      <c r="R947" s="60">
        <f>IF(AND(P947="",Q947=""),"",N(P947)+N(Q947))</f>
        <v/>
      </c>
      <c r="S947" s="59"/>
      <c r="T947" s="59"/>
      <c r="U947" s="62">
        <f>IF(OR(R947="",S947="",T947=""),"",IF(S947+T947=0,"",R947/(S947+T947)))</f>
        <v/>
      </c>
      <c r="V947" s="63"/>
      <c r="W947" s="64"/>
      <c r="X947" s="63"/>
    </row>
    <row r="948" spans="2:24">
      <c r="B948" s="58"/>
      <c r="C948" s="59"/>
      <c r="D948" s="59"/>
      <c r="E948" s="59"/>
      <c r="F948" s="59"/>
      <c r="G948" s="60">
        <f>IF(OR(E948="",F948="",C948="",D948=""),"",IF(C948+D948=0,"",(E948*C948+F948*D948)/(C948+D948)))</f>
        <v/>
      </c>
      <c r="H948" s="59"/>
      <c r="I948" s="60">
        <f>IF(OR(H948="",E948="",C948="",D948=""),"",IF(C948+D948=0,"",(H948*D948+E948*C948)/(C948+D948)))</f>
        <v/>
      </c>
      <c r="J948" s="59"/>
      <c r="K948" s="61">
        <f>IF(OR(J948="",I948=""),"",J948-I948)</f>
        <v/>
      </c>
      <c r="L948" s="61">
        <f>IF(OR(J948="",G948=""),"",J948-G948)</f>
        <v/>
      </c>
      <c r="M948" s="59"/>
      <c r="N948" s="59"/>
      <c r="O948" s="59"/>
      <c r="P948" s="59"/>
      <c r="Q948" s="59"/>
      <c r="R948" s="60">
        <f>IF(AND(P948="",Q948=""),"",N(P948)+N(Q948))</f>
        <v/>
      </c>
      <c r="S948" s="59"/>
      <c r="T948" s="59"/>
      <c r="U948" s="62">
        <f>IF(OR(R948="",S948="",T948=""),"",IF(S948+T948=0,"",R948/(S948+T948)))</f>
        <v/>
      </c>
      <c r="V948" s="63"/>
      <c r="W948" s="64"/>
      <c r="X948" s="63"/>
    </row>
    <row r="949" spans="2:24">
      <c r="B949" s="58"/>
      <c r="C949" s="59"/>
      <c r="D949" s="59"/>
      <c r="E949" s="59"/>
      <c r="F949" s="59"/>
      <c r="G949" s="60">
        <f>IF(OR(E949="",F949="",C949="",D949=""),"",IF(C949+D949=0,"",(E949*C949+F949*D949)/(C949+D949)))</f>
        <v/>
      </c>
      <c r="H949" s="59"/>
      <c r="I949" s="60">
        <f>IF(OR(H949="",E949="",C949="",D949=""),"",IF(C949+D949=0,"",(H949*D949+E949*C949)/(C949+D949)))</f>
        <v/>
      </c>
      <c r="J949" s="59"/>
      <c r="K949" s="61">
        <f>IF(OR(J949="",I949=""),"",J949-I949)</f>
        <v/>
      </c>
      <c r="L949" s="61">
        <f>IF(OR(J949="",G949=""),"",J949-G949)</f>
        <v/>
      </c>
      <c r="M949" s="59"/>
      <c r="N949" s="59"/>
      <c r="O949" s="59"/>
      <c r="P949" s="59"/>
      <c r="Q949" s="59"/>
      <c r="R949" s="60">
        <f>IF(AND(P949="",Q949=""),"",N(P949)+N(Q949))</f>
        <v/>
      </c>
      <c r="S949" s="59"/>
      <c r="T949" s="59"/>
      <c r="U949" s="62">
        <f>IF(OR(R949="",S949="",T949=""),"",IF(S949+T949=0,"",R949/(S949+T949)))</f>
        <v/>
      </c>
      <c r="V949" s="63"/>
      <c r="W949" s="64"/>
      <c r="X949" s="63"/>
    </row>
    <row r="950" spans="2:24">
      <c r="B950" s="58"/>
      <c r="C950" s="59"/>
      <c r="D950" s="59"/>
      <c r="E950" s="59"/>
      <c r="F950" s="59"/>
      <c r="G950" s="60">
        <f>IF(OR(E950="",F950="",C950="",D950=""),"",IF(C950+D950=0,"",(E950*C950+F950*D950)/(C950+D950)))</f>
        <v/>
      </c>
      <c r="H950" s="59"/>
      <c r="I950" s="60">
        <f>IF(OR(H950="",E950="",C950="",D950=""),"",IF(C950+D950=0,"",(H950*D950+E950*C950)/(C950+D950)))</f>
        <v/>
      </c>
      <c r="J950" s="59"/>
      <c r="K950" s="61">
        <f>IF(OR(J950="",I950=""),"",J950-I950)</f>
        <v/>
      </c>
      <c r="L950" s="61">
        <f>IF(OR(J950="",G950=""),"",J950-G950)</f>
        <v/>
      </c>
      <c r="M950" s="59"/>
      <c r="N950" s="59"/>
      <c r="O950" s="59"/>
      <c r="P950" s="59"/>
      <c r="Q950" s="59"/>
      <c r="R950" s="60">
        <f>IF(AND(P950="",Q950=""),"",N(P950)+N(Q950))</f>
        <v/>
      </c>
      <c r="S950" s="59"/>
      <c r="T950" s="59"/>
      <c r="U950" s="62">
        <f>IF(OR(R950="",S950="",T950=""),"",IF(S950+T950=0,"",R950/(S950+T950)))</f>
        <v/>
      </c>
      <c r="V950" s="63"/>
      <c r="W950" s="64"/>
      <c r="X950" s="63"/>
    </row>
    <row r="951" spans="2:24">
      <c r="B951" s="58"/>
      <c r="C951" s="59"/>
      <c r="D951" s="59"/>
      <c r="E951" s="59"/>
      <c r="F951" s="59"/>
      <c r="G951" s="60">
        <f>IF(OR(E951="",F951="",C951="",D951=""),"",IF(C951+D951=0,"",(E951*C951+F951*D951)/(C951+D951)))</f>
        <v/>
      </c>
      <c r="H951" s="59"/>
      <c r="I951" s="60">
        <f>IF(OR(H951="",E951="",C951="",D951=""),"",IF(C951+D951=0,"",(H951*D951+E951*C951)/(C951+D951)))</f>
        <v/>
      </c>
      <c r="J951" s="59"/>
      <c r="K951" s="61">
        <f>IF(OR(J951="",I951=""),"",J951-I951)</f>
        <v/>
      </c>
      <c r="L951" s="61">
        <f>IF(OR(J951="",G951=""),"",J951-G951)</f>
        <v/>
      </c>
      <c r="M951" s="59"/>
      <c r="N951" s="59"/>
      <c r="O951" s="59"/>
      <c r="P951" s="59"/>
      <c r="Q951" s="59"/>
      <c r="R951" s="60">
        <f>IF(AND(P951="",Q951=""),"",N(P951)+N(Q951))</f>
        <v/>
      </c>
      <c r="S951" s="59"/>
      <c r="T951" s="59"/>
      <c r="U951" s="62">
        <f>IF(OR(R951="",S951="",T951=""),"",IF(S951+T951=0,"",R951/(S951+T951)))</f>
        <v/>
      </c>
      <c r="V951" s="63"/>
      <c r="W951" s="64"/>
      <c r="X951" s="63"/>
    </row>
    <row r="952" spans="2:24">
      <c r="B952" s="58"/>
      <c r="C952" s="59"/>
      <c r="D952" s="59"/>
      <c r="E952" s="59"/>
      <c r="F952" s="59"/>
      <c r="G952" s="60">
        <f>IF(OR(E952="",F952="",C952="",D952=""),"",IF(C952+D952=0,"",(E952*C952+F952*D952)/(C952+D952)))</f>
        <v/>
      </c>
      <c r="H952" s="59"/>
      <c r="I952" s="60">
        <f>IF(OR(H952="",E952="",C952="",D952=""),"",IF(C952+D952=0,"",(H952*D952+E952*C952)/(C952+D952)))</f>
        <v/>
      </c>
      <c r="J952" s="59"/>
      <c r="K952" s="61">
        <f>IF(OR(J952="",I952=""),"",J952-I952)</f>
        <v/>
      </c>
      <c r="L952" s="61">
        <f>IF(OR(J952="",G952=""),"",J952-G952)</f>
        <v/>
      </c>
      <c r="M952" s="59"/>
      <c r="N952" s="59"/>
      <c r="O952" s="59"/>
      <c r="P952" s="59"/>
      <c r="Q952" s="59"/>
      <c r="R952" s="60">
        <f>IF(AND(P952="",Q952=""),"",N(P952)+N(Q952))</f>
        <v/>
      </c>
      <c r="S952" s="59"/>
      <c r="T952" s="59"/>
      <c r="U952" s="62">
        <f>IF(OR(R952="",S952="",T952=""),"",IF(S952+T952=0,"",R952/(S952+T952)))</f>
        <v/>
      </c>
      <c r="V952" s="63"/>
      <c r="W952" s="64"/>
      <c r="X952" s="63"/>
    </row>
    <row r="953" spans="2:24">
      <c r="B953" s="58"/>
      <c r="C953" s="59"/>
      <c r="D953" s="59"/>
      <c r="E953" s="59"/>
      <c r="F953" s="59"/>
      <c r="G953" s="60">
        <f>IF(OR(E953="",F953="",C953="",D953=""),"",IF(C953+D953=0,"",(E953*C953+F953*D953)/(C953+D953)))</f>
        <v/>
      </c>
      <c r="H953" s="59"/>
      <c r="I953" s="60">
        <f>IF(OR(H953="",E953="",C953="",D953=""),"",IF(C953+D953=0,"",(H953*D953+E953*C953)/(C953+D953)))</f>
        <v/>
      </c>
      <c r="J953" s="59"/>
      <c r="K953" s="61">
        <f>IF(OR(J953="",I953=""),"",J953-I953)</f>
        <v/>
      </c>
      <c r="L953" s="61">
        <f>IF(OR(J953="",G953=""),"",J953-G953)</f>
        <v/>
      </c>
      <c r="M953" s="59"/>
      <c r="N953" s="59"/>
      <c r="O953" s="59"/>
      <c r="P953" s="59"/>
      <c r="Q953" s="59"/>
      <c r="R953" s="60">
        <f>IF(AND(P953="",Q953=""),"",N(P953)+N(Q953))</f>
        <v/>
      </c>
      <c r="S953" s="59"/>
      <c r="T953" s="59"/>
      <c r="U953" s="62">
        <f>IF(OR(R953="",S953="",T953=""),"",IF(S953+T953=0,"",R953/(S953+T953)))</f>
        <v/>
      </c>
      <c r="V953" s="63"/>
      <c r="W953" s="64"/>
      <c r="X953" s="63"/>
    </row>
    <row r="954" spans="2:24">
      <c r="B954" s="58"/>
      <c r="C954" s="59"/>
      <c r="D954" s="59"/>
      <c r="E954" s="59"/>
      <c r="F954" s="59"/>
      <c r="G954" s="60">
        <f>IF(OR(E954="",F954="",C954="",D954=""),"",IF(C954+D954=0,"",(E954*C954+F954*D954)/(C954+D954)))</f>
        <v/>
      </c>
      <c r="H954" s="59"/>
      <c r="I954" s="60">
        <f>IF(OR(H954="",E954="",C954="",D954=""),"",IF(C954+D954=0,"",(H954*D954+E954*C954)/(C954+D954)))</f>
        <v/>
      </c>
      <c r="J954" s="59"/>
      <c r="K954" s="61">
        <f>IF(OR(J954="",I954=""),"",J954-I954)</f>
        <v/>
      </c>
      <c r="L954" s="61">
        <f>IF(OR(J954="",G954=""),"",J954-G954)</f>
        <v/>
      </c>
      <c r="M954" s="59"/>
      <c r="N954" s="59"/>
      <c r="O954" s="59"/>
      <c r="P954" s="59"/>
      <c r="Q954" s="59"/>
      <c r="R954" s="60">
        <f>IF(AND(P954="",Q954=""),"",N(P954)+N(Q954))</f>
        <v/>
      </c>
      <c r="S954" s="59"/>
      <c r="T954" s="59"/>
      <c r="U954" s="62">
        <f>IF(OR(R954="",S954="",T954=""),"",IF(S954+T954=0,"",R954/(S954+T954)))</f>
        <v/>
      </c>
      <c r="V954" s="63"/>
      <c r="W954" s="64"/>
      <c r="X954" s="63"/>
    </row>
    <row r="955" spans="2:24">
      <c r="B955" s="58"/>
      <c r="C955" s="59"/>
      <c r="D955" s="59"/>
      <c r="E955" s="59"/>
      <c r="F955" s="59"/>
      <c r="G955" s="60">
        <f>IF(OR(E955="",F955="",C955="",D955=""),"",IF(C955+D955=0,"",(E955*C955+F955*D955)/(C955+D955)))</f>
        <v/>
      </c>
      <c r="H955" s="59"/>
      <c r="I955" s="60">
        <f>IF(OR(H955="",E955="",C955="",D955=""),"",IF(C955+D955=0,"",(H955*D955+E955*C955)/(C955+D955)))</f>
        <v/>
      </c>
      <c r="J955" s="59"/>
      <c r="K955" s="61">
        <f>IF(OR(J955="",I955=""),"",J955-I955)</f>
        <v/>
      </c>
      <c r="L955" s="61">
        <f>IF(OR(J955="",G955=""),"",J955-G955)</f>
        <v/>
      </c>
      <c r="M955" s="59"/>
      <c r="N955" s="59"/>
      <c r="O955" s="59"/>
      <c r="P955" s="59"/>
      <c r="Q955" s="59"/>
      <c r="R955" s="60">
        <f>IF(AND(P955="",Q955=""),"",N(P955)+N(Q955))</f>
        <v/>
      </c>
      <c r="S955" s="59"/>
      <c r="T955" s="59"/>
      <c r="U955" s="62">
        <f>IF(OR(R955="",S955="",T955=""),"",IF(S955+T955=0,"",R955/(S955+T955)))</f>
        <v/>
      </c>
      <c r="V955" s="63"/>
      <c r="W955" s="64"/>
      <c r="X955" s="63"/>
    </row>
    <row r="956" spans="2:24">
      <c r="B956" s="58"/>
      <c r="C956" s="59"/>
      <c r="D956" s="59"/>
      <c r="E956" s="59"/>
      <c r="F956" s="59"/>
      <c r="G956" s="60">
        <f>IF(OR(E956="",F956="",C956="",D956=""),"",IF(C956+D956=0,"",(E956*C956+F956*D956)/(C956+D956)))</f>
        <v/>
      </c>
      <c r="H956" s="59"/>
      <c r="I956" s="60">
        <f>IF(OR(H956="",E956="",C956="",D956=""),"",IF(C956+D956=0,"",(H956*D956+E956*C956)/(C956+D956)))</f>
        <v/>
      </c>
      <c r="J956" s="59"/>
      <c r="K956" s="61">
        <f>IF(OR(J956="",I956=""),"",J956-I956)</f>
        <v/>
      </c>
      <c r="L956" s="61">
        <f>IF(OR(J956="",G956=""),"",J956-G956)</f>
        <v/>
      </c>
      <c r="M956" s="59"/>
      <c r="N956" s="59"/>
      <c r="O956" s="59"/>
      <c r="P956" s="59"/>
      <c r="Q956" s="59"/>
      <c r="R956" s="60">
        <f>IF(AND(P956="",Q956=""),"",N(P956)+N(Q956))</f>
        <v/>
      </c>
      <c r="S956" s="59"/>
      <c r="T956" s="59"/>
      <c r="U956" s="62">
        <f>IF(OR(R956="",S956="",T956=""),"",IF(S956+T956=0,"",R956/(S956+T956)))</f>
        <v/>
      </c>
      <c r="V956" s="63"/>
      <c r="W956" s="64"/>
      <c r="X956" s="63"/>
    </row>
    <row r="957" spans="2:24">
      <c r="B957" s="58"/>
      <c r="C957" s="59"/>
      <c r="D957" s="59"/>
      <c r="E957" s="59"/>
      <c r="F957" s="59"/>
      <c r="G957" s="60">
        <f>IF(OR(E957="",F957="",C957="",D957=""),"",IF(C957+D957=0,"",(E957*C957+F957*D957)/(C957+D957)))</f>
        <v/>
      </c>
      <c r="H957" s="59"/>
      <c r="I957" s="60">
        <f>IF(OR(H957="",E957="",C957="",D957=""),"",IF(C957+D957=0,"",(H957*D957+E957*C957)/(C957+D957)))</f>
        <v/>
      </c>
      <c r="J957" s="59"/>
      <c r="K957" s="61">
        <f>IF(OR(J957="",I957=""),"",J957-I957)</f>
        <v/>
      </c>
      <c r="L957" s="61">
        <f>IF(OR(J957="",G957=""),"",J957-G957)</f>
        <v/>
      </c>
      <c r="M957" s="59"/>
      <c r="N957" s="59"/>
      <c r="O957" s="59"/>
      <c r="P957" s="59"/>
      <c r="Q957" s="59"/>
      <c r="R957" s="60">
        <f>IF(AND(P957="",Q957=""),"",N(P957)+N(Q957))</f>
        <v/>
      </c>
      <c r="S957" s="59"/>
      <c r="T957" s="59"/>
      <c r="U957" s="62">
        <f>IF(OR(R957="",S957="",T957=""),"",IF(S957+T957=0,"",R957/(S957+T957)))</f>
        <v/>
      </c>
      <c r="V957" s="63"/>
      <c r="W957" s="64"/>
      <c r="X957" s="63"/>
    </row>
    <row r="958" spans="2:24">
      <c r="B958" s="58"/>
      <c r="C958" s="59"/>
      <c r="D958" s="59"/>
      <c r="E958" s="59"/>
      <c r="F958" s="59"/>
      <c r="G958" s="60">
        <f>IF(OR(E958="",F958="",C958="",D958=""),"",IF(C958+D958=0,"",(E958*C958+F958*D958)/(C958+D958)))</f>
        <v/>
      </c>
      <c r="H958" s="59"/>
      <c r="I958" s="60">
        <f>IF(OR(H958="",E958="",C958="",D958=""),"",IF(C958+D958=0,"",(H958*D958+E958*C958)/(C958+D958)))</f>
        <v/>
      </c>
      <c r="J958" s="59"/>
      <c r="K958" s="61">
        <f>IF(OR(J958="",I958=""),"",J958-I958)</f>
        <v/>
      </c>
      <c r="L958" s="61">
        <f>IF(OR(J958="",G958=""),"",J958-G958)</f>
        <v/>
      </c>
      <c r="M958" s="59"/>
      <c r="N958" s="59"/>
      <c r="O958" s="59"/>
      <c r="P958" s="59"/>
      <c r="Q958" s="59"/>
      <c r="R958" s="60">
        <f>IF(AND(P958="",Q958=""),"",N(P958)+N(Q958))</f>
        <v/>
      </c>
      <c r="S958" s="59"/>
      <c r="T958" s="59"/>
      <c r="U958" s="62">
        <f>IF(OR(R958="",S958="",T958=""),"",IF(S958+T958=0,"",R958/(S958+T958)))</f>
        <v/>
      </c>
      <c r="V958" s="63"/>
      <c r="W958" s="64"/>
      <c r="X958" s="63"/>
    </row>
    <row r="959" spans="2:24">
      <c r="B959" s="58"/>
      <c r="C959" s="59"/>
      <c r="D959" s="59"/>
      <c r="E959" s="59"/>
      <c r="F959" s="59"/>
      <c r="G959" s="60">
        <f>IF(OR(E959="",F959="",C959="",D959=""),"",IF(C959+D959=0,"",(E959*C959+F959*D959)/(C959+D959)))</f>
        <v/>
      </c>
      <c r="H959" s="59"/>
      <c r="I959" s="60">
        <f>IF(OR(H959="",E959="",C959="",D959=""),"",IF(C959+D959=0,"",(H959*D959+E959*C959)/(C959+D959)))</f>
        <v/>
      </c>
      <c r="J959" s="59"/>
      <c r="K959" s="61">
        <f>IF(OR(J959="",I959=""),"",J959-I959)</f>
        <v/>
      </c>
      <c r="L959" s="61">
        <f>IF(OR(J959="",G959=""),"",J959-G959)</f>
        <v/>
      </c>
      <c r="M959" s="59"/>
      <c r="N959" s="59"/>
      <c r="O959" s="59"/>
      <c r="P959" s="59"/>
      <c r="Q959" s="59"/>
      <c r="R959" s="60">
        <f>IF(AND(P959="",Q959=""),"",N(P959)+N(Q959))</f>
        <v/>
      </c>
      <c r="S959" s="59"/>
      <c r="T959" s="59"/>
      <c r="U959" s="62">
        <f>IF(OR(R959="",S959="",T959=""),"",IF(S959+T959=0,"",R959/(S959+T959)))</f>
        <v/>
      </c>
      <c r="V959" s="63"/>
      <c r="W959" s="64"/>
      <c r="X959" s="63"/>
    </row>
    <row r="960" spans="2:24">
      <c r="B960" s="58"/>
      <c r="C960" s="59"/>
      <c r="D960" s="59"/>
      <c r="E960" s="59"/>
      <c r="F960" s="59"/>
      <c r="G960" s="60">
        <f>IF(OR(E960="",F960="",C960="",D960=""),"",IF(C960+D960=0,"",(E960*C960+F960*D960)/(C960+D960)))</f>
        <v/>
      </c>
      <c r="H960" s="59"/>
      <c r="I960" s="60">
        <f>IF(OR(H960="",E960="",C960="",D960=""),"",IF(C960+D960=0,"",(H960*D960+E960*C960)/(C960+D960)))</f>
        <v/>
      </c>
      <c r="J960" s="59"/>
      <c r="K960" s="61">
        <f>IF(OR(J960="",I960=""),"",J960-I960)</f>
        <v/>
      </c>
      <c r="L960" s="61">
        <f>IF(OR(J960="",G960=""),"",J960-G960)</f>
        <v/>
      </c>
      <c r="M960" s="59"/>
      <c r="N960" s="59"/>
      <c r="O960" s="59"/>
      <c r="P960" s="59"/>
      <c r="Q960" s="59"/>
      <c r="R960" s="60">
        <f>IF(AND(P960="",Q960=""),"",N(P960)+N(Q960))</f>
        <v/>
      </c>
      <c r="S960" s="59"/>
      <c r="T960" s="59"/>
      <c r="U960" s="62">
        <f>IF(OR(R960="",S960="",T960=""),"",IF(S960+T960=0,"",R960/(S960+T960)))</f>
        <v/>
      </c>
      <c r="V960" s="63"/>
      <c r="W960" s="64"/>
      <c r="X960" s="63"/>
    </row>
    <row r="961" spans="2:24">
      <c r="B961" s="58"/>
      <c r="C961" s="59"/>
      <c r="D961" s="59"/>
      <c r="E961" s="59"/>
      <c r="F961" s="59"/>
      <c r="G961" s="60">
        <f>IF(OR(E961="",F961="",C961="",D961=""),"",IF(C961+D961=0,"",(E961*C961+F961*D961)/(C961+D961)))</f>
        <v/>
      </c>
      <c r="H961" s="59"/>
      <c r="I961" s="60">
        <f>IF(OR(H961="",E961="",C961="",D961=""),"",IF(C961+D961=0,"",(H961*D961+E961*C961)/(C961+D961)))</f>
        <v/>
      </c>
      <c r="J961" s="59"/>
      <c r="K961" s="61">
        <f>IF(OR(J961="",I961=""),"",J961-I961)</f>
        <v/>
      </c>
      <c r="L961" s="61">
        <f>IF(OR(J961="",G961=""),"",J961-G961)</f>
        <v/>
      </c>
      <c r="M961" s="59"/>
      <c r="N961" s="59"/>
      <c r="O961" s="59"/>
      <c r="P961" s="59"/>
      <c r="Q961" s="59"/>
      <c r="R961" s="60">
        <f>IF(AND(P961="",Q961=""),"",N(P961)+N(Q961))</f>
        <v/>
      </c>
      <c r="S961" s="59"/>
      <c r="T961" s="59"/>
      <c r="U961" s="62">
        <f>IF(OR(R961="",S961="",T961=""),"",IF(S961+T961=0,"",R961/(S961+T961)))</f>
        <v/>
      </c>
      <c r="V961" s="63"/>
      <c r="W961" s="64"/>
      <c r="X961" s="63"/>
    </row>
    <row r="962" spans="2:24">
      <c r="B962" s="58"/>
      <c r="C962" s="59"/>
      <c r="D962" s="59"/>
      <c r="E962" s="59"/>
      <c r="F962" s="59"/>
      <c r="G962" s="60">
        <f>IF(OR(E962="",F962="",C962="",D962=""),"",IF(C962+D962=0,"",(E962*C962+F962*D962)/(C962+D962)))</f>
        <v/>
      </c>
      <c r="H962" s="59"/>
      <c r="I962" s="60">
        <f>IF(OR(H962="",E962="",C962="",D962=""),"",IF(C962+D962=0,"",(H962*D962+E962*C962)/(C962+D962)))</f>
        <v/>
      </c>
      <c r="J962" s="59"/>
      <c r="K962" s="61">
        <f>IF(OR(J962="",I962=""),"",J962-I962)</f>
        <v/>
      </c>
      <c r="L962" s="61">
        <f>IF(OR(J962="",G962=""),"",J962-G962)</f>
        <v/>
      </c>
      <c r="M962" s="59"/>
      <c r="N962" s="59"/>
      <c r="O962" s="59"/>
      <c r="P962" s="59"/>
      <c r="Q962" s="59"/>
      <c r="R962" s="60">
        <f>IF(AND(P962="",Q962=""),"",N(P962)+N(Q962))</f>
        <v/>
      </c>
      <c r="S962" s="59"/>
      <c r="T962" s="59"/>
      <c r="U962" s="62">
        <f>IF(OR(R962="",S962="",T962=""),"",IF(S962+T962=0,"",R962/(S962+T962)))</f>
        <v/>
      </c>
      <c r="V962" s="63"/>
      <c r="W962" s="64"/>
      <c r="X962" s="63"/>
    </row>
    <row r="963" spans="2:24">
      <c r="B963" s="58"/>
      <c r="C963" s="59"/>
      <c r="D963" s="59"/>
      <c r="E963" s="59"/>
      <c r="F963" s="59"/>
      <c r="G963" s="60">
        <f>IF(OR(E963="",F963="",C963="",D963=""),"",IF(C963+D963=0,"",(E963*C963+F963*D963)/(C963+D963)))</f>
        <v/>
      </c>
      <c r="H963" s="59"/>
      <c r="I963" s="60">
        <f>IF(OR(H963="",E963="",C963="",D963=""),"",IF(C963+D963=0,"",(H963*D963+E963*C963)/(C963+D963)))</f>
        <v/>
      </c>
      <c r="J963" s="59"/>
      <c r="K963" s="61">
        <f>IF(OR(J963="",I963=""),"",J963-I963)</f>
        <v/>
      </c>
      <c r="L963" s="61">
        <f>IF(OR(J963="",G963=""),"",J963-G963)</f>
        <v/>
      </c>
      <c r="M963" s="59"/>
      <c r="N963" s="59"/>
      <c r="O963" s="59"/>
      <c r="P963" s="59"/>
      <c r="Q963" s="59"/>
      <c r="R963" s="60">
        <f>IF(AND(P963="",Q963=""),"",N(P963)+N(Q963))</f>
        <v/>
      </c>
      <c r="S963" s="59"/>
      <c r="T963" s="59"/>
      <c r="U963" s="62">
        <f>IF(OR(R963="",S963="",T963=""),"",IF(S963+T963=0,"",R963/(S963+T963)))</f>
        <v/>
      </c>
      <c r="V963" s="63"/>
      <c r="W963" s="64"/>
      <c r="X963" s="63"/>
    </row>
    <row r="964" spans="2:24">
      <c r="B964" s="58"/>
      <c r="C964" s="59"/>
      <c r="D964" s="59"/>
      <c r="E964" s="59"/>
      <c r="F964" s="59"/>
      <c r="G964" s="60">
        <f>IF(OR(E964="",F964="",C964="",D964=""),"",IF(C964+D964=0,"",(E964*C964+F964*D964)/(C964+D964)))</f>
        <v/>
      </c>
      <c r="H964" s="59"/>
      <c r="I964" s="60">
        <f>IF(OR(H964="",E964="",C964="",D964=""),"",IF(C964+D964=0,"",(H964*D964+E964*C964)/(C964+D964)))</f>
        <v/>
      </c>
      <c r="J964" s="59"/>
      <c r="K964" s="61">
        <f>IF(OR(J964="",I964=""),"",J964-I964)</f>
        <v/>
      </c>
      <c r="L964" s="61">
        <f>IF(OR(J964="",G964=""),"",J964-G964)</f>
        <v/>
      </c>
      <c r="M964" s="59"/>
      <c r="N964" s="59"/>
      <c r="O964" s="59"/>
      <c r="P964" s="59"/>
      <c r="Q964" s="59"/>
      <c r="R964" s="60">
        <f>IF(AND(P964="",Q964=""),"",N(P964)+N(Q964))</f>
        <v/>
      </c>
      <c r="S964" s="59"/>
      <c r="T964" s="59"/>
      <c r="U964" s="62">
        <f>IF(OR(R964="",S964="",T964=""),"",IF(S964+T964=0,"",R964/(S964+T964)))</f>
        <v/>
      </c>
      <c r="V964" s="63"/>
      <c r="W964" s="64"/>
      <c r="X964" s="63"/>
    </row>
    <row r="965" spans="2:24">
      <c r="B965" s="58"/>
      <c r="C965" s="59"/>
      <c r="D965" s="59"/>
      <c r="E965" s="59"/>
      <c r="F965" s="59"/>
      <c r="G965" s="60">
        <f>IF(OR(E965="",F965="",C965="",D965=""),"",IF(C965+D965=0,"",(E965*C965+F965*D965)/(C965+D965)))</f>
        <v/>
      </c>
      <c r="H965" s="59"/>
      <c r="I965" s="60">
        <f>IF(OR(H965="",E965="",C965="",D965=""),"",IF(C965+D965=0,"",(H965*D965+E965*C965)/(C965+D965)))</f>
        <v/>
      </c>
      <c r="J965" s="59"/>
      <c r="K965" s="61">
        <f>IF(OR(J965="",I965=""),"",J965-I965)</f>
        <v/>
      </c>
      <c r="L965" s="61">
        <f>IF(OR(J965="",G965=""),"",J965-G965)</f>
        <v/>
      </c>
      <c r="M965" s="59"/>
      <c r="N965" s="59"/>
      <c r="O965" s="59"/>
      <c r="P965" s="59"/>
      <c r="Q965" s="59"/>
      <c r="R965" s="60">
        <f>IF(AND(P965="",Q965=""),"",N(P965)+N(Q965))</f>
        <v/>
      </c>
      <c r="S965" s="59"/>
      <c r="T965" s="59"/>
      <c r="U965" s="62">
        <f>IF(OR(R965="",S965="",T965=""),"",IF(S965+T965=0,"",R965/(S965+T965)))</f>
        <v/>
      </c>
      <c r="V965" s="63"/>
      <c r="W965" s="64"/>
      <c r="X965" s="63"/>
    </row>
    <row r="966" spans="2:24">
      <c r="B966" s="58"/>
      <c r="C966" s="59"/>
      <c r="D966" s="59"/>
      <c r="E966" s="59"/>
      <c r="F966" s="59"/>
      <c r="G966" s="60">
        <f>IF(OR(E966="",F966="",C966="",D966=""),"",IF(C966+D966=0,"",(E966*C966+F966*D966)/(C966+D966)))</f>
        <v/>
      </c>
      <c r="H966" s="59"/>
      <c r="I966" s="60">
        <f>IF(OR(H966="",E966="",C966="",D966=""),"",IF(C966+D966=0,"",(H966*D966+E966*C966)/(C966+D966)))</f>
        <v/>
      </c>
      <c r="J966" s="59"/>
      <c r="K966" s="61">
        <f>IF(OR(J966="",I966=""),"",J966-I966)</f>
        <v/>
      </c>
      <c r="L966" s="61">
        <f>IF(OR(J966="",G966=""),"",J966-G966)</f>
        <v/>
      </c>
      <c r="M966" s="59"/>
      <c r="N966" s="59"/>
      <c r="O966" s="59"/>
      <c r="P966" s="59"/>
      <c r="Q966" s="59"/>
      <c r="R966" s="60">
        <f>IF(AND(P966="",Q966=""),"",N(P966)+N(Q966))</f>
        <v/>
      </c>
      <c r="S966" s="59"/>
      <c r="T966" s="59"/>
      <c r="U966" s="62">
        <f>IF(OR(R966="",S966="",T966=""),"",IF(S966+T966=0,"",R966/(S966+T966)))</f>
        <v/>
      </c>
      <c r="V966" s="63"/>
      <c r="W966" s="64"/>
      <c r="X966" s="63"/>
    </row>
    <row r="967" spans="2:24">
      <c r="B967" s="58"/>
      <c r="C967" s="59"/>
      <c r="D967" s="59"/>
      <c r="E967" s="59"/>
      <c r="F967" s="59"/>
      <c r="G967" s="60">
        <f>IF(OR(E967="",F967="",C967="",D967=""),"",IF(C967+D967=0,"",(E967*C967+F967*D967)/(C967+D967)))</f>
        <v/>
      </c>
      <c r="H967" s="59"/>
      <c r="I967" s="60">
        <f>IF(OR(H967="",E967="",C967="",D967=""),"",IF(C967+D967=0,"",(H967*D967+E967*C967)/(C967+D967)))</f>
        <v/>
      </c>
      <c r="J967" s="59"/>
      <c r="K967" s="61">
        <f>IF(OR(J967="",I967=""),"",J967-I967)</f>
        <v/>
      </c>
      <c r="L967" s="61">
        <f>IF(OR(J967="",G967=""),"",J967-G967)</f>
        <v/>
      </c>
      <c r="M967" s="59"/>
      <c r="N967" s="59"/>
      <c r="O967" s="59"/>
      <c r="P967" s="59"/>
      <c r="Q967" s="59"/>
      <c r="R967" s="60">
        <f>IF(AND(P967="",Q967=""),"",N(P967)+N(Q967))</f>
        <v/>
      </c>
      <c r="S967" s="59"/>
      <c r="T967" s="59"/>
      <c r="U967" s="62">
        <f>IF(OR(R967="",S967="",T967=""),"",IF(S967+T967=0,"",R967/(S967+T967)))</f>
        <v/>
      </c>
      <c r="V967" s="63"/>
      <c r="W967" s="64"/>
      <c r="X967" s="63"/>
    </row>
    <row r="968" spans="2:24">
      <c r="B968" s="58"/>
      <c r="C968" s="59"/>
      <c r="D968" s="59"/>
      <c r="E968" s="59"/>
      <c r="F968" s="59"/>
      <c r="G968" s="60">
        <f>IF(OR(E968="",F968="",C968="",D968=""),"",IF(C968+D968=0,"",(E968*C968+F968*D968)/(C968+D968)))</f>
        <v/>
      </c>
      <c r="H968" s="59"/>
      <c r="I968" s="60">
        <f>IF(OR(H968="",E968="",C968="",D968=""),"",IF(C968+D968=0,"",(H968*D968+E968*C968)/(C968+D968)))</f>
        <v/>
      </c>
      <c r="J968" s="59"/>
      <c r="K968" s="61">
        <f>IF(OR(J968="",I968=""),"",J968-I968)</f>
        <v/>
      </c>
      <c r="L968" s="61">
        <f>IF(OR(J968="",G968=""),"",J968-G968)</f>
        <v/>
      </c>
      <c r="M968" s="59"/>
      <c r="N968" s="59"/>
      <c r="O968" s="59"/>
      <c r="P968" s="59"/>
      <c r="Q968" s="59"/>
      <c r="R968" s="60">
        <f>IF(AND(P968="",Q968=""),"",N(P968)+N(Q968))</f>
        <v/>
      </c>
      <c r="S968" s="59"/>
      <c r="T968" s="59"/>
      <c r="U968" s="62">
        <f>IF(OR(R968="",S968="",T968=""),"",IF(S968+T968=0,"",R968/(S968+T968)))</f>
        <v/>
      </c>
      <c r="V968" s="63"/>
      <c r="W968" s="64"/>
      <c r="X968" s="63"/>
    </row>
    <row r="969" spans="2:24">
      <c r="B969" s="58"/>
      <c r="C969" s="59"/>
      <c r="D969" s="59"/>
      <c r="E969" s="59"/>
      <c r="F969" s="59"/>
      <c r="G969" s="60">
        <f>IF(OR(E969="",F969="",C969="",D969=""),"",IF(C969+D969=0,"",(E969*C969+F969*D969)/(C969+D969)))</f>
        <v/>
      </c>
      <c r="H969" s="59"/>
      <c r="I969" s="60">
        <f>IF(OR(H969="",E969="",C969="",D969=""),"",IF(C969+D969=0,"",(H969*D969+E969*C969)/(C969+D969)))</f>
        <v/>
      </c>
      <c r="J969" s="59"/>
      <c r="K969" s="61">
        <f>IF(OR(J969="",I969=""),"",J969-I969)</f>
        <v/>
      </c>
      <c r="L969" s="61">
        <f>IF(OR(J969="",G969=""),"",J969-G969)</f>
        <v/>
      </c>
      <c r="M969" s="59"/>
      <c r="N969" s="59"/>
      <c r="O969" s="59"/>
      <c r="P969" s="59"/>
      <c r="Q969" s="59"/>
      <c r="R969" s="60">
        <f>IF(AND(P969="",Q969=""),"",N(P969)+N(Q969))</f>
        <v/>
      </c>
      <c r="S969" s="59"/>
      <c r="T969" s="59"/>
      <c r="U969" s="62">
        <f>IF(OR(R969="",S969="",T969=""),"",IF(S969+T969=0,"",R969/(S969+T969)))</f>
        <v/>
      </c>
      <c r="V969" s="63"/>
      <c r="W969" s="64"/>
      <c r="X969" s="63"/>
    </row>
    <row r="970" spans="2:24">
      <c r="B970" s="58"/>
      <c r="C970" s="59"/>
      <c r="D970" s="59"/>
      <c r="E970" s="59"/>
      <c r="F970" s="59"/>
      <c r="G970" s="60">
        <f>IF(OR(E970="",F970="",C970="",D970=""),"",IF(C970+D970=0,"",(E970*C970+F970*D970)/(C970+D970)))</f>
        <v/>
      </c>
      <c r="H970" s="59"/>
      <c r="I970" s="60">
        <f>IF(OR(H970="",E970="",C970="",D970=""),"",IF(C970+D970=0,"",(H970*D970+E970*C970)/(C970+D970)))</f>
        <v/>
      </c>
      <c r="J970" s="59"/>
      <c r="K970" s="61">
        <f>IF(OR(J970="",I970=""),"",J970-I970)</f>
        <v/>
      </c>
      <c r="L970" s="61">
        <f>IF(OR(J970="",G970=""),"",J970-G970)</f>
        <v/>
      </c>
      <c r="M970" s="59"/>
      <c r="N970" s="59"/>
      <c r="O970" s="59"/>
      <c r="P970" s="59"/>
      <c r="Q970" s="59"/>
      <c r="R970" s="60">
        <f>IF(AND(P970="",Q970=""),"",N(P970)+N(Q970))</f>
        <v/>
      </c>
      <c r="S970" s="59"/>
      <c r="T970" s="59"/>
      <c r="U970" s="62">
        <f>IF(OR(R970="",S970="",T970=""),"",IF(S970+T970=0,"",R970/(S970+T970)))</f>
        <v/>
      </c>
      <c r="V970" s="63"/>
      <c r="W970" s="64"/>
      <c r="X970" s="63"/>
    </row>
    <row r="971" spans="2:24">
      <c r="B971" s="58"/>
      <c r="C971" s="59"/>
      <c r="D971" s="59"/>
      <c r="E971" s="59"/>
      <c r="F971" s="59"/>
      <c r="G971" s="60">
        <f>IF(OR(E971="",F971="",C971="",D971=""),"",IF(C971+D971=0,"",(E971*C971+F971*D971)/(C971+D971)))</f>
        <v/>
      </c>
      <c r="H971" s="59"/>
      <c r="I971" s="60">
        <f>IF(OR(H971="",E971="",C971="",D971=""),"",IF(C971+D971=0,"",(H971*D971+E971*C971)/(C971+D971)))</f>
        <v/>
      </c>
      <c r="J971" s="59"/>
      <c r="K971" s="61">
        <f>IF(OR(J971="",I971=""),"",J971-I971)</f>
        <v/>
      </c>
      <c r="L971" s="61">
        <f>IF(OR(J971="",G971=""),"",J971-G971)</f>
        <v/>
      </c>
      <c r="M971" s="59"/>
      <c r="N971" s="59"/>
      <c r="O971" s="59"/>
      <c r="P971" s="59"/>
      <c r="Q971" s="59"/>
      <c r="R971" s="60">
        <f>IF(AND(P971="",Q971=""),"",N(P971)+N(Q971))</f>
        <v/>
      </c>
      <c r="S971" s="59"/>
      <c r="T971" s="59"/>
      <c r="U971" s="62">
        <f>IF(OR(R971="",S971="",T971=""),"",IF(S971+T971=0,"",R971/(S971+T971)))</f>
        <v/>
      </c>
      <c r="V971" s="63"/>
      <c r="W971" s="64"/>
      <c r="X971" s="63"/>
    </row>
    <row r="972" spans="2:24">
      <c r="B972" s="58"/>
      <c r="C972" s="59"/>
      <c r="D972" s="59"/>
      <c r="E972" s="59"/>
      <c r="F972" s="59"/>
      <c r="G972" s="60">
        <f>IF(OR(E972="",F972="",C972="",D972=""),"",IF(C972+D972=0,"",(E972*C972+F972*D972)/(C972+D972)))</f>
        <v/>
      </c>
      <c r="H972" s="59"/>
      <c r="I972" s="60">
        <f>IF(OR(H972="",E972="",C972="",D972=""),"",IF(C972+D972=0,"",(H972*D972+E972*C972)/(C972+D972)))</f>
        <v/>
      </c>
      <c r="J972" s="59"/>
      <c r="K972" s="61">
        <f>IF(OR(J972="",I972=""),"",J972-I972)</f>
        <v/>
      </c>
      <c r="L972" s="61">
        <f>IF(OR(J972="",G972=""),"",J972-G972)</f>
        <v/>
      </c>
      <c r="M972" s="59"/>
      <c r="N972" s="59"/>
      <c r="O972" s="59"/>
      <c r="P972" s="59"/>
      <c r="Q972" s="59"/>
      <c r="R972" s="60">
        <f>IF(AND(P972="",Q972=""),"",N(P972)+N(Q972))</f>
        <v/>
      </c>
      <c r="S972" s="59"/>
      <c r="T972" s="59"/>
      <c r="U972" s="62">
        <f>IF(OR(R972="",S972="",T972=""),"",IF(S972+T972=0,"",R972/(S972+T972)))</f>
        <v/>
      </c>
      <c r="V972" s="63"/>
      <c r="W972" s="64"/>
      <c r="X972" s="63"/>
    </row>
    <row r="973" spans="2:24">
      <c r="B973" s="58"/>
      <c r="C973" s="59"/>
      <c r="D973" s="59"/>
      <c r="E973" s="59"/>
      <c r="F973" s="59"/>
      <c r="G973" s="60">
        <f>IF(OR(E973="",F973="",C973="",D973=""),"",IF(C973+D973=0,"",(E973*C973+F973*D973)/(C973+D973)))</f>
        <v/>
      </c>
      <c r="H973" s="59"/>
      <c r="I973" s="60">
        <f>IF(OR(H973="",E973="",C973="",D973=""),"",IF(C973+D973=0,"",(H973*D973+E973*C973)/(C973+D973)))</f>
        <v/>
      </c>
      <c r="J973" s="59"/>
      <c r="K973" s="61">
        <f>IF(OR(J973="",I973=""),"",J973-I973)</f>
        <v/>
      </c>
      <c r="L973" s="61">
        <f>IF(OR(J973="",G973=""),"",J973-G973)</f>
        <v/>
      </c>
      <c r="M973" s="59"/>
      <c r="N973" s="59"/>
      <c r="O973" s="59"/>
      <c r="P973" s="59"/>
      <c r="Q973" s="59"/>
      <c r="R973" s="60">
        <f>IF(AND(P973="",Q973=""),"",N(P973)+N(Q973))</f>
        <v/>
      </c>
      <c r="S973" s="59"/>
      <c r="T973" s="59"/>
      <c r="U973" s="62">
        <f>IF(OR(R973="",S973="",T973=""),"",IF(S973+T973=0,"",R973/(S973+T973)))</f>
        <v/>
      </c>
      <c r="V973" s="63"/>
      <c r="W973" s="64"/>
      <c r="X973" s="63"/>
    </row>
    <row r="974" spans="2:24">
      <c r="B974" s="58"/>
      <c r="C974" s="59"/>
      <c r="D974" s="59"/>
      <c r="E974" s="59"/>
      <c r="F974" s="59"/>
      <c r="G974" s="60">
        <f>IF(OR(E974="",F974="",C974="",D974=""),"",IF(C974+D974=0,"",(E974*C974+F974*D974)/(C974+D974)))</f>
        <v/>
      </c>
      <c r="H974" s="59"/>
      <c r="I974" s="60">
        <f>IF(OR(H974="",E974="",C974="",D974=""),"",IF(C974+D974=0,"",(H974*D974+E974*C974)/(C974+D974)))</f>
        <v/>
      </c>
      <c r="J974" s="59"/>
      <c r="K974" s="61">
        <f>IF(OR(J974="",I974=""),"",J974-I974)</f>
        <v/>
      </c>
      <c r="L974" s="61">
        <f>IF(OR(J974="",G974=""),"",J974-G974)</f>
        <v/>
      </c>
      <c r="M974" s="59"/>
      <c r="N974" s="59"/>
      <c r="O974" s="59"/>
      <c r="P974" s="59"/>
      <c r="Q974" s="59"/>
      <c r="R974" s="60">
        <f>IF(AND(P974="",Q974=""),"",N(P974)+N(Q974))</f>
        <v/>
      </c>
      <c r="S974" s="59"/>
      <c r="T974" s="59"/>
      <c r="U974" s="62">
        <f>IF(OR(R974="",S974="",T974=""),"",IF(S974+T974=0,"",R974/(S974+T974)))</f>
        <v/>
      </c>
      <c r="V974" s="63"/>
      <c r="W974" s="64"/>
      <c r="X974" s="63"/>
    </row>
    <row r="975" spans="2:24">
      <c r="B975" s="58"/>
      <c r="C975" s="59"/>
      <c r="D975" s="59"/>
      <c r="E975" s="59"/>
      <c r="F975" s="59"/>
      <c r="G975" s="60">
        <f>IF(OR(E975="",F975="",C975="",D975=""),"",IF(C975+D975=0,"",(E975*C975+F975*D975)/(C975+D975)))</f>
        <v/>
      </c>
      <c r="H975" s="59"/>
      <c r="I975" s="60">
        <f>IF(OR(H975="",E975="",C975="",D975=""),"",IF(C975+D975=0,"",(H975*D975+E975*C975)/(C975+D975)))</f>
        <v/>
      </c>
      <c r="J975" s="59"/>
      <c r="K975" s="61">
        <f>IF(OR(J975="",I975=""),"",J975-I975)</f>
        <v/>
      </c>
      <c r="L975" s="61">
        <f>IF(OR(J975="",G975=""),"",J975-G975)</f>
        <v/>
      </c>
      <c r="M975" s="59"/>
      <c r="N975" s="59"/>
      <c r="O975" s="59"/>
      <c r="P975" s="59"/>
      <c r="Q975" s="59"/>
      <c r="R975" s="60">
        <f>IF(AND(P975="",Q975=""),"",N(P975)+N(Q975))</f>
        <v/>
      </c>
      <c r="S975" s="59"/>
      <c r="T975" s="59"/>
      <c r="U975" s="62">
        <f>IF(OR(R975="",S975="",T975=""),"",IF(S975+T975=0,"",R975/(S975+T975)))</f>
        <v/>
      </c>
      <c r="V975" s="63"/>
      <c r="W975" s="64"/>
      <c r="X975" s="63"/>
    </row>
    <row r="976" spans="2:24">
      <c r="B976" s="58"/>
      <c r="C976" s="59"/>
      <c r="D976" s="59"/>
      <c r="E976" s="59"/>
      <c r="F976" s="59"/>
      <c r="G976" s="60">
        <f>IF(OR(E976="",F976="",C976="",D976=""),"",IF(C976+D976=0,"",(E976*C976+F976*D976)/(C976+D976)))</f>
        <v/>
      </c>
      <c r="H976" s="59"/>
      <c r="I976" s="60">
        <f>IF(OR(H976="",E976="",C976="",D976=""),"",IF(C976+D976=0,"",(H976*D976+E976*C976)/(C976+D976)))</f>
        <v/>
      </c>
      <c r="J976" s="59"/>
      <c r="K976" s="61">
        <f>IF(OR(J976="",I976=""),"",J976-I976)</f>
        <v/>
      </c>
      <c r="L976" s="61">
        <f>IF(OR(J976="",G976=""),"",J976-G976)</f>
        <v/>
      </c>
      <c r="M976" s="59"/>
      <c r="N976" s="59"/>
      <c r="O976" s="59"/>
      <c r="P976" s="59"/>
      <c r="Q976" s="59"/>
      <c r="R976" s="60">
        <f>IF(AND(P976="",Q976=""),"",N(P976)+N(Q976))</f>
        <v/>
      </c>
      <c r="S976" s="59"/>
      <c r="T976" s="59"/>
      <c r="U976" s="62">
        <f>IF(OR(R976="",S976="",T976=""),"",IF(S976+T976=0,"",R976/(S976+T976)))</f>
        <v/>
      </c>
      <c r="V976" s="63"/>
      <c r="W976" s="64"/>
      <c r="X976" s="63"/>
    </row>
    <row r="977" spans="2:24">
      <c r="B977" s="58"/>
      <c r="C977" s="59"/>
      <c r="D977" s="59"/>
      <c r="E977" s="59"/>
      <c r="F977" s="59"/>
      <c r="G977" s="60">
        <f>IF(OR(E977="",F977="",C977="",D977=""),"",IF(C977+D977=0,"",(E977*C977+F977*D977)/(C977+D977)))</f>
        <v/>
      </c>
      <c r="H977" s="59"/>
      <c r="I977" s="60">
        <f>IF(OR(H977="",E977="",C977="",D977=""),"",IF(C977+D977=0,"",(H977*D977+E977*C977)/(C977+D977)))</f>
        <v/>
      </c>
      <c r="J977" s="59"/>
      <c r="K977" s="61">
        <f>IF(OR(J977="",I977=""),"",J977-I977)</f>
        <v/>
      </c>
      <c r="L977" s="61">
        <f>IF(OR(J977="",G977=""),"",J977-G977)</f>
        <v/>
      </c>
      <c r="M977" s="59"/>
      <c r="N977" s="59"/>
      <c r="O977" s="59"/>
      <c r="P977" s="59"/>
      <c r="Q977" s="59"/>
      <c r="R977" s="60">
        <f>IF(AND(P977="",Q977=""),"",N(P977)+N(Q977))</f>
        <v/>
      </c>
      <c r="S977" s="59"/>
      <c r="T977" s="59"/>
      <c r="U977" s="62">
        <f>IF(OR(R977="",S977="",T977=""),"",IF(S977+T977=0,"",R977/(S977+T977)))</f>
        <v/>
      </c>
      <c r="V977" s="63"/>
      <c r="W977" s="64"/>
      <c r="X977" s="63"/>
    </row>
    <row r="978" spans="2:24">
      <c r="B978" s="58"/>
      <c r="C978" s="59"/>
      <c r="D978" s="59"/>
      <c r="E978" s="59"/>
      <c r="F978" s="59"/>
      <c r="G978" s="60">
        <f>IF(OR(E978="",F978="",C978="",D978=""),"",IF(C978+D978=0,"",(E978*C978+F978*D978)/(C978+D978)))</f>
        <v/>
      </c>
      <c r="H978" s="59"/>
      <c r="I978" s="60">
        <f>IF(OR(H978="",E978="",C978="",D978=""),"",IF(C978+D978=0,"",(H978*D978+E978*C978)/(C978+D978)))</f>
        <v/>
      </c>
      <c r="J978" s="59"/>
      <c r="K978" s="61">
        <f>IF(OR(J978="",I978=""),"",J978-I978)</f>
        <v/>
      </c>
      <c r="L978" s="61">
        <f>IF(OR(J978="",G978=""),"",J978-G978)</f>
        <v/>
      </c>
      <c r="M978" s="59"/>
      <c r="N978" s="59"/>
      <c r="O978" s="59"/>
      <c r="P978" s="59"/>
      <c r="Q978" s="59"/>
      <c r="R978" s="60">
        <f>IF(AND(P978="",Q978=""),"",N(P978)+N(Q978))</f>
        <v/>
      </c>
      <c r="S978" s="59"/>
      <c r="T978" s="59"/>
      <c r="U978" s="62">
        <f>IF(OR(R978="",S978="",T978=""),"",IF(S978+T978=0,"",R978/(S978+T978)))</f>
        <v/>
      </c>
      <c r="V978" s="63"/>
      <c r="W978" s="64"/>
      <c r="X978" s="63"/>
    </row>
    <row r="979" spans="2:24">
      <c r="B979" s="58"/>
      <c r="C979" s="59"/>
      <c r="D979" s="59"/>
      <c r="E979" s="59"/>
      <c r="F979" s="59"/>
      <c r="G979" s="60">
        <f>IF(OR(E979="",F979="",C979="",D979=""),"",IF(C979+D979=0,"",(E979*C979+F979*D979)/(C979+D979)))</f>
        <v/>
      </c>
      <c r="H979" s="59"/>
      <c r="I979" s="60">
        <f>IF(OR(H979="",E979="",C979="",D979=""),"",IF(C979+D979=0,"",(H979*D979+E979*C979)/(C979+D979)))</f>
        <v/>
      </c>
      <c r="J979" s="59"/>
      <c r="K979" s="61">
        <f>IF(OR(J979="",I979=""),"",J979-I979)</f>
        <v/>
      </c>
      <c r="L979" s="61">
        <f>IF(OR(J979="",G979=""),"",J979-G979)</f>
        <v/>
      </c>
      <c r="M979" s="59"/>
      <c r="N979" s="59"/>
      <c r="O979" s="59"/>
      <c r="P979" s="59"/>
      <c r="Q979" s="59"/>
      <c r="R979" s="60">
        <f>IF(AND(P979="",Q979=""),"",N(P979)+N(Q979))</f>
        <v/>
      </c>
      <c r="S979" s="59"/>
      <c r="T979" s="59"/>
      <c r="U979" s="62">
        <f>IF(OR(R979="",S979="",T979=""),"",IF(S979+T979=0,"",R979/(S979+T979)))</f>
        <v/>
      </c>
      <c r="V979" s="63"/>
      <c r="W979" s="64"/>
      <c r="X979" s="63"/>
    </row>
    <row r="980" spans="2:24">
      <c r="B980" s="58"/>
      <c r="C980" s="59"/>
      <c r="D980" s="59"/>
      <c r="E980" s="59"/>
      <c r="F980" s="59"/>
      <c r="G980" s="60">
        <f>IF(OR(E980="",F980="",C980="",D980=""),"",IF(C980+D980=0,"",(E980*C980+F980*D980)/(C980+D980)))</f>
        <v/>
      </c>
      <c r="H980" s="59"/>
      <c r="I980" s="60">
        <f>IF(OR(H980="",E980="",C980="",D980=""),"",IF(C980+D980=0,"",(H980*D980+E980*C980)/(C980+D980)))</f>
        <v/>
      </c>
      <c r="J980" s="59"/>
      <c r="K980" s="61">
        <f>IF(OR(J980="",I980=""),"",J980-I980)</f>
        <v/>
      </c>
      <c r="L980" s="61">
        <f>IF(OR(J980="",G980=""),"",J980-G980)</f>
        <v/>
      </c>
      <c r="M980" s="59"/>
      <c r="N980" s="59"/>
      <c r="O980" s="59"/>
      <c r="P980" s="59"/>
      <c r="Q980" s="59"/>
      <c r="R980" s="60">
        <f>IF(AND(P980="",Q980=""),"",N(P980)+N(Q980))</f>
        <v/>
      </c>
      <c r="S980" s="59"/>
      <c r="T980" s="59"/>
      <c r="U980" s="62">
        <f>IF(OR(R980="",S980="",T980=""),"",IF(S980+T980=0,"",R980/(S980+T980)))</f>
        <v/>
      </c>
      <c r="V980" s="63"/>
      <c r="W980" s="64"/>
      <c r="X980" s="63"/>
    </row>
    <row r="981" spans="2:24">
      <c r="B981" s="58"/>
      <c r="C981" s="59"/>
      <c r="D981" s="59"/>
      <c r="E981" s="59"/>
      <c r="F981" s="59"/>
      <c r="G981" s="60">
        <f>IF(OR(E981="",F981="",C981="",D981=""),"",IF(C981+D981=0,"",(E981*C981+F981*D981)/(C981+D981)))</f>
        <v/>
      </c>
      <c r="H981" s="59"/>
      <c r="I981" s="60">
        <f>IF(OR(H981="",E981="",C981="",D981=""),"",IF(C981+D981=0,"",(H981*D981+E981*C981)/(C981+D981)))</f>
        <v/>
      </c>
      <c r="J981" s="59"/>
      <c r="K981" s="61">
        <f>IF(OR(J981="",I981=""),"",J981-I981)</f>
        <v/>
      </c>
      <c r="L981" s="61">
        <f>IF(OR(J981="",G981=""),"",J981-G981)</f>
        <v/>
      </c>
      <c r="M981" s="59"/>
      <c r="N981" s="59"/>
      <c r="O981" s="59"/>
      <c r="P981" s="59"/>
      <c r="Q981" s="59"/>
      <c r="R981" s="60">
        <f>IF(AND(P981="",Q981=""),"",N(P981)+N(Q981))</f>
        <v/>
      </c>
      <c r="S981" s="59"/>
      <c r="T981" s="59"/>
      <c r="U981" s="62">
        <f>IF(OR(R981="",S981="",T981=""),"",IF(S981+T981=0,"",R981/(S981+T981)))</f>
        <v/>
      </c>
      <c r="V981" s="63"/>
      <c r="W981" s="64"/>
      <c r="X981" s="63"/>
    </row>
    <row r="982" spans="2:24">
      <c r="B982" s="58"/>
      <c r="C982" s="59"/>
      <c r="D982" s="59"/>
      <c r="E982" s="59"/>
      <c r="F982" s="59"/>
      <c r="G982" s="60">
        <f>IF(OR(E982="",F982="",C982="",D982=""),"",IF(C982+D982=0,"",(E982*C982+F982*D982)/(C982+D982)))</f>
        <v/>
      </c>
      <c r="H982" s="59"/>
      <c r="I982" s="60">
        <f>IF(OR(H982="",E982="",C982="",D982=""),"",IF(C982+D982=0,"",(H982*D982+E982*C982)/(C982+D982)))</f>
        <v/>
      </c>
      <c r="J982" s="59"/>
      <c r="K982" s="61">
        <f>IF(OR(J982="",I982=""),"",J982-I982)</f>
        <v/>
      </c>
      <c r="L982" s="61">
        <f>IF(OR(J982="",G982=""),"",J982-G982)</f>
        <v/>
      </c>
      <c r="M982" s="59"/>
      <c r="N982" s="59"/>
      <c r="O982" s="59"/>
      <c r="P982" s="59"/>
      <c r="Q982" s="59"/>
      <c r="R982" s="60">
        <f>IF(AND(P982="",Q982=""),"",N(P982)+N(Q982))</f>
        <v/>
      </c>
      <c r="S982" s="59"/>
      <c r="T982" s="59"/>
      <c r="U982" s="62">
        <f>IF(OR(R982="",S982="",T982=""),"",IF(S982+T982=0,"",R982/(S982+T982)))</f>
        <v/>
      </c>
      <c r="V982" s="63"/>
      <c r="W982" s="64"/>
      <c r="X982" s="63"/>
    </row>
    <row r="983" spans="2:24">
      <c r="B983" s="58"/>
      <c r="C983" s="59"/>
      <c r="D983" s="59"/>
      <c r="E983" s="59"/>
      <c r="F983" s="59"/>
      <c r="G983" s="60">
        <f>IF(OR(E983="",F983="",C983="",D983=""),"",IF(C983+D983=0,"",(E983*C983+F983*D983)/(C983+D983)))</f>
        <v/>
      </c>
      <c r="H983" s="59"/>
      <c r="I983" s="60">
        <f>IF(OR(H983="",E983="",C983="",D983=""),"",IF(C983+D983=0,"",(H983*D983+E983*C983)/(C983+D983)))</f>
        <v/>
      </c>
      <c r="J983" s="59"/>
      <c r="K983" s="61">
        <f>IF(OR(J983="",I983=""),"",J983-I983)</f>
        <v/>
      </c>
      <c r="L983" s="61">
        <f>IF(OR(J983="",G983=""),"",J983-G983)</f>
        <v/>
      </c>
      <c r="M983" s="59"/>
      <c r="N983" s="59"/>
      <c r="O983" s="59"/>
      <c r="P983" s="59"/>
      <c r="Q983" s="59"/>
      <c r="R983" s="60">
        <f>IF(AND(P983="",Q983=""),"",N(P983)+N(Q983))</f>
        <v/>
      </c>
      <c r="S983" s="59"/>
      <c r="T983" s="59"/>
      <c r="U983" s="62">
        <f>IF(OR(R983="",S983="",T983=""),"",IF(S983+T983=0,"",R983/(S983+T983)))</f>
        <v/>
      </c>
      <c r="V983" s="63"/>
      <c r="W983" s="64"/>
      <c r="X983" s="63"/>
    </row>
    <row r="984" spans="2:24">
      <c r="B984" s="58"/>
      <c r="C984" s="59"/>
      <c r="D984" s="59"/>
      <c r="E984" s="59"/>
      <c r="F984" s="59"/>
      <c r="G984" s="60">
        <f>IF(OR(E984="",F984="",C984="",D984=""),"",IF(C984+D984=0,"",(E984*C984+F984*D984)/(C984+D984)))</f>
        <v/>
      </c>
      <c r="H984" s="59"/>
      <c r="I984" s="60">
        <f>IF(OR(H984="",E984="",C984="",D984=""),"",IF(C984+D984=0,"",(H984*D984+E984*C984)/(C984+D984)))</f>
        <v/>
      </c>
      <c r="J984" s="59"/>
      <c r="K984" s="61">
        <f>IF(OR(J984="",I984=""),"",J984-I984)</f>
        <v/>
      </c>
      <c r="L984" s="61">
        <f>IF(OR(J984="",G984=""),"",J984-G984)</f>
        <v/>
      </c>
      <c r="M984" s="59"/>
      <c r="N984" s="59"/>
      <c r="O984" s="59"/>
      <c r="P984" s="59"/>
      <c r="Q984" s="59"/>
      <c r="R984" s="60">
        <f>IF(AND(P984="",Q984=""),"",N(P984)+N(Q984))</f>
        <v/>
      </c>
      <c r="S984" s="59"/>
      <c r="T984" s="59"/>
      <c r="U984" s="62">
        <f>IF(OR(R984="",S984="",T984=""),"",IF(S984+T984=0,"",R984/(S984+T984)))</f>
        <v/>
      </c>
      <c r="V984" s="63"/>
      <c r="W984" s="64"/>
      <c r="X984" s="63"/>
    </row>
    <row r="985" spans="2:24">
      <c r="B985" s="58"/>
      <c r="C985" s="59"/>
      <c r="D985" s="59"/>
      <c r="E985" s="59"/>
      <c r="F985" s="59"/>
      <c r="G985" s="60">
        <f>IF(OR(E985="",F985="",C985="",D985=""),"",IF(C985+D985=0,"",(E985*C985+F985*D985)/(C985+D985)))</f>
        <v/>
      </c>
      <c r="H985" s="59"/>
      <c r="I985" s="60">
        <f>IF(OR(H985="",E985="",C985="",D985=""),"",IF(C985+D985=0,"",(H985*D985+E985*C985)/(C985+D985)))</f>
        <v/>
      </c>
      <c r="J985" s="59"/>
      <c r="K985" s="61">
        <f>IF(OR(J985="",I985=""),"",J985-I985)</f>
        <v/>
      </c>
      <c r="L985" s="61">
        <f>IF(OR(J985="",G985=""),"",J985-G985)</f>
        <v/>
      </c>
      <c r="M985" s="59"/>
      <c r="N985" s="59"/>
      <c r="O985" s="59"/>
      <c r="P985" s="59"/>
      <c r="Q985" s="59"/>
      <c r="R985" s="60">
        <f>IF(AND(P985="",Q985=""),"",N(P985)+N(Q985))</f>
        <v/>
      </c>
      <c r="S985" s="59"/>
      <c r="T985" s="59"/>
      <c r="U985" s="62">
        <f>IF(OR(R985="",S985="",T985=""),"",IF(S985+T985=0,"",R985/(S985+T985)))</f>
        <v/>
      </c>
      <c r="V985" s="63"/>
      <c r="W985" s="64"/>
      <c r="X985" s="63"/>
    </row>
    <row r="986" spans="2:24">
      <c r="B986" s="58"/>
      <c r="C986" s="59"/>
      <c r="D986" s="59"/>
      <c r="E986" s="59"/>
      <c r="F986" s="59"/>
      <c r="G986" s="60">
        <f>IF(OR(E986="",F986="",C986="",D986=""),"",IF(C986+D986=0,"",(E986*C986+F986*D986)/(C986+D986)))</f>
        <v/>
      </c>
      <c r="H986" s="59"/>
      <c r="I986" s="60">
        <f>IF(OR(H986="",E986="",C986="",D986=""),"",IF(C986+D986=0,"",(H986*D986+E986*C986)/(C986+D986)))</f>
        <v/>
      </c>
      <c r="J986" s="59"/>
      <c r="K986" s="61">
        <f>IF(OR(J986="",I986=""),"",J986-I986)</f>
        <v/>
      </c>
      <c r="L986" s="61">
        <f>IF(OR(J986="",G986=""),"",J986-G986)</f>
        <v/>
      </c>
      <c r="M986" s="59"/>
      <c r="N986" s="59"/>
      <c r="O986" s="59"/>
      <c r="P986" s="59"/>
      <c r="Q986" s="59"/>
      <c r="R986" s="60">
        <f>IF(AND(P986="",Q986=""),"",N(P986)+N(Q986))</f>
        <v/>
      </c>
      <c r="S986" s="59"/>
      <c r="T986" s="59"/>
      <c r="U986" s="62">
        <f>IF(OR(R986="",S986="",T986=""),"",IF(S986+T986=0,"",R986/(S986+T986)))</f>
        <v/>
      </c>
      <c r="V986" s="63"/>
      <c r="W986" s="64"/>
      <c r="X986" s="63"/>
    </row>
    <row r="987" spans="2:24">
      <c r="B987" s="58"/>
      <c r="C987" s="59"/>
      <c r="D987" s="59"/>
      <c r="E987" s="59"/>
      <c r="F987" s="59"/>
      <c r="G987" s="60">
        <f>IF(OR(E987="",F987="",C987="",D987=""),"",IF(C987+D987=0,"",(E987*C987+F987*D987)/(C987+D987)))</f>
        <v/>
      </c>
      <c r="H987" s="59"/>
      <c r="I987" s="60">
        <f>IF(OR(H987="",E987="",C987="",D987=""),"",IF(C987+D987=0,"",(H987*D987+E987*C987)/(C987+D987)))</f>
        <v/>
      </c>
      <c r="J987" s="59"/>
      <c r="K987" s="61">
        <f>IF(OR(J987="",I987=""),"",J987-I987)</f>
        <v/>
      </c>
      <c r="L987" s="61">
        <f>IF(OR(J987="",G987=""),"",J987-G987)</f>
        <v/>
      </c>
      <c r="M987" s="59"/>
      <c r="N987" s="59"/>
      <c r="O987" s="59"/>
      <c r="P987" s="59"/>
      <c r="Q987" s="59"/>
      <c r="R987" s="60">
        <f>IF(AND(P987="",Q987=""),"",N(P987)+N(Q987))</f>
        <v/>
      </c>
      <c r="S987" s="59"/>
      <c r="T987" s="59"/>
      <c r="U987" s="62">
        <f>IF(OR(R987="",S987="",T987=""),"",IF(S987+T987=0,"",R987/(S987+T987)))</f>
        <v/>
      </c>
      <c r="V987" s="63"/>
      <c r="W987" s="64"/>
      <c r="X987" s="63"/>
    </row>
    <row r="988" spans="2:24">
      <c r="B988" s="58"/>
      <c r="C988" s="59"/>
      <c r="D988" s="59"/>
      <c r="E988" s="59"/>
      <c r="F988" s="59"/>
      <c r="G988" s="60">
        <f>IF(OR(E988="",F988="",C988="",D988=""),"",IF(C988+D988=0,"",(E988*C988+F988*D988)/(C988+D988)))</f>
        <v/>
      </c>
      <c r="H988" s="59"/>
      <c r="I988" s="60">
        <f>IF(OR(H988="",E988="",C988="",D988=""),"",IF(C988+D988=0,"",(H988*D988+E988*C988)/(C988+D988)))</f>
        <v/>
      </c>
      <c r="J988" s="59"/>
      <c r="K988" s="61">
        <f>IF(OR(J988="",I988=""),"",J988-I988)</f>
        <v/>
      </c>
      <c r="L988" s="61">
        <f>IF(OR(J988="",G988=""),"",J988-G988)</f>
        <v/>
      </c>
      <c r="M988" s="59"/>
      <c r="N988" s="59"/>
      <c r="O988" s="59"/>
      <c r="P988" s="59"/>
      <c r="Q988" s="59"/>
      <c r="R988" s="60">
        <f>IF(AND(P988="",Q988=""),"",N(P988)+N(Q988))</f>
        <v/>
      </c>
      <c r="S988" s="59"/>
      <c r="T988" s="59"/>
      <c r="U988" s="62">
        <f>IF(OR(R988="",S988="",T988=""),"",IF(S988+T988=0,"",R988/(S988+T988)))</f>
        <v/>
      </c>
      <c r="V988" s="63"/>
      <c r="W988" s="64"/>
      <c r="X988" s="63"/>
    </row>
    <row r="989" spans="2:24">
      <c r="B989" s="58"/>
      <c r="C989" s="59"/>
      <c r="D989" s="59"/>
      <c r="E989" s="59"/>
      <c r="F989" s="59"/>
      <c r="G989" s="60">
        <f>IF(OR(E989="",F989="",C989="",D989=""),"",IF(C989+D989=0,"",(E989*C989+F989*D989)/(C989+D989)))</f>
        <v/>
      </c>
      <c r="H989" s="59"/>
      <c r="I989" s="60">
        <f>IF(OR(H989="",E989="",C989="",D989=""),"",IF(C989+D989=0,"",(H989*D989+E989*C989)/(C989+D989)))</f>
        <v/>
      </c>
      <c r="J989" s="59"/>
      <c r="K989" s="61">
        <f>IF(OR(J989="",I989=""),"",J989-I989)</f>
        <v/>
      </c>
      <c r="L989" s="61">
        <f>IF(OR(J989="",G989=""),"",J989-G989)</f>
        <v/>
      </c>
      <c r="M989" s="59"/>
      <c r="N989" s="59"/>
      <c r="O989" s="59"/>
      <c r="P989" s="59"/>
      <c r="Q989" s="59"/>
      <c r="R989" s="60">
        <f>IF(AND(P989="",Q989=""),"",N(P989)+N(Q989))</f>
        <v/>
      </c>
      <c r="S989" s="59"/>
      <c r="T989" s="59"/>
      <c r="U989" s="62">
        <f>IF(OR(R989="",S989="",T989=""),"",IF(S989+T989=0,"",R989/(S989+T989)))</f>
        <v/>
      </c>
      <c r="V989" s="63"/>
      <c r="W989" s="64"/>
      <c r="X989" s="63"/>
    </row>
    <row r="990" spans="2:24">
      <c r="B990" s="58"/>
      <c r="C990" s="59"/>
      <c r="D990" s="59"/>
      <c r="E990" s="59"/>
      <c r="F990" s="59"/>
      <c r="G990" s="60">
        <f>IF(OR(E990="",F990="",C990="",D990=""),"",IF(C990+D990=0,"",(E990*C990+F990*D990)/(C990+D990)))</f>
        <v/>
      </c>
      <c r="H990" s="59"/>
      <c r="I990" s="60">
        <f>IF(OR(H990="",E990="",C990="",D990=""),"",IF(C990+D990=0,"",(H990*D990+E990*C990)/(C990+D990)))</f>
        <v/>
      </c>
      <c r="J990" s="59"/>
      <c r="K990" s="61">
        <f>IF(OR(J990="",I990=""),"",J990-I990)</f>
        <v/>
      </c>
      <c r="L990" s="61">
        <f>IF(OR(J990="",G990=""),"",J990-G990)</f>
        <v/>
      </c>
      <c r="M990" s="59"/>
      <c r="N990" s="59"/>
      <c r="O990" s="59"/>
      <c r="P990" s="59"/>
      <c r="Q990" s="59"/>
      <c r="R990" s="60">
        <f>IF(AND(P990="",Q990=""),"",N(P990)+N(Q990))</f>
        <v/>
      </c>
      <c r="S990" s="59"/>
      <c r="T990" s="59"/>
      <c r="U990" s="62">
        <f>IF(OR(R990="",S990="",T990=""),"",IF(S990+T990=0,"",R990/(S990+T990)))</f>
        <v/>
      </c>
      <c r="V990" s="63"/>
      <c r="W990" s="64"/>
      <c r="X990" s="63"/>
    </row>
    <row r="991" spans="2:24">
      <c r="B991" s="58"/>
      <c r="C991" s="59"/>
      <c r="D991" s="59"/>
      <c r="E991" s="59"/>
      <c r="F991" s="59"/>
      <c r="G991" s="60">
        <f>IF(OR(E991="",F991="",C991="",D991=""),"",IF(C991+D991=0,"",(E991*C991+F991*D991)/(C991+D991)))</f>
        <v/>
      </c>
      <c r="H991" s="59"/>
      <c r="I991" s="60">
        <f>IF(OR(H991="",E991="",C991="",D991=""),"",IF(C991+D991=0,"",(H991*D991+E991*C991)/(C991+D991)))</f>
        <v/>
      </c>
      <c r="J991" s="59"/>
      <c r="K991" s="61">
        <f>IF(OR(J991="",I991=""),"",J991-I991)</f>
        <v/>
      </c>
      <c r="L991" s="61">
        <f>IF(OR(J991="",G991=""),"",J991-G991)</f>
        <v/>
      </c>
      <c r="M991" s="59"/>
      <c r="N991" s="59"/>
      <c r="O991" s="59"/>
      <c r="P991" s="59"/>
      <c r="Q991" s="59"/>
      <c r="R991" s="60">
        <f>IF(AND(P991="",Q991=""),"",N(P991)+N(Q991))</f>
        <v/>
      </c>
      <c r="S991" s="59"/>
      <c r="T991" s="59"/>
      <c r="U991" s="62">
        <f>IF(OR(R991="",S991="",T991=""),"",IF(S991+T991=0,"",R991/(S991+T991)))</f>
        <v/>
      </c>
      <c r="V991" s="63"/>
      <c r="W991" s="64"/>
      <c r="X991" s="63"/>
    </row>
    <row r="992" spans="2:24">
      <c r="B992" s="58"/>
      <c r="C992" s="59"/>
      <c r="D992" s="59"/>
      <c r="E992" s="59"/>
      <c r="F992" s="59"/>
      <c r="G992" s="60">
        <f>IF(OR(E992="",F992="",C992="",D992=""),"",IF(C992+D992=0,"",(E992*C992+F992*D992)/(C992+D992)))</f>
        <v/>
      </c>
      <c r="H992" s="59"/>
      <c r="I992" s="60">
        <f>IF(OR(H992="",E992="",C992="",D992=""),"",IF(C992+D992=0,"",(H992*D992+E992*C992)/(C992+D992)))</f>
        <v/>
      </c>
      <c r="J992" s="59"/>
      <c r="K992" s="61">
        <f>IF(OR(J992="",I992=""),"",J992-I992)</f>
        <v/>
      </c>
      <c r="L992" s="61">
        <f>IF(OR(J992="",G992=""),"",J992-G992)</f>
        <v/>
      </c>
      <c r="M992" s="59"/>
      <c r="N992" s="59"/>
      <c r="O992" s="59"/>
      <c r="P992" s="59"/>
      <c r="Q992" s="59"/>
      <c r="R992" s="60">
        <f>IF(AND(P992="",Q992=""),"",N(P992)+N(Q992))</f>
        <v/>
      </c>
      <c r="S992" s="59"/>
      <c r="T992" s="59"/>
      <c r="U992" s="62">
        <f>IF(OR(R992="",S992="",T992=""),"",IF(S992+T992=0,"",R992/(S992+T992)))</f>
        <v/>
      </c>
      <c r="V992" s="63"/>
      <c r="W992" s="64"/>
      <c r="X992" s="63"/>
    </row>
    <row r="993" spans="2:24">
      <c r="B993" s="58"/>
      <c r="C993" s="59"/>
      <c r="D993" s="59"/>
      <c r="E993" s="59"/>
      <c r="F993" s="59"/>
      <c r="G993" s="60">
        <f>IF(OR(E993="",F993="",C993="",D993=""),"",IF(C993+D993=0,"",(E993*C993+F993*D993)/(C993+D993)))</f>
        <v/>
      </c>
      <c r="H993" s="59"/>
      <c r="I993" s="60">
        <f>IF(OR(H993="",E993="",C993="",D993=""),"",IF(C993+D993=0,"",(H993*D993+E993*C993)/(C993+D993)))</f>
        <v/>
      </c>
      <c r="J993" s="59"/>
      <c r="K993" s="61">
        <f>IF(OR(J993="",I993=""),"",J993-I993)</f>
        <v/>
      </c>
      <c r="L993" s="61">
        <f>IF(OR(J993="",G993=""),"",J993-G993)</f>
        <v/>
      </c>
      <c r="M993" s="59"/>
      <c r="N993" s="59"/>
      <c r="O993" s="59"/>
      <c r="P993" s="59"/>
      <c r="Q993" s="59"/>
      <c r="R993" s="60">
        <f>IF(AND(P993="",Q993=""),"",N(P993)+N(Q993))</f>
        <v/>
      </c>
      <c r="S993" s="59"/>
      <c r="T993" s="59"/>
      <c r="U993" s="62">
        <f>IF(OR(R993="",S993="",T993=""),"",IF(S993+T993=0,"",R993/(S993+T993)))</f>
        <v/>
      </c>
      <c r="V993" s="63"/>
      <c r="W993" s="64"/>
      <c r="X993" s="63"/>
    </row>
    <row r="994" spans="2:24">
      <c r="B994" s="58"/>
      <c r="C994" s="59"/>
      <c r="D994" s="59"/>
      <c r="E994" s="59"/>
      <c r="F994" s="59"/>
      <c r="G994" s="60">
        <f>IF(OR(E994="",F994="",C994="",D994=""),"",IF(C994+D994=0,"",(E994*C994+F994*D994)/(C994+D994)))</f>
        <v/>
      </c>
      <c r="H994" s="59"/>
      <c r="I994" s="60">
        <f>IF(OR(H994="",E994="",C994="",D994=""),"",IF(C994+D994=0,"",(H994*D994+E994*C994)/(C994+D994)))</f>
        <v/>
      </c>
      <c r="J994" s="59"/>
      <c r="K994" s="61">
        <f>IF(OR(J994="",I994=""),"",J994-I994)</f>
        <v/>
      </c>
      <c r="L994" s="61">
        <f>IF(OR(J994="",G994=""),"",J994-G994)</f>
        <v/>
      </c>
      <c r="M994" s="59"/>
      <c r="N994" s="59"/>
      <c r="O994" s="59"/>
      <c r="P994" s="59"/>
      <c r="Q994" s="59"/>
      <c r="R994" s="60">
        <f>IF(AND(P994="",Q994=""),"",N(P994)+N(Q994))</f>
        <v/>
      </c>
      <c r="S994" s="59"/>
      <c r="T994" s="59"/>
      <c r="U994" s="62">
        <f>IF(OR(R994="",S994="",T994=""),"",IF(S994+T994=0,"",R994/(S994+T994)))</f>
        <v/>
      </c>
      <c r="V994" s="63"/>
      <c r="W994" s="64"/>
      <c r="X994" s="63"/>
    </row>
    <row r="995" spans="2:24">
      <c r="B995" s="58"/>
      <c r="C995" s="59"/>
      <c r="D995" s="59"/>
      <c r="E995" s="59"/>
      <c r="F995" s="59"/>
      <c r="G995" s="60">
        <f>IF(OR(E995="",F995="",C995="",D995=""),"",IF(C995+D995=0,"",(E995*C995+F995*D995)/(C995+D995)))</f>
        <v/>
      </c>
      <c r="H995" s="59"/>
      <c r="I995" s="60">
        <f>IF(OR(H995="",E995="",C995="",D995=""),"",IF(C995+D995=0,"",(H995*D995+E995*C995)/(C995+D995)))</f>
        <v/>
      </c>
      <c r="J995" s="59"/>
      <c r="K995" s="61">
        <f>IF(OR(J995="",I995=""),"",J995-I995)</f>
        <v/>
      </c>
      <c r="L995" s="61">
        <f>IF(OR(J995="",G995=""),"",J995-G995)</f>
        <v/>
      </c>
      <c r="M995" s="59"/>
      <c r="N995" s="59"/>
      <c r="O995" s="59"/>
      <c r="P995" s="59"/>
      <c r="Q995" s="59"/>
      <c r="R995" s="60">
        <f>IF(AND(P995="",Q995=""),"",N(P995)+N(Q995))</f>
        <v/>
      </c>
      <c r="S995" s="59"/>
      <c r="T995" s="59"/>
      <c r="U995" s="62">
        <f>IF(OR(R995="",S995="",T995=""),"",IF(S995+T995=0,"",R995/(S995+T995)))</f>
        <v/>
      </c>
      <c r="V995" s="63"/>
      <c r="W995" s="64"/>
      <c r="X995" s="63"/>
    </row>
    <row r="996" spans="2:24">
      <c r="B996" s="58"/>
      <c r="C996" s="59"/>
      <c r="D996" s="59"/>
      <c r="E996" s="59"/>
      <c r="F996" s="59"/>
      <c r="G996" s="60">
        <f>IF(OR(E996="",F996="",C996="",D996=""),"",IF(C996+D996=0,"",(E996*C996+F996*D996)/(C996+D996)))</f>
        <v/>
      </c>
      <c r="H996" s="59"/>
      <c r="I996" s="60">
        <f>IF(OR(H996="",E996="",C996="",D996=""),"",IF(C996+D996=0,"",(H996*D996+E996*C996)/(C996+D996)))</f>
        <v/>
      </c>
      <c r="J996" s="59"/>
      <c r="K996" s="61">
        <f>IF(OR(J996="",I996=""),"",J996-I996)</f>
        <v/>
      </c>
      <c r="L996" s="61">
        <f>IF(OR(J996="",G996=""),"",J996-G996)</f>
        <v/>
      </c>
      <c r="M996" s="59"/>
      <c r="N996" s="59"/>
      <c r="O996" s="59"/>
      <c r="P996" s="59"/>
      <c r="Q996" s="59"/>
      <c r="R996" s="60">
        <f>IF(AND(P996="",Q996=""),"",N(P996)+N(Q996))</f>
        <v/>
      </c>
      <c r="S996" s="59"/>
      <c r="T996" s="59"/>
      <c r="U996" s="62">
        <f>IF(OR(R996="",S996="",T996=""),"",IF(S996+T996=0,"",R996/(S996+T996)))</f>
        <v/>
      </c>
      <c r="V996" s="63"/>
      <c r="W996" s="64"/>
      <c r="X996" s="63"/>
    </row>
    <row r="997" spans="2:24">
      <c r="B997" s="58"/>
      <c r="C997" s="59"/>
      <c r="D997" s="59"/>
      <c r="E997" s="59"/>
      <c r="F997" s="59"/>
      <c r="G997" s="60">
        <f>IF(OR(E997="",F997="",C997="",D997=""),"",IF(C997+D997=0,"",(E997*C997+F997*D997)/(C997+D997)))</f>
        <v/>
      </c>
      <c r="H997" s="59"/>
      <c r="I997" s="60">
        <f>IF(OR(H997="",E997="",C997="",D997=""),"",IF(C997+D997=0,"",(H997*D997+E997*C997)/(C997+D997)))</f>
        <v/>
      </c>
      <c r="J997" s="59"/>
      <c r="K997" s="61">
        <f>IF(OR(J997="",I997=""),"",J997-I997)</f>
        <v/>
      </c>
      <c r="L997" s="61">
        <f>IF(OR(J997="",G997=""),"",J997-G997)</f>
        <v/>
      </c>
      <c r="M997" s="59"/>
      <c r="N997" s="59"/>
      <c r="O997" s="59"/>
      <c r="P997" s="59"/>
      <c r="Q997" s="59"/>
      <c r="R997" s="60">
        <f>IF(AND(P997="",Q997=""),"",N(P997)+N(Q997))</f>
        <v/>
      </c>
      <c r="S997" s="59"/>
      <c r="T997" s="59"/>
      <c r="U997" s="62">
        <f>IF(OR(R997="",S997="",T997=""),"",IF(S997+T997=0,"",R997/(S997+T997)))</f>
        <v/>
      </c>
      <c r="V997" s="63"/>
      <c r="W997" s="64"/>
      <c r="X997" s="63"/>
    </row>
    <row r="998" spans="2:24">
      <c r="B998" s="58"/>
      <c r="C998" s="59"/>
      <c r="D998" s="59"/>
      <c r="E998" s="59"/>
      <c r="F998" s="59"/>
      <c r="G998" s="60">
        <f>IF(OR(E998="",F998="",C998="",D998=""),"",IF(C998+D998=0,"",(E998*C998+F998*D998)/(C998+D998)))</f>
        <v/>
      </c>
      <c r="H998" s="59"/>
      <c r="I998" s="60">
        <f>IF(OR(H998="",E998="",C998="",D998=""),"",IF(C998+D998=0,"",(H998*D998+E998*C998)/(C998+D998)))</f>
        <v/>
      </c>
      <c r="J998" s="59"/>
      <c r="K998" s="61">
        <f>IF(OR(J998="",I998=""),"",J998-I998)</f>
        <v/>
      </c>
      <c r="L998" s="61">
        <f>IF(OR(J998="",G998=""),"",J998-G998)</f>
        <v/>
      </c>
      <c r="M998" s="59"/>
      <c r="N998" s="59"/>
      <c r="O998" s="59"/>
      <c r="P998" s="59"/>
      <c r="Q998" s="59"/>
      <c r="R998" s="60">
        <f>IF(AND(P998="",Q998=""),"",N(P998)+N(Q998))</f>
        <v/>
      </c>
      <c r="S998" s="59"/>
      <c r="T998" s="59"/>
      <c r="U998" s="62">
        <f>IF(OR(R998="",S998="",T998=""),"",IF(S998+T998=0,"",R998/(S998+T998)))</f>
        <v/>
      </c>
      <c r="V998" s="63"/>
      <c r="W998" s="64"/>
      <c r="X998" s="63"/>
    </row>
    <row r="999" spans="2:24">
      <c r="B999" s="58"/>
      <c r="C999" s="59"/>
      <c r="D999" s="59"/>
      <c r="E999" s="59"/>
      <c r="F999" s="59"/>
      <c r="G999" s="60">
        <f>IF(OR(E999="",F999="",C999="",D999=""),"",IF(C999+D999=0,"",(E999*C999+F999*D999)/(C999+D999)))</f>
        <v/>
      </c>
      <c r="H999" s="59"/>
      <c r="I999" s="60">
        <f>IF(OR(H999="",E999="",C999="",D999=""),"",IF(C999+D999=0,"",(H999*D999+E999*C999)/(C999+D999)))</f>
        <v/>
      </c>
      <c r="J999" s="59"/>
      <c r="K999" s="61">
        <f>IF(OR(J999="",I999=""),"",J999-I999)</f>
        <v/>
      </c>
      <c r="L999" s="61">
        <f>IF(OR(J999="",G999=""),"",J999-G999)</f>
        <v/>
      </c>
      <c r="M999" s="59"/>
      <c r="N999" s="59"/>
      <c r="O999" s="59"/>
      <c r="P999" s="59"/>
      <c r="Q999" s="59"/>
      <c r="R999" s="60">
        <f>IF(AND(P999="",Q999=""),"",N(P999)+N(Q999))</f>
        <v/>
      </c>
      <c r="S999" s="59"/>
      <c r="T999" s="59"/>
      <c r="U999" s="62">
        <f>IF(OR(R999="",S999="",T999=""),"",IF(S999+T999=0,"",R999/(S999+T999)))</f>
        <v/>
      </c>
      <c r="V999" s="63"/>
      <c r="W999" s="64"/>
      <c r="X999" s="63"/>
    </row>
    <row r="1000" spans="2:24">
      <c r="B1000" s="58"/>
      <c r="C1000" s="59"/>
      <c r="D1000" s="59"/>
      <c r="E1000" s="59"/>
      <c r="F1000" s="59"/>
      <c r="G1000" s="60">
        <f>IF(OR(E1000="",F1000="",C1000="",D1000=""),"",IF(C1000+D1000=0,"",(E1000*C1000+F1000*D1000)/(C1000+D1000)))</f>
        <v/>
      </c>
      <c r="H1000" s="59"/>
      <c r="I1000" s="60">
        <f>IF(OR(H1000="",E1000="",C1000="",D1000=""),"",IF(C1000+D1000=0,"",(H1000*D1000+E1000*C1000)/(C1000+D1000)))</f>
        <v/>
      </c>
      <c r="J1000" s="59"/>
      <c r="K1000" s="61">
        <f>IF(OR(J1000="",I1000=""),"",J1000-I1000)</f>
        <v/>
      </c>
      <c r="L1000" s="61">
        <f>IF(OR(J1000="",G1000=""),"",J1000-G1000)</f>
        <v/>
      </c>
      <c r="M1000" s="59"/>
      <c r="N1000" s="59"/>
      <c r="O1000" s="59"/>
      <c r="P1000" s="59"/>
      <c r="Q1000" s="59"/>
      <c r="R1000" s="60">
        <f>IF(AND(P1000="",Q1000=""),"",N(P1000)+N(Q1000))</f>
        <v/>
      </c>
      <c r="S1000" s="59"/>
      <c r="T1000" s="59"/>
      <c r="U1000" s="62">
        <f>IF(OR(R1000="",S1000="",T1000=""),"",IF(S1000+T1000=0,"",R1000/(S1000+T1000)))</f>
        <v/>
      </c>
      <c r="V1000" s="63"/>
      <c r="W1000" s="64"/>
      <c r="X1000" s="63"/>
    </row>
    <row r="1001" spans="2:24">
      <c r="B1001" s="58"/>
      <c r="C1001" s="59"/>
      <c r="D1001" s="59"/>
      <c r="E1001" s="59"/>
      <c r="F1001" s="59"/>
      <c r="G1001" s="60">
        <f>IF(OR(E1001="",F1001="",C1001="",D1001=""),"",IF(C1001+D1001=0,"",(E1001*C1001+F1001*D1001)/(C1001+D1001)))</f>
        <v/>
      </c>
      <c r="H1001" s="59"/>
      <c r="I1001" s="60">
        <f>IF(OR(H1001="",E1001="",C1001="",D1001=""),"",IF(C1001+D1001=0,"",(H1001*D1001+E1001*C1001)/(C1001+D1001)))</f>
        <v/>
      </c>
      <c r="J1001" s="59"/>
      <c r="K1001" s="61">
        <f>IF(OR(J1001="",I1001=""),"",J1001-I1001)</f>
        <v/>
      </c>
      <c r="L1001" s="61">
        <f>IF(OR(J1001="",G1001=""),"",J1001-G1001)</f>
        <v/>
      </c>
      <c r="M1001" s="59"/>
      <c r="N1001" s="59"/>
      <c r="O1001" s="59"/>
      <c r="P1001" s="59"/>
      <c r="Q1001" s="59"/>
      <c r="R1001" s="60">
        <f>IF(AND(P1001="",Q1001=""),"",N(P1001)+N(Q1001))</f>
        <v/>
      </c>
      <c r="S1001" s="59"/>
      <c r="T1001" s="59"/>
      <c r="U1001" s="62">
        <f>IF(OR(R1001="",S1001="",T1001=""),"",IF(S1001+T1001=0,"",R1001/(S1001+T1001)))</f>
        <v/>
      </c>
      <c r="V1001" s="63"/>
      <c r="W1001" s="64"/>
      <c r="X1001" s="63"/>
    </row>
    <row r="1002" spans="2:24">
      <c r="B1002" s="58"/>
      <c r="C1002" s="59"/>
      <c r="D1002" s="59"/>
      <c r="E1002" s="59"/>
      <c r="F1002" s="59"/>
      <c r="G1002" s="60">
        <f>IF(OR(E1002="",F1002="",C1002="",D1002=""),"",IF(C1002+D1002=0,"",(E1002*C1002+F1002*D1002)/(C1002+D1002)))</f>
        <v/>
      </c>
      <c r="H1002" s="59"/>
      <c r="I1002" s="60">
        <f>IF(OR(H1002="",E1002="",C1002="",D1002=""),"",IF(C1002+D1002=0,"",(H1002*D1002+E1002*C1002)/(C1002+D1002)))</f>
        <v/>
      </c>
      <c r="J1002" s="59"/>
      <c r="K1002" s="61">
        <f>IF(OR(J1002="",I1002=""),"",J1002-I1002)</f>
        <v/>
      </c>
      <c r="L1002" s="61">
        <f>IF(OR(J1002="",G1002=""),"",J1002-G1002)</f>
        <v/>
      </c>
      <c r="M1002" s="59"/>
      <c r="N1002" s="59"/>
      <c r="O1002" s="59"/>
      <c r="P1002" s="59"/>
      <c r="Q1002" s="59"/>
      <c r="R1002" s="60">
        <f>IF(AND(P1002="",Q1002=""),"",N(P1002)+N(Q1002))</f>
        <v/>
      </c>
      <c r="S1002" s="59"/>
      <c r="T1002" s="59"/>
      <c r="U1002" s="62">
        <f>IF(OR(R1002="",S1002="",T1002=""),"",IF(S1002+T1002=0,"",R1002/(S1002+T1002)))</f>
        <v/>
      </c>
      <c r="V1002" s="63"/>
      <c r="W1002" s="64"/>
      <c r="X1002" s="63"/>
    </row>
    <row r="1003" spans="2:24">
      <c r="B1003" s="58"/>
      <c r="C1003" s="59"/>
      <c r="D1003" s="59"/>
      <c r="E1003" s="59"/>
      <c r="F1003" s="59"/>
      <c r="G1003" s="60">
        <f>IF(OR(E1003="",F1003="",C1003="",D1003=""),"",IF(C1003+D1003=0,"",(E1003*C1003+F1003*D1003)/(C1003+D1003)))</f>
        <v/>
      </c>
      <c r="H1003" s="59"/>
      <c r="I1003" s="60">
        <f>IF(OR(H1003="",E1003="",C1003="",D1003=""),"",IF(C1003+D1003=0,"",(H1003*D1003+E1003*C1003)/(C1003+D1003)))</f>
        <v/>
      </c>
      <c r="J1003" s="59"/>
      <c r="K1003" s="61">
        <f>IF(OR(J1003="",I1003=""),"",J1003-I1003)</f>
        <v/>
      </c>
      <c r="L1003" s="61">
        <f>IF(OR(J1003="",G1003=""),"",J1003-G1003)</f>
        <v/>
      </c>
      <c r="M1003" s="59"/>
      <c r="N1003" s="59"/>
      <c r="O1003" s="59"/>
      <c r="P1003" s="59"/>
      <c r="Q1003" s="59"/>
      <c r="R1003" s="60">
        <f>IF(AND(P1003="",Q1003=""),"",N(P1003)+N(Q1003))</f>
        <v/>
      </c>
      <c r="S1003" s="59"/>
      <c r="T1003" s="59"/>
      <c r="U1003" s="62">
        <f>IF(OR(R1003="",S1003="",T1003=""),"",IF(S1003+T1003=0,"",R1003/(S1003+T1003)))</f>
        <v/>
      </c>
      <c r="V1003" s="63"/>
      <c r="W1003" s="64"/>
      <c r="X1003" s="63"/>
    </row>
    <row r="1004" spans="2:24">
      <c r="B1004" s="58"/>
      <c r="C1004" s="59"/>
      <c r="D1004" s="59"/>
      <c r="E1004" s="59"/>
      <c r="F1004" s="59"/>
      <c r="G1004" s="60">
        <f>IF(OR(E1004="",F1004="",C1004="",D1004=""),"",IF(C1004+D1004=0,"",(E1004*C1004+F1004*D1004)/(C1004+D1004)))</f>
        <v/>
      </c>
      <c r="H1004" s="59"/>
      <c r="I1004" s="60">
        <f>IF(OR(H1004="",E1004="",C1004="",D1004=""),"",IF(C1004+D1004=0,"",(H1004*D1004+E1004*C1004)/(C1004+D1004)))</f>
        <v/>
      </c>
      <c r="J1004" s="59"/>
      <c r="K1004" s="61">
        <f>IF(OR(J1004="",I1004=""),"",J1004-I1004)</f>
        <v/>
      </c>
      <c r="L1004" s="61">
        <f>IF(OR(J1004="",G1004=""),"",J1004-G1004)</f>
        <v/>
      </c>
      <c r="M1004" s="59"/>
      <c r="N1004" s="59"/>
      <c r="O1004" s="59"/>
      <c r="P1004" s="59"/>
      <c r="Q1004" s="59"/>
      <c r="R1004" s="60">
        <f>IF(AND(P1004="",Q1004=""),"",N(P1004)+N(Q1004))</f>
        <v/>
      </c>
      <c r="S1004" s="59"/>
      <c r="T1004" s="59"/>
      <c r="U1004" s="62">
        <f>IF(OR(R1004="",S1004="",T1004=""),"",IF(S1004+T1004=0,"",R1004/(S1004+T1004)))</f>
        <v/>
      </c>
      <c r="V1004" s="63"/>
      <c r="W1004" s="64"/>
      <c r="X1004" s="63"/>
    </row>
    <row r="1005" spans="2:24">
      <c r="B1005" s="58"/>
      <c r="C1005" s="59"/>
      <c r="D1005" s="59"/>
      <c r="E1005" s="59"/>
      <c r="F1005" s="59"/>
      <c r="G1005" s="60">
        <f>IF(OR(E1005="",F1005="",C1005="",D1005=""),"",IF(C1005+D1005=0,"",(E1005*C1005+F1005*D1005)/(C1005+D1005)))</f>
        <v/>
      </c>
      <c r="H1005" s="59"/>
      <c r="I1005" s="60">
        <f>IF(OR(H1005="",E1005="",C1005="",D1005=""),"",IF(C1005+D1005=0,"",(H1005*D1005+E1005*C1005)/(C1005+D1005)))</f>
        <v/>
      </c>
      <c r="J1005" s="59"/>
      <c r="K1005" s="61">
        <f>IF(OR(J1005="",I1005=""),"",J1005-I1005)</f>
        <v/>
      </c>
      <c r="L1005" s="61">
        <f>IF(OR(J1005="",G1005=""),"",J1005-G1005)</f>
        <v/>
      </c>
      <c r="M1005" s="59"/>
      <c r="N1005" s="59"/>
      <c r="O1005" s="59"/>
      <c r="P1005" s="59"/>
      <c r="Q1005" s="59"/>
      <c r="R1005" s="60">
        <f>IF(AND(P1005="",Q1005=""),"",N(P1005)+N(Q1005))</f>
        <v/>
      </c>
      <c r="S1005" s="59"/>
      <c r="T1005" s="59"/>
      <c r="U1005" s="62">
        <f>IF(OR(R1005="",S1005="",T1005=""),"",IF(S1005+T1005=0,"",R1005/(S1005+T1005)))</f>
        <v/>
      </c>
      <c r="V1005" s="63"/>
      <c r="W1005" s="64"/>
      <c r="X1005" s="63"/>
    </row>
    <row r="1006" spans="2:24">
      <c r="B1006" s="58"/>
      <c r="C1006" s="59"/>
      <c r="D1006" s="59"/>
      <c r="E1006" s="59"/>
      <c r="F1006" s="59"/>
      <c r="G1006" s="60">
        <f>IF(OR(E1006="",F1006="",C1006="",D1006=""),"",IF(C1006+D1006=0,"",(E1006*C1006+F1006*D1006)/(C1006+D1006)))</f>
        <v/>
      </c>
      <c r="H1006" s="59"/>
      <c r="I1006" s="60">
        <f>IF(OR(H1006="",E1006="",C1006="",D1006=""),"",IF(C1006+D1006=0,"",(H1006*D1006+E1006*C1006)/(C1006+D1006)))</f>
        <v/>
      </c>
      <c r="J1006" s="59"/>
      <c r="K1006" s="61">
        <f>IF(OR(J1006="",I1006=""),"",J1006-I1006)</f>
        <v/>
      </c>
      <c r="L1006" s="61">
        <f>IF(OR(J1006="",G1006=""),"",J1006-G1006)</f>
        <v/>
      </c>
      <c r="M1006" s="59"/>
      <c r="N1006" s="59"/>
      <c r="O1006" s="59"/>
      <c r="P1006" s="59"/>
      <c r="Q1006" s="59"/>
      <c r="R1006" s="60">
        <f>IF(AND(P1006="",Q1006=""),"",N(P1006)+N(Q1006))</f>
        <v/>
      </c>
      <c r="S1006" s="59"/>
      <c r="T1006" s="59"/>
      <c r="U1006" s="62">
        <f>IF(OR(R1006="",S1006="",T1006=""),"",IF(S1006+T1006=0,"",R1006/(S1006+T1006)))</f>
        <v/>
      </c>
      <c r="V1006" s="63"/>
      <c r="W1006" s="64"/>
      <c r="X1006" s="63"/>
    </row>
    <row r="1007" spans="2:24">
      <c r="B1007" s="58"/>
      <c r="C1007" s="59"/>
      <c r="D1007" s="59"/>
      <c r="E1007" s="59"/>
      <c r="F1007" s="59"/>
      <c r="G1007" s="60">
        <f>IF(OR(E1007="",F1007="",C1007="",D1007=""),"",IF(C1007+D1007=0,"",(E1007*C1007+F1007*D1007)/(C1007+D1007)))</f>
        <v/>
      </c>
      <c r="H1007" s="59"/>
      <c r="I1007" s="60">
        <f>IF(OR(H1007="",E1007="",C1007="",D1007=""),"",IF(C1007+D1007=0,"",(H1007*D1007+E1007*C1007)/(C1007+D1007)))</f>
        <v/>
      </c>
      <c r="J1007" s="59"/>
      <c r="K1007" s="61">
        <f>IF(OR(J1007="",I1007=""),"",J1007-I1007)</f>
        <v/>
      </c>
      <c r="L1007" s="61">
        <f>IF(OR(J1007="",G1007=""),"",J1007-G1007)</f>
        <v/>
      </c>
      <c r="M1007" s="59"/>
      <c r="N1007" s="59"/>
      <c r="O1007" s="59"/>
      <c r="P1007" s="59"/>
      <c r="Q1007" s="59"/>
      <c r="R1007" s="60">
        <f>IF(AND(P1007="",Q1007=""),"",N(P1007)+N(Q1007))</f>
        <v/>
      </c>
      <c r="S1007" s="59"/>
      <c r="T1007" s="59"/>
      <c r="U1007" s="62">
        <f>IF(OR(R1007="",S1007="",T1007=""),"",IF(S1007+T1007=0,"",R1007/(S1007+T1007)))</f>
        <v/>
      </c>
      <c r="V1007" s="63"/>
      <c r="W1007" s="64"/>
      <c r="X1007" s="63"/>
    </row>
    <row r="1008" spans="2:24">
      <c r="B1008" s="58"/>
      <c r="C1008" s="59"/>
      <c r="D1008" s="59"/>
      <c r="E1008" s="59"/>
      <c r="F1008" s="59"/>
      <c r="G1008" s="60">
        <f>IF(OR(E1008="",F1008="",C1008="",D1008=""),"",IF(C1008+D1008=0,"",(E1008*C1008+F1008*D1008)/(C1008+D1008)))</f>
        <v/>
      </c>
      <c r="H1008" s="59"/>
      <c r="I1008" s="60">
        <f>IF(OR(H1008="",E1008="",C1008="",D1008=""),"",IF(C1008+D1008=0,"",(H1008*D1008+E1008*C1008)/(C1008+D1008)))</f>
        <v/>
      </c>
      <c r="J1008" s="59"/>
      <c r="K1008" s="61">
        <f>IF(OR(J1008="",I1008=""),"",J1008-I1008)</f>
        <v/>
      </c>
      <c r="L1008" s="61">
        <f>IF(OR(J1008="",G1008=""),"",J1008-G1008)</f>
        <v/>
      </c>
      <c r="M1008" s="59"/>
      <c r="N1008" s="59"/>
      <c r="O1008" s="59"/>
      <c r="P1008" s="59"/>
      <c r="Q1008" s="59"/>
      <c r="R1008" s="60">
        <f>IF(AND(P1008="",Q1008=""),"",N(P1008)+N(Q1008))</f>
        <v/>
      </c>
      <c r="S1008" s="59"/>
      <c r="T1008" s="59"/>
      <c r="U1008" s="62">
        <f>IF(OR(R1008="",S1008="",T1008=""),"",IF(S1008+T1008=0,"",R1008/(S1008+T1008)))</f>
        <v/>
      </c>
      <c r="V1008" s="63"/>
      <c r="W1008" s="64"/>
      <c r="X1008" s="63"/>
    </row>
    <row r="1009" spans="2:24">
      <c r="B1009" s="58"/>
      <c r="C1009" s="59"/>
      <c r="D1009" s="59"/>
      <c r="E1009" s="59"/>
      <c r="F1009" s="59"/>
      <c r="G1009" s="60">
        <f>IF(OR(E1009="",F1009="",C1009="",D1009=""),"",IF(C1009+D1009=0,"",(E1009*C1009+F1009*D1009)/(C1009+D1009)))</f>
        <v/>
      </c>
      <c r="H1009" s="59"/>
      <c r="I1009" s="60">
        <f>IF(OR(H1009="",E1009="",C1009="",D1009=""),"",IF(C1009+D1009=0,"",(H1009*D1009+E1009*C1009)/(C1009+D1009)))</f>
        <v/>
      </c>
      <c r="J1009" s="59"/>
      <c r="K1009" s="61">
        <f>IF(OR(J1009="",I1009=""),"",J1009-I1009)</f>
        <v/>
      </c>
      <c r="L1009" s="61">
        <f>IF(OR(J1009="",G1009=""),"",J1009-G1009)</f>
        <v/>
      </c>
      <c r="M1009" s="59"/>
      <c r="N1009" s="59"/>
      <c r="O1009" s="59"/>
      <c r="P1009" s="59"/>
      <c r="Q1009" s="59"/>
      <c r="R1009" s="60">
        <f>IF(AND(P1009="",Q1009=""),"",N(P1009)+N(Q1009))</f>
        <v/>
      </c>
      <c r="S1009" s="59"/>
      <c r="T1009" s="59"/>
      <c r="U1009" s="62">
        <f>IF(OR(R1009="",S1009="",T1009=""),"",IF(S1009+T1009=0,"",R1009/(S1009+T1009)))</f>
        <v/>
      </c>
      <c r="V1009" s="63"/>
      <c r="W1009" s="64"/>
      <c r="X1009" s="63"/>
    </row>
    <row r="1010" spans="2:24">
      <c r="B1010" s="58"/>
      <c r="C1010" s="59"/>
      <c r="D1010" s="59"/>
      <c r="E1010" s="59"/>
      <c r="F1010" s="59"/>
      <c r="G1010" s="60">
        <f>IF(OR(E1010="",F1010="",C1010="",D1010=""),"",IF(C1010+D1010=0,"",(E1010*C1010+F1010*D1010)/(C1010+D1010)))</f>
        <v/>
      </c>
      <c r="H1010" s="59"/>
      <c r="I1010" s="60">
        <f>IF(OR(H1010="",E1010="",C1010="",D1010=""),"",IF(C1010+D1010=0,"",(H1010*D1010+E1010*C1010)/(C1010+D1010)))</f>
        <v/>
      </c>
      <c r="J1010" s="59"/>
      <c r="K1010" s="61">
        <f>IF(OR(J1010="",I1010=""),"",J1010-I1010)</f>
        <v/>
      </c>
      <c r="L1010" s="61">
        <f>IF(OR(J1010="",G1010=""),"",J1010-G1010)</f>
        <v/>
      </c>
      <c r="M1010" s="59"/>
      <c r="N1010" s="59"/>
      <c r="O1010" s="59"/>
      <c r="P1010" s="59"/>
      <c r="Q1010" s="59"/>
      <c r="R1010" s="60">
        <f>IF(AND(P1010="",Q1010=""),"",N(P1010)+N(Q1010))</f>
        <v/>
      </c>
      <c r="S1010" s="59"/>
      <c r="T1010" s="59"/>
      <c r="U1010" s="62">
        <f>IF(OR(R1010="",S1010="",T1010=""),"",IF(S1010+T1010=0,"",R1010/(S1010+T1010)))</f>
        <v/>
      </c>
      <c r="V1010" s="63"/>
      <c r="W1010" s="64"/>
      <c r="X1010" s="63"/>
    </row>
    <row r="1011" spans="2:24">
      <c r="B1011" s="58"/>
      <c r="C1011" s="59"/>
      <c r="D1011" s="59"/>
      <c r="E1011" s="59"/>
      <c r="F1011" s="59"/>
      <c r="G1011" s="60">
        <f>IF(OR(E1011="",F1011="",C1011="",D1011=""),"",IF(C1011+D1011=0,"",(E1011*C1011+F1011*D1011)/(C1011+D1011)))</f>
        <v/>
      </c>
      <c r="H1011" s="59"/>
      <c r="I1011" s="60">
        <f>IF(OR(H1011="",E1011="",C1011="",D1011=""),"",IF(C1011+D1011=0,"",(H1011*D1011+E1011*C1011)/(C1011+D1011)))</f>
        <v/>
      </c>
      <c r="J1011" s="59"/>
      <c r="K1011" s="61">
        <f>IF(OR(J1011="",I1011=""),"",J1011-I1011)</f>
        <v/>
      </c>
      <c r="L1011" s="61">
        <f>IF(OR(J1011="",G1011=""),"",J1011-G1011)</f>
        <v/>
      </c>
      <c r="M1011" s="59"/>
      <c r="N1011" s="59"/>
      <c r="O1011" s="59"/>
      <c r="P1011" s="59"/>
      <c r="Q1011" s="59"/>
      <c r="R1011" s="60">
        <f>IF(AND(P1011="",Q1011=""),"",N(P1011)+N(Q1011))</f>
        <v/>
      </c>
      <c r="S1011" s="59"/>
      <c r="T1011" s="59"/>
      <c r="U1011" s="62">
        <f>IF(OR(R1011="",S1011="",T1011=""),"",IF(S1011+T1011=0,"",R1011/(S1011+T1011)))</f>
        <v/>
      </c>
      <c r="V1011" s="63"/>
      <c r="W1011" s="64"/>
      <c r="X1011" s="63"/>
    </row>
    <row r="1012" spans="2:24">
      <c r="B1012" s="58"/>
      <c r="C1012" s="59"/>
      <c r="D1012" s="59"/>
      <c r="E1012" s="59"/>
      <c r="F1012" s="59"/>
      <c r="G1012" s="60">
        <f>IF(OR(E1012="",F1012="",C1012="",D1012=""),"",IF(C1012+D1012=0,"",(E1012*C1012+F1012*D1012)/(C1012+D1012)))</f>
        <v/>
      </c>
      <c r="H1012" s="59"/>
      <c r="I1012" s="60">
        <f>IF(OR(H1012="",E1012="",C1012="",D1012=""),"",IF(C1012+D1012=0,"",(H1012*D1012+E1012*C1012)/(C1012+D1012)))</f>
        <v/>
      </c>
      <c r="J1012" s="59"/>
      <c r="K1012" s="61">
        <f>IF(OR(J1012="",I1012=""),"",J1012-I1012)</f>
        <v/>
      </c>
      <c r="L1012" s="61">
        <f>IF(OR(J1012="",G1012=""),"",J1012-G1012)</f>
        <v/>
      </c>
      <c r="M1012" s="59"/>
      <c r="N1012" s="59"/>
      <c r="O1012" s="59"/>
      <c r="P1012" s="59"/>
      <c r="Q1012" s="59"/>
      <c r="R1012" s="60">
        <f>IF(AND(P1012="",Q1012=""),"",N(P1012)+N(Q1012))</f>
        <v/>
      </c>
      <c r="S1012" s="59"/>
      <c r="T1012" s="59"/>
      <c r="U1012" s="62">
        <f>IF(OR(R1012="",S1012="",T1012=""),"",IF(S1012+T1012=0,"",R1012/(S1012+T1012)))</f>
        <v/>
      </c>
      <c r="V1012" s="63"/>
      <c r="W1012" s="64"/>
      <c r="X1012" s="63"/>
    </row>
    <row r="1013" spans="2:24">
      <c r="B1013" s="58"/>
      <c r="C1013" s="59"/>
      <c r="D1013" s="59"/>
      <c r="E1013" s="59"/>
      <c r="F1013" s="59"/>
      <c r="G1013" s="60">
        <f>IF(OR(E1013="",F1013="",C1013="",D1013=""),"",IF(C1013+D1013=0,"",(E1013*C1013+F1013*D1013)/(C1013+D1013)))</f>
        <v/>
      </c>
      <c r="H1013" s="59"/>
      <c r="I1013" s="60">
        <f>IF(OR(H1013="",E1013="",C1013="",D1013=""),"",IF(C1013+D1013=0,"",(H1013*D1013+E1013*C1013)/(C1013+D1013)))</f>
        <v/>
      </c>
      <c r="J1013" s="59"/>
      <c r="K1013" s="61">
        <f>IF(OR(J1013="",I1013=""),"",J1013-I1013)</f>
        <v/>
      </c>
      <c r="L1013" s="61">
        <f>IF(OR(J1013="",G1013=""),"",J1013-G1013)</f>
        <v/>
      </c>
      <c r="M1013" s="59"/>
      <c r="N1013" s="59"/>
      <c r="O1013" s="59"/>
      <c r="P1013" s="59"/>
      <c r="Q1013" s="59"/>
      <c r="R1013" s="60">
        <f>IF(AND(P1013="",Q1013=""),"",N(P1013)+N(Q1013))</f>
        <v/>
      </c>
      <c r="S1013" s="59"/>
      <c r="T1013" s="59"/>
      <c r="U1013" s="62">
        <f>IF(OR(R1013="",S1013="",T1013=""),"",IF(S1013+T1013=0,"",R1013/(S1013+T1013)))</f>
        <v/>
      </c>
      <c r="V1013" s="63"/>
      <c r="W1013" s="64"/>
      <c r="X1013" s="63"/>
    </row>
    <row r="1014" spans="2:24">
      <c r="B1014" s="58"/>
      <c r="C1014" s="59"/>
      <c r="D1014" s="59"/>
      <c r="E1014" s="59"/>
      <c r="F1014" s="59"/>
      <c r="G1014" s="60">
        <f>IF(OR(E1014="",F1014="",C1014="",D1014=""),"",IF(C1014+D1014=0,"",(E1014*C1014+F1014*D1014)/(C1014+D1014)))</f>
        <v/>
      </c>
      <c r="H1014" s="59"/>
      <c r="I1014" s="60">
        <f>IF(OR(H1014="",E1014="",C1014="",D1014=""),"",IF(C1014+D1014=0,"",(H1014*D1014+E1014*C1014)/(C1014+D1014)))</f>
        <v/>
      </c>
      <c r="J1014" s="59"/>
      <c r="K1014" s="61">
        <f>IF(OR(J1014="",I1014=""),"",J1014-I1014)</f>
        <v/>
      </c>
      <c r="L1014" s="61">
        <f>IF(OR(J1014="",G1014=""),"",J1014-G1014)</f>
        <v/>
      </c>
      <c r="M1014" s="59"/>
      <c r="N1014" s="59"/>
      <c r="O1014" s="59"/>
      <c r="P1014" s="59"/>
      <c r="Q1014" s="59"/>
      <c r="R1014" s="60">
        <f>IF(AND(P1014="",Q1014=""),"",N(P1014)+N(Q1014))</f>
        <v/>
      </c>
      <c r="S1014" s="59"/>
      <c r="T1014" s="59"/>
      <c r="U1014" s="62">
        <f>IF(OR(R1014="",S1014="",T1014=""),"",IF(S1014+T1014=0,"",R1014/(S1014+T1014)))</f>
        <v/>
      </c>
      <c r="V1014" s="63"/>
      <c r="W1014" s="64"/>
      <c r="X1014" s="63"/>
    </row>
    <row r="1015" spans="2:24">
      <c r="B1015" s="58"/>
      <c r="C1015" s="59"/>
      <c r="D1015" s="59"/>
      <c r="E1015" s="59"/>
      <c r="F1015" s="59"/>
      <c r="G1015" s="60">
        <f>IF(OR(E1015="",F1015="",C1015="",D1015=""),"",IF(C1015+D1015=0,"",(E1015*C1015+F1015*D1015)/(C1015+D1015)))</f>
        <v/>
      </c>
      <c r="H1015" s="59"/>
      <c r="I1015" s="60">
        <f>IF(OR(H1015="",E1015="",C1015="",D1015=""),"",IF(C1015+D1015=0,"",(H1015*D1015+E1015*C1015)/(C1015+D1015)))</f>
        <v/>
      </c>
      <c r="J1015" s="59"/>
      <c r="K1015" s="61">
        <f>IF(OR(J1015="",I1015=""),"",J1015-I1015)</f>
        <v/>
      </c>
      <c r="L1015" s="61">
        <f>IF(OR(J1015="",G1015=""),"",J1015-G1015)</f>
        <v/>
      </c>
      <c r="M1015" s="59"/>
      <c r="N1015" s="59"/>
      <c r="O1015" s="59"/>
      <c r="P1015" s="59"/>
      <c r="Q1015" s="59"/>
      <c r="R1015" s="60">
        <f>IF(AND(P1015="",Q1015=""),"",N(P1015)+N(Q1015))</f>
        <v/>
      </c>
      <c r="S1015" s="59"/>
      <c r="T1015" s="59"/>
      <c r="U1015" s="62">
        <f>IF(OR(R1015="",S1015="",T1015=""),"",IF(S1015+T1015=0,"",R1015/(S1015+T1015)))</f>
        <v/>
      </c>
      <c r="V1015" s="63"/>
      <c r="W1015" s="64"/>
      <c r="X1015" s="63"/>
    </row>
    <row r="1016" spans="2:24">
      <c r="B1016" s="58"/>
      <c r="C1016" s="59"/>
      <c r="D1016" s="59"/>
      <c r="E1016" s="59"/>
      <c r="F1016" s="59"/>
      <c r="G1016" s="60">
        <f>IF(OR(E1016="",F1016="",C1016="",D1016=""),"",IF(C1016+D1016=0,"",(E1016*C1016+F1016*D1016)/(C1016+D1016)))</f>
        <v/>
      </c>
      <c r="H1016" s="59"/>
      <c r="I1016" s="60">
        <f>IF(OR(H1016="",E1016="",C1016="",D1016=""),"",IF(C1016+D1016=0,"",(H1016*D1016+E1016*C1016)/(C1016+D1016)))</f>
        <v/>
      </c>
      <c r="J1016" s="59"/>
      <c r="K1016" s="61">
        <f>IF(OR(J1016="",I1016=""),"",J1016-I1016)</f>
        <v/>
      </c>
      <c r="L1016" s="61">
        <f>IF(OR(J1016="",G1016=""),"",J1016-G1016)</f>
        <v/>
      </c>
      <c r="M1016" s="59"/>
      <c r="N1016" s="59"/>
      <c r="O1016" s="59"/>
      <c r="P1016" s="59"/>
      <c r="Q1016" s="59"/>
      <c r="R1016" s="60">
        <f>IF(AND(P1016="",Q1016=""),"",N(P1016)+N(Q1016))</f>
        <v/>
      </c>
      <c r="S1016" s="59"/>
      <c r="T1016" s="59"/>
      <c r="U1016" s="62">
        <f>IF(OR(R1016="",S1016="",T1016=""),"",IF(S1016+T1016=0,"",R1016/(S1016+T1016)))</f>
        <v/>
      </c>
      <c r="V1016" s="63"/>
      <c r="W1016" s="64"/>
      <c r="X1016" s="63"/>
    </row>
    <row r="1017" spans="2:24">
      <c r="B1017" s="58"/>
      <c r="C1017" s="59"/>
      <c r="D1017" s="59"/>
      <c r="E1017" s="59"/>
      <c r="F1017" s="59"/>
      <c r="G1017" s="60">
        <f>IF(OR(E1017="",F1017="",C1017="",D1017=""),"",IF(C1017+D1017=0,"",(E1017*C1017+F1017*D1017)/(C1017+D1017)))</f>
        <v/>
      </c>
      <c r="H1017" s="59"/>
      <c r="I1017" s="60">
        <f>IF(OR(H1017="",E1017="",C1017="",D1017=""),"",IF(C1017+D1017=0,"",(H1017*D1017+E1017*C1017)/(C1017+D1017)))</f>
        <v/>
      </c>
      <c r="J1017" s="59"/>
      <c r="K1017" s="61">
        <f>IF(OR(J1017="",I1017=""),"",J1017-I1017)</f>
        <v/>
      </c>
      <c r="L1017" s="61">
        <f>IF(OR(J1017="",G1017=""),"",J1017-G1017)</f>
        <v/>
      </c>
      <c r="M1017" s="59"/>
      <c r="N1017" s="59"/>
      <c r="O1017" s="59"/>
      <c r="P1017" s="59"/>
      <c r="Q1017" s="59"/>
      <c r="R1017" s="60">
        <f>IF(AND(P1017="",Q1017=""),"",N(P1017)+N(Q1017))</f>
        <v/>
      </c>
      <c r="S1017" s="59"/>
      <c r="T1017" s="59"/>
      <c r="U1017" s="62">
        <f>IF(OR(R1017="",S1017="",T1017=""),"",IF(S1017+T1017=0,"",R1017/(S1017+T1017)))</f>
        <v/>
      </c>
      <c r="V1017" s="63"/>
      <c r="W1017" s="64"/>
      <c r="X1017" s="63"/>
    </row>
    <row r="1018" spans="2:24">
      <c r="B1018" s="58"/>
      <c r="C1018" s="59"/>
      <c r="D1018" s="59"/>
      <c r="E1018" s="59"/>
      <c r="F1018" s="59"/>
      <c r="G1018" s="60">
        <f>IF(OR(E1018="",F1018="",C1018="",D1018=""),"",IF(C1018+D1018=0,"",(E1018*C1018+F1018*D1018)/(C1018+D1018)))</f>
        <v/>
      </c>
      <c r="H1018" s="59"/>
      <c r="I1018" s="60">
        <f>IF(OR(H1018="",E1018="",C1018="",D1018=""),"",IF(C1018+D1018=0,"",(H1018*D1018+E1018*C1018)/(C1018+D1018)))</f>
        <v/>
      </c>
      <c r="J1018" s="59"/>
      <c r="K1018" s="61">
        <f>IF(OR(J1018="",I1018=""),"",J1018-I1018)</f>
        <v/>
      </c>
      <c r="L1018" s="61">
        <f>IF(OR(J1018="",G1018=""),"",J1018-G1018)</f>
        <v/>
      </c>
      <c r="M1018" s="59"/>
      <c r="N1018" s="59"/>
      <c r="O1018" s="59"/>
      <c r="P1018" s="59"/>
      <c r="Q1018" s="59"/>
      <c r="R1018" s="60">
        <f>IF(AND(P1018="",Q1018=""),"",N(P1018)+N(Q1018))</f>
        <v/>
      </c>
      <c r="S1018" s="59"/>
      <c r="T1018" s="59"/>
      <c r="U1018" s="62">
        <f>IF(OR(R1018="",S1018="",T1018=""),"",IF(S1018+T1018=0,"",R1018/(S1018+T1018)))</f>
        <v/>
      </c>
      <c r="V1018" s="63"/>
      <c r="W1018" s="64"/>
      <c r="X1018" s="63"/>
    </row>
    <row r="1019" spans="2:24">
      <c r="B1019" s="58"/>
      <c r="C1019" s="59"/>
      <c r="D1019" s="59"/>
      <c r="E1019" s="59"/>
      <c r="F1019" s="59"/>
      <c r="G1019" s="60">
        <f>IF(OR(E1019="",F1019="",C1019="",D1019=""),"",IF(C1019+D1019=0,"",(E1019*C1019+F1019*D1019)/(C1019+D1019)))</f>
        <v/>
      </c>
      <c r="H1019" s="59"/>
      <c r="I1019" s="60">
        <f>IF(OR(H1019="",E1019="",C1019="",D1019=""),"",IF(C1019+D1019=0,"",(H1019*D1019+E1019*C1019)/(C1019+D1019)))</f>
        <v/>
      </c>
      <c r="J1019" s="59"/>
      <c r="K1019" s="61">
        <f>IF(OR(J1019="",I1019=""),"",J1019-I1019)</f>
        <v/>
      </c>
      <c r="L1019" s="61">
        <f>IF(OR(J1019="",G1019=""),"",J1019-G1019)</f>
        <v/>
      </c>
      <c r="M1019" s="59"/>
      <c r="N1019" s="59"/>
      <c r="O1019" s="59"/>
      <c r="P1019" s="59"/>
      <c r="Q1019" s="59"/>
      <c r="R1019" s="60">
        <f>IF(AND(P1019="",Q1019=""),"",N(P1019)+N(Q1019))</f>
        <v/>
      </c>
      <c r="S1019" s="59"/>
      <c r="T1019" s="59"/>
      <c r="U1019" s="62">
        <f>IF(OR(R1019="",S1019="",T1019=""),"",IF(S1019+T1019=0,"",R1019/(S1019+T1019)))</f>
        <v/>
      </c>
      <c r="V1019" s="63"/>
      <c r="W1019" s="64"/>
      <c r="X1019" s="63"/>
    </row>
    <row r="1020" spans="2:24">
      <c r="B1020" s="58"/>
      <c r="C1020" s="59"/>
      <c r="D1020" s="59"/>
      <c r="E1020" s="59"/>
      <c r="F1020" s="59"/>
      <c r="G1020" s="60">
        <f>IF(OR(E1020="",F1020="",C1020="",D1020=""),"",IF(C1020+D1020=0,"",(E1020*C1020+F1020*D1020)/(C1020+D1020)))</f>
        <v/>
      </c>
      <c r="H1020" s="59"/>
      <c r="I1020" s="60">
        <f>IF(OR(H1020="",E1020="",C1020="",D1020=""),"",IF(C1020+D1020=0,"",(H1020*D1020+E1020*C1020)/(C1020+D1020)))</f>
        <v/>
      </c>
      <c r="J1020" s="59"/>
      <c r="K1020" s="61">
        <f>IF(OR(J1020="",I1020=""),"",J1020-I1020)</f>
        <v/>
      </c>
      <c r="L1020" s="61">
        <f>IF(OR(J1020="",G1020=""),"",J1020-G1020)</f>
        <v/>
      </c>
      <c r="M1020" s="59"/>
      <c r="N1020" s="59"/>
      <c r="O1020" s="59"/>
      <c r="P1020" s="59"/>
      <c r="Q1020" s="59"/>
      <c r="R1020" s="60">
        <f>IF(AND(P1020="",Q1020=""),"",N(P1020)+N(Q1020))</f>
        <v/>
      </c>
      <c r="S1020" s="59"/>
      <c r="T1020" s="59"/>
      <c r="U1020" s="62">
        <f>IF(OR(R1020="",S1020="",T1020=""),"",IF(S1020+T1020=0,"",R1020/(S1020+T1020)))</f>
        <v/>
      </c>
      <c r="V1020" s="63"/>
      <c r="W1020" s="64"/>
      <c r="X1020" s="63"/>
    </row>
    <row r="1021" spans="2:24">
      <c r="B1021" s="58"/>
      <c r="C1021" s="59"/>
      <c r="D1021" s="59"/>
      <c r="E1021" s="59"/>
      <c r="F1021" s="59"/>
      <c r="G1021" s="60">
        <f>IF(OR(E1021="",F1021="",C1021="",D1021=""),"",IF(C1021+D1021=0,"",(E1021*C1021+F1021*D1021)/(C1021+D1021)))</f>
        <v/>
      </c>
      <c r="H1021" s="59"/>
      <c r="I1021" s="60">
        <f>IF(OR(H1021="",E1021="",C1021="",D1021=""),"",IF(C1021+D1021=0,"",(H1021*D1021+E1021*C1021)/(C1021+D1021)))</f>
        <v/>
      </c>
      <c r="J1021" s="59"/>
      <c r="K1021" s="61">
        <f>IF(OR(J1021="",I1021=""),"",J1021-I1021)</f>
        <v/>
      </c>
      <c r="L1021" s="61">
        <f>IF(OR(J1021="",G1021=""),"",J1021-G1021)</f>
        <v/>
      </c>
      <c r="M1021" s="59"/>
      <c r="N1021" s="59"/>
      <c r="O1021" s="59"/>
      <c r="P1021" s="59"/>
      <c r="Q1021" s="59"/>
      <c r="R1021" s="60">
        <f>IF(AND(P1021="",Q1021=""),"",N(P1021)+N(Q1021))</f>
        <v/>
      </c>
      <c r="S1021" s="59"/>
      <c r="T1021" s="59"/>
      <c r="U1021" s="62">
        <f>IF(OR(R1021="",S1021="",T1021=""),"",IF(S1021+T1021=0,"",R1021/(S1021+T1021)))</f>
        <v/>
      </c>
      <c r="V1021" s="63"/>
      <c r="W1021" s="64"/>
      <c r="X1021" s="63"/>
    </row>
    <row r="1022" spans="2:24">
      <c r="B1022" s="58"/>
      <c r="C1022" s="59"/>
      <c r="D1022" s="59"/>
      <c r="E1022" s="59"/>
      <c r="F1022" s="59"/>
      <c r="G1022" s="60">
        <f>IF(OR(E1022="",F1022="",C1022="",D1022=""),"",IF(C1022+D1022=0,"",(E1022*C1022+F1022*D1022)/(C1022+D1022)))</f>
        <v/>
      </c>
      <c r="H1022" s="59"/>
      <c r="I1022" s="60">
        <f>IF(OR(H1022="",E1022="",C1022="",D1022=""),"",IF(C1022+D1022=0,"",(H1022*D1022+E1022*C1022)/(C1022+D1022)))</f>
        <v/>
      </c>
      <c r="J1022" s="59"/>
      <c r="K1022" s="61">
        <f>IF(OR(J1022="",I1022=""),"",J1022-I1022)</f>
        <v/>
      </c>
      <c r="L1022" s="61">
        <f>IF(OR(J1022="",G1022=""),"",J1022-G1022)</f>
        <v/>
      </c>
      <c r="M1022" s="59"/>
      <c r="N1022" s="59"/>
      <c r="O1022" s="59"/>
      <c r="P1022" s="59"/>
      <c r="Q1022" s="59"/>
      <c r="R1022" s="60">
        <f>IF(AND(P1022="",Q1022=""),"",N(P1022)+N(Q1022))</f>
        <v/>
      </c>
      <c r="S1022" s="59"/>
      <c r="T1022" s="59"/>
      <c r="U1022" s="62">
        <f>IF(OR(R1022="",S1022="",T1022=""),"",IF(S1022+T1022=0,"",R1022/(S1022+T1022)))</f>
        <v/>
      </c>
      <c r="V1022" s="63"/>
      <c r="W1022" s="64"/>
      <c r="X1022" s="63"/>
    </row>
    <row r="1023" spans="2:24">
      <c r="B1023" s="58"/>
      <c r="C1023" s="59"/>
      <c r="D1023" s="59"/>
      <c r="E1023" s="59"/>
      <c r="F1023" s="59"/>
      <c r="G1023" s="60">
        <f>IF(OR(E1023="",F1023="",C1023="",D1023=""),"",IF(C1023+D1023=0,"",(E1023*C1023+F1023*D1023)/(C1023+D1023)))</f>
        <v/>
      </c>
      <c r="H1023" s="59"/>
      <c r="I1023" s="60">
        <f>IF(OR(H1023="",E1023="",C1023="",D1023=""),"",IF(C1023+D1023=0,"",(H1023*D1023+E1023*C1023)/(C1023+D1023)))</f>
        <v/>
      </c>
      <c r="J1023" s="59"/>
      <c r="K1023" s="61">
        <f>IF(OR(J1023="",I1023=""),"",J1023-I1023)</f>
        <v/>
      </c>
      <c r="L1023" s="61">
        <f>IF(OR(J1023="",G1023=""),"",J1023-G1023)</f>
        <v/>
      </c>
      <c r="M1023" s="59"/>
      <c r="N1023" s="59"/>
      <c r="O1023" s="59"/>
      <c r="P1023" s="59"/>
      <c r="Q1023" s="59"/>
      <c r="R1023" s="60">
        <f>IF(AND(P1023="",Q1023=""),"",N(P1023)+N(Q1023))</f>
        <v/>
      </c>
      <c r="S1023" s="59"/>
      <c r="T1023" s="59"/>
      <c r="U1023" s="62">
        <f>IF(OR(R1023="",S1023="",T1023=""),"",IF(S1023+T1023=0,"",R1023/(S1023+T1023)))</f>
        <v/>
      </c>
      <c r="V1023" s="63"/>
      <c r="W1023" s="64"/>
      <c r="X1023" s="63"/>
    </row>
    <row r="1024" spans="2:24">
      <c r="B1024" s="58"/>
      <c r="C1024" s="59"/>
      <c r="D1024" s="59"/>
      <c r="E1024" s="59"/>
      <c r="F1024" s="59"/>
      <c r="G1024" s="60">
        <f>IF(OR(E1024="",F1024="",C1024="",D1024=""),"",IF(C1024+D1024=0,"",(E1024*C1024+F1024*D1024)/(C1024+D1024)))</f>
        <v/>
      </c>
      <c r="H1024" s="59"/>
      <c r="I1024" s="60">
        <f>IF(OR(H1024="",E1024="",C1024="",D1024=""),"",IF(C1024+D1024=0,"",(H1024*D1024+E1024*C1024)/(C1024+D1024)))</f>
        <v/>
      </c>
      <c r="J1024" s="59"/>
      <c r="K1024" s="61">
        <f>IF(OR(J1024="",I1024=""),"",J1024-I1024)</f>
        <v/>
      </c>
      <c r="L1024" s="61">
        <f>IF(OR(J1024="",G1024=""),"",J1024-G1024)</f>
        <v/>
      </c>
      <c r="M1024" s="59"/>
      <c r="N1024" s="59"/>
      <c r="O1024" s="59"/>
      <c r="P1024" s="59"/>
      <c r="Q1024" s="59"/>
      <c r="R1024" s="60">
        <f>IF(AND(P1024="",Q1024=""),"",N(P1024)+N(Q1024))</f>
        <v/>
      </c>
      <c r="S1024" s="59"/>
      <c r="T1024" s="59"/>
      <c r="U1024" s="62">
        <f>IF(OR(R1024="",S1024="",T1024=""),"",IF(S1024+T1024=0,"",R1024/(S1024+T1024)))</f>
        <v/>
      </c>
      <c r="V1024" s="63"/>
      <c r="W1024" s="64"/>
      <c r="X1024" s="63"/>
    </row>
    <row r="1025" spans="2:24">
      <c r="B1025" s="58"/>
      <c r="C1025" s="59"/>
      <c r="D1025" s="59"/>
      <c r="E1025" s="59"/>
      <c r="F1025" s="59"/>
      <c r="G1025" s="60">
        <f>IF(OR(E1025="",F1025="",C1025="",D1025=""),"",IF(C1025+D1025=0,"",(E1025*C1025+F1025*D1025)/(C1025+D1025)))</f>
        <v/>
      </c>
      <c r="H1025" s="59"/>
      <c r="I1025" s="60">
        <f>IF(OR(H1025="",E1025="",C1025="",D1025=""),"",IF(C1025+D1025=0,"",(H1025*D1025+E1025*C1025)/(C1025+D1025)))</f>
        <v/>
      </c>
      <c r="J1025" s="59"/>
      <c r="K1025" s="61">
        <f>IF(OR(J1025="",I1025=""),"",J1025-I1025)</f>
        <v/>
      </c>
      <c r="L1025" s="61">
        <f>IF(OR(J1025="",G1025=""),"",J1025-G1025)</f>
        <v/>
      </c>
      <c r="M1025" s="59"/>
      <c r="N1025" s="59"/>
      <c r="O1025" s="59"/>
      <c r="P1025" s="59"/>
      <c r="Q1025" s="59"/>
      <c r="R1025" s="60">
        <f>IF(AND(P1025="",Q1025=""),"",N(P1025)+N(Q1025))</f>
        <v/>
      </c>
      <c r="S1025" s="59"/>
      <c r="T1025" s="59"/>
      <c r="U1025" s="62">
        <f>IF(OR(R1025="",S1025="",T1025=""),"",IF(S1025+T1025=0,"",R1025/(S1025+T1025)))</f>
        <v/>
      </c>
      <c r="V1025" s="63"/>
      <c r="W1025" s="64"/>
      <c r="X1025" s="63"/>
    </row>
    <row r="1026" spans="2:24">
      <c r="B1026" s="58"/>
      <c r="C1026" s="59"/>
      <c r="D1026" s="59"/>
      <c r="E1026" s="59"/>
      <c r="F1026" s="59"/>
      <c r="G1026" s="60">
        <f>IF(OR(E1026="",F1026="",C1026="",D1026=""),"",IF(C1026+D1026=0,"",(E1026*C1026+F1026*D1026)/(C1026+D1026)))</f>
        <v/>
      </c>
      <c r="H1026" s="59"/>
      <c r="I1026" s="60">
        <f>IF(OR(H1026="",E1026="",C1026="",D1026=""),"",IF(C1026+D1026=0,"",(H1026*D1026+E1026*C1026)/(C1026+D1026)))</f>
        <v/>
      </c>
      <c r="J1026" s="59"/>
      <c r="K1026" s="61">
        <f>IF(OR(J1026="",I1026=""),"",J1026-I1026)</f>
        <v/>
      </c>
      <c r="L1026" s="61">
        <f>IF(OR(J1026="",G1026=""),"",J1026-G1026)</f>
        <v/>
      </c>
      <c r="M1026" s="59"/>
      <c r="N1026" s="59"/>
      <c r="O1026" s="59"/>
      <c r="P1026" s="59"/>
      <c r="Q1026" s="59"/>
      <c r="R1026" s="60">
        <f>IF(AND(P1026="",Q1026=""),"",N(P1026)+N(Q1026))</f>
        <v/>
      </c>
      <c r="S1026" s="59"/>
      <c r="T1026" s="59"/>
      <c r="U1026" s="62">
        <f>IF(OR(R1026="",S1026="",T1026=""),"",IF(S1026+T1026=0,"",R1026/(S1026+T1026)))</f>
        <v/>
      </c>
      <c r="V1026" s="63"/>
      <c r="W1026" s="64"/>
      <c r="X1026" s="63"/>
    </row>
    <row r="1027" spans="2:24">
      <c r="B1027" s="58"/>
      <c r="C1027" s="59"/>
      <c r="D1027" s="59"/>
      <c r="E1027" s="59"/>
      <c r="F1027" s="59"/>
      <c r="G1027" s="60">
        <f>IF(OR(E1027="",F1027="",C1027="",D1027=""),"",IF(C1027+D1027=0,"",(E1027*C1027+F1027*D1027)/(C1027+D1027)))</f>
        <v/>
      </c>
      <c r="H1027" s="59"/>
      <c r="I1027" s="60">
        <f>IF(OR(H1027="",E1027="",C1027="",D1027=""),"",IF(C1027+D1027=0,"",(H1027*D1027+E1027*C1027)/(C1027+D1027)))</f>
        <v/>
      </c>
      <c r="J1027" s="59"/>
      <c r="K1027" s="61">
        <f>IF(OR(J1027="",I1027=""),"",J1027-I1027)</f>
        <v/>
      </c>
      <c r="L1027" s="61">
        <f>IF(OR(J1027="",G1027=""),"",J1027-G1027)</f>
        <v/>
      </c>
      <c r="M1027" s="59"/>
      <c r="N1027" s="59"/>
      <c r="O1027" s="59"/>
      <c r="P1027" s="59"/>
      <c r="Q1027" s="59"/>
      <c r="R1027" s="60">
        <f>IF(AND(P1027="",Q1027=""),"",N(P1027)+N(Q1027))</f>
        <v/>
      </c>
      <c r="S1027" s="59"/>
      <c r="T1027" s="59"/>
      <c r="U1027" s="62">
        <f>IF(OR(R1027="",S1027="",T1027=""),"",IF(S1027+T1027=0,"",R1027/(S1027+T1027)))</f>
        <v/>
      </c>
      <c r="V1027" s="63"/>
      <c r="W1027" s="64"/>
      <c r="X1027" s="63"/>
    </row>
    <row r="1028" spans="2:24">
      <c r="B1028" s="58"/>
      <c r="C1028" s="59"/>
      <c r="D1028" s="59"/>
      <c r="E1028" s="59"/>
      <c r="F1028" s="59"/>
      <c r="G1028" s="60">
        <f>IF(OR(E1028="",F1028="",C1028="",D1028=""),"",IF(C1028+D1028=0,"",(E1028*C1028+F1028*D1028)/(C1028+D1028)))</f>
        <v/>
      </c>
      <c r="H1028" s="59"/>
      <c r="I1028" s="60">
        <f>IF(OR(H1028="",E1028="",C1028="",D1028=""),"",IF(C1028+D1028=0,"",(H1028*D1028+E1028*C1028)/(C1028+D1028)))</f>
        <v/>
      </c>
      <c r="J1028" s="59"/>
      <c r="K1028" s="61">
        <f>IF(OR(J1028="",I1028=""),"",J1028-I1028)</f>
        <v/>
      </c>
      <c r="L1028" s="61">
        <f>IF(OR(J1028="",G1028=""),"",J1028-G1028)</f>
        <v/>
      </c>
      <c r="M1028" s="59"/>
      <c r="N1028" s="59"/>
      <c r="O1028" s="59"/>
      <c r="P1028" s="59"/>
      <c r="Q1028" s="59"/>
      <c r="R1028" s="60">
        <f>IF(AND(P1028="",Q1028=""),"",N(P1028)+N(Q1028))</f>
        <v/>
      </c>
      <c r="S1028" s="59"/>
      <c r="T1028" s="59"/>
      <c r="U1028" s="62">
        <f>IF(OR(R1028="",S1028="",T1028=""),"",IF(S1028+T1028=0,"",R1028/(S1028+T1028)))</f>
        <v/>
      </c>
      <c r="V1028" s="63"/>
      <c r="W1028" s="64"/>
      <c r="X1028" s="63"/>
    </row>
    <row r="1029" spans="2:24">
      <c r="B1029" s="58"/>
      <c r="C1029" s="59"/>
      <c r="D1029" s="59"/>
      <c r="E1029" s="59"/>
      <c r="F1029" s="59"/>
      <c r="G1029" s="60">
        <f>IF(OR(E1029="",F1029="",C1029="",D1029=""),"",IF(C1029+D1029=0,"",(E1029*C1029+F1029*D1029)/(C1029+D1029)))</f>
        <v/>
      </c>
      <c r="H1029" s="59"/>
      <c r="I1029" s="60">
        <f>IF(OR(H1029="",E1029="",C1029="",D1029=""),"",IF(C1029+D1029=0,"",(H1029*D1029+E1029*C1029)/(C1029+D1029)))</f>
        <v/>
      </c>
      <c r="J1029" s="59"/>
      <c r="K1029" s="61">
        <f>IF(OR(J1029="",I1029=""),"",J1029-I1029)</f>
        <v/>
      </c>
      <c r="L1029" s="61">
        <f>IF(OR(J1029="",G1029=""),"",J1029-G1029)</f>
        <v/>
      </c>
      <c r="M1029" s="59"/>
      <c r="N1029" s="59"/>
      <c r="O1029" s="59"/>
      <c r="P1029" s="59"/>
      <c r="Q1029" s="59"/>
      <c r="R1029" s="60">
        <f>IF(AND(P1029="",Q1029=""),"",N(P1029)+N(Q1029))</f>
        <v/>
      </c>
      <c r="S1029" s="59"/>
      <c r="T1029" s="59"/>
      <c r="U1029" s="62">
        <f>IF(OR(R1029="",S1029="",T1029=""),"",IF(S1029+T1029=0,"",R1029/(S1029+T1029)))</f>
        <v/>
      </c>
      <c r="V1029" s="63"/>
      <c r="W1029" s="64"/>
      <c r="X1029" s="63"/>
    </row>
    <row r="1030" spans="2:24">
      <c r="B1030" s="58"/>
      <c r="C1030" s="59"/>
      <c r="D1030" s="59"/>
      <c r="E1030" s="59"/>
      <c r="F1030" s="59"/>
      <c r="G1030" s="60">
        <f>IF(OR(E1030="",F1030="",C1030="",D1030=""),"",IF(C1030+D1030=0,"",(E1030*C1030+F1030*D1030)/(C1030+D1030)))</f>
        <v/>
      </c>
      <c r="H1030" s="59"/>
      <c r="I1030" s="60">
        <f>IF(OR(H1030="",E1030="",C1030="",D1030=""),"",IF(C1030+D1030=0,"",(H1030*D1030+E1030*C1030)/(C1030+D1030)))</f>
        <v/>
      </c>
      <c r="J1030" s="59"/>
      <c r="K1030" s="61">
        <f>IF(OR(J1030="",I1030=""),"",J1030-I1030)</f>
        <v/>
      </c>
      <c r="L1030" s="61">
        <f>IF(OR(J1030="",G1030=""),"",J1030-G1030)</f>
        <v/>
      </c>
      <c r="M1030" s="59"/>
      <c r="N1030" s="59"/>
      <c r="O1030" s="59"/>
      <c r="P1030" s="59"/>
      <c r="Q1030" s="59"/>
      <c r="R1030" s="60">
        <f>IF(AND(P1030="",Q1030=""),"",N(P1030)+N(Q1030))</f>
        <v/>
      </c>
      <c r="S1030" s="59"/>
      <c r="T1030" s="59"/>
      <c r="U1030" s="62">
        <f>IF(OR(R1030="",S1030="",T1030=""),"",IF(S1030+T1030=0,"",R1030/(S1030+T1030)))</f>
        <v/>
      </c>
      <c r="V1030" s="63"/>
      <c r="W1030" s="64"/>
      <c r="X1030" s="63"/>
    </row>
    <row r="1031" spans="2:24">
      <c r="B1031" s="58"/>
      <c r="C1031" s="59"/>
      <c r="D1031" s="59"/>
      <c r="E1031" s="59"/>
      <c r="F1031" s="59"/>
      <c r="G1031" s="60">
        <f>IF(OR(E1031="",F1031="",C1031="",D1031=""),"",IF(C1031+D1031=0,"",(E1031*C1031+F1031*D1031)/(C1031+D1031)))</f>
        <v/>
      </c>
      <c r="H1031" s="59"/>
      <c r="I1031" s="60">
        <f>IF(OR(H1031="",E1031="",C1031="",D1031=""),"",IF(C1031+D1031=0,"",(H1031*D1031+E1031*C1031)/(C1031+D1031)))</f>
        <v/>
      </c>
      <c r="J1031" s="59"/>
      <c r="K1031" s="61">
        <f>IF(OR(J1031="",I1031=""),"",J1031-I1031)</f>
        <v/>
      </c>
      <c r="L1031" s="61">
        <f>IF(OR(J1031="",G1031=""),"",J1031-G1031)</f>
        <v/>
      </c>
      <c r="M1031" s="59"/>
      <c r="N1031" s="59"/>
      <c r="O1031" s="59"/>
      <c r="P1031" s="59"/>
      <c r="Q1031" s="59"/>
      <c r="R1031" s="60">
        <f>IF(AND(P1031="",Q1031=""),"",N(P1031)+N(Q1031))</f>
        <v/>
      </c>
      <c r="S1031" s="59"/>
      <c r="T1031" s="59"/>
      <c r="U1031" s="62">
        <f>IF(OR(R1031="",S1031="",T1031=""),"",IF(S1031+T1031=0,"",R1031/(S1031+T1031)))</f>
        <v/>
      </c>
      <c r="V1031" s="63"/>
      <c r="W1031" s="64"/>
      <c r="X1031" s="63"/>
    </row>
    <row r="1032" spans="2:24">
      <c r="B1032" s="58"/>
      <c r="C1032" s="59"/>
      <c r="D1032" s="59"/>
      <c r="E1032" s="59"/>
      <c r="F1032" s="59"/>
      <c r="G1032" s="60">
        <f>IF(OR(E1032="",F1032="",C1032="",D1032=""),"",IF(C1032+D1032=0,"",(E1032*C1032+F1032*D1032)/(C1032+D1032)))</f>
        <v/>
      </c>
      <c r="H1032" s="59"/>
      <c r="I1032" s="60">
        <f>IF(OR(H1032="",E1032="",C1032="",D1032=""),"",IF(C1032+D1032=0,"",(H1032*D1032+E1032*C1032)/(C1032+D1032)))</f>
        <v/>
      </c>
      <c r="J1032" s="59"/>
      <c r="K1032" s="61">
        <f>IF(OR(J1032="",I1032=""),"",J1032-I1032)</f>
        <v/>
      </c>
      <c r="L1032" s="61">
        <f>IF(OR(J1032="",G1032=""),"",J1032-G1032)</f>
        <v/>
      </c>
      <c r="M1032" s="59"/>
      <c r="N1032" s="59"/>
      <c r="O1032" s="59"/>
      <c r="P1032" s="59"/>
      <c r="Q1032" s="59"/>
      <c r="R1032" s="60">
        <f>IF(AND(P1032="",Q1032=""),"",N(P1032)+N(Q1032))</f>
        <v/>
      </c>
      <c r="S1032" s="59"/>
      <c r="T1032" s="59"/>
      <c r="U1032" s="62">
        <f>IF(OR(R1032="",S1032="",T1032=""),"",IF(S1032+T1032=0,"",R1032/(S1032+T1032)))</f>
        <v/>
      </c>
      <c r="V1032" s="63"/>
      <c r="W1032" s="64"/>
      <c r="X1032" s="63"/>
    </row>
    <row r="1033" spans="2:24">
      <c r="B1033" s="58"/>
      <c r="C1033" s="59"/>
      <c r="D1033" s="59"/>
      <c r="E1033" s="59"/>
      <c r="F1033" s="59"/>
      <c r="G1033" s="60">
        <f>IF(OR(E1033="",F1033="",C1033="",D1033=""),"",IF(C1033+D1033=0,"",(E1033*C1033+F1033*D1033)/(C1033+D1033)))</f>
        <v/>
      </c>
      <c r="H1033" s="59"/>
      <c r="I1033" s="60">
        <f>IF(OR(H1033="",E1033="",C1033="",D1033=""),"",IF(C1033+D1033=0,"",(H1033*D1033+E1033*C1033)/(C1033+D1033)))</f>
        <v/>
      </c>
      <c r="J1033" s="59"/>
      <c r="K1033" s="61">
        <f>IF(OR(J1033="",I1033=""),"",J1033-I1033)</f>
        <v/>
      </c>
      <c r="L1033" s="61">
        <f>IF(OR(J1033="",G1033=""),"",J1033-G1033)</f>
        <v/>
      </c>
      <c r="M1033" s="59"/>
      <c r="N1033" s="59"/>
      <c r="O1033" s="59"/>
      <c r="P1033" s="59"/>
      <c r="Q1033" s="59"/>
      <c r="R1033" s="60">
        <f>IF(AND(P1033="",Q1033=""),"",N(P1033)+N(Q1033))</f>
        <v/>
      </c>
      <c r="S1033" s="59"/>
      <c r="T1033" s="59"/>
      <c r="U1033" s="62">
        <f>IF(OR(R1033="",S1033="",T1033=""),"",IF(S1033+T1033=0,"",R1033/(S1033+T1033)))</f>
        <v/>
      </c>
      <c r="V1033" s="63"/>
      <c r="W1033" s="64"/>
      <c r="X1033" s="63"/>
    </row>
    <row r="1034" spans="2:24">
      <c r="B1034" s="58"/>
      <c r="C1034" s="59"/>
      <c r="D1034" s="59"/>
      <c r="E1034" s="59"/>
      <c r="F1034" s="59"/>
      <c r="G1034" s="60">
        <f>IF(OR(E1034="",F1034="",C1034="",D1034=""),"",IF(C1034+D1034=0,"",(E1034*C1034+F1034*D1034)/(C1034+D1034)))</f>
        <v/>
      </c>
      <c r="H1034" s="59"/>
      <c r="I1034" s="60">
        <f>IF(OR(H1034="",E1034="",C1034="",D1034=""),"",IF(C1034+D1034=0,"",(H1034*D1034+E1034*C1034)/(C1034+D1034)))</f>
        <v/>
      </c>
      <c r="J1034" s="59"/>
      <c r="K1034" s="61">
        <f>IF(OR(J1034="",I1034=""),"",J1034-I1034)</f>
        <v/>
      </c>
      <c r="L1034" s="61">
        <f>IF(OR(J1034="",G1034=""),"",J1034-G1034)</f>
        <v/>
      </c>
      <c r="M1034" s="59"/>
      <c r="N1034" s="59"/>
      <c r="O1034" s="59"/>
      <c r="P1034" s="59"/>
      <c r="Q1034" s="59"/>
      <c r="R1034" s="60">
        <f>IF(AND(P1034="",Q1034=""),"",N(P1034)+N(Q1034))</f>
        <v/>
      </c>
      <c r="S1034" s="59"/>
      <c r="T1034" s="59"/>
      <c r="U1034" s="62">
        <f>IF(OR(R1034="",S1034="",T1034=""),"",IF(S1034+T1034=0,"",R1034/(S1034+T1034)))</f>
        <v/>
      </c>
      <c r="V1034" s="63"/>
      <c r="W1034" s="64"/>
      <c r="X1034" s="63"/>
    </row>
    <row r="1035" spans="2:24">
      <c r="B1035" s="58"/>
      <c r="C1035" s="59"/>
      <c r="D1035" s="59"/>
      <c r="E1035" s="59"/>
      <c r="F1035" s="59"/>
      <c r="G1035" s="60">
        <f>IF(OR(E1035="",F1035="",C1035="",D1035=""),"",IF(C1035+D1035=0,"",(E1035*C1035+F1035*D1035)/(C1035+D1035)))</f>
        <v/>
      </c>
      <c r="H1035" s="59"/>
      <c r="I1035" s="60">
        <f>IF(OR(H1035="",E1035="",C1035="",D1035=""),"",IF(C1035+D1035=0,"",(H1035*D1035+E1035*C1035)/(C1035+D1035)))</f>
        <v/>
      </c>
      <c r="J1035" s="59"/>
      <c r="K1035" s="61">
        <f>IF(OR(J1035="",I1035=""),"",J1035-I1035)</f>
        <v/>
      </c>
      <c r="L1035" s="61">
        <f>IF(OR(J1035="",G1035=""),"",J1035-G1035)</f>
        <v/>
      </c>
      <c r="M1035" s="59"/>
      <c r="N1035" s="59"/>
      <c r="O1035" s="59"/>
      <c r="P1035" s="59"/>
      <c r="Q1035" s="59"/>
      <c r="R1035" s="60">
        <f>IF(AND(P1035="",Q1035=""),"",N(P1035)+N(Q1035))</f>
        <v/>
      </c>
      <c r="S1035" s="59"/>
      <c r="T1035" s="59"/>
      <c r="U1035" s="62">
        <f>IF(OR(R1035="",S1035="",T1035=""),"",IF(S1035+T1035=0,"",R1035/(S1035+T1035)))</f>
        <v/>
      </c>
      <c r="V1035" s="63"/>
      <c r="W1035" s="64"/>
      <c r="X1035" s="63"/>
    </row>
    <row r="1036" spans="2:24">
      <c r="B1036" s="58"/>
      <c r="C1036" s="59"/>
      <c r="D1036" s="59"/>
      <c r="E1036" s="59"/>
      <c r="F1036" s="59"/>
      <c r="G1036" s="60">
        <f>IF(OR(E1036="",F1036="",C1036="",D1036=""),"",IF(C1036+D1036=0,"",(E1036*C1036+F1036*D1036)/(C1036+D1036)))</f>
        <v/>
      </c>
      <c r="H1036" s="59"/>
      <c r="I1036" s="60">
        <f>IF(OR(H1036="",E1036="",C1036="",D1036=""),"",IF(C1036+D1036=0,"",(H1036*D1036+E1036*C1036)/(C1036+D1036)))</f>
        <v/>
      </c>
      <c r="J1036" s="59"/>
      <c r="K1036" s="61">
        <f>IF(OR(J1036="",I1036=""),"",J1036-I1036)</f>
        <v/>
      </c>
      <c r="L1036" s="61">
        <f>IF(OR(J1036="",G1036=""),"",J1036-G1036)</f>
        <v/>
      </c>
      <c r="M1036" s="59"/>
      <c r="N1036" s="59"/>
      <c r="O1036" s="59"/>
      <c r="P1036" s="59"/>
      <c r="Q1036" s="59"/>
      <c r="R1036" s="60">
        <f>IF(AND(P1036="",Q1036=""),"",N(P1036)+N(Q1036))</f>
        <v/>
      </c>
      <c r="S1036" s="59"/>
      <c r="T1036" s="59"/>
      <c r="U1036" s="62">
        <f>IF(OR(R1036="",S1036="",T1036=""),"",IF(S1036+T1036=0,"",R1036/(S1036+T1036)))</f>
        <v/>
      </c>
      <c r="V1036" s="63"/>
      <c r="W1036" s="64"/>
      <c r="X1036" s="63"/>
    </row>
    <row r="1037" spans="2:24">
      <c r="B1037" s="58"/>
      <c r="C1037" s="59"/>
      <c r="D1037" s="59"/>
      <c r="E1037" s="59"/>
      <c r="F1037" s="59"/>
      <c r="G1037" s="60">
        <f>IF(OR(E1037="",F1037="",C1037="",D1037=""),"",IF(C1037+D1037=0,"",(E1037*C1037+F1037*D1037)/(C1037+D1037)))</f>
        <v/>
      </c>
      <c r="H1037" s="59"/>
      <c r="I1037" s="60">
        <f>IF(OR(H1037="",E1037="",C1037="",D1037=""),"",IF(C1037+D1037=0,"",(H1037*D1037+E1037*C1037)/(C1037+D1037)))</f>
        <v/>
      </c>
      <c r="J1037" s="59"/>
      <c r="K1037" s="61">
        <f>IF(OR(J1037="",I1037=""),"",J1037-I1037)</f>
        <v/>
      </c>
      <c r="L1037" s="61">
        <f>IF(OR(J1037="",G1037=""),"",J1037-G1037)</f>
        <v/>
      </c>
      <c r="M1037" s="59"/>
      <c r="N1037" s="59"/>
      <c r="O1037" s="59"/>
      <c r="P1037" s="59"/>
      <c r="Q1037" s="59"/>
      <c r="R1037" s="60">
        <f>IF(AND(P1037="",Q1037=""),"",N(P1037)+N(Q1037))</f>
        <v/>
      </c>
      <c r="S1037" s="59"/>
      <c r="T1037" s="59"/>
      <c r="U1037" s="62">
        <f>IF(OR(R1037="",S1037="",T1037=""),"",IF(S1037+T1037=0,"",R1037/(S1037+T1037)))</f>
        <v/>
      </c>
      <c r="V1037" s="63"/>
      <c r="W1037" s="64"/>
      <c r="X1037" s="63"/>
    </row>
    <row r="1038" spans="2:24">
      <c r="B1038" s="58"/>
      <c r="C1038" s="59"/>
      <c r="D1038" s="59"/>
      <c r="E1038" s="59"/>
      <c r="F1038" s="59"/>
      <c r="G1038" s="60">
        <f>IF(OR(E1038="",F1038="",C1038="",D1038=""),"",IF(C1038+D1038=0,"",(E1038*C1038+F1038*D1038)/(C1038+D1038)))</f>
        <v/>
      </c>
      <c r="H1038" s="59"/>
      <c r="I1038" s="60">
        <f>IF(OR(H1038="",E1038="",C1038="",D1038=""),"",IF(C1038+D1038=0,"",(H1038*D1038+E1038*C1038)/(C1038+D1038)))</f>
        <v/>
      </c>
      <c r="J1038" s="59"/>
      <c r="K1038" s="61">
        <f>IF(OR(J1038="",I1038=""),"",J1038-I1038)</f>
        <v/>
      </c>
      <c r="L1038" s="61">
        <f>IF(OR(J1038="",G1038=""),"",J1038-G1038)</f>
        <v/>
      </c>
      <c r="M1038" s="59"/>
      <c r="N1038" s="59"/>
      <c r="O1038" s="59"/>
      <c r="P1038" s="59"/>
      <c r="Q1038" s="59"/>
      <c r="R1038" s="60">
        <f>IF(AND(P1038="",Q1038=""),"",N(P1038)+N(Q1038))</f>
        <v/>
      </c>
      <c r="S1038" s="59"/>
      <c r="T1038" s="59"/>
      <c r="U1038" s="62">
        <f>IF(OR(R1038="",S1038="",T1038=""),"",IF(S1038+T1038=0,"",R1038/(S1038+T1038)))</f>
        <v/>
      </c>
      <c r="V1038" s="63"/>
      <c r="W1038" s="64"/>
      <c r="X1038" s="63"/>
    </row>
    <row r="1039" spans="2:24">
      <c r="B1039" s="58"/>
      <c r="C1039" s="59"/>
      <c r="D1039" s="59"/>
      <c r="E1039" s="59"/>
      <c r="F1039" s="59"/>
      <c r="G1039" s="60">
        <f>IF(OR(E1039="",F1039="",C1039="",D1039=""),"",IF(C1039+D1039=0,"",(E1039*C1039+F1039*D1039)/(C1039+D1039)))</f>
        <v/>
      </c>
      <c r="H1039" s="59"/>
      <c r="I1039" s="60">
        <f>IF(OR(H1039="",E1039="",C1039="",D1039=""),"",IF(C1039+D1039=0,"",(H1039*D1039+E1039*C1039)/(C1039+D1039)))</f>
        <v/>
      </c>
      <c r="J1039" s="59"/>
      <c r="K1039" s="61">
        <f>IF(OR(J1039="",I1039=""),"",J1039-I1039)</f>
        <v/>
      </c>
      <c r="L1039" s="61">
        <f>IF(OR(J1039="",G1039=""),"",J1039-G1039)</f>
        <v/>
      </c>
      <c r="M1039" s="59"/>
      <c r="N1039" s="59"/>
      <c r="O1039" s="59"/>
      <c r="P1039" s="59"/>
      <c r="Q1039" s="59"/>
      <c r="R1039" s="60">
        <f>IF(AND(P1039="",Q1039=""),"",N(P1039)+N(Q1039))</f>
        <v/>
      </c>
      <c r="S1039" s="59"/>
      <c r="T1039" s="59"/>
      <c r="U1039" s="62">
        <f>IF(OR(R1039="",S1039="",T1039=""),"",IF(S1039+T1039=0,"",R1039/(S1039+T1039)))</f>
        <v/>
      </c>
      <c r="V1039" s="63"/>
      <c r="W1039" s="64"/>
      <c r="X1039" s="63"/>
    </row>
    <row r="1040" spans="2:24">
      <c r="B1040" s="58"/>
      <c r="C1040" s="59"/>
      <c r="D1040" s="59"/>
      <c r="E1040" s="59"/>
      <c r="F1040" s="59"/>
      <c r="G1040" s="60">
        <f>IF(OR(E1040="",F1040="",C1040="",D1040=""),"",IF(C1040+D1040=0,"",(E1040*C1040+F1040*D1040)/(C1040+D1040)))</f>
        <v/>
      </c>
      <c r="H1040" s="59"/>
      <c r="I1040" s="60">
        <f>IF(OR(H1040="",E1040="",C1040="",D1040=""),"",IF(C1040+D1040=0,"",(H1040*D1040+E1040*C1040)/(C1040+D1040)))</f>
        <v/>
      </c>
      <c r="J1040" s="59"/>
      <c r="K1040" s="61">
        <f>IF(OR(J1040="",I1040=""),"",J1040-I1040)</f>
        <v/>
      </c>
      <c r="L1040" s="61">
        <f>IF(OR(J1040="",G1040=""),"",J1040-G1040)</f>
        <v/>
      </c>
      <c r="M1040" s="59"/>
      <c r="N1040" s="59"/>
      <c r="O1040" s="59"/>
      <c r="P1040" s="59"/>
      <c r="Q1040" s="59"/>
      <c r="R1040" s="60">
        <f>IF(AND(P1040="",Q1040=""),"",N(P1040)+N(Q1040))</f>
        <v/>
      </c>
      <c r="S1040" s="59"/>
      <c r="T1040" s="59"/>
      <c r="U1040" s="62">
        <f>IF(OR(R1040="",S1040="",T1040=""),"",IF(S1040+T1040=0,"",R1040/(S1040+T1040)))</f>
        <v/>
      </c>
      <c r="V1040" s="63"/>
      <c r="W1040" s="64"/>
      <c r="X1040" s="63"/>
    </row>
    <row r="1041" spans="2:24">
      <c r="B1041" s="58"/>
      <c r="C1041" s="59"/>
      <c r="D1041" s="59"/>
      <c r="E1041" s="59"/>
      <c r="F1041" s="59"/>
      <c r="G1041" s="60">
        <f>IF(OR(E1041="",F1041="",C1041="",D1041=""),"",IF(C1041+D1041=0,"",(E1041*C1041+F1041*D1041)/(C1041+D1041)))</f>
        <v/>
      </c>
      <c r="H1041" s="59"/>
      <c r="I1041" s="60">
        <f>IF(OR(H1041="",E1041="",C1041="",D1041=""),"",IF(C1041+D1041=0,"",(H1041*D1041+E1041*C1041)/(C1041+D1041)))</f>
        <v/>
      </c>
      <c r="J1041" s="59"/>
      <c r="K1041" s="61">
        <f>IF(OR(J1041="",I1041=""),"",J1041-I1041)</f>
        <v/>
      </c>
      <c r="L1041" s="61">
        <f>IF(OR(J1041="",G1041=""),"",J1041-G1041)</f>
        <v/>
      </c>
      <c r="M1041" s="59"/>
      <c r="N1041" s="59"/>
      <c r="O1041" s="59"/>
      <c r="P1041" s="59"/>
      <c r="Q1041" s="59"/>
      <c r="R1041" s="60">
        <f>IF(AND(P1041="",Q1041=""),"",N(P1041)+N(Q1041))</f>
        <v/>
      </c>
      <c r="S1041" s="59"/>
      <c r="T1041" s="59"/>
      <c r="U1041" s="62">
        <f>IF(OR(R1041="",S1041="",T1041=""),"",IF(S1041+T1041=0,"",R1041/(S1041+T1041)))</f>
        <v/>
      </c>
      <c r="V1041" s="63"/>
      <c r="W1041" s="64"/>
      <c r="X1041" s="63"/>
    </row>
    <row r="1042" spans="2:24">
      <c r="B1042" s="58"/>
      <c r="C1042" s="59"/>
      <c r="D1042" s="59"/>
      <c r="E1042" s="59"/>
      <c r="F1042" s="59"/>
      <c r="G1042" s="60">
        <f>IF(OR(E1042="",F1042="",C1042="",D1042=""),"",IF(C1042+D1042=0,"",(E1042*C1042+F1042*D1042)/(C1042+D1042)))</f>
        <v/>
      </c>
      <c r="H1042" s="59"/>
      <c r="I1042" s="60">
        <f>IF(OR(H1042="",E1042="",C1042="",D1042=""),"",IF(C1042+D1042=0,"",(H1042*D1042+E1042*C1042)/(C1042+D1042)))</f>
        <v/>
      </c>
      <c r="J1042" s="59"/>
      <c r="K1042" s="61">
        <f>IF(OR(J1042="",I1042=""),"",J1042-I1042)</f>
        <v/>
      </c>
      <c r="L1042" s="61">
        <f>IF(OR(J1042="",G1042=""),"",J1042-G1042)</f>
        <v/>
      </c>
      <c r="M1042" s="59"/>
      <c r="N1042" s="59"/>
      <c r="O1042" s="59"/>
      <c r="P1042" s="59"/>
      <c r="Q1042" s="59"/>
      <c r="R1042" s="60">
        <f>IF(AND(P1042="",Q1042=""),"",N(P1042)+N(Q1042))</f>
        <v/>
      </c>
      <c r="S1042" s="59"/>
      <c r="T1042" s="59"/>
      <c r="U1042" s="62">
        <f>IF(OR(R1042="",S1042="",T1042=""),"",IF(S1042+T1042=0,"",R1042/(S1042+T1042)))</f>
        <v/>
      </c>
      <c r="V1042" s="63"/>
      <c r="W1042" s="64"/>
      <c r="X1042" s="63"/>
    </row>
    <row r="1043" spans="2:24">
      <c r="B1043" s="58"/>
      <c r="C1043" s="59"/>
      <c r="D1043" s="59"/>
      <c r="E1043" s="59"/>
      <c r="F1043" s="59"/>
      <c r="G1043" s="60">
        <f>IF(OR(E1043="",F1043="",C1043="",D1043=""),"",IF(C1043+D1043=0,"",(E1043*C1043+F1043*D1043)/(C1043+D1043)))</f>
        <v/>
      </c>
      <c r="H1043" s="59"/>
      <c r="I1043" s="60">
        <f>IF(OR(H1043="",E1043="",C1043="",D1043=""),"",IF(C1043+D1043=0,"",(H1043*D1043+E1043*C1043)/(C1043+D1043)))</f>
        <v/>
      </c>
      <c r="J1043" s="59"/>
      <c r="K1043" s="61">
        <f>IF(OR(J1043="",I1043=""),"",J1043-I1043)</f>
        <v/>
      </c>
      <c r="L1043" s="61">
        <f>IF(OR(J1043="",G1043=""),"",J1043-G1043)</f>
        <v/>
      </c>
      <c r="M1043" s="59"/>
      <c r="N1043" s="59"/>
      <c r="O1043" s="59"/>
      <c r="P1043" s="59"/>
      <c r="Q1043" s="59"/>
      <c r="R1043" s="60">
        <f>IF(AND(P1043="",Q1043=""),"",N(P1043)+N(Q1043))</f>
        <v/>
      </c>
      <c r="S1043" s="59"/>
      <c r="T1043" s="59"/>
      <c r="U1043" s="62">
        <f>IF(OR(R1043="",S1043="",T1043=""),"",IF(S1043+T1043=0,"",R1043/(S1043+T1043)))</f>
        <v/>
      </c>
      <c r="V1043" s="63"/>
      <c r="W1043" s="64"/>
      <c r="X1043" s="63"/>
    </row>
    <row r="1044" spans="2:24">
      <c r="B1044" s="58"/>
      <c r="C1044" s="59"/>
      <c r="D1044" s="59"/>
      <c r="E1044" s="59"/>
      <c r="F1044" s="59"/>
      <c r="G1044" s="60">
        <f>IF(OR(E1044="",F1044="",C1044="",D1044=""),"",IF(C1044+D1044=0,"",(E1044*C1044+F1044*D1044)/(C1044+D1044)))</f>
        <v/>
      </c>
      <c r="H1044" s="59"/>
      <c r="I1044" s="60">
        <f>IF(OR(H1044="",E1044="",C1044="",D1044=""),"",IF(C1044+D1044=0,"",(H1044*D1044+E1044*C1044)/(C1044+D1044)))</f>
        <v/>
      </c>
      <c r="J1044" s="59"/>
      <c r="K1044" s="61">
        <f>IF(OR(J1044="",I1044=""),"",J1044-I1044)</f>
        <v/>
      </c>
      <c r="L1044" s="61">
        <f>IF(OR(J1044="",G1044=""),"",J1044-G1044)</f>
        <v/>
      </c>
      <c r="M1044" s="59"/>
      <c r="N1044" s="59"/>
      <c r="O1044" s="59"/>
      <c r="P1044" s="59"/>
      <c r="Q1044" s="59"/>
      <c r="R1044" s="60">
        <f>IF(AND(P1044="",Q1044=""),"",N(P1044)+N(Q1044))</f>
        <v/>
      </c>
      <c r="S1044" s="59"/>
      <c r="T1044" s="59"/>
      <c r="U1044" s="62">
        <f>IF(OR(R1044="",S1044="",T1044=""),"",IF(S1044+T1044=0,"",R1044/(S1044+T1044)))</f>
        <v/>
      </c>
      <c r="V1044" s="63"/>
      <c r="W1044" s="64"/>
      <c r="X1044" s="63"/>
    </row>
    <row r="1045" spans="2:24">
      <c r="B1045" s="58"/>
      <c r="C1045" s="59"/>
      <c r="D1045" s="59"/>
      <c r="E1045" s="59"/>
      <c r="F1045" s="59"/>
      <c r="G1045" s="60">
        <f>IF(OR(E1045="",F1045="",C1045="",D1045=""),"",IF(C1045+D1045=0,"",(E1045*C1045+F1045*D1045)/(C1045+D1045)))</f>
        <v/>
      </c>
      <c r="H1045" s="59"/>
      <c r="I1045" s="60">
        <f>IF(OR(H1045="",E1045="",C1045="",D1045=""),"",IF(C1045+D1045=0,"",(H1045*D1045+E1045*C1045)/(C1045+D1045)))</f>
        <v/>
      </c>
      <c r="J1045" s="59"/>
      <c r="K1045" s="61">
        <f>IF(OR(J1045="",I1045=""),"",J1045-I1045)</f>
        <v/>
      </c>
      <c r="L1045" s="61">
        <f>IF(OR(J1045="",G1045=""),"",J1045-G1045)</f>
        <v/>
      </c>
      <c r="M1045" s="59"/>
      <c r="N1045" s="59"/>
      <c r="O1045" s="59"/>
      <c r="P1045" s="59"/>
      <c r="Q1045" s="59"/>
      <c r="R1045" s="60">
        <f>IF(AND(P1045="",Q1045=""),"",N(P1045)+N(Q1045))</f>
        <v/>
      </c>
      <c r="S1045" s="59"/>
      <c r="T1045" s="59"/>
      <c r="U1045" s="62">
        <f>IF(OR(R1045="",S1045="",T1045=""),"",IF(S1045+T1045=0,"",R1045/(S1045+T1045)))</f>
        <v/>
      </c>
      <c r="V1045" s="63"/>
      <c r="W1045" s="64"/>
      <c r="X1045" s="63"/>
    </row>
    <row r="1046" spans="2:24">
      <c r="B1046" s="58"/>
      <c r="C1046" s="59"/>
      <c r="D1046" s="59"/>
      <c r="E1046" s="59"/>
      <c r="F1046" s="59"/>
      <c r="G1046" s="60">
        <f>IF(OR(E1046="",F1046="",C1046="",D1046=""),"",IF(C1046+D1046=0,"",(E1046*C1046+F1046*D1046)/(C1046+D1046)))</f>
        <v/>
      </c>
      <c r="H1046" s="59"/>
      <c r="I1046" s="60">
        <f>IF(OR(H1046="",E1046="",C1046="",D1046=""),"",IF(C1046+D1046=0,"",(H1046*D1046+E1046*C1046)/(C1046+D1046)))</f>
        <v/>
      </c>
      <c r="J1046" s="59"/>
      <c r="K1046" s="61">
        <f>IF(OR(J1046="",I1046=""),"",J1046-I1046)</f>
        <v/>
      </c>
      <c r="L1046" s="61">
        <f>IF(OR(J1046="",G1046=""),"",J1046-G1046)</f>
        <v/>
      </c>
      <c r="M1046" s="59"/>
      <c r="N1046" s="59"/>
      <c r="O1046" s="59"/>
      <c r="P1046" s="59"/>
      <c r="Q1046" s="59"/>
      <c r="R1046" s="60">
        <f>IF(AND(P1046="",Q1046=""),"",N(P1046)+N(Q1046))</f>
        <v/>
      </c>
      <c r="S1046" s="59"/>
      <c r="T1046" s="59"/>
      <c r="U1046" s="62">
        <f>IF(OR(R1046="",S1046="",T1046=""),"",IF(S1046+T1046=0,"",R1046/(S1046+T1046)))</f>
        <v/>
      </c>
      <c r="V1046" s="63"/>
      <c r="W1046" s="64"/>
      <c r="X1046" s="63"/>
    </row>
    <row r="1047" spans="2:24">
      <c r="B1047" s="58"/>
      <c r="C1047" s="59"/>
      <c r="D1047" s="59"/>
      <c r="E1047" s="59"/>
      <c r="F1047" s="59"/>
      <c r="G1047" s="60">
        <f>IF(OR(E1047="",F1047="",C1047="",D1047=""),"",IF(C1047+D1047=0,"",(E1047*C1047+F1047*D1047)/(C1047+D1047)))</f>
        <v/>
      </c>
      <c r="H1047" s="59"/>
      <c r="I1047" s="60">
        <f>IF(OR(H1047="",E1047="",C1047="",D1047=""),"",IF(C1047+D1047=0,"",(H1047*D1047+E1047*C1047)/(C1047+D1047)))</f>
        <v/>
      </c>
      <c r="J1047" s="59"/>
      <c r="K1047" s="61">
        <f>IF(OR(J1047="",I1047=""),"",J1047-I1047)</f>
        <v/>
      </c>
      <c r="L1047" s="61">
        <f>IF(OR(J1047="",G1047=""),"",J1047-G1047)</f>
        <v/>
      </c>
      <c r="M1047" s="59"/>
      <c r="N1047" s="59"/>
      <c r="O1047" s="59"/>
      <c r="P1047" s="59"/>
      <c r="Q1047" s="59"/>
      <c r="R1047" s="60">
        <f>IF(AND(P1047="",Q1047=""),"",N(P1047)+N(Q1047))</f>
        <v/>
      </c>
      <c r="S1047" s="59"/>
      <c r="T1047" s="59"/>
      <c r="U1047" s="62">
        <f>IF(OR(R1047="",S1047="",T1047=""),"",IF(S1047+T1047=0,"",R1047/(S1047+T1047)))</f>
        <v/>
      </c>
      <c r="V1047" s="63"/>
      <c r="W1047" s="64"/>
      <c r="X1047" s="63"/>
    </row>
    <row r="1048" spans="2:24">
      <c r="B1048" s="58"/>
      <c r="C1048" s="59"/>
      <c r="D1048" s="59"/>
      <c r="E1048" s="59"/>
      <c r="F1048" s="59"/>
      <c r="G1048" s="60">
        <f>IF(OR(E1048="",F1048="",C1048="",D1048=""),"",IF(C1048+D1048=0,"",(E1048*C1048+F1048*D1048)/(C1048+D1048)))</f>
        <v/>
      </c>
      <c r="H1048" s="59"/>
      <c r="I1048" s="60">
        <f>IF(OR(H1048="",E1048="",C1048="",D1048=""),"",IF(C1048+D1048=0,"",(H1048*D1048+E1048*C1048)/(C1048+D1048)))</f>
        <v/>
      </c>
      <c r="J1048" s="59"/>
      <c r="K1048" s="61">
        <f>IF(OR(J1048="",I1048=""),"",J1048-I1048)</f>
        <v/>
      </c>
      <c r="L1048" s="61">
        <f>IF(OR(J1048="",G1048=""),"",J1048-G1048)</f>
        <v/>
      </c>
      <c r="M1048" s="59"/>
      <c r="N1048" s="59"/>
      <c r="O1048" s="59"/>
      <c r="P1048" s="59"/>
      <c r="Q1048" s="59"/>
      <c r="R1048" s="60">
        <f>IF(AND(P1048="",Q1048=""),"",N(P1048)+N(Q1048))</f>
        <v/>
      </c>
      <c r="S1048" s="59"/>
      <c r="T1048" s="59"/>
      <c r="U1048" s="62">
        <f>IF(OR(R1048="",S1048="",T1048=""),"",IF(S1048+T1048=0,"",R1048/(S1048+T1048)))</f>
        <v/>
      </c>
      <c r="V1048" s="63"/>
      <c r="W1048" s="64"/>
      <c r="X1048" s="63"/>
    </row>
    <row r="1049" spans="2:24">
      <c r="B1049" s="58"/>
      <c r="C1049" s="59"/>
      <c r="D1049" s="59"/>
      <c r="E1049" s="59"/>
      <c r="F1049" s="59"/>
      <c r="G1049" s="60">
        <f>IF(OR(E1049="",F1049="",C1049="",D1049=""),"",IF(C1049+D1049=0,"",(E1049*C1049+F1049*D1049)/(C1049+D1049)))</f>
        <v/>
      </c>
      <c r="H1049" s="59"/>
      <c r="I1049" s="60">
        <f>IF(OR(H1049="",E1049="",C1049="",D1049=""),"",IF(C1049+D1049=0,"",(H1049*D1049+E1049*C1049)/(C1049+D1049)))</f>
        <v/>
      </c>
      <c r="J1049" s="59"/>
      <c r="K1049" s="61">
        <f>IF(OR(J1049="",I1049=""),"",J1049-I1049)</f>
        <v/>
      </c>
      <c r="L1049" s="61">
        <f>IF(OR(J1049="",G1049=""),"",J1049-G1049)</f>
        <v/>
      </c>
      <c r="M1049" s="59"/>
      <c r="N1049" s="59"/>
      <c r="O1049" s="59"/>
      <c r="P1049" s="59"/>
      <c r="Q1049" s="59"/>
      <c r="R1049" s="60">
        <f>IF(AND(P1049="",Q1049=""),"",N(P1049)+N(Q1049))</f>
        <v/>
      </c>
      <c r="S1049" s="59"/>
      <c r="T1049" s="59"/>
      <c r="U1049" s="62">
        <f>IF(OR(R1049="",S1049="",T1049=""),"",IF(S1049+T1049=0,"",R1049/(S1049+T1049)))</f>
        <v/>
      </c>
      <c r="V1049" s="63"/>
      <c r="W1049" s="64"/>
      <c r="X1049" s="63"/>
    </row>
    <row r="1050" spans="2:24">
      <c r="B1050" s="58"/>
      <c r="C1050" s="59"/>
      <c r="D1050" s="59"/>
      <c r="E1050" s="59"/>
      <c r="F1050" s="59"/>
      <c r="G1050" s="60">
        <f>IF(OR(E1050="",F1050="",C1050="",D1050=""),"",IF(C1050+D1050=0,"",(E1050*C1050+F1050*D1050)/(C1050+D1050)))</f>
        <v/>
      </c>
      <c r="H1050" s="59"/>
      <c r="I1050" s="60">
        <f>IF(OR(H1050="",E1050="",C1050="",D1050=""),"",IF(C1050+D1050=0,"",(H1050*D1050+E1050*C1050)/(C1050+D1050)))</f>
        <v/>
      </c>
      <c r="J1050" s="59"/>
      <c r="K1050" s="61">
        <f>IF(OR(J1050="",I1050=""),"",J1050-I1050)</f>
        <v/>
      </c>
      <c r="L1050" s="61">
        <f>IF(OR(J1050="",G1050=""),"",J1050-G1050)</f>
        <v/>
      </c>
      <c r="M1050" s="59"/>
      <c r="N1050" s="59"/>
      <c r="O1050" s="59"/>
      <c r="P1050" s="59"/>
      <c r="Q1050" s="59"/>
      <c r="R1050" s="60">
        <f>IF(AND(P1050="",Q1050=""),"",N(P1050)+N(Q1050))</f>
        <v/>
      </c>
      <c r="S1050" s="59"/>
      <c r="T1050" s="59"/>
      <c r="U1050" s="62">
        <f>IF(OR(R1050="",S1050="",T1050=""),"",IF(S1050+T1050=0,"",R1050/(S1050+T1050)))</f>
        <v/>
      </c>
      <c r="V1050" s="63"/>
      <c r="W1050" s="64"/>
      <c r="X1050" s="63"/>
    </row>
    <row r="1051" spans="2:24">
      <c r="B1051" s="58"/>
      <c r="C1051" s="59"/>
      <c r="D1051" s="59"/>
      <c r="E1051" s="59"/>
      <c r="F1051" s="59"/>
      <c r="G1051" s="60">
        <f>IF(OR(E1051="",F1051="",C1051="",D1051=""),"",IF(C1051+D1051=0,"",(E1051*C1051+F1051*D1051)/(C1051+D1051)))</f>
        <v/>
      </c>
      <c r="H1051" s="59"/>
      <c r="I1051" s="60">
        <f>IF(OR(H1051="",E1051="",C1051="",D1051=""),"",IF(C1051+D1051=0,"",(H1051*D1051+E1051*C1051)/(C1051+D1051)))</f>
        <v/>
      </c>
      <c r="J1051" s="59"/>
      <c r="K1051" s="61">
        <f>IF(OR(J1051="",I1051=""),"",J1051-I1051)</f>
        <v/>
      </c>
      <c r="L1051" s="61">
        <f>IF(OR(J1051="",G1051=""),"",J1051-G1051)</f>
        <v/>
      </c>
      <c r="M1051" s="59"/>
      <c r="N1051" s="59"/>
      <c r="O1051" s="59"/>
      <c r="P1051" s="59"/>
      <c r="Q1051" s="59"/>
      <c r="R1051" s="60">
        <f>IF(AND(P1051="",Q1051=""),"",N(P1051)+N(Q1051))</f>
        <v/>
      </c>
      <c r="S1051" s="59"/>
      <c r="T1051" s="59"/>
      <c r="U1051" s="62">
        <f>IF(OR(R1051="",S1051="",T1051=""),"",IF(S1051+T1051=0,"",R1051/(S1051+T1051)))</f>
        <v/>
      </c>
      <c r="V1051" s="63"/>
      <c r="W1051" s="64"/>
      <c r="X1051" s="63"/>
    </row>
    <row r="1052" spans="2:24">
      <c r="B1052" s="58"/>
      <c r="C1052" s="59"/>
      <c r="D1052" s="59"/>
      <c r="E1052" s="59"/>
      <c r="F1052" s="59"/>
      <c r="G1052" s="60">
        <f>IF(OR(E1052="",F1052="",C1052="",D1052=""),"",IF(C1052+D1052=0,"",(E1052*C1052+F1052*D1052)/(C1052+D1052)))</f>
        <v/>
      </c>
      <c r="H1052" s="59"/>
      <c r="I1052" s="60">
        <f>IF(OR(H1052="",E1052="",C1052="",D1052=""),"",IF(C1052+D1052=0,"",(H1052*D1052+E1052*C1052)/(C1052+D1052)))</f>
        <v/>
      </c>
      <c r="J1052" s="59"/>
      <c r="K1052" s="61">
        <f>IF(OR(J1052="",I1052=""),"",J1052-I1052)</f>
        <v/>
      </c>
      <c r="L1052" s="61">
        <f>IF(OR(J1052="",G1052=""),"",J1052-G1052)</f>
        <v/>
      </c>
      <c r="M1052" s="59"/>
      <c r="N1052" s="59"/>
      <c r="O1052" s="59"/>
      <c r="P1052" s="59"/>
      <c r="Q1052" s="59"/>
      <c r="R1052" s="60">
        <f>IF(AND(P1052="",Q1052=""),"",N(P1052)+N(Q1052))</f>
        <v/>
      </c>
      <c r="S1052" s="59"/>
      <c r="T1052" s="59"/>
      <c r="U1052" s="62">
        <f>IF(OR(R1052="",S1052="",T1052=""),"",IF(S1052+T1052=0,"",R1052/(S1052+T1052)))</f>
        <v/>
      </c>
      <c r="V1052" s="63"/>
      <c r="W1052" s="64"/>
      <c r="X1052" s="63"/>
    </row>
    <row r="1053" spans="2:24">
      <c r="B1053" s="58"/>
      <c r="C1053" s="59"/>
      <c r="D1053" s="59"/>
      <c r="E1053" s="59"/>
      <c r="F1053" s="59"/>
      <c r="G1053" s="60">
        <f>IF(OR(E1053="",F1053="",C1053="",D1053=""),"",IF(C1053+D1053=0,"",(E1053*C1053+F1053*D1053)/(C1053+D1053)))</f>
        <v/>
      </c>
      <c r="H1053" s="59"/>
      <c r="I1053" s="60">
        <f>IF(OR(H1053="",E1053="",C1053="",D1053=""),"",IF(C1053+D1053=0,"",(H1053*D1053+E1053*C1053)/(C1053+D1053)))</f>
        <v/>
      </c>
      <c r="J1053" s="59"/>
      <c r="K1053" s="61">
        <f>IF(OR(J1053="",I1053=""),"",J1053-I1053)</f>
        <v/>
      </c>
      <c r="L1053" s="61">
        <f>IF(OR(J1053="",G1053=""),"",J1053-G1053)</f>
        <v/>
      </c>
      <c r="M1053" s="59"/>
      <c r="N1053" s="59"/>
      <c r="O1053" s="59"/>
      <c r="P1053" s="59"/>
      <c r="Q1053" s="59"/>
      <c r="R1053" s="60">
        <f>IF(AND(P1053="",Q1053=""),"",N(P1053)+N(Q1053))</f>
        <v/>
      </c>
      <c r="S1053" s="59"/>
      <c r="T1053" s="59"/>
      <c r="U1053" s="62">
        <f>IF(OR(R1053="",S1053="",T1053=""),"",IF(S1053+T1053=0,"",R1053/(S1053+T1053)))</f>
        <v/>
      </c>
      <c r="V1053" s="63"/>
      <c r="W1053" s="64"/>
      <c r="X1053" s="63"/>
    </row>
    <row r="1054" spans="2:24">
      <c r="B1054" s="58"/>
      <c r="C1054" s="59"/>
      <c r="D1054" s="59"/>
      <c r="E1054" s="59"/>
      <c r="F1054" s="59"/>
      <c r="G1054" s="60">
        <f>IF(OR(E1054="",F1054="",C1054="",D1054=""),"",IF(C1054+D1054=0,"",(E1054*C1054+F1054*D1054)/(C1054+D1054)))</f>
        <v/>
      </c>
      <c r="H1054" s="59"/>
      <c r="I1054" s="60">
        <f>IF(OR(H1054="",E1054="",C1054="",D1054=""),"",IF(C1054+D1054=0,"",(H1054*D1054+E1054*C1054)/(C1054+D1054)))</f>
        <v/>
      </c>
      <c r="J1054" s="59"/>
      <c r="K1054" s="61">
        <f>IF(OR(J1054="",I1054=""),"",J1054-I1054)</f>
        <v/>
      </c>
      <c r="L1054" s="61">
        <f>IF(OR(J1054="",G1054=""),"",J1054-G1054)</f>
        <v/>
      </c>
      <c r="M1054" s="59"/>
      <c r="N1054" s="59"/>
      <c r="O1054" s="59"/>
      <c r="P1054" s="59"/>
      <c r="Q1054" s="59"/>
      <c r="R1054" s="60">
        <f>IF(AND(P1054="",Q1054=""),"",N(P1054)+N(Q1054))</f>
        <v/>
      </c>
      <c r="S1054" s="59"/>
      <c r="T1054" s="59"/>
      <c r="U1054" s="62">
        <f>IF(OR(R1054="",S1054="",T1054=""),"",IF(S1054+T1054=0,"",R1054/(S1054+T1054)))</f>
        <v/>
      </c>
      <c r="V1054" s="63"/>
      <c r="W1054" s="64"/>
      <c r="X1054" s="63"/>
    </row>
    <row r="1055" spans="2:24">
      <c r="B1055" s="58"/>
      <c r="C1055" s="59"/>
      <c r="D1055" s="59"/>
      <c r="E1055" s="59"/>
      <c r="F1055" s="59"/>
      <c r="G1055" s="60">
        <f>IF(OR(E1055="",F1055="",C1055="",D1055=""),"",IF(C1055+D1055=0,"",(E1055*C1055+F1055*D1055)/(C1055+D1055)))</f>
        <v/>
      </c>
      <c r="H1055" s="59"/>
      <c r="I1055" s="60">
        <f>IF(OR(H1055="",E1055="",C1055="",D1055=""),"",IF(C1055+D1055=0,"",(H1055*D1055+E1055*C1055)/(C1055+D1055)))</f>
        <v/>
      </c>
      <c r="J1055" s="59"/>
      <c r="K1055" s="61">
        <f>IF(OR(J1055="",I1055=""),"",J1055-I1055)</f>
        <v/>
      </c>
      <c r="L1055" s="61">
        <f>IF(OR(J1055="",G1055=""),"",J1055-G1055)</f>
        <v/>
      </c>
      <c r="M1055" s="59"/>
      <c r="N1055" s="59"/>
      <c r="O1055" s="59"/>
      <c r="P1055" s="59"/>
      <c r="Q1055" s="59"/>
      <c r="R1055" s="60">
        <f>IF(AND(P1055="",Q1055=""),"",N(P1055)+N(Q1055))</f>
        <v/>
      </c>
      <c r="S1055" s="59"/>
      <c r="T1055" s="59"/>
      <c r="U1055" s="62">
        <f>IF(OR(R1055="",S1055="",T1055=""),"",IF(S1055+T1055=0,"",R1055/(S1055+T1055)))</f>
        <v/>
      </c>
      <c r="V1055" s="63"/>
      <c r="W1055" s="64"/>
      <c r="X1055" s="63"/>
    </row>
    <row r="1056" spans="2:24">
      <c r="B1056" s="58"/>
      <c r="C1056" s="59"/>
      <c r="D1056" s="59"/>
      <c r="E1056" s="59"/>
      <c r="F1056" s="59"/>
      <c r="G1056" s="60">
        <f>IF(OR(E1056="",F1056="",C1056="",D1056=""),"",IF(C1056+D1056=0,"",(E1056*C1056+F1056*D1056)/(C1056+D1056)))</f>
        <v/>
      </c>
      <c r="H1056" s="59"/>
      <c r="I1056" s="60">
        <f>IF(OR(H1056="",E1056="",C1056="",D1056=""),"",IF(C1056+D1056=0,"",(H1056*D1056+E1056*C1056)/(C1056+D1056)))</f>
        <v/>
      </c>
      <c r="J1056" s="59"/>
      <c r="K1056" s="61">
        <f>IF(OR(J1056="",I1056=""),"",J1056-I1056)</f>
        <v/>
      </c>
      <c r="L1056" s="61">
        <f>IF(OR(J1056="",G1056=""),"",J1056-G1056)</f>
        <v/>
      </c>
      <c r="M1056" s="59"/>
      <c r="N1056" s="59"/>
      <c r="O1056" s="59"/>
      <c r="P1056" s="59"/>
      <c r="Q1056" s="59"/>
      <c r="R1056" s="60">
        <f>IF(AND(P1056="",Q1056=""),"",N(P1056)+N(Q1056))</f>
        <v/>
      </c>
      <c r="S1056" s="59"/>
      <c r="T1056" s="59"/>
      <c r="U1056" s="62">
        <f>IF(OR(R1056="",S1056="",T1056=""),"",IF(S1056+T1056=0,"",R1056/(S1056+T1056)))</f>
        <v/>
      </c>
      <c r="V1056" s="63"/>
      <c r="W1056" s="64"/>
      <c r="X1056" s="63"/>
    </row>
    <row r="1057" spans="2:24">
      <c r="B1057" s="58"/>
      <c r="C1057" s="59"/>
      <c r="D1057" s="59"/>
      <c r="E1057" s="59"/>
      <c r="F1057" s="59"/>
      <c r="G1057" s="60">
        <f>IF(OR(E1057="",F1057="",C1057="",D1057=""),"",IF(C1057+D1057=0,"",(E1057*C1057+F1057*D1057)/(C1057+D1057)))</f>
        <v/>
      </c>
      <c r="H1057" s="59"/>
      <c r="I1057" s="60">
        <f>IF(OR(H1057="",E1057="",C1057="",D1057=""),"",IF(C1057+D1057=0,"",(H1057*D1057+E1057*C1057)/(C1057+D1057)))</f>
        <v/>
      </c>
      <c r="J1057" s="59"/>
      <c r="K1057" s="61">
        <f>IF(OR(J1057="",I1057=""),"",J1057-I1057)</f>
        <v/>
      </c>
      <c r="L1057" s="61">
        <f>IF(OR(J1057="",G1057=""),"",J1057-G1057)</f>
        <v/>
      </c>
      <c r="M1057" s="59"/>
      <c r="N1057" s="59"/>
      <c r="O1057" s="59"/>
      <c r="P1057" s="59"/>
      <c r="Q1057" s="59"/>
      <c r="R1057" s="60">
        <f>IF(AND(P1057="",Q1057=""),"",N(P1057)+N(Q1057))</f>
        <v/>
      </c>
      <c r="S1057" s="59"/>
      <c r="T1057" s="59"/>
      <c r="U1057" s="62">
        <f>IF(OR(R1057="",S1057="",T1057=""),"",IF(S1057+T1057=0,"",R1057/(S1057+T1057)))</f>
        <v/>
      </c>
      <c r="V1057" s="63"/>
      <c r="W1057" s="64"/>
      <c r="X1057" s="63"/>
    </row>
    <row r="1058" spans="2:24">
      <c r="B1058" s="58"/>
      <c r="C1058" s="59"/>
      <c r="D1058" s="59"/>
      <c r="E1058" s="59"/>
      <c r="F1058" s="59"/>
      <c r="G1058" s="60">
        <f>IF(OR(E1058="",F1058="",C1058="",D1058=""),"",IF(C1058+D1058=0,"",(E1058*C1058+F1058*D1058)/(C1058+D1058)))</f>
        <v/>
      </c>
      <c r="H1058" s="59"/>
      <c r="I1058" s="60">
        <f>IF(OR(H1058="",E1058="",C1058="",D1058=""),"",IF(C1058+D1058=0,"",(H1058*D1058+E1058*C1058)/(C1058+D1058)))</f>
        <v/>
      </c>
      <c r="J1058" s="59"/>
      <c r="K1058" s="61">
        <f>IF(OR(J1058="",I1058=""),"",J1058-I1058)</f>
        <v/>
      </c>
      <c r="L1058" s="61">
        <f>IF(OR(J1058="",G1058=""),"",J1058-G1058)</f>
        <v/>
      </c>
      <c r="M1058" s="59"/>
      <c r="N1058" s="59"/>
      <c r="O1058" s="59"/>
      <c r="P1058" s="59"/>
      <c r="Q1058" s="59"/>
      <c r="R1058" s="60">
        <f>IF(AND(P1058="",Q1058=""),"",N(P1058)+N(Q1058))</f>
        <v/>
      </c>
      <c r="S1058" s="59"/>
      <c r="T1058" s="59"/>
      <c r="U1058" s="62">
        <f>IF(OR(R1058="",S1058="",T1058=""),"",IF(S1058+T1058=0,"",R1058/(S1058+T1058)))</f>
        <v/>
      </c>
      <c r="V1058" s="63"/>
      <c r="W1058" s="64"/>
      <c r="X1058" s="63"/>
    </row>
    <row r="1059" spans="2:24">
      <c r="B1059" s="58"/>
      <c r="C1059" s="59"/>
      <c r="D1059" s="59"/>
      <c r="E1059" s="59"/>
      <c r="F1059" s="59"/>
      <c r="G1059" s="60">
        <f>IF(OR(E1059="",F1059="",C1059="",D1059=""),"",IF(C1059+D1059=0,"",(E1059*C1059+F1059*D1059)/(C1059+D1059)))</f>
        <v/>
      </c>
      <c r="H1059" s="59"/>
      <c r="I1059" s="60">
        <f>IF(OR(H1059="",E1059="",C1059="",D1059=""),"",IF(C1059+D1059=0,"",(H1059*D1059+E1059*C1059)/(C1059+D1059)))</f>
        <v/>
      </c>
      <c r="J1059" s="59"/>
      <c r="K1059" s="61">
        <f>IF(OR(J1059="",I1059=""),"",J1059-I1059)</f>
        <v/>
      </c>
      <c r="L1059" s="61">
        <f>IF(OR(J1059="",G1059=""),"",J1059-G1059)</f>
        <v/>
      </c>
      <c r="M1059" s="59"/>
      <c r="N1059" s="59"/>
      <c r="O1059" s="59"/>
      <c r="P1059" s="59"/>
      <c r="Q1059" s="59"/>
      <c r="R1059" s="60">
        <f>IF(AND(P1059="",Q1059=""),"",N(P1059)+N(Q1059))</f>
        <v/>
      </c>
      <c r="S1059" s="59"/>
      <c r="T1059" s="59"/>
      <c r="U1059" s="62">
        <f>IF(OR(R1059="",S1059="",T1059=""),"",IF(S1059+T1059=0,"",R1059/(S1059+T1059)))</f>
        <v/>
      </c>
      <c r="V1059" s="63"/>
      <c r="W1059" s="64"/>
      <c r="X1059" s="63"/>
    </row>
    <row r="1060" spans="2:24">
      <c r="B1060" s="58"/>
      <c r="C1060" s="59"/>
      <c r="D1060" s="59"/>
      <c r="E1060" s="59"/>
      <c r="F1060" s="59"/>
      <c r="G1060" s="60">
        <f>IF(OR(E1060="",F1060="",C1060="",D1060=""),"",IF(C1060+D1060=0,"",(E1060*C1060+F1060*D1060)/(C1060+D1060)))</f>
        <v/>
      </c>
      <c r="H1060" s="59"/>
      <c r="I1060" s="60">
        <f>IF(OR(H1060="",E1060="",C1060="",D1060=""),"",IF(C1060+D1060=0,"",(H1060*D1060+E1060*C1060)/(C1060+D1060)))</f>
        <v/>
      </c>
      <c r="J1060" s="59"/>
      <c r="K1060" s="61">
        <f>IF(OR(J1060="",I1060=""),"",J1060-I1060)</f>
        <v/>
      </c>
      <c r="L1060" s="61">
        <f>IF(OR(J1060="",G1060=""),"",J1060-G1060)</f>
        <v/>
      </c>
      <c r="M1060" s="59"/>
      <c r="N1060" s="59"/>
      <c r="O1060" s="59"/>
      <c r="P1060" s="59"/>
      <c r="Q1060" s="59"/>
      <c r="R1060" s="60">
        <f>IF(AND(P1060="",Q1060=""),"",N(P1060)+N(Q1060))</f>
        <v/>
      </c>
      <c r="S1060" s="59"/>
      <c r="T1060" s="59"/>
      <c r="U1060" s="62">
        <f>IF(OR(R1060="",S1060="",T1060=""),"",IF(S1060+T1060=0,"",R1060/(S1060+T1060)))</f>
        <v/>
      </c>
      <c r="V1060" s="63"/>
      <c r="W1060" s="64"/>
      <c r="X1060" s="63"/>
    </row>
    <row r="1061" spans="2:24">
      <c r="B1061" s="58"/>
      <c r="C1061" s="59"/>
      <c r="D1061" s="59"/>
      <c r="E1061" s="59"/>
      <c r="F1061" s="59"/>
      <c r="G1061" s="60">
        <f>IF(OR(E1061="",F1061="",C1061="",D1061=""),"",IF(C1061+D1061=0,"",(E1061*C1061+F1061*D1061)/(C1061+D1061)))</f>
        <v/>
      </c>
      <c r="H1061" s="59"/>
      <c r="I1061" s="60">
        <f>IF(OR(H1061="",E1061="",C1061="",D1061=""),"",IF(C1061+D1061=0,"",(H1061*D1061+E1061*C1061)/(C1061+D1061)))</f>
        <v/>
      </c>
      <c r="J1061" s="59"/>
      <c r="K1061" s="61">
        <f>IF(OR(J1061="",I1061=""),"",J1061-I1061)</f>
        <v/>
      </c>
      <c r="L1061" s="61">
        <f>IF(OR(J1061="",G1061=""),"",J1061-G1061)</f>
        <v/>
      </c>
      <c r="M1061" s="59"/>
      <c r="N1061" s="59"/>
      <c r="O1061" s="59"/>
      <c r="P1061" s="59"/>
      <c r="Q1061" s="59"/>
      <c r="R1061" s="60">
        <f>IF(AND(P1061="",Q1061=""),"",N(P1061)+N(Q1061))</f>
        <v/>
      </c>
      <c r="S1061" s="59"/>
      <c r="T1061" s="59"/>
      <c r="U1061" s="62">
        <f>IF(OR(R1061="",S1061="",T1061=""),"",IF(S1061+T1061=0,"",R1061/(S1061+T1061)))</f>
        <v/>
      </c>
      <c r="V1061" s="63"/>
      <c r="W1061" s="64"/>
      <c r="X1061" s="63"/>
    </row>
    <row r="1062" spans="2:24">
      <c r="B1062" s="58"/>
      <c r="C1062" s="59"/>
      <c r="D1062" s="59"/>
      <c r="E1062" s="59"/>
      <c r="F1062" s="59"/>
      <c r="G1062" s="60">
        <f>IF(OR(E1062="",F1062="",C1062="",D1062=""),"",IF(C1062+D1062=0,"",(E1062*C1062+F1062*D1062)/(C1062+D1062)))</f>
        <v/>
      </c>
      <c r="H1062" s="59"/>
      <c r="I1062" s="60">
        <f>IF(OR(H1062="",E1062="",C1062="",D1062=""),"",IF(C1062+D1062=0,"",(H1062*D1062+E1062*C1062)/(C1062+D1062)))</f>
        <v/>
      </c>
      <c r="J1062" s="59"/>
      <c r="K1062" s="61">
        <f>IF(OR(J1062="",I1062=""),"",J1062-I1062)</f>
        <v/>
      </c>
      <c r="L1062" s="61">
        <f>IF(OR(J1062="",G1062=""),"",J1062-G1062)</f>
        <v/>
      </c>
      <c r="M1062" s="59"/>
      <c r="N1062" s="59"/>
      <c r="O1062" s="59"/>
      <c r="P1062" s="59"/>
      <c r="Q1062" s="59"/>
      <c r="R1062" s="60">
        <f>IF(AND(P1062="",Q1062=""),"",N(P1062)+N(Q1062))</f>
        <v/>
      </c>
      <c r="S1062" s="59"/>
      <c r="T1062" s="59"/>
      <c r="U1062" s="62">
        <f>IF(OR(R1062="",S1062="",T1062=""),"",IF(S1062+T1062=0,"",R1062/(S1062+T1062)))</f>
        <v/>
      </c>
      <c r="V1062" s="63"/>
      <c r="W1062" s="64"/>
      <c r="X1062" s="63"/>
    </row>
    <row r="1063" spans="2:24">
      <c r="B1063" s="58"/>
      <c r="C1063" s="59"/>
      <c r="D1063" s="59"/>
      <c r="E1063" s="59"/>
      <c r="F1063" s="59"/>
      <c r="G1063" s="60">
        <f>IF(OR(E1063="",F1063="",C1063="",D1063=""),"",IF(C1063+D1063=0,"",(E1063*C1063+F1063*D1063)/(C1063+D1063)))</f>
        <v/>
      </c>
      <c r="H1063" s="59"/>
      <c r="I1063" s="60">
        <f>IF(OR(H1063="",E1063="",C1063="",D1063=""),"",IF(C1063+D1063=0,"",(H1063*D1063+E1063*C1063)/(C1063+D1063)))</f>
        <v/>
      </c>
      <c r="J1063" s="59"/>
      <c r="K1063" s="61">
        <f>IF(OR(J1063="",I1063=""),"",J1063-I1063)</f>
        <v/>
      </c>
      <c r="L1063" s="61">
        <f>IF(OR(J1063="",G1063=""),"",J1063-G1063)</f>
        <v/>
      </c>
      <c r="M1063" s="59"/>
      <c r="N1063" s="59"/>
      <c r="O1063" s="59"/>
      <c r="P1063" s="59"/>
      <c r="Q1063" s="59"/>
      <c r="R1063" s="60">
        <f>IF(AND(P1063="",Q1063=""),"",N(P1063)+N(Q1063))</f>
        <v/>
      </c>
      <c r="S1063" s="59"/>
      <c r="T1063" s="59"/>
      <c r="U1063" s="62">
        <f>IF(OR(R1063="",S1063="",T1063=""),"",IF(S1063+T1063=0,"",R1063/(S1063+T1063)))</f>
        <v/>
      </c>
      <c r="V1063" s="63"/>
      <c r="W1063" s="64"/>
      <c r="X1063" s="63"/>
    </row>
    <row r="1064" spans="2:24">
      <c r="B1064" s="58"/>
      <c r="C1064" s="59"/>
      <c r="D1064" s="59"/>
      <c r="E1064" s="59"/>
      <c r="F1064" s="59"/>
      <c r="G1064" s="60">
        <f>IF(OR(E1064="",F1064="",C1064="",D1064=""),"",IF(C1064+D1064=0,"",(E1064*C1064+F1064*D1064)/(C1064+D1064)))</f>
        <v/>
      </c>
      <c r="H1064" s="59"/>
      <c r="I1064" s="60">
        <f>IF(OR(H1064="",E1064="",C1064="",D1064=""),"",IF(C1064+D1064=0,"",(H1064*D1064+E1064*C1064)/(C1064+D1064)))</f>
        <v/>
      </c>
      <c r="J1064" s="59"/>
      <c r="K1064" s="61">
        <f>IF(OR(J1064="",I1064=""),"",J1064-I1064)</f>
        <v/>
      </c>
      <c r="L1064" s="61">
        <f>IF(OR(J1064="",G1064=""),"",J1064-G1064)</f>
        <v/>
      </c>
      <c r="M1064" s="59"/>
      <c r="N1064" s="59"/>
      <c r="O1064" s="59"/>
      <c r="P1064" s="59"/>
      <c r="Q1064" s="59"/>
      <c r="R1064" s="60">
        <f>IF(AND(P1064="",Q1064=""),"",N(P1064)+N(Q1064))</f>
        <v/>
      </c>
      <c r="S1064" s="59"/>
      <c r="T1064" s="59"/>
      <c r="U1064" s="62">
        <f>IF(OR(R1064="",S1064="",T1064=""),"",IF(S1064+T1064=0,"",R1064/(S1064+T1064)))</f>
        <v/>
      </c>
      <c r="V1064" s="63"/>
      <c r="W1064" s="64"/>
      <c r="X1064" s="63"/>
    </row>
    <row r="1065" spans="2:24">
      <c r="B1065" s="58"/>
      <c r="C1065" s="59"/>
      <c r="D1065" s="59"/>
      <c r="E1065" s="59"/>
      <c r="F1065" s="59"/>
      <c r="G1065" s="60">
        <f>IF(OR(E1065="",F1065="",C1065="",D1065=""),"",IF(C1065+D1065=0,"",(E1065*C1065+F1065*D1065)/(C1065+D1065)))</f>
        <v/>
      </c>
      <c r="H1065" s="59"/>
      <c r="I1065" s="60">
        <f>IF(OR(H1065="",E1065="",C1065="",D1065=""),"",IF(C1065+D1065=0,"",(H1065*D1065+E1065*C1065)/(C1065+D1065)))</f>
        <v/>
      </c>
      <c r="J1065" s="59"/>
      <c r="K1065" s="61">
        <f>IF(OR(J1065="",I1065=""),"",J1065-I1065)</f>
        <v/>
      </c>
      <c r="L1065" s="61">
        <f>IF(OR(J1065="",G1065=""),"",J1065-G1065)</f>
        <v/>
      </c>
      <c r="M1065" s="59"/>
      <c r="N1065" s="59"/>
      <c r="O1065" s="59"/>
      <c r="P1065" s="59"/>
      <c r="Q1065" s="59"/>
      <c r="R1065" s="60">
        <f>IF(AND(P1065="",Q1065=""),"",N(P1065)+N(Q1065))</f>
        <v/>
      </c>
      <c r="S1065" s="59"/>
      <c r="T1065" s="59"/>
      <c r="U1065" s="62">
        <f>IF(OR(R1065="",S1065="",T1065=""),"",IF(S1065+T1065=0,"",R1065/(S1065+T1065)))</f>
        <v/>
      </c>
      <c r="V1065" s="63"/>
      <c r="W1065" s="64"/>
      <c r="X1065" s="63"/>
    </row>
    <row r="1066" spans="2:24">
      <c r="B1066" s="58"/>
      <c r="C1066" s="59"/>
      <c r="D1066" s="59"/>
      <c r="E1066" s="59"/>
      <c r="F1066" s="59"/>
      <c r="G1066" s="60">
        <f>IF(OR(E1066="",F1066="",C1066="",D1066=""),"",IF(C1066+D1066=0,"",(E1066*C1066+F1066*D1066)/(C1066+D1066)))</f>
        <v/>
      </c>
      <c r="H1066" s="59"/>
      <c r="I1066" s="60">
        <f>IF(OR(H1066="",E1066="",C1066="",D1066=""),"",IF(C1066+D1066=0,"",(H1066*D1066+E1066*C1066)/(C1066+D1066)))</f>
        <v/>
      </c>
      <c r="J1066" s="59"/>
      <c r="K1066" s="61">
        <f>IF(OR(J1066="",I1066=""),"",J1066-I1066)</f>
        <v/>
      </c>
      <c r="L1066" s="61">
        <f>IF(OR(J1066="",G1066=""),"",J1066-G1066)</f>
        <v/>
      </c>
      <c r="M1066" s="59"/>
      <c r="N1066" s="59"/>
      <c r="O1066" s="59"/>
      <c r="P1066" s="59"/>
      <c r="Q1066" s="59"/>
      <c r="R1066" s="60">
        <f>IF(AND(P1066="",Q1066=""),"",N(P1066)+N(Q1066))</f>
        <v/>
      </c>
      <c r="S1066" s="59"/>
      <c r="T1066" s="59"/>
      <c r="U1066" s="62">
        <f>IF(OR(R1066="",S1066="",T1066=""),"",IF(S1066+T1066=0,"",R1066/(S1066+T1066)))</f>
        <v/>
      </c>
      <c r="V1066" s="63"/>
      <c r="W1066" s="64"/>
      <c r="X1066" s="63"/>
    </row>
    <row r="1067" spans="2:24">
      <c r="B1067" s="58"/>
      <c r="C1067" s="59"/>
      <c r="D1067" s="59"/>
      <c r="E1067" s="59"/>
      <c r="F1067" s="59"/>
      <c r="G1067" s="60">
        <f>IF(OR(E1067="",F1067="",C1067="",D1067=""),"",IF(C1067+D1067=0,"",(E1067*C1067+F1067*D1067)/(C1067+D1067)))</f>
        <v/>
      </c>
      <c r="H1067" s="59"/>
      <c r="I1067" s="60">
        <f>IF(OR(H1067="",E1067="",C1067="",D1067=""),"",IF(C1067+D1067=0,"",(H1067*D1067+E1067*C1067)/(C1067+D1067)))</f>
        <v/>
      </c>
      <c r="J1067" s="59"/>
      <c r="K1067" s="61">
        <f>IF(OR(J1067="",I1067=""),"",J1067-I1067)</f>
        <v/>
      </c>
      <c r="L1067" s="61">
        <f>IF(OR(J1067="",G1067=""),"",J1067-G1067)</f>
        <v/>
      </c>
      <c r="M1067" s="59"/>
      <c r="N1067" s="59"/>
      <c r="O1067" s="59"/>
      <c r="P1067" s="59"/>
      <c r="Q1067" s="59"/>
      <c r="R1067" s="60">
        <f>IF(AND(P1067="",Q1067=""),"",N(P1067)+N(Q1067))</f>
        <v/>
      </c>
      <c r="S1067" s="59"/>
      <c r="T1067" s="59"/>
      <c r="U1067" s="62">
        <f>IF(OR(R1067="",S1067="",T1067=""),"",IF(S1067+T1067=0,"",R1067/(S1067+T1067)))</f>
        <v/>
      </c>
      <c r="V1067" s="63"/>
      <c r="W1067" s="64"/>
      <c r="X1067" s="63"/>
    </row>
    <row r="1068" spans="2:24">
      <c r="B1068" s="58"/>
      <c r="C1068" s="59"/>
      <c r="D1068" s="59"/>
      <c r="E1068" s="59"/>
      <c r="F1068" s="59"/>
      <c r="G1068" s="60">
        <f>IF(OR(E1068="",F1068="",C1068="",D1068=""),"",IF(C1068+D1068=0,"",(E1068*C1068+F1068*D1068)/(C1068+D1068)))</f>
        <v/>
      </c>
      <c r="H1068" s="59"/>
      <c r="I1068" s="60">
        <f>IF(OR(H1068="",E1068="",C1068="",D1068=""),"",IF(C1068+D1068=0,"",(H1068*D1068+E1068*C1068)/(C1068+D1068)))</f>
        <v/>
      </c>
      <c r="J1068" s="59"/>
      <c r="K1068" s="61">
        <f>IF(OR(J1068="",I1068=""),"",J1068-I1068)</f>
        <v/>
      </c>
      <c r="L1068" s="61">
        <f>IF(OR(J1068="",G1068=""),"",J1068-G1068)</f>
        <v/>
      </c>
      <c r="M1068" s="59"/>
      <c r="N1068" s="59"/>
      <c r="O1068" s="59"/>
      <c r="P1068" s="59"/>
      <c r="Q1068" s="59"/>
      <c r="R1068" s="60">
        <f>IF(AND(P1068="",Q1068=""),"",N(P1068)+N(Q1068))</f>
        <v/>
      </c>
      <c r="S1068" s="59"/>
      <c r="T1068" s="59"/>
      <c r="U1068" s="62">
        <f>IF(OR(R1068="",S1068="",T1068=""),"",IF(S1068+T1068=0,"",R1068/(S1068+T1068)))</f>
        <v/>
      </c>
      <c r="V1068" s="63"/>
      <c r="W1068" s="64"/>
      <c r="X1068" s="63"/>
    </row>
    <row r="1069" spans="2:24">
      <c r="B1069" s="58"/>
      <c r="C1069" s="59"/>
      <c r="D1069" s="59"/>
      <c r="E1069" s="59"/>
      <c r="F1069" s="59"/>
      <c r="G1069" s="60">
        <f>IF(OR(E1069="",F1069="",C1069="",D1069=""),"",IF(C1069+D1069=0,"",(E1069*C1069+F1069*D1069)/(C1069+D1069)))</f>
        <v/>
      </c>
      <c r="H1069" s="59"/>
      <c r="I1069" s="60">
        <f>IF(OR(H1069="",E1069="",C1069="",D1069=""),"",IF(C1069+D1069=0,"",(H1069*D1069+E1069*C1069)/(C1069+D1069)))</f>
        <v/>
      </c>
      <c r="J1069" s="59"/>
      <c r="K1069" s="61">
        <f>IF(OR(J1069="",I1069=""),"",J1069-I1069)</f>
        <v/>
      </c>
      <c r="L1069" s="61">
        <f>IF(OR(J1069="",G1069=""),"",J1069-G1069)</f>
        <v/>
      </c>
      <c r="M1069" s="59"/>
      <c r="N1069" s="59"/>
      <c r="O1069" s="59"/>
      <c r="P1069" s="59"/>
      <c r="Q1069" s="59"/>
      <c r="R1069" s="60">
        <f>IF(AND(P1069="",Q1069=""),"",N(P1069)+N(Q1069))</f>
        <v/>
      </c>
      <c r="S1069" s="59"/>
      <c r="T1069" s="59"/>
      <c r="U1069" s="62">
        <f>IF(OR(R1069="",S1069="",T1069=""),"",IF(S1069+T1069=0,"",R1069/(S1069+T1069)))</f>
        <v/>
      </c>
      <c r="V1069" s="63"/>
      <c r="W1069" s="64"/>
      <c r="X1069" s="63"/>
    </row>
    <row r="1070" spans="2:24">
      <c r="B1070" s="58"/>
      <c r="C1070" s="59"/>
      <c r="D1070" s="59"/>
      <c r="E1070" s="59"/>
      <c r="F1070" s="59"/>
      <c r="G1070" s="60">
        <f>IF(OR(E1070="",F1070="",C1070="",D1070=""),"",IF(C1070+D1070=0,"",(E1070*C1070+F1070*D1070)/(C1070+D1070)))</f>
        <v/>
      </c>
      <c r="H1070" s="59"/>
      <c r="I1070" s="60">
        <f>IF(OR(H1070="",E1070="",C1070="",D1070=""),"",IF(C1070+D1070=0,"",(H1070*D1070+E1070*C1070)/(C1070+D1070)))</f>
        <v/>
      </c>
      <c r="J1070" s="59"/>
      <c r="K1070" s="61">
        <f>IF(OR(J1070="",I1070=""),"",J1070-I1070)</f>
        <v/>
      </c>
      <c r="L1070" s="61">
        <f>IF(OR(J1070="",G1070=""),"",J1070-G1070)</f>
        <v/>
      </c>
      <c r="M1070" s="59"/>
      <c r="N1070" s="59"/>
      <c r="O1070" s="59"/>
      <c r="P1070" s="59"/>
      <c r="Q1070" s="59"/>
      <c r="R1070" s="60">
        <f>IF(AND(P1070="",Q1070=""),"",N(P1070)+N(Q1070))</f>
        <v/>
      </c>
      <c r="S1070" s="59"/>
      <c r="T1070" s="59"/>
      <c r="U1070" s="62">
        <f>IF(OR(R1070="",S1070="",T1070=""),"",IF(S1070+T1070=0,"",R1070/(S1070+T1070)))</f>
        <v/>
      </c>
      <c r="V1070" s="63"/>
      <c r="W1070" s="64"/>
      <c r="X1070" s="63"/>
    </row>
    <row r="1071" spans="2:24">
      <c r="B1071" s="58"/>
      <c r="C1071" s="59"/>
      <c r="D1071" s="59"/>
      <c r="E1071" s="59"/>
      <c r="F1071" s="59"/>
      <c r="G1071" s="60">
        <f>IF(OR(E1071="",F1071="",C1071="",D1071=""),"",IF(C1071+D1071=0,"",(E1071*C1071+F1071*D1071)/(C1071+D1071)))</f>
        <v/>
      </c>
      <c r="H1071" s="59"/>
      <c r="I1071" s="60">
        <f>IF(OR(H1071="",E1071="",C1071="",D1071=""),"",IF(C1071+D1071=0,"",(H1071*D1071+E1071*C1071)/(C1071+D1071)))</f>
        <v/>
      </c>
      <c r="J1071" s="59"/>
      <c r="K1071" s="61">
        <f>IF(OR(J1071="",I1071=""),"",J1071-I1071)</f>
        <v/>
      </c>
      <c r="L1071" s="61">
        <f>IF(OR(J1071="",G1071=""),"",J1071-G1071)</f>
        <v/>
      </c>
      <c r="M1071" s="59"/>
      <c r="N1071" s="59"/>
      <c r="O1071" s="59"/>
      <c r="P1071" s="59"/>
      <c r="Q1071" s="59"/>
      <c r="R1071" s="60">
        <f>IF(AND(P1071="",Q1071=""),"",N(P1071)+N(Q1071))</f>
        <v/>
      </c>
      <c r="S1071" s="59"/>
      <c r="T1071" s="59"/>
      <c r="U1071" s="62">
        <f>IF(OR(R1071="",S1071="",T1071=""),"",IF(S1071+T1071=0,"",R1071/(S1071+T1071)))</f>
        <v/>
      </c>
      <c r="V1071" s="63"/>
      <c r="W1071" s="64"/>
      <c r="X1071" s="63"/>
    </row>
    <row r="1072" spans="2:24">
      <c r="B1072" s="58"/>
      <c r="C1072" s="59"/>
      <c r="D1072" s="59"/>
      <c r="E1072" s="59"/>
      <c r="F1072" s="59"/>
      <c r="G1072" s="60">
        <f>IF(OR(E1072="",F1072="",C1072="",D1072=""),"",IF(C1072+D1072=0,"",(E1072*C1072+F1072*D1072)/(C1072+D1072)))</f>
        <v/>
      </c>
      <c r="H1072" s="59"/>
      <c r="I1072" s="60">
        <f>IF(OR(H1072="",E1072="",C1072="",D1072=""),"",IF(C1072+D1072=0,"",(H1072*D1072+E1072*C1072)/(C1072+D1072)))</f>
        <v/>
      </c>
      <c r="J1072" s="59"/>
      <c r="K1072" s="61">
        <f>IF(OR(J1072="",I1072=""),"",J1072-I1072)</f>
        <v/>
      </c>
      <c r="L1072" s="61">
        <f>IF(OR(J1072="",G1072=""),"",J1072-G1072)</f>
        <v/>
      </c>
      <c r="M1072" s="59"/>
      <c r="N1072" s="59"/>
      <c r="O1072" s="59"/>
      <c r="P1072" s="59"/>
      <c r="Q1072" s="59"/>
      <c r="R1072" s="60">
        <f>IF(AND(P1072="",Q1072=""),"",N(P1072)+N(Q1072))</f>
        <v/>
      </c>
      <c r="S1072" s="59"/>
      <c r="T1072" s="59"/>
      <c r="U1072" s="62">
        <f>IF(OR(R1072="",S1072="",T1072=""),"",IF(S1072+T1072=0,"",R1072/(S1072+T1072)))</f>
        <v/>
      </c>
      <c r="V1072" s="63"/>
      <c r="W1072" s="64"/>
      <c r="X1072" s="63"/>
    </row>
    <row r="1073" spans="2:24">
      <c r="B1073" s="58"/>
      <c r="C1073" s="59"/>
      <c r="D1073" s="59"/>
      <c r="E1073" s="59"/>
      <c r="F1073" s="59"/>
      <c r="G1073" s="60">
        <f>IF(OR(E1073="",F1073="",C1073="",D1073=""),"",IF(C1073+D1073=0,"",(E1073*C1073+F1073*D1073)/(C1073+D1073)))</f>
        <v/>
      </c>
      <c r="H1073" s="59"/>
      <c r="I1073" s="60">
        <f>IF(OR(H1073="",E1073="",C1073="",D1073=""),"",IF(C1073+D1073=0,"",(H1073*D1073+E1073*C1073)/(C1073+D1073)))</f>
        <v/>
      </c>
      <c r="J1073" s="59"/>
      <c r="K1073" s="61">
        <f>IF(OR(J1073="",I1073=""),"",J1073-I1073)</f>
        <v/>
      </c>
      <c r="L1073" s="61">
        <f>IF(OR(J1073="",G1073=""),"",J1073-G1073)</f>
        <v/>
      </c>
      <c r="M1073" s="59"/>
      <c r="N1073" s="59"/>
      <c r="O1073" s="59"/>
      <c r="P1073" s="59"/>
      <c r="Q1073" s="59"/>
      <c r="R1073" s="60">
        <f>IF(AND(P1073="",Q1073=""),"",N(P1073)+N(Q1073))</f>
        <v/>
      </c>
      <c r="S1073" s="59"/>
      <c r="T1073" s="59"/>
      <c r="U1073" s="62">
        <f>IF(OR(R1073="",S1073="",T1073=""),"",IF(S1073+T1073=0,"",R1073/(S1073+T1073)))</f>
        <v/>
      </c>
      <c r="V1073" s="63"/>
      <c r="W1073" s="64"/>
      <c r="X1073" s="63"/>
    </row>
    <row r="1074" spans="2:24">
      <c r="B1074" s="58"/>
      <c r="C1074" s="59"/>
      <c r="D1074" s="59"/>
      <c r="E1074" s="59"/>
      <c r="F1074" s="59"/>
      <c r="G1074" s="60">
        <f>IF(OR(E1074="",F1074="",C1074="",D1074=""),"",IF(C1074+D1074=0,"",(E1074*C1074+F1074*D1074)/(C1074+D1074)))</f>
        <v/>
      </c>
      <c r="H1074" s="59"/>
      <c r="I1074" s="60">
        <f>IF(OR(H1074="",E1074="",C1074="",D1074=""),"",IF(C1074+D1074=0,"",(H1074*D1074+E1074*C1074)/(C1074+D1074)))</f>
        <v/>
      </c>
      <c r="J1074" s="59"/>
      <c r="K1074" s="61">
        <f>IF(OR(J1074="",I1074=""),"",J1074-I1074)</f>
        <v/>
      </c>
      <c r="L1074" s="61">
        <f>IF(OR(J1074="",G1074=""),"",J1074-G1074)</f>
        <v/>
      </c>
      <c r="M1074" s="59"/>
      <c r="N1074" s="59"/>
      <c r="O1074" s="59"/>
      <c r="P1074" s="59"/>
      <c r="Q1074" s="59"/>
      <c r="R1074" s="60">
        <f>IF(AND(P1074="",Q1074=""),"",N(P1074)+N(Q1074))</f>
        <v/>
      </c>
      <c r="S1074" s="59"/>
      <c r="T1074" s="59"/>
      <c r="U1074" s="62">
        <f>IF(OR(R1074="",S1074="",T1074=""),"",IF(S1074+T1074=0,"",R1074/(S1074+T1074)))</f>
        <v/>
      </c>
      <c r="V1074" s="63"/>
      <c r="W1074" s="64"/>
      <c r="X1074" s="63"/>
    </row>
    <row r="1075" spans="2:24">
      <c r="B1075" s="58"/>
      <c r="C1075" s="59"/>
      <c r="D1075" s="59"/>
      <c r="E1075" s="59"/>
      <c r="F1075" s="59"/>
      <c r="G1075" s="60">
        <f>IF(OR(E1075="",F1075="",C1075="",D1075=""),"",IF(C1075+D1075=0,"",(E1075*C1075+F1075*D1075)/(C1075+D1075)))</f>
        <v/>
      </c>
      <c r="H1075" s="59"/>
      <c r="I1075" s="60">
        <f>IF(OR(H1075="",E1075="",C1075="",D1075=""),"",IF(C1075+D1075=0,"",(H1075*D1075+E1075*C1075)/(C1075+D1075)))</f>
        <v/>
      </c>
      <c r="J1075" s="59"/>
      <c r="K1075" s="61">
        <f>IF(OR(J1075="",I1075=""),"",J1075-I1075)</f>
        <v/>
      </c>
      <c r="L1075" s="61">
        <f>IF(OR(J1075="",G1075=""),"",J1075-G1075)</f>
        <v/>
      </c>
      <c r="M1075" s="59"/>
      <c r="N1075" s="59"/>
      <c r="O1075" s="59"/>
      <c r="P1075" s="59"/>
      <c r="Q1075" s="59"/>
      <c r="R1075" s="60">
        <f>IF(AND(P1075="",Q1075=""),"",N(P1075)+N(Q1075))</f>
        <v/>
      </c>
      <c r="S1075" s="59"/>
      <c r="T1075" s="59"/>
      <c r="U1075" s="62">
        <f>IF(OR(R1075="",S1075="",T1075=""),"",IF(S1075+T1075=0,"",R1075/(S1075+T1075)))</f>
        <v/>
      </c>
      <c r="V1075" s="63"/>
      <c r="W1075" s="64"/>
      <c r="X1075" s="63"/>
    </row>
    <row r="1076" spans="2:24">
      <c r="B1076" s="58"/>
      <c r="C1076" s="59"/>
      <c r="D1076" s="59"/>
      <c r="E1076" s="59"/>
      <c r="F1076" s="59"/>
      <c r="G1076" s="60">
        <f>IF(OR(E1076="",F1076="",C1076="",D1076=""),"",IF(C1076+D1076=0,"",(E1076*C1076+F1076*D1076)/(C1076+D1076)))</f>
        <v/>
      </c>
      <c r="H1076" s="59"/>
      <c r="I1076" s="60">
        <f>IF(OR(H1076="",E1076="",C1076="",D1076=""),"",IF(C1076+D1076=0,"",(H1076*D1076+E1076*C1076)/(C1076+D1076)))</f>
        <v/>
      </c>
      <c r="J1076" s="59"/>
      <c r="K1076" s="61">
        <f>IF(OR(J1076="",I1076=""),"",J1076-I1076)</f>
        <v/>
      </c>
      <c r="L1076" s="61">
        <f>IF(OR(J1076="",G1076=""),"",J1076-G1076)</f>
        <v/>
      </c>
      <c r="M1076" s="59"/>
      <c r="N1076" s="59"/>
      <c r="O1076" s="59"/>
      <c r="P1076" s="59"/>
      <c r="Q1076" s="59"/>
      <c r="R1076" s="60">
        <f>IF(AND(P1076="",Q1076=""),"",N(P1076)+N(Q1076))</f>
        <v/>
      </c>
      <c r="S1076" s="59"/>
      <c r="T1076" s="59"/>
      <c r="U1076" s="62">
        <f>IF(OR(R1076="",S1076="",T1076=""),"",IF(S1076+T1076=0,"",R1076/(S1076+T1076)))</f>
        <v/>
      </c>
      <c r="V1076" s="63"/>
      <c r="W1076" s="64"/>
      <c r="X1076" s="63"/>
    </row>
    <row r="1077" spans="2:24">
      <c r="B1077" s="58"/>
      <c r="C1077" s="59"/>
      <c r="D1077" s="59"/>
      <c r="E1077" s="59"/>
      <c r="F1077" s="59"/>
      <c r="G1077" s="60">
        <f>IF(OR(E1077="",F1077="",C1077="",D1077=""),"",IF(C1077+D1077=0,"",(E1077*C1077+F1077*D1077)/(C1077+D1077)))</f>
        <v/>
      </c>
      <c r="H1077" s="59"/>
      <c r="I1077" s="60">
        <f>IF(OR(H1077="",E1077="",C1077="",D1077=""),"",IF(C1077+D1077=0,"",(H1077*D1077+E1077*C1077)/(C1077+D1077)))</f>
        <v/>
      </c>
      <c r="J1077" s="59"/>
      <c r="K1077" s="61">
        <f>IF(OR(J1077="",I1077=""),"",J1077-I1077)</f>
        <v/>
      </c>
      <c r="L1077" s="61">
        <f>IF(OR(J1077="",G1077=""),"",J1077-G1077)</f>
        <v/>
      </c>
      <c r="M1077" s="59"/>
      <c r="N1077" s="59"/>
      <c r="O1077" s="59"/>
      <c r="P1077" s="59"/>
      <c r="Q1077" s="59"/>
      <c r="R1077" s="60">
        <f>IF(AND(P1077="",Q1077=""),"",N(P1077)+N(Q1077))</f>
        <v/>
      </c>
      <c r="S1077" s="59"/>
      <c r="T1077" s="59"/>
      <c r="U1077" s="62">
        <f>IF(OR(R1077="",S1077="",T1077=""),"",IF(S1077+T1077=0,"",R1077/(S1077+T1077)))</f>
        <v/>
      </c>
      <c r="V1077" s="63"/>
      <c r="W1077" s="64"/>
      <c r="X1077" s="63"/>
    </row>
    <row r="1078" spans="2:24">
      <c r="B1078" s="58"/>
      <c r="C1078" s="59"/>
      <c r="D1078" s="59"/>
      <c r="E1078" s="59"/>
      <c r="F1078" s="59"/>
      <c r="G1078" s="60">
        <f>IF(OR(E1078="",F1078="",C1078="",D1078=""),"",IF(C1078+D1078=0,"",(E1078*C1078+F1078*D1078)/(C1078+D1078)))</f>
        <v/>
      </c>
      <c r="H1078" s="59"/>
      <c r="I1078" s="60">
        <f>IF(OR(H1078="",E1078="",C1078="",D1078=""),"",IF(C1078+D1078=0,"",(H1078*D1078+E1078*C1078)/(C1078+D1078)))</f>
        <v/>
      </c>
      <c r="J1078" s="59"/>
      <c r="K1078" s="61">
        <f>IF(OR(J1078="",I1078=""),"",J1078-I1078)</f>
        <v/>
      </c>
      <c r="L1078" s="61">
        <f>IF(OR(J1078="",G1078=""),"",J1078-G1078)</f>
        <v/>
      </c>
      <c r="M1078" s="59"/>
      <c r="N1078" s="59"/>
      <c r="O1078" s="59"/>
      <c r="P1078" s="59"/>
      <c r="Q1078" s="59"/>
      <c r="R1078" s="60">
        <f>IF(AND(P1078="",Q1078=""),"",N(P1078)+N(Q1078))</f>
        <v/>
      </c>
      <c r="S1078" s="59"/>
      <c r="T1078" s="59"/>
      <c r="U1078" s="62">
        <f>IF(OR(R1078="",S1078="",T1078=""),"",IF(S1078+T1078=0,"",R1078/(S1078+T1078)))</f>
        <v/>
      </c>
      <c r="V1078" s="63"/>
      <c r="W1078" s="64"/>
      <c r="X1078" s="63"/>
    </row>
    <row r="1079" spans="2:24">
      <c r="B1079" s="58"/>
      <c r="C1079" s="59"/>
      <c r="D1079" s="59"/>
      <c r="E1079" s="59"/>
      <c r="F1079" s="59"/>
      <c r="G1079" s="60">
        <f>IF(OR(E1079="",F1079="",C1079="",D1079=""),"",IF(C1079+D1079=0,"",(E1079*C1079+F1079*D1079)/(C1079+D1079)))</f>
        <v/>
      </c>
      <c r="H1079" s="59"/>
      <c r="I1079" s="60">
        <f>IF(OR(H1079="",E1079="",C1079="",D1079=""),"",IF(C1079+D1079=0,"",(H1079*D1079+E1079*C1079)/(C1079+D1079)))</f>
        <v/>
      </c>
      <c r="J1079" s="59"/>
      <c r="K1079" s="61">
        <f>IF(OR(J1079="",I1079=""),"",J1079-I1079)</f>
        <v/>
      </c>
      <c r="L1079" s="61">
        <f>IF(OR(J1079="",G1079=""),"",J1079-G1079)</f>
        <v/>
      </c>
      <c r="M1079" s="59"/>
      <c r="N1079" s="59"/>
      <c r="O1079" s="59"/>
      <c r="P1079" s="59"/>
      <c r="Q1079" s="59"/>
      <c r="R1079" s="60">
        <f>IF(AND(P1079="",Q1079=""),"",N(P1079)+N(Q1079))</f>
        <v/>
      </c>
      <c r="S1079" s="59"/>
      <c r="T1079" s="59"/>
      <c r="U1079" s="62">
        <f>IF(OR(R1079="",S1079="",T1079=""),"",IF(S1079+T1079=0,"",R1079/(S1079+T1079)))</f>
        <v/>
      </c>
      <c r="V1079" s="63"/>
      <c r="W1079" s="64"/>
      <c r="X1079" s="63"/>
    </row>
    <row r="1080" spans="2:24">
      <c r="B1080" s="58"/>
      <c r="C1080" s="59"/>
      <c r="D1080" s="59"/>
      <c r="E1080" s="59"/>
      <c r="F1080" s="59"/>
      <c r="G1080" s="60">
        <f>IF(OR(E1080="",F1080="",C1080="",D1080=""),"",IF(C1080+D1080=0,"",(E1080*C1080+F1080*D1080)/(C1080+D1080)))</f>
        <v/>
      </c>
      <c r="H1080" s="59"/>
      <c r="I1080" s="60">
        <f>IF(OR(H1080="",E1080="",C1080="",D1080=""),"",IF(C1080+D1080=0,"",(H1080*D1080+E1080*C1080)/(C1080+D1080)))</f>
        <v/>
      </c>
      <c r="J1080" s="59"/>
      <c r="K1080" s="61">
        <f>IF(OR(J1080="",I1080=""),"",J1080-I1080)</f>
        <v/>
      </c>
      <c r="L1080" s="61">
        <f>IF(OR(J1080="",G1080=""),"",J1080-G1080)</f>
        <v/>
      </c>
      <c r="M1080" s="59"/>
      <c r="N1080" s="59"/>
      <c r="O1080" s="59"/>
      <c r="P1080" s="59"/>
      <c r="Q1080" s="59"/>
      <c r="R1080" s="60">
        <f>IF(AND(P1080="",Q1080=""),"",N(P1080)+N(Q1080))</f>
        <v/>
      </c>
      <c r="S1080" s="59"/>
      <c r="T1080" s="59"/>
      <c r="U1080" s="62">
        <f>IF(OR(R1080="",S1080="",T1080=""),"",IF(S1080+T1080=0,"",R1080/(S1080+T1080)))</f>
        <v/>
      </c>
      <c r="V1080" s="63"/>
      <c r="W1080" s="64"/>
      <c r="X1080" s="63"/>
    </row>
    <row r="1081" spans="2:24">
      <c r="B1081" s="58"/>
      <c r="C1081" s="59"/>
      <c r="D1081" s="59"/>
      <c r="E1081" s="59"/>
      <c r="F1081" s="59"/>
      <c r="G1081" s="60">
        <f>IF(OR(E1081="",F1081="",C1081="",D1081=""),"",IF(C1081+D1081=0,"",(E1081*C1081+F1081*D1081)/(C1081+D1081)))</f>
        <v/>
      </c>
      <c r="H1081" s="59"/>
      <c r="I1081" s="60">
        <f>IF(OR(H1081="",E1081="",C1081="",D1081=""),"",IF(C1081+D1081=0,"",(H1081*D1081+E1081*C1081)/(C1081+D1081)))</f>
        <v/>
      </c>
      <c r="J1081" s="59"/>
      <c r="K1081" s="61">
        <f>IF(OR(J1081="",I1081=""),"",J1081-I1081)</f>
        <v/>
      </c>
      <c r="L1081" s="61">
        <f>IF(OR(J1081="",G1081=""),"",J1081-G1081)</f>
        <v/>
      </c>
      <c r="M1081" s="59"/>
      <c r="N1081" s="59"/>
      <c r="O1081" s="59"/>
      <c r="P1081" s="59"/>
      <c r="Q1081" s="59"/>
      <c r="R1081" s="60">
        <f>IF(AND(P1081="",Q1081=""),"",N(P1081)+N(Q1081))</f>
        <v/>
      </c>
      <c r="S1081" s="59"/>
      <c r="T1081" s="59"/>
      <c r="U1081" s="62">
        <f>IF(OR(R1081="",S1081="",T1081=""),"",IF(S1081+T1081=0,"",R1081/(S1081+T1081)))</f>
        <v/>
      </c>
      <c r="V1081" s="63"/>
      <c r="W1081" s="64"/>
      <c r="X1081" s="63"/>
    </row>
    <row r="1082" spans="2:24">
      <c r="B1082" s="58"/>
      <c r="C1082" s="59"/>
      <c r="D1082" s="59"/>
      <c r="E1082" s="59"/>
      <c r="F1082" s="59"/>
      <c r="G1082" s="60">
        <f>IF(OR(E1082="",F1082="",C1082="",D1082=""),"",IF(C1082+D1082=0,"",(E1082*C1082+F1082*D1082)/(C1082+D1082)))</f>
        <v/>
      </c>
      <c r="H1082" s="59"/>
      <c r="I1082" s="60">
        <f>IF(OR(H1082="",E1082="",C1082="",D1082=""),"",IF(C1082+D1082=0,"",(H1082*D1082+E1082*C1082)/(C1082+D1082)))</f>
        <v/>
      </c>
      <c r="J1082" s="59"/>
      <c r="K1082" s="61">
        <f>IF(OR(J1082="",I1082=""),"",J1082-I1082)</f>
        <v/>
      </c>
      <c r="L1082" s="61">
        <f>IF(OR(J1082="",G1082=""),"",J1082-G1082)</f>
        <v/>
      </c>
      <c r="M1082" s="59"/>
      <c r="N1082" s="59"/>
      <c r="O1082" s="59"/>
      <c r="P1082" s="59"/>
      <c r="Q1082" s="59"/>
      <c r="R1082" s="60">
        <f>IF(AND(P1082="",Q1082=""),"",N(P1082)+N(Q1082))</f>
        <v/>
      </c>
      <c r="S1082" s="59"/>
      <c r="T1082" s="59"/>
      <c r="U1082" s="62">
        <f>IF(OR(R1082="",S1082="",T1082=""),"",IF(S1082+T1082=0,"",R1082/(S1082+T1082)))</f>
        <v/>
      </c>
      <c r="V1082" s="63"/>
      <c r="W1082" s="64"/>
      <c r="X1082" s="63"/>
    </row>
    <row r="1083" spans="2:24">
      <c r="B1083" s="58"/>
      <c r="C1083" s="59"/>
      <c r="D1083" s="59"/>
      <c r="E1083" s="59"/>
      <c r="F1083" s="59"/>
      <c r="G1083" s="60">
        <f>IF(OR(E1083="",F1083="",C1083="",D1083=""),"",IF(C1083+D1083=0,"",(E1083*C1083+F1083*D1083)/(C1083+D1083)))</f>
        <v/>
      </c>
      <c r="H1083" s="59"/>
      <c r="I1083" s="60">
        <f>IF(OR(H1083="",E1083="",C1083="",D1083=""),"",IF(C1083+D1083=0,"",(H1083*D1083+E1083*C1083)/(C1083+D1083)))</f>
        <v/>
      </c>
      <c r="J1083" s="59"/>
      <c r="K1083" s="61">
        <f>IF(OR(J1083="",I1083=""),"",J1083-I1083)</f>
        <v/>
      </c>
      <c r="L1083" s="61">
        <f>IF(OR(J1083="",G1083=""),"",J1083-G1083)</f>
        <v/>
      </c>
      <c r="M1083" s="59"/>
      <c r="N1083" s="59"/>
      <c r="O1083" s="59"/>
      <c r="P1083" s="59"/>
      <c r="Q1083" s="59"/>
      <c r="R1083" s="60">
        <f>IF(AND(P1083="",Q1083=""),"",N(P1083)+N(Q1083))</f>
        <v/>
      </c>
      <c r="S1083" s="59"/>
      <c r="T1083" s="59"/>
      <c r="U1083" s="62">
        <f>IF(OR(R1083="",S1083="",T1083=""),"",IF(S1083+T1083=0,"",R1083/(S1083+T1083)))</f>
        <v/>
      </c>
      <c r="V1083" s="63"/>
      <c r="W1083" s="64"/>
      <c r="X1083" s="63"/>
    </row>
    <row r="1084" spans="2:24">
      <c r="B1084" s="58"/>
      <c r="C1084" s="59"/>
      <c r="D1084" s="59"/>
      <c r="E1084" s="59"/>
      <c r="F1084" s="59"/>
      <c r="G1084" s="60">
        <f>IF(OR(E1084="",F1084="",C1084="",D1084=""),"",IF(C1084+D1084=0,"",(E1084*C1084+F1084*D1084)/(C1084+D1084)))</f>
        <v/>
      </c>
      <c r="H1084" s="59"/>
      <c r="I1084" s="60">
        <f>IF(OR(H1084="",E1084="",C1084="",D1084=""),"",IF(C1084+D1084=0,"",(H1084*D1084+E1084*C1084)/(C1084+D1084)))</f>
        <v/>
      </c>
      <c r="J1084" s="59"/>
      <c r="K1084" s="61">
        <f>IF(OR(J1084="",I1084=""),"",J1084-I1084)</f>
        <v/>
      </c>
      <c r="L1084" s="61">
        <f>IF(OR(J1084="",G1084=""),"",J1084-G1084)</f>
        <v/>
      </c>
      <c r="M1084" s="59"/>
      <c r="N1084" s="59"/>
      <c r="O1084" s="59"/>
      <c r="P1084" s="59"/>
      <c r="Q1084" s="59"/>
      <c r="R1084" s="60">
        <f>IF(AND(P1084="",Q1084=""),"",N(P1084)+N(Q1084))</f>
        <v/>
      </c>
      <c r="S1084" s="59"/>
      <c r="T1084" s="59"/>
      <c r="U1084" s="62">
        <f>IF(OR(R1084="",S1084="",T1084=""),"",IF(S1084+T1084=0,"",R1084/(S1084+T1084)))</f>
        <v/>
      </c>
      <c r="V1084" s="63"/>
      <c r="W1084" s="64"/>
      <c r="X1084" s="63"/>
    </row>
    <row r="1085" spans="2:24">
      <c r="B1085" s="58"/>
      <c r="C1085" s="59"/>
      <c r="D1085" s="59"/>
      <c r="E1085" s="59"/>
      <c r="F1085" s="59"/>
      <c r="G1085" s="60">
        <f>IF(OR(E1085="",F1085="",C1085="",D1085=""),"",IF(C1085+D1085=0,"",(E1085*C1085+F1085*D1085)/(C1085+D1085)))</f>
        <v/>
      </c>
      <c r="H1085" s="59"/>
      <c r="I1085" s="60">
        <f>IF(OR(H1085="",E1085="",C1085="",D1085=""),"",IF(C1085+D1085=0,"",(H1085*D1085+E1085*C1085)/(C1085+D1085)))</f>
        <v/>
      </c>
      <c r="J1085" s="59"/>
      <c r="K1085" s="61">
        <f>IF(OR(J1085="",I1085=""),"",J1085-I1085)</f>
        <v/>
      </c>
      <c r="L1085" s="61">
        <f>IF(OR(J1085="",G1085=""),"",J1085-G1085)</f>
        <v/>
      </c>
      <c r="M1085" s="59"/>
      <c r="N1085" s="59"/>
      <c r="O1085" s="59"/>
      <c r="P1085" s="59"/>
      <c r="Q1085" s="59"/>
      <c r="R1085" s="60">
        <f>IF(AND(P1085="",Q1085=""),"",N(P1085)+N(Q1085))</f>
        <v/>
      </c>
      <c r="S1085" s="59"/>
      <c r="T1085" s="59"/>
      <c r="U1085" s="62">
        <f>IF(OR(R1085="",S1085="",T1085=""),"",IF(S1085+T1085=0,"",R1085/(S1085+T1085)))</f>
        <v/>
      </c>
      <c r="V1085" s="63"/>
      <c r="W1085" s="64"/>
      <c r="X1085" s="63"/>
    </row>
    <row r="1086" spans="2:24">
      <c r="B1086" s="58"/>
      <c r="C1086" s="59"/>
      <c r="D1086" s="59"/>
      <c r="E1086" s="59"/>
      <c r="F1086" s="59"/>
      <c r="G1086" s="60">
        <f>IF(OR(E1086="",F1086="",C1086="",D1086=""),"",IF(C1086+D1086=0,"",(E1086*C1086+F1086*D1086)/(C1086+D1086)))</f>
        <v/>
      </c>
      <c r="H1086" s="59"/>
      <c r="I1086" s="60">
        <f>IF(OR(H1086="",E1086="",C1086="",D1086=""),"",IF(C1086+D1086=0,"",(H1086*D1086+E1086*C1086)/(C1086+D1086)))</f>
        <v/>
      </c>
      <c r="J1086" s="59"/>
      <c r="K1086" s="61">
        <f>IF(OR(J1086="",I1086=""),"",J1086-I1086)</f>
        <v/>
      </c>
      <c r="L1086" s="61">
        <f>IF(OR(J1086="",G1086=""),"",J1086-G1086)</f>
        <v/>
      </c>
      <c r="M1086" s="59"/>
      <c r="N1086" s="59"/>
      <c r="O1086" s="59"/>
      <c r="P1086" s="59"/>
      <c r="Q1086" s="59"/>
      <c r="R1086" s="60">
        <f>IF(AND(P1086="",Q1086=""),"",N(P1086)+N(Q1086))</f>
        <v/>
      </c>
      <c r="S1086" s="59"/>
      <c r="T1086" s="59"/>
      <c r="U1086" s="62">
        <f>IF(OR(R1086="",S1086="",T1086=""),"",IF(S1086+T1086=0,"",R1086/(S1086+T1086)))</f>
        <v/>
      </c>
      <c r="V1086" s="63"/>
      <c r="W1086" s="64"/>
      <c r="X1086" s="63"/>
    </row>
    <row r="1087" spans="2:24">
      <c r="B1087" s="58"/>
      <c r="C1087" s="59"/>
      <c r="D1087" s="59"/>
      <c r="E1087" s="59"/>
      <c r="F1087" s="59"/>
      <c r="G1087" s="60">
        <f>IF(OR(E1087="",F1087="",C1087="",D1087=""),"",IF(C1087+D1087=0,"",(E1087*C1087+F1087*D1087)/(C1087+D1087)))</f>
        <v/>
      </c>
      <c r="H1087" s="59"/>
      <c r="I1087" s="60">
        <f>IF(OR(H1087="",E1087="",C1087="",D1087=""),"",IF(C1087+D1087=0,"",(H1087*D1087+E1087*C1087)/(C1087+D1087)))</f>
        <v/>
      </c>
      <c r="J1087" s="59"/>
      <c r="K1087" s="61">
        <f>IF(OR(J1087="",I1087=""),"",J1087-I1087)</f>
        <v/>
      </c>
      <c r="L1087" s="61">
        <f>IF(OR(J1087="",G1087=""),"",J1087-G1087)</f>
        <v/>
      </c>
      <c r="M1087" s="59"/>
      <c r="N1087" s="59"/>
      <c r="O1087" s="59"/>
      <c r="P1087" s="59"/>
      <c r="Q1087" s="59"/>
      <c r="R1087" s="60">
        <f>IF(AND(P1087="",Q1087=""),"",N(P1087)+N(Q1087))</f>
        <v/>
      </c>
      <c r="S1087" s="59"/>
      <c r="T1087" s="59"/>
      <c r="U1087" s="62">
        <f>IF(OR(R1087="",S1087="",T1087=""),"",IF(S1087+T1087=0,"",R1087/(S1087+T1087)))</f>
        <v/>
      </c>
      <c r="V1087" s="63"/>
      <c r="W1087" s="64"/>
      <c r="X1087" s="63"/>
    </row>
    <row r="1088" spans="2:24">
      <c r="B1088" s="58"/>
      <c r="C1088" s="59"/>
      <c r="D1088" s="59"/>
      <c r="E1088" s="59"/>
      <c r="F1088" s="59"/>
      <c r="G1088" s="60">
        <f>IF(OR(E1088="",F1088="",C1088="",D1088=""),"",IF(C1088+D1088=0,"",(E1088*C1088+F1088*D1088)/(C1088+D1088)))</f>
        <v/>
      </c>
      <c r="H1088" s="59"/>
      <c r="I1088" s="60">
        <f>IF(OR(H1088="",E1088="",C1088="",D1088=""),"",IF(C1088+D1088=0,"",(H1088*D1088+E1088*C1088)/(C1088+D1088)))</f>
        <v/>
      </c>
      <c r="J1088" s="59"/>
      <c r="K1088" s="61">
        <f>IF(OR(J1088="",I1088=""),"",J1088-I1088)</f>
        <v/>
      </c>
      <c r="L1088" s="61">
        <f>IF(OR(J1088="",G1088=""),"",J1088-G1088)</f>
        <v/>
      </c>
      <c r="M1088" s="59"/>
      <c r="N1088" s="59"/>
      <c r="O1088" s="59"/>
      <c r="P1088" s="59"/>
      <c r="Q1088" s="59"/>
      <c r="R1088" s="60">
        <f>IF(AND(P1088="",Q1088=""),"",N(P1088)+N(Q1088))</f>
        <v/>
      </c>
      <c r="S1088" s="59"/>
      <c r="T1088" s="59"/>
      <c r="U1088" s="62">
        <f>IF(OR(R1088="",S1088="",T1088=""),"",IF(S1088+T1088=0,"",R1088/(S1088+T1088)))</f>
        <v/>
      </c>
      <c r="V1088" s="63"/>
      <c r="W1088" s="64"/>
      <c r="X1088" s="63"/>
    </row>
    <row r="1089" spans="2:24">
      <c r="B1089" s="58"/>
      <c r="C1089" s="59"/>
      <c r="D1089" s="59"/>
      <c r="E1089" s="59"/>
      <c r="F1089" s="59"/>
      <c r="G1089" s="60">
        <f>IF(OR(E1089="",F1089="",C1089="",D1089=""),"",IF(C1089+D1089=0,"",(E1089*C1089+F1089*D1089)/(C1089+D1089)))</f>
        <v/>
      </c>
      <c r="H1089" s="59"/>
      <c r="I1089" s="60">
        <f>IF(OR(H1089="",E1089="",C1089="",D1089=""),"",IF(C1089+D1089=0,"",(H1089*D1089+E1089*C1089)/(C1089+D1089)))</f>
        <v/>
      </c>
      <c r="J1089" s="59"/>
      <c r="K1089" s="61">
        <f>IF(OR(J1089="",I1089=""),"",J1089-I1089)</f>
        <v/>
      </c>
      <c r="L1089" s="61">
        <f>IF(OR(J1089="",G1089=""),"",J1089-G1089)</f>
        <v/>
      </c>
      <c r="M1089" s="59"/>
      <c r="N1089" s="59"/>
      <c r="O1089" s="59"/>
      <c r="P1089" s="59"/>
      <c r="Q1089" s="59"/>
      <c r="R1089" s="60">
        <f>IF(AND(P1089="",Q1089=""),"",N(P1089)+N(Q1089))</f>
        <v/>
      </c>
      <c r="S1089" s="59"/>
      <c r="T1089" s="59"/>
      <c r="U1089" s="62">
        <f>IF(OR(R1089="",S1089="",T1089=""),"",IF(S1089+T1089=0,"",R1089/(S1089+T1089)))</f>
        <v/>
      </c>
      <c r="V1089" s="63"/>
      <c r="W1089" s="64"/>
      <c r="X1089" s="63"/>
    </row>
    <row r="1090" spans="2:24">
      <c r="B1090" s="58"/>
      <c r="C1090" s="59"/>
      <c r="D1090" s="59"/>
      <c r="E1090" s="59"/>
      <c r="F1090" s="59"/>
      <c r="G1090" s="60">
        <f>IF(OR(E1090="",F1090="",C1090="",D1090=""),"",IF(C1090+D1090=0,"",(E1090*C1090+F1090*D1090)/(C1090+D1090)))</f>
        <v/>
      </c>
      <c r="H1090" s="59"/>
      <c r="I1090" s="60">
        <f>IF(OR(H1090="",E1090="",C1090="",D1090=""),"",IF(C1090+D1090=0,"",(H1090*D1090+E1090*C1090)/(C1090+D1090)))</f>
        <v/>
      </c>
      <c r="J1090" s="59"/>
      <c r="K1090" s="61">
        <f>IF(OR(J1090="",I1090=""),"",J1090-I1090)</f>
        <v/>
      </c>
      <c r="L1090" s="61">
        <f>IF(OR(J1090="",G1090=""),"",J1090-G1090)</f>
        <v/>
      </c>
      <c r="M1090" s="59"/>
      <c r="N1090" s="59"/>
      <c r="O1090" s="59"/>
      <c r="P1090" s="59"/>
      <c r="Q1090" s="59"/>
      <c r="R1090" s="60">
        <f>IF(AND(P1090="",Q1090=""),"",N(P1090)+N(Q1090))</f>
        <v/>
      </c>
      <c r="S1090" s="59"/>
      <c r="T1090" s="59"/>
      <c r="U1090" s="62">
        <f>IF(OR(R1090="",S1090="",T1090=""),"",IF(S1090+T1090=0,"",R1090/(S1090+T1090)))</f>
        <v/>
      </c>
      <c r="V1090" s="63"/>
      <c r="W1090" s="64"/>
      <c r="X1090" s="63"/>
    </row>
    <row r="1091" spans="2:24">
      <c r="B1091" s="58"/>
      <c r="C1091" s="59"/>
      <c r="D1091" s="59"/>
      <c r="E1091" s="59"/>
      <c r="F1091" s="59"/>
      <c r="G1091" s="60">
        <f>IF(OR(E1091="",F1091="",C1091="",D1091=""),"",IF(C1091+D1091=0,"",(E1091*C1091+F1091*D1091)/(C1091+D1091)))</f>
        <v/>
      </c>
      <c r="H1091" s="59"/>
      <c r="I1091" s="60">
        <f>IF(OR(H1091="",E1091="",C1091="",D1091=""),"",IF(C1091+D1091=0,"",(H1091*D1091+E1091*C1091)/(C1091+D1091)))</f>
        <v/>
      </c>
      <c r="J1091" s="59"/>
      <c r="K1091" s="61">
        <f>IF(OR(J1091="",I1091=""),"",J1091-I1091)</f>
        <v/>
      </c>
      <c r="L1091" s="61">
        <f>IF(OR(J1091="",G1091=""),"",J1091-G1091)</f>
        <v/>
      </c>
      <c r="M1091" s="59"/>
      <c r="N1091" s="59"/>
      <c r="O1091" s="59"/>
      <c r="P1091" s="59"/>
      <c r="Q1091" s="59"/>
      <c r="R1091" s="60">
        <f>IF(AND(P1091="",Q1091=""),"",N(P1091)+N(Q1091))</f>
        <v/>
      </c>
      <c r="S1091" s="59"/>
      <c r="T1091" s="59"/>
      <c r="U1091" s="62">
        <f>IF(OR(R1091="",S1091="",T1091=""),"",IF(S1091+T1091=0,"",R1091/(S1091+T1091)))</f>
        <v/>
      </c>
      <c r="V1091" s="63"/>
      <c r="W1091" s="64"/>
      <c r="X1091" s="63"/>
    </row>
    <row r="1092" spans="2:24">
      <c r="B1092" s="58"/>
      <c r="C1092" s="59"/>
      <c r="D1092" s="59"/>
      <c r="E1092" s="59"/>
      <c r="F1092" s="59"/>
      <c r="G1092" s="60">
        <f>IF(OR(E1092="",F1092="",C1092="",D1092=""),"",IF(C1092+D1092=0,"",(E1092*C1092+F1092*D1092)/(C1092+D1092)))</f>
        <v/>
      </c>
      <c r="H1092" s="59"/>
      <c r="I1092" s="60">
        <f>IF(OR(H1092="",E1092="",C1092="",D1092=""),"",IF(C1092+D1092=0,"",(H1092*D1092+E1092*C1092)/(C1092+D1092)))</f>
        <v/>
      </c>
      <c r="J1092" s="59"/>
      <c r="K1092" s="61">
        <f>IF(OR(J1092="",I1092=""),"",J1092-I1092)</f>
        <v/>
      </c>
      <c r="L1092" s="61">
        <f>IF(OR(J1092="",G1092=""),"",J1092-G1092)</f>
        <v/>
      </c>
      <c r="M1092" s="59"/>
      <c r="N1092" s="59"/>
      <c r="O1092" s="59"/>
      <c r="P1092" s="59"/>
      <c r="Q1092" s="59"/>
      <c r="R1092" s="60">
        <f>IF(AND(P1092="",Q1092=""),"",N(P1092)+N(Q1092))</f>
        <v/>
      </c>
      <c r="S1092" s="59"/>
      <c r="T1092" s="59"/>
      <c r="U1092" s="62">
        <f>IF(OR(R1092="",S1092="",T1092=""),"",IF(S1092+T1092=0,"",R1092/(S1092+T1092)))</f>
        <v/>
      </c>
      <c r="V1092" s="63"/>
      <c r="W1092" s="64"/>
      <c r="X1092" s="63"/>
    </row>
    <row r="1093" spans="2:24">
      <c r="B1093" s="58"/>
      <c r="C1093" s="59"/>
      <c r="D1093" s="59"/>
      <c r="E1093" s="59"/>
      <c r="F1093" s="59"/>
      <c r="G1093" s="60">
        <f>IF(OR(E1093="",F1093="",C1093="",D1093=""),"",IF(C1093+D1093=0,"",(E1093*C1093+F1093*D1093)/(C1093+D1093)))</f>
        <v/>
      </c>
      <c r="H1093" s="59"/>
      <c r="I1093" s="60">
        <f>IF(OR(H1093="",E1093="",C1093="",D1093=""),"",IF(C1093+D1093=0,"",(H1093*D1093+E1093*C1093)/(C1093+D1093)))</f>
        <v/>
      </c>
      <c r="J1093" s="59"/>
      <c r="K1093" s="61">
        <f>IF(OR(J1093="",I1093=""),"",J1093-I1093)</f>
        <v/>
      </c>
      <c r="L1093" s="61">
        <f>IF(OR(J1093="",G1093=""),"",J1093-G1093)</f>
        <v/>
      </c>
      <c r="M1093" s="59"/>
      <c r="N1093" s="59"/>
      <c r="O1093" s="59"/>
      <c r="P1093" s="59"/>
      <c r="Q1093" s="59"/>
      <c r="R1093" s="60">
        <f>IF(AND(P1093="",Q1093=""),"",N(P1093)+N(Q1093))</f>
        <v/>
      </c>
      <c r="S1093" s="59"/>
      <c r="T1093" s="59"/>
      <c r="U1093" s="62">
        <f>IF(OR(R1093="",S1093="",T1093=""),"",IF(S1093+T1093=0,"",R1093/(S1093+T1093)))</f>
        <v/>
      </c>
      <c r="V1093" s="63"/>
      <c r="W1093" s="64"/>
      <c r="X1093" s="63"/>
    </row>
    <row r="1094" spans="2:24">
      <c r="B1094" s="58"/>
      <c r="C1094" s="59"/>
      <c r="D1094" s="59"/>
      <c r="E1094" s="59"/>
      <c r="F1094" s="59"/>
      <c r="G1094" s="60">
        <f>IF(OR(E1094="",F1094="",C1094="",D1094=""),"",IF(C1094+D1094=0,"",(E1094*C1094+F1094*D1094)/(C1094+D1094)))</f>
        <v/>
      </c>
      <c r="H1094" s="59"/>
      <c r="I1094" s="60">
        <f>IF(OR(H1094="",E1094="",C1094="",D1094=""),"",IF(C1094+D1094=0,"",(H1094*D1094+E1094*C1094)/(C1094+D1094)))</f>
        <v/>
      </c>
      <c r="J1094" s="59"/>
      <c r="K1094" s="61">
        <f>IF(OR(J1094="",I1094=""),"",J1094-I1094)</f>
        <v/>
      </c>
      <c r="L1094" s="61">
        <f>IF(OR(J1094="",G1094=""),"",J1094-G1094)</f>
        <v/>
      </c>
      <c r="M1094" s="59"/>
      <c r="N1094" s="59"/>
      <c r="O1094" s="59"/>
      <c r="P1094" s="59"/>
      <c r="Q1094" s="59"/>
      <c r="R1094" s="60">
        <f>IF(AND(P1094="",Q1094=""),"",N(P1094)+N(Q1094))</f>
        <v/>
      </c>
      <c r="S1094" s="59"/>
      <c r="T1094" s="59"/>
      <c r="U1094" s="62">
        <f>IF(OR(R1094="",S1094="",T1094=""),"",IF(S1094+T1094=0,"",R1094/(S1094+T1094)))</f>
        <v/>
      </c>
      <c r="V1094" s="63"/>
      <c r="W1094" s="64"/>
      <c r="X1094" s="63"/>
    </row>
    <row r="1095" spans="2:24">
      <c r="B1095" s="58"/>
      <c r="C1095" s="59"/>
      <c r="D1095" s="59"/>
      <c r="E1095" s="59"/>
      <c r="F1095" s="59"/>
      <c r="G1095" s="60">
        <f>IF(OR(E1095="",F1095="",C1095="",D1095=""),"",IF(C1095+D1095=0,"",(E1095*C1095+F1095*D1095)/(C1095+D1095)))</f>
        <v/>
      </c>
      <c r="H1095" s="59"/>
      <c r="I1095" s="60">
        <f>IF(OR(H1095="",E1095="",C1095="",D1095=""),"",IF(C1095+D1095=0,"",(H1095*D1095+E1095*C1095)/(C1095+D1095)))</f>
        <v/>
      </c>
      <c r="J1095" s="59"/>
      <c r="K1095" s="61">
        <f>IF(OR(J1095="",I1095=""),"",J1095-I1095)</f>
        <v/>
      </c>
      <c r="L1095" s="61">
        <f>IF(OR(J1095="",G1095=""),"",J1095-G1095)</f>
        <v/>
      </c>
      <c r="M1095" s="59"/>
      <c r="N1095" s="59"/>
      <c r="O1095" s="59"/>
      <c r="P1095" s="59"/>
      <c r="Q1095" s="59"/>
      <c r="R1095" s="60">
        <f>IF(AND(P1095="",Q1095=""),"",N(P1095)+N(Q1095))</f>
        <v/>
      </c>
      <c r="S1095" s="59"/>
      <c r="T1095" s="59"/>
      <c r="U1095" s="62">
        <f>IF(OR(R1095="",S1095="",T1095=""),"",IF(S1095+T1095=0,"",R1095/(S1095+T1095)))</f>
        <v/>
      </c>
      <c r="V1095" s="63"/>
      <c r="W1095" s="64"/>
      <c r="X1095" s="63"/>
    </row>
    <row r="1096" spans="2:24">
      <c r="B1096" s="58"/>
      <c r="C1096" s="59"/>
      <c r="D1096" s="59"/>
      <c r="E1096" s="59"/>
      <c r="F1096" s="59"/>
      <c r="G1096" s="60">
        <f>IF(OR(E1096="",F1096="",C1096="",D1096=""),"",IF(C1096+D1096=0,"",(E1096*C1096+F1096*D1096)/(C1096+D1096)))</f>
        <v/>
      </c>
      <c r="H1096" s="59"/>
      <c r="I1096" s="60">
        <f>IF(OR(H1096="",E1096="",C1096="",D1096=""),"",IF(C1096+D1096=0,"",(H1096*D1096+E1096*C1096)/(C1096+D1096)))</f>
        <v/>
      </c>
      <c r="J1096" s="59"/>
      <c r="K1096" s="61">
        <f>IF(OR(J1096="",I1096=""),"",J1096-I1096)</f>
        <v/>
      </c>
      <c r="L1096" s="61">
        <f>IF(OR(J1096="",G1096=""),"",J1096-G1096)</f>
        <v/>
      </c>
      <c r="M1096" s="59"/>
      <c r="N1096" s="59"/>
      <c r="O1096" s="59"/>
      <c r="P1096" s="59"/>
      <c r="Q1096" s="59"/>
      <c r="R1096" s="60">
        <f>IF(AND(P1096="",Q1096=""),"",N(P1096)+N(Q1096))</f>
        <v/>
      </c>
      <c r="S1096" s="59"/>
      <c r="T1096" s="59"/>
      <c r="U1096" s="62">
        <f>IF(OR(R1096="",S1096="",T1096=""),"",IF(S1096+T1096=0,"",R1096/(S1096+T1096)))</f>
        <v/>
      </c>
      <c r="V1096" s="63"/>
      <c r="W1096" s="64"/>
      <c r="X1096" s="63"/>
    </row>
    <row r="1097" spans="2:24">
      <c r="B1097" s="58"/>
      <c r="C1097" s="59"/>
      <c r="D1097" s="59"/>
      <c r="E1097" s="59"/>
      <c r="F1097" s="59"/>
      <c r="G1097" s="60">
        <f>IF(OR(E1097="",F1097="",C1097="",D1097=""),"",IF(C1097+D1097=0,"",(E1097*C1097+F1097*D1097)/(C1097+D1097)))</f>
        <v/>
      </c>
      <c r="H1097" s="59"/>
      <c r="I1097" s="60">
        <f>IF(OR(H1097="",E1097="",C1097="",D1097=""),"",IF(C1097+D1097=0,"",(H1097*D1097+E1097*C1097)/(C1097+D1097)))</f>
        <v/>
      </c>
      <c r="J1097" s="59"/>
      <c r="K1097" s="61">
        <f>IF(OR(J1097="",I1097=""),"",J1097-I1097)</f>
        <v/>
      </c>
      <c r="L1097" s="61">
        <f>IF(OR(J1097="",G1097=""),"",J1097-G1097)</f>
        <v/>
      </c>
      <c r="M1097" s="59"/>
      <c r="N1097" s="59"/>
      <c r="O1097" s="59"/>
      <c r="P1097" s="59"/>
      <c r="Q1097" s="59"/>
      <c r="R1097" s="60">
        <f>IF(AND(P1097="",Q1097=""),"",N(P1097)+N(Q1097))</f>
        <v/>
      </c>
      <c r="S1097" s="59"/>
      <c r="T1097" s="59"/>
      <c r="U1097" s="62">
        <f>IF(OR(R1097="",S1097="",T1097=""),"",IF(S1097+T1097=0,"",R1097/(S1097+T1097)))</f>
        <v/>
      </c>
      <c r="V1097" s="63"/>
      <c r="W1097" s="64"/>
      <c r="X1097" s="63"/>
    </row>
    <row r="1098" spans="2:24">
      <c r="B1098" s="58"/>
      <c r="C1098" s="59"/>
      <c r="D1098" s="59"/>
      <c r="E1098" s="59"/>
      <c r="F1098" s="59"/>
      <c r="G1098" s="60">
        <f>IF(OR(E1098="",F1098="",C1098="",D1098=""),"",IF(C1098+D1098=0,"",(E1098*C1098+F1098*D1098)/(C1098+D1098)))</f>
        <v/>
      </c>
      <c r="H1098" s="59"/>
      <c r="I1098" s="60">
        <f>IF(OR(H1098="",E1098="",C1098="",D1098=""),"",IF(C1098+D1098=0,"",(H1098*D1098+E1098*C1098)/(C1098+D1098)))</f>
        <v/>
      </c>
      <c r="J1098" s="59"/>
      <c r="K1098" s="61">
        <f>IF(OR(J1098="",I1098=""),"",J1098-I1098)</f>
        <v/>
      </c>
      <c r="L1098" s="61">
        <f>IF(OR(J1098="",G1098=""),"",J1098-G1098)</f>
        <v/>
      </c>
      <c r="M1098" s="59"/>
      <c r="N1098" s="59"/>
      <c r="O1098" s="59"/>
      <c r="P1098" s="59"/>
      <c r="Q1098" s="59"/>
      <c r="R1098" s="60">
        <f>IF(AND(P1098="",Q1098=""),"",N(P1098)+N(Q1098))</f>
        <v/>
      </c>
      <c r="S1098" s="59"/>
      <c r="T1098" s="59"/>
      <c r="U1098" s="62">
        <f>IF(OR(R1098="",S1098="",T1098=""),"",IF(S1098+T1098=0,"",R1098/(S1098+T1098)))</f>
        <v/>
      </c>
      <c r="V1098" s="63"/>
      <c r="W1098" s="64"/>
      <c r="X1098" s="63"/>
    </row>
    <row r="1099" spans="2:24">
      <c r="B1099" s="58"/>
      <c r="C1099" s="59"/>
      <c r="D1099" s="59"/>
      <c r="E1099" s="59"/>
      <c r="F1099" s="59"/>
      <c r="G1099" s="60">
        <f>IF(OR(E1099="",F1099="",C1099="",D1099=""),"",IF(C1099+D1099=0,"",(E1099*C1099+F1099*D1099)/(C1099+D1099)))</f>
        <v/>
      </c>
      <c r="H1099" s="59"/>
      <c r="I1099" s="60">
        <f>IF(OR(H1099="",E1099="",C1099="",D1099=""),"",IF(C1099+D1099=0,"",(H1099*D1099+E1099*C1099)/(C1099+D1099)))</f>
        <v/>
      </c>
      <c r="J1099" s="59"/>
      <c r="K1099" s="61">
        <f>IF(OR(J1099="",I1099=""),"",J1099-I1099)</f>
        <v/>
      </c>
      <c r="L1099" s="61">
        <f>IF(OR(J1099="",G1099=""),"",J1099-G1099)</f>
        <v/>
      </c>
      <c r="M1099" s="59"/>
      <c r="N1099" s="59"/>
      <c r="O1099" s="59"/>
      <c r="P1099" s="59"/>
      <c r="Q1099" s="59"/>
      <c r="R1099" s="60">
        <f>IF(AND(P1099="",Q1099=""),"",N(P1099)+N(Q1099))</f>
        <v/>
      </c>
      <c r="S1099" s="59"/>
      <c r="T1099" s="59"/>
      <c r="U1099" s="62">
        <f>IF(OR(R1099="",S1099="",T1099=""),"",IF(S1099+T1099=0,"",R1099/(S1099+T1099)))</f>
        <v/>
      </c>
      <c r="V1099" s="63"/>
      <c r="W1099" s="64"/>
      <c r="X1099" s="63"/>
    </row>
    <row r="1100" spans="2:24">
      <c r="B1100" s="58"/>
      <c r="C1100" s="59"/>
      <c r="D1100" s="59"/>
      <c r="E1100" s="59"/>
      <c r="F1100" s="59"/>
      <c r="G1100" s="60">
        <f>IF(OR(E1100="",F1100="",C1100="",D1100=""),"",IF(C1100+D1100=0,"",(E1100*C1100+F1100*D1100)/(C1100+D1100)))</f>
        <v/>
      </c>
      <c r="H1100" s="59"/>
      <c r="I1100" s="60">
        <f>IF(OR(H1100="",E1100="",C1100="",D1100=""),"",IF(C1100+D1100=0,"",(H1100*D1100+E1100*C1100)/(C1100+D1100)))</f>
        <v/>
      </c>
      <c r="J1100" s="59"/>
      <c r="K1100" s="61">
        <f>IF(OR(J1100="",I1100=""),"",J1100-I1100)</f>
        <v/>
      </c>
      <c r="L1100" s="61">
        <f>IF(OR(J1100="",G1100=""),"",J1100-G1100)</f>
        <v/>
      </c>
      <c r="M1100" s="59"/>
      <c r="N1100" s="59"/>
      <c r="O1100" s="59"/>
      <c r="P1100" s="59"/>
      <c r="Q1100" s="59"/>
      <c r="R1100" s="60">
        <f>IF(AND(P1100="",Q1100=""),"",N(P1100)+N(Q1100))</f>
        <v/>
      </c>
      <c r="S1100" s="59"/>
      <c r="T1100" s="59"/>
      <c r="U1100" s="62">
        <f>IF(OR(R1100="",S1100="",T1100=""),"",IF(S1100+T1100=0,"",R1100/(S1100+T1100)))</f>
        <v/>
      </c>
      <c r="V1100" s="63"/>
      <c r="W1100" s="64"/>
      <c r="X1100" s="63"/>
    </row>
    <row r="1101" spans="2:24">
      <c r="B1101" s="58"/>
      <c r="C1101" s="59"/>
      <c r="D1101" s="59"/>
      <c r="E1101" s="59"/>
      <c r="F1101" s="59"/>
      <c r="G1101" s="60">
        <f>IF(OR(E1101="",F1101="",C1101="",D1101=""),"",IF(C1101+D1101=0,"",(E1101*C1101+F1101*D1101)/(C1101+D1101)))</f>
        <v/>
      </c>
      <c r="H1101" s="59"/>
      <c r="I1101" s="60">
        <f>IF(OR(H1101="",E1101="",C1101="",D1101=""),"",IF(C1101+D1101=0,"",(H1101*D1101+E1101*C1101)/(C1101+D1101)))</f>
        <v/>
      </c>
      <c r="J1101" s="59"/>
      <c r="K1101" s="61">
        <f>IF(OR(J1101="",I1101=""),"",J1101-I1101)</f>
        <v/>
      </c>
      <c r="L1101" s="61">
        <f>IF(OR(J1101="",G1101=""),"",J1101-G1101)</f>
        <v/>
      </c>
      <c r="M1101" s="59"/>
      <c r="N1101" s="59"/>
      <c r="O1101" s="59"/>
      <c r="P1101" s="59"/>
      <c r="Q1101" s="59"/>
      <c r="R1101" s="60">
        <f>IF(AND(P1101="",Q1101=""),"",N(P1101)+N(Q1101))</f>
        <v/>
      </c>
      <c r="S1101" s="59"/>
      <c r="T1101" s="59"/>
      <c r="U1101" s="62">
        <f>IF(OR(R1101="",S1101="",T1101=""),"",IF(S1101+T1101=0,"",R1101/(S1101+T1101)))</f>
        <v/>
      </c>
      <c r="V1101" s="63"/>
      <c r="W1101" s="64"/>
      <c r="X1101" s="63"/>
    </row>
    <row r="1102" spans="2:24">
      <c r="B1102" s="58"/>
      <c r="C1102" s="59"/>
      <c r="D1102" s="59"/>
      <c r="E1102" s="59"/>
      <c r="F1102" s="59"/>
      <c r="G1102" s="60">
        <f>IF(OR(E1102="",F1102="",C1102="",D1102=""),"",IF(C1102+D1102=0,"",(E1102*C1102+F1102*D1102)/(C1102+D1102)))</f>
        <v/>
      </c>
      <c r="H1102" s="59"/>
      <c r="I1102" s="60">
        <f>IF(OR(H1102="",E1102="",C1102="",D1102=""),"",IF(C1102+D1102=0,"",(H1102*D1102+E1102*C1102)/(C1102+D1102)))</f>
        <v/>
      </c>
      <c r="J1102" s="59"/>
      <c r="K1102" s="61">
        <f>IF(OR(J1102="",I1102=""),"",J1102-I1102)</f>
        <v/>
      </c>
      <c r="L1102" s="61">
        <f>IF(OR(J1102="",G1102=""),"",J1102-G1102)</f>
        <v/>
      </c>
      <c r="M1102" s="59"/>
      <c r="N1102" s="59"/>
      <c r="O1102" s="59"/>
      <c r="P1102" s="59"/>
      <c r="Q1102" s="59"/>
      <c r="R1102" s="60">
        <f>IF(AND(P1102="",Q1102=""),"",N(P1102)+N(Q1102))</f>
        <v/>
      </c>
      <c r="S1102" s="59"/>
      <c r="T1102" s="59"/>
      <c r="U1102" s="62">
        <f>IF(OR(R1102="",S1102="",T1102=""),"",IF(S1102+T1102=0,"",R1102/(S1102+T1102)))</f>
        <v/>
      </c>
      <c r="V1102" s="63"/>
      <c r="W1102" s="64"/>
      <c r="X1102" s="63"/>
    </row>
    <row r="1103" spans="2:24">
      <c r="B1103" s="58"/>
      <c r="C1103" s="59"/>
      <c r="D1103" s="59"/>
      <c r="E1103" s="59"/>
      <c r="F1103" s="59"/>
      <c r="G1103" s="60">
        <f>IF(OR(E1103="",F1103="",C1103="",D1103=""),"",IF(C1103+D1103=0,"",(E1103*C1103+F1103*D1103)/(C1103+D1103)))</f>
        <v/>
      </c>
      <c r="H1103" s="59"/>
      <c r="I1103" s="60">
        <f>IF(OR(H1103="",E1103="",C1103="",D1103=""),"",IF(C1103+D1103=0,"",(H1103*D1103+E1103*C1103)/(C1103+D1103)))</f>
        <v/>
      </c>
      <c r="J1103" s="59"/>
      <c r="K1103" s="61">
        <f>IF(OR(J1103="",I1103=""),"",J1103-I1103)</f>
        <v/>
      </c>
      <c r="L1103" s="61">
        <f>IF(OR(J1103="",G1103=""),"",J1103-G1103)</f>
        <v/>
      </c>
      <c r="M1103" s="59"/>
      <c r="N1103" s="59"/>
      <c r="O1103" s="59"/>
      <c r="P1103" s="59"/>
      <c r="Q1103" s="59"/>
      <c r="R1103" s="60">
        <f>IF(AND(P1103="",Q1103=""),"",N(P1103)+N(Q1103))</f>
        <v/>
      </c>
      <c r="S1103" s="59"/>
      <c r="T1103" s="59"/>
      <c r="U1103" s="62">
        <f>IF(OR(R1103="",S1103="",T1103=""),"",IF(S1103+T1103=0,"",R1103/(S1103+T1103)))</f>
        <v/>
      </c>
      <c r="V1103" s="63"/>
      <c r="W1103" s="64"/>
      <c r="X1103" s="63"/>
    </row>
    <row r="1104" spans="2:24">
      <c r="B1104" s="58"/>
      <c r="C1104" s="59"/>
      <c r="D1104" s="59"/>
      <c r="E1104" s="59"/>
      <c r="F1104" s="59"/>
      <c r="G1104" s="60">
        <f>IF(OR(E1104="",F1104="",C1104="",D1104=""),"",IF(C1104+D1104=0,"",(E1104*C1104+F1104*D1104)/(C1104+D1104)))</f>
        <v/>
      </c>
      <c r="H1104" s="59"/>
      <c r="I1104" s="60">
        <f>IF(OR(H1104="",E1104="",C1104="",D1104=""),"",IF(C1104+D1104=0,"",(H1104*D1104+E1104*C1104)/(C1104+D1104)))</f>
        <v/>
      </c>
      <c r="J1104" s="59"/>
      <c r="K1104" s="61">
        <f>IF(OR(J1104="",I1104=""),"",J1104-I1104)</f>
        <v/>
      </c>
      <c r="L1104" s="61">
        <f>IF(OR(J1104="",G1104=""),"",J1104-G1104)</f>
        <v/>
      </c>
      <c r="M1104" s="59"/>
      <c r="N1104" s="59"/>
      <c r="O1104" s="59"/>
      <c r="P1104" s="59"/>
      <c r="Q1104" s="59"/>
      <c r="R1104" s="60">
        <f>IF(AND(P1104="",Q1104=""),"",N(P1104)+N(Q1104))</f>
        <v/>
      </c>
      <c r="S1104" s="59"/>
      <c r="T1104" s="59"/>
      <c r="U1104" s="62">
        <f>IF(OR(R1104="",S1104="",T1104=""),"",IF(S1104+T1104=0,"",R1104/(S1104+T1104)))</f>
        <v/>
      </c>
      <c r="V1104" s="63"/>
      <c r="W1104" s="64"/>
      <c r="X1104" s="63"/>
    </row>
    <row r="1105" spans="2:24">
      <c r="B1105" s="58"/>
      <c r="C1105" s="59"/>
      <c r="D1105" s="59"/>
      <c r="E1105" s="59"/>
      <c r="F1105" s="59"/>
      <c r="G1105" s="60">
        <f>IF(OR(E1105="",F1105="",C1105="",D1105=""),"",IF(C1105+D1105=0,"",(E1105*C1105+F1105*D1105)/(C1105+D1105)))</f>
        <v/>
      </c>
      <c r="H1105" s="59"/>
      <c r="I1105" s="60">
        <f>IF(OR(H1105="",E1105="",C1105="",D1105=""),"",IF(C1105+D1105=0,"",(H1105*D1105+E1105*C1105)/(C1105+D1105)))</f>
        <v/>
      </c>
      <c r="J1105" s="59"/>
      <c r="K1105" s="61">
        <f>IF(OR(J1105="",I1105=""),"",J1105-I1105)</f>
        <v/>
      </c>
      <c r="L1105" s="61">
        <f>IF(OR(J1105="",G1105=""),"",J1105-G1105)</f>
        <v/>
      </c>
      <c r="M1105" s="59"/>
      <c r="N1105" s="59"/>
      <c r="O1105" s="59"/>
      <c r="P1105" s="59"/>
      <c r="Q1105" s="59"/>
      <c r="R1105" s="60">
        <f>IF(AND(P1105="",Q1105=""),"",N(P1105)+N(Q1105))</f>
        <v/>
      </c>
      <c r="S1105" s="59"/>
      <c r="T1105" s="59"/>
      <c r="U1105" s="62">
        <f>IF(OR(R1105="",S1105="",T1105=""),"",IF(S1105+T1105=0,"",R1105/(S1105+T1105)))</f>
        <v/>
      </c>
      <c r="V1105" s="63"/>
      <c r="W1105" s="64"/>
      <c r="X1105" s="63"/>
    </row>
    <row r="1106" spans="2:24">
      <c r="B1106" s="58"/>
      <c r="C1106" s="59"/>
      <c r="D1106" s="59"/>
      <c r="E1106" s="59"/>
      <c r="F1106" s="59"/>
      <c r="G1106" s="60">
        <f>IF(OR(E1106="",F1106="",C1106="",D1106=""),"",IF(C1106+D1106=0,"",(E1106*C1106+F1106*D1106)/(C1106+D1106)))</f>
        <v/>
      </c>
      <c r="H1106" s="59"/>
      <c r="I1106" s="60">
        <f>IF(OR(H1106="",E1106="",C1106="",D1106=""),"",IF(C1106+D1106=0,"",(H1106*D1106+E1106*C1106)/(C1106+D1106)))</f>
        <v/>
      </c>
      <c r="J1106" s="59"/>
      <c r="K1106" s="61">
        <f>IF(OR(J1106="",I1106=""),"",J1106-I1106)</f>
        <v/>
      </c>
      <c r="L1106" s="61">
        <f>IF(OR(J1106="",G1106=""),"",J1106-G1106)</f>
        <v/>
      </c>
      <c r="M1106" s="59"/>
      <c r="N1106" s="59"/>
      <c r="O1106" s="59"/>
      <c r="P1106" s="59"/>
      <c r="Q1106" s="59"/>
      <c r="R1106" s="60">
        <f>IF(AND(P1106="",Q1106=""),"",N(P1106)+N(Q1106))</f>
        <v/>
      </c>
      <c r="S1106" s="59"/>
      <c r="T1106" s="59"/>
      <c r="U1106" s="62">
        <f>IF(OR(R1106="",S1106="",T1106=""),"",IF(S1106+T1106=0,"",R1106/(S1106+T1106)))</f>
        <v/>
      </c>
      <c r="V1106" s="63"/>
      <c r="W1106" s="64"/>
      <c r="X1106" s="63"/>
    </row>
    <row r="1107" spans="2:24">
      <c r="B1107" s="58"/>
      <c r="C1107" s="59"/>
      <c r="D1107" s="59"/>
      <c r="E1107" s="59"/>
      <c r="F1107" s="59"/>
      <c r="G1107" s="60">
        <f>IF(OR(E1107="",F1107="",C1107="",D1107=""),"",IF(C1107+D1107=0,"",(E1107*C1107+F1107*D1107)/(C1107+D1107)))</f>
        <v/>
      </c>
      <c r="H1107" s="59"/>
      <c r="I1107" s="60">
        <f>IF(OR(H1107="",E1107="",C1107="",D1107=""),"",IF(C1107+D1107=0,"",(H1107*D1107+E1107*C1107)/(C1107+D1107)))</f>
        <v/>
      </c>
      <c r="J1107" s="59"/>
      <c r="K1107" s="61">
        <f>IF(OR(J1107="",I1107=""),"",J1107-I1107)</f>
        <v/>
      </c>
      <c r="L1107" s="61">
        <f>IF(OR(J1107="",G1107=""),"",J1107-G1107)</f>
        <v/>
      </c>
      <c r="M1107" s="59"/>
      <c r="N1107" s="59"/>
      <c r="O1107" s="59"/>
      <c r="P1107" s="59"/>
      <c r="Q1107" s="59"/>
      <c r="R1107" s="60">
        <f>IF(AND(P1107="",Q1107=""),"",N(P1107)+N(Q1107))</f>
        <v/>
      </c>
      <c r="S1107" s="59"/>
      <c r="T1107" s="59"/>
      <c r="U1107" s="62">
        <f>IF(OR(R1107="",S1107="",T1107=""),"",IF(S1107+T1107=0,"",R1107/(S1107+T1107)))</f>
        <v/>
      </c>
      <c r="V1107" s="63"/>
      <c r="W1107" s="64"/>
      <c r="X1107" s="63"/>
    </row>
    <row r="1108" spans="2:24">
      <c r="B1108" s="58"/>
      <c r="C1108" s="59"/>
      <c r="D1108" s="59"/>
      <c r="E1108" s="59"/>
      <c r="F1108" s="59"/>
      <c r="G1108" s="60">
        <f>IF(OR(E1108="",F1108="",C1108="",D1108=""),"",IF(C1108+D1108=0,"",(E1108*C1108+F1108*D1108)/(C1108+D1108)))</f>
        <v/>
      </c>
      <c r="H1108" s="59"/>
      <c r="I1108" s="60">
        <f>IF(OR(H1108="",E1108="",C1108="",D1108=""),"",IF(C1108+D1108=0,"",(H1108*D1108+E1108*C1108)/(C1108+D1108)))</f>
        <v/>
      </c>
      <c r="J1108" s="59"/>
      <c r="K1108" s="61">
        <f>IF(OR(J1108="",I1108=""),"",J1108-I1108)</f>
        <v/>
      </c>
      <c r="L1108" s="61">
        <f>IF(OR(J1108="",G1108=""),"",J1108-G1108)</f>
        <v/>
      </c>
      <c r="M1108" s="59"/>
      <c r="N1108" s="59"/>
      <c r="O1108" s="59"/>
      <c r="P1108" s="59"/>
      <c r="Q1108" s="59"/>
      <c r="R1108" s="60">
        <f>IF(AND(P1108="",Q1108=""),"",N(P1108)+N(Q1108))</f>
        <v/>
      </c>
      <c r="S1108" s="59"/>
      <c r="T1108" s="59"/>
      <c r="U1108" s="62">
        <f>IF(OR(R1108="",S1108="",T1108=""),"",IF(S1108+T1108=0,"",R1108/(S1108+T1108)))</f>
        <v/>
      </c>
      <c r="V1108" s="63"/>
      <c r="W1108" s="64"/>
      <c r="X1108" s="63"/>
    </row>
    <row r="1109" spans="2:24">
      <c r="B1109" s="58"/>
      <c r="C1109" s="59"/>
      <c r="D1109" s="59"/>
      <c r="E1109" s="59"/>
      <c r="F1109" s="59"/>
      <c r="G1109" s="60">
        <f>IF(OR(E1109="",F1109="",C1109="",D1109=""),"",IF(C1109+D1109=0,"",(E1109*C1109+F1109*D1109)/(C1109+D1109)))</f>
        <v/>
      </c>
      <c r="H1109" s="59"/>
      <c r="I1109" s="60">
        <f>IF(OR(H1109="",E1109="",C1109="",D1109=""),"",IF(C1109+D1109=0,"",(H1109*D1109+E1109*C1109)/(C1109+D1109)))</f>
        <v/>
      </c>
      <c r="J1109" s="59"/>
      <c r="K1109" s="61">
        <f>IF(OR(J1109="",I1109=""),"",J1109-I1109)</f>
        <v/>
      </c>
      <c r="L1109" s="61">
        <f>IF(OR(J1109="",G1109=""),"",J1109-G1109)</f>
        <v/>
      </c>
      <c r="M1109" s="59"/>
      <c r="N1109" s="59"/>
      <c r="O1109" s="59"/>
      <c r="P1109" s="59"/>
      <c r="Q1109" s="59"/>
      <c r="R1109" s="60">
        <f>IF(AND(P1109="",Q1109=""),"",N(P1109)+N(Q1109))</f>
        <v/>
      </c>
      <c r="S1109" s="59"/>
      <c r="T1109" s="59"/>
      <c r="U1109" s="62">
        <f>IF(OR(R1109="",S1109="",T1109=""),"",IF(S1109+T1109=0,"",R1109/(S1109+T1109)))</f>
        <v/>
      </c>
      <c r="V1109" s="63"/>
      <c r="W1109" s="64"/>
      <c r="X1109" s="63"/>
    </row>
    <row r="1110" spans="2:24">
      <c r="B1110" s="58"/>
      <c r="C1110" s="59"/>
      <c r="D1110" s="59"/>
      <c r="E1110" s="59"/>
      <c r="F1110" s="59"/>
      <c r="G1110" s="60">
        <f>IF(OR(E1110="",F1110="",C1110="",D1110=""),"",IF(C1110+D1110=0,"",(E1110*C1110+F1110*D1110)/(C1110+D1110)))</f>
        <v/>
      </c>
      <c r="H1110" s="59"/>
      <c r="I1110" s="60">
        <f>IF(OR(H1110="",E1110="",C1110="",D1110=""),"",IF(C1110+D1110=0,"",(H1110*D1110+E1110*C1110)/(C1110+D1110)))</f>
        <v/>
      </c>
      <c r="J1110" s="59"/>
      <c r="K1110" s="61">
        <f>IF(OR(J1110="",I1110=""),"",J1110-I1110)</f>
        <v/>
      </c>
      <c r="L1110" s="61">
        <f>IF(OR(J1110="",G1110=""),"",J1110-G1110)</f>
        <v/>
      </c>
      <c r="M1110" s="59"/>
      <c r="N1110" s="59"/>
      <c r="O1110" s="59"/>
      <c r="P1110" s="59"/>
      <c r="Q1110" s="59"/>
      <c r="R1110" s="60">
        <f>IF(AND(P1110="",Q1110=""),"",N(P1110)+N(Q1110))</f>
        <v/>
      </c>
      <c r="S1110" s="59"/>
      <c r="T1110" s="59"/>
      <c r="U1110" s="62">
        <f>IF(OR(R1110="",S1110="",T1110=""),"",IF(S1110+T1110=0,"",R1110/(S1110+T1110)))</f>
        <v/>
      </c>
      <c r="V1110" s="63"/>
      <c r="W1110" s="64"/>
      <c r="X1110" s="63"/>
    </row>
    <row r="1111" spans="2:24">
      <c r="B1111" s="58"/>
      <c r="C1111" s="59"/>
      <c r="D1111" s="59"/>
      <c r="E1111" s="59"/>
      <c r="F1111" s="59"/>
      <c r="G1111" s="60">
        <f>IF(OR(E1111="",F1111="",C1111="",D1111=""),"",IF(C1111+D1111=0,"",(E1111*C1111+F1111*D1111)/(C1111+D1111)))</f>
        <v/>
      </c>
      <c r="H1111" s="59"/>
      <c r="I1111" s="60">
        <f>IF(OR(H1111="",E1111="",C1111="",D1111=""),"",IF(C1111+D1111=0,"",(H1111*D1111+E1111*C1111)/(C1111+D1111)))</f>
        <v/>
      </c>
      <c r="J1111" s="59"/>
      <c r="K1111" s="61">
        <f>IF(OR(J1111="",I1111=""),"",J1111-I1111)</f>
        <v/>
      </c>
      <c r="L1111" s="61">
        <f>IF(OR(J1111="",G1111=""),"",J1111-G1111)</f>
        <v/>
      </c>
      <c r="M1111" s="59"/>
      <c r="N1111" s="59"/>
      <c r="O1111" s="59"/>
      <c r="P1111" s="59"/>
      <c r="Q1111" s="59"/>
      <c r="R1111" s="60">
        <f>IF(AND(P1111="",Q1111=""),"",N(P1111)+N(Q1111))</f>
        <v/>
      </c>
      <c r="S1111" s="59"/>
      <c r="T1111" s="59"/>
      <c r="U1111" s="62">
        <f>IF(OR(R1111="",S1111="",T1111=""),"",IF(S1111+T1111=0,"",R1111/(S1111+T1111)))</f>
        <v/>
      </c>
      <c r="V1111" s="63"/>
      <c r="W1111" s="64"/>
      <c r="X1111" s="63"/>
    </row>
    <row r="1112" spans="2:24">
      <c r="B1112" s="58"/>
      <c r="C1112" s="59"/>
      <c r="D1112" s="59"/>
      <c r="E1112" s="59"/>
      <c r="F1112" s="59"/>
      <c r="G1112" s="60">
        <f>IF(OR(E1112="",F1112="",C1112="",D1112=""),"",IF(C1112+D1112=0,"",(E1112*C1112+F1112*D1112)/(C1112+D1112)))</f>
        <v/>
      </c>
      <c r="H1112" s="59"/>
      <c r="I1112" s="60">
        <f>IF(OR(H1112="",E1112="",C1112="",D1112=""),"",IF(C1112+D1112=0,"",(H1112*D1112+E1112*C1112)/(C1112+D1112)))</f>
        <v/>
      </c>
      <c r="J1112" s="59"/>
      <c r="K1112" s="61">
        <f>IF(OR(J1112="",I1112=""),"",J1112-I1112)</f>
        <v/>
      </c>
      <c r="L1112" s="61">
        <f>IF(OR(J1112="",G1112=""),"",J1112-G1112)</f>
        <v/>
      </c>
      <c r="M1112" s="59"/>
      <c r="N1112" s="59"/>
      <c r="O1112" s="59"/>
      <c r="P1112" s="59"/>
      <c r="Q1112" s="59"/>
      <c r="R1112" s="60">
        <f>IF(AND(P1112="",Q1112=""),"",N(P1112)+N(Q1112))</f>
        <v/>
      </c>
      <c r="S1112" s="59"/>
      <c r="T1112" s="59"/>
      <c r="U1112" s="62">
        <f>IF(OR(R1112="",S1112="",T1112=""),"",IF(S1112+T1112=0,"",R1112/(S1112+T1112)))</f>
        <v/>
      </c>
      <c r="V1112" s="63"/>
      <c r="W1112" s="64"/>
      <c r="X1112" s="63"/>
    </row>
    <row r="1113" spans="2:24">
      <c r="B1113" s="58"/>
      <c r="C1113" s="59"/>
      <c r="D1113" s="59"/>
      <c r="E1113" s="59"/>
      <c r="F1113" s="59"/>
      <c r="G1113" s="60">
        <f>IF(OR(E1113="",F1113="",C1113="",D1113=""),"",IF(C1113+D1113=0,"",(E1113*C1113+F1113*D1113)/(C1113+D1113)))</f>
        <v/>
      </c>
      <c r="H1113" s="59"/>
      <c r="I1113" s="60">
        <f>IF(OR(H1113="",E1113="",C1113="",D1113=""),"",IF(C1113+D1113=0,"",(H1113*D1113+E1113*C1113)/(C1113+D1113)))</f>
        <v/>
      </c>
      <c r="J1113" s="59"/>
      <c r="K1113" s="61">
        <f>IF(OR(J1113="",I1113=""),"",J1113-I1113)</f>
        <v/>
      </c>
      <c r="L1113" s="61">
        <f>IF(OR(J1113="",G1113=""),"",J1113-G1113)</f>
        <v/>
      </c>
      <c r="M1113" s="59"/>
      <c r="N1113" s="59"/>
      <c r="O1113" s="59"/>
      <c r="P1113" s="59"/>
      <c r="Q1113" s="59"/>
      <c r="R1113" s="60">
        <f>IF(AND(P1113="",Q1113=""),"",N(P1113)+N(Q1113))</f>
        <v/>
      </c>
      <c r="S1113" s="59"/>
      <c r="T1113" s="59"/>
      <c r="U1113" s="62">
        <f>IF(OR(R1113="",S1113="",T1113=""),"",IF(S1113+T1113=0,"",R1113/(S1113+T1113)))</f>
        <v/>
      </c>
      <c r="V1113" s="63"/>
      <c r="W1113" s="64"/>
      <c r="X1113" s="63"/>
    </row>
    <row r="1114" spans="2:24">
      <c r="B1114" s="58"/>
      <c r="C1114" s="59"/>
      <c r="D1114" s="59"/>
      <c r="E1114" s="59"/>
      <c r="F1114" s="59"/>
      <c r="G1114" s="60">
        <f>IF(OR(E1114="",F1114="",C1114="",D1114=""),"",IF(C1114+D1114=0,"",(E1114*C1114+F1114*D1114)/(C1114+D1114)))</f>
        <v/>
      </c>
      <c r="H1114" s="59"/>
      <c r="I1114" s="60">
        <f>IF(OR(H1114="",E1114="",C1114="",D1114=""),"",IF(C1114+D1114=0,"",(H1114*D1114+E1114*C1114)/(C1114+D1114)))</f>
        <v/>
      </c>
      <c r="J1114" s="59"/>
      <c r="K1114" s="61">
        <f>IF(OR(J1114="",I1114=""),"",J1114-I1114)</f>
        <v/>
      </c>
      <c r="L1114" s="61">
        <f>IF(OR(J1114="",G1114=""),"",J1114-G1114)</f>
        <v/>
      </c>
      <c r="M1114" s="59"/>
      <c r="N1114" s="59"/>
      <c r="O1114" s="59"/>
      <c r="P1114" s="59"/>
      <c r="Q1114" s="59"/>
      <c r="R1114" s="60">
        <f>IF(AND(P1114="",Q1114=""),"",N(P1114)+N(Q1114))</f>
        <v/>
      </c>
      <c r="S1114" s="59"/>
      <c r="T1114" s="59"/>
      <c r="U1114" s="62">
        <f>IF(OR(R1114="",S1114="",T1114=""),"",IF(S1114+T1114=0,"",R1114/(S1114+T1114)))</f>
        <v/>
      </c>
      <c r="V1114" s="63"/>
      <c r="W1114" s="64"/>
      <c r="X1114" s="63"/>
    </row>
    <row r="1115" spans="2:24">
      <c r="B1115" s="58"/>
      <c r="C1115" s="59"/>
      <c r="D1115" s="59"/>
      <c r="E1115" s="59"/>
      <c r="F1115" s="59"/>
      <c r="G1115" s="60">
        <f>IF(OR(E1115="",F1115="",C1115="",D1115=""),"",IF(C1115+D1115=0,"",(E1115*C1115+F1115*D1115)/(C1115+D1115)))</f>
        <v/>
      </c>
      <c r="H1115" s="59"/>
      <c r="I1115" s="60">
        <f>IF(OR(H1115="",E1115="",C1115="",D1115=""),"",IF(C1115+D1115=0,"",(H1115*D1115+E1115*C1115)/(C1115+D1115)))</f>
        <v/>
      </c>
      <c r="J1115" s="59"/>
      <c r="K1115" s="61">
        <f>IF(OR(J1115="",I1115=""),"",J1115-I1115)</f>
        <v/>
      </c>
      <c r="L1115" s="61">
        <f>IF(OR(J1115="",G1115=""),"",J1115-G1115)</f>
        <v/>
      </c>
      <c r="M1115" s="59"/>
      <c r="N1115" s="59"/>
      <c r="O1115" s="59"/>
      <c r="P1115" s="59"/>
      <c r="Q1115" s="59"/>
      <c r="R1115" s="60">
        <f>IF(AND(P1115="",Q1115=""),"",N(P1115)+N(Q1115))</f>
        <v/>
      </c>
      <c r="S1115" s="59"/>
      <c r="T1115" s="59"/>
      <c r="U1115" s="62">
        <f>IF(OR(R1115="",S1115="",T1115=""),"",IF(S1115+T1115=0,"",R1115/(S1115+T1115)))</f>
        <v/>
      </c>
      <c r="V1115" s="63"/>
      <c r="W1115" s="64"/>
      <c r="X1115" s="63"/>
    </row>
    <row r="1116" spans="2:24">
      <c r="B1116" s="58"/>
      <c r="C1116" s="59"/>
      <c r="D1116" s="59"/>
      <c r="E1116" s="59"/>
      <c r="F1116" s="59"/>
      <c r="G1116" s="60">
        <f>IF(OR(E1116="",F1116="",C1116="",D1116=""),"",IF(C1116+D1116=0,"",(E1116*C1116+F1116*D1116)/(C1116+D1116)))</f>
        <v/>
      </c>
      <c r="H1116" s="59"/>
      <c r="I1116" s="60">
        <f>IF(OR(H1116="",E1116="",C1116="",D1116=""),"",IF(C1116+D1116=0,"",(H1116*D1116+E1116*C1116)/(C1116+D1116)))</f>
        <v/>
      </c>
      <c r="J1116" s="59"/>
      <c r="K1116" s="61">
        <f>IF(OR(J1116="",I1116=""),"",J1116-I1116)</f>
        <v/>
      </c>
      <c r="L1116" s="61">
        <f>IF(OR(J1116="",G1116=""),"",J1116-G1116)</f>
        <v/>
      </c>
      <c r="M1116" s="59"/>
      <c r="N1116" s="59"/>
      <c r="O1116" s="59"/>
      <c r="P1116" s="59"/>
      <c r="Q1116" s="59"/>
      <c r="R1116" s="60">
        <f>IF(AND(P1116="",Q1116=""),"",N(P1116)+N(Q1116))</f>
        <v/>
      </c>
      <c r="S1116" s="59"/>
      <c r="T1116" s="59"/>
      <c r="U1116" s="62">
        <f>IF(OR(R1116="",S1116="",T1116=""),"",IF(S1116+T1116=0,"",R1116/(S1116+T1116)))</f>
        <v/>
      </c>
      <c r="V1116" s="63"/>
      <c r="W1116" s="64"/>
      <c r="X1116" s="63"/>
    </row>
    <row r="1117" spans="2:24">
      <c r="B1117" s="58"/>
      <c r="C1117" s="59"/>
      <c r="D1117" s="59"/>
      <c r="E1117" s="59"/>
      <c r="F1117" s="59"/>
      <c r="G1117" s="60">
        <f>IF(OR(E1117="",F1117="",C1117="",D1117=""),"",IF(C1117+D1117=0,"",(E1117*C1117+F1117*D1117)/(C1117+D1117)))</f>
        <v/>
      </c>
      <c r="H1117" s="59"/>
      <c r="I1117" s="60">
        <f>IF(OR(H1117="",E1117="",C1117="",D1117=""),"",IF(C1117+D1117=0,"",(H1117*D1117+E1117*C1117)/(C1117+D1117)))</f>
        <v/>
      </c>
      <c r="J1117" s="59"/>
      <c r="K1117" s="61">
        <f>IF(OR(J1117="",I1117=""),"",J1117-I1117)</f>
        <v/>
      </c>
      <c r="L1117" s="61">
        <f>IF(OR(J1117="",G1117=""),"",J1117-G1117)</f>
        <v/>
      </c>
      <c r="M1117" s="59"/>
      <c r="N1117" s="59"/>
      <c r="O1117" s="59"/>
      <c r="P1117" s="59"/>
      <c r="Q1117" s="59"/>
      <c r="R1117" s="60">
        <f>IF(AND(P1117="",Q1117=""),"",N(P1117)+N(Q1117))</f>
        <v/>
      </c>
      <c r="S1117" s="59"/>
      <c r="T1117" s="59"/>
      <c r="U1117" s="62">
        <f>IF(OR(R1117="",S1117="",T1117=""),"",IF(S1117+T1117=0,"",R1117/(S1117+T1117)))</f>
        <v/>
      </c>
      <c r="V1117" s="63"/>
      <c r="W1117" s="64"/>
      <c r="X1117" s="63"/>
    </row>
    <row r="1118" spans="2:24">
      <c r="B1118" s="58"/>
      <c r="C1118" s="59"/>
      <c r="D1118" s="59"/>
      <c r="E1118" s="59"/>
      <c r="F1118" s="59"/>
      <c r="G1118" s="60">
        <f>IF(OR(E1118="",F1118="",C1118="",D1118=""),"",IF(C1118+D1118=0,"",(E1118*C1118+F1118*D1118)/(C1118+D1118)))</f>
        <v/>
      </c>
      <c r="H1118" s="59"/>
      <c r="I1118" s="60">
        <f>IF(OR(H1118="",E1118="",C1118="",D1118=""),"",IF(C1118+D1118=0,"",(H1118*D1118+E1118*C1118)/(C1118+D1118)))</f>
        <v/>
      </c>
      <c r="J1118" s="59"/>
      <c r="K1118" s="61">
        <f>IF(OR(J1118="",I1118=""),"",J1118-I1118)</f>
        <v/>
      </c>
      <c r="L1118" s="61">
        <f>IF(OR(J1118="",G1118=""),"",J1118-G1118)</f>
        <v/>
      </c>
      <c r="M1118" s="59"/>
      <c r="N1118" s="59"/>
      <c r="O1118" s="59"/>
      <c r="P1118" s="59"/>
      <c r="Q1118" s="59"/>
      <c r="R1118" s="60">
        <f>IF(AND(P1118="",Q1118=""),"",N(P1118)+N(Q1118))</f>
        <v/>
      </c>
      <c r="S1118" s="59"/>
      <c r="T1118" s="59"/>
      <c r="U1118" s="62">
        <f>IF(OR(R1118="",S1118="",T1118=""),"",IF(S1118+T1118=0,"",R1118/(S1118+T1118)))</f>
        <v/>
      </c>
      <c r="V1118" s="63"/>
      <c r="W1118" s="64"/>
      <c r="X1118" s="63"/>
    </row>
    <row r="1119" spans="2:24">
      <c r="B1119" s="58"/>
      <c r="C1119" s="59"/>
      <c r="D1119" s="59"/>
      <c r="E1119" s="59"/>
      <c r="F1119" s="59"/>
      <c r="G1119" s="60">
        <f>IF(OR(E1119="",F1119="",C1119="",D1119=""),"",IF(C1119+D1119=0,"",(E1119*C1119+F1119*D1119)/(C1119+D1119)))</f>
        <v/>
      </c>
      <c r="H1119" s="59"/>
      <c r="I1119" s="60">
        <f>IF(OR(H1119="",E1119="",C1119="",D1119=""),"",IF(C1119+D1119=0,"",(H1119*D1119+E1119*C1119)/(C1119+D1119)))</f>
        <v/>
      </c>
      <c r="J1119" s="59"/>
      <c r="K1119" s="61">
        <f>IF(OR(J1119="",I1119=""),"",J1119-I1119)</f>
        <v/>
      </c>
      <c r="L1119" s="61">
        <f>IF(OR(J1119="",G1119=""),"",J1119-G1119)</f>
        <v/>
      </c>
      <c r="M1119" s="59"/>
      <c r="N1119" s="59"/>
      <c r="O1119" s="59"/>
      <c r="P1119" s="59"/>
      <c r="Q1119" s="59"/>
      <c r="R1119" s="60">
        <f>IF(AND(P1119="",Q1119=""),"",N(P1119)+N(Q1119))</f>
        <v/>
      </c>
      <c r="S1119" s="59"/>
      <c r="T1119" s="59"/>
      <c r="U1119" s="62">
        <f>IF(OR(R1119="",S1119="",T1119=""),"",IF(S1119+T1119=0,"",R1119/(S1119+T1119)))</f>
        <v/>
      </c>
      <c r="V1119" s="63"/>
      <c r="W1119" s="64"/>
      <c r="X1119" s="63"/>
    </row>
    <row r="1120" spans="2:24">
      <c r="B1120" s="58"/>
      <c r="C1120" s="59"/>
      <c r="D1120" s="59"/>
      <c r="E1120" s="59"/>
      <c r="F1120" s="59"/>
      <c r="G1120" s="60">
        <f>IF(OR(E1120="",F1120="",C1120="",D1120=""),"",IF(C1120+D1120=0,"",(E1120*C1120+F1120*D1120)/(C1120+D1120)))</f>
        <v/>
      </c>
      <c r="H1120" s="59"/>
      <c r="I1120" s="60">
        <f>IF(OR(H1120="",E1120="",C1120="",D1120=""),"",IF(C1120+D1120=0,"",(H1120*D1120+E1120*C1120)/(C1120+D1120)))</f>
        <v/>
      </c>
      <c r="J1120" s="59"/>
      <c r="K1120" s="61">
        <f>IF(OR(J1120="",I1120=""),"",J1120-I1120)</f>
        <v/>
      </c>
      <c r="L1120" s="61">
        <f>IF(OR(J1120="",G1120=""),"",J1120-G1120)</f>
        <v/>
      </c>
      <c r="M1120" s="59"/>
      <c r="N1120" s="59"/>
      <c r="O1120" s="59"/>
      <c r="P1120" s="59"/>
      <c r="Q1120" s="59"/>
      <c r="R1120" s="60">
        <f>IF(AND(P1120="",Q1120=""),"",N(P1120)+N(Q1120))</f>
        <v/>
      </c>
      <c r="S1120" s="59"/>
      <c r="T1120" s="59"/>
      <c r="U1120" s="62">
        <f>IF(OR(R1120="",S1120="",T1120=""),"",IF(S1120+T1120=0,"",R1120/(S1120+T1120)))</f>
        <v/>
      </c>
      <c r="V1120" s="63"/>
      <c r="W1120" s="64"/>
      <c r="X1120" s="63"/>
    </row>
    <row r="1121" spans="2:24">
      <c r="B1121" s="58"/>
      <c r="C1121" s="59"/>
      <c r="D1121" s="59"/>
      <c r="E1121" s="59"/>
      <c r="F1121" s="59"/>
      <c r="G1121" s="60">
        <f>IF(OR(E1121="",F1121="",C1121="",D1121=""),"",IF(C1121+D1121=0,"",(E1121*C1121+F1121*D1121)/(C1121+D1121)))</f>
        <v/>
      </c>
      <c r="H1121" s="59"/>
      <c r="I1121" s="60">
        <f>IF(OR(H1121="",E1121="",C1121="",D1121=""),"",IF(C1121+D1121=0,"",(H1121*D1121+E1121*C1121)/(C1121+D1121)))</f>
        <v/>
      </c>
      <c r="J1121" s="59"/>
      <c r="K1121" s="61">
        <f>IF(OR(J1121="",I1121=""),"",J1121-I1121)</f>
        <v/>
      </c>
      <c r="L1121" s="61">
        <f>IF(OR(J1121="",G1121=""),"",J1121-G1121)</f>
        <v/>
      </c>
      <c r="M1121" s="59"/>
      <c r="N1121" s="59"/>
      <c r="O1121" s="59"/>
      <c r="P1121" s="59"/>
      <c r="Q1121" s="59"/>
      <c r="R1121" s="60">
        <f>IF(AND(P1121="",Q1121=""),"",N(P1121)+N(Q1121))</f>
        <v/>
      </c>
      <c r="S1121" s="59"/>
      <c r="T1121" s="59"/>
      <c r="U1121" s="62">
        <f>IF(OR(R1121="",S1121="",T1121=""),"",IF(S1121+T1121=0,"",R1121/(S1121+T1121)))</f>
        <v/>
      </c>
      <c r="V1121" s="63"/>
      <c r="W1121" s="64"/>
      <c r="X1121" s="63"/>
    </row>
    <row r="1122" spans="2:24">
      <c r="B1122" s="58"/>
      <c r="C1122" s="59"/>
      <c r="D1122" s="59"/>
      <c r="E1122" s="59"/>
      <c r="F1122" s="59"/>
      <c r="G1122" s="60">
        <f>IF(OR(E1122="",F1122="",C1122="",D1122=""),"",IF(C1122+D1122=0,"",(E1122*C1122+F1122*D1122)/(C1122+D1122)))</f>
        <v/>
      </c>
      <c r="H1122" s="59"/>
      <c r="I1122" s="60">
        <f>IF(OR(H1122="",E1122="",C1122="",D1122=""),"",IF(C1122+D1122=0,"",(H1122*D1122+E1122*C1122)/(C1122+D1122)))</f>
        <v/>
      </c>
      <c r="J1122" s="59"/>
      <c r="K1122" s="61">
        <f>IF(OR(J1122="",I1122=""),"",J1122-I1122)</f>
        <v/>
      </c>
      <c r="L1122" s="61">
        <f>IF(OR(J1122="",G1122=""),"",J1122-G1122)</f>
        <v/>
      </c>
      <c r="M1122" s="59"/>
      <c r="N1122" s="59"/>
      <c r="O1122" s="59"/>
      <c r="P1122" s="59"/>
      <c r="Q1122" s="59"/>
      <c r="R1122" s="60">
        <f>IF(AND(P1122="",Q1122=""),"",N(P1122)+N(Q1122))</f>
        <v/>
      </c>
      <c r="S1122" s="59"/>
      <c r="T1122" s="59"/>
      <c r="U1122" s="62">
        <f>IF(OR(R1122="",S1122="",T1122=""),"",IF(S1122+T1122=0,"",R1122/(S1122+T1122)))</f>
        <v/>
      </c>
      <c r="V1122" s="63"/>
      <c r="W1122" s="64"/>
      <c r="X1122" s="63"/>
    </row>
    <row r="1123" spans="2:24">
      <c r="B1123" s="58"/>
      <c r="C1123" s="59"/>
      <c r="D1123" s="59"/>
      <c r="E1123" s="59"/>
      <c r="F1123" s="59"/>
      <c r="G1123" s="60">
        <f>IF(OR(E1123="",F1123="",C1123="",D1123=""),"",IF(C1123+D1123=0,"",(E1123*C1123+F1123*D1123)/(C1123+D1123)))</f>
        <v/>
      </c>
      <c r="H1123" s="59"/>
      <c r="I1123" s="60">
        <f>IF(OR(H1123="",E1123="",C1123="",D1123=""),"",IF(C1123+D1123=0,"",(H1123*D1123+E1123*C1123)/(C1123+D1123)))</f>
        <v/>
      </c>
      <c r="J1123" s="59"/>
      <c r="K1123" s="61">
        <f>IF(OR(J1123="",I1123=""),"",J1123-I1123)</f>
        <v/>
      </c>
      <c r="L1123" s="61">
        <f>IF(OR(J1123="",G1123=""),"",J1123-G1123)</f>
        <v/>
      </c>
      <c r="M1123" s="59"/>
      <c r="N1123" s="59"/>
      <c r="O1123" s="59"/>
      <c r="P1123" s="59"/>
      <c r="Q1123" s="59"/>
      <c r="R1123" s="60">
        <f>IF(AND(P1123="",Q1123=""),"",N(P1123)+N(Q1123))</f>
        <v/>
      </c>
      <c r="S1123" s="59"/>
      <c r="T1123" s="59"/>
      <c r="U1123" s="62">
        <f>IF(OR(R1123="",S1123="",T1123=""),"",IF(S1123+T1123=0,"",R1123/(S1123+T1123)))</f>
        <v/>
      </c>
      <c r="V1123" s="63"/>
      <c r="W1123" s="64"/>
      <c r="X1123" s="63"/>
    </row>
    <row r="1124" spans="2:24">
      <c r="B1124" s="58"/>
      <c r="C1124" s="59"/>
      <c r="D1124" s="59"/>
      <c r="E1124" s="59"/>
      <c r="F1124" s="59"/>
      <c r="G1124" s="60">
        <f>IF(OR(E1124="",F1124="",C1124="",D1124=""),"",IF(C1124+D1124=0,"",(E1124*C1124+F1124*D1124)/(C1124+D1124)))</f>
        <v/>
      </c>
      <c r="H1124" s="59"/>
      <c r="I1124" s="60">
        <f>IF(OR(H1124="",E1124="",C1124="",D1124=""),"",IF(C1124+D1124=0,"",(H1124*D1124+E1124*C1124)/(C1124+D1124)))</f>
        <v/>
      </c>
      <c r="J1124" s="59"/>
      <c r="K1124" s="61">
        <f>IF(OR(J1124="",I1124=""),"",J1124-I1124)</f>
        <v/>
      </c>
      <c r="L1124" s="61">
        <f>IF(OR(J1124="",G1124=""),"",J1124-G1124)</f>
        <v/>
      </c>
      <c r="M1124" s="59"/>
      <c r="N1124" s="59"/>
      <c r="O1124" s="59"/>
      <c r="P1124" s="59"/>
      <c r="Q1124" s="59"/>
      <c r="R1124" s="60">
        <f>IF(AND(P1124="",Q1124=""),"",N(P1124)+N(Q1124))</f>
        <v/>
      </c>
      <c r="S1124" s="59"/>
      <c r="T1124" s="59"/>
      <c r="U1124" s="62">
        <f>IF(OR(R1124="",S1124="",T1124=""),"",IF(S1124+T1124=0,"",R1124/(S1124+T1124)))</f>
        <v/>
      </c>
      <c r="V1124" s="63"/>
      <c r="W1124" s="64"/>
      <c r="X1124" s="63"/>
    </row>
    <row r="1125" spans="2:24">
      <c r="B1125" s="58"/>
      <c r="C1125" s="59"/>
      <c r="D1125" s="59"/>
      <c r="E1125" s="59"/>
      <c r="F1125" s="59"/>
      <c r="G1125" s="60">
        <f>IF(OR(E1125="",F1125="",C1125="",D1125=""),"",IF(C1125+D1125=0,"",(E1125*C1125+F1125*D1125)/(C1125+D1125)))</f>
        <v/>
      </c>
      <c r="H1125" s="59"/>
      <c r="I1125" s="60">
        <f>IF(OR(H1125="",E1125="",C1125="",D1125=""),"",IF(C1125+D1125=0,"",(H1125*D1125+E1125*C1125)/(C1125+D1125)))</f>
        <v/>
      </c>
      <c r="J1125" s="59"/>
      <c r="K1125" s="61">
        <f>IF(OR(J1125="",I1125=""),"",J1125-I1125)</f>
        <v/>
      </c>
      <c r="L1125" s="61">
        <f>IF(OR(J1125="",G1125=""),"",J1125-G1125)</f>
        <v/>
      </c>
      <c r="M1125" s="59"/>
      <c r="N1125" s="59"/>
      <c r="O1125" s="59"/>
      <c r="P1125" s="59"/>
      <c r="Q1125" s="59"/>
      <c r="R1125" s="60">
        <f>IF(AND(P1125="",Q1125=""),"",N(P1125)+N(Q1125))</f>
        <v/>
      </c>
      <c r="S1125" s="59"/>
      <c r="T1125" s="59"/>
      <c r="U1125" s="62">
        <f>IF(OR(R1125="",S1125="",T1125=""),"",IF(S1125+T1125=0,"",R1125/(S1125+T1125)))</f>
        <v/>
      </c>
      <c r="V1125" s="63"/>
      <c r="W1125" s="64"/>
      <c r="X1125" s="63"/>
    </row>
    <row r="1126" spans="2:24">
      <c r="B1126" s="58"/>
      <c r="C1126" s="59"/>
      <c r="D1126" s="59"/>
      <c r="E1126" s="59"/>
      <c r="F1126" s="59"/>
      <c r="G1126" s="60">
        <f>IF(OR(E1126="",F1126="",C1126="",D1126=""),"",IF(C1126+D1126=0,"",(E1126*C1126+F1126*D1126)/(C1126+D1126)))</f>
        <v/>
      </c>
      <c r="H1126" s="59"/>
      <c r="I1126" s="60">
        <f>IF(OR(H1126="",E1126="",C1126="",D1126=""),"",IF(C1126+D1126=0,"",(H1126*D1126+E1126*C1126)/(C1126+D1126)))</f>
        <v/>
      </c>
      <c r="J1126" s="59"/>
      <c r="K1126" s="61">
        <f>IF(OR(J1126="",I1126=""),"",J1126-I1126)</f>
        <v/>
      </c>
      <c r="L1126" s="61">
        <f>IF(OR(J1126="",G1126=""),"",J1126-G1126)</f>
        <v/>
      </c>
      <c r="M1126" s="59"/>
      <c r="N1126" s="59"/>
      <c r="O1126" s="59"/>
      <c r="P1126" s="59"/>
      <c r="Q1126" s="59"/>
      <c r="R1126" s="60">
        <f>IF(AND(P1126="",Q1126=""),"",N(P1126)+N(Q1126))</f>
        <v/>
      </c>
      <c r="S1126" s="59"/>
      <c r="T1126" s="59"/>
      <c r="U1126" s="62">
        <f>IF(OR(R1126="",S1126="",T1126=""),"",IF(S1126+T1126=0,"",R1126/(S1126+T1126)))</f>
        <v/>
      </c>
      <c r="V1126" s="63"/>
      <c r="W1126" s="64"/>
      <c r="X1126" s="63"/>
    </row>
    <row r="1127" spans="2:24">
      <c r="B1127" s="58"/>
      <c r="C1127" s="59"/>
      <c r="D1127" s="59"/>
      <c r="E1127" s="59"/>
      <c r="F1127" s="59"/>
      <c r="G1127" s="60">
        <f>IF(OR(E1127="",F1127="",C1127="",D1127=""),"",IF(C1127+D1127=0,"",(E1127*C1127+F1127*D1127)/(C1127+D1127)))</f>
        <v/>
      </c>
      <c r="H1127" s="59"/>
      <c r="I1127" s="60">
        <f>IF(OR(H1127="",E1127="",C1127="",D1127=""),"",IF(C1127+D1127=0,"",(H1127*D1127+E1127*C1127)/(C1127+D1127)))</f>
        <v/>
      </c>
      <c r="J1127" s="59"/>
      <c r="K1127" s="61">
        <f>IF(OR(J1127="",I1127=""),"",J1127-I1127)</f>
        <v/>
      </c>
      <c r="L1127" s="61">
        <f>IF(OR(J1127="",G1127=""),"",J1127-G1127)</f>
        <v/>
      </c>
      <c r="M1127" s="59"/>
      <c r="N1127" s="59"/>
      <c r="O1127" s="59"/>
      <c r="P1127" s="59"/>
      <c r="Q1127" s="59"/>
      <c r="R1127" s="60">
        <f>IF(AND(P1127="",Q1127=""),"",N(P1127)+N(Q1127))</f>
        <v/>
      </c>
      <c r="S1127" s="59"/>
      <c r="T1127" s="59"/>
      <c r="U1127" s="62">
        <f>IF(OR(R1127="",S1127="",T1127=""),"",IF(S1127+T1127=0,"",R1127/(S1127+T1127)))</f>
        <v/>
      </c>
      <c r="V1127" s="63"/>
      <c r="W1127" s="64"/>
      <c r="X1127" s="63"/>
    </row>
    <row r="1128" spans="2:24">
      <c r="B1128" s="58"/>
      <c r="C1128" s="59"/>
      <c r="D1128" s="59"/>
      <c r="E1128" s="59"/>
      <c r="F1128" s="59"/>
      <c r="G1128" s="60">
        <f>IF(OR(E1128="",F1128="",C1128="",D1128=""),"",IF(C1128+D1128=0,"",(E1128*C1128+F1128*D1128)/(C1128+D1128)))</f>
        <v/>
      </c>
      <c r="H1128" s="59"/>
      <c r="I1128" s="60">
        <f>IF(OR(H1128="",E1128="",C1128="",D1128=""),"",IF(C1128+D1128=0,"",(H1128*D1128+E1128*C1128)/(C1128+D1128)))</f>
        <v/>
      </c>
      <c r="J1128" s="59"/>
      <c r="K1128" s="61">
        <f>IF(OR(J1128="",I1128=""),"",J1128-I1128)</f>
        <v/>
      </c>
      <c r="L1128" s="61">
        <f>IF(OR(J1128="",G1128=""),"",J1128-G1128)</f>
        <v/>
      </c>
      <c r="M1128" s="59"/>
      <c r="N1128" s="59"/>
      <c r="O1128" s="59"/>
      <c r="P1128" s="59"/>
      <c r="Q1128" s="59"/>
      <c r="R1128" s="60">
        <f>IF(AND(P1128="",Q1128=""),"",N(P1128)+N(Q1128))</f>
        <v/>
      </c>
      <c r="S1128" s="59"/>
      <c r="T1128" s="59"/>
      <c r="U1128" s="62">
        <f>IF(OR(R1128="",S1128="",T1128=""),"",IF(S1128+T1128=0,"",R1128/(S1128+T1128)))</f>
        <v/>
      </c>
      <c r="V1128" s="63"/>
      <c r="W1128" s="64"/>
      <c r="X1128" s="63"/>
    </row>
    <row r="1129" spans="2:24">
      <c r="B1129" s="58"/>
      <c r="C1129" s="59"/>
      <c r="D1129" s="59"/>
      <c r="E1129" s="59"/>
      <c r="F1129" s="59"/>
      <c r="G1129" s="60">
        <f>IF(OR(E1129="",F1129="",C1129="",D1129=""),"",IF(C1129+D1129=0,"",(E1129*C1129+F1129*D1129)/(C1129+D1129)))</f>
        <v/>
      </c>
      <c r="H1129" s="59"/>
      <c r="I1129" s="60">
        <f>IF(OR(H1129="",E1129="",C1129="",D1129=""),"",IF(C1129+D1129=0,"",(H1129*D1129+E1129*C1129)/(C1129+D1129)))</f>
        <v/>
      </c>
      <c r="J1129" s="59"/>
      <c r="K1129" s="61">
        <f>IF(OR(J1129="",I1129=""),"",J1129-I1129)</f>
        <v/>
      </c>
      <c r="L1129" s="61">
        <f>IF(OR(J1129="",G1129=""),"",J1129-G1129)</f>
        <v/>
      </c>
      <c r="M1129" s="59"/>
      <c r="N1129" s="59"/>
      <c r="O1129" s="59"/>
      <c r="P1129" s="59"/>
      <c r="Q1129" s="59"/>
      <c r="R1129" s="60">
        <f>IF(AND(P1129="",Q1129=""),"",N(P1129)+N(Q1129))</f>
        <v/>
      </c>
      <c r="S1129" s="59"/>
      <c r="T1129" s="59"/>
      <c r="U1129" s="62">
        <f>IF(OR(R1129="",S1129="",T1129=""),"",IF(S1129+T1129=0,"",R1129/(S1129+T1129)))</f>
        <v/>
      </c>
      <c r="V1129" s="63"/>
      <c r="W1129" s="64"/>
      <c r="X1129" s="63"/>
    </row>
    <row r="1130" spans="2:24">
      <c r="B1130" s="58"/>
      <c r="C1130" s="59"/>
      <c r="D1130" s="59"/>
      <c r="E1130" s="59"/>
      <c r="F1130" s="59"/>
      <c r="G1130" s="60">
        <f>IF(OR(E1130="",F1130="",C1130="",D1130=""),"",IF(C1130+D1130=0,"",(E1130*C1130+F1130*D1130)/(C1130+D1130)))</f>
        <v/>
      </c>
      <c r="H1130" s="59"/>
      <c r="I1130" s="60">
        <f>IF(OR(H1130="",E1130="",C1130="",D1130=""),"",IF(C1130+D1130=0,"",(H1130*D1130+E1130*C1130)/(C1130+D1130)))</f>
        <v/>
      </c>
      <c r="J1130" s="59"/>
      <c r="K1130" s="61">
        <f>IF(OR(J1130="",I1130=""),"",J1130-I1130)</f>
        <v/>
      </c>
      <c r="L1130" s="61">
        <f>IF(OR(J1130="",G1130=""),"",J1130-G1130)</f>
        <v/>
      </c>
      <c r="M1130" s="59"/>
      <c r="N1130" s="59"/>
      <c r="O1130" s="59"/>
      <c r="P1130" s="59"/>
      <c r="Q1130" s="59"/>
      <c r="R1130" s="60">
        <f>IF(AND(P1130="",Q1130=""),"",N(P1130)+N(Q1130))</f>
        <v/>
      </c>
      <c r="S1130" s="59"/>
      <c r="T1130" s="59"/>
      <c r="U1130" s="62">
        <f>IF(OR(R1130="",S1130="",T1130=""),"",IF(S1130+T1130=0,"",R1130/(S1130+T1130)))</f>
        <v/>
      </c>
      <c r="V1130" s="63"/>
      <c r="W1130" s="64"/>
      <c r="X1130" s="63"/>
    </row>
    <row r="1131" spans="2:24">
      <c r="B1131" s="58"/>
      <c r="C1131" s="59"/>
      <c r="D1131" s="59"/>
      <c r="E1131" s="59"/>
      <c r="F1131" s="59"/>
      <c r="G1131" s="60">
        <f>IF(OR(E1131="",F1131="",C1131="",D1131=""),"",IF(C1131+D1131=0,"",(E1131*C1131+F1131*D1131)/(C1131+D1131)))</f>
        <v/>
      </c>
      <c r="H1131" s="59"/>
      <c r="I1131" s="60">
        <f>IF(OR(H1131="",E1131="",C1131="",D1131=""),"",IF(C1131+D1131=0,"",(H1131*D1131+E1131*C1131)/(C1131+D1131)))</f>
        <v/>
      </c>
      <c r="J1131" s="59"/>
      <c r="K1131" s="61">
        <f>IF(OR(J1131="",I1131=""),"",J1131-I1131)</f>
        <v/>
      </c>
      <c r="L1131" s="61">
        <f>IF(OR(J1131="",G1131=""),"",J1131-G1131)</f>
        <v/>
      </c>
      <c r="M1131" s="59"/>
      <c r="N1131" s="59"/>
      <c r="O1131" s="59"/>
      <c r="P1131" s="59"/>
      <c r="Q1131" s="59"/>
      <c r="R1131" s="60">
        <f>IF(AND(P1131="",Q1131=""),"",N(P1131)+N(Q1131))</f>
        <v/>
      </c>
      <c r="S1131" s="59"/>
      <c r="T1131" s="59"/>
      <c r="U1131" s="62">
        <f>IF(OR(R1131="",S1131="",T1131=""),"",IF(S1131+T1131=0,"",R1131/(S1131+T1131)))</f>
        <v/>
      </c>
      <c r="V1131" s="63"/>
      <c r="W1131" s="64"/>
      <c r="X1131" s="63"/>
    </row>
    <row r="1132" spans="2:24">
      <c r="B1132" s="58"/>
      <c r="C1132" s="59"/>
      <c r="D1132" s="59"/>
      <c r="E1132" s="59"/>
      <c r="F1132" s="59"/>
      <c r="G1132" s="60">
        <f>IF(OR(E1132="",F1132="",C1132="",D1132=""),"",IF(C1132+D1132=0,"",(E1132*C1132+F1132*D1132)/(C1132+D1132)))</f>
        <v/>
      </c>
      <c r="H1132" s="59"/>
      <c r="I1132" s="60">
        <f>IF(OR(H1132="",E1132="",C1132="",D1132=""),"",IF(C1132+D1132=0,"",(H1132*D1132+E1132*C1132)/(C1132+D1132)))</f>
        <v/>
      </c>
      <c r="J1132" s="59"/>
      <c r="K1132" s="61">
        <f>IF(OR(J1132="",I1132=""),"",J1132-I1132)</f>
        <v/>
      </c>
      <c r="L1132" s="61">
        <f>IF(OR(J1132="",G1132=""),"",J1132-G1132)</f>
        <v/>
      </c>
      <c r="M1132" s="59"/>
      <c r="N1132" s="59"/>
      <c r="O1132" s="59"/>
      <c r="P1132" s="59"/>
      <c r="Q1132" s="59"/>
      <c r="R1132" s="60">
        <f>IF(AND(P1132="",Q1132=""),"",N(P1132)+N(Q1132))</f>
        <v/>
      </c>
      <c r="S1132" s="59"/>
      <c r="T1132" s="59"/>
      <c r="U1132" s="62">
        <f>IF(OR(R1132="",S1132="",T1132=""),"",IF(S1132+T1132=0,"",R1132/(S1132+T1132)))</f>
        <v/>
      </c>
      <c r="V1132" s="63"/>
      <c r="W1132" s="64"/>
      <c r="X1132" s="63"/>
    </row>
    <row r="1133" spans="2:24">
      <c r="B1133" s="58"/>
      <c r="C1133" s="59"/>
      <c r="D1133" s="59"/>
      <c r="E1133" s="59"/>
      <c r="F1133" s="59"/>
      <c r="G1133" s="60">
        <f>IF(OR(E1133="",F1133="",C1133="",D1133=""),"",IF(C1133+D1133=0,"",(E1133*C1133+F1133*D1133)/(C1133+D1133)))</f>
        <v/>
      </c>
      <c r="H1133" s="59"/>
      <c r="I1133" s="60">
        <f>IF(OR(H1133="",E1133="",C1133="",D1133=""),"",IF(C1133+D1133=0,"",(H1133*D1133+E1133*C1133)/(C1133+D1133)))</f>
        <v/>
      </c>
      <c r="J1133" s="59"/>
      <c r="K1133" s="61">
        <f>IF(OR(J1133="",I1133=""),"",J1133-I1133)</f>
        <v/>
      </c>
      <c r="L1133" s="61">
        <f>IF(OR(J1133="",G1133=""),"",J1133-G1133)</f>
        <v/>
      </c>
      <c r="M1133" s="59"/>
      <c r="N1133" s="59"/>
      <c r="O1133" s="59"/>
      <c r="P1133" s="59"/>
      <c r="Q1133" s="59"/>
      <c r="R1133" s="60">
        <f>IF(AND(P1133="",Q1133=""),"",N(P1133)+N(Q1133))</f>
        <v/>
      </c>
      <c r="S1133" s="59"/>
      <c r="T1133" s="59"/>
      <c r="U1133" s="62">
        <f>IF(OR(R1133="",S1133="",T1133=""),"",IF(S1133+T1133=0,"",R1133/(S1133+T1133)))</f>
        <v/>
      </c>
      <c r="V1133" s="63"/>
      <c r="W1133" s="64"/>
      <c r="X1133" s="63"/>
    </row>
    <row r="1134" spans="2:24">
      <c r="B1134" s="58"/>
      <c r="C1134" s="59"/>
      <c r="D1134" s="59"/>
      <c r="E1134" s="59"/>
      <c r="F1134" s="59"/>
      <c r="G1134" s="60">
        <f>IF(OR(E1134="",F1134="",C1134="",D1134=""),"",IF(C1134+D1134=0,"",(E1134*C1134+F1134*D1134)/(C1134+D1134)))</f>
        <v/>
      </c>
      <c r="H1134" s="59"/>
      <c r="I1134" s="60">
        <f>IF(OR(H1134="",E1134="",C1134="",D1134=""),"",IF(C1134+D1134=0,"",(H1134*D1134+E1134*C1134)/(C1134+D1134)))</f>
        <v/>
      </c>
      <c r="J1134" s="59"/>
      <c r="K1134" s="61">
        <f>IF(OR(J1134="",I1134=""),"",J1134-I1134)</f>
        <v/>
      </c>
      <c r="L1134" s="61">
        <f>IF(OR(J1134="",G1134=""),"",J1134-G1134)</f>
        <v/>
      </c>
      <c r="M1134" s="59"/>
      <c r="N1134" s="59"/>
      <c r="O1134" s="59"/>
      <c r="P1134" s="59"/>
      <c r="Q1134" s="59"/>
      <c r="R1134" s="60">
        <f>IF(AND(P1134="",Q1134=""),"",N(P1134)+N(Q1134))</f>
        <v/>
      </c>
      <c r="S1134" s="59"/>
      <c r="T1134" s="59"/>
      <c r="U1134" s="62">
        <f>IF(OR(R1134="",S1134="",T1134=""),"",IF(S1134+T1134=0,"",R1134/(S1134+T1134)))</f>
        <v/>
      </c>
      <c r="V1134" s="63"/>
      <c r="W1134" s="64"/>
      <c r="X1134" s="63"/>
    </row>
    <row r="1135" spans="2:24">
      <c r="B1135" s="58"/>
      <c r="C1135" s="59"/>
      <c r="D1135" s="59"/>
      <c r="E1135" s="59"/>
      <c r="F1135" s="59"/>
      <c r="G1135" s="60">
        <f>IF(OR(E1135="",F1135="",C1135="",D1135=""),"",IF(C1135+D1135=0,"",(E1135*C1135+F1135*D1135)/(C1135+D1135)))</f>
        <v/>
      </c>
      <c r="H1135" s="59"/>
      <c r="I1135" s="60">
        <f>IF(OR(H1135="",E1135="",C1135="",D1135=""),"",IF(C1135+D1135=0,"",(H1135*D1135+E1135*C1135)/(C1135+D1135)))</f>
        <v/>
      </c>
      <c r="J1135" s="59"/>
      <c r="K1135" s="61">
        <f>IF(OR(J1135="",I1135=""),"",J1135-I1135)</f>
        <v/>
      </c>
      <c r="L1135" s="61">
        <f>IF(OR(J1135="",G1135=""),"",J1135-G1135)</f>
        <v/>
      </c>
      <c r="M1135" s="59"/>
      <c r="N1135" s="59"/>
      <c r="O1135" s="59"/>
      <c r="P1135" s="59"/>
      <c r="Q1135" s="59"/>
      <c r="R1135" s="60">
        <f>IF(AND(P1135="",Q1135=""),"",N(P1135)+N(Q1135))</f>
        <v/>
      </c>
      <c r="S1135" s="59"/>
      <c r="T1135" s="59"/>
      <c r="U1135" s="62">
        <f>IF(OR(R1135="",S1135="",T1135=""),"",IF(S1135+T1135=0,"",R1135/(S1135+T1135)))</f>
        <v/>
      </c>
      <c r="V1135" s="63"/>
      <c r="W1135" s="64"/>
      <c r="X1135" s="63"/>
    </row>
    <row r="1136" spans="2:24">
      <c r="B1136" s="58"/>
      <c r="C1136" s="59"/>
      <c r="D1136" s="59"/>
      <c r="E1136" s="59"/>
      <c r="F1136" s="59"/>
      <c r="G1136" s="60">
        <f>IF(OR(E1136="",F1136="",C1136="",D1136=""),"",IF(C1136+D1136=0,"",(E1136*C1136+F1136*D1136)/(C1136+D1136)))</f>
        <v/>
      </c>
      <c r="H1136" s="59"/>
      <c r="I1136" s="60">
        <f>IF(OR(H1136="",E1136="",C1136="",D1136=""),"",IF(C1136+D1136=0,"",(H1136*D1136+E1136*C1136)/(C1136+D1136)))</f>
        <v/>
      </c>
      <c r="J1136" s="59"/>
      <c r="K1136" s="61">
        <f>IF(OR(J1136="",I1136=""),"",J1136-I1136)</f>
        <v/>
      </c>
      <c r="L1136" s="61">
        <f>IF(OR(J1136="",G1136=""),"",J1136-G1136)</f>
        <v/>
      </c>
      <c r="M1136" s="59"/>
      <c r="N1136" s="59"/>
      <c r="O1136" s="59"/>
      <c r="P1136" s="59"/>
      <c r="Q1136" s="59"/>
      <c r="R1136" s="60">
        <f>IF(AND(P1136="",Q1136=""),"",N(P1136)+N(Q1136))</f>
        <v/>
      </c>
      <c r="S1136" s="59"/>
      <c r="T1136" s="59"/>
      <c r="U1136" s="62">
        <f>IF(OR(R1136="",S1136="",T1136=""),"",IF(S1136+T1136=0,"",R1136/(S1136+T1136)))</f>
        <v/>
      </c>
      <c r="V1136" s="63"/>
      <c r="W1136" s="64"/>
      <c r="X1136" s="63"/>
    </row>
    <row r="1137" spans="2:24">
      <c r="B1137" s="58"/>
      <c r="C1137" s="59"/>
      <c r="D1137" s="59"/>
      <c r="E1137" s="59"/>
      <c r="F1137" s="59"/>
      <c r="G1137" s="60">
        <f>IF(OR(E1137="",F1137="",C1137="",D1137=""),"",IF(C1137+D1137=0,"",(E1137*C1137+F1137*D1137)/(C1137+D1137)))</f>
        <v/>
      </c>
      <c r="H1137" s="59"/>
      <c r="I1137" s="60">
        <f>IF(OR(H1137="",E1137="",C1137="",D1137=""),"",IF(C1137+D1137=0,"",(H1137*D1137+E1137*C1137)/(C1137+D1137)))</f>
        <v/>
      </c>
      <c r="J1137" s="59"/>
      <c r="K1137" s="61">
        <f>IF(OR(J1137="",I1137=""),"",J1137-I1137)</f>
        <v/>
      </c>
      <c r="L1137" s="61">
        <f>IF(OR(J1137="",G1137=""),"",J1137-G1137)</f>
        <v/>
      </c>
      <c r="M1137" s="59"/>
      <c r="N1137" s="59"/>
      <c r="O1137" s="59"/>
      <c r="P1137" s="59"/>
      <c r="Q1137" s="59"/>
      <c r="R1137" s="60">
        <f>IF(AND(P1137="",Q1137=""),"",N(P1137)+N(Q1137))</f>
        <v/>
      </c>
      <c r="S1137" s="59"/>
      <c r="T1137" s="59"/>
      <c r="U1137" s="62">
        <f>IF(OR(R1137="",S1137="",T1137=""),"",IF(S1137+T1137=0,"",R1137/(S1137+T1137)))</f>
        <v/>
      </c>
      <c r="V1137" s="63"/>
      <c r="W1137" s="64"/>
      <c r="X1137" s="63"/>
    </row>
    <row r="1138" spans="2:24">
      <c r="B1138" s="58"/>
      <c r="C1138" s="59"/>
      <c r="D1138" s="59"/>
      <c r="E1138" s="59"/>
      <c r="F1138" s="59"/>
      <c r="G1138" s="60">
        <f>IF(OR(E1138="",F1138="",C1138="",D1138=""),"",IF(C1138+D1138=0,"",(E1138*C1138+F1138*D1138)/(C1138+D1138)))</f>
        <v/>
      </c>
      <c r="H1138" s="59"/>
      <c r="I1138" s="60">
        <f>IF(OR(H1138="",E1138="",C1138="",D1138=""),"",IF(C1138+D1138=0,"",(H1138*D1138+E1138*C1138)/(C1138+D1138)))</f>
        <v/>
      </c>
      <c r="J1138" s="59"/>
      <c r="K1138" s="61">
        <f>IF(OR(J1138="",I1138=""),"",J1138-I1138)</f>
        <v/>
      </c>
      <c r="L1138" s="61">
        <f>IF(OR(J1138="",G1138=""),"",J1138-G1138)</f>
        <v/>
      </c>
      <c r="M1138" s="59"/>
      <c r="N1138" s="59"/>
      <c r="O1138" s="59"/>
      <c r="P1138" s="59"/>
      <c r="Q1138" s="59"/>
      <c r="R1138" s="60">
        <f>IF(AND(P1138="",Q1138=""),"",N(P1138)+N(Q1138))</f>
        <v/>
      </c>
      <c r="S1138" s="59"/>
      <c r="T1138" s="59"/>
      <c r="U1138" s="62">
        <f>IF(OR(R1138="",S1138="",T1138=""),"",IF(S1138+T1138=0,"",R1138/(S1138+T1138)))</f>
        <v/>
      </c>
      <c r="V1138" s="63"/>
      <c r="W1138" s="64"/>
      <c r="X1138" s="63"/>
    </row>
    <row r="1139" spans="2:24">
      <c r="B1139" s="58"/>
      <c r="C1139" s="59"/>
      <c r="D1139" s="59"/>
      <c r="E1139" s="59"/>
      <c r="F1139" s="59"/>
      <c r="G1139" s="60">
        <f>IF(OR(E1139="",F1139="",C1139="",D1139=""),"",IF(C1139+D1139=0,"",(E1139*C1139+F1139*D1139)/(C1139+D1139)))</f>
        <v/>
      </c>
      <c r="H1139" s="59"/>
      <c r="I1139" s="60">
        <f>IF(OR(H1139="",E1139="",C1139="",D1139=""),"",IF(C1139+D1139=0,"",(H1139*D1139+E1139*C1139)/(C1139+D1139)))</f>
        <v/>
      </c>
      <c r="J1139" s="59"/>
      <c r="K1139" s="61">
        <f>IF(OR(J1139="",I1139=""),"",J1139-I1139)</f>
        <v/>
      </c>
      <c r="L1139" s="61">
        <f>IF(OR(J1139="",G1139=""),"",J1139-G1139)</f>
        <v/>
      </c>
      <c r="M1139" s="59"/>
      <c r="N1139" s="59"/>
      <c r="O1139" s="59"/>
      <c r="P1139" s="59"/>
      <c r="Q1139" s="59"/>
      <c r="R1139" s="60">
        <f>IF(AND(P1139="",Q1139=""),"",N(P1139)+N(Q1139))</f>
        <v/>
      </c>
      <c r="S1139" s="59"/>
      <c r="T1139" s="59"/>
      <c r="U1139" s="62">
        <f>IF(OR(R1139="",S1139="",T1139=""),"",IF(S1139+T1139=0,"",R1139/(S1139+T1139)))</f>
        <v/>
      </c>
      <c r="V1139" s="63"/>
      <c r="W1139" s="64"/>
      <c r="X1139" s="63"/>
    </row>
    <row r="1140" spans="2:24">
      <c r="B1140" s="58"/>
      <c r="C1140" s="59"/>
      <c r="D1140" s="59"/>
      <c r="E1140" s="59"/>
      <c r="F1140" s="59"/>
      <c r="G1140" s="60">
        <f>IF(OR(E1140="",F1140="",C1140="",D1140=""),"",IF(C1140+D1140=0,"",(E1140*C1140+F1140*D1140)/(C1140+D1140)))</f>
        <v/>
      </c>
      <c r="H1140" s="59"/>
      <c r="I1140" s="60">
        <f>IF(OR(H1140="",E1140="",C1140="",D1140=""),"",IF(C1140+D1140=0,"",(H1140*D1140+E1140*C1140)/(C1140+D1140)))</f>
        <v/>
      </c>
      <c r="J1140" s="59"/>
      <c r="K1140" s="61">
        <f>IF(OR(J1140="",I1140=""),"",J1140-I1140)</f>
        <v/>
      </c>
      <c r="L1140" s="61">
        <f>IF(OR(J1140="",G1140=""),"",J1140-G1140)</f>
        <v/>
      </c>
      <c r="M1140" s="59"/>
      <c r="N1140" s="59"/>
      <c r="O1140" s="59"/>
      <c r="P1140" s="59"/>
      <c r="Q1140" s="59"/>
      <c r="R1140" s="60">
        <f>IF(AND(P1140="",Q1140=""),"",N(P1140)+N(Q1140))</f>
        <v/>
      </c>
      <c r="S1140" s="59"/>
      <c r="T1140" s="59"/>
      <c r="U1140" s="62">
        <f>IF(OR(R1140="",S1140="",T1140=""),"",IF(S1140+T1140=0,"",R1140/(S1140+T1140)))</f>
        <v/>
      </c>
      <c r="V1140" s="63"/>
      <c r="W1140" s="64"/>
      <c r="X1140" s="63"/>
    </row>
    <row r="1141" spans="2:24">
      <c r="B1141" s="58"/>
      <c r="C1141" s="59"/>
      <c r="D1141" s="59"/>
      <c r="E1141" s="59"/>
      <c r="F1141" s="59"/>
      <c r="G1141" s="60">
        <f>IF(OR(E1141="",F1141="",C1141="",D1141=""),"",IF(C1141+D1141=0,"",(E1141*C1141+F1141*D1141)/(C1141+D1141)))</f>
        <v/>
      </c>
      <c r="H1141" s="59"/>
      <c r="I1141" s="60">
        <f>IF(OR(H1141="",E1141="",C1141="",D1141=""),"",IF(C1141+D1141=0,"",(H1141*D1141+E1141*C1141)/(C1141+D1141)))</f>
        <v/>
      </c>
      <c r="J1141" s="59"/>
      <c r="K1141" s="61">
        <f>IF(OR(J1141="",I1141=""),"",J1141-I1141)</f>
        <v/>
      </c>
      <c r="L1141" s="61">
        <f>IF(OR(J1141="",G1141=""),"",J1141-G1141)</f>
        <v/>
      </c>
      <c r="M1141" s="59"/>
      <c r="N1141" s="59"/>
      <c r="O1141" s="59"/>
      <c r="P1141" s="59"/>
      <c r="Q1141" s="59"/>
      <c r="R1141" s="60">
        <f>IF(AND(P1141="",Q1141=""),"",N(P1141)+N(Q1141))</f>
        <v/>
      </c>
      <c r="S1141" s="59"/>
      <c r="T1141" s="59"/>
      <c r="U1141" s="62">
        <f>IF(OR(R1141="",S1141="",T1141=""),"",IF(S1141+T1141=0,"",R1141/(S1141+T1141)))</f>
        <v/>
      </c>
      <c r="V1141" s="63"/>
      <c r="W1141" s="64"/>
      <c r="X1141" s="63"/>
    </row>
    <row r="1142" spans="2:24">
      <c r="B1142" s="58"/>
      <c r="C1142" s="59"/>
      <c r="D1142" s="59"/>
      <c r="E1142" s="59"/>
      <c r="F1142" s="59"/>
      <c r="G1142" s="60">
        <f>IF(OR(E1142="",F1142="",C1142="",D1142=""),"",IF(C1142+D1142=0,"",(E1142*C1142+F1142*D1142)/(C1142+D1142)))</f>
        <v/>
      </c>
      <c r="H1142" s="59"/>
      <c r="I1142" s="60">
        <f>IF(OR(H1142="",E1142="",C1142="",D1142=""),"",IF(C1142+D1142=0,"",(H1142*D1142+E1142*C1142)/(C1142+D1142)))</f>
        <v/>
      </c>
      <c r="J1142" s="59"/>
      <c r="K1142" s="61">
        <f>IF(OR(J1142="",I1142=""),"",J1142-I1142)</f>
        <v/>
      </c>
      <c r="L1142" s="61">
        <f>IF(OR(J1142="",G1142=""),"",J1142-G1142)</f>
        <v/>
      </c>
      <c r="M1142" s="59"/>
      <c r="N1142" s="59"/>
      <c r="O1142" s="59"/>
      <c r="P1142" s="59"/>
      <c r="Q1142" s="59"/>
      <c r="R1142" s="60">
        <f>IF(AND(P1142="",Q1142=""),"",N(P1142)+N(Q1142))</f>
        <v/>
      </c>
      <c r="S1142" s="59"/>
      <c r="T1142" s="59"/>
      <c r="U1142" s="62">
        <f>IF(OR(R1142="",S1142="",T1142=""),"",IF(S1142+T1142=0,"",R1142/(S1142+T1142)))</f>
        <v/>
      </c>
      <c r="V1142" s="63"/>
      <c r="W1142" s="64"/>
      <c r="X1142" s="63"/>
    </row>
    <row r="1143" spans="2:24">
      <c r="B1143" s="58"/>
      <c r="C1143" s="59"/>
      <c r="D1143" s="59"/>
      <c r="E1143" s="59"/>
      <c r="F1143" s="59"/>
      <c r="G1143" s="60">
        <f>IF(OR(E1143="",F1143="",C1143="",D1143=""),"",IF(C1143+D1143=0,"",(E1143*C1143+F1143*D1143)/(C1143+D1143)))</f>
        <v/>
      </c>
      <c r="H1143" s="59"/>
      <c r="I1143" s="60">
        <f>IF(OR(H1143="",E1143="",C1143="",D1143=""),"",IF(C1143+D1143=0,"",(H1143*D1143+E1143*C1143)/(C1143+D1143)))</f>
        <v/>
      </c>
      <c r="J1143" s="59"/>
      <c r="K1143" s="61">
        <f>IF(OR(J1143="",I1143=""),"",J1143-I1143)</f>
        <v/>
      </c>
      <c r="L1143" s="61">
        <f>IF(OR(J1143="",G1143=""),"",J1143-G1143)</f>
        <v/>
      </c>
      <c r="M1143" s="59"/>
      <c r="N1143" s="59"/>
      <c r="O1143" s="59"/>
      <c r="P1143" s="59"/>
      <c r="Q1143" s="59"/>
      <c r="R1143" s="60">
        <f>IF(AND(P1143="",Q1143=""),"",N(P1143)+N(Q1143))</f>
        <v/>
      </c>
      <c r="S1143" s="59"/>
      <c r="T1143" s="59"/>
      <c r="U1143" s="62">
        <f>IF(OR(R1143="",S1143="",T1143=""),"",IF(S1143+T1143=0,"",R1143/(S1143+T1143)))</f>
        <v/>
      </c>
      <c r="V1143" s="63"/>
      <c r="W1143" s="64"/>
      <c r="X1143" s="63"/>
    </row>
    <row r="1144" spans="2:24">
      <c r="B1144" s="58"/>
      <c r="C1144" s="59"/>
      <c r="D1144" s="59"/>
      <c r="E1144" s="59"/>
      <c r="F1144" s="59"/>
      <c r="G1144" s="60">
        <f>IF(OR(E1144="",F1144="",C1144="",D1144=""),"",IF(C1144+D1144=0,"",(E1144*C1144+F1144*D1144)/(C1144+D1144)))</f>
        <v/>
      </c>
      <c r="H1144" s="59"/>
      <c r="I1144" s="60">
        <f>IF(OR(H1144="",E1144="",C1144="",D1144=""),"",IF(C1144+D1144=0,"",(H1144*D1144+E1144*C1144)/(C1144+D1144)))</f>
        <v/>
      </c>
      <c r="J1144" s="59"/>
      <c r="K1144" s="61">
        <f>IF(OR(J1144="",I1144=""),"",J1144-I1144)</f>
        <v/>
      </c>
      <c r="L1144" s="61">
        <f>IF(OR(J1144="",G1144=""),"",J1144-G1144)</f>
        <v/>
      </c>
      <c r="M1144" s="59"/>
      <c r="N1144" s="59"/>
      <c r="O1144" s="59"/>
      <c r="P1144" s="59"/>
      <c r="Q1144" s="59"/>
      <c r="R1144" s="60">
        <f>IF(AND(P1144="",Q1144=""),"",N(P1144)+N(Q1144))</f>
        <v/>
      </c>
      <c r="S1144" s="59"/>
      <c r="T1144" s="59"/>
      <c r="U1144" s="62">
        <f>IF(OR(R1144="",S1144="",T1144=""),"",IF(S1144+T1144=0,"",R1144/(S1144+T1144)))</f>
        <v/>
      </c>
      <c r="V1144" s="63"/>
      <c r="W1144" s="64"/>
      <c r="X1144" s="63"/>
    </row>
    <row r="1145" spans="2:24">
      <c r="B1145" s="58"/>
      <c r="C1145" s="59"/>
      <c r="D1145" s="59"/>
      <c r="E1145" s="59"/>
      <c r="F1145" s="59"/>
      <c r="G1145" s="60">
        <f>IF(OR(E1145="",F1145="",C1145="",D1145=""),"",IF(C1145+D1145=0,"",(E1145*C1145+F1145*D1145)/(C1145+D1145)))</f>
        <v/>
      </c>
      <c r="H1145" s="59"/>
      <c r="I1145" s="60">
        <f>IF(OR(H1145="",E1145="",C1145="",D1145=""),"",IF(C1145+D1145=0,"",(H1145*D1145+E1145*C1145)/(C1145+D1145)))</f>
        <v/>
      </c>
      <c r="J1145" s="59"/>
      <c r="K1145" s="61">
        <f>IF(OR(J1145="",I1145=""),"",J1145-I1145)</f>
        <v/>
      </c>
      <c r="L1145" s="61">
        <f>IF(OR(J1145="",G1145=""),"",J1145-G1145)</f>
        <v/>
      </c>
      <c r="M1145" s="59"/>
      <c r="N1145" s="59"/>
      <c r="O1145" s="59"/>
      <c r="P1145" s="59"/>
      <c r="Q1145" s="59"/>
      <c r="R1145" s="60">
        <f>IF(AND(P1145="",Q1145=""),"",N(P1145)+N(Q1145))</f>
        <v/>
      </c>
      <c r="S1145" s="59"/>
      <c r="T1145" s="59"/>
      <c r="U1145" s="62">
        <f>IF(OR(R1145="",S1145="",T1145=""),"",IF(S1145+T1145=0,"",R1145/(S1145+T1145)))</f>
        <v/>
      </c>
      <c r="V1145" s="63"/>
      <c r="W1145" s="64"/>
      <c r="X1145" s="63"/>
    </row>
    <row r="1146" spans="2:24">
      <c r="B1146" s="58"/>
      <c r="C1146" s="59"/>
      <c r="D1146" s="59"/>
      <c r="E1146" s="59"/>
      <c r="F1146" s="59"/>
      <c r="G1146" s="60">
        <f>IF(OR(E1146="",F1146="",C1146="",D1146=""),"",IF(C1146+D1146=0,"",(E1146*C1146+F1146*D1146)/(C1146+D1146)))</f>
        <v/>
      </c>
      <c r="H1146" s="59"/>
      <c r="I1146" s="60">
        <f>IF(OR(H1146="",E1146="",C1146="",D1146=""),"",IF(C1146+D1146=0,"",(H1146*D1146+E1146*C1146)/(C1146+D1146)))</f>
        <v/>
      </c>
      <c r="J1146" s="59"/>
      <c r="K1146" s="61">
        <f>IF(OR(J1146="",I1146=""),"",J1146-I1146)</f>
        <v/>
      </c>
      <c r="L1146" s="61">
        <f>IF(OR(J1146="",G1146=""),"",J1146-G1146)</f>
        <v/>
      </c>
      <c r="M1146" s="59"/>
      <c r="N1146" s="59"/>
      <c r="O1146" s="59"/>
      <c r="P1146" s="59"/>
      <c r="Q1146" s="59"/>
      <c r="R1146" s="60">
        <f>IF(AND(P1146="",Q1146=""),"",N(P1146)+N(Q1146))</f>
        <v/>
      </c>
      <c r="S1146" s="59"/>
      <c r="T1146" s="59"/>
      <c r="U1146" s="62">
        <f>IF(OR(R1146="",S1146="",T1146=""),"",IF(S1146+T1146=0,"",R1146/(S1146+T1146)))</f>
        <v/>
      </c>
      <c r="V1146" s="63"/>
      <c r="W1146" s="64"/>
      <c r="X1146" s="63"/>
    </row>
    <row r="1147" spans="2:24">
      <c r="B1147" s="58"/>
      <c r="C1147" s="59"/>
      <c r="D1147" s="59"/>
      <c r="E1147" s="59"/>
      <c r="F1147" s="59"/>
      <c r="G1147" s="60">
        <f>IF(OR(E1147="",F1147="",C1147="",D1147=""),"",IF(C1147+D1147=0,"",(E1147*C1147+F1147*D1147)/(C1147+D1147)))</f>
        <v/>
      </c>
      <c r="H1147" s="59"/>
      <c r="I1147" s="60">
        <f>IF(OR(H1147="",E1147="",C1147="",D1147=""),"",IF(C1147+D1147=0,"",(H1147*D1147+E1147*C1147)/(C1147+D1147)))</f>
        <v/>
      </c>
      <c r="J1147" s="59"/>
      <c r="K1147" s="61">
        <f>IF(OR(J1147="",I1147=""),"",J1147-I1147)</f>
        <v/>
      </c>
      <c r="L1147" s="61">
        <f>IF(OR(J1147="",G1147=""),"",J1147-G1147)</f>
        <v/>
      </c>
      <c r="M1147" s="59"/>
      <c r="N1147" s="59"/>
      <c r="O1147" s="59"/>
      <c r="P1147" s="59"/>
      <c r="Q1147" s="59"/>
      <c r="R1147" s="60">
        <f>IF(AND(P1147="",Q1147=""),"",N(P1147)+N(Q1147))</f>
        <v/>
      </c>
      <c r="S1147" s="59"/>
      <c r="T1147" s="59"/>
      <c r="U1147" s="62">
        <f>IF(OR(R1147="",S1147="",T1147=""),"",IF(S1147+T1147=0,"",R1147/(S1147+T1147)))</f>
        <v/>
      </c>
      <c r="V1147" s="63"/>
      <c r="W1147" s="64"/>
      <c r="X1147" s="63"/>
    </row>
    <row r="1148" spans="2:24">
      <c r="B1148" s="58"/>
      <c r="C1148" s="59"/>
      <c r="D1148" s="59"/>
      <c r="E1148" s="59"/>
      <c r="F1148" s="59"/>
      <c r="G1148" s="60">
        <f>IF(OR(E1148="",F1148="",C1148="",D1148=""),"",IF(C1148+D1148=0,"",(E1148*C1148+F1148*D1148)/(C1148+D1148)))</f>
        <v/>
      </c>
      <c r="H1148" s="59"/>
      <c r="I1148" s="60">
        <f>IF(OR(H1148="",E1148="",C1148="",D1148=""),"",IF(C1148+D1148=0,"",(H1148*D1148+E1148*C1148)/(C1148+D1148)))</f>
        <v/>
      </c>
      <c r="J1148" s="59"/>
      <c r="K1148" s="61">
        <f>IF(OR(J1148="",I1148=""),"",J1148-I1148)</f>
        <v/>
      </c>
      <c r="L1148" s="61">
        <f>IF(OR(J1148="",G1148=""),"",J1148-G1148)</f>
        <v/>
      </c>
      <c r="M1148" s="59"/>
      <c r="N1148" s="59"/>
      <c r="O1148" s="59"/>
      <c r="P1148" s="59"/>
      <c r="Q1148" s="59"/>
      <c r="R1148" s="60">
        <f>IF(AND(P1148="",Q1148=""),"",N(P1148)+N(Q1148))</f>
        <v/>
      </c>
      <c r="S1148" s="59"/>
      <c r="T1148" s="59"/>
      <c r="U1148" s="62">
        <f>IF(OR(R1148="",S1148="",T1148=""),"",IF(S1148+T1148=0,"",R1148/(S1148+T1148)))</f>
        <v/>
      </c>
      <c r="V1148" s="63"/>
      <c r="W1148" s="64"/>
      <c r="X1148" s="63"/>
    </row>
    <row r="1149" spans="2:24">
      <c r="B1149" s="58"/>
      <c r="C1149" s="59"/>
      <c r="D1149" s="59"/>
      <c r="E1149" s="59"/>
      <c r="F1149" s="59"/>
      <c r="G1149" s="60">
        <f>IF(OR(E1149="",F1149="",C1149="",D1149=""),"",IF(C1149+D1149=0,"",(E1149*C1149+F1149*D1149)/(C1149+D1149)))</f>
        <v/>
      </c>
      <c r="H1149" s="59"/>
      <c r="I1149" s="60">
        <f>IF(OR(H1149="",E1149="",C1149="",D1149=""),"",IF(C1149+D1149=0,"",(H1149*D1149+E1149*C1149)/(C1149+D1149)))</f>
        <v/>
      </c>
      <c r="J1149" s="59"/>
      <c r="K1149" s="61">
        <f>IF(OR(J1149="",I1149=""),"",J1149-I1149)</f>
        <v/>
      </c>
      <c r="L1149" s="61">
        <f>IF(OR(J1149="",G1149=""),"",J1149-G1149)</f>
        <v/>
      </c>
      <c r="M1149" s="59"/>
      <c r="N1149" s="59"/>
      <c r="O1149" s="59"/>
      <c r="P1149" s="59"/>
      <c r="Q1149" s="59"/>
      <c r="R1149" s="60">
        <f>IF(AND(P1149="",Q1149=""),"",N(P1149)+N(Q1149))</f>
        <v/>
      </c>
      <c r="S1149" s="59"/>
      <c r="T1149" s="59"/>
      <c r="U1149" s="62">
        <f>IF(OR(R1149="",S1149="",T1149=""),"",IF(S1149+T1149=0,"",R1149/(S1149+T1149)))</f>
        <v/>
      </c>
      <c r="V1149" s="63"/>
      <c r="W1149" s="64"/>
      <c r="X1149" s="63"/>
    </row>
    <row r="1150" spans="2:24">
      <c r="B1150" s="58"/>
      <c r="C1150" s="59"/>
      <c r="D1150" s="59"/>
      <c r="E1150" s="59"/>
      <c r="F1150" s="59"/>
      <c r="G1150" s="60">
        <f>IF(OR(E1150="",F1150="",C1150="",D1150=""),"",IF(C1150+D1150=0,"",(E1150*C1150+F1150*D1150)/(C1150+D1150)))</f>
        <v/>
      </c>
      <c r="H1150" s="59"/>
      <c r="I1150" s="60">
        <f>IF(OR(H1150="",E1150="",C1150="",D1150=""),"",IF(C1150+D1150=0,"",(H1150*D1150+E1150*C1150)/(C1150+D1150)))</f>
        <v/>
      </c>
      <c r="J1150" s="59"/>
      <c r="K1150" s="61">
        <f>IF(OR(J1150="",I1150=""),"",J1150-I1150)</f>
        <v/>
      </c>
      <c r="L1150" s="61">
        <f>IF(OR(J1150="",G1150=""),"",J1150-G1150)</f>
        <v/>
      </c>
      <c r="M1150" s="59"/>
      <c r="N1150" s="59"/>
      <c r="O1150" s="59"/>
      <c r="P1150" s="59"/>
      <c r="Q1150" s="59"/>
      <c r="R1150" s="60">
        <f>IF(AND(P1150="",Q1150=""),"",N(P1150)+N(Q1150))</f>
        <v/>
      </c>
      <c r="S1150" s="59"/>
      <c r="T1150" s="59"/>
      <c r="U1150" s="62">
        <f>IF(OR(R1150="",S1150="",T1150=""),"",IF(S1150+T1150=0,"",R1150/(S1150+T1150)))</f>
        <v/>
      </c>
      <c r="V1150" s="63"/>
      <c r="W1150" s="64"/>
      <c r="X1150" s="63"/>
    </row>
    <row r="1151" spans="2:24">
      <c r="B1151" s="58"/>
      <c r="C1151" s="59"/>
      <c r="D1151" s="59"/>
      <c r="E1151" s="59"/>
      <c r="F1151" s="59"/>
      <c r="G1151" s="60">
        <f>IF(OR(E1151="",F1151="",C1151="",D1151=""),"",IF(C1151+D1151=0,"",(E1151*C1151+F1151*D1151)/(C1151+D1151)))</f>
        <v/>
      </c>
      <c r="H1151" s="59"/>
      <c r="I1151" s="60">
        <f>IF(OR(H1151="",E1151="",C1151="",D1151=""),"",IF(C1151+D1151=0,"",(H1151*D1151+E1151*C1151)/(C1151+D1151)))</f>
        <v/>
      </c>
      <c r="J1151" s="59"/>
      <c r="K1151" s="61">
        <f>IF(OR(J1151="",I1151=""),"",J1151-I1151)</f>
        <v/>
      </c>
      <c r="L1151" s="61">
        <f>IF(OR(J1151="",G1151=""),"",J1151-G1151)</f>
        <v/>
      </c>
      <c r="M1151" s="59"/>
      <c r="N1151" s="59"/>
      <c r="O1151" s="59"/>
      <c r="P1151" s="59"/>
      <c r="Q1151" s="59"/>
      <c r="R1151" s="60">
        <f>IF(AND(P1151="",Q1151=""),"",N(P1151)+N(Q1151))</f>
        <v/>
      </c>
      <c r="S1151" s="59"/>
      <c r="T1151" s="59"/>
      <c r="U1151" s="62">
        <f>IF(OR(R1151="",S1151="",T1151=""),"",IF(S1151+T1151=0,"",R1151/(S1151+T1151)))</f>
        <v/>
      </c>
      <c r="V1151" s="63"/>
      <c r="W1151" s="64"/>
      <c r="X1151" s="63"/>
    </row>
    <row r="1152" spans="2:24">
      <c r="B1152" s="58"/>
      <c r="C1152" s="59"/>
      <c r="D1152" s="59"/>
      <c r="E1152" s="59"/>
      <c r="F1152" s="59"/>
      <c r="G1152" s="60">
        <f>IF(OR(E1152="",F1152="",C1152="",D1152=""),"",IF(C1152+D1152=0,"",(E1152*C1152+F1152*D1152)/(C1152+D1152)))</f>
        <v/>
      </c>
      <c r="H1152" s="59"/>
      <c r="I1152" s="60">
        <f>IF(OR(H1152="",E1152="",C1152="",D1152=""),"",IF(C1152+D1152=0,"",(H1152*D1152+E1152*C1152)/(C1152+D1152)))</f>
        <v/>
      </c>
      <c r="J1152" s="59"/>
      <c r="K1152" s="61">
        <f>IF(OR(J1152="",I1152=""),"",J1152-I1152)</f>
        <v/>
      </c>
      <c r="L1152" s="61">
        <f>IF(OR(J1152="",G1152=""),"",J1152-G1152)</f>
        <v/>
      </c>
      <c r="M1152" s="59"/>
      <c r="N1152" s="59"/>
      <c r="O1152" s="59"/>
      <c r="P1152" s="59"/>
      <c r="Q1152" s="59"/>
      <c r="R1152" s="60">
        <f>IF(AND(P1152="",Q1152=""),"",N(P1152)+N(Q1152))</f>
        <v/>
      </c>
      <c r="S1152" s="59"/>
      <c r="T1152" s="59"/>
      <c r="U1152" s="62">
        <f>IF(OR(R1152="",S1152="",T1152=""),"",IF(S1152+T1152=0,"",R1152/(S1152+T1152)))</f>
        <v/>
      </c>
      <c r="V1152" s="63"/>
      <c r="W1152" s="64"/>
      <c r="X1152" s="63"/>
    </row>
    <row r="1153" spans="2:24">
      <c r="B1153" s="58"/>
      <c r="C1153" s="59"/>
      <c r="D1153" s="59"/>
      <c r="E1153" s="59"/>
      <c r="F1153" s="59"/>
      <c r="G1153" s="60">
        <f>IF(OR(E1153="",F1153="",C1153="",D1153=""),"",IF(C1153+D1153=0,"",(E1153*C1153+F1153*D1153)/(C1153+D1153)))</f>
        <v/>
      </c>
      <c r="H1153" s="59"/>
      <c r="I1153" s="60">
        <f>IF(OR(H1153="",E1153="",C1153="",D1153=""),"",IF(C1153+D1153=0,"",(H1153*D1153+E1153*C1153)/(C1153+D1153)))</f>
        <v/>
      </c>
      <c r="J1153" s="59"/>
      <c r="K1153" s="61">
        <f>IF(OR(J1153="",I1153=""),"",J1153-I1153)</f>
        <v/>
      </c>
      <c r="L1153" s="61">
        <f>IF(OR(J1153="",G1153=""),"",J1153-G1153)</f>
        <v/>
      </c>
      <c r="M1153" s="59"/>
      <c r="N1153" s="59"/>
      <c r="O1153" s="59"/>
      <c r="P1153" s="59"/>
      <c r="Q1153" s="59"/>
      <c r="R1153" s="60">
        <f>IF(AND(P1153="",Q1153=""),"",N(P1153)+N(Q1153))</f>
        <v/>
      </c>
      <c r="S1153" s="59"/>
      <c r="T1153" s="59"/>
      <c r="U1153" s="62">
        <f>IF(OR(R1153="",S1153="",T1153=""),"",IF(S1153+T1153=0,"",R1153/(S1153+T1153)))</f>
        <v/>
      </c>
      <c r="V1153" s="63"/>
      <c r="W1153" s="64"/>
      <c r="X1153" s="63"/>
    </row>
    <row r="1154" spans="2:24">
      <c r="B1154" s="58"/>
      <c r="C1154" s="59"/>
      <c r="D1154" s="59"/>
      <c r="E1154" s="59"/>
      <c r="F1154" s="59"/>
      <c r="G1154" s="60">
        <f>IF(OR(E1154="",F1154="",C1154="",D1154=""),"",IF(C1154+D1154=0,"",(E1154*C1154+F1154*D1154)/(C1154+D1154)))</f>
        <v/>
      </c>
      <c r="H1154" s="59"/>
      <c r="I1154" s="60">
        <f>IF(OR(H1154="",E1154="",C1154="",D1154=""),"",IF(C1154+D1154=0,"",(H1154*D1154+E1154*C1154)/(C1154+D1154)))</f>
        <v/>
      </c>
      <c r="J1154" s="59"/>
      <c r="K1154" s="61">
        <f>IF(OR(J1154="",I1154=""),"",J1154-I1154)</f>
        <v/>
      </c>
      <c r="L1154" s="61">
        <f>IF(OR(J1154="",G1154=""),"",J1154-G1154)</f>
        <v/>
      </c>
      <c r="M1154" s="59"/>
      <c r="N1154" s="59"/>
      <c r="O1154" s="59"/>
      <c r="P1154" s="59"/>
      <c r="Q1154" s="59"/>
      <c r="R1154" s="60">
        <f>IF(AND(P1154="",Q1154=""),"",N(P1154)+N(Q1154))</f>
        <v/>
      </c>
      <c r="S1154" s="59"/>
      <c r="T1154" s="59"/>
      <c r="U1154" s="62">
        <f>IF(OR(R1154="",S1154="",T1154=""),"",IF(S1154+T1154=0,"",R1154/(S1154+T1154)))</f>
        <v/>
      </c>
      <c r="V1154" s="63"/>
      <c r="W1154" s="64"/>
      <c r="X1154" s="63"/>
    </row>
    <row r="1155" spans="2:24">
      <c r="B1155" s="58"/>
      <c r="C1155" s="59"/>
      <c r="D1155" s="59"/>
      <c r="E1155" s="59"/>
      <c r="F1155" s="59"/>
      <c r="G1155" s="60">
        <f>IF(OR(E1155="",F1155="",C1155="",D1155=""),"",IF(C1155+D1155=0,"",(E1155*C1155+F1155*D1155)/(C1155+D1155)))</f>
        <v/>
      </c>
      <c r="H1155" s="59"/>
      <c r="I1155" s="60">
        <f>IF(OR(H1155="",E1155="",C1155="",D1155=""),"",IF(C1155+D1155=0,"",(H1155*D1155+E1155*C1155)/(C1155+D1155)))</f>
        <v/>
      </c>
      <c r="J1155" s="59"/>
      <c r="K1155" s="61">
        <f>IF(OR(J1155="",I1155=""),"",J1155-I1155)</f>
        <v/>
      </c>
      <c r="L1155" s="61">
        <f>IF(OR(J1155="",G1155=""),"",J1155-G1155)</f>
        <v/>
      </c>
      <c r="M1155" s="59"/>
      <c r="N1155" s="59"/>
      <c r="O1155" s="59"/>
      <c r="P1155" s="59"/>
      <c r="Q1155" s="59"/>
      <c r="R1155" s="60">
        <f>IF(AND(P1155="",Q1155=""),"",N(P1155)+N(Q1155))</f>
        <v/>
      </c>
      <c r="S1155" s="59"/>
      <c r="T1155" s="59"/>
      <c r="U1155" s="62">
        <f>IF(OR(R1155="",S1155="",T1155=""),"",IF(S1155+T1155=0,"",R1155/(S1155+T1155)))</f>
        <v/>
      </c>
      <c r="V1155" s="63"/>
      <c r="W1155" s="64"/>
      <c r="X1155" s="63"/>
    </row>
    <row r="1156" spans="2:24">
      <c r="B1156" s="58"/>
      <c r="C1156" s="59"/>
      <c r="D1156" s="59"/>
      <c r="E1156" s="59"/>
      <c r="F1156" s="59"/>
      <c r="G1156" s="60">
        <f>IF(OR(E1156="",F1156="",C1156="",D1156=""),"",IF(C1156+D1156=0,"",(E1156*C1156+F1156*D1156)/(C1156+D1156)))</f>
        <v/>
      </c>
      <c r="H1156" s="59"/>
      <c r="I1156" s="60">
        <f>IF(OR(H1156="",E1156="",C1156="",D1156=""),"",IF(C1156+D1156=0,"",(H1156*D1156+E1156*C1156)/(C1156+D1156)))</f>
        <v/>
      </c>
      <c r="J1156" s="59"/>
      <c r="K1156" s="61">
        <f>IF(OR(J1156="",I1156=""),"",J1156-I1156)</f>
        <v/>
      </c>
      <c r="L1156" s="61">
        <f>IF(OR(J1156="",G1156=""),"",J1156-G1156)</f>
        <v/>
      </c>
      <c r="M1156" s="59"/>
      <c r="N1156" s="59"/>
      <c r="O1156" s="59"/>
      <c r="P1156" s="59"/>
      <c r="Q1156" s="59"/>
      <c r="R1156" s="60">
        <f>IF(AND(P1156="",Q1156=""),"",N(P1156)+N(Q1156))</f>
        <v/>
      </c>
      <c r="S1156" s="59"/>
      <c r="T1156" s="59"/>
      <c r="U1156" s="62">
        <f>IF(OR(R1156="",S1156="",T1156=""),"",IF(S1156+T1156=0,"",R1156/(S1156+T1156)))</f>
        <v/>
      </c>
      <c r="V1156" s="63"/>
      <c r="W1156" s="64"/>
      <c r="X1156" s="63"/>
    </row>
    <row r="1157" spans="2:24">
      <c r="B1157" s="58"/>
      <c r="C1157" s="59"/>
      <c r="D1157" s="59"/>
      <c r="E1157" s="59"/>
      <c r="F1157" s="59"/>
      <c r="G1157" s="60">
        <f>IF(OR(E1157="",F1157="",C1157="",D1157=""),"",IF(C1157+D1157=0,"",(E1157*C1157+F1157*D1157)/(C1157+D1157)))</f>
        <v/>
      </c>
      <c r="H1157" s="59"/>
      <c r="I1157" s="60">
        <f>IF(OR(H1157="",E1157="",C1157="",D1157=""),"",IF(C1157+D1157=0,"",(H1157*D1157+E1157*C1157)/(C1157+D1157)))</f>
        <v/>
      </c>
      <c r="J1157" s="59"/>
      <c r="K1157" s="61">
        <f>IF(OR(J1157="",I1157=""),"",J1157-I1157)</f>
        <v/>
      </c>
      <c r="L1157" s="61">
        <f>IF(OR(J1157="",G1157=""),"",J1157-G1157)</f>
        <v/>
      </c>
      <c r="M1157" s="59"/>
      <c r="N1157" s="59"/>
      <c r="O1157" s="59"/>
      <c r="P1157" s="59"/>
      <c r="Q1157" s="59"/>
      <c r="R1157" s="60">
        <f>IF(AND(P1157="",Q1157=""),"",N(P1157)+N(Q1157))</f>
        <v/>
      </c>
      <c r="S1157" s="59"/>
      <c r="T1157" s="59"/>
      <c r="U1157" s="62">
        <f>IF(OR(R1157="",S1157="",T1157=""),"",IF(S1157+T1157=0,"",R1157/(S1157+T1157)))</f>
        <v/>
      </c>
      <c r="V1157" s="63"/>
      <c r="W1157" s="64"/>
      <c r="X1157" s="63"/>
    </row>
    <row r="1158" spans="2:24">
      <c r="B1158" s="58"/>
      <c r="C1158" s="59"/>
      <c r="D1158" s="59"/>
      <c r="E1158" s="59"/>
      <c r="F1158" s="59"/>
      <c r="G1158" s="60">
        <f>IF(OR(E1158="",F1158="",C1158="",D1158=""),"",IF(C1158+D1158=0,"",(E1158*C1158+F1158*D1158)/(C1158+D1158)))</f>
        <v/>
      </c>
      <c r="H1158" s="59"/>
      <c r="I1158" s="60">
        <f>IF(OR(H1158="",E1158="",C1158="",D1158=""),"",IF(C1158+D1158=0,"",(H1158*D1158+E1158*C1158)/(C1158+D1158)))</f>
        <v/>
      </c>
      <c r="J1158" s="59"/>
      <c r="K1158" s="61">
        <f>IF(OR(J1158="",I1158=""),"",J1158-I1158)</f>
        <v/>
      </c>
      <c r="L1158" s="61">
        <f>IF(OR(J1158="",G1158=""),"",J1158-G1158)</f>
        <v/>
      </c>
      <c r="M1158" s="59"/>
      <c r="N1158" s="59"/>
      <c r="O1158" s="59"/>
      <c r="P1158" s="59"/>
      <c r="Q1158" s="59"/>
      <c r="R1158" s="60">
        <f>IF(AND(P1158="",Q1158=""),"",N(P1158)+N(Q1158))</f>
        <v/>
      </c>
      <c r="S1158" s="59"/>
      <c r="T1158" s="59"/>
      <c r="U1158" s="62">
        <f>IF(OR(R1158="",S1158="",T1158=""),"",IF(S1158+T1158=0,"",R1158/(S1158+T1158)))</f>
        <v/>
      </c>
      <c r="V1158" s="63"/>
      <c r="W1158" s="64"/>
      <c r="X1158" s="63"/>
    </row>
    <row r="1159" spans="2:24">
      <c r="B1159" s="58"/>
      <c r="C1159" s="59"/>
      <c r="D1159" s="59"/>
      <c r="E1159" s="59"/>
      <c r="F1159" s="59"/>
      <c r="G1159" s="60">
        <f>IF(OR(E1159="",F1159="",C1159="",D1159=""),"",IF(C1159+D1159=0,"",(E1159*C1159+F1159*D1159)/(C1159+D1159)))</f>
        <v/>
      </c>
      <c r="H1159" s="59"/>
      <c r="I1159" s="60">
        <f>IF(OR(H1159="",E1159="",C1159="",D1159=""),"",IF(C1159+D1159=0,"",(H1159*D1159+E1159*C1159)/(C1159+D1159)))</f>
        <v/>
      </c>
      <c r="J1159" s="59"/>
      <c r="K1159" s="61">
        <f>IF(OR(J1159="",I1159=""),"",J1159-I1159)</f>
        <v/>
      </c>
      <c r="L1159" s="61">
        <f>IF(OR(J1159="",G1159=""),"",J1159-G1159)</f>
        <v/>
      </c>
      <c r="M1159" s="59"/>
      <c r="N1159" s="59"/>
      <c r="O1159" s="59"/>
      <c r="P1159" s="59"/>
      <c r="Q1159" s="59"/>
      <c r="R1159" s="60">
        <f>IF(AND(P1159="",Q1159=""),"",N(P1159)+N(Q1159))</f>
        <v/>
      </c>
      <c r="S1159" s="59"/>
      <c r="T1159" s="59"/>
      <c r="U1159" s="62">
        <f>IF(OR(R1159="",S1159="",T1159=""),"",IF(S1159+T1159=0,"",R1159/(S1159+T1159)))</f>
        <v/>
      </c>
      <c r="V1159" s="63"/>
      <c r="W1159" s="64"/>
      <c r="X1159" s="63"/>
    </row>
    <row r="1160" spans="2:24">
      <c r="B1160" s="58"/>
      <c r="C1160" s="59"/>
      <c r="D1160" s="59"/>
      <c r="E1160" s="59"/>
      <c r="F1160" s="59"/>
      <c r="G1160" s="60">
        <f>IF(OR(E1160="",F1160="",C1160="",D1160=""),"",IF(C1160+D1160=0,"",(E1160*C1160+F1160*D1160)/(C1160+D1160)))</f>
        <v/>
      </c>
      <c r="H1160" s="59"/>
      <c r="I1160" s="60">
        <f>IF(OR(H1160="",E1160="",C1160="",D1160=""),"",IF(C1160+D1160=0,"",(H1160*D1160+E1160*C1160)/(C1160+D1160)))</f>
        <v/>
      </c>
      <c r="J1160" s="59"/>
      <c r="K1160" s="61">
        <f>IF(OR(J1160="",I1160=""),"",J1160-I1160)</f>
        <v/>
      </c>
      <c r="L1160" s="61">
        <f>IF(OR(J1160="",G1160=""),"",J1160-G1160)</f>
        <v/>
      </c>
      <c r="M1160" s="59"/>
      <c r="N1160" s="59"/>
      <c r="O1160" s="59"/>
      <c r="P1160" s="59"/>
      <c r="Q1160" s="59"/>
      <c r="R1160" s="60">
        <f>IF(AND(P1160="",Q1160=""),"",N(P1160)+N(Q1160))</f>
        <v/>
      </c>
      <c r="S1160" s="59"/>
      <c r="T1160" s="59"/>
      <c r="U1160" s="62">
        <f>IF(OR(R1160="",S1160="",T1160=""),"",IF(S1160+T1160=0,"",R1160/(S1160+T1160)))</f>
        <v/>
      </c>
      <c r="V1160" s="63"/>
      <c r="W1160" s="64"/>
      <c r="X1160" s="63"/>
    </row>
    <row r="1161" spans="2:24">
      <c r="B1161" s="58"/>
      <c r="C1161" s="59"/>
      <c r="D1161" s="59"/>
      <c r="E1161" s="59"/>
      <c r="F1161" s="59"/>
      <c r="G1161" s="60">
        <f>IF(OR(E1161="",F1161="",C1161="",D1161=""),"",IF(C1161+D1161=0,"",(E1161*C1161+F1161*D1161)/(C1161+D1161)))</f>
        <v/>
      </c>
      <c r="H1161" s="59"/>
      <c r="I1161" s="60">
        <f>IF(OR(H1161="",E1161="",C1161="",D1161=""),"",IF(C1161+D1161=0,"",(H1161*D1161+E1161*C1161)/(C1161+D1161)))</f>
        <v/>
      </c>
      <c r="J1161" s="59"/>
      <c r="K1161" s="61">
        <f>IF(OR(J1161="",I1161=""),"",J1161-I1161)</f>
        <v/>
      </c>
      <c r="L1161" s="61">
        <f>IF(OR(J1161="",G1161=""),"",J1161-G1161)</f>
        <v/>
      </c>
      <c r="M1161" s="59"/>
      <c r="N1161" s="59"/>
      <c r="O1161" s="59"/>
      <c r="P1161" s="59"/>
      <c r="Q1161" s="59"/>
      <c r="R1161" s="60">
        <f>IF(AND(P1161="",Q1161=""),"",N(P1161)+N(Q1161))</f>
        <v/>
      </c>
      <c r="S1161" s="59"/>
      <c r="T1161" s="59"/>
      <c r="U1161" s="62">
        <f>IF(OR(R1161="",S1161="",T1161=""),"",IF(S1161+T1161=0,"",R1161/(S1161+T1161)))</f>
        <v/>
      </c>
      <c r="V1161" s="63"/>
      <c r="W1161" s="64"/>
      <c r="X1161" s="63"/>
    </row>
    <row r="1162" spans="2:24">
      <c r="B1162" s="58"/>
      <c r="C1162" s="59"/>
      <c r="D1162" s="59"/>
      <c r="E1162" s="59"/>
      <c r="F1162" s="59"/>
      <c r="G1162" s="60">
        <f>IF(OR(E1162="",F1162="",C1162="",D1162=""),"",IF(C1162+D1162=0,"",(E1162*C1162+F1162*D1162)/(C1162+D1162)))</f>
        <v/>
      </c>
      <c r="H1162" s="59"/>
      <c r="I1162" s="60">
        <f>IF(OR(H1162="",E1162="",C1162="",D1162=""),"",IF(C1162+D1162=0,"",(H1162*D1162+E1162*C1162)/(C1162+D1162)))</f>
        <v/>
      </c>
      <c r="J1162" s="59"/>
      <c r="K1162" s="61">
        <f>IF(OR(J1162="",I1162=""),"",J1162-I1162)</f>
        <v/>
      </c>
      <c r="L1162" s="61">
        <f>IF(OR(J1162="",G1162=""),"",J1162-G1162)</f>
        <v/>
      </c>
      <c r="M1162" s="59"/>
      <c r="N1162" s="59"/>
      <c r="O1162" s="59"/>
      <c r="P1162" s="59"/>
      <c r="Q1162" s="59"/>
      <c r="R1162" s="60">
        <f>IF(AND(P1162="",Q1162=""),"",N(P1162)+N(Q1162))</f>
        <v/>
      </c>
      <c r="S1162" s="59"/>
      <c r="T1162" s="59"/>
      <c r="U1162" s="62">
        <f>IF(OR(R1162="",S1162="",T1162=""),"",IF(S1162+T1162=0,"",R1162/(S1162+T1162)))</f>
        <v/>
      </c>
      <c r="V1162" s="63"/>
      <c r="W1162" s="64"/>
      <c r="X1162" s="63"/>
    </row>
    <row r="1163" spans="2:24">
      <c r="B1163" s="58"/>
      <c r="C1163" s="59"/>
      <c r="D1163" s="59"/>
      <c r="E1163" s="59"/>
      <c r="F1163" s="59"/>
      <c r="G1163" s="60">
        <f>IF(OR(E1163="",F1163="",C1163="",D1163=""),"",IF(C1163+D1163=0,"",(E1163*C1163+F1163*D1163)/(C1163+D1163)))</f>
        <v/>
      </c>
      <c r="H1163" s="59"/>
      <c r="I1163" s="60">
        <f>IF(OR(H1163="",E1163="",C1163="",D1163=""),"",IF(C1163+D1163=0,"",(H1163*D1163+E1163*C1163)/(C1163+D1163)))</f>
        <v/>
      </c>
      <c r="J1163" s="59"/>
      <c r="K1163" s="61">
        <f>IF(OR(J1163="",I1163=""),"",J1163-I1163)</f>
        <v/>
      </c>
      <c r="L1163" s="61">
        <f>IF(OR(J1163="",G1163=""),"",J1163-G1163)</f>
        <v/>
      </c>
      <c r="M1163" s="59"/>
      <c r="N1163" s="59"/>
      <c r="O1163" s="59"/>
      <c r="P1163" s="59"/>
      <c r="Q1163" s="59"/>
      <c r="R1163" s="60">
        <f>IF(AND(P1163="",Q1163=""),"",N(P1163)+N(Q1163))</f>
        <v/>
      </c>
      <c r="S1163" s="59"/>
      <c r="T1163" s="59"/>
      <c r="U1163" s="62">
        <f>IF(OR(R1163="",S1163="",T1163=""),"",IF(S1163+T1163=0,"",R1163/(S1163+T1163)))</f>
        <v/>
      </c>
      <c r="V1163" s="63"/>
      <c r="W1163" s="64"/>
      <c r="X1163" s="63"/>
    </row>
    <row r="1164" spans="2:24">
      <c r="B1164" s="58"/>
      <c r="C1164" s="59"/>
      <c r="D1164" s="59"/>
      <c r="E1164" s="59"/>
      <c r="F1164" s="59"/>
      <c r="G1164" s="60">
        <f>IF(OR(E1164="",F1164="",C1164="",D1164=""),"",IF(C1164+D1164=0,"",(E1164*C1164+F1164*D1164)/(C1164+D1164)))</f>
        <v/>
      </c>
      <c r="H1164" s="59"/>
      <c r="I1164" s="60">
        <f>IF(OR(H1164="",E1164="",C1164="",D1164=""),"",IF(C1164+D1164=0,"",(H1164*D1164+E1164*C1164)/(C1164+D1164)))</f>
        <v/>
      </c>
      <c r="J1164" s="59"/>
      <c r="K1164" s="61">
        <f>IF(OR(J1164="",I1164=""),"",J1164-I1164)</f>
        <v/>
      </c>
      <c r="L1164" s="61">
        <f>IF(OR(J1164="",G1164=""),"",J1164-G1164)</f>
        <v/>
      </c>
      <c r="M1164" s="59"/>
      <c r="N1164" s="59"/>
      <c r="O1164" s="59"/>
      <c r="P1164" s="59"/>
      <c r="Q1164" s="59"/>
      <c r="R1164" s="60">
        <f>IF(AND(P1164="",Q1164=""),"",N(P1164)+N(Q1164))</f>
        <v/>
      </c>
      <c r="S1164" s="59"/>
      <c r="T1164" s="59"/>
      <c r="U1164" s="62">
        <f>IF(OR(R1164="",S1164="",T1164=""),"",IF(S1164+T1164=0,"",R1164/(S1164+T1164)))</f>
        <v/>
      </c>
      <c r="V1164" s="63"/>
      <c r="W1164" s="64"/>
      <c r="X1164" s="63"/>
    </row>
    <row r="1165" spans="2:24">
      <c r="B1165" s="58"/>
      <c r="C1165" s="59"/>
      <c r="D1165" s="59"/>
      <c r="E1165" s="59"/>
      <c r="F1165" s="59"/>
      <c r="G1165" s="60">
        <f>IF(OR(E1165="",F1165="",C1165="",D1165=""),"",IF(C1165+D1165=0,"",(E1165*C1165+F1165*D1165)/(C1165+D1165)))</f>
        <v/>
      </c>
      <c r="H1165" s="59"/>
      <c r="I1165" s="60">
        <f>IF(OR(H1165="",E1165="",C1165="",D1165=""),"",IF(C1165+D1165=0,"",(H1165*D1165+E1165*C1165)/(C1165+D1165)))</f>
        <v/>
      </c>
      <c r="J1165" s="59"/>
      <c r="K1165" s="61">
        <f>IF(OR(J1165="",I1165=""),"",J1165-I1165)</f>
        <v/>
      </c>
      <c r="L1165" s="61">
        <f>IF(OR(J1165="",G1165=""),"",J1165-G1165)</f>
        <v/>
      </c>
      <c r="M1165" s="59"/>
      <c r="N1165" s="59"/>
      <c r="O1165" s="59"/>
      <c r="P1165" s="59"/>
      <c r="Q1165" s="59"/>
      <c r="R1165" s="60">
        <f>IF(AND(P1165="",Q1165=""),"",N(P1165)+N(Q1165))</f>
        <v/>
      </c>
      <c r="S1165" s="59"/>
      <c r="T1165" s="59"/>
      <c r="U1165" s="62">
        <f>IF(OR(R1165="",S1165="",T1165=""),"",IF(S1165+T1165=0,"",R1165/(S1165+T1165)))</f>
        <v/>
      </c>
      <c r="V1165" s="63"/>
      <c r="W1165" s="64"/>
      <c r="X1165" s="63"/>
    </row>
    <row r="1166" spans="2:24">
      <c r="B1166" s="58"/>
      <c r="C1166" s="59"/>
      <c r="D1166" s="59"/>
      <c r="E1166" s="59"/>
      <c r="F1166" s="59"/>
      <c r="G1166" s="60">
        <f>IF(OR(E1166="",F1166="",C1166="",D1166=""),"",IF(C1166+D1166=0,"",(E1166*C1166+F1166*D1166)/(C1166+D1166)))</f>
        <v/>
      </c>
      <c r="H1166" s="59"/>
      <c r="I1166" s="60">
        <f>IF(OR(H1166="",E1166="",C1166="",D1166=""),"",IF(C1166+D1166=0,"",(H1166*D1166+E1166*C1166)/(C1166+D1166)))</f>
        <v/>
      </c>
      <c r="J1166" s="59"/>
      <c r="K1166" s="61">
        <f>IF(OR(J1166="",I1166=""),"",J1166-I1166)</f>
        <v/>
      </c>
      <c r="L1166" s="61">
        <f>IF(OR(J1166="",G1166=""),"",J1166-G1166)</f>
        <v/>
      </c>
      <c r="M1166" s="59"/>
      <c r="N1166" s="59"/>
      <c r="O1166" s="59"/>
      <c r="P1166" s="59"/>
      <c r="Q1166" s="59"/>
      <c r="R1166" s="60">
        <f>IF(AND(P1166="",Q1166=""),"",N(P1166)+N(Q1166))</f>
        <v/>
      </c>
      <c r="S1166" s="59"/>
      <c r="T1166" s="59"/>
      <c r="U1166" s="62">
        <f>IF(OR(R1166="",S1166="",T1166=""),"",IF(S1166+T1166=0,"",R1166/(S1166+T1166)))</f>
        <v/>
      </c>
      <c r="V1166" s="63"/>
      <c r="W1166" s="64"/>
      <c r="X1166" s="63"/>
    </row>
    <row r="1167" spans="2:24">
      <c r="B1167" s="58"/>
      <c r="C1167" s="59"/>
      <c r="D1167" s="59"/>
      <c r="E1167" s="59"/>
      <c r="F1167" s="59"/>
      <c r="G1167" s="60">
        <f>IF(OR(E1167="",F1167="",C1167="",D1167=""),"",IF(C1167+D1167=0,"",(E1167*C1167+F1167*D1167)/(C1167+D1167)))</f>
        <v/>
      </c>
      <c r="H1167" s="59"/>
      <c r="I1167" s="60">
        <f>IF(OR(H1167="",E1167="",C1167="",D1167=""),"",IF(C1167+D1167=0,"",(H1167*D1167+E1167*C1167)/(C1167+D1167)))</f>
        <v/>
      </c>
      <c r="J1167" s="59"/>
      <c r="K1167" s="61">
        <f>IF(OR(J1167="",I1167=""),"",J1167-I1167)</f>
        <v/>
      </c>
      <c r="L1167" s="61">
        <f>IF(OR(J1167="",G1167=""),"",J1167-G1167)</f>
        <v/>
      </c>
      <c r="M1167" s="59"/>
      <c r="N1167" s="59"/>
      <c r="O1167" s="59"/>
      <c r="P1167" s="59"/>
      <c r="Q1167" s="59"/>
      <c r="R1167" s="60">
        <f>IF(AND(P1167="",Q1167=""),"",N(P1167)+N(Q1167))</f>
        <v/>
      </c>
      <c r="S1167" s="59"/>
      <c r="T1167" s="59"/>
      <c r="U1167" s="62">
        <f>IF(OR(R1167="",S1167="",T1167=""),"",IF(S1167+T1167=0,"",R1167/(S1167+T1167)))</f>
        <v/>
      </c>
      <c r="V1167" s="63"/>
      <c r="W1167" s="64"/>
      <c r="X1167" s="63"/>
    </row>
    <row r="1168" spans="2:24">
      <c r="B1168" s="58"/>
      <c r="C1168" s="59"/>
      <c r="D1168" s="59"/>
      <c r="E1168" s="59"/>
      <c r="F1168" s="59"/>
      <c r="G1168" s="60">
        <f>IF(OR(E1168="",F1168="",C1168="",D1168=""),"",IF(C1168+D1168=0,"",(E1168*C1168+F1168*D1168)/(C1168+D1168)))</f>
        <v/>
      </c>
      <c r="H1168" s="59"/>
      <c r="I1168" s="60">
        <f>IF(OR(H1168="",E1168="",C1168="",D1168=""),"",IF(C1168+D1168=0,"",(H1168*D1168+E1168*C1168)/(C1168+D1168)))</f>
        <v/>
      </c>
      <c r="J1168" s="59"/>
      <c r="K1168" s="61">
        <f>IF(OR(J1168="",I1168=""),"",J1168-I1168)</f>
        <v/>
      </c>
      <c r="L1168" s="61">
        <f>IF(OR(J1168="",G1168=""),"",J1168-G1168)</f>
        <v/>
      </c>
      <c r="M1168" s="59"/>
      <c r="N1168" s="59"/>
      <c r="O1168" s="59"/>
      <c r="P1168" s="59"/>
      <c r="Q1168" s="59"/>
      <c r="R1168" s="60">
        <f>IF(AND(P1168="",Q1168=""),"",N(P1168)+N(Q1168))</f>
        <v/>
      </c>
      <c r="S1168" s="59"/>
      <c r="T1168" s="59"/>
      <c r="U1168" s="62">
        <f>IF(OR(R1168="",S1168="",T1168=""),"",IF(S1168+T1168=0,"",R1168/(S1168+T1168)))</f>
        <v/>
      </c>
      <c r="V1168" s="63"/>
      <c r="W1168" s="64"/>
      <c r="X1168" s="63"/>
    </row>
    <row r="1169" spans="2:24">
      <c r="B1169" s="58"/>
      <c r="C1169" s="59"/>
      <c r="D1169" s="59"/>
      <c r="E1169" s="59"/>
      <c r="F1169" s="59"/>
      <c r="G1169" s="60">
        <f>IF(OR(E1169="",F1169="",C1169="",D1169=""),"",IF(C1169+D1169=0,"",(E1169*C1169+F1169*D1169)/(C1169+D1169)))</f>
        <v/>
      </c>
      <c r="H1169" s="59"/>
      <c r="I1169" s="60">
        <f>IF(OR(H1169="",E1169="",C1169="",D1169=""),"",IF(C1169+D1169=0,"",(H1169*D1169+E1169*C1169)/(C1169+D1169)))</f>
        <v/>
      </c>
      <c r="J1169" s="59"/>
      <c r="K1169" s="61">
        <f>IF(OR(J1169="",I1169=""),"",J1169-I1169)</f>
        <v/>
      </c>
      <c r="L1169" s="61">
        <f>IF(OR(J1169="",G1169=""),"",J1169-G1169)</f>
        <v/>
      </c>
      <c r="M1169" s="59"/>
      <c r="N1169" s="59"/>
      <c r="O1169" s="59"/>
      <c r="P1169" s="59"/>
      <c r="Q1169" s="59"/>
      <c r="R1169" s="60">
        <f>IF(AND(P1169="",Q1169=""),"",N(P1169)+N(Q1169))</f>
        <v/>
      </c>
      <c r="S1169" s="59"/>
      <c r="T1169" s="59"/>
      <c r="U1169" s="62">
        <f>IF(OR(R1169="",S1169="",T1169=""),"",IF(S1169+T1169=0,"",R1169/(S1169+T1169)))</f>
        <v/>
      </c>
      <c r="V1169" s="63"/>
      <c r="W1169" s="64"/>
      <c r="X1169" s="63"/>
    </row>
    <row r="1170" spans="2:24">
      <c r="B1170" s="58"/>
      <c r="C1170" s="59"/>
      <c r="D1170" s="59"/>
      <c r="E1170" s="59"/>
      <c r="F1170" s="59"/>
      <c r="G1170" s="60">
        <f>IF(OR(E1170="",F1170="",C1170="",D1170=""),"",IF(C1170+D1170=0,"",(E1170*C1170+F1170*D1170)/(C1170+D1170)))</f>
        <v/>
      </c>
      <c r="H1170" s="59"/>
      <c r="I1170" s="60">
        <f>IF(OR(H1170="",E1170="",C1170="",D1170=""),"",IF(C1170+D1170=0,"",(H1170*D1170+E1170*C1170)/(C1170+D1170)))</f>
        <v/>
      </c>
      <c r="J1170" s="59"/>
      <c r="K1170" s="61">
        <f>IF(OR(J1170="",I1170=""),"",J1170-I1170)</f>
        <v/>
      </c>
      <c r="L1170" s="61">
        <f>IF(OR(J1170="",G1170=""),"",J1170-G1170)</f>
        <v/>
      </c>
      <c r="M1170" s="59"/>
      <c r="N1170" s="59"/>
      <c r="O1170" s="59"/>
      <c r="P1170" s="59"/>
      <c r="Q1170" s="59"/>
      <c r="R1170" s="60">
        <f>IF(AND(P1170="",Q1170=""),"",N(P1170)+N(Q1170))</f>
        <v/>
      </c>
      <c r="S1170" s="59"/>
      <c r="T1170" s="59"/>
      <c r="U1170" s="62">
        <f>IF(OR(R1170="",S1170="",T1170=""),"",IF(S1170+T1170=0,"",R1170/(S1170+T1170)))</f>
        <v/>
      </c>
      <c r="V1170" s="63"/>
      <c r="W1170" s="64"/>
      <c r="X1170" s="63"/>
    </row>
    <row r="1171" spans="2:24">
      <c r="B1171" s="58"/>
      <c r="C1171" s="59"/>
      <c r="D1171" s="59"/>
      <c r="E1171" s="59"/>
      <c r="F1171" s="59"/>
      <c r="G1171" s="60">
        <f>IF(OR(E1171="",F1171="",C1171="",D1171=""),"",IF(C1171+D1171=0,"",(E1171*C1171+F1171*D1171)/(C1171+D1171)))</f>
        <v/>
      </c>
      <c r="H1171" s="59"/>
      <c r="I1171" s="60">
        <f>IF(OR(H1171="",E1171="",C1171="",D1171=""),"",IF(C1171+D1171=0,"",(H1171*D1171+E1171*C1171)/(C1171+D1171)))</f>
        <v/>
      </c>
      <c r="J1171" s="59"/>
      <c r="K1171" s="61">
        <f>IF(OR(J1171="",I1171=""),"",J1171-I1171)</f>
        <v/>
      </c>
      <c r="L1171" s="61">
        <f>IF(OR(J1171="",G1171=""),"",J1171-G1171)</f>
        <v/>
      </c>
      <c r="M1171" s="59"/>
      <c r="N1171" s="59"/>
      <c r="O1171" s="59"/>
      <c r="P1171" s="59"/>
      <c r="Q1171" s="59"/>
      <c r="R1171" s="60">
        <f>IF(AND(P1171="",Q1171=""),"",N(P1171)+N(Q1171))</f>
        <v/>
      </c>
      <c r="S1171" s="59"/>
      <c r="T1171" s="59"/>
      <c r="U1171" s="62">
        <f>IF(OR(R1171="",S1171="",T1171=""),"",IF(S1171+T1171=0,"",R1171/(S1171+T1171)))</f>
        <v/>
      </c>
      <c r="V1171" s="63"/>
      <c r="W1171" s="64"/>
      <c r="X1171" s="63"/>
    </row>
    <row r="1172" spans="2:24">
      <c r="B1172" s="58"/>
      <c r="C1172" s="59"/>
      <c r="D1172" s="59"/>
      <c r="E1172" s="59"/>
      <c r="F1172" s="59"/>
      <c r="G1172" s="60">
        <f>IF(OR(E1172="",F1172="",C1172="",D1172=""),"",IF(C1172+D1172=0,"",(E1172*C1172+F1172*D1172)/(C1172+D1172)))</f>
        <v/>
      </c>
      <c r="H1172" s="59"/>
      <c r="I1172" s="60">
        <f>IF(OR(H1172="",E1172="",C1172="",D1172=""),"",IF(C1172+D1172=0,"",(H1172*D1172+E1172*C1172)/(C1172+D1172)))</f>
        <v/>
      </c>
      <c r="J1172" s="59"/>
      <c r="K1172" s="61">
        <f>IF(OR(J1172="",I1172=""),"",J1172-I1172)</f>
        <v/>
      </c>
      <c r="L1172" s="61">
        <f>IF(OR(J1172="",G1172=""),"",J1172-G1172)</f>
        <v/>
      </c>
      <c r="M1172" s="59"/>
      <c r="N1172" s="59"/>
      <c r="O1172" s="59"/>
      <c r="P1172" s="59"/>
      <c r="Q1172" s="59"/>
      <c r="R1172" s="60">
        <f>IF(AND(P1172="",Q1172=""),"",N(P1172)+N(Q1172))</f>
        <v/>
      </c>
      <c r="S1172" s="59"/>
      <c r="T1172" s="59"/>
      <c r="U1172" s="62">
        <f>IF(OR(R1172="",S1172="",T1172=""),"",IF(S1172+T1172=0,"",R1172/(S1172+T1172)))</f>
        <v/>
      </c>
      <c r="V1172" s="63"/>
      <c r="W1172" s="64"/>
      <c r="X1172" s="63"/>
    </row>
    <row r="1173" spans="2:24">
      <c r="B1173" s="58"/>
      <c r="C1173" s="59"/>
      <c r="D1173" s="59"/>
      <c r="E1173" s="59"/>
      <c r="F1173" s="59"/>
      <c r="G1173" s="60">
        <f>IF(OR(E1173="",F1173="",C1173="",D1173=""),"",IF(C1173+D1173=0,"",(E1173*C1173+F1173*D1173)/(C1173+D1173)))</f>
        <v/>
      </c>
      <c r="H1173" s="59"/>
      <c r="I1173" s="60">
        <f>IF(OR(H1173="",E1173="",C1173="",D1173=""),"",IF(C1173+D1173=0,"",(H1173*D1173+E1173*C1173)/(C1173+D1173)))</f>
        <v/>
      </c>
      <c r="J1173" s="59"/>
      <c r="K1173" s="61">
        <f>IF(OR(J1173="",I1173=""),"",J1173-I1173)</f>
        <v/>
      </c>
      <c r="L1173" s="61">
        <f>IF(OR(J1173="",G1173=""),"",J1173-G1173)</f>
        <v/>
      </c>
      <c r="M1173" s="59"/>
      <c r="N1173" s="59"/>
      <c r="O1173" s="59"/>
      <c r="P1173" s="59"/>
      <c r="Q1173" s="59"/>
      <c r="R1173" s="60">
        <f>IF(AND(P1173="",Q1173=""),"",N(P1173)+N(Q1173))</f>
        <v/>
      </c>
      <c r="S1173" s="59"/>
      <c r="T1173" s="59"/>
      <c r="U1173" s="62">
        <f>IF(OR(R1173="",S1173="",T1173=""),"",IF(S1173+T1173=0,"",R1173/(S1173+T1173)))</f>
        <v/>
      </c>
      <c r="V1173" s="63"/>
      <c r="W1173" s="64"/>
      <c r="X1173" s="63"/>
    </row>
    <row r="1174" spans="2:24">
      <c r="B1174" s="58"/>
      <c r="C1174" s="59"/>
      <c r="D1174" s="59"/>
      <c r="E1174" s="59"/>
      <c r="F1174" s="59"/>
      <c r="G1174" s="60">
        <f>IF(OR(E1174="",F1174="",C1174="",D1174=""),"",IF(C1174+D1174=0,"",(E1174*C1174+F1174*D1174)/(C1174+D1174)))</f>
        <v/>
      </c>
      <c r="H1174" s="59"/>
      <c r="I1174" s="60">
        <f>IF(OR(H1174="",E1174="",C1174="",D1174=""),"",IF(C1174+D1174=0,"",(H1174*D1174+E1174*C1174)/(C1174+D1174)))</f>
        <v/>
      </c>
      <c r="J1174" s="59"/>
      <c r="K1174" s="61">
        <f>IF(OR(J1174="",I1174=""),"",J1174-I1174)</f>
        <v/>
      </c>
      <c r="L1174" s="61">
        <f>IF(OR(J1174="",G1174=""),"",J1174-G1174)</f>
        <v/>
      </c>
      <c r="M1174" s="59"/>
      <c r="N1174" s="59"/>
      <c r="O1174" s="59"/>
      <c r="P1174" s="59"/>
      <c r="Q1174" s="59"/>
      <c r="R1174" s="60">
        <f>IF(AND(P1174="",Q1174=""),"",N(P1174)+N(Q1174))</f>
        <v/>
      </c>
      <c r="S1174" s="59"/>
      <c r="T1174" s="59"/>
      <c r="U1174" s="62">
        <f>IF(OR(R1174="",S1174="",T1174=""),"",IF(S1174+T1174=0,"",R1174/(S1174+T1174)))</f>
        <v/>
      </c>
      <c r="V1174" s="63"/>
      <c r="W1174" s="64"/>
      <c r="X1174" s="63"/>
    </row>
    <row r="1175" spans="2:24">
      <c r="B1175" s="58"/>
      <c r="C1175" s="59"/>
      <c r="D1175" s="59"/>
      <c r="E1175" s="59"/>
      <c r="F1175" s="59"/>
      <c r="G1175" s="60">
        <f>IF(OR(E1175="",F1175="",C1175="",D1175=""),"",IF(C1175+D1175=0,"",(E1175*C1175+F1175*D1175)/(C1175+D1175)))</f>
        <v/>
      </c>
      <c r="H1175" s="59"/>
      <c r="I1175" s="60">
        <f>IF(OR(H1175="",E1175="",C1175="",D1175=""),"",IF(C1175+D1175=0,"",(H1175*D1175+E1175*C1175)/(C1175+D1175)))</f>
        <v/>
      </c>
      <c r="J1175" s="59"/>
      <c r="K1175" s="61">
        <f>IF(OR(J1175="",I1175=""),"",J1175-I1175)</f>
        <v/>
      </c>
      <c r="L1175" s="61">
        <f>IF(OR(J1175="",G1175=""),"",J1175-G1175)</f>
        <v/>
      </c>
      <c r="M1175" s="59"/>
      <c r="N1175" s="59"/>
      <c r="O1175" s="59"/>
      <c r="P1175" s="59"/>
      <c r="Q1175" s="59"/>
      <c r="R1175" s="60">
        <f>IF(AND(P1175="",Q1175=""),"",N(P1175)+N(Q1175))</f>
        <v/>
      </c>
      <c r="S1175" s="59"/>
      <c r="T1175" s="59"/>
      <c r="U1175" s="62">
        <f>IF(OR(R1175="",S1175="",T1175=""),"",IF(S1175+T1175=0,"",R1175/(S1175+T1175)))</f>
        <v/>
      </c>
      <c r="V1175" s="63"/>
      <c r="W1175" s="64"/>
      <c r="X1175" s="63"/>
    </row>
    <row r="1176" spans="2:24">
      <c r="B1176" s="58"/>
      <c r="C1176" s="59"/>
      <c r="D1176" s="59"/>
      <c r="E1176" s="59"/>
      <c r="F1176" s="59"/>
      <c r="G1176" s="60">
        <f>IF(OR(E1176="",F1176="",C1176="",D1176=""),"",IF(C1176+D1176=0,"",(E1176*C1176+F1176*D1176)/(C1176+D1176)))</f>
        <v/>
      </c>
      <c r="H1176" s="59"/>
      <c r="I1176" s="60">
        <f>IF(OR(H1176="",E1176="",C1176="",D1176=""),"",IF(C1176+D1176=0,"",(H1176*D1176+E1176*C1176)/(C1176+D1176)))</f>
        <v/>
      </c>
      <c r="J1176" s="59"/>
      <c r="K1176" s="61">
        <f>IF(OR(J1176="",I1176=""),"",J1176-I1176)</f>
        <v/>
      </c>
      <c r="L1176" s="61">
        <f>IF(OR(J1176="",G1176=""),"",J1176-G1176)</f>
        <v/>
      </c>
      <c r="M1176" s="59"/>
      <c r="N1176" s="59"/>
      <c r="O1176" s="59"/>
      <c r="P1176" s="59"/>
      <c r="Q1176" s="59"/>
      <c r="R1176" s="60">
        <f>IF(AND(P1176="",Q1176=""),"",N(P1176)+N(Q1176))</f>
        <v/>
      </c>
      <c r="S1176" s="59"/>
      <c r="T1176" s="59"/>
      <c r="U1176" s="62">
        <f>IF(OR(R1176="",S1176="",T1176=""),"",IF(S1176+T1176=0,"",R1176/(S1176+T1176)))</f>
        <v/>
      </c>
      <c r="V1176" s="63"/>
      <c r="W1176" s="64"/>
      <c r="X1176" s="63"/>
    </row>
    <row r="1177" spans="2:24">
      <c r="B1177" s="58"/>
      <c r="C1177" s="59"/>
      <c r="D1177" s="59"/>
      <c r="E1177" s="59"/>
      <c r="F1177" s="59"/>
      <c r="G1177" s="60">
        <f>IF(OR(E1177="",F1177="",C1177="",D1177=""),"",IF(C1177+D1177=0,"",(E1177*C1177+F1177*D1177)/(C1177+D1177)))</f>
        <v/>
      </c>
      <c r="H1177" s="59"/>
      <c r="I1177" s="60">
        <f>IF(OR(H1177="",E1177="",C1177="",D1177=""),"",IF(C1177+D1177=0,"",(H1177*D1177+E1177*C1177)/(C1177+D1177)))</f>
        <v/>
      </c>
      <c r="J1177" s="59"/>
      <c r="K1177" s="61">
        <f>IF(OR(J1177="",I1177=""),"",J1177-I1177)</f>
        <v/>
      </c>
      <c r="L1177" s="61">
        <f>IF(OR(J1177="",G1177=""),"",J1177-G1177)</f>
        <v/>
      </c>
      <c r="M1177" s="59"/>
      <c r="N1177" s="59"/>
      <c r="O1177" s="59"/>
      <c r="P1177" s="59"/>
      <c r="Q1177" s="59"/>
      <c r="R1177" s="60">
        <f>IF(AND(P1177="",Q1177=""),"",N(P1177)+N(Q1177))</f>
        <v/>
      </c>
      <c r="S1177" s="59"/>
      <c r="T1177" s="59"/>
      <c r="U1177" s="62">
        <f>IF(OR(R1177="",S1177="",T1177=""),"",IF(S1177+T1177=0,"",R1177/(S1177+T1177)))</f>
        <v/>
      </c>
      <c r="V1177" s="63"/>
      <c r="W1177" s="64"/>
      <c r="X1177" s="63"/>
    </row>
    <row r="1178" spans="2:24">
      <c r="B1178" s="58"/>
      <c r="C1178" s="59"/>
      <c r="D1178" s="59"/>
      <c r="E1178" s="59"/>
      <c r="F1178" s="59"/>
      <c r="G1178" s="60">
        <f>IF(OR(E1178="",F1178="",C1178="",D1178=""),"",IF(C1178+D1178=0,"",(E1178*C1178+F1178*D1178)/(C1178+D1178)))</f>
        <v/>
      </c>
      <c r="H1178" s="59"/>
      <c r="I1178" s="60">
        <f>IF(OR(H1178="",E1178="",C1178="",D1178=""),"",IF(C1178+D1178=0,"",(H1178*D1178+E1178*C1178)/(C1178+D1178)))</f>
        <v/>
      </c>
      <c r="J1178" s="59"/>
      <c r="K1178" s="61">
        <f>IF(OR(J1178="",I1178=""),"",J1178-I1178)</f>
        <v/>
      </c>
      <c r="L1178" s="61">
        <f>IF(OR(J1178="",G1178=""),"",J1178-G1178)</f>
        <v/>
      </c>
      <c r="M1178" s="59"/>
      <c r="N1178" s="59"/>
      <c r="O1178" s="59"/>
      <c r="P1178" s="59"/>
      <c r="Q1178" s="59"/>
      <c r="R1178" s="60">
        <f>IF(AND(P1178="",Q1178=""),"",N(P1178)+N(Q1178))</f>
        <v/>
      </c>
      <c r="S1178" s="59"/>
      <c r="T1178" s="59"/>
      <c r="U1178" s="62">
        <f>IF(OR(R1178="",S1178="",T1178=""),"",IF(S1178+T1178=0,"",R1178/(S1178+T1178)))</f>
        <v/>
      </c>
      <c r="V1178" s="63"/>
      <c r="W1178" s="64"/>
      <c r="X1178" s="63"/>
    </row>
    <row r="1179" spans="2:24">
      <c r="B1179" s="58"/>
      <c r="C1179" s="59"/>
      <c r="D1179" s="59"/>
      <c r="E1179" s="59"/>
      <c r="F1179" s="59"/>
      <c r="G1179" s="60">
        <f>IF(OR(E1179="",F1179="",C1179="",D1179=""),"",IF(C1179+D1179=0,"",(E1179*C1179+F1179*D1179)/(C1179+D1179)))</f>
        <v/>
      </c>
      <c r="H1179" s="59"/>
      <c r="I1179" s="60">
        <f>IF(OR(H1179="",E1179="",C1179="",D1179=""),"",IF(C1179+D1179=0,"",(H1179*D1179+E1179*C1179)/(C1179+D1179)))</f>
        <v/>
      </c>
      <c r="J1179" s="59"/>
      <c r="K1179" s="61">
        <f>IF(OR(J1179="",I1179=""),"",J1179-I1179)</f>
        <v/>
      </c>
      <c r="L1179" s="61">
        <f>IF(OR(J1179="",G1179=""),"",J1179-G1179)</f>
        <v/>
      </c>
      <c r="M1179" s="59"/>
      <c r="N1179" s="59"/>
      <c r="O1179" s="59"/>
      <c r="P1179" s="59"/>
      <c r="Q1179" s="59"/>
      <c r="R1179" s="60">
        <f>IF(AND(P1179="",Q1179=""),"",N(P1179)+N(Q1179))</f>
        <v/>
      </c>
      <c r="S1179" s="59"/>
      <c r="T1179" s="59"/>
      <c r="U1179" s="62">
        <f>IF(OR(R1179="",S1179="",T1179=""),"",IF(S1179+T1179=0,"",R1179/(S1179+T1179)))</f>
        <v/>
      </c>
      <c r="V1179" s="63"/>
      <c r="W1179" s="64"/>
      <c r="X1179" s="63"/>
    </row>
    <row r="1180" spans="2:24">
      <c r="B1180" s="58"/>
      <c r="C1180" s="59"/>
      <c r="D1180" s="59"/>
      <c r="E1180" s="59"/>
      <c r="F1180" s="59"/>
      <c r="G1180" s="60">
        <f>IF(OR(E1180="",F1180="",C1180="",D1180=""),"",IF(C1180+D1180=0,"",(E1180*C1180+F1180*D1180)/(C1180+D1180)))</f>
        <v/>
      </c>
      <c r="H1180" s="59"/>
      <c r="I1180" s="60">
        <f>IF(OR(H1180="",E1180="",C1180="",D1180=""),"",IF(C1180+D1180=0,"",(H1180*D1180+E1180*C1180)/(C1180+D1180)))</f>
        <v/>
      </c>
      <c r="J1180" s="59"/>
      <c r="K1180" s="61">
        <f>IF(OR(J1180="",I1180=""),"",J1180-I1180)</f>
        <v/>
      </c>
      <c r="L1180" s="61">
        <f>IF(OR(J1180="",G1180=""),"",J1180-G1180)</f>
        <v/>
      </c>
      <c r="M1180" s="59"/>
      <c r="N1180" s="59"/>
      <c r="O1180" s="59"/>
      <c r="P1180" s="59"/>
      <c r="Q1180" s="59"/>
      <c r="R1180" s="60">
        <f>IF(AND(P1180="",Q1180=""),"",N(P1180)+N(Q1180))</f>
        <v/>
      </c>
      <c r="S1180" s="59"/>
      <c r="T1180" s="59"/>
      <c r="U1180" s="62">
        <f>IF(OR(R1180="",S1180="",T1180=""),"",IF(S1180+T1180=0,"",R1180/(S1180+T1180)))</f>
        <v/>
      </c>
      <c r="V1180" s="63"/>
      <c r="W1180" s="64"/>
      <c r="X1180" s="63"/>
    </row>
    <row r="1181" spans="2:24">
      <c r="B1181" s="58"/>
      <c r="C1181" s="59"/>
      <c r="D1181" s="59"/>
      <c r="E1181" s="59"/>
      <c r="F1181" s="59"/>
      <c r="G1181" s="60">
        <f>IF(OR(E1181="",F1181="",C1181="",D1181=""),"",IF(C1181+D1181=0,"",(E1181*C1181+F1181*D1181)/(C1181+D1181)))</f>
        <v/>
      </c>
      <c r="H1181" s="59"/>
      <c r="I1181" s="60">
        <f>IF(OR(H1181="",E1181="",C1181="",D1181=""),"",IF(C1181+D1181=0,"",(H1181*D1181+E1181*C1181)/(C1181+D1181)))</f>
        <v/>
      </c>
      <c r="J1181" s="59"/>
      <c r="K1181" s="61">
        <f>IF(OR(J1181="",I1181=""),"",J1181-I1181)</f>
        <v/>
      </c>
      <c r="L1181" s="61">
        <f>IF(OR(J1181="",G1181=""),"",J1181-G1181)</f>
        <v/>
      </c>
      <c r="M1181" s="59"/>
      <c r="N1181" s="59"/>
      <c r="O1181" s="59"/>
      <c r="P1181" s="59"/>
      <c r="Q1181" s="59"/>
      <c r="R1181" s="60">
        <f>IF(AND(P1181="",Q1181=""),"",N(P1181)+N(Q1181))</f>
        <v/>
      </c>
      <c r="S1181" s="59"/>
      <c r="T1181" s="59"/>
      <c r="U1181" s="62">
        <f>IF(OR(R1181="",S1181="",T1181=""),"",IF(S1181+T1181=0,"",R1181/(S1181+T1181)))</f>
        <v/>
      </c>
      <c r="V1181" s="63"/>
      <c r="W1181" s="64"/>
      <c r="X1181" s="63"/>
    </row>
    <row r="1182" spans="2:24">
      <c r="B1182" s="58"/>
      <c r="C1182" s="59"/>
      <c r="D1182" s="59"/>
      <c r="E1182" s="59"/>
      <c r="F1182" s="59"/>
      <c r="G1182" s="60">
        <f>IF(OR(E1182="",F1182="",C1182="",D1182=""),"",IF(C1182+D1182=0,"",(E1182*C1182+F1182*D1182)/(C1182+D1182)))</f>
        <v/>
      </c>
      <c r="H1182" s="59"/>
      <c r="I1182" s="60">
        <f>IF(OR(H1182="",E1182="",C1182="",D1182=""),"",IF(C1182+D1182=0,"",(H1182*D1182+E1182*C1182)/(C1182+D1182)))</f>
        <v/>
      </c>
      <c r="J1182" s="59"/>
      <c r="K1182" s="61">
        <f>IF(OR(J1182="",I1182=""),"",J1182-I1182)</f>
        <v/>
      </c>
      <c r="L1182" s="61">
        <f>IF(OR(J1182="",G1182=""),"",J1182-G1182)</f>
        <v/>
      </c>
      <c r="M1182" s="59"/>
      <c r="N1182" s="59"/>
      <c r="O1182" s="59"/>
      <c r="P1182" s="59"/>
      <c r="Q1182" s="59"/>
      <c r="R1182" s="60">
        <f>IF(AND(P1182="",Q1182=""),"",N(P1182)+N(Q1182))</f>
        <v/>
      </c>
      <c r="S1182" s="59"/>
      <c r="T1182" s="59"/>
      <c r="U1182" s="62">
        <f>IF(OR(R1182="",S1182="",T1182=""),"",IF(S1182+T1182=0,"",R1182/(S1182+T1182)))</f>
        <v/>
      </c>
      <c r="V1182" s="63"/>
      <c r="W1182" s="64"/>
      <c r="X1182" s="63"/>
    </row>
    <row r="1183" spans="2:24">
      <c r="B1183" s="58"/>
      <c r="C1183" s="59"/>
      <c r="D1183" s="59"/>
      <c r="E1183" s="59"/>
      <c r="F1183" s="59"/>
      <c r="G1183" s="60">
        <f>IF(OR(E1183="",F1183="",C1183="",D1183=""),"",IF(C1183+D1183=0,"",(E1183*C1183+F1183*D1183)/(C1183+D1183)))</f>
        <v/>
      </c>
      <c r="H1183" s="59"/>
      <c r="I1183" s="60">
        <f>IF(OR(H1183="",E1183="",C1183="",D1183=""),"",IF(C1183+D1183=0,"",(H1183*D1183+E1183*C1183)/(C1183+D1183)))</f>
        <v/>
      </c>
      <c r="J1183" s="59"/>
      <c r="K1183" s="61">
        <f>IF(OR(J1183="",I1183=""),"",J1183-I1183)</f>
        <v/>
      </c>
      <c r="L1183" s="61">
        <f>IF(OR(J1183="",G1183=""),"",J1183-G1183)</f>
        <v/>
      </c>
      <c r="M1183" s="59"/>
      <c r="N1183" s="59"/>
      <c r="O1183" s="59"/>
      <c r="P1183" s="59"/>
      <c r="Q1183" s="59"/>
      <c r="R1183" s="60">
        <f>IF(AND(P1183="",Q1183=""),"",N(P1183)+N(Q1183))</f>
        <v/>
      </c>
      <c r="S1183" s="59"/>
      <c r="T1183" s="59"/>
      <c r="U1183" s="62">
        <f>IF(OR(R1183="",S1183="",T1183=""),"",IF(S1183+T1183=0,"",R1183/(S1183+T1183)))</f>
        <v/>
      </c>
      <c r="V1183" s="63"/>
      <c r="W1183" s="64"/>
      <c r="X1183" s="63"/>
    </row>
    <row r="1184" spans="2:24">
      <c r="B1184" s="58"/>
      <c r="C1184" s="59"/>
      <c r="D1184" s="59"/>
      <c r="E1184" s="59"/>
      <c r="F1184" s="59"/>
      <c r="G1184" s="60">
        <f>IF(OR(E1184="",F1184="",C1184="",D1184=""),"",IF(C1184+D1184=0,"",(E1184*C1184+F1184*D1184)/(C1184+D1184)))</f>
        <v/>
      </c>
      <c r="H1184" s="59"/>
      <c r="I1184" s="60">
        <f>IF(OR(H1184="",E1184="",C1184="",D1184=""),"",IF(C1184+D1184=0,"",(H1184*D1184+E1184*C1184)/(C1184+D1184)))</f>
        <v/>
      </c>
      <c r="J1184" s="59"/>
      <c r="K1184" s="61">
        <f>IF(OR(J1184="",I1184=""),"",J1184-I1184)</f>
        <v/>
      </c>
      <c r="L1184" s="61">
        <f>IF(OR(J1184="",G1184=""),"",J1184-G1184)</f>
        <v/>
      </c>
      <c r="M1184" s="59"/>
      <c r="N1184" s="59"/>
      <c r="O1184" s="59"/>
      <c r="P1184" s="59"/>
      <c r="Q1184" s="59"/>
      <c r="R1184" s="60">
        <f>IF(AND(P1184="",Q1184=""),"",N(P1184)+N(Q1184))</f>
        <v/>
      </c>
      <c r="S1184" s="59"/>
      <c r="T1184" s="59"/>
      <c r="U1184" s="62">
        <f>IF(OR(R1184="",S1184="",T1184=""),"",IF(S1184+T1184=0,"",R1184/(S1184+T1184)))</f>
        <v/>
      </c>
      <c r="V1184" s="63"/>
      <c r="W1184" s="64"/>
      <c r="X1184" s="63"/>
    </row>
    <row r="1185" spans="2:24">
      <c r="B1185" s="58"/>
      <c r="C1185" s="59"/>
      <c r="D1185" s="59"/>
      <c r="E1185" s="59"/>
      <c r="F1185" s="59"/>
      <c r="G1185" s="60">
        <f>IF(OR(E1185="",F1185="",C1185="",D1185=""),"",IF(C1185+D1185=0,"",(E1185*C1185+F1185*D1185)/(C1185+D1185)))</f>
        <v/>
      </c>
      <c r="H1185" s="59"/>
      <c r="I1185" s="60">
        <f>IF(OR(H1185="",E1185="",C1185="",D1185=""),"",IF(C1185+D1185=0,"",(H1185*D1185+E1185*C1185)/(C1185+D1185)))</f>
        <v/>
      </c>
      <c r="J1185" s="59"/>
      <c r="K1185" s="61">
        <f>IF(OR(J1185="",I1185=""),"",J1185-I1185)</f>
        <v/>
      </c>
      <c r="L1185" s="61">
        <f>IF(OR(J1185="",G1185=""),"",J1185-G1185)</f>
        <v/>
      </c>
      <c r="M1185" s="59"/>
      <c r="N1185" s="59"/>
      <c r="O1185" s="59"/>
      <c r="P1185" s="59"/>
      <c r="Q1185" s="59"/>
      <c r="R1185" s="60">
        <f>IF(AND(P1185="",Q1185=""),"",N(P1185)+N(Q1185))</f>
        <v/>
      </c>
      <c r="S1185" s="59"/>
      <c r="T1185" s="59"/>
      <c r="U1185" s="62">
        <f>IF(OR(R1185="",S1185="",T1185=""),"",IF(S1185+T1185=0,"",R1185/(S1185+T1185)))</f>
        <v/>
      </c>
      <c r="V1185" s="63"/>
      <c r="W1185" s="64"/>
      <c r="X1185" s="63"/>
    </row>
    <row r="1186" spans="2:24">
      <c r="B1186" s="58"/>
      <c r="C1186" s="59"/>
      <c r="D1186" s="59"/>
      <c r="E1186" s="59"/>
      <c r="F1186" s="59"/>
      <c r="G1186" s="60">
        <f>IF(OR(E1186="",F1186="",C1186="",D1186=""),"",IF(C1186+D1186=0,"",(E1186*C1186+F1186*D1186)/(C1186+D1186)))</f>
        <v/>
      </c>
      <c r="H1186" s="59"/>
      <c r="I1186" s="60">
        <f>IF(OR(H1186="",E1186="",C1186="",D1186=""),"",IF(C1186+D1186=0,"",(H1186*D1186+E1186*C1186)/(C1186+D1186)))</f>
        <v/>
      </c>
      <c r="J1186" s="59"/>
      <c r="K1186" s="61">
        <f>IF(OR(J1186="",I1186=""),"",J1186-I1186)</f>
        <v/>
      </c>
      <c r="L1186" s="61">
        <f>IF(OR(J1186="",G1186=""),"",J1186-G1186)</f>
        <v/>
      </c>
      <c r="M1186" s="59"/>
      <c r="N1186" s="59"/>
      <c r="O1186" s="59"/>
      <c r="P1186" s="59"/>
      <c r="Q1186" s="59"/>
      <c r="R1186" s="60">
        <f>IF(AND(P1186="",Q1186=""),"",N(P1186)+N(Q1186))</f>
        <v/>
      </c>
      <c r="S1186" s="59"/>
      <c r="T1186" s="59"/>
      <c r="U1186" s="62">
        <f>IF(OR(R1186="",S1186="",T1186=""),"",IF(S1186+T1186=0,"",R1186/(S1186+T1186)))</f>
        <v/>
      </c>
      <c r="V1186" s="63"/>
      <c r="W1186" s="64"/>
      <c r="X1186" s="63"/>
    </row>
    <row r="1187" spans="2:24">
      <c r="B1187" s="58"/>
      <c r="C1187" s="59"/>
      <c r="D1187" s="59"/>
      <c r="E1187" s="59"/>
      <c r="F1187" s="59"/>
      <c r="G1187" s="60">
        <f>IF(OR(E1187="",F1187="",C1187="",D1187=""),"",IF(C1187+D1187=0,"",(E1187*C1187+F1187*D1187)/(C1187+D1187)))</f>
        <v/>
      </c>
      <c r="H1187" s="59"/>
      <c r="I1187" s="60">
        <f>IF(OR(H1187="",E1187="",C1187="",D1187=""),"",IF(C1187+D1187=0,"",(H1187*D1187+E1187*C1187)/(C1187+D1187)))</f>
        <v/>
      </c>
      <c r="J1187" s="59"/>
      <c r="K1187" s="61">
        <f>IF(OR(J1187="",I1187=""),"",J1187-I1187)</f>
        <v/>
      </c>
      <c r="L1187" s="61">
        <f>IF(OR(J1187="",G1187=""),"",J1187-G1187)</f>
        <v/>
      </c>
      <c r="M1187" s="59"/>
      <c r="N1187" s="59"/>
      <c r="O1187" s="59"/>
      <c r="P1187" s="59"/>
      <c r="Q1187" s="59"/>
      <c r="R1187" s="60">
        <f>IF(AND(P1187="",Q1187=""),"",N(P1187)+N(Q1187))</f>
        <v/>
      </c>
      <c r="S1187" s="59"/>
      <c r="T1187" s="59"/>
      <c r="U1187" s="62">
        <f>IF(OR(R1187="",S1187="",T1187=""),"",IF(S1187+T1187=0,"",R1187/(S1187+T1187)))</f>
        <v/>
      </c>
      <c r="V1187" s="63"/>
      <c r="W1187" s="64"/>
      <c r="X1187" s="63"/>
    </row>
    <row r="1188" spans="2:24">
      <c r="B1188" s="58"/>
      <c r="C1188" s="59"/>
      <c r="D1188" s="59"/>
      <c r="E1188" s="59"/>
      <c r="F1188" s="59"/>
      <c r="G1188" s="60">
        <f>IF(OR(E1188="",F1188="",C1188="",D1188=""),"",IF(C1188+D1188=0,"",(E1188*C1188+F1188*D1188)/(C1188+D1188)))</f>
        <v/>
      </c>
      <c r="H1188" s="59"/>
      <c r="I1188" s="60">
        <f>IF(OR(H1188="",E1188="",C1188="",D1188=""),"",IF(C1188+D1188=0,"",(H1188*D1188+E1188*C1188)/(C1188+D1188)))</f>
        <v/>
      </c>
      <c r="J1188" s="59"/>
      <c r="K1188" s="61">
        <f>IF(OR(J1188="",I1188=""),"",J1188-I1188)</f>
        <v/>
      </c>
      <c r="L1188" s="61">
        <f>IF(OR(J1188="",G1188=""),"",J1188-G1188)</f>
        <v/>
      </c>
      <c r="M1188" s="59"/>
      <c r="N1188" s="59"/>
      <c r="O1188" s="59"/>
      <c r="P1188" s="59"/>
      <c r="Q1188" s="59"/>
      <c r="R1188" s="60">
        <f>IF(AND(P1188="",Q1188=""),"",N(P1188)+N(Q1188))</f>
        <v/>
      </c>
      <c r="S1188" s="59"/>
      <c r="T1188" s="59"/>
      <c r="U1188" s="62">
        <f>IF(OR(R1188="",S1188="",T1188=""),"",IF(S1188+T1188=0,"",R1188/(S1188+T1188)))</f>
        <v/>
      </c>
      <c r="V1188" s="63"/>
      <c r="W1188" s="64"/>
      <c r="X1188" s="63"/>
    </row>
    <row r="1189" spans="2:24">
      <c r="B1189" s="58"/>
      <c r="C1189" s="59"/>
      <c r="D1189" s="59"/>
      <c r="E1189" s="59"/>
      <c r="F1189" s="59"/>
      <c r="G1189" s="60">
        <f>IF(OR(E1189="",F1189="",C1189="",D1189=""),"",IF(C1189+D1189=0,"",(E1189*C1189+F1189*D1189)/(C1189+D1189)))</f>
        <v/>
      </c>
      <c r="H1189" s="59"/>
      <c r="I1189" s="60">
        <f>IF(OR(H1189="",E1189="",C1189="",D1189=""),"",IF(C1189+D1189=0,"",(H1189*D1189+E1189*C1189)/(C1189+D1189)))</f>
        <v/>
      </c>
      <c r="J1189" s="59"/>
      <c r="K1189" s="61">
        <f>IF(OR(J1189="",I1189=""),"",J1189-I1189)</f>
        <v/>
      </c>
      <c r="L1189" s="61">
        <f>IF(OR(J1189="",G1189=""),"",J1189-G1189)</f>
        <v/>
      </c>
      <c r="M1189" s="59"/>
      <c r="N1189" s="59"/>
      <c r="O1189" s="59"/>
      <c r="P1189" s="59"/>
      <c r="Q1189" s="59"/>
      <c r="R1189" s="60">
        <f>IF(AND(P1189="",Q1189=""),"",N(P1189)+N(Q1189))</f>
        <v/>
      </c>
      <c r="S1189" s="59"/>
      <c r="T1189" s="59"/>
      <c r="U1189" s="62">
        <f>IF(OR(R1189="",S1189="",T1189=""),"",IF(S1189+T1189=0,"",R1189/(S1189+T1189)))</f>
        <v/>
      </c>
      <c r="V1189" s="63"/>
      <c r="W1189" s="64"/>
      <c r="X1189" s="63"/>
    </row>
    <row r="1190" spans="2:24">
      <c r="B1190" s="58"/>
      <c r="C1190" s="59"/>
      <c r="D1190" s="59"/>
      <c r="E1190" s="59"/>
      <c r="F1190" s="59"/>
      <c r="G1190" s="60">
        <f>IF(OR(E1190="",F1190="",C1190="",D1190=""),"",IF(C1190+D1190=0,"",(E1190*C1190+F1190*D1190)/(C1190+D1190)))</f>
        <v/>
      </c>
      <c r="H1190" s="59"/>
      <c r="I1190" s="60">
        <f>IF(OR(H1190="",E1190="",C1190="",D1190=""),"",IF(C1190+D1190=0,"",(H1190*D1190+E1190*C1190)/(C1190+D1190)))</f>
        <v/>
      </c>
      <c r="J1190" s="59"/>
      <c r="K1190" s="61">
        <f>IF(OR(J1190="",I1190=""),"",J1190-I1190)</f>
        <v/>
      </c>
      <c r="L1190" s="61">
        <f>IF(OR(J1190="",G1190=""),"",J1190-G1190)</f>
        <v/>
      </c>
      <c r="M1190" s="59"/>
      <c r="N1190" s="59"/>
      <c r="O1190" s="59"/>
      <c r="P1190" s="59"/>
      <c r="Q1190" s="59"/>
      <c r="R1190" s="60">
        <f>IF(AND(P1190="",Q1190=""),"",N(P1190)+N(Q1190))</f>
        <v/>
      </c>
      <c r="S1190" s="59"/>
      <c r="T1190" s="59"/>
      <c r="U1190" s="62">
        <f>IF(OR(R1190="",S1190="",T1190=""),"",IF(S1190+T1190=0,"",R1190/(S1190+T1190)))</f>
        <v/>
      </c>
      <c r="V1190" s="63"/>
      <c r="W1190" s="64"/>
      <c r="X1190" s="63"/>
    </row>
    <row r="1191" spans="2:24">
      <c r="B1191" s="58"/>
      <c r="C1191" s="59"/>
      <c r="D1191" s="59"/>
      <c r="E1191" s="59"/>
      <c r="F1191" s="59"/>
      <c r="G1191" s="60">
        <f>IF(OR(E1191="",F1191="",C1191="",D1191=""),"",IF(C1191+D1191=0,"",(E1191*C1191+F1191*D1191)/(C1191+D1191)))</f>
        <v/>
      </c>
      <c r="H1191" s="59"/>
      <c r="I1191" s="60">
        <f>IF(OR(H1191="",E1191="",C1191="",D1191=""),"",IF(C1191+D1191=0,"",(H1191*D1191+E1191*C1191)/(C1191+D1191)))</f>
        <v/>
      </c>
      <c r="J1191" s="59"/>
      <c r="K1191" s="61">
        <f>IF(OR(J1191="",I1191=""),"",J1191-I1191)</f>
        <v/>
      </c>
      <c r="L1191" s="61">
        <f>IF(OR(J1191="",G1191=""),"",J1191-G1191)</f>
        <v/>
      </c>
      <c r="M1191" s="59"/>
      <c r="N1191" s="59"/>
      <c r="O1191" s="59"/>
      <c r="P1191" s="59"/>
      <c r="Q1191" s="59"/>
      <c r="R1191" s="60">
        <f>IF(AND(P1191="",Q1191=""),"",N(P1191)+N(Q1191))</f>
        <v/>
      </c>
      <c r="S1191" s="59"/>
      <c r="T1191" s="59"/>
      <c r="U1191" s="62">
        <f>IF(OR(R1191="",S1191="",T1191=""),"",IF(S1191+T1191=0,"",R1191/(S1191+T1191)))</f>
        <v/>
      </c>
      <c r="V1191" s="63"/>
      <c r="W1191" s="64"/>
      <c r="X1191" s="63"/>
    </row>
    <row r="1192" spans="2:24">
      <c r="B1192" s="58"/>
      <c r="C1192" s="59"/>
      <c r="D1192" s="59"/>
      <c r="E1192" s="59"/>
      <c r="F1192" s="59"/>
      <c r="G1192" s="60">
        <f>IF(OR(E1192="",F1192="",C1192="",D1192=""),"",IF(C1192+D1192=0,"",(E1192*C1192+F1192*D1192)/(C1192+D1192)))</f>
        <v/>
      </c>
      <c r="H1192" s="59"/>
      <c r="I1192" s="60">
        <f>IF(OR(H1192="",E1192="",C1192="",D1192=""),"",IF(C1192+D1192=0,"",(H1192*D1192+E1192*C1192)/(C1192+D1192)))</f>
        <v/>
      </c>
      <c r="J1192" s="59"/>
      <c r="K1192" s="61">
        <f>IF(OR(J1192="",I1192=""),"",J1192-I1192)</f>
        <v/>
      </c>
      <c r="L1192" s="61">
        <f>IF(OR(J1192="",G1192=""),"",J1192-G1192)</f>
        <v/>
      </c>
      <c r="M1192" s="59"/>
      <c r="N1192" s="59"/>
      <c r="O1192" s="59"/>
      <c r="P1192" s="59"/>
      <c r="Q1192" s="59"/>
      <c r="R1192" s="60">
        <f>IF(AND(P1192="",Q1192=""),"",N(P1192)+N(Q1192))</f>
        <v/>
      </c>
      <c r="S1192" s="59"/>
      <c r="T1192" s="59"/>
      <c r="U1192" s="62">
        <f>IF(OR(R1192="",S1192="",T1192=""),"",IF(S1192+T1192=0,"",R1192/(S1192+T1192)))</f>
        <v/>
      </c>
      <c r="V1192" s="63"/>
      <c r="W1192" s="64"/>
      <c r="X1192" s="63"/>
    </row>
    <row r="1193" spans="2:24">
      <c r="B1193" s="58"/>
      <c r="C1193" s="59"/>
      <c r="D1193" s="59"/>
      <c r="E1193" s="59"/>
      <c r="F1193" s="59"/>
      <c r="G1193" s="60">
        <f>IF(OR(E1193="",F1193="",C1193="",D1193=""),"",IF(C1193+D1193=0,"",(E1193*C1193+F1193*D1193)/(C1193+D1193)))</f>
        <v/>
      </c>
      <c r="H1193" s="59"/>
      <c r="I1193" s="60">
        <f>IF(OR(H1193="",E1193="",C1193="",D1193=""),"",IF(C1193+D1193=0,"",(H1193*D1193+E1193*C1193)/(C1193+D1193)))</f>
        <v/>
      </c>
      <c r="J1193" s="59"/>
      <c r="K1193" s="61">
        <f>IF(OR(J1193="",I1193=""),"",J1193-I1193)</f>
        <v/>
      </c>
      <c r="L1193" s="61">
        <f>IF(OR(J1193="",G1193=""),"",J1193-G1193)</f>
        <v/>
      </c>
      <c r="M1193" s="59"/>
      <c r="N1193" s="59"/>
      <c r="O1193" s="59"/>
      <c r="P1193" s="59"/>
      <c r="Q1193" s="59"/>
      <c r="R1193" s="60">
        <f>IF(AND(P1193="",Q1193=""),"",N(P1193)+N(Q1193))</f>
        <v/>
      </c>
      <c r="S1193" s="59"/>
      <c r="T1193" s="59"/>
      <c r="U1193" s="62">
        <f>IF(OR(R1193="",S1193="",T1193=""),"",IF(S1193+T1193=0,"",R1193/(S1193+T1193)))</f>
        <v/>
      </c>
      <c r="V1193" s="63"/>
      <c r="W1193" s="64"/>
      <c r="X1193" s="63"/>
    </row>
    <row r="1194" spans="2:24">
      <c r="B1194" s="58"/>
      <c r="C1194" s="59"/>
      <c r="D1194" s="59"/>
      <c r="E1194" s="59"/>
      <c r="F1194" s="59"/>
      <c r="G1194" s="60">
        <f>IF(OR(E1194="",F1194="",C1194="",D1194=""),"",IF(C1194+D1194=0,"",(E1194*C1194+F1194*D1194)/(C1194+D1194)))</f>
        <v/>
      </c>
      <c r="H1194" s="59"/>
      <c r="I1194" s="60">
        <f>IF(OR(H1194="",E1194="",C1194="",D1194=""),"",IF(C1194+D1194=0,"",(H1194*D1194+E1194*C1194)/(C1194+D1194)))</f>
        <v/>
      </c>
      <c r="J1194" s="59"/>
      <c r="K1194" s="61">
        <f>IF(OR(J1194="",I1194=""),"",J1194-I1194)</f>
        <v/>
      </c>
      <c r="L1194" s="61">
        <f>IF(OR(J1194="",G1194=""),"",J1194-G1194)</f>
        <v/>
      </c>
      <c r="M1194" s="59"/>
      <c r="N1194" s="59"/>
      <c r="O1194" s="59"/>
      <c r="P1194" s="59"/>
      <c r="Q1194" s="59"/>
      <c r="R1194" s="60">
        <f>IF(AND(P1194="",Q1194=""),"",N(P1194)+N(Q1194))</f>
        <v/>
      </c>
      <c r="S1194" s="59"/>
      <c r="T1194" s="59"/>
      <c r="U1194" s="62">
        <f>IF(OR(R1194="",S1194="",T1194=""),"",IF(S1194+T1194=0,"",R1194/(S1194+T1194)))</f>
        <v/>
      </c>
      <c r="V1194" s="63"/>
      <c r="W1194" s="64"/>
      <c r="X1194" s="63"/>
    </row>
    <row r="1195" spans="2:24">
      <c r="B1195" s="58"/>
      <c r="C1195" s="59"/>
      <c r="D1195" s="59"/>
      <c r="E1195" s="59"/>
      <c r="F1195" s="59"/>
      <c r="G1195" s="60">
        <f>IF(OR(E1195="",F1195="",C1195="",D1195=""),"",IF(C1195+D1195=0,"",(E1195*C1195+F1195*D1195)/(C1195+D1195)))</f>
        <v/>
      </c>
      <c r="H1195" s="59"/>
      <c r="I1195" s="60">
        <f>IF(OR(H1195="",E1195="",C1195="",D1195=""),"",IF(C1195+D1195=0,"",(H1195*D1195+E1195*C1195)/(C1195+D1195)))</f>
        <v/>
      </c>
      <c r="J1195" s="59"/>
      <c r="K1195" s="61">
        <f>IF(OR(J1195="",I1195=""),"",J1195-I1195)</f>
        <v/>
      </c>
      <c r="L1195" s="61">
        <f>IF(OR(J1195="",G1195=""),"",J1195-G1195)</f>
        <v/>
      </c>
      <c r="M1195" s="59"/>
      <c r="N1195" s="59"/>
      <c r="O1195" s="59"/>
      <c r="P1195" s="59"/>
      <c r="Q1195" s="59"/>
      <c r="R1195" s="60">
        <f>IF(AND(P1195="",Q1195=""),"",N(P1195)+N(Q1195))</f>
        <v/>
      </c>
      <c r="S1195" s="59"/>
      <c r="T1195" s="59"/>
      <c r="U1195" s="62">
        <f>IF(OR(R1195="",S1195="",T1195=""),"",IF(S1195+T1195=0,"",R1195/(S1195+T1195)))</f>
        <v/>
      </c>
      <c r="V1195" s="63"/>
      <c r="W1195" s="64"/>
      <c r="X1195" s="63"/>
    </row>
    <row r="1196" spans="2:24">
      <c r="B1196" s="58"/>
      <c r="C1196" s="59"/>
      <c r="D1196" s="59"/>
      <c r="E1196" s="59"/>
      <c r="F1196" s="59"/>
      <c r="G1196" s="60">
        <f>IF(OR(E1196="",F1196="",C1196="",D1196=""),"",IF(C1196+D1196=0,"",(E1196*C1196+F1196*D1196)/(C1196+D1196)))</f>
        <v/>
      </c>
      <c r="H1196" s="59"/>
      <c r="I1196" s="60">
        <f>IF(OR(H1196="",E1196="",C1196="",D1196=""),"",IF(C1196+D1196=0,"",(H1196*D1196+E1196*C1196)/(C1196+D1196)))</f>
        <v/>
      </c>
      <c r="J1196" s="59"/>
      <c r="K1196" s="61">
        <f>IF(OR(J1196="",I1196=""),"",J1196-I1196)</f>
        <v/>
      </c>
      <c r="L1196" s="61">
        <f>IF(OR(J1196="",G1196=""),"",J1196-G1196)</f>
        <v/>
      </c>
      <c r="M1196" s="59"/>
      <c r="N1196" s="59"/>
      <c r="O1196" s="59"/>
      <c r="P1196" s="59"/>
      <c r="Q1196" s="59"/>
      <c r="R1196" s="60">
        <f>IF(AND(P1196="",Q1196=""),"",N(P1196)+N(Q1196))</f>
        <v/>
      </c>
      <c r="S1196" s="59"/>
      <c r="T1196" s="59"/>
      <c r="U1196" s="62">
        <f>IF(OR(R1196="",S1196="",T1196=""),"",IF(S1196+T1196=0,"",R1196/(S1196+T1196)))</f>
        <v/>
      </c>
      <c r="V1196" s="63"/>
      <c r="W1196" s="64"/>
      <c r="X1196" s="63"/>
    </row>
    <row r="1197" spans="2:24">
      <c r="B1197" s="58"/>
      <c r="C1197" s="59"/>
      <c r="D1197" s="59"/>
      <c r="E1197" s="59"/>
      <c r="F1197" s="59"/>
      <c r="G1197" s="60">
        <f>IF(OR(E1197="",F1197="",C1197="",D1197=""),"",IF(C1197+D1197=0,"",(E1197*C1197+F1197*D1197)/(C1197+D1197)))</f>
        <v/>
      </c>
      <c r="H1197" s="59"/>
      <c r="I1197" s="60">
        <f>IF(OR(H1197="",E1197="",C1197="",D1197=""),"",IF(C1197+D1197=0,"",(H1197*D1197+E1197*C1197)/(C1197+D1197)))</f>
        <v/>
      </c>
      <c r="J1197" s="59"/>
      <c r="K1197" s="61">
        <f>IF(OR(J1197="",I1197=""),"",J1197-I1197)</f>
        <v/>
      </c>
      <c r="L1197" s="61">
        <f>IF(OR(J1197="",G1197=""),"",J1197-G1197)</f>
        <v/>
      </c>
      <c r="M1197" s="59"/>
      <c r="N1197" s="59"/>
      <c r="O1197" s="59"/>
      <c r="P1197" s="59"/>
      <c r="Q1197" s="59"/>
      <c r="R1197" s="60">
        <f>IF(AND(P1197="",Q1197=""),"",N(P1197)+N(Q1197))</f>
        <v/>
      </c>
      <c r="S1197" s="59"/>
      <c r="T1197" s="59"/>
      <c r="U1197" s="62">
        <f>IF(OR(R1197="",S1197="",T1197=""),"",IF(S1197+T1197=0,"",R1197/(S1197+T1197)))</f>
        <v/>
      </c>
      <c r="V1197" s="63"/>
      <c r="W1197" s="64"/>
      <c r="X1197" s="63"/>
    </row>
    <row r="1198" spans="2:24">
      <c r="B1198" s="58"/>
      <c r="C1198" s="59"/>
      <c r="D1198" s="59"/>
      <c r="E1198" s="59"/>
      <c r="F1198" s="59"/>
      <c r="G1198" s="60">
        <f>IF(OR(E1198="",F1198="",C1198="",D1198=""),"",IF(C1198+D1198=0,"",(E1198*C1198+F1198*D1198)/(C1198+D1198)))</f>
        <v/>
      </c>
      <c r="H1198" s="59"/>
      <c r="I1198" s="60">
        <f>IF(OR(H1198="",E1198="",C1198="",D1198=""),"",IF(C1198+D1198=0,"",(H1198*D1198+E1198*C1198)/(C1198+D1198)))</f>
        <v/>
      </c>
      <c r="J1198" s="59"/>
      <c r="K1198" s="61">
        <f>IF(OR(J1198="",I1198=""),"",J1198-I1198)</f>
        <v/>
      </c>
      <c r="L1198" s="61">
        <f>IF(OR(J1198="",G1198=""),"",J1198-G1198)</f>
        <v/>
      </c>
      <c r="M1198" s="59"/>
      <c r="N1198" s="59"/>
      <c r="O1198" s="59"/>
      <c r="P1198" s="59"/>
      <c r="Q1198" s="59"/>
      <c r="R1198" s="60">
        <f>IF(AND(P1198="",Q1198=""),"",N(P1198)+N(Q1198))</f>
        <v/>
      </c>
      <c r="S1198" s="59"/>
      <c r="T1198" s="59"/>
      <c r="U1198" s="62">
        <f>IF(OR(R1198="",S1198="",T1198=""),"",IF(S1198+T1198=0,"",R1198/(S1198+T1198)))</f>
        <v/>
      </c>
      <c r="V1198" s="63"/>
      <c r="W1198" s="64"/>
      <c r="X1198" s="63"/>
    </row>
    <row r="1199" spans="2:24">
      <c r="B1199" s="58"/>
      <c r="C1199" s="59"/>
      <c r="D1199" s="59"/>
      <c r="E1199" s="59"/>
      <c r="F1199" s="59"/>
      <c r="G1199" s="60">
        <f>IF(OR(E1199="",F1199="",C1199="",D1199=""),"",IF(C1199+D1199=0,"",(E1199*C1199+F1199*D1199)/(C1199+D1199)))</f>
        <v/>
      </c>
      <c r="H1199" s="59"/>
      <c r="I1199" s="60">
        <f>IF(OR(H1199="",E1199="",C1199="",D1199=""),"",IF(C1199+D1199=0,"",(H1199*D1199+E1199*C1199)/(C1199+D1199)))</f>
        <v/>
      </c>
      <c r="J1199" s="59"/>
      <c r="K1199" s="61">
        <f>IF(OR(J1199="",I1199=""),"",J1199-I1199)</f>
        <v/>
      </c>
      <c r="L1199" s="61">
        <f>IF(OR(J1199="",G1199=""),"",J1199-G1199)</f>
        <v/>
      </c>
      <c r="M1199" s="59"/>
      <c r="N1199" s="59"/>
      <c r="O1199" s="59"/>
      <c r="P1199" s="59"/>
      <c r="Q1199" s="59"/>
      <c r="R1199" s="60">
        <f>IF(AND(P1199="",Q1199=""),"",N(P1199)+N(Q1199))</f>
        <v/>
      </c>
      <c r="S1199" s="59"/>
      <c r="T1199" s="59"/>
      <c r="U1199" s="62">
        <f>IF(OR(R1199="",S1199="",T1199=""),"",IF(S1199+T1199=0,"",R1199/(S1199+T1199)))</f>
        <v/>
      </c>
      <c r="V1199" s="63"/>
      <c r="W1199" s="64"/>
      <c r="X1199" s="63"/>
    </row>
    <row r="1200" spans="2:24">
      <c r="B1200" s="58"/>
      <c r="C1200" s="59"/>
      <c r="D1200" s="59"/>
      <c r="E1200" s="59"/>
      <c r="F1200" s="59"/>
      <c r="G1200" s="60">
        <f>IF(OR(E1200="",F1200="",C1200="",D1200=""),"",IF(C1200+D1200=0,"",(E1200*C1200+F1200*D1200)/(C1200+D1200)))</f>
        <v/>
      </c>
      <c r="H1200" s="59"/>
      <c r="I1200" s="60">
        <f>IF(OR(H1200="",E1200="",C1200="",D1200=""),"",IF(C1200+D1200=0,"",(H1200*D1200+E1200*C1200)/(C1200+D1200)))</f>
        <v/>
      </c>
      <c r="J1200" s="59"/>
      <c r="K1200" s="61">
        <f>IF(OR(J1200="",I1200=""),"",J1200-I1200)</f>
        <v/>
      </c>
      <c r="L1200" s="61">
        <f>IF(OR(J1200="",G1200=""),"",J1200-G1200)</f>
        <v/>
      </c>
      <c r="M1200" s="59"/>
      <c r="N1200" s="59"/>
      <c r="O1200" s="59"/>
      <c r="P1200" s="59"/>
      <c r="Q1200" s="59"/>
      <c r="R1200" s="60">
        <f>IF(AND(P1200="",Q1200=""),"",N(P1200)+N(Q1200))</f>
        <v/>
      </c>
      <c r="S1200" s="59"/>
      <c r="T1200" s="59"/>
      <c r="U1200" s="62">
        <f>IF(OR(R1200="",S1200="",T1200=""),"",IF(S1200+T1200=0,"",R1200/(S1200+T1200)))</f>
        <v/>
      </c>
      <c r="V1200" s="63"/>
      <c r="W1200" s="64"/>
      <c r="X1200" s="63"/>
    </row>
    <row r="1201" spans="2:24">
      <c r="B1201" s="58"/>
      <c r="C1201" s="59"/>
      <c r="D1201" s="59"/>
      <c r="E1201" s="59"/>
      <c r="F1201" s="59"/>
      <c r="G1201" s="60">
        <f>IF(OR(E1201="",F1201="",C1201="",D1201=""),"",IF(C1201+D1201=0,"",(E1201*C1201+F1201*D1201)/(C1201+D1201)))</f>
        <v/>
      </c>
      <c r="H1201" s="59"/>
      <c r="I1201" s="60">
        <f>IF(OR(H1201="",E1201="",C1201="",D1201=""),"",IF(C1201+D1201=0,"",(H1201*D1201+E1201*C1201)/(C1201+D1201)))</f>
        <v/>
      </c>
      <c r="J1201" s="59"/>
      <c r="K1201" s="61">
        <f>IF(OR(J1201="",I1201=""),"",J1201-I1201)</f>
        <v/>
      </c>
      <c r="L1201" s="61">
        <f>IF(OR(J1201="",G1201=""),"",J1201-G1201)</f>
        <v/>
      </c>
      <c r="M1201" s="59"/>
      <c r="N1201" s="59"/>
      <c r="O1201" s="59"/>
      <c r="P1201" s="59"/>
      <c r="Q1201" s="59"/>
      <c r="R1201" s="60">
        <f>IF(AND(P1201="",Q1201=""),"",N(P1201)+N(Q1201))</f>
        <v/>
      </c>
      <c r="S1201" s="59"/>
      <c r="T1201" s="59"/>
      <c r="U1201" s="62">
        <f>IF(OR(R1201="",S1201="",T1201=""),"",IF(S1201+T1201=0,"",R1201/(S1201+T1201)))</f>
        <v/>
      </c>
      <c r="V1201" s="63"/>
      <c r="W1201" s="64"/>
      <c r="X1201" s="63"/>
    </row>
    <row r="1202" spans="2:24">
      <c r="B1202" s="58"/>
      <c r="C1202" s="59"/>
      <c r="D1202" s="59"/>
      <c r="E1202" s="59"/>
      <c r="F1202" s="59"/>
      <c r="G1202" s="60">
        <f>IF(OR(E1202="",F1202="",C1202="",D1202=""),"",IF(C1202+D1202=0,"",(E1202*C1202+F1202*D1202)/(C1202+D1202)))</f>
        <v/>
      </c>
      <c r="H1202" s="59"/>
      <c r="I1202" s="60">
        <f>IF(OR(H1202="",E1202="",C1202="",D1202=""),"",IF(C1202+D1202=0,"",(H1202*D1202+E1202*C1202)/(C1202+D1202)))</f>
        <v/>
      </c>
      <c r="J1202" s="59"/>
      <c r="K1202" s="61">
        <f>IF(OR(J1202="",I1202=""),"",J1202-I1202)</f>
        <v/>
      </c>
      <c r="L1202" s="61">
        <f>IF(OR(J1202="",G1202=""),"",J1202-G1202)</f>
        <v/>
      </c>
      <c r="M1202" s="59"/>
      <c r="N1202" s="59"/>
      <c r="O1202" s="59"/>
      <c r="P1202" s="59"/>
      <c r="Q1202" s="59"/>
      <c r="R1202" s="60">
        <f>IF(AND(P1202="",Q1202=""),"",N(P1202)+N(Q1202))</f>
        <v/>
      </c>
      <c r="S1202" s="59"/>
      <c r="T1202" s="59"/>
      <c r="U1202" s="62">
        <f>IF(OR(R1202="",S1202="",T1202=""),"",IF(S1202+T1202=0,"",R1202/(S1202+T1202)))</f>
        <v/>
      </c>
      <c r="V1202" s="63"/>
      <c r="W1202" s="64"/>
      <c r="X1202" s="63"/>
    </row>
    <row r="1203" spans="2:24">
      <c r="B1203" s="58"/>
      <c r="C1203" s="59"/>
      <c r="D1203" s="59"/>
      <c r="E1203" s="59"/>
      <c r="F1203" s="59"/>
      <c r="G1203" s="60">
        <f>IF(OR(E1203="",F1203="",C1203="",D1203=""),"",IF(C1203+D1203=0,"",(E1203*C1203+F1203*D1203)/(C1203+D1203)))</f>
        <v/>
      </c>
      <c r="H1203" s="59"/>
      <c r="I1203" s="60">
        <f>IF(OR(H1203="",E1203="",C1203="",D1203=""),"",IF(C1203+D1203=0,"",(H1203*D1203+E1203*C1203)/(C1203+D1203)))</f>
        <v/>
      </c>
      <c r="J1203" s="59"/>
      <c r="K1203" s="61">
        <f>IF(OR(J1203="",I1203=""),"",J1203-I1203)</f>
        <v/>
      </c>
      <c r="L1203" s="61">
        <f>IF(OR(J1203="",G1203=""),"",J1203-G1203)</f>
        <v/>
      </c>
      <c r="M1203" s="59"/>
      <c r="N1203" s="59"/>
      <c r="O1203" s="59"/>
      <c r="P1203" s="59"/>
      <c r="Q1203" s="59"/>
      <c r="R1203" s="60">
        <f>IF(AND(P1203="",Q1203=""),"",N(P1203)+N(Q1203))</f>
        <v/>
      </c>
      <c r="S1203" s="59"/>
      <c r="T1203" s="59"/>
      <c r="U1203" s="62">
        <f>IF(OR(R1203="",S1203="",T1203=""),"",IF(S1203+T1203=0,"",R1203/(S1203+T1203)))</f>
        <v/>
      </c>
      <c r="V1203" s="63"/>
      <c r="W1203" s="64"/>
      <c r="X1203" s="63"/>
    </row>
    <row r="1204" spans="2:24">
      <c r="B1204" s="58"/>
      <c r="C1204" s="59"/>
      <c r="D1204" s="59"/>
      <c r="E1204" s="59"/>
      <c r="F1204" s="59"/>
      <c r="G1204" s="60">
        <f>IF(OR(E1204="",F1204="",C1204="",D1204=""),"",IF(C1204+D1204=0,"",(E1204*C1204+F1204*D1204)/(C1204+D1204)))</f>
        <v/>
      </c>
      <c r="H1204" s="59"/>
      <c r="I1204" s="60">
        <f>IF(OR(H1204="",E1204="",C1204="",D1204=""),"",IF(C1204+D1204=0,"",(H1204*D1204+E1204*C1204)/(C1204+D1204)))</f>
        <v/>
      </c>
      <c r="J1204" s="59"/>
      <c r="K1204" s="61">
        <f>IF(OR(J1204="",I1204=""),"",J1204-I1204)</f>
        <v/>
      </c>
      <c r="L1204" s="61">
        <f>IF(OR(J1204="",G1204=""),"",J1204-G1204)</f>
        <v/>
      </c>
      <c r="M1204" s="59"/>
      <c r="N1204" s="59"/>
      <c r="O1204" s="59"/>
      <c r="P1204" s="59"/>
      <c r="Q1204" s="59"/>
      <c r="R1204" s="60">
        <f>IF(AND(P1204="",Q1204=""),"",N(P1204)+N(Q1204))</f>
        <v/>
      </c>
      <c r="S1204" s="59"/>
      <c r="T1204" s="59"/>
      <c r="U1204" s="62">
        <f>IF(OR(R1204="",S1204="",T1204=""),"",IF(S1204+T1204=0,"",R1204/(S1204+T1204)))</f>
        <v/>
      </c>
      <c r="V1204" s="63"/>
      <c r="W1204" s="64"/>
      <c r="X1204" s="63"/>
    </row>
    <row r="1205" spans="2:24">
      <c r="B1205" s="58"/>
      <c r="C1205" s="59"/>
      <c r="D1205" s="59"/>
      <c r="E1205" s="59"/>
      <c r="F1205" s="59"/>
      <c r="G1205" s="60">
        <f>IF(OR(E1205="",F1205="",C1205="",D1205=""),"",IF(C1205+D1205=0,"",(E1205*C1205+F1205*D1205)/(C1205+D1205)))</f>
        <v/>
      </c>
      <c r="H1205" s="59"/>
      <c r="I1205" s="60">
        <f>IF(OR(H1205="",E1205="",C1205="",D1205=""),"",IF(C1205+D1205=0,"",(H1205*D1205+E1205*C1205)/(C1205+D1205)))</f>
        <v/>
      </c>
      <c r="J1205" s="59"/>
      <c r="K1205" s="61">
        <f>IF(OR(J1205="",I1205=""),"",J1205-I1205)</f>
        <v/>
      </c>
      <c r="L1205" s="61">
        <f>IF(OR(J1205="",G1205=""),"",J1205-G1205)</f>
        <v/>
      </c>
      <c r="M1205" s="59"/>
      <c r="N1205" s="59"/>
      <c r="O1205" s="59"/>
      <c r="P1205" s="59"/>
      <c r="Q1205" s="59"/>
      <c r="R1205" s="60">
        <f>IF(AND(P1205="",Q1205=""),"",N(P1205)+N(Q1205))</f>
        <v/>
      </c>
      <c r="S1205" s="59"/>
      <c r="T1205" s="59"/>
      <c r="U1205" s="62">
        <f>IF(OR(R1205="",S1205="",T1205=""),"",IF(S1205+T1205=0,"",R1205/(S1205+T1205)))</f>
        <v/>
      </c>
      <c r="V1205" s="63"/>
      <c r="W1205" s="64"/>
      <c r="X1205" s="63"/>
    </row>
    <row r="1206" spans="2:24">
      <c r="B1206" s="58"/>
      <c r="C1206" s="59"/>
      <c r="D1206" s="59"/>
      <c r="E1206" s="59"/>
      <c r="F1206" s="59"/>
      <c r="G1206" s="60">
        <f>IF(OR(E1206="",F1206="",C1206="",D1206=""),"",IF(C1206+D1206=0,"",(E1206*C1206+F1206*D1206)/(C1206+D1206)))</f>
        <v/>
      </c>
      <c r="H1206" s="59"/>
      <c r="I1206" s="60">
        <f>IF(OR(H1206="",E1206="",C1206="",D1206=""),"",IF(C1206+D1206=0,"",(H1206*D1206+E1206*C1206)/(C1206+D1206)))</f>
        <v/>
      </c>
      <c r="J1206" s="59"/>
      <c r="K1206" s="61">
        <f>IF(OR(J1206="",I1206=""),"",J1206-I1206)</f>
        <v/>
      </c>
      <c r="L1206" s="61">
        <f>IF(OR(J1206="",G1206=""),"",J1206-G1206)</f>
        <v/>
      </c>
      <c r="M1206" s="59"/>
      <c r="N1206" s="59"/>
      <c r="O1206" s="59"/>
      <c r="P1206" s="59"/>
      <c r="Q1206" s="59"/>
      <c r="R1206" s="60">
        <f>IF(AND(P1206="",Q1206=""),"",N(P1206)+N(Q1206))</f>
        <v/>
      </c>
      <c r="S1206" s="59"/>
      <c r="T1206" s="59"/>
      <c r="U1206" s="62">
        <f>IF(OR(R1206="",S1206="",T1206=""),"",IF(S1206+T1206=0,"",R1206/(S1206+T1206)))</f>
        <v/>
      </c>
      <c r="V1206" s="63"/>
      <c r="W1206" s="64"/>
      <c r="X1206" s="63"/>
    </row>
    <row r="1207" spans="2:24">
      <c r="B1207" s="58"/>
      <c r="C1207" s="59"/>
      <c r="D1207" s="59"/>
      <c r="E1207" s="59"/>
      <c r="F1207" s="59"/>
      <c r="G1207" s="60">
        <f>IF(OR(E1207="",F1207="",C1207="",D1207=""),"",IF(C1207+D1207=0,"",(E1207*C1207+F1207*D1207)/(C1207+D1207)))</f>
        <v/>
      </c>
      <c r="H1207" s="59"/>
      <c r="I1207" s="60">
        <f>IF(OR(H1207="",E1207="",C1207="",D1207=""),"",IF(C1207+D1207=0,"",(H1207*D1207+E1207*C1207)/(C1207+D1207)))</f>
        <v/>
      </c>
      <c r="J1207" s="59"/>
      <c r="K1207" s="61">
        <f>IF(OR(J1207="",I1207=""),"",J1207-I1207)</f>
        <v/>
      </c>
      <c r="L1207" s="61">
        <f>IF(OR(J1207="",G1207=""),"",J1207-G1207)</f>
        <v/>
      </c>
      <c r="M1207" s="59"/>
      <c r="N1207" s="59"/>
      <c r="O1207" s="59"/>
      <c r="P1207" s="59"/>
      <c r="Q1207" s="59"/>
      <c r="R1207" s="60">
        <f>IF(AND(P1207="",Q1207=""),"",N(P1207)+N(Q1207))</f>
        <v/>
      </c>
      <c r="S1207" s="59"/>
      <c r="T1207" s="59"/>
      <c r="U1207" s="62">
        <f>IF(OR(R1207="",S1207="",T1207=""),"",IF(S1207+T1207=0,"",R1207/(S1207+T1207)))</f>
        <v/>
      </c>
      <c r="V1207" s="63"/>
      <c r="W1207" s="64"/>
      <c r="X1207" s="63"/>
    </row>
    <row r="1208" spans="2:24">
      <c r="B1208" s="58"/>
      <c r="C1208" s="59"/>
      <c r="D1208" s="59"/>
      <c r="E1208" s="59"/>
      <c r="F1208" s="59"/>
      <c r="G1208" s="60">
        <f>IF(OR(E1208="",F1208="",C1208="",D1208=""),"",IF(C1208+D1208=0,"",(E1208*C1208+F1208*D1208)/(C1208+D1208)))</f>
        <v/>
      </c>
      <c r="H1208" s="59"/>
      <c r="I1208" s="60">
        <f>IF(OR(H1208="",E1208="",C1208="",D1208=""),"",IF(C1208+D1208=0,"",(H1208*D1208+E1208*C1208)/(C1208+D1208)))</f>
        <v/>
      </c>
      <c r="J1208" s="59"/>
      <c r="K1208" s="61">
        <f>IF(OR(J1208="",I1208=""),"",J1208-I1208)</f>
        <v/>
      </c>
      <c r="L1208" s="61">
        <f>IF(OR(J1208="",G1208=""),"",J1208-G1208)</f>
        <v/>
      </c>
      <c r="M1208" s="59"/>
      <c r="N1208" s="59"/>
      <c r="O1208" s="59"/>
      <c r="P1208" s="59"/>
      <c r="Q1208" s="59"/>
      <c r="R1208" s="60">
        <f>IF(AND(P1208="",Q1208=""),"",N(P1208)+N(Q1208))</f>
        <v/>
      </c>
      <c r="S1208" s="59"/>
      <c r="T1208" s="59"/>
      <c r="U1208" s="62">
        <f>IF(OR(R1208="",S1208="",T1208=""),"",IF(S1208+T1208=0,"",R1208/(S1208+T1208)))</f>
        <v/>
      </c>
      <c r="V1208" s="63"/>
      <c r="W1208" s="64"/>
      <c r="X1208" s="63"/>
    </row>
    <row r="1209" spans="2:24">
      <c r="B1209" s="58"/>
      <c r="C1209" s="59"/>
      <c r="D1209" s="59"/>
      <c r="E1209" s="59"/>
      <c r="F1209" s="59"/>
      <c r="G1209" s="60">
        <f>IF(OR(E1209="",F1209="",C1209="",D1209=""),"",IF(C1209+D1209=0,"",(E1209*C1209+F1209*D1209)/(C1209+D1209)))</f>
        <v/>
      </c>
      <c r="H1209" s="59"/>
      <c r="I1209" s="60">
        <f>IF(OR(H1209="",E1209="",C1209="",D1209=""),"",IF(C1209+D1209=0,"",(H1209*D1209+E1209*C1209)/(C1209+D1209)))</f>
        <v/>
      </c>
      <c r="J1209" s="59"/>
      <c r="K1209" s="61">
        <f>IF(OR(J1209="",I1209=""),"",J1209-I1209)</f>
        <v/>
      </c>
      <c r="L1209" s="61">
        <f>IF(OR(J1209="",G1209=""),"",J1209-G1209)</f>
        <v/>
      </c>
      <c r="M1209" s="59"/>
      <c r="N1209" s="59"/>
      <c r="O1209" s="59"/>
      <c r="P1209" s="59"/>
      <c r="Q1209" s="59"/>
      <c r="R1209" s="60">
        <f>IF(AND(P1209="",Q1209=""),"",N(P1209)+N(Q1209))</f>
        <v/>
      </c>
      <c r="S1209" s="59"/>
      <c r="T1209" s="59"/>
      <c r="U1209" s="62">
        <f>IF(OR(R1209="",S1209="",T1209=""),"",IF(S1209+T1209=0,"",R1209/(S1209+T1209)))</f>
        <v/>
      </c>
      <c r="V1209" s="63"/>
      <c r="W1209" s="64"/>
      <c r="X1209" s="63"/>
    </row>
    <row r="1210" spans="2:24">
      <c r="B1210" s="58"/>
      <c r="C1210" s="59"/>
      <c r="D1210" s="59"/>
      <c r="E1210" s="59"/>
      <c r="F1210" s="59"/>
      <c r="G1210" s="60">
        <f>IF(OR(E1210="",F1210="",C1210="",D1210=""),"",IF(C1210+D1210=0,"",(E1210*C1210+F1210*D1210)/(C1210+D1210)))</f>
        <v/>
      </c>
      <c r="H1210" s="59"/>
      <c r="I1210" s="60">
        <f>IF(OR(H1210="",E1210="",C1210="",D1210=""),"",IF(C1210+D1210=0,"",(H1210*D1210+E1210*C1210)/(C1210+D1210)))</f>
        <v/>
      </c>
      <c r="J1210" s="59"/>
      <c r="K1210" s="61">
        <f>IF(OR(J1210="",I1210=""),"",J1210-I1210)</f>
        <v/>
      </c>
      <c r="L1210" s="61">
        <f>IF(OR(J1210="",G1210=""),"",J1210-G1210)</f>
        <v/>
      </c>
      <c r="M1210" s="59"/>
      <c r="N1210" s="59"/>
      <c r="O1210" s="59"/>
      <c r="P1210" s="59"/>
      <c r="Q1210" s="59"/>
      <c r="R1210" s="60">
        <f>IF(AND(P1210="",Q1210=""),"",N(P1210)+N(Q1210))</f>
        <v/>
      </c>
      <c r="S1210" s="59"/>
      <c r="T1210" s="59"/>
      <c r="U1210" s="62">
        <f>IF(OR(R1210="",S1210="",T1210=""),"",IF(S1210+T1210=0,"",R1210/(S1210+T1210)))</f>
        <v/>
      </c>
      <c r="V1210" s="63"/>
      <c r="W1210" s="64"/>
      <c r="X1210" s="63"/>
    </row>
    <row r="1211" spans="2:24">
      <c r="B1211" s="58"/>
      <c r="C1211" s="59"/>
      <c r="D1211" s="59"/>
      <c r="E1211" s="59"/>
      <c r="F1211" s="59"/>
      <c r="G1211" s="60">
        <f>IF(OR(E1211="",F1211="",C1211="",D1211=""),"",IF(C1211+D1211=0,"",(E1211*C1211+F1211*D1211)/(C1211+D1211)))</f>
        <v/>
      </c>
      <c r="H1211" s="59"/>
      <c r="I1211" s="60">
        <f>IF(OR(H1211="",E1211="",C1211="",D1211=""),"",IF(C1211+D1211=0,"",(H1211*D1211+E1211*C1211)/(C1211+D1211)))</f>
        <v/>
      </c>
      <c r="J1211" s="59"/>
      <c r="K1211" s="61">
        <f>IF(OR(J1211="",I1211=""),"",J1211-I1211)</f>
        <v/>
      </c>
      <c r="L1211" s="61">
        <f>IF(OR(J1211="",G1211=""),"",J1211-G1211)</f>
        <v/>
      </c>
      <c r="M1211" s="59"/>
      <c r="N1211" s="59"/>
      <c r="O1211" s="59"/>
      <c r="P1211" s="59"/>
      <c r="Q1211" s="59"/>
      <c r="R1211" s="60">
        <f>IF(AND(P1211="",Q1211=""),"",N(P1211)+N(Q1211))</f>
        <v/>
      </c>
      <c r="S1211" s="59"/>
      <c r="T1211" s="59"/>
      <c r="U1211" s="62">
        <f>IF(OR(R1211="",S1211="",T1211=""),"",IF(S1211+T1211=0,"",R1211/(S1211+T1211)))</f>
        <v/>
      </c>
      <c r="V1211" s="63"/>
      <c r="W1211" s="64"/>
      <c r="X1211" s="63"/>
    </row>
    <row r="1212" spans="2:24">
      <c r="B1212" s="58"/>
      <c r="C1212" s="59"/>
      <c r="D1212" s="59"/>
      <c r="E1212" s="59"/>
      <c r="F1212" s="59"/>
      <c r="G1212" s="60">
        <f>IF(OR(E1212="",F1212="",C1212="",D1212=""),"",IF(C1212+D1212=0,"",(E1212*C1212+F1212*D1212)/(C1212+D1212)))</f>
        <v/>
      </c>
      <c r="H1212" s="59"/>
      <c r="I1212" s="60">
        <f>IF(OR(H1212="",E1212="",C1212="",D1212=""),"",IF(C1212+D1212=0,"",(H1212*D1212+E1212*C1212)/(C1212+D1212)))</f>
        <v/>
      </c>
      <c r="J1212" s="59"/>
      <c r="K1212" s="61">
        <f>IF(OR(J1212="",I1212=""),"",J1212-I1212)</f>
        <v/>
      </c>
      <c r="L1212" s="61">
        <f>IF(OR(J1212="",G1212=""),"",J1212-G1212)</f>
        <v/>
      </c>
      <c r="M1212" s="59"/>
      <c r="N1212" s="59"/>
      <c r="O1212" s="59"/>
      <c r="P1212" s="59"/>
      <c r="Q1212" s="59"/>
      <c r="R1212" s="60">
        <f>IF(AND(P1212="",Q1212=""),"",N(P1212)+N(Q1212))</f>
        <v/>
      </c>
      <c r="S1212" s="59"/>
      <c r="T1212" s="59"/>
      <c r="U1212" s="62">
        <f>IF(OR(R1212="",S1212="",T1212=""),"",IF(S1212+T1212=0,"",R1212/(S1212+T1212)))</f>
        <v/>
      </c>
      <c r="V1212" s="63"/>
      <c r="W1212" s="64"/>
      <c r="X1212" s="63"/>
    </row>
    <row r="1213" spans="2:24">
      <c r="B1213" s="58"/>
      <c r="C1213" s="59"/>
      <c r="D1213" s="59"/>
      <c r="E1213" s="59"/>
      <c r="F1213" s="59"/>
      <c r="G1213" s="60">
        <f>IF(OR(E1213="",F1213="",C1213="",D1213=""),"",IF(C1213+D1213=0,"",(E1213*C1213+F1213*D1213)/(C1213+D1213)))</f>
        <v/>
      </c>
      <c r="H1213" s="59"/>
      <c r="I1213" s="60">
        <f>IF(OR(H1213="",E1213="",C1213="",D1213=""),"",IF(C1213+D1213=0,"",(H1213*D1213+E1213*C1213)/(C1213+D1213)))</f>
        <v/>
      </c>
      <c r="J1213" s="59"/>
      <c r="K1213" s="61">
        <f>IF(OR(J1213="",I1213=""),"",J1213-I1213)</f>
        <v/>
      </c>
      <c r="L1213" s="61">
        <f>IF(OR(J1213="",G1213=""),"",J1213-G1213)</f>
        <v/>
      </c>
      <c r="M1213" s="59"/>
      <c r="N1213" s="59"/>
      <c r="O1213" s="59"/>
      <c r="P1213" s="59"/>
      <c r="Q1213" s="59"/>
      <c r="R1213" s="60">
        <f>IF(AND(P1213="",Q1213=""),"",N(P1213)+N(Q1213))</f>
        <v/>
      </c>
      <c r="S1213" s="59"/>
      <c r="T1213" s="59"/>
      <c r="U1213" s="62">
        <f>IF(OR(R1213="",S1213="",T1213=""),"",IF(S1213+T1213=0,"",R1213/(S1213+T1213)))</f>
        <v/>
      </c>
      <c r="V1213" s="63"/>
      <c r="W1213" s="64"/>
      <c r="X1213" s="63"/>
    </row>
    <row r="1214" spans="2:24">
      <c r="B1214" s="58"/>
      <c r="C1214" s="59"/>
      <c r="D1214" s="59"/>
      <c r="E1214" s="59"/>
      <c r="F1214" s="59"/>
      <c r="G1214" s="60">
        <f>IF(OR(E1214="",F1214="",C1214="",D1214=""),"",IF(C1214+D1214=0,"",(E1214*C1214+F1214*D1214)/(C1214+D1214)))</f>
        <v/>
      </c>
      <c r="H1214" s="59"/>
      <c r="I1214" s="60">
        <f>IF(OR(H1214="",E1214="",C1214="",D1214=""),"",IF(C1214+D1214=0,"",(H1214*D1214+E1214*C1214)/(C1214+D1214)))</f>
        <v/>
      </c>
      <c r="J1214" s="59"/>
      <c r="K1214" s="61">
        <f>IF(OR(J1214="",I1214=""),"",J1214-I1214)</f>
        <v/>
      </c>
      <c r="L1214" s="61">
        <f>IF(OR(J1214="",G1214=""),"",J1214-G1214)</f>
        <v/>
      </c>
      <c r="M1214" s="59"/>
      <c r="N1214" s="59"/>
      <c r="O1214" s="59"/>
      <c r="P1214" s="59"/>
      <c r="Q1214" s="59"/>
      <c r="R1214" s="60">
        <f>IF(AND(P1214="",Q1214=""),"",N(P1214)+N(Q1214))</f>
        <v/>
      </c>
      <c r="S1214" s="59"/>
      <c r="T1214" s="59"/>
      <c r="U1214" s="62">
        <f>IF(OR(R1214="",S1214="",T1214=""),"",IF(S1214+T1214=0,"",R1214/(S1214+T1214)))</f>
        <v/>
      </c>
      <c r="V1214" s="63"/>
      <c r="W1214" s="64"/>
      <c r="X1214" s="63"/>
    </row>
    <row r="1215" spans="2:24">
      <c r="B1215" s="58"/>
      <c r="C1215" s="59"/>
      <c r="D1215" s="59"/>
      <c r="E1215" s="59"/>
      <c r="F1215" s="59"/>
      <c r="G1215" s="60">
        <f>IF(OR(E1215="",F1215="",C1215="",D1215=""),"",IF(C1215+D1215=0,"",(E1215*C1215+F1215*D1215)/(C1215+D1215)))</f>
        <v/>
      </c>
      <c r="H1215" s="59"/>
      <c r="I1215" s="60">
        <f>IF(OR(H1215="",E1215="",C1215="",D1215=""),"",IF(C1215+D1215=0,"",(H1215*D1215+E1215*C1215)/(C1215+D1215)))</f>
        <v/>
      </c>
      <c r="J1215" s="59"/>
      <c r="K1215" s="61">
        <f>IF(OR(J1215="",I1215=""),"",J1215-I1215)</f>
        <v/>
      </c>
      <c r="L1215" s="61">
        <f>IF(OR(J1215="",G1215=""),"",J1215-G1215)</f>
        <v/>
      </c>
      <c r="M1215" s="59"/>
      <c r="N1215" s="59"/>
      <c r="O1215" s="59"/>
      <c r="P1215" s="59"/>
      <c r="Q1215" s="59"/>
      <c r="R1215" s="60">
        <f>IF(AND(P1215="",Q1215=""),"",N(P1215)+N(Q1215))</f>
        <v/>
      </c>
      <c r="S1215" s="59"/>
      <c r="T1215" s="59"/>
      <c r="U1215" s="62">
        <f>IF(OR(R1215="",S1215="",T1215=""),"",IF(S1215+T1215=0,"",R1215/(S1215+T1215)))</f>
        <v/>
      </c>
      <c r="V1215" s="63"/>
      <c r="W1215" s="64"/>
      <c r="X1215" s="63"/>
    </row>
    <row r="1216" spans="2:24">
      <c r="B1216" s="58"/>
      <c r="C1216" s="59"/>
      <c r="D1216" s="59"/>
      <c r="E1216" s="59"/>
      <c r="F1216" s="59"/>
      <c r="G1216" s="60">
        <f>IF(OR(E1216="",F1216="",C1216="",D1216=""),"",IF(C1216+D1216=0,"",(E1216*C1216+F1216*D1216)/(C1216+D1216)))</f>
        <v/>
      </c>
      <c r="H1216" s="59"/>
      <c r="I1216" s="60">
        <f>IF(OR(H1216="",E1216="",C1216="",D1216=""),"",IF(C1216+D1216=0,"",(H1216*D1216+E1216*C1216)/(C1216+D1216)))</f>
        <v/>
      </c>
      <c r="J1216" s="59"/>
      <c r="K1216" s="61">
        <f>IF(OR(J1216="",I1216=""),"",J1216-I1216)</f>
        <v/>
      </c>
      <c r="L1216" s="61">
        <f>IF(OR(J1216="",G1216=""),"",J1216-G1216)</f>
        <v/>
      </c>
      <c r="M1216" s="59"/>
      <c r="N1216" s="59"/>
      <c r="O1216" s="59"/>
      <c r="P1216" s="59"/>
      <c r="Q1216" s="59"/>
      <c r="R1216" s="60">
        <f>IF(AND(P1216="",Q1216=""),"",N(P1216)+N(Q1216))</f>
        <v/>
      </c>
      <c r="S1216" s="59"/>
      <c r="T1216" s="59"/>
      <c r="U1216" s="62">
        <f>IF(OR(R1216="",S1216="",T1216=""),"",IF(S1216+T1216=0,"",R1216/(S1216+T1216)))</f>
        <v/>
      </c>
      <c r="V1216" s="63"/>
      <c r="W1216" s="64"/>
      <c r="X1216" s="63"/>
    </row>
    <row r="1217" spans="2:24">
      <c r="B1217" s="58"/>
      <c r="C1217" s="59"/>
      <c r="D1217" s="59"/>
      <c r="E1217" s="59"/>
      <c r="F1217" s="59"/>
      <c r="G1217" s="60">
        <f>IF(OR(E1217="",F1217="",C1217="",D1217=""),"",IF(C1217+D1217=0,"",(E1217*C1217+F1217*D1217)/(C1217+D1217)))</f>
        <v/>
      </c>
      <c r="H1217" s="59"/>
      <c r="I1217" s="60">
        <f>IF(OR(H1217="",E1217="",C1217="",D1217=""),"",IF(C1217+D1217=0,"",(H1217*D1217+E1217*C1217)/(C1217+D1217)))</f>
        <v/>
      </c>
      <c r="J1217" s="59"/>
      <c r="K1217" s="61">
        <f>IF(OR(J1217="",I1217=""),"",J1217-I1217)</f>
        <v/>
      </c>
      <c r="L1217" s="61">
        <f>IF(OR(J1217="",G1217=""),"",J1217-G1217)</f>
        <v/>
      </c>
      <c r="M1217" s="59"/>
      <c r="N1217" s="59"/>
      <c r="O1217" s="59"/>
      <c r="P1217" s="59"/>
      <c r="Q1217" s="59"/>
      <c r="R1217" s="60">
        <f>IF(AND(P1217="",Q1217=""),"",N(P1217)+N(Q1217))</f>
        <v/>
      </c>
      <c r="S1217" s="59"/>
      <c r="T1217" s="59"/>
      <c r="U1217" s="62">
        <f>IF(OR(R1217="",S1217="",T1217=""),"",IF(S1217+T1217=0,"",R1217/(S1217+T1217)))</f>
        <v/>
      </c>
      <c r="V1217" s="63"/>
      <c r="W1217" s="64"/>
      <c r="X1217" s="63"/>
    </row>
    <row r="1218" spans="2:24">
      <c r="B1218" s="58"/>
      <c r="C1218" s="59"/>
      <c r="D1218" s="59"/>
      <c r="E1218" s="59"/>
      <c r="F1218" s="59"/>
      <c r="G1218" s="60">
        <f>IF(OR(E1218="",F1218="",C1218="",D1218=""),"",IF(C1218+D1218=0,"",(E1218*C1218+F1218*D1218)/(C1218+D1218)))</f>
        <v/>
      </c>
      <c r="H1218" s="59"/>
      <c r="I1218" s="60">
        <f>IF(OR(H1218="",E1218="",C1218="",D1218=""),"",IF(C1218+D1218=0,"",(H1218*D1218+E1218*C1218)/(C1218+D1218)))</f>
        <v/>
      </c>
      <c r="J1218" s="59"/>
      <c r="K1218" s="61">
        <f>IF(OR(J1218="",I1218=""),"",J1218-I1218)</f>
        <v/>
      </c>
      <c r="L1218" s="61">
        <f>IF(OR(J1218="",G1218=""),"",J1218-G1218)</f>
        <v/>
      </c>
      <c r="M1218" s="59"/>
      <c r="N1218" s="59"/>
      <c r="O1218" s="59"/>
      <c r="P1218" s="59"/>
      <c r="Q1218" s="59"/>
      <c r="R1218" s="60">
        <f>IF(AND(P1218="",Q1218=""),"",N(P1218)+N(Q1218))</f>
        <v/>
      </c>
      <c r="S1218" s="59"/>
      <c r="T1218" s="59"/>
      <c r="U1218" s="62">
        <f>IF(OR(R1218="",S1218="",T1218=""),"",IF(S1218+T1218=0,"",R1218/(S1218+T1218)))</f>
        <v/>
      </c>
      <c r="V1218" s="63"/>
      <c r="W1218" s="64"/>
      <c r="X1218" s="63"/>
    </row>
    <row r="1219" spans="2:24">
      <c r="B1219" s="58"/>
      <c r="C1219" s="59"/>
      <c r="D1219" s="59"/>
      <c r="E1219" s="59"/>
      <c r="F1219" s="59"/>
      <c r="G1219" s="60">
        <f>IF(OR(E1219="",F1219="",C1219="",D1219=""),"",IF(C1219+D1219=0,"",(E1219*C1219+F1219*D1219)/(C1219+D1219)))</f>
        <v/>
      </c>
      <c r="H1219" s="59"/>
      <c r="I1219" s="60">
        <f>IF(OR(H1219="",E1219="",C1219="",D1219=""),"",IF(C1219+D1219=0,"",(H1219*D1219+E1219*C1219)/(C1219+D1219)))</f>
        <v/>
      </c>
      <c r="J1219" s="59"/>
      <c r="K1219" s="61">
        <f>IF(OR(J1219="",I1219=""),"",J1219-I1219)</f>
        <v/>
      </c>
      <c r="L1219" s="61">
        <f>IF(OR(J1219="",G1219=""),"",J1219-G1219)</f>
        <v/>
      </c>
      <c r="M1219" s="59"/>
      <c r="N1219" s="59"/>
      <c r="O1219" s="59"/>
      <c r="P1219" s="59"/>
      <c r="Q1219" s="59"/>
      <c r="R1219" s="60">
        <f>IF(AND(P1219="",Q1219=""),"",N(P1219)+N(Q1219))</f>
        <v/>
      </c>
      <c r="S1219" s="59"/>
      <c r="T1219" s="59"/>
      <c r="U1219" s="62">
        <f>IF(OR(R1219="",S1219="",T1219=""),"",IF(S1219+T1219=0,"",R1219/(S1219+T1219)))</f>
        <v/>
      </c>
      <c r="V1219" s="63"/>
      <c r="W1219" s="64"/>
      <c r="X1219" s="63"/>
    </row>
    <row r="1220" spans="2:24">
      <c r="B1220" s="58"/>
      <c r="C1220" s="59"/>
      <c r="D1220" s="59"/>
      <c r="E1220" s="59"/>
      <c r="F1220" s="59"/>
      <c r="G1220" s="60">
        <f>IF(OR(E1220="",F1220="",C1220="",D1220=""),"",IF(C1220+D1220=0,"",(E1220*C1220+F1220*D1220)/(C1220+D1220)))</f>
        <v/>
      </c>
      <c r="H1220" s="59"/>
      <c r="I1220" s="60">
        <f>IF(OR(H1220="",E1220="",C1220="",D1220=""),"",IF(C1220+D1220=0,"",(H1220*D1220+E1220*C1220)/(C1220+D1220)))</f>
        <v/>
      </c>
      <c r="J1220" s="59"/>
      <c r="K1220" s="61">
        <f>IF(OR(J1220="",I1220=""),"",J1220-I1220)</f>
        <v/>
      </c>
      <c r="L1220" s="61">
        <f>IF(OR(J1220="",G1220=""),"",J1220-G1220)</f>
        <v/>
      </c>
      <c r="M1220" s="59"/>
      <c r="N1220" s="59"/>
      <c r="O1220" s="59"/>
      <c r="P1220" s="59"/>
      <c r="Q1220" s="59"/>
      <c r="R1220" s="60">
        <f>IF(AND(P1220="",Q1220=""),"",N(P1220)+N(Q1220))</f>
        <v/>
      </c>
      <c r="S1220" s="59"/>
      <c r="T1220" s="59"/>
      <c r="U1220" s="62">
        <f>IF(OR(R1220="",S1220="",T1220=""),"",IF(S1220+T1220=0,"",R1220/(S1220+T1220)))</f>
        <v/>
      </c>
      <c r="V1220" s="63"/>
      <c r="W1220" s="64"/>
      <c r="X1220" s="63"/>
    </row>
    <row r="1221" spans="2:24">
      <c r="B1221" s="58"/>
      <c r="C1221" s="59"/>
      <c r="D1221" s="59"/>
      <c r="E1221" s="59"/>
      <c r="F1221" s="59"/>
      <c r="G1221" s="60">
        <f>IF(OR(E1221="",F1221="",C1221="",D1221=""),"",IF(C1221+D1221=0,"",(E1221*C1221+F1221*D1221)/(C1221+D1221)))</f>
        <v/>
      </c>
      <c r="H1221" s="59"/>
      <c r="I1221" s="60">
        <f>IF(OR(H1221="",E1221="",C1221="",D1221=""),"",IF(C1221+D1221=0,"",(H1221*D1221+E1221*C1221)/(C1221+D1221)))</f>
        <v/>
      </c>
      <c r="J1221" s="59"/>
      <c r="K1221" s="61">
        <f>IF(OR(J1221="",I1221=""),"",J1221-I1221)</f>
        <v/>
      </c>
      <c r="L1221" s="61">
        <f>IF(OR(J1221="",G1221=""),"",J1221-G1221)</f>
        <v/>
      </c>
      <c r="M1221" s="59"/>
      <c r="N1221" s="59"/>
      <c r="O1221" s="59"/>
      <c r="P1221" s="59"/>
      <c r="Q1221" s="59"/>
      <c r="R1221" s="60">
        <f>IF(AND(P1221="",Q1221=""),"",N(P1221)+N(Q1221))</f>
        <v/>
      </c>
      <c r="S1221" s="59"/>
      <c r="T1221" s="59"/>
      <c r="U1221" s="62">
        <f>IF(OR(R1221="",S1221="",T1221=""),"",IF(S1221+T1221=0,"",R1221/(S1221+T1221)))</f>
        <v/>
      </c>
      <c r="V1221" s="63"/>
      <c r="W1221" s="64"/>
      <c r="X1221" s="63"/>
    </row>
    <row r="1222" spans="2:24">
      <c r="B1222" s="58"/>
      <c r="C1222" s="59"/>
      <c r="D1222" s="59"/>
      <c r="E1222" s="59"/>
      <c r="F1222" s="59"/>
      <c r="G1222" s="60">
        <f>IF(OR(E1222="",F1222="",C1222="",D1222=""),"",IF(C1222+D1222=0,"",(E1222*C1222+F1222*D1222)/(C1222+D1222)))</f>
        <v/>
      </c>
      <c r="H1222" s="59"/>
      <c r="I1222" s="60">
        <f>IF(OR(H1222="",E1222="",C1222="",D1222=""),"",IF(C1222+D1222=0,"",(H1222*D1222+E1222*C1222)/(C1222+D1222)))</f>
        <v/>
      </c>
      <c r="J1222" s="59"/>
      <c r="K1222" s="61">
        <f>IF(OR(J1222="",I1222=""),"",J1222-I1222)</f>
        <v/>
      </c>
      <c r="L1222" s="61">
        <f>IF(OR(J1222="",G1222=""),"",J1222-G1222)</f>
        <v/>
      </c>
      <c r="M1222" s="59"/>
      <c r="N1222" s="59"/>
      <c r="O1222" s="59"/>
      <c r="P1222" s="59"/>
      <c r="Q1222" s="59"/>
      <c r="R1222" s="60">
        <f>IF(AND(P1222="",Q1222=""),"",N(P1222)+N(Q1222))</f>
        <v/>
      </c>
      <c r="S1222" s="59"/>
      <c r="T1222" s="59"/>
      <c r="U1222" s="62">
        <f>IF(OR(R1222="",S1222="",T1222=""),"",IF(S1222+T1222=0,"",R1222/(S1222+T1222)))</f>
        <v/>
      </c>
      <c r="V1222" s="63"/>
      <c r="W1222" s="64"/>
      <c r="X1222" s="63"/>
    </row>
    <row r="1223" spans="2:24">
      <c r="B1223" s="58"/>
      <c r="C1223" s="59"/>
      <c r="D1223" s="59"/>
      <c r="E1223" s="59"/>
      <c r="F1223" s="59"/>
      <c r="G1223" s="60">
        <f>IF(OR(E1223="",F1223="",C1223="",D1223=""),"",IF(C1223+D1223=0,"",(E1223*C1223+F1223*D1223)/(C1223+D1223)))</f>
        <v/>
      </c>
      <c r="H1223" s="59"/>
      <c r="I1223" s="60">
        <f>IF(OR(H1223="",E1223="",C1223="",D1223=""),"",IF(C1223+D1223=0,"",(H1223*D1223+E1223*C1223)/(C1223+D1223)))</f>
        <v/>
      </c>
      <c r="J1223" s="59"/>
      <c r="K1223" s="61">
        <f>IF(OR(J1223="",I1223=""),"",J1223-I1223)</f>
        <v/>
      </c>
      <c r="L1223" s="61">
        <f>IF(OR(J1223="",G1223=""),"",J1223-G1223)</f>
        <v/>
      </c>
      <c r="M1223" s="59"/>
      <c r="N1223" s="59"/>
      <c r="O1223" s="59"/>
      <c r="P1223" s="59"/>
      <c r="Q1223" s="59"/>
      <c r="R1223" s="60">
        <f>IF(AND(P1223="",Q1223=""),"",N(P1223)+N(Q1223))</f>
        <v/>
      </c>
      <c r="S1223" s="59"/>
      <c r="T1223" s="59"/>
      <c r="U1223" s="62">
        <f>IF(OR(R1223="",S1223="",T1223=""),"",IF(S1223+T1223=0,"",R1223/(S1223+T1223)))</f>
        <v/>
      </c>
      <c r="V1223" s="63"/>
      <c r="W1223" s="64"/>
      <c r="X1223" s="63"/>
    </row>
    <row r="1224" spans="2:24">
      <c r="B1224" s="58"/>
      <c r="C1224" s="59"/>
      <c r="D1224" s="59"/>
      <c r="E1224" s="59"/>
      <c r="F1224" s="59"/>
      <c r="G1224" s="60">
        <f>IF(OR(E1224="",F1224="",C1224="",D1224=""),"",IF(C1224+D1224=0,"",(E1224*C1224+F1224*D1224)/(C1224+D1224)))</f>
        <v/>
      </c>
      <c r="H1224" s="59"/>
      <c r="I1224" s="60">
        <f>IF(OR(H1224="",E1224="",C1224="",D1224=""),"",IF(C1224+D1224=0,"",(H1224*D1224+E1224*C1224)/(C1224+D1224)))</f>
        <v/>
      </c>
      <c r="J1224" s="59"/>
      <c r="K1224" s="61">
        <f>IF(OR(J1224="",I1224=""),"",J1224-I1224)</f>
        <v/>
      </c>
      <c r="L1224" s="61">
        <f>IF(OR(J1224="",G1224=""),"",J1224-G1224)</f>
        <v/>
      </c>
      <c r="M1224" s="59"/>
      <c r="N1224" s="59"/>
      <c r="O1224" s="59"/>
      <c r="P1224" s="59"/>
      <c r="Q1224" s="59"/>
      <c r="R1224" s="60">
        <f>IF(AND(P1224="",Q1224=""),"",N(P1224)+N(Q1224))</f>
        <v/>
      </c>
      <c r="S1224" s="59"/>
      <c r="T1224" s="59"/>
      <c r="U1224" s="62">
        <f>IF(OR(R1224="",S1224="",T1224=""),"",IF(S1224+T1224=0,"",R1224/(S1224+T1224)))</f>
        <v/>
      </c>
      <c r="V1224" s="63"/>
      <c r="W1224" s="64"/>
      <c r="X1224" s="63"/>
    </row>
    <row r="1225" spans="2:24">
      <c r="B1225" s="58"/>
      <c r="C1225" s="59"/>
      <c r="D1225" s="59"/>
      <c r="E1225" s="59"/>
      <c r="F1225" s="59"/>
      <c r="G1225" s="60">
        <f>IF(OR(E1225="",F1225="",C1225="",D1225=""),"",IF(C1225+D1225=0,"",(E1225*C1225+F1225*D1225)/(C1225+D1225)))</f>
        <v/>
      </c>
      <c r="H1225" s="59"/>
      <c r="I1225" s="60">
        <f>IF(OR(H1225="",E1225="",C1225="",D1225=""),"",IF(C1225+D1225=0,"",(H1225*D1225+E1225*C1225)/(C1225+D1225)))</f>
        <v/>
      </c>
      <c r="J1225" s="59"/>
      <c r="K1225" s="61">
        <f>IF(OR(J1225="",I1225=""),"",J1225-I1225)</f>
        <v/>
      </c>
      <c r="L1225" s="61">
        <f>IF(OR(J1225="",G1225=""),"",J1225-G1225)</f>
        <v/>
      </c>
      <c r="M1225" s="59"/>
      <c r="N1225" s="59"/>
      <c r="O1225" s="59"/>
      <c r="P1225" s="59"/>
      <c r="Q1225" s="59"/>
      <c r="R1225" s="60">
        <f>IF(AND(P1225="",Q1225=""),"",N(P1225)+N(Q1225))</f>
        <v/>
      </c>
      <c r="S1225" s="59"/>
      <c r="T1225" s="59"/>
      <c r="U1225" s="62">
        <f>IF(OR(R1225="",S1225="",T1225=""),"",IF(S1225+T1225=0,"",R1225/(S1225+T1225)))</f>
        <v/>
      </c>
      <c r="V1225" s="63"/>
      <c r="W1225" s="64"/>
      <c r="X1225" s="63"/>
    </row>
    <row r="1226" spans="2:24">
      <c r="B1226" s="58"/>
      <c r="C1226" s="59"/>
      <c r="D1226" s="59"/>
      <c r="E1226" s="59"/>
      <c r="F1226" s="59"/>
      <c r="G1226" s="60">
        <f>IF(OR(E1226="",F1226="",C1226="",D1226=""),"",IF(C1226+D1226=0,"",(E1226*C1226+F1226*D1226)/(C1226+D1226)))</f>
        <v/>
      </c>
      <c r="H1226" s="59"/>
      <c r="I1226" s="60">
        <f>IF(OR(H1226="",E1226="",C1226="",D1226=""),"",IF(C1226+D1226=0,"",(H1226*D1226+E1226*C1226)/(C1226+D1226)))</f>
        <v/>
      </c>
      <c r="J1226" s="59"/>
      <c r="K1226" s="61">
        <f>IF(OR(J1226="",I1226=""),"",J1226-I1226)</f>
        <v/>
      </c>
      <c r="L1226" s="61">
        <f>IF(OR(J1226="",G1226=""),"",J1226-G1226)</f>
        <v/>
      </c>
      <c r="M1226" s="59"/>
      <c r="N1226" s="59"/>
      <c r="O1226" s="59"/>
      <c r="P1226" s="59"/>
      <c r="Q1226" s="59"/>
      <c r="R1226" s="60">
        <f>IF(AND(P1226="",Q1226=""),"",N(P1226)+N(Q1226))</f>
        <v/>
      </c>
      <c r="S1226" s="59"/>
      <c r="T1226" s="59"/>
      <c r="U1226" s="62">
        <f>IF(OR(R1226="",S1226="",T1226=""),"",IF(S1226+T1226=0,"",R1226/(S1226+T1226)))</f>
        <v/>
      </c>
      <c r="V1226" s="63"/>
      <c r="W1226" s="64"/>
      <c r="X1226" s="63"/>
    </row>
    <row r="1227" spans="2:24">
      <c r="B1227" s="58"/>
      <c r="C1227" s="59"/>
      <c r="D1227" s="59"/>
      <c r="E1227" s="59"/>
      <c r="F1227" s="59"/>
      <c r="G1227" s="60">
        <f>IF(OR(E1227="",F1227="",C1227="",D1227=""),"",IF(C1227+D1227=0,"",(E1227*C1227+F1227*D1227)/(C1227+D1227)))</f>
        <v/>
      </c>
      <c r="H1227" s="59"/>
      <c r="I1227" s="60">
        <f>IF(OR(H1227="",E1227="",C1227="",D1227=""),"",IF(C1227+D1227=0,"",(H1227*D1227+E1227*C1227)/(C1227+D1227)))</f>
        <v/>
      </c>
      <c r="J1227" s="59"/>
      <c r="K1227" s="61">
        <f>IF(OR(J1227="",I1227=""),"",J1227-I1227)</f>
        <v/>
      </c>
      <c r="L1227" s="61">
        <f>IF(OR(J1227="",G1227=""),"",J1227-G1227)</f>
        <v/>
      </c>
      <c r="M1227" s="59"/>
      <c r="N1227" s="59"/>
      <c r="O1227" s="59"/>
      <c r="P1227" s="59"/>
      <c r="Q1227" s="59"/>
      <c r="R1227" s="60">
        <f>IF(AND(P1227="",Q1227=""),"",N(P1227)+N(Q1227))</f>
        <v/>
      </c>
      <c r="S1227" s="59"/>
      <c r="T1227" s="59"/>
      <c r="U1227" s="62">
        <f>IF(OR(R1227="",S1227="",T1227=""),"",IF(S1227+T1227=0,"",R1227/(S1227+T1227)))</f>
        <v/>
      </c>
      <c r="V1227" s="63"/>
      <c r="W1227" s="64"/>
      <c r="X1227" s="63"/>
    </row>
    <row r="1228" spans="2:24">
      <c r="B1228" s="58"/>
      <c r="C1228" s="59"/>
      <c r="D1228" s="59"/>
      <c r="E1228" s="59"/>
      <c r="F1228" s="59"/>
      <c r="G1228" s="60">
        <f>IF(OR(E1228="",F1228="",C1228="",D1228=""),"",IF(C1228+D1228=0,"",(E1228*C1228+F1228*D1228)/(C1228+D1228)))</f>
        <v/>
      </c>
      <c r="H1228" s="59"/>
      <c r="I1228" s="60">
        <f>IF(OR(H1228="",E1228="",C1228="",D1228=""),"",IF(C1228+D1228=0,"",(H1228*D1228+E1228*C1228)/(C1228+D1228)))</f>
        <v/>
      </c>
      <c r="J1228" s="59"/>
      <c r="K1228" s="61">
        <f>IF(OR(J1228="",I1228=""),"",J1228-I1228)</f>
        <v/>
      </c>
      <c r="L1228" s="61">
        <f>IF(OR(J1228="",G1228=""),"",J1228-G1228)</f>
        <v/>
      </c>
      <c r="M1228" s="59"/>
      <c r="N1228" s="59"/>
      <c r="O1228" s="59"/>
      <c r="P1228" s="59"/>
      <c r="Q1228" s="59"/>
      <c r="R1228" s="60">
        <f>IF(AND(P1228="",Q1228=""),"",N(P1228)+N(Q1228))</f>
        <v/>
      </c>
      <c r="S1228" s="59"/>
      <c r="T1228" s="59"/>
      <c r="U1228" s="62">
        <f>IF(OR(R1228="",S1228="",T1228=""),"",IF(S1228+T1228=0,"",R1228/(S1228+T1228)))</f>
        <v/>
      </c>
      <c r="V1228" s="63"/>
      <c r="W1228" s="64"/>
      <c r="X1228" s="63"/>
    </row>
    <row r="1229" spans="2:24">
      <c r="B1229" s="58"/>
      <c r="C1229" s="59"/>
      <c r="D1229" s="59"/>
      <c r="E1229" s="59"/>
      <c r="F1229" s="59"/>
      <c r="G1229" s="60">
        <f>IF(OR(E1229="",F1229="",C1229="",D1229=""),"",IF(C1229+D1229=0,"",(E1229*C1229+F1229*D1229)/(C1229+D1229)))</f>
        <v/>
      </c>
      <c r="H1229" s="59"/>
      <c r="I1229" s="60">
        <f>IF(OR(H1229="",E1229="",C1229="",D1229=""),"",IF(C1229+D1229=0,"",(H1229*D1229+E1229*C1229)/(C1229+D1229)))</f>
        <v/>
      </c>
      <c r="J1229" s="59"/>
      <c r="K1229" s="61">
        <f>IF(OR(J1229="",I1229=""),"",J1229-I1229)</f>
        <v/>
      </c>
      <c r="L1229" s="61">
        <f>IF(OR(J1229="",G1229=""),"",J1229-G1229)</f>
        <v/>
      </c>
      <c r="M1229" s="59"/>
      <c r="N1229" s="59"/>
      <c r="O1229" s="59"/>
      <c r="P1229" s="59"/>
      <c r="Q1229" s="59"/>
      <c r="R1229" s="60">
        <f>IF(AND(P1229="",Q1229=""),"",N(P1229)+N(Q1229))</f>
        <v/>
      </c>
      <c r="S1229" s="59"/>
      <c r="T1229" s="59"/>
      <c r="U1229" s="62">
        <f>IF(OR(R1229="",S1229="",T1229=""),"",IF(S1229+T1229=0,"",R1229/(S1229+T1229)))</f>
        <v/>
      </c>
      <c r="V1229" s="63"/>
      <c r="W1229" s="64"/>
      <c r="X1229" s="63"/>
    </row>
    <row r="1230" spans="2:24">
      <c r="B1230" s="58"/>
      <c r="C1230" s="59"/>
      <c r="D1230" s="59"/>
      <c r="E1230" s="59"/>
      <c r="F1230" s="59"/>
      <c r="G1230" s="60">
        <f>IF(OR(E1230="",F1230="",C1230="",D1230=""),"",IF(C1230+D1230=0,"",(E1230*C1230+F1230*D1230)/(C1230+D1230)))</f>
        <v/>
      </c>
      <c r="H1230" s="59"/>
      <c r="I1230" s="60">
        <f>IF(OR(H1230="",E1230="",C1230="",D1230=""),"",IF(C1230+D1230=0,"",(H1230*D1230+E1230*C1230)/(C1230+D1230)))</f>
        <v/>
      </c>
      <c r="J1230" s="59"/>
      <c r="K1230" s="61">
        <f>IF(OR(J1230="",I1230=""),"",J1230-I1230)</f>
        <v/>
      </c>
      <c r="L1230" s="61">
        <f>IF(OR(J1230="",G1230=""),"",J1230-G1230)</f>
        <v/>
      </c>
      <c r="M1230" s="59"/>
      <c r="N1230" s="59"/>
      <c r="O1230" s="59"/>
      <c r="P1230" s="59"/>
      <c r="Q1230" s="59"/>
      <c r="R1230" s="60">
        <f>IF(AND(P1230="",Q1230=""),"",N(P1230)+N(Q1230))</f>
        <v/>
      </c>
      <c r="S1230" s="59"/>
      <c r="T1230" s="59"/>
      <c r="U1230" s="62">
        <f>IF(OR(R1230="",S1230="",T1230=""),"",IF(S1230+T1230=0,"",R1230/(S1230+T1230)))</f>
        <v/>
      </c>
      <c r="V1230" s="63"/>
      <c r="W1230" s="64"/>
      <c r="X1230" s="63"/>
    </row>
    <row r="1231" spans="2:24">
      <c r="B1231" s="58"/>
      <c r="C1231" s="59"/>
      <c r="D1231" s="59"/>
      <c r="E1231" s="59"/>
      <c r="F1231" s="59"/>
      <c r="G1231" s="60">
        <f>IF(OR(E1231="",F1231="",C1231="",D1231=""),"",IF(C1231+D1231=0,"",(E1231*C1231+F1231*D1231)/(C1231+D1231)))</f>
        <v/>
      </c>
      <c r="H1231" s="59"/>
      <c r="I1231" s="60">
        <f>IF(OR(H1231="",E1231="",C1231="",D1231=""),"",IF(C1231+D1231=0,"",(H1231*D1231+E1231*C1231)/(C1231+D1231)))</f>
        <v/>
      </c>
      <c r="J1231" s="59"/>
      <c r="K1231" s="61">
        <f>IF(OR(J1231="",I1231=""),"",J1231-I1231)</f>
        <v/>
      </c>
      <c r="L1231" s="61">
        <f>IF(OR(J1231="",G1231=""),"",J1231-G1231)</f>
        <v/>
      </c>
      <c r="M1231" s="59"/>
      <c r="N1231" s="59"/>
      <c r="O1231" s="59"/>
      <c r="P1231" s="59"/>
      <c r="Q1231" s="59"/>
      <c r="R1231" s="60">
        <f>IF(AND(P1231="",Q1231=""),"",N(P1231)+N(Q1231))</f>
        <v/>
      </c>
      <c r="S1231" s="59"/>
      <c r="T1231" s="59"/>
      <c r="U1231" s="62">
        <f>IF(OR(R1231="",S1231="",T1231=""),"",IF(S1231+T1231=0,"",R1231/(S1231+T1231)))</f>
        <v/>
      </c>
      <c r="V1231" s="63"/>
      <c r="W1231" s="64"/>
      <c r="X1231" s="63"/>
    </row>
    <row r="1232" spans="2:24">
      <c r="B1232" s="58"/>
      <c r="C1232" s="59"/>
      <c r="D1232" s="59"/>
      <c r="E1232" s="59"/>
      <c r="F1232" s="59"/>
      <c r="G1232" s="60">
        <f>IF(OR(E1232="",F1232="",C1232="",D1232=""),"",IF(C1232+D1232=0,"",(E1232*C1232+F1232*D1232)/(C1232+D1232)))</f>
        <v/>
      </c>
      <c r="H1232" s="59"/>
      <c r="I1232" s="60">
        <f>IF(OR(H1232="",E1232="",C1232="",D1232=""),"",IF(C1232+D1232=0,"",(H1232*D1232+E1232*C1232)/(C1232+D1232)))</f>
        <v/>
      </c>
      <c r="J1232" s="59"/>
      <c r="K1232" s="61">
        <f>IF(OR(J1232="",I1232=""),"",J1232-I1232)</f>
        <v/>
      </c>
      <c r="L1232" s="61">
        <f>IF(OR(J1232="",G1232=""),"",J1232-G1232)</f>
        <v/>
      </c>
      <c r="M1232" s="59"/>
      <c r="N1232" s="59"/>
      <c r="O1232" s="59"/>
      <c r="P1232" s="59"/>
      <c r="Q1232" s="59"/>
      <c r="R1232" s="60">
        <f>IF(AND(P1232="",Q1232=""),"",N(P1232)+N(Q1232))</f>
        <v/>
      </c>
      <c r="S1232" s="59"/>
      <c r="T1232" s="59"/>
      <c r="U1232" s="62">
        <f>IF(OR(R1232="",S1232="",T1232=""),"",IF(S1232+T1232=0,"",R1232/(S1232+T1232)))</f>
        <v/>
      </c>
      <c r="V1232" s="63"/>
      <c r="W1232" s="64"/>
      <c r="X1232" s="63"/>
    </row>
    <row r="1233" spans="2:24">
      <c r="B1233" s="58"/>
      <c r="C1233" s="59"/>
      <c r="D1233" s="59"/>
      <c r="E1233" s="59"/>
      <c r="F1233" s="59"/>
      <c r="G1233" s="60">
        <f>IF(OR(E1233="",F1233="",C1233="",D1233=""),"",IF(C1233+D1233=0,"",(E1233*C1233+F1233*D1233)/(C1233+D1233)))</f>
        <v/>
      </c>
      <c r="H1233" s="59"/>
      <c r="I1233" s="60">
        <f>IF(OR(H1233="",E1233="",C1233="",D1233=""),"",IF(C1233+D1233=0,"",(H1233*D1233+E1233*C1233)/(C1233+D1233)))</f>
        <v/>
      </c>
      <c r="J1233" s="59"/>
      <c r="K1233" s="61">
        <f>IF(OR(J1233="",I1233=""),"",J1233-I1233)</f>
        <v/>
      </c>
      <c r="L1233" s="61">
        <f>IF(OR(J1233="",G1233=""),"",J1233-G1233)</f>
        <v/>
      </c>
      <c r="M1233" s="59"/>
      <c r="N1233" s="59"/>
      <c r="O1233" s="59"/>
      <c r="P1233" s="59"/>
      <c r="Q1233" s="59"/>
      <c r="R1233" s="60">
        <f>IF(AND(P1233="",Q1233=""),"",N(P1233)+N(Q1233))</f>
        <v/>
      </c>
      <c r="S1233" s="59"/>
      <c r="T1233" s="59"/>
      <c r="U1233" s="62">
        <f>IF(OR(R1233="",S1233="",T1233=""),"",IF(S1233+T1233=0,"",R1233/(S1233+T1233)))</f>
        <v/>
      </c>
      <c r="V1233" s="63"/>
      <c r="W1233" s="64"/>
      <c r="X1233" s="63"/>
    </row>
    <row r="1234" spans="2:24">
      <c r="B1234" s="58"/>
      <c r="C1234" s="59"/>
      <c r="D1234" s="59"/>
      <c r="E1234" s="59"/>
      <c r="F1234" s="59"/>
      <c r="G1234" s="60">
        <f>IF(OR(E1234="",F1234="",C1234="",D1234=""),"",IF(C1234+D1234=0,"",(E1234*C1234+F1234*D1234)/(C1234+D1234)))</f>
        <v/>
      </c>
      <c r="H1234" s="59"/>
      <c r="I1234" s="60">
        <f>IF(OR(H1234="",E1234="",C1234="",D1234=""),"",IF(C1234+D1234=0,"",(H1234*D1234+E1234*C1234)/(C1234+D1234)))</f>
        <v/>
      </c>
      <c r="J1234" s="59"/>
      <c r="K1234" s="61">
        <f>IF(OR(J1234="",I1234=""),"",J1234-I1234)</f>
        <v/>
      </c>
      <c r="L1234" s="61">
        <f>IF(OR(J1234="",G1234=""),"",J1234-G1234)</f>
        <v/>
      </c>
      <c r="M1234" s="59"/>
      <c r="N1234" s="59"/>
      <c r="O1234" s="59"/>
      <c r="P1234" s="59"/>
      <c r="Q1234" s="59"/>
      <c r="R1234" s="60">
        <f>IF(AND(P1234="",Q1234=""),"",N(P1234)+N(Q1234))</f>
        <v/>
      </c>
      <c r="S1234" s="59"/>
      <c r="T1234" s="59"/>
      <c r="U1234" s="62">
        <f>IF(OR(R1234="",S1234="",T1234=""),"",IF(S1234+T1234=0,"",R1234/(S1234+T1234)))</f>
        <v/>
      </c>
      <c r="V1234" s="63"/>
      <c r="W1234" s="64"/>
      <c r="X1234" s="63"/>
    </row>
    <row r="1235" spans="2:24">
      <c r="B1235" s="58"/>
      <c r="C1235" s="59"/>
      <c r="D1235" s="59"/>
      <c r="E1235" s="59"/>
      <c r="F1235" s="59"/>
      <c r="G1235" s="60">
        <f>IF(OR(E1235="",F1235="",C1235="",D1235=""),"",IF(C1235+D1235=0,"",(E1235*C1235+F1235*D1235)/(C1235+D1235)))</f>
        <v/>
      </c>
      <c r="H1235" s="59"/>
      <c r="I1235" s="60">
        <f>IF(OR(H1235="",E1235="",C1235="",D1235=""),"",IF(C1235+D1235=0,"",(H1235*D1235+E1235*C1235)/(C1235+D1235)))</f>
        <v/>
      </c>
      <c r="J1235" s="59"/>
      <c r="K1235" s="61">
        <f>IF(OR(J1235="",I1235=""),"",J1235-I1235)</f>
        <v/>
      </c>
      <c r="L1235" s="61">
        <f>IF(OR(J1235="",G1235=""),"",J1235-G1235)</f>
        <v/>
      </c>
      <c r="M1235" s="59"/>
      <c r="N1235" s="59"/>
      <c r="O1235" s="59"/>
      <c r="P1235" s="59"/>
      <c r="Q1235" s="59"/>
      <c r="R1235" s="60">
        <f>IF(AND(P1235="",Q1235=""),"",N(P1235)+N(Q1235))</f>
        <v/>
      </c>
      <c r="S1235" s="59"/>
      <c r="T1235" s="59"/>
      <c r="U1235" s="62">
        <f>IF(OR(R1235="",S1235="",T1235=""),"",IF(S1235+T1235=0,"",R1235/(S1235+T1235)))</f>
        <v/>
      </c>
      <c r="V1235" s="63"/>
      <c r="W1235" s="64"/>
      <c r="X1235" s="63"/>
    </row>
    <row r="1236" spans="2:24">
      <c r="B1236" s="58"/>
      <c r="C1236" s="59"/>
      <c r="D1236" s="59"/>
      <c r="E1236" s="59"/>
      <c r="F1236" s="59"/>
      <c r="G1236" s="60">
        <f>IF(OR(E1236="",F1236="",C1236="",D1236=""),"",IF(C1236+D1236=0,"",(E1236*C1236+F1236*D1236)/(C1236+D1236)))</f>
        <v/>
      </c>
      <c r="H1236" s="59"/>
      <c r="I1236" s="60">
        <f>IF(OR(H1236="",E1236="",C1236="",D1236=""),"",IF(C1236+D1236=0,"",(H1236*D1236+E1236*C1236)/(C1236+D1236)))</f>
        <v/>
      </c>
      <c r="J1236" s="59"/>
      <c r="K1236" s="61">
        <f>IF(OR(J1236="",I1236=""),"",J1236-I1236)</f>
        <v/>
      </c>
      <c r="L1236" s="61">
        <f>IF(OR(J1236="",G1236=""),"",J1236-G1236)</f>
        <v/>
      </c>
      <c r="M1236" s="59"/>
      <c r="N1236" s="59"/>
      <c r="O1236" s="59"/>
      <c r="P1236" s="59"/>
      <c r="Q1236" s="59"/>
      <c r="R1236" s="60">
        <f>IF(AND(P1236="",Q1236=""),"",N(P1236)+N(Q1236))</f>
        <v/>
      </c>
      <c r="S1236" s="59"/>
      <c r="T1236" s="59"/>
      <c r="U1236" s="62">
        <f>IF(OR(R1236="",S1236="",T1236=""),"",IF(S1236+T1236=0,"",R1236/(S1236+T1236)))</f>
        <v/>
      </c>
      <c r="V1236" s="63"/>
      <c r="W1236" s="64"/>
      <c r="X1236" s="63"/>
    </row>
    <row r="1237" spans="2:24">
      <c r="B1237" s="58"/>
      <c r="C1237" s="59"/>
      <c r="D1237" s="59"/>
      <c r="E1237" s="59"/>
      <c r="F1237" s="59"/>
      <c r="G1237" s="60">
        <f>IF(OR(E1237="",F1237="",C1237="",D1237=""),"",IF(C1237+D1237=0,"",(E1237*C1237+F1237*D1237)/(C1237+D1237)))</f>
        <v/>
      </c>
      <c r="H1237" s="59"/>
      <c r="I1237" s="60">
        <f>IF(OR(H1237="",E1237="",C1237="",D1237=""),"",IF(C1237+D1237=0,"",(H1237*D1237+E1237*C1237)/(C1237+D1237)))</f>
        <v/>
      </c>
      <c r="J1237" s="59"/>
      <c r="K1237" s="61">
        <f>IF(OR(J1237="",I1237=""),"",J1237-I1237)</f>
        <v/>
      </c>
      <c r="L1237" s="61">
        <f>IF(OR(J1237="",G1237=""),"",J1237-G1237)</f>
        <v/>
      </c>
      <c r="M1237" s="59"/>
      <c r="N1237" s="59"/>
      <c r="O1237" s="59"/>
      <c r="P1237" s="59"/>
      <c r="Q1237" s="59"/>
      <c r="R1237" s="60">
        <f>IF(AND(P1237="",Q1237=""),"",N(P1237)+N(Q1237))</f>
        <v/>
      </c>
      <c r="S1237" s="59"/>
      <c r="T1237" s="59"/>
      <c r="U1237" s="62">
        <f>IF(OR(R1237="",S1237="",T1237=""),"",IF(S1237+T1237=0,"",R1237/(S1237+T1237)))</f>
        <v/>
      </c>
      <c r="V1237" s="63"/>
      <c r="W1237" s="64"/>
      <c r="X1237" s="63"/>
    </row>
    <row r="1238" spans="2:24">
      <c r="B1238" s="58"/>
      <c r="C1238" s="59"/>
      <c r="D1238" s="59"/>
      <c r="E1238" s="59"/>
      <c r="F1238" s="59"/>
      <c r="G1238" s="60">
        <f>IF(OR(E1238="",F1238="",C1238="",D1238=""),"",IF(C1238+D1238=0,"",(E1238*C1238+F1238*D1238)/(C1238+D1238)))</f>
        <v/>
      </c>
      <c r="H1238" s="59"/>
      <c r="I1238" s="60">
        <f>IF(OR(H1238="",E1238="",C1238="",D1238=""),"",IF(C1238+D1238=0,"",(H1238*D1238+E1238*C1238)/(C1238+D1238)))</f>
        <v/>
      </c>
      <c r="J1238" s="59"/>
      <c r="K1238" s="61">
        <f>IF(OR(J1238="",I1238=""),"",J1238-I1238)</f>
        <v/>
      </c>
      <c r="L1238" s="61">
        <f>IF(OR(J1238="",G1238=""),"",J1238-G1238)</f>
        <v/>
      </c>
      <c r="M1238" s="59"/>
      <c r="N1238" s="59"/>
      <c r="O1238" s="59"/>
      <c r="P1238" s="59"/>
      <c r="Q1238" s="59"/>
      <c r="R1238" s="60">
        <f>IF(AND(P1238="",Q1238=""),"",N(P1238)+N(Q1238))</f>
        <v/>
      </c>
      <c r="S1238" s="59"/>
      <c r="T1238" s="59"/>
      <c r="U1238" s="62">
        <f>IF(OR(R1238="",S1238="",T1238=""),"",IF(S1238+T1238=0,"",R1238/(S1238+T1238)))</f>
        <v/>
      </c>
      <c r="V1238" s="63"/>
      <c r="W1238" s="64"/>
      <c r="X1238" s="63"/>
    </row>
    <row r="1239" spans="2:24">
      <c r="B1239" s="58"/>
      <c r="C1239" s="59"/>
      <c r="D1239" s="59"/>
      <c r="E1239" s="59"/>
      <c r="F1239" s="59"/>
      <c r="G1239" s="60">
        <f>IF(OR(E1239="",F1239="",C1239="",D1239=""),"",IF(C1239+D1239=0,"",(E1239*C1239+F1239*D1239)/(C1239+D1239)))</f>
        <v/>
      </c>
      <c r="H1239" s="59"/>
      <c r="I1239" s="60">
        <f>IF(OR(H1239="",E1239="",C1239="",D1239=""),"",IF(C1239+D1239=0,"",(H1239*D1239+E1239*C1239)/(C1239+D1239)))</f>
        <v/>
      </c>
      <c r="J1239" s="59"/>
      <c r="K1239" s="61">
        <f>IF(OR(J1239="",I1239=""),"",J1239-I1239)</f>
        <v/>
      </c>
      <c r="L1239" s="61">
        <f>IF(OR(J1239="",G1239=""),"",J1239-G1239)</f>
        <v/>
      </c>
      <c r="M1239" s="59"/>
      <c r="N1239" s="59"/>
      <c r="O1239" s="59"/>
      <c r="P1239" s="59"/>
      <c r="Q1239" s="59"/>
      <c r="R1239" s="60">
        <f>IF(AND(P1239="",Q1239=""),"",N(P1239)+N(Q1239))</f>
        <v/>
      </c>
      <c r="S1239" s="59"/>
      <c r="T1239" s="59"/>
      <c r="U1239" s="62">
        <f>IF(OR(R1239="",S1239="",T1239=""),"",IF(S1239+T1239=0,"",R1239/(S1239+T1239)))</f>
        <v/>
      </c>
      <c r="V1239" s="63"/>
      <c r="W1239" s="64"/>
      <c r="X1239" s="63"/>
    </row>
    <row r="1240" spans="2:24">
      <c r="B1240" s="58"/>
      <c r="C1240" s="59"/>
      <c r="D1240" s="59"/>
      <c r="E1240" s="59"/>
      <c r="F1240" s="59"/>
      <c r="G1240" s="60">
        <f>IF(OR(E1240="",F1240="",C1240="",D1240=""),"",IF(C1240+D1240=0,"",(E1240*C1240+F1240*D1240)/(C1240+D1240)))</f>
        <v/>
      </c>
      <c r="H1240" s="59"/>
      <c r="I1240" s="60">
        <f>IF(OR(H1240="",E1240="",C1240="",D1240=""),"",IF(C1240+D1240=0,"",(H1240*D1240+E1240*C1240)/(C1240+D1240)))</f>
        <v/>
      </c>
      <c r="J1240" s="59"/>
      <c r="K1240" s="61">
        <f>IF(OR(J1240="",I1240=""),"",J1240-I1240)</f>
        <v/>
      </c>
      <c r="L1240" s="61">
        <f>IF(OR(J1240="",G1240=""),"",J1240-G1240)</f>
        <v/>
      </c>
      <c r="M1240" s="59"/>
      <c r="N1240" s="59"/>
      <c r="O1240" s="59"/>
      <c r="P1240" s="59"/>
      <c r="Q1240" s="59"/>
      <c r="R1240" s="60">
        <f>IF(AND(P1240="",Q1240=""),"",N(P1240)+N(Q1240))</f>
        <v/>
      </c>
      <c r="S1240" s="59"/>
      <c r="T1240" s="59"/>
      <c r="U1240" s="62">
        <f>IF(OR(R1240="",S1240="",T1240=""),"",IF(S1240+T1240=0,"",R1240/(S1240+T1240)))</f>
        <v/>
      </c>
      <c r="V1240" s="63"/>
      <c r="W1240" s="64"/>
      <c r="X1240" s="63"/>
    </row>
    <row r="1241" spans="2:24">
      <c r="B1241" s="58"/>
      <c r="C1241" s="59"/>
      <c r="D1241" s="59"/>
      <c r="E1241" s="59"/>
      <c r="F1241" s="59"/>
      <c r="G1241" s="60">
        <f>IF(OR(E1241="",F1241="",C1241="",D1241=""),"",IF(C1241+D1241=0,"",(E1241*C1241+F1241*D1241)/(C1241+D1241)))</f>
        <v/>
      </c>
      <c r="H1241" s="59"/>
      <c r="I1241" s="60">
        <f>IF(OR(H1241="",E1241="",C1241="",D1241=""),"",IF(C1241+D1241=0,"",(H1241*D1241+E1241*C1241)/(C1241+D1241)))</f>
        <v/>
      </c>
      <c r="J1241" s="59"/>
      <c r="K1241" s="61">
        <f>IF(OR(J1241="",I1241=""),"",J1241-I1241)</f>
        <v/>
      </c>
      <c r="L1241" s="61">
        <f>IF(OR(J1241="",G1241=""),"",J1241-G1241)</f>
        <v/>
      </c>
      <c r="M1241" s="59"/>
      <c r="N1241" s="59"/>
      <c r="O1241" s="59"/>
      <c r="P1241" s="59"/>
      <c r="Q1241" s="59"/>
      <c r="R1241" s="60">
        <f>IF(AND(P1241="",Q1241=""),"",N(P1241)+N(Q1241))</f>
        <v/>
      </c>
      <c r="S1241" s="59"/>
      <c r="T1241" s="59"/>
      <c r="U1241" s="62">
        <f>IF(OR(R1241="",S1241="",T1241=""),"",IF(S1241+T1241=0,"",R1241/(S1241+T1241)))</f>
        <v/>
      </c>
      <c r="V1241" s="63"/>
      <c r="W1241" s="64"/>
      <c r="X1241" s="63"/>
    </row>
    <row r="1242" spans="2:24">
      <c r="B1242" s="58"/>
      <c r="C1242" s="59"/>
      <c r="D1242" s="59"/>
      <c r="E1242" s="59"/>
      <c r="F1242" s="59"/>
      <c r="G1242" s="60">
        <f>IF(OR(E1242="",F1242="",C1242="",D1242=""),"",IF(C1242+D1242=0,"",(E1242*C1242+F1242*D1242)/(C1242+D1242)))</f>
        <v/>
      </c>
      <c r="H1242" s="59"/>
      <c r="I1242" s="60">
        <f>IF(OR(H1242="",E1242="",C1242="",D1242=""),"",IF(C1242+D1242=0,"",(H1242*D1242+E1242*C1242)/(C1242+D1242)))</f>
        <v/>
      </c>
      <c r="J1242" s="59"/>
      <c r="K1242" s="61">
        <f>IF(OR(J1242="",I1242=""),"",J1242-I1242)</f>
        <v/>
      </c>
      <c r="L1242" s="61">
        <f>IF(OR(J1242="",G1242=""),"",J1242-G1242)</f>
        <v/>
      </c>
      <c r="M1242" s="59"/>
      <c r="N1242" s="59"/>
      <c r="O1242" s="59"/>
      <c r="P1242" s="59"/>
      <c r="Q1242" s="59"/>
      <c r="R1242" s="60">
        <f>IF(AND(P1242="",Q1242=""),"",N(P1242)+N(Q1242))</f>
        <v/>
      </c>
      <c r="S1242" s="59"/>
      <c r="T1242" s="59"/>
      <c r="U1242" s="62">
        <f>IF(OR(R1242="",S1242="",T1242=""),"",IF(S1242+T1242=0,"",R1242/(S1242+T1242)))</f>
        <v/>
      </c>
      <c r="V1242" s="63"/>
      <c r="W1242" s="64"/>
      <c r="X1242" s="63"/>
    </row>
    <row r="1243" spans="2:24">
      <c r="B1243" s="58"/>
      <c r="C1243" s="59"/>
      <c r="D1243" s="59"/>
      <c r="E1243" s="59"/>
      <c r="F1243" s="59"/>
      <c r="G1243" s="60">
        <f>IF(OR(E1243="",F1243="",C1243="",D1243=""),"",IF(C1243+D1243=0,"",(E1243*C1243+F1243*D1243)/(C1243+D1243)))</f>
        <v/>
      </c>
      <c r="H1243" s="59"/>
      <c r="I1243" s="60">
        <f>IF(OR(H1243="",E1243="",C1243="",D1243=""),"",IF(C1243+D1243=0,"",(H1243*D1243+E1243*C1243)/(C1243+D1243)))</f>
        <v/>
      </c>
      <c r="J1243" s="59"/>
      <c r="K1243" s="61">
        <f>IF(OR(J1243="",I1243=""),"",J1243-I1243)</f>
        <v/>
      </c>
      <c r="L1243" s="61">
        <f>IF(OR(J1243="",G1243=""),"",J1243-G1243)</f>
        <v/>
      </c>
      <c r="M1243" s="59"/>
      <c r="N1243" s="59"/>
      <c r="O1243" s="59"/>
      <c r="P1243" s="59"/>
      <c r="Q1243" s="59"/>
      <c r="R1243" s="60">
        <f>IF(AND(P1243="",Q1243=""),"",N(P1243)+N(Q1243))</f>
        <v/>
      </c>
      <c r="S1243" s="59"/>
      <c r="T1243" s="59"/>
      <c r="U1243" s="62">
        <f>IF(OR(R1243="",S1243="",T1243=""),"",IF(S1243+T1243=0,"",R1243/(S1243+T1243)))</f>
        <v/>
      </c>
      <c r="V1243" s="63"/>
      <c r="W1243" s="64"/>
      <c r="X1243" s="63"/>
    </row>
    <row r="1244" spans="2:24">
      <c r="B1244" s="58"/>
      <c r="C1244" s="59"/>
      <c r="D1244" s="59"/>
      <c r="E1244" s="59"/>
      <c r="F1244" s="59"/>
      <c r="G1244" s="60">
        <f>IF(OR(E1244="",F1244="",C1244="",D1244=""),"",IF(C1244+D1244=0,"",(E1244*C1244+F1244*D1244)/(C1244+D1244)))</f>
        <v/>
      </c>
      <c r="H1244" s="59"/>
      <c r="I1244" s="60">
        <f>IF(OR(H1244="",E1244="",C1244="",D1244=""),"",IF(C1244+D1244=0,"",(H1244*D1244+E1244*C1244)/(C1244+D1244)))</f>
        <v/>
      </c>
      <c r="J1244" s="59"/>
      <c r="K1244" s="61">
        <f>IF(OR(J1244="",I1244=""),"",J1244-I1244)</f>
        <v/>
      </c>
      <c r="L1244" s="61">
        <f>IF(OR(J1244="",G1244=""),"",J1244-G1244)</f>
        <v/>
      </c>
      <c r="M1244" s="59"/>
      <c r="N1244" s="59"/>
      <c r="O1244" s="59"/>
      <c r="P1244" s="59"/>
      <c r="Q1244" s="59"/>
      <c r="R1244" s="60">
        <f>IF(AND(P1244="",Q1244=""),"",N(P1244)+N(Q1244))</f>
        <v/>
      </c>
      <c r="S1244" s="59"/>
      <c r="T1244" s="59"/>
      <c r="U1244" s="62">
        <f>IF(OR(R1244="",S1244="",T1244=""),"",IF(S1244+T1244=0,"",R1244/(S1244+T1244)))</f>
        <v/>
      </c>
      <c r="V1244" s="63"/>
      <c r="W1244" s="64"/>
      <c r="X1244" s="63"/>
    </row>
    <row r="1245" spans="2:24">
      <c r="B1245" s="58"/>
      <c r="C1245" s="59"/>
      <c r="D1245" s="59"/>
      <c r="E1245" s="59"/>
      <c r="F1245" s="59"/>
      <c r="G1245" s="60">
        <f>IF(OR(E1245="",F1245="",C1245="",D1245=""),"",IF(C1245+D1245=0,"",(E1245*C1245+F1245*D1245)/(C1245+D1245)))</f>
        <v/>
      </c>
      <c r="H1245" s="59"/>
      <c r="I1245" s="60">
        <f>IF(OR(H1245="",E1245="",C1245="",D1245=""),"",IF(C1245+D1245=0,"",(H1245*D1245+E1245*C1245)/(C1245+D1245)))</f>
        <v/>
      </c>
      <c r="J1245" s="59"/>
      <c r="K1245" s="61">
        <f>IF(OR(J1245="",I1245=""),"",J1245-I1245)</f>
        <v/>
      </c>
      <c r="L1245" s="61">
        <f>IF(OR(J1245="",G1245=""),"",J1245-G1245)</f>
        <v/>
      </c>
      <c r="M1245" s="59"/>
      <c r="N1245" s="59"/>
      <c r="O1245" s="59"/>
      <c r="P1245" s="59"/>
      <c r="Q1245" s="59"/>
      <c r="R1245" s="60">
        <f>IF(AND(P1245="",Q1245=""),"",N(P1245)+N(Q1245))</f>
        <v/>
      </c>
      <c r="S1245" s="59"/>
      <c r="T1245" s="59"/>
      <c r="U1245" s="62">
        <f>IF(OR(R1245="",S1245="",T1245=""),"",IF(S1245+T1245=0,"",R1245/(S1245+T1245)))</f>
        <v/>
      </c>
      <c r="V1245" s="63"/>
      <c r="W1245" s="64"/>
      <c r="X1245" s="63"/>
    </row>
    <row r="1246" spans="2:24">
      <c r="B1246" s="58"/>
      <c r="C1246" s="59"/>
      <c r="D1246" s="59"/>
      <c r="E1246" s="59"/>
      <c r="F1246" s="59"/>
      <c r="G1246" s="60">
        <f>IF(OR(E1246="",F1246="",C1246="",D1246=""),"",IF(C1246+D1246=0,"",(E1246*C1246+F1246*D1246)/(C1246+D1246)))</f>
        <v/>
      </c>
      <c r="H1246" s="59"/>
      <c r="I1246" s="60">
        <f>IF(OR(H1246="",E1246="",C1246="",D1246=""),"",IF(C1246+D1246=0,"",(H1246*D1246+E1246*C1246)/(C1246+D1246)))</f>
        <v/>
      </c>
      <c r="J1246" s="59"/>
      <c r="K1246" s="61">
        <f>IF(OR(J1246="",I1246=""),"",J1246-I1246)</f>
        <v/>
      </c>
      <c r="L1246" s="61">
        <f>IF(OR(J1246="",G1246=""),"",J1246-G1246)</f>
        <v/>
      </c>
      <c r="M1246" s="59"/>
      <c r="N1246" s="59"/>
      <c r="O1246" s="59"/>
      <c r="P1246" s="59"/>
      <c r="Q1246" s="59"/>
      <c r="R1246" s="60">
        <f>IF(AND(P1246="",Q1246=""),"",N(P1246)+N(Q1246))</f>
        <v/>
      </c>
      <c r="S1246" s="59"/>
      <c r="T1246" s="59"/>
      <c r="U1246" s="62">
        <f>IF(OR(R1246="",S1246="",T1246=""),"",IF(S1246+T1246=0,"",R1246/(S1246+T1246)))</f>
        <v/>
      </c>
      <c r="V1246" s="63"/>
      <c r="W1246" s="64"/>
      <c r="X1246" s="63"/>
    </row>
    <row r="1247" spans="2:24">
      <c r="B1247" s="58"/>
      <c r="C1247" s="59"/>
      <c r="D1247" s="59"/>
      <c r="E1247" s="59"/>
      <c r="F1247" s="59"/>
      <c r="G1247" s="60">
        <f>IF(OR(E1247="",F1247="",C1247="",D1247=""),"",IF(C1247+D1247=0,"",(E1247*C1247+F1247*D1247)/(C1247+D1247)))</f>
        <v/>
      </c>
      <c r="H1247" s="59"/>
      <c r="I1247" s="60">
        <f>IF(OR(H1247="",E1247="",C1247="",D1247=""),"",IF(C1247+D1247=0,"",(H1247*D1247+E1247*C1247)/(C1247+D1247)))</f>
        <v/>
      </c>
      <c r="J1247" s="59"/>
      <c r="K1247" s="61">
        <f>IF(OR(J1247="",I1247=""),"",J1247-I1247)</f>
        <v/>
      </c>
      <c r="L1247" s="61">
        <f>IF(OR(J1247="",G1247=""),"",J1247-G1247)</f>
        <v/>
      </c>
      <c r="M1247" s="59"/>
      <c r="N1247" s="59"/>
      <c r="O1247" s="59"/>
      <c r="P1247" s="59"/>
      <c r="Q1247" s="59"/>
      <c r="R1247" s="60">
        <f>IF(AND(P1247="",Q1247=""),"",N(P1247)+N(Q1247))</f>
        <v/>
      </c>
      <c r="S1247" s="59"/>
      <c r="T1247" s="59"/>
      <c r="U1247" s="62">
        <f>IF(OR(R1247="",S1247="",T1247=""),"",IF(S1247+T1247=0,"",R1247/(S1247+T1247)))</f>
        <v/>
      </c>
      <c r="V1247" s="63"/>
      <c r="W1247" s="64"/>
      <c r="X1247" s="63"/>
    </row>
    <row r="1248" spans="2:24">
      <c r="B1248" s="58"/>
      <c r="C1248" s="59"/>
      <c r="D1248" s="59"/>
      <c r="E1248" s="59"/>
      <c r="F1248" s="59"/>
      <c r="G1248" s="60">
        <f>IF(OR(E1248="",F1248="",C1248="",D1248=""),"",IF(C1248+D1248=0,"",(E1248*C1248+F1248*D1248)/(C1248+D1248)))</f>
        <v/>
      </c>
      <c r="H1248" s="59"/>
      <c r="I1248" s="60">
        <f>IF(OR(H1248="",E1248="",C1248="",D1248=""),"",IF(C1248+D1248=0,"",(H1248*D1248+E1248*C1248)/(C1248+D1248)))</f>
        <v/>
      </c>
      <c r="J1248" s="59"/>
      <c r="K1248" s="61">
        <f>IF(OR(J1248="",I1248=""),"",J1248-I1248)</f>
        <v/>
      </c>
      <c r="L1248" s="61">
        <f>IF(OR(J1248="",G1248=""),"",J1248-G1248)</f>
        <v/>
      </c>
      <c r="M1248" s="59"/>
      <c r="N1248" s="59"/>
      <c r="O1248" s="59"/>
      <c r="P1248" s="59"/>
      <c r="Q1248" s="59"/>
      <c r="R1248" s="60">
        <f>IF(AND(P1248="",Q1248=""),"",N(P1248)+N(Q1248))</f>
        <v/>
      </c>
      <c r="S1248" s="59"/>
      <c r="T1248" s="59"/>
      <c r="U1248" s="62">
        <f>IF(OR(R1248="",S1248="",T1248=""),"",IF(S1248+T1248=0,"",R1248/(S1248+T1248)))</f>
        <v/>
      </c>
      <c r="V1248" s="63"/>
      <c r="W1248" s="64"/>
      <c r="X1248" s="63"/>
    </row>
    <row r="1249" spans="2:24">
      <c r="B1249" s="58"/>
      <c r="C1249" s="59"/>
      <c r="D1249" s="59"/>
      <c r="E1249" s="59"/>
      <c r="F1249" s="59"/>
      <c r="G1249" s="60">
        <f>IF(OR(E1249="",F1249="",C1249="",D1249=""),"",IF(C1249+D1249=0,"",(E1249*C1249+F1249*D1249)/(C1249+D1249)))</f>
        <v/>
      </c>
      <c r="H1249" s="59"/>
      <c r="I1249" s="60">
        <f>IF(OR(H1249="",E1249="",C1249="",D1249=""),"",IF(C1249+D1249=0,"",(H1249*D1249+E1249*C1249)/(C1249+D1249)))</f>
        <v/>
      </c>
      <c r="J1249" s="59"/>
      <c r="K1249" s="61">
        <f>IF(OR(J1249="",I1249=""),"",J1249-I1249)</f>
        <v/>
      </c>
      <c r="L1249" s="61">
        <f>IF(OR(J1249="",G1249=""),"",J1249-G1249)</f>
        <v/>
      </c>
      <c r="M1249" s="59"/>
      <c r="N1249" s="59"/>
      <c r="O1249" s="59"/>
      <c r="P1249" s="59"/>
      <c r="Q1249" s="59"/>
      <c r="R1249" s="60">
        <f>IF(AND(P1249="",Q1249=""),"",N(P1249)+N(Q1249))</f>
        <v/>
      </c>
      <c r="S1249" s="59"/>
      <c r="T1249" s="59"/>
      <c r="U1249" s="62">
        <f>IF(OR(R1249="",S1249="",T1249=""),"",IF(S1249+T1249=0,"",R1249/(S1249+T1249)))</f>
        <v/>
      </c>
      <c r="V1249" s="63"/>
      <c r="W1249" s="64"/>
      <c r="X1249" s="63"/>
    </row>
    <row r="1250" spans="2:24">
      <c r="B1250" s="58"/>
      <c r="C1250" s="59"/>
      <c r="D1250" s="59"/>
      <c r="E1250" s="59"/>
      <c r="F1250" s="59"/>
      <c r="G1250" s="60">
        <f>IF(OR(E1250="",F1250="",C1250="",D1250=""),"",IF(C1250+D1250=0,"",(E1250*C1250+F1250*D1250)/(C1250+D1250)))</f>
        <v/>
      </c>
      <c r="H1250" s="59"/>
      <c r="I1250" s="60">
        <f>IF(OR(H1250="",E1250="",C1250="",D1250=""),"",IF(C1250+D1250=0,"",(H1250*D1250+E1250*C1250)/(C1250+D1250)))</f>
        <v/>
      </c>
      <c r="J1250" s="59"/>
      <c r="K1250" s="61">
        <f>IF(OR(J1250="",I1250=""),"",J1250-I1250)</f>
        <v/>
      </c>
      <c r="L1250" s="61">
        <f>IF(OR(J1250="",G1250=""),"",J1250-G1250)</f>
        <v/>
      </c>
      <c r="M1250" s="59"/>
      <c r="N1250" s="59"/>
      <c r="O1250" s="59"/>
      <c r="P1250" s="59"/>
      <c r="Q1250" s="59"/>
      <c r="R1250" s="60">
        <f>IF(AND(P1250="",Q1250=""),"",N(P1250)+N(Q1250))</f>
        <v/>
      </c>
      <c r="S1250" s="59"/>
      <c r="T1250" s="59"/>
      <c r="U1250" s="62">
        <f>IF(OR(R1250="",S1250="",T1250=""),"",IF(S1250+T1250=0,"",R1250/(S1250+T1250)))</f>
        <v/>
      </c>
      <c r="V1250" s="63"/>
      <c r="W1250" s="64"/>
      <c r="X1250" s="63"/>
    </row>
    <row r="1251" spans="2:24">
      <c r="B1251" s="58"/>
      <c r="C1251" s="59"/>
      <c r="D1251" s="59"/>
      <c r="E1251" s="59"/>
      <c r="F1251" s="59"/>
      <c r="G1251" s="60">
        <f>IF(OR(E1251="",F1251="",C1251="",D1251=""),"",IF(C1251+D1251=0,"",(E1251*C1251+F1251*D1251)/(C1251+D1251)))</f>
        <v/>
      </c>
      <c r="H1251" s="59"/>
      <c r="I1251" s="60">
        <f>IF(OR(H1251="",E1251="",C1251="",D1251=""),"",IF(C1251+D1251=0,"",(H1251*D1251+E1251*C1251)/(C1251+D1251)))</f>
        <v/>
      </c>
      <c r="J1251" s="59"/>
      <c r="K1251" s="61">
        <f>IF(OR(J1251="",I1251=""),"",J1251-I1251)</f>
        <v/>
      </c>
      <c r="L1251" s="61">
        <f>IF(OR(J1251="",G1251=""),"",J1251-G1251)</f>
        <v/>
      </c>
      <c r="M1251" s="59"/>
      <c r="N1251" s="59"/>
      <c r="O1251" s="59"/>
      <c r="P1251" s="59"/>
      <c r="Q1251" s="59"/>
      <c r="R1251" s="60">
        <f>IF(AND(P1251="",Q1251=""),"",N(P1251)+N(Q1251))</f>
        <v/>
      </c>
      <c r="S1251" s="59"/>
      <c r="T1251" s="59"/>
      <c r="U1251" s="62">
        <f>IF(OR(R1251="",S1251="",T1251=""),"",IF(S1251+T1251=0,"",R1251/(S1251+T1251)))</f>
        <v/>
      </c>
      <c r="V1251" s="63"/>
      <c r="W1251" s="64"/>
      <c r="X1251" s="63"/>
    </row>
    <row r="1252" spans="2:24">
      <c r="B1252" s="58"/>
      <c r="C1252" s="59"/>
      <c r="D1252" s="59"/>
      <c r="E1252" s="59"/>
      <c r="F1252" s="59"/>
      <c r="G1252" s="60">
        <f>IF(OR(E1252="",F1252="",C1252="",D1252=""),"",IF(C1252+D1252=0,"",(E1252*C1252+F1252*D1252)/(C1252+D1252)))</f>
        <v/>
      </c>
      <c r="H1252" s="59"/>
      <c r="I1252" s="60">
        <f>IF(OR(H1252="",E1252="",C1252="",D1252=""),"",IF(C1252+D1252=0,"",(H1252*D1252+E1252*C1252)/(C1252+D1252)))</f>
        <v/>
      </c>
      <c r="J1252" s="59"/>
      <c r="K1252" s="61">
        <f>IF(OR(J1252="",I1252=""),"",J1252-I1252)</f>
        <v/>
      </c>
      <c r="L1252" s="61">
        <f>IF(OR(J1252="",G1252=""),"",J1252-G1252)</f>
        <v/>
      </c>
      <c r="M1252" s="59"/>
      <c r="N1252" s="59"/>
      <c r="O1252" s="59"/>
      <c r="P1252" s="59"/>
      <c r="Q1252" s="59"/>
      <c r="R1252" s="60">
        <f>IF(AND(P1252="",Q1252=""),"",N(P1252)+N(Q1252))</f>
        <v/>
      </c>
      <c r="S1252" s="59"/>
      <c r="T1252" s="59"/>
      <c r="U1252" s="62">
        <f>IF(OR(R1252="",S1252="",T1252=""),"",IF(S1252+T1252=0,"",R1252/(S1252+T1252)))</f>
        <v/>
      </c>
      <c r="V1252" s="63"/>
      <c r="W1252" s="64"/>
      <c r="X1252" s="63"/>
    </row>
    <row r="1253" spans="2:24">
      <c r="B1253" s="58"/>
      <c r="C1253" s="59"/>
      <c r="D1253" s="59"/>
      <c r="E1253" s="59"/>
      <c r="F1253" s="59"/>
      <c r="G1253" s="60">
        <f>IF(OR(E1253="",F1253="",C1253="",D1253=""),"",IF(C1253+D1253=0,"",(E1253*C1253+F1253*D1253)/(C1253+D1253)))</f>
        <v/>
      </c>
      <c r="H1253" s="59"/>
      <c r="I1253" s="60">
        <f>IF(OR(H1253="",E1253="",C1253="",D1253=""),"",IF(C1253+D1253=0,"",(H1253*D1253+E1253*C1253)/(C1253+D1253)))</f>
        <v/>
      </c>
      <c r="J1253" s="59"/>
      <c r="K1253" s="61">
        <f>IF(OR(J1253="",I1253=""),"",J1253-I1253)</f>
        <v/>
      </c>
      <c r="L1253" s="61">
        <f>IF(OR(J1253="",G1253=""),"",J1253-G1253)</f>
        <v/>
      </c>
      <c r="M1253" s="59"/>
      <c r="N1253" s="59"/>
      <c r="O1253" s="59"/>
      <c r="P1253" s="59"/>
      <c r="Q1253" s="59"/>
      <c r="R1253" s="60">
        <f>IF(AND(P1253="",Q1253=""),"",N(P1253)+N(Q1253))</f>
        <v/>
      </c>
      <c r="S1253" s="59"/>
      <c r="T1253" s="59"/>
      <c r="U1253" s="62">
        <f>IF(OR(R1253="",S1253="",T1253=""),"",IF(S1253+T1253=0,"",R1253/(S1253+T1253)))</f>
        <v/>
      </c>
      <c r="V1253" s="63"/>
      <c r="W1253" s="64"/>
      <c r="X1253" s="63"/>
    </row>
    <row r="1254" spans="2:24">
      <c r="B1254" s="58"/>
      <c r="C1254" s="59"/>
      <c r="D1254" s="59"/>
      <c r="E1254" s="59"/>
      <c r="F1254" s="59"/>
      <c r="G1254" s="60">
        <f>IF(OR(E1254="",F1254="",C1254="",D1254=""),"",IF(C1254+D1254=0,"",(E1254*C1254+F1254*D1254)/(C1254+D1254)))</f>
        <v/>
      </c>
      <c r="H1254" s="59"/>
      <c r="I1254" s="60">
        <f>IF(OR(H1254="",E1254="",C1254="",D1254=""),"",IF(C1254+D1254=0,"",(H1254*D1254+E1254*C1254)/(C1254+D1254)))</f>
        <v/>
      </c>
      <c r="J1254" s="59"/>
      <c r="K1254" s="61">
        <f>IF(OR(J1254="",I1254=""),"",J1254-I1254)</f>
        <v/>
      </c>
      <c r="L1254" s="61">
        <f>IF(OR(J1254="",G1254=""),"",J1254-G1254)</f>
        <v/>
      </c>
      <c r="M1254" s="59"/>
      <c r="N1254" s="59"/>
      <c r="O1254" s="59"/>
      <c r="P1254" s="59"/>
      <c r="Q1254" s="59"/>
      <c r="R1254" s="60">
        <f>IF(AND(P1254="",Q1254=""),"",N(P1254)+N(Q1254))</f>
        <v/>
      </c>
      <c r="S1254" s="59"/>
      <c r="T1254" s="59"/>
      <c r="U1254" s="62">
        <f>IF(OR(R1254="",S1254="",T1254=""),"",IF(S1254+T1254=0,"",R1254/(S1254+T1254)))</f>
        <v/>
      </c>
      <c r="V1254" s="63"/>
      <c r="W1254" s="64"/>
      <c r="X1254" s="63"/>
    </row>
    <row r="1255" spans="2:24">
      <c r="B1255" s="58"/>
      <c r="C1255" s="59"/>
      <c r="D1255" s="59"/>
      <c r="E1255" s="59"/>
      <c r="F1255" s="59"/>
      <c r="G1255" s="60">
        <f>IF(OR(E1255="",F1255="",C1255="",D1255=""),"",IF(C1255+D1255=0,"",(E1255*C1255+F1255*D1255)/(C1255+D1255)))</f>
        <v/>
      </c>
      <c r="H1255" s="59"/>
      <c r="I1255" s="60">
        <f>IF(OR(H1255="",E1255="",C1255="",D1255=""),"",IF(C1255+D1255=0,"",(H1255*D1255+E1255*C1255)/(C1255+D1255)))</f>
        <v/>
      </c>
      <c r="J1255" s="59"/>
      <c r="K1255" s="61">
        <f>IF(OR(J1255="",I1255=""),"",J1255-I1255)</f>
        <v/>
      </c>
      <c r="L1255" s="61">
        <f>IF(OR(J1255="",G1255=""),"",J1255-G1255)</f>
        <v/>
      </c>
      <c r="M1255" s="59"/>
      <c r="N1255" s="59"/>
      <c r="O1255" s="59"/>
      <c r="P1255" s="59"/>
      <c r="Q1255" s="59"/>
      <c r="R1255" s="60">
        <f>IF(AND(P1255="",Q1255=""),"",N(P1255)+N(Q1255))</f>
        <v/>
      </c>
      <c r="S1255" s="59"/>
      <c r="T1255" s="59"/>
      <c r="U1255" s="62">
        <f>IF(OR(R1255="",S1255="",T1255=""),"",IF(S1255+T1255=0,"",R1255/(S1255+T1255)))</f>
        <v/>
      </c>
      <c r="V1255" s="63"/>
      <c r="W1255" s="64"/>
      <c r="X1255" s="63"/>
    </row>
    <row r="1256" spans="2:24">
      <c r="B1256" s="58"/>
      <c r="C1256" s="59"/>
      <c r="D1256" s="59"/>
      <c r="E1256" s="59"/>
      <c r="F1256" s="59"/>
      <c r="G1256" s="60">
        <f>IF(OR(E1256="",F1256="",C1256="",D1256=""),"",IF(C1256+D1256=0,"",(E1256*C1256+F1256*D1256)/(C1256+D1256)))</f>
        <v/>
      </c>
      <c r="H1256" s="59"/>
      <c r="I1256" s="60">
        <f>IF(OR(H1256="",E1256="",C1256="",D1256=""),"",IF(C1256+D1256=0,"",(H1256*D1256+E1256*C1256)/(C1256+D1256)))</f>
        <v/>
      </c>
      <c r="J1256" s="59"/>
      <c r="K1256" s="61">
        <f>IF(OR(J1256="",I1256=""),"",J1256-I1256)</f>
        <v/>
      </c>
      <c r="L1256" s="61">
        <f>IF(OR(J1256="",G1256=""),"",J1256-G1256)</f>
        <v/>
      </c>
      <c r="M1256" s="59"/>
      <c r="N1256" s="59"/>
      <c r="O1256" s="59"/>
      <c r="P1256" s="59"/>
      <c r="Q1256" s="59"/>
      <c r="R1256" s="60">
        <f>IF(AND(P1256="",Q1256=""),"",N(P1256)+N(Q1256))</f>
        <v/>
      </c>
      <c r="S1256" s="59"/>
      <c r="T1256" s="59"/>
      <c r="U1256" s="62">
        <f>IF(OR(R1256="",S1256="",T1256=""),"",IF(S1256+T1256=0,"",R1256/(S1256+T1256)))</f>
        <v/>
      </c>
      <c r="V1256" s="63"/>
      <c r="W1256" s="64"/>
      <c r="X1256" s="63"/>
    </row>
    <row r="1257" spans="2:24">
      <c r="B1257" s="58"/>
      <c r="C1257" s="59"/>
      <c r="D1257" s="59"/>
      <c r="E1257" s="59"/>
      <c r="F1257" s="59"/>
      <c r="G1257" s="60">
        <f>IF(OR(E1257="",F1257="",C1257="",D1257=""),"",IF(C1257+D1257=0,"",(E1257*C1257+F1257*D1257)/(C1257+D1257)))</f>
        <v/>
      </c>
      <c r="H1257" s="59"/>
      <c r="I1257" s="60">
        <f>IF(OR(H1257="",E1257="",C1257="",D1257=""),"",IF(C1257+D1257=0,"",(H1257*D1257+E1257*C1257)/(C1257+D1257)))</f>
        <v/>
      </c>
      <c r="J1257" s="59"/>
      <c r="K1257" s="61">
        <f>IF(OR(J1257="",I1257=""),"",J1257-I1257)</f>
        <v/>
      </c>
      <c r="L1257" s="61">
        <f>IF(OR(J1257="",G1257=""),"",J1257-G1257)</f>
        <v/>
      </c>
      <c r="M1257" s="59"/>
      <c r="N1257" s="59"/>
      <c r="O1257" s="59"/>
      <c r="P1257" s="59"/>
      <c r="Q1257" s="59"/>
      <c r="R1257" s="60">
        <f>IF(AND(P1257="",Q1257=""),"",N(P1257)+N(Q1257))</f>
        <v/>
      </c>
      <c r="S1257" s="59"/>
      <c r="T1257" s="59"/>
      <c r="U1257" s="62">
        <f>IF(OR(R1257="",S1257="",T1257=""),"",IF(S1257+T1257=0,"",R1257/(S1257+T1257)))</f>
        <v/>
      </c>
      <c r="V1257" s="63"/>
      <c r="W1257" s="64"/>
      <c r="X1257" s="63"/>
    </row>
    <row r="1258" spans="2:24">
      <c r="B1258" s="58"/>
      <c r="C1258" s="59"/>
      <c r="D1258" s="59"/>
      <c r="E1258" s="59"/>
      <c r="F1258" s="59"/>
      <c r="G1258" s="60">
        <f>IF(OR(E1258="",F1258="",C1258="",D1258=""),"",IF(C1258+D1258=0,"",(E1258*C1258+F1258*D1258)/(C1258+D1258)))</f>
        <v/>
      </c>
      <c r="H1258" s="59"/>
      <c r="I1258" s="60">
        <f>IF(OR(H1258="",E1258="",C1258="",D1258=""),"",IF(C1258+D1258=0,"",(H1258*D1258+E1258*C1258)/(C1258+D1258)))</f>
        <v/>
      </c>
      <c r="J1258" s="59"/>
      <c r="K1258" s="61">
        <f>IF(OR(J1258="",I1258=""),"",J1258-I1258)</f>
        <v/>
      </c>
      <c r="L1258" s="61">
        <f>IF(OR(J1258="",G1258=""),"",J1258-G1258)</f>
        <v/>
      </c>
      <c r="M1258" s="59"/>
      <c r="N1258" s="59"/>
      <c r="O1258" s="59"/>
      <c r="P1258" s="59"/>
      <c r="Q1258" s="59"/>
      <c r="R1258" s="60">
        <f>IF(AND(P1258="",Q1258=""),"",N(P1258)+N(Q1258))</f>
        <v/>
      </c>
      <c r="S1258" s="59"/>
      <c r="T1258" s="59"/>
      <c r="U1258" s="62">
        <f>IF(OR(R1258="",S1258="",T1258=""),"",IF(S1258+T1258=0,"",R1258/(S1258+T1258)))</f>
        <v/>
      </c>
      <c r="V1258" s="63"/>
      <c r="W1258" s="64"/>
      <c r="X1258" s="63"/>
    </row>
    <row r="1259" spans="2:24">
      <c r="B1259" s="58"/>
      <c r="C1259" s="59"/>
      <c r="D1259" s="59"/>
      <c r="E1259" s="59"/>
      <c r="F1259" s="59"/>
      <c r="G1259" s="60">
        <f>IF(OR(E1259="",F1259="",C1259="",D1259=""),"",IF(C1259+D1259=0,"",(E1259*C1259+F1259*D1259)/(C1259+D1259)))</f>
        <v/>
      </c>
      <c r="H1259" s="59"/>
      <c r="I1259" s="60">
        <f>IF(OR(H1259="",E1259="",C1259="",D1259=""),"",IF(C1259+D1259=0,"",(H1259*D1259+E1259*C1259)/(C1259+D1259)))</f>
        <v/>
      </c>
      <c r="J1259" s="59"/>
      <c r="K1259" s="61">
        <f>IF(OR(J1259="",I1259=""),"",J1259-I1259)</f>
        <v/>
      </c>
      <c r="L1259" s="61">
        <f>IF(OR(J1259="",G1259=""),"",J1259-G1259)</f>
        <v/>
      </c>
      <c r="M1259" s="59"/>
      <c r="N1259" s="59"/>
      <c r="O1259" s="59"/>
      <c r="P1259" s="59"/>
      <c r="Q1259" s="59"/>
      <c r="R1259" s="60">
        <f>IF(AND(P1259="",Q1259=""),"",N(P1259)+N(Q1259))</f>
        <v/>
      </c>
      <c r="S1259" s="59"/>
      <c r="T1259" s="59"/>
      <c r="U1259" s="62">
        <f>IF(OR(R1259="",S1259="",T1259=""),"",IF(S1259+T1259=0,"",R1259/(S1259+T1259)))</f>
        <v/>
      </c>
      <c r="V1259" s="63"/>
      <c r="W1259" s="64"/>
      <c r="X1259" s="63"/>
    </row>
    <row r="1260" spans="2:24">
      <c r="B1260" s="58"/>
      <c r="C1260" s="59"/>
      <c r="D1260" s="59"/>
      <c r="E1260" s="59"/>
      <c r="F1260" s="59"/>
      <c r="G1260" s="60">
        <f>IF(OR(E1260="",F1260="",C1260="",D1260=""),"",IF(C1260+D1260=0,"",(E1260*C1260+F1260*D1260)/(C1260+D1260)))</f>
        <v/>
      </c>
      <c r="H1260" s="59"/>
      <c r="I1260" s="60">
        <f>IF(OR(H1260="",E1260="",C1260="",D1260=""),"",IF(C1260+D1260=0,"",(H1260*D1260+E1260*C1260)/(C1260+D1260)))</f>
        <v/>
      </c>
      <c r="J1260" s="59"/>
      <c r="K1260" s="61">
        <f>IF(OR(J1260="",I1260=""),"",J1260-I1260)</f>
        <v/>
      </c>
      <c r="L1260" s="61">
        <f>IF(OR(J1260="",G1260=""),"",J1260-G1260)</f>
        <v/>
      </c>
      <c r="M1260" s="59"/>
      <c r="N1260" s="59"/>
      <c r="O1260" s="59"/>
      <c r="P1260" s="59"/>
      <c r="Q1260" s="59"/>
      <c r="R1260" s="60">
        <f>IF(AND(P1260="",Q1260=""),"",N(P1260)+N(Q1260))</f>
        <v/>
      </c>
      <c r="S1260" s="59"/>
      <c r="T1260" s="59"/>
      <c r="U1260" s="62">
        <f>IF(OR(R1260="",S1260="",T1260=""),"",IF(S1260+T1260=0,"",R1260/(S1260+T1260)))</f>
        <v/>
      </c>
      <c r="V1260" s="63"/>
      <c r="W1260" s="64"/>
      <c r="X1260" s="63"/>
    </row>
    <row r="1261" spans="2:24">
      <c r="B1261" s="58"/>
      <c r="C1261" s="59"/>
      <c r="D1261" s="59"/>
      <c r="E1261" s="59"/>
      <c r="F1261" s="59"/>
      <c r="G1261" s="60">
        <f>IF(OR(E1261="",F1261="",C1261="",D1261=""),"",IF(C1261+D1261=0,"",(E1261*C1261+F1261*D1261)/(C1261+D1261)))</f>
        <v/>
      </c>
      <c r="H1261" s="59"/>
      <c r="I1261" s="60">
        <f>IF(OR(H1261="",E1261="",C1261="",D1261=""),"",IF(C1261+D1261=0,"",(H1261*D1261+E1261*C1261)/(C1261+D1261)))</f>
        <v/>
      </c>
      <c r="J1261" s="59"/>
      <c r="K1261" s="61">
        <f>IF(OR(J1261="",I1261=""),"",J1261-I1261)</f>
        <v/>
      </c>
      <c r="L1261" s="61">
        <f>IF(OR(J1261="",G1261=""),"",J1261-G1261)</f>
        <v/>
      </c>
      <c r="M1261" s="59"/>
      <c r="N1261" s="59"/>
      <c r="O1261" s="59"/>
      <c r="P1261" s="59"/>
      <c r="Q1261" s="59"/>
      <c r="R1261" s="60">
        <f>IF(AND(P1261="",Q1261=""),"",N(P1261)+N(Q1261))</f>
        <v/>
      </c>
      <c r="S1261" s="59"/>
      <c r="T1261" s="59"/>
      <c r="U1261" s="62">
        <f>IF(OR(R1261="",S1261="",T1261=""),"",IF(S1261+T1261=0,"",R1261/(S1261+T1261)))</f>
        <v/>
      </c>
      <c r="V1261" s="63"/>
      <c r="W1261" s="64"/>
      <c r="X1261" s="63"/>
    </row>
    <row r="1262" spans="2:24">
      <c r="B1262" s="58"/>
      <c r="C1262" s="59"/>
      <c r="D1262" s="59"/>
      <c r="E1262" s="59"/>
      <c r="F1262" s="59"/>
      <c r="G1262" s="60">
        <f>IF(OR(E1262="",F1262="",C1262="",D1262=""),"",IF(C1262+D1262=0,"",(E1262*C1262+F1262*D1262)/(C1262+D1262)))</f>
        <v/>
      </c>
      <c r="H1262" s="59"/>
      <c r="I1262" s="60">
        <f>IF(OR(H1262="",E1262="",C1262="",D1262=""),"",IF(C1262+D1262=0,"",(H1262*D1262+E1262*C1262)/(C1262+D1262)))</f>
        <v/>
      </c>
      <c r="J1262" s="59"/>
      <c r="K1262" s="61">
        <f>IF(OR(J1262="",I1262=""),"",J1262-I1262)</f>
        <v/>
      </c>
      <c r="L1262" s="61">
        <f>IF(OR(J1262="",G1262=""),"",J1262-G1262)</f>
        <v/>
      </c>
      <c r="M1262" s="59"/>
      <c r="N1262" s="59"/>
      <c r="O1262" s="59"/>
      <c r="P1262" s="59"/>
      <c r="Q1262" s="59"/>
      <c r="R1262" s="60">
        <f>IF(AND(P1262="",Q1262=""),"",N(P1262)+N(Q1262))</f>
        <v/>
      </c>
      <c r="S1262" s="59"/>
      <c r="T1262" s="59"/>
      <c r="U1262" s="62">
        <f>IF(OR(R1262="",S1262="",T1262=""),"",IF(S1262+T1262=0,"",R1262/(S1262+T1262)))</f>
        <v/>
      </c>
      <c r="V1262" s="63"/>
      <c r="W1262" s="64"/>
      <c r="X1262" s="63"/>
    </row>
    <row r="1263" spans="2:24">
      <c r="B1263" s="58"/>
      <c r="C1263" s="59"/>
      <c r="D1263" s="59"/>
      <c r="E1263" s="59"/>
      <c r="F1263" s="59"/>
      <c r="G1263" s="60">
        <f>IF(OR(E1263="",F1263="",C1263="",D1263=""),"",IF(C1263+D1263=0,"",(E1263*C1263+F1263*D1263)/(C1263+D1263)))</f>
        <v/>
      </c>
      <c r="H1263" s="59"/>
      <c r="I1263" s="60">
        <f>IF(OR(H1263="",E1263="",C1263="",D1263=""),"",IF(C1263+D1263=0,"",(H1263*D1263+E1263*C1263)/(C1263+D1263)))</f>
        <v/>
      </c>
      <c r="J1263" s="59"/>
      <c r="K1263" s="61">
        <f>IF(OR(J1263="",I1263=""),"",J1263-I1263)</f>
        <v/>
      </c>
      <c r="L1263" s="61">
        <f>IF(OR(J1263="",G1263=""),"",J1263-G1263)</f>
        <v/>
      </c>
      <c r="M1263" s="59"/>
      <c r="N1263" s="59"/>
      <c r="O1263" s="59"/>
      <c r="P1263" s="59"/>
      <c r="Q1263" s="59"/>
      <c r="R1263" s="60">
        <f>IF(AND(P1263="",Q1263=""),"",N(P1263)+N(Q1263))</f>
        <v/>
      </c>
      <c r="S1263" s="59"/>
      <c r="T1263" s="59"/>
      <c r="U1263" s="62">
        <f>IF(OR(R1263="",S1263="",T1263=""),"",IF(S1263+T1263=0,"",R1263/(S1263+T1263)))</f>
        <v/>
      </c>
      <c r="V1263" s="63"/>
      <c r="W1263" s="64"/>
      <c r="X1263" s="63"/>
    </row>
    <row r="1264" spans="2:24">
      <c r="B1264" s="58"/>
      <c r="C1264" s="59"/>
      <c r="D1264" s="59"/>
      <c r="E1264" s="59"/>
      <c r="F1264" s="59"/>
      <c r="G1264" s="60">
        <f>IF(OR(E1264="",F1264="",C1264="",D1264=""),"",IF(C1264+D1264=0,"",(E1264*C1264+F1264*D1264)/(C1264+D1264)))</f>
        <v/>
      </c>
      <c r="H1264" s="59"/>
      <c r="I1264" s="60">
        <f>IF(OR(H1264="",E1264="",C1264="",D1264=""),"",IF(C1264+D1264=0,"",(H1264*D1264+E1264*C1264)/(C1264+D1264)))</f>
        <v/>
      </c>
      <c r="J1264" s="59"/>
      <c r="K1264" s="61">
        <f>IF(OR(J1264="",I1264=""),"",J1264-I1264)</f>
        <v/>
      </c>
      <c r="L1264" s="61">
        <f>IF(OR(J1264="",G1264=""),"",J1264-G1264)</f>
        <v/>
      </c>
      <c r="M1264" s="59"/>
      <c r="N1264" s="59"/>
      <c r="O1264" s="59"/>
      <c r="P1264" s="59"/>
      <c r="Q1264" s="59"/>
      <c r="R1264" s="60">
        <f>IF(AND(P1264="",Q1264=""),"",N(P1264)+N(Q1264))</f>
        <v/>
      </c>
      <c r="S1264" s="59"/>
      <c r="T1264" s="59"/>
      <c r="U1264" s="62">
        <f>IF(OR(R1264="",S1264="",T1264=""),"",IF(S1264+T1264=0,"",R1264/(S1264+T1264)))</f>
        <v/>
      </c>
      <c r="V1264" s="63"/>
      <c r="W1264" s="64"/>
      <c r="X1264" s="63"/>
    </row>
    <row r="1265" spans="2:24">
      <c r="B1265" s="58"/>
      <c r="C1265" s="59"/>
      <c r="D1265" s="59"/>
      <c r="E1265" s="59"/>
      <c r="F1265" s="59"/>
      <c r="G1265" s="60">
        <f>IF(OR(E1265="",F1265="",C1265="",D1265=""),"",IF(C1265+D1265=0,"",(E1265*C1265+F1265*D1265)/(C1265+D1265)))</f>
        <v/>
      </c>
      <c r="H1265" s="59"/>
      <c r="I1265" s="60">
        <f>IF(OR(H1265="",E1265="",C1265="",D1265=""),"",IF(C1265+D1265=0,"",(H1265*D1265+E1265*C1265)/(C1265+D1265)))</f>
        <v/>
      </c>
      <c r="J1265" s="59"/>
      <c r="K1265" s="61">
        <f>IF(OR(J1265="",I1265=""),"",J1265-I1265)</f>
        <v/>
      </c>
      <c r="L1265" s="61">
        <f>IF(OR(J1265="",G1265=""),"",J1265-G1265)</f>
        <v/>
      </c>
      <c r="M1265" s="59"/>
      <c r="N1265" s="59"/>
      <c r="O1265" s="59"/>
      <c r="P1265" s="59"/>
      <c r="Q1265" s="59"/>
      <c r="R1265" s="60">
        <f>IF(AND(P1265="",Q1265=""),"",N(P1265)+N(Q1265))</f>
        <v/>
      </c>
      <c r="S1265" s="59"/>
      <c r="T1265" s="59"/>
      <c r="U1265" s="62">
        <f>IF(OR(R1265="",S1265="",T1265=""),"",IF(S1265+T1265=0,"",R1265/(S1265+T1265)))</f>
        <v/>
      </c>
      <c r="V1265" s="63"/>
      <c r="W1265" s="64"/>
      <c r="X1265" s="63"/>
    </row>
    <row r="1266" spans="2:24">
      <c r="B1266" s="58"/>
      <c r="C1266" s="59"/>
      <c r="D1266" s="59"/>
      <c r="E1266" s="59"/>
      <c r="F1266" s="59"/>
      <c r="G1266" s="60">
        <f>IF(OR(E1266="",F1266="",C1266="",D1266=""),"",IF(C1266+D1266=0,"",(E1266*C1266+F1266*D1266)/(C1266+D1266)))</f>
        <v/>
      </c>
      <c r="H1266" s="59"/>
      <c r="I1266" s="60">
        <f>IF(OR(H1266="",E1266="",C1266="",D1266=""),"",IF(C1266+D1266=0,"",(H1266*D1266+E1266*C1266)/(C1266+D1266)))</f>
        <v/>
      </c>
      <c r="J1266" s="59"/>
      <c r="K1266" s="61">
        <f>IF(OR(J1266="",I1266=""),"",J1266-I1266)</f>
        <v/>
      </c>
      <c r="L1266" s="61">
        <f>IF(OR(J1266="",G1266=""),"",J1266-G1266)</f>
        <v/>
      </c>
      <c r="M1266" s="59"/>
      <c r="N1266" s="59"/>
      <c r="O1266" s="59"/>
      <c r="P1266" s="59"/>
      <c r="Q1266" s="59"/>
      <c r="R1266" s="60">
        <f>IF(AND(P1266="",Q1266=""),"",N(P1266)+N(Q1266))</f>
        <v/>
      </c>
      <c r="S1266" s="59"/>
      <c r="T1266" s="59"/>
      <c r="U1266" s="62">
        <f>IF(OR(R1266="",S1266="",T1266=""),"",IF(S1266+T1266=0,"",R1266/(S1266+T1266)))</f>
        <v/>
      </c>
      <c r="V1266" s="63"/>
      <c r="W1266" s="64"/>
      <c r="X1266" s="63"/>
    </row>
    <row r="1267" spans="2:24">
      <c r="B1267" s="58"/>
      <c r="C1267" s="59"/>
      <c r="D1267" s="59"/>
      <c r="E1267" s="59"/>
      <c r="F1267" s="59"/>
      <c r="G1267" s="60">
        <f>IF(OR(E1267="",F1267="",C1267="",D1267=""),"",IF(C1267+D1267=0,"",(E1267*C1267+F1267*D1267)/(C1267+D1267)))</f>
        <v/>
      </c>
      <c r="H1267" s="59"/>
      <c r="I1267" s="60">
        <f>IF(OR(H1267="",E1267="",C1267="",D1267=""),"",IF(C1267+D1267=0,"",(H1267*D1267+E1267*C1267)/(C1267+D1267)))</f>
        <v/>
      </c>
      <c r="J1267" s="59"/>
      <c r="K1267" s="61">
        <f>IF(OR(J1267="",I1267=""),"",J1267-I1267)</f>
        <v/>
      </c>
      <c r="L1267" s="61">
        <f>IF(OR(J1267="",G1267=""),"",J1267-G1267)</f>
        <v/>
      </c>
      <c r="M1267" s="59"/>
      <c r="N1267" s="59"/>
      <c r="O1267" s="59"/>
      <c r="P1267" s="59"/>
      <c r="Q1267" s="59"/>
      <c r="R1267" s="60">
        <f>IF(AND(P1267="",Q1267=""),"",N(P1267)+N(Q1267))</f>
        <v/>
      </c>
      <c r="S1267" s="59"/>
      <c r="T1267" s="59"/>
      <c r="U1267" s="62">
        <f>IF(OR(R1267="",S1267="",T1267=""),"",IF(S1267+T1267=0,"",R1267/(S1267+T1267)))</f>
        <v/>
      </c>
      <c r="V1267" s="63"/>
      <c r="W1267" s="64"/>
      <c r="X1267" s="63"/>
    </row>
    <row r="1268" spans="2:24">
      <c r="B1268" s="58"/>
      <c r="C1268" s="59"/>
      <c r="D1268" s="59"/>
      <c r="E1268" s="59"/>
      <c r="F1268" s="59"/>
      <c r="G1268" s="60">
        <f>IF(OR(E1268="",F1268="",C1268="",D1268=""),"",IF(C1268+D1268=0,"",(E1268*C1268+F1268*D1268)/(C1268+D1268)))</f>
        <v/>
      </c>
      <c r="H1268" s="59"/>
      <c r="I1268" s="60">
        <f>IF(OR(H1268="",E1268="",C1268="",D1268=""),"",IF(C1268+D1268=0,"",(H1268*D1268+E1268*C1268)/(C1268+D1268)))</f>
        <v/>
      </c>
      <c r="J1268" s="59"/>
      <c r="K1268" s="61">
        <f>IF(OR(J1268="",I1268=""),"",J1268-I1268)</f>
        <v/>
      </c>
      <c r="L1268" s="61">
        <f>IF(OR(J1268="",G1268=""),"",J1268-G1268)</f>
        <v/>
      </c>
      <c r="M1268" s="59"/>
      <c r="N1268" s="59"/>
      <c r="O1268" s="59"/>
      <c r="P1268" s="59"/>
      <c r="Q1268" s="59"/>
      <c r="R1268" s="60">
        <f>IF(AND(P1268="",Q1268=""),"",N(P1268)+N(Q1268))</f>
        <v/>
      </c>
      <c r="S1268" s="59"/>
      <c r="T1268" s="59"/>
      <c r="U1268" s="62">
        <f>IF(OR(R1268="",S1268="",T1268=""),"",IF(S1268+T1268=0,"",R1268/(S1268+T1268)))</f>
        <v/>
      </c>
      <c r="V1268" s="63"/>
      <c r="W1268" s="64"/>
      <c r="X1268" s="63"/>
    </row>
    <row r="1269" spans="2:24">
      <c r="B1269" s="58"/>
      <c r="C1269" s="59"/>
      <c r="D1269" s="59"/>
      <c r="E1269" s="59"/>
      <c r="F1269" s="59"/>
      <c r="G1269" s="60">
        <f>IF(OR(E1269="",F1269="",C1269="",D1269=""),"",IF(C1269+D1269=0,"",(E1269*C1269+F1269*D1269)/(C1269+D1269)))</f>
        <v/>
      </c>
      <c r="H1269" s="59"/>
      <c r="I1269" s="60">
        <f>IF(OR(H1269="",E1269="",C1269="",D1269=""),"",IF(C1269+D1269=0,"",(H1269*D1269+E1269*C1269)/(C1269+D1269)))</f>
        <v/>
      </c>
      <c r="J1269" s="59"/>
      <c r="K1269" s="61">
        <f>IF(OR(J1269="",I1269=""),"",J1269-I1269)</f>
        <v/>
      </c>
      <c r="L1269" s="61">
        <f>IF(OR(J1269="",G1269=""),"",J1269-G1269)</f>
        <v/>
      </c>
      <c r="M1269" s="59"/>
      <c r="N1269" s="59"/>
      <c r="O1269" s="59"/>
      <c r="P1269" s="59"/>
      <c r="Q1269" s="59"/>
      <c r="R1269" s="60">
        <f>IF(AND(P1269="",Q1269=""),"",N(P1269)+N(Q1269))</f>
        <v/>
      </c>
      <c r="S1269" s="59"/>
      <c r="T1269" s="59"/>
      <c r="U1269" s="62">
        <f>IF(OR(R1269="",S1269="",T1269=""),"",IF(S1269+T1269=0,"",R1269/(S1269+T1269)))</f>
        <v/>
      </c>
      <c r="V1269" s="63"/>
      <c r="W1269" s="64"/>
      <c r="X1269" s="63"/>
    </row>
    <row r="1270" spans="2:24">
      <c r="B1270" s="58"/>
      <c r="C1270" s="59"/>
      <c r="D1270" s="59"/>
      <c r="E1270" s="59"/>
      <c r="F1270" s="59"/>
      <c r="G1270" s="60">
        <f>IF(OR(E1270="",F1270="",C1270="",D1270=""),"",IF(C1270+D1270=0,"",(E1270*C1270+F1270*D1270)/(C1270+D1270)))</f>
        <v/>
      </c>
      <c r="H1270" s="59"/>
      <c r="I1270" s="60">
        <f>IF(OR(H1270="",E1270="",C1270="",D1270=""),"",IF(C1270+D1270=0,"",(H1270*D1270+E1270*C1270)/(C1270+D1270)))</f>
        <v/>
      </c>
      <c r="J1270" s="59"/>
      <c r="K1270" s="61">
        <f>IF(OR(J1270="",I1270=""),"",J1270-I1270)</f>
        <v/>
      </c>
      <c r="L1270" s="61">
        <f>IF(OR(J1270="",G1270=""),"",J1270-G1270)</f>
        <v/>
      </c>
      <c r="M1270" s="59"/>
      <c r="N1270" s="59"/>
      <c r="O1270" s="59"/>
      <c r="P1270" s="59"/>
      <c r="Q1270" s="59"/>
      <c r="R1270" s="60">
        <f>IF(AND(P1270="",Q1270=""),"",N(P1270)+N(Q1270))</f>
        <v/>
      </c>
      <c r="S1270" s="59"/>
      <c r="T1270" s="59"/>
      <c r="U1270" s="62">
        <f>IF(OR(R1270="",S1270="",T1270=""),"",IF(S1270+T1270=0,"",R1270/(S1270+T1270)))</f>
        <v/>
      </c>
      <c r="V1270" s="63"/>
      <c r="W1270" s="64"/>
      <c r="X1270" s="63"/>
    </row>
    <row r="1271" spans="2:24">
      <c r="B1271" s="58"/>
      <c r="C1271" s="59"/>
      <c r="D1271" s="59"/>
      <c r="E1271" s="59"/>
      <c r="F1271" s="59"/>
      <c r="G1271" s="60">
        <f>IF(OR(E1271="",F1271="",C1271="",D1271=""),"",IF(C1271+D1271=0,"",(E1271*C1271+F1271*D1271)/(C1271+D1271)))</f>
        <v/>
      </c>
      <c r="H1271" s="59"/>
      <c r="I1271" s="60">
        <f>IF(OR(H1271="",E1271="",C1271="",D1271=""),"",IF(C1271+D1271=0,"",(H1271*D1271+E1271*C1271)/(C1271+D1271)))</f>
        <v/>
      </c>
      <c r="J1271" s="59"/>
      <c r="K1271" s="61">
        <f>IF(OR(J1271="",I1271=""),"",J1271-I1271)</f>
        <v/>
      </c>
      <c r="L1271" s="61">
        <f>IF(OR(J1271="",G1271=""),"",J1271-G1271)</f>
        <v/>
      </c>
      <c r="M1271" s="59"/>
      <c r="N1271" s="59"/>
      <c r="O1271" s="59"/>
      <c r="P1271" s="59"/>
      <c r="Q1271" s="59"/>
      <c r="R1271" s="60">
        <f>IF(AND(P1271="",Q1271=""),"",N(P1271)+N(Q1271))</f>
        <v/>
      </c>
      <c r="S1271" s="59"/>
      <c r="T1271" s="59"/>
      <c r="U1271" s="62">
        <f>IF(OR(R1271="",S1271="",T1271=""),"",IF(S1271+T1271=0,"",R1271/(S1271+T1271)))</f>
        <v/>
      </c>
      <c r="V1271" s="63"/>
      <c r="W1271" s="64"/>
      <c r="X1271" s="63"/>
    </row>
    <row r="1272" spans="2:24">
      <c r="B1272" s="58"/>
      <c r="C1272" s="59"/>
      <c r="D1272" s="59"/>
      <c r="E1272" s="59"/>
      <c r="F1272" s="59"/>
      <c r="G1272" s="60">
        <f>IF(OR(E1272="",F1272="",C1272="",D1272=""),"",IF(C1272+D1272=0,"",(E1272*C1272+F1272*D1272)/(C1272+D1272)))</f>
        <v/>
      </c>
      <c r="H1272" s="59"/>
      <c r="I1272" s="60">
        <f>IF(OR(H1272="",E1272="",C1272="",D1272=""),"",IF(C1272+D1272=0,"",(H1272*D1272+E1272*C1272)/(C1272+D1272)))</f>
        <v/>
      </c>
      <c r="J1272" s="59"/>
      <c r="K1272" s="61">
        <f>IF(OR(J1272="",I1272=""),"",J1272-I1272)</f>
        <v/>
      </c>
      <c r="L1272" s="61">
        <f>IF(OR(J1272="",G1272=""),"",J1272-G1272)</f>
        <v/>
      </c>
      <c r="M1272" s="59"/>
      <c r="N1272" s="59"/>
      <c r="O1272" s="59"/>
      <c r="P1272" s="59"/>
      <c r="Q1272" s="59"/>
      <c r="R1272" s="60">
        <f>IF(AND(P1272="",Q1272=""),"",N(P1272)+N(Q1272))</f>
        <v/>
      </c>
      <c r="S1272" s="59"/>
      <c r="T1272" s="59"/>
      <c r="U1272" s="62">
        <f>IF(OR(R1272="",S1272="",T1272=""),"",IF(S1272+T1272=0,"",R1272/(S1272+T1272)))</f>
        <v/>
      </c>
      <c r="V1272" s="63"/>
      <c r="W1272" s="64"/>
      <c r="X1272" s="63"/>
    </row>
    <row r="1273" spans="2:24">
      <c r="B1273" s="58"/>
      <c r="C1273" s="59"/>
      <c r="D1273" s="59"/>
      <c r="E1273" s="59"/>
      <c r="F1273" s="59"/>
      <c r="G1273" s="60">
        <f>IF(OR(E1273="",F1273="",C1273="",D1273=""),"",IF(C1273+D1273=0,"",(E1273*C1273+F1273*D1273)/(C1273+D1273)))</f>
        <v/>
      </c>
      <c r="H1273" s="59"/>
      <c r="I1273" s="60">
        <f>IF(OR(H1273="",E1273="",C1273="",D1273=""),"",IF(C1273+D1273=0,"",(H1273*D1273+E1273*C1273)/(C1273+D1273)))</f>
        <v/>
      </c>
      <c r="J1273" s="59"/>
      <c r="K1273" s="61">
        <f>IF(OR(J1273="",I1273=""),"",J1273-I1273)</f>
        <v/>
      </c>
      <c r="L1273" s="61">
        <f>IF(OR(J1273="",G1273=""),"",J1273-G1273)</f>
        <v/>
      </c>
      <c r="M1273" s="59"/>
      <c r="N1273" s="59"/>
      <c r="O1273" s="59"/>
      <c r="P1273" s="59"/>
      <c r="Q1273" s="59"/>
      <c r="R1273" s="60">
        <f>IF(AND(P1273="",Q1273=""),"",N(P1273)+N(Q1273))</f>
        <v/>
      </c>
      <c r="S1273" s="59"/>
      <c r="T1273" s="59"/>
      <c r="U1273" s="62">
        <f>IF(OR(R1273="",S1273="",T1273=""),"",IF(S1273+T1273=0,"",R1273/(S1273+T1273)))</f>
        <v/>
      </c>
      <c r="V1273" s="63"/>
      <c r="W1273" s="64"/>
      <c r="X1273" s="63"/>
    </row>
    <row r="1274" spans="2:24">
      <c r="B1274" s="58"/>
      <c r="C1274" s="59"/>
      <c r="D1274" s="59"/>
      <c r="E1274" s="59"/>
      <c r="F1274" s="59"/>
      <c r="G1274" s="60">
        <f>IF(OR(E1274="",F1274="",C1274="",D1274=""),"",IF(C1274+D1274=0,"",(E1274*C1274+F1274*D1274)/(C1274+D1274)))</f>
        <v/>
      </c>
      <c r="H1274" s="59"/>
      <c r="I1274" s="60">
        <f>IF(OR(H1274="",E1274="",C1274="",D1274=""),"",IF(C1274+D1274=0,"",(H1274*D1274+E1274*C1274)/(C1274+D1274)))</f>
        <v/>
      </c>
      <c r="J1274" s="59"/>
      <c r="K1274" s="61">
        <f>IF(OR(J1274="",I1274=""),"",J1274-I1274)</f>
        <v/>
      </c>
      <c r="L1274" s="61">
        <f>IF(OR(J1274="",G1274=""),"",J1274-G1274)</f>
        <v/>
      </c>
      <c r="M1274" s="59"/>
      <c r="N1274" s="59"/>
      <c r="O1274" s="59"/>
      <c r="P1274" s="59"/>
      <c r="Q1274" s="59"/>
      <c r="R1274" s="60">
        <f>IF(AND(P1274="",Q1274=""),"",N(P1274)+N(Q1274))</f>
        <v/>
      </c>
      <c r="S1274" s="59"/>
      <c r="T1274" s="59"/>
      <c r="U1274" s="62">
        <f>IF(OR(R1274="",S1274="",T1274=""),"",IF(S1274+T1274=0,"",R1274/(S1274+T1274)))</f>
        <v/>
      </c>
      <c r="V1274" s="63"/>
      <c r="W1274" s="64"/>
      <c r="X1274" s="63"/>
    </row>
    <row r="1275" spans="2:24">
      <c r="B1275" s="58"/>
      <c r="C1275" s="59"/>
      <c r="D1275" s="59"/>
      <c r="E1275" s="59"/>
      <c r="F1275" s="59"/>
      <c r="G1275" s="60">
        <f>IF(OR(E1275="",F1275="",C1275="",D1275=""),"",IF(C1275+D1275=0,"",(E1275*C1275+F1275*D1275)/(C1275+D1275)))</f>
        <v/>
      </c>
      <c r="H1275" s="59"/>
      <c r="I1275" s="60">
        <f>IF(OR(H1275="",E1275="",C1275="",D1275=""),"",IF(C1275+D1275=0,"",(H1275*D1275+E1275*C1275)/(C1275+D1275)))</f>
        <v/>
      </c>
      <c r="J1275" s="59"/>
      <c r="K1275" s="61">
        <f>IF(OR(J1275="",I1275=""),"",J1275-I1275)</f>
        <v/>
      </c>
      <c r="L1275" s="61">
        <f>IF(OR(J1275="",G1275=""),"",J1275-G1275)</f>
        <v/>
      </c>
      <c r="M1275" s="59"/>
      <c r="N1275" s="59"/>
      <c r="O1275" s="59"/>
      <c r="P1275" s="59"/>
      <c r="Q1275" s="59"/>
      <c r="R1275" s="60">
        <f>IF(AND(P1275="",Q1275=""),"",N(P1275)+N(Q1275))</f>
        <v/>
      </c>
      <c r="S1275" s="59"/>
      <c r="T1275" s="59"/>
      <c r="U1275" s="62">
        <f>IF(OR(R1275="",S1275="",T1275=""),"",IF(S1275+T1275=0,"",R1275/(S1275+T1275)))</f>
        <v/>
      </c>
      <c r="V1275" s="63"/>
      <c r="W1275" s="64"/>
      <c r="X1275" s="63"/>
    </row>
    <row r="1276" spans="2:24">
      <c r="B1276" s="58"/>
      <c r="C1276" s="59"/>
      <c r="D1276" s="59"/>
      <c r="E1276" s="59"/>
      <c r="F1276" s="59"/>
      <c r="G1276" s="60">
        <f>IF(OR(E1276="",F1276="",C1276="",D1276=""),"",IF(C1276+D1276=0,"",(E1276*C1276+F1276*D1276)/(C1276+D1276)))</f>
        <v/>
      </c>
      <c r="H1276" s="59"/>
      <c r="I1276" s="60">
        <f>IF(OR(H1276="",E1276="",C1276="",D1276=""),"",IF(C1276+D1276=0,"",(H1276*D1276+E1276*C1276)/(C1276+D1276)))</f>
        <v/>
      </c>
      <c r="J1276" s="59"/>
      <c r="K1276" s="61">
        <f>IF(OR(J1276="",I1276=""),"",J1276-I1276)</f>
        <v/>
      </c>
      <c r="L1276" s="61">
        <f>IF(OR(J1276="",G1276=""),"",J1276-G1276)</f>
        <v/>
      </c>
      <c r="M1276" s="59"/>
      <c r="N1276" s="59"/>
      <c r="O1276" s="59"/>
      <c r="P1276" s="59"/>
      <c r="Q1276" s="59"/>
      <c r="R1276" s="60">
        <f>IF(AND(P1276="",Q1276=""),"",N(P1276)+N(Q1276))</f>
        <v/>
      </c>
      <c r="S1276" s="59"/>
      <c r="T1276" s="59"/>
      <c r="U1276" s="62">
        <f>IF(OR(R1276="",S1276="",T1276=""),"",IF(S1276+T1276=0,"",R1276/(S1276+T1276)))</f>
        <v/>
      </c>
      <c r="V1276" s="63"/>
      <c r="W1276" s="64"/>
      <c r="X1276" s="63"/>
    </row>
    <row r="1277" spans="2:24">
      <c r="B1277" s="58"/>
      <c r="C1277" s="59"/>
      <c r="D1277" s="59"/>
      <c r="E1277" s="59"/>
      <c r="F1277" s="59"/>
      <c r="G1277" s="60">
        <f>IF(OR(E1277="",F1277="",C1277="",D1277=""),"",IF(C1277+D1277=0,"",(E1277*C1277+F1277*D1277)/(C1277+D1277)))</f>
        <v/>
      </c>
      <c r="H1277" s="59"/>
      <c r="I1277" s="60">
        <f>IF(OR(H1277="",E1277="",C1277="",D1277=""),"",IF(C1277+D1277=0,"",(H1277*D1277+E1277*C1277)/(C1277+D1277)))</f>
        <v/>
      </c>
      <c r="J1277" s="59"/>
      <c r="K1277" s="61">
        <f>IF(OR(J1277="",I1277=""),"",J1277-I1277)</f>
        <v/>
      </c>
      <c r="L1277" s="61">
        <f>IF(OR(J1277="",G1277=""),"",J1277-G1277)</f>
        <v/>
      </c>
      <c r="M1277" s="59"/>
      <c r="N1277" s="59"/>
      <c r="O1277" s="59"/>
      <c r="P1277" s="59"/>
      <c r="Q1277" s="59"/>
      <c r="R1277" s="60">
        <f>IF(AND(P1277="",Q1277=""),"",N(P1277)+N(Q1277))</f>
        <v/>
      </c>
      <c r="S1277" s="59"/>
      <c r="T1277" s="59"/>
      <c r="U1277" s="62">
        <f>IF(OR(R1277="",S1277="",T1277=""),"",IF(S1277+T1277=0,"",R1277/(S1277+T1277)))</f>
        <v/>
      </c>
      <c r="V1277" s="63"/>
      <c r="W1277" s="64"/>
      <c r="X1277" s="63"/>
    </row>
    <row r="1278" spans="2:24">
      <c r="B1278" s="58"/>
      <c r="C1278" s="59"/>
      <c r="D1278" s="59"/>
      <c r="E1278" s="59"/>
      <c r="F1278" s="59"/>
      <c r="G1278" s="60">
        <f>IF(OR(E1278="",F1278="",C1278="",D1278=""),"",IF(C1278+D1278=0,"",(E1278*C1278+F1278*D1278)/(C1278+D1278)))</f>
        <v/>
      </c>
      <c r="H1278" s="59"/>
      <c r="I1278" s="60">
        <f>IF(OR(H1278="",E1278="",C1278="",D1278=""),"",IF(C1278+D1278=0,"",(H1278*D1278+E1278*C1278)/(C1278+D1278)))</f>
        <v/>
      </c>
      <c r="J1278" s="59"/>
      <c r="K1278" s="61">
        <f>IF(OR(J1278="",I1278=""),"",J1278-I1278)</f>
        <v/>
      </c>
      <c r="L1278" s="61">
        <f>IF(OR(J1278="",G1278=""),"",J1278-G1278)</f>
        <v/>
      </c>
      <c r="M1278" s="59"/>
      <c r="N1278" s="59"/>
      <c r="O1278" s="59"/>
      <c r="P1278" s="59"/>
      <c r="Q1278" s="59"/>
      <c r="R1278" s="60">
        <f>IF(AND(P1278="",Q1278=""),"",N(P1278)+N(Q1278))</f>
        <v/>
      </c>
      <c r="S1278" s="59"/>
      <c r="T1278" s="59"/>
      <c r="U1278" s="62">
        <f>IF(OR(R1278="",S1278="",T1278=""),"",IF(S1278+T1278=0,"",R1278/(S1278+T1278)))</f>
        <v/>
      </c>
      <c r="V1278" s="63"/>
      <c r="W1278" s="64"/>
      <c r="X1278" s="63"/>
    </row>
    <row r="1279" spans="2:24">
      <c r="B1279" s="58"/>
      <c r="C1279" s="59"/>
      <c r="D1279" s="59"/>
      <c r="E1279" s="59"/>
      <c r="F1279" s="59"/>
      <c r="G1279" s="60">
        <f>IF(OR(E1279="",F1279="",C1279="",D1279=""),"",IF(C1279+D1279=0,"",(E1279*C1279+F1279*D1279)/(C1279+D1279)))</f>
        <v/>
      </c>
      <c r="H1279" s="59"/>
      <c r="I1279" s="60">
        <f>IF(OR(H1279="",E1279="",C1279="",D1279=""),"",IF(C1279+D1279=0,"",(H1279*D1279+E1279*C1279)/(C1279+D1279)))</f>
        <v/>
      </c>
      <c r="J1279" s="59"/>
      <c r="K1279" s="61">
        <f>IF(OR(J1279="",I1279=""),"",J1279-I1279)</f>
        <v/>
      </c>
      <c r="L1279" s="61">
        <f>IF(OR(J1279="",G1279=""),"",J1279-G1279)</f>
        <v/>
      </c>
      <c r="M1279" s="59"/>
      <c r="N1279" s="59"/>
      <c r="O1279" s="59"/>
      <c r="P1279" s="59"/>
      <c r="Q1279" s="59"/>
      <c r="R1279" s="60">
        <f>IF(AND(P1279="",Q1279=""),"",N(P1279)+N(Q1279))</f>
        <v/>
      </c>
      <c r="S1279" s="59"/>
      <c r="T1279" s="59"/>
      <c r="U1279" s="62">
        <f>IF(OR(R1279="",S1279="",T1279=""),"",IF(S1279+T1279=0,"",R1279/(S1279+T1279)))</f>
        <v/>
      </c>
      <c r="V1279" s="63"/>
      <c r="W1279" s="64"/>
      <c r="X1279" s="63"/>
    </row>
    <row r="1280" spans="2:24">
      <c r="B1280" s="58"/>
      <c r="C1280" s="59"/>
      <c r="D1280" s="59"/>
      <c r="E1280" s="59"/>
      <c r="F1280" s="59"/>
      <c r="G1280" s="60">
        <f>IF(OR(E1280="",F1280="",C1280="",D1280=""),"",IF(C1280+D1280=0,"",(E1280*C1280+F1280*D1280)/(C1280+D1280)))</f>
        <v/>
      </c>
      <c r="H1280" s="59"/>
      <c r="I1280" s="60">
        <f>IF(OR(H1280="",E1280="",C1280="",D1280=""),"",IF(C1280+D1280=0,"",(H1280*D1280+E1280*C1280)/(C1280+D1280)))</f>
        <v/>
      </c>
      <c r="J1280" s="59"/>
      <c r="K1280" s="61">
        <f>IF(OR(J1280="",I1280=""),"",J1280-I1280)</f>
        <v/>
      </c>
      <c r="L1280" s="61">
        <f>IF(OR(J1280="",G1280=""),"",J1280-G1280)</f>
        <v/>
      </c>
      <c r="M1280" s="59"/>
      <c r="N1280" s="59"/>
      <c r="O1280" s="59"/>
      <c r="P1280" s="59"/>
      <c r="Q1280" s="59"/>
      <c r="R1280" s="60">
        <f>IF(AND(P1280="",Q1280=""),"",N(P1280)+N(Q1280))</f>
        <v/>
      </c>
      <c r="S1280" s="59"/>
      <c r="T1280" s="59"/>
      <c r="U1280" s="62">
        <f>IF(OR(R1280="",S1280="",T1280=""),"",IF(S1280+T1280=0,"",R1280/(S1280+T1280)))</f>
        <v/>
      </c>
      <c r="V1280" s="63"/>
      <c r="W1280" s="64"/>
      <c r="X1280" s="63"/>
    </row>
    <row r="1281" spans="2:24">
      <c r="B1281" s="58"/>
      <c r="C1281" s="59"/>
      <c r="D1281" s="59"/>
      <c r="E1281" s="59"/>
      <c r="F1281" s="59"/>
      <c r="G1281" s="60">
        <f>IF(OR(E1281="",F1281="",C1281="",D1281=""),"",IF(C1281+D1281=0,"",(E1281*C1281+F1281*D1281)/(C1281+D1281)))</f>
        <v/>
      </c>
      <c r="H1281" s="59"/>
      <c r="I1281" s="60">
        <f>IF(OR(H1281="",E1281="",C1281="",D1281=""),"",IF(C1281+D1281=0,"",(H1281*D1281+E1281*C1281)/(C1281+D1281)))</f>
        <v/>
      </c>
      <c r="J1281" s="59"/>
      <c r="K1281" s="61">
        <f>IF(OR(J1281="",I1281=""),"",J1281-I1281)</f>
        <v/>
      </c>
      <c r="L1281" s="61">
        <f>IF(OR(J1281="",G1281=""),"",J1281-G1281)</f>
        <v/>
      </c>
      <c r="M1281" s="59"/>
      <c r="N1281" s="59"/>
      <c r="O1281" s="59"/>
      <c r="P1281" s="59"/>
      <c r="Q1281" s="59"/>
      <c r="R1281" s="60">
        <f>IF(AND(P1281="",Q1281=""),"",N(P1281)+N(Q1281))</f>
        <v/>
      </c>
      <c r="S1281" s="59"/>
      <c r="T1281" s="59"/>
      <c r="U1281" s="62">
        <f>IF(OR(R1281="",S1281="",T1281=""),"",IF(S1281+T1281=0,"",R1281/(S1281+T1281)))</f>
        <v/>
      </c>
      <c r="V1281" s="63"/>
      <c r="W1281" s="64"/>
      <c r="X1281" s="63"/>
    </row>
    <row r="1282" spans="2:24">
      <c r="B1282" s="58"/>
      <c r="C1282" s="59"/>
      <c r="D1282" s="59"/>
      <c r="E1282" s="59"/>
      <c r="F1282" s="59"/>
      <c r="G1282" s="60">
        <f>IF(OR(E1282="",F1282="",C1282="",D1282=""),"",IF(C1282+D1282=0,"",(E1282*C1282+F1282*D1282)/(C1282+D1282)))</f>
        <v/>
      </c>
      <c r="H1282" s="59"/>
      <c r="I1282" s="60">
        <f>IF(OR(H1282="",E1282="",C1282="",D1282=""),"",IF(C1282+D1282=0,"",(H1282*D1282+E1282*C1282)/(C1282+D1282)))</f>
        <v/>
      </c>
      <c r="J1282" s="59"/>
      <c r="K1282" s="61">
        <f>IF(OR(J1282="",I1282=""),"",J1282-I1282)</f>
        <v/>
      </c>
      <c r="L1282" s="61">
        <f>IF(OR(J1282="",G1282=""),"",J1282-G1282)</f>
        <v/>
      </c>
      <c r="M1282" s="59"/>
      <c r="N1282" s="59"/>
      <c r="O1282" s="59"/>
      <c r="P1282" s="59"/>
      <c r="Q1282" s="59"/>
      <c r="R1282" s="60">
        <f>IF(AND(P1282="",Q1282=""),"",N(P1282)+N(Q1282))</f>
        <v/>
      </c>
      <c r="S1282" s="59"/>
      <c r="T1282" s="59"/>
      <c r="U1282" s="62">
        <f>IF(OR(R1282="",S1282="",T1282=""),"",IF(S1282+T1282=0,"",R1282/(S1282+T1282)))</f>
        <v/>
      </c>
      <c r="V1282" s="63"/>
      <c r="W1282" s="64"/>
      <c r="X1282" s="63"/>
    </row>
    <row r="1283" spans="2:24">
      <c r="B1283" s="58"/>
      <c r="C1283" s="59"/>
      <c r="D1283" s="59"/>
      <c r="E1283" s="59"/>
      <c r="F1283" s="59"/>
      <c r="G1283" s="60">
        <f>IF(OR(E1283="",F1283="",C1283="",D1283=""),"",IF(C1283+D1283=0,"",(E1283*C1283+F1283*D1283)/(C1283+D1283)))</f>
        <v/>
      </c>
      <c r="H1283" s="59"/>
      <c r="I1283" s="60">
        <f>IF(OR(H1283="",E1283="",C1283="",D1283=""),"",IF(C1283+D1283=0,"",(H1283*D1283+E1283*C1283)/(C1283+D1283)))</f>
        <v/>
      </c>
      <c r="J1283" s="59"/>
      <c r="K1283" s="61">
        <f>IF(OR(J1283="",I1283=""),"",J1283-I1283)</f>
        <v/>
      </c>
      <c r="L1283" s="61">
        <f>IF(OR(J1283="",G1283=""),"",J1283-G1283)</f>
        <v/>
      </c>
      <c r="M1283" s="59"/>
      <c r="N1283" s="59"/>
      <c r="O1283" s="59"/>
      <c r="P1283" s="59"/>
      <c r="Q1283" s="59"/>
      <c r="R1283" s="60">
        <f>IF(AND(P1283="",Q1283=""),"",N(P1283)+N(Q1283))</f>
        <v/>
      </c>
      <c r="S1283" s="59"/>
      <c r="T1283" s="59"/>
      <c r="U1283" s="62">
        <f>IF(OR(R1283="",S1283="",T1283=""),"",IF(S1283+T1283=0,"",R1283/(S1283+T1283)))</f>
        <v/>
      </c>
      <c r="V1283" s="63"/>
      <c r="W1283" s="64"/>
      <c r="X1283" s="63"/>
    </row>
    <row r="1284" spans="2:24">
      <c r="B1284" s="58"/>
      <c r="C1284" s="59"/>
      <c r="D1284" s="59"/>
      <c r="E1284" s="59"/>
      <c r="F1284" s="59"/>
      <c r="G1284" s="60">
        <f>IF(OR(E1284="",F1284="",C1284="",D1284=""),"",IF(C1284+D1284=0,"",(E1284*C1284+F1284*D1284)/(C1284+D1284)))</f>
        <v/>
      </c>
      <c r="H1284" s="59"/>
      <c r="I1284" s="60">
        <f>IF(OR(H1284="",E1284="",C1284="",D1284=""),"",IF(C1284+D1284=0,"",(H1284*D1284+E1284*C1284)/(C1284+D1284)))</f>
        <v/>
      </c>
      <c r="J1284" s="59"/>
      <c r="K1284" s="61">
        <f>IF(OR(J1284="",I1284=""),"",J1284-I1284)</f>
        <v/>
      </c>
      <c r="L1284" s="61">
        <f>IF(OR(J1284="",G1284=""),"",J1284-G1284)</f>
        <v/>
      </c>
      <c r="M1284" s="59"/>
      <c r="N1284" s="59"/>
      <c r="O1284" s="59"/>
      <c r="P1284" s="59"/>
      <c r="Q1284" s="59"/>
      <c r="R1284" s="60">
        <f>IF(AND(P1284="",Q1284=""),"",N(P1284)+N(Q1284))</f>
        <v/>
      </c>
      <c r="S1284" s="59"/>
      <c r="T1284" s="59"/>
      <c r="U1284" s="62">
        <f>IF(OR(R1284="",S1284="",T1284=""),"",IF(S1284+T1284=0,"",R1284/(S1284+T1284)))</f>
        <v/>
      </c>
      <c r="V1284" s="63"/>
      <c r="W1284" s="64"/>
      <c r="X1284" s="63"/>
    </row>
    <row r="1285" spans="2:24">
      <c r="B1285" s="58"/>
      <c r="C1285" s="59"/>
      <c r="D1285" s="59"/>
      <c r="E1285" s="59"/>
      <c r="F1285" s="59"/>
      <c r="G1285" s="60">
        <f>IF(OR(E1285="",F1285="",C1285="",D1285=""),"",IF(C1285+D1285=0,"",(E1285*C1285+F1285*D1285)/(C1285+D1285)))</f>
        <v/>
      </c>
      <c r="H1285" s="59"/>
      <c r="I1285" s="60">
        <f>IF(OR(H1285="",E1285="",C1285="",D1285=""),"",IF(C1285+D1285=0,"",(H1285*D1285+E1285*C1285)/(C1285+D1285)))</f>
        <v/>
      </c>
      <c r="J1285" s="59"/>
      <c r="K1285" s="61">
        <f>IF(OR(J1285="",I1285=""),"",J1285-I1285)</f>
        <v/>
      </c>
      <c r="L1285" s="61">
        <f>IF(OR(J1285="",G1285=""),"",J1285-G1285)</f>
        <v/>
      </c>
      <c r="M1285" s="59"/>
      <c r="N1285" s="59"/>
      <c r="O1285" s="59"/>
      <c r="P1285" s="59"/>
      <c r="Q1285" s="59"/>
      <c r="R1285" s="60">
        <f>IF(AND(P1285="",Q1285=""),"",N(P1285)+N(Q1285))</f>
        <v/>
      </c>
      <c r="S1285" s="59"/>
      <c r="T1285" s="59"/>
      <c r="U1285" s="62">
        <f>IF(OR(R1285="",S1285="",T1285=""),"",IF(S1285+T1285=0,"",R1285/(S1285+T1285)))</f>
        <v/>
      </c>
      <c r="V1285" s="63"/>
      <c r="W1285" s="64"/>
      <c r="X1285" s="63"/>
    </row>
    <row r="1286" spans="2:24">
      <c r="B1286" s="58"/>
      <c r="C1286" s="59"/>
      <c r="D1286" s="59"/>
      <c r="E1286" s="59"/>
      <c r="F1286" s="59"/>
      <c r="G1286" s="60">
        <f>IF(OR(E1286="",F1286="",C1286="",D1286=""),"",IF(C1286+D1286=0,"",(E1286*C1286+F1286*D1286)/(C1286+D1286)))</f>
        <v/>
      </c>
      <c r="H1286" s="59"/>
      <c r="I1286" s="60">
        <f>IF(OR(H1286="",E1286="",C1286="",D1286=""),"",IF(C1286+D1286=0,"",(H1286*D1286+E1286*C1286)/(C1286+D1286)))</f>
        <v/>
      </c>
      <c r="J1286" s="59"/>
      <c r="K1286" s="61">
        <f>IF(OR(J1286="",I1286=""),"",J1286-I1286)</f>
        <v/>
      </c>
      <c r="L1286" s="61">
        <f>IF(OR(J1286="",G1286=""),"",J1286-G1286)</f>
        <v/>
      </c>
      <c r="M1286" s="59"/>
      <c r="N1286" s="59"/>
      <c r="O1286" s="59"/>
      <c r="P1286" s="59"/>
      <c r="Q1286" s="59"/>
      <c r="R1286" s="60">
        <f>IF(AND(P1286="",Q1286=""),"",N(P1286)+N(Q1286))</f>
        <v/>
      </c>
      <c r="S1286" s="59"/>
      <c r="T1286" s="59"/>
      <c r="U1286" s="62">
        <f>IF(OR(R1286="",S1286="",T1286=""),"",IF(S1286+T1286=0,"",R1286/(S1286+T1286)))</f>
        <v/>
      </c>
      <c r="V1286" s="63"/>
      <c r="W1286" s="64"/>
      <c r="X1286" s="63"/>
    </row>
    <row r="1287" spans="2:24">
      <c r="B1287" s="58"/>
      <c r="C1287" s="59"/>
      <c r="D1287" s="59"/>
      <c r="E1287" s="59"/>
      <c r="F1287" s="59"/>
      <c r="G1287" s="60">
        <f>IF(OR(E1287="",F1287="",C1287="",D1287=""),"",IF(C1287+D1287=0,"",(E1287*C1287+F1287*D1287)/(C1287+D1287)))</f>
        <v/>
      </c>
      <c r="H1287" s="59"/>
      <c r="I1287" s="60">
        <f>IF(OR(H1287="",E1287="",C1287="",D1287=""),"",IF(C1287+D1287=0,"",(H1287*D1287+E1287*C1287)/(C1287+D1287)))</f>
        <v/>
      </c>
      <c r="J1287" s="59"/>
      <c r="K1287" s="61">
        <f>IF(OR(J1287="",I1287=""),"",J1287-I1287)</f>
        <v/>
      </c>
      <c r="L1287" s="61">
        <f>IF(OR(J1287="",G1287=""),"",J1287-G1287)</f>
        <v/>
      </c>
      <c r="M1287" s="59"/>
      <c r="N1287" s="59"/>
      <c r="O1287" s="59"/>
      <c r="P1287" s="59"/>
      <c r="Q1287" s="59"/>
      <c r="R1287" s="60">
        <f>IF(AND(P1287="",Q1287=""),"",N(P1287)+N(Q1287))</f>
        <v/>
      </c>
      <c r="S1287" s="59"/>
      <c r="T1287" s="59"/>
      <c r="U1287" s="62">
        <f>IF(OR(R1287="",S1287="",T1287=""),"",IF(S1287+T1287=0,"",R1287/(S1287+T1287)))</f>
        <v/>
      </c>
      <c r="V1287" s="63"/>
      <c r="W1287" s="64"/>
      <c r="X1287" s="63"/>
    </row>
    <row r="1288" spans="2:24">
      <c r="B1288" s="58"/>
      <c r="C1288" s="59"/>
      <c r="D1288" s="59"/>
      <c r="E1288" s="59"/>
      <c r="F1288" s="59"/>
      <c r="G1288" s="60">
        <f>IF(OR(E1288="",F1288="",C1288="",D1288=""),"",IF(C1288+D1288=0,"",(E1288*C1288+F1288*D1288)/(C1288+D1288)))</f>
        <v/>
      </c>
      <c r="H1288" s="59"/>
      <c r="I1288" s="60">
        <f>IF(OR(H1288="",E1288="",C1288="",D1288=""),"",IF(C1288+D1288=0,"",(H1288*D1288+E1288*C1288)/(C1288+D1288)))</f>
        <v/>
      </c>
      <c r="J1288" s="59"/>
      <c r="K1288" s="61">
        <f>IF(OR(J1288="",I1288=""),"",J1288-I1288)</f>
        <v/>
      </c>
      <c r="L1288" s="61">
        <f>IF(OR(J1288="",G1288=""),"",J1288-G1288)</f>
        <v/>
      </c>
      <c r="M1288" s="59"/>
      <c r="N1288" s="59"/>
      <c r="O1288" s="59"/>
      <c r="P1288" s="59"/>
      <c r="Q1288" s="59"/>
      <c r="R1288" s="60">
        <f>IF(AND(P1288="",Q1288=""),"",N(P1288)+N(Q1288))</f>
        <v/>
      </c>
      <c r="S1288" s="59"/>
      <c r="T1288" s="59"/>
      <c r="U1288" s="62">
        <f>IF(OR(R1288="",S1288="",T1288=""),"",IF(S1288+T1288=0,"",R1288/(S1288+T1288)))</f>
        <v/>
      </c>
      <c r="V1288" s="63"/>
      <c r="W1288" s="64"/>
      <c r="X1288" s="63"/>
    </row>
    <row r="1289" spans="2:24">
      <c r="B1289" s="58"/>
      <c r="C1289" s="59"/>
      <c r="D1289" s="59"/>
      <c r="E1289" s="59"/>
      <c r="F1289" s="59"/>
      <c r="G1289" s="60">
        <f>IF(OR(E1289="",F1289="",C1289="",D1289=""),"",IF(C1289+D1289=0,"",(E1289*C1289+F1289*D1289)/(C1289+D1289)))</f>
        <v/>
      </c>
      <c r="H1289" s="59"/>
      <c r="I1289" s="60">
        <f>IF(OR(H1289="",E1289="",C1289="",D1289=""),"",IF(C1289+D1289=0,"",(H1289*D1289+E1289*C1289)/(C1289+D1289)))</f>
        <v/>
      </c>
      <c r="J1289" s="59"/>
      <c r="K1289" s="61">
        <f>IF(OR(J1289="",I1289=""),"",J1289-I1289)</f>
        <v/>
      </c>
      <c r="L1289" s="61">
        <f>IF(OR(J1289="",G1289=""),"",J1289-G1289)</f>
        <v/>
      </c>
      <c r="M1289" s="59"/>
      <c r="N1289" s="59"/>
      <c r="O1289" s="59"/>
      <c r="P1289" s="59"/>
      <c r="Q1289" s="59"/>
      <c r="R1289" s="60">
        <f>IF(AND(P1289="",Q1289=""),"",N(P1289)+N(Q1289))</f>
        <v/>
      </c>
      <c r="S1289" s="59"/>
      <c r="T1289" s="59"/>
      <c r="U1289" s="62">
        <f>IF(OR(R1289="",S1289="",T1289=""),"",IF(S1289+T1289=0,"",R1289/(S1289+T1289)))</f>
        <v/>
      </c>
      <c r="V1289" s="63"/>
      <c r="W1289" s="64"/>
      <c r="X1289" s="63"/>
    </row>
    <row r="1290" spans="2:24">
      <c r="B1290" s="58"/>
      <c r="C1290" s="59"/>
      <c r="D1290" s="59"/>
      <c r="E1290" s="59"/>
      <c r="F1290" s="59"/>
      <c r="G1290" s="60">
        <f>IF(OR(E1290="",F1290="",C1290="",D1290=""),"",IF(C1290+D1290=0,"",(E1290*C1290+F1290*D1290)/(C1290+D1290)))</f>
        <v/>
      </c>
      <c r="H1290" s="59"/>
      <c r="I1290" s="60">
        <f>IF(OR(H1290="",E1290="",C1290="",D1290=""),"",IF(C1290+D1290=0,"",(H1290*D1290+E1290*C1290)/(C1290+D1290)))</f>
        <v/>
      </c>
      <c r="J1290" s="59"/>
      <c r="K1290" s="61">
        <f>IF(OR(J1290="",I1290=""),"",J1290-I1290)</f>
        <v/>
      </c>
      <c r="L1290" s="61">
        <f>IF(OR(J1290="",G1290=""),"",J1290-G1290)</f>
        <v/>
      </c>
      <c r="M1290" s="59"/>
      <c r="N1290" s="59"/>
      <c r="O1290" s="59"/>
      <c r="P1290" s="59"/>
      <c r="Q1290" s="59"/>
      <c r="R1290" s="60">
        <f>IF(AND(P1290="",Q1290=""),"",N(P1290)+N(Q1290))</f>
        <v/>
      </c>
      <c r="S1290" s="59"/>
      <c r="T1290" s="59"/>
      <c r="U1290" s="62">
        <f>IF(OR(R1290="",S1290="",T1290=""),"",IF(S1290+T1290=0,"",R1290/(S1290+T1290)))</f>
        <v/>
      </c>
      <c r="V1290" s="63"/>
      <c r="W1290" s="64"/>
      <c r="X1290" s="63"/>
    </row>
    <row r="1291" spans="2:24">
      <c r="B1291" s="58"/>
      <c r="C1291" s="59"/>
      <c r="D1291" s="59"/>
      <c r="E1291" s="59"/>
      <c r="F1291" s="59"/>
      <c r="G1291" s="60">
        <f>IF(OR(E1291="",F1291="",C1291="",D1291=""),"",IF(C1291+D1291=0,"",(E1291*C1291+F1291*D1291)/(C1291+D1291)))</f>
        <v/>
      </c>
      <c r="H1291" s="59"/>
      <c r="I1291" s="60">
        <f>IF(OR(H1291="",E1291="",C1291="",D1291=""),"",IF(C1291+D1291=0,"",(H1291*D1291+E1291*C1291)/(C1291+D1291)))</f>
        <v/>
      </c>
      <c r="J1291" s="59"/>
      <c r="K1291" s="61">
        <f>IF(OR(J1291="",I1291=""),"",J1291-I1291)</f>
        <v/>
      </c>
      <c r="L1291" s="61">
        <f>IF(OR(J1291="",G1291=""),"",J1291-G1291)</f>
        <v/>
      </c>
      <c r="M1291" s="59"/>
      <c r="N1291" s="59"/>
      <c r="O1291" s="59"/>
      <c r="P1291" s="59"/>
      <c r="Q1291" s="59"/>
      <c r="R1291" s="60">
        <f>IF(AND(P1291="",Q1291=""),"",N(P1291)+N(Q1291))</f>
        <v/>
      </c>
      <c r="S1291" s="59"/>
      <c r="T1291" s="59"/>
      <c r="U1291" s="62">
        <f>IF(OR(R1291="",S1291="",T1291=""),"",IF(S1291+T1291=0,"",R1291/(S1291+T1291)))</f>
        <v/>
      </c>
      <c r="V1291" s="63"/>
      <c r="W1291" s="64"/>
      <c r="X1291" s="63"/>
    </row>
    <row r="1292" spans="2:24">
      <c r="B1292" s="58"/>
      <c r="C1292" s="59"/>
      <c r="D1292" s="59"/>
      <c r="E1292" s="59"/>
      <c r="F1292" s="59"/>
      <c r="G1292" s="60">
        <f>IF(OR(E1292="",F1292="",C1292="",D1292=""),"",IF(C1292+D1292=0,"",(E1292*C1292+F1292*D1292)/(C1292+D1292)))</f>
        <v/>
      </c>
      <c r="H1292" s="59"/>
      <c r="I1292" s="60">
        <f>IF(OR(H1292="",E1292="",C1292="",D1292=""),"",IF(C1292+D1292=0,"",(H1292*D1292+E1292*C1292)/(C1292+D1292)))</f>
        <v/>
      </c>
      <c r="J1292" s="59"/>
      <c r="K1292" s="61">
        <f>IF(OR(J1292="",I1292=""),"",J1292-I1292)</f>
        <v/>
      </c>
      <c r="L1292" s="61">
        <f>IF(OR(J1292="",G1292=""),"",J1292-G1292)</f>
        <v/>
      </c>
      <c r="M1292" s="59"/>
      <c r="N1292" s="59"/>
      <c r="O1292" s="59"/>
      <c r="P1292" s="59"/>
      <c r="Q1292" s="59"/>
      <c r="R1292" s="60">
        <f>IF(AND(P1292="",Q1292=""),"",N(P1292)+N(Q1292))</f>
        <v/>
      </c>
      <c r="S1292" s="59"/>
      <c r="T1292" s="59"/>
      <c r="U1292" s="62">
        <f>IF(OR(R1292="",S1292="",T1292=""),"",IF(S1292+T1292=0,"",R1292/(S1292+T1292)))</f>
        <v/>
      </c>
      <c r="V1292" s="63"/>
      <c r="W1292" s="64"/>
      <c r="X1292" s="63"/>
    </row>
    <row r="1293" spans="2:24">
      <c r="B1293" s="58"/>
      <c r="C1293" s="59"/>
      <c r="D1293" s="59"/>
      <c r="E1293" s="59"/>
      <c r="F1293" s="59"/>
      <c r="G1293" s="60">
        <f>IF(OR(E1293="",F1293="",C1293="",D1293=""),"",IF(C1293+D1293=0,"",(E1293*C1293+F1293*D1293)/(C1293+D1293)))</f>
        <v/>
      </c>
      <c r="H1293" s="59"/>
      <c r="I1293" s="60">
        <f>IF(OR(H1293="",E1293="",C1293="",D1293=""),"",IF(C1293+D1293=0,"",(H1293*D1293+E1293*C1293)/(C1293+D1293)))</f>
        <v/>
      </c>
      <c r="J1293" s="59"/>
      <c r="K1293" s="61">
        <f>IF(OR(J1293="",I1293=""),"",J1293-I1293)</f>
        <v/>
      </c>
      <c r="L1293" s="61">
        <f>IF(OR(J1293="",G1293=""),"",J1293-G1293)</f>
        <v/>
      </c>
      <c r="M1293" s="59"/>
      <c r="N1293" s="59"/>
      <c r="O1293" s="59"/>
      <c r="P1293" s="59"/>
      <c r="Q1293" s="59"/>
      <c r="R1293" s="60">
        <f>IF(AND(P1293="",Q1293=""),"",N(P1293)+N(Q1293))</f>
        <v/>
      </c>
      <c r="S1293" s="59"/>
      <c r="T1293" s="59"/>
      <c r="U1293" s="62">
        <f>IF(OR(R1293="",S1293="",T1293=""),"",IF(S1293+T1293=0,"",R1293/(S1293+T1293)))</f>
        <v/>
      </c>
      <c r="V1293" s="63"/>
      <c r="W1293" s="64"/>
      <c r="X1293" s="63"/>
    </row>
    <row r="1294" spans="2:24">
      <c r="B1294" s="58"/>
      <c r="C1294" s="59"/>
      <c r="D1294" s="59"/>
      <c r="E1294" s="59"/>
      <c r="F1294" s="59"/>
      <c r="G1294" s="60">
        <f>IF(OR(E1294="",F1294="",C1294="",D1294=""),"",IF(C1294+D1294=0,"",(E1294*C1294+F1294*D1294)/(C1294+D1294)))</f>
        <v/>
      </c>
      <c r="H1294" s="59"/>
      <c r="I1294" s="60">
        <f>IF(OR(H1294="",E1294="",C1294="",D1294=""),"",IF(C1294+D1294=0,"",(H1294*D1294+E1294*C1294)/(C1294+D1294)))</f>
        <v/>
      </c>
      <c r="J1294" s="59"/>
      <c r="K1294" s="61">
        <f>IF(OR(J1294="",I1294=""),"",J1294-I1294)</f>
        <v/>
      </c>
      <c r="L1294" s="61">
        <f>IF(OR(J1294="",G1294=""),"",J1294-G1294)</f>
        <v/>
      </c>
      <c r="M1294" s="59"/>
      <c r="N1294" s="59"/>
      <c r="O1294" s="59"/>
      <c r="P1294" s="59"/>
      <c r="Q1294" s="59"/>
      <c r="R1294" s="60">
        <f>IF(AND(P1294="",Q1294=""),"",N(P1294)+N(Q1294))</f>
        <v/>
      </c>
      <c r="S1294" s="59"/>
      <c r="T1294" s="59"/>
      <c r="U1294" s="62">
        <f>IF(OR(R1294="",S1294="",T1294=""),"",IF(S1294+T1294=0,"",R1294/(S1294+T1294)))</f>
        <v/>
      </c>
      <c r="V1294" s="63"/>
      <c r="W1294" s="64"/>
      <c r="X1294" s="63"/>
    </row>
    <row r="1295" spans="2:24">
      <c r="B1295" s="58"/>
      <c r="C1295" s="59"/>
      <c r="D1295" s="59"/>
      <c r="E1295" s="59"/>
      <c r="F1295" s="59"/>
      <c r="G1295" s="60">
        <f>IF(OR(E1295="",F1295="",C1295="",D1295=""),"",IF(C1295+D1295=0,"",(E1295*C1295+F1295*D1295)/(C1295+D1295)))</f>
        <v/>
      </c>
      <c r="H1295" s="59"/>
      <c r="I1295" s="60">
        <f>IF(OR(H1295="",E1295="",C1295="",D1295=""),"",IF(C1295+D1295=0,"",(H1295*D1295+E1295*C1295)/(C1295+D1295)))</f>
        <v/>
      </c>
      <c r="J1295" s="59"/>
      <c r="K1295" s="61">
        <f>IF(OR(J1295="",I1295=""),"",J1295-I1295)</f>
        <v/>
      </c>
      <c r="L1295" s="61">
        <f>IF(OR(J1295="",G1295=""),"",J1295-G1295)</f>
        <v/>
      </c>
      <c r="M1295" s="59"/>
      <c r="N1295" s="59"/>
      <c r="O1295" s="59"/>
      <c r="P1295" s="59"/>
      <c r="Q1295" s="59"/>
      <c r="R1295" s="60">
        <f>IF(AND(P1295="",Q1295=""),"",N(P1295)+N(Q1295))</f>
        <v/>
      </c>
      <c r="S1295" s="59"/>
      <c r="T1295" s="59"/>
      <c r="U1295" s="62">
        <f>IF(OR(R1295="",S1295="",T1295=""),"",IF(S1295+T1295=0,"",R1295/(S1295+T1295)))</f>
        <v/>
      </c>
      <c r="V1295" s="63"/>
      <c r="W1295" s="64"/>
      <c r="X1295" s="63"/>
    </row>
    <row r="1296" spans="2:24">
      <c r="B1296" s="58"/>
      <c r="C1296" s="59"/>
      <c r="D1296" s="59"/>
      <c r="E1296" s="59"/>
      <c r="F1296" s="59"/>
      <c r="G1296" s="60">
        <f>IF(OR(E1296="",F1296="",C1296="",D1296=""),"",IF(C1296+D1296=0,"",(E1296*C1296+F1296*D1296)/(C1296+D1296)))</f>
        <v/>
      </c>
      <c r="H1296" s="59"/>
      <c r="I1296" s="60">
        <f>IF(OR(H1296="",E1296="",C1296="",D1296=""),"",IF(C1296+D1296=0,"",(H1296*D1296+E1296*C1296)/(C1296+D1296)))</f>
        <v/>
      </c>
      <c r="J1296" s="59"/>
      <c r="K1296" s="61">
        <f>IF(OR(J1296="",I1296=""),"",J1296-I1296)</f>
        <v/>
      </c>
      <c r="L1296" s="61">
        <f>IF(OR(J1296="",G1296=""),"",J1296-G1296)</f>
        <v/>
      </c>
      <c r="M1296" s="59"/>
      <c r="N1296" s="59"/>
      <c r="O1296" s="59"/>
      <c r="P1296" s="59"/>
      <c r="Q1296" s="59"/>
      <c r="R1296" s="60">
        <f>IF(AND(P1296="",Q1296=""),"",N(P1296)+N(Q1296))</f>
        <v/>
      </c>
      <c r="S1296" s="59"/>
      <c r="T1296" s="59"/>
      <c r="U1296" s="62">
        <f>IF(OR(R1296="",S1296="",T1296=""),"",IF(S1296+T1296=0,"",R1296/(S1296+T1296)))</f>
        <v/>
      </c>
      <c r="V1296" s="63"/>
      <c r="W1296" s="64"/>
      <c r="X1296" s="63"/>
    </row>
    <row r="1297" spans="2:24">
      <c r="B1297" s="58"/>
      <c r="C1297" s="59"/>
      <c r="D1297" s="59"/>
      <c r="E1297" s="59"/>
      <c r="F1297" s="59"/>
      <c r="G1297" s="60">
        <f>IF(OR(E1297="",F1297="",C1297="",D1297=""),"",IF(C1297+D1297=0,"",(E1297*C1297+F1297*D1297)/(C1297+D1297)))</f>
        <v/>
      </c>
      <c r="H1297" s="59"/>
      <c r="I1297" s="60">
        <f>IF(OR(H1297="",E1297="",C1297="",D1297=""),"",IF(C1297+D1297=0,"",(H1297*D1297+E1297*C1297)/(C1297+D1297)))</f>
        <v/>
      </c>
      <c r="J1297" s="59"/>
      <c r="K1297" s="61">
        <f>IF(OR(J1297="",I1297=""),"",J1297-I1297)</f>
        <v/>
      </c>
      <c r="L1297" s="61">
        <f>IF(OR(J1297="",G1297=""),"",J1297-G1297)</f>
        <v/>
      </c>
      <c r="M1297" s="59"/>
      <c r="N1297" s="59"/>
      <c r="O1297" s="59"/>
      <c r="P1297" s="59"/>
      <c r="Q1297" s="59"/>
      <c r="R1297" s="60">
        <f>IF(AND(P1297="",Q1297=""),"",N(P1297)+N(Q1297))</f>
        <v/>
      </c>
      <c r="S1297" s="59"/>
      <c r="T1297" s="59"/>
      <c r="U1297" s="62">
        <f>IF(OR(R1297="",S1297="",T1297=""),"",IF(S1297+T1297=0,"",R1297/(S1297+T1297)))</f>
        <v/>
      </c>
      <c r="V1297" s="63"/>
      <c r="W1297" s="64"/>
      <c r="X1297" s="63"/>
    </row>
    <row r="1298" spans="2:24">
      <c r="B1298" s="58"/>
      <c r="C1298" s="59"/>
      <c r="D1298" s="59"/>
      <c r="E1298" s="59"/>
      <c r="F1298" s="59"/>
      <c r="G1298" s="60">
        <f>IF(OR(E1298="",F1298="",C1298="",D1298=""),"",IF(C1298+D1298=0,"",(E1298*C1298+F1298*D1298)/(C1298+D1298)))</f>
        <v/>
      </c>
      <c r="H1298" s="59"/>
      <c r="I1298" s="60">
        <f>IF(OR(H1298="",E1298="",C1298="",D1298=""),"",IF(C1298+D1298=0,"",(H1298*D1298+E1298*C1298)/(C1298+D1298)))</f>
        <v/>
      </c>
      <c r="J1298" s="59"/>
      <c r="K1298" s="61">
        <f>IF(OR(J1298="",I1298=""),"",J1298-I1298)</f>
        <v/>
      </c>
      <c r="L1298" s="61">
        <f>IF(OR(J1298="",G1298=""),"",J1298-G1298)</f>
        <v/>
      </c>
      <c r="M1298" s="59"/>
      <c r="N1298" s="59"/>
      <c r="O1298" s="59"/>
      <c r="P1298" s="59"/>
      <c r="Q1298" s="59"/>
      <c r="R1298" s="60">
        <f>IF(AND(P1298="",Q1298=""),"",N(P1298)+N(Q1298))</f>
        <v/>
      </c>
      <c r="S1298" s="59"/>
      <c r="T1298" s="59"/>
      <c r="U1298" s="62">
        <f>IF(OR(R1298="",S1298="",T1298=""),"",IF(S1298+T1298=0,"",R1298/(S1298+T1298)))</f>
        <v/>
      </c>
      <c r="V1298" s="63"/>
      <c r="W1298" s="64"/>
      <c r="X1298" s="63"/>
    </row>
    <row r="1299" spans="2:24">
      <c r="B1299" s="58"/>
      <c r="C1299" s="59"/>
      <c r="D1299" s="59"/>
      <c r="E1299" s="59"/>
      <c r="F1299" s="59"/>
      <c r="G1299" s="60">
        <f>IF(OR(E1299="",F1299="",C1299="",D1299=""),"",IF(C1299+D1299=0,"",(E1299*C1299+F1299*D1299)/(C1299+D1299)))</f>
        <v/>
      </c>
      <c r="H1299" s="59"/>
      <c r="I1299" s="60">
        <f>IF(OR(H1299="",E1299="",C1299="",D1299=""),"",IF(C1299+D1299=0,"",(H1299*D1299+E1299*C1299)/(C1299+D1299)))</f>
        <v/>
      </c>
      <c r="J1299" s="59"/>
      <c r="K1299" s="61">
        <f>IF(OR(J1299="",I1299=""),"",J1299-I1299)</f>
        <v/>
      </c>
      <c r="L1299" s="61">
        <f>IF(OR(J1299="",G1299=""),"",J1299-G1299)</f>
        <v/>
      </c>
      <c r="M1299" s="59"/>
      <c r="N1299" s="59"/>
      <c r="O1299" s="59"/>
      <c r="P1299" s="59"/>
      <c r="Q1299" s="59"/>
      <c r="R1299" s="60">
        <f>IF(AND(P1299="",Q1299=""),"",N(P1299)+N(Q1299))</f>
        <v/>
      </c>
      <c r="S1299" s="59"/>
      <c r="T1299" s="59"/>
      <c r="U1299" s="62">
        <f>IF(OR(R1299="",S1299="",T1299=""),"",IF(S1299+T1299=0,"",R1299/(S1299+T1299)))</f>
        <v/>
      </c>
      <c r="V1299" s="63"/>
      <c r="W1299" s="64"/>
      <c r="X1299" s="63"/>
    </row>
    <row r="1300" spans="2:24">
      <c r="B1300" s="58"/>
      <c r="C1300" s="59"/>
      <c r="D1300" s="59"/>
      <c r="E1300" s="59"/>
      <c r="F1300" s="59"/>
      <c r="G1300" s="60">
        <f>IF(OR(E1300="",F1300="",C1300="",D1300=""),"",IF(C1300+D1300=0,"",(E1300*C1300+F1300*D1300)/(C1300+D1300)))</f>
        <v/>
      </c>
      <c r="H1300" s="59"/>
      <c r="I1300" s="60">
        <f>IF(OR(H1300="",E1300="",C1300="",D1300=""),"",IF(C1300+D1300=0,"",(H1300*D1300+E1300*C1300)/(C1300+D1300)))</f>
        <v/>
      </c>
      <c r="J1300" s="59"/>
      <c r="K1300" s="61">
        <f>IF(OR(J1300="",I1300=""),"",J1300-I1300)</f>
        <v/>
      </c>
      <c r="L1300" s="61">
        <f>IF(OR(J1300="",G1300=""),"",J1300-G1300)</f>
        <v/>
      </c>
      <c r="M1300" s="59"/>
      <c r="N1300" s="59"/>
      <c r="O1300" s="59"/>
      <c r="P1300" s="59"/>
      <c r="Q1300" s="59"/>
      <c r="R1300" s="60">
        <f>IF(AND(P1300="",Q1300=""),"",N(P1300)+N(Q1300))</f>
        <v/>
      </c>
      <c r="S1300" s="59"/>
      <c r="T1300" s="59"/>
      <c r="U1300" s="62">
        <f>IF(OR(R1300="",S1300="",T1300=""),"",IF(S1300+T1300=0,"",R1300/(S1300+T1300)))</f>
        <v/>
      </c>
      <c r="V1300" s="63"/>
      <c r="W1300" s="64"/>
      <c r="X1300" s="63"/>
    </row>
    <row r="1301" spans="2:24">
      <c r="B1301" s="58"/>
      <c r="C1301" s="59"/>
      <c r="D1301" s="59"/>
      <c r="E1301" s="59"/>
      <c r="F1301" s="59"/>
      <c r="G1301" s="60">
        <f>IF(OR(E1301="",F1301="",C1301="",D1301=""),"",IF(C1301+D1301=0,"",(E1301*C1301+F1301*D1301)/(C1301+D1301)))</f>
        <v/>
      </c>
      <c r="H1301" s="59"/>
      <c r="I1301" s="60">
        <f>IF(OR(H1301="",E1301="",C1301="",D1301=""),"",IF(C1301+D1301=0,"",(H1301*D1301+E1301*C1301)/(C1301+D1301)))</f>
        <v/>
      </c>
      <c r="J1301" s="59"/>
      <c r="K1301" s="61">
        <f>IF(OR(J1301="",I1301=""),"",J1301-I1301)</f>
        <v/>
      </c>
      <c r="L1301" s="61">
        <f>IF(OR(J1301="",G1301=""),"",J1301-G1301)</f>
        <v/>
      </c>
      <c r="M1301" s="59"/>
      <c r="N1301" s="59"/>
      <c r="O1301" s="59"/>
      <c r="P1301" s="59"/>
      <c r="Q1301" s="59"/>
      <c r="R1301" s="60">
        <f>IF(AND(P1301="",Q1301=""),"",N(P1301)+N(Q1301))</f>
        <v/>
      </c>
      <c r="S1301" s="59"/>
      <c r="T1301" s="59"/>
      <c r="U1301" s="62">
        <f>IF(OR(R1301="",S1301="",T1301=""),"",IF(S1301+T1301=0,"",R1301/(S1301+T1301)))</f>
        <v/>
      </c>
      <c r="V1301" s="63"/>
      <c r="W1301" s="64"/>
      <c r="X1301" s="63"/>
    </row>
    <row r="1302" spans="2:24">
      <c r="B1302" s="58"/>
      <c r="C1302" s="59"/>
      <c r="D1302" s="59"/>
      <c r="E1302" s="59"/>
      <c r="F1302" s="59"/>
      <c r="G1302" s="60">
        <f>IF(OR(E1302="",F1302="",C1302="",D1302=""),"",IF(C1302+D1302=0,"",(E1302*C1302+F1302*D1302)/(C1302+D1302)))</f>
        <v/>
      </c>
      <c r="H1302" s="59"/>
      <c r="I1302" s="60">
        <f>IF(OR(H1302="",E1302="",C1302="",D1302=""),"",IF(C1302+D1302=0,"",(H1302*D1302+E1302*C1302)/(C1302+D1302)))</f>
        <v/>
      </c>
      <c r="J1302" s="59"/>
      <c r="K1302" s="61">
        <f>IF(OR(J1302="",I1302=""),"",J1302-I1302)</f>
        <v/>
      </c>
      <c r="L1302" s="61">
        <f>IF(OR(J1302="",G1302=""),"",J1302-G1302)</f>
        <v/>
      </c>
      <c r="M1302" s="59"/>
      <c r="N1302" s="59"/>
      <c r="O1302" s="59"/>
      <c r="P1302" s="59"/>
      <c r="Q1302" s="59"/>
      <c r="R1302" s="60">
        <f>IF(AND(P1302="",Q1302=""),"",N(P1302)+N(Q1302))</f>
        <v/>
      </c>
      <c r="S1302" s="59"/>
      <c r="T1302" s="59"/>
      <c r="U1302" s="62">
        <f>IF(OR(R1302="",S1302="",T1302=""),"",IF(S1302+T1302=0,"",R1302/(S1302+T1302)))</f>
        <v/>
      </c>
      <c r="V1302" s="63"/>
      <c r="W1302" s="64"/>
      <c r="X1302" s="63"/>
    </row>
    <row r="1303" spans="2:24">
      <c r="B1303" s="58"/>
      <c r="C1303" s="59"/>
      <c r="D1303" s="59"/>
      <c r="E1303" s="59"/>
      <c r="F1303" s="59"/>
      <c r="G1303" s="60">
        <f>IF(OR(E1303="",F1303="",C1303="",D1303=""),"",IF(C1303+D1303=0,"",(E1303*C1303+F1303*D1303)/(C1303+D1303)))</f>
        <v/>
      </c>
      <c r="H1303" s="59"/>
      <c r="I1303" s="60">
        <f>IF(OR(H1303="",E1303="",C1303="",D1303=""),"",IF(C1303+D1303=0,"",(H1303*D1303+E1303*C1303)/(C1303+D1303)))</f>
        <v/>
      </c>
      <c r="J1303" s="59"/>
      <c r="K1303" s="61">
        <f>IF(OR(J1303="",I1303=""),"",J1303-I1303)</f>
        <v/>
      </c>
      <c r="L1303" s="61">
        <f>IF(OR(J1303="",G1303=""),"",J1303-G1303)</f>
        <v/>
      </c>
      <c r="M1303" s="59"/>
      <c r="N1303" s="59"/>
      <c r="O1303" s="59"/>
      <c r="P1303" s="59"/>
      <c r="Q1303" s="59"/>
      <c r="R1303" s="60">
        <f>IF(AND(P1303="",Q1303=""),"",N(P1303)+N(Q1303))</f>
        <v/>
      </c>
      <c r="S1303" s="59"/>
      <c r="T1303" s="59"/>
      <c r="U1303" s="62">
        <f>IF(OR(R1303="",S1303="",T1303=""),"",IF(S1303+T1303=0,"",R1303/(S1303+T1303)))</f>
        <v/>
      </c>
      <c r="V1303" s="63"/>
      <c r="W1303" s="64"/>
      <c r="X1303" s="63"/>
    </row>
    <row r="1304" spans="2:24">
      <c r="B1304" s="58"/>
      <c r="C1304" s="59"/>
      <c r="D1304" s="59"/>
      <c r="E1304" s="59"/>
      <c r="F1304" s="59"/>
      <c r="G1304" s="60">
        <f>IF(OR(E1304="",F1304="",C1304="",D1304=""),"",IF(C1304+D1304=0,"",(E1304*C1304+F1304*D1304)/(C1304+D1304)))</f>
        <v/>
      </c>
      <c r="H1304" s="59"/>
      <c r="I1304" s="60">
        <f>IF(OR(H1304="",E1304="",C1304="",D1304=""),"",IF(C1304+D1304=0,"",(H1304*D1304+E1304*C1304)/(C1304+D1304)))</f>
        <v/>
      </c>
      <c r="J1304" s="59"/>
      <c r="K1304" s="61">
        <f>IF(OR(J1304="",I1304=""),"",J1304-I1304)</f>
        <v/>
      </c>
      <c r="L1304" s="61">
        <f>IF(OR(J1304="",G1304=""),"",J1304-G1304)</f>
        <v/>
      </c>
      <c r="M1304" s="59"/>
      <c r="N1304" s="59"/>
      <c r="O1304" s="59"/>
      <c r="P1304" s="59"/>
      <c r="Q1304" s="59"/>
      <c r="R1304" s="60">
        <f>IF(AND(P1304="",Q1304=""),"",N(P1304)+N(Q1304))</f>
        <v/>
      </c>
      <c r="S1304" s="59"/>
      <c r="T1304" s="59"/>
      <c r="U1304" s="62">
        <f>IF(OR(R1304="",S1304="",T1304=""),"",IF(S1304+T1304=0,"",R1304/(S1304+T1304)))</f>
        <v/>
      </c>
      <c r="V1304" s="63"/>
      <c r="W1304" s="64"/>
      <c r="X1304" s="63"/>
    </row>
    <row r="1305" spans="2:24">
      <c r="B1305" s="58"/>
      <c r="C1305" s="59"/>
      <c r="D1305" s="59"/>
      <c r="E1305" s="59"/>
      <c r="F1305" s="59"/>
      <c r="G1305" s="60">
        <f>IF(OR(E1305="",F1305="",C1305="",D1305=""),"",IF(C1305+D1305=0,"",(E1305*C1305+F1305*D1305)/(C1305+D1305)))</f>
        <v/>
      </c>
      <c r="H1305" s="59"/>
      <c r="I1305" s="60">
        <f>IF(OR(H1305="",E1305="",C1305="",D1305=""),"",IF(C1305+D1305=0,"",(H1305*D1305+E1305*C1305)/(C1305+D1305)))</f>
        <v/>
      </c>
      <c r="J1305" s="59"/>
      <c r="K1305" s="61">
        <f>IF(OR(J1305="",I1305=""),"",J1305-I1305)</f>
        <v/>
      </c>
      <c r="L1305" s="61">
        <f>IF(OR(J1305="",G1305=""),"",J1305-G1305)</f>
        <v/>
      </c>
      <c r="M1305" s="59"/>
      <c r="N1305" s="59"/>
      <c r="O1305" s="59"/>
      <c r="P1305" s="59"/>
      <c r="Q1305" s="59"/>
      <c r="R1305" s="60">
        <f>IF(AND(P1305="",Q1305=""),"",N(P1305)+N(Q1305))</f>
        <v/>
      </c>
      <c r="S1305" s="59"/>
      <c r="T1305" s="59"/>
      <c r="U1305" s="62">
        <f>IF(OR(R1305="",S1305="",T1305=""),"",IF(S1305+T1305=0,"",R1305/(S1305+T1305)))</f>
        <v/>
      </c>
      <c r="V1305" s="63"/>
      <c r="W1305" s="64"/>
      <c r="X1305" s="63"/>
    </row>
    <row r="1306" spans="2:24">
      <c r="B1306" s="58"/>
      <c r="C1306" s="59"/>
      <c r="D1306" s="59"/>
      <c r="E1306" s="59"/>
      <c r="F1306" s="59"/>
      <c r="G1306" s="60">
        <f>IF(OR(E1306="",F1306="",C1306="",D1306=""),"",IF(C1306+D1306=0,"",(E1306*C1306+F1306*D1306)/(C1306+D1306)))</f>
        <v/>
      </c>
      <c r="H1306" s="59"/>
      <c r="I1306" s="60">
        <f>IF(OR(H1306="",E1306="",C1306="",D1306=""),"",IF(C1306+D1306=0,"",(H1306*D1306+E1306*C1306)/(C1306+D1306)))</f>
        <v/>
      </c>
      <c r="J1306" s="59"/>
      <c r="K1306" s="61">
        <f>IF(OR(J1306="",I1306=""),"",J1306-I1306)</f>
        <v/>
      </c>
      <c r="L1306" s="61">
        <f>IF(OR(J1306="",G1306=""),"",J1306-G1306)</f>
        <v/>
      </c>
      <c r="M1306" s="59"/>
      <c r="N1306" s="59"/>
      <c r="O1306" s="59"/>
      <c r="P1306" s="59"/>
      <c r="Q1306" s="59"/>
      <c r="R1306" s="60">
        <f>IF(AND(P1306="",Q1306=""),"",N(P1306)+N(Q1306))</f>
        <v/>
      </c>
      <c r="S1306" s="59"/>
      <c r="T1306" s="59"/>
      <c r="U1306" s="62">
        <f>IF(OR(R1306="",S1306="",T1306=""),"",IF(S1306+T1306=0,"",R1306/(S1306+T1306)))</f>
        <v/>
      </c>
      <c r="V1306" s="63"/>
      <c r="W1306" s="64"/>
      <c r="X1306" s="63"/>
    </row>
    <row r="1307" spans="2:24">
      <c r="B1307" s="58"/>
      <c r="C1307" s="59"/>
      <c r="D1307" s="59"/>
      <c r="E1307" s="59"/>
      <c r="F1307" s="59"/>
      <c r="G1307" s="60">
        <f>IF(OR(E1307="",F1307="",C1307="",D1307=""),"",IF(C1307+D1307=0,"",(E1307*C1307+F1307*D1307)/(C1307+D1307)))</f>
        <v/>
      </c>
      <c r="H1307" s="59"/>
      <c r="I1307" s="60">
        <f>IF(OR(H1307="",E1307="",C1307="",D1307=""),"",IF(C1307+D1307=0,"",(H1307*D1307+E1307*C1307)/(C1307+D1307)))</f>
        <v/>
      </c>
      <c r="J1307" s="59"/>
      <c r="K1307" s="61">
        <f>IF(OR(J1307="",I1307=""),"",J1307-I1307)</f>
        <v/>
      </c>
      <c r="L1307" s="61">
        <f>IF(OR(J1307="",G1307=""),"",J1307-G1307)</f>
        <v/>
      </c>
      <c r="M1307" s="59"/>
      <c r="N1307" s="59"/>
      <c r="O1307" s="59"/>
      <c r="P1307" s="59"/>
      <c r="Q1307" s="59"/>
      <c r="R1307" s="60">
        <f>IF(AND(P1307="",Q1307=""),"",N(P1307)+N(Q1307))</f>
        <v/>
      </c>
      <c r="S1307" s="59"/>
      <c r="T1307" s="59"/>
      <c r="U1307" s="62">
        <f>IF(OR(R1307="",S1307="",T1307=""),"",IF(S1307+T1307=0,"",R1307/(S1307+T1307)))</f>
        <v/>
      </c>
      <c r="V1307" s="63"/>
      <c r="W1307" s="64"/>
      <c r="X1307" s="63"/>
    </row>
    <row r="1308" spans="2:24">
      <c r="B1308" s="58"/>
      <c r="C1308" s="59"/>
      <c r="D1308" s="59"/>
      <c r="E1308" s="59"/>
      <c r="F1308" s="59"/>
      <c r="G1308" s="60">
        <f>IF(OR(E1308="",F1308="",C1308="",D1308=""),"",IF(C1308+D1308=0,"",(E1308*C1308+F1308*D1308)/(C1308+D1308)))</f>
        <v/>
      </c>
      <c r="H1308" s="59"/>
      <c r="I1308" s="60">
        <f>IF(OR(H1308="",E1308="",C1308="",D1308=""),"",IF(C1308+D1308=0,"",(H1308*D1308+E1308*C1308)/(C1308+D1308)))</f>
        <v/>
      </c>
      <c r="J1308" s="59"/>
      <c r="K1308" s="61">
        <f>IF(OR(J1308="",I1308=""),"",J1308-I1308)</f>
        <v/>
      </c>
      <c r="L1308" s="61">
        <f>IF(OR(J1308="",G1308=""),"",J1308-G1308)</f>
        <v/>
      </c>
      <c r="M1308" s="59"/>
      <c r="N1308" s="59"/>
      <c r="O1308" s="59"/>
      <c r="P1308" s="59"/>
      <c r="Q1308" s="59"/>
      <c r="R1308" s="60">
        <f>IF(AND(P1308="",Q1308=""),"",N(P1308)+N(Q1308))</f>
        <v/>
      </c>
      <c r="S1308" s="59"/>
      <c r="T1308" s="59"/>
      <c r="U1308" s="62">
        <f>IF(OR(R1308="",S1308="",T1308=""),"",IF(S1308+T1308=0,"",R1308/(S1308+T1308)))</f>
        <v/>
      </c>
      <c r="V1308" s="63"/>
      <c r="W1308" s="64"/>
      <c r="X1308" s="63"/>
    </row>
    <row r="1309" spans="2:24">
      <c r="B1309" s="58"/>
      <c r="C1309" s="59"/>
      <c r="D1309" s="59"/>
      <c r="E1309" s="59"/>
      <c r="F1309" s="59"/>
      <c r="G1309" s="60">
        <f>IF(OR(E1309="",F1309="",C1309="",D1309=""),"",IF(C1309+D1309=0,"",(E1309*C1309+F1309*D1309)/(C1309+D1309)))</f>
        <v/>
      </c>
      <c r="H1309" s="59"/>
      <c r="I1309" s="60">
        <f>IF(OR(H1309="",E1309="",C1309="",D1309=""),"",IF(C1309+D1309=0,"",(H1309*D1309+E1309*C1309)/(C1309+D1309)))</f>
        <v/>
      </c>
      <c r="J1309" s="59"/>
      <c r="K1309" s="61">
        <f>IF(OR(J1309="",I1309=""),"",J1309-I1309)</f>
        <v/>
      </c>
      <c r="L1309" s="61">
        <f>IF(OR(J1309="",G1309=""),"",J1309-G1309)</f>
        <v/>
      </c>
      <c r="M1309" s="59"/>
      <c r="N1309" s="59"/>
      <c r="O1309" s="59"/>
      <c r="P1309" s="59"/>
      <c r="Q1309" s="59"/>
      <c r="R1309" s="60">
        <f>IF(AND(P1309="",Q1309=""),"",N(P1309)+N(Q1309))</f>
        <v/>
      </c>
      <c r="S1309" s="59"/>
      <c r="T1309" s="59"/>
      <c r="U1309" s="62">
        <f>IF(OR(R1309="",S1309="",T1309=""),"",IF(S1309+T1309=0,"",R1309/(S1309+T1309)))</f>
        <v/>
      </c>
      <c r="V1309" s="63"/>
      <c r="W1309" s="64"/>
      <c r="X1309" s="63"/>
    </row>
    <row r="1310" spans="2:24">
      <c r="B1310" s="58"/>
      <c r="C1310" s="59"/>
      <c r="D1310" s="59"/>
      <c r="E1310" s="59"/>
      <c r="F1310" s="59"/>
      <c r="G1310" s="60">
        <f>IF(OR(E1310="",F1310="",C1310="",D1310=""),"",IF(C1310+D1310=0,"",(E1310*C1310+F1310*D1310)/(C1310+D1310)))</f>
        <v/>
      </c>
      <c r="H1310" s="59"/>
      <c r="I1310" s="60">
        <f>IF(OR(H1310="",E1310="",C1310="",D1310=""),"",IF(C1310+D1310=0,"",(H1310*D1310+E1310*C1310)/(C1310+D1310)))</f>
        <v/>
      </c>
      <c r="J1310" s="59"/>
      <c r="K1310" s="61">
        <f>IF(OR(J1310="",I1310=""),"",J1310-I1310)</f>
        <v/>
      </c>
      <c r="L1310" s="61">
        <f>IF(OR(J1310="",G1310=""),"",J1310-G1310)</f>
        <v/>
      </c>
      <c r="M1310" s="59"/>
      <c r="N1310" s="59"/>
      <c r="O1310" s="59"/>
      <c r="P1310" s="59"/>
      <c r="Q1310" s="59"/>
      <c r="R1310" s="60">
        <f>IF(AND(P1310="",Q1310=""),"",N(P1310)+N(Q1310))</f>
        <v/>
      </c>
      <c r="S1310" s="59"/>
      <c r="T1310" s="59"/>
      <c r="U1310" s="62">
        <f>IF(OR(R1310="",S1310="",T1310=""),"",IF(S1310+T1310=0,"",R1310/(S1310+T1310)))</f>
        <v/>
      </c>
      <c r="V1310" s="63"/>
      <c r="W1310" s="64"/>
      <c r="X1310" s="63"/>
    </row>
    <row r="1311" spans="2:24">
      <c r="B1311" s="58"/>
      <c r="C1311" s="59"/>
      <c r="D1311" s="59"/>
      <c r="E1311" s="59"/>
      <c r="F1311" s="59"/>
      <c r="G1311" s="60">
        <f>IF(OR(E1311="",F1311="",C1311="",D1311=""),"",IF(C1311+D1311=0,"",(E1311*C1311+F1311*D1311)/(C1311+D1311)))</f>
        <v/>
      </c>
      <c r="H1311" s="59"/>
      <c r="I1311" s="60">
        <f>IF(OR(H1311="",E1311="",C1311="",D1311=""),"",IF(C1311+D1311=0,"",(H1311*D1311+E1311*C1311)/(C1311+D1311)))</f>
        <v/>
      </c>
      <c r="J1311" s="59"/>
      <c r="K1311" s="61">
        <f>IF(OR(J1311="",I1311=""),"",J1311-I1311)</f>
        <v/>
      </c>
      <c r="L1311" s="61">
        <f>IF(OR(J1311="",G1311=""),"",J1311-G1311)</f>
        <v/>
      </c>
      <c r="M1311" s="59"/>
      <c r="N1311" s="59"/>
      <c r="O1311" s="59"/>
      <c r="P1311" s="59"/>
      <c r="Q1311" s="59"/>
      <c r="R1311" s="60">
        <f>IF(AND(P1311="",Q1311=""),"",N(P1311)+N(Q1311))</f>
        <v/>
      </c>
      <c r="S1311" s="59"/>
      <c r="T1311" s="59"/>
      <c r="U1311" s="62">
        <f>IF(OR(R1311="",S1311="",T1311=""),"",IF(S1311+T1311=0,"",R1311/(S1311+T1311)))</f>
        <v/>
      </c>
      <c r="V1311" s="63"/>
      <c r="W1311" s="64"/>
      <c r="X1311" s="63"/>
    </row>
    <row r="1312" spans="2:24">
      <c r="B1312" s="58"/>
      <c r="C1312" s="59"/>
      <c r="D1312" s="59"/>
      <c r="E1312" s="59"/>
      <c r="F1312" s="59"/>
      <c r="G1312" s="60">
        <f>IF(OR(E1312="",F1312="",C1312="",D1312=""),"",IF(C1312+D1312=0,"",(E1312*C1312+F1312*D1312)/(C1312+D1312)))</f>
        <v/>
      </c>
      <c r="H1312" s="59"/>
      <c r="I1312" s="60">
        <f>IF(OR(H1312="",E1312="",C1312="",D1312=""),"",IF(C1312+D1312=0,"",(H1312*D1312+E1312*C1312)/(C1312+D1312)))</f>
        <v/>
      </c>
      <c r="J1312" s="59"/>
      <c r="K1312" s="61">
        <f>IF(OR(J1312="",I1312=""),"",J1312-I1312)</f>
        <v/>
      </c>
      <c r="L1312" s="61">
        <f>IF(OR(J1312="",G1312=""),"",J1312-G1312)</f>
        <v/>
      </c>
      <c r="M1312" s="59"/>
      <c r="N1312" s="59"/>
      <c r="O1312" s="59"/>
      <c r="P1312" s="59"/>
      <c r="Q1312" s="59"/>
      <c r="R1312" s="60">
        <f>IF(AND(P1312="",Q1312=""),"",N(P1312)+N(Q1312))</f>
        <v/>
      </c>
      <c r="S1312" s="59"/>
      <c r="T1312" s="59"/>
      <c r="U1312" s="62">
        <f>IF(OR(R1312="",S1312="",T1312=""),"",IF(S1312+T1312=0,"",R1312/(S1312+T1312)))</f>
        <v/>
      </c>
      <c r="V1312" s="63"/>
      <c r="W1312" s="64"/>
      <c r="X1312" s="63"/>
    </row>
    <row r="1313" spans="2:24">
      <c r="B1313" s="58"/>
      <c r="C1313" s="59"/>
      <c r="D1313" s="59"/>
      <c r="E1313" s="59"/>
      <c r="F1313" s="59"/>
      <c r="G1313" s="60">
        <f>IF(OR(E1313="",F1313="",C1313="",D1313=""),"",IF(C1313+D1313=0,"",(E1313*C1313+F1313*D1313)/(C1313+D1313)))</f>
        <v/>
      </c>
      <c r="H1313" s="59"/>
      <c r="I1313" s="60">
        <f>IF(OR(H1313="",E1313="",C1313="",D1313=""),"",IF(C1313+D1313=0,"",(H1313*D1313+E1313*C1313)/(C1313+D1313)))</f>
        <v/>
      </c>
      <c r="J1313" s="59"/>
      <c r="K1313" s="61">
        <f>IF(OR(J1313="",I1313=""),"",J1313-I1313)</f>
        <v/>
      </c>
      <c r="L1313" s="61">
        <f>IF(OR(J1313="",G1313=""),"",J1313-G1313)</f>
        <v/>
      </c>
      <c r="M1313" s="59"/>
      <c r="N1313" s="59"/>
      <c r="O1313" s="59"/>
      <c r="P1313" s="59"/>
      <c r="Q1313" s="59"/>
      <c r="R1313" s="60">
        <f>IF(AND(P1313="",Q1313=""),"",N(P1313)+N(Q1313))</f>
        <v/>
      </c>
      <c r="S1313" s="59"/>
      <c r="T1313" s="59"/>
      <c r="U1313" s="62">
        <f>IF(OR(R1313="",S1313="",T1313=""),"",IF(S1313+T1313=0,"",R1313/(S1313+T1313)))</f>
        <v/>
      </c>
      <c r="V1313" s="63"/>
      <c r="W1313" s="64"/>
      <c r="X1313" s="63"/>
    </row>
    <row r="1314" spans="2:24">
      <c r="B1314" s="58"/>
      <c r="C1314" s="59"/>
      <c r="D1314" s="59"/>
      <c r="E1314" s="59"/>
      <c r="F1314" s="59"/>
      <c r="G1314" s="60">
        <f>IF(OR(E1314="",F1314="",C1314="",D1314=""),"",IF(C1314+D1314=0,"",(E1314*C1314+F1314*D1314)/(C1314+D1314)))</f>
        <v/>
      </c>
      <c r="H1314" s="59"/>
      <c r="I1314" s="60">
        <f>IF(OR(H1314="",E1314="",C1314="",D1314=""),"",IF(C1314+D1314=0,"",(H1314*D1314+E1314*C1314)/(C1314+D1314)))</f>
        <v/>
      </c>
      <c r="J1314" s="59"/>
      <c r="K1314" s="61">
        <f>IF(OR(J1314="",I1314=""),"",J1314-I1314)</f>
        <v/>
      </c>
      <c r="L1314" s="61">
        <f>IF(OR(J1314="",G1314=""),"",J1314-G1314)</f>
        <v/>
      </c>
      <c r="M1314" s="59"/>
      <c r="N1314" s="59"/>
      <c r="O1314" s="59"/>
      <c r="P1314" s="59"/>
      <c r="Q1314" s="59"/>
      <c r="R1314" s="60">
        <f>IF(AND(P1314="",Q1314=""),"",N(P1314)+N(Q1314))</f>
        <v/>
      </c>
      <c r="S1314" s="59"/>
      <c r="T1314" s="59"/>
      <c r="U1314" s="62">
        <f>IF(OR(R1314="",S1314="",T1314=""),"",IF(S1314+T1314=0,"",R1314/(S1314+T1314)))</f>
        <v/>
      </c>
      <c r="V1314" s="63"/>
      <c r="W1314" s="64"/>
      <c r="X1314" s="63"/>
    </row>
    <row r="1315" spans="2:24">
      <c r="B1315" s="58"/>
      <c r="C1315" s="59"/>
      <c r="D1315" s="59"/>
      <c r="E1315" s="59"/>
      <c r="F1315" s="59"/>
      <c r="G1315" s="60">
        <f>IF(OR(E1315="",F1315="",C1315="",D1315=""),"",IF(C1315+D1315=0,"",(E1315*C1315+F1315*D1315)/(C1315+D1315)))</f>
        <v/>
      </c>
      <c r="H1315" s="59"/>
      <c r="I1315" s="60">
        <f>IF(OR(H1315="",E1315="",C1315="",D1315=""),"",IF(C1315+D1315=0,"",(H1315*D1315+E1315*C1315)/(C1315+D1315)))</f>
        <v/>
      </c>
      <c r="J1315" s="59"/>
      <c r="K1315" s="61">
        <f>IF(OR(J1315="",I1315=""),"",J1315-I1315)</f>
        <v/>
      </c>
      <c r="L1315" s="61">
        <f>IF(OR(J1315="",G1315=""),"",J1315-G1315)</f>
        <v/>
      </c>
      <c r="M1315" s="59"/>
      <c r="N1315" s="59"/>
      <c r="O1315" s="59"/>
      <c r="P1315" s="59"/>
      <c r="Q1315" s="59"/>
      <c r="R1315" s="60">
        <f>IF(AND(P1315="",Q1315=""),"",N(P1315)+N(Q1315))</f>
        <v/>
      </c>
      <c r="S1315" s="59"/>
      <c r="T1315" s="59"/>
      <c r="U1315" s="62">
        <f>IF(OR(R1315="",S1315="",T1315=""),"",IF(S1315+T1315=0,"",R1315/(S1315+T1315)))</f>
        <v/>
      </c>
      <c r="V1315" s="63"/>
      <c r="W1315" s="64"/>
      <c r="X1315" s="63"/>
    </row>
    <row r="1316" spans="2:24">
      <c r="B1316" s="58"/>
      <c r="C1316" s="59"/>
      <c r="D1316" s="59"/>
      <c r="E1316" s="59"/>
      <c r="F1316" s="59"/>
      <c r="G1316" s="60">
        <f>IF(OR(E1316="",F1316="",C1316="",D1316=""),"",IF(C1316+D1316=0,"",(E1316*C1316+F1316*D1316)/(C1316+D1316)))</f>
        <v/>
      </c>
      <c r="H1316" s="59"/>
      <c r="I1316" s="60">
        <f>IF(OR(H1316="",E1316="",C1316="",D1316=""),"",IF(C1316+D1316=0,"",(H1316*D1316+E1316*C1316)/(C1316+D1316)))</f>
        <v/>
      </c>
      <c r="J1316" s="59"/>
      <c r="K1316" s="61">
        <f>IF(OR(J1316="",I1316=""),"",J1316-I1316)</f>
        <v/>
      </c>
      <c r="L1316" s="61">
        <f>IF(OR(J1316="",G1316=""),"",J1316-G1316)</f>
        <v/>
      </c>
      <c r="M1316" s="59"/>
      <c r="N1316" s="59"/>
      <c r="O1316" s="59"/>
      <c r="P1316" s="59"/>
      <c r="Q1316" s="59"/>
      <c r="R1316" s="60">
        <f>IF(AND(P1316="",Q1316=""),"",N(P1316)+N(Q1316))</f>
        <v/>
      </c>
      <c r="S1316" s="59"/>
      <c r="T1316" s="59"/>
      <c r="U1316" s="62">
        <f>IF(OR(R1316="",S1316="",T1316=""),"",IF(S1316+T1316=0,"",R1316/(S1316+T1316)))</f>
        <v/>
      </c>
      <c r="V1316" s="63"/>
      <c r="W1316" s="64"/>
      <c r="X1316" s="63"/>
    </row>
    <row r="1317" spans="2:24">
      <c r="B1317" s="58"/>
      <c r="C1317" s="59"/>
      <c r="D1317" s="59"/>
      <c r="E1317" s="59"/>
      <c r="F1317" s="59"/>
      <c r="G1317" s="60">
        <f>IF(OR(E1317="",F1317="",C1317="",D1317=""),"",IF(C1317+D1317=0,"",(E1317*C1317+F1317*D1317)/(C1317+D1317)))</f>
        <v/>
      </c>
      <c r="H1317" s="59"/>
      <c r="I1317" s="60">
        <f>IF(OR(H1317="",E1317="",C1317="",D1317=""),"",IF(C1317+D1317=0,"",(H1317*D1317+E1317*C1317)/(C1317+D1317)))</f>
        <v/>
      </c>
      <c r="J1317" s="59"/>
      <c r="K1317" s="61">
        <f>IF(OR(J1317="",I1317=""),"",J1317-I1317)</f>
        <v/>
      </c>
      <c r="L1317" s="61">
        <f>IF(OR(J1317="",G1317=""),"",J1317-G1317)</f>
        <v/>
      </c>
      <c r="M1317" s="59"/>
      <c r="N1317" s="59"/>
      <c r="O1317" s="59"/>
      <c r="P1317" s="59"/>
      <c r="Q1317" s="59"/>
      <c r="R1317" s="60">
        <f>IF(AND(P1317="",Q1317=""),"",N(P1317)+N(Q1317))</f>
        <v/>
      </c>
      <c r="S1317" s="59"/>
      <c r="T1317" s="59"/>
      <c r="U1317" s="62">
        <f>IF(OR(R1317="",S1317="",T1317=""),"",IF(S1317+T1317=0,"",R1317/(S1317+T1317)))</f>
        <v/>
      </c>
      <c r="V1317" s="63"/>
      <c r="W1317" s="64"/>
      <c r="X1317" s="63"/>
    </row>
    <row r="1318" spans="2:24">
      <c r="B1318" s="58"/>
      <c r="C1318" s="59"/>
      <c r="D1318" s="59"/>
      <c r="E1318" s="59"/>
      <c r="F1318" s="59"/>
      <c r="G1318" s="60">
        <f>IF(OR(E1318="",F1318="",C1318="",D1318=""),"",IF(C1318+D1318=0,"",(E1318*C1318+F1318*D1318)/(C1318+D1318)))</f>
        <v/>
      </c>
      <c r="H1318" s="59"/>
      <c r="I1318" s="60">
        <f>IF(OR(H1318="",E1318="",C1318="",D1318=""),"",IF(C1318+D1318=0,"",(H1318*D1318+E1318*C1318)/(C1318+D1318)))</f>
        <v/>
      </c>
      <c r="J1318" s="59"/>
      <c r="K1318" s="61">
        <f>IF(OR(J1318="",I1318=""),"",J1318-I1318)</f>
        <v/>
      </c>
      <c r="L1318" s="61">
        <f>IF(OR(J1318="",G1318=""),"",J1318-G1318)</f>
        <v/>
      </c>
      <c r="M1318" s="59"/>
      <c r="N1318" s="59"/>
      <c r="O1318" s="59"/>
      <c r="P1318" s="59"/>
      <c r="Q1318" s="59"/>
      <c r="R1318" s="60">
        <f>IF(AND(P1318="",Q1318=""),"",N(P1318)+N(Q1318))</f>
        <v/>
      </c>
      <c r="S1318" s="59"/>
      <c r="T1318" s="59"/>
      <c r="U1318" s="62">
        <f>IF(OR(R1318="",S1318="",T1318=""),"",IF(S1318+T1318=0,"",R1318/(S1318+T1318)))</f>
        <v/>
      </c>
      <c r="V1318" s="63"/>
      <c r="W1318" s="64"/>
      <c r="X1318" s="63"/>
    </row>
    <row r="1319" spans="2:24">
      <c r="B1319" s="58"/>
      <c r="C1319" s="59"/>
      <c r="D1319" s="59"/>
      <c r="E1319" s="59"/>
      <c r="F1319" s="59"/>
      <c r="G1319" s="60">
        <f>IF(OR(E1319="",F1319="",C1319="",D1319=""),"",IF(C1319+D1319=0,"",(E1319*C1319+F1319*D1319)/(C1319+D1319)))</f>
        <v/>
      </c>
      <c r="H1319" s="59"/>
      <c r="I1319" s="60">
        <f>IF(OR(H1319="",E1319="",C1319="",D1319=""),"",IF(C1319+D1319=0,"",(H1319*D1319+E1319*C1319)/(C1319+D1319)))</f>
        <v/>
      </c>
      <c r="J1319" s="59"/>
      <c r="K1319" s="61">
        <f>IF(OR(J1319="",I1319=""),"",J1319-I1319)</f>
        <v/>
      </c>
      <c r="L1319" s="61">
        <f>IF(OR(J1319="",G1319=""),"",J1319-G1319)</f>
        <v/>
      </c>
      <c r="M1319" s="59"/>
      <c r="N1319" s="59"/>
      <c r="O1319" s="59"/>
      <c r="P1319" s="59"/>
      <c r="Q1319" s="59"/>
      <c r="R1319" s="60">
        <f>IF(AND(P1319="",Q1319=""),"",N(P1319)+N(Q1319))</f>
        <v/>
      </c>
      <c r="S1319" s="59"/>
      <c r="T1319" s="59"/>
      <c r="U1319" s="62">
        <f>IF(OR(R1319="",S1319="",T1319=""),"",IF(S1319+T1319=0,"",R1319/(S1319+T1319)))</f>
        <v/>
      </c>
      <c r="V1319" s="63"/>
      <c r="W1319" s="64"/>
      <c r="X1319" s="63"/>
    </row>
    <row r="1320" spans="2:24">
      <c r="B1320" s="58"/>
      <c r="C1320" s="59"/>
      <c r="D1320" s="59"/>
      <c r="E1320" s="59"/>
      <c r="F1320" s="59"/>
      <c r="G1320" s="60">
        <f>IF(OR(E1320="",F1320="",C1320="",D1320=""),"",IF(C1320+D1320=0,"",(E1320*C1320+F1320*D1320)/(C1320+D1320)))</f>
        <v/>
      </c>
      <c r="H1320" s="59"/>
      <c r="I1320" s="60">
        <f>IF(OR(H1320="",E1320="",C1320="",D1320=""),"",IF(C1320+D1320=0,"",(H1320*D1320+E1320*C1320)/(C1320+D1320)))</f>
        <v/>
      </c>
      <c r="J1320" s="59"/>
      <c r="K1320" s="61">
        <f>IF(OR(J1320="",I1320=""),"",J1320-I1320)</f>
        <v/>
      </c>
      <c r="L1320" s="61">
        <f>IF(OR(J1320="",G1320=""),"",J1320-G1320)</f>
        <v/>
      </c>
      <c r="M1320" s="59"/>
      <c r="N1320" s="59"/>
      <c r="O1320" s="59"/>
      <c r="P1320" s="59"/>
      <c r="Q1320" s="59"/>
      <c r="R1320" s="60">
        <f>IF(AND(P1320="",Q1320=""),"",N(P1320)+N(Q1320))</f>
        <v/>
      </c>
      <c r="S1320" s="59"/>
      <c r="T1320" s="59"/>
      <c r="U1320" s="62">
        <f>IF(OR(R1320="",S1320="",T1320=""),"",IF(S1320+T1320=0,"",R1320/(S1320+T1320)))</f>
        <v/>
      </c>
      <c r="V1320" s="63"/>
      <c r="W1320" s="64"/>
      <c r="X1320" s="63"/>
    </row>
    <row r="1321" spans="2:24">
      <c r="B1321" s="58"/>
      <c r="C1321" s="59"/>
      <c r="D1321" s="59"/>
      <c r="E1321" s="59"/>
      <c r="F1321" s="59"/>
      <c r="G1321" s="60">
        <f>IF(OR(E1321="",F1321="",C1321="",D1321=""),"",IF(C1321+D1321=0,"",(E1321*C1321+F1321*D1321)/(C1321+D1321)))</f>
        <v/>
      </c>
      <c r="H1321" s="59"/>
      <c r="I1321" s="60">
        <f>IF(OR(H1321="",E1321="",C1321="",D1321=""),"",IF(C1321+D1321=0,"",(H1321*D1321+E1321*C1321)/(C1321+D1321)))</f>
        <v/>
      </c>
      <c r="J1321" s="59"/>
      <c r="K1321" s="61">
        <f>IF(OR(J1321="",I1321=""),"",J1321-I1321)</f>
        <v/>
      </c>
      <c r="L1321" s="61">
        <f>IF(OR(J1321="",G1321=""),"",J1321-G1321)</f>
        <v/>
      </c>
      <c r="M1321" s="59"/>
      <c r="N1321" s="59"/>
      <c r="O1321" s="59"/>
      <c r="P1321" s="59"/>
      <c r="Q1321" s="59"/>
      <c r="R1321" s="60">
        <f>IF(AND(P1321="",Q1321=""),"",N(P1321)+N(Q1321))</f>
        <v/>
      </c>
      <c r="S1321" s="59"/>
      <c r="T1321" s="59"/>
      <c r="U1321" s="62">
        <f>IF(OR(R1321="",S1321="",T1321=""),"",IF(S1321+T1321=0,"",R1321/(S1321+T1321)))</f>
        <v/>
      </c>
      <c r="V1321" s="63"/>
      <c r="W1321" s="64"/>
      <c r="X1321" s="63"/>
    </row>
    <row r="1322" spans="2:24">
      <c r="B1322" s="58"/>
      <c r="C1322" s="59"/>
      <c r="D1322" s="59"/>
      <c r="E1322" s="59"/>
      <c r="F1322" s="59"/>
      <c r="G1322" s="60">
        <f>IF(OR(E1322="",F1322="",C1322="",D1322=""),"",IF(C1322+D1322=0,"",(E1322*C1322+F1322*D1322)/(C1322+D1322)))</f>
        <v/>
      </c>
      <c r="H1322" s="59"/>
      <c r="I1322" s="60">
        <f>IF(OR(H1322="",E1322="",C1322="",D1322=""),"",IF(C1322+D1322=0,"",(H1322*D1322+E1322*C1322)/(C1322+D1322)))</f>
        <v/>
      </c>
      <c r="J1322" s="59"/>
      <c r="K1322" s="61">
        <f>IF(OR(J1322="",I1322=""),"",J1322-I1322)</f>
        <v/>
      </c>
      <c r="L1322" s="61">
        <f>IF(OR(J1322="",G1322=""),"",J1322-G1322)</f>
        <v/>
      </c>
      <c r="M1322" s="59"/>
      <c r="N1322" s="59"/>
      <c r="O1322" s="59"/>
      <c r="P1322" s="59"/>
      <c r="Q1322" s="59"/>
      <c r="R1322" s="60">
        <f>IF(AND(P1322="",Q1322=""),"",N(P1322)+N(Q1322))</f>
        <v/>
      </c>
      <c r="S1322" s="59"/>
      <c r="T1322" s="59"/>
      <c r="U1322" s="62">
        <f>IF(OR(R1322="",S1322="",T1322=""),"",IF(S1322+T1322=0,"",R1322/(S1322+T1322)))</f>
        <v/>
      </c>
      <c r="V1322" s="63"/>
      <c r="W1322" s="64"/>
      <c r="X1322" s="63"/>
    </row>
    <row r="1323" spans="2:24">
      <c r="B1323" s="58"/>
      <c r="C1323" s="59"/>
      <c r="D1323" s="59"/>
      <c r="E1323" s="59"/>
      <c r="F1323" s="59"/>
      <c r="G1323" s="60">
        <f>IF(OR(E1323="",F1323="",C1323="",D1323=""),"",IF(C1323+D1323=0,"",(E1323*C1323+F1323*D1323)/(C1323+D1323)))</f>
        <v/>
      </c>
      <c r="H1323" s="59"/>
      <c r="I1323" s="60">
        <f>IF(OR(H1323="",E1323="",C1323="",D1323=""),"",IF(C1323+D1323=0,"",(H1323*D1323+E1323*C1323)/(C1323+D1323)))</f>
        <v/>
      </c>
      <c r="J1323" s="59"/>
      <c r="K1323" s="61">
        <f>IF(OR(J1323="",I1323=""),"",J1323-I1323)</f>
        <v/>
      </c>
      <c r="L1323" s="61">
        <f>IF(OR(J1323="",G1323=""),"",J1323-G1323)</f>
        <v/>
      </c>
      <c r="M1323" s="59"/>
      <c r="N1323" s="59"/>
      <c r="O1323" s="59"/>
      <c r="P1323" s="59"/>
      <c r="Q1323" s="59"/>
      <c r="R1323" s="60">
        <f>IF(AND(P1323="",Q1323=""),"",N(P1323)+N(Q1323))</f>
        <v/>
      </c>
      <c r="S1323" s="59"/>
      <c r="T1323" s="59"/>
      <c r="U1323" s="62">
        <f>IF(OR(R1323="",S1323="",T1323=""),"",IF(S1323+T1323=0,"",R1323/(S1323+T1323)))</f>
        <v/>
      </c>
      <c r="V1323" s="63"/>
      <c r="W1323" s="64"/>
      <c r="X1323" s="63"/>
    </row>
    <row r="1324" spans="2:24">
      <c r="B1324" s="58"/>
      <c r="C1324" s="59"/>
      <c r="D1324" s="59"/>
      <c r="E1324" s="59"/>
      <c r="F1324" s="59"/>
      <c r="G1324" s="60">
        <f>IF(OR(E1324="",F1324="",C1324="",D1324=""),"",IF(C1324+D1324=0,"",(E1324*C1324+F1324*D1324)/(C1324+D1324)))</f>
        <v/>
      </c>
      <c r="H1324" s="59"/>
      <c r="I1324" s="60">
        <f>IF(OR(H1324="",E1324="",C1324="",D1324=""),"",IF(C1324+D1324=0,"",(H1324*D1324+E1324*C1324)/(C1324+D1324)))</f>
        <v/>
      </c>
      <c r="J1324" s="59"/>
      <c r="K1324" s="61">
        <f>IF(OR(J1324="",I1324=""),"",J1324-I1324)</f>
        <v/>
      </c>
      <c r="L1324" s="61">
        <f>IF(OR(J1324="",G1324=""),"",J1324-G1324)</f>
        <v/>
      </c>
      <c r="M1324" s="59"/>
      <c r="N1324" s="59"/>
      <c r="O1324" s="59"/>
      <c r="P1324" s="59"/>
      <c r="Q1324" s="59"/>
      <c r="R1324" s="60">
        <f>IF(AND(P1324="",Q1324=""),"",N(P1324)+N(Q1324))</f>
        <v/>
      </c>
      <c r="S1324" s="59"/>
      <c r="T1324" s="59"/>
      <c r="U1324" s="62">
        <f>IF(OR(R1324="",S1324="",T1324=""),"",IF(S1324+T1324=0,"",R1324/(S1324+T1324)))</f>
        <v/>
      </c>
      <c r="V1324" s="63"/>
      <c r="W1324" s="64"/>
      <c r="X1324" s="63"/>
    </row>
    <row r="1325" spans="2:24">
      <c r="B1325" s="58"/>
      <c r="C1325" s="59"/>
      <c r="D1325" s="59"/>
      <c r="E1325" s="59"/>
      <c r="F1325" s="59"/>
      <c r="G1325" s="60">
        <f>IF(OR(E1325="",F1325="",C1325="",D1325=""),"",IF(C1325+D1325=0,"",(E1325*C1325+F1325*D1325)/(C1325+D1325)))</f>
        <v/>
      </c>
      <c r="H1325" s="59"/>
      <c r="I1325" s="60">
        <f>IF(OR(H1325="",E1325="",C1325="",D1325=""),"",IF(C1325+D1325=0,"",(H1325*D1325+E1325*C1325)/(C1325+D1325)))</f>
        <v/>
      </c>
      <c r="J1325" s="59"/>
      <c r="K1325" s="61">
        <f>IF(OR(J1325="",I1325=""),"",J1325-I1325)</f>
        <v/>
      </c>
      <c r="L1325" s="61">
        <f>IF(OR(J1325="",G1325=""),"",J1325-G1325)</f>
        <v/>
      </c>
      <c r="M1325" s="59"/>
      <c r="N1325" s="59"/>
      <c r="O1325" s="59"/>
      <c r="P1325" s="59"/>
      <c r="Q1325" s="59"/>
      <c r="R1325" s="60">
        <f>IF(AND(P1325="",Q1325=""),"",N(P1325)+N(Q1325))</f>
        <v/>
      </c>
      <c r="S1325" s="59"/>
      <c r="T1325" s="59"/>
      <c r="U1325" s="62">
        <f>IF(OR(R1325="",S1325="",T1325=""),"",IF(S1325+T1325=0,"",R1325/(S1325+T1325)))</f>
        <v/>
      </c>
      <c r="V1325" s="63"/>
      <c r="W1325" s="64"/>
      <c r="X1325" s="63"/>
    </row>
    <row r="1326" spans="2:24">
      <c r="B1326" s="58"/>
      <c r="C1326" s="59"/>
      <c r="D1326" s="59"/>
      <c r="E1326" s="59"/>
      <c r="F1326" s="59"/>
      <c r="G1326" s="60">
        <f>IF(OR(E1326="",F1326="",C1326="",D1326=""),"",IF(C1326+D1326=0,"",(E1326*C1326+F1326*D1326)/(C1326+D1326)))</f>
        <v/>
      </c>
      <c r="H1326" s="59"/>
      <c r="I1326" s="60">
        <f>IF(OR(H1326="",E1326="",C1326="",D1326=""),"",IF(C1326+D1326=0,"",(H1326*D1326+E1326*C1326)/(C1326+D1326)))</f>
        <v/>
      </c>
      <c r="J1326" s="59"/>
      <c r="K1326" s="61">
        <f>IF(OR(J1326="",I1326=""),"",J1326-I1326)</f>
        <v/>
      </c>
      <c r="L1326" s="61">
        <f>IF(OR(J1326="",G1326=""),"",J1326-G1326)</f>
        <v/>
      </c>
      <c r="M1326" s="59"/>
      <c r="N1326" s="59"/>
      <c r="O1326" s="59"/>
      <c r="P1326" s="59"/>
      <c r="Q1326" s="59"/>
      <c r="R1326" s="60">
        <f>IF(AND(P1326="",Q1326=""),"",N(P1326)+N(Q1326))</f>
        <v/>
      </c>
      <c r="S1326" s="59"/>
      <c r="T1326" s="59"/>
      <c r="U1326" s="62">
        <f>IF(OR(R1326="",S1326="",T1326=""),"",IF(S1326+T1326=0,"",R1326/(S1326+T1326)))</f>
        <v/>
      </c>
      <c r="V1326" s="63"/>
      <c r="W1326" s="64"/>
      <c r="X1326" s="63"/>
    </row>
    <row r="1327" spans="2:24">
      <c r="B1327" s="58"/>
      <c r="C1327" s="59"/>
      <c r="D1327" s="59"/>
      <c r="E1327" s="59"/>
      <c r="F1327" s="59"/>
      <c r="G1327" s="60">
        <f>IF(OR(E1327="",F1327="",C1327="",D1327=""),"",IF(C1327+D1327=0,"",(E1327*C1327+F1327*D1327)/(C1327+D1327)))</f>
        <v/>
      </c>
      <c r="H1327" s="59"/>
      <c r="I1327" s="60">
        <f>IF(OR(H1327="",E1327="",C1327="",D1327=""),"",IF(C1327+D1327=0,"",(H1327*D1327+E1327*C1327)/(C1327+D1327)))</f>
        <v/>
      </c>
      <c r="J1327" s="59"/>
      <c r="K1327" s="61">
        <f>IF(OR(J1327="",I1327=""),"",J1327-I1327)</f>
        <v/>
      </c>
      <c r="L1327" s="61">
        <f>IF(OR(J1327="",G1327=""),"",J1327-G1327)</f>
        <v/>
      </c>
      <c r="M1327" s="59"/>
      <c r="N1327" s="59"/>
      <c r="O1327" s="59"/>
      <c r="P1327" s="59"/>
      <c r="Q1327" s="59"/>
      <c r="R1327" s="60">
        <f>IF(AND(P1327="",Q1327=""),"",N(P1327)+N(Q1327))</f>
        <v/>
      </c>
      <c r="S1327" s="59"/>
      <c r="T1327" s="59"/>
      <c r="U1327" s="62">
        <f>IF(OR(R1327="",S1327="",T1327=""),"",IF(S1327+T1327=0,"",R1327/(S1327+T1327)))</f>
        <v/>
      </c>
      <c r="V1327" s="63"/>
      <c r="W1327" s="64"/>
      <c r="X1327" s="63"/>
    </row>
    <row r="1328" spans="2:24">
      <c r="B1328" s="58"/>
      <c r="C1328" s="59"/>
      <c r="D1328" s="59"/>
      <c r="E1328" s="59"/>
      <c r="F1328" s="59"/>
      <c r="G1328" s="60">
        <f>IF(OR(E1328="",F1328="",C1328="",D1328=""),"",IF(C1328+D1328=0,"",(E1328*C1328+F1328*D1328)/(C1328+D1328)))</f>
        <v/>
      </c>
      <c r="H1328" s="59"/>
      <c r="I1328" s="60">
        <f>IF(OR(H1328="",E1328="",C1328="",D1328=""),"",IF(C1328+D1328=0,"",(H1328*D1328+E1328*C1328)/(C1328+D1328)))</f>
        <v/>
      </c>
      <c r="J1328" s="59"/>
      <c r="K1328" s="61">
        <f>IF(OR(J1328="",I1328=""),"",J1328-I1328)</f>
        <v/>
      </c>
      <c r="L1328" s="61">
        <f>IF(OR(J1328="",G1328=""),"",J1328-G1328)</f>
        <v/>
      </c>
      <c r="M1328" s="59"/>
      <c r="N1328" s="59"/>
      <c r="O1328" s="59"/>
      <c r="P1328" s="59"/>
      <c r="Q1328" s="59"/>
      <c r="R1328" s="60">
        <f>IF(AND(P1328="",Q1328=""),"",N(P1328)+N(Q1328))</f>
        <v/>
      </c>
      <c r="S1328" s="59"/>
      <c r="T1328" s="59"/>
      <c r="U1328" s="62">
        <f>IF(OR(R1328="",S1328="",T1328=""),"",IF(S1328+T1328=0,"",R1328/(S1328+T1328)))</f>
        <v/>
      </c>
      <c r="V1328" s="63"/>
      <c r="W1328" s="64"/>
      <c r="X1328" s="63"/>
    </row>
    <row r="1329" spans="2:24">
      <c r="B1329" s="58"/>
      <c r="C1329" s="59"/>
      <c r="D1329" s="59"/>
      <c r="E1329" s="59"/>
      <c r="F1329" s="59"/>
      <c r="G1329" s="60">
        <f>IF(OR(E1329="",F1329="",C1329="",D1329=""),"",IF(C1329+D1329=0,"",(E1329*C1329+F1329*D1329)/(C1329+D1329)))</f>
        <v/>
      </c>
      <c r="H1329" s="59"/>
      <c r="I1329" s="60">
        <f>IF(OR(H1329="",E1329="",C1329="",D1329=""),"",IF(C1329+D1329=0,"",(H1329*D1329+E1329*C1329)/(C1329+D1329)))</f>
        <v/>
      </c>
      <c r="J1329" s="59"/>
      <c r="K1329" s="61">
        <f>IF(OR(J1329="",I1329=""),"",J1329-I1329)</f>
        <v/>
      </c>
      <c r="L1329" s="61">
        <f>IF(OR(J1329="",G1329=""),"",J1329-G1329)</f>
        <v/>
      </c>
      <c r="M1329" s="59"/>
      <c r="N1329" s="59"/>
      <c r="O1329" s="59"/>
      <c r="P1329" s="59"/>
      <c r="Q1329" s="59"/>
      <c r="R1329" s="60">
        <f>IF(AND(P1329="",Q1329=""),"",N(P1329)+N(Q1329))</f>
        <v/>
      </c>
      <c r="S1329" s="59"/>
      <c r="T1329" s="59"/>
      <c r="U1329" s="62">
        <f>IF(OR(R1329="",S1329="",T1329=""),"",IF(S1329+T1329=0,"",R1329/(S1329+T1329)))</f>
        <v/>
      </c>
      <c r="V1329" s="63"/>
      <c r="W1329" s="64"/>
      <c r="X1329" s="63"/>
    </row>
    <row r="1330" spans="2:24">
      <c r="B1330" s="58"/>
      <c r="C1330" s="59"/>
      <c r="D1330" s="59"/>
      <c r="E1330" s="59"/>
      <c r="F1330" s="59"/>
      <c r="G1330" s="60">
        <f>IF(OR(E1330="",F1330="",C1330="",D1330=""),"",IF(C1330+D1330=0,"",(E1330*C1330+F1330*D1330)/(C1330+D1330)))</f>
        <v/>
      </c>
      <c r="H1330" s="59"/>
      <c r="I1330" s="60">
        <f>IF(OR(H1330="",E1330="",C1330="",D1330=""),"",IF(C1330+D1330=0,"",(H1330*D1330+E1330*C1330)/(C1330+D1330)))</f>
        <v/>
      </c>
      <c r="J1330" s="59"/>
      <c r="K1330" s="61">
        <f>IF(OR(J1330="",I1330=""),"",J1330-I1330)</f>
        <v/>
      </c>
      <c r="L1330" s="61">
        <f>IF(OR(J1330="",G1330=""),"",J1330-G1330)</f>
        <v/>
      </c>
      <c r="M1330" s="59"/>
      <c r="N1330" s="59"/>
      <c r="O1330" s="59"/>
      <c r="P1330" s="59"/>
      <c r="Q1330" s="59"/>
      <c r="R1330" s="60">
        <f>IF(AND(P1330="",Q1330=""),"",N(P1330)+N(Q1330))</f>
        <v/>
      </c>
      <c r="S1330" s="59"/>
      <c r="T1330" s="59"/>
      <c r="U1330" s="62">
        <f>IF(OR(R1330="",S1330="",T1330=""),"",IF(S1330+T1330=0,"",R1330/(S1330+T1330)))</f>
        <v/>
      </c>
      <c r="V1330" s="63"/>
      <c r="W1330" s="64"/>
      <c r="X1330" s="63"/>
    </row>
    <row r="1331" spans="2:24">
      <c r="B1331" s="58"/>
      <c r="C1331" s="59"/>
      <c r="D1331" s="59"/>
      <c r="E1331" s="59"/>
      <c r="F1331" s="59"/>
      <c r="G1331" s="60">
        <f>IF(OR(E1331="",F1331="",C1331="",D1331=""),"",IF(C1331+D1331=0,"",(E1331*C1331+F1331*D1331)/(C1331+D1331)))</f>
        <v/>
      </c>
      <c r="H1331" s="59"/>
      <c r="I1331" s="60">
        <f>IF(OR(H1331="",E1331="",C1331="",D1331=""),"",IF(C1331+D1331=0,"",(H1331*D1331+E1331*C1331)/(C1331+D1331)))</f>
        <v/>
      </c>
      <c r="J1331" s="59"/>
      <c r="K1331" s="61">
        <f>IF(OR(J1331="",I1331=""),"",J1331-I1331)</f>
        <v/>
      </c>
      <c r="L1331" s="61">
        <f>IF(OR(J1331="",G1331=""),"",J1331-G1331)</f>
        <v/>
      </c>
      <c r="M1331" s="59"/>
      <c r="N1331" s="59"/>
      <c r="O1331" s="59"/>
      <c r="P1331" s="59"/>
      <c r="Q1331" s="59"/>
      <c r="R1331" s="60">
        <f>IF(AND(P1331="",Q1331=""),"",N(P1331)+N(Q1331))</f>
        <v/>
      </c>
      <c r="S1331" s="59"/>
      <c r="T1331" s="59"/>
      <c r="U1331" s="62">
        <f>IF(OR(R1331="",S1331="",T1331=""),"",IF(S1331+T1331=0,"",R1331/(S1331+T1331)))</f>
        <v/>
      </c>
      <c r="V1331" s="63"/>
      <c r="W1331" s="64"/>
      <c r="X1331" s="63"/>
    </row>
    <row r="1332" spans="2:24">
      <c r="B1332" s="58"/>
      <c r="C1332" s="59"/>
      <c r="D1332" s="59"/>
      <c r="E1332" s="59"/>
      <c r="F1332" s="59"/>
      <c r="G1332" s="60">
        <f>IF(OR(E1332="",F1332="",C1332="",D1332=""),"",IF(C1332+D1332=0,"",(E1332*C1332+F1332*D1332)/(C1332+D1332)))</f>
        <v/>
      </c>
      <c r="H1332" s="59"/>
      <c r="I1332" s="60">
        <f>IF(OR(H1332="",E1332="",C1332="",D1332=""),"",IF(C1332+D1332=0,"",(H1332*D1332+E1332*C1332)/(C1332+D1332)))</f>
        <v/>
      </c>
      <c r="J1332" s="59"/>
      <c r="K1332" s="61">
        <f>IF(OR(J1332="",I1332=""),"",J1332-I1332)</f>
        <v/>
      </c>
      <c r="L1332" s="61">
        <f>IF(OR(J1332="",G1332=""),"",J1332-G1332)</f>
        <v/>
      </c>
      <c r="M1332" s="59"/>
      <c r="N1332" s="59"/>
      <c r="O1332" s="59"/>
      <c r="P1332" s="59"/>
      <c r="Q1332" s="59"/>
      <c r="R1332" s="60">
        <f>IF(AND(P1332="",Q1332=""),"",N(P1332)+N(Q1332))</f>
        <v/>
      </c>
      <c r="S1332" s="59"/>
      <c r="T1332" s="59"/>
      <c r="U1332" s="62">
        <f>IF(OR(R1332="",S1332="",T1332=""),"",IF(S1332+T1332=0,"",R1332/(S1332+T1332)))</f>
        <v/>
      </c>
      <c r="V1332" s="63"/>
      <c r="W1332" s="64"/>
      <c r="X1332" s="63"/>
    </row>
    <row r="1333" spans="2:24">
      <c r="B1333" s="58"/>
      <c r="C1333" s="59"/>
      <c r="D1333" s="59"/>
      <c r="E1333" s="59"/>
      <c r="F1333" s="59"/>
      <c r="G1333" s="60">
        <f>IF(OR(E1333="",F1333="",C1333="",D1333=""),"",IF(C1333+D1333=0,"",(E1333*C1333+F1333*D1333)/(C1333+D1333)))</f>
        <v/>
      </c>
      <c r="H1333" s="59"/>
      <c r="I1333" s="60">
        <f>IF(OR(H1333="",E1333="",C1333="",D1333=""),"",IF(C1333+D1333=0,"",(H1333*D1333+E1333*C1333)/(C1333+D1333)))</f>
        <v/>
      </c>
      <c r="J1333" s="59"/>
      <c r="K1333" s="61">
        <f>IF(OR(J1333="",I1333=""),"",J1333-I1333)</f>
        <v/>
      </c>
      <c r="L1333" s="61">
        <f>IF(OR(J1333="",G1333=""),"",J1333-G1333)</f>
        <v/>
      </c>
      <c r="M1333" s="59"/>
      <c r="N1333" s="59"/>
      <c r="O1333" s="59"/>
      <c r="P1333" s="59"/>
      <c r="Q1333" s="59"/>
      <c r="R1333" s="60">
        <f>IF(AND(P1333="",Q1333=""),"",N(P1333)+N(Q1333))</f>
        <v/>
      </c>
      <c r="S1333" s="59"/>
      <c r="T1333" s="59"/>
      <c r="U1333" s="62">
        <f>IF(OR(R1333="",S1333="",T1333=""),"",IF(S1333+T1333=0,"",R1333/(S1333+T1333)))</f>
        <v/>
      </c>
      <c r="V1333" s="63"/>
      <c r="W1333" s="64"/>
      <c r="X1333" s="63"/>
    </row>
    <row r="1334" spans="2:24">
      <c r="B1334" s="58"/>
      <c r="C1334" s="59"/>
      <c r="D1334" s="59"/>
      <c r="E1334" s="59"/>
      <c r="F1334" s="59"/>
      <c r="G1334" s="60">
        <f>IF(OR(E1334="",F1334="",C1334="",D1334=""),"",IF(C1334+D1334=0,"",(E1334*C1334+F1334*D1334)/(C1334+D1334)))</f>
        <v/>
      </c>
      <c r="H1334" s="59"/>
      <c r="I1334" s="60">
        <f>IF(OR(H1334="",E1334="",C1334="",D1334=""),"",IF(C1334+D1334=0,"",(H1334*D1334+E1334*C1334)/(C1334+D1334)))</f>
        <v/>
      </c>
      <c r="J1334" s="59"/>
      <c r="K1334" s="61">
        <f>IF(OR(J1334="",I1334=""),"",J1334-I1334)</f>
        <v/>
      </c>
      <c r="L1334" s="61">
        <f>IF(OR(J1334="",G1334=""),"",J1334-G1334)</f>
        <v/>
      </c>
      <c r="M1334" s="59"/>
      <c r="N1334" s="59"/>
      <c r="O1334" s="59"/>
      <c r="P1334" s="59"/>
      <c r="Q1334" s="59"/>
      <c r="R1334" s="60">
        <f>IF(AND(P1334="",Q1334=""),"",N(P1334)+N(Q1334))</f>
        <v/>
      </c>
      <c r="S1334" s="59"/>
      <c r="T1334" s="59"/>
      <c r="U1334" s="62">
        <f>IF(OR(R1334="",S1334="",T1334=""),"",IF(S1334+T1334=0,"",R1334/(S1334+T1334)))</f>
        <v/>
      </c>
      <c r="V1334" s="63"/>
      <c r="W1334" s="64"/>
      <c r="X1334" s="63"/>
    </row>
    <row r="1335" spans="2:24">
      <c r="B1335" s="58"/>
      <c r="C1335" s="59"/>
      <c r="D1335" s="59"/>
      <c r="E1335" s="59"/>
      <c r="F1335" s="59"/>
      <c r="G1335" s="60">
        <f>IF(OR(E1335="",F1335="",C1335="",D1335=""),"",IF(C1335+D1335=0,"",(E1335*C1335+F1335*D1335)/(C1335+D1335)))</f>
        <v/>
      </c>
      <c r="H1335" s="59"/>
      <c r="I1335" s="60">
        <f>IF(OR(H1335="",E1335="",C1335="",D1335=""),"",IF(C1335+D1335=0,"",(H1335*D1335+E1335*C1335)/(C1335+D1335)))</f>
        <v/>
      </c>
      <c r="J1335" s="59"/>
      <c r="K1335" s="61">
        <f>IF(OR(J1335="",I1335=""),"",J1335-I1335)</f>
        <v/>
      </c>
      <c r="L1335" s="61">
        <f>IF(OR(J1335="",G1335=""),"",J1335-G1335)</f>
        <v/>
      </c>
      <c r="M1335" s="59"/>
      <c r="N1335" s="59"/>
      <c r="O1335" s="59"/>
      <c r="P1335" s="59"/>
      <c r="Q1335" s="59"/>
      <c r="R1335" s="60">
        <f>IF(AND(P1335="",Q1335=""),"",N(P1335)+N(Q1335))</f>
        <v/>
      </c>
      <c r="S1335" s="59"/>
      <c r="T1335" s="59"/>
      <c r="U1335" s="62">
        <f>IF(OR(R1335="",S1335="",T1335=""),"",IF(S1335+T1335=0,"",R1335/(S1335+T1335)))</f>
        <v/>
      </c>
      <c r="V1335" s="63"/>
      <c r="W1335" s="64"/>
      <c r="X1335" s="63"/>
    </row>
    <row r="1336" spans="2:24">
      <c r="B1336" s="58"/>
      <c r="C1336" s="59"/>
      <c r="D1336" s="59"/>
      <c r="E1336" s="59"/>
      <c r="F1336" s="59"/>
      <c r="G1336" s="60">
        <f>IF(OR(E1336="",F1336="",C1336="",D1336=""),"",IF(C1336+D1336=0,"",(E1336*C1336+F1336*D1336)/(C1336+D1336)))</f>
        <v/>
      </c>
      <c r="H1336" s="59"/>
      <c r="I1336" s="60">
        <f>IF(OR(H1336="",E1336="",C1336="",D1336=""),"",IF(C1336+D1336=0,"",(H1336*D1336+E1336*C1336)/(C1336+D1336)))</f>
        <v/>
      </c>
      <c r="J1336" s="59"/>
      <c r="K1336" s="61">
        <f>IF(OR(J1336="",I1336=""),"",J1336-I1336)</f>
        <v/>
      </c>
      <c r="L1336" s="61">
        <f>IF(OR(J1336="",G1336=""),"",J1336-G1336)</f>
        <v/>
      </c>
      <c r="M1336" s="59"/>
      <c r="N1336" s="59"/>
      <c r="O1336" s="59"/>
      <c r="P1336" s="59"/>
      <c r="Q1336" s="59"/>
      <c r="R1336" s="60">
        <f>IF(AND(P1336="",Q1336=""),"",N(P1336)+N(Q1336))</f>
        <v/>
      </c>
      <c r="S1336" s="59"/>
      <c r="T1336" s="59"/>
      <c r="U1336" s="62">
        <f>IF(OR(R1336="",S1336="",T1336=""),"",IF(S1336+T1336=0,"",R1336/(S1336+T1336)))</f>
        <v/>
      </c>
      <c r="V1336" s="63"/>
      <c r="W1336" s="64"/>
      <c r="X1336" s="63"/>
    </row>
    <row r="1337" spans="2:24">
      <c r="B1337" s="58"/>
      <c r="C1337" s="59"/>
      <c r="D1337" s="59"/>
      <c r="E1337" s="59"/>
      <c r="F1337" s="59"/>
      <c r="G1337" s="60">
        <f>IF(OR(E1337="",F1337="",C1337="",D1337=""),"",IF(C1337+D1337=0,"",(E1337*C1337+F1337*D1337)/(C1337+D1337)))</f>
        <v/>
      </c>
      <c r="H1337" s="59"/>
      <c r="I1337" s="60">
        <f>IF(OR(H1337="",E1337="",C1337="",D1337=""),"",IF(C1337+D1337=0,"",(H1337*D1337+E1337*C1337)/(C1337+D1337)))</f>
        <v/>
      </c>
      <c r="J1337" s="59"/>
      <c r="K1337" s="61">
        <f>IF(OR(J1337="",I1337=""),"",J1337-I1337)</f>
        <v/>
      </c>
      <c r="L1337" s="61">
        <f>IF(OR(J1337="",G1337=""),"",J1337-G1337)</f>
        <v/>
      </c>
      <c r="M1337" s="59"/>
      <c r="N1337" s="59"/>
      <c r="O1337" s="59"/>
      <c r="P1337" s="59"/>
      <c r="Q1337" s="59"/>
      <c r="R1337" s="60">
        <f>IF(AND(P1337="",Q1337=""),"",N(P1337)+N(Q1337))</f>
        <v/>
      </c>
      <c r="S1337" s="59"/>
      <c r="T1337" s="59"/>
      <c r="U1337" s="62">
        <f>IF(OR(R1337="",S1337="",T1337=""),"",IF(S1337+T1337=0,"",R1337/(S1337+T1337)))</f>
        <v/>
      </c>
      <c r="V1337" s="63"/>
      <c r="W1337" s="64"/>
      <c r="X1337" s="63"/>
    </row>
    <row r="1338" spans="2:24">
      <c r="B1338" s="58"/>
      <c r="C1338" s="59"/>
      <c r="D1338" s="59"/>
      <c r="E1338" s="59"/>
      <c r="F1338" s="59"/>
      <c r="G1338" s="60">
        <f>IF(OR(E1338="",F1338="",C1338="",D1338=""),"",IF(C1338+D1338=0,"",(E1338*C1338+F1338*D1338)/(C1338+D1338)))</f>
        <v/>
      </c>
      <c r="H1338" s="59"/>
      <c r="I1338" s="60">
        <f>IF(OR(H1338="",E1338="",C1338="",D1338=""),"",IF(C1338+D1338=0,"",(H1338*D1338+E1338*C1338)/(C1338+D1338)))</f>
        <v/>
      </c>
      <c r="J1338" s="59"/>
      <c r="K1338" s="61">
        <f>IF(OR(J1338="",I1338=""),"",J1338-I1338)</f>
        <v/>
      </c>
      <c r="L1338" s="61">
        <f>IF(OR(J1338="",G1338=""),"",J1338-G1338)</f>
        <v/>
      </c>
      <c r="M1338" s="59"/>
      <c r="N1338" s="59"/>
      <c r="O1338" s="59"/>
      <c r="P1338" s="59"/>
      <c r="Q1338" s="59"/>
      <c r="R1338" s="60">
        <f>IF(AND(P1338="",Q1338=""),"",N(P1338)+N(Q1338))</f>
        <v/>
      </c>
      <c r="S1338" s="59"/>
      <c r="T1338" s="59"/>
      <c r="U1338" s="62">
        <f>IF(OR(R1338="",S1338="",T1338=""),"",IF(S1338+T1338=0,"",R1338/(S1338+T1338)))</f>
        <v/>
      </c>
      <c r="V1338" s="63"/>
      <c r="W1338" s="64"/>
      <c r="X1338" s="63"/>
    </row>
    <row r="1339" spans="2:24">
      <c r="B1339" s="58"/>
      <c r="C1339" s="59"/>
      <c r="D1339" s="59"/>
      <c r="E1339" s="59"/>
      <c r="F1339" s="59"/>
      <c r="G1339" s="60">
        <f>IF(OR(E1339="",F1339="",C1339="",D1339=""),"",IF(C1339+D1339=0,"",(E1339*C1339+F1339*D1339)/(C1339+D1339)))</f>
        <v/>
      </c>
      <c r="H1339" s="59"/>
      <c r="I1339" s="60">
        <f>IF(OR(H1339="",E1339="",C1339="",D1339=""),"",IF(C1339+D1339=0,"",(H1339*D1339+E1339*C1339)/(C1339+D1339)))</f>
        <v/>
      </c>
      <c r="J1339" s="59"/>
      <c r="K1339" s="61">
        <f>IF(OR(J1339="",I1339=""),"",J1339-I1339)</f>
        <v/>
      </c>
      <c r="L1339" s="61">
        <f>IF(OR(J1339="",G1339=""),"",J1339-G1339)</f>
        <v/>
      </c>
      <c r="M1339" s="59"/>
      <c r="N1339" s="59"/>
      <c r="O1339" s="59"/>
      <c r="P1339" s="59"/>
      <c r="Q1339" s="59"/>
      <c r="R1339" s="60">
        <f>IF(AND(P1339="",Q1339=""),"",N(P1339)+N(Q1339))</f>
        <v/>
      </c>
      <c r="S1339" s="59"/>
      <c r="T1339" s="59"/>
      <c r="U1339" s="62">
        <f>IF(OR(R1339="",S1339="",T1339=""),"",IF(S1339+T1339=0,"",R1339/(S1339+T1339)))</f>
        <v/>
      </c>
      <c r="V1339" s="63"/>
      <c r="W1339" s="64"/>
      <c r="X1339" s="63"/>
    </row>
    <row r="1340" spans="2:24">
      <c r="B1340" s="58"/>
      <c r="C1340" s="59"/>
      <c r="D1340" s="59"/>
      <c r="E1340" s="59"/>
      <c r="F1340" s="59"/>
      <c r="G1340" s="60">
        <f>IF(OR(E1340="",F1340="",C1340="",D1340=""),"",IF(C1340+D1340=0,"",(E1340*C1340+F1340*D1340)/(C1340+D1340)))</f>
        <v/>
      </c>
      <c r="H1340" s="59"/>
      <c r="I1340" s="60">
        <f>IF(OR(H1340="",E1340="",C1340="",D1340=""),"",IF(C1340+D1340=0,"",(H1340*D1340+E1340*C1340)/(C1340+D1340)))</f>
        <v/>
      </c>
      <c r="J1340" s="59"/>
      <c r="K1340" s="61">
        <f>IF(OR(J1340="",I1340=""),"",J1340-I1340)</f>
        <v/>
      </c>
      <c r="L1340" s="61">
        <f>IF(OR(J1340="",G1340=""),"",J1340-G1340)</f>
        <v/>
      </c>
      <c r="M1340" s="59"/>
      <c r="N1340" s="59"/>
      <c r="O1340" s="59"/>
      <c r="P1340" s="59"/>
      <c r="Q1340" s="59"/>
      <c r="R1340" s="60">
        <f>IF(AND(P1340="",Q1340=""),"",N(P1340)+N(Q1340))</f>
        <v/>
      </c>
      <c r="S1340" s="59"/>
      <c r="T1340" s="59"/>
      <c r="U1340" s="62">
        <f>IF(OR(R1340="",S1340="",T1340=""),"",IF(S1340+T1340=0,"",R1340/(S1340+T1340)))</f>
        <v/>
      </c>
      <c r="V1340" s="63"/>
      <c r="W1340" s="64"/>
      <c r="X1340" s="63"/>
    </row>
    <row r="1341" spans="2:24">
      <c r="B1341" s="58"/>
      <c r="C1341" s="59"/>
      <c r="D1341" s="59"/>
      <c r="E1341" s="59"/>
      <c r="F1341" s="59"/>
      <c r="G1341" s="60">
        <f>IF(OR(E1341="",F1341="",C1341="",D1341=""),"",IF(C1341+D1341=0,"",(E1341*C1341+F1341*D1341)/(C1341+D1341)))</f>
        <v/>
      </c>
      <c r="H1341" s="59"/>
      <c r="I1341" s="60">
        <f>IF(OR(H1341="",E1341="",C1341="",D1341=""),"",IF(C1341+D1341=0,"",(H1341*D1341+E1341*C1341)/(C1341+D1341)))</f>
        <v/>
      </c>
      <c r="J1341" s="59"/>
      <c r="K1341" s="61">
        <f>IF(OR(J1341="",I1341=""),"",J1341-I1341)</f>
        <v/>
      </c>
      <c r="L1341" s="61">
        <f>IF(OR(J1341="",G1341=""),"",J1341-G1341)</f>
        <v/>
      </c>
      <c r="M1341" s="59"/>
      <c r="N1341" s="59"/>
      <c r="O1341" s="59"/>
      <c r="P1341" s="59"/>
      <c r="Q1341" s="59"/>
      <c r="R1341" s="60">
        <f>IF(AND(P1341="",Q1341=""),"",N(P1341)+N(Q1341))</f>
        <v/>
      </c>
      <c r="S1341" s="59"/>
      <c r="T1341" s="59"/>
      <c r="U1341" s="62">
        <f>IF(OR(R1341="",S1341="",T1341=""),"",IF(S1341+T1341=0,"",R1341/(S1341+T1341)))</f>
        <v/>
      </c>
      <c r="V1341" s="63"/>
      <c r="W1341" s="64"/>
      <c r="X1341" s="63"/>
    </row>
    <row r="1342" spans="2:24">
      <c r="B1342" s="58"/>
      <c r="C1342" s="59"/>
      <c r="D1342" s="59"/>
      <c r="E1342" s="59"/>
      <c r="F1342" s="59"/>
      <c r="G1342" s="60">
        <f>IF(OR(E1342="",F1342="",C1342="",D1342=""),"",IF(C1342+D1342=0,"",(E1342*C1342+F1342*D1342)/(C1342+D1342)))</f>
        <v/>
      </c>
      <c r="H1342" s="59"/>
      <c r="I1342" s="60">
        <f>IF(OR(H1342="",E1342="",C1342="",D1342=""),"",IF(C1342+D1342=0,"",(H1342*D1342+E1342*C1342)/(C1342+D1342)))</f>
        <v/>
      </c>
      <c r="J1342" s="59"/>
      <c r="K1342" s="61">
        <f>IF(OR(J1342="",I1342=""),"",J1342-I1342)</f>
        <v/>
      </c>
      <c r="L1342" s="61">
        <f>IF(OR(J1342="",G1342=""),"",J1342-G1342)</f>
        <v/>
      </c>
      <c r="M1342" s="59"/>
      <c r="N1342" s="59"/>
      <c r="O1342" s="59"/>
      <c r="P1342" s="59"/>
      <c r="Q1342" s="59"/>
      <c r="R1342" s="60">
        <f>IF(AND(P1342="",Q1342=""),"",N(P1342)+N(Q1342))</f>
        <v/>
      </c>
      <c r="S1342" s="59"/>
      <c r="T1342" s="59"/>
      <c r="U1342" s="62">
        <f>IF(OR(R1342="",S1342="",T1342=""),"",IF(S1342+T1342=0,"",R1342/(S1342+T1342)))</f>
        <v/>
      </c>
      <c r="V1342" s="63"/>
      <c r="W1342" s="64"/>
      <c r="X1342" s="63"/>
    </row>
    <row r="1343" spans="2:24">
      <c r="B1343" s="58"/>
      <c r="C1343" s="59"/>
      <c r="D1343" s="59"/>
      <c r="E1343" s="59"/>
      <c r="F1343" s="59"/>
      <c r="G1343" s="60">
        <f>IF(OR(E1343="",F1343="",C1343="",D1343=""),"",IF(C1343+D1343=0,"",(E1343*C1343+F1343*D1343)/(C1343+D1343)))</f>
        <v/>
      </c>
      <c r="H1343" s="59"/>
      <c r="I1343" s="60">
        <f>IF(OR(H1343="",E1343="",C1343="",D1343=""),"",IF(C1343+D1343=0,"",(H1343*D1343+E1343*C1343)/(C1343+D1343)))</f>
        <v/>
      </c>
      <c r="J1343" s="59"/>
      <c r="K1343" s="61">
        <f>IF(OR(J1343="",I1343=""),"",J1343-I1343)</f>
        <v/>
      </c>
      <c r="L1343" s="61">
        <f>IF(OR(J1343="",G1343=""),"",J1343-G1343)</f>
        <v/>
      </c>
      <c r="M1343" s="59"/>
      <c r="N1343" s="59"/>
      <c r="O1343" s="59"/>
      <c r="P1343" s="59"/>
      <c r="Q1343" s="59"/>
      <c r="R1343" s="60">
        <f>IF(AND(P1343="",Q1343=""),"",N(P1343)+N(Q1343))</f>
        <v/>
      </c>
      <c r="S1343" s="59"/>
      <c r="T1343" s="59"/>
      <c r="U1343" s="62">
        <f>IF(OR(R1343="",S1343="",T1343=""),"",IF(S1343+T1343=0,"",R1343/(S1343+T1343)))</f>
        <v/>
      </c>
      <c r="V1343" s="63"/>
      <c r="W1343" s="64"/>
      <c r="X1343" s="63"/>
    </row>
    <row r="1344" spans="2:24">
      <c r="B1344" s="58"/>
      <c r="C1344" s="59"/>
      <c r="D1344" s="59"/>
      <c r="E1344" s="59"/>
      <c r="F1344" s="59"/>
      <c r="G1344" s="60">
        <f>IF(OR(E1344="",F1344="",C1344="",D1344=""),"",IF(C1344+D1344=0,"",(E1344*C1344+F1344*D1344)/(C1344+D1344)))</f>
        <v/>
      </c>
      <c r="H1344" s="59"/>
      <c r="I1344" s="60">
        <f>IF(OR(H1344="",E1344="",C1344="",D1344=""),"",IF(C1344+D1344=0,"",(H1344*D1344+E1344*C1344)/(C1344+D1344)))</f>
        <v/>
      </c>
      <c r="J1344" s="59"/>
      <c r="K1344" s="61">
        <f>IF(OR(J1344="",I1344=""),"",J1344-I1344)</f>
        <v/>
      </c>
      <c r="L1344" s="61">
        <f>IF(OR(J1344="",G1344=""),"",J1344-G1344)</f>
        <v/>
      </c>
      <c r="M1344" s="59"/>
      <c r="N1344" s="59"/>
      <c r="O1344" s="59"/>
      <c r="P1344" s="59"/>
      <c r="Q1344" s="59"/>
      <c r="R1344" s="60">
        <f>IF(AND(P1344="",Q1344=""),"",N(P1344)+N(Q1344))</f>
        <v/>
      </c>
      <c r="S1344" s="59"/>
      <c r="T1344" s="59"/>
      <c r="U1344" s="62">
        <f>IF(OR(R1344="",S1344="",T1344=""),"",IF(S1344+T1344=0,"",R1344/(S1344+T1344)))</f>
        <v/>
      </c>
      <c r="V1344" s="63"/>
      <c r="W1344" s="64"/>
      <c r="X1344" s="63"/>
    </row>
    <row r="1345" spans="2:24">
      <c r="B1345" s="58"/>
      <c r="C1345" s="59"/>
      <c r="D1345" s="59"/>
      <c r="E1345" s="59"/>
      <c r="F1345" s="59"/>
      <c r="G1345" s="60">
        <f>IF(OR(E1345="",F1345="",C1345="",D1345=""),"",IF(C1345+D1345=0,"",(E1345*C1345+F1345*D1345)/(C1345+D1345)))</f>
        <v/>
      </c>
      <c r="H1345" s="59"/>
      <c r="I1345" s="60">
        <f>IF(OR(H1345="",E1345="",C1345="",D1345=""),"",IF(C1345+D1345=0,"",(H1345*D1345+E1345*C1345)/(C1345+D1345)))</f>
        <v/>
      </c>
      <c r="J1345" s="59"/>
      <c r="K1345" s="61">
        <f>IF(OR(J1345="",I1345=""),"",J1345-I1345)</f>
        <v/>
      </c>
      <c r="L1345" s="61">
        <f>IF(OR(J1345="",G1345=""),"",J1345-G1345)</f>
        <v/>
      </c>
      <c r="M1345" s="59"/>
      <c r="N1345" s="59"/>
      <c r="O1345" s="59"/>
      <c r="P1345" s="59"/>
      <c r="Q1345" s="59"/>
      <c r="R1345" s="60">
        <f>IF(AND(P1345="",Q1345=""),"",N(P1345)+N(Q1345))</f>
        <v/>
      </c>
      <c r="S1345" s="59"/>
      <c r="T1345" s="59"/>
      <c r="U1345" s="62">
        <f>IF(OR(R1345="",S1345="",T1345=""),"",IF(S1345+T1345=0,"",R1345/(S1345+T1345)))</f>
        <v/>
      </c>
      <c r="V1345" s="63"/>
      <c r="W1345" s="64"/>
      <c r="X1345" s="63"/>
    </row>
    <row r="1346" spans="2:24">
      <c r="B1346" s="58"/>
      <c r="C1346" s="59"/>
      <c r="D1346" s="59"/>
      <c r="E1346" s="59"/>
      <c r="F1346" s="59"/>
      <c r="G1346" s="60">
        <f>IF(OR(E1346="",F1346="",C1346="",D1346=""),"",IF(C1346+D1346=0,"",(E1346*C1346+F1346*D1346)/(C1346+D1346)))</f>
        <v/>
      </c>
      <c r="H1346" s="59"/>
      <c r="I1346" s="60">
        <f>IF(OR(H1346="",E1346="",C1346="",D1346=""),"",IF(C1346+D1346=0,"",(H1346*D1346+E1346*C1346)/(C1346+D1346)))</f>
        <v/>
      </c>
      <c r="J1346" s="59"/>
      <c r="K1346" s="61">
        <f>IF(OR(J1346="",I1346=""),"",J1346-I1346)</f>
        <v/>
      </c>
      <c r="L1346" s="61">
        <f>IF(OR(J1346="",G1346=""),"",J1346-G1346)</f>
        <v/>
      </c>
      <c r="M1346" s="59"/>
      <c r="N1346" s="59"/>
      <c r="O1346" s="59"/>
      <c r="P1346" s="59"/>
      <c r="Q1346" s="59"/>
      <c r="R1346" s="60">
        <f>IF(AND(P1346="",Q1346=""),"",N(P1346)+N(Q1346))</f>
        <v/>
      </c>
      <c r="S1346" s="59"/>
      <c r="T1346" s="59"/>
      <c r="U1346" s="62">
        <f>IF(OR(R1346="",S1346="",T1346=""),"",IF(S1346+T1346=0,"",R1346/(S1346+T1346)))</f>
        <v/>
      </c>
      <c r="V1346" s="63"/>
      <c r="W1346" s="64"/>
      <c r="X1346" s="63"/>
    </row>
    <row r="1347" spans="2:24">
      <c r="B1347" s="58"/>
      <c r="C1347" s="59"/>
      <c r="D1347" s="59"/>
      <c r="E1347" s="59"/>
      <c r="F1347" s="59"/>
      <c r="G1347" s="60">
        <f>IF(OR(E1347="",F1347="",C1347="",D1347=""),"",IF(C1347+D1347=0,"",(E1347*C1347+F1347*D1347)/(C1347+D1347)))</f>
        <v/>
      </c>
      <c r="H1347" s="59"/>
      <c r="I1347" s="60">
        <f>IF(OR(H1347="",E1347="",C1347="",D1347=""),"",IF(C1347+D1347=0,"",(H1347*D1347+E1347*C1347)/(C1347+D1347)))</f>
        <v/>
      </c>
      <c r="J1347" s="59"/>
      <c r="K1347" s="61">
        <f>IF(OR(J1347="",I1347=""),"",J1347-I1347)</f>
        <v/>
      </c>
      <c r="L1347" s="61">
        <f>IF(OR(J1347="",G1347=""),"",J1347-G1347)</f>
        <v/>
      </c>
      <c r="M1347" s="59"/>
      <c r="N1347" s="59"/>
      <c r="O1347" s="59"/>
      <c r="P1347" s="59"/>
      <c r="Q1347" s="59"/>
      <c r="R1347" s="60">
        <f>IF(AND(P1347="",Q1347=""),"",N(P1347)+N(Q1347))</f>
        <v/>
      </c>
      <c r="S1347" s="59"/>
      <c r="T1347" s="59"/>
      <c r="U1347" s="62">
        <f>IF(OR(R1347="",S1347="",T1347=""),"",IF(S1347+T1347=0,"",R1347/(S1347+T1347)))</f>
        <v/>
      </c>
      <c r="V1347" s="63"/>
      <c r="W1347" s="64"/>
      <c r="X1347" s="63"/>
    </row>
    <row r="1348" spans="2:24">
      <c r="B1348" s="58"/>
      <c r="C1348" s="59"/>
      <c r="D1348" s="59"/>
      <c r="E1348" s="59"/>
      <c r="F1348" s="59"/>
      <c r="G1348" s="60">
        <f>IF(OR(E1348="",F1348="",C1348="",D1348=""),"",IF(C1348+D1348=0,"",(E1348*C1348+F1348*D1348)/(C1348+D1348)))</f>
        <v/>
      </c>
      <c r="H1348" s="59"/>
      <c r="I1348" s="60">
        <f>IF(OR(H1348="",E1348="",C1348="",D1348=""),"",IF(C1348+D1348=0,"",(H1348*D1348+E1348*C1348)/(C1348+D1348)))</f>
        <v/>
      </c>
      <c r="J1348" s="59"/>
      <c r="K1348" s="61">
        <f>IF(OR(J1348="",I1348=""),"",J1348-I1348)</f>
        <v/>
      </c>
      <c r="L1348" s="61">
        <f>IF(OR(J1348="",G1348=""),"",J1348-G1348)</f>
        <v/>
      </c>
      <c r="M1348" s="59"/>
      <c r="N1348" s="59"/>
      <c r="O1348" s="59"/>
      <c r="P1348" s="59"/>
      <c r="Q1348" s="59"/>
      <c r="R1348" s="60">
        <f>IF(AND(P1348="",Q1348=""),"",N(P1348)+N(Q1348))</f>
        <v/>
      </c>
      <c r="S1348" s="59"/>
      <c r="T1348" s="59"/>
      <c r="U1348" s="62">
        <f>IF(OR(R1348="",S1348="",T1348=""),"",IF(S1348+T1348=0,"",R1348/(S1348+T1348)))</f>
        <v/>
      </c>
      <c r="V1348" s="63"/>
      <c r="W1348" s="64"/>
      <c r="X1348" s="63"/>
    </row>
    <row r="1349" spans="2:24">
      <c r="B1349" s="58"/>
      <c r="C1349" s="59"/>
      <c r="D1349" s="59"/>
      <c r="E1349" s="59"/>
      <c r="F1349" s="59"/>
      <c r="G1349" s="60">
        <f>IF(OR(E1349="",F1349="",C1349="",D1349=""),"",IF(C1349+D1349=0,"",(E1349*C1349+F1349*D1349)/(C1349+D1349)))</f>
        <v/>
      </c>
      <c r="H1349" s="59"/>
      <c r="I1349" s="60">
        <f>IF(OR(H1349="",E1349="",C1349="",D1349=""),"",IF(C1349+D1349=0,"",(H1349*D1349+E1349*C1349)/(C1349+D1349)))</f>
        <v/>
      </c>
      <c r="J1349" s="59"/>
      <c r="K1349" s="61">
        <f>IF(OR(J1349="",I1349=""),"",J1349-I1349)</f>
        <v/>
      </c>
      <c r="L1349" s="61">
        <f>IF(OR(J1349="",G1349=""),"",J1349-G1349)</f>
        <v/>
      </c>
      <c r="M1349" s="59"/>
      <c r="N1349" s="59"/>
      <c r="O1349" s="59"/>
      <c r="P1349" s="59"/>
      <c r="Q1349" s="59"/>
      <c r="R1349" s="60">
        <f>IF(AND(P1349="",Q1349=""),"",N(P1349)+N(Q1349))</f>
        <v/>
      </c>
      <c r="S1349" s="59"/>
      <c r="T1349" s="59"/>
      <c r="U1349" s="62">
        <f>IF(OR(R1349="",S1349="",T1349=""),"",IF(S1349+T1349=0,"",R1349/(S1349+T1349)))</f>
        <v/>
      </c>
      <c r="V1349" s="63"/>
      <c r="W1349" s="64"/>
      <c r="X1349" s="63"/>
    </row>
    <row r="1350" spans="2:24">
      <c r="B1350" s="58"/>
      <c r="C1350" s="59"/>
      <c r="D1350" s="59"/>
      <c r="E1350" s="59"/>
      <c r="F1350" s="59"/>
      <c r="G1350" s="60">
        <f>IF(OR(E1350="",F1350="",C1350="",D1350=""),"",IF(C1350+D1350=0,"",(E1350*C1350+F1350*D1350)/(C1350+D1350)))</f>
        <v/>
      </c>
      <c r="H1350" s="59"/>
      <c r="I1350" s="60">
        <f>IF(OR(H1350="",E1350="",C1350="",D1350=""),"",IF(C1350+D1350=0,"",(H1350*D1350+E1350*C1350)/(C1350+D1350)))</f>
        <v/>
      </c>
      <c r="J1350" s="59"/>
      <c r="K1350" s="61">
        <f>IF(OR(J1350="",I1350=""),"",J1350-I1350)</f>
        <v/>
      </c>
      <c r="L1350" s="61">
        <f>IF(OR(J1350="",G1350=""),"",J1350-G1350)</f>
        <v/>
      </c>
      <c r="M1350" s="59"/>
      <c r="N1350" s="59"/>
      <c r="O1350" s="59"/>
      <c r="P1350" s="59"/>
      <c r="Q1350" s="59"/>
      <c r="R1350" s="60">
        <f>IF(AND(P1350="",Q1350=""),"",N(P1350)+N(Q1350))</f>
        <v/>
      </c>
      <c r="S1350" s="59"/>
      <c r="T1350" s="59"/>
      <c r="U1350" s="62">
        <f>IF(OR(R1350="",S1350="",T1350=""),"",IF(S1350+T1350=0,"",R1350/(S1350+T1350)))</f>
        <v/>
      </c>
      <c r="V1350" s="63"/>
      <c r="W1350" s="64"/>
      <c r="X1350" s="63"/>
    </row>
    <row r="1351" spans="2:24">
      <c r="B1351" s="58"/>
      <c r="C1351" s="59"/>
      <c r="D1351" s="59"/>
      <c r="E1351" s="59"/>
      <c r="F1351" s="59"/>
      <c r="G1351" s="60">
        <f>IF(OR(E1351="",F1351="",C1351="",D1351=""),"",IF(C1351+D1351=0,"",(E1351*C1351+F1351*D1351)/(C1351+D1351)))</f>
        <v/>
      </c>
      <c r="H1351" s="59"/>
      <c r="I1351" s="60">
        <f>IF(OR(H1351="",E1351="",C1351="",D1351=""),"",IF(C1351+D1351=0,"",(H1351*D1351+E1351*C1351)/(C1351+D1351)))</f>
        <v/>
      </c>
      <c r="J1351" s="59"/>
      <c r="K1351" s="61">
        <f>IF(OR(J1351="",I1351=""),"",J1351-I1351)</f>
        <v/>
      </c>
      <c r="L1351" s="61">
        <f>IF(OR(J1351="",G1351=""),"",J1351-G1351)</f>
        <v/>
      </c>
      <c r="M1351" s="59"/>
      <c r="N1351" s="59"/>
      <c r="O1351" s="59"/>
      <c r="P1351" s="59"/>
      <c r="Q1351" s="59"/>
      <c r="R1351" s="60">
        <f>IF(AND(P1351="",Q1351=""),"",N(P1351)+N(Q1351))</f>
        <v/>
      </c>
      <c r="S1351" s="59"/>
      <c r="T1351" s="59"/>
      <c r="U1351" s="62">
        <f>IF(OR(R1351="",S1351="",T1351=""),"",IF(S1351+T1351=0,"",R1351/(S1351+T1351)))</f>
        <v/>
      </c>
      <c r="V1351" s="63"/>
      <c r="W1351" s="64"/>
      <c r="X1351" s="63"/>
    </row>
    <row r="1352" spans="2:24">
      <c r="B1352" s="58"/>
      <c r="C1352" s="59"/>
      <c r="D1352" s="59"/>
      <c r="E1352" s="59"/>
      <c r="F1352" s="59"/>
      <c r="G1352" s="60">
        <f>IF(OR(E1352="",F1352="",C1352="",D1352=""),"",IF(C1352+D1352=0,"",(E1352*C1352+F1352*D1352)/(C1352+D1352)))</f>
        <v/>
      </c>
      <c r="H1352" s="59"/>
      <c r="I1352" s="60">
        <f>IF(OR(H1352="",E1352="",C1352="",D1352=""),"",IF(C1352+D1352=0,"",(H1352*D1352+E1352*C1352)/(C1352+D1352)))</f>
        <v/>
      </c>
      <c r="J1352" s="59"/>
      <c r="K1352" s="61">
        <f>IF(OR(J1352="",I1352=""),"",J1352-I1352)</f>
        <v/>
      </c>
      <c r="L1352" s="61">
        <f>IF(OR(J1352="",G1352=""),"",J1352-G1352)</f>
        <v/>
      </c>
      <c r="M1352" s="59"/>
      <c r="N1352" s="59"/>
      <c r="O1352" s="59"/>
      <c r="P1352" s="59"/>
      <c r="Q1352" s="59"/>
      <c r="R1352" s="60">
        <f>IF(AND(P1352="",Q1352=""),"",N(P1352)+N(Q1352))</f>
        <v/>
      </c>
      <c r="S1352" s="59"/>
      <c r="T1352" s="59"/>
      <c r="U1352" s="62">
        <f>IF(OR(R1352="",S1352="",T1352=""),"",IF(S1352+T1352=0,"",R1352/(S1352+T1352)))</f>
        <v/>
      </c>
      <c r="V1352" s="63"/>
      <c r="W1352" s="64"/>
      <c r="X1352" s="63"/>
    </row>
    <row r="1353" spans="2:24">
      <c r="B1353" s="58"/>
      <c r="C1353" s="59"/>
      <c r="D1353" s="59"/>
      <c r="E1353" s="59"/>
      <c r="F1353" s="59"/>
      <c r="G1353" s="60">
        <f>IF(OR(E1353="",F1353="",C1353="",D1353=""),"",IF(C1353+D1353=0,"",(E1353*C1353+F1353*D1353)/(C1353+D1353)))</f>
        <v/>
      </c>
      <c r="H1353" s="59"/>
      <c r="I1353" s="60">
        <f>IF(OR(H1353="",E1353="",C1353="",D1353=""),"",IF(C1353+D1353=0,"",(H1353*D1353+E1353*C1353)/(C1353+D1353)))</f>
        <v/>
      </c>
      <c r="J1353" s="59"/>
      <c r="K1353" s="61">
        <f>IF(OR(J1353="",I1353=""),"",J1353-I1353)</f>
        <v/>
      </c>
      <c r="L1353" s="61">
        <f>IF(OR(J1353="",G1353=""),"",J1353-G1353)</f>
        <v/>
      </c>
      <c r="M1353" s="59"/>
      <c r="N1353" s="59"/>
      <c r="O1353" s="59"/>
      <c r="P1353" s="59"/>
      <c r="Q1353" s="59"/>
      <c r="R1353" s="60">
        <f>IF(AND(P1353="",Q1353=""),"",N(P1353)+N(Q1353))</f>
        <v/>
      </c>
      <c r="S1353" s="59"/>
      <c r="T1353" s="59"/>
      <c r="U1353" s="62">
        <f>IF(OR(R1353="",S1353="",T1353=""),"",IF(S1353+T1353=0,"",R1353/(S1353+T1353)))</f>
        <v/>
      </c>
      <c r="V1353" s="63"/>
      <c r="W1353" s="64"/>
      <c r="X1353" s="63"/>
    </row>
    <row r="1354" spans="2:24">
      <c r="B1354" s="58"/>
      <c r="C1354" s="59"/>
      <c r="D1354" s="59"/>
      <c r="E1354" s="59"/>
      <c r="F1354" s="59"/>
      <c r="G1354" s="60">
        <f>IF(OR(E1354="",F1354="",C1354="",D1354=""),"",IF(C1354+D1354=0,"",(E1354*C1354+F1354*D1354)/(C1354+D1354)))</f>
        <v/>
      </c>
      <c r="H1354" s="59"/>
      <c r="I1354" s="60">
        <f>IF(OR(H1354="",E1354="",C1354="",D1354=""),"",IF(C1354+D1354=0,"",(H1354*D1354+E1354*C1354)/(C1354+D1354)))</f>
        <v/>
      </c>
      <c r="J1354" s="59"/>
      <c r="K1354" s="61">
        <f>IF(OR(J1354="",I1354=""),"",J1354-I1354)</f>
        <v/>
      </c>
      <c r="L1354" s="61">
        <f>IF(OR(J1354="",G1354=""),"",J1354-G1354)</f>
        <v/>
      </c>
      <c r="M1354" s="59"/>
      <c r="N1354" s="59"/>
      <c r="O1354" s="59"/>
      <c r="P1354" s="59"/>
      <c r="Q1354" s="59"/>
      <c r="R1354" s="60">
        <f>IF(AND(P1354="",Q1354=""),"",N(P1354)+N(Q1354))</f>
        <v/>
      </c>
      <c r="S1354" s="59"/>
      <c r="T1354" s="59"/>
      <c r="U1354" s="62">
        <f>IF(OR(R1354="",S1354="",T1354=""),"",IF(S1354+T1354=0,"",R1354/(S1354+T1354)))</f>
        <v/>
      </c>
      <c r="V1354" s="63"/>
      <c r="W1354" s="64"/>
      <c r="X1354" s="63"/>
    </row>
    <row r="1355" spans="2:24">
      <c r="B1355" s="58"/>
      <c r="C1355" s="59"/>
      <c r="D1355" s="59"/>
      <c r="E1355" s="59"/>
      <c r="F1355" s="59"/>
      <c r="G1355" s="60">
        <f>IF(OR(E1355="",F1355="",C1355="",D1355=""),"",IF(C1355+D1355=0,"",(E1355*C1355+F1355*D1355)/(C1355+D1355)))</f>
        <v/>
      </c>
      <c r="H1355" s="59"/>
      <c r="I1355" s="60">
        <f>IF(OR(H1355="",E1355="",C1355="",D1355=""),"",IF(C1355+D1355=0,"",(H1355*D1355+E1355*C1355)/(C1355+D1355)))</f>
        <v/>
      </c>
      <c r="J1355" s="59"/>
      <c r="K1355" s="61">
        <f>IF(OR(J1355="",I1355=""),"",J1355-I1355)</f>
        <v/>
      </c>
      <c r="L1355" s="61">
        <f>IF(OR(J1355="",G1355=""),"",J1355-G1355)</f>
        <v/>
      </c>
      <c r="M1355" s="59"/>
      <c r="N1355" s="59"/>
      <c r="O1355" s="59"/>
      <c r="P1355" s="59"/>
      <c r="Q1355" s="59"/>
      <c r="R1355" s="60">
        <f>IF(AND(P1355="",Q1355=""),"",N(P1355)+N(Q1355))</f>
        <v/>
      </c>
      <c r="S1355" s="59"/>
      <c r="T1355" s="59"/>
      <c r="U1355" s="62">
        <f>IF(OR(R1355="",S1355="",T1355=""),"",IF(S1355+T1355=0,"",R1355/(S1355+T1355)))</f>
        <v/>
      </c>
      <c r="V1355" s="63"/>
      <c r="W1355" s="64"/>
      <c r="X1355" s="63"/>
    </row>
    <row r="1356" spans="2:24">
      <c r="B1356" s="58"/>
      <c r="C1356" s="59"/>
      <c r="D1356" s="59"/>
      <c r="E1356" s="59"/>
      <c r="F1356" s="59"/>
      <c r="G1356" s="60">
        <f>IF(OR(E1356="",F1356="",C1356="",D1356=""),"",IF(C1356+D1356=0,"",(E1356*C1356+F1356*D1356)/(C1356+D1356)))</f>
        <v/>
      </c>
      <c r="H1356" s="59"/>
      <c r="I1356" s="60">
        <f>IF(OR(H1356="",E1356="",C1356="",D1356=""),"",IF(C1356+D1356=0,"",(H1356*D1356+E1356*C1356)/(C1356+D1356)))</f>
        <v/>
      </c>
      <c r="J1356" s="59"/>
      <c r="K1356" s="61">
        <f>IF(OR(J1356="",I1356=""),"",J1356-I1356)</f>
        <v/>
      </c>
      <c r="L1356" s="61">
        <f>IF(OR(J1356="",G1356=""),"",J1356-G1356)</f>
        <v/>
      </c>
      <c r="M1356" s="59"/>
      <c r="N1356" s="59"/>
      <c r="O1356" s="59"/>
      <c r="P1356" s="59"/>
      <c r="Q1356" s="59"/>
      <c r="R1356" s="60">
        <f>IF(AND(P1356="",Q1356=""),"",N(P1356)+N(Q1356))</f>
        <v/>
      </c>
      <c r="S1356" s="59"/>
      <c r="T1356" s="59"/>
      <c r="U1356" s="62">
        <f>IF(OR(R1356="",S1356="",T1356=""),"",IF(S1356+T1356=0,"",R1356/(S1356+T1356)))</f>
        <v/>
      </c>
      <c r="V1356" s="63"/>
      <c r="W1356" s="64"/>
      <c r="X1356" s="63"/>
    </row>
    <row r="1357" spans="2:24">
      <c r="B1357" s="58"/>
      <c r="C1357" s="59"/>
      <c r="D1357" s="59"/>
      <c r="E1357" s="59"/>
      <c r="F1357" s="59"/>
      <c r="G1357" s="60">
        <f>IF(OR(E1357="",F1357="",C1357="",D1357=""),"",IF(C1357+D1357=0,"",(E1357*C1357+F1357*D1357)/(C1357+D1357)))</f>
        <v/>
      </c>
      <c r="H1357" s="59"/>
      <c r="I1357" s="60">
        <f>IF(OR(H1357="",E1357="",C1357="",D1357=""),"",IF(C1357+D1357=0,"",(H1357*D1357+E1357*C1357)/(C1357+D1357)))</f>
        <v/>
      </c>
      <c r="J1357" s="59"/>
      <c r="K1357" s="61">
        <f>IF(OR(J1357="",I1357=""),"",J1357-I1357)</f>
        <v/>
      </c>
      <c r="L1357" s="61">
        <f>IF(OR(J1357="",G1357=""),"",J1357-G1357)</f>
        <v/>
      </c>
      <c r="M1357" s="59"/>
      <c r="N1357" s="59"/>
      <c r="O1357" s="59"/>
      <c r="P1357" s="59"/>
      <c r="Q1357" s="59"/>
      <c r="R1357" s="60">
        <f>IF(AND(P1357="",Q1357=""),"",N(P1357)+N(Q1357))</f>
        <v/>
      </c>
      <c r="S1357" s="59"/>
      <c r="T1357" s="59"/>
      <c r="U1357" s="62">
        <f>IF(OR(R1357="",S1357="",T1357=""),"",IF(S1357+T1357=0,"",R1357/(S1357+T1357)))</f>
        <v/>
      </c>
      <c r="V1357" s="63"/>
      <c r="W1357" s="64"/>
      <c r="X1357" s="63"/>
    </row>
    <row r="1358" spans="2:24">
      <c r="B1358" s="58"/>
      <c r="C1358" s="59"/>
      <c r="D1358" s="59"/>
      <c r="E1358" s="59"/>
      <c r="F1358" s="59"/>
      <c r="G1358" s="60">
        <f>IF(OR(E1358="",F1358="",C1358="",D1358=""),"",IF(C1358+D1358=0,"",(E1358*C1358+F1358*D1358)/(C1358+D1358)))</f>
        <v/>
      </c>
      <c r="H1358" s="59"/>
      <c r="I1358" s="60">
        <f>IF(OR(H1358="",E1358="",C1358="",D1358=""),"",IF(C1358+D1358=0,"",(H1358*D1358+E1358*C1358)/(C1358+D1358)))</f>
        <v/>
      </c>
      <c r="J1358" s="59"/>
      <c r="K1358" s="61">
        <f>IF(OR(J1358="",I1358=""),"",J1358-I1358)</f>
        <v/>
      </c>
      <c r="L1358" s="61">
        <f>IF(OR(J1358="",G1358=""),"",J1358-G1358)</f>
        <v/>
      </c>
      <c r="M1358" s="59"/>
      <c r="N1358" s="59"/>
      <c r="O1358" s="59"/>
      <c r="P1358" s="59"/>
      <c r="Q1358" s="59"/>
      <c r="R1358" s="60">
        <f>IF(AND(P1358="",Q1358=""),"",N(P1358)+N(Q1358))</f>
        <v/>
      </c>
      <c r="S1358" s="59"/>
      <c r="T1358" s="59"/>
      <c r="U1358" s="62">
        <f>IF(OR(R1358="",S1358="",T1358=""),"",IF(S1358+T1358=0,"",R1358/(S1358+T1358)))</f>
        <v/>
      </c>
      <c r="V1358" s="63"/>
      <c r="W1358" s="64"/>
      <c r="X1358" s="63"/>
    </row>
    <row r="1359" spans="2:24">
      <c r="B1359" s="58"/>
      <c r="C1359" s="59"/>
      <c r="D1359" s="59"/>
      <c r="E1359" s="59"/>
      <c r="F1359" s="59"/>
      <c r="G1359" s="60">
        <f>IF(OR(E1359="",F1359="",C1359="",D1359=""),"",IF(C1359+D1359=0,"",(E1359*C1359+F1359*D1359)/(C1359+D1359)))</f>
        <v/>
      </c>
      <c r="H1359" s="59"/>
      <c r="I1359" s="60">
        <f>IF(OR(H1359="",E1359="",C1359="",D1359=""),"",IF(C1359+D1359=0,"",(H1359*D1359+E1359*C1359)/(C1359+D1359)))</f>
        <v/>
      </c>
      <c r="J1359" s="59"/>
      <c r="K1359" s="61">
        <f>IF(OR(J1359="",I1359=""),"",J1359-I1359)</f>
        <v/>
      </c>
      <c r="L1359" s="61">
        <f>IF(OR(J1359="",G1359=""),"",J1359-G1359)</f>
        <v/>
      </c>
      <c r="M1359" s="59"/>
      <c r="N1359" s="59"/>
      <c r="O1359" s="59"/>
      <c r="P1359" s="59"/>
      <c r="Q1359" s="59"/>
      <c r="R1359" s="60">
        <f>IF(AND(P1359="",Q1359=""),"",N(P1359)+N(Q1359))</f>
        <v/>
      </c>
      <c r="S1359" s="59"/>
      <c r="T1359" s="59"/>
      <c r="U1359" s="62">
        <f>IF(OR(R1359="",S1359="",T1359=""),"",IF(S1359+T1359=0,"",R1359/(S1359+T1359)))</f>
        <v/>
      </c>
      <c r="V1359" s="63"/>
      <c r="W1359" s="64"/>
      <c r="X1359" s="63"/>
    </row>
    <row r="1360" spans="2:24">
      <c r="B1360" s="58"/>
      <c r="C1360" s="59"/>
      <c r="D1360" s="59"/>
      <c r="E1360" s="59"/>
      <c r="F1360" s="59"/>
      <c r="G1360" s="60">
        <f>IF(OR(E1360="",F1360="",C1360="",D1360=""),"",IF(C1360+D1360=0,"",(E1360*C1360+F1360*D1360)/(C1360+D1360)))</f>
        <v/>
      </c>
      <c r="H1360" s="59"/>
      <c r="I1360" s="60">
        <f>IF(OR(H1360="",E1360="",C1360="",D1360=""),"",IF(C1360+D1360=0,"",(H1360*D1360+E1360*C1360)/(C1360+D1360)))</f>
        <v/>
      </c>
      <c r="J1360" s="59"/>
      <c r="K1360" s="61">
        <f>IF(OR(J1360="",I1360=""),"",J1360-I1360)</f>
        <v/>
      </c>
      <c r="L1360" s="61">
        <f>IF(OR(J1360="",G1360=""),"",J1360-G1360)</f>
        <v/>
      </c>
      <c r="M1360" s="59"/>
      <c r="N1360" s="59"/>
      <c r="O1360" s="59"/>
      <c r="P1360" s="59"/>
      <c r="Q1360" s="59"/>
      <c r="R1360" s="60">
        <f>IF(AND(P1360="",Q1360=""),"",N(P1360)+N(Q1360))</f>
        <v/>
      </c>
      <c r="S1360" s="59"/>
      <c r="T1360" s="59"/>
      <c r="U1360" s="62">
        <f>IF(OR(R1360="",S1360="",T1360=""),"",IF(S1360+T1360=0,"",R1360/(S1360+T1360)))</f>
        <v/>
      </c>
      <c r="V1360" s="63"/>
      <c r="W1360" s="64"/>
      <c r="X1360" s="63"/>
    </row>
    <row r="1361" spans="2:24">
      <c r="B1361" s="58"/>
      <c r="C1361" s="59"/>
      <c r="D1361" s="59"/>
      <c r="E1361" s="59"/>
      <c r="F1361" s="59"/>
      <c r="G1361" s="60">
        <f>IF(OR(E1361="",F1361="",C1361="",D1361=""),"",IF(C1361+D1361=0,"",(E1361*C1361+F1361*D1361)/(C1361+D1361)))</f>
        <v/>
      </c>
      <c r="H1361" s="59"/>
      <c r="I1361" s="60">
        <f>IF(OR(H1361="",E1361="",C1361="",D1361=""),"",IF(C1361+D1361=0,"",(H1361*D1361+E1361*C1361)/(C1361+D1361)))</f>
        <v/>
      </c>
      <c r="J1361" s="59"/>
      <c r="K1361" s="61">
        <f>IF(OR(J1361="",I1361=""),"",J1361-I1361)</f>
        <v/>
      </c>
      <c r="L1361" s="61">
        <f>IF(OR(J1361="",G1361=""),"",J1361-G1361)</f>
        <v/>
      </c>
      <c r="M1361" s="59"/>
      <c r="N1361" s="59"/>
      <c r="O1361" s="59"/>
      <c r="P1361" s="59"/>
      <c r="Q1361" s="59"/>
      <c r="R1361" s="60">
        <f>IF(AND(P1361="",Q1361=""),"",N(P1361)+N(Q1361))</f>
        <v/>
      </c>
      <c r="S1361" s="59"/>
      <c r="T1361" s="59"/>
      <c r="U1361" s="62">
        <f>IF(OR(R1361="",S1361="",T1361=""),"",IF(S1361+T1361=0,"",R1361/(S1361+T1361)))</f>
        <v/>
      </c>
      <c r="V1361" s="63"/>
      <c r="W1361" s="64"/>
      <c r="X1361" s="63"/>
    </row>
    <row r="1362" spans="2:24">
      <c r="B1362" s="58"/>
      <c r="C1362" s="59"/>
      <c r="D1362" s="59"/>
      <c r="E1362" s="59"/>
      <c r="F1362" s="59"/>
      <c r="G1362" s="60">
        <f>IF(OR(E1362="",F1362="",C1362="",D1362=""),"",IF(C1362+D1362=0,"",(E1362*C1362+F1362*D1362)/(C1362+D1362)))</f>
        <v/>
      </c>
      <c r="H1362" s="59"/>
      <c r="I1362" s="60">
        <f>IF(OR(H1362="",E1362="",C1362="",D1362=""),"",IF(C1362+D1362=0,"",(H1362*D1362+E1362*C1362)/(C1362+D1362)))</f>
        <v/>
      </c>
      <c r="J1362" s="59"/>
      <c r="K1362" s="61">
        <f>IF(OR(J1362="",I1362=""),"",J1362-I1362)</f>
        <v/>
      </c>
      <c r="L1362" s="61">
        <f>IF(OR(J1362="",G1362=""),"",J1362-G1362)</f>
        <v/>
      </c>
      <c r="M1362" s="59"/>
      <c r="N1362" s="59"/>
      <c r="O1362" s="59"/>
      <c r="P1362" s="59"/>
      <c r="Q1362" s="59"/>
      <c r="R1362" s="60">
        <f>IF(AND(P1362="",Q1362=""),"",N(P1362)+N(Q1362))</f>
        <v/>
      </c>
      <c r="S1362" s="59"/>
      <c r="T1362" s="59"/>
      <c r="U1362" s="62">
        <f>IF(OR(R1362="",S1362="",T1362=""),"",IF(S1362+T1362=0,"",R1362/(S1362+T1362)))</f>
        <v/>
      </c>
      <c r="V1362" s="63"/>
      <c r="W1362" s="64"/>
      <c r="X1362" s="63"/>
    </row>
    <row r="1363" spans="2:24">
      <c r="B1363" s="58"/>
      <c r="C1363" s="59"/>
      <c r="D1363" s="59"/>
      <c r="E1363" s="59"/>
      <c r="F1363" s="59"/>
      <c r="G1363" s="60">
        <f>IF(OR(E1363="",F1363="",C1363="",D1363=""),"",IF(C1363+D1363=0,"",(E1363*C1363+F1363*D1363)/(C1363+D1363)))</f>
        <v/>
      </c>
      <c r="H1363" s="59"/>
      <c r="I1363" s="60">
        <f>IF(OR(H1363="",E1363="",C1363="",D1363=""),"",IF(C1363+D1363=0,"",(H1363*D1363+E1363*C1363)/(C1363+D1363)))</f>
        <v/>
      </c>
      <c r="J1363" s="59"/>
      <c r="K1363" s="61">
        <f>IF(OR(J1363="",I1363=""),"",J1363-I1363)</f>
        <v/>
      </c>
      <c r="L1363" s="61">
        <f>IF(OR(J1363="",G1363=""),"",J1363-G1363)</f>
        <v/>
      </c>
      <c r="M1363" s="59"/>
      <c r="N1363" s="59"/>
      <c r="O1363" s="59"/>
      <c r="P1363" s="59"/>
      <c r="Q1363" s="59"/>
      <c r="R1363" s="60">
        <f>IF(AND(P1363="",Q1363=""),"",N(P1363)+N(Q1363))</f>
        <v/>
      </c>
      <c r="S1363" s="59"/>
      <c r="T1363" s="59"/>
      <c r="U1363" s="62">
        <f>IF(OR(R1363="",S1363="",T1363=""),"",IF(S1363+T1363=0,"",R1363/(S1363+T1363)))</f>
        <v/>
      </c>
      <c r="V1363" s="63"/>
      <c r="W1363" s="64"/>
      <c r="X1363" s="63"/>
    </row>
    <row r="1364" spans="2:24">
      <c r="B1364" s="58"/>
      <c r="C1364" s="59"/>
      <c r="D1364" s="59"/>
      <c r="E1364" s="59"/>
      <c r="F1364" s="59"/>
      <c r="G1364" s="60">
        <f>IF(OR(E1364="",F1364="",C1364="",D1364=""),"",IF(C1364+D1364=0,"",(E1364*C1364+F1364*D1364)/(C1364+D1364)))</f>
        <v/>
      </c>
      <c r="H1364" s="59"/>
      <c r="I1364" s="60">
        <f>IF(OR(H1364="",E1364="",C1364="",D1364=""),"",IF(C1364+D1364=0,"",(H1364*D1364+E1364*C1364)/(C1364+D1364)))</f>
        <v/>
      </c>
      <c r="J1364" s="59"/>
      <c r="K1364" s="61">
        <f>IF(OR(J1364="",I1364=""),"",J1364-I1364)</f>
        <v/>
      </c>
      <c r="L1364" s="61">
        <f>IF(OR(J1364="",G1364=""),"",J1364-G1364)</f>
        <v/>
      </c>
      <c r="M1364" s="59"/>
      <c r="N1364" s="59"/>
      <c r="O1364" s="59"/>
      <c r="P1364" s="59"/>
      <c r="Q1364" s="59"/>
      <c r="R1364" s="60">
        <f>IF(AND(P1364="",Q1364=""),"",N(P1364)+N(Q1364))</f>
        <v/>
      </c>
      <c r="S1364" s="59"/>
      <c r="T1364" s="59"/>
      <c r="U1364" s="62">
        <f>IF(OR(R1364="",S1364="",T1364=""),"",IF(S1364+T1364=0,"",R1364/(S1364+T1364)))</f>
        <v/>
      </c>
      <c r="V1364" s="63"/>
      <c r="W1364" s="64"/>
      <c r="X1364" s="63"/>
    </row>
    <row r="1365" spans="2:24">
      <c r="B1365" s="58"/>
      <c r="C1365" s="59"/>
      <c r="D1365" s="59"/>
      <c r="E1365" s="59"/>
      <c r="F1365" s="59"/>
      <c r="G1365" s="60">
        <f>IF(OR(E1365="",F1365="",C1365="",D1365=""),"",IF(C1365+D1365=0,"",(E1365*C1365+F1365*D1365)/(C1365+D1365)))</f>
        <v/>
      </c>
      <c r="H1365" s="59"/>
      <c r="I1365" s="60">
        <f>IF(OR(H1365="",E1365="",C1365="",D1365=""),"",IF(C1365+D1365=0,"",(H1365*D1365+E1365*C1365)/(C1365+D1365)))</f>
        <v/>
      </c>
      <c r="J1365" s="59"/>
      <c r="K1365" s="61">
        <f>IF(OR(J1365="",I1365=""),"",J1365-I1365)</f>
        <v/>
      </c>
      <c r="L1365" s="61">
        <f>IF(OR(J1365="",G1365=""),"",J1365-G1365)</f>
        <v/>
      </c>
      <c r="M1365" s="59"/>
      <c r="N1365" s="59"/>
      <c r="O1365" s="59"/>
      <c r="P1365" s="59"/>
      <c r="Q1365" s="59"/>
      <c r="R1365" s="60">
        <f>IF(AND(P1365="",Q1365=""),"",N(P1365)+N(Q1365))</f>
        <v/>
      </c>
      <c r="S1365" s="59"/>
      <c r="T1365" s="59"/>
      <c r="U1365" s="62">
        <f>IF(OR(R1365="",S1365="",T1365=""),"",IF(S1365+T1365=0,"",R1365/(S1365+T1365)))</f>
        <v/>
      </c>
      <c r="V1365" s="63"/>
      <c r="W1365" s="64"/>
      <c r="X1365" s="63"/>
    </row>
    <row r="1366" spans="2:24">
      <c r="B1366" s="58"/>
      <c r="C1366" s="59"/>
      <c r="D1366" s="59"/>
      <c r="E1366" s="59"/>
      <c r="F1366" s="59"/>
      <c r="G1366" s="60">
        <f>IF(OR(E1366="",F1366="",C1366="",D1366=""),"",IF(C1366+D1366=0,"",(E1366*C1366+F1366*D1366)/(C1366+D1366)))</f>
        <v/>
      </c>
      <c r="H1366" s="59"/>
      <c r="I1366" s="60">
        <f>IF(OR(H1366="",E1366="",C1366="",D1366=""),"",IF(C1366+D1366=0,"",(H1366*D1366+E1366*C1366)/(C1366+D1366)))</f>
        <v/>
      </c>
      <c r="J1366" s="59"/>
      <c r="K1366" s="61">
        <f>IF(OR(J1366="",I1366=""),"",J1366-I1366)</f>
        <v/>
      </c>
      <c r="L1366" s="61">
        <f>IF(OR(J1366="",G1366=""),"",J1366-G1366)</f>
        <v/>
      </c>
      <c r="M1366" s="59"/>
      <c r="N1366" s="59"/>
      <c r="O1366" s="59"/>
      <c r="P1366" s="59"/>
      <c r="Q1366" s="59"/>
      <c r="R1366" s="60">
        <f>IF(AND(P1366="",Q1366=""),"",N(P1366)+N(Q1366))</f>
        <v/>
      </c>
      <c r="S1366" s="59"/>
      <c r="T1366" s="59"/>
      <c r="U1366" s="62">
        <f>IF(OR(R1366="",S1366="",T1366=""),"",IF(S1366+T1366=0,"",R1366/(S1366+T1366)))</f>
        <v/>
      </c>
      <c r="V1366" s="63"/>
      <c r="W1366" s="64"/>
      <c r="X1366" s="63"/>
    </row>
    <row r="1367" spans="2:24">
      <c r="B1367" s="58"/>
      <c r="C1367" s="59"/>
      <c r="D1367" s="59"/>
      <c r="E1367" s="59"/>
      <c r="F1367" s="59"/>
      <c r="G1367" s="60">
        <f>IF(OR(E1367="",F1367="",C1367="",D1367=""),"",IF(C1367+D1367=0,"",(E1367*C1367+F1367*D1367)/(C1367+D1367)))</f>
        <v/>
      </c>
      <c r="H1367" s="59"/>
      <c r="I1367" s="60">
        <f>IF(OR(H1367="",E1367="",C1367="",D1367=""),"",IF(C1367+D1367=0,"",(H1367*D1367+E1367*C1367)/(C1367+D1367)))</f>
        <v/>
      </c>
      <c r="J1367" s="59"/>
      <c r="K1367" s="61">
        <f>IF(OR(J1367="",I1367=""),"",J1367-I1367)</f>
        <v/>
      </c>
      <c r="L1367" s="61">
        <f>IF(OR(J1367="",G1367=""),"",J1367-G1367)</f>
        <v/>
      </c>
      <c r="M1367" s="59"/>
      <c r="N1367" s="59"/>
      <c r="O1367" s="59"/>
      <c r="P1367" s="59"/>
      <c r="Q1367" s="59"/>
      <c r="R1367" s="60">
        <f>IF(AND(P1367="",Q1367=""),"",N(P1367)+N(Q1367))</f>
        <v/>
      </c>
      <c r="S1367" s="59"/>
      <c r="T1367" s="59"/>
      <c r="U1367" s="62">
        <f>IF(OR(R1367="",S1367="",T1367=""),"",IF(S1367+T1367=0,"",R1367/(S1367+T1367)))</f>
        <v/>
      </c>
      <c r="V1367" s="63"/>
      <c r="W1367" s="64"/>
      <c r="X1367" s="63"/>
    </row>
    <row r="1368" spans="2:24">
      <c r="B1368" s="58"/>
      <c r="C1368" s="59"/>
      <c r="D1368" s="59"/>
      <c r="E1368" s="59"/>
      <c r="F1368" s="59"/>
      <c r="G1368" s="60">
        <f>IF(OR(E1368="",F1368="",C1368="",D1368=""),"",IF(C1368+D1368=0,"",(E1368*C1368+F1368*D1368)/(C1368+D1368)))</f>
        <v/>
      </c>
      <c r="H1368" s="59"/>
      <c r="I1368" s="60">
        <f>IF(OR(H1368="",E1368="",C1368="",D1368=""),"",IF(C1368+D1368=0,"",(H1368*D1368+E1368*C1368)/(C1368+D1368)))</f>
        <v/>
      </c>
      <c r="J1368" s="59"/>
      <c r="K1368" s="61">
        <f>IF(OR(J1368="",I1368=""),"",J1368-I1368)</f>
        <v/>
      </c>
      <c r="L1368" s="61">
        <f>IF(OR(J1368="",G1368=""),"",J1368-G1368)</f>
        <v/>
      </c>
      <c r="M1368" s="59"/>
      <c r="N1368" s="59"/>
      <c r="O1368" s="59"/>
      <c r="P1368" s="59"/>
      <c r="Q1368" s="59"/>
      <c r="R1368" s="60">
        <f>IF(AND(P1368="",Q1368=""),"",N(P1368)+N(Q1368))</f>
        <v/>
      </c>
      <c r="S1368" s="59"/>
      <c r="T1368" s="59"/>
      <c r="U1368" s="62">
        <f>IF(OR(R1368="",S1368="",T1368=""),"",IF(S1368+T1368=0,"",R1368/(S1368+T1368)))</f>
        <v/>
      </c>
      <c r="V1368" s="63"/>
      <c r="W1368" s="64"/>
      <c r="X1368" s="63"/>
    </row>
    <row r="1369" spans="2:24">
      <c r="B1369" s="58"/>
      <c r="C1369" s="59"/>
      <c r="D1369" s="59"/>
      <c r="E1369" s="59"/>
      <c r="F1369" s="59"/>
      <c r="G1369" s="60">
        <f>IF(OR(E1369="",F1369="",C1369="",D1369=""),"",IF(C1369+D1369=0,"",(E1369*C1369+F1369*D1369)/(C1369+D1369)))</f>
        <v/>
      </c>
      <c r="H1369" s="59"/>
      <c r="I1369" s="60">
        <f>IF(OR(H1369="",E1369="",C1369="",D1369=""),"",IF(C1369+D1369=0,"",(H1369*D1369+E1369*C1369)/(C1369+D1369)))</f>
        <v/>
      </c>
      <c r="J1369" s="59"/>
      <c r="K1369" s="61">
        <f>IF(OR(J1369="",I1369=""),"",J1369-I1369)</f>
        <v/>
      </c>
      <c r="L1369" s="61">
        <f>IF(OR(J1369="",G1369=""),"",J1369-G1369)</f>
        <v/>
      </c>
      <c r="M1369" s="59"/>
      <c r="N1369" s="59"/>
      <c r="O1369" s="59"/>
      <c r="P1369" s="59"/>
      <c r="Q1369" s="59"/>
      <c r="R1369" s="60">
        <f>IF(AND(P1369="",Q1369=""),"",N(P1369)+N(Q1369))</f>
        <v/>
      </c>
      <c r="S1369" s="59"/>
      <c r="T1369" s="59"/>
      <c r="U1369" s="62">
        <f>IF(OR(R1369="",S1369="",T1369=""),"",IF(S1369+T1369=0,"",R1369/(S1369+T1369)))</f>
        <v/>
      </c>
      <c r="V1369" s="63"/>
      <c r="W1369" s="64"/>
      <c r="X1369" s="63"/>
    </row>
    <row r="1370" spans="2:24">
      <c r="B1370" s="58"/>
      <c r="C1370" s="59"/>
      <c r="D1370" s="59"/>
      <c r="E1370" s="59"/>
      <c r="F1370" s="59"/>
      <c r="G1370" s="60">
        <f>IF(OR(E1370="",F1370="",C1370="",D1370=""),"",IF(C1370+D1370=0,"",(E1370*C1370+F1370*D1370)/(C1370+D1370)))</f>
        <v/>
      </c>
      <c r="H1370" s="59"/>
      <c r="I1370" s="60">
        <f>IF(OR(H1370="",E1370="",C1370="",D1370=""),"",IF(C1370+D1370=0,"",(H1370*D1370+E1370*C1370)/(C1370+D1370)))</f>
        <v/>
      </c>
      <c r="J1370" s="59"/>
      <c r="K1370" s="61">
        <f>IF(OR(J1370="",I1370=""),"",J1370-I1370)</f>
        <v/>
      </c>
      <c r="L1370" s="61">
        <f>IF(OR(J1370="",G1370=""),"",J1370-G1370)</f>
        <v/>
      </c>
      <c r="M1370" s="59"/>
      <c r="N1370" s="59"/>
      <c r="O1370" s="59"/>
      <c r="P1370" s="59"/>
      <c r="Q1370" s="59"/>
      <c r="R1370" s="60">
        <f>IF(AND(P1370="",Q1370=""),"",N(P1370)+N(Q1370))</f>
        <v/>
      </c>
      <c r="S1370" s="59"/>
      <c r="T1370" s="59"/>
      <c r="U1370" s="62">
        <f>IF(OR(R1370="",S1370="",T1370=""),"",IF(S1370+T1370=0,"",R1370/(S1370+T1370)))</f>
        <v/>
      </c>
      <c r="V1370" s="63"/>
      <c r="W1370" s="64"/>
      <c r="X1370" s="63"/>
    </row>
    <row r="1371" spans="2:24">
      <c r="B1371" s="58"/>
      <c r="C1371" s="59"/>
      <c r="D1371" s="59"/>
      <c r="E1371" s="59"/>
      <c r="F1371" s="59"/>
      <c r="G1371" s="60">
        <f>IF(OR(E1371="",F1371="",C1371="",D1371=""),"",IF(C1371+D1371=0,"",(E1371*C1371+F1371*D1371)/(C1371+D1371)))</f>
        <v/>
      </c>
      <c r="H1371" s="59"/>
      <c r="I1371" s="60">
        <f>IF(OR(H1371="",E1371="",C1371="",D1371=""),"",IF(C1371+D1371=0,"",(H1371*D1371+E1371*C1371)/(C1371+D1371)))</f>
        <v/>
      </c>
      <c r="J1371" s="59"/>
      <c r="K1371" s="61">
        <f>IF(OR(J1371="",I1371=""),"",J1371-I1371)</f>
        <v/>
      </c>
      <c r="L1371" s="61">
        <f>IF(OR(J1371="",G1371=""),"",J1371-G1371)</f>
        <v/>
      </c>
      <c r="M1371" s="59"/>
      <c r="N1371" s="59"/>
      <c r="O1371" s="59"/>
      <c r="P1371" s="59"/>
      <c r="Q1371" s="59"/>
      <c r="R1371" s="60">
        <f>IF(AND(P1371="",Q1371=""),"",N(P1371)+N(Q1371))</f>
        <v/>
      </c>
      <c r="S1371" s="59"/>
      <c r="T1371" s="59"/>
      <c r="U1371" s="62">
        <f>IF(OR(R1371="",S1371="",T1371=""),"",IF(S1371+T1371=0,"",R1371/(S1371+T1371)))</f>
        <v/>
      </c>
      <c r="V1371" s="63"/>
      <c r="W1371" s="64"/>
      <c r="X1371" s="63"/>
    </row>
    <row r="1372" spans="2:24">
      <c r="B1372" s="58"/>
      <c r="C1372" s="59"/>
      <c r="D1372" s="59"/>
      <c r="E1372" s="59"/>
      <c r="F1372" s="59"/>
      <c r="G1372" s="60">
        <f>IF(OR(E1372="",F1372="",C1372="",D1372=""),"",IF(C1372+D1372=0,"",(E1372*C1372+F1372*D1372)/(C1372+D1372)))</f>
        <v/>
      </c>
      <c r="H1372" s="59"/>
      <c r="I1372" s="60">
        <f>IF(OR(H1372="",E1372="",C1372="",D1372=""),"",IF(C1372+D1372=0,"",(H1372*D1372+E1372*C1372)/(C1372+D1372)))</f>
        <v/>
      </c>
      <c r="J1372" s="59"/>
      <c r="K1372" s="61">
        <f>IF(OR(J1372="",I1372=""),"",J1372-I1372)</f>
        <v/>
      </c>
      <c r="L1372" s="61">
        <f>IF(OR(J1372="",G1372=""),"",J1372-G1372)</f>
        <v/>
      </c>
      <c r="M1372" s="59"/>
      <c r="N1372" s="59"/>
      <c r="O1372" s="59"/>
      <c r="P1372" s="59"/>
      <c r="Q1372" s="59"/>
      <c r="R1372" s="60">
        <f>IF(AND(P1372="",Q1372=""),"",N(P1372)+N(Q1372))</f>
        <v/>
      </c>
      <c r="S1372" s="59"/>
      <c r="T1372" s="59"/>
      <c r="U1372" s="62">
        <f>IF(OR(R1372="",S1372="",T1372=""),"",IF(S1372+T1372=0,"",R1372/(S1372+T1372)))</f>
        <v/>
      </c>
      <c r="V1372" s="63"/>
      <c r="W1372" s="64"/>
      <c r="X1372" s="63"/>
    </row>
    <row r="1373" spans="2:24">
      <c r="B1373" s="58"/>
      <c r="C1373" s="59"/>
      <c r="D1373" s="59"/>
      <c r="E1373" s="59"/>
      <c r="F1373" s="59"/>
      <c r="G1373" s="60">
        <f>IF(OR(E1373="",F1373="",C1373="",D1373=""),"",IF(C1373+D1373=0,"",(E1373*C1373+F1373*D1373)/(C1373+D1373)))</f>
        <v/>
      </c>
      <c r="H1373" s="59"/>
      <c r="I1373" s="60">
        <f>IF(OR(H1373="",E1373="",C1373="",D1373=""),"",IF(C1373+D1373=0,"",(H1373*D1373+E1373*C1373)/(C1373+D1373)))</f>
        <v/>
      </c>
      <c r="J1373" s="59"/>
      <c r="K1373" s="61">
        <f>IF(OR(J1373="",I1373=""),"",J1373-I1373)</f>
        <v/>
      </c>
      <c r="L1373" s="61">
        <f>IF(OR(J1373="",G1373=""),"",J1373-G1373)</f>
        <v/>
      </c>
      <c r="M1373" s="59"/>
      <c r="N1373" s="59"/>
      <c r="O1373" s="59"/>
      <c r="P1373" s="59"/>
      <c r="Q1373" s="59"/>
      <c r="R1373" s="60">
        <f>IF(AND(P1373="",Q1373=""),"",N(P1373)+N(Q1373))</f>
        <v/>
      </c>
      <c r="S1373" s="59"/>
      <c r="T1373" s="59"/>
      <c r="U1373" s="62">
        <f>IF(OR(R1373="",S1373="",T1373=""),"",IF(S1373+T1373=0,"",R1373/(S1373+T1373)))</f>
        <v/>
      </c>
      <c r="V1373" s="63"/>
      <c r="W1373" s="64"/>
      <c r="X1373" s="63"/>
    </row>
    <row r="1374" spans="2:24">
      <c r="B1374" s="58"/>
      <c r="C1374" s="59"/>
      <c r="D1374" s="59"/>
      <c r="E1374" s="59"/>
      <c r="F1374" s="59"/>
      <c r="G1374" s="60">
        <f>IF(OR(E1374="",F1374="",C1374="",D1374=""),"",IF(C1374+D1374=0,"",(E1374*C1374+F1374*D1374)/(C1374+D1374)))</f>
        <v/>
      </c>
      <c r="H1374" s="59"/>
      <c r="I1374" s="60">
        <f>IF(OR(H1374="",E1374="",C1374="",D1374=""),"",IF(C1374+D1374=0,"",(H1374*D1374+E1374*C1374)/(C1374+D1374)))</f>
        <v/>
      </c>
      <c r="J1374" s="59"/>
      <c r="K1374" s="61">
        <f>IF(OR(J1374="",I1374=""),"",J1374-I1374)</f>
        <v/>
      </c>
      <c r="L1374" s="61">
        <f>IF(OR(J1374="",G1374=""),"",J1374-G1374)</f>
        <v/>
      </c>
      <c r="M1374" s="59"/>
      <c r="N1374" s="59"/>
      <c r="O1374" s="59"/>
      <c r="P1374" s="59"/>
      <c r="Q1374" s="59"/>
      <c r="R1374" s="60">
        <f>IF(AND(P1374="",Q1374=""),"",N(P1374)+N(Q1374))</f>
        <v/>
      </c>
      <c r="S1374" s="59"/>
      <c r="T1374" s="59"/>
      <c r="U1374" s="62">
        <f>IF(OR(R1374="",S1374="",T1374=""),"",IF(S1374+T1374=0,"",R1374/(S1374+T1374)))</f>
        <v/>
      </c>
      <c r="V1374" s="63"/>
      <c r="W1374" s="64"/>
      <c r="X1374" s="63"/>
    </row>
    <row r="1375" spans="2:24">
      <c r="B1375" s="58"/>
      <c r="C1375" s="59"/>
      <c r="D1375" s="59"/>
      <c r="E1375" s="59"/>
      <c r="F1375" s="59"/>
      <c r="G1375" s="60">
        <f>IF(OR(E1375="",F1375="",C1375="",D1375=""),"",IF(C1375+D1375=0,"",(E1375*C1375+F1375*D1375)/(C1375+D1375)))</f>
        <v/>
      </c>
      <c r="H1375" s="59"/>
      <c r="I1375" s="60">
        <f>IF(OR(H1375="",E1375="",C1375="",D1375=""),"",IF(C1375+D1375=0,"",(H1375*D1375+E1375*C1375)/(C1375+D1375)))</f>
        <v/>
      </c>
      <c r="J1375" s="59"/>
      <c r="K1375" s="61">
        <f>IF(OR(J1375="",I1375=""),"",J1375-I1375)</f>
        <v/>
      </c>
      <c r="L1375" s="61">
        <f>IF(OR(J1375="",G1375=""),"",J1375-G1375)</f>
        <v/>
      </c>
      <c r="M1375" s="59"/>
      <c r="N1375" s="59"/>
      <c r="O1375" s="59"/>
      <c r="P1375" s="59"/>
      <c r="Q1375" s="59"/>
      <c r="R1375" s="60">
        <f>IF(AND(P1375="",Q1375=""),"",N(P1375)+N(Q1375))</f>
        <v/>
      </c>
      <c r="S1375" s="59"/>
      <c r="T1375" s="59"/>
      <c r="U1375" s="62">
        <f>IF(OR(R1375="",S1375="",T1375=""),"",IF(S1375+T1375=0,"",R1375/(S1375+T1375)))</f>
        <v/>
      </c>
      <c r="V1375" s="63"/>
      <c r="W1375" s="64"/>
      <c r="X1375" s="63"/>
    </row>
    <row r="1376" spans="2:24">
      <c r="B1376" s="58"/>
      <c r="C1376" s="59"/>
      <c r="D1376" s="59"/>
      <c r="E1376" s="59"/>
      <c r="F1376" s="59"/>
      <c r="G1376" s="60">
        <f>IF(OR(E1376="",F1376="",C1376="",D1376=""),"",IF(C1376+D1376=0,"",(E1376*C1376+F1376*D1376)/(C1376+D1376)))</f>
        <v/>
      </c>
      <c r="H1376" s="59"/>
      <c r="I1376" s="60">
        <f>IF(OR(H1376="",E1376="",C1376="",D1376=""),"",IF(C1376+D1376=0,"",(H1376*D1376+E1376*C1376)/(C1376+D1376)))</f>
        <v/>
      </c>
      <c r="J1376" s="59"/>
      <c r="K1376" s="61">
        <f>IF(OR(J1376="",I1376=""),"",J1376-I1376)</f>
        <v/>
      </c>
      <c r="L1376" s="61">
        <f>IF(OR(J1376="",G1376=""),"",J1376-G1376)</f>
        <v/>
      </c>
      <c r="M1376" s="59"/>
      <c r="N1376" s="59"/>
      <c r="O1376" s="59"/>
      <c r="P1376" s="59"/>
      <c r="Q1376" s="59"/>
      <c r="R1376" s="60">
        <f>IF(AND(P1376="",Q1376=""),"",N(P1376)+N(Q1376))</f>
        <v/>
      </c>
      <c r="S1376" s="59"/>
      <c r="T1376" s="59"/>
      <c r="U1376" s="62">
        <f>IF(OR(R1376="",S1376="",T1376=""),"",IF(S1376+T1376=0,"",R1376/(S1376+T1376)))</f>
        <v/>
      </c>
      <c r="V1376" s="63"/>
      <c r="W1376" s="64"/>
      <c r="X1376" s="63"/>
    </row>
    <row r="1377" spans="2:24">
      <c r="B1377" s="58"/>
      <c r="C1377" s="59"/>
      <c r="D1377" s="59"/>
      <c r="E1377" s="59"/>
      <c r="F1377" s="59"/>
      <c r="G1377" s="60">
        <f>IF(OR(E1377="",F1377="",C1377="",D1377=""),"",IF(C1377+D1377=0,"",(E1377*C1377+F1377*D1377)/(C1377+D1377)))</f>
        <v/>
      </c>
      <c r="H1377" s="59"/>
      <c r="I1377" s="60">
        <f>IF(OR(H1377="",E1377="",C1377="",D1377=""),"",IF(C1377+D1377=0,"",(H1377*D1377+E1377*C1377)/(C1377+D1377)))</f>
        <v/>
      </c>
      <c r="J1377" s="59"/>
      <c r="K1377" s="61">
        <f>IF(OR(J1377="",I1377=""),"",J1377-I1377)</f>
        <v/>
      </c>
      <c r="L1377" s="61">
        <f>IF(OR(J1377="",G1377=""),"",J1377-G1377)</f>
        <v/>
      </c>
      <c r="M1377" s="59"/>
      <c r="N1377" s="59"/>
      <c r="O1377" s="59"/>
      <c r="P1377" s="59"/>
      <c r="Q1377" s="59"/>
      <c r="R1377" s="60">
        <f>IF(AND(P1377="",Q1377=""),"",N(P1377)+N(Q1377))</f>
        <v/>
      </c>
      <c r="S1377" s="59"/>
      <c r="T1377" s="59"/>
      <c r="U1377" s="62">
        <f>IF(OR(R1377="",S1377="",T1377=""),"",IF(S1377+T1377=0,"",R1377/(S1377+T1377)))</f>
        <v/>
      </c>
      <c r="V1377" s="63"/>
      <c r="W1377" s="64"/>
      <c r="X1377" s="63"/>
    </row>
    <row r="1378" spans="2:24">
      <c r="B1378" s="58"/>
      <c r="C1378" s="59"/>
      <c r="D1378" s="59"/>
      <c r="E1378" s="59"/>
      <c r="F1378" s="59"/>
      <c r="G1378" s="60">
        <f>IF(OR(E1378="",F1378="",C1378="",D1378=""),"",IF(C1378+D1378=0,"",(E1378*C1378+F1378*D1378)/(C1378+D1378)))</f>
        <v/>
      </c>
      <c r="H1378" s="59"/>
      <c r="I1378" s="60">
        <f>IF(OR(H1378="",E1378="",C1378="",D1378=""),"",IF(C1378+D1378=0,"",(H1378*D1378+E1378*C1378)/(C1378+D1378)))</f>
        <v/>
      </c>
      <c r="J1378" s="59"/>
      <c r="K1378" s="61">
        <f>IF(OR(J1378="",I1378=""),"",J1378-I1378)</f>
        <v/>
      </c>
      <c r="L1378" s="61">
        <f>IF(OR(J1378="",G1378=""),"",J1378-G1378)</f>
        <v/>
      </c>
      <c r="M1378" s="59"/>
      <c r="N1378" s="59"/>
      <c r="O1378" s="59"/>
      <c r="P1378" s="59"/>
      <c r="Q1378" s="59"/>
      <c r="R1378" s="60">
        <f>IF(AND(P1378="",Q1378=""),"",N(P1378)+N(Q1378))</f>
        <v/>
      </c>
      <c r="S1378" s="59"/>
      <c r="T1378" s="59"/>
      <c r="U1378" s="62">
        <f>IF(OR(R1378="",S1378="",T1378=""),"",IF(S1378+T1378=0,"",R1378/(S1378+T1378)))</f>
        <v/>
      </c>
      <c r="V1378" s="63"/>
      <c r="W1378" s="64"/>
      <c r="X1378" s="63"/>
    </row>
    <row r="1379" spans="2:24">
      <c r="B1379" s="58"/>
      <c r="C1379" s="59"/>
      <c r="D1379" s="59"/>
      <c r="E1379" s="59"/>
      <c r="F1379" s="59"/>
      <c r="G1379" s="60">
        <f>IF(OR(E1379="",F1379="",C1379="",D1379=""),"",IF(C1379+D1379=0,"",(E1379*C1379+F1379*D1379)/(C1379+D1379)))</f>
        <v/>
      </c>
      <c r="H1379" s="59"/>
      <c r="I1379" s="60">
        <f>IF(OR(H1379="",E1379="",C1379="",D1379=""),"",IF(C1379+D1379=0,"",(H1379*D1379+E1379*C1379)/(C1379+D1379)))</f>
        <v/>
      </c>
      <c r="J1379" s="59"/>
      <c r="K1379" s="61">
        <f>IF(OR(J1379="",I1379=""),"",J1379-I1379)</f>
        <v/>
      </c>
      <c r="L1379" s="61">
        <f>IF(OR(J1379="",G1379=""),"",J1379-G1379)</f>
        <v/>
      </c>
      <c r="M1379" s="59"/>
      <c r="N1379" s="59"/>
      <c r="O1379" s="59"/>
      <c r="P1379" s="59"/>
      <c r="Q1379" s="59"/>
      <c r="R1379" s="60">
        <f>IF(AND(P1379="",Q1379=""),"",N(P1379)+N(Q1379))</f>
        <v/>
      </c>
      <c r="S1379" s="59"/>
      <c r="T1379" s="59"/>
      <c r="U1379" s="62">
        <f>IF(OR(R1379="",S1379="",T1379=""),"",IF(S1379+T1379=0,"",R1379/(S1379+T1379)))</f>
        <v/>
      </c>
      <c r="V1379" s="63"/>
      <c r="W1379" s="64"/>
      <c r="X1379" s="63"/>
    </row>
    <row r="1380" spans="2:24">
      <c r="B1380" s="58"/>
      <c r="C1380" s="59"/>
      <c r="D1380" s="59"/>
      <c r="E1380" s="59"/>
      <c r="F1380" s="59"/>
      <c r="G1380" s="60">
        <f>IF(OR(E1380="",F1380="",C1380="",D1380=""),"",IF(C1380+D1380=0,"",(E1380*C1380+F1380*D1380)/(C1380+D1380)))</f>
        <v/>
      </c>
      <c r="H1380" s="59"/>
      <c r="I1380" s="60">
        <f>IF(OR(H1380="",E1380="",C1380="",D1380=""),"",IF(C1380+D1380=0,"",(H1380*D1380+E1380*C1380)/(C1380+D1380)))</f>
        <v/>
      </c>
      <c r="J1380" s="59"/>
      <c r="K1380" s="61">
        <f>IF(OR(J1380="",I1380=""),"",J1380-I1380)</f>
        <v/>
      </c>
      <c r="L1380" s="61">
        <f>IF(OR(J1380="",G1380=""),"",J1380-G1380)</f>
        <v/>
      </c>
      <c r="M1380" s="59"/>
      <c r="N1380" s="59"/>
      <c r="O1380" s="59"/>
      <c r="P1380" s="59"/>
      <c r="Q1380" s="59"/>
      <c r="R1380" s="60">
        <f>IF(AND(P1380="",Q1380=""),"",N(P1380)+N(Q1380))</f>
        <v/>
      </c>
      <c r="S1380" s="59"/>
      <c r="T1380" s="59"/>
      <c r="U1380" s="62">
        <f>IF(OR(R1380="",S1380="",T1380=""),"",IF(S1380+T1380=0,"",R1380/(S1380+T1380)))</f>
        <v/>
      </c>
      <c r="V1380" s="63"/>
      <c r="W1380" s="64"/>
      <c r="X1380" s="63"/>
    </row>
    <row r="1381" spans="2:24">
      <c r="B1381" s="58"/>
      <c r="C1381" s="59"/>
      <c r="D1381" s="59"/>
      <c r="E1381" s="59"/>
      <c r="F1381" s="59"/>
      <c r="G1381" s="60">
        <f>IF(OR(E1381="",F1381="",C1381="",D1381=""),"",IF(C1381+D1381=0,"",(E1381*C1381+F1381*D1381)/(C1381+D1381)))</f>
        <v/>
      </c>
      <c r="H1381" s="59"/>
      <c r="I1381" s="60">
        <f>IF(OR(H1381="",E1381="",C1381="",D1381=""),"",IF(C1381+D1381=0,"",(H1381*D1381+E1381*C1381)/(C1381+D1381)))</f>
        <v/>
      </c>
      <c r="J1381" s="59"/>
      <c r="K1381" s="61">
        <f>IF(OR(J1381="",I1381=""),"",J1381-I1381)</f>
        <v/>
      </c>
      <c r="L1381" s="61">
        <f>IF(OR(J1381="",G1381=""),"",J1381-G1381)</f>
        <v/>
      </c>
      <c r="M1381" s="59"/>
      <c r="N1381" s="59"/>
      <c r="O1381" s="59"/>
      <c r="P1381" s="59"/>
      <c r="Q1381" s="59"/>
      <c r="R1381" s="60">
        <f>IF(AND(P1381="",Q1381=""),"",N(P1381)+N(Q1381))</f>
        <v/>
      </c>
      <c r="S1381" s="59"/>
      <c r="T1381" s="59"/>
      <c r="U1381" s="62">
        <f>IF(OR(R1381="",S1381="",T1381=""),"",IF(S1381+T1381=0,"",R1381/(S1381+T1381)))</f>
        <v/>
      </c>
      <c r="V1381" s="63"/>
      <c r="W1381" s="64"/>
      <c r="X1381" s="63"/>
    </row>
    <row r="1382" spans="2:24">
      <c r="B1382" s="58"/>
      <c r="C1382" s="59"/>
      <c r="D1382" s="59"/>
      <c r="E1382" s="59"/>
      <c r="F1382" s="59"/>
      <c r="G1382" s="60">
        <f>IF(OR(E1382="",F1382="",C1382="",D1382=""),"",IF(C1382+D1382=0,"",(E1382*C1382+F1382*D1382)/(C1382+D1382)))</f>
        <v/>
      </c>
      <c r="H1382" s="59"/>
      <c r="I1382" s="60">
        <f>IF(OR(H1382="",E1382="",C1382="",D1382=""),"",IF(C1382+D1382=0,"",(H1382*D1382+E1382*C1382)/(C1382+D1382)))</f>
        <v/>
      </c>
      <c r="J1382" s="59"/>
      <c r="K1382" s="61">
        <f>IF(OR(J1382="",I1382=""),"",J1382-I1382)</f>
        <v/>
      </c>
      <c r="L1382" s="61">
        <f>IF(OR(J1382="",G1382=""),"",J1382-G1382)</f>
        <v/>
      </c>
      <c r="M1382" s="59"/>
      <c r="N1382" s="59"/>
      <c r="O1382" s="59"/>
      <c r="P1382" s="59"/>
      <c r="Q1382" s="59"/>
      <c r="R1382" s="60">
        <f>IF(AND(P1382="",Q1382=""),"",N(P1382)+N(Q1382))</f>
        <v/>
      </c>
      <c r="S1382" s="59"/>
      <c r="T1382" s="59"/>
      <c r="U1382" s="62">
        <f>IF(OR(R1382="",S1382="",T1382=""),"",IF(S1382+T1382=0,"",R1382/(S1382+T1382)))</f>
        <v/>
      </c>
      <c r="V1382" s="63"/>
      <c r="W1382" s="64"/>
      <c r="X1382" s="63"/>
    </row>
    <row r="1383" spans="2:24">
      <c r="B1383" s="58"/>
      <c r="C1383" s="59"/>
      <c r="D1383" s="59"/>
      <c r="E1383" s="59"/>
      <c r="F1383" s="59"/>
      <c r="G1383" s="60">
        <f>IF(OR(E1383="",F1383="",C1383="",D1383=""),"",IF(C1383+D1383=0,"",(E1383*C1383+F1383*D1383)/(C1383+D1383)))</f>
        <v/>
      </c>
      <c r="H1383" s="59"/>
      <c r="I1383" s="60">
        <f>IF(OR(H1383="",E1383="",C1383="",D1383=""),"",IF(C1383+D1383=0,"",(H1383*D1383+E1383*C1383)/(C1383+D1383)))</f>
        <v/>
      </c>
      <c r="J1383" s="59"/>
      <c r="K1383" s="61">
        <f>IF(OR(J1383="",I1383=""),"",J1383-I1383)</f>
        <v/>
      </c>
      <c r="L1383" s="61">
        <f>IF(OR(J1383="",G1383=""),"",J1383-G1383)</f>
        <v/>
      </c>
      <c r="M1383" s="59"/>
      <c r="N1383" s="59"/>
      <c r="O1383" s="59"/>
      <c r="P1383" s="59"/>
      <c r="Q1383" s="59"/>
      <c r="R1383" s="60">
        <f>IF(AND(P1383="",Q1383=""),"",N(P1383)+N(Q1383))</f>
        <v/>
      </c>
      <c r="S1383" s="59"/>
      <c r="T1383" s="59"/>
      <c r="U1383" s="62">
        <f>IF(OR(R1383="",S1383="",T1383=""),"",IF(S1383+T1383=0,"",R1383/(S1383+T1383)))</f>
        <v/>
      </c>
      <c r="V1383" s="63"/>
      <c r="W1383" s="64"/>
      <c r="X1383" s="63"/>
    </row>
    <row r="1384" spans="2:24">
      <c r="B1384" s="58"/>
      <c r="C1384" s="59"/>
      <c r="D1384" s="59"/>
      <c r="E1384" s="59"/>
      <c r="F1384" s="59"/>
      <c r="G1384" s="60">
        <f>IF(OR(E1384="",F1384="",C1384="",D1384=""),"",IF(C1384+D1384=0,"",(E1384*C1384+F1384*D1384)/(C1384+D1384)))</f>
        <v/>
      </c>
      <c r="H1384" s="59"/>
      <c r="I1384" s="60">
        <f>IF(OR(H1384="",E1384="",C1384="",D1384=""),"",IF(C1384+D1384=0,"",(H1384*D1384+E1384*C1384)/(C1384+D1384)))</f>
        <v/>
      </c>
      <c r="J1384" s="59"/>
      <c r="K1384" s="61">
        <f>IF(OR(J1384="",I1384=""),"",J1384-I1384)</f>
        <v/>
      </c>
      <c r="L1384" s="61">
        <f>IF(OR(J1384="",G1384=""),"",J1384-G1384)</f>
        <v/>
      </c>
      <c r="M1384" s="59"/>
      <c r="N1384" s="59"/>
      <c r="O1384" s="59"/>
      <c r="P1384" s="59"/>
      <c r="Q1384" s="59"/>
      <c r="R1384" s="60">
        <f>IF(AND(P1384="",Q1384=""),"",N(P1384)+N(Q1384))</f>
        <v/>
      </c>
      <c r="S1384" s="59"/>
      <c r="T1384" s="59"/>
      <c r="U1384" s="62">
        <f>IF(OR(R1384="",S1384="",T1384=""),"",IF(S1384+T1384=0,"",R1384/(S1384+T1384)))</f>
        <v/>
      </c>
      <c r="V1384" s="63"/>
      <c r="W1384" s="64"/>
      <c r="X1384" s="63"/>
    </row>
    <row r="1385" spans="2:24">
      <c r="B1385" s="58"/>
      <c r="C1385" s="59"/>
      <c r="D1385" s="59"/>
      <c r="E1385" s="59"/>
      <c r="F1385" s="59"/>
      <c r="G1385" s="60">
        <f>IF(OR(E1385="",F1385="",C1385="",D1385=""),"",IF(C1385+D1385=0,"",(E1385*C1385+F1385*D1385)/(C1385+D1385)))</f>
        <v/>
      </c>
      <c r="H1385" s="59"/>
      <c r="I1385" s="60">
        <f>IF(OR(H1385="",E1385="",C1385="",D1385=""),"",IF(C1385+D1385=0,"",(H1385*D1385+E1385*C1385)/(C1385+D1385)))</f>
        <v/>
      </c>
      <c r="J1385" s="59"/>
      <c r="K1385" s="61">
        <f>IF(OR(J1385="",I1385=""),"",J1385-I1385)</f>
        <v/>
      </c>
      <c r="L1385" s="61">
        <f>IF(OR(J1385="",G1385=""),"",J1385-G1385)</f>
        <v/>
      </c>
      <c r="M1385" s="59"/>
      <c r="N1385" s="59"/>
      <c r="O1385" s="59"/>
      <c r="P1385" s="59"/>
      <c r="Q1385" s="59"/>
      <c r="R1385" s="60">
        <f>IF(AND(P1385="",Q1385=""),"",N(P1385)+N(Q1385))</f>
        <v/>
      </c>
      <c r="S1385" s="59"/>
      <c r="T1385" s="59"/>
      <c r="U1385" s="62">
        <f>IF(OR(R1385="",S1385="",T1385=""),"",IF(S1385+T1385=0,"",R1385/(S1385+T1385)))</f>
        <v/>
      </c>
      <c r="V1385" s="63"/>
      <c r="W1385" s="64"/>
      <c r="X1385" s="63"/>
    </row>
    <row r="1386" spans="2:24">
      <c r="B1386" s="58"/>
      <c r="C1386" s="59"/>
      <c r="D1386" s="59"/>
      <c r="E1386" s="59"/>
      <c r="F1386" s="59"/>
      <c r="G1386" s="60">
        <f>IF(OR(E1386="",F1386="",C1386="",D1386=""),"",IF(C1386+D1386=0,"",(E1386*C1386+F1386*D1386)/(C1386+D1386)))</f>
        <v/>
      </c>
      <c r="H1386" s="59"/>
      <c r="I1386" s="60">
        <f>IF(OR(H1386="",E1386="",C1386="",D1386=""),"",IF(C1386+D1386=0,"",(H1386*D1386+E1386*C1386)/(C1386+D1386)))</f>
        <v/>
      </c>
      <c r="J1386" s="59"/>
      <c r="K1386" s="61">
        <f>IF(OR(J1386="",I1386=""),"",J1386-I1386)</f>
        <v/>
      </c>
      <c r="L1386" s="61">
        <f>IF(OR(J1386="",G1386=""),"",J1386-G1386)</f>
        <v/>
      </c>
      <c r="M1386" s="59"/>
      <c r="N1386" s="59"/>
      <c r="O1386" s="59"/>
      <c r="P1386" s="59"/>
      <c r="Q1386" s="59"/>
      <c r="R1386" s="60">
        <f>IF(AND(P1386="",Q1386=""),"",N(P1386)+N(Q1386))</f>
        <v/>
      </c>
      <c r="S1386" s="59"/>
      <c r="T1386" s="59"/>
      <c r="U1386" s="62">
        <f>IF(OR(R1386="",S1386="",T1386=""),"",IF(S1386+T1386=0,"",R1386/(S1386+T1386)))</f>
        <v/>
      </c>
      <c r="V1386" s="63"/>
      <c r="W1386" s="64"/>
      <c r="X1386" s="63"/>
    </row>
    <row r="1387" spans="2:24">
      <c r="B1387" s="58"/>
      <c r="C1387" s="59"/>
      <c r="D1387" s="59"/>
      <c r="E1387" s="59"/>
      <c r="F1387" s="59"/>
      <c r="G1387" s="60">
        <f>IF(OR(E1387="",F1387="",C1387="",D1387=""),"",IF(C1387+D1387=0,"",(E1387*C1387+F1387*D1387)/(C1387+D1387)))</f>
        <v/>
      </c>
      <c r="H1387" s="59"/>
      <c r="I1387" s="60">
        <f>IF(OR(H1387="",E1387="",C1387="",D1387=""),"",IF(C1387+D1387=0,"",(H1387*D1387+E1387*C1387)/(C1387+D1387)))</f>
        <v/>
      </c>
      <c r="J1387" s="59"/>
      <c r="K1387" s="61">
        <f>IF(OR(J1387="",I1387=""),"",J1387-I1387)</f>
        <v/>
      </c>
      <c r="L1387" s="61">
        <f>IF(OR(J1387="",G1387=""),"",J1387-G1387)</f>
        <v/>
      </c>
      <c r="M1387" s="59"/>
      <c r="N1387" s="59"/>
      <c r="O1387" s="59"/>
      <c r="P1387" s="59"/>
      <c r="Q1387" s="59"/>
      <c r="R1387" s="60">
        <f>IF(AND(P1387="",Q1387=""),"",N(P1387)+N(Q1387))</f>
        <v/>
      </c>
      <c r="S1387" s="59"/>
      <c r="T1387" s="59"/>
      <c r="U1387" s="62">
        <f>IF(OR(R1387="",S1387="",T1387=""),"",IF(S1387+T1387=0,"",R1387/(S1387+T1387)))</f>
        <v/>
      </c>
      <c r="V1387" s="63"/>
      <c r="W1387" s="64"/>
      <c r="X1387" s="63"/>
    </row>
    <row r="1388" spans="2:24">
      <c r="B1388" s="58"/>
      <c r="C1388" s="59"/>
      <c r="D1388" s="59"/>
      <c r="E1388" s="59"/>
      <c r="F1388" s="59"/>
      <c r="G1388" s="60">
        <f>IF(OR(E1388="",F1388="",C1388="",D1388=""),"",IF(C1388+D1388=0,"",(E1388*C1388+F1388*D1388)/(C1388+D1388)))</f>
        <v/>
      </c>
      <c r="H1388" s="59"/>
      <c r="I1388" s="60">
        <f>IF(OR(H1388="",E1388="",C1388="",D1388=""),"",IF(C1388+D1388=0,"",(H1388*D1388+E1388*C1388)/(C1388+D1388)))</f>
        <v/>
      </c>
      <c r="J1388" s="59"/>
      <c r="K1388" s="61">
        <f>IF(OR(J1388="",I1388=""),"",J1388-I1388)</f>
        <v/>
      </c>
      <c r="L1388" s="61">
        <f>IF(OR(J1388="",G1388=""),"",J1388-G1388)</f>
        <v/>
      </c>
      <c r="M1388" s="59"/>
      <c r="N1388" s="59"/>
      <c r="O1388" s="59"/>
      <c r="P1388" s="59"/>
      <c r="Q1388" s="59"/>
      <c r="R1388" s="60">
        <f>IF(AND(P1388="",Q1388=""),"",N(P1388)+N(Q1388))</f>
        <v/>
      </c>
      <c r="S1388" s="59"/>
      <c r="T1388" s="59"/>
      <c r="U1388" s="62">
        <f>IF(OR(R1388="",S1388="",T1388=""),"",IF(S1388+T1388=0,"",R1388/(S1388+T1388)))</f>
        <v/>
      </c>
      <c r="V1388" s="63"/>
      <c r="W1388" s="64"/>
      <c r="X1388" s="63"/>
    </row>
    <row r="1389" spans="2:24">
      <c r="B1389" s="58"/>
      <c r="C1389" s="59"/>
      <c r="D1389" s="59"/>
      <c r="E1389" s="59"/>
      <c r="F1389" s="59"/>
      <c r="G1389" s="60">
        <f>IF(OR(E1389="",F1389="",C1389="",D1389=""),"",IF(C1389+D1389=0,"",(E1389*C1389+F1389*D1389)/(C1389+D1389)))</f>
        <v/>
      </c>
      <c r="H1389" s="59"/>
      <c r="I1389" s="60">
        <f>IF(OR(H1389="",E1389="",C1389="",D1389=""),"",IF(C1389+D1389=0,"",(H1389*D1389+E1389*C1389)/(C1389+D1389)))</f>
        <v/>
      </c>
      <c r="J1389" s="59"/>
      <c r="K1389" s="61">
        <f>IF(OR(J1389="",I1389=""),"",J1389-I1389)</f>
        <v/>
      </c>
      <c r="L1389" s="61">
        <f>IF(OR(J1389="",G1389=""),"",J1389-G1389)</f>
        <v/>
      </c>
      <c r="M1389" s="59"/>
      <c r="N1389" s="59"/>
      <c r="O1389" s="59"/>
      <c r="P1389" s="59"/>
      <c r="Q1389" s="59"/>
      <c r="R1389" s="60">
        <f>IF(AND(P1389="",Q1389=""),"",N(P1389)+N(Q1389))</f>
        <v/>
      </c>
      <c r="S1389" s="59"/>
      <c r="T1389" s="59"/>
      <c r="U1389" s="62">
        <f>IF(OR(R1389="",S1389="",T1389=""),"",IF(S1389+T1389=0,"",R1389/(S1389+T1389)))</f>
        <v/>
      </c>
      <c r="V1389" s="63"/>
      <c r="W1389" s="64"/>
      <c r="X1389" s="63"/>
    </row>
    <row r="1390" spans="2:24">
      <c r="B1390" s="58"/>
      <c r="C1390" s="59"/>
      <c r="D1390" s="59"/>
      <c r="E1390" s="59"/>
      <c r="F1390" s="59"/>
      <c r="G1390" s="60">
        <f>IF(OR(E1390="",F1390="",C1390="",D1390=""),"",IF(C1390+D1390=0,"",(E1390*C1390+F1390*D1390)/(C1390+D1390)))</f>
        <v/>
      </c>
      <c r="H1390" s="59"/>
      <c r="I1390" s="60">
        <f>IF(OR(H1390="",E1390="",C1390="",D1390=""),"",IF(C1390+D1390=0,"",(H1390*D1390+E1390*C1390)/(C1390+D1390)))</f>
        <v/>
      </c>
      <c r="J1390" s="59"/>
      <c r="K1390" s="61">
        <f>IF(OR(J1390="",I1390=""),"",J1390-I1390)</f>
        <v/>
      </c>
      <c r="L1390" s="61">
        <f>IF(OR(J1390="",G1390=""),"",J1390-G1390)</f>
        <v/>
      </c>
      <c r="M1390" s="59"/>
      <c r="N1390" s="59"/>
      <c r="O1390" s="59"/>
      <c r="P1390" s="59"/>
      <c r="Q1390" s="59"/>
      <c r="R1390" s="60">
        <f>IF(AND(P1390="",Q1390=""),"",N(P1390)+N(Q1390))</f>
        <v/>
      </c>
      <c r="S1390" s="59"/>
      <c r="T1390" s="59"/>
      <c r="U1390" s="62">
        <f>IF(OR(R1390="",S1390="",T1390=""),"",IF(S1390+T1390=0,"",R1390/(S1390+T1390)))</f>
        <v/>
      </c>
      <c r="V1390" s="63"/>
      <c r="W1390" s="64"/>
      <c r="X1390" s="63"/>
    </row>
    <row r="1391" spans="2:24">
      <c r="B1391" s="58"/>
      <c r="C1391" s="59"/>
      <c r="D1391" s="59"/>
      <c r="E1391" s="59"/>
      <c r="F1391" s="59"/>
      <c r="G1391" s="60">
        <f>IF(OR(E1391="",F1391="",C1391="",D1391=""),"",IF(C1391+D1391=0,"",(E1391*C1391+F1391*D1391)/(C1391+D1391)))</f>
        <v/>
      </c>
      <c r="H1391" s="59"/>
      <c r="I1391" s="60">
        <f>IF(OR(H1391="",E1391="",C1391="",D1391=""),"",IF(C1391+D1391=0,"",(H1391*D1391+E1391*C1391)/(C1391+D1391)))</f>
        <v/>
      </c>
      <c r="J1391" s="59"/>
      <c r="K1391" s="61">
        <f>IF(OR(J1391="",I1391=""),"",J1391-I1391)</f>
        <v/>
      </c>
      <c r="L1391" s="61">
        <f>IF(OR(J1391="",G1391=""),"",J1391-G1391)</f>
        <v/>
      </c>
      <c r="M1391" s="59"/>
      <c r="N1391" s="59"/>
      <c r="O1391" s="59"/>
      <c r="P1391" s="59"/>
      <c r="Q1391" s="59"/>
      <c r="R1391" s="60">
        <f>IF(AND(P1391="",Q1391=""),"",N(P1391)+N(Q1391))</f>
        <v/>
      </c>
      <c r="S1391" s="59"/>
      <c r="T1391" s="59"/>
      <c r="U1391" s="62">
        <f>IF(OR(R1391="",S1391="",T1391=""),"",IF(S1391+T1391=0,"",R1391/(S1391+T1391)))</f>
        <v/>
      </c>
      <c r="V1391" s="63"/>
      <c r="W1391" s="64"/>
      <c r="X1391" s="63"/>
    </row>
    <row r="1392" spans="2:24">
      <c r="B1392" s="58"/>
      <c r="C1392" s="59"/>
      <c r="D1392" s="59"/>
      <c r="E1392" s="59"/>
      <c r="F1392" s="59"/>
      <c r="G1392" s="60">
        <f>IF(OR(E1392="",F1392="",C1392="",D1392=""),"",IF(C1392+D1392=0,"",(E1392*C1392+F1392*D1392)/(C1392+D1392)))</f>
        <v/>
      </c>
      <c r="H1392" s="59"/>
      <c r="I1392" s="60">
        <f>IF(OR(H1392="",E1392="",C1392="",D1392=""),"",IF(C1392+D1392=0,"",(H1392*D1392+E1392*C1392)/(C1392+D1392)))</f>
        <v/>
      </c>
      <c r="J1392" s="59"/>
      <c r="K1392" s="61">
        <f>IF(OR(J1392="",I1392=""),"",J1392-I1392)</f>
        <v/>
      </c>
      <c r="L1392" s="61">
        <f>IF(OR(J1392="",G1392=""),"",J1392-G1392)</f>
        <v/>
      </c>
      <c r="M1392" s="59"/>
      <c r="N1392" s="59"/>
      <c r="O1392" s="59"/>
      <c r="P1392" s="59"/>
      <c r="Q1392" s="59"/>
      <c r="R1392" s="60">
        <f>IF(AND(P1392="",Q1392=""),"",N(P1392)+N(Q1392))</f>
        <v/>
      </c>
      <c r="S1392" s="59"/>
      <c r="T1392" s="59"/>
      <c r="U1392" s="62">
        <f>IF(OR(R1392="",S1392="",T1392=""),"",IF(S1392+T1392=0,"",R1392/(S1392+T1392)))</f>
        <v/>
      </c>
      <c r="V1392" s="63"/>
      <c r="W1392" s="64"/>
      <c r="X1392" s="63"/>
    </row>
    <row r="1393" spans="2:24">
      <c r="B1393" s="58"/>
      <c r="C1393" s="59"/>
      <c r="D1393" s="59"/>
      <c r="E1393" s="59"/>
      <c r="F1393" s="59"/>
      <c r="G1393" s="60">
        <f>IF(OR(E1393="",F1393="",C1393="",D1393=""),"",IF(C1393+D1393=0,"",(E1393*C1393+F1393*D1393)/(C1393+D1393)))</f>
        <v/>
      </c>
      <c r="H1393" s="59"/>
      <c r="I1393" s="60">
        <f>IF(OR(H1393="",E1393="",C1393="",D1393=""),"",IF(C1393+D1393=0,"",(H1393*D1393+E1393*C1393)/(C1393+D1393)))</f>
        <v/>
      </c>
      <c r="J1393" s="59"/>
      <c r="K1393" s="61">
        <f>IF(OR(J1393="",I1393=""),"",J1393-I1393)</f>
        <v/>
      </c>
      <c r="L1393" s="61">
        <f>IF(OR(J1393="",G1393=""),"",J1393-G1393)</f>
        <v/>
      </c>
      <c r="M1393" s="59"/>
      <c r="N1393" s="59"/>
      <c r="O1393" s="59"/>
      <c r="P1393" s="59"/>
      <c r="Q1393" s="59"/>
      <c r="R1393" s="60">
        <f>IF(AND(P1393="",Q1393=""),"",N(P1393)+N(Q1393))</f>
        <v/>
      </c>
      <c r="S1393" s="59"/>
      <c r="T1393" s="59"/>
      <c r="U1393" s="62">
        <f>IF(OR(R1393="",S1393="",T1393=""),"",IF(S1393+T1393=0,"",R1393/(S1393+T1393)))</f>
        <v/>
      </c>
      <c r="V1393" s="63"/>
      <c r="W1393" s="64"/>
      <c r="X1393" s="63"/>
    </row>
    <row r="1394" spans="2:24">
      <c r="B1394" s="58"/>
      <c r="C1394" s="59"/>
      <c r="D1394" s="59"/>
      <c r="E1394" s="59"/>
      <c r="F1394" s="59"/>
      <c r="G1394" s="60">
        <f>IF(OR(E1394="",F1394="",C1394="",D1394=""),"",IF(C1394+D1394=0,"",(E1394*C1394+F1394*D1394)/(C1394+D1394)))</f>
        <v/>
      </c>
      <c r="H1394" s="59"/>
      <c r="I1394" s="60">
        <f>IF(OR(H1394="",E1394="",C1394="",D1394=""),"",IF(C1394+D1394=0,"",(H1394*D1394+E1394*C1394)/(C1394+D1394)))</f>
        <v/>
      </c>
      <c r="J1394" s="59"/>
      <c r="K1394" s="61">
        <f>IF(OR(J1394="",I1394=""),"",J1394-I1394)</f>
        <v/>
      </c>
      <c r="L1394" s="61">
        <f>IF(OR(J1394="",G1394=""),"",J1394-G1394)</f>
        <v/>
      </c>
      <c r="M1394" s="59"/>
      <c r="N1394" s="59"/>
      <c r="O1394" s="59"/>
      <c r="P1394" s="59"/>
      <c r="Q1394" s="59"/>
      <c r="R1394" s="60">
        <f>IF(AND(P1394="",Q1394=""),"",N(P1394)+N(Q1394))</f>
        <v/>
      </c>
      <c r="S1394" s="59"/>
      <c r="T1394" s="59"/>
      <c r="U1394" s="62">
        <f>IF(OR(R1394="",S1394="",T1394=""),"",IF(S1394+T1394=0,"",R1394/(S1394+T1394)))</f>
        <v/>
      </c>
      <c r="V1394" s="63"/>
      <c r="W1394" s="64"/>
      <c r="X1394" s="63"/>
    </row>
    <row r="1395" spans="2:24">
      <c r="B1395" s="58"/>
      <c r="C1395" s="59"/>
      <c r="D1395" s="59"/>
      <c r="E1395" s="59"/>
      <c r="F1395" s="59"/>
      <c r="G1395" s="60">
        <f>IF(OR(E1395="",F1395="",C1395="",D1395=""),"",IF(C1395+D1395=0,"",(E1395*C1395+F1395*D1395)/(C1395+D1395)))</f>
        <v/>
      </c>
      <c r="H1395" s="59"/>
      <c r="I1395" s="60">
        <f>IF(OR(H1395="",E1395="",C1395="",D1395=""),"",IF(C1395+D1395=0,"",(H1395*D1395+E1395*C1395)/(C1395+D1395)))</f>
        <v/>
      </c>
      <c r="J1395" s="59"/>
      <c r="K1395" s="61">
        <f>IF(OR(J1395="",I1395=""),"",J1395-I1395)</f>
        <v/>
      </c>
      <c r="L1395" s="61">
        <f>IF(OR(J1395="",G1395=""),"",J1395-G1395)</f>
        <v/>
      </c>
      <c r="M1395" s="59"/>
      <c r="N1395" s="59"/>
      <c r="O1395" s="59"/>
      <c r="P1395" s="59"/>
      <c r="Q1395" s="59"/>
      <c r="R1395" s="60">
        <f>IF(AND(P1395="",Q1395=""),"",N(P1395)+N(Q1395))</f>
        <v/>
      </c>
      <c r="S1395" s="59"/>
      <c r="T1395" s="59"/>
      <c r="U1395" s="62">
        <f>IF(OR(R1395="",S1395="",T1395=""),"",IF(S1395+T1395=0,"",R1395/(S1395+T1395)))</f>
        <v/>
      </c>
      <c r="V1395" s="63"/>
      <c r="W1395" s="64"/>
      <c r="X1395" s="63"/>
    </row>
    <row r="1396" spans="2:24">
      <c r="B1396" s="58"/>
      <c r="C1396" s="59"/>
      <c r="D1396" s="59"/>
      <c r="E1396" s="59"/>
      <c r="F1396" s="59"/>
      <c r="G1396" s="60">
        <f>IF(OR(E1396="",F1396="",C1396="",D1396=""),"",IF(C1396+D1396=0,"",(E1396*C1396+F1396*D1396)/(C1396+D1396)))</f>
        <v/>
      </c>
      <c r="H1396" s="59"/>
      <c r="I1396" s="60">
        <f>IF(OR(H1396="",E1396="",C1396="",D1396=""),"",IF(C1396+D1396=0,"",(H1396*D1396+E1396*C1396)/(C1396+D1396)))</f>
        <v/>
      </c>
      <c r="J1396" s="59"/>
      <c r="K1396" s="61">
        <f>IF(OR(J1396="",I1396=""),"",J1396-I1396)</f>
        <v/>
      </c>
      <c r="L1396" s="61">
        <f>IF(OR(J1396="",G1396=""),"",J1396-G1396)</f>
        <v/>
      </c>
      <c r="M1396" s="59"/>
      <c r="N1396" s="59"/>
      <c r="O1396" s="59"/>
      <c r="P1396" s="59"/>
      <c r="Q1396" s="59"/>
      <c r="R1396" s="60">
        <f>IF(AND(P1396="",Q1396=""),"",N(P1396)+N(Q1396))</f>
        <v/>
      </c>
      <c r="S1396" s="59"/>
      <c r="T1396" s="59"/>
      <c r="U1396" s="62">
        <f>IF(OR(R1396="",S1396="",T1396=""),"",IF(S1396+T1396=0,"",R1396/(S1396+T1396)))</f>
        <v/>
      </c>
      <c r="V1396" s="63"/>
      <c r="W1396" s="64"/>
      <c r="X1396" s="63"/>
    </row>
    <row r="1397" spans="2:24">
      <c r="B1397" s="58"/>
      <c r="C1397" s="59"/>
      <c r="D1397" s="59"/>
      <c r="E1397" s="59"/>
      <c r="F1397" s="59"/>
      <c r="G1397" s="60">
        <f>IF(OR(E1397="",F1397="",C1397="",D1397=""),"",IF(C1397+D1397=0,"",(E1397*C1397+F1397*D1397)/(C1397+D1397)))</f>
        <v/>
      </c>
      <c r="H1397" s="59"/>
      <c r="I1397" s="60">
        <f>IF(OR(H1397="",E1397="",C1397="",D1397=""),"",IF(C1397+D1397=0,"",(H1397*D1397+E1397*C1397)/(C1397+D1397)))</f>
        <v/>
      </c>
      <c r="J1397" s="59"/>
      <c r="K1397" s="61">
        <f>IF(OR(J1397="",I1397=""),"",J1397-I1397)</f>
        <v/>
      </c>
      <c r="L1397" s="61">
        <f>IF(OR(J1397="",G1397=""),"",J1397-G1397)</f>
        <v/>
      </c>
      <c r="M1397" s="59"/>
      <c r="N1397" s="59"/>
      <c r="O1397" s="59"/>
      <c r="P1397" s="59"/>
      <c r="Q1397" s="59"/>
      <c r="R1397" s="60">
        <f>IF(AND(P1397="",Q1397=""),"",N(P1397)+N(Q1397))</f>
        <v/>
      </c>
      <c r="S1397" s="59"/>
      <c r="T1397" s="59"/>
      <c r="U1397" s="62">
        <f>IF(OR(R1397="",S1397="",T1397=""),"",IF(S1397+T1397=0,"",R1397/(S1397+T1397)))</f>
        <v/>
      </c>
      <c r="V1397" s="63"/>
      <c r="W1397" s="64"/>
      <c r="X1397" s="63"/>
    </row>
    <row r="1398" spans="2:24">
      <c r="B1398" s="58"/>
      <c r="C1398" s="59"/>
      <c r="D1398" s="59"/>
      <c r="E1398" s="59"/>
      <c r="F1398" s="59"/>
      <c r="G1398" s="60">
        <f>IF(OR(E1398="",F1398="",C1398="",D1398=""),"",IF(C1398+D1398=0,"",(E1398*C1398+F1398*D1398)/(C1398+D1398)))</f>
        <v/>
      </c>
      <c r="H1398" s="59"/>
      <c r="I1398" s="60">
        <f>IF(OR(H1398="",E1398="",C1398="",D1398=""),"",IF(C1398+D1398=0,"",(H1398*D1398+E1398*C1398)/(C1398+D1398)))</f>
        <v/>
      </c>
      <c r="J1398" s="59"/>
      <c r="K1398" s="61">
        <f>IF(OR(J1398="",I1398=""),"",J1398-I1398)</f>
        <v/>
      </c>
      <c r="L1398" s="61">
        <f>IF(OR(J1398="",G1398=""),"",J1398-G1398)</f>
        <v/>
      </c>
      <c r="M1398" s="59"/>
      <c r="N1398" s="59"/>
      <c r="O1398" s="59"/>
      <c r="P1398" s="59"/>
      <c r="Q1398" s="59"/>
      <c r="R1398" s="60">
        <f>IF(AND(P1398="",Q1398=""),"",N(P1398)+N(Q1398))</f>
        <v/>
      </c>
      <c r="S1398" s="59"/>
      <c r="T1398" s="59"/>
      <c r="U1398" s="62">
        <f>IF(OR(R1398="",S1398="",T1398=""),"",IF(S1398+T1398=0,"",R1398/(S1398+T1398)))</f>
        <v/>
      </c>
      <c r="V1398" s="63"/>
      <c r="W1398" s="64"/>
      <c r="X1398" s="63"/>
    </row>
    <row r="1399" spans="2:24">
      <c r="B1399" s="58"/>
      <c r="C1399" s="59"/>
      <c r="D1399" s="59"/>
      <c r="E1399" s="59"/>
      <c r="F1399" s="59"/>
      <c r="G1399" s="60">
        <f>IF(OR(E1399="",F1399="",C1399="",D1399=""),"",IF(C1399+D1399=0,"",(E1399*C1399+F1399*D1399)/(C1399+D1399)))</f>
        <v/>
      </c>
      <c r="H1399" s="59"/>
      <c r="I1399" s="60">
        <f>IF(OR(H1399="",E1399="",C1399="",D1399=""),"",IF(C1399+D1399=0,"",(H1399*D1399+E1399*C1399)/(C1399+D1399)))</f>
        <v/>
      </c>
      <c r="J1399" s="59"/>
      <c r="K1399" s="61">
        <f>IF(OR(J1399="",I1399=""),"",J1399-I1399)</f>
        <v/>
      </c>
      <c r="L1399" s="61">
        <f>IF(OR(J1399="",G1399=""),"",J1399-G1399)</f>
        <v/>
      </c>
      <c r="M1399" s="59"/>
      <c r="N1399" s="59"/>
      <c r="O1399" s="59"/>
      <c r="P1399" s="59"/>
      <c r="Q1399" s="59"/>
      <c r="R1399" s="60">
        <f>IF(AND(P1399="",Q1399=""),"",N(P1399)+N(Q1399))</f>
        <v/>
      </c>
      <c r="S1399" s="59"/>
      <c r="T1399" s="59"/>
      <c r="U1399" s="62">
        <f>IF(OR(R1399="",S1399="",T1399=""),"",IF(S1399+T1399=0,"",R1399/(S1399+T1399)))</f>
        <v/>
      </c>
      <c r="V1399" s="63"/>
      <c r="W1399" s="64"/>
      <c r="X1399" s="63"/>
    </row>
    <row r="1400" spans="2:24">
      <c r="B1400" s="58"/>
      <c r="C1400" s="59"/>
      <c r="D1400" s="59"/>
      <c r="E1400" s="59"/>
      <c r="F1400" s="59"/>
      <c r="G1400" s="60">
        <f>IF(OR(E1400="",F1400="",C1400="",D1400=""),"",IF(C1400+D1400=0,"",(E1400*C1400+F1400*D1400)/(C1400+D1400)))</f>
        <v/>
      </c>
      <c r="H1400" s="59"/>
      <c r="I1400" s="60">
        <f>IF(OR(H1400="",E1400="",C1400="",D1400=""),"",IF(C1400+D1400=0,"",(H1400*D1400+E1400*C1400)/(C1400+D1400)))</f>
        <v/>
      </c>
      <c r="J1400" s="59"/>
      <c r="K1400" s="61">
        <f>IF(OR(J1400="",I1400=""),"",J1400-I1400)</f>
        <v/>
      </c>
      <c r="L1400" s="61">
        <f>IF(OR(J1400="",G1400=""),"",J1400-G1400)</f>
        <v/>
      </c>
      <c r="M1400" s="59"/>
      <c r="N1400" s="59"/>
      <c r="O1400" s="59"/>
      <c r="P1400" s="59"/>
      <c r="Q1400" s="59"/>
      <c r="R1400" s="60">
        <f>IF(AND(P1400="",Q1400=""),"",N(P1400)+N(Q1400))</f>
        <v/>
      </c>
      <c r="S1400" s="59"/>
      <c r="T1400" s="59"/>
      <c r="U1400" s="62">
        <f>IF(OR(R1400="",S1400="",T1400=""),"",IF(S1400+T1400=0,"",R1400/(S1400+T1400)))</f>
        <v/>
      </c>
      <c r="V1400" s="63"/>
      <c r="W1400" s="64"/>
      <c r="X1400" s="63"/>
    </row>
    <row r="1401" spans="2:24">
      <c r="B1401" s="58"/>
      <c r="C1401" s="59"/>
      <c r="D1401" s="59"/>
      <c r="E1401" s="59"/>
      <c r="F1401" s="59"/>
      <c r="G1401" s="60">
        <f>IF(OR(E1401="",F1401="",C1401="",D1401=""),"",IF(C1401+D1401=0,"",(E1401*C1401+F1401*D1401)/(C1401+D1401)))</f>
        <v/>
      </c>
      <c r="H1401" s="59"/>
      <c r="I1401" s="60">
        <f>IF(OR(H1401="",E1401="",C1401="",D1401=""),"",IF(C1401+D1401=0,"",(H1401*D1401+E1401*C1401)/(C1401+D1401)))</f>
        <v/>
      </c>
      <c r="J1401" s="59"/>
      <c r="K1401" s="61">
        <f>IF(OR(J1401="",I1401=""),"",J1401-I1401)</f>
        <v/>
      </c>
      <c r="L1401" s="61">
        <f>IF(OR(J1401="",G1401=""),"",J1401-G1401)</f>
        <v/>
      </c>
      <c r="M1401" s="59"/>
      <c r="N1401" s="59"/>
      <c r="O1401" s="59"/>
      <c r="P1401" s="59"/>
      <c r="Q1401" s="59"/>
      <c r="R1401" s="60">
        <f>IF(AND(P1401="",Q1401=""),"",N(P1401)+N(Q1401))</f>
        <v/>
      </c>
      <c r="S1401" s="59"/>
      <c r="T1401" s="59"/>
      <c r="U1401" s="62">
        <f>IF(OR(R1401="",S1401="",T1401=""),"",IF(S1401+T1401=0,"",R1401/(S1401+T1401)))</f>
        <v/>
      </c>
      <c r="V1401" s="63"/>
      <c r="W1401" s="64"/>
      <c r="X1401" s="63"/>
    </row>
    <row r="1402" spans="2:24">
      <c r="B1402" s="58"/>
      <c r="C1402" s="59"/>
      <c r="D1402" s="59"/>
      <c r="E1402" s="59"/>
      <c r="F1402" s="59"/>
      <c r="G1402" s="60">
        <f>IF(OR(E1402="",F1402="",C1402="",D1402=""),"",IF(C1402+D1402=0,"",(E1402*C1402+F1402*D1402)/(C1402+D1402)))</f>
        <v/>
      </c>
      <c r="H1402" s="59"/>
      <c r="I1402" s="60">
        <f>IF(OR(H1402="",E1402="",C1402="",D1402=""),"",IF(C1402+D1402=0,"",(H1402*D1402+E1402*C1402)/(C1402+D1402)))</f>
        <v/>
      </c>
      <c r="J1402" s="59"/>
      <c r="K1402" s="61">
        <f>IF(OR(J1402="",I1402=""),"",J1402-I1402)</f>
        <v/>
      </c>
      <c r="L1402" s="61">
        <f>IF(OR(J1402="",G1402=""),"",J1402-G1402)</f>
        <v/>
      </c>
      <c r="M1402" s="59"/>
      <c r="N1402" s="59"/>
      <c r="O1402" s="59"/>
      <c r="P1402" s="59"/>
      <c r="Q1402" s="59"/>
      <c r="R1402" s="60">
        <f>IF(AND(P1402="",Q1402=""),"",N(P1402)+N(Q1402))</f>
        <v/>
      </c>
      <c r="S1402" s="59"/>
      <c r="T1402" s="59"/>
      <c r="U1402" s="62">
        <f>IF(OR(R1402="",S1402="",T1402=""),"",IF(S1402+T1402=0,"",R1402/(S1402+T1402)))</f>
        <v/>
      </c>
      <c r="V1402" s="63"/>
      <c r="W1402" s="64"/>
      <c r="X1402" s="63"/>
    </row>
    <row r="1403" spans="2:24">
      <c r="B1403" s="58"/>
      <c r="C1403" s="59"/>
      <c r="D1403" s="59"/>
      <c r="E1403" s="59"/>
      <c r="F1403" s="59"/>
      <c r="G1403" s="60">
        <f>IF(OR(E1403="",F1403="",C1403="",D1403=""),"",IF(C1403+D1403=0,"",(E1403*C1403+F1403*D1403)/(C1403+D1403)))</f>
        <v/>
      </c>
      <c r="H1403" s="59"/>
      <c r="I1403" s="60">
        <f>IF(OR(H1403="",E1403="",C1403="",D1403=""),"",IF(C1403+D1403=0,"",(H1403*D1403+E1403*C1403)/(C1403+D1403)))</f>
        <v/>
      </c>
      <c r="J1403" s="59"/>
      <c r="K1403" s="61">
        <f>IF(OR(J1403="",I1403=""),"",J1403-I1403)</f>
        <v/>
      </c>
      <c r="L1403" s="61">
        <f>IF(OR(J1403="",G1403=""),"",J1403-G1403)</f>
        <v/>
      </c>
      <c r="M1403" s="59"/>
      <c r="N1403" s="59"/>
      <c r="O1403" s="59"/>
      <c r="P1403" s="59"/>
      <c r="Q1403" s="59"/>
      <c r="R1403" s="60">
        <f>IF(AND(P1403="",Q1403=""),"",N(P1403)+N(Q1403))</f>
        <v/>
      </c>
      <c r="S1403" s="59"/>
      <c r="T1403" s="59"/>
      <c r="U1403" s="62">
        <f>IF(OR(R1403="",S1403="",T1403=""),"",IF(S1403+T1403=0,"",R1403/(S1403+T1403)))</f>
        <v/>
      </c>
      <c r="V1403" s="63"/>
      <c r="W1403" s="64"/>
      <c r="X1403" s="63"/>
    </row>
    <row r="1404" spans="2:24">
      <c r="B1404" s="58"/>
      <c r="C1404" s="59"/>
      <c r="D1404" s="59"/>
      <c r="E1404" s="59"/>
      <c r="F1404" s="59"/>
      <c r="G1404" s="60">
        <f>IF(OR(E1404="",F1404="",C1404="",D1404=""),"",IF(C1404+D1404=0,"",(E1404*C1404+F1404*D1404)/(C1404+D1404)))</f>
        <v/>
      </c>
      <c r="H1404" s="59"/>
      <c r="I1404" s="60">
        <f>IF(OR(H1404="",E1404="",C1404="",D1404=""),"",IF(C1404+D1404=0,"",(H1404*D1404+E1404*C1404)/(C1404+D1404)))</f>
        <v/>
      </c>
      <c r="J1404" s="59"/>
      <c r="K1404" s="61">
        <f>IF(OR(J1404="",I1404=""),"",J1404-I1404)</f>
        <v/>
      </c>
      <c r="L1404" s="61">
        <f>IF(OR(J1404="",G1404=""),"",J1404-G1404)</f>
        <v/>
      </c>
      <c r="M1404" s="59"/>
      <c r="N1404" s="59"/>
      <c r="O1404" s="59"/>
      <c r="P1404" s="59"/>
      <c r="Q1404" s="59"/>
      <c r="R1404" s="60">
        <f>IF(AND(P1404="",Q1404=""),"",N(P1404)+N(Q1404))</f>
        <v/>
      </c>
      <c r="S1404" s="59"/>
      <c r="T1404" s="59"/>
      <c r="U1404" s="62">
        <f>IF(OR(R1404="",S1404="",T1404=""),"",IF(S1404+T1404=0,"",R1404/(S1404+T1404)))</f>
        <v/>
      </c>
      <c r="V1404" s="63"/>
      <c r="W1404" s="64"/>
      <c r="X1404" s="63"/>
    </row>
    <row r="1405" spans="2:24">
      <c r="B1405" s="58"/>
      <c r="C1405" s="59"/>
      <c r="D1405" s="59"/>
      <c r="E1405" s="59"/>
      <c r="F1405" s="59"/>
      <c r="G1405" s="60">
        <f>IF(OR(E1405="",F1405="",C1405="",D1405=""),"",IF(C1405+D1405=0,"",(E1405*C1405+F1405*D1405)/(C1405+D1405)))</f>
        <v/>
      </c>
      <c r="H1405" s="59"/>
      <c r="I1405" s="60">
        <f>IF(OR(H1405="",E1405="",C1405="",D1405=""),"",IF(C1405+D1405=0,"",(H1405*D1405+E1405*C1405)/(C1405+D1405)))</f>
        <v/>
      </c>
      <c r="J1405" s="59"/>
      <c r="K1405" s="61">
        <f>IF(OR(J1405="",I1405=""),"",J1405-I1405)</f>
        <v/>
      </c>
      <c r="L1405" s="61">
        <f>IF(OR(J1405="",G1405=""),"",J1405-G1405)</f>
        <v/>
      </c>
      <c r="M1405" s="59"/>
      <c r="N1405" s="59"/>
      <c r="O1405" s="59"/>
      <c r="P1405" s="59"/>
      <c r="Q1405" s="59"/>
      <c r="R1405" s="60">
        <f>IF(AND(P1405="",Q1405=""),"",N(P1405)+N(Q1405))</f>
        <v/>
      </c>
      <c r="S1405" s="59"/>
      <c r="T1405" s="59"/>
      <c r="U1405" s="62">
        <f>IF(OR(R1405="",S1405="",T1405=""),"",IF(S1405+T1405=0,"",R1405/(S1405+T1405)))</f>
        <v/>
      </c>
      <c r="V1405" s="63"/>
      <c r="W1405" s="64"/>
      <c r="X1405" s="63"/>
    </row>
    <row r="1406" spans="2:24">
      <c r="B1406" s="58"/>
      <c r="C1406" s="59"/>
      <c r="D1406" s="59"/>
      <c r="E1406" s="59"/>
      <c r="F1406" s="59"/>
      <c r="G1406" s="60">
        <f>IF(OR(E1406="",F1406="",C1406="",D1406=""),"",IF(C1406+D1406=0,"",(E1406*C1406+F1406*D1406)/(C1406+D1406)))</f>
        <v/>
      </c>
      <c r="H1406" s="59"/>
      <c r="I1406" s="60">
        <f>IF(OR(H1406="",E1406="",C1406="",D1406=""),"",IF(C1406+D1406=0,"",(H1406*D1406+E1406*C1406)/(C1406+D1406)))</f>
        <v/>
      </c>
      <c r="J1406" s="59"/>
      <c r="K1406" s="61">
        <f>IF(OR(J1406="",I1406=""),"",J1406-I1406)</f>
        <v/>
      </c>
      <c r="L1406" s="61">
        <f>IF(OR(J1406="",G1406=""),"",J1406-G1406)</f>
        <v/>
      </c>
      <c r="M1406" s="59"/>
      <c r="N1406" s="59"/>
      <c r="O1406" s="59"/>
      <c r="P1406" s="59"/>
      <c r="Q1406" s="59"/>
      <c r="R1406" s="60">
        <f>IF(AND(P1406="",Q1406=""),"",N(P1406)+N(Q1406))</f>
        <v/>
      </c>
      <c r="S1406" s="59"/>
      <c r="T1406" s="59"/>
      <c r="U1406" s="62">
        <f>IF(OR(R1406="",S1406="",T1406=""),"",IF(S1406+T1406=0,"",R1406/(S1406+T1406)))</f>
        <v/>
      </c>
      <c r="V1406" s="63"/>
      <c r="W1406" s="64"/>
      <c r="X1406" s="63"/>
    </row>
    <row r="1407" spans="2:24">
      <c r="B1407" s="58"/>
      <c r="C1407" s="59"/>
      <c r="D1407" s="59"/>
      <c r="E1407" s="59"/>
      <c r="F1407" s="59"/>
      <c r="G1407" s="60">
        <f>IF(OR(E1407="",F1407="",C1407="",D1407=""),"",IF(C1407+D1407=0,"",(E1407*C1407+F1407*D1407)/(C1407+D1407)))</f>
        <v/>
      </c>
      <c r="H1407" s="59"/>
      <c r="I1407" s="60">
        <f>IF(OR(H1407="",E1407="",C1407="",D1407=""),"",IF(C1407+D1407=0,"",(H1407*D1407+E1407*C1407)/(C1407+D1407)))</f>
        <v/>
      </c>
      <c r="J1407" s="59"/>
      <c r="K1407" s="61">
        <f>IF(OR(J1407="",I1407=""),"",J1407-I1407)</f>
        <v/>
      </c>
      <c r="L1407" s="61">
        <f>IF(OR(J1407="",G1407=""),"",J1407-G1407)</f>
        <v/>
      </c>
      <c r="M1407" s="59"/>
      <c r="N1407" s="59"/>
      <c r="O1407" s="59"/>
      <c r="P1407" s="59"/>
      <c r="Q1407" s="59"/>
      <c r="R1407" s="60">
        <f>IF(AND(P1407="",Q1407=""),"",N(P1407)+N(Q1407))</f>
        <v/>
      </c>
      <c r="S1407" s="59"/>
      <c r="T1407" s="59"/>
      <c r="U1407" s="62">
        <f>IF(OR(R1407="",S1407="",T1407=""),"",IF(S1407+T1407=0,"",R1407/(S1407+T1407)))</f>
        <v/>
      </c>
      <c r="V1407" s="63"/>
      <c r="W1407" s="64"/>
      <c r="X1407" s="63"/>
    </row>
    <row r="1408" spans="2:24">
      <c r="B1408" s="58"/>
      <c r="C1408" s="59"/>
      <c r="D1408" s="59"/>
      <c r="E1408" s="59"/>
      <c r="F1408" s="59"/>
      <c r="G1408" s="60">
        <f>IF(OR(E1408="",F1408="",C1408="",D1408=""),"",IF(C1408+D1408=0,"",(E1408*C1408+F1408*D1408)/(C1408+D1408)))</f>
        <v/>
      </c>
      <c r="H1408" s="59"/>
      <c r="I1408" s="60">
        <f>IF(OR(H1408="",E1408="",C1408="",D1408=""),"",IF(C1408+D1408=0,"",(H1408*D1408+E1408*C1408)/(C1408+D1408)))</f>
        <v/>
      </c>
      <c r="J1408" s="59"/>
      <c r="K1408" s="61">
        <f>IF(OR(J1408="",I1408=""),"",J1408-I1408)</f>
        <v/>
      </c>
      <c r="L1408" s="61">
        <f>IF(OR(J1408="",G1408=""),"",J1408-G1408)</f>
        <v/>
      </c>
      <c r="M1408" s="59"/>
      <c r="N1408" s="59"/>
      <c r="O1408" s="59"/>
      <c r="P1408" s="59"/>
      <c r="Q1408" s="59"/>
      <c r="R1408" s="60">
        <f>IF(AND(P1408="",Q1408=""),"",N(P1408)+N(Q1408))</f>
        <v/>
      </c>
      <c r="S1408" s="59"/>
      <c r="T1408" s="59"/>
      <c r="U1408" s="62">
        <f>IF(OR(R1408="",S1408="",T1408=""),"",IF(S1408+T1408=0,"",R1408/(S1408+T1408)))</f>
        <v/>
      </c>
      <c r="V1408" s="63"/>
      <c r="W1408" s="64"/>
      <c r="X1408" s="63"/>
    </row>
    <row r="1409" spans="2:24">
      <c r="B1409" s="58"/>
      <c r="C1409" s="59"/>
      <c r="D1409" s="59"/>
      <c r="E1409" s="59"/>
      <c r="F1409" s="59"/>
      <c r="G1409" s="60">
        <f>IF(OR(E1409="",F1409="",C1409="",D1409=""),"",IF(C1409+D1409=0,"",(E1409*C1409+F1409*D1409)/(C1409+D1409)))</f>
        <v/>
      </c>
      <c r="H1409" s="59"/>
      <c r="I1409" s="60">
        <f>IF(OR(H1409="",E1409="",C1409="",D1409=""),"",IF(C1409+D1409=0,"",(H1409*D1409+E1409*C1409)/(C1409+D1409)))</f>
        <v/>
      </c>
      <c r="J1409" s="59"/>
      <c r="K1409" s="61">
        <f>IF(OR(J1409="",I1409=""),"",J1409-I1409)</f>
        <v/>
      </c>
      <c r="L1409" s="61">
        <f>IF(OR(J1409="",G1409=""),"",J1409-G1409)</f>
        <v/>
      </c>
      <c r="M1409" s="59"/>
      <c r="N1409" s="59"/>
      <c r="O1409" s="59"/>
      <c r="P1409" s="59"/>
      <c r="Q1409" s="59"/>
      <c r="R1409" s="60">
        <f>IF(AND(P1409="",Q1409=""),"",N(P1409)+N(Q1409))</f>
        <v/>
      </c>
      <c r="S1409" s="59"/>
      <c r="T1409" s="59"/>
      <c r="U1409" s="62">
        <f>IF(OR(R1409="",S1409="",T1409=""),"",IF(S1409+T1409=0,"",R1409/(S1409+T1409)))</f>
        <v/>
      </c>
      <c r="V1409" s="63"/>
      <c r="W1409" s="64"/>
      <c r="X1409" s="63"/>
    </row>
    <row r="1410" spans="2:24">
      <c r="B1410" s="58"/>
      <c r="C1410" s="59"/>
      <c r="D1410" s="59"/>
      <c r="E1410" s="59"/>
      <c r="F1410" s="59"/>
      <c r="G1410" s="60">
        <f>IF(OR(E1410="",F1410="",C1410="",D1410=""),"",IF(C1410+D1410=0,"",(E1410*C1410+F1410*D1410)/(C1410+D1410)))</f>
        <v/>
      </c>
      <c r="H1410" s="59"/>
      <c r="I1410" s="60">
        <f>IF(OR(H1410="",E1410="",C1410="",D1410=""),"",IF(C1410+D1410=0,"",(H1410*D1410+E1410*C1410)/(C1410+D1410)))</f>
        <v/>
      </c>
      <c r="J1410" s="59"/>
      <c r="K1410" s="61">
        <f>IF(OR(J1410="",I1410=""),"",J1410-I1410)</f>
        <v/>
      </c>
      <c r="L1410" s="61">
        <f>IF(OR(J1410="",G1410=""),"",J1410-G1410)</f>
        <v/>
      </c>
      <c r="M1410" s="59"/>
      <c r="N1410" s="59"/>
      <c r="O1410" s="59"/>
      <c r="P1410" s="59"/>
      <c r="Q1410" s="59"/>
      <c r="R1410" s="60">
        <f>IF(AND(P1410="",Q1410=""),"",N(P1410)+N(Q1410))</f>
        <v/>
      </c>
      <c r="S1410" s="59"/>
      <c r="T1410" s="59"/>
      <c r="U1410" s="62">
        <f>IF(OR(R1410="",S1410="",T1410=""),"",IF(S1410+T1410=0,"",R1410/(S1410+T1410)))</f>
        <v/>
      </c>
      <c r="V1410" s="63"/>
      <c r="W1410" s="64"/>
      <c r="X1410" s="63"/>
    </row>
    <row r="1411" spans="2:24">
      <c r="B1411" s="58"/>
      <c r="C1411" s="59"/>
      <c r="D1411" s="59"/>
      <c r="E1411" s="59"/>
      <c r="F1411" s="59"/>
      <c r="G1411" s="60">
        <f>IF(OR(E1411="",F1411="",C1411="",D1411=""),"",IF(C1411+D1411=0,"",(E1411*C1411+F1411*D1411)/(C1411+D1411)))</f>
        <v/>
      </c>
      <c r="H1411" s="59"/>
      <c r="I1411" s="60">
        <f>IF(OR(H1411="",E1411="",C1411="",D1411=""),"",IF(C1411+D1411=0,"",(H1411*D1411+E1411*C1411)/(C1411+D1411)))</f>
        <v/>
      </c>
      <c r="J1411" s="59"/>
      <c r="K1411" s="61">
        <f>IF(OR(J1411="",I1411=""),"",J1411-I1411)</f>
        <v/>
      </c>
      <c r="L1411" s="61">
        <f>IF(OR(J1411="",G1411=""),"",J1411-G1411)</f>
        <v/>
      </c>
      <c r="M1411" s="59"/>
      <c r="N1411" s="59"/>
      <c r="O1411" s="59"/>
      <c r="P1411" s="59"/>
      <c r="Q1411" s="59"/>
      <c r="R1411" s="60">
        <f>IF(AND(P1411="",Q1411=""),"",N(P1411)+N(Q1411))</f>
        <v/>
      </c>
      <c r="S1411" s="59"/>
      <c r="T1411" s="59"/>
      <c r="U1411" s="62">
        <f>IF(OR(R1411="",S1411="",T1411=""),"",IF(S1411+T1411=0,"",R1411/(S1411+T1411)))</f>
        <v/>
      </c>
      <c r="V1411" s="63"/>
      <c r="W1411" s="64"/>
      <c r="X1411" s="63"/>
    </row>
    <row r="1412" spans="2:24">
      <c r="B1412" s="58"/>
      <c r="C1412" s="59"/>
      <c r="D1412" s="59"/>
      <c r="E1412" s="59"/>
      <c r="F1412" s="59"/>
      <c r="G1412" s="60">
        <f>IF(OR(E1412="",F1412="",C1412="",D1412=""),"",IF(C1412+D1412=0,"",(E1412*C1412+F1412*D1412)/(C1412+D1412)))</f>
        <v/>
      </c>
      <c r="H1412" s="59"/>
      <c r="I1412" s="60">
        <f>IF(OR(H1412="",E1412="",C1412="",D1412=""),"",IF(C1412+D1412=0,"",(H1412*D1412+E1412*C1412)/(C1412+D1412)))</f>
        <v/>
      </c>
      <c r="J1412" s="59"/>
      <c r="K1412" s="61">
        <f>IF(OR(J1412="",I1412=""),"",J1412-I1412)</f>
        <v/>
      </c>
      <c r="L1412" s="61">
        <f>IF(OR(J1412="",G1412=""),"",J1412-G1412)</f>
        <v/>
      </c>
      <c r="M1412" s="59"/>
      <c r="N1412" s="59"/>
      <c r="O1412" s="59"/>
      <c r="P1412" s="59"/>
      <c r="Q1412" s="59"/>
      <c r="R1412" s="60">
        <f>IF(AND(P1412="",Q1412=""),"",N(P1412)+N(Q1412))</f>
        <v/>
      </c>
      <c r="S1412" s="59"/>
      <c r="T1412" s="59"/>
      <c r="U1412" s="62">
        <f>IF(OR(R1412="",S1412="",T1412=""),"",IF(S1412+T1412=0,"",R1412/(S1412+T1412)))</f>
        <v/>
      </c>
      <c r="V1412" s="63"/>
      <c r="W1412" s="64"/>
      <c r="X1412" s="63"/>
    </row>
    <row r="1413" spans="2:24">
      <c r="B1413" s="58"/>
      <c r="C1413" s="59"/>
      <c r="D1413" s="59"/>
      <c r="E1413" s="59"/>
      <c r="F1413" s="59"/>
      <c r="G1413" s="60">
        <f>IF(OR(E1413="",F1413="",C1413="",D1413=""),"",IF(C1413+D1413=0,"",(E1413*C1413+F1413*D1413)/(C1413+D1413)))</f>
        <v/>
      </c>
      <c r="H1413" s="59"/>
      <c r="I1413" s="60">
        <f>IF(OR(H1413="",E1413="",C1413="",D1413=""),"",IF(C1413+D1413=0,"",(H1413*D1413+E1413*C1413)/(C1413+D1413)))</f>
        <v/>
      </c>
      <c r="J1413" s="59"/>
      <c r="K1413" s="61">
        <f>IF(OR(J1413="",I1413=""),"",J1413-I1413)</f>
        <v/>
      </c>
      <c r="L1413" s="61">
        <f>IF(OR(J1413="",G1413=""),"",J1413-G1413)</f>
        <v/>
      </c>
      <c r="M1413" s="59"/>
      <c r="N1413" s="59"/>
      <c r="O1413" s="59"/>
      <c r="P1413" s="59"/>
      <c r="Q1413" s="59"/>
      <c r="R1413" s="60">
        <f>IF(AND(P1413="",Q1413=""),"",N(P1413)+N(Q1413))</f>
        <v/>
      </c>
      <c r="S1413" s="59"/>
      <c r="T1413" s="59"/>
      <c r="U1413" s="62">
        <f>IF(OR(R1413="",S1413="",T1413=""),"",IF(S1413+T1413=0,"",R1413/(S1413+T1413)))</f>
        <v/>
      </c>
      <c r="V1413" s="63"/>
      <c r="W1413" s="64"/>
      <c r="X1413" s="63"/>
    </row>
    <row r="1414" spans="2:24">
      <c r="B1414" s="58"/>
      <c r="C1414" s="59"/>
      <c r="D1414" s="59"/>
      <c r="E1414" s="59"/>
      <c r="F1414" s="59"/>
      <c r="G1414" s="60">
        <f>IF(OR(E1414="",F1414="",C1414="",D1414=""),"",IF(C1414+D1414=0,"",(E1414*C1414+F1414*D1414)/(C1414+D1414)))</f>
        <v/>
      </c>
      <c r="H1414" s="59"/>
      <c r="I1414" s="60">
        <f>IF(OR(H1414="",E1414="",C1414="",D1414=""),"",IF(C1414+D1414=0,"",(H1414*D1414+E1414*C1414)/(C1414+D1414)))</f>
        <v/>
      </c>
      <c r="J1414" s="59"/>
      <c r="K1414" s="61">
        <f>IF(OR(J1414="",I1414=""),"",J1414-I1414)</f>
        <v/>
      </c>
      <c r="L1414" s="61">
        <f>IF(OR(J1414="",G1414=""),"",J1414-G1414)</f>
        <v/>
      </c>
      <c r="M1414" s="59"/>
      <c r="N1414" s="59"/>
      <c r="O1414" s="59"/>
      <c r="P1414" s="59"/>
      <c r="Q1414" s="59"/>
      <c r="R1414" s="60">
        <f>IF(AND(P1414="",Q1414=""),"",N(P1414)+N(Q1414))</f>
        <v/>
      </c>
      <c r="S1414" s="59"/>
      <c r="T1414" s="59"/>
      <c r="U1414" s="62">
        <f>IF(OR(R1414="",S1414="",T1414=""),"",IF(S1414+T1414=0,"",R1414/(S1414+T1414)))</f>
        <v/>
      </c>
      <c r="V1414" s="63"/>
      <c r="W1414" s="64"/>
      <c r="X1414" s="63"/>
    </row>
    <row r="1415" spans="2:24">
      <c r="B1415" s="58"/>
      <c r="C1415" s="59"/>
      <c r="D1415" s="59"/>
      <c r="E1415" s="59"/>
      <c r="F1415" s="59"/>
      <c r="G1415" s="60">
        <f>IF(OR(E1415="",F1415="",C1415="",D1415=""),"",IF(C1415+D1415=0,"",(E1415*C1415+F1415*D1415)/(C1415+D1415)))</f>
        <v/>
      </c>
      <c r="H1415" s="59"/>
      <c r="I1415" s="60">
        <f>IF(OR(H1415="",E1415="",C1415="",D1415=""),"",IF(C1415+D1415=0,"",(H1415*D1415+E1415*C1415)/(C1415+D1415)))</f>
        <v/>
      </c>
      <c r="J1415" s="59"/>
      <c r="K1415" s="61">
        <f>IF(OR(J1415="",I1415=""),"",J1415-I1415)</f>
        <v/>
      </c>
      <c r="L1415" s="61">
        <f>IF(OR(J1415="",G1415=""),"",J1415-G1415)</f>
        <v/>
      </c>
      <c r="M1415" s="59"/>
      <c r="N1415" s="59"/>
      <c r="O1415" s="59"/>
      <c r="P1415" s="59"/>
      <c r="Q1415" s="59"/>
      <c r="R1415" s="60">
        <f>IF(AND(P1415="",Q1415=""),"",N(P1415)+N(Q1415))</f>
        <v/>
      </c>
      <c r="S1415" s="59"/>
      <c r="T1415" s="59"/>
      <c r="U1415" s="62">
        <f>IF(OR(R1415="",S1415="",T1415=""),"",IF(S1415+T1415=0,"",R1415/(S1415+T1415)))</f>
        <v/>
      </c>
      <c r="V1415" s="63"/>
      <c r="W1415" s="64"/>
      <c r="X1415" s="63"/>
    </row>
    <row r="1416" spans="2:24">
      <c r="B1416" s="58"/>
      <c r="C1416" s="59"/>
      <c r="D1416" s="59"/>
      <c r="E1416" s="59"/>
      <c r="F1416" s="59"/>
      <c r="G1416" s="60">
        <f>IF(OR(E1416="",F1416="",C1416="",D1416=""),"",IF(C1416+D1416=0,"",(E1416*C1416+F1416*D1416)/(C1416+D1416)))</f>
        <v/>
      </c>
      <c r="H1416" s="59"/>
      <c r="I1416" s="60">
        <f>IF(OR(H1416="",E1416="",C1416="",D1416=""),"",IF(C1416+D1416=0,"",(H1416*D1416+E1416*C1416)/(C1416+D1416)))</f>
        <v/>
      </c>
      <c r="J1416" s="59"/>
      <c r="K1416" s="61">
        <f>IF(OR(J1416="",I1416=""),"",J1416-I1416)</f>
        <v/>
      </c>
      <c r="L1416" s="61">
        <f>IF(OR(J1416="",G1416=""),"",J1416-G1416)</f>
        <v/>
      </c>
      <c r="M1416" s="59"/>
      <c r="N1416" s="59"/>
      <c r="O1416" s="59"/>
      <c r="P1416" s="59"/>
      <c r="Q1416" s="59"/>
      <c r="R1416" s="60">
        <f>IF(AND(P1416="",Q1416=""),"",N(P1416)+N(Q1416))</f>
        <v/>
      </c>
      <c r="S1416" s="59"/>
      <c r="T1416" s="59"/>
      <c r="U1416" s="62">
        <f>IF(OR(R1416="",S1416="",T1416=""),"",IF(S1416+T1416=0,"",R1416/(S1416+T1416)))</f>
        <v/>
      </c>
      <c r="V1416" s="63"/>
      <c r="W1416" s="64"/>
      <c r="X1416" s="63"/>
    </row>
    <row r="1417" spans="2:24">
      <c r="B1417" s="58"/>
      <c r="C1417" s="59"/>
      <c r="D1417" s="59"/>
      <c r="E1417" s="59"/>
      <c r="F1417" s="59"/>
      <c r="G1417" s="60">
        <f>IF(OR(E1417="",F1417="",C1417="",D1417=""),"",IF(C1417+D1417=0,"",(E1417*C1417+F1417*D1417)/(C1417+D1417)))</f>
        <v/>
      </c>
      <c r="H1417" s="59"/>
      <c r="I1417" s="60">
        <f>IF(OR(H1417="",E1417="",C1417="",D1417=""),"",IF(C1417+D1417=0,"",(H1417*D1417+E1417*C1417)/(C1417+D1417)))</f>
        <v/>
      </c>
      <c r="J1417" s="59"/>
      <c r="K1417" s="61">
        <f>IF(OR(J1417="",I1417=""),"",J1417-I1417)</f>
        <v/>
      </c>
      <c r="L1417" s="61">
        <f>IF(OR(J1417="",G1417=""),"",J1417-G1417)</f>
        <v/>
      </c>
      <c r="M1417" s="59"/>
      <c r="N1417" s="59"/>
      <c r="O1417" s="59"/>
      <c r="P1417" s="59"/>
      <c r="Q1417" s="59"/>
      <c r="R1417" s="60">
        <f>IF(AND(P1417="",Q1417=""),"",N(P1417)+N(Q1417))</f>
        <v/>
      </c>
      <c r="S1417" s="59"/>
      <c r="T1417" s="59"/>
      <c r="U1417" s="62">
        <f>IF(OR(R1417="",S1417="",T1417=""),"",IF(S1417+T1417=0,"",R1417/(S1417+T1417)))</f>
        <v/>
      </c>
      <c r="V1417" s="63"/>
      <c r="W1417" s="64"/>
      <c r="X1417" s="63"/>
    </row>
    <row r="1418" spans="2:24">
      <c r="B1418" s="58"/>
      <c r="C1418" s="59"/>
      <c r="D1418" s="59"/>
      <c r="E1418" s="59"/>
      <c r="F1418" s="59"/>
      <c r="G1418" s="60">
        <f>IF(OR(E1418="",F1418="",C1418="",D1418=""),"",IF(C1418+D1418=0,"",(E1418*C1418+F1418*D1418)/(C1418+D1418)))</f>
        <v/>
      </c>
      <c r="H1418" s="59"/>
      <c r="I1418" s="60">
        <f>IF(OR(H1418="",E1418="",C1418="",D1418=""),"",IF(C1418+D1418=0,"",(H1418*D1418+E1418*C1418)/(C1418+D1418)))</f>
        <v/>
      </c>
      <c r="J1418" s="59"/>
      <c r="K1418" s="61">
        <f>IF(OR(J1418="",I1418=""),"",J1418-I1418)</f>
        <v/>
      </c>
      <c r="L1418" s="61">
        <f>IF(OR(J1418="",G1418=""),"",J1418-G1418)</f>
        <v/>
      </c>
      <c r="M1418" s="59"/>
      <c r="N1418" s="59"/>
      <c r="O1418" s="59"/>
      <c r="P1418" s="59"/>
      <c r="Q1418" s="59"/>
      <c r="R1418" s="60">
        <f>IF(AND(P1418="",Q1418=""),"",N(P1418)+N(Q1418))</f>
        <v/>
      </c>
      <c r="S1418" s="59"/>
      <c r="T1418" s="59"/>
      <c r="U1418" s="62">
        <f>IF(OR(R1418="",S1418="",T1418=""),"",IF(S1418+T1418=0,"",R1418/(S1418+T1418)))</f>
        <v/>
      </c>
      <c r="V1418" s="63"/>
      <c r="W1418" s="64"/>
      <c r="X1418" s="63"/>
    </row>
    <row r="1419" spans="2:24">
      <c r="B1419" s="58"/>
      <c r="C1419" s="59"/>
      <c r="D1419" s="59"/>
      <c r="E1419" s="59"/>
      <c r="F1419" s="59"/>
      <c r="G1419" s="60">
        <f>IF(OR(E1419="",F1419="",C1419="",D1419=""),"",IF(C1419+D1419=0,"",(E1419*C1419+F1419*D1419)/(C1419+D1419)))</f>
        <v/>
      </c>
      <c r="H1419" s="59"/>
      <c r="I1419" s="60">
        <f>IF(OR(H1419="",E1419="",C1419="",D1419=""),"",IF(C1419+D1419=0,"",(H1419*D1419+E1419*C1419)/(C1419+D1419)))</f>
        <v/>
      </c>
      <c r="J1419" s="59"/>
      <c r="K1419" s="61">
        <f>IF(OR(J1419="",I1419=""),"",J1419-I1419)</f>
        <v/>
      </c>
      <c r="L1419" s="61">
        <f>IF(OR(J1419="",G1419=""),"",J1419-G1419)</f>
        <v/>
      </c>
      <c r="M1419" s="59"/>
      <c r="N1419" s="59"/>
      <c r="O1419" s="59"/>
      <c r="P1419" s="59"/>
      <c r="Q1419" s="59"/>
      <c r="R1419" s="60">
        <f>IF(AND(P1419="",Q1419=""),"",N(P1419)+N(Q1419))</f>
        <v/>
      </c>
      <c r="S1419" s="59"/>
      <c r="T1419" s="59"/>
      <c r="U1419" s="62">
        <f>IF(OR(R1419="",S1419="",T1419=""),"",IF(S1419+T1419=0,"",R1419/(S1419+T1419)))</f>
        <v/>
      </c>
      <c r="V1419" s="63"/>
      <c r="W1419" s="64"/>
      <c r="X1419" s="63"/>
    </row>
    <row r="1420" spans="2:24">
      <c r="B1420" s="58"/>
      <c r="C1420" s="59"/>
      <c r="D1420" s="59"/>
      <c r="E1420" s="59"/>
      <c r="F1420" s="59"/>
      <c r="G1420" s="60">
        <f>IF(OR(E1420="",F1420="",C1420="",D1420=""),"",IF(C1420+D1420=0,"",(E1420*C1420+F1420*D1420)/(C1420+D1420)))</f>
        <v/>
      </c>
      <c r="H1420" s="59"/>
      <c r="I1420" s="60">
        <f>IF(OR(H1420="",E1420="",C1420="",D1420=""),"",IF(C1420+D1420=0,"",(H1420*D1420+E1420*C1420)/(C1420+D1420)))</f>
        <v/>
      </c>
      <c r="J1420" s="59"/>
      <c r="K1420" s="61">
        <f>IF(OR(J1420="",I1420=""),"",J1420-I1420)</f>
        <v/>
      </c>
      <c r="L1420" s="61">
        <f>IF(OR(J1420="",G1420=""),"",J1420-G1420)</f>
        <v/>
      </c>
      <c r="M1420" s="59"/>
      <c r="N1420" s="59"/>
      <c r="O1420" s="59"/>
      <c r="P1420" s="59"/>
      <c r="Q1420" s="59"/>
      <c r="R1420" s="60">
        <f>IF(AND(P1420="",Q1420=""),"",N(P1420)+N(Q1420))</f>
        <v/>
      </c>
      <c r="S1420" s="59"/>
      <c r="T1420" s="59"/>
      <c r="U1420" s="62">
        <f>IF(OR(R1420="",S1420="",T1420=""),"",IF(S1420+T1420=0,"",R1420/(S1420+T1420)))</f>
        <v/>
      </c>
      <c r="V1420" s="63"/>
      <c r="W1420" s="64"/>
      <c r="X1420" s="63"/>
    </row>
    <row r="1421" spans="2:24">
      <c r="B1421" s="58"/>
      <c r="C1421" s="59"/>
      <c r="D1421" s="59"/>
      <c r="E1421" s="59"/>
      <c r="F1421" s="59"/>
      <c r="G1421" s="60">
        <f>IF(OR(E1421="",F1421="",C1421="",D1421=""),"",IF(C1421+D1421=0,"",(E1421*C1421+F1421*D1421)/(C1421+D1421)))</f>
        <v/>
      </c>
      <c r="H1421" s="59"/>
      <c r="I1421" s="60">
        <f>IF(OR(H1421="",E1421="",C1421="",D1421=""),"",IF(C1421+D1421=0,"",(H1421*D1421+E1421*C1421)/(C1421+D1421)))</f>
        <v/>
      </c>
      <c r="J1421" s="59"/>
      <c r="K1421" s="61">
        <f>IF(OR(J1421="",I1421=""),"",J1421-I1421)</f>
        <v/>
      </c>
      <c r="L1421" s="61">
        <f>IF(OR(J1421="",G1421=""),"",J1421-G1421)</f>
        <v/>
      </c>
      <c r="M1421" s="59"/>
      <c r="N1421" s="59"/>
      <c r="O1421" s="59"/>
      <c r="P1421" s="59"/>
      <c r="Q1421" s="59"/>
      <c r="R1421" s="60">
        <f>IF(AND(P1421="",Q1421=""),"",N(P1421)+N(Q1421))</f>
        <v/>
      </c>
      <c r="S1421" s="59"/>
      <c r="T1421" s="59"/>
      <c r="U1421" s="62">
        <f>IF(OR(R1421="",S1421="",T1421=""),"",IF(S1421+T1421=0,"",R1421/(S1421+T1421)))</f>
        <v/>
      </c>
      <c r="V1421" s="63"/>
      <c r="W1421" s="64"/>
      <c r="X1421" s="63"/>
    </row>
    <row r="1422" spans="2:24">
      <c r="B1422" s="58"/>
      <c r="C1422" s="59"/>
      <c r="D1422" s="59"/>
      <c r="E1422" s="59"/>
      <c r="F1422" s="59"/>
      <c r="G1422" s="60">
        <f>IF(OR(E1422="",F1422="",C1422="",D1422=""),"",IF(C1422+D1422=0,"",(E1422*C1422+F1422*D1422)/(C1422+D1422)))</f>
        <v/>
      </c>
      <c r="H1422" s="59"/>
      <c r="I1422" s="60">
        <f>IF(OR(H1422="",E1422="",C1422="",D1422=""),"",IF(C1422+D1422=0,"",(H1422*D1422+E1422*C1422)/(C1422+D1422)))</f>
        <v/>
      </c>
      <c r="J1422" s="59"/>
      <c r="K1422" s="61">
        <f>IF(OR(J1422="",I1422=""),"",J1422-I1422)</f>
        <v/>
      </c>
      <c r="L1422" s="61">
        <f>IF(OR(J1422="",G1422=""),"",J1422-G1422)</f>
        <v/>
      </c>
      <c r="M1422" s="59"/>
      <c r="N1422" s="59"/>
      <c r="O1422" s="59"/>
      <c r="P1422" s="59"/>
      <c r="Q1422" s="59"/>
      <c r="R1422" s="60">
        <f>IF(AND(P1422="",Q1422=""),"",N(P1422)+N(Q1422))</f>
        <v/>
      </c>
      <c r="S1422" s="59"/>
      <c r="T1422" s="59"/>
      <c r="U1422" s="62">
        <f>IF(OR(R1422="",S1422="",T1422=""),"",IF(S1422+T1422=0,"",R1422/(S1422+T1422)))</f>
        <v/>
      </c>
      <c r="V1422" s="63"/>
      <c r="W1422" s="64"/>
      <c r="X1422" s="63"/>
    </row>
    <row r="1423" spans="2:24">
      <c r="B1423" s="58"/>
      <c r="C1423" s="59"/>
      <c r="D1423" s="59"/>
      <c r="E1423" s="59"/>
      <c r="F1423" s="59"/>
      <c r="G1423" s="60">
        <f>IF(OR(E1423="",F1423="",C1423="",D1423=""),"",IF(C1423+D1423=0,"",(E1423*C1423+F1423*D1423)/(C1423+D1423)))</f>
        <v/>
      </c>
      <c r="H1423" s="59"/>
      <c r="I1423" s="60">
        <f>IF(OR(H1423="",E1423="",C1423="",D1423=""),"",IF(C1423+D1423=0,"",(H1423*D1423+E1423*C1423)/(C1423+D1423)))</f>
        <v/>
      </c>
      <c r="J1423" s="59"/>
      <c r="K1423" s="61">
        <f>IF(OR(J1423="",I1423=""),"",J1423-I1423)</f>
        <v/>
      </c>
      <c r="L1423" s="61">
        <f>IF(OR(J1423="",G1423=""),"",J1423-G1423)</f>
        <v/>
      </c>
      <c r="M1423" s="59"/>
      <c r="N1423" s="59"/>
      <c r="O1423" s="59"/>
      <c r="P1423" s="59"/>
      <c r="Q1423" s="59"/>
      <c r="R1423" s="60">
        <f>IF(AND(P1423="",Q1423=""),"",N(P1423)+N(Q1423))</f>
        <v/>
      </c>
      <c r="S1423" s="59"/>
      <c r="T1423" s="59"/>
      <c r="U1423" s="62">
        <f>IF(OR(R1423="",S1423="",T1423=""),"",IF(S1423+T1423=0,"",R1423/(S1423+T1423)))</f>
        <v/>
      </c>
      <c r="V1423" s="63"/>
      <c r="W1423" s="64"/>
      <c r="X1423" s="63"/>
    </row>
    <row r="1424" spans="2:24">
      <c r="B1424" s="58"/>
      <c r="C1424" s="59"/>
      <c r="D1424" s="59"/>
      <c r="E1424" s="59"/>
      <c r="F1424" s="59"/>
      <c r="G1424" s="60">
        <f>IF(OR(E1424="",F1424="",C1424="",D1424=""),"",IF(C1424+D1424=0,"",(E1424*C1424+F1424*D1424)/(C1424+D1424)))</f>
        <v/>
      </c>
      <c r="H1424" s="59"/>
      <c r="I1424" s="60">
        <f>IF(OR(H1424="",E1424="",C1424="",D1424=""),"",IF(C1424+D1424=0,"",(H1424*D1424+E1424*C1424)/(C1424+D1424)))</f>
        <v/>
      </c>
      <c r="J1424" s="59"/>
      <c r="K1424" s="61">
        <f>IF(OR(J1424="",I1424=""),"",J1424-I1424)</f>
        <v/>
      </c>
      <c r="L1424" s="61">
        <f>IF(OR(J1424="",G1424=""),"",J1424-G1424)</f>
        <v/>
      </c>
      <c r="M1424" s="59"/>
      <c r="N1424" s="59"/>
      <c r="O1424" s="59"/>
      <c r="P1424" s="59"/>
      <c r="Q1424" s="59"/>
      <c r="R1424" s="60">
        <f>IF(AND(P1424="",Q1424=""),"",N(P1424)+N(Q1424))</f>
        <v/>
      </c>
      <c r="S1424" s="59"/>
      <c r="T1424" s="59"/>
      <c r="U1424" s="62">
        <f>IF(OR(R1424="",S1424="",T1424=""),"",IF(S1424+T1424=0,"",R1424/(S1424+T1424)))</f>
        <v/>
      </c>
      <c r="V1424" s="63"/>
      <c r="W1424" s="64"/>
      <c r="X1424" s="63"/>
    </row>
    <row r="1425" spans="2:24">
      <c r="B1425" s="58"/>
      <c r="C1425" s="59"/>
      <c r="D1425" s="59"/>
      <c r="E1425" s="59"/>
      <c r="F1425" s="59"/>
      <c r="G1425" s="60">
        <f>IF(OR(E1425="",F1425="",C1425="",D1425=""),"",IF(C1425+D1425=0,"",(E1425*C1425+F1425*D1425)/(C1425+D1425)))</f>
        <v/>
      </c>
      <c r="H1425" s="59"/>
      <c r="I1425" s="60">
        <f>IF(OR(H1425="",E1425="",C1425="",D1425=""),"",IF(C1425+D1425=0,"",(H1425*D1425+E1425*C1425)/(C1425+D1425)))</f>
        <v/>
      </c>
      <c r="J1425" s="59"/>
      <c r="K1425" s="61">
        <f>IF(OR(J1425="",I1425=""),"",J1425-I1425)</f>
        <v/>
      </c>
      <c r="L1425" s="61">
        <f>IF(OR(J1425="",G1425=""),"",J1425-G1425)</f>
        <v/>
      </c>
      <c r="M1425" s="59"/>
      <c r="N1425" s="59"/>
      <c r="O1425" s="59"/>
      <c r="P1425" s="59"/>
      <c r="Q1425" s="59"/>
      <c r="R1425" s="60">
        <f>IF(AND(P1425="",Q1425=""),"",N(P1425)+N(Q1425))</f>
        <v/>
      </c>
      <c r="S1425" s="59"/>
      <c r="T1425" s="59"/>
      <c r="U1425" s="62">
        <f>IF(OR(R1425="",S1425="",T1425=""),"",IF(S1425+T1425=0,"",R1425/(S1425+T1425)))</f>
        <v/>
      </c>
      <c r="V1425" s="63"/>
      <c r="W1425" s="64"/>
      <c r="X1425" s="63"/>
    </row>
    <row r="1426" spans="2:24">
      <c r="B1426" s="58"/>
      <c r="C1426" s="59"/>
      <c r="D1426" s="59"/>
      <c r="E1426" s="59"/>
      <c r="F1426" s="59"/>
      <c r="G1426" s="60">
        <f>IF(OR(E1426="",F1426="",C1426="",D1426=""),"",IF(C1426+D1426=0,"",(E1426*C1426+F1426*D1426)/(C1426+D1426)))</f>
        <v/>
      </c>
      <c r="H1426" s="59"/>
      <c r="I1426" s="60">
        <f>IF(OR(H1426="",E1426="",C1426="",D1426=""),"",IF(C1426+D1426=0,"",(H1426*D1426+E1426*C1426)/(C1426+D1426)))</f>
        <v/>
      </c>
      <c r="J1426" s="59"/>
      <c r="K1426" s="61">
        <f>IF(OR(J1426="",I1426=""),"",J1426-I1426)</f>
        <v/>
      </c>
      <c r="L1426" s="61">
        <f>IF(OR(J1426="",G1426=""),"",J1426-G1426)</f>
        <v/>
      </c>
      <c r="M1426" s="59"/>
      <c r="N1426" s="59"/>
      <c r="O1426" s="59"/>
      <c r="P1426" s="59"/>
      <c r="Q1426" s="59"/>
      <c r="R1426" s="60">
        <f>IF(AND(P1426="",Q1426=""),"",N(P1426)+N(Q1426))</f>
        <v/>
      </c>
      <c r="S1426" s="59"/>
      <c r="T1426" s="59"/>
      <c r="U1426" s="62">
        <f>IF(OR(R1426="",S1426="",T1426=""),"",IF(S1426+T1426=0,"",R1426/(S1426+T1426)))</f>
        <v/>
      </c>
      <c r="V1426" s="63"/>
      <c r="W1426" s="64"/>
      <c r="X1426" s="63"/>
    </row>
    <row r="1427" spans="2:24">
      <c r="B1427" s="58"/>
      <c r="C1427" s="59"/>
      <c r="D1427" s="59"/>
      <c r="E1427" s="59"/>
      <c r="F1427" s="59"/>
      <c r="G1427" s="60">
        <f>IF(OR(E1427="",F1427="",C1427="",D1427=""),"",IF(C1427+D1427=0,"",(E1427*C1427+F1427*D1427)/(C1427+D1427)))</f>
        <v/>
      </c>
      <c r="H1427" s="59"/>
      <c r="I1427" s="60">
        <f>IF(OR(H1427="",E1427="",C1427="",D1427=""),"",IF(C1427+D1427=0,"",(H1427*D1427+E1427*C1427)/(C1427+D1427)))</f>
        <v/>
      </c>
      <c r="J1427" s="59"/>
      <c r="K1427" s="61">
        <f>IF(OR(J1427="",I1427=""),"",J1427-I1427)</f>
        <v/>
      </c>
      <c r="L1427" s="61">
        <f>IF(OR(J1427="",G1427=""),"",J1427-G1427)</f>
        <v/>
      </c>
      <c r="M1427" s="59"/>
      <c r="N1427" s="59"/>
      <c r="O1427" s="59"/>
      <c r="P1427" s="59"/>
      <c r="Q1427" s="59"/>
      <c r="R1427" s="60">
        <f>IF(AND(P1427="",Q1427=""),"",N(P1427)+N(Q1427))</f>
        <v/>
      </c>
      <c r="S1427" s="59"/>
      <c r="T1427" s="59"/>
      <c r="U1427" s="62">
        <f>IF(OR(R1427="",S1427="",T1427=""),"",IF(S1427+T1427=0,"",R1427/(S1427+T1427)))</f>
        <v/>
      </c>
      <c r="V1427" s="63"/>
      <c r="W1427" s="64"/>
      <c r="X1427" s="63"/>
    </row>
    <row r="1428" spans="2:24">
      <c r="B1428" s="58"/>
      <c r="C1428" s="59"/>
      <c r="D1428" s="59"/>
      <c r="E1428" s="59"/>
      <c r="F1428" s="59"/>
      <c r="G1428" s="60">
        <f>IF(OR(E1428="",F1428="",C1428="",D1428=""),"",IF(C1428+D1428=0,"",(E1428*C1428+F1428*D1428)/(C1428+D1428)))</f>
        <v/>
      </c>
      <c r="H1428" s="59"/>
      <c r="I1428" s="60">
        <f>IF(OR(H1428="",E1428="",C1428="",D1428=""),"",IF(C1428+D1428=0,"",(H1428*D1428+E1428*C1428)/(C1428+D1428)))</f>
        <v/>
      </c>
      <c r="J1428" s="59"/>
      <c r="K1428" s="61">
        <f>IF(OR(J1428="",I1428=""),"",J1428-I1428)</f>
        <v/>
      </c>
      <c r="L1428" s="61">
        <f>IF(OR(J1428="",G1428=""),"",J1428-G1428)</f>
        <v/>
      </c>
      <c r="M1428" s="59"/>
      <c r="N1428" s="59"/>
      <c r="O1428" s="59"/>
      <c r="P1428" s="59"/>
      <c r="Q1428" s="59"/>
      <c r="R1428" s="60">
        <f>IF(AND(P1428="",Q1428=""),"",N(P1428)+N(Q1428))</f>
        <v/>
      </c>
      <c r="S1428" s="59"/>
      <c r="T1428" s="59"/>
      <c r="U1428" s="62">
        <f>IF(OR(R1428="",S1428="",T1428=""),"",IF(S1428+T1428=0,"",R1428/(S1428+T1428)))</f>
        <v/>
      </c>
      <c r="V1428" s="63"/>
      <c r="W1428" s="64"/>
      <c r="X1428" s="63"/>
    </row>
    <row r="1429" spans="2:24">
      <c r="B1429" s="58"/>
      <c r="C1429" s="59"/>
      <c r="D1429" s="59"/>
      <c r="E1429" s="59"/>
      <c r="F1429" s="59"/>
      <c r="G1429" s="60">
        <f>IF(OR(E1429="",F1429="",C1429="",D1429=""),"",IF(C1429+D1429=0,"",(E1429*C1429+F1429*D1429)/(C1429+D1429)))</f>
        <v/>
      </c>
      <c r="H1429" s="59"/>
      <c r="I1429" s="60">
        <f>IF(OR(H1429="",E1429="",C1429="",D1429=""),"",IF(C1429+D1429=0,"",(H1429*D1429+E1429*C1429)/(C1429+D1429)))</f>
        <v/>
      </c>
      <c r="J1429" s="59"/>
      <c r="K1429" s="61">
        <f>IF(OR(J1429="",I1429=""),"",J1429-I1429)</f>
        <v/>
      </c>
      <c r="L1429" s="61">
        <f>IF(OR(J1429="",G1429=""),"",J1429-G1429)</f>
        <v/>
      </c>
      <c r="M1429" s="59"/>
      <c r="N1429" s="59"/>
      <c r="O1429" s="59"/>
      <c r="P1429" s="59"/>
      <c r="Q1429" s="59"/>
      <c r="R1429" s="60">
        <f>IF(AND(P1429="",Q1429=""),"",N(P1429)+N(Q1429))</f>
        <v/>
      </c>
      <c r="S1429" s="59"/>
      <c r="T1429" s="59"/>
      <c r="U1429" s="62">
        <f>IF(OR(R1429="",S1429="",T1429=""),"",IF(S1429+T1429=0,"",R1429/(S1429+T1429)))</f>
        <v/>
      </c>
      <c r="V1429" s="63"/>
      <c r="W1429" s="64"/>
      <c r="X1429" s="63"/>
    </row>
    <row r="1430" spans="2:24">
      <c r="B1430" s="58"/>
      <c r="C1430" s="59"/>
      <c r="D1430" s="59"/>
      <c r="E1430" s="59"/>
      <c r="F1430" s="59"/>
      <c r="G1430" s="60">
        <f>IF(OR(E1430="",F1430="",C1430="",D1430=""),"",IF(C1430+D1430=0,"",(E1430*C1430+F1430*D1430)/(C1430+D1430)))</f>
        <v/>
      </c>
      <c r="H1430" s="59"/>
      <c r="I1430" s="60">
        <f>IF(OR(H1430="",E1430="",C1430="",D1430=""),"",IF(C1430+D1430=0,"",(H1430*D1430+E1430*C1430)/(C1430+D1430)))</f>
        <v/>
      </c>
      <c r="J1430" s="59"/>
      <c r="K1430" s="61">
        <f>IF(OR(J1430="",I1430=""),"",J1430-I1430)</f>
        <v/>
      </c>
      <c r="L1430" s="61">
        <f>IF(OR(J1430="",G1430=""),"",J1430-G1430)</f>
        <v/>
      </c>
      <c r="M1430" s="59"/>
      <c r="N1430" s="59"/>
      <c r="O1430" s="59"/>
      <c r="P1430" s="59"/>
      <c r="Q1430" s="59"/>
      <c r="R1430" s="60">
        <f>IF(AND(P1430="",Q1430=""),"",N(P1430)+N(Q1430))</f>
        <v/>
      </c>
      <c r="S1430" s="59"/>
      <c r="T1430" s="59"/>
      <c r="U1430" s="62">
        <f>IF(OR(R1430="",S1430="",T1430=""),"",IF(S1430+T1430=0,"",R1430/(S1430+T1430)))</f>
        <v/>
      </c>
      <c r="V1430" s="63"/>
      <c r="W1430" s="64"/>
      <c r="X1430" s="63"/>
    </row>
    <row r="1431" spans="2:24">
      <c r="B1431" s="58"/>
      <c r="C1431" s="59"/>
      <c r="D1431" s="59"/>
      <c r="E1431" s="59"/>
      <c r="F1431" s="59"/>
      <c r="G1431" s="60">
        <f>IF(OR(E1431="",F1431="",C1431="",D1431=""),"",IF(C1431+D1431=0,"",(E1431*C1431+F1431*D1431)/(C1431+D1431)))</f>
        <v/>
      </c>
      <c r="H1431" s="59"/>
      <c r="I1431" s="60">
        <f>IF(OR(H1431="",E1431="",C1431="",D1431=""),"",IF(C1431+D1431=0,"",(H1431*D1431+E1431*C1431)/(C1431+D1431)))</f>
        <v/>
      </c>
      <c r="J1431" s="59"/>
      <c r="K1431" s="61">
        <f>IF(OR(J1431="",I1431=""),"",J1431-I1431)</f>
        <v/>
      </c>
      <c r="L1431" s="61">
        <f>IF(OR(J1431="",G1431=""),"",J1431-G1431)</f>
        <v/>
      </c>
      <c r="M1431" s="59"/>
      <c r="N1431" s="59"/>
      <c r="O1431" s="59"/>
      <c r="P1431" s="59"/>
      <c r="Q1431" s="59"/>
      <c r="R1431" s="60">
        <f>IF(AND(P1431="",Q1431=""),"",N(P1431)+N(Q1431))</f>
        <v/>
      </c>
      <c r="S1431" s="59"/>
      <c r="T1431" s="59"/>
      <c r="U1431" s="62">
        <f>IF(OR(R1431="",S1431="",T1431=""),"",IF(S1431+T1431=0,"",R1431/(S1431+T1431)))</f>
        <v/>
      </c>
      <c r="V1431" s="63"/>
      <c r="W1431" s="64"/>
      <c r="X1431" s="63"/>
    </row>
    <row r="1432" spans="2:24">
      <c r="B1432" s="58"/>
      <c r="C1432" s="59"/>
      <c r="D1432" s="59"/>
      <c r="E1432" s="59"/>
      <c r="F1432" s="59"/>
      <c r="G1432" s="60">
        <f>IF(OR(E1432="",F1432="",C1432="",D1432=""),"",IF(C1432+D1432=0,"",(E1432*C1432+F1432*D1432)/(C1432+D1432)))</f>
        <v/>
      </c>
      <c r="H1432" s="59"/>
      <c r="I1432" s="60">
        <f>IF(OR(H1432="",E1432="",C1432="",D1432=""),"",IF(C1432+D1432=0,"",(H1432*D1432+E1432*C1432)/(C1432+D1432)))</f>
        <v/>
      </c>
      <c r="J1432" s="59"/>
      <c r="K1432" s="61">
        <f>IF(OR(J1432="",I1432=""),"",J1432-I1432)</f>
        <v/>
      </c>
      <c r="L1432" s="61">
        <f>IF(OR(J1432="",G1432=""),"",J1432-G1432)</f>
        <v/>
      </c>
      <c r="M1432" s="59"/>
      <c r="N1432" s="59"/>
      <c r="O1432" s="59"/>
      <c r="P1432" s="59"/>
      <c r="Q1432" s="59"/>
      <c r="R1432" s="60">
        <f>IF(AND(P1432="",Q1432=""),"",N(P1432)+N(Q1432))</f>
        <v/>
      </c>
      <c r="S1432" s="59"/>
      <c r="T1432" s="59"/>
      <c r="U1432" s="62">
        <f>IF(OR(R1432="",S1432="",T1432=""),"",IF(S1432+T1432=0,"",R1432/(S1432+T1432)))</f>
        <v/>
      </c>
      <c r="V1432" s="63"/>
      <c r="W1432" s="64"/>
      <c r="X1432" s="63"/>
    </row>
    <row r="1433" spans="2:24">
      <c r="B1433" s="58"/>
      <c r="C1433" s="59"/>
      <c r="D1433" s="59"/>
      <c r="E1433" s="59"/>
      <c r="F1433" s="59"/>
      <c r="G1433" s="60">
        <f>IF(OR(E1433="",F1433="",C1433="",D1433=""),"",IF(C1433+D1433=0,"",(E1433*C1433+F1433*D1433)/(C1433+D1433)))</f>
        <v/>
      </c>
      <c r="H1433" s="59"/>
      <c r="I1433" s="60">
        <f>IF(OR(H1433="",E1433="",C1433="",D1433=""),"",IF(C1433+D1433=0,"",(H1433*D1433+E1433*C1433)/(C1433+D1433)))</f>
        <v/>
      </c>
      <c r="J1433" s="59"/>
      <c r="K1433" s="61">
        <f>IF(OR(J1433="",I1433=""),"",J1433-I1433)</f>
        <v/>
      </c>
      <c r="L1433" s="61">
        <f>IF(OR(J1433="",G1433=""),"",J1433-G1433)</f>
        <v/>
      </c>
      <c r="M1433" s="59"/>
      <c r="N1433" s="59"/>
      <c r="O1433" s="59"/>
      <c r="P1433" s="59"/>
      <c r="Q1433" s="59"/>
      <c r="R1433" s="60">
        <f>IF(AND(P1433="",Q1433=""),"",N(P1433)+N(Q1433))</f>
        <v/>
      </c>
      <c r="S1433" s="59"/>
      <c r="T1433" s="59"/>
      <c r="U1433" s="62">
        <f>IF(OR(R1433="",S1433="",T1433=""),"",IF(S1433+T1433=0,"",R1433/(S1433+T1433)))</f>
        <v/>
      </c>
      <c r="V1433" s="63"/>
      <c r="W1433" s="64"/>
      <c r="X1433" s="63"/>
    </row>
    <row r="1434" spans="2:24">
      <c r="B1434" s="58"/>
      <c r="C1434" s="59"/>
      <c r="D1434" s="59"/>
      <c r="E1434" s="59"/>
      <c r="F1434" s="59"/>
      <c r="G1434" s="60">
        <f>IF(OR(E1434="",F1434="",C1434="",D1434=""),"",IF(C1434+D1434=0,"",(E1434*C1434+F1434*D1434)/(C1434+D1434)))</f>
        <v/>
      </c>
      <c r="H1434" s="59"/>
      <c r="I1434" s="60">
        <f>IF(OR(H1434="",E1434="",C1434="",D1434=""),"",IF(C1434+D1434=0,"",(H1434*D1434+E1434*C1434)/(C1434+D1434)))</f>
        <v/>
      </c>
      <c r="J1434" s="59"/>
      <c r="K1434" s="61">
        <f>IF(OR(J1434="",I1434=""),"",J1434-I1434)</f>
        <v/>
      </c>
      <c r="L1434" s="61">
        <f>IF(OR(J1434="",G1434=""),"",J1434-G1434)</f>
        <v/>
      </c>
      <c r="M1434" s="59"/>
      <c r="N1434" s="59"/>
      <c r="O1434" s="59"/>
      <c r="P1434" s="59"/>
      <c r="Q1434" s="59"/>
      <c r="R1434" s="60">
        <f>IF(AND(P1434="",Q1434=""),"",N(P1434)+N(Q1434))</f>
        <v/>
      </c>
      <c r="S1434" s="59"/>
      <c r="T1434" s="59"/>
      <c r="U1434" s="62">
        <f>IF(OR(R1434="",S1434="",T1434=""),"",IF(S1434+T1434=0,"",R1434/(S1434+T1434)))</f>
        <v/>
      </c>
      <c r="V1434" s="63"/>
      <c r="W1434" s="64"/>
      <c r="X1434" s="63"/>
    </row>
    <row r="1435" spans="2:24">
      <c r="B1435" s="58"/>
      <c r="C1435" s="59"/>
      <c r="D1435" s="59"/>
      <c r="E1435" s="59"/>
      <c r="F1435" s="59"/>
      <c r="G1435" s="60">
        <f>IF(OR(E1435="",F1435="",C1435="",D1435=""),"",IF(C1435+D1435=0,"",(E1435*C1435+F1435*D1435)/(C1435+D1435)))</f>
        <v/>
      </c>
      <c r="H1435" s="59"/>
      <c r="I1435" s="60">
        <f>IF(OR(H1435="",E1435="",C1435="",D1435=""),"",IF(C1435+D1435=0,"",(H1435*D1435+E1435*C1435)/(C1435+D1435)))</f>
        <v/>
      </c>
      <c r="J1435" s="59"/>
      <c r="K1435" s="61">
        <f>IF(OR(J1435="",I1435=""),"",J1435-I1435)</f>
        <v/>
      </c>
      <c r="L1435" s="61">
        <f>IF(OR(J1435="",G1435=""),"",J1435-G1435)</f>
        <v/>
      </c>
      <c r="M1435" s="59"/>
      <c r="N1435" s="59"/>
      <c r="O1435" s="59"/>
      <c r="P1435" s="59"/>
      <c r="Q1435" s="59"/>
      <c r="R1435" s="60">
        <f>IF(AND(P1435="",Q1435=""),"",N(P1435)+N(Q1435))</f>
        <v/>
      </c>
      <c r="S1435" s="59"/>
      <c r="T1435" s="59"/>
      <c r="U1435" s="62">
        <f>IF(OR(R1435="",S1435="",T1435=""),"",IF(S1435+T1435=0,"",R1435/(S1435+T1435)))</f>
        <v/>
      </c>
      <c r="V1435" s="63"/>
      <c r="W1435" s="64"/>
      <c r="X1435" s="63"/>
    </row>
    <row r="1436" spans="2:24">
      <c r="B1436" s="58"/>
      <c r="C1436" s="59"/>
      <c r="D1436" s="59"/>
      <c r="E1436" s="59"/>
      <c r="F1436" s="59"/>
      <c r="G1436" s="60">
        <f>IF(OR(E1436="",F1436="",C1436="",D1436=""),"",IF(C1436+D1436=0,"",(E1436*C1436+F1436*D1436)/(C1436+D1436)))</f>
        <v/>
      </c>
      <c r="H1436" s="59"/>
      <c r="I1436" s="60">
        <f>IF(OR(H1436="",E1436="",C1436="",D1436=""),"",IF(C1436+D1436=0,"",(H1436*D1436+E1436*C1436)/(C1436+D1436)))</f>
        <v/>
      </c>
      <c r="J1436" s="59"/>
      <c r="K1436" s="61">
        <f>IF(OR(J1436="",I1436=""),"",J1436-I1436)</f>
        <v/>
      </c>
      <c r="L1436" s="61">
        <f>IF(OR(J1436="",G1436=""),"",J1436-G1436)</f>
        <v/>
      </c>
      <c r="M1436" s="59"/>
      <c r="N1436" s="59"/>
      <c r="O1436" s="59"/>
      <c r="P1436" s="59"/>
      <c r="Q1436" s="59"/>
      <c r="R1436" s="60">
        <f>IF(AND(P1436="",Q1436=""),"",N(P1436)+N(Q1436))</f>
        <v/>
      </c>
      <c r="S1436" s="59"/>
      <c r="T1436" s="59"/>
      <c r="U1436" s="62">
        <f>IF(OR(R1436="",S1436="",T1436=""),"",IF(S1436+T1436=0,"",R1436/(S1436+T1436)))</f>
        <v/>
      </c>
      <c r="V1436" s="63"/>
      <c r="W1436" s="64"/>
      <c r="X1436" s="63"/>
    </row>
    <row r="1437" spans="2:24">
      <c r="B1437" s="58"/>
      <c r="C1437" s="59"/>
      <c r="D1437" s="59"/>
      <c r="E1437" s="59"/>
      <c r="F1437" s="59"/>
      <c r="G1437" s="60">
        <f>IF(OR(E1437="",F1437="",C1437="",D1437=""),"",IF(C1437+D1437=0,"",(E1437*C1437+F1437*D1437)/(C1437+D1437)))</f>
        <v/>
      </c>
      <c r="H1437" s="59"/>
      <c r="I1437" s="60">
        <f>IF(OR(H1437="",E1437="",C1437="",D1437=""),"",IF(C1437+D1437=0,"",(H1437*D1437+E1437*C1437)/(C1437+D1437)))</f>
        <v/>
      </c>
      <c r="J1437" s="59"/>
      <c r="K1437" s="61">
        <f>IF(OR(J1437="",I1437=""),"",J1437-I1437)</f>
        <v/>
      </c>
      <c r="L1437" s="61">
        <f>IF(OR(J1437="",G1437=""),"",J1437-G1437)</f>
        <v/>
      </c>
      <c r="M1437" s="59"/>
      <c r="N1437" s="59"/>
      <c r="O1437" s="59"/>
      <c r="P1437" s="59"/>
      <c r="Q1437" s="59"/>
      <c r="R1437" s="60">
        <f>IF(AND(P1437="",Q1437=""),"",N(P1437)+N(Q1437))</f>
        <v/>
      </c>
      <c r="S1437" s="59"/>
      <c r="T1437" s="59"/>
      <c r="U1437" s="62">
        <f>IF(OR(R1437="",S1437="",T1437=""),"",IF(S1437+T1437=0,"",R1437/(S1437+T1437)))</f>
        <v/>
      </c>
      <c r="V1437" s="63"/>
      <c r="W1437" s="64"/>
      <c r="X1437" s="63"/>
    </row>
    <row r="1438" spans="2:24">
      <c r="B1438" s="58"/>
      <c r="C1438" s="59"/>
      <c r="D1438" s="59"/>
      <c r="E1438" s="59"/>
      <c r="F1438" s="59"/>
      <c r="G1438" s="60">
        <f>IF(OR(E1438="",F1438="",C1438="",D1438=""),"",IF(C1438+D1438=0,"",(E1438*C1438+F1438*D1438)/(C1438+D1438)))</f>
        <v/>
      </c>
      <c r="H1438" s="59"/>
      <c r="I1438" s="60">
        <f>IF(OR(H1438="",E1438="",C1438="",D1438=""),"",IF(C1438+D1438=0,"",(H1438*D1438+E1438*C1438)/(C1438+D1438)))</f>
        <v/>
      </c>
      <c r="J1438" s="59"/>
      <c r="K1438" s="61">
        <f>IF(OR(J1438="",I1438=""),"",J1438-I1438)</f>
        <v/>
      </c>
      <c r="L1438" s="61">
        <f>IF(OR(J1438="",G1438=""),"",J1438-G1438)</f>
        <v/>
      </c>
      <c r="M1438" s="59"/>
      <c r="N1438" s="59"/>
      <c r="O1438" s="59"/>
      <c r="P1438" s="59"/>
      <c r="Q1438" s="59"/>
      <c r="R1438" s="60">
        <f>IF(AND(P1438="",Q1438=""),"",N(P1438)+N(Q1438))</f>
        <v/>
      </c>
      <c r="S1438" s="59"/>
      <c r="T1438" s="59"/>
      <c r="U1438" s="62">
        <f>IF(OR(R1438="",S1438="",T1438=""),"",IF(S1438+T1438=0,"",R1438/(S1438+T1438)))</f>
        <v/>
      </c>
      <c r="V1438" s="63"/>
      <c r="W1438" s="64"/>
      <c r="X1438" s="63"/>
    </row>
    <row r="1439" spans="2:24">
      <c r="B1439" s="58"/>
      <c r="C1439" s="59"/>
      <c r="D1439" s="59"/>
      <c r="E1439" s="59"/>
      <c r="F1439" s="59"/>
      <c r="G1439" s="60">
        <f>IF(OR(E1439="",F1439="",C1439="",D1439=""),"",IF(C1439+D1439=0,"",(E1439*C1439+F1439*D1439)/(C1439+D1439)))</f>
        <v/>
      </c>
      <c r="H1439" s="59"/>
      <c r="I1439" s="60">
        <f>IF(OR(H1439="",E1439="",C1439="",D1439=""),"",IF(C1439+D1439=0,"",(H1439*D1439+E1439*C1439)/(C1439+D1439)))</f>
        <v/>
      </c>
      <c r="J1439" s="59"/>
      <c r="K1439" s="61">
        <f>IF(OR(J1439="",I1439=""),"",J1439-I1439)</f>
        <v/>
      </c>
      <c r="L1439" s="61">
        <f>IF(OR(J1439="",G1439=""),"",J1439-G1439)</f>
        <v/>
      </c>
      <c r="M1439" s="59"/>
      <c r="N1439" s="59"/>
      <c r="O1439" s="59"/>
      <c r="P1439" s="59"/>
      <c r="Q1439" s="59"/>
      <c r="R1439" s="60">
        <f>IF(AND(P1439="",Q1439=""),"",N(P1439)+N(Q1439))</f>
        <v/>
      </c>
      <c r="S1439" s="59"/>
      <c r="T1439" s="59"/>
      <c r="U1439" s="62">
        <f>IF(OR(R1439="",S1439="",T1439=""),"",IF(S1439+T1439=0,"",R1439/(S1439+T1439)))</f>
        <v/>
      </c>
      <c r="V1439" s="63"/>
      <c r="W1439" s="64"/>
      <c r="X1439" s="63"/>
    </row>
    <row r="1440" spans="2:24">
      <c r="B1440" s="58"/>
      <c r="C1440" s="59"/>
      <c r="D1440" s="59"/>
      <c r="E1440" s="59"/>
      <c r="F1440" s="59"/>
      <c r="G1440" s="60">
        <f>IF(OR(E1440="",F1440="",C1440="",D1440=""),"",IF(C1440+D1440=0,"",(E1440*C1440+F1440*D1440)/(C1440+D1440)))</f>
        <v/>
      </c>
      <c r="H1440" s="59"/>
      <c r="I1440" s="60">
        <f>IF(OR(H1440="",E1440="",C1440="",D1440=""),"",IF(C1440+D1440=0,"",(H1440*D1440+E1440*C1440)/(C1440+D1440)))</f>
        <v/>
      </c>
      <c r="J1440" s="59"/>
      <c r="K1440" s="61">
        <f>IF(OR(J1440="",I1440=""),"",J1440-I1440)</f>
        <v/>
      </c>
      <c r="L1440" s="61">
        <f>IF(OR(J1440="",G1440=""),"",J1440-G1440)</f>
        <v/>
      </c>
      <c r="M1440" s="59"/>
      <c r="N1440" s="59"/>
      <c r="O1440" s="59"/>
      <c r="P1440" s="59"/>
      <c r="Q1440" s="59"/>
      <c r="R1440" s="60">
        <f>IF(AND(P1440="",Q1440=""),"",N(P1440)+N(Q1440))</f>
        <v/>
      </c>
      <c r="S1440" s="59"/>
      <c r="T1440" s="59"/>
      <c r="U1440" s="62">
        <f>IF(OR(R1440="",S1440="",T1440=""),"",IF(S1440+T1440=0,"",R1440/(S1440+T1440)))</f>
        <v/>
      </c>
      <c r="V1440" s="63"/>
      <c r="W1440" s="64"/>
      <c r="X1440" s="63"/>
    </row>
    <row r="1441" spans="2:24">
      <c r="B1441" s="58"/>
      <c r="C1441" s="59"/>
      <c r="D1441" s="59"/>
      <c r="E1441" s="59"/>
      <c r="F1441" s="59"/>
      <c r="G1441" s="60">
        <f>IF(OR(E1441="",F1441="",C1441="",D1441=""),"",IF(C1441+D1441=0,"",(E1441*C1441+F1441*D1441)/(C1441+D1441)))</f>
        <v/>
      </c>
      <c r="H1441" s="59"/>
      <c r="I1441" s="60">
        <f>IF(OR(H1441="",E1441="",C1441="",D1441=""),"",IF(C1441+D1441=0,"",(H1441*D1441+E1441*C1441)/(C1441+D1441)))</f>
        <v/>
      </c>
      <c r="J1441" s="59"/>
      <c r="K1441" s="61">
        <f>IF(OR(J1441="",I1441=""),"",J1441-I1441)</f>
        <v/>
      </c>
      <c r="L1441" s="61">
        <f>IF(OR(J1441="",G1441=""),"",J1441-G1441)</f>
        <v/>
      </c>
      <c r="M1441" s="59"/>
      <c r="N1441" s="59"/>
      <c r="O1441" s="59"/>
      <c r="P1441" s="59"/>
      <c r="Q1441" s="59"/>
      <c r="R1441" s="60">
        <f>IF(AND(P1441="",Q1441=""),"",N(P1441)+N(Q1441))</f>
        <v/>
      </c>
      <c r="S1441" s="59"/>
      <c r="T1441" s="59"/>
      <c r="U1441" s="62">
        <f>IF(OR(R1441="",S1441="",T1441=""),"",IF(S1441+T1441=0,"",R1441/(S1441+T1441)))</f>
        <v/>
      </c>
      <c r="V1441" s="63"/>
      <c r="W1441" s="64"/>
      <c r="X1441" s="63"/>
    </row>
    <row r="1442" spans="2:24">
      <c r="B1442" s="58"/>
      <c r="C1442" s="59"/>
      <c r="D1442" s="59"/>
      <c r="E1442" s="59"/>
      <c r="F1442" s="59"/>
      <c r="G1442" s="60">
        <f>IF(OR(E1442="",F1442="",C1442="",D1442=""),"",IF(C1442+D1442=0,"",(E1442*C1442+F1442*D1442)/(C1442+D1442)))</f>
        <v/>
      </c>
      <c r="H1442" s="59"/>
      <c r="I1442" s="60">
        <f>IF(OR(H1442="",E1442="",C1442="",D1442=""),"",IF(C1442+D1442=0,"",(H1442*D1442+E1442*C1442)/(C1442+D1442)))</f>
        <v/>
      </c>
      <c r="J1442" s="59"/>
      <c r="K1442" s="61">
        <f>IF(OR(J1442="",I1442=""),"",J1442-I1442)</f>
        <v/>
      </c>
      <c r="L1442" s="61">
        <f>IF(OR(J1442="",G1442=""),"",J1442-G1442)</f>
        <v/>
      </c>
      <c r="M1442" s="59"/>
      <c r="N1442" s="59"/>
      <c r="O1442" s="59"/>
      <c r="P1442" s="59"/>
      <c r="Q1442" s="59"/>
      <c r="R1442" s="60">
        <f>IF(AND(P1442="",Q1442=""),"",N(P1442)+N(Q1442))</f>
        <v/>
      </c>
      <c r="S1442" s="59"/>
      <c r="T1442" s="59"/>
      <c r="U1442" s="62">
        <f>IF(OR(R1442="",S1442="",T1442=""),"",IF(S1442+T1442=0,"",R1442/(S1442+T1442)))</f>
        <v/>
      </c>
      <c r="V1442" s="63"/>
      <c r="W1442" s="64"/>
      <c r="X1442" s="63"/>
    </row>
    <row r="1443" spans="2:24">
      <c r="B1443" s="58"/>
      <c r="C1443" s="59"/>
      <c r="D1443" s="59"/>
      <c r="E1443" s="59"/>
      <c r="F1443" s="59"/>
      <c r="G1443" s="60">
        <f>IF(OR(E1443="",F1443="",C1443="",D1443=""),"",IF(C1443+D1443=0,"",(E1443*C1443+F1443*D1443)/(C1443+D1443)))</f>
        <v/>
      </c>
      <c r="H1443" s="59"/>
      <c r="I1443" s="60">
        <f>IF(OR(H1443="",E1443="",C1443="",D1443=""),"",IF(C1443+D1443=0,"",(H1443*D1443+E1443*C1443)/(C1443+D1443)))</f>
        <v/>
      </c>
      <c r="J1443" s="59"/>
      <c r="K1443" s="61">
        <f>IF(OR(J1443="",I1443=""),"",J1443-I1443)</f>
        <v/>
      </c>
      <c r="L1443" s="61">
        <f>IF(OR(J1443="",G1443=""),"",J1443-G1443)</f>
        <v/>
      </c>
      <c r="M1443" s="59"/>
      <c r="N1443" s="59"/>
      <c r="O1443" s="59"/>
      <c r="P1443" s="59"/>
      <c r="Q1443" s="59"/>
      <c r="R1443" s="60">
        <f>IF(AND(P1443="",Q1443=""),"",N(P1443)+N(Q1443))</f>
        <v/>
      </c>
      <c r="S1443" s="59"/>
      <c r="T1443" s="59"/>
      <c r="U1443" s="62">
        <f>IF(OR(R1443="",S1443="",T1443=""),"",IF(S1443+T1443=0,"",R1443/(S1443+T1443)))</f>
        <v/>
      </c>
      <c r="V1443" s="63"/>
      <c r="W1443" s="64"/>
      <c r="X1443" s="63"/>
    </row>
    <row r="1444" spans="2:24">
      <c r="B1444" s="58"/>
      <c r="C1444" s="59"/>
      <c r="D1444" s="59"/>
      <c r="E1444" s="59"/>
      <c r="F1444" s="59"/>
      <c r="G1444" s="60">
        <f>IF(OR(E1444="",F1444="",C1444="",D1444=""),"",IF(C1444+D1444=0,"",(E1444*C1444+F1444*D1444)/(C1444+D1444)))</f>
        <v/>
      </c>
      <c r="H1444" s="59"/>
      <c r="I1444" s="60">
        <f>IF(OR(H1444="",E1444="",C1444="",D1444=""),"",IF(C1444+D1444=0,"",(H1444*D1444+E1444*C1444)/(C1444+D1444)))</f>
        <v/>
      </c>
      <c r="J1444" s="59"/>
      <c r="K1444" s="61">
        <f>IF(OR(J1444="",I1444=""),"",J1444-I1444)</f>
        <v/>
      </c>
      <c r="L1444" s="61">
        <f>IF(OR(J1444="",G1444=""),"",J1444-G1444)</f>
        <v/>
      </c>
      <c r="M1444" s="59"/>
      <c r="N1444" s="59"/>
      <c r="O1444" s="59"/>
      <c r="P1444" s="59"/>
      <c r="Q1444" s="59"/>
      <c r="R1444" s="60">
        <f>IF(AND(P1444="",Q1444=""),"",N(P1444)+N(Q1444))</f>
        <v/>
      </c>
      <c r="S1444" s="59"/>
      <c r="T1444" s="59"/>
      <c r="U1444" s="62">
        <f>IF(OR(R1444="",S1444="",T1444=""),"",IF(S1444+T1444=0,"",R1444/(S1444+T1444)))</f>
        <v/>
      </c>
      <c r="V1444" s="63"/>
      <c r="W1444" s="64"/>
      <c r="X1444" s="63"/>
    </row>
    <row r="1445" spans="2:24">
      <c r="B1445" s="58"/>
      <c r="C1445" s="59"/>
      <c r="D1445" s="59"/>
      <c r="E1445" s="59"/>
      <c r="F1445" s="59"/>
      <c r="G1445" s="60">
        <f>IF(OR(E1445="",F1445="",C1445="",D1445=""),"",IF(C1445+D1445=0,"",(E1445*C1445+F1445*D1445)/(C1445+D1445)))</f>
        <v/>
      </c>
      <c r="H1445" s="59"/>
      <c r="I1445" s="60">
        <f>IF(OR(H1445="",E1445="",C1445="",D1445=""),"",IF(C1445+D1445=0,"",(H1445*D1445+E1445*C1445)/(C1445+D1445)))</f>
        <v/>
      </c>
      <c r="J1445" s="59"/>
      <c r="K1445" s="61">
        <f>IF(OR(J1445="",I1445=""),"",J1445-I1445)</f>
        <v/>
      </c>
      <c r="L1445" s="61">
        <f>IF(OR(J1445="",G1445=""),"",J1445-G1445)</f>
        <v/>
      </c>
      <c r="M1445" s="59"/>
      <c r="N1445" s="59"/>
      <c r="O1445" s="59"/>
      <c r="P1445" s="59"/>
      <c r="Q1445" s="59"/>
      <c r="R1445" s="60">
        <f>IF(AND(P1445="",Q1445=""),"",N(P1445)+N(Q1445))</f>
        <v/>
      </c>
      <c r="S1445" s="59"/>
      <c r="T1445" s="59"/>
      <c r="U1445" s="62">
        <f>IF(OR(R1445="",S1445="",T1445=""),"",IF(S1445+T1445=0,"",R1445/(S1445+T1445)))</f>
        <v/>
      </c>
      <c r="V1445" s="63"/>
      <c r="W1445" s="64"/>
      <c r="X1445" s="63"/>
    </row>
    <row r="1446" spans="2:24">
      <c r="B1446" s="58"/>
      <c r="C1446" s="59"/>
      <c r="D1446" s="59"/>
      <c r="E1446" s="59"/>
      <c r="F1446" s="59"/>
      <c r="G1446" s="60">
        <f>IF(OR(E1446="",F1446="",C1446="",D1446=""),"",IF(C1446+D1446=0,"",(E1446*C1446+F1446*D1446)/(C1446+D1446)))</f>
        <v/>
      </c>
      <c r="H1446" s="59"/>
      <c r="I1446" s="60">
        <f>IF(OR(H1446="",E1446="",C1446="",D1446=""),"",IF(C1446+D1446=0,"",(H1446*D1446+E1446*C1446)/(C1446+D1446)))</f>
        <v/>
      </c>
      <c r="J1446" s="59"/>
      <c r="K1446" s="61">
        <f>IF(OR(J1446="",I1446=""),"",J1446-I1446)</f>
        <v/>
      </c>
      <c r="L1446" s="61">
        <f>IF(OR(J1446="",G1446=""),"",J1446-G1446)</f>
        <v/>
      </c>
      <c r="M1446" s="59"/>
      <c r="N1446" s="59"/>
      <c r="O1446" s="59"/>
      <c r="P1446" s="59"/>
      <c r="Q1446" s="59"/>
      <c r="R1446" s="60">
        <f>IF(AND(P1446="",Q1446=""),"",N(P1446)+N(Q1446))</f>
        <v/>
      </c>
      <c r="S1446" s="59"/>
      <c r="T1446" s="59"/>
      <c r="U1446" s="62">
        <f>IF(OR(R1446="",S1446="",T1446=""),"",IF(S1446+T1446=0,"",R1446/(S1446+T1446)))</f>
        <v/>
      </c>
      <c r="V1446" s="63"/>
      <c r="W1446" s="64"/>
      <c r="X1446" s="63"/>
    </row>
    <row r="1447" spans="2:24">
      <c r="B1447" s="58"/>
      <c r="C1447" s="59"/>
      <c r="D1447" s="59"/>
      <c r="E1447" s="59"/>
      <c r="F1447" s="59"/>
      <c r="G1447" s="60">
        <f>IF(OR(E1447="",F1447="",C1447="",D1447=""),"",IF(C1447+D1447=0,"",(E1447*C1447+F1447*D1447)/(C1447+D1447)))</f>
        <v/>
      </c>
      <c r="H1447" s="59"/>
      <c r="I1447" s="60">
        <f>IF(OR(H1447="",E1447="",C1447="",D1447=""),"",IF(C1447+D1447=0,"",(H1447*D1447+E1447*C1447)/(C1447+D1447)))</f>
        <v/>
      </c>
      <c r="J1447" s="59"/>
      <c r="K1447" s="61">
        <f>IF(OR(J1447="",I1447=""),"",J1447-I1447)</f>
        <v/>
      </c>
      <c r="L1447" s="61">
        <f>IF(OR(J1447="",G1447=""),"",J1447-G1447)</f>
        <v/>
      </c>
      <c r="M1447" s="59"/>
      <c r="N1447" s="59"/>
      <c r="O1447" s="59"/>
      <c r="P1447" s="59"/>
      <c r="Q1447" s="59"/>
      <c r="R1447" s="60">
        <f>IF(AND(P1447="",Q1447=""),"",N(P1447)+N(Q1447))</f>
        <v/>
      </c>
      <c r="S1447" s="59"/>
      <c r="T1447" s="59"/>
      <c r="U1447" s="62">
        <f>IF(OR(R1447="",S1447="",T1447=""),"",IF(S1447+T1447=0,"",R1447/(S1447+T1447)))</f>
        <v/>
      </c>
      <c r="V1447" s="63"/>
      <c r="W1447" s="64"/>
      <c r="X1447" s="63"/>
    </row>
    <row r="1448" spans="2:24">
      <c r="B1448" s="58"/>
      <c r="C1448" s="59"/>
      <c r="D1448" s="59"/>
      <c r="E1448" s="59"/>
      <c r="F1448" s="59"/>
      <c r="G1448" s="60">
        <f>IF(OR(E1448="",F1448="",C1448="",D1448=""),"",IF(C1448+D1448=0,"",(E1448*C1448+F1448*D1448)/(C1448+D1448)))</f>
        <v/>
      </c>
      <c r="H1448" s="59"/>
      <c r="I1448" s="60">
        <f>IF(OR(H1448="",E1448="",C1448="",D1448=""),"",IF(C1448+D1448=0,"",(H1448*D1448+E1448*C1448)/(C1448+D1448)))</f>
        <v/>
      </c>
      <c r="J1448" s="59"/>
      <c r="K1448" s="61">
        <f>IF(OR(J1448="",I1448=""),"",J1448-I1448)</f>
        <v/>
      </c>
      <c r="L1448" s="61">
        <f>IF(OR(J1448="",G1448=""),"",J1448-G1448)</f>
        <v/>
      </c>
      <c r="M1448" s="59"/>
      <c r="N1448" s="59"/>
      <c r="O1448" s="59"/>
      <c r="P1448" s="59"/>
      <c r="Q1448" s="59"/>
      <c r="R1448" s="60">
        <f>IF(AND(P1448="",Q1448=""),"",N(P1448)+N(Q1448))</f>
        <v/>
      </c>
      <c r="S1448" s="59"/>
      <c r="T1448" s="59"/>
      <c r="U1448" s="62">
        <f>IF(OR(R1448="",S1448="",T1448=""),"",IF(S1448+T1448=0,"",R1448/(S1448+T1448)))</f>
        <v/>
      </c>
      <c r="V1448" s="63"/>
      <c r="W1448" s="64"/>
      <c r="X1448" s="63"/>
    </row>
    <row r="1449" spans="2:24">
      <c r="B1449" s="58"/>
      <c r="C1449" s="59"/>
      <c r="D1449" s="59"/>
      <c r="E1449" s="59"/>
      <c r="F1449" s="59"/>
      <c r="G1449" s="60">
        <f>IF(OR(E1449="",F1449="",C1449="",D1449=""),"",IF(C1449+D1449=0,"",(E1449*C1449+F1449*D1449)/(C1449+D1449)))</f>
        <v/>
      </c>
      <c r="H1449" s="59"/>
      <c r="I1449" s="60">
        <f>IF(OR(H1449="",E1449="",C1449="",D1449=""),"",IF(C1449+D1449=0,"",(H1449*D1449+E1449*C1449)/(C1449+D1449)))</f>
        <v/>
      </c>
      <c r="J1449" s="59"/>
      <c r="K1449" s="61">
        <f>IF(OR(J1449="",I1449=""),"",J1449-I1449)</f>
        <v/>
      </c>
      <c r="L1449" s="61">
        <f>IF(OR(J1449="",G1449=""),"",J1449-G1449)</f>
        <v/>
      </c>
      <c r="M1449" s="59"/>
      <c r="N1449" s="59"/>
      <c r="O1449" s="59"/>
      <c r="P1449" s="59"/>
      <c r="Q1449" s="59"/>
      <c r="R1449" s="60">
        <f>IF(AND(P1449="",Q1449=""),"",N(P1449)+N(Q1449))</f>
        <v/>
      </c>
      <c r="S1449" s="59"/>
      <c r="T1449" s="59"/>
      <c r="U1449" s="62">
        <f>IF(OR(R1449="",S1449="",T1449=""),"",IF(S1449+T1449=0,"",R1449/(S1449+T1449)))</f>
        <v/>
      </c>
      <c r="V1449" s="63"/>
      <c r="W1449" s="64"/>
      <c r="X1449" s="63"/>
    </row>
    <row r="1450" spans="2:24">
      <c r="B1450" s="58"/>
      <c r="C1450" s="59"/>
      <c r="D1450" s="59"/>
      <c r="E1450" s="59"/>
      <c r="F1450" s="59"/>
      <c r="G1450" s="60">
        <f>IF(OR(E1450="",F1450="",C1450="",D1450=""),"",IF(C1450+D1450=0,"",(E1450*C1450+F1450*D1450)/(C1450+D1450)))</f>
        <v/>
      </c>
      <c r="H1450" s="59"/>
      <c r="I1450" s="60">
        <f>IF(OR(H1450="",E1450="",C1450="",D1450=""),"",IF(C1450+D1450=0,"",(H1450*D1450+E1450*C1450)/(C1450+D1450)))</f>
        <v/>
      </c>
      <c r="J1450" s="59"/>
      <c r="K1450" s="61">
        <f>IF(OR(J1450="",I1450=""),"",J1450-I1450)</f>
        <v/>
      </c>
      <c r="L1450" s="61">
        <f>IF(OR(J1450="",G1450=""),"",J1450-G1450)</f>
        <v/>
      </c>
      <c r="M1450" s="59"/>
      <c r="N1450" s="59"/>
      <c r="O1450" s="59"/>
      <c r="P1450" s="59"/>
      <c r="Q1450" s="59"/>
      <c r="R1450" s="60">
        <f>IF(AND(P1450="",Q1450=""),"",N(P1450)+N(Q1450))</f>
        <v/>
      </c>
      <c r="S1450" s="59"/>
      <c r="T1450" s="59"/>
      <c r="U1450" s="62">
        <f>IF(OR(R1450="",S1450="",T1450=""),"",IF(S1450+T1450=0,"",R1450/(S1450+T1450)))</f>
        <v/>
      </c>
      <c r="V1450" s="63"/>
      <c r="W1450" s="64"/>
      <c r="X1450" s="63"/>
    </row>
    <row r="1451" spans="2:24">
      <c r="B1451" s="58"/>
      <c r="C1451" s="59"/>
      <c r="D1451" s="59"/>
      <c r="E1451" s="59"/>
      <c r="F1451" s="59"/>
      <c r="G1451" s="60">
        <f>IF(OR(E1451="",F1451="",C1451="",D1451=""),"",IF(C1451+D1451=0,"",(E1451*C1451+F1451*D1451)/(C1451+D1451)))</f>
        <v/>
      </c>
      <c r="H1451" s="59"/>
      <c r="I1451" s="60">
        <f>IF(OR(H1451="",E1451="",C1451="",D1451=""),"",IF(C1451+D1451=0,"",(H1451*D1451+E1451*C1451)/(C1451+D1451)))</f>
        <v/>
      </c>
      <c r="J1451" s="59"/>
      <c r="K1451" s="61">
        <f>IF(OR(J1451="",I1451=""),"",J1451-I1451)</f>
        <v/>
      </c>
      <c r="L1451" s="61">
        <f>IF(OR(J1451="",G1451=""),"",J1451-G1451)</f>
        <v/>
      </c>
      <c r="M1451" s="59"/>
      <c r="N1451" s="59"/>
      <c r="O1451" s="59"/>
      <c r="P1451" s="59"/>
      <c r="Q1451" s="59"/>
      <c r="R1451" s="60">
        <f>IF(AND(P1451="",Q1451=""),"",N(P1451)+N(Q1451))</f>
        <v/>
      </c>
      <c r="S1451" s="59"/>
      <c r="T1451" s="59"/>
      <c r="U1451" s="62">
        <f>IF(OR(R1451="",S1451="",T1451=""),"",IF(S1451+T1451=0,"",R1451/(S1451+T1451)))</f>
        <v/>
      </c>
      <c r="V1451" s="63"/>
      <c r="W1451" s="64"/>
      <c r="X1451" s="63"/>
    </row>
    <row r="1452" spans="2:24">
      <c r="B1452" s="58"/>
      <c r="C1452" s="59"/>
      <c r="D1452" s="59"/>
      <c r="E1452" s="59"/>
      <c r="F1452" s="59"/>
      <c r="G1452" s="60">
        <f>IF(OR(E1452="",F1452="",C1452="",D1452=""),"",IF(C1452+D1452=0,"",(E1452*C1452+F1452*D1452)/(C1452+D1452)))</f>
        <v/>
      </c>
      <c r="H1452" s="59"/>
      <c r="I1452" s="60">
        <f>IF(OR(H1452="",E1452="",C1452="",D1452=""),"",IF(C1452+D1452=0,"",(H1452*D1452+E1452*C1452)/(C1452+D1452)))</f>
        <v/>
      </c>
      <c r="J1452" s="59"/>
      <c r="K1452" s="61">
        <f>IF(OR(J1452="",I1452=""),"",J1452-I1452)</f>
        <v/>
      </c>
      <c r="L1452" s="61">
        <f>IF(OR(J1452="",G1452=""),"",J1452-G1452)</f>
        <v/>
      </c>
      <c r="M1452" s="59"/>
      <c r="N1452" s="59"/>
      <c r="O1452" s="59"/>
      <c r="P1452" s="59"/>
      <c r="Q1452" s="59"/>
      <c r="R1452" s="60">
        <f>IF(AND(P1452="",Q1452=""),"",N(P1452)+N(Q1452))</f>
        <v/>
      </c>
      <c r="S1452" s="59"/>
      <c r="T1452" s="59"/>
      <c r="U1452" s="62">
        <f>IF(OR(R1452="",S1452="",T1452=""),"",IF(S1452+T1452=0,"",R1452/(S1452+T1452)))</f>
        <v/>
      </c>
      <c r="V1452" s="63"/>
      <c r="W1452" s="64"/>
      <c r="X1452" s="63"/>
    </row>
    <row r="1453" spans="2:24">
      <c r="B1453" s="58"/>
      <c r="C1453" s="59"/>
      <c r="D1453" s="59"/>
      <c r="E1453" s="59"/>
      <c r="F1453" s="59"/>
      <c r="G1453" s="60">
        <f>IF(OR(E1453="",F1453="",C1453="",D1453=""),"",IF(C1453+D1453=0,"",(E1453*C1453+F1453*D1453)/(C1453+D1453)))</f>
        <v/>
      </c>
      <c r="H1453" s="59"/>
      <c r="I1453" s="60">
        <f>IF(OR(H1453="",E1453="",C1453="",D1453=""),"",IF(C1453+D1453=0,"",(H1453*D1453+E1453*C1453)/(C1453+D1453)))</f>
        <v/>
      </c>
      <c r="J1453" s="59"/>
      <c r="K1453" s="61">
        <f>IF(OR(J1453="",I1453=""),"",J1453-I1453)</f>
        <v/>
      </c>
      <c r="L1453" s="61">
        <f>IF(OR(J1453="",G1453=""),"",J1453-G1453)</f>
        <v/>
      </c>
      <c r="M1453" s="59"/>
      <c r="N1453" s="59"/>
      <c r="O1453" s="59"/>
      <c r="P1453" s="59"/>
      <c r="Q1453" s="59"/>
      <c r="R1453" s="60">
        <f>IF(AND(P1453="",Q1453=""),"",N(P1453)+N(Q1453))</f>
        <v/>
      </c>
      <c r="S1453" s="59"/>
      <c r="T1453" s="59"/>
      <c r="U1453" s="62">
        <f>IF(OR(R1453="",S1453="",T1453=""),"",IF(S1453+T1453=0,"",R1453/(S1453+T1453)))</f>
        <v/>
      </c>
      <c r="V1453" s="63"/>
      <c r="W1453" s="64"/>
      <c r="X1453" s="63"/>
    </row>
    <row r="1454" spans="2:24">
      <c r="B1454" s="58"/>
      <c r="C1454" s="59"/>
      <c r="D1454" s="59"/>
      <c r="E1454" s="59"/>
      <c r="F1454" s="59"/>
      <c r="G1454" s="60">
        <f>IF(OR(E1454="",F1454="",C1454="",D1454=""),"",IF(C1454+D1454=0,"",(E1454*C1454+F1454*D1454)/(C1454+D1454)))</f>
        <v/>
      </c>
      <c r="H1454" s="59"/>
      <c r="I1454" s="60">
        <f>IF(OR(H1454="",E1454="",C1454="",D1454=""),"",IF(C1454+D1454=0,"",(H1454*D1454+E1454*C1454)/(C1454+D1454)))</f>
        <v/>
      </c>
      <c r="J1454" s="59"/>
      <c r="K1454" s="61">
        <f>IF(OR(J1454="",I1454=""),"",J1454-I1454)</f>
        <v/>
      </c>
      <c r="L1454" s="61">
        <f>IF(OR(J1454="",G1454=""),"",J1454-G1454)</f>
        <v/>
      </c>
      <c r="M1454" s="59"/>
      <c r="N1454" s="59"/>
      <c r="O1454" s="59"/>
      <c r="P1454" s="59"/>
      <c r="Q1454" s="59"/>
      <c r="R1454" s="60">
        <f>IF(AND(P1454="",Q1454=""),"",N(P1454)+N(Q1454))</f>
        <v/>
      </c>
      <c r="S1454" s="59"/>
      <c r="T1454" s="59"/>
      <c r="U1454" s="62">
        <f>IF(OR(R1454="",S1454="",T1454=""),"",IF(S1454+T1454=0,"",R1454/(S1454+T1454)))</f>
        <v/>
      </c>
      <c r="V1454" s="63"/>
      <c r="W1454" s="64"/>
      <c r="X1454" s="63"/>
    </row>
    <row r="1455" spans="2:24">
      <c r="B1455" s="58"/>
      <c r="C1455" s="59"/>
      <c r="D1455" s="59"/>
      <c r="E1455" s="59"/>
      <c r="F1455" s="59"/>
      <c r="G1455" s="60">
        <f>IF(OR(E1455="",F1455="",C1455="",D1455=""),"",IF(C1455+D1455=0,"",(E1455*C1455+F1455*D1455)/(C1455+D1455)))</f>
        <v/>
      </c>
      <c r="H1455" s="59"/>
      <c r="I1455" s="60">
        <f>IF(OR(H1455="",E1455="",C1455="",D1455=""),"",IF(C1455+D1455=0,"",(H1455*D1455+E1455*C1455)/(C1455+D1455)))</f>
        <v/>
      </c>
      <c r="J1455" s="59"/>
      <c r="K1455" s="61">
        <f>IF(OR(J1455="",I1455=""),"",J1455-I1455)</f>
        <v/>
      </c>
      <c r="L1455" s="61">
        <f>IF(OR(J1455="",G1455=""),"",J1455-G1455)</f>
        <v/>
      </c>
      <c r="M1455" s="59"/>
      <c r="N1455" s="59"/>
      <c r="O1455" s="59"/>
      <c r="P1455" s="59"/>
      <c r="Q1455" s="59"/>
      <c r="R1455" s="60">
        <f>IF(AND(P1455="",Q1455=""),"",N(P1455)+N(Q1455))</f>
        <v/>
      </c>
      <c r="S1455" s="59"/>
      <c r="T1455" s="59"/>
      <c r="U1455" s="62">
        <f>IF(OR(R1455="",S1455="",T1455=""),"",IF(S1455+T1455=0,"",R1455/(S1455+T1455)))</f>
        <v/>
      </c>
      <c r="V1455" s="63"/>
      <c r="W1455" s="64"/>
      <c r="X1455" s="63"/>
    </row>
    <row r="1456" spans="2:24">
      <c r="B1456" s="58"/>
      <c r="C1456" s="59"/>
      <c r="D1456" s="59"/>
      <c r="E1456" s="59"/>
      <c r="F1456" s="59"/>
      <c r="G1456" s="60">
        <f>IF(OR(E1456="",F1456="",C1456="",D1456=""),"",IF(C1456+D1456=0,"",(E1456*C1456+F1456*D1456)/(C1456+D1456)))</f>
        <v/>
      </c>
      <c r="H1456" s="59"/>
      <c r="I1456" s="60">
        <f>IF(OR(H1456="",E1456="",C1456="",D1456=""),"",IF(C1456+D1456=0,"",(H1456*D1456+E1456*C1456)/(C1456+D1456)))</f>
        <v/>
      </c>
      <c r="J1456" s="59"/>
      <c r="K1456" s="61">
        <f>IF(OR(J1456="",I1456=""),"",J1456-I1456)</f>
        <v/>
      </c>
      <c r="L1456" s="61">
        <f>IF(OR(J1456="",G1456=""),"",J1456-G1456)</f>
        <v/>
      </c>
      <c r="M1456" s="59"/>
      <c r="N1456" s="59"/>
      <c r="O1456" s="59"/>
      <c r="P1456" s="59"/>
      <c r="Q1456" s="59"/>
      <c r="R1456" s="60">
        <f>IF(AND(P1456="",Q1456=""),"",N(P1456)+N(Q1456))</f>
        <v/>
      </c>
      <c r="S1456" s="59"/>
      <c r="T1456" s="59"/>
      <c r="U1456" s="62">
        <f>IF(OR(R1456="",S1456="",T1456=""),"",IF(S1456+T1456=0,"",R1456/(S1456+T1456)))</f>
        <v/>
      </c>
      <c r="V1456" s="63"/>
      <c r="W1456" s="64"/>
      <c r="X1456" s="63"/>
    </row>
    <row r="1457" spans="2:24">
      <c r="B1457" s="58"/>
      <c r="C1457" s="59"/>
      <c r="D1457" s="59"/>
      <c r="E1457" s="59"/>
      <c r="F1457" s="59"/>
      <c r="G1457" s="60">
        <f>IF(OR(E1457="",F1457="",C1457="",D1457=""),"",IF(C1457+D1457=0,"",(E1457*C1457+F1457*D1457)/(C1457+D1457)))</f>
        <v/>
      </c>
      <c r="H1457" s="59"/>
      <c r="I1457" s="60">
        <f>IF(OR(H1457="",E1457="",C1457="",D1457=""),"",IF(C1457+D1457=0,"",(H1457*D1457+E1457*C1457)/(C1457+D1457)))</f>
        <v/>
      </c>
      <c r="J1457" s="59"/>
      <c r="K1457" s="61">
        <f>IF(OR(J1457="",I1457=""),"",J1457-I1457)</f>
        <v/>
      </c>
      <c r="L1457" s="61">
        <f>IF(OR(J1457="",G1457=""),"",J1457-G1457)</f>
        <v/>
      </c>
      <c r="M1457" s="59"/>
      <c r="N1457" s="59"/>
      <c r="O1457" s="59"/>
      <c r="P1457" s="59"/>
      <c r="Q1457" s="59"/>
      <c r="R1457" s="60">
        <f>IF(AND(P1457="",Q1457=""),"",N(P1457)+N(Q1457))</f>
        <v/>
      </c>
      <c r="S1457" s="59"/>
      <c r="T1457" s="59"/>
      <c r="U1457" s="62">
        <f>IF(OR(R1457="",S1457="",T1457=""),"",IF(S1457+T1457=0,"",R1457/(S1457+T1457)))</f>
        <v/>
      </c>
      <c r="V1457" s="63"/>
      <c r="W1457" s="64"/>
      <c r="X1457" s="63"/>
    </row>
    <row r="1458" spans="2:24">
      <c r="B1458" s="58"/>
      <c r="C1458" s="59"/>
      <c r="D1458" s="59"/>
      <c r="E1458" s="59"/>
      <c r="F1458" s="59"/>
      <c r="G1458" s="60">
        <f>IF(OR(E1458="",F1458="",C1458="",D1458=""),"",IF(C1458+D1458=0,"",(E1458*C1458+F1458*D1458)/(C1458+D1458)))</f>
        <v/>
      </c>
      <c r="H1458" s="59"/>
      <c r="I1458" s="60">
        <f>IF(OR(H1458="",E1458="",C1458="",D1458=""),"",IF(C1458+D1458=0,"",(H1458*D1458+E1458*C1458)/(C1458+D1458)))</f>
        <v/>
      </c>
      <c r="J1458" s="59"/>
      <c r="K1458" s="61">
        <f>IF(OR(J1458="",I1458=""),"",J1458-I1458)</f>
        <v/>
      </c>
      <c r="L1458" s="61">
        <f>IF(OR(J1458="",G1458=""),"",J1458-G1458)</f>
        <v/>
      </c>
      <c r="M1458" s="59"/>
      <c r="N1458" s="59"/>
      <c r="O1458" s="59"/>
      <c r="P1458" s="59"/>
      <c r="Q1458" s="59"/>
      <c r="R1458" s="60">
        <f>IF(AND(P1458="",Q1458=""),"",N(P1458)+N(Q1458))</f>
        <v/>
      </c>
      <c r="S1458" s="59"/>
      <c r="T1458" s="59"/>
      <c r="U1458" s="62">
        <f>IF(OR(R1458="",S1458="",T1458=""),"",IF(S1458+T1458=0,"",R1458/(S1458+T1458)))</f>
        <v/>
      </c>
      <c r="V1458" s="63"/>
      <c r="W1458" s="64"/>
      <c r="X1458" s="63"/>
    </row>
    <row r="1459" spans="2:24">
      <c r="B1459" s="58"/>
      <c r="C1459" s="59"/>
      <c r="D1459" s="59"/>
      <c r="E1459" s="59"/>
      <c r="F1459" s="59"/>
      <c r="G1459" s="60">
        <f>IF(OR(E1459="",F1459="",C1459="",D1459=""),"",IF(C1459+D1459=0,"",(E1459*C1459+F1459*D1459)/(C1459+D1459)))</f>
        <v/>
      </c>
      <c r="H1459" s="59"/>
      <c r="I1459" s="60">
        <f>IF(OR(H1459="",E1459="",C1459="",D1459=""),"",IF(C1459+D1459=0,"",(H1459*D1459+E1459*C1459)/(C1459+D1459)))</f>
        <v/>
      </c>
      <c r="J1459" s="59"/>
      <c r="K1459" s="61">
        <f>IF(OR(J1459="",I1459=""),"",J1459-I1459)</f>
        <v/>
      </c>
      <c r="L1459" s="61">
        <f>IF(OR(J1459="",G1459=""),"",J1459-G1459)</f>
        <v/>
      </c>
      <c r="M1459" s="59"/>
      <c r="N1459" s="59"/>
      <c r="O1459" s="59"/>
      <c r="P1459" s="59"/>
      <c r="Q1459" s="59"/>
      <c r="R1459" s="60">
        <f>IF(AND(P1459="",Q1459=""),"",N(P1459)+N(Q1459))</f>
        <v/>
      </c>
      <c r="S1459" s="59"/>
      <c r="T1459" s="59"/>
      <c r="U1459" s="62">
        <f>IF(OR(R1459="",S1459="",T1459=""),"",IF(S1459+T1459=0,"",R1459/(S1459+T1459)))</f>
        <v/>
      </c>
      <c r="V1459" s="63"/>
      <c r="W1459" s="64"/>
      <c r="X1459" s="63"/>
    </row>
    <row r="1460" spans="2:24">
      <c r="B1460" s="58"/>
      <c r="C1460" s="59"/>
      <c r="D1460" s="59"/>
      <c r="E1460" s="59"/>
      <c r="F1460" s="59"/>
      <c r="G1460" s="60">
        <f>IF(OR(E1460="",F1460="",C1460="",D1460=""),"",IF(C1460+D1460=0,"",(E1460*C1460+F1460*D1460)/(C1460+D1460)))</f>
        <v/>
      </c>
      <c r="H1460" s="59"/>
      <c r="I1460" s="60">
        <f>IF(OR(H1460="",E1460="",C1460="",D1460=""),"",IF(C1460+D1460=0,"",(H1460*D1460+E1460*C1460)/(C1460+D1460)))</f>
        <v/>
      </c>
      <c r="J1460" s="59"/>
      <c r="K1460" s="61">
        <f>IF(OR(J1460="",I1460=""),"",J1460-I1460)</f>
        <v/>
      </c>
      <c r="L1460" s="61">
        <f>IF(OR(J1460="",G1460=""),"",J1460-G1460)</f>
        <v/>
      </c>
      <c r="M1460" s="59"/>
      <c r="N1460" s="59"/>
      <c r="O1460" s="59"/>
      <c r="P1460" s="59"/>
      <c r="Q1460" s="59"/>
      <c r="R1460" s="60">
        <f>IF(AND(P1460="",Q1460=""),"",N(P1460)+N(Q1460))</f>
        <v/>
      </c>
      <c r="S1460" s="59"/>
      <c r="T1460" s="59"/>
      <c r="U1460" s="62">
        <f>IF(OR(R1460="",S1460="",T1460=""),"",IF(S1460+T1460=0,"",R1460/(S1460+T1460)))</f>
        <v/>
      </c>
      <c r="V1460" s="63"/>
      <c r="W1460" s="64"/>
      <c r="X1460" s="63"/>
    </row>
    <row r="1461" spans="2:24">
      <c r="B1461" s="58"/>
      <c r="C1461" s="59"/>
      <c r="D1461" s="59"/>
      <c r="E1461" s="59"/>
      <c r="F1461" s="59"/>
      <c r="G1461" s="60">
        <f>IF(OR(E1461="",F1461="",C1461="",D1461=""),"",IF(C1461+D1461=0,"",(E1461*C1461+F1461*D1461)/(C1461+D1461)))</f>
        <v/>
      </c>
      <c r="H1461" s="59"/>
      <c r="I1461" s="60">
        <f>IF(OR(H1461="",E1461="",C1461="",D1461=""),"",IF(C1461+D1461=0,"",(H1461*D1461+E1461*C1461)/(C1461+D1461)))</f>
        <v/>
      </c>
      <c r="J1461" s="59"/>
      <c r="K1461" s="61">
        <f>IF(OR(J1461="",I1461=""),"",J1461-I1461)</f>
        <v/>
      </c>
      <c r="L1461" s="61">
        <f>IF(OR(J1461="",G1461=""),"",J1461-G1461)</f>
        <v/>
      </c>
      <c r="M1461" s="59"/>
      <c r="N1461" s="59"/>
      <c r="O1461" s="59"/>
      <c r="P1461" s="59"/>
      <c r="Q1461" s="59"/>
      <c r="R1461" s="60">
        <f>IF(AND(P1461="",Q1461=""),"",N(P1461)+N(Q1461))</f>
        <v/>
      </c>
      <c r="S1461" s="59"/>
      <c r="T1461" s="59"/>
      <c r="U1461" s="62">
        <f>IF(OR(R1461="",S1461="",T1461=""),"",IF(S1461+T1461=0,"",R1461/(S1461+T1461)))</f>
        <v/>
      </c>
      <c r="V1461" s="63"/>
      <c r="W1461" s="64"/>
      <c r="X1461" s="63"/>
    </row>
    <row r="1462" spans="2:24">
      <c r="B1462" s="58"/>
      <c r="C1462" s="59"/>
      <c r="D1462" s="59"/>
      <c r="E1462" s="59"/>
      <c r="F1462" s="59"/>
      <c r="G1462" s="60">
        <f>IF(OR(E1462="",F1462="",C1462="",D1462=""),"",IF(C1462+D1462=0,"",(E1462*C1462+F1462*D1462)/(C1462+D1462)))</f>
        <v/>
      </c>
      <c r="H1462" s="59"/>
      <c r="I1462" s="60">
        <f>IF(OR(H1462="",E1462="",C1462="",D1462=""),"",IF(C1462+D1462=0,"",(H1462*D1462+E1462*C1462)/(C1462+D1462)))</f>
        <v/>
      </c>
      <c r="J1462" s="59"/>
      <c r="K1462" s="61">
        <f>IF(OR(J1462="",I1462=""),"",J1462-I1462)</f>
        <v/>
      </c>
      <c r="L1462" s="61">
        <f>IF(OR(J1462="",G1462=""),"",J1462-G1462)</f>
        <v/>
      </c>
      <c r="M1462" s="59"/>
      <c r="N1462" s="59"/>
      <c r="O1462" s="59"/>
      <c r="P1462" s="59"/>
      <c r="Q1462" s="59"/>
      <c r="R1462" s="60">
        <f>IF(AND(P1462="",Q1462=""),"",N(P1462)+N(Q1462))</f>
        <v/>
      </c>
      <c r="S1462" s="59"/>
      <c r="T1462" s="59"/>
      <c r="U1462" s="62">
        <f>IF(OR(R1462="",S1462="",T1462=""),"",IF(S1462+T1462=0,"",R1462/(S1462+T1462)))</f>
        <v/>
      </c>
      <c r="V1462" s="63"/>
      <c r="W1462" s="64"/>
      <c r="X1462" s="63"/>
    </row>
    <row r="1463" spans="2:24">
      <c r="B1463" s="58"/>
      <c r="C1463" s="59"/>
      <c r="D1463" s="59"/>
      <c r="E1463" s="59"/>
      <c r="F1463" s="59"/>
      <c r="G1463" s="60">
        <f>IF(OR(E1463="",F1463="",C1463="",D1463=""),"",IF(C1463+D1463=0,"",(E1463*C1463+F1463*D1463)/(C1463+D1463)))</f>
        <v/>
      </c>
      <c r="H1463" s="59"/>
      <c r="I1463" s="60">
        <f>IF(OR(H1463="",E1463="",C1463="",D1463=""),"",IF(C1463+D1463=0,"",(H1463*D1463+E1463*C1463)/(C1463+D1463)))</f>
        <v/>
      </c>
      <c r="J1463" s="59"/>
      <c r="K1463" s="61">
        <f>IF(OR(J1463="",I1463=""),"",J1463-I1463)</f>
        <v/>
      </c>
      <c r="L1463" s="61">
        <f>IF(OR(J1463="",G1463=""),"",J1463-G1463)</f>
        <v/>
      </c>
      <c r="M1463" s="59"/>
      <c r="N1463" s="59"/>
      <c r="O1463" s="59"/>
      <c r="P1463" s="59"/>
      <c r="Q1463" s="59"/>
      <c r="R1463" s="60">
        <f>IF(AND(P1463="",Q1463=""),"",N(P1463)+N(Q1463))</f>
        <v/>
      </c>
      <c r="S1463" s="59"/>
      <c r="T1463" s="59"/>
      <c r="U1463" s="62">
        <f>IF(OR(R1463="",S1463="",T1463=""),"",IF(S1463+T1463=0,"",R1463/(S1463+T1463)))</f>
        <v/>
      </c>
      <c r="V1463" s="63"/>
      <c r="W1463" s="64"/>
      <c r="X1463" s="63"/>
    </row>
    <row r="1464" spans="2:24">
      <c r="B1464" s="58"/>
      <c r="C1464" s="59"/>
      <c r="D1464" s="59"/>
      <c r="E1464" s="59"/>
      <c r="F1464" s="59"/>
      <c r="G1464" s="60">
        <f>IF(OR(E1464="",F1464="",C1464="",D1464=""),"",IF(C1464+D1464=0,"",(E1464*C1464+F1464*D1464)/(C1464+D1464)))</f>
        <v/>
      </c>
      <c r="H1464" s="59"/>
      <c r="I1464" s="60">
        <f>IF(OR(H1464="",E1464="",C1464="",D1464=""),"",IF(C1464+D1464=0,"",(H1464*D1464+E1464*C1464)/(C1464+D1464)))</f>
        <v/>
      </c>
      <c r="J1464" s="59"/>
      <c r="K1464" s="61">
        <f>IF(OR(J1464="",I1464=""),"",J1464-I1464)</f>
        <v/>
      </c>
      <c r="L1464" s="61">
        <f>IF(OR(J1464="",G1464=""),"",J1464-G1464)</f>
        <v/>
      </c>
      <c r="M1464" s="59"/>
      <c r="N1464" s="59"/>
      <c r="O1464" s="59"/>
      <c r="P1464" s="59"/>
      <c r="Q1464" s="59"/>
      <c r="R1464" s="60">
        <f>IF(AND(P1464="",Q1464=""),"",N(P1464)+N(Q1464))</f>
        <v/>
      </c>
      <c r="S1464" s="59"/>
      <c r="T1464" s="59"/>
      <c r="U1464" s="62">
        <f>IF(OR(R1464="",S1464="",T1464=""),"",IF(S1464+T1464=0,"",R1464/(S1464+T1464)))</f>
        <v/>
      </c>
      <c r="V1464" s="63"/>
      <c r="W1464" s="64"/>
      <c r="X1464" s="63"/>
    </row>
    <row r="1465" spans="2:24">
      <c r="B1465" s="58"/>
      <c r="C1465" s="59"/>
      <c r="D1465" s="59"/>
      <c r="E1465" s="59"/>
      <c r="F1465" s="59"/>
      <c r="G1465" s="60">
        <f>IF(OR(E1465="",F1465="",C1465="",D1465=""),"",IF(C1465+D1465=0,"",(E1465*C1465+F1465*D1465)/(C1465+D1465)))</f>
        <v/>
      </c>
      <c r="H1465" s="59"/>
      <c r="I1465" s="60">
        <f>IF(OR(H1465="",E1465="",C1465="",D1465=""),"",IF(C1465+D1465=0,"",(H1465*D1465+E1465*C1465)/(C1465+D1465)))</f>
        <v/>
      </c>
      <c r="J1465" s="59"/>
      <c r="K1465" s="61">
        <f>IF(OR(J1465="",I1465=""),"",J1465-I1465)</f>
        <v/>
      </c>
      <c r="L1465" s="61">
        <f>IF(OR(J1465="",G1465=""),"",J1465-G1465)</f>
        <v/>
      </c>
      <c r="M1465" s="59"/>
      <c r="N1465" s="59"/>
      <c r="O1465" s="59"/>
      <c r="P1465" s="59"/>
      <c r="Q1465" s="59"/>
      <c r="R1465" s="60">
        <f>IF(AND(P1465="",Q1465=""),"",N(P1465)+N(Q1465))</f>
        <v/>
      </c>
      <c r="S1465" s="59"/>
      <c r="T1465" s="59"/>
      <c r="U1465" s="62">
        <f>IF(OR(R1465="",S1465="",T1465=""),"",IF(S1465+T1465=0,"",R1465/(S1465+T1465)))</f>
        <v/>
      </c>
      <c r="V1465" s="63"/>
      <c r="W1465" s="64"/>
      <c r="X1465" s="63"/>
    </row>
    <row r="1466" spans="2:24">
      <c r="B1466" s="58"/>
      <c r="C1466" s="59"/>
      <c r="D1466" s="59"/>
      <c r="E1466" s="59"/>
      <c r="F1466" s="59"/>
      <c r="G1466" s="60">
        <f>IF(OR(E1466="",F1466="",C1466="",D1466=""),"",IF(C1466+D1466=0,"",(E1466*C1466+F1466*D1466)/(C1466+D1466)))</f>
        <v/>
      </c>
      <c r="H1466" s="59"/>
      <c r="I1466" s="60">
        <f>IF(OR(H1466="",E1466="",C1466="",D1466=""),"",IF(C1466+D1466=0,"",(H1466*D1466+E1466*C1466)/(C1466+D1466)))</f>
        <v/>
      </c>
      <c r="J1466" s="59"/>
      <c r="K1466" s="61">
        <f>IF(OR(J1466="",I1466=""),"",J1466-I1466)</f>
        <v/>
      </c>
      <c r="L1466" s="61">
        <f>IF(OR(J1466="",G1466=""),"",J1466-G1466)</f>
        <v/>
      </c>
      <c r="M1466" s="59"/>
      <c r="N1466" s="59"/>
      <c r="O1466" s="59"/>
      <c r="P1466" s="59"/>
      <c r="Q1466" s="59"/>
      <c r="R1466" s="60">
        <f>IF(AND(P1466="",Q1466=""),"",N(P1466)+N(Q1466))</f>
        <v/>
      </c>
      <c r="S1466" s="59"/>
      <c r="T1466" s="59"/>
      <c r="U1466" s="62">
        <f>IF(OR(R1466="",S1466="",T1466=""),"",IF(S1466+T1466=0,"",R1466/(S1466+T1466)))</f>
        <v/>
      </c>
      <c r="V1466" s="63"/>
      <c r="W1466" s="64"/>
      <c r="X1466" s="63"/>
    </row>
    <row r="1467" spans="2:24">
      <c r="B1467" s="58"/>
      <c r="C1467" s="59"/>
      <c r="D1467" s="59"/>
      <c r="E1467" s="59"/>
      <c r="F1467" s="59"/>
      <c r="G1467" s="60">
        <f>IF(OR(E1467="",F1467="",C1467="",D1467=""),"",IF(C1467+D1467=0,"",(E1467*C1467+F1467*D1467)/(C1467+D1467)))</f>
        <v/>
      </c>
      <c r="H1467" s="59"/>
      <c r="I1467" s="60">
        <f>IF(OR(H1467="",E1467="",C1467="",D1467=""),"",IF(C1467+D1467=0,"",(H1467*D1467+E1467*C1467)/(C1467+D1467)))</f>
        <v/>
      </c>
      <c r="J1467" s="59"/>
      <c r="K1467" s="61">
        <f>IF(OR(J1467="",I1467=""),"",J1467-I1467)</f>
        <v/>
      </c>
      <c r="L1467" s="61">
        <f>IF(OR(J1467="",G1467=""),"",J1467-G1467)</f>
        <v/>
      </c>
      <c r="M1467" s="59"/>
      <c r="N1467" s="59"/>
      <c r="O1467" s="59"/>
      <c r="P1467" s="59"/>
      <c r="Q1467" s="59"/>
      <c r="R1467" s="60">
        <f>IF(AND(P1467="",Q1467=""),"",N(P1467)+N(Q1467))</f>
        <v/>
      </c>
      <c r="S1467" s="59"/>
      <c r="T1467" s="59"/>
      <c r="U1467" s="62">
        <f>IF(OR(R1467="",S1467="",T1467=""),"",IF(S1467+T1467=0,"",R1467/(S1467+T1467)))</f>
        <v/>
      </c>
      <c r="V1467" s="63"/>
      <c r="W1467" s="64"/>
      <c r="X1467" s="63"/>
    </row>
    <row r="1468" spans="2:24">
      <c r="B1468" s="58"/>
      <c r="C1468" s="59"/>
      <c r="D1468" s="59"/>
      <c r="E1468" s="59"/>
      <c r="F1468" s="59"/>
      <c r="G1468" s="60">
        <f>IF(OR(E1468="",F1468="",C1468="",D1468=""),"",IF(C1468+D1468=0,"",(E1468*C1468+F1468*D1468)/(C1468+D1468)))</f>
        <v/>
      </c>
      <c r="H1468" s="59"/>
      <c r="I1468" s="60">
        <f>IF(OR(H1468="",E1468="",C1468="",D1468=""),"",IF(C1468+D1468=0,"",(H1468*D1468+E1468*C1468)/(C1468+D1468)))</f>
        <v/>
      </c>
      <c r="J1468" s="59"/>
      <c r="K1468" s="61">
        <f>IF(OR(J1468="",I1468=""),"",J1468-I1468)</f>
        <v/>
      </c>
      <c r="L1468" s="61">
        <f>IF(OR(J1468="",G1468=""),"",J1468-G1468)</f>
        <v/>
      </c>
      <c r="M1468" s="59"/>
      <c r="N1468" s="59"/>
      <c r="O1468" s="59"/>
      <c r="P1468" s="59"/>
      <c r="Q1468" s="59"/>
      <c r="R1468" s="60">
        <f>IF(AND(P1468="",Q1468=""),"",N(P1468)+N(Q1468))</f>
        <v/>
      </c>
      <c r="S1468" s="59"/>
      <c r="T1468" s="59"/>
      <c r="U1468" s="62">
        <f>IF(OR(R1468="",S1468="",T1468=""),"",IF(S1468+T1468=0,"",R1468/(S1468+T1468)))</f>
        <v/>
      </c>
      <c r="V1468" s="63"/>
      <c r="W1468" s="64"/>
      <c r="X1468" s="63"/>
    </row>
    <row r="1469" spans="2:24">
      <c r="B1469" s="58"/>
      <c r="C1469" s="59"/>
      <c r="D1469" s="59"/>
      <c r="E1469" s="59"/>
      <c r="F1469" s="59"/>
      <c r="G1469" s="60">
        <f>IF(OR(E1469="",F1469="",C1469="",D1469=""),"",IF(C1469+D1469=0,"",(E1469*C1469+F1469*D1469)/(C1469+D1469)))</f>
        <v/>
      </c>
      <c r="H1469" s="59"/>
      <c r="I1469" s="60">
        <f>IF(OR(H1469="",E1469="",C1469="",D1469=""),"",IF(C1469+D1469=0,"",(H1469*D1469+E1469*C1469)/(C1469+D1469)))</f>
        <v/>
      </c>
      <c r="J1469" s="59"/>
      <c r="K1469" s="61">
        <f>IF(OR(J1469="",I1469=""),"",J1469-I1469)</f>
        <v/>
      </c>
      <c r="L1469" s="61">
        <f>IF(OR(J1469="",G1469=""),"",J1469-G1469)</f>
        <v/>
      </c>
      <c r="M1469" s="59"/>
      <c r="N1469" s="59"/>
      <c r="O1469" s="59"/>
      <c r="P1469" s="59"/>
      <c r="Q1469" s="59"/>
      <c r="R1469" s="60">
        <f>IF(AND(P1469="",Q1469=""),"",N(P1469)+N(Q1469))</f>
        <v/>
      </c>
      <c r="S1469" s="59"/>
      <c r="T1469" s="59"/>
      <c r="U1469" s="62">
        <f>IF(OR(R1469="",S1469="",T1469=""),"",IF(S1469+T1469=0,"",R1469/(S1469+T1469)))</f>
        <v/>
      </c>
      <c r="V1469" s="63"/>
      <c r="W1469" s="64"/>
      <c r="X1469" s="63"/>
    </row>
    <row r="1470" spans="2:24">
      <c r="B1470" s="58"/>
      <c r="C1470" s="59"/>
      <c r="D1470" s="59"/>
      <c r="E1470" s="59"/>
      <c r="F1470" s="59"/>
      <c r="G1470" s="60">
        <f>IF(OR(E1470="",F1470="",C1470="",D1470=""),"",IF(C1470+D1470=0,"",(E1470*C1470+F1470*D1470)/(C1470+D1470)))</f>
        <v/>
      </c>
      <c r="H1470" s="59"/>
      <c r="I1470" s="60">
        <f>IF(OR(H1470="",E1470="",C1470="",D1470=""),"",IF(C1470+D1470=0,"",(H1470*D1470+E1470*C1470)/(C1470+D1470)))</f>
        <v/>
      </c>
      <c r="J1470" s="59"/>
      <c r="K1470" s="61">
        <f>IF(OR(J1470="",I1470=""),"",J1470-I1470)</f>
        <v/>
      </c>
      <c r="L1470" s="61">
        <f>IF(OR(J1470="",G1470=""),"",J1470-G1470)</f>
        <v/>
      </c>
      <c r="M1470" s="59"/>
      <c r="N1470" s="59"/>
      <c r="O1470" s="59"/>
      <c r="P1470" s="59"/>
      <c r="Q1470" s="59"/>
      <c r="R1470" s="60">
        <f>IF(AND(P1470="",Q1470=""),"",N(P1470)+N(Q1470))</f>
        <v/>
      </c>
      <c r="S1470" s="59"/>
      <c r="T1470" s="59"/>
      <c r="U1470" s="62">
        <f>IF(OR(R1470="",S1470="",T1470=""),"",IF(S1470+T1470=0,"",R1470/(S1470+T1470)))</f>
        <v/>
      </c>
      <c r="V1470" s="63"/>
      <c r="W1470" s="64"/>
      <c r="X1470" s="63"/>
    </row>
    <row r="1471" spans="2:24">
      <c r="B1471" s="58"/>
      <c r="C1471" s="59"/>
      <c r="D1471" s="59"/>
      <c r="E1471" s="59"/>
      <c r="F1471" s="59"/>
      <c r="G1471" s="60">
        <f>IF(OR(E1471="",F1471="",C1471="",D1471=""),"",IF(C1471+D1471=0,"",(E1471*C1471+F1471*D1471)/(C1471+D1471)))</f>
        <v/>
      </c>
      <c r="H1471" s="59"/>
      <c r="I1471" s="60">
        <f>IF(OR(H1471="",E1471="",C1471="",D1471=""),"",IF(C1471+D1471=0,"",(H1471*D1471+E1471*C1471)/(C1471+D1471)))</f>
        <v/>
      </c>
      <c r="J1471" s="59"/>
      <c r="K1471" s="61">
        <f>IF(OR(J1471="",I1471=""),"",J1471-I1471)</f>
        <v/>
      </c>
      <c r="L1471" s="61">
        <f>IF(OR(J1471="",G1471=""),"",J1471-G1471)</f>
        <v/>
      </c>
      <c r="M1471" s="59"/>
      <c r="N1471" s="59"/>
      <c r="O1471" s="59"/>
      <c r="P1471" s="59"/>
      <c r="Q1471" s="59"/>
      <c r="R1471" s="60">
        <f>IF(AND(P1471="",Q1471=""),"",N(P1471)+N(Q1471))</f>
        <v/>
      </c>
      <c r="S1471" s="59"/>
      <c r="T1471" s="59"/>
      <c r="U1471" s="62">
        <f>IF(OR(R1471="",S1471="",T1471=""),"",IF(S1471+T1471=0,"",R1471/(S1471+T1471)))</f>
        <v/>
      </c>
      <c r="V1471" s="63"/>
      <c r="W1471" s="64"/>
      <c r="X1471" s="63"/>
    </row>
    <row r="1472" spans="2:24">
      <c r="B1472" s="58"/>
      <c r="C1472" s="59"/>
      <c r="D1472" s="59"/>
      <c r="E1472" s="59"/>
      <c r="F1472" s="59"/>
      <c r="G1472" s="60">
        <f>IF(OR(E1472="",F1472="",C1472="",D1472=""),"",IF(C1472+D1472=0,"",(E1472*C1472+F1472*D1472)/(C1472+D1472)))</f>
        <v/>
      </c>
      <c r="H1472" s="59"/>
      <c r="I1472" s="60">
        <f>IF(OR(H1472="",E1472="",C1472="",D1472=""),"",IF(C1472+D1472=0,"",(H1472*D1472+E1472*C1472)/(C1472+D1472)))</f>
        <v/>
      </c>
      <c r="J1472" s="59"/>
      <c r="K1472" s="61">
        <f>IF(OR(J1472="",I1472=""),"",J1472-I1472)</f>
        <v/>
      </c>
      <c r="L1472" s="61">
        <f>IF(OR(J1472="",G1472=""),"",J1472-G1472)</f>
        <v/>
      </c>
      <c r="M1472" s="59"/>
      <c r="N1472" s="59"/>
      <c r="O1472" s="59"/>
      <c r="P1472" s="59"/>
      <c r="Q1472" s="59"/>
      <c r="R1472" s="60">
        <f>IF(AND(P1472="",Q1472=""),"",N(P1472)+N(Q1472))</f>
        <v/>
      </c>
      <c r="S1472" s="59"/>
      <c r="T1472" s="59"/>
      <c r="U1472" s="62">
        <f>IF(OR(R1472="",S1472="",T1472=""),"",IF(S1472+T1472=0,"",R1472/(S1472+T1472)))</f>
        <v/>
      </c>
      <c r="V1472" s="63"/>
      <c r="W1472" s="64"/>
      <c r="X1472" s="63"/>
    </row>
    <row r="1473" spans="2:24">
      <c r="B1473" s="58"/>
      <c r="C1473" s="59"/>
      <c r="D1473" s="59"/>
      <c r="E1473" s="59"/>
      <c r="F1473" s="59"/>
      <c r="G1473" s="60">
        <f>IF(OR(E1473="",F1473="",C1473="",D1473=""),"",IF(C1473+D1473=0,"",(E1473*C1473+F1473*D1473)/(C1473+D1473)))</f>
        <v/>
      </c>
      <c r="H1473" s="59"/>
      <c r="I1473" s="60">
        <f>IF(OR(H1473="",E1473="",C1473="",D1473=""),"",IF(C1473+D1473=0,"",(H1473*D1473+E1473*C1473)/(C1473+D1473)))</f>
        <v/>
      </c>
      <c r="J1473" s="59"/>
      <c r="K1473" s="61">
        <f>IF(OR(J1473="",I1473=""),"",J1473-I1473)</f>
        <v/>
      </c>
      <c r="L1473" s="61">
        <f>IF(OR(J1473="",G1473=""),"",J1473-G1473)</f>
        <v/>
      </c>
      <c r="M1473" s="59"/>
      <c r="N1473" s="59"/>
      <c r="O1473" s="59"/>
      <c r="P1473" s="59"/>
      <c r="Q1473" s="59"/>
      <c r="R1473" s="60">
        <f>IF(AND(P1473="",Q1473=""),"",N(P1473)+N(Q1473))</f>
        <v/>
      </c>
      <c r="S1473" s="59"/>
      <c r="T1473" s="59"/>
      <c r="U1473" s="62">
        <f>IF(OR(R1473="",S1473="",T1473=""),"",IF(S1473+T1473=0,"",R1473/(S1473+T1473)))</f>
        <v/>
      </c>
      <c r="V1473" s="63"/>
      <c r="W1473" s="64"/>
      <c r="X1473" s="63"/>
    </row>
    <row r="1474" spans="2:24">
      <c r="B1474" s="58"/>
      <c r="C1474" s="59"/>
      <c r="D1474" s="59"/>
      <c r="E1474" s="59"/>
      <c r="F1474" s="59"/>
      <c r="G1474" s="60">
        <f>IF(OR(E1474="",F1474="",C1474="",D1474=""),"",IF(C1474+D1474=0,"",(E1474*C1474+F1474*D1474)/(C1474+D1474)))</f>
        <v/>
      </c>
      <c r="H1474" s="59"/>
      <c r="I1474" s="60">
        <f>IF(OR(H1474="",E1474="",C1474="",D1474=""),"",IF(C1474+D1474=0,"",(H1474*D1474+E1474*C1474)/(C1474+D1474)))</f>
        <v/>
      </c>
      <c r="J1474" s="59"/>
      <c r="K1474" s="61">
        <f>IF(OR(J1474="",I1474=""),"",J1474-I1474)</f>
        <v/>
      </c>
      <c r="L1474" s="61">
        <f>IF(OR(J1474="",G1474=""),"",J1474-G1474)</f>
        <v/>
      </c>
      <c r="M1474" s="59"/>
      <c r="N1474" s="59"/>
      <c r="O1474" s="59"/>
      <c r="P1474" s="59"/>
      <c r="Q1474" s="59"/>
      <c r="R1474" s="60">
        <f>IF(AND(P1474="",Q1474=""),"",N(P1474)+N(Q1474))</f>
        <v/>
      </c>
      <c r="S1474" s="59"/>
      <c r="T1474" s="59"/>
      <c r="U1474" s="62">
        <f>IF(OR(R1474="",S1474="",T1474=""),"",IF(S1474+T1474=0,"",R1474/(S1474+T1474)))</f>
        <v/>
      </c>
      <c r="V1474" s="63"/>
      <c r="W1474" s="64"/>
      <c r="X1474" s="63"/>
    </row>
    <row r="1475" spans="2:24">
      <c r="B1475" s="58"/>
      <c r="C1475" s="59"/>
      <c r="D1475" s="59"/>
      <c r="E1475" s="59"/>
      <c r="F1475" s="59"/>
      <c r="G1475" s="60">
        <f>IF(OR(E1475="",F1475="",C1475="",D1475=""),"",IF(C1475+D1475=0,"",(E1475*C1475+F1475*D1475)/(C1475+D1475)))</f>
        <v/>
      </c>
      <c r="H1475" s="59"/>
      <c r="I1475" s="60">
        <f>IF(OR(H1475="",E1475="",C1475="",D1475=""),"",IF(C1475+D1475=0,"",(H1475*D1475+E1475*C1475)/(C1475+D1475)))</f>
        <v/>
      </c>
      <c r="J1475" s="59"/>
      <c r="K1475" s="61">
        <f>IF(OR(J1475="",I1475=""),"",J1475-I1475)</f>
        <v/>
      </c>
      <c r="L1475" s="61">
        <f>IF(OR(J1475="",G1475=""),"",J1475-G1475)</f>
        <v/>
      </c>
      <c r="M1475" s="59"/>
      <c r="N1475" s="59"/>
      <c r="O1475" s="59"/>
      <c r="P1475" s="59"/>
      <c r="Q1475" s="59"/>
      <c r="R1475" s="60">
        <f>IF(AND(P1475="",Q1475=""),"",N(P1475)+N(Q1475))</f>
        <v/>
      </c>
      <c r="S1475" s="59"/>
      <c r="T1475" s="59"/>
      <c r="U1475" s="62">
        <f>IF(OR(R1475="",S1475="",T1475=""),"",IF(S1475+T1475=0,"",R1475/(S1475+T1475)))</f>
        <v/>
      </c>
      <c r="V1475" s="63"/>
      <c r="W1475" s="64"/>
      <c r="X1475" s="63"/>
    </row>
    <row r="1476" spans="2:24">
      <c r="B1476" s="58"/>
      <c r="C1476" s="59"/>
      <c r="D1476" s="59"/>
      <c r="E1476" s="59"/>
      <c r="F1476" s="59"/>
      <c r="G1476" s="60">
        <f>IF(OR(E1476="",F1476="",C1476="",D1476=""),"",IF(C1476+D1476=0,"",(E1476*C1476+F1476*D1476)/(C1476+D1476)))</f>
        <v/>
      </c>
      <c r="H1476" s="59"/>
      <c r="I1476" s="60">
        <f>IF(OR(H1476="",E1476="",C1476="",D1476=""),"",IF(C1476+D1476=0,"",(H1476*D1476+E1476*C1476)/(C1476+D1476)))</f>
        <v/>
      </c>
      <c r="J1476" s="59"/>
      <c r="K1476" s="61">
        <f>IF(OR(J1476="",I1476=""),"",J1476-I1476)</f>
        <v/>
      </c>
      <c r="L1476" s="61">
        <f>IF(OR(J1476="",G1476=""),"",J1476-G1476)</f>
        <v/>
      </c>
      <c r="M1476" s="59"/>
      <c r="N1476" s="59"/>
      <c r="O1476" s="59"/>
      <c r="P1476" s="59"/>
      <c r="Q1476" s="59"/>
      <c r="R1476" s="60">
        <f>IF(AND(P1476="",Q1476=""),"",N(P1476)+N(Q1476))</f>
        <v/>
      </c>
      <c r="S1476" s="59"/>
      <c r="T1476" s="59"/>
      <c r="U1476" s="62">
        <f>IF(OR(R1476="",S1476="",T1476=""),"",IF(S1476+T1476=0,"",R1476/(S1476+T1476)))</f>
        <v/>
      </c>
      <c r="V1476" s="63"/>
      <c r="W1476" s="64"/>
      <c r="X1476" s="63"/>
    </row>
    <row r="1477" spans="2:24">
      <c r="B1477" s="58"/>
      <c r="C1477" s="59"/>
      <c r="D1477" s="59"/>
      <c r="E1477" s="59"/>
      <c r="F1477" s="59"/>
      <c r="G1477" s="60">
        <f>IF(OR(E1477="",F1477="",C1477="",D1477=""),"",IF(C1477+D1477=0,"",(E1477*C1477+F1477*D1477)/(C1477+D1477)))</f>
        <v/>
      </c>
      <c r="H1477" s="59"/>
      <c r="I1477" s="60">
        <f>IF(OR(H1477="",E1477="",C1477="",D1477=""),"",IF(C1477+D1477=0,"",(H1477*D1477+E1477*C1477)/(C1477+D1477)))</f>
        <v/>
      </c>
      <c r="J1477" s="59"/>
      <c r="K1477" s="61">
        <f>IF(OR(J1477="",I1477=""),"",J1477-I1477)</f>
        <v/>
      </c>
      <c r="L1477" s="61">
        <f>IF(OR(J1477="",G1477=""),"",J1477-G1477)</f>
        <v/>
      </c>
      <c r="M1477" s="59"/>
      <c r="N1477" s="59"/>
      <c r="O1477" s="59"/>
      <c r="P1477" s="59"/>
      <c r="Q1477" s="59"/>
      <c r="R1477" s="60">
        <f>IF(AND(P1477="",Q1477=""),"",N(P1477)+N(Q1477))</f>
        <v/>
      </c>
      <c r="S1477" s="59"/>
      <c r="T1477" s="59"/>
      <c r="U1477" s="62">
        <f>IF(OR(R1477="",S1477="",T1477=""),"",IF(S1477+T1477=0,"",R1477/(S1477+T1477)))</f>
        <v/>
      </c>
      <c r="V1477" s="63"/>
      <c r="W1477" s="64"/>
      <c r="X1477" s="63"/>
    </row>
    <row r="1478" spans="2:24">
      <c r="B1478" s="58"/>
      <c r="C1478" s="59"/>
      <c r="D1478" s="59"/>
      <c r="E1478" s="59"/>
      <c r="F1478" s="59"/>
      <c r="G1478" s="60">
        <f>IF(OR(E1478="",F1478="",C1478="",D1478=""),"",IF(C1478+D1478=0,"",(E1478*C1478+F1478*D1478)/(C1478+D1478)))</f>
        <v/>
      </c>
      <c r="H1478" s="59"/>
      <c r="I1478" s="60">
        <f>IF(OR(H1478="",E1478="",C1478="",D1478=""),"",IF(C1478+D1478=0,"",(H1478*D1478+E1478*C1478)/(C1478+D1478)))</f>
        <v/>
      </c>
      <c r="J1478" s="59"/>
      <c r="K1478" s="61">
        <f>IF(OR(J1478="",I1478=""),"",J1478-I1478)</f>
        <v/>
      </c>
      <c r="L1478" s="61">
        <f>IF(OR(J1478="",G1478=""),"",J1478-G1478)</f>
        <v/>
      </c>
      <c r="M1478" s="59"/>
      <c r="N1478" s="59"/>
      <c r="O1478" s="59"/>
      <c r="P1478" s="59"/>
      <c r="Q1478" s="59"/>
      <c r="R1478" s="60">
        <f>IF(AND(P1478="",Q1478=""),"",N(P1478)+N(Q1478))</f>
        <v/>
      </c>
      <c r="S1478" s="59"/>
      <c r="T1478" s="59"/>
      <c r="U1478" s="62">
        <f>IF(OR(R1478="",S1478="",T1478=""),"",IF(S1478+T1478=0,"",R1478/(S1478+T1478)))</f>
        <v/>
      </c>
      <c r="V1478" s="63"/>
      <c r="W1478" s="64"/>
      <c r="X1478" s="63"/>
    </row>
    <row r="1479" spans="2:24">
      <c r="B1479" s="58"/>
      <c r="C1479" s="59"/>
      <c r="D1479" s="59"/>
      <c r="E1479" s="59"/>
      <c r="F1479" s="59"/>
      <c r="G1479" s="60">
        <f>IF(OR(E1479="",F1479="",C1479="",D1479=""),"",IF(C1479+D1479=0,"",(E1479*C1479+F1479*D1479)/(C1479+D1479)))</f>
        <v/>
      </c>
      <c r="H1479" s="59"/>
      <c r="I1479" s="60">
        <f>IF(OR(H1479="",E1479="",C1479="",D1479=""),"",IF(C1479+D1479=0,"",(H1479*D1479+E1479*C1479)/(C1479+D1479)))</f>
        <v/>
      </c>
      <c r="J1479" s="59"/>
      <c r="K1479" s="61">
        <f>IF(OR(J1479="",I1479=""),"",J1479-I1479)</f>
        <v/>
      </c>
      <c r="L1479" s="61">
        <f>IF(OR(J1479="",G1479=""),"",J1479-G1479)</f>
        <v/>
      </c>
      <c r="M1479" s="59"/>
      <c r="N1479" s="59"/>
      <c r="O1479" s="59"/>
      <c r="P1479" s="59"/>
      <c r="Q1479" s="59"/>
      <c r="R1479" s="60">
        <f>IF(AND(P1479="",Q1479=""),"",N(P1479)+N(Q1479))</f>
        <v/>
      </c>
      <c r="S1479" s="59"/>
      <c r="T1479" s="59"/>
      <c r="U1479" s="62">
        <f>IF(OR(R1479="",S1479="",T1479=""),"",IF(S1479+T1479=0,"",R1479/(S1479+T1479)))</f>
        <v/>
      </c>
      <c r="V1479" s="63"/>
      <c r="W1479" s="64"/>
      <c r="X1479" s="63"/>
    </row>
    <row r="1480" spans="2:24">
      <c r="B1480" s="58"/>
      <c r="C1480" s="59"/>
      <c r="D1480" s="59"/>
      <c r="E1480" s="59"/>
      <c r="F1480" s="59"/>
      <c r="G1480" s="60">
        <f>IF(OR(E1480="",F1480="",C1480="",D1480=""),"",IF(C1480+D1480=0,"",(E1480*C1480+F1480*D1480)/(C1480+D1480)))</f>
        <v/>
      </c>
      <c r="H1480" s="59"/>
      <c r="I1480" s="60">
        <f>IF(OR(H1480="",E1480="",C1480="",D1480=""),"",IF(C1480+D1480=0,"",(H1480*D1480+E1480*C1480)/(C1480+D1480)))</f>
        <v/>
      </c>
      <c r="J1480" s="59"/>
      <c r="K1480" s="61">
        <f>IF(OR(J1480="",I1480=""),"",J1480-I1480)</f>
        <v/>
      </c>
      <c r="L1480" s="61">
        <f>IF(OR(J1480="",G1480=""),"",J1480-G1480)</f>
        <v/>
      </c>
      <c r="M1480" s="59"/>
      <c r="N1480" s="59"/>
      <c r="O1480" s="59"/>
      <c r="P1480" s="59"/>
      <c r="Q1480" s="59"/>
      <c r="R1480" s="60">
        <f>IF(AND(P1480="",Q1480=""),"",N(P1480)+N(Q1480))</f>
        <v/>
      </c>
      <c r="S1480" s="59"/>
      <c r="T1480" s="59"/>
      <c r="U1480" s="62">
        <f>IF(OR(R1480="",S1480="",T1480=""),"",IF(S1480+T1480=0,"",R1480/(S1480+T1480)))</f>
        <v/>
      </c>
      <c r="V1480" s="63"/>
      <c r="W1480" s="64"/>
      <c r="X1480" s="63"/>
    </row>
    <row r="1481" spans="2:24">
      <c r="B1481" s="58"/>
      <c r="C1481" s="59"/>
      <c r="D1481" s="59"/>
      <c r="E1481" s="59"/>
      <c r="F1481" s="59"/>
      <c r="G1481" s="60">
        <f>IF(OR(E1481="",F1481="",C1481="",D1481=""),"",IF(C1481+D1481=0,"",(E1481*C1481+F1481*D1481)/(C1481+D1481)))</f>
        <v/>
      </c>
      <c r="H1481" s="59"/>
      <c r="I1481" s="60">
        <f>IF(OR(H1481="",E1481="",C1481="",D1481=""),"",IF(C1481+D1481=0,"",(H1481*D1481+E1481*C1481)/(C1481+D1481)))</f>
        <v/>
      </c>
      <c r="J1481" s="59"/>
      <c r="K1481" s="61">
        <f>IF(OR(J1481="",I1481=""),"",J1481-I1481)</f>
        <v/>
      </c>
      <c r="L1481" s="61">
        <f>IF(OR(J1481="",G1481=""),"",J1481-G1481)</f>
        <v/>
      </c>
      <c r="M1481" s="59"/>
      <c r="N1481" s="59"/>
      <c r="O1481" s="59"/>
      <c r="P1481" s="59"/>
      <c r="Q1481" s="59"/>
      <c r="R1481" s="60">
        <f>IF(AND(P1481="",Q1481=""),"",N(P1481)+N(Q1481))</f>
        <v/>
      </c>
      <c r="S1481" s="59"/>
      <c r="T1481" s="59"/>
      <c r="U1481" s="62">
        <f>IF(OR(R1481="",S1481="",T1481=""),"",IF(S1481+T1481=0,"",R1481/(S1481+T1481)))</f>
        <v/>
      </c>
      <c r="V1481" s="63"/>
      <c r="W1481" s="64"/>
      <c r="X1481" s="63"/>
    </row>
    <row r="1482" spans="2:24">
      <c r="B1482" s="58"/>
      <c r="C1482" s="59"/>
      <c r="D1482" s="59"/>
      <c r="E1482" s="59"/>
      <c r="F1482" s="59"/>
      <c r="G1482" s="60">
        <f>IF(OR(E1482="",F1482="",C1482="",D1482=""),"",IF(C1482+D1482=0,"",(E1482*C1482+F1482*D1482)/(C1482+D1482)))</f>
        <v/>
      </c>
      <c r="H1482" s="59"/>
      <c r="I1482" s="60">
        <f>IF(OR(H1482="",E1482="",C1482="",D1482=""),"",IF(C1482+D1482=0,"",(H1482*D1482+E1482*C1482)/(C1482+D1482)))</f>
        <v/>
      </c>
      <c r="J1482" s="59"/>
      <c r="K1482" s="61">
        <f>IF(OR(J1482="",I1482=""),"",J1482-I1482)</f>
        <v/>
      </c>
      <c r="L1482" s="61">
        <f>IF(OR(J1482="",G1482=""),"",J1482-G1482)</f>
        <v/>
      </c>
      <c r="M1482" s="59"/>
      <c r="N1482" s="59"/>
      <c r="O1482" s="59"/>
      <c r="P1482" s="59"/>
      <c r="Q1482" s="59"/>
      <c r="R1482" s="60">
        <f>IF(AND(P1482="",Q1482=""),"",N(P1482)+N(Q1482))</f>
        <v/>
      </c>
      <c r="S1482" s="59"/>
      <c r="T1482" s="59"/>
      <c r="U1482" s="62">
        <f>IF(OR(R1482="",S1482="",T1482=""),"",IF(S1482+T1482=0,"",R1482/(S1482+T1482)))</f>
        <v/>
      </c>
      <c r="V1482" s="63"/>
      <c r="W1482" s="64"/>
      <c r="X1482" s="63"/>
    </row>
    <row r="1483" spans="2:24">
      <c r="B1483" s="58"/>
      <c r="C1483" s="59"/>
      <c r="D1483" s="59"/>
      <c r="E1483" s="59"/>
      <c r="F1483" s="59"/>
      <c r="G1483" s="60">
        <f>IF(OR(E1483="",F1483="",C1483="",D1483=""),"",IF(C1483+D1483=0,"",(E1483*C1483+F1483*D1483)/(C1483+D1483)))</f>
        <v/>
      </c>
      <c r="H1483" s="59"/>
      <c r="I1483" s="60">
        <f>IF(OR(H1483="",E1483="",C1483="",D1483=""),"",IF(C1483+D1483=0,"",(H1483*D1483+E1483*C1483)/(C1483+D1483)))</f>
        <v/>
      </c>
      <c r="J1483" s="59"/>
      <c r="K1483" s="61">
        <f>IF(OR(J1483="",I1483=""),"",J1483-I1483)</f>
        <v/>
      </c>
      <c r="L1483" s="61">
        <f>IF(OR(J1483="",G1483=""),"",J1483-G1483)</f>
        <v/>
      </c>
      <c r="M1483" s="59"/>
      <c r="N1483" s="59"/>
      <c r="O1483" s="59"/>
      <c r="P1483" s="59"/>
      <c r="Q1483" s="59"/>
      <c r="R1483" s="60">
        <f>IF(AND(P1483="",Q1483=""),"",N(P1483)+N(Q1483))</f>
        <v/>
      </c>
      <c r="S1483" s="59"/>
      <c r="T1483" s="59"/>
      <c r="U1483" s="62">
        <f>IF(OR(R1483="",S1483="",T1483=""),"",IF(S1483+T1483=0,"",R1483/(S1483+T1483)))</f>
        <v/>
      </c>
      <c r="V1483" s="63"/>
      <c r="W1483" s="64"/>
      <c r="X1483" s="63"/>
    </row>
    <row r="1484" spans="2:24">
      <c r="B1484" s="58"/>
      <c r="C1484" s="59"/>
      <c r="D1484" s="59"/>
      <c r="E1484" s="59"/>
      <c r="F1484" s="59"/>
      <c r="G1484" s="60">
        <f>IF(OR(E1484="",F1484="",C1484="",D1484=""),"",IF(C1484+D1484=0,"",(E1484*C1484+F1484*D1484)/(C1484+D1484)))</f>
        <v/>
      </c>
      <c r="H1484" s="59"/>
      <c r="I1484" s="60">
        <f>IF(OR(H1484="",E1484="",C1484="",D1484=""),"",IF(C1484+D1484=0,"",(H1484*D1484+E1484*C1484)/(C1484+D1484)))</f>
        <v/>
      </c>
      <c r="J1484" s="59"/>
      <c r="K1484" s="61">
        <f>IF(OR(J1484="",I1484=""),"",J1484-I1484)</f>
        <v/>
      </c>
      <c r="L1484" s="61">
        <f>IF(OR(J1484="",G1484=""),"",J1484-G1484)</f>
        <v/>
      </c>
      <c r="M1484" s="59"/>
      <c r="N1484" s="59"/>
      <c r="O1484" s="59"/>
      <c r="P1484" s="59"/>
      <c r="Q1484" s="59"/>
      <c r="R1484" s="60">
        <f>IF(AND(P1484="",Q1484=""),"",N(P1484)+N(Q1484))</f>
        <v/>
      </c>
      <c r="S1484" s="59"/>
      <c r="T1484" s="59"/>
      <c r="U1484" s="62">
        <f>IF(OR(R1484="",S1484="",T1484=""),"",IF(S1484+T1484=0,"",R1484/(S1484+T1484)))</f>
        <v/>
      </c>
      <c r="V1484" s="63"/>
      <c r="W1484" s="64"/>
      <c r="X1484" s="63"/>
    </row>
    <row r="1485" spans="2:24">
      <c r="B1485" s="58"/>
      <c r="C1485" s="59"/>
      <c r="D1485" s="59"/>
      <c r="E1485" s="59"/>
      <c r="F1485" s="59"/>
      <c r="G1485" s="60">
        <f>IF(OR(E1485="",F1485="",C1485="",D1485=""),"",IF(C1485+D1485=0,"",(E1485*C1485+F1485*D1485)/(C1485+D1485)))</f>
        <v/>
      </c>
      <c r="H1485" s="59"/>
      <c r="I1485" s="60">
        <f>IF(OR(H1485="",E1485="",C1485="",D1485=""),"",IF(C1485+D1485=0,"",(H1485*D1485+E1485*C1485)/(C1485+D1485)))</f>
        <v/>
      </c>
      <c r="J1485" s="59"/>
      <c r="K1485" s="61">
        <f>IF(OR(J1485="",I1485=""),"",J1485-I1485)</f>
        <v/>
      </c>
      <c r="L1485" s="61">
        <f>IF(OR(J1485="",G1485=""),"",J1485-G1485)</f>
        <v/>
      </c>
      <c r="M1485" s="59"/>
      <c r="N1485" s="59"/>
      <c r="O1485" s="59"/>
      <c r="P1485" s="59"/>
      <c r="Q1485" s="59"/>
      <c r="R1485" s="60">
        <f>IF(AND(P1485="",Q1485=""),"",N(P1485)+N(Q1485))</f>
        <v/>
      </c>
      <c r="S1485" s="59"/>
      <c r="T1485" s="59"/>
      <c r="U1485" s="62">
        <f>IF(OR(R1485="",S1485="",T1485=""),"",IF(S1485+T1485=0,"",R1485/(S1485+T1485)))</f>
        <v/>
      </c>
      <c r="V1485" s="63"/>
      <c r="W1485" s="64"/>
      <c r="X1485" s="63"/>
    </row>
    <row r="1486" spans="2:24">
      <c r="B1486" s="58"/>
      <c r="C1486" s="59"/>
      <c r="D1486" s="59"/>
      <c r="E1486" s="59"/>
      <c r="F1486" s="59"/>
      <c r="G1486" s="60">
        <f>IF(OR(E1486="",F1486="",C1486="",D1486=""),"",IF(C1486+D1486=0,"",(E1486*C1486+F1486*D1486)/(C1486+D1486)))</f>
        <v/>
      </c>
      <c r="H1486" s="59"/>
      <c r="I1486" s="60">
        <f>IF(OR(H1486="",E1486="",C1486="",D1486=""),"",IF(C1486+D1486=0,"",(H1486*D1486+E1486*C1486)/(C1486+D1486)))</f>
        <v/>
      </c>
      <c r="J1486" s="59"/>
      <c r="K1486" s="61">
        <f>IF(OR(J1486="",I1486=""),"",J1486-I1486)</f>
        <v/>
      </c>
      <c r="L1486" s="61">
        <f>IF(OR(J1486="",G1486=""),"",J1486-G1486)</f>
        <v/>
      </c>
      <c r="M1486" s="59"/>
      <c r="N1486" s="59"/>
      <c r="O1486" s="59"/>
      <c r="P1486" s="59"/>
      <c r="Q1486" s="59"/>
      <c r="R1486" s="60">
        <f>IF(AND(P1486="",Q1486=""),"",N(P1486)+N(Q1486))</f>
        <v/>
      </c>
      <c r="S1486" s="59"/>
      <c r="T1486" s="59"/>
      <c r="U1486" s="62">
        <f>IF(OR(R1486="",S1486="",T1486=""),"",IF(S1486+T1486=0,"",R1486/(S1486+T1486)))</f>
        <v/>
      </c>
      <c r="V1486" s="63"/>
      <c r="W1486" s="64"/>
      <c r="X1486" s="63"/>
    </row>
    <row r="1487" spans="2:24">
      <c r="B1487" s="58"/>
      <c r="C1487" s="59"/>
      <c r="D1487" s="59"/>
      <c r="E1487" s="59"/>
      <c r="F1487" s="59"/>
      <c r="G1487" s="60">
        <f>IF(OR(E1487="",F1487="",C1487="",D1487=""),"",IF(C1487+D1487=0,"",(E1487*C1487+F1487*D1487)/(C1487+D1487)))</f>
        <v/>
      </c>
      <c r="H1487" s="59"/>
      <c r="I1487" s="60">
        <f>IF(OR(H1487="",E1487="",C1487="",D1487=""),"",IF(C1487+D1487=0,"",(H1487*D1487+E1487*C1487)/(C1487+D1487)))</f>
        <v/>
      </c>
      <c r="J1487" s="59"/>
      <c r="K1487" s="61">
        <f>IF(OR(J1487="",I1487=""),"",J1487-I1487)</f>
        <v/>
      </c>
      <c r="L1487" s="61">
        <f>IF(OR(J1487="",G1487=""),"",J1487-G1487)</f>
        <v/>
      </c>
      <c r="M1487" s="59"/>
      <c r="N1487" s="59"/>
      <c r="O1487" s="59"/>
      <c r="P1487" s="59"/>
      <c r="Q1487" s="59"/>
      <c r="R1487" s="60">
        <f>IF(AND(P1487="",Q1487=""),"",N(P1487)+N(Q1487))</f>
        <v/>
      </c>
      <c r="S1487" s="59"/>
      <c r="T1487" s="59"/>
      <c r="U1487" s="62">
        <f>IF(OR(R1487="",S1487="",T1487=""),"",IF(S1487+T1487=0,"",R1487/(S1487+T1487)))</f>
        <v/>
      </c>
      <c r="V1487" s="63"/>
      <c r="W1487" s="64"/>
      <c r="X1487" s="63"/>
    </row>
    <row r="1488" spans="2:24">
      <c r="B1488" s="58"/>
      <c r="C1488" s="59"/>
      <c r="D1488" s="59"/>
      <c r="E1488" s="59"/>
      <c r="F1488" s="59"/>
      <c r="G1488" s="60">
        <f>IF(OR(E1488="",F1488="",C1488="",D1488=""),"",IF(C1488+D1488=0,"",(E1488*C1488+F1488*D1488)/(C1488+D1488)))</f>
        <v/>
      </c>
      <c r="H1488" s="59"/>
      <c r="I1488" s="60">
        <f>IF(OR(H1488="",E1488="",C1488="",D1488=""),"",IF(C1488+D1488=0,"",(H1488*D1488+E1488*C1488)/(C1488+D1488)))</f>
        <v/>
      </c>
      <c r="J1488" s="59"/>
      <c r="K1488" s="61">
        <f>IF(OR(J1488="",I1488=""),"",J1488-I1488)</f>
        <v/>
      </c>
      <c r="L1488" s="61">
        <f>IF(OR(J1488="",G1488=""),"",J1488-G1488)</f>
        <v/>
      </c>
      <c r="M1488" s="59"/>
      <c r="N1488" s="59"/>
      <c r="O1488" s="59"/>
      <c r="P1488" s="59"/>
      <c r="Q1488" s="59"/>
      <c r="R1488" s="60">
        <f>IF(AND(P1488="",Q1488=""),"",N(P1488)+N(Q1488))</f>
        <v/>
      </c>
      <c r="S1488" s="59"/>
      <c r="T1488" s="59"/>
      <c r="U1488" s="62">
        <f>IF(OR(R1488="",S1488="",T1488=""),"",IF(S1488+T1488=0,"",R1488/(S1488+T1488)))</f>
        <v/>
      </c>
      <c r="V1488" s="63"/>
      <c r="W1488" s="64"/>
      <c r="X1488" s="63"/>
    </row>
    <row r="1489" spans="2:24">
      <c r="B1489" s="58"/>
      <c r="C1489" s="59"/>
      <c r="D1489" s="59"/>
      <c r="E1489" s="59"/>
      <c r="F1489" s="59"/>
      <c r="G1489" s="60">
        <f>IF(OR(E1489="",F1489="",C1489="",D1489=""),"",IF(C1489+D1489=0,"",(E1489*C1489+F1489*D1489)/(C1489+D1489)))</f>
        <v/>
      </c>
      <c r="H1489" s="59"/>
      <c r="I1489" s="60">
        <f>IF(OR(H1489="",E1489="",C1489="",D1489=""),"",IF(C1489+D1489=0,"",(H1489*D1489+E1489*C1489)/(C1489+D1489)))</f>
        <v/>
      </c>
      <c r="J1489" s="59"/>
      <c r="K1489" s="61">
        <f>IF(OR(J1489="",I1489=""),"",J1489-I1489)</f>
        <v/>
      </c>
      <c r="L1489" s="61">
        <f>IF(OR(J1489="",G1489=""),"",J1489-G1489)</f>
        <v/>
      </c>
      <c r="M1489" s="59"/>
      <c r="N1489" s="59"/>
      <c r="O1489" s="59"/>
      <c r="P1489" s="59"/>
      <c r="Q1489" s="59"/>
      <c r="R1489" s="60">
        <f>IF(AND(P1489="",Q1489=""),"",N(P1489)+N(Q1489))</f>
        <v/>
      </c>
      <c r="S1489" s="59"/>
      <c r="T1489" s="59"/>
      <c r="U1489" s="62">
        <f>IF(OR(R1489="",S1489="",T1489=""),"",IF(S1489+T1489=0,"",R1489/(S1489+T1489)))</f>
        <v/>
      </c>
      <c r="V1489" s="63"/>
      <c r="W1489" s="64"/>
      <c r="X1489" s="63"/>
    </row>
    <row r="1490" spans="2:24">
      <c r="B1490" s="58"/>
      <c r="C1490" s="59"/>
      <c r="D1490" s="59"/>
      <c r="E1490" s="59"/>
      <c r="F1490" s="59"/>
      <c r="G1490" s="60">
        <f>IF(OR(E1490="",F1490="",C1490="",D1490=""),"",IF(C1490+D1490=0,"",(E1490*C1490+F1490*D1490)/(C1490+D1490)))</f>
        <v/>
      </c>
      <c r="H1490" s="59"/>
      <c r="I1490" s="60">
        <f>IF(OR(H1490="",E1490="",C1490="",D1490=""),"",IF(C1490+D1490=0,"",(H1490*D1490+E1490*C1490)/(C1490+D1490)))</f>
        <v/>
      </c>
      <c r="J1490" s="59"/>
      <c r="K1490" s="61">
        <f>IF(OR(J1490="",I1490=""),"",J1490-I1490)</f>
        <v/>
      </c>
      <c r="L1490" s="61">
        <f>IF(OR(J1490="",G1490=""),"",J1490-G1490)</f>
        <v/>
      </c>
      <c r="M1490" s="59"/>
      <c r="N1490" s="59"/>
      <c r="O1490" s="59"/>
      <c r="P1490" s="59"/>
      <c r="Q1490" s="59"/>
      <c r="R1490" s="60">
        <f>IF(AND(P1490="",Q1490=""),"",N(P1490)+N(Q1490))</f>
        <v/>
      </c>
      <c r="S1490" s="59"/>
      <c r="T1490" s="59"/>
      <c r="U1490" s="62">
        <f>IF(OR(R1490="",S1490="",T1490=""),"",IF(S1490+T1490=0,"",R1490/(S1490+T1490)))</f>
        <v/>
      </c>
      <c r="V1490" s="63"/>
      <c r="W1490" s="64"/>
      <c r="X1490" s="63"/>
    </row>
    <row r="1491" spans="2:24">
      <c r="B1491" s="58"/>
      <c r="C1491" s="59"/>
      <c r="D1491" s="59"/>
      <c r="E1491" s="59"/>
      <c r="F1491" s="59"/>
      <c r="G1491" s="60">
        <f>IF(OR(E1491="",F1491="",C1491="",D1491=""),"",IF(C1491+D1491=0,"",(E1491*C1491+F1491*D1491)/(C1491+D1491)))</f>
        <v/>
      </c>
      <c r="H1491" s="59"/>
      <c r="I1491" s="60">
        <f>IF(OR(H1491="",E1491="",C1491="",D1491=""),"",IF(C1491+D1491=0,"",(H1491*D1491+E1491*C1491)/(C1491+D1491)))</f>
        <v/>
      </c>
      <c r="J1491" s="59"/>
      <c r="K1491" s="61">
        <f>IF(OR(J1491="",I1491=""),"",J1491-I1491)</f>
        <v/>
      </c>
      <c r="L1491" s="61">
        <f>IF(OR(J1491="",G1491=""),"",J1491-G1491)</f>
        <v/>
      </c>
      <c r="M1491" s="59"/>
      <c r="N1491" s="59"/>
      <c r="O1491" s="59"/>
      <c r="P1491" s="59"/>
      <c r="Q1491" s="59"/>
      <c r="R1491" s="60">
        <f>IF(AND(P1491="",Q1491=""),"",N(P1491)+N(Q1491))</f>
        <v/>
      </c>
      <c r="S1491" s="59"/>
      <c r="T1491" s="59"/>
      <c r="U1491" s="62">
        <f>IF(OR(R1491="",S1491="",T1491=""),"",IF(S1491+T1491=0,"",R1491/(S1491+T1491)))</f>
        <v/>
      </c>
      <c r="V1491" s="63"/>
      <c r="W1491" s="64"/>
      <c r="X1491" s="63"/>
    </row>
    <row r="1492" spans="2:24">
      <c r="B1492" s="58"/>
      <c r="C1492" s="59"/>
      <c r="D1492" s="59"/>
      <c r="E1492" s="59"/>
      <c r="F1492" s="59"/>
      <c r="G1492" s="60">
        <f>IF(OR(E1492="",F1492="",C1492="",D1492=""),"",IF(C1492+D1492=0,"",(E1492*C1492+F1492*D1492)/(C1492+D1492)))</f>
        <v/>
      </c>
      <c r="H1492" s="59"/>
      <c r="I1492" s="60">
        <f>IF(OR(H1492="",E1492="",C1492="",D1492=""),"",IF(C1492+D1492=0,"",(H1492*D1492+E1492*C1492)/(C1492+D1492)))</f>
        <v/>
      </c>
      <c r="J1492" s="59"/>
      <c r="K1492" s="61">
        <f>IF(OR(J1492="",I1492=""),"",J1492-I1492)</f>
        <v/>
      </c>
      <c r="L1492" s="61">
        <f>IF(OR(J1492="",G1492=""),"",J1492-G1492)</f>
        <v/>
      </c>
      <c r="M1492" s="59"/>
      <c r="N1492" s="59"/>
      <c r="O1492" s="59"/>
      <c r="P1492" s="59"/>
      <c r="Q1492" s="59"/>
      <c r="R1492" s="60">
        <f>IF(AND(P1492="",Q1492=""),"",N(P1492)+N(Q1492))</f>
        <v/>
      </c>
      <c r="S1492" s="59"/>
      <c r="T1492" s="59"/>
      <c r="U1492" s="62">
        <f>IF(OR(R1492="",S1492="",T1492=""),"",IF(S1492+T1492=0,"",R1492/(S1492+T1492)))</f>
        <v/>
      </c>
      <c r="V1492" s="63"/>
      <c r="W1492" s="64"/>
      <c r="X1492" s="63"/>
    </row>
    <row r="1493" spans="2:24">
      <c r="B1493" s="58"/>
      <c r="C1493" s="59"/>
      <c r="D1493" s="59"/>
      <c r="E1493" s="59"/>
      <c r="F1493" s="59"/>
      <c r="G1493" s="60">
        <f>IF(OR(E1493="",F1493="",C1493="",D1493=""),"",IF(C1493+D1493=0,"",(E1493*C1493+F1493*D1493)/(C1493+D1493)))</f>
        <v/>
      </c>
      <c r="H1493" s="59"/>
      <c r="I1493" s="60">
        <f>IF(OR(H1493="",E1493="",C1493="",D1493=""),"",IF(C1493+D1493=0,"",(H1493*D1493+E1493*C1493)/(C1493+D1493)))</f>
        <v/>
      </c>
      <c r="J1493" s="59"/>
      <c r="K1493" s="61">
        <f>IF(OR(J1493="",I1493=""),"",J1493-I1493)</f>
        <v/>
      </c>
      <c r="L1493" s="61">
        <f>IF(OR(J1493="",G1493=""),"",J1493-G1493)</f>
        <v/>
      </c>
      <c r="M1493" s="59"/>
      <c r="N1493" s="59"/>
      <c r="O1493" s="59"/>
      <c r="P1493" s="59"/>
      <c r="Q1493" s="59"/>
      <c r="R1493" s="60">
        <f>IF(AND(P1493="",Q1493=""),"",N(P1493)+N(Q1493))</f>
        <v/>
      </c>
      <c r="S1493" s="59"/>
      <c r="T1493" s="59"/>
      <c r="U1493" s="62">
        <f>IF(OR(R1493="",S1493="",T1493=""),"",IF(S1493+T1493=0,"",R1493/(S1493+T1493)))</f>
        <v/>
      </c>
      <c r="V1493" s="63"/>
      <c r="W1493" s="64"/>
      <c r="X1493" s="63"/>
    </row>
    <row r="1494" spans="2:24">
      <c r="B1494" s="58"/>
      <c r="C1494" s="59"/>
      <c r="D1494" s="59"/>
      <c r="E1494" s="59"/>
      <c r="F1494" s="59"/>
      <c r="G1494" s="60">
        <f>IF(OR(E1494="",F1494="",C1494="",D1494=""),"",IF(C1494+D1494=0,"",(E1494*C1494+F1494*D1494)/(C1494+D1494)))</f>
        <v/>
      </c>
      <c r="H1494" s="59"/>
      <c r="I1494" s="60">
        <f>IF(OR(H1494="",E1494="",C1494="",D1494=""),"",IF(C1494+D1494=0,"",(H1494*D1494+E1494*C1494)/(C1494+D1494)))</f>
        <v/>
      </c>
      <c r="J1494" s="59"/>
      <c r="K1494" s="61">
        <f>IF(OR(J1494="",I1494=""),"",J1494-I1494)</f>
        <v/>
      </c>
      <c r="L1494" s="61">
        <f>IF(OR(J1494="",G1494=""),"",J1494-G1494)</f>
        <v/>
      </c>
      <c r="M1494" s="59"/>
      <c r="N1494" s="59"/>
      <c r="O1494" s="59"/>
      <c r="P1494" s="59"/>
      <c r="Q1494" s="59"/>
      <c r="R1494" s="60">
        <f>IF(AND(P1494="",Q1494=""),"",N(P1494)+N(Q1494))</f>
        <v/>
      </c>
      <c r="S1494" s="59"/>
      <c r="T1494" s="59"/>
      <c r="U1494" s="62">
        <f>IF(OR(R1494="",S1494="",T1494=""),"",IF(S1494+T1494=0,"",R1494/(S1494+T1494)))</f>
        <v/>
      </c>
      <c r="V1494" s="63"/>
      <c r="W1494" s="64"/>
      <c r="X1494" s="63"/>
    </row>
    <row r="1495" spans="2:24">
      <c r="B1495" s="58"/>
      <c r="C1495" s="59"/>
      <c r="D1495" s="59"/>
      <c r="E1495" s="59"/>
      <c r="F1495" s="59"/>
      <c r="G1495" s="60">
        <f>IF(OR(E1495="",F1495="",C1495="",D1495=""),"",IF(C1495+D1495=0,"",(E1495*C1495+F1495*D1495)/(C1495+D1495)))</f>
        <v/>
      </c>
      <c r="H1495" s="59"/>
      <c r="I1495" s="60">
        <f>IF(OR(H1495="",E1495="",C1495="",D1495=""),"",IF(C1495+D1495=0,"",(H1495*D1495+E1495*C1495)/(C1495+D1495)))</f>
        <v/>
      </c>
      <c r="J1495" s="59"/>
      <c r="K1495" s="61">
        <f>IF(OR(J1495="",I1495=""),"",J1495-I1495)</f>
        <v/>
      </c>
      <c r="L1495" s="61">
        <f>IF(OR(J1495="",G1495=""),"",J1495-G1495)</f>
        <v/>
      </c>
      <c r="M1495" s="59"/>
      <c r="N1495" s="59"/>
      <c r="O1495" s="59"/>
      <c r="P1495" s="59"/>
      <c r="Q1495" s="59"/>
      <c r="R1495" s="60">
        <f>IF(AND(P1495="",Q1495=""),"",N(P1495)+N(Q1495))</f>
        <v/>
      </c>
      <c r="S1495" s="59"/>
      <c r="T1495" s="59"/>
      <c r="U1495" s="62">
        <f>IF(OR(R1495="",S1495="",T1495=""),"",IF(S1495+T1495=0,"",R1495/(S1495+T1495)))</f>
        <v/>
      </c>
      <c r="V1495" s="63"/>
      <c r="W1495" s="64"/>
      <c r="X1495" s="63"/>
    </row>
    <row r="1496" spans="2:24">
      <c r="B1496" s="58"/>
      <c r="C1496" s="59"/>
      <c r="D1496" s="59"/>
      <c r="E1496" s="59"/>
      <c r="F1496" s="59"/>
      <c r="G1496" s="60">
        <f>IF(OR(E1496="",F1496="",C1496="",D1496=""),"",IF(C1496+D1496=0,"",(E1496*C1496+F1496*D1496)/(C1496+D1496)))</f>
        <v/>
      </c>
      <c r="H1496" s="59"/>
      <c r="I1496" s="60">
        <f>IF(OR(H1496="",E1496="",C1496="",D1496=""),"",IF(C1496+D1496=0,"",(H1496*D1496+E1496*C1496)/(C1496+D1496)))</f>
        <v/>
      </c>
      <c r="J1496" s="59"/>
      <c r="K1496" s="61">
        <f>IF(OR(J1496="",I1496=""),"",J1496-I1496)</f>
        <v/>
      </c>
      <c r="L1496" s="61">
        <f>IF(OR(J1496="",G1496=""),"",J1496-G1496)</f>
        <v/>
      </c>
      <c r="M1496" s="59"/>
      <c r="N1496" s="59"/>
      <c r="O1496" s="59"/>
      <c r="P1496" s="59"/>
      <c r="Q1496" s="59"/>
      <c r="R1496" s="60">
        <f>IF(AND(P1496="",Q1496=""),"",N(P1496)+N(Q1496))</f>
        <v/>
      </c>
      <c r="S1496" s="59"/>
      <c r="T1496" s="59"/>
      <c r="U1496" s="62">
        <f>IF(OR(R1496="",S1496="",T1496=""),"",IF(S1496+T1496=0,"",R1496/(S1496+T1496)))</f>
        <v/>
      </c>
      <c r="V1496" s="63"/>
      <c r="W1496" s="64"/>
      <c r="X1496" s="63"/>
    </row>
    <row r="1497" spans="2:24">
      <c r="B1497" s="58"/>
      <c r="C1497" s="59"/>
      <c r="D1497" s="59"/>
      <c r="E1497" s="59"/>
      <c r="F1497" s="59"/>
      <c r="G1497" s="60">
        <f>IF(OR(E1497="",F1497="",C1497="",D1497=""),"",IF(C1497+D1497=0,"",(E1497*C1497+F1497*D1497)/(C1497+D1497)))</f>
        <v/>
      </c>
      <c r="H1497" s="59"/>
      <c r="I1497" s="60">
        <f>IF(OR(H1497="",E1497="",C1497="",D1497=""),"",IF(C1497+D1497=0,"",(H1497*D1497+E1497*C1497)/(C1497+D1497)))</f>
        <v/>
      </c>
      <c r="J1497" s="59"/>
      <c r="K1497" s="61">
        <f>IF(OR(J1497="",I1497=""),"",J1497-I1497)</f>
        <v/>
      </c>
      <c r="L1497" s="61">
        <f>IF(OR(J1497="",G1497=""),"",J1497-G1497)</f>
        <v/>
      </c>
      <c r="M1497" s="59"/>
      <c r="N1497" s="59"/>
      <c r="O1497" s="59"/>
      <c r="P1497" s="59"/>
      <c r="Q1497" s="59"/>
      <c r="R1497" s="60">
        <f>IF(AND(P1497="",Q1497=""),"",N(P1497)+N(Q1497))</f>
        <v/>
      </c>
      <c r="S1497" s="59"/>
      <c r="T1497" s="59"/>
      <c r="U1497" s="62">
        <f>IF(OR(R1497="",S1497="",T1497=""),"",IF(S1497+T1497=0,"",R1497/(S1497+T1497)))</f>
        <v/>
      </c>
      <c r="V1497" s="63"/>
      <c r="W1497" s="64"/>
      <c r="X1497" s="63"/>
    </row>
    <row r="1498" spans="2:24">
      <c r="B1498" s="58"/>
      <c r="C1498" s="59"/>
      <c r="D1498" s="59"/>
      <c r="E1498" s="59"/>
      <c r="F1498" s="59"/>
      <c r="G1498" s="60">
        <f>IF(OR(E1498="",F1498="",C1498="",D1498=""),"",IF(C1498+D1498=0,"",(E1498*C1498+F1498*D1498)/(C1498+D1498)))</f>
        <v/>
      </c>
      <c r="H1498" s="59"/>
      <c r="I1498" s="60">
        <f>IF(OR(H1498="",E1498="",C1498="",D1498=""),"",IF(C1498+D1498=0,"",(H1498*D1498+E1498*C1498)/(C1498+D1498)))</f>
        <v/>
      </c>
      <c r="J1498" s="59"/>
      <c r="K1498" s="61">
        <f>IF(OR(J1498="",I1498=""),"",J1498-I1498)</f>
        <v/>
      </c>
      <c r="L1498" s="61">
        <f>IF(OR(J1498="",G1498=""),"",J1498-G1498)</f>
        <v/>
      </c>
      <c r="M1498" s="59"/>
      <c r="N1498" s="59"/>
      <c r="O1498" s="59"/>
      <c r="P1498" s="59"/>
      <c r="Q1498" s="59"/>
      <c r="R1498" s="60">
        <f>IF(AND(P1498="",Q1498=""),"",N(P1498)+N(Q1498))</f>
        <v/>
      </c>
      <c r="S1498" s="59"/>
      <c r="T1498" s="59"/>
      <c r="U1498" s="62">
        <f>IF(OR(R1498="",S1498="",T1498=""),"",IF(S1498+T1498=0,"",R1498/(S1498+T1498)))</f>
        <v/>
      </c>
      <c r="V1498" s="63"/>
      <c r="W1498" s="64"/>
      <c r="X1498" s="63"/>
    </row>
    <row r="1499" spans="2:24">
      <c r="B1499" s="58"/>
      <c r="C1499" s="59"/>
      <c r="D1499" s="59"/>
      <c r="E1499" s="59"/>
      <c r="F1499" s="59"/>
      <c r="G1499" s="60">
        <f>IF(OR(E1499="",F1499="",C1499="",D1499=""),"",IF(C1499+D1499=0,"",(E1499*C1499+F1499*D1499)/(C1499+D1499)))</f>
        <v/>
      </c>
      <c r="H1499" s="59"/>
      <c r="I1499" s="60">
        <f>IF(OR(H1499="",E1499="",C1499="",D1499=""),"",IF(C1499+D1499=0,"",(H1499*D1499+E1499*C1499)/(C1499+D1499)))</f>
        <v/>
      </c>
      <c r="J1499" s="59"/>
      <c r="K1499" s="61">
        <f>IF(OR(J1499="",I1499=""),"",J1499-I1499)</f>
        <v/>
      </c>
      <c r="L1499" s="61">
        <f>IF(OR(J1499="",G1499=""),"",J1499-G1499)</f>
        <v/>
      </c>
      <c r="M1499" s="59"/>
      <c r="N1499" s="59"/>
      <c r="O1499" s="59"/>
      <c r="P1499" s="59"/>
      <c r="Q1499" s="59"/>
      <c r="R1499" s="60">
        <f>IF(AND(P1499="",Q1499=""),"",N(P1499)+N(Q1499))</f>
        <v/>
      </c>
      <c r="S1499" s="59"/>
      <c r="T1499" s="59"/>
      <c r="U1499" s="62">
        <f>IF(OR(R1499="",S1499="",T1499=""),"",IF(S1499+T1499=0,"",R1499/(S1499+T1499)))</f>
        <v/>
      </c>
      <c r="V1499" s="63"/>
      <c r="W1499" s="64"/>
      <c r="X1499" s="63"/>
    </row>
    <row r="1500" spans="2:24">
      <c r="B1500" s="58"/>
      <c r="C1500" s="59"/>
      <c r="D1500" s="59"/>
      <c r="E1500" s="59"/>
      <c r="F1500" s="59"/>
      <c r="G1500" s="60">
        <f>IF(OR(E1500="",F1500="",C1500="",D1500=""),"",IF(C1500+D1500=0,"",(E1500*C1500+F1500*D1500)/(C1500+D1500)))</f>
        <v/>
      </c>
      <c r="H1500" s="59"/>
      <c r="I1500" s="60">
        <f>IF(OR(H1500="",E1500="",C1500="",D1500=""),"",IF(C1500+D1500=0,"",(H1500*D1500+E1500*C1500)/(C1500+D1500)))</f>
        <v/>
      </c>
      <c r="J1500" s="59"/>
      <c r="K1500" s="61">
        <f>IF(OR(J1500="",I1500=""),"",J1500-I1500)</f>
        <v/>
      </c>
      <c r="L1500" s="61">
        <f>IF(OR(J1500="",G1500=""),"",J1500-G1500)</f>
        <v/>
      </c>
      <c r="M1500" s="59"/>
      <c r="N1500" s="59"/>
      <c r="O1500" s="59"/>
      <c r="P1500" s="59"/>
      <c r="Q1500" s="59"/>
      <c r="R1500" s="60">
        <f>IF(AND(P1500="",Q1500=""),"",N(P1500)+N(Q1500))</f>
        <v/>
      </c>
      <c r="S1500" s="59"/>
      <c r="T1500" s="59"/>
      <c r="U1500" s="62">
        <f>IF(OR(R1500="",S1500="",T1500=""),"",IF(S1500+T1500=0,"",R1500/(S1500+T1500)))</f>
        <v/>
      </c>
      <c r="V1500" s="63"/>
      <c r="W1500" s="64"/>
      <c r="X1500" s="63"/>
    </row>
    <row r="1501" spans="2:24">
      <c r="B1501" s="58"/>
      <c r="C1501" s="59"/>
      <c r="D1501" s="59"/>
      <c r="E1501" s="59"/>
      <c r="F1501" s="59"/>
      <c r="G1501" s="60">
        <f>IF(OR(E1501="",F1501="",C1501="",D1501=""),"",IF(C1501+D1501=0,"",(E1501*C1501+F1501*D1501)/(C1501+D1501)))</f>
        <v/>
      </c>
      <c r="H1501" s="59"/>
      <c r="I1501" s="60">
        <f>IF(OR(H1501="",E1501="",C1501="",D1501=""),"",IF(C1501+D1501=0,"",(H1501*D1501+E1501*C1501)/(C1501+D1501)))</f>
        <v/>
      </c>
      <c r="J1501" s="59"/>
      <c r="K1501" s="61">
        <f>IF(OR(J1501="",I1501=""),"",J1501-I1501)</f>
        <v/>
      </c>
      <c r="L1501" s="61">
        <f>IF(OR(J1501="",G1501=""),"",J1501-G1501)</f>
        <v/>
      </c>
      <c r="M1501" s="59"/>
      <c r="N1501" s="59"/>
      <c r="O1501" s="59"/>
      <c r="P1501" s="59"/>
      <c r="Q1501" s="59"/>
      <c r="R1501" s="60">
        <f>IF(AND(P1501="",Q1501=""),"",N(P1501)+N(Q1501))</f>
        <v/>
      </c>
      <c r="S1501" s="59"/>
      <c r="T1501" s="59"/>
      <c r="U1501" s="62">
        <f>IF(OR(R1501="",S1501="",T1501=""),"",IF(S1501+T1501=0,"",R1501/(S1501+T1501)))</f>
        <v/>
      </c>
      <c r="V1501" s="63"/>
      <c r="W1501" s="64"/>
      <c r="X1501" s="63"/>
    </row>
    <row r="1502" spans="2:24">
      <c r="B1502" s="58"/>
      <c r="C1502" s="59"/>
      <c r="D1502" s="59"/>
      <c r="E1502" s="59"/>
      <c r="F1502" s="59"/>
      <c r="G1502" s="60">
        <f>IF(OR(E1502="",F1502="",C1502="",D1502=""),"",IF(C1502+D1502=0,"",(E1502*C1502+F1502*D1502)/(C1502+D1502)))</f>
        <v/>
      </c>
      <c r="H1502" s="59"/>
      <c r="I1502" s="60">
        <f>IF(OR(H1502="",E1502="",C1502="",D1502=""),"",IF(C1502+D1502=0,"",(H1502*D1502+E1502*C1502)/(C1502+D1502)))</f>
        <v/>
      </c>
      <c r="J1502" s="59"/>
      <c r="K1502" s="61">
        <f>IF(OR(J1502="",I1502=""),"",J1502-I1502)</f>
        <v/>
      </c>
      <c r="L1502" s="61">
        <f>IF(OR(J1502="",G1502=""),"",J1502-G1502)</f>
        <v/>
      </c>
      <c r="M1502" s="59"/>
      <c r="N1502" s="59"/>
      <c r="O1502" s="59"/>
      <c r="P1502" s="59"/>
      <c r="Q1502" s="59"/>
      <c r="R1502" s="60">
        <f>IF(AND(P1502="",Q1502=""),"",N(P1502)+N(Q1502))</f>
        <v/>
      </c>
      <c r="S1502" s="59"/>
      <c r="T1502" s="59"/>
      <c r="U1502" s="62">
        <f>IF(OR(R1502="",S1502="",T1502=""),"",IF(S1502+T1502=0,"",R1502/(S1502+T1502)))</f>
        <v/>
      </c>
      <c r="V1502" s="63"/>
      <c r="W1502" s="64"/>
      <c r="X1502" s="63"/>
    </row>
    <row r="1503" spans="2:24">
      <c r="B1503" s="58"/>
      <c r="C1503" s="59"/>
      <c r="D1503" s="59"/>
      <c r="E1503" s="59"/>
      <c r="F1503" s="59"/>
      <c r="G1503" s="60">
        <f>IF(OR(E1503="",F1503="",C1503="",D1503=""),"",IF(C1503+D1503=0,"",(E1503*C1503+F1503*D1503)/(C1503+D1503)))</f>
        <v/>
      </c>
      <c r="H1503" s="59"/>
      <c r="I1503" s="60">
        <f>IF(OR(H1503="",E1503="",C1503="",D1503=""),"",IF(C1503+D1503=0,"",(H1503*D1503+E1503*C1503)/(C1503+D1503)))</f>
        <v/>
      </c>
      <c r="J1503" s="59"/>
      <c r="K1503" s="61">
        <f>IF(OR(J1503="",I1503=""),"",J1503-I1503)</f>
        <v/>
      </c>
      <c r="L1503" s="61">
        <f>IF(OR(J1503="",G1503=""),"",J1503-G1503)</f>
        <v/>
      </c>
      <c r="M1503" s="59"/>
      <c r="N1503" s="59"/>
      <c r="O1503" s="59"/>
      <c r="P1503" s="59"/>
      <c r="Q1503" s="59"/>
      <c r="R1503" s="60">
        <f>IF(AND(P1503="",Q1503=""),"",N(P1503)+N(Q1503))</f>
        <v/>
      </c>
      <c r="S1503" s="59"/>
      <c r="T1503" s="59"/>
      <c r="U1503" s="62">
        <f>IF(OR(R1503="",S1503="",T1503=""),"",IF(S1503+T1503=0,"",R1503/(S1503+T1503)))</f>
        <v/>
      </c>
      <c r="V1503" s="63"/>
      <c r="W1503" s="64"/>
      <c r="X1503" s="63"/>
    </row>
    <row r="1504" spans="2:24">
      <c r="B1504" s="58"/>
      <c r="C1504" s="59"/>
      <c r="D1504" s="59"/>
      <c r="E1504" s="59"/>
      <c r="F1504" s="59"/>
      <c r="G1504" s="60">
        <f>IF(OR(E1504="",F1504="",C1504="",D1504=""),"",IF(C1504+D1504=0,"",(E1504*C1504+F1504*D1504)/(C1504+D1504)))</f>
        <v/>
      </c>
      <c r="H1504" s="59"/>
      <c r="I1504" s="60">
        <f>IF(OR(H1504="",E1504="",C1504="",D1504=""),"",IF(C1504+D1504=0,"",(H1504*D1504+E1504*C1504)/(C1504+D1504)))</f>
        <v/>
      </c>
      <c r="J1504" s="59"/>
      <c r="K1504" s="61">
        <f>IF(OR(J1504="",I1504=""),"",J1504-I1504)</f>
        <v/>
      </c>
      <c r="L1504" s="61">
        <f>IF(OR(J1504="",G1504=""),"",J1504-G1504)</f>
        <v/>
      </c>
      <c r="M1504" s="59"/>
      <c r="N1504" s="59"/>
      <c r="O1504" s="59"/>
      <c r="P1504" s="59"/>
      <c r="Q1504" s="59"/>
      <c r="R1504" s="60">
        <f>IF(AND(P1504="",Q1504=""),"",N(P1504)+N(Q1504))</f>
        <v/>
      </c>
      <c r="S1504" s="59"/>
      <c r="T1504" s="59"/>
      <c r="U1504" s="62">
        <f>IF(OR(R1504="",S1504="",T1504=""),"",IF(S1504+T1504=0,"",R1504/(S1504+T1504)))</f>
        <v/>
      </c>
      <c r="V1504" s="63"/>
      <c r="W1504" s="64"/>
      <c r="X1504" s="63"/>
    </row>
    <row r="1505" spans="2:24">
      <c r="B1505" s="58"/>
      <c r="C1505" s="59"/>
      <c r="D1505" s="59"/>
      <c r="E1505" s="59"/>
      <c r="F1505" s="59"/>
      <c r="G1505" s="60">
        <f>IF(OR(E1505="",F1505="",C1505="",D1505=""),"",IF(C1505+D1505=0,"",(E1505*C1505+F1505*D1505)/(C1505+D1505)))</f>
        <v/>
      </c>
      <c r="H1505" s="59"/>
      <c r="I1505" s="60">
        <f>IF(OR(H1505="",E1505="",C1505="",D1505=""),"",IF(C1505+D1505=0,"",(H1505*D1505+E1505*C1505)/(C1505+D1505)))</f>
        <v/>
      </c>
      <c r="J1505" s="59"/>
      <c r="K1505" s="61">
        <f>IF(OR(J1505="",I1505=""),"",J1505-I1505)</f>
        <v/>
      </c>
      <c r="L1505" s="61">
        <f>IF(OR(J1505="",G1505=""),"",J1505-G1505)</f>
        <v/>
      </c>
      <c r="M1505" s="59"/>
      <c r="N1505" s="59"/>
      <c r="O1505" s="59"/>
      <c r="P1505" s="59"/>
      <c r="Q1505" s="59"/>
      <c r="R1505" s="60">
        <f>IF(AND(P1505="",Q1505=""),"",N(P1505)+N(Q1505))</f>
        <v/>
      </c>
      <c r="S1505" s="59"/>
      <c r="T1505" s="59"/>
      <c r="U1505" s="62">
        <f>IF(OR(R1505="",S1505="",T1505=""),"",IF(S1505+T1505=0,"",R1505/(S1505+T1505)))</f>
        <v/>
      </c>
      <c r="V1505" s="63"/>
      <c r="W1505" s="64"/>
      <c r="X1505" s="63"/>
    </row>
    <row r="1506" spans="2:24">
      <c r="B1506" s="58"/>
      <c r="C1506" s="59"/>
      <c r="D1506" s="59"/>
      <c r="E1506" s="59"/>
      <c r="F1506" s="59"/>
      <c r="G1506" s="60">
        <f>IF(OR(E1506="",F1506="",C1506="",D1506=""),"",IF(C1506+D1506=0,"",(E1506*C1506+F1506*D1506)/(C1506+D1506)))</f>
        <v/>
      </c>
      <c r="H1506" s="59"/>
      <c r="I1506" s="60">
        <f>IF(OR(H1506="",E1506="",C1506="",D1506=""),"",IF(C1506+D1506=0,"",(H1506*D1506+E1506*C1506)/(C1506+D1506)))</f>
        <v/>
      </c>
      <c r="J1506" s="59"/>
      <c r="K1506" s="61">
        <f>IF(OR(J1506="",I1506=""),"",J1506-I1506)</f>
        <v/>
      </c>
      <c r="L1506" s="61">
        <f>IF(OR(J1506="",G1506=""),"",J1506-G1506)</f>
        <v/>
      </c>
      <c r="M1506" s="59"/>
      <c r="N1506" s="59"/>
      <c r="O1506" s="59"/>
      <c r="P1506" s="59"/>
      <c r="Q1506" s="59"/>
      <c r="R1506" s="60">
        <f>IF(AND(P1506="",Q1506=""),"",N(P1506)+N(Q1506))</f>
        <v/>
      </c>
      <c r="S1506" s="59"/>
      <c r="T1506" s="59"/>
      <c r="U1506" s="62">
        <f>IF(OR(R1506="",S1506="",T1506=""),"",IF(S1506+T1506=0,"",R1506/(S1506+T1506)))</f>
        <v/>
      </c>
      <c r="V1506" s="63"/>
      <c r="W1506" s="64"/>
      <c r="X1506" s="63"/>
    </row>
    <row r="1507" spans="2:24">
      <c r="B1507" s="58"/>
      <c r="C1507" s="59"/>
      <c r="D1507" s="59"/>
      <c r="E1507" s="59"/>
      <c r="F1507" s="59"/>
      <c r="G1507" s="60">
        <f>IF(OR(E1507="",F1507="",C1507="",D1507=""),"",IF(C1507+D1507=0,"",(E1507*C1507+F1507*D1507)/(C1507+D1507)))</f>
        <v/>
      </c>
      <c r="H1507" s="59"/>
      <c r="I1507" s="60">
        <f>IF(OR(H1507="",E1507="",C1507="",D1507=""),"",IF(C1507+D1507=0,"",(H1507*D1507+E1507*C1507)/(C1507+D1507)))</f>
        <v/>
      </c>
      <c r="J1507" s="59"/>
      <c r="K1507" s="61">
        <f>IF(OR(J1507="",I1507=""),"",J1507-I1507)</f>
        <v/>
      </c>
      <c r="L1507" s="61">
        <f>IF(OR(J1507="",G1507=""),"",J1507-G1507)</f>
        <v/>
      </c>
      <c r="M1507" s="59"/>
      <c r="N1507" s="59"/>
      <c r="O1507" s="59"/>
      <c r="P1507" s="59"/>
      <c r="Q1507" s="59"/>
      <c r="R1507" s="60">
        <f>IF(AND(P1507="",Q1507=""),"",N(P1507)+N(Q1507))</f>
        <v/>
      </c>
      <c r="S1507" s="59"/>
      <c r="T1507" s="59"/>
      <c r="U1507" s="62">
        <f>IF(OR(R1507="",S1507="",T1507=""),"",IF(S1507+T1507=0,"",R1507/(S1507+T1507)))</f>
        <v/>
      </c>
      <c r="V1507" s="63"/>
      <c r="W1507" s="64"/>
      <c r="X1507" s="63"/>
    </row>
    <row r="1508" spans="2:24">
      <c r="B1508" s="58"/>
      <c r="C1508" s="59"/>
      <c r="D1508" s="59"/>
      <c r="E1508" s="59"/>
      <c r="F1508" s="59"/>
      <c r="G1508" s="60">
        <f>IF(OR(E1508="",F1508="",C1508="",D1508=""),"",IF(C1508+D1508=0,"",(E1508*C1508+F1508*D1508)/(C1508+D1508)))</f>
        <v/>
      </c>
      <c r="H1508" s="59"/>
      <c r="I1508" s="60">
        <f>IF(OR(H1508="",E1508="",C1508="",D1508=""),"",IF(C1508+D1508=0,"",(H1508*D1508+E1508*C1508)/(C1508+D1508)))</f>
        <v/>
      </c>
      <c r="J1508" s="59"/>
      <c r="K1508" s="61">
        <f>IF(OR(J1508="",I1508=""),"",J1508-I1508)</f>
        <v/>
      </c>
      <c r="L1508" s="61">
        <f>IF(OR(J1508="",G1508=""),"",J1508-G1508)</f>
        <v/>
      </c>
      <c r="M1508" s="59"/>
      <c r="N1508" s="59"/>
      <c r="O1508" s="59"/>
      <c r="P1508" s="59"/>
      <c r="Q1508" s="59"/>
      <c r="R1508" s="60">
        <f>IF(AND(P1508="",Q1508=""),"",N(P1508)+N(Q1508))</f>
        <v/>
      </c>
      <c r="S1508" s="59"/>
      <c r="T1508" s="59"/>
      <c r="U1508" s="62">
        <f>IF(OR(R1508="",S1508="",T1508=""),"",IF(S1508+T1508=0,"",R1508/(S1508+T1508)))</f>
        <v/>
      </c>
      <c r="V1508" s="63"/>
      <c r="W1508" s="64"/>
      <c r="X1508" s="63"/>
    </row>
    <row r="1509" spans="2:24">
      <c r="B1509" s="58"/>
      <c r="C1509" s="59"/>
      <c r="D1509" s="59"/>
      <c r="E1509" s="59"/>
      <c r="F1509" s="59"/>
      <c r="G1509" s="60">
        <f>IF(OR(E1509="",F1509="",C1509="",D1509=""),"",IF(C1509+D1509=0,"",(E1509*C1509+F1509*D1509)/(C1509+D1509)))</f>
        <v/>
      </c>
      <c r="H1509" s="59"/>
      <c r="I1509" s="60">
        <f>IF(OR(H1509="",E1509="",C1509="",D1509=""),"",IF(C1509+D1509=0,"",(H1509*D1509+E1509*C1509)/(C1509+D1509)))</f>
        <v/>
      </c>
      <c r="J1509" s="59"/>
      <c r="K1509" s="61">
        <f>IF(OR(J1509="",I1509=""),"",J1509-I1509)</f>
        <v/>
      </c>
      <c r="L1509" s="61">
        <f>IF(OR(J1509="",G1509=""),"",J1509-G1509)</f>
        <v/>
      </c>
      <c r="M1509" s="59"/>
      <c r="N1509" s="59"/>
      <c r="O1509" s="59"/>
      <c r="P1509" s="59"/>
      <c r="Q1509" s="59"/>
      <c r="R1509" s="60">
        <f>IF(AND(P1509="",Q1509=""),"",N(P1509)+N(Q1509))</f>
        <v/>
      </c>
      <c r="S1509" s="59"/>
      <c r="T1509" s="59"/>
      <c r="U1509" s="62">
        <f>IF(OR(R1509="",S1509="",T1509=""),"",IF(S1509+T1509=0,"",R1509/(S1509+T1509)))</f>
        <v/>
      </c>
      <c r="V1509" s="63"/>
      <c r="W1509" s="64"/>
      <c r="X1509" s="63"/>
    </row>
    <row r="1510" spans="2:24">
      <c r="B1510" s="58"/>
      <c r="C1510" s="59"/>
      <c r="D1510" s="59"/>
      <c r="E1510" s="59"/>
      <c r="F1510" s="59"/>
      <c r="G1510" s="60">
        <f>IF(OR(E1510="",F1510="",C1510="",D1510=""),"",IF(C1510+D1510=0,"",(E1510*C1510+F1510*D1510)/(C1510+D1510)))</f>
        <v/>
      </c>
      <c r="H1510" s="59"/>
      <c r="I1510" s="60">
        <f>IF(OR(H1510="",E1510="",C1510="",D1510=""),"",IF(C1510+D1510=0,"",(H1510*D1510+E1510*C1510)/(C1510+D1510)))</f>
        <v/>
      </c>
      <c r="J1510" s="59"/>
      <c r="K1510" s="61">
        <f>IF(OR(J1510="",I1510=""),"",J1510-I1510)</f>
        <v/>
      </c>
      <c r="L1510" s="61">
        <f>IF(OR(J1510="",G1510=""),"",J1510-G1510)</f>
        <v/>
      </c>
      <c r="M1510" s="59"/>
      <c r="N1510" s="59"/>
      <c r="O1510" s="59"/>
      <c r="P1510" s="59"/>
      <c r="Q1510" s="59"/>
      <c r="R1510" s="60">
        <f>IF(AND(P1510="",Q1510=""),"",N(P1510)+N(Q1510))</f>
        <v/>
      </c>
      <c r="S1510" s="59"/>
      <c r="T1510" s="59"/>
      <c r="U1510" s="62">
        <f>IF(OR(R1510="",S1510="",T1510=""),"",IF(S1510+T1510=0,"",R1510/(S1510+T1510)))</f>
        <v/>
      </c>
      <c r="V1510" s="63"/>
      <c r="W1510" s="64"/>
      <c r="X1510" s="63"/>
    </row>
    <row r="1511" spans="2:24">
      <c r="B1511" s="58"/>
      <c r="C1511" s="59"/>
      <c r="D1511" s="59"/>
      <c r="E1511" s="59"/>
      <c r="F1511" s="59"/>
      <c r="G1511" s="60">
        <f>IF(OR(E1511="",F1511="",C1511="",D1511=""),"",IF(C1511+D1511=0,"",(E1511*C1511+F1511*D1511)/(C1511+D1511)))</f>
        <v/>
      </c>
      <c r="H1511" s="59"/>
      <c r="I1511" s="60">
        <f>IF(OR(H1511="",E1511="",C1511="",D1511=""),"",IF(C1511+D1511=0,"",(H1511*D1511+E1511*C1511)/(C1511+D1511)))</f>
        <v/>
      </c>
      <c r="J1511" s="59"/>
      <c r="K1511" s="61">
        <f>IF(OR(J1511="",I1511=""),"",J1511-I1511)</f>
        <v/>
      </c>
      <c r="L1511" s="61">
        <f>IF(OR(J1511="",G1511=""),"",J1511-G1511)</f>
        <v/>
      </c>
      <c r="M1511" s="59"/>
      <c r="N1511" s="59"/>
      <c r="O1511" s="59"/>
      <c r="P1511" s="59"/>
      <c r="Q1511" s="59"/>
      <c r="R1511" s="60">
        <f>IF(AND(P1511="",Q1511=""),"",N(P1511)+N(Q1511))</f>
        <v/>
      </c>
      <c r="S1511" s="59"/>
      <c r="T1511" s="59"/>
      <c r="U1511" s="62">
        <f>IF(OR(R1511="",S1511="",T1511=""),"",IF(S1511+T1511=0,"",R1511/(S1511+T1511)))</f>
        <v/>
      </c>
      <c r="V1511" s="63"/>
      <c r="W1511" s="64"/>
      <c r="X1511" s="63"/>
    </row>
    <row r="1512" spans="2:24">
      <c r="B1512" s="58"/>
      <c r="C1512" s="59"/>
      <c r="D1512" s="59"/>
      <c r="E1512" s="59"/>
      <c r="F1512" s="59"/>
      <c r="G1512" s="60">
        <f>IF(OR(E1512="",F1512="",C1512="",D1512=""),"",IF(C1512+D1512=0,"",(E1512*C1512+F1512*D1512)/(C1512+D1512)))</f>
        <v/>
      </c>
      <c r="H1512" s="59"/>
      <c r="I1512" s="60">
        <f>IF(OR(H1512="",E1512="",C1512="",D1512=""),"",IF(C1512+D1512=0,"",(H1512*D1512+E1512*C1512)/(C1512+D1512)))</f>
        <v/>
      </c>
      <c r="J1512" s="59"/>
      <c r="K1512" s="61">
        <f>IF(OR(J1512="",I1512=""),"",J1512-I1512)</f>
        <v/>
      </c>
      <c r="L1512" s="61">
        <f>IF(OR(J1512="",G1512=""),"",J1512-G1512)</f>
        <v/>
      </c>
      <c r="M1512" s="59"/>
      <c r="N1512" s="59"/>
      <c r="O1512" s="59"/>
      <c r="P1512" s="59"/>
      <c r="Q1512" s="59"/>
      <c r="R1512" s="60">
        <f>IF(AND(P1512="",Q1512=""),"",N(P1512)+N(Q1512))</f>
        <v/>
      </c>
      <c r="S1512" s="59"/>
      <c r="T1512" s="59"/>
      <c r="U1512" s="62">
        <f>IF(OR(R1512="",S1512="",T1512=""),"",IF(S1512+T1512=0,"",R1512/(S1512+T1512)))</f>
        <v/>
      </c>
      <c r="V1512" s="63"/>
      <c r="W1512" s="64"/>
      <c r="X1512" s="63"/>
    </row>
    <row r="1513" spans="2:24">
      <c r="B1513" s="58"/>
      <c r="C1513" s="59"/>
      <c r="D1513" s="59"/>
      <c r="E1513" s="59"/>
      <c r="F1513" s="59"/>
      <c r="G1513" s="60">
        <f>IF(OR(E1513="",F1513="",C1513="",D1513=""),"",IF(C1513+D1513=0,"",(E1513*C1513+F1513*D1513)/(C1513+D1513)))</f>
        <v/>
      </c>
      <c r="H1513" s="59"/>
      <c r="I1513" s="60">
        <f>IF(OR(H1513="",E1513="",C1513="",D1513=""),"",IF(C1513+D1513=0,"",(H1513*D1513+E1513*C1513)/(C1513+D1513)))</f>
        <v/>
      </c>
      <c r="J1513" s="59"/>
      <c r="K1513" s="61">
        <f>IF(OR(J1513="",I1513=""),"",J1513-I1513)</f>
        <v/>
      </c>
      <c r="L1513" s="61">
        <f>IF(OR(J1513="",G1513=""),"",J1513-G1513)</f>
        <v/>
      </c>
      <c r="M1513" s="59"/>
      <c r="N1513" s="59"/>
      <c r="O1513" s="59"/>
      <c r="P1513" s="59"/>
      <c r="Q1513" s="59"/>
      <c r="R1513" s="60">
        <f>IF(AND(P1513="",Q1513=""),"",N(P1513)+N(Q1513))</f>
        <v/>
      </c>
      <c r="S1513" s="59"/>
      <c r="T1513" s="59"/>
      <c r="U1513" s="62">
        <f>IF(OR(R1513="",S1513="",T1513=""),"",IF(S1513+T1513=0,"",R1513/(S1513+T1513)))</f>
        <v/>
      </c>
      <c r="V1513" s="63"/>
      <c r="W1513" s="64"/>
      <c r="X1513" s="63"/>
    </row>
    <row r="1514" spans="2:24">
      <c r="B1514" s="58"/>
      <c r="C1514" s="59"/>
      <c r="D1514" s="59"/>
      <c r="E1514" s="59"/>
      <c r="F1514" s="59"/>
      <c r="G1514" s="60">
        <f>IF(OR(E1514="",F1514="",C1514="",D1514=""),"",IF(C1514+D1514=0,"",(E1514*C1514+F1514*D1514)/(C1514+D1514)))</f>
        <v/>
      </c>
      <c r="H1514" s="59"/>
      <c r="I1514" s="60">
        <f>IF(OR(H1514="",E1514="",C1514="",D1514=""),"",IF(C1514+D1514=0,"",(H1514*D1514+E1514*C1514)/(C1514+D1514)))</f>
        <v/>
      </c>
      <c r="J1514" s="59"/>
      <c r="K1514" s="61">
        <f>IF(OR(J1514="",I1514=""),"",J1514-I1514)</f>
        <v/>
      </c>
      <c r="L1514" s="61">
        <f>IF(OR(J1514="",G1514=""),"",J1514-G1514)</f>
        <v/>
      </c>
      <c r="M1514" s="59"/>
      <c r="N1514" s="59"/>
      <c r="O1514" s="59"/>
      <c r="P1514" s="59"/>
      <c r="Q1514" s="59"/>
      <c r="R1514" s="60">
        <f>IF(AND(P1514="",Q1514=""),"",N(P1514)+N(Q1514))</f>
        <v/>
      </c>
      <c r="S1514" s="59"/>
      <c r="T1514" s="59"/>
      <c r="U1514" s="62">
        <f>IF(OR(R1514="",S1514="",T1514=""),"",IF(S1514+T1514=0,"",R1514/(S1514+T1514)))</f>
        <v/>
      </c>
      <c r="V1514" s="63"/>
      <c r="W1514" s="64"/>
      <c r="X1514" s="63"/>
    </row>
    <row r="1515" spans="2:24">
      <c r="B1515" s="58"/>
      <c r="C1515" s="59"/>
      <c r="D1515" s="59"/>
      <c r="E1515" s="59"/>
      <c r="F1515" s="59"/>
      <c r="G1515" s="60">
        <f>IF(OR(E1515="",F1515="",C1515="",D1515=""),"",IF(C1515+D1515=0,"",(E1515*C1515+F1515*D1515)/(C1515+D1515)))</f>
        <v/>
      </c>
      <c r="H1515" s="59"/>
      <c r="I1515" s="60">
        <f>IF(OR(H1515="",E1515="",C1515="",D1515=""),"",IF(C1515+D1515=0,"",(H1515*D1515+E1515*C1515)/(C1515+D1515)))</f>
        <v/>
      </c>
      <c r="J1515" s="59"/>
      <c r="K1515" s="61">
        <f>IF(OR(J1515="",I1515=""),"",J1515-I1515)</f>
        <v/>
      </c>
      <c r="L1515" s="61">
        <f>IF(OR(J1515="",G1515=""),"",J1515-G1515)</f>
        <v/>
      </c>
      <c r="M1515" s="59"/>
      <c r="N1515" s="59"/>
      <c r="O1515" s="59"/>
      <c r="P1515" s="59"/>
      <c r="Q1515" s="59"/>
      <c r="R1515" s="60">
        <f>IF(AND(P1515="",Q1515=""),"",N(P1515)+N(Q1515))</f>
        <v/>
      </c>
      <c r="S1515" s="59"/>
      <c r="T1515" s="59"/>
      <c r="U1515" s="62">
        <f>IF(OR(R1515="",S1515="",T1515=""),"",IF(S1515+T1515=0,"",R1515/(S1515+T1515)))</f>
        <v/>
      </c>
      <c r="V1515" s="63"/>
      <c r="W1515" s="64"/>
      <c r="X1515" s="63"/>
    </row>
    <row r="1516" spans="2:24">
      <c r="B1516" s="58"/>
      <c r="C1516" s="59"/>
      <c r="D1516" s="59"/>
      <c r="E1516" s="59"/>
      <c r="F1516" s="59"/>
      <c r="G1516" s="60">
        <f>IF(OR(E1516="",F1516="",C1516="",D1516=""),"",IF(C1516+D1516=0,"",(E1516*C1516+F1516*D1516)/(C1516+D1516)))</f>
        <v/>
      </c>
      <c r="H1516" s="59"/>
      <c r="I1516" s="60">
        <f>IF(OR(H1516="",E1516="",C1516="",D1516=""),"",IF(C1516+D1516=0,"",(H1516*D1516+E1516*C1516)/(C1516+D1516)))</f>
        <v/>
      </c>
      <c r="J1516" s="59"/>
      <c r="K1516" s="61">
        <f>IF(OR(J1516="",I1516=""),"",J1516-I1516)</f>
        <v/>
      </c>
      <c r="L1516" s="61">
        <f>IF(OR(J1516="",G1516=""),"",J1516-G1516)</f>
        <v/>
      </c>
      <c r="M1516" s="59"/>
      <c r="N1516" s="59"/>
      <c r="O1516" s="59"/>
      <c r="P1516" s="59"/>
      <c r="Q1516" s="59"/>
      <c r="R1516" s="60">
        <f>IF(AND(P1516="",Q1516=""),"",N(P1516)+N(Q1516))</f>
        <v/>
      </c>
      <c r="S1516" s="59"/>
      <c r="T1516" s="59"/>
      <c r="U1516" s="62">
        <f>IF(OR(R1516="",S1516="",T1516=""),"",IF(S1516+T1516=0,"",R1516/(S1516+T1516)))</f>
        <v/>
      </c>
      <c r="V1516" s="63"/>
      <c r="W1516" s="64"/>
      <c r="X1516" s="63"/>
    </row>
    <row r="1517" spans="2:24">
      <c r="B1517" s="58"/>
      <c r="C1517" s="59"/>
      <c r="D1517" s="59"/>
      <c r="E1517" s="59"/>
      <c r="F1517" s="59"/>
      <c r="G1517" s="60">
        <f>IF(OR(E1517="",F1517="",C1517="",D1517=""),"",IF(C1517+D1517=0,"",(E1517*C1517+F1517*D1517)/(C1517+D1517)))</f>
        <v/>
      </c>
      <c r="H1517" s="59"/>
      <c r="I1517" s="60">
        <f>IF(OR(H1517="",E1517="",C1517="",D1517=""),"",IF(C1517+D1517=0,"",(H1517*D1517+E1517*C1517)/(C1517+D1517)))</f>
        <v/>
      </c>
      <c r="J1517" s="59"/>
      <c r="K1517" s="61">
        <f>IF(OR(J1517="",I1517=""),"",J1517-I1517)</f>
        <v/>
      </c>
      <c r="L1517" s="61">
        <f>IF(OR(J1517="",G1517=""),"",J1517-G1517)</f>
        <v/>
      </c>
      <c r="M1517" s="59"/>
      <c r="N1517" s="59"/>
      <c r="O1517" s="59"/>
      <c r="P1517" s="59"/>
      <c r="Q1517" s="59"/>
      <c r="R1517" s="60">
        <f>IF(AND(P1517="",Q1517=""),"",N(P1517)+N(Q1517))</f>
        <v/>
      </c>
      <c r="S1517" s="59"/>
      <c r="T1517" s="59"/>
      <c r="U1517" s="62">
        <f>IF(OR(R1517="",S1517="",T1517=""),"",IF(S1517+T1517=0,"",R1517/(S1517+T1517)))</f>
        <v/>
      </c>
      <c r="V1517" s="63"/>
      <c r="W1517" s="64"/>
      <c r="X1517" s="63"/>
    </row>
    <row r="1518" spans="2:24">
      <c r="B1518" s="58"/>
      <c r="C1518" s="59"/>
      <c r="D1518" s="59"/>
      <c r="E1518" s="59"/>
      <c r="F1518" s="59"/>
      <c r="G1518" s="60">
        <f>IF(OR(E1518="",F1518="",C1518="",D1518=""),"",IF(C1518+D1518=0,"",(E1518*C1518+F1518*D1518)/(C1518+D1518)))</f>
        <v/>
      </c>
      <c r="H1518" s="59"/>
      <c r="I1518" s="60">
        <f>IF(OR(H1518="",E1518="",C1518="",D1518=""),"",IF(C1518+D1518=0,"",(H1518*D1518+E1518*C1518)/(C1518+D1518)))</f>
        <v/>
      </c>
      <c r="J1518" s="59"/>
      <c r="K1518" s="61">
        <f>IF(OR(J1518="",I1518=""),"",J1518-I1518)</f>
        <v/>
      </c>
      <c r="L1518" s="61">
        <f>IF(OR(J1518="",G1518=""),"",J1518-G1518)</f>
        <v/>
      </c>
      <c r="M1518" s="59"/>
      <c r="N1518" s="59"/>
      <c r="O1518" s="59"/>
      <c r="P1518" s="59"/>
      <c r="Q1518" s="59"/>
      <c r="R1518" s="60">
        <f>IF(AND(P1518="",Q1518=""),"",N(P1518)+N(Q1518))</f>
        <v/>
      </c>
      <c r="S1518" s="59"/>
      <c r="T1518" s="59"/>
      <c r="U1518" s="62">
        <f>IF(OR(R1518="",S1518="",T1518=""),"",IF(S1518+T1518=0,"",R1518/(S1518+T1518)))</f>
        <v/>
      </c>
      <c r="V1518" s="63"/>
      <c r="W1518" s="64"/>
      <c r="X1518" s="63"/>
    </row>
    <row r="1519" spans="2:24">
      <c r="B1519" s="58"/>
      <c r="C1519" s="59"/>
      <c r="D1519" s="59"/>
      <c r="E1519" s="59"/>
      <c r="F1519" s="59"/>
      <c r="G1519" s="60">
        <f>IF(OR(E1519="",F1519="",C1519="",D1519=""),"",IF(C1519+D1519=0,"",(E1519*C1519+F1519*D1519)/(C1519+D1519)))</f>
        <v/>
      </c>
      <c r="H1519" s="59"/>
      <c r="I1519" s="60">
        <f>IF(OR(H1519="",E1519="",C1519="",D1519=""),"",IF(C1519+D1519=0,"",(H1519*D1519+E1519*C1519)/(C1519+D1519)))</f>
        <v/>
      </c>
      <c r="J1519" s="59"/>
      <c r="K1519" s="61">
        <f>IF(OR(J1519="",I1519=""),"",J1519-I1519)</f>
        <v/>
      </c>
      <c r="L1519" s="61">
        <f>IF(OR(J1519="",G1519=""),"",J1519-G1519)</f>
        <v/>
      </c>
      <c r="M1519" s="59"/>
      <c r="N1519" s="59"/>
      <c r="O1519" s="59"/>
      <c r="P1519" s="59"/>
      <c r="Q1519" s="59"/>
      <c r="R1519" s="60">
        <f>IF(AND(P1519="",Q1519=""),"",N(P1519)+N(Q1519))</f>
        <v/>
      </c>
      <c r="S1519" s="59"/>
      <c r="T1519" s="59"/>
      <c r="U1519" s="62">
        <f>IF(OR(R1519="",S1519="",T1519=""),"",IF(S1519+T1519=0,"",R1519/(S1519+T1519)))</f>
        <v/>
      </c>
      <c r="V1519" s="63"/>
      <c r="W1519" s="64"/>
      <c r="X1519" s="63"/>
    </row>
    <row r="1520" spans="2:24">
      <c r="B1520" s="58"/>
      <c r="C1520" s="59"/>
      <c r="D1520" s="59"/>
      <c r="E1520" s="59"/>
      <c r="F1520" s="59"/>
      <c r="G1520" s="60">
        <f>IF(OR(E1520="",F1520="",C1520="",D1520=""),"",IF(C1520+D1520=0,"",(E1520*C1520+F1520*D1520)/(C1520+D1520)))</f>
        <v/>
      </c>
      <c r="H1520" s="59"/>
      <c r="I1520" s="60">
        <f>IF(OR(H1520="",E1520="",C1520="",D1520=""),"",IF(C1520+D1520=0,"",(H1520*D1520+E1520*C1520)/(C1520+D1520)))</f>
        <v/>
      </c>
      <c r="J1520" s="59"/>
      <c r="K1520" s="61">
        <f>IF(OR(J1520="",I1520=""),"",J1520-I1520)</f>
        <v/>
      </c>
      <c r="L1520" s="61">
        <f>IF(OR(J1520="",G1520=""),"",J1520-G1520)</f>
        <v/>
      </c>
      <c r="M1520" s="59"/>
      <c r="N1520" s="59"/>
      <c r="O1520" s="59"/>
      <c r="P1520" s="59"/>
      <c r="Q1520" s="59"/>
      <c r="R1520" s="60">
        <f>IF(AND(P1520="",Q1520=""),"",N(P1520)+N(Q1520))</f>
        <v/>
      </c>
      <c r="S1520" s="59"/>
      <c r="T1520" s="59"/>
      <c r="U1520" s="62">
        <f>IF(OR(R1520="",S1520="",T1520=""),"",IF(S1520+T1520=0,"",R1520/(S1520+T1520)))</f>
        <v/>
      </c>
      <c r="V1520" s="63"/>
      <c r="W1520" s="64"/>
      <c r="X1520" s="63"/>
    </row>
    <row r="1521" spans="2:24">
      <c r="B1521" s="58"/>
      <c r="C1521" s="59"/>
      <c r="D1521" s="59"/>
      <c r="E1521" s="59"/>
      <c r="F1521" s="59"/>
      <c r="G1521" s="60">
        <f>IF(OR(E1521="",F1521="",C1521="",D1521=""),"",IF(C1521+D1521=0,"",(E1521*C1521+F1521*D1521)/(C1521+D1521)))</f>
        <v/>
      </c>
      <c r="H1521" s="59"/>
      <c r="I1521" s="60">
        <f>IF(OR(H1521="",E1521="",C1521="",D1521=""),"",IF(C1521+D1521=0,"",(H1521*D1521+E1521*C1521)/(C1521+D1521)))</f>
        <v/>
      </c>
      <c r="J1521" s="59"/>
      <c r="K1521" s="61">
        <f>IF(OR(J1521="",I1521=""),"",J1521-I1521)</f>
        <v/>
      </c>
      <c r="L1521" s="61">
        <f>IF(OR(J1521="",G1521=""),"",J1521-G1521)</f>
        <v/>
      </c>
      <c r="M1521" s="59"/>
      <c r="N1521" s="59"/>
      <c r="O1521" s="59"/>
      <c r="P1521" s="59"/>
      <c r="Q1521" s="59"/>
      <c r="R1521" s="60">
        <f>IF(AND(P1521="",Q1521=""),"",N(P1521)+N(Q1521))</f>
        <v/>
      </c>
      <c r="S1521" s="59"/>
      <c r="T1521" s="59"/>
      <c r="U1521" s="62">
        <f>IF(OR(R1521="",S1521="",T1521=""),"",IF(S1521+T1521=0,"",R1521/(S1521+T1521)))</f>
        <v/>
      </c>
      <c r="V1521" s="63"/>
      <c r="W1521" s="64"/>
      <c r="X1521" s="63"/>
    </row>
    <row r="1522" spans="2:24">
      <c r="B1522" s="58"/>
      <c r="C1522" s="59"/>
      <c r="D1522" s="59"/>
      <c r="E1522" s="59"/>
      <c r="F1522" s="59"/>
      <c r="G1522" s="60">
        <f>IF(OR(E1522="",F1522="",C1522="",D1522=""),"",IF(C1522+D1522=0,"",(E1522*C1522+F1522*D1522)/(C1522+D1522)))</f>
        <v/>
      </c>
      <c r="H1522" s="59"/>
      <c r="I1522" s="60">
        <f>IF(OR(H1522="",E1522="",C1522="",D1522=""),"",IF(C1522+D1522=0,"",(H1522*D1522+E1522*C1522)/(C1522+D1522)))</f>
        <v/>
      </c>
      <c r="J1522" s="59"/>
      <c r="K1522" s="61">
        <f>IF(OR(J1522="",I1522=""),"",J1522-I1522)</f>
        <v/>
      </c>
      <c r="L1522" s="61">
        <f>IF(OR(J1522="",G1522=""),"",J1522-G1522)</f>
        <v/>
      </c>
      <c r="M1522" s="59"/>
      <c r="N1522" s="59"/>
      <c r="O1522" s="59"/>
      <c r="P1522" s="59"/>
      <c r="Q1522" s="59"/>
      <c r="R1522" s="60">
        <f>IF(AND(P1522="",Q1522=""),"",N(P1522)+N(Q1522))</f>
        <v/>
      </c>
      <c r="S1522" s="59"/>
      <c r="T1522" s="59"/>
      <c r="U1522" s="62">
        <f>IF(OR(R1522="",S1522="",T1522=""),"",IF(S1522+T1522=0,"",R1522/(S1522+T1522)))</f>
        <v/>
      </c>
      <c r="V1522" s="63"/>
      <c r="W1522" s="64"/>
      <c r="X1522" s="63"/>
    </row>
    <row r="1523" spans="2:24">
      <c r="B1523" s="58"/>
      <c r="C1523" s="59"/>
      <c r="D1523" s="59"/>
      <c r="E1523" s="59"/>
      <c r="F1523" s="59"/>
      <c r="G1523" s="60">
        <f>IF(OR(E1523="",F1523="",C1523="",D1523=""),"",IF(C1523+D1523=0,"",(E1523*C1523+F1523*D1523)/(C1523+D1523)))</f>
        <v/>
      </c>
      <c r="H1523" s="59"/>
      <c r="I1523" s="60">
        <f>IF(OR(H1523="",E1523="",C1523="",D1523=""),"",IF(C1523+D1523=0,"",(H1523*D1523+E1523*C1523)/(C1523+D1523)))</f>
        <v/>
      </c>
      <c r="J1523" s="59"/>
      <c r="K1523" s="61">
        <f>IF(OR(J1523="",I1523=""),"",J1523-I1523)</f>
        <v/>
      </c>
      <c r="L1523" s="61">
        <f>IF(OR(J1523="",G1523=""),"",J1523-G1523)</f>
        <v/>
      </c>
      <c r="M1523" s="59"/>
      <c r="N1523" s="59"/>
      <c r="O1523" s="59"/>
      <c r="P1523" s="59"/>
      <c r="Q1523" s="59"/>
      <c r="R1523" s="60">
        <f>IF(AND(P1523="",Q1523=""),"",N(P1523)+N(Q1523))</f>
        <v/>
      </c>
      <c r="S1523" s="59"/>
      <c r="T1523" s="59"/>
      <c r="U1523" s="62">
        <f>IF(OR(R1523="",S1523="",T1523=""),"",IF(S1523+T1523=0,"",R1523/(S1523+T1523)))</f>
        <v/>
      </c>
      <c r="V1523" s="63"/>
      <c r="W1523" s="64"/>
      <c r="X1523" s="63"/>
    </row>
    <row r="1524" spans="2:24">
      <c r="B1524" s="58"/>
      <c r="C1524" s="59"/>
      <c r="D1524" s="59"/>
      <c r="E1524" s="59"/>
      <c r="F1524" s="59"/>
      <c r="G1524" s="60">
        <f>IF(OR(E1524="",F1524="",C1524="",D1524=""),"",IF(C1524+D1524=0,"",(E1524*C1524+F1524*D1524)/(C1524+D1524)))</f>
        <v/>
      </c>
      <c r="H1524" s="59"/>
      <c r="I1524" s="60">
        <f>IF(OR(H1524="",E1524="",C1524="",D1524=""),"",IF(C1524+D1524=0,"",(H1524*D1524+E1524*C1524)/(C1524+D1524)))</f>
        <v/>
      </c>
      <c r="J1524" s="59"/>
      <c r="K1524" s="61">
        <f>IF(OR(J1524="",I1524=""),"",J1524-I1524)</f>
        <v/>
      </c>
      <c r="L1524" s="61">
        <f>IF(OR(J1524="",G1524=""),"",J1524-G1524)</f>
        <v/>
      </c>
      <c r="M1524" s="59"/>
      <c r="N1524" s="59"/>
      <c r="O1524" s="59"/>
      <c r="P1524" s="59"/>
      <c r="Q1524" s="59"/>
      <c r="R1524" s="60">
        <f>IF(AND(P1524="",Q1524=""),"",N(P1524)+N(Q1524))</f>
        <v/>
      </c>
      <c r="S1524" s="59"/>
      <c r="T1524" s="59"/>
      <c r="U1524" s="62">
        <f>IF(OR(R1524="",S1524="",T1524=""),"",IF(S1524+T1524=0,"",R1524/(S1524+T1524)))</f>
        <v/>
      </c>
      <c r="V1524" s="63"/>
      <c r="W1524" s="64"/>
      <c r="X1524" s="63"/>
    </row>
    <row r="1525" spans="2:24">
      <c r="B1525" s="58"/>
      <c r="C1525" s="59"/>
      <c r="D1525" s="59"/>
      <c r="E1525" s="59"/>
      <c r="F1525" s="59"/>
      <c r="G1525" s="60">
        <f>IF(OR(E1525="",F1525="",C1525="",D1525=""),"",IF(C1525+D1525=0,"",(E1525*C1525+F1525*D1525)/(C1525+D1525)))</f>
        <v/>
      </c>
      <c r="H1525" s="59"/>
      <c r="I1525" s="60">
        <f>IF(OR(H1525="",E1525="",C1525="",D1525=""),"",IF(C1525+D1525=0,"",(H1525*D1525+E1525*C1525)/(C1525+D1525)))</f>
        <v/>
      </c>
      <c r="J1525" s="59"/>
      <c r="K1525" s="61">
        <f>IF(OR(J1525="",I1525=""),"",J1525-I1525)</f>
        <v/>
      </c>
      <c r="L1525" s="61">
        <f>IF(OR(J1525="",G1525=""),"",J1525-G1525)</f>
        <v/>
      </c>
      <c r="M1525" s="59"/>
      <c r="N1525" s="59"/>
      <c r="O1525" s="59"/>
      <c r="P1525" s="59"/>
      <c r="Q1525" s="59"/>
      <c r="R1525" s="60">
        <f>IF(AND(P1525="",Q1525=""),"",N(P1525)+N(Q1525))</f>
        <v/>
      </c>
      <c r="S1525" s="59"/>
      <c r="T1525" s="59"/>
      <c r="U1525" s="62">
        <f>IF(OR(R1525="",S1525="",T1525=""),"",IF(S1525+T1525=0,"",R1525/(S1525+T1525)))</f>
        <v/>
      </c>
      <c r="V1525" s="63"/>
      <c r="W1525" s="64"/>
      <c r="X1525" s="63"/>
    </row>
    <row r="1526" spans="2:24">
      <c r="B1526" s="58"/>
      <c r="C1526" s="59"/>
      <c r="D1526" s="59"/>
      <c r="E1526" s="59"/>
      <c r="F1526" s="59"/>
      <c r="G1526" s="60">
        <f>IF(OR(E1526="",F1526="",C1526="",D1526=""),"",IF(C1526+D1526=0,"",(E1526*C1526+F1526*D1526)/(C1526+D1526)))</f>
        <v/>
      </c>
      <c r="H1526" s="59"/>
      <c r="I1526" s="60">
        <f>IF(OR(H1526="",E1526="",C1526="",D1526=""),"",IF(C1526+D1526=0,"",(H1526*D1526+E1526*C1526)/(C1526+D1526)))</f>
        <v/>
      </c>
      <c r="J1526" s="59"/>
      <c r="K1526" s="61">
        <f>IF(OR(J1526="",I1526=""),"",J1526-I1526)</f>
        <v/>
      </c>
      <c r="L1526" s="61">
        <f>IF(OR(J1526="",G1526=""),"",J1526-G1526)</f>
        <v/>
      </c>
      <c r="M1526" s="59"/>
      <c r="N1526" s="59"/>
      <c r="O1526" s="59"/>
      <c r="P1526" s="59"/>
      <c r="Q1526" s="59"/>
      <c r="R1526" s="60">
        <f>IF(AND(P1526="",Q1526=""),"",N(P1526)+N(Q1526))</f>
        <v/>
      </c>
      <c r="S1526" s="59"/>
      <c r="T1526" s="59"/>
      <c r="U1526" s="62">
        <f>IF(OR(R1526="",S1526="",T1526=""),"",IF(S1526+T1526=0,"",R1526/(S1526+T1526)))</f>
        <v/>
      </c>
      <c r="V1526" s="63"/>
      <c r="W1526" s="64"/>
      <c r="X1526" s="63"/>
    </row>
    <row r="1527" spans="2:24">
      <c r="B1527" s="58"/>
      <c r="C1527" s="59"/>
      <c r="D1527" s="59"/>
      <c r="E1527" s="59"/>
      <c r="F1527" s="59"/>
      <c r="G1527" s="60">
        <f>IF(OR(E1527="",F1527="",C1527="",D1527=""),"",IF(C1527+D1527=0,"",(E1527*C1527+F1527*D1527)/(C1527+D1527)))</f>
        <v/>
      </c>
      <c r="H1527" s="59"/>
      <c r="I1527" s="60">
        <f>IF(OR(H1527="",E1527="",C1527="",D1527=""),"",IF(C1527+D1527=0,"",(H1527*D1527+E1527*C1527)/(C1527+D1527)))</f>
        <v/>
      </c>
      <c r="J1527" s="59"/>
      <c r="K1527" s="61">
        <f>IF(OR(J1527="",I1527=""),"",J1527-I1527)</f>
        <v/>
      </c>
      <c r="L1527" s="61">
        <f>IF(OR(J1527="",G1527=""),"",J1527-G1527)</f>
        <v/>
      </c>
      <c r="M1527" s="59"/>
      <c r="N1527" s="59"/>
      <c r="O1527" s="59"/>
      <c r="P1527" s="59"/>
      <c r="Q1527" s="59"/>
      <c r="R1527" s="60">
        <f>IF(AND(P1527="",Q1527=""),"",N(P1527)+N(Q1527))</f>
        <v/>
      </c>
      <c r="S1527" s="59"/>
      <c r="T1527" s="59"/>
      <c r="U1527" s="62">
        <f>IF(OR(R1527="",S1527="",T1527=""),"",IF(S1527+T1527=0,"",R1527/(S1527+T1527)))</f>
        <v/>
      </c>
      <c r="V1527" s="63"/>
      <c r="W1527" s="64"/>
      <c r="X1527" s="63"/>
    </row>
    <row r="1528" spans="2:24">
      <c r="B1528" s="58"/>
      <c r="C1528" s="59"/>
      <c r="D1528" s="59"/>
      <c r="E1528" s="59"/>
      <c r="F1528" s="59"/>
      <c r="G1528" s="60">
        <f>IF(OR(E1528="",F1528="",C1528="",D1528=""),"",IF(C1528+D1528=0,"",(E1528*C1528+F1528*D1528)/(C1528+D1528)))</f>
        <v/>
      </c>
      <c r="H1528" s="59"/>
      <c r="I1528" s="60">
        <f>IF(OR(H1528="",E1528="",C1528="",D1528=""),"",IF(C1528+D1528=0,"",(H1528*D1528+E1528*C1528)/(C1528+D1528)))</f>
        <v/>
      </c>
      <c r="J1528" s="59"/>
      <c r="K1528" s="61">
        <f>IF(OR(J1528="",I1528=""),"",J1528-I1528)</f>
        <v/>
      </c>
      <c r="L1528" s="61">
        <f>IF(OR(J1528="",G1528=""),"",J1528-G1528)</f>
        <v/>
      </c>
      <c r="M1528" s="59"/>
      <c r="N1528" s="59"/>
      <c r="O1528" s="59"/>
      <c r="P1528" s="59"/>
      <c r="Q1528" s="59"/>
      <c r="R1528" s="60">
        <f>IF(AND(P1528="",Q1528=""),"",N(P1528)+N(Q1528))</f>
        <v/>
      </c>
      <c r="S1528" s="59"/>
      <c r="T1528" s="59"/>
      <c r="U1528" s="62">
        <f>IF(OR(R1528="",S1528="",T1528=""),"",IF(S1528+T1528=0,"",R1528/(S1528+T1528)))</f>
        <v/>
      </c>
      <c r="V1528" s="63"/>
      <c r="W1528" s="64"/>
      <c r="X1528" s="63"/>
    </row>
    <row r="1529" spans="2:24">
      <c r="B1529" s="58"/>
      <c r="C1529" s="59"/>
      <c r="D1529" s="59"/>
      <c r="E1529" s="59"/>
      <c r="F1529" s="59"/>
      <c r="G1529" s="60">
        <f>IF(OR(E1529="",F1529="",C1529="",D1529=""),"",IF(C1529+D1529=0,"",(E1529*C1529+F1529*D1529)/(C1529+D1529)))</f>
        <v/>
      </c>
      <c r="H1529" s="59"/>
      <c r="I1529" s="60">
        <f>IF(OR(H1529="",E1529="",C1529="",D1529=""),"",IF(C1529+D1529=0,"",(H1529*D1529+E1529*C1529)/(C1529+D1529)))</f>
        <v/>
      </c>
      <c r="J1529" s="59"/>
      <c r="K1529" s="61">
        <f>IF(OR(J1529="",I1529=""),"",J1529-I1529)</f>
        <v/>
      </c>
      <c r="L1529" s="61">
        <f>IF(OR(J1529="",G1529=""),"",J1529-G1529)</f>
        <v/>
      </c>
      <c r="M1529" s="59"/>
      <c r="N1529" s="59"/>
      <c r="O1529" s="59"/>
      <c r="P1529" s="59"/>
      <c r="Q1529" s="59"/>
      <c r="R1529" s="60">
        <f>IF(AND(P1529="",Q1529=""),"",N(P1529)+N(Q1529))</f>
        <v/>
      </c>
      <c r="S1529" s="59"/>
      <c r="T1529" s="59"/>
      <c r="U1529" s="62">
        <f>IF(OR(R1529="",S1529="",T1529=""),"",IF(S1529+T1529=0,"",R1529/(S1529+T1529)))</f>
        <v/>
      </c>
      <c r="V1529" s="63"/>
      <c r="W1529" s="64"/>
      <c r="X1529" s="63"/>
    </row>
    <row r="1530" spans="2:24">
      <c r="B1530" s="58"/>
      <c r="C1530" s="59"/>
      <c r="D1530" s="59"/>
      <c r="E1530" s="59"/>
      <c r="F1530" s="59"/>
      <c r="G1530" s="60">
        <f>IF(OR(E1530="",F1530="",C1530="",D1530=""),"",IF(C1530+D1530=0,"",(E1530*C1530+F1530*D1530)/(C1530+D1530)))</f>
        <v/>
      </c>
      <c r="H1530" s="59"/>
      <c r="I1530" s="60">
        <f>IF(OR(H1530="",E1530="",C1530="",D1530=""),"",IF(C1530+D1530=0,"",(H1530*D1530+E1530*C1530)/(C1530+D1530)))</f>
        <v/>
      </c>
      <c r="J1530" s="59"/>
      <c r="K1530" s="61">
        <f>IF(OR(J1530="",I1530=""),"",J1530-I1530)</f>
        <v/>
      </c>
      <c r="L1530" s="61">
        <f>IF(OR(J1530="",G1530=""),"",J1530-G1530)</f>
        <v/>
      </c>
      <c r="M1530" s="59"/>
      <c r="N1530" s="59"/>
      <c r="O1530" s="59"/>
      <c r="P1530" s="59"/>
      <c r="Q1530" s="59"/>
      <c r="R1530" s="60">
        <f>IF(AND(P1530="",Q1530=""),"",N(P1530)+N(Q1530))</f>
        <v/>
      </c>
      <c r="S1530" s="59"/>
      <c r="T1530" s="59"/>
      <c r="U1530" s="62">
        <f>IF(OR(R1530="",S1530="",T1530=""),"",IF(S1530+T1530=0,"",R1530/(S1530+T1530)))</f>
        <v/>
      </c>
      <c r="V1530" s="63"/>
      <c r="W1530" s="64"/>
      <c r="X1530" s="63"/>
    </row>
    <row r="1531" spans="2:24">
      <c r="B1531" s="58"/>
      <c r="C1531" s="59"/>
      <c r="D1531" s="59"/>
      <c r="E1531" s="59"/>
      <c r="F1531" s="59"/>
      <c r="G1531" s="60">
        <f>IF(OR(E1531="",F1531="",C1531="",D1531=""),"",IF(C1531+D1531=0,"",(E1531*C1531+F1531*D1531)/(C1531+D1531)))</f>
        <v/>
      </c>
      <c r="H1531" s="59"/>
      <c r="I1531" s="60">
        <f>IF(OR(H1531="",E1531="",C1531="",D1531=""),"",IF(C1531+D1531=0,"",(H1531*D1531+E1531*C1531)/(C1531+D1531)))</f>
        <v/>
      </c>
      <c r="J1531" s="59"/>
      <c r="K1531" s="61">
        <f>IF(OR(J1531="",I1531=""),"",J1531-I1531)</f>
        <v/>
      </c>
      <c r="L1531" s="61">
        <f>IF(OR(J1531="",G1531=""),"",J1531-G1531)</f>
        <v/>
      </c>
      <c r="M1531" s="59"/>
      <c r="N1531" s="59"/>
      <c r="O1531" s="59"/>
      <c r="P1531" s="59"/>
      <c r="Q1531" s="59"/>
      <c r="R1531" s="60">
        <f>IF(AND(P1531="",Q1531=""),"",N(P1531)+N(Q1531))</f>
        <v/>
      </c>
      <c r="S1531" s="59"/>
      <c r="T1531" s="59"/>
      <c r="U1531" s="62">
        <f>IF(OR(R1531="",S1531="",T1531=""),"",IF(S1531+T1531=0,"",R1531/(S1531+T1531)))</f>
        <v/>
      </c>
      <c r="V1531" s="63"/>
      <c r="W1531" s="64"/>
      <c r="X1531" s="63"/>
    </row>
    <row r="1532" spans="2:24">
      <c r="B1532" s="58"/>
      <c r="C1532" s="59"/>
      <c r="D1532" s="59"/>
      <c r="E1532" s="59"/>
      <c r="F1532" s="59"/>
      <c r="G1532" s="60">
        <f>IF(OR(E1532="",F1532="",C1532="",D1532=""),"",IF(C1532+D1532=0,"",(E1532*C1532+F1532*D1532)/(C1532+D1532)))</f>
        <v/>
      </c>
      <c r="H1532" s="59"/>
      <c r="I1532" s="60">
        <f>IF(OR(H1532="",E1532="",C1532="",D1532=""),"",IF(C1532+D1532=0,"",(H1532*D1532+E1532*C1532)/(C1532+D1532)))</f>
        <v/>
      </c>
      <c r="J1532" s="59"/>
      <c r="K1532" s="61">
        <f>IF(OR(J1532="",I1532=""),"",J1532-I1532)</f>
        <v/>
      </c>
      <c r="L1532" s="61">
        <f>IF(OR(J1532="",G1532=""),"",J1532-G1532)</f>
        <v/>
      </c>
      <c r="M1532" s="59"/>
      <c r="N1532" s="59"/>
      <c r="O1532" s="59"/>
      <c r="P1532" s="59"/>
      <c r="Q1532" s="59"/>
      <c r="R1532" s="60">
        <f>IF(AND(P1532="",Q1532=""),"",N(P1532)+N(Q1532))</f>
        <v/>
      </c>
      <c r="S1532" s="59"/>
      <c r="T1532" s="59"/>
      <c r="U1532" s="62">
        <f>IF(OR(R1532="",S1532="",T1532=""),"",IF(S1532+T1532=0,"",R1532/(S1532+T1532)))</f>
        <v/>
      </c>
      <c r="V1532" s="63"/>
      <c r="W1532" s="64"/>
      <c r="X1532" s="63"/>
    </row>
    <row r="1533" spans="2:24">
      <c r="B1533" s="58"/>
      <c r="C1533" s="59"/>
      <c r="D1533" s="59"/>
      <c r="E1533" s="59"/>
      <c r="F1533" s="59"/>
      <c r="G1533" s="60">
        <f>IF(OR(E1533="",F1533="",C1533="",D1533=""),"",IF(C1533+D1533=0,"",(E1533*C1533+F1533*D1533)/(C1533+D1533)))</f>
        <v/>
      </c>
      <c r="H1533" s="59"/>
      <c r="I1533" s="60">
        <f>IF(OR(H1533="",E1533="",C1533="",D1533=""),"",IF(C1533+D1533=0,"",(H1533*D1533+E1533*C1533)/(C1533+D1533)))</f>
        <v/>
      </c>
      <c r="J1533" s="59"/>
      <c r="K1533" s="61">
        <f>IF(OR(J1533="",I1533=""),"",J1533-I1533)</f>
        <v/>
      </c>
      <c r="L1533" s="61">
        <f>IF(OR(J1533="",G1533=""),"",J1533-G1533)</f>
        <v/>
      </c>
      <c r="M1533" s="59"/>
      <c r="N1533" s="59"/>
      <c r="O1533" s="59"/>
      <c r="P1533" s="59"/>
      <c r="Q1533" s="59"/>
      <c r="R1533" s="60">
        <f>IF(AND(P1533="",Q1533=""),"",N(P1533)+N(Q1533))</f>
        <v/>
      </c>
      <c r="S1533" s="59"/>
      <c r="T1533" s="59"/>
      <c r="U1533" s="62">
        <f>IF(OR(R1533="",S1533="",T1533=""),"",IF(S1533+T1533=0,"",R1533/(S1533+T1533)))</f>
        <v/>
      </c>
      <c r="V1533" s="63"/>
      <c r="W1533" s="64"/>
      <c r="X1533" s="63"/>
    </row>
    <row r="1534" spans="2:24">
      <c r="B1534" s="58"/>
      <c r="C1534" s="59"/>
      <c r="D1534" s="59"/>
      <c r="E1534" s="59"/>
      <c r="F1534" s="59"/>
      <c r="G1534" s="60">
        <f>IF(OR(E1534="",F1534="",C1534="",D1534=""),"",IF(C1534+D1534=0,"",(E1534*C1534+F1534*D1534)/(C1534+D1534)))</f>
        <v/>
      </c>
      <c r="H1534" s="59"/>
      <c r="I1534" s="60">
        <f>IF(OR(H1534="",E1534="",C1534="",D1534=""),"",IF(C1534+D1534=0,"",(H1534*D1534+E1534*C1534)/(C1534+D1534)))</f>
        <v/>
      </c>
      <c r="J1534" s="59"/>
      <c r="K1534" s="61">
        <f>IF(OR(J1534="",I1534=""),"",J1534-I1534)</f>
        <v/>
      </c>
      <c r="L1534" s="61">
        <f>IF(OR(J1534="",G1534=""),"",J1534-G1534)</f>
        <v/>
      </c>
      <c r="M1534" s="59"/>
      <c r="N1534" s="59"/>
      <c r="O1534" s="59"/>
      <c r="P1534" s="59"/>
      <c r="Q1534" s="59"/>
      <c r="R1534" s="60">
        <f>IF(AND(P1534="",Q1534=""),"",N(P1534)+N(Q1534))</f>
        <v/>
      </c>
      <c r="S1534" s="59"/>
      <c r="T1534" s="59"/>
      <c r="U1534" s="62">
        <f>IF(OR(R1534="",S1534="",T1534=""),"",IF(S1534+T1534=0,"",R1534/(S1534+T1534)))</f>
        <v/>
      </c>
      <c r="V1534" s="63"/>
      <c r="W1534" s="64"/>
      <c r="X1534" s="63"/>
    </row>
    <row r="1535" spans="2:24">
      <c r="B1535" s="58"/>
      <c r="C1535" s="59"/>
      <c r="D1535" s="59"/>
      <c r="E1535" s="59"/>
      <c r="F1535" s="59"/>
      <c r="G1535" s="60">
        <f>IF(OR(E1535="",F1535="",C1535="",D1535=""),"",IF(C1535+D1535=0,"",(E1535*C1535+F1535*D1535)/(C1535+D1535)))</f>
        <v/>
      </c>
      <c r="H1535" s="59"/>
      <c r="I1535" s="60">
        <f>IF(OR(H1535="",E1535="",C1535="",D1535=""),"",IF(C1535+D1535=0,"",(H1535*D1535+E1535*C1535)/(C1535+D1535)))</f>
        <v/>
      </c>
      <c r="J1535" s="59"/>
      <c r="K1535" s="61">
        <f>IF(OR(J1535="",I1535=""),"",J1535-I1535)</f>
        <v/>
      </c>
      <c r="L1535" s="61">
        <f>IF(OR(J1535="",G1535=""),"",J1535-G1535)</f>
        <v/>
      </c>
      <c r="M1535" s="59"/>
      <c r="N1535" s="59"/>
      <c r="O1535" s="59"/>
      <c r="P1535" s="59"/>
      <c r="Q1535" s="59"/>
      <c r="R1535" s="60">
        <f>IF(AND(P1535="",Q1535=""),"",N(P1535)+N(Q1535))</f>
        <v/>
      </c>
      <c r="S1535" s="59"/>
      <c r="T1535" s="59"/>
      <c r="U1535" s="62">
        <f>IF(OR(R1535="",S1535="",T1535=""),"",IF(S1535+T1535=0,"",R1535/(S1535+T1535)))</f>
        <v/>
      </c>
      <c r="V1535" s="63"/>
      <c r="W1535" s="64"/>
      <c r="X1535" s="63"/>
    </row>
    <row r="1536" spans="2:24">
      <c r="B1536" s="58"/>
      <c r="C1536" s="59"/>
      <c r="D1536" s="59"/>
      <c r="E1536" s="59"/>
      <c r="F1536" s="59"/>
      <c r="G1536" s="60">
        <f>IF(OR(E1536="",F1536="",C1536="",D1536=""),"",IF(C1536+D1536=0,"",(E1536*C1536+F1536*D1536)/(C1536+D1536)))</f>
        <v/>
      </c>
      <c r="H1536" s="59"/>
      <c r="I1536" s="60">
        <f>IF(OR(H1536="",E1536="",C1536="",D1536=""),"",IF(C1536+D1536=0,"",(H1536*D1536+E1536*C1536)/(C1536+D1536)))</f>
        <v/>
      </c>
      <c r="J1536" s="59"/>
      <c r="K1536" s="61">
        <f>IF(OR(J1536="",I1536=""),"",J1536-I1536)</f>
        <v/>
      </c>
      <c r="L1536" s="61">
        <f>IF(OR(J1536="",G1536=""),"",J1536-G1536)</f>
        <v/>
      </c>
      <c r="M1536" s="59"/>
      <c r="N1536" s="59"/>
      <c r="O1536" s="59"/>
      <c r="P1536" s="59"/>
      <c r="Q1536" s="59"/>
      <c r="R1536" s="60">
        <f>IF(AND(P1536="",Q1536=""),"",N(P1536)+N(Q1536))</f>
        <v/>
      </c>
      <c r="S1536" s="59"/>
      <c r="T1536" s="59"/>
      <c r="U1536" s="62">
        <f>IF(OR(R1536="",S1536="",T1536=""),"",IF(S1536+T1536=0,"",R1536/(S1536+T1536)))</f>
        <v/>
      </c>
      <c r="V1536" s="63"/>
      <c r="W1536" s="64"/>
      <c r="X1536" s="63"/>
    </row>
    <row r="1537" spans="2:24">
      <c r="B1537" s="58"/>
      <c r="C1537" s="59"/>
      <c r="D1537" s="59"/>
      <c r="E1537" s="59"/>
      <c r="F1537" s="59"/>
      <c r="G1537" s="60">
        <f>IF(OR(E1537="",F1537="",C1537="",D1537=""),"",IF(C1537+D1537=0,"",(E1537*C1537+F1537*D1537)/(C1537+D1537)))</f>
        <v/>
      </c>
      <c r="H1537" s="59"/>
      <c r="I1537" s="60">
        <f>IF(OR(H1537="",E1537="",C1537="",D1537=""),"",IF(C1537+D1537=0,"",(H1537*D1537+E1537*C1537)/(C1537+D1537)))</f>
        <v/>
      </c>
      <c r="J1537" s="59"/>
      <c r="K1537" s="61">
        <f>IF(OR(J1537="",I1537=""),"",J1537-I1537)</f>
        <v/>
      </c>
      <c r="L1537" s="61">
        <f>IF(OR(J1537="",G1537=""),"",J1537-G1537)</f>
        <v/>
      </c>
      <c r="M1537" s="59"/>
      <c r="N1537" s="59"/>
      <c r="O1537" s="59"/>
      <c r="P1537" s="59"/>
      <c r="Q1537" s="59"/>
      <c r="R1537" s="60">
        <f>IF(AND(P1537="",Q1537=""),"",N(P1537)+N(Q1537))</f>
        <v/>
      </c>
      <c r="S1537" s="59"/>
      <c r="T1537" s="59"/>
      <c r="U1537" s="62">
        <f>IF(OR(R1537="",S1537="",T1537=""),"",IF(S1537+T1537=0,"",R1537/(S1537+T1537)))</f>
        <v/>
      </c>
      <c r="V1537" s="63"/>
      <c r="W1537" s="64"/>
      <c r="X1537" s="63"/>
    </row>
    <row r="1538" spans="2:24">
      <c r="B1538" s="58"/>
      <c r="C1538" s="59"/>
      <c r="D1538" s="59"/>
      <c r="E1538" s="59"/>
      <c r="F1538" s="59"/>
      <c r="G1538" s="60">
        <f>IF(OR(E1538="",F1538="",C1538="",D1538=""),"",IF(C1538+D1538=0,"",(E1538*C1538+F1538*D1538)/(C1538+D1538)))</f>
        <v/>
      </c>
      <c r="H1538" s="59"/>
      <c r="I1538" s="60">
        <f>IF(OR(H1538="",E1538="",C1538="",D1538=""),"",IF(C1538+D1538=0,"",(H1538*D1538+E1538*C1538)/(C1538+D1538)))</f>
        <v/>
      </c>
      <c r="J1538" s="59"/>
      <c r="K1538" s="61">
        <f>IF(OR(J1538="",I1538=""),"",J1538-I1538)</f>
        <v/>
      </c>
      <c r="L1538" s="61">
        <f>IF(OR(J1538="",G1538=""),"",J1538-G1538)</f>
        <v/>
      </c>
      <c r="M1538" s="59"/>
      <c r="N1538" s="59"/>
      <c r="O1538" s="59"/>
      <c r="P1538" s="59"/>
      <c r="Q1538" s="59"/>
      <c r="R1538" s="60">
        <f>IF(AND(P1538="",Q1538=""),"",N(P1538)+N(Q1538))</f>
        <v/>
      </c>
      <c r="S1538" s="59"/>
      <c r="T1538" s="59"/>
      <c r="U1538" s="62">
        <f>IF(OR(R1538="",S1538="",T1538=""),"",IF(S1538+T1538=0,"",R1538/(S1538+T1538)))</f>
        <v/>
      </c>
      <c r="V1538" s="63"/>
      <c r="W1538" s="64"/>
      <c r="X1538" s="63"/>
    </row>
    <row r="1539" spans="2:24">
      <c r="B1539" s="58"/>
      <c r="C1539" s="59"/>
      <c r="D1539" s="59"/>
      <c r="E1539" s="59"/>
      <c r="F1539" s="59"/>
      <c r="G1539" s="60">
        <f>IF(OR(E1539="",F1539="",C1539="",D1539=""),"",IF(C1539+D1539=0,"",(E1539*C1539+F1539*D1539)/(C1539+D1539)))</f>
        <v/>
      </c>
      <c r="H1539" s="59"/>
      <c r="I1539" s="60">
        <f>IF(OR(H1539="",E1539="",C1539="",D1539=""),"",IF(C1539+D1539=0,"",(H1539*D1539+E1539*C1539)/(C1539+D1539)))</f>
        <v/>
      </c>
      <c r="J1539" s="59"/>
      <c r="K1539" s="61">
        <f>IF(OR(J1539="",I1539=""),"",J1539-I1539)</f>
        <v/>
      </c>
      <c r="L1539" s="61">
        <f>IF(OR(J1539="",G1539=""),"",J1539-G1539)</f>
        <v/>
      </c>
      <c r="M1539" s="59"/>
      <c r="N1539" s="59"/>
      <c r="O1539" s="59"/>
      <c r="P1539" s="59"/>
      <c r="Q1539" s="59"/>
      <c r="R1539" s="60">
        <f>IF(AND(P1539="",Q1539=""),"",N(P1539)+N(Q1539))</f>
        <v/>
      </c>
      <c r="S1539" s="59"/>
      <c r="T1539" s="59"/>
      <c r="U1539" s="62">
        <f>IF(OR(R1539="",S1539="",T1539=""),"",IF(S1539+T1539=0,"",R1539/(S1539+T1539)))</f>
        <v/>
      </c>
      <c r="V1539" s="63"/>
      <c r="W1539" s="64"/>
      <c r="X1539" s="63"/>
    </row>
    <row r="1540" spans="2:24">
      <c r="B1540" s="58"/>
      <c r="C1540" s="59"/>
      <c r="D1540" s="59"/>
      <c r="E1540" s="59"/>
      <c r="F1540" s="59"/>
      <c r="G1540" s="60">
        <f>IF(OR(E1540="",F1540="",C1540="",D1540=""),"",IF(C1540+D1540=0,"",(E1540*C1540+F1540*D1540)/(C1540+D1540)))</f>
        <v/>
      </c>
      <c r="H1540" s="59"/>
      <c r="I1540" s="60">
        <f>IF(OR(H1540="",E1540="",C1540="",D1540=""),"",IF(C1540+D1540=0,"",(H1540*D1540+E1540*C1540)/(C1540+D1540)))</f>
        <v/>
      </c>
      <c r="J1540" s="59"/>
      <c r="K1540" s="61">
        <f>IF(OR(J1540="",I1540=""),"",J1540-I1540)</f>
        <v/>
      </c>
      <c r="L1540" s="61">
        <f>IF(OR(J1540="",G1540=""),"",J1540-G1540)</f>
        <v/>
      </c>
      <c r="M1540" s="59"/>
      <c r="N1540" s="59"/>
      <c r="O1540" s="59"/>
      <c r="P1540" s="59"/>
      <c r="Q1540" s="59"/>
      <c r="R1540" s="60">
        <f>IF(AND(P1540="",Q1540=""),"",N(P1540)+N(Q1540))</f>
        <v/>
      </c>
      <c r="S1540" s="59"/>
      <c r="T1540" s="59"/>
      <c r="U1540" s="62">
        <f>IF(OR(R1540="",S1540="",T1540=""),"",IF(S1540+T1540=0,"",R1540/(S1540+T1540)))</f>
        <v/>
      </c>
      <c r="V1540" s="63"/>
      <c r="W1540" s="64"/>
      <c r="X1540" s="63"/>
    </row>
    <row r="1541" spans="2:24">
      <c r="B1541" s="58"/>
      <c r="C1541" s="59"/>
      <c r="D1541" s="59"/>
      <c r="E1541" s="59"/>
      <c r="F1541" s="59"/>
      <c r="G1541" s="60">
        <f>IF(OR(E1541="",F1541="",C1541="",D1541=""),"",IF(C1541+D1541=0,"",(E1541*C1541+F1541*D1541)/(C1541+D1541)))</f>
        <v/>
      </c>
      <c r="H1541" s="59"/>
      <c r="I1541" s="60">
        <f>IF(OR(H1541="",E1541="",C1541="",D1541=""),"",IF(C1541+D1541=0,"",(H1541*D1541+E1541*C1541)/(C1541+D1541)))</f>
        <v/>
      </c>
      <c r="J1541" s="59"/>
      <c r="K1541" s="61">
        <f>IF(OR(J1541="",I1541=""),"",J1541-I1541)</f>
        <v/>
      </c>
      <c r="L1541" s="61">
        <f>IF(OR(J1541="",G1541=""),"",J1541-G1541)</f>
        <v/>
      </c>
      <c r="M1541" s="59"/>
      <c r="N1541" s="59"/>
      <c r="O1541" s="59"/>
      <c r="P1541" s="59"/>
      <c r="Q1541" s="59"/>
      <c r="R1541" s="60">
        <f>IF(AND(P1541="",Q1541=""),"",N(P1541)+N(Q1541))</f>
        <v/>
      </c>
      <c r="S1541" s="59"/>
      <c r="T1541" s="59"/>
      <c r="U1541" s="62">
        <f>IF(OR(R1541="",S1541="",T1541=""),"",IF(S1541+T1541=0,"",R1541/(S1541+T1541)))</f>
        <v/>
      </c>
      <c r="V1541" s="63"/>
      <c r="W1541" s="64"/>
      <c r="X1541" s="63"/>
    </row>
    <row r="1542" spans="2:24">
      <c r="B1542" s="58"/>
      <c r="C1542" s="59"/>
      <c r="D1542" s="59"/>
      <c r="E1542" s="59"/>
      <c r="F1542" s="59"/>
      <c r="G1542" s="60">
        <f>IF(OR(E1542="",F1542="",C1542="",D1542=""),"",IF(C1542+D1542=0,"",(E1542*C1542+F1542*D1542)/(C1542+D1542)))</f>
        <v/>
      </c>
      <c r="H1542" s="59"/>
      <c r="I1542" s="60">
        <f>IF(OR(H1542="",E1542="",C1542="",D1542=""),"",IF(C1542+D1542=0,"",(H1542*D1542+E1542*C1542)/(C1542+D1542)))</f>
        <v/>
      </c>
      <c r="J1542" s="59"/>
      <c r="K1542" s="61">
        <f>IF(OR(J1542="",I1542=""),"",J1542-I1542)</f>
        <v/>
      </c>
      <c r="L1542" s="61">
        <f>IF(OR(J1542="",G1542=""),"",J1542-G1542)</f>
        <v/>
      </c>
      <c r="M1542" s="59"/>
      <c r="N1542" s="59"/>
      <c r="O1542" s="59"/>
      <c r="P1542" s="59"/>
      <c r="Q1542" s="59"/>
      <c r="R1542" s="60">
        <f>IF(AND(P1542="",Q1542=""),"",N(P1542)+N(Q1542))</f>
        <v/>
      </c>
      <c r="S1542" s="59"/>
      <c r="T1542" s="59"/>
      <c r="U1542" s="62">
        <f>IF(OR(R1542="",S1542="",T1542=""),"",IF(S1542+T1542=0,"",R1542/(S1542+T1542)))</f>
        <v/>
      </c>
      <c r="V1542" s="63"/>
      <c r="W1542" s="64"/>
      <c r="X1542" s="63"/>
    </row>
    <row r="1543" spans="2:24">
      <c r="B1543" s="58"/>
      <c r="C1543" s="59"/>
      <c r="D1543" s="59"/>
      <c r="E1543" s="59"/>
      <c r="F1543" s="59"/>
      <c r="G1543" s="60">
        <f>IF(OR(E1543="",F1543="",C1543="",D1543=""),"",IF(C1543+D1543=0,"",(E1543*C1543+F1543*D1543)/(C1543+D1543)))</f>
        <v/>
      </c>
      <c r="H1543" s="59"/>
      <c r="I1543" s="60">
        <f>IF(OR(H1543="",E1543="",C1543="",D1543=""),"",IF(C1543+D1543=0,"",(H1543*D1543+E1543*C1543)/(C1543+D1543)))</f>
        <v/>
      </c>
      <c r="J1543" s="59"/>
      <c r="K1543" s="61">
        <f>IF(OR(J1543="",I1543=""),"",J1543-I1543)</f>
        <v/>
      </c>
      <c r="L1543" s="61">
        <f>IF(OR(J1543="",G1543=""),"",J1543-G1543)</f>
        <v/>
      </c>
      <c r="M1543" s="59"/>
      <c r="N1543" s="59"/>
      <c r="O1543" s="59"/>
      <c r="P1543" s="59"/>
      <c r="Q1543" s="59"/>
      <c r="R1543" s="60">
        <f>IF(AND(P1543="",Q1543=""),"",N(P1543)+N(Q1543))</f>
        <v/>
      </c>
      <c r="S1543" s="59"/>
      <c r="T1543" s="59"/>
      <c r="U1543" s="62">
        <f>IF(OR(R1543="",S1543="",T1543=""),"",IF(S1543+T1543=0,"",R1543/(S1543+T1543)))</f>
        <v/>
      </c>
      <c r="V1543" s="63"/>
      <c r="W1543" s="64"/>
      <c r="X1543" s="63"/>
    </row>
    <row r="1544" spans="2:24">
      <c r="B1544" s="58"/>
      <c r="C1544" s="59"/>
      <c r="D1544" s="59"/>
      <c r="E1544" s="59"/>
      <c r="F1544" s="59"/>
      <c r="G1544" s="60">
        <f>IF(OR(E1544="",F1544="",C1544="",D1544=""),"",IF(C1544+D1544=0,"",(E1544*C1544+F1544*D1544)/(C1544+D1544)))</f>
        <v/>
      </c>
      <c r="H1544" s="59"/>
      <c r="I1544" s="60">
        <f>IF(OR(H1544="",E1544="",C1544="",D1544=""),"",IF(C1544+D1544=0,"",(H1544*D1544+E1544*C1544)/(C1544+D1544)))</f>
        <v/>
      </c>
      <c r="J1544" s="59"/>
      <c r="K1544" s="61">
        <f>IF(OR(J1544="",I1544=""),"",J1544-I1544)</f>
        <v/>
      </c>
      <c r="L1544" s="61">
        <f>IF(OR(J1544="",G1544=""),"",J1544-G1544)</f>
        <v/>
      </c>
      <c r="M1544" s="59"/>
      <c r="N1544" s="59"/>
      <c r="O1544" s="59"/>
      <c r="P1544" s="59"/>
      <c r="Q1544" s="59"/>
      <c r="R1544" s="60">
        <f>IF(AND(P1544="",Q1544=""),"",N(P1544)+N(Q1544))</f>
        <v/>
      </c>
      <c r="S1544" s="59"/>
      <c r="T1544" s="59"/>
      <c r="U1544" s="62">
        <f>IF(OR(R1544="",S1544="",T1544=""),"",IF(S1544+T1544=0,"",R1544/(S1544+T1544)))</f>
        <v/>
      </c>
      <c r="V1544" s="63"/>
      <c r="W1544" s="64"/>
      <c r="X1544" s="63"/>
    </row>
    <row r="1545" spans="2:24">
      <c r="B1545" s="58"/>
      <c r="C1545" s="59"/>
      <c r="D1545" s="59"/>
      <c r="E1545" s="59"/>
      <c r="F1545" s="59"/>
      <c r="G1545" s="60">
        <f>IF(OR(E1545="",F1545="",C1545="",D1545=""),"",IF(C1545+D1545=0,"",(E1545*C1545+F1545*D1545)/(C1545+D1545)))</f>
        <v/>
      </c>
      <c r="H1545" s="59"/>
      <c r="I1545" s="60">
        <f>IF(OR(H1545="",E1545="",C1545="",D1545=""),"",IF(C1545+D1545=0,"",(H1545*D1545+E1545*C1545)/(C1545+D1545)))</f>
        <v/>
      </c>
      <c r="J1545" s="59"/>
      <c r="K1545" s="61">
        <f>IF(OR(J1545="",I1545=""),"",J1545-I1545)</f>
        <v/>
      </c>
      <c r="L1545" s="61">
        <f>IF(OR(J1545="",G1545=""),"",J1545-G1545)</f>
        <v/>
      </c>
      <c r="M1545" s="59"/>
      <c r="N1545" s="59"/>
      <c r="O1545" s="59"/>
      <c r="P1545" s="59"/>
      <c r="Q1545" s="59"/>
      <c r="R1545" s="60">
        <f>IF(AND(P1545="",Q1545=""),"",N(P1545)+N(Q1545))</f>
        <v/>
      </c>
      <c r="S1545" s="59"/>
      <c r="T1545" s="59"/>
      <c r="U1545" s="62">
        <f>IF(OR(R1545="",S1545="",T1545=""),"",IF(S1545+T1545=0,"",R1545/(S1545+T1545)))</f>
        <v/>
      </c>
      <c r="V1545" s="63"/>
      <c r="W1545" s="64"/>
      <c r="X1545" s="63"/>
    </row>
    <row r="1546" spans="2:24">
      <c r="B1546" s="58"/>
      <c r="C1546" s="59"/>
      <c r="D1546" s="59"/>
      <c r="E1546" s="59"/>
      <c r="F1546" s="59"/>
      <c r="G1546" s="60">
        <f>IF(OR(E1546="",F1546="",C1546="",D1546=""),"",IF(C1546+D1546=0,"",(E1546*C1546+F1546*D1546)/(C1546+D1546)))</f>
        <v/>
      </c>
      <c r="H1546" s="59"/>
      <c r="I1546" s="60">
        <f>IF(OR(H1546="",E1546="",C1546="",D1546=""),"",IF(C1546+D1546=0,"",(H1546*D1546+E1546*C1546)/(C1546+D1546)))</f>
        <v/>
      </c>
      <c r="J1546" s="59"/>
      <c r="K1546" s="61">
        <f>IF(OR(J1546="",I1546=""),"",J1546-I1546)</f>
        <v/>
      </c>
      <c r="L1546" s="61">
        <f>IF(OR(J1546="",G1546=""),"",J1546-G1546)</f>
        <v/>
      </c>
      <c r="M1546" s="59"/>
      <c r="N1546" s="59"/>
      <c r="O1546" s="59"/>
      <c r="P1546" s="59"/>
      <c r="Q1546" s="59"/>
      <c r="R1546" s="60">
        <f>IF(AND(P1546="",Q1546=""),"",N(P1546)+N(Q1546))</f>
        <v/>
      </c>
      <c r="S1546" s="59"/>
      <c r="T1546" s="59"/>
      <c r="U1546" s="62">
        <f>IF(OR(R1546="",S1546="",T1546=""),"",IF(S1546+T1546=0,"",R1546/(S1546+T1546)))</f>
        <v/>
      </c>
      <c r="V1546" s="63"/>
      <c r="W1546" s="64"/>
      <c r="X1546" s="63"/>
    </row>
    <row r="1547" spans="2:24">
      <c r="B1547" s="58"/>
      <c r="C1547" s="59"/>
      <c r="D1547" s="59"/>
      <c r="E1547" s="59"/>
      <c r="F1547" s="59"/>
      <c r="G1547" s="60">
        <f>IF(OR(E1547="",F1547="",C1547="",D1547=""),"",IF(C1547+D1547=0,"",(E1547*C1547+F1547*D1547)/(C1547+D1547)))</f>
        <v/>
      </c>
      <c r="H1547" s="59"/>
      <c r="I1547" s="60">
        <f>IF(OR(H1547="",E1547="",C1547="",D1547=""),"",IF(C1547+D1547=0,"",(H1547*D1547+E1547*C1547)/(C1547+D1547)))</f>
        <v/>
      </c>
      <c r="J1547" s="59"/>
      <c r="K1547" s="61">
        <f>IF(OR(J1547="",I1547=""),"",J1547-I1547)</f>
        <v/>
      </c>
      <c r="L1547" s="61">
        <f>IF(OR(J1547="",G1547=""),"",J1547-G1547)</f>
        <v/>
      </c>
      <c r="M1547" s="59"/>
      <c r="N1547" s="59"/>
      <c r="O1547" s="59"/>
      <c r="P1547" s="59"/>
      <c r="Q1547" s="59"/>
      <c r="R1547" s="60">
        <f>IF(AND(P1547="",Q1547=""),"",N(P1547)+N(Q1547))</f>
        <v/>
      </c>
      <c r="S1547" s="59"/>
      <c r="T1547" s="59"/>
      <c r="U1547" s="62">
        <f>IF(OR(R1547="",S1547="",T1547=""),"",IF(S1547+T1547=0,"",R1547/(S1547+T1547)))</f>
        <v/>
      </c>
      <c r="V1547" s="63"/>
      <c r="W1547" s="64"/>
      <c r="X1547" s="63"/>
    </row>
    <row r="1548" spans="2:24">
      <c r="B1548" s="58"/>
      <c r="C1548" s="59"/>
      <c r="D1548" s="59"/>
      <c r="E1548" s="59"/>
      <c r="F1548" s="59"/>
      <c r="G1548" s="60">
        <f>IF(OR(E1548="",F1548="",C1548="",D1548=""),"",IF(C1548+D1548=0,"",(E1548*C1548+F1548*D1548)/(C1548+D1548)))</f>
        <v/>
      </c>
      <c r="H1548" s="59"/>
      <c r="I1548" s="60">
        <f>IF(OR(H1548="",E1548="",C1548="",D1548=""),"",IF(C1548+D1548=0,"",(H1548*D1548+E1548*C1548)/(C1548+D1548)))</f>
        <v/>
      </c>
      <c r="J1548" s="59"/>
      <c r="K1548" s="61">
        <f>IF(OR(J1548="",I1548=""),"",J1548-I1548)</f>
        <v/>
      </c>
      <c r="L1548" s="61">
        <f>IF(OR(J1548="",G1548=""),"",J1548-G1548)</f>
        <v/>
      </c>
      <c r="M1548" s="59"/>
      <c r="N1548" s="59"/>
      <c r="O1548" s="59"/>
      <c r="P1548" s="59"/>
      <c r="Q1548" s="59"/>
      <c r="R1548" s="60">
        <f>IF(AND(P1548="",Q1548=""),"",N(P1548)+N(Q1548))</f>
        <v/>
      </c>
      <c r="S1548" s="59"/>
      <c r="T1548" s="59"/>
      <c r="U1548" s="62">
        <f>IF(OR(R1548="",S1548="",T1548=""),"",IF(S1548+T1548=0,"",R1548/(S1548+T1548)))</f>
        <v/>
      </c>
      <c r="V1548" s="63"/>
      <c r="W1548" s="64"/>
      <c r="X1548" s="63"/>
    </row>
    <row r="1549" spans="2:24">
      <c r="B1549" s="58"/>
      <c r="C1549" s="59"/>
      <c r="D1549" s="59"/>
      <c r="E1549" s="59"/>
      <c r="F1549" s="59"/>
      <c r="G1549" s="60">
        <f>IF(OR(E1549="",F1549="",C1549="",D1549=""),"",IF(C1549+D1549=0,"",(E1549*C1549+F1549*D1549)/(C1549+D1549)))</f>
        <v/>
      </c>
      <c r="H1549" s="59"/>
      <c r="I1549" s="60">
        <f>IF(OR(H1549="",E1549="",C1549="",D1549=""),"",IF(C1549+D1549=0,"",(H1549*D1549+E1549*C1549)/(C1549+D1549)))</f>
        <v/>
      </c>
      <c r="J1549" s="59"/>
      <c r="K1549" s="61">
        <f>IF(OR(J1549="",I1549=""),"",J1549-I1549)</f>
        <v/>
      </c>
      <c r="L1549" s="61">
        <f>IF(OR(J1549="",G1549=""),"",J1549-G1549)</f>
        <v/>
      </c>
      <c r="M1549" s="59"/>
      <c r="N1549" s="59"/>
      <c r="O1549" s="59"/>
      <c r="P1549" s="59"/>
      <c r="Q1549" s="59"/>
      <c r="R1549" s="60">
        <f>IF(AND(P1549="",Q1549=""),"",N(P1549)+N(Q1549))</f>
        <v/>
      </c>
      <c r="S1549" s="59"/>
      <c r="T1549" s="59"/>
      <c r="U1549" s="62">
        <f>IF(OR(R1549="",S1549="",T1549=""),"",IF(S1549+T1549=0,"",R1549/(S1549+T1549)))</f>
        <v/>
      </c>
      <c r="V1549" s="63"/>
      <c r="W1549" s="64"/>
      <c r="X1549" s="63"/>
    </row>
    <row r="1550" spans="2:24">
      <c r="B1550" s="58"/>
      <c r="C1550" s="59"/>
      <c r="D1550" s="59"/>
      <c r="E1550" s="59"/>
      <c r="F1550" s="59"/>
      <c r="G1550" s="60">
        <f>IF(OR(E1550="",F1550="",C1550="",D1550=""),"",IF(C1550+D1550=0,"",(E1550*C1550+F1550*D1550)/(C1550+D1550)))</f>
        <v/>
      </c>
      <c r="H1550" s="59"/>
      <c r="I1550" s="60">
        <f>IF(OR(H1550="",E1550="",C1550="",D1550=""),"",IF(C1550+D1550=0,"",(H1550*D1550+E1550*C1550)/(C1550+D1550)))</f>
        <v/>
      </c>
      <c r="J1550" s="59"/>
      <c r="K1550" s="61">
        <f>IF(OR(J1550="",I1550=""),"",J1550-I1550)</f>
        <v/>
      </c>
      <c r="L1550" s="61">
        <f>IF(OR(J1550="",G1550=""),"",J1550-G1550)</f>
        <v/>
      </c>
      <c r="M1550" s="59"/>
      <c r="N1550" s="59"/>
      <c r="O1550" s="59"/>
      <c r="P1550" s="59"/>
      <c r="Q1550" s="59"/>
      <c r="R1550" s="60">
        <f>IF(AND(P1550="",Q1550=""),"",N(P1550)+N(Q1550))</f>
        <v/>
      </c>
      <c r="S1550" s="59"/>
      <c r="T1550" s="59"/>
      <c r="U1550" s="62">
        <f>IF(OR(R1550="",S1550="",T1550=""),"",IF(S1550+T1550=0,"",R1550/(S1550+T1550)))</f>
        <v/>
      </c>
      <c r="V1550" s="63"/>
      <c r="W1550" s="64"/>
      <c r="X1550" s="63"/>
    </row>
    <row r="1551" spans="2:24">
      <c r="B1551" s="58"/>
      <c r="C1551" s="59"/>
      <c r="D1551" s="59"/>
      <c r="E1551" s="59"/>
      <c r="F1551" s="59"/>
      <c r="G1551" s="60">
        <f>IF(OR(E1551="",F1551="",C1551="",D1551=""),"",IF(C1551+D1551=0,"",(E1551*C1551+F1551*D1551)/(C1551+D1551)))</f>
        <v/>
      </c>
      <c r="H1551" s="59"/>
      <c r="I1551" s="60">
        <f>IF(OR(H1551="",E1551="",C1551="",D1551=""),"",IF(C1551+D1551=0,"",(H1551*D1551+E1551*C1551)/(C1551+D1551)))</f>
        <v/>
      </c>
      <c r="J1551" s="59"/>
      <c r="K1551" s="61">
        <f>IF(OR(J1551="",I1551=""),"",J1551-I1551)</f>
        <v/>
      </c>
      <c r="L1551" s="61">
        <f>IF(OR(J1551="",G1551=""),"",J1551-G1551)</f>
        <v/>
      </c>
      <c r="M1551" s="59"/>
      <c r="N1551" s="59"/>
      <c r="O1551" s="59"/>
      <c r="P1551" s="59"/>
      <c r="Q1551" s="59"/>
      <c r="R1551" s="60">
        <f>IF(AND(P1551="",Q1551=""),"",N(P1551)+N(Q1551))</f>
        <v/>
      </c>
      <c r="S1551" s="59"/>
      <c r="T1551" s="59"/>
      <c r="U1551" s="62">
        <f>IF(OR(R1551="",S1551="",T1551=""),"",IF(S1551+T1551=0,"",R1551/(S1551+T1551)))</f>
        <v/>
      </c>
      <c r="V1551" s="63"/>
      <c r="W1551" s="64"/>
      <c r="X1551" s="63"/>
    </row>
    <row r="1552" spans="2:24">
      <c r="B1552" s="58"/>
      <c r="C1552" s="59"/>
      <c r="D1552" s="59"/>
      <c r="E1552" s="59"/>
      <c r="F1552" s="59"/>
      <c r="G1552" s="60">
        <f>IF(OR(E1552="",F1552="",C1552="",D1552=""),"",IF(C1552+D1552=0,"",(E1552*C1552+F1552*D1552)/(C1552+D1552)))</f>
        <v/>
      </c>
      <c r="H1552" s="59"/>
      <c r="I1552" s="60">
        <f>IF(OR(H1552="",E1552="",C1552="",D1552=""),"",IF(C1552+D1552=0,"",(H1552*D1552+E1552*C1552)/(C1552+D1552)))</f>
        <v/>
      </c>
      <c r="J1552" s="59"/>
      <c r="K1552" s="61">
        <f>IF(OR(J1552="",I1552=""),"",J1552-I1552)</f>
        <v/>
      </c>
      <c r="L1552" s="61">
        <f>IF(OR(J1552="",G1552=""),"",J1552-G1552)</f>
        <v/>
      </c>
      <c r="M1552" s="59"/>
      <c r="N1552" s="59"/>
      <c r="O1552" s="59"/>
      <c r="P1552" s="59"/>
      <c r="Q1552" s="59"/>
      <c r="R1552" s="60">
        <f>IF(AND(P1552="",Q1552=""),"",N(P1552)+N(Q1552))</f>
        <v/>
      </c>
      <c r="S1552" s="59"/>
      <c r="T1552" s="59"/>
      <c r="U1552" s="62">
        <f>IF(OR(R1552="",S1552="",T1552=""),"",IF(S1552+T1552=0,"",R1552/(S1552+T1552)))</f>
        <v/>
      </c>
      <c r="V1552" s="63"/>
      <c r="W1552" s="64"/>
      <c r="X1552" s="63"/>
    </row>
    <row r="1553" spans="2:24">
      <c r="B1553" s="58"/>
      <c r="C1553" s="59"/>
      <c r="D1553" s="59"/>
      <c r="E1553" s="59"/>
      <c r="F1553" s="59"/>
      <c r="G1553" s="60">
        <f>IF(OR(E1553="",F1553="",C1553="",D1553=""),"",IF(C1553+D1553=0,"",(E1553*C1553+F1553*D1553)/(C1553+D1553)))</f>
        <v/>
      </c>
      <c r="H1553" s="59"/>
      <c r="I1553" s="60">
        <f>IF(OR(H1553="",E1553="",C1553="",D1553=""),"",IF(C1553+D1553=0,"",(H1553*D1553+E1553*C1553)/(C1553+D1553)))</f>
        <v/>
      </c>
      <c r="J1553" s="59"/>
      <c r="K1553" s="61">
        <f>IF(OR(J1553="",I1553=""),"",J1553-I1553)</f>
        <v/>
      </c>
      <c r="L1553" s="61">
        <f>IF(OR(J1553="",G1553=""),"",J1553-G1553)</f>
        <v/>
      </c>
      <c r="M1553" s="59"/>
      <c r="N1553" s="59"/>
      <c r="O1553" s="59"/>
      <c r="P1553" s="59"/>
      <c r="Q1553" s="59"/>
      <c r="R1553" s="60">
        <f>IF(AND(P1553="",Q1553=""),"",N(P1553)+N(Q1553))</f>
        <v/>
      </c>
      <c r="S1553" s="59"/>
      <c r="T1553" s="59"/>
      <c r="U1553" s="62">
        <f>IF(OR(R1553="",S1553="",T1553=""),"",IF(S1553+T1553=0,"",R1553/(S1553+T1553)))</f>
        <v/>
      </c>
      <c r="V1553" s="63"/>
      <c r="W1553" s="64"/>
      <c r="X1553" s="63"/>
    </row>
    <row r="1554" spans="2:24">
      <c r="B1554" s="58"/>
      <c r="C1554" s="59"/>
      <c r="D1554" s="59"/>
      <c r="E1554" s="59"/>
      <c r="F1554" s="59"/>
      <c r="G1554" s="60">
        <f>IF(OR(E1554="",F1554="",C1554="",D1554=""),"",IF(C1554+D1554=0,"",(E1554*C1554+F1554*D1554)/(C1554+D1554)))</f>
        <v/>
      </c>
      <c r="H1554" s="59"/>
      <c r="I1554" s="60">
        <f>IF(OR(H1554="",E1554="",C1554="",D1554=""),"",IF(C1554+D1554=0,"",(H1554*D1554+E1554*C1554)/(C1554+D1554)))</f>
        <v/>
      </c>
      <c r="J1554" s="59"/>
      <c r="K1554" s="61">
        <f>IF(OR(J1554="",I1554=""),"",J1554-I1554)</f>
        <v/>
      </c>
      <c r="L1554" s="61">
        <f>IF(OR(J1554="",G1554=""),"",J1554-G1554)</f>
        <v/>
      </c>
      <c r="M1554" s="59"/>
      <c r="N1554" s="59"/>
      <c r="O1554" s="59"/>
      <c r="P1554" s="59"/>
      <c r="Q1554" s="59"/>
      <c r="R1554" s="60">
        <f>IF(AND(P1554="",Q1554=""),"",N(P1554)+N(Q1554))</f>
        <v/>
      </c>
      <c r="S1554" s="59"/>
      <c r="T1554" s="59"/>
      <c r="U1554" s="62">
        <f>IF(OR(R1554="",S1554="",T1554=""),"",IF(S1554+T1554=0,"",R1554/(S1554+T1554)))</f>
        <v/>
      </c>
      <c r="V1554" s="63"/>
      <c r="W1554" s="64"/>
      <c r="X1554" s="63"/>
    </row>
    <row r="1555" spans="2:24">
      <c r="B1555" s="58"/>
      <c r="C1555" s="59"/>
      <c r="D1555" s="59"/>
      <c r="E1555" s="59"/>
      <c r="F1555" s="59"/>
      <c r="G1555" s="60">
        <f>IF(OR(E1555="",F1555="",C1555="",D1555=""),"",IF(C1555+D1555=0,"",(E1555*C1555+F1555*D1555)/(C1555+D1555)))</f>
        <v/>
      </c>
      <c r="H1555" s="59"/>
      <c r="I1555" s="60">
        <f>IF(OR(H1555="",E1555="",C1555="",D1555=""),"",IF(C1555+D1555=0,"",(H1555*D1555+E1555*C1555)/(C1555+D1555)))</f>
        <v/>
      </c>
      <c r="J1555" s="59"/>
      <c r="K1555" s="61">
        <f>IF(OR(J1555="",I1555=""),"",J1555-I1555)</f>
        <v/>
      </c>
      <c r="L1555" s="61">
        <f>IF(OR(J1555="",G1555=""),"",J1555-G1555)</f>
        <v/>
      </c>
      <c r="M1555" s="59"/>
      <c r="N1555" s="59"/>
      <c r="O1555" s="59"/>
      <c r="P1555" s="59"/>
      <c r="Q1555" s="59"/>
      <c r="R1555" s="60">
        <f>IF(AND(P1555="",Q1555=""),"",N(P1555)+N(Q1555))</f>
        <v/>
      </c>
      <c r="S1555" s="59"/>
      <c r="T1555" s="59"/>
      <c r="U1555" s="62">
        <f>IF(OR(R1555="",S1555="",T1555=""),"",IF(S1555+T1555=0,"",R1555/(S1555+T1555)))</f>
        <v/>
      </c>
      <c r="V1555" s="63"/>
      <c r="W1555" s="64"/>
      <c r="X1555" s="63"/>
    </row>
    <row r="1556" spans="2:24">
      <c r="B1556" s="58"/>
      <c r="C1556" s="59"/>
      <c r="D1556" s="59"/>
      <c r="E1556" s="59"/>
      <c r="F1556" s="59"/>
      <c r="G1556" s="60">
        <f>IF(OR(E1556="",F1556="",C1556="",D1556=""),"",IF(C1556+D1556=0,"",(E1556*C1556+F1556*D1556)/(C1556+D1556)))</f>
        <v/>
      </c>
      <c r="H1556" s="59"/>
      <c r="I1556" s="60">
        <f>IF(OR(H1556="",E1556="",C1556="",D1556=""),"",IF(C1556+D1556=0,"",(H1556*D1556+E1556*C1556)/(C1556+D1556)))</f>
        <v/>
      </c>
      <c r="J1556" s="59"/>
      <c r="K1556" s="61">
        <f>IF(OR(J1556="",I1556=""),"",J1556-I1556)</f>
        <v/>
      </c>
      <c r="L1556" s="61">
        <f>IF(OR(J1556="",G1556=""),"",J1556-G1556)</f>
        <v/>
      </c>
      <c r="M1556" s="59"/>
      <c r="N1556" s="59"/>
      <c r="O1556" s="59"/>
      <c r="P1556" s="59"/>
      <c r="Q1556" s="59"/>
      <c r="R1556" s="60">
        <f>IF(AND(P1556="",Q1556=""),"",N(P1556)+N(Q1556))</f>
        <v/>
      </c>
      <c r="S1556" s="59"/>
      <c r="T1556" s="59"/>
      <c r="U1556" s="62">
        <f>IF(OR(R1556="",S1556="",T1556=""),"",IF(S1556+T1556=0,"",R1556/(S1556+T1556)))</f>
        <v/>
      </c>
      <c r="V1556" s="63"/>
      <c r="W1556" s="64"/>
      <c r="X1556" s="63"/>
    </row>
    <row r="1557" spans="2:24">
      <c r="B1557" s="58"/>
      <c r="C1557" s="59"/>
      <c r="D1557" s="59"/>
      <c r="E1557" s="59"/>
      <c r="F1557" s="59"/>
      <c r="G1557" s="60">
        <f>IF(OR(E1557="",F1557="",C1557="",D1557=""),"",IF(C1557+D1557=0,"",(E1557*C1557+F1557*D1557)/(C1557+D1557)))</f>
        <v/>
      </c>
      <c r="H1557" s="59"/>
      <c r="I1557" s="60">
        <f>IF(OR(H1557="",E1557="",C1557="",D1557=""),"",IF(C1557+D1557=0,"",(H1557*D1557+E1557*C1557)/(C1557+D1557)))</f>
        <v/>
      </c>
      <c r="J1557" s="59"/>
      <c r="K1557" s="61">
        <f>IF(OR(J1557="",I1557=""),"",J1557-I1557)</f>
        <v/>
      </c>
      <c r="L1557" s="61">
        <f>IF(OR(J1557="",G1557=""),"",J1557-G1557)</f>
        <v/>
      </c>
      <c r="M1557" s="59"/>
      <c r="N1557" s="59"/>
      <c r="O1557" s="59"/>
      <c r="P1557" s="59"/>
      <c r="Q1557" s="59"/>
      <c r="R1557" s="60">
        <f>IF(AND(P1557="",Q1557=""),"",N(P1557)+N(Q1557))</f>
        <v/>
      </c>
      <c r="S1557" s="59"/>
      <c r="T1557" s="59"/>
      <c r="U1557" s="62">
        <f>IF(OR(R1557="",S1557="",T1557=""),"",IF(S1557+T1557=0,"",R1557/(S1557+T1557)))</f>
        <v/>
      </c>
      <c r="V1557" s="63"/>
      <c r="W1557" s="64"/>
      <c r="X1557" s="63"/>
    </row>
    <row r="1558" spans="2:24">
      <c r="B1558" s="58"/>
      <c r="C1558" s="59"/>
      <c r="D1558" s="59"/>
      <c r="E1558" s="59"/>
      <c r="F1558" s="59"/>
      <c r="G1558" s="60">
        <f>IF(OR(E1558="",F1558="",C1558="",D1558=""),"",IF(C1558+D1558=0,"",(E1558*C1558+F1558*D1558)/(C1558+D1558)))</f>
        <v/>
      </c>
      <c r="H1558" s="59"/>
      <c r="I1558" s="60">
        <f>IF(OR(H1558="",E1558="",C1558="",D1558=""),"",IF(C1558+D1558=0,"",(H1558*D1558+E1558*C1558)/(C1558+D1558)))</f>
        <v/>
      </c>
      <c r="J1558" s="59"/>
      <c r="K1558" s="61">
        <f>IF(OR(J1558="",I1558=""),"",J1558-I1558)</f>
        <v/>
      </c>
      <c r="L1558" s="61">
        <f>IF(OR(J1558="",G1558=""),"",J1558-G1558)</f>
        <v/>
      </c>
      <c r="M1558" s="59"/>
      <c r="N1558" s="59"/>
      <c r="O1558" s="59"/>
      <c r="P1558" s="59"/>
      <c r="Q1558" s="59"/>
      <c r="R1558" s="60">
        <f>IF(AND(P1558="",Q1558=""),"",N(P1558)+N(Q1558))</f>
        <v/>
      </c>
      <c r="S1558" s="59"/>
      <c r="T1558" s="59"/>
      <c r="U1558" s="62">
        <f>IF(OR(R1558="",S1558="",T1558=""),"",IF(S1558+T1558=0,"",R1558/(S1558+T1558)))</f>
        <v/>
      </c>
      <c r="V1558" s="63"/>
      <c r="W1558" s="64"/>
      <c r="X1558" s="63"/>
    </row>
    <row r="1559" spans="2:24">
      <c r="B1559" s="58"/>
      <c r="C1559" s="59"/>
      <c r="D1559" s="59"/>
      <c r="E1559" s="59"/>
      <c r="F1559" s="59"/>
      <c r="G1559" s="60">
        <f>IF(OR(E1559="",F1559="",C1559="",D1559=""),"",IF(C1559+D1559=0,"",(E1559*C1559+F1559*D1559)/(C1559+D1559)))</f>
        <v/>
      </c>
      <c r="H1559" s="59"/>
      <c r="I1559" s="60">
        <f>IF(OR(H1559="",E1559="",C1559="",D1559=""),"",IF(C1559+D1559=0,"",(H1559*D1559+E1559*C1559)/(C1559+D1559)))</f>
        <v/>
      </c>
      <c r="J1559" s="59"/>
      <c r="K1559" s="61">
        <f>IF(OR(J1559="",I1559=""),"",J1559-I1559)</f>
        <v/>
      </c>
      <c r="L1559" s="61">
        <f>IF(OR(J1559="",G1559=""),"",J1559-G1559)</f>
        <v/>
      </c>
      <c r="M1559" s="59"/>
      <c r="N1559" s="59"/>
      <c r="O1559" s="59"/>
      <c r="P1559" s="59"/>
      <c r="Q1559" s="59"/>
      <c r="R1559" s="60">
        <f>IF(AND(P1559="",Q1559=""),"",N(P1559)+N(Q1559))</f>
        <v/>
      </c>
      <c r="S1559" s="59"/>
      <c r="T1559" s="59"/>
      <c r="U1559" s="62">
        <f>IF(OR(R1559="",S1559="",T1559=""),"",IF(S1559+T1559=0,"",R1559/(S1559+T1559)))</f>
        <v/>
      </c>
      <c r="V1559" s="63"/>
      <c r="W1559" s="64"/>
      <c r="X1559" s="63"/>
    </row>
    <row r="1560" spans="2:24">
      <c r="B1560" s="58"/>
      <c r="C1560" s="59"/>
      <c r="D1560" s="59"/>
      <c r="E1560" s="59"/>
      <c r="F1560" s="59"/>
      <c r="G1560" s="60">
        <f>IF(OR(E1560="",F1560="",C1560="",D1560=""),"",IF(C1560+D1560=0,"",(E1560*C1560+F1560*D1560)/(C1560+D1560)))</f>
        <v/>
      </c>
      <c r="H1560" s="59"/>
      <c r="I1560" s="60">
        <f>IF(OR(H1560="",E1560="",C1560="",D1560=""),"",IF(C1560+D1560=0,"",(H1560*D1560+E1560*C1560)/(C1560+D1560)))</f>
        <v/>
      </c>
      <c r="J1560" s="59"/>
      <c r="K1560" s="61">
        <f>IF(OR(J1560="",I1560=""),"",J1560-I1560)</f>
        <v/>
      </c>
      <c r="L1560" s="61">
        <f>IF(OR(J1560="",G1560=""),"",J1560-G1560)</f>
        <v/>
      </c>
      <c r="M1560" s="59"/>
      <c r="N1560" s="59"/>
      <c r="O1560" s="59"/>
      <c r="P1560" s="59"/>
      <c r="Q1560" s="59"/>
      <c r="R1560" s="60">
        <f>IF(AND(P1560="",Q1560=""),"",N(P1560)+N(Q1560))</f>
        <v/>
      </c>
      <c r="S1560" s="59"/>
      <c r="T1560" s="59"/>
      <c r="U1560" s="62">
        <f>IF(OR(R1560="",S1560="",T1560=""),"",IF(S1560+T1560=0,"",R1560/(S1560+T1560)))</f>
        <v/>
      </c>
      <c r="V1560" s="63"/>
      <c r="W1560" s="64"/>
      <c r="X1560" s="63"/>
    </row>
    <row r="1561" spans="2:24">
      <c r="B1561" s="58"/>
      <c r="C1561" s="59"/>
      <c r="D1561" s="59"/>
      <c r="E1561" s="59"/>
      <c r="F1561" s="59"/>
      <c r="G1561" s="60">
        <f>IF(OR(E1561="",F1561="",C1561="",D1561=""),"",IF(C1561+D1561=0,"",(E1561*C1561+F1561*D1561)/(C1561+D1561)))</f>
        <v/>
      </c>
      <c r="H1561" s="59"/>
      <c r="I1561" s="60">
        <f>IF(OR(H1561="",E1561="",C1561="",D1561=""),"",IF(C1561+D1561=0,"",(H1561*D1561+E1561*C1561)/(C1561+D1561)))</f>
        <v/>
      </c>
      <c r="J1561" s="59"/>
      <c r="K1561" s="61">
        <f>IF(OR(J1561="",I1561=""),"",J1561-I1561)</f>
        <v/>
      </c>
      <c r="L1561" s="61">
        <f>IF(OR(J1561="",G1561=""),"",J1561-G1561)</f>
        <v/>
      </c>
      <c r="M1561" s="59"/>
      <c r="N1561" s="59"/>
      <c r="O1561" s="59"/>
      <c r="P1561" s="59"/>
      <c r="Q1561" s="59"/>
      <c r="R1561" s="60">
        <f>IF(AND(P1561="",Q1561=""),"",N(P1561)+N(Q1561))</f>
        <v/>
      </c>
      <c r="S1561" s="59"/>
      <c r="T1561" s="59"/>
      <c r="U1561" s="62">
        <f>IF(OR(R1561="",S1561="",T1561=""),"",IF(S1561+T1561=0,"",R1561/(S1561+T1561)))</f>
        <v/>
      </c>
      <c r="V1561" s="63"/>
      <c r="W1561" s="64"/>
      <c r="X1561" s="63"/>
    </row>
    <row r="1562" spans="2:24">
      <c r="B1562" s="58"/>
      <c r="C1562" s="59"/>
      <c r="D1562" s="59"/>
      <c r="E1562" s="59"/>
      <c r="F1562" s="59"/>
      <c r="G1562" s="60">
        <f>IF(OR(E1562="",F1562="",C1562="",D1562=""),"",IF(C1562+D1562=0,"",(E1562*C1562+F1562*D1562)/(C1562+D1562)))</f>
        <v/>
      </c>
      <c r="H1562" s="59"/>
      <c r="I1562" s="60">
        <f>IF(OR(H1562="",E1562="",C1562="",D1562=""),"",IF(C1562+D1562=0,"",(H1562*D1562+E1562*C1562)/(C1562+D1562)))</f>
        <v/>
      </c>
      <c r="J1562" s="59"/>
      <c r="K1562" s="61">
        <f>IF(OR(J1562="",I1562=""),"",J1562-I1562)</f>
        <v/>
      </c>
      <c r="L1562" s="61">
        <f>IF(OR(J1562="",G1562=""),"",J1562-G1562)</f>
        <v/>
      </c>
      <c r="M1562" s="59"/>
      <c r="N1562" s="59"/>
      <c r="O1562" s="59"/>
      <c r="P1562" s="59"/>
      <c r="Q1562" s="59"/>
      <c r="R1562" s="60">
        <f>IF(AND(P1562="",Q1562=""),"",N(P1562)+N(Q1562))</f>
        <v/>
      </c>
      <c r="S1562" s="59"/>
      <c r="T1562" s="59"/>
      <c r="U1562" s="62">
        <f>IF(OR(R1562="",S1562="",T1562=""),"",IF(S1562+T1562=0,"",R1562/(S1562+T1562)))</f>
        <v/>
      </c>
      <c r="V1562" s="63"/>
      <c r="W1562" s="64"/>
      <c r="X1562" s="63"/>
    </row>
    <row r="1563" spans="2:24">
      <c r="B1563" s="58"/>
      <c r="C1563" s="59"/>
      <c r="D1563" s="59"/>
      <c r="E1563" s="59"/>
      <c r="F1563" s="59"/>
      <c r="G1563" s="60">
        <f>IF(OR(E1563="",F1563="",C1563="",D1563=""),"",IF(C1563+D1563=0,"",(E1563*C1563+F1563*D1563)/(C1563+D1563)))</f>
        <v/>
      </c>
      <c r="H1563" s="59"/>
      <c r="I1563" s="60">
        <f>IF(OR(H1563="",E1563="",C1563="",D1563=""),"",IF(C1563+D1563=0,"",(H1563*D1563+E1563*C1563)/(C1563+D1563)))</f>
        <v/>
      </c>
      <c r="J1563" s="59"/>
      <c r="K1563" s="61">
        <f>IF(OR(J1563="",I1563=""),"",J1563-I1563)</f>
        <v/>
      </c>
      <c r="L1563" s="61">
        <f>IF(OR(J1563="",G1563=""),"",J1563-G1563)</f>
        <v/>
      </c>
      <c r="M1563" s="59"/>
      <c r="N1563" s="59"/>
      <c r="O1563" s="59"/>
      <c r="P1563" s="59"/>
      <c r="Q1563" s="59"/>
      <c r="R1563" s="60">
        <f>IF(AND(P1563="",Q1563=""),"",N(P1563)+N(Q1563))</f>
        <v/>
      </c>
      <c r="S1563" s="59"/>
      <c r="T1563" s="59"/>
      <c r="U1563" s="62">
        <f>IF(OR(R1563="",S1563="",T1563=""),"",IF(S1563+T1563=0,"",R1563/(S1563+T1563)))</f>
        <v/>
      </c>
      <c r="V1563" s="63"/>
      <c r="W1563" s="64"/>
      <c r="X1563" s="63"/>
    </row>
    <row r="1564" spans="2:24">
      <c r="B1564" s="58"/>
      <c r="C1564" s="59"/>
      <c r="D1564" s="59"/>
      <c r="E1564" s="59"/>
      <c r="F1564" s="59"/>
      <c r="G1564" s="60">
        <f>IF(OR(E1564="",F1564="",C1564="",D1564=""),"",IF(C1564+D1564=0,"",(E1564*C1564+F1564*D1564)/(C1564+D1564)))</f>
        <v/>
      </c>
      <c r="H1564" s="59"/>
      <c r="I1564" s="60">
        <f>IF(OR(H1564="",E1564="",C1564="",D1564=""),"",IF(C1564+D1564=0,"",(H1564*D1564+E1564*C1564)/(C1564+D1564)))</f>
        <v/>
      </c>
      <c r="J1564" s="59"/>
      <c r="K1564" s="61">
        <f>IF(OR(J1564="",I1564=""),"",J1564-I1564)</f>
        <v/>
      </c>
      <c r="L1564" s="61">
        <f>IF(OR(J1564="",G1564=""),"",J1564-G1564)</f>
        <v/>
      </c>
      <c r="M1564" s="59"/>
      <c r="N1564" s="59"/>
      <c r="O1564" s="59"/>
      <c r="P1564" s="59"/>
      <c r="Q1564" s="59"/>
      <c r="R1564" s="60">
        <f>IF(AND(P1564="",Q1564=""),"",N(P1564)+N(Q1564))</f>
        <v/>
      </c>
      <c r="S1564" s="59"/>
      <c r="T1564" s="59"/>
      <c r="U1564" s="62">
        <f>IF(OR(R1564="",S1564="",T1564=""),"",IF(S1564+T1564=0,"",R1564/(S1564+T1564)))</f>
        <v/>
      </c>
      <c r="V1564" s="63"/>
      <c r="W1564" s="64"/>
      <c r="X1564" s="63"/>
    </row>
    <row r="1565" spans="2:24">
      <c r="B1565" s="58"/>
      <c r="C1565" s="59"/>
      <c r="D1565" s="59"/>
      <c r="E1565" s="59"/>
      <c r="F1565" s="59"/>
      <c r="G1565" s="60">
        <f>IF(OR(E1565="",F1565="",C1565="",D1565=""),"",IF(C1565+D1565=0,"",(E1565*C1565+F1565*D1565)/(C1565+D1565)))</f>
        <v/>
      </c>
      <c r="H1565" s="59"/>
      <c r="I1565" s="60">
        <f>IF(OR(H1565="",E1565="",C1565="",D1565=""),"",IF(C1565+D1565=0,"",(H1565*D1565+E1565*C1565)/(C1565+D1565)))</f>
        <v/>
      </c>
      <c r="J1565" s="59"/>
      <c r="K1565" s="61">
        <f>IF(OR(J1565="",I1565=""),"",J1565-I1565)</f>
        <v/>
      </c>
      <c r="L1565" s="61">
        <f>IF(OR(J1565="",G1565=""),"",J1565-G1565)</f>
        <v/>
      </c>
      <c r="M1565" s="59"/>
      <c r="N1565" s="59"/>
      <c r="O1565" s="59"/>
      <c r="P1565" s="59"/>
      <c r="Q1565" s="59"/>
      <c r="R1565" s="60">
        <f>IF(AND(P1565="",Q1565=""),"",N(P1565)+N(Q1565))</f>
        <v/>
      </c>
      <c r="S1565" s="59"/>
      <c r="T1565" s="59"/>
      <c r="U1565" s="62">
        <f>IF(OR(R1565="",S1565="",T1565=""),"",IF(S1565+T1565=0,"",R1565/(S1565+T1565)))</f>
        <v/>
      </c>
      <c r="V1565" s="63"/>
      <c r="W1565" s="64"/>
      <c r="X1565" s="63"/>
    </row>
    <row r="1566" spans="2:24">
      <c r="B1566" s="58"/>
      <c r="C1566" s="59"/>
      <c r="D1566" s="59"/>
      <c r="E1566" s="59"/>
      <c r="F1566" s="59"/>
      <c r="G1566" s="60">
        <f>IF(OR(E1566="",F1566="",C1566="",D1566=""),"",IF(C1566+D1566=0,"",(E1566*C1566+F1566*D1566)/(C1566+D1566)))</f>
        <v/>
      </c>
      <c r="H1566" s="59"/>
      <c r="I1566" s="60">
        <f>IF(OR(H1566="",E1566="",C1566="",D1566=""),"",IF(C1566+D1566=0,"",(H1566*D1566+E1566*C1566)/(C1566+D1566)))</f>
        <v/>
      </c>
      <c r="J1566" s="59"/>
      <c r="K1566" s="61">
        <f>IF(OR(J1566="",I1566=""),"",J1566-I1566)</f>
        <v/>
      </c>
      <c r="L1566" s="61">
        <f>IF(OR(J1566="",G1566=""),"",J1566-G1566)</f>
        <v/>
      </c>
      <c r="M1566" s="59"/>
      <c r="N1566" s="59"/>
      <c r="O1566" s="59"/>
      <c r="P1566" s="59"/>
      <c r="Q1566" s="59"/>
      <c r="R1566" s="60">
        <f>IF(AND(P1566="",Q1566=""),"",N(P1566)+N(Q1566))</f>
        <v/>
      </c>
      <c r="S1566" s="59"/>
      <c r="T1566" s="59"/>
      <c r="U1566" s="62">
        <f>IF(OR(R1566="",S1566="",T1566=""),"",IF(S1566+T1566=0,"",R1566/(S1566+T1566)))</f>
        <v/>
      </c>
      <c r="V1566" s="63"/>
      <c r="W1566" s="64"/>
      <c r="X1566" s="63"/>
    </row>
    <row r="1567" spans="2:24">
      <c r="B1567" s="58"/>
      <c r="C1567" s="59"/>
      <c r="D1567" s="59"/>
      <c r="E1567" s="59"/>
      <c r="F1567" s="59"/>
      <c r="G1567" s="60">
        <f>IF(OR(E1567="",F1567="",C1567="",D1567=""),"",IF(C1567+D1567=0,"",(E1567*C1567+F1567*D1567)/(C1567+D1567)))</f>
        <v/>
      </c>
      <c r="H1567" s="59"/>
      <c r="I1567" s="60">
        <f>IF(OR(H1567="",E1567="",C1567="",D1567=""),"",IF(C1567+D1567=0,"",(H1567*D1567+E1567*C1567)/(C1567+D1567)))</f>
        <v/>
      </c>
      <c r="J1567" s="59"/>
      <c r="K1567" s="61">
        <f>IF(OR(J1567="",I1567=""),"",J1567-I1567)</f>
        <v/>
      </c>
      <c r="L1567" s="61">
        <f>IF(OR(J1567="",G1567=""),"",J1567-G1567)</f>
        <v/>
      </c>
      <c r="M1567" s="59"/>
      <c r="N1567" s="59"/>
      <c r="O1567" s="59"/>
      <c r="P1567" s="59"/>
      <c r="Q1567" s="59"/>
      <c r="R1567" s="60">
        <f>IF(AND(P1567="",Q1567=""),"",N(P1567)+N(Q1567))</f>
        <v/>
      </c>
      <c r="S1567" s="59"/>
      <c r="T1567" s="59"/>
      <c r="U1567" s="62">
        <f>IF(OR(R1567="",S1567="",T1567=""),"",IF(S1567+T1567=0,"",R1567/(S1567+T1567)))</f>
        <v/>
      </c>
      <c r="V1567" s="63"/>
      <c r="W1567" s="64"/>
      <c r="X1567" s="63"/>
    </row>
    <row r="1568" spans="2:24">
      <c r="B1568" s="58"/>
      <c r="C1568" s="59"/>
      <c r="D1568" s="59"/>
      <c r="E1568" s="59"/>
      <c r="F1568" s="59"/>
      <c r="G1568" s="60">
        <f>IF(OR(E1568="",F1568="",C1568="",D1568=""),"",IF(C1568+D1568=0,"",(E1568*C1568+F1568*D1568)/(C1568+D1568)))</f>
        <v/>
      </c>
      <c r="H1568" s="59"/>
      <c r="I1568" s="60">
        <f>IF(OR(H1568="",E1568="",C1568="",D1568=""),"",IF(C1568+D1568=0,"",(H1568*D1568+E1568*C1568)/(C1568+D1568)))</f>
        <v/>
      </c>
      <c r="J1568" s="59"/>
      <c r="K1568" s="61">
        <f>IF(OR(J1568="",I1568=""),"",J1568-I1568)</f>
        <v/>
      </c>
      <c r="L1568" s="61">
        <f>IF(OR(J1568="",G1568=""),"",J1568-G1568)</f>
        <v/>
      </c>
      <c r="M1568" s="59"/>
      <c r="N1568" s="59"/>
      <c r="O1568" s="59"/>
      <c r="P1568" s="59"/>
      <c r="Q1568" s="59"/>
      <c r="R1568" s="60">
        <f>IF(AND(P1568="",Q1568=""),"",N(P1568)+N(Q1568))</f>
        <v/>
      </c>
      <c r="S1568" s="59"/>
      <c r="T1568" s="59"/>
      <c r="U1568" s="62">
        <f>IF(OR(R1568="",S1568="",T1568=""),"",IF(S1568+T1568=0,"",R1568/(S1568+T1568)))</f>
        <v/>
      </c>
      <c r="V1568" s="63"/>
      <c r="W1568" s="64"/>
      <c r="X1568" s="63"/>
    </row>
    <row r="1569" spans="2:24">
      <c r="B1569" s="58"/>
      <c r="C1569" s="59"/>
      <c r="D1569" s="59"/>
      <c r="E1569" s="59"/>
      <c r="F1569" s="59"/>
      <c r="G1569" s="60">
        <f>IF(OR(E1569="",F1569="",C1569="",D1569=""),"",IF(C1569+D1569=0,"",(E1569*C1569+F1569*D1569)/(C1569+D1569)))</f>
        <v/>
      </c>
      <c r="H1569" s="59"/>
      <c r="I1569" s="60">
        <f>IF(OR(H1569="",E1569="",C1569="",D1569=""),"",IF(C1569+D1569=0,"",(H1569*D1569+E1569*C1569)/(C1569+D1569)))</f>
        <v/>
      </c>
      <c r="J1569" s="59"/>
      <c r="K1569" s="61">
        <f>IF(OR(J1569="",I1569=""),"",J1569-I1569)</f>
        <v/>
      </c>
      <c r="L1569" s="61">
        <f>IF(OR(J1569="",G1569=""),"",J1569-G1569)</f>
        <v/>
      </c>
      <c r="M1569" s="59"/>
      <c r="N1569" s="59"/>
      <c r="O1569" s="59"/>
      <c r="P1569" s="59"/>
      <c r="Q1569" s="59"/>
      <c r="R1569" s="60">
        <f>IF(AND(P1569="",Q1569=""),"",N(P1569)+N(Q1569))</f>
        <v/>
      </c>
      <c r="S1569" s="59"/>
      <c r="T1569" s="59"/>
      <c r="U1569" s="62">
        <f>IF(OR(R1569="",S1569="",T1569=""),"",IF(S1569+T1569=0,"",R1569/(S1569+T1569)))</f>
        <v/>
      </c>
      <c r="V1569" s="63"/>
      <c r="W1569" s="64"/>
      <c r="X1569" s="63"/>
    </row>
    <row r="1570" spans="2:24">
      <c r="B1570" s="58"/>
      <c r="C1570" s="59"/>
      <c r="D1570" s="59"/>
      <c r="E1570" s="59"/>
      <c r="F1570" s="59"/>
      <c r="G1570" s="60">
        <f>IF(OR(E1570="",F1570="",C1570="",D1570=""),"",IF(C1570+D1570=0,"",(E1570*C1570+F1570*D1570)/(C1570+D1570)))</f>
        <v/>
      </c>
      <c r="H1570" s="59"/>
      <c r="I1570" s="60">
        <f>IF(OR(H1570="",E1570="",C1570="",D1570=""),"",IF(C1570+D1570=0,"",(H1570*D1570+E1570*C1570)/(C1570+D1570)))</f>
        <v/>
      </c>
      <c r="J1570" s="59"/>
      <c r="K1570" s="61">
        <f>IF(OR(J1570="",I1570=""),"",J1570-I1570)</f>
        <v/>
      </c>
      <c r="L1570" s="61">
        <f>IF(OR(J1570="",G1570=""),"",J1570-G1570)</f>
        <v/>
      </c>
      <c r="M1570" s="59"/>
      <c r="N1570" s="59"/>
      <c r="O1570" s="59"/>
      <c r="P1570" s="59"/>
      <c r="Q1570" s="59"/>
      <c r="R1570" s="60">
        <f>IF(AND(P1570="",Q1570=""),"",N(P1570)+N(Q1570))</f>
        <v/>
      </c>
      <c r="S1570" s="59"/>
      <c r="T1570" s="59"/>
      <c r="U1570" s="62">
        <f>IF(OR(R1570="",S1570="",T1570=""),"",IF(S1570+T1570=0,"",R1570/(S1570+T1570)))</f>
        <v/>
      </c>
      <c r="V1570" s="63"/>
      <c r="W1570" s="64"/>
      <c r="X1570" s="63"/>
    </row>
    <row r="1571" spans="2:24">
      <c r="B1571" s="58"/>
      <c r="C1571" s="59"/>
      <c r="D1571" s="59"/>
      <c r="E1571" s="59"/>
      <c r="F1571" s="59"/>
      <c r="G1571" s="60">
        <f>IF(OR(E1571="",F1571="",C1571="",D1571=""),"",IF(C1571+D1571=0,"",(E1571*C1571+F1571*D1571)/(C1571+D1571)))</f>
        <v/>
      </c>
      <c r="H1571" s="59"/>
      <c r="I1571" s="60">
        <f>IF(OR(H1571="",E1571="",C1571="",D1571=""),"",IF(C1571+D1571=0,"",(H1571*D1571+E1571*C1571)/(C1571+D1571)))</f>
        <v/>
      </c>
      <c r="J1571" s="59"/>
      <c r="K1571" s="61">
        <f>IF(OR(J1571="",I1571=""),"",J1571-I1571)</f>
        <v/>
      </c>
      <c r="L1571" s="61">
        <f>IF(OR(J1571="",G1571=""),"",J1571-G1571)</f>
        <v/>
      </c>
      <c r="M1571" s="59"/>
      <c r="N1571" s="59"/>
      <c r="O1571" s="59"/>
      <c r="P1571" s="59"/>
      <c r="Q1571" s="59"/>
      <c r="R1571" s="60">
        <f>IF(AND(P1571="",Q1571=""),"",N(P1571)+N(Q1571))</f>
        <v/>
      </c>
      <c r="S1571" s="59"/>
      <c r="T1571" s="59"/>
      <c r="U1571" s="62">
        <f>IF(OR(R1571="",S1571="",T1571=""),"",IF(S1571+T1571=0,"",R1571/(S1571+T1571)))</f>
        <v/>
      </c>
      <c r="V1571" s="63"/>
      <c r="W1571" s="64"/>
      <c r="X1571" s="63"/>
    </row>
    <row r="1572" spans="2:24">
      <c r="B1572" s="58"/>
      <c r="C1572" s="59"/>
      <c r="D1572" s="59"/>
      <c r="E1572" s="59"/>
      <c r="F1572" s="59"/>
      <c r="G1572" s="60">
        <f>IF(OR(E1572="",F1572="",C1572="",D1572=""),"",IF(C1572+D1572=0,"",(E1572*C1572+F1572*D1572)/(C1572+D1572)))</f>
        <v/>
      </c>
      <c r="H1572" s="59"/>
      <c r="I1572" s="60">
        <f>IF(OR(H1572="",E1572="",C1572="",D1572=""),"",IF(C1572+D1572=0,"",(H1572*D1572+E1572*C1572)/(C1572+D1572)))</f>
        <v/>
      </c>
      <c r="J1572" s="59"/>
      <c r="K1572" s="61">
        <f>IF(OR(J1572="",I1572=""),"",J1572-I1572)</f>
        <v/>
      </c>
      <c r="L1572" s="61">
        <f>IF(OR(J1572="",G1572=""),"",J1572-G1572)</f>
        <v/>
      </c>
      <c r="M1572" s="59"/>
      <c r="N1572" s="59"/>
      <c r="O1572" s="59"/>
      <c r="P1572" s="59"/>
      <c r="Q1572" s="59"/>
      <c r="R1572" s="60">
        <f>IF(AND(P1572="",Q1572=""),"",N(P1572)+N(Q1572))</f>
        <v/>
      </c>
      <c r="S1572" s="59"/>
      <c r="T1572" s="59"/>
      <c r="U1572" s="62">
        <f>IF(OR(R1572="",S1572="",T1572=""),"",IF(S1572+T1572=0,"",R1572/(S1572+T1572)))</f>
        <v/>
      </c>
      <c r="V1572" s="63"/>
      <c r="W1572" s="64"/>
      <c r="X1572" s="63"/>
    </row>
    <row r="1573" spans="2:24">
      <c r="B1573" s="58"/>
      <c r="C1573" s="59"/>
      <c r="D1573" s="59"/>
      <c r="E1573" s="59"/>
      <c r="F1573" s="59"/>
      <c r="G1573" s="60">
        <f>IF(OR(E1573="",F1573="",C1573="",D1573=""),"",IF(C1573+D1573=0,"",(E1573*C1573+F1573*D1573)/(C1573+D1573)))</f>
        <v/>
      </c>
      <c r="H1573" s="59"/>
      <c r="I1573" s="60">
        <f>IF(OR(H1573="",E1573="",C1573="",D1573=""),"",IF(C1573+D1573=0,"",(H1573*D1573+E1573*C1573)/(C1573+D1573)))</f>
        <v/>
      </c>
      <c r="J1573" s="59"/>
      <c r="K1573" s="61">
        <f>IF(OR(J1573="",I1573=""),"",J1573-I1573)</f>
        <v/>
      </c>
      <c r="L1573" s="61">
        <f>IF(OR(J1573="",G1573=""),"",J1573-G1573)</f>
        <v/>
      </c>
      <c r="M1573" s="59"/>
      <c r="N1573" s="59"/>
      <c r="O1573" s="59"/>
      <c r="P1573" s="59"/>
      <c r="Q1573" s="59"/>
      <c r="R1573" s="60">
        <f>IF(AND(P1573="",Q1573=""),"",N(P1573)+N(Q1573))</f>
        <v/>
      </c>
      <c r="S1573" s="59"/>
      <c r="T1573" s="59"/>
      <c r="U1573" s="62">
        <f>IF(OR(R1573="",S1573="",T1573=""),"",IF(S1573+T1573=0,"",R1573/(S1573+T1573)))</f>
        <v/>
      </c>
      <c r="V1573" s="63"/>
      <c r="W1573" s="64"/>
      <c r="X1573" s="63"/>
    </row>
    <row r="1574" spans="2:24">
      <c r="B1574" s="58"/>
      <c r="C1574" s="59"/>
      <c r="D1574" s="59"/>
      <c r="E1574" s="59"/>
      <c r="F1574" s="59"/>
      <c r="G1574" s="60">
        <f>IF(OR(E1574="",F1574="",C1574="",D1574=""),"",IF(C1574+D1574=0,"",(E1574*C1574+F1574*D1574)/(C1574+D1574)))</f>
        <v/>
      </c>
      <c r="H1574" s="59"/>
      <c r="I1574" s="60">
        <f>IF(OR(H1574="",E1574="",C1574="",D1574=""),"",IF(C1574+D1574=0,"",(H1574*D1574+E1574*C1574)/(C1574+D1574)))</f>
        <v/>
      </c>
      <c r="J1574" s="59"/>
      <c r="K1574" s="61">
        <f>IF(OR(J1574="",I1574=""),"",J1574-I1574)</f>
        <v/>
      </c>
      <c r="L1574" s="61">
        <f>IF(OR(J1574="",G1574=""),"",J1574-G1574)</f>
        <v/>
      </c>
      <c r="M1574" s="59"/>
      <c r="N1574" s="59"/>
      <c r="O1574" s="59"/>
      <c r="P1574" s="59"/>
      <c r="Q1574" s="59"/>
      <c r="R1574" s="60">
        <f>IF(AND(P1574="",Q1574=""),"",N(P1574)+N(Q1574))</f>
        <v/>
      </c>
      <c r="S1574" s="59"/>
      <c r="T1574" s="59"/>
      <c r="U1574" s="62">
        <f>IF(OR(R1574="",S1574="",T1574=""),"",IF(S1574+T1574=0,"",R1574/(S1574+T1574)))</f>
        <v/>
      </c>
      <c r="V1574" s="63"/>
      <c r="W1574" s="64"/>
      <c r="X1574" s="63"/>
    </row>
    <row r="1575" spans="2:24">
      <c r="B1575" s="58"/>
      <c r="C1575" s="59"/>
      <c r="D1575" s="59"/>
      <c r="E1575" s="59"/>
      <c r="F1575" s="59"/>
      <c r="G1575" s="60">
        <f>IF(OR(E1575="",F1575="",C1575="",D1575=""),"",IF(C1575+D1575=0,"",(E1575*C1575+F1575*D1575)/(C1575+D1575)))</f>
        <v/>
      </c>
      <c r="H1575" s="59"/>
      <c r="I1575" s="60">
        <f>IF(OR(H1575="",E1575="",C1575="",D1575=""),"",IF(C1575+D1575=0,"",(H1575*D1575+E1575*C1575)/(C1575+D1575)))</f>
        <v/>
      </c>
      <c r="J1575" s="59"/>
      <c r="K1575" s="61">
        <f>IF(OR(J1575="",I1575=""),"",J1575-I1575)</f>
        <v/>
      </c>
      <c r="L1575" s="61">
        <f>IF(OR(J1575="",G1575=""),"",J1575-G1575)</f>
        <v/>
      </c>
      <c r="M1575" s="59"/>
      <c r="N1575" s="59"/>
      <c r="O1575" s="59"/>
      <c r="P1575" s="59"/>
      <c r="Q1575" s="59"/>
      <c r="R1575" s="60">
        <f>IF(AND(P1575="",Q1575=""),"",N(P1575)+N(Q1575))</f>
        <v/>
      </c>
      <c r="S1575" s="59"/>
      <c r="T1575" s="59"/>
      <c r="U1575" s="62">
        <f>IF(OR(R1575="",S1575="",T1575=""),"",IF(S1575+T1575=0,"",R1575/(S1575+T1575)))</f>
        <v/>
      </c>
      <c r="V1575" s="63"/>
      <c r="W1575" s="64"/>
      <c r="X1575" s="63"/>
    </row>
    <row r="1576" spans="2:24">
      <c r="B1576" s="58"/>
      <c r="C1576" s="59"/>
      <c r="D1576" s="59"/>
      <c r="E1576" s="59"/>
      <c r="F1576" s="59"/>
      <c r="G1576" s="60">
        <f>IF(OR(E1576="",F1576="",C1576="",D1576=""),"",IF(C1576+D1576=0,"",(E1576*C1576+F1576*D1576)/(C1576+D1576)))</f>
        <v/>
      </c>
      <c r="H1576" s="59"/>
      <c r="I1576" s="60">
        <f>IF(OR(H1576="",E1576="",C1576="",D1576=""),"",IF(C1576+D1576=0,"",(H1576*D1576+E1576*C1576)/(C1576+D1576)))</f>
        <v/>
      </c>
      <c r="J1576" s="59"/>
      <c r="K1576" s="61">
        <f>IF(OR(J1576="",I1576=""),"",J1576-I1576)</f>
        <v/>
      </c>
      <c r="L1576" s="61">
        <f>IF(OR(J1576="",G1576=""),"",J1576-G1576)</f>
        <v/>
      </c>
      <c r="M1576" s="59"/>
      <c r="N1576" s="59"/>
      <c r="O1576" s="59"/>
      <c r="P1576" s="59"/>
      <c r="Q1576" s="59"/>
      <c r="R1576" s="60">
        <f>IF(AND(P1576="",Q1576=""),"",N(P1576)+N(Q1576))</f>
        <v/>
      </c>
      <c r="S1576" s="59"/>
      <c r="T1576" s="59"/>
      <c r="U1576" s="62">
        <f>IF(OR(R1576="",S1576="",T1576=""),"",IF(S1576+T1576=0,"",R1576/(S1576+T1576)))</f>
        <v/>
      </c>
      <c r="V1576" s="63"/>
      <c r="W1576" s="64"/>
      <c r="X1576" s="63"/>
    </row>
    <row r="1577" spans="2:24">
      <c r="B1577" s="58"/>
      <c r="C1577" s="59"/>
      <c r="D1577" s="59"/>
      <c r="E1577" s="59"/>
      <c r="F1577" s="59"/>
      <c r="G1577" s="60">
        <f>IF(OR(E1577="",F1577="",C1577="",D1577=""),"",IF(C1577+D1577=0,"",(E1577*C1577+F1577*D1577)/(C1577+D1577)))</f>
        <v/>
      </c>
      <c r="H1577" s="59"/>
      <c r="I1577" s="60">
        <f>IF(OR(H1577="",E1577="",C1577="",D1577=""),"",IF(C1577+D1577=0,"",(H1577*D1577+E1577*C1577)/(C1577+D1577)))</f>
        <v/>
      </c>
      <c r="J1577" s="59"/>
      <c r="K1577" s="61">
        <f>IF(OR(J1577="",I1577=""),"",J1577-I1577)</f>
        <v/>
      </c>
      <c r="L1577" s="61">
        <f>IF(OR(J1577="",G1577=""),"",J1577-G1577)</f>
        <v/>
      </c>
      <c r="M1577" s="59"/>
      <c r="N1577" s="59"/>
      <c r="O1577" s="59"/>
      <c r="P1577" s="59"/>
      <c r="Q1577" s="59"/>
      <c r="R1577" s="60">
        <f>IF(AND(P1577="",Q1577=""),"",N(P1577)+N(Q1577))</f>
        <v/>
      </c>
      <c r="S1577" s="59"/>
      <c r="T1577" s="59"/>
      <c r="U1577" s="62">
        <f>IF(OR(R1577="",S1577="",T1577=""),"",IF(S1577+T1577=0,"",R1577/(S1577+T1577)))</f>
        <v/>
      </c>
      <c r="V1577" s="63"/>
      <c r="W1577" s="64"/>
      <c r="X1577" s="63"/>
    </row>
    <row r="1578" spans="2:24">
      <c r="B1578" s="58"/>
      <c r="C1578" s="59"/>
      <c r="D1578" s="59"/>
      <c r="E1578" s="59"/>
      <c r="F1578" s="59"/>
      <c r="G1578" s="60">
        <f>IF(OR(E1578="",F1578="",C1578="",D1578=""),"",IF(C1578+D1578=0,"",(E1578*C1578+F1578*D1578)/(C1578+D1578)))</f>
        <v/>
      </c>
      <c r="H1578" s="59"/>
      <c r="I1578" s="60">
        <f>IF(OR(H1578="",E1578="",C1578="",D1578=""),"",IF(C1578+D1578=0,"",(H1578*D1578+E1578*C1578)/(C1578+D1578)))</f>
        <v/>
      </c>
      <c r="J1578" s="59"/>
      <c r="K1578" s="61">
        <f>IF(OR(J1578="",I1578=""),"",J1578-I1578)</f>
        <v/>
      </c>
      <c r="L1578" s="61">
        <f>IF(OR(J1578="",G1578=""),"",J1578-G1578)</f>
        <v/>
      </c>
      <c r="M1578" s="59"/>
      <c r="N1578" s="59"/>
      <c r="O1578" s="59"/>
      <c r="P1578" s="59"/>
      <c r="Q1578" s="59"/>
      <c r="R1578" s="60">
        <f>IF(AND(P1578="",Q1578=""),"",N(P1578)+N(Q1578))</f>
        <v/>
      </c>
      <c r="S1578" s="59"/>
      <c r="T1578" s="59"/>
      <c r="U1578" s="62">
        <f>IF(OR(R1578="",S1578="",T1578=""),"",IF(S1578+T1578=0,"",R1578/(S1578+T1578)))</f>
        <v/>
      </c>
      <c r="V1578" s="63"/>
      <c r="W1578" s="64"/>
      <c r="X1578" s="63"/>
    </row>
    <row r="1579" spans="2:24">
      <c r="B1579" s="58"/>
      <c r="C1579" s="59"/>
      <c r="D1579" s="59"/>
      <c r="E1579" s="59"/>
      <c r="F1579" s="59"/>
      <c r="G1579" s="60">
        <f>IF(OR(E1579="",F1579="",C1579="",D1579=""),"",IF(C1579+D1579=0,"",(E1579*C1579+F1579*D1579)/(C1579+D1579)))</f>
        <v/>
      </c>
      <c r="H1579" s="59"/>
      <c r="I1579" s="60">
        <f>IF(OR(H1579="",E1579="",C1579="",D1579=""),"",IF(C1579+D1579=0,"",(H1579*D1579+E1579*C1579)/(C1579+D1579)))</f>
        <v/>
      </c>
      <c r="J1579" s="59"/>
      <c r="K1579" s="61">
        <f>IF(OR(J1579="",I1579=""),"",J1579-I1579)</f>
        <v/>
      </c>
      <c r="L1579" s="61">
        <f>IF(OR(J1579="",G1579=""),"",J1579-G1579)</f>
        <v/>
      </c>
      <c r="M1579" s="59"/>
      <c r="N1579" s="59"/>
      <c r="O1579" s="59"/>
      <c r="P1579" s="59"/>
      <c r="Q1579" s="59"/>
      <c r="R1579" s="60">
        <f>IF(AND(P1579="",Q1579=""),"",N(P1579)+N(Q1579))</f>
        <v/>
      </c>
      <c r="S1579" s="59"/>
      <c r="T1579" s="59"/>
      <c r="U1579" s="62">
        <f>IF(OR(R1579="",S1579="",T1579=""),"",IF(S1579+T1579=0,"",R1579/(S1579+T1579)))</f>
        <v/>
      </c>
      <c r="V1579" s="63"/>
      <c r="W1579" s="64"/>
      <c r="X1579" s="63"/>
    </row>
    <row r="1580" spans="2:24">
      <c r="B1580" s="58"/>
      <c r="C1580" s="59"/>
      <c r="D1580" s="59"/>
      <c r="E1580" s="59"/>
      <c r="F1580" s="59"/>
      <c r="G1580" s="60">
        <f>IF(OR(E1580="",F1580="",C1580="",D1580=""),"",IF(C1580+D1580=0,"",(E1580*C1580+F1580*D1580)/(C1580+D1580)))</f>
        <v/>
      </c>
      <c r="H1580" s="59"/>
      <c r="I1580" s="60">
        <f>IF(OR(H1580="",E1580="",C1580="",D1580=""),"",IF(C1580+D1580=0,"",(H1580*D1580+E1580*C1580)/(C1580+D1580)))</f>
        <v/>
      </c>
      <c r="J1580" s="59"/>
      <c r="K1580" s="61">
        <f>IF(OR(J1580="",I1580=""),"",J1580-I1580)</f>
        <v/>
      </c>
      <c r="L1580" s="61">
        <f>IF(OR(J1580="",G1580=""),"",J1580-G1580)</f>
        <v/>
      </c>
      <c r="M1580" s="59"/>
      <c r="N1580" s="59"/>
      <c r="O1580" s="59"/>
      <c r="P1580" s="59"/>
      <c r="Q1580" s="59"/>
      <c r="R1580" s="60">
        <f>IF(AND(P1580="",Q1580=""),"",N(P1580)+N(Q1580))</f>
        <v/>
      </c>
      <c r="S1580" s="59"/>
      <c r="T1580" s="59"/>
      <c r="U1580" s="62">
        <f>IF(OR(R1580="",S1580="",T1580=""),"",IF(S1580+T1580=0,"",R1580/(S1580+T1580)))</f>
        <v/>
      </c>
      <c r="V1580" s="63"/>
      <c r="W1580" s="64"/>
      <c r="X1580" s="63"/>
    </row>
    <row r="1581" spans="2:24">
      <c r="B1581" s="58"/>
      <c r="C1581" s="59"/>
      <c r="D1581" s="59"/>
      <c r="E1581" s="59"/>
      <c r="F1581" s="59"/>
      <c r="G1581" s="60">
        <f>IF(OR(E1581="",F1581="",C1581="",D1581=""),"",IF(C1581+D1581=0,"",(E1581*C1581+F1581*D1581)/(C1581+D1581)))</f>
        <v/>
      </c>
      <c r="H1581" s="59"/>
      <c r="I1581" s="60">
        <f>IF(OR(H1581="",E1581="",C1581="",D1581=""),"",IF(C1581+D1581=0,"",(H1581*D1581+E1581*C1581)/(C1581+D1581)))</f>
        <v/>
      </c>
      <c r="J1581" s="59"/>
      <c r="K1581" s="61">
        <f>IF(OR(J1581="",I1581=""),"",J1581-I1581)</f>
        <v/>
      </c>
      <c r="L1581" s="61">
        <f>IF(OR(J1581="",G1581=""),"",J1581-G1581)</f>
        <v/>
      </c>
      <c r="M1581" s="59"/>
      <c r="N1581" s="59"/>
      <c r="O1581" s="59"/>
      <c r="P1581" s="59"/>
      <c r="Q1581" s="59"/>
      <c r="R1581" s="60">
        <f>IF(AND(P1581="",Q1581=""),"",N(P1581)+N(Q1581))</f>
        <v/>
      </c>
      <c r="S1581" s="59"/>
      <c r="T1581" s="59"/>
      <c r="U1581" s="62">
        <f>IF(OR(R1581="",S1581="",T1581=""),"",IF(S1581+T1581=0,"",R1581/(S1581+T1581)))</f>
        <v/>
      </c>
      <c r="V1581" s="63"/>
      <c r="W1581" s="64"/>
      <c r="X1581" s="63"/>
    </row>
    <row r="1582" spans="2:24">
      <c r="B1582" s="58"/>
      <c r="C1582" s="59"/>
      <c r="D1582" s="59"/>
      <c r="E1582" s="59"/>
      <c r="F1582" s="59"/>
      <c r="G1582" s="60">
        <f>IF(OR(E1582="",F1582="",C1582="",D1582=""),"",IF(C1582+D1582=0,"",(E1582*C1582+F1582*D1582)/(C1582+D1582)))</f>
        <v/>
      </c>
      <c r="H1582" s="59"/>
      <c r="I1582" s="60">
        <f>IF(OR(H1582="",E1582="",C1582="",D1582=""),"",IF(C1582+D1582=0,"",(H1582*D1582+E1582*C1582)/(C1582+D1582)))</f>
        <v/>
      </c>
      <c r="J1582" s="59"/>
      <c r="K1582" s="61">
        <f>IF(OR(J1582="",I1582=""),"",J1582-I1582)</f>
        <v/>
      </c>
      <c r="L1582" s="61">
        <f>IF(OR(J1582="",G1582=""),"",J1582-G1582)</f>
        <v/>
      </c>
      <c r="M1582" s="59"/>
      <c r="N1582" s="59"/>
      <c r="O1582" s="59"/>
      <c r="P1582" s="59"/>
      <c r="Q1582" s="59"/>
      <c r="R1582" s="60">
        <f>IF(AND(P1582="",Q1582=""),"",N(P1582)+N(Q1582))</f>
        <v/>
      </c>
      <c r="S1582" s="59"/>
      <c r="T1582" s="59"/>
      <c r="U1582" s="62">
        <f>IF(OR(R1582="",S1582="",T1582=""),"",IF(S1582+T1582=0,"",R1582/(S1582+T1582)))</f>
        <v/>
      </c>
      <c r="V1582" s="63"/>
      <c r="W1582" s="64"/>
      <c r="X1582" s="63"/>
    </row>
    <row r="1583" spans="2:24">
      <c r="B1583" s="58"/>
      <c r="C1583" s="59"/>
      <c r="D1583" s="59"/>
      <c r="E1583" s="59"/>
      <c r="F1583" s="59"/>
      <c r="G1583" s="60">
        <f>IF(OR(E1583="",F1583="",C1583="",D1583=""),"",IF(C1583+D1583=0,"",(E1583*C1583+F1583*D1583)/(C1583+D1583)))</f>
        <v/>
      </c>
      <c r="H1583" s="59"/>
      <c r="I1583" s="60">
        <f>IF(OR(H1583="",E1583="",C1583="",D1583=""),"",IF(C1583+D1583=0,"",(H1583*D1583+E1583*C1583)/(C1583+D1583)))</f>
        <v/>
      </c>
      <c r="J1583" s="59"/>
      <c r="K1583" s="61">
        <f>IF(OR(J1583="",I1583=""),"",J1583-I1583)</f>
        <v/>
      </c>
      <c r="L1583" s="61">
        <f>IF(OR(J1583="",G1583=""),"",J1583-G1583)</f>
        <v/>
      </c>
      <c r="M1583" s="59"/>
      <c r="N1583" s="59"/>
      <c r="O1583" s="59"/>
      <c r="P1583" s="59"/>
      <c r="Q1583" s="59"/>
      <c r="R1583" s="60">
        <f>IF(AND(P1583="",Q1583=""),"",N(P1583)+N(Q1583))</f>
        <v/>
      </c>
      <c r="S1583" s="59"/>
      <c r="T1583" s="59"/>
      <c r="U1583" s="62">
        <f>IF(OR(R1583="",S1583="",T1583=""),"",IF(S1583+T1583=0,"",R1583/(S1583+T1583)))</f>
        <v/>
      </c>
      <c r="V1583" s="63"/>
      <c r="W1583" s="64"/>
      <c r="X1583" s="63"/>
    </row>
    <row r="1584" spans="2:24">
      <c r="B1584" s="58"/>
      <c r="C1584" s="59"/>
      <c r="D1584" s="59"/>
      <c r="E1584" s="59"/>
      <c r="F1584" s="59"/>
      <c r="G1584" s="60">
        <f>IF(OR(E1584="",F1584="",C1584="",D1584=""),"",IF(C1584+D1584=0,"",(E1584*C1584+F1584*D1584)/(C1584+D1584)))</f>
        <v/>
      </c>
      <c r="H1584" s="59"/>
      <c r="I1584" s="60">
        <f>IF(OR(H1584="",E1584="",C1584="",D1584=""),"",IF(C1584+D1584=0,"",(H1584*D1584+E1584*C1584)/(C1584+D1584)))</f>
        <v/>
      </c>
      <c r="J1584" s="59"/>
      <c r="K1584" s="61">
        <f>IF(OR(J1584="",I1584=""),"",J1584-I1584)</f>
        <v/>
      </c>
      <c r="L1584" s="61">
        <f>IF(OR(J1584="",G1584=""),"",J1584-G1584)</f>
        <v/>
      </c>
      <c r="M1584" s="59"/>
      <c r="N1584" s="59"/>
      <c r="O1584" s="59"/>
      <c r="P1584" s="59"/>
      <c r="Q1584" s="59"/>
      <c r="R1584" s="60">
        <f>IF(AND(P1584="",Q1584=""),"",N(P1584)+N(Q1584))</f>
        <v/>
      </c>
      <c r="S1584" s="59"/>
      <c r="T1584" s="59"/>
      <c r="U1584" s="62">
        <f>IF(OR(R1584="",S1584="",T1584=""),"",IF(S1584+T1584=0,"",R1584/(S1584+T1584)))</f>
        <v/>
      </c>
      <c r="V1584" s="63"/>
      <c r="W1584" s="64"/>
      <c r="X1584" s="63"/>
    </row>
    <row r="1585" spans="2:24">
      <c r="B1585" s="58"/>
      <c r="C1585" s="59"/>
      <c r="D1585" s="59"/>
      <c r="E1585" s="59"/>
      <c r="F1585" s="59"/>
      <c r="G1585" s="60">
        <f>IF(OR(E1585="",F1585="",C1585="",D1585=""),"",IF(C1585+D1585=0,"",(E1585*C1585+F1585*D1585)/(C1585+D1585)))</f>
        <v/>
      </c>
      <c r="H1585" s="59"/>
      <c r="I1585" s="60">
        <f>IF(OR(H1585="",E1585="",C1585="",D1585=""),"",IF(C1585+D1585=0,"",(H1585*D1585+E1585*C1585)/(C1585+D1585)))</f>
        <v/>
      </c>
      <c r="J1585" s="59"/>
      <c r="K1585" s="61">
        <f>IF(OR(J1585="",I1585=""),"",J1585-I1585)</f>
        <v/>
      </c>
      <c r="L1585" s="61">
        <f>IF(OR(J1585="",G1585=""),"",J1585-G1585)</f>
        <v/>
      </c>
      <c r="M1585" s="59"/>
      <c r="N1585" s="59"/>
      <c r="O1585" s="59"/>
      <c r="P1585" s="59"/>
      <c r="Q1585" s="59"/>
      <c r="R1585" s="60">
        <f>IF(AND(P1585="",Q1585=""),"",N(P1585)+N(Q1585))</f>
        <v/>
      </c>
      <c r="S1585" s="59"/>
      <c r="T1585" s="59"/>
      <c r="U1585" s="62">
        <f>IF(OR(R1585="",S1585="",T1585=""),"",IF(S1585+T1585=0,"",R1585/(S1585+T1585)))</f>
        <v/>
      </c>
      <c r="V1585" s="63"/>
      <c r="W1585" s="64"/>
      <c r="X1585" s="63"/>
    </row>
    <row r="1586" spans="2:24">
      <c r="B1586" s="58"/>
      <c r="C1586" s="59"/>
      <c r="D1586" s="59"/>
      <c r="E1586" s="59"/>
      <c r="F1586" s="59"/>
      <c r="G1586" s="60">
        <f>IF(OR(E1586="",F1586="",C1586="",D1586=""),"",IF(C1586+D1586=0,"",(E1586*C1586+F1586*D1586)/(C1586+D1586)))</f>
        <v/>
      </c>
      <c r="H1586" s="59"/>
      <c r="I1586" s="60">
        <f>IF(OR(H1586="",E1586="",C1586="",D1586=""),"",IF(C1586+D1586=0,"",(H1586*D1586+E1586*C1586)/(C1586+D1586)))</f>
        <v/>
      </c>
      <c r="J1586" s="59"/>
      <c r="K1586" s="61">
        <f>IF(OR(J1586="",I1586=""),"",J1586-I1586)</f>
        <v/>
      </c>
      <c r="L1586" s="61">
        <f>IF(OR(J1586="",G1586=""),"",J1586-G1586)</f>
        <v/>
      </c>
      <c r="M1586" s="59"/>
      <c r="N1586" s="59"/>
      <c r="O1586" s="59"/>
      <c r="P1586" s="59"/>
      <c r="Q1586" s="59"/>
      <c r="R1586" s="60">
        <f>IF(AND(P1586="",Q1586=""),"",N(P1586)+N(Q1586))</f>
        <v/>
      </c>
      <c r="S1586" s="59"/>
      <c r="T1586" s="59"/>
      <c r="U1586" s="62">
        <f>IF(OR(R1586="",S1586="",T1586=""),"",IF(S1586+T1586=0,"",R1586/(S1586+T1586)))</f>
        <v/>
      </c>
      <c r="V1586" s="63"/>
      <c r="W1586" s="64"/>
      <c r="X1586" s="63"/>
    </row>
    <row r="1587" spans="2:24">
      <c r="B1587" s="58"/>
      <c r="C1587" s="59"/>
      <c r="D1587" s="59"/>
      <c r="E1587" s="59"/>
      <c r="F1587" s="59"/>
      <c r="G1587" s="60">
        <f>IF(OR(E1587="",F1587="",C1587="",D1587=""),"",IF(C1587+D1587=0,"",(E1587*C1587+F1587*D1587)/(C1587+D1587)))</f>
        <v/>
      </c>
      <c r="H1587" s="59"/>
      <c r="I1587" s="60">
        <f>IF(OR(H1587="",E1587="",C1587="",D1587=""),"",IF(C1587+D1587=0,"",(H1587*D1587+E1587*C1587)/(C1587+D1587)))</f>
        <v/>
      </c>
      <c r="J1587" s="59"/>
      <c r="K1587" s="61">
        <f>IF(OR(J1587="",I1587=""),"",J1587-I1587)</f>
        <v/>
      </c>
      <c r="L1587" s="61">
        <f>IF(OR(J1587="",G1587=""),"",J1587-G1587)</f>
        <v/>
      </c>
      <c r="M1587" s="59"/>
      <c r="N1587" s="59"/>
      <c r="O1587" s="59"/>
      <c r="P1587" s="59"/>
      <c r="Q1587" s="59"/>
      <c r="R1587" s="60">
        <f>IF(AND(P1587="",Q1587=""),"",N(P1587)+N(Q1587))</f>
        <v/>
      </c>
      <c r="S1587" s="59"/>
      <c r="T1587" s="59"/>
      <c r="U1587" s="62">
        <f>IF(OR(R1587="",S1587="",T1587=""),"",IF(S1587+T1587=0,"",R1587/(S1587+T1587)))</f>
        <v/>
      </c>
      <c r="V1587" s="63"/>
      <c r="W1587" s="64"/>
      <c r="X1587" s="63"/>
    </row>
    <row r="1588" spans="2:24">
      <c r="B1588" s="58"/>
      <c r="C1588" s="59"/>
      <c r="D1588" s="59"/>
      <c r="E1588" s="59"/>
      <c r="F1588" s="59"/>
      <c r="G1588" s="60">
        <f>IF(OR(E1588="",F1588="",C1588="",D1588=""),"",IF(C1588+D1588=0,"",(E1588*C1588+F1588*D1588)/(C1588+D1588)))</f>
        <v/>
      </c>
      <c r="H1588" s="59"/>
      <c r="I1588" s="60">
        <f>IF(OR(H1588="",E1588="",C1588="",D1588=""),"",IF(C1588+D1588=0,"",(H1588*D1588+E1588*C1588)/(C1588+D1588)))</f>
        <v/>
      </c>
      <c r="J1588" s="59"/>
      <c r="K1588" s="61">
        <f>IF(OR(J1588="",I1588=""),"",J1588-I1588)</f>
        <v/>
      </c>
      <c r="L1588" s="61">
        <f>IF(OR(J1588="",G1588=""),"",J1588-G1588)</f>
        <v/>
      </c>
      <c r="M1588" s="59"/>
      <c r="N1588" s="59"/>
      <c r="O1588" s="59"/>
      <c r="P1588" s="59"/>
      <c r="Q1588" s="59"/>
      <c r="R1588" s="60">
        <f>IF(AND(P1588="",Q1588=""),"",N(P1588)+N(Q1588))</f>
        <v/>
      </c>
      <c r="S1588" s="59"/>
      <c r="T1588" s="59"/>
      <c r="U1588" s="62">
        <f>IF(OR(R1588="",S1588="",T1588=""),"",IF(S1588+T1588=0,"",R1588/(S1588+T1588)))</f>
        <v/>
      </c>
      <c r="V1588" s="63"/>
      <c r="W1588" s="64"/>
      <c r="X1588" s="63"/>
    </row>
    <row r="1589" spans="2:24">
      <c r="B1589" s="58"/>
      <c r="C1589" s="59"/>
      <c r="D1589" s="59"/>
      <c r="E1589" s="59"/>
      <c r="F1589" s="59"/>
      <c r="G1589" s="60">
        <f>IF(OR(E1589="",F1589="",C1589="",D1589=""),"",IF(C1589+D1589=0,"",(E1589*C1589+F1589*D1589)/(C1589+D1589)))</f>
        <v/>
      </c>
      <c r="H1589" s="59"/>
      <c r="I1589" s="60">
        <f>IF(OR(H1589="",E1589="",C1589="",D1589=""),"",IF(C1589+D1589=0,"",(H1589*D1589+E1589*C1589)/(C1589+D1589)))</f>
        <v/>
      </c>
      <c r="J1589" s="59"/>
      <c r="K1589" s="61">
        <f>IF(OR(J1589="",I1589=""),"",J1589-I1589)</f>
        <v/>
      </c>
      <c r="L1589" s="61">
        <f>IF(OR(J1589="",G1589=""),"",J1589-G1589)</f>
        <v/>
      </c>
      <c r="M1589" s="59"/>
      <c r="N1589" s="59"/>
      <c r="O1589" s="59"/>
      <c r="P1589" s="59"/>
      <c r="Q1589" s="59"/>
      <c r="R1589" s="60">
        <f>IF(AND(P1589="",Q1589=""),"",N(P1589)+N(Q1589))</f>
        <v/>
      </c>
      <c r="S1589" s="59"/>
      <c r="T1589" s="59"/>
      <c r="U1589" s="62">
        <f>IF(OR(R1589="",S1589="",T1589=""),"",IF(S1589+T1589=0,"",R1589/(S1589+T1589)))</f>
        <v/>
      </c>
      <c r="V1589" s="63"/>
      <c r="W1589" s="64"/>
      <c r="X1589" s="63"/>
    </row>
    <row r="1590" spans="2:24">
      <c r="B1590" s="58"/>
      <c r="C1590" s="59"/>
      <c r="D1590" s="59"/>
      <c r="E1590" s="59"/>
      <c r="F1590" s="59"/>
      <c r="G1590" s="60">
        <f>IF(OR(E1590="",F1590="",C1590="",D1590=""),"",IF(C1590+D1590=0,"",(E1590*C1590+F1590*D1590)/(C1590+D1590)))</f>
        <v/>
      </c>
      <c r="H1590" s="59"/>
      <c r="I1590" s="60">
        <f>IF(OR(H1590="",E1590="",C1590="",D1590=""),"",IF(C1590+D1590=0,"",(H1590*D1590+E1590*C1590)/(C1590+D1590)))</f>
        <v/>
      </c>
      <c r="J1590" s="59"/>
      <c r="K1590" s="61">
        <f>IF(OR(J1590="",I1590=""),"",J1590-I1590)</f>
        <v/>
      </c>
      <c r="L1590" s="61">
        <f>IF(OR(J1590="",G1590=""),"",J1590-G1590)</f>
        <v/>
      </c>
      <c r="M1590" s="59"/>
      <c r="N1590" s="59"/>
      <c r="O1590" s="59"/>
      <c r="P1590" s="59"/>
      <c r="Q1590" s="59"/>
      <c r="R1590" s="60">
        <f>IF(AND(P1590="",Q1590=""),"",N(P1590)+N(Q1590))</f>
        <v/>
      </c>
      <c r="S1590" s="59"/>
      <c r="T1590" s="59"/>
      <c r="U1590" s="62">
        <f>IF(OR(R1590="",S1590="",T1590=""),"",IF(S1590+T1590=0,"",R1590/(S1590+T1590)))</f>
        <v/>
      </c>
      <c r="V1590" s="63"/>
      <c r="W1590" s="64"/>
      <c r="X1590" s="63"/>
    </row>
    <row r="1591" spans="2:24">
      <c r="B1591" s="58"/>
      <c r="C1591" s="59"/>
      <c r="D1591" s="59"/>
      <c r="E1591" s="59"/>
      <c r="F1591" s="59"/>
      <c r="G1591" s="60">
        <f>IF(OR(E1591="",F1591="",C1591="",D1591=""),"",IF(C1591+D1591=0,"",(E1591*C1591+F1591*D1591)/(C1591+D1591)))</f>
        <v/>
      </c>
      <c r="H1591" s="59"/>
      <c r="I1591" s="60">
        <f>IF(OR(H1591="",E1591="",C1591="",D1591=""),"",IF(C1591+D1591=0,"",(H1591*D1591+E1591*C1591)/(C1591+D1591)))</f>
        <v/>
      </c>
      <c r="J1591" s="59"/>
      <c r="K1591" s="61">
        <f>IF(OR(J1591="",I1591=""),"",J1591-I1591)</f>
        <v/>
      </c>
      <c r="L1591" s="61">
        <f>IF(OR(J1591="",G1591=""),"",J1591-G1591)</f>
        <v/>
      </c>
      <c r="M1591" s="59"/>
      <c r="N1591" s="59"/>
      <c r="O1591" s="59"/>
      <c r="P1591" s="59"/>
      <c r="Q1591" s="59"/>
      <c r="R1591" s="60">
        <f>IF(AND(P1591="",Q1591=""),"",N(P1591)+N(Q1591))</f>
        <v/>
      </c>
      <c r="S1591" s="59"/>
      <c r="T1591" s="59"/>
      <c r="U1591" s="62">
        <f>IF(OR(R1591="",S1591="",T1591=""),"",IF(S1591+T1591=0,"",R1591/(S1591+T1591)))</f>
        <v/>
      </c>
      <c r="V1591" s="63"/>
      <c r="W1591" s="64"/>
      <c r="X1591" s="63"/>
    </row>
    <row r="1592" spans="2:24">
      <c r="B1592" s="58"/>
      <c r="C1592" s="59"/>
      <c r="D1592" s="59"/>
      <c r="E1592" s="59"/>
      <c r="F1592" s="59"/>
      <c r="G1592" s="60">
        <f>IF(OR(E1592="",F1592="",C1592="",D1592=""),"",IF(C1592+D1592=0,"",(E1592*C1592+F1592*D1592)/(C1592+D1592)))</f>
        <v/>
      </c>
      <c r="H1592" s="59"/>
      <c r="I1592" s="60">
        <f>IF(OR(H1592="",E1592="",C1592="",D1592=""),"",IF(C1592+D1592=0,"",(H1592*D1592+E1592*C1592)/(C1592+D1592)))</f>
        <v/>
      </c>
      <c r="J1592" s="59"/>
      <c r="K1592" s="61">
        <f>IF(OR(J1592="",I1592=""),"",J1592-I1592)</f>
        <v/>
      </c>
      <c r="L1592" s="61">
        <f>IF(OR(J1592="",G1592=""),"",J1592-G1592)</f>
        <v/>
      </c>
      <c r="M1592" s="59"/>
      <c r="N1592" s="59"/>
      <c r="O1592" s="59"/>
      <c r="P1592" s="59"/>
      <c r="Q1592" s="59"/>
      <c r="R1592" s="60">
        <f>IF(AND(P1592="",Q1592=""),"",N(P1592)+N(Q1592))</f>
        <v/>
      </c>
      <c r="S1592" s="59"/>
      <c r="T1592" s="59"/>
      <c r="U1592" s="62">
        <f>IF(OR(R1592="",S1592="",T1592=""),"",IF(S1592+T1592=0,"",R1592/(S1592+T1592)))</f>
        <v/>
      </c>
      <c r="V1592" s="63"/>
      <c r="W1592" s="64"/>
      <c r="X1592" s="63"/>
    </row>
    <row r="1593" spans="2:24">
      <c r="B1593" s="58"/>
      <c r="C1593" s="59"/>
      <c r="D1593" s="59"/>
      <c r="E1593" s="59"/>
      <c r="F1593" s="59"/>
      <c r="G1593" s="60">
        <f>IF(OR(E1593="",F1593="",C1593="",D1593=""),"",IF(C1593+D1593=0,"",(E1593*C1593+F1593*D1593)/(C1593+D1593)))</f>
        <v/>
      </c>
      <c r="H1593" s="59"/>
      <c r="I1593" s="60">
        <f>IF(OR(H1593="",E1593="",C1593="",D1593=""),"",IF(C1593+D1593=0,"",(H1593*D1593+E1593*C1593)/(C1593+D1593)))</f>
        <v/>
      </c>
      <c r="J1593" s="59"/>
      <c r="K1593" s="61">
        <f>IF(OR(J1593="",I1593=""),"",J1593-I1593)</f>
        <v/>
      </c>
      <c r="L1593" s="61">
        <f>IF(OR(J1593="",G1593=""),"",J1593-G1593)</f>
        <v/>
      </c>
      <c r="M1593" s="59"/>
      <c r="N1593" s="59"/>
      <c r="O1593" s="59"/>
      <c r="P1593" s="59"/>
      <c r="Q1593" s="59"/>
      <c r="R1593" s="60">
        <f>IF(AND(P1593="",Q1593=""),"",N(P1593)+N(Q1593))</f>
        <v/>
      </c>
      <c r="S1593" s="59"/>
      <c r="T1593" s="59"/>
      <c r="U1593" s="62">
        <f>IF(OR(R1593="",S1593="",T1593=""),"",IF(S1593+T1593=0,"",R1593/(S1593+T1593)))</f>
        <v/>
      </c>
      <c r="V1593" s="63"/>
      <c r="W1593" s="64"/>
      <c r="X1593" s="63"/>
    </row>
    <row r="1594" spans="2:24">
      <c r="B1594" s="58"/>
      <c r="C1594" s="59"/>
      <c r="D1594" s="59"/>
      <c r="E1594" s="59"/>
      <c r="F1594" s="59"/>
      <c r="G1594" s="60">
        <f>IF(OR(E1594="",F1594="",C1594="",D1594=""),"",IF(C1594+D1594=0,"",(E1594*C1594+F1594*D1594)/(C1594+D1594)))</f>
        <v/>
      </c>
      <c r="H1594" s="59"/>
      <c r="I1594" s="60">
        <f>IF(OR(H1594="",E1594="",C1594="",D1594=""),"",IF(C1594+D1594=0,"",(H1594*D1594+E1594*C1594)/(C1594+D1594)))</f>
        <v/>
      </c>
      <c r="J1594" s="59"/>
      <c r="K1594" s="61">
        <f>IF(OR(J1594="",I1594=""),"",J1594-I1594)</f>
        <v/>
      </c>
      <c r="L1594" s="61">
        <f>IF(OR(J1594="",G1594=""),"",J1594-G1594)</f>
        <v/>
      </c>
      <c r="M1594" s="59"/>
      <c r="N1594" s="59"/>
      <c r="O1594" s="59"/>
      <c r="P1594" s="59"/>
      <c r="Q1594" s="59"/>
      <c r="R1594" s="60">
        <f>IF(AND(P1594="",Q1594=""),"",N(P1594)+N(Q1594))</f>
        <v/>
      </c>
      <c r="S1594" s="59"/>
      <c r="T1594" s="59"/>
      <c r="U1594" s="62">
        <f>IF(OR(R1594="",S1594="",T1594=""),"",IF(S1594+T1594=0,"",R1594/(S1594+T1594)))</f>
        <v/>
      </c>
      <c r="V1594" s="63"/>
      <c r="W1594" s="64"/>
      <c r="X1594" s="63"/>
    </row>
    <row r="1595" spans="2:24">
      <c r="B1595" s="58"/>
      <c r="C1595" s="59"/>
      <c r="D1595" s="59"/>
      <c r="E1595" s="59"/>
      <c r="F1595" s="59"/>
      <c r="G1595" s="60">
        <f>IF(OR(E1595="",F1595="",C1595="",D1595=""),"",IF(C1595+D1595=0,"",(E1595*C1595+F1595*D1595)/(C1595+D1595)))</f>
        <v/>
      </c>
      <c r="H1595" s="59"/>
      <c r="I1595" s="60">
        <f>IF(OR(H1595="",E1595="",C1595="",D1595=""),"",IF(C1595+D1595=0,"",(H1595*D1595+E1595*C1595)/(C1595+D1595)))</f>
        <v/>
      </c>
      <c r="J1595" s="59"/>
      <c r="K1595" s="61">
        <f>IF(OR(J1595="",I1595=""),"",J1595-I1595)</f>
        <v/>
      </c>
      <c r="L1595" s="61">
        <f>IF(OR(J1595="",G1595=""),"",J1595-G1595)</f>
        <v/>
      </c>
      <c r="M1595" s="59"/>
      <c r="N1595" s="59"/>
      <c r="O1595" s="59"/>
      <c r="P1595" s="59"/>
      <c r="Q1595" s="59"/>
      <c r="R1595" s="60">
        <f>IF(AND(P1595="",Q1595=""),"",N(P1595)+N(Q1595))</f>
        <v/>
      </c>
      <c r="S1595" s="59"/>
      <c r="T1595" s="59"/>
      <c r="U1595" s="62">
        <f>IF(OR(R1595="",S1595="",T1595=""),"",IF(S1595+T1595=0,"",R1595/(S1595+T1595)))</f>
        <v/>
      </c>
      <c r="V1595" s="63"/>
      <c r="W1595" s="64"/>
      <c r="X1595" s="63"/>
    </row>
    <row r="1596" spans="2:24">
      <c r="B1596" s="58"/>
      <c r="C1596" s="59"/>
      <c r="D1596" s="59"/>
      <c r="E1596" s="59"/>
      <c r="F1596" s="59"/>
      <c r="G1596" s="60">
        <f>IF(OR(E1596="",F1596="",C1596="",D1596=""),"",IF(C1596+D1596=0,"",(E1596*C1596+F1596*D1596)/(C1596+D1596)))</f>
        <v/>
      </c>
      <c r="H1596" s="59"/>
      <c r="I1596" s="60">
        <f>IF(OR(H1596="",E1596="",C1596="",D1596=""),"",IF(C1596+D1596=0,"",(H1596*D1596+E1596*C1596)/(C1596+D1596)))</f>
        <v/>
      </c>
      <c r="J1596" s="59"/>
      <c r="K1596" s="61">
        <f>IF(OR(J1596="",I1596=""),"",J1596-I1596)</f>
        <v/>
      </c>
      <c r="L1596" s="61">
        <f>IF(OR(J1596="",G1596=""),"",J1596-G1596)</f>
        <v/>
      </c>
      <c r="M1596" s="59"/>
      <c r="N1596" s="59"/>
      <c r="O1596" s="59"/>
      <c r="P1596" s="59"/>
      <c r="Q1596" s="59"/>
      <c r="R1596" s="60">
        <f>IF(AND(P1596="",Q1596=""),"",N(P1596)+N(Q1596))</f>
        <v/>
      </c>
      <c r="S1596" s="59"/>
      <c r="T1596" s="59"/>
      <c r="U1596" s="62">
        <f>IF(OR(R1596="",S1596="",T1596=""),"",IF(S1596+T1596=0,"",R1596/(S1596+T1596)))</f>
        <v/>
      </c>
      <c r="V1596" s="63"/>
      <c r="W1596" s="64"/>
      <c r="X1596" s="63"/>
    </row>
    <row r="1597" spans="2:24">
      <c r="B1597" s="58"/>
      <c r="C1597" s="59"/>
      <c r="D1597" s="59"/>
      <c r="E1597" s="59"/>
      <c r="F1597" s="59"/>
      <c r="G1597" s="60">
        <f>IF(OR(E1597="",F1597="",C1597="",D1597=""),"",IF(C1597+D1597=0,"",(E1597*C1597+F1597*D1597)/(C1597+D1597)))</f>
        <v/>
      </c>
      <c r="H1597" s="59"/>
      <c r="I1597" s="60">
        <f>IF(OR(H1597="",E1597="",C1597="",D1597=""),"",IF(C1597+D1597=0,"",(H1597*D1597+E1597*C1597)/(C1597+D1597)))</f>
        <v/>
      </c>
      <c r="J1597" s="59"/>
      <c r="K1597" s="61">
        <f>IF(OR(J1597="",I1597=""),"",J1597-I1597)</f>
        <v/>
      </c>
      <c r="L1597" s="61">
        <f>IF(OR(J1597="",G1597=""),"",J1597-G1597)</f>
        <v/>
      </c>
      <c r="M1597" s="59"/>
      <c r="N1597" s="59"/>
      <c r="O1597" s="59"/>
      <c r="P1597" s="59"/>
      <c r="Q1597" s="59"/>
      <c r="R1597" s="60">
        <f>IF(AND(P1597="",Q1597=""),"",N(P1597)+N(Q1597))</f>
        <v/>
      </c>
      <c r="S1597" s="59"/>
      <c r="T1597" s="59"/>
      <c r="U1597" s="62">
        <f>IF(OR(R1597="",S1597="",T1597=""),"",IF(S1597+T1597=0,"",R1597/(S1597+T1597)))</f>
        <v/>
      </c>
      <c r="V1597" s="63"/>
      <c r="W1597" s="64"/>
      <c r="X1597" s="63"/>
    </row>
    <row r="1598" spans="2:24">
      <c r="B1598" s="58"/>
      <c r="C1598" s="59"/>
      <c r="D1598" s="59"/>
      <c r="E1598" s="59"/>
      <c r="F1598" s="59"/>
      <c r="G1598" s="60">
        <f>IF(OR(E1598="",F1598="",C1598="",D1598=""),"",IF(C1598+D1598=0,"",(E1598*C1598+F1598*D1598)/(C1598+D1598)))</f>
        <v/>
      </c>
      <c r="H1598" s="59"/>
      <c r="I1598" s="60">
        <f>IF(OR(H1598="",E1598="",C1598="",D1598=""),"",IF(C1598+D1598=0,"",(H1598*D1598+E1598*C1598)/(C1598+D1598)))</f>
        <v/>
      </c>
      <c r="J1598" s="59"/>
      <c r="K1598" s="61">
        <f>IF(OR(J1598="",I1598=""),"",J1598-I1598)</f>
        <v/>
      </c>
      <c r="L1598" s="61">
        <f>IF(OR(J1598="",G1598=""),"",J1598-G1598)</f>
        <v/>
      </c>
      <c r="M1598" s="59"/>
      <c r="N1598" s="59"/>
      <c r="O1598" s="59"/>
      <c r="P1598" s="59"/>
      <c r="Q1598" s="59"/>
      <c r="R1598" s="60">
        <f>IF(AND(P1598="",Q1598=""),"",N(P1598)+N(Q1598))</f>
        <v/>
      </c>
      <c r="S1598" s="59"/>
      <c r="T1598" s="59"/>
      <c r="U1598" s="62">
        <f>IF(OR(R1598="",S1598="",T1598=""),"",IF(S1598+T1598=0,"",R1598/(S1598+T1598)))</f>
        <v/>
      </c>
      <c r="V1598" s="63"/>
      <c r="W1598" s="64"/>
      <c r="X1598" s="63"/>
    </row>
    <row r="1599" spans="2:24">
      <c r="B1599" s="58"/>
      <c r="C1599" s="59"/>
      <c r="D1599" s="59"/>
      <c r="E1599" s="59"/>
      <c r="F1599" s="59"/>
      <c r="G1599" s="60">
        <f>IF(OR(E1599="",F1599="",C1599="",D1599=""),"",IF(C1599+D1599=0,"",(E1599*C1599+F1599*D1599)/(C1599+D1599)))</f>
        <v/>
      </c>
      <c r="H1599" s="59"/>
      <c r="I1599" s="60">
        <f>IF(OR(H1599="",E1599="",C1599="",D1599=""),"",IF(C1599+D1599=0,"",(H1599*D1599+E1599*C1599)/(C1599+D1599)))</f>
        <v/>
      </c>
      <c r="J1599" s="59"/>
      <c r="K1599" s="61">
        <f>IF(OR(J1599="",I1599=""),"",J1599-I1599)</f>
        <v/>
      </c>
      <c r="L1599" s="61">
        <f>IF(OR(J1599="",G1599=""),"",J1599-G1599)</f>
        <v/>
      </c>
      <c r="M1599" s="59"/>
      <c r="N1599" s="59"/>
      <c r="O1599" s="59"/>
      <c r="P1599" s="59"/>
      <c r="Q1599" s="59"/>
      <c r="R1599" s="60">
        <f>IF(AND(P1599="",Q1599=""),"",N(P1599)+N(Q1599))</f>
        <v/>
      </c>
      <c r="S1599" s="59"/>
      <c r="T1599" s="59"/>
      <c r="U1599" s="62">
        <f>IF(OR(R1599="",S1599="",T1599=""),"",IF(S1599+T1599=0,"",R1599/(S1599+T1599)))</f>
        <v/>
      </c>
      <c r="V1599" s="63"/>
      <c r="W1599" s="64"/>
      <c r="X1599" s="63"/>
    </row>
    <row r="1600" spans="2:24">
      <c r="B1600" s="58"/>
      <c r="C1600" s="59"/>
      <c r="D1600" s="59"/>
      <c r="E1600" s="59"/>
      <c r="F1600" s="59"/>
      <c r="G1600" s="60">
        <f>IF(OR(E1600="",F1600="",C1600="",D1600=""),"",IF(C1600+D1600=0,"",(E1600*C1600+F1600*D1600)/(C1600+D1600)))</f>
        <v/>
      </c>
      <c r="H1600" s="59"/>
      <c r="I1600" s="60">
        <f>IF(OR(H1600="",E1600="",C1600="",D1600=""),"",IF(C1600+D1600=0,"",(H1600*D1600+E1600*C1600)/(C1600+D1600)))</f>
        <v/>
      </c>
      <c r="J1600" s="59"/>
      <c r="K1600" s="61">
        <f>IF(OR(J1600="",I1600=""),"",J1600-I1600)</f>
        <v/>
      </c>
      <c r="L1600" s="61">
        <f>IF(OR(J1600="",G1600=""),"",J1600-G1600)</f>
        <v/>
      </c>
      <c r="M1600" s="59"/>
      <c r="N1600" s="59"/>
      <c r="O1600" s="59"/>
      <c r="P1600" s="59"/>
      <c r="Q1600" s="59"/>
      <c r="R1600" s="60">
        <f>IF(AND(P1600="",Q1600=""),"",N(P1600)+N(Q1600))</f>
        <v/>
      </c>
      <c r="S1600" s="59"/>
      <c r="T1600" s="59"/>
      <c r="U1600" s="62">
        <f>IF(OR(R1600="",S1600="",T1600=""),"",IF(S1600+T1600=0,"",R1600/(S1600+T1600)))</f>
        <v/>
      </c>
      <c r="V1600" s="63"/>
      <c r="W1600" s="64"/>
      <c r="X1600" s="63"/>
    </row>
    <row r="1601" spans="2:24">
      <c r="B1601" s="58"/>
      <c r="C1601" s="59"/>
      <c r="D1601" s="59"/>
      <c r="E1601" s="59"/>
      <c r="F1601" s="59"/>
      <c r="G1601" s="60">
        <f>IF(OR(E1601="",F1601="",C1601="",D1601=""),"",IF(C1601+D1601=0,"",(E1601*C1601+F1601*D1601)/(C1601+D1601)))</f>
        <v/>
      </c>
      <c r="H1601" s="59"/>
      <c r="I1601" s="60">
        <f>IF(OR(H1601="",E1601="",C1601="",D1601=""),"",IF(C1601+D1601=0,"",(H1601*D1601+E1601*C1601)/(C1601+D1601)))</f>
        <v/>
      </c>
      <c r="J1601" s="59"/>
      <c r="K1601" s="61">
        <f>IF(OR(J1601="",I1601=""),"",J1601-I1601)</f>
        <v/>
      </c>
      <c r="L1601" s="61">
        <f>IF(OR(J1601="",G1601=""),"",J1601-G1601)</f>
        <v/>
      </c>
      <c r="M1601" s="59"/>
      <c r="N1601" s="59"/>
      <c r="O1601" s="59"/>
      <c r="P1601" s="59"/>
      <c r="Q1601" s="59"/>
      <c r="R1601" s="60">
        <f>IF(AND(P1601="",Q1601=""),"",N(P1601)+N(Q1601))</f>
        <v/>
      </c>
      <c r="S1601" s="59"/>
      <c r="T1601" s="59"/>
      <c r="U1601" s="62">
        <f>IF(OR(R1601="",S1601="",T1601=""),"",IF(S1601+T1601=0,"",R1601/(S1601+T1601)))</f>
        <v/>
      </c>
      <c r="V1601" s="63"/>
      <c r="W1601" s="64"/>
      <c r="X1601" s="63"/>
    </row>
    <row r="1602" spans="2:24">
      <c r="B1602" s="58"/>
      <c r="C1602" s="59"/>
      <c r="D1602" s="59"/>
      <c r="E1602" s="59"/>
      <c r="F1602" s="59"/>
      <c r="G1602" s="60">
        <f>IF(OR(E1602="",F1602="",C1602="",D1602=""),"",IF(C1602+D1602=0,"",(E1602*C1602+F1602*D1602)/(C1602+D1602)))</f>
        <v/>
      </c>
      <c r="H1602" s="59"/>
      <c r="I1602" s="60">
        <f>IF(OR(H1602="",E1602="",C1602="",D1602=""),"",IF(C1602+D1602=0,"",(H1602*D1602+E1602*C1602)/(C1602+D1602)))</f>
        <v/>
      </c>
      <c r="J1602" s="59"/>
      <c r="K1602" s="61">
        <f>IF(OR(J1602="",I1602=""),"",J1602-I1602)</f>
        <v/>
      </c>
      <c r="L1602" s="61">
        <f>IF(OR(J1602="",G1602=""),"",J1602-G1602)</f>
        <v/>
      </c>
      <c r="M1602" s="59"/>
      <c r="N1602" s="59"/>
      <c r="O1602" s="59"/>
      <c r="P1602" s="59"/>
      <c r="Q1602" s="59"/>
      <c r="R1602" s="60">
        <f>IF(AND(P1602="",Q1602=""),"",N(P1602)+N(Q1602))</f>
        <v/>
      </c>
      <c r="S1602" s="59"/>
      <c r="T1602" s="59"/>
      <c r="U1602" s="62">
        <f>IF(OR(R1602="",S1602="",T1602=""),"",IF(S1602+T1602=0,"",R1602/(S1602+T1602)))</f>
        <v/>
      </c>
      <c r="V1602" s="63"/>
      <c r="W1602" s="64"/>
      <c r="X1602" s="63"/>
    </row>
    <row r="1603" spans="2:24">
      <c r="B1603" s="58"/>
      <c r="C1603" s="59"/>
      <c r="D1603" s="59"/>
      <c r="E1603" s="59"/>
      <c r="F1603" s="59"/>
      <c r="G1603" s="60">
        <f>IF(OR(E1603="",F1603="",C1603="",D1603=""),"",IF(C1603+D1603=0,"",(E1603*C1603+F1603*D1603)/(C1603+D1603)))</f>
        <v/>
      </c>
      <c r="H1603" s="59"/>
      <c r="I1603" s="60">
        <f>IF(OR(H1603="",E1603="",C1603="",D1603=""),"",IF(C1603+D1603=0,"",(H1603*D1603+E1603*C1603)/(C1603+D1603)))</f>
        <v/>
      </c>
      <c r="J1603" s="59"/>
      <c r="K1603" s="61">
        <f>IF(OR(J1603="",I1603=""),"",J1603-I1603)</f>
        <v/>
      </c>
      <c r="L1603" s="61">
        <f>IF(OR(J1603="",G1603=""),"",J1603-G1603)</f>
        <v/>
      </c>
      <c r="M1603" s="59"/>
      <c r="N1603" s="59"/>
      <c r="O1603" s="59"/>
      <c r="P1603" s="59"/>
      <c r="Q1603" s="59"/>
      <c r="R1603" s="60">
        <f>IF(AND(P1603="",Q1603=""),"",N(P1603)+N(Q1603))</f>
        <v/>
      </c>
      <c r="S1603" s="59"/>
      <c r="T1603" s="59"/>
      <c r="U1603" s="62">
        <f>IF(OR(R1603="",S1603="",T1603=""),"",IF(S1603+T1603=0,"",R1603/(S1603+T1603)))</f>
        <v/>
      </c>
      <c r="V1603" s="63"/>
      <c r="W1603" s="64"/>
      <c r="X1603" s="63"/>
    </row>
    <row r="1604" spans="2:24">
      <c r="B1604" s="58"/>
      <c r="C1604" s="59"/>
      <c r="D1604" s="59"/>
      <c r="E1604" s="59"/>
      <c r="F1604" s="59"/>
      <c r="G1604" s="60">
        <f>IF(OR(E1604="",F1604="",C1604="",D1604=""),"",IF(C1604+D1604=0,"",(E1604*C1604+F1604*D1604)/(C1604+D1604)))</f>
        <v/>
      </c>
      <c r="H1604" s="59"/>
      <c r="I1604" s="60">
        <f>IF(OR(H1604="",E1604="",C1604="",D1604=""),"",IF(C1604+D1604=0,"",(H1604*D1604+E1604*C1604)/(C1604+D1604)))</f>
        <v/>
      </c>
      <c r="J1604" s="59"/>
      <c r="K1604" s="61">
        <f>IF(OR(J1604="",I1604=""),"",J1604-I1604)</f>
        <v/>
      </c>
      <c r="L1604" s="61">
        <f>IF(OR(J1604="",G1604=""),"",J1604-G1604)</f>
        <v/>
      </c>
      <c r="M1604" s="59"/>
      <c r="N1604" s="59"/>
      <c r="O1604" s="59"/>
      <c r="P1604" s="59"/>
      <c r="Q1604" s="59"/>
      <c r="R1604" s="60">
        <f>IF(AND(P1604="",Q1604=""),"",N(P1604)+N(Q1604))</f>
        <v/>
      </c>
      <c r="S1604" s="59"/>
      <c r="T1604" s="59"/>
      <c r="U1604" s="62">
        <f>IF(OR(R1604="",S1604="",T1604=""),"",IF(S1604+T1604=0,"",R1604/(S1604+T1604)))</f>
        <v/>
      </c>
      <c r="V1604" s="63"/>
      <c r="W1604" s="64"/>
      <c r="X1604" s="63"/>
    </row>
    <row r="1605" spans="2:24">
      <c r="B1605" s="58"/>
      <c r="C1605" s="59"/>
      <c r="D1605" s="59"/>
      <c r="E1605" s="59"/>
      <c r="F1605" s="59"/>
      <c r="G1605" s="60">
        <f>IF(OR(E1605="",F1605="",C1605="",D1605=""),"",IF(C1605+D1605=0,"",(E1605*C1605+F1605*D1605)/(C1605+D1605)))</f>
        <v/>
      </c>
      <c r="H1605" s="59"/>
      <c r="I1605" s="60">
        <f>IF(OR(H1605="",E1605="",C1605="",D1605=""),"",IF(C1605+D1605=0,"",(H1605*D1605+E1605*C1605)/(C1605+D1605)))</f>
        <v/>
      </c>
      <c r="J1605" s="59"/>
      <c r="K1605" s="61">
        <f>IF(OR(J1605="",I1605=""),"",J1605-I1605)</f>
        <v/>
      </c>
      <c r="L1605" s="61">
        <f>IF(OR(J1605="",G1605=""),"",J1605-G1605)</f>
        <v/>
      </c>
      <c r="M1605" s="59"/>
      <c r="N1605" s="59"/>
      <c r="O1605" s="59"/>
      <c r="P1605" s="59"/>
      <c r="Q1605" s="59"/>
      <c r="R1605" s="60">
        <f>IF(AND(P1605="",Q1605=""),"",N(P1605)+N(Q1605))</f>
        <v/>
      </c>
      <c r="S1605" s="59"/>
      <c r="T1605" s="59"/>
      <c r="U1605" s="62">
        <f>IF(OR(R1605="",S1605="",T1605=""),"",IF(S1605+T1605=0,"",R1605/(S1605+T1605)))</f>
        <v/>
      </c>
      <c r="V1605" s="63"/>
      <c r="W1605" s="64"/>
      <c r="X1605" s="63"/>
    </row>
    <row r="1606" spans="2:24">
      <c r="B1606" s="58"/>
      <c r="C1606" s="59"/>
      <c r="D1606" s="59"/>
      <c r="E1606" s="59"/>
      <c r="F1606" s="59"/>
      <c r="G1606" s="60">
        <f>IF(OR(E1606="",F1606="",C1606="",D1606=""),"",IF(C1606+D1606=0,"",(E1606*C1606+F1606*D1606)/(C1606+D1606)))</f>
        <v/>
      </c>
      <c r="H1606" s="59"/>
      <c r="I1606" s="60">
        <f>IF(OR(H1606="",E1606="",C1606="",D1606=""),"",IF(C1606+D1606=0,"",(H1606*D1606+E1606*C1606)/(C1606+D1606)))</f>
        <v/>
      </c>
      <c r="J1606" s="59"/>
      <c r="K1606" s="61">
        <f>IF(OR(J1606="",I1606=""),"",J1606-I1606)</f>
        <v/>
      </c>
      <c r="L1606" s="61">
        <f>IF(OR(J1606="",G1606=""),"",J1606-G1606)</f>
        <v/>
      </c>
      <c r="M1606" s="59"/>
      <c r="N1606" s="59"/>
      <c r="O1606" s="59"/>
      <c r="P1606" s="59"/>
      <c r="Q1606" s="59"/>
      <c r="R1606" s="60">
        <f>IF(AND(P1606="",Q1606=""),"",N(P1606)+N(Q1606))</f>
        <v/>
      </c>
      <c r="S1606" s="59"/>
      <c r="T1606" s="59"/>
      <c r="U1606" s="62">
        <f>IF(OR(R1606="",S1606="",T1606=""),"",IF(S1606+T1606=0,"",R1606/(S1606+T1606)))</f>
        <v/>
      </c>
      <c r="V1606" s="63"/>
      <c r="W1606" s="64"/>
      <c r="X1606" s="63"/>
    </row>
    <row r="1607" spans="2:24">
      <c r="B1607" s="58"/>
      <c r="C1607" s="59"/>
      <c r="D1607" s="59"/>
      <c r="E1607" s="59"/>
      <c r="F1607" s="59"/>
      <c r="G1607" s="60">
        <f>IF(OR(E1607="",F1607="",C1607="",D1607=""),"",IF(C1607+D1607=0,"",(E1607*C1607+F1607*D1607)/(C1607+D1607)))</f>
        <v/>
      </c>
      <c r="H1607" s="59"/>
      <c r="I1607" s="60">
        <f>IF(OR(H1607="",E1607="",C1607="",D1607=""),"",IF(C1607+D1607=0,"",(H1607*D1607+E1607*C1607)/(C1607+D1607)))</f>
        <v/>
      </c>
      <c r="J1607" s="59"/>
      <c r="K1607" s="61">
        <f>IF(OR(J1607="",I1607=""),"",J1607-I1607)</f>
        <v/>
      </c>
      <c r="L1607" s="61">
        <f>IF(OR(J1607="",G1607=""),"",J1607-G1607)</f>
        <v/>
      </c>
      <c r="M1607" s="59"/>
      <c r="N1607" s="59"/>
      <c r="O1607" s="59"/>
      <c r="P1607" s="59"/>
      <c r="Q1607" s="59"/>
      <c r="R1607" s="60">
        <f>IF(AND(P1607="",Q1607=""),"",N(P1607)+N(Q1607))</f>
        <v/>
      </c>
      <c r="S1607" s="59"/>
      <c r="T1607" s="59"/>
      <c r="U1607" s="62">
        <f>IF(OR(R1607="",S1607="",T1607=""),"",IF(S1607+T1607=0,"",R1607/(S1607+T1607)))</f>
        <v/>
      </c>
      <c r="V1607" s="63"/>
      <c r="W1607" s="64"/>
      <c r="X1607" s="63"/>
    </row>
    <row r="1608" spans="2:24">
      <c r="B1608" s="58"/>
      <c r="C1608" s="59"/>
      <c r="D1608" s="59"/>
      <c r="E1608" s="59"/>
      <c r="F1608" s="59"/>
      <c r="G1608" s="60">
        <f>IF(OR(E1608="",F1608="",C1608="",D1608=""),"",IF(C1608+D1608=0,"",(E1608*C1608+F1608*D1608)/(C1608+D1608)))</f>
        <v/>
      </c>
      <c r="H1608" s="59"/>
      <c r="I1608" s="60">
        <f>IF(OR(H1608="",E1608="",C1608="",D1608=""),"",IF(C1608+D1608=0,"",(H1608*D1608+E1608*C1608)/(C1608+D1608)))</f>
        <v/>
      </c>
      <c r="J1608" s="59"/>
      <c r="K1608" s="61">
        <f>IF(OR(J1608="",I1608=""),"",J1608-I1608)</f>
        <v/>
      </c>
      <c r="L1608" s="61">
        <f>IF(OR(J1608="",G1608=""),"",J1608-G1608)</f>
        <v/>
      </c>
      <c r="M1608" s="59"/>
      <c r="N1608" s="59"/>
      <c r="O1608" s="59"/>
      <c r="P1608" s="59"/>
      <c r="Q1608" s="59"/>
      <c r="R1608" s="60">
        <f>IF(AND(P1608="",Q1608=""),"",N(P1608)+N(Q1608))</f>
        <v/>
      </c>
      <c r="S1608" s="59"/>
      <c r="T1608" s="59"/>
      <c r="U1608" s="62">
        <f>IF(OR(R1608="",S1608="",T1608=""),"",IF(S1608+T1608=0,"",R1608/(S1608+T1608)))</f>
        <v/>
      </c>
      <c r="V1608" s="63"/>
      <c r="W1608" s="64"/>
      <c r="X1608" s="63"/>
    </row>
    <row r="1609" spans="2:24">
      <c r="B1609" s="58"/>
      <c r="C1609" s="59"/>
      <c r="D1609" s="59"/>
      <c r="E1609" s="59"/>
      <c r="F1609" s="59"/>
      <c r="G1609" s="60">
        <f>IF(OR(E1609="",F1609="",C1609="",D1609=""),"",IF(C1609+D1609=0,"",(E1609*C1609+F1609*D1609)/(C1609+D1609)))</f>
        <v/>
      </c>
      <c r="H1609" s="59"/>
      <c r="I1609" s="60">
        <f>IF(OR(H1609="",E1609="",C1609="",D1609=""),"",IF(C1609+D1609=0,"",(H1609*D1609+E1609*C1609)/(C1609+D1609)))</f>
        <v/>
      </c>
      <c r="J1609" s="59"/>
      <c r="K1609" s="61">
        <f>IF(OR(J1609="",I1609=""),"",J1609-I1609)</f>
        <v/>
      </c>
      <c r="L1609" s="61">
        <f>IF(OR(J1609="",G1609=""),"",J1609-G1609)</f>
        <v/>
      </c>
      <c r="M1609" s="59"/>
      <c r="N1609" s="59"/>
      <c r="O1609" s="59"/>
      <c r="P1609" s="59"/>
      <c r="Q1609" s="59"/>
      <c r="R1609" s="60">
        <f>IF(AND(P1609="",Q1609=""),"",N(P1609)+N(Q1609))</f>
        <v/>
      </c>
      <c r="S1609" s="59"/>
      <c r="T1609" s="59"/>
      <c r="U1609" s="62">
        <f>IF(OR(R1609="",S1609="",T1609=""),"",IF(S1609+T1609=0,"",R1609/(S1609+T1609)))</f>
        <v/>
      </c>
      <c r="V1609" s="63"/>
      <c r="W1609" s="64"/>
      <c r="X1609" s="63"/>
    </row>
    <row r="1610" spans="2:24">
      <c r="B1610" s="58"/>
      <c r="C1610" s="59"/>
      <c r="D1610" s="59"/>
      <c r="E1610" s="59"/>
      <c r="F1610" s="59"/>
      <c r="G1610" s="60">
        <f>IF(OR(E1610="",F1610="",C1610="",D1610=""),"",IF(C1610+D1610=0,"",(E1610*C1610+F1610*D1610)/(C1610+D1610)))</f>
        <v/>
      </c>
      <c r="H1610" s="59"/>
      <c r="I1610" s="60">
        <f>IF(OR(H1610="",E1610="",C1610="",D1610=""),"",IF(C1610+D1610=0,"",(H1610*D1610+E1610*C1610)/(C1610+D1610)))</f>
        <v/>
      </c>
      <c r="J1610" s="59"/>
      <c r="K1610" s="61">
        <f>IF(OR(J1610="",I1610=""),"",J1610-I1610)</f>
        <v/>
      </c>
      <c r="L1610" s="61">
        <f>IF(OR(J1610="",G1610=""),"",J1610-G1610)</f>
        <v/>
      </c>
      <c r="M1610" s="59"/>
      <c r="N1610" s="59"/>
      <c r="O1610" s="59"/>
      <c r="P1610" s="59"/>
      <c r="Q1610" s="59"/>
      <c r="R1610" s="60">
        <f>IF(AND(P1610="",Q1610=""),"",N(P1610)+N(Q1610))</f>
        <v/>
      </c>
      <c r="S1610" s="59"/>
      <c r="T1610" s="59"/>
      <c r="U1610" s="62">
        <f>IF(OR(R1610="",S1610="",T1610=""),"",IF(S1610+T1610=0,"",R1610/(S1610+T1610)))</f>
        <v/>
      </c>
      <c r="V1610" s="63"/>
      <c r="W1610" s="64"/>
      <c r="X1610" s="63"/>
    </row>
    <row r="1611" spans="2:24">
      <c r="B1611" s="58"/>
      <c r="C1611" s="59"/>
      <c r="D1611" s="59"/>
      <c r="E1611" s="59"/>
      <c r="F1611" s="59"/>
      <c r="G1611" s="60">
        <f>IF(OR(E1611="",F1611="",C1611="",D1611=""),"",IF(C1611+D1611=0,"",(E1611*C1611+F1611*D1611)/(C1611+D1611)))</f>
        <v/>
      </c>
      <c r="H1611" s="59"/>
      <c r="I1611" s="60">
        <f>IF(OR(H1611="",E1611="",C1611="",D1611=""),"",IF(C1611+D1611=0,"",(H1611*D1611+E1611*C1611)/(C1611+D1611)))</f>
        <v/>
      </c>
      <c r="J1611" s="59"/>
      <c r="K1611" s="61">
        <f>IF(OR(J1611="",I1611=""),"",J1611-I1611)</f>
        <v/>
      </c>
      <c r="L1611" s="61">
        <f>IF(OR(J1611="",G1611=""),"",J1611-G1611)</f>
        <v/>
      </c>
      <c r="M1611" s="59"/>
      <c r="N1611" s="59"/>
      <c r="O1611" s="59"/>
      <c r="P1611" s="59"/>
      <c r="Q1611" s="59"/>
      <c r="R1611" s="60">
        <f>IF(AND(P1611="",Q1611=""),"",N(P1611)+N(Q1611))</f>
        <v/>
      </c>
      <c r="S1611" s="59"/>
      <c r="T1611" s="59"/>
      <c r="U1611" s="62">
        <f>IF(OR(R1611="",S1611="",T1611=""),"",IF(S1611+T1611=0,"",R1611/(S1611+T1611)))</f>
        <v/>
      </c>
      <c r="V1611" s="63"/>
      <c r="W1611" s="64"/>
      <c r="X1611" s="63"/>
    </row>
    <row r="1612" spans="2:24">
      <c r="B1612" s="58"/>
      <c r="C1612" s="59"/>
      <c r="D1612" s="59"/>
      <c r="E1612" s="59"/>
      <c r="F1612" s="59"/>
      <c r="G1612" s="60">
        <f>IF(OR(E1612="",F1612="",C1612="",D1612=""),"",IF(C1612+D1612=0,"",(E1612*C1612+F1612*D1612)/(C1612+D1612)))</f>
        <v/>
      </c>
      <c r="H1612" s="59"/>
      <c r="I1612" s="60">
        <f>IF(OR(H1612="",E1612="",C1612="",D1612=""),"",IF(C1612+D1612=0,"",(H1612*D1612+E1612*C1612)/(C1612+D1612)))</f>
        <v/>
      </c>
      <c r="J1612" s="59"/>
      <c r="K1612" s="61">
        <f>IF(OR(J1612="",I1612=""),"",J1612-I1612)</f>
        <v/>
      </c>
      <c r="L1612" s="61">
        <f>IF(OR(J1612="",G1612=""),"",J1612-G1612)</f>
        <v/>
      </c>
      <c r="M1612" s="59"/>
      <c r="N1612" s="59"/>
      <c r="O1612" s="59"/>
      <c r="P1612" s="59"/>
      <c r="Q1612" s="59"/>
      <c r="R1612" s="60">
        <f>IF(AND(P1612="",Q1612=""),"",N(P1612)+N(Q1612))</f>
        <v/>
      </c>
      <c r="S1612" s="59"/>
      <c r="T1612" s="59"/>
      <c r="U1612" s="62">
        <f>IF(OR(R1612="",S1612="",T1612=""),"",IF(S1612+T1612=0,"",R1612/(S1612+T1612)))</f>
        <v/>
      </c>
      <c r="V1612" s="63"/>
      <c r="W1612" s="64"/>
      <c r="X1612" s="63"/>
    </row>
    <row r="1613" spans="2:24">
      <c r="B1613" s="58"/>
      <c r="C1613" s="59"/>
      <c r="D1613" s="59"/>
      <c r="E1613" s="59"/>
      <c r="F1613" s="59"/>
      <c r="G1613" s="60">
        <f>IF(OR(E1613="",F1613="",C1613="",D1613=""),"",IF(C1613+D1613=0,"",(E1613*C1613+F1613*D1613)/(C1613+D1613)))</f>
        <v/>
      </c>
      <c r="H1613" s="59"/>
      <c r="I1613" s="60">
        <f>IF(OR(H1613="",E1613="",C1613="",D1613=""),"",IF(C1613+D1613=0,"",(H1613*D1613+E1613*C1613)/(C1613+D1613)))</f>
        <v/>
      </c>
      <c r="J1613" s="59"/>
      <c r="K1613" s="61">
        <f>IF(OR(J1613="",I1613=""),"",J1613-I1613)</f>
        <v/>
      </c>
      <c r="L1613" s="61">
        <f>IF(OR(J1613="",G1613=""),"",J1613-G1613)</f>
        <v/>
      </c>
      <c r="M1613" s="59"/>
      <c r="N1613" s="59"/>
      <c r="O1613" s="59"/>
      <c r="P1613" s="59"/>
      <c r="Q1613" s="59"/>
      <c r="R1613" s="60">
        <f>IF(AND(P1613="",Q1613=""),"",N(P1613)+N(Q1613))</f>
        <v/>
      </c>
      <c r="S1613" s="59"/>
      <c r="T1613" s="59"/>
      <c r="U1613" s="62">
        <f>IF(OR(R1613="",S1613="",T1613=""),"",IF(S1613+T1613=0,"",R1613/(S1613+T1613)))</f>
        <v/>
      </c>
      <c r="V1613" s="63"/>
      <c r="W1613" s="64"/>
      <c r="X1613" s="63"/>
    </row>
    <row r="1614" spans="2:24">
      <c r="B1614" s="58"/>
      <c r="C1614" s="59"/>
      <c r="D1614" s="59"/>
      <c r="E1614" s="59"/>
      <c r="F1614" s="59"/>
      <c r="G1614" s="60">
        <f>IF(OR(E1614="",F1614="",C1614="",D1614=""),"",IF(C1614+D1614=0,"",(E1614*C1614+F1614*D1614)/(C1614+D1614)))</f>
        <v/>
      </c>
      <c r="H1614" s="59"/>
      <c r="I1614" s="60">
        <f>IF(OR(H1614="",E1614="",C1614="",D1614=""),"",IF(C1614+D1614=0,"",(H1614*D1614+E1614*C1614)/(C1614+D1614)))</f>
        <v/>
      </c>
      <c r="J1614" s="59"/>
      <c r="K1614" s="61">
        <f>IF(OR(J1614="",I1614=""),"",J1614-I1614)</f>
        <v/>
      </c>
      <c r="L1614" s="61">
        <f>IF(OR(J1614="",G1614=""),"",J1614-G1614)</f>
        <v/>
      </c>
      <c r="M1614" s="59"/>
      <c r="N1614" s="59"/>
      <c r="O1614" s="59"/>
      <c r="P1614" s="59"/>
      <c r="Q1614" s="59"/>
      <c r="R1614" s="60">
        <f>IF(AND(P1614="",Q1614=""),"",N(P1614)+N(Q1614))</f>
        <v/>
      </c>
      <c r="S1614" s="59"/>
      <c r="T1614" s="59"/>
      <c r="U1614" s="62">
        <f>IF(OR(R1614="",S1614="",T1614=""),"",IF(S1614+T1614=0,"",R1614/(S1614+T1614)))</f>
        <v/>
      </c>
      <c r="V1614" s="63"/>
      <c r="W1614" s="64"/>
      <c r="X1614" s="63"/>
    </row>
    <row r="1615" spans="2:24">
      <c r="B1615" s="58"/>
      <c r="C1615" s="59"/>
      <c r="D1615" s="59"/>
      <c r="E1615" s="59"/>
      <c r="F1615" s="59"/>
      <c r="G1615" s="60">
        <f>IF(OR(E1615="",F1615="",C1615="",D1615=""),"",IF(C1615+D1615=0,"",(E1615*C1615+F1615*D1615)/(C1615+D1615)))</f>
        <v/>
      </c>
      <c r="H1615" s="59"/>
      <c r="I1615" s="60">
        <f>IF(OR(H1615="",E1615="",C1615="",D1615=""),"",IF(C1615+D1615=0,"",(H1615*D1615+E1615*C1615)/(C1615+D1615)))</f>
        <v/>
      </c>
      <c r="J1615" s="59"/>
      <c r="K1615" s="61">
        <f>IF(OR(J1615="",I1615=""),"",J1615-I1615)</f>
        <v/>
      </c>
      <c r="L1615" s="61">
        <f>IF(OR(J1615="",G1615=""),"",J1615-G1615)</f>
        <v/>
      </c>
      <c r="M1615" s="59"/>
      <c r="N1615" s="59"/>
      <c r="O1615" s="59"/>
      <c r="P1615" s="59"/>
      <c r="Q1615" s="59"/>
      <c r="R1615" s="60">
        <f>IF(AND(P1615="",Q1615=""),"",N(P1615)+N(Q1615))</f>
        <v/>
      </c>
      <c r="S1615" s="59"/>
      <c r="T1615" s="59"/>
      <c r="U1615" s="62">
        <f>IF(OR(R1615="",S1615="",T1615=""),"",IF(S1615+T1615=0,"",R1615/(S1615+T1615)))</f>
        <v/>
      </c>
      <c r="V1615" s="63"/>
      <c r="W1615" s="64"/>
      <c r="X1615" s="63"/>
    </row>
    <row r="1616" spans="2:24">
      <c r="B1616" s="58"/>
      <c r="C1616" s="59"/>
      <c r="D1616" s="59"/>
      <c r="E1616" s="59"/>
      <c r="F1616" s="59"/>
      <c r="G1616" s="60">
        <f>IF(OR(E1616="",F1616="",C1616="",D1616=""),"",IF(C1616+D1616=0,"",(E1616*C1616+F1616*D1616)/(C1616+D1616)))</f>
        <v/>
      </c>
      <c r="H1616" s="59"/>
      <c r="I1616" s="60">
        <f>IF(OR(H1616="",E1616="",C1616="",D1616=""),"",IF(C1616+D1616=0,"",(H1616*D1616+E1616*C1616)/(C1616+D1616)))</f>
        <v/>
      </c>
      <c r="J1616" s="59"/>
      <c r="K1616" s="61">
        <f>IF(OR(J1616="",I1616=""),"",J1616-I1616)</f>
        <v/>
      </c>
      <c r="L1616" s="61">
        <f>IF(OR(J1616="",G1616=""),"",J1616-G1616)</f>
        <v/>
      </c>
      <c r="M1616" s="59"/>
      <c r="N1616" s="59"/>
      <c r="O1616" s="59"/>
      <c r="P1616" s="59"/>
      <c r="Q1616" s="59"/>
      <c r="R1616" s="60">
        <f>IF(AND(P1616="",Q1616=""),"",N(P1616)+N(Q1616))</f>
        <v/>
      </c>
      <c r="S1616" s="59"/>
      <c r="T1616" s="59"/>
      <c r="U1616" s="62">
        <f>IF(OR(R1616="",S1616="",T1616=""),"",IF(S1616+T1616=0,"",R1616/(S1616+T1616)))</f>
        <v/>
      </c>
      <c r="V1616" s="63"/>
      <c r="W1616" s="64"/>
      <c r="X1616" s="63"/>
    </row>
    <row r="1617" spans="2:24">
      <c r="B1617" s="58"/>
      <c r="C1617" s="59"/>
      <c r="D1617" s="59"/>
      <c r="E1617" s="59"/>
      <c r="F1617" s="59"/>
      <c r="G1617" s="60">
        <f>IF(OR(E1617="",F1617="",C1617="",D1617=""),"",IF(C1617+D1617=0,"",(E1617*C1617+F1617*D1617)/(C1617+D1617)))</f>
        <v/>
      </c>
      <c r="H1617" s="59"/>
      <c r="I1617" s="60">
        <f>IF(OR(H1617="",E1617="",C1617="",D1617=""),"",IF(C1617+D1617=0,"",(H1617*D1617+E1617*C1617)/(C1617+D1617)))</f>
        <v/>
      </c>
      <c r="J1617" s="59"/>
      <c r="K1617" s="61">
        <f>IF(OR(J1617="",I1617=""),"",J1617-I1617)</f>
        <v/>
      </c>
      <c r="L1617" s="61">
        <f>IF(OR(J1617="",G1617=""),"",J1617-G1617)</f>
        <v/>
      </c>
      <c r="M1617" s="59"/>
      <c r="N1617" s="59"/>
      <c r="O1617" s="59"/>
      <c r="P1617" s="59"/>
      <c r="Q1617" s="59"/>
      <c r="R1617" s="60">
        <f>IF(AND(P1617="",Q1617=""),"",N(P1617)+N(Q1617))</f>
        <v/>
      </c>
      <c r="S1617" s="59"/>
      <c r="T1617" s="59"/>
      <c r="U1617" s="62">
        <f>IF(OR(R1617="",S1617="",T1617=""),"",IF(S1617+T1617=0,"",R1617/(S1617+T1617)))</f>
        <v/>
      </c>
      <c r="V1617" s="63"/>
      <c r="W1617" s="64"/>
      <c r="X1617" s="63"/>
    </row>
    <row r="1618" spans="2:24">
      <c r="B1618" s="58"/>
      <c r="C1618" s="59"/>
      <c r="D1618" s="59"/>
      <c r="E1618" s="59"/>
      <c r="F1618" s="59"/>
      <c r="G1618" s="60">
        <f>IF(OR(E1618="",F1618="",C1618="",D1618=""),"",IF(C1618+D1618=0,"",(E1618*C1618+F1618*D1618)/(C1618+D1618)))</f>
        <v/>
      </c>
      <c r="H1618" s="59"/>
      <c r="I1618" s="60">
        <f>IF(OR(H1618="",E1618="",C1618="",D1618=""),"",IF(C1618+D1618=0,"",(H1618*D1618+E1618*C1618)/(C1618+D1618)))</f>
        <v/>
      </c>
      <c r="J1618" s="59"/>
      <c r="K1618" s="61">
        <f>IF(OR(J1618="",I1618=""),"",J1618-I1618)</f>
        <v/>
      </c>
      <c r="L1618" s="61">
        <f>IF(OR(J1618="",G1618=""),"",J1618-G1618)</f>
        <v/>
      </c>
      <c r="M1618" s="59"/>
      <c r="N1618" s="59"/>
      <c r="O1618" s="59"/>
      <c r="P1618" s="59"/>
      <c r="Q1618" s="59"/>
      <c r="R1618" s="60">
        <f>IF(AND(P1618="",Q1618=""),"",N(P1618)+N(Q1618))</f>
        <v/>
      </c>
      <c r="S1618" s="59"/>
      <c r="T1618" s="59"/>
      <c r="U1618" s="62">
        <f>IF(OR(R1618="",S1618="",T1618=""),"",IF(S1618+T1618=0,"",R1618/(S1618+T1618)))</f>
        <v/>
      </c>
      <c r="V1618" s="63"/>
      <c r="W1618" s="64"/>
      <c r="X1618" s="63"/>
    </row>
    <row r="1619" spans="2:24">
      <c r="B1619" s="58"/>
      <c r="C1619" s="59"/>
      <c r="D1619" s="59"/>
      <c r="E1619" s="59"/>
      <c r="F1619" s="59"/>
      <c r="G1619" s="60">
        <f>IF(OR(E1619="",F1619="",C1619="",D1619=""),"",IF(C1619+D1619=0,"",(E1619*C1619+F1619*D1619)/(C1619+D1619)))</f>
        <v/>
      </c>
      <c r="H1619" s="59"/>
      <c r="I1619" s="60">
        <f>IF(OR(H1619="",E1619="",C1619="",D1619=""),"",IF(C1619+D1619=0,"",(H1619*D1619+E1619*C1619)/(C1619+D1619)))</f>
        <v/>
      </c>
      <c r="J1619" s="59"/>
      <c r="K1619" s="61">
        <f>IF(OR(J1619="",I1619=""),"",J1619-I1619)</f>
        <v/>
      </c>
      <c r="L1619" s="61">
        <f>IF(OR(J1619="",G1619=""),"",J1619-G1619)</f>
        <v/>
      </c>
      <c r="M1619" s="59"/>
      <c r="N1619" s="59"/>
      <c r="O1619" s="59"/>
      <c r="P1619" s="59"/>
      <c r="Q1619" s="59"/>
      <c r="R1619" s="60">
        <f>IF(AND(P1619="",Q1619=""),"",N(P1619)+N(Q1619))</f>
        <v/>
      </c>
      <c r="S1619" s="59"/>
      <c r="T1619" s="59"/>
      <c r="U1619" s="62">
        <f>IF(OR(R1619="",S1619="",T1619=""),"",IF(S1619+T1619=0,"",R1619/(S1619+T1619)))</f>
        <v/>
      </c>
      <c r="V1619" s="63"/>
      <c r="W1619" s="64"/>
      <c r="X1619" s="63"/>
    </row>
    <row r="1620" spans="2:24">
      <c r="B1620" s="58"/>
      <c r="C1620" s="59"/>
      <c r="D1620" s="59"/>
      <c r="E1620" s="59"/>
      <c r="F1620" s="59"/>
      <c r="G1620" s="60">
        <f>IF(OR(E1620="",F1620="",C1620="",D1620=""),"",IF(C1620+D1620=0,"",(E1620*C1620+F1620*D1620)/(C1620+D1620)))</f>
        <v/>
      </c>
      <c r="H1620" s="59"/>
      <c r="I1620" s="60">
        <f>IF(OR(H1620="",E1620="",C1620="",D1620=""),"",IF(C1620+D1620=0,"",(H1620*D1620+E1620*C1620)/(C1620+D1620)))</f>
        <v/>
      </c>
      <c r="J1620" s="59"/>
      <c r="K1620" s="61">
        <f>IF(OR(J1620="",I1620=""),"",J1620-I1620)</f>
        <v/>
      </c>
      <c r="L1620" s="61">
        <f>IF(OR(J1620="",G1620=""),"",J1620-G1620)</f>
        <v/>
      </c>
      <c r="M1620" s="59"/>
      <c r="N1620" s="59"/>
      <c r="O1620" s="59"/>
      <c r="P1620" s="59"/>
      <c r="Q1620" s="59"/>
      <c r="R1620" s="60">
        <f>IF(AND(P1620="",Q1620=""),"",N(P1620)+N(Q1620))</f>
        <v/>
      </c>
      <c r="S1620" s="59"/>
      <c r="T1620" s="59"/>
      <c r="U1620" s="62">
        <f>IF(OR(R1620="",S1620="",T1620=""),"",IF(S1620+T1620=0,"",R1620/(S1620+T1620)))</f>
        <v/>
      </c>
      <c r="V1620" s="63"/>
      <c r="W1620" s="64"/>
      <c r="X1620" s="63"/>
    </row>
    <row r="1621" spans="2:24">
      <c r="B1621" s="58"/>
      <c r="C1621" s="59"/>
      <c r="D1621" s="59"/>
      <c r="E1621" s="59"/>
      <c r="F1621" s="59"/>
      <c r="G1621" s="60">
        <f>IF(OR(E1621="",F1621="",C1621="",D1621=""),"",IF(C1621+D1621=0,"",(E1621*C1621+F1621*D1621)/(C1621+D1621)))</f>
        <v/>
      </c>
      <c r="H1621" s="59"/>
      <c r="I1621" s="60">
        <f>IF(OR(H1621="",E1621="",C1621="",D1621=""),"",IF(C1621+D1621=0,"",(H1621*D1621+E1621*C1621)/(C1621+D1621)))</f>
        <v/>
      </c>
      <c r="J1621" s="59"/>
      <c r="K1621" s="61">
        <f>IF(OR(J1621="",I1621=""),"",J1621-I1621)</f>
        <v/>
      </c>
      <c r="L1621" s="61">
        <f>IF(OR(J1621="",G1621=""),"",J1621-G1621)</f>
        <v/>
      </c>
      <c r="M1621" s="59"/>
      <c r="N1621" s="59"/>
      <c r="O1621" s="59"/>
      <c r="P1621" s="59"/>
      <c r="Q1621" s="59"/>
      <c r="R1621" s="60">
        <f>IF(AND(P1621="",Q1621=""),"",N(P1621)+N(Q1621))</f>
        <v/>
      </c>
      <c r="S1621" s="59"/>
      <c r="T1621" s="59"/>
      <c r="U1621" s="62">
        <f>IF(OR(R1621="",S1621="",T1621=""),"",IF(S1621+T1621=0,"",R1621/(S1621+T1621)))</f>
        <v/>
      </c>
      <c r="V1621" s="63"/>
      <c r="W1621" s="64"/>
      <c r="X1621" s="63"/>
    </row>
    <row r="1622" spans="2:24">
      <c r="B1622" s="58"/>
      <c r="C1622" s="59"/>
      <c r="D1622" s="59"/>
      <c r="E1622" s="59"/>
      <c r="F1622" s="59"/>
      <c r="G1622" s="60">
        <f>IF(OR(E1622="",F1622="",C1622="",D1622=""),"",IF(C1622+D1622=0,"",(E1622*C1622+F1622*D1622)/(C1622+D1622)))</f>
        <v/>
      </c>
      <c r="H1622" s="59"/>
      <c r="I1622" s="60">
        <f>IF(OR(H1622="",E1622="",C1622="",D1622=""),"",IF(C1622+D1622=0,"",(H1622*D1622+E1622*C1622)/(C1622+D1622)))</f>
        <v/>
      </c>
      <c r="J1622" s="59"/>
      <c r="K1622" s="61">
        <f>IF(OR(J1622="",I1622=""),"",J1622-I1622)</f>
        <v/>
      </c>
      <c r="L1622" s="61">
        <f>IF(OR(J1622="",G1622=""),"",J1622-G1622)</f>
        <v/>
      </c>
      <c r="M1622" s="59"/>
      <c r="N1622" s="59"/>
      <c r="O1622" s="59"/>
      <c r="P1622" s="59"/>
      <c r="Q1622" s="59"/>
      <c r="R1622" s="60">
        <f>IF(AND(P1622="",Q1622=""),"",N(P1622)+N(Q1622))</f>
        <v/>
      </c>
      <c r="S1622" s="59"/>
      <c r="T1622" s="59"/>
      <c r="U1622" s="62">
        <f>IF(OR(R1622="",S1622="",T1622=""),"",IF(S1622+T1622=0,"",R1622/(S1622+T1622)))</f>
        <v/>
      </c>
      <c r="V1622" s="63"/>
      <c r="W1622" s="64"/>
      <c r="X1622" s="63"/>
    </row>
    <row r="1623" spans="2:24">
      <c r="B1623" s="58"/>
      <c r="C1623" s="59"/>
      <c r="D1623" s="59"/>
      <c r="E1623" s="59"/>
      <c r="F1623" s="59"/>
      <c r="G1623" s="60">
        <f>IF(OR(E1623="",F1623="",C1623="",D1623=""),"",IF(C1623+D1623=0,"",(E1623*C1623+F1623*D1623)/(C1623+D1623)))</f>
        <v/>
      </c>
      <c r="H1623" s="59"/>
      <c r="I1623" s="60">
        <f>IF(OR(H1623="",E1623="",C1623="",D1623=""),"",IF(C1623+D1623=0,"",(H1623*D1623+E1623*C1623)/(C1623+D1623)))</f>
        <v/>
      </c>
      <c r="J1623" s="59"/>
      <c r="K1623" s="61">
        <f>IF(OR(J1623="",I1623=""),"",J1623-I1623)</f>
        <v/>
      </c>
      <c r="L1623" s="61">
        <f>IF(OR(J1623="",G1623=""),"",J1623-G1623)</f>
        <v/>
      </c>
      <c r="M1623" s="59"/>
      <c r="N1623" s="59"/>
      <c r="O1623" s="59"/>
      <c r="P1623" s="59"/>
      <c r="Q1623" s="59"/>
      <c r="R1623" s="60">
        <f>IF(AND(P1623="",Q1623=""),"",N(P1623)+N(Q1623))</f>
        <v/>
      </c>
      <c r="S1623" s="59"/>
      <c r="T1623" s="59"/>
      <c r="U1623" s="62">
        <f>IF(OR(R1623="",S1623="",T1623=""),"",IF(S1623+T1623=0,"",R1623/(S1623+T1623)))</f>
        <v/>
      </c>
      <c r="V1623" s="63"/>
      <c r="W1623" s="64"/>
      <c r="X1623" s="63"/>
    </row>
    <row r="1624" spans="2:24">
      <c r="B1624" s="58"/>
      <c r="C1624" s="59"/>
      <c r="D1624" s="59"/>
      <c r="E1624" s="59"/>
      <c r="F1624" s="59"/>
      <c r="G1624" s="60">
        <f>IF(OR(E1624="",F1624="",C1624="",D1624=""),"",IF(C1624+D1624=0,"",(E1624*C1624+F1624*D1624)/(C1624+D1624)))</f>
        <v/>
      </c>
      <c r="H1624" s="59"/>
      <c r="I1624" s="60">
        <f>IF(OR(H1624="",E1624="",C1624="",D1624=""),"",IF(C1624+D1624=0,"",(H1624*D1624+E1624*C1624)/(C1624+D1624)))</f>
        <v/>
      </c>
      <c r="J1624" s="59"/>
      <c r="K1624" s="61">
        <f>IF(OR(J1624="",I1624=""),"",J1624-I1624)</f>
        <v/>
      </c>
      <c r="L1624" s="61">
        <f>IF(OR(J1624="",G1624=""),"",J1624-G1624)</f>
        <v/>
      </c>
      <c r="M1624" s="59"/>
      <c r="N1624" s="59"/>
      <c r="O1624" s="59"/>
      <c r="P1624" s="59"/>
      <c r="Q1624" s="59"/>
      <c r="R1624" s="60">
        <f>IF(AND(P1624="",Q1624=""),"",N(P1624)+N(Q1624))</f>
        <v/>
      </c>
      <c r="S1624" s="59"/>
      <c r="T1624" s="59"/>
      <c r="U1624" s="62">
        <f>IF(OR(R1624="",S1624="",T1624=""),"",IF(S1624+T1624=0,"",R1624/(S1624+T1624)))</f>
        <v/>
      </c>
      <c r="V1624" s="63"/>
      <c r="W1624" s="64"/>
      <c r="X1624" s="63"/>
    </row>
    <row r="1625" spans="2:24">
      <c r="B1625" s="58"/>
      <c r="C1625" s="59"/>
      <c r="D1625" s="59"/>
      <c r="E1625" s="59"/>
      <c r="F1625" s="59"/>
      <c r="G1625" s="60">
        <f>IF(OR(E1625="",F1625="",C1625="",D1625=""),"",IF(C1625+D1625=0,"",(E1625*C1625+F1625*D1625)/(C1625+D1625)))</f>
        <v/>
      </c>
      <c r="H1625" s="59"/>
      <c r="I1625" s="60">
        <f>IF(OR(H1625="",E1625="",C1625="",D1625=""),"",IF(C1625+D1625=0,"",(H1625*D1625+E1625*C1625)/(C1625+D1625)))</f>
        <v/>
      </c>
      <c r="J1625" s="59"/>
      <c r="K1625" s="61">
        <f>IF(OR(J1625="",I1625=""),"",J1625-I1625)</f>
        <v/>
      </c>
      <c r="L1625" s="61">
        <f>IF(OR(J1625="",G1625=""),"",J1625-G1625)</f>
        <v/>
      </c>
      <c r="M1625" s="59"/>
      <c r="N1625" s="59"/>
      <c r="O1625" s="59"/>
      <c r="P1625" s="59"/>
      <c r="Q1625" s="59"/>
      <c r="R1625" s="60">
        <f>IF(AND(P1625="",Q1625=""),"",N(P1625)+N(Q1625))</f>
        <v/>
      </c>
      <c r="S1625" s="59"/>
      <c r="T1625" s="59"/>
      <c r="U1625" s="62">
        <f>IF(OR(R1625="",S1625="",T1625=""),"",IF(S1625+T1625=0,"",R1625/(S1625+T1625)))</f>
        <v/>
      </c>
      <c r="V1625" s="63"/>
      <c r="W1625" s="64"/>
      <c r="X1625" s="63"/>
    </row>
    <row r="1626" spans="2:24">
      <c r="B1626" s="58"/>
      <c r="C1626" s="59"/>
      <c r="D1626" s="59"/>
      <c r="E1626" s="59"/>
      <c r="F1626" s="59"/>
      <c r="G1626" s="60">
        <f>IF(OR(E1626="",F1626="",C1626="",D1626=""),"",IF(C1626+D1626=0,"",(E1626*C1626+F1626*D1626)/(C1626+D1626)))</f>
        <v/>
      </c>
      <c r="H1626" s="59"/>
      <c r="I1626" s="60">
        <f>IF(OR(H1626="",E1626="",C1626="",D1626=""),"",IF(C1626+D1626=0,"",(H1626*D1626+E1626*C1626)/(C1626+D1626)))</f>
        <v/>
      </c>
      <c r="J1626" s="59"/>
      <c r="K1626" s="61">
        <f>IF(OR(J1626="",I1626=""),"",J1626-I1626)</f>
        <v/>
      </c>
      <c r="L1626" s="61">
        <f>IF(OR(J1626="",G1626=""),"",J1626-G1626)</f>
        <v/>
      </c>
      <c r="M1626" s="59"/>
      <c r="N1626" s="59"/>
      <c r="O1626" s="59"/>
      <c r="P1626" s="59"/>
      <c r="Q1626" s="59"/>
      <c r="R1626" s="60">
        <f>IF(AND(P1626="",Q1626=""),"",N(P1626)+N(Q1626))</f>
        <v/>
      </c>
      <c r="S1626" s="59"/>
      <c r="T1626" s="59"/>
      <c r="U1626" s="62">
        <f>IF(OR(R1626="",S1626="",T1626=""),"",IF(S1626+T1626=0,"",R1626/(S1626+T1626)))</f>
        <v/>
      </c>
      <c r="V1626" s="63"/>
      <c r="W1626" s="64"/>
      <c r="X1626" s="63"/>
    </row>
    <row r="1627" spans="2:24">
      <c r="B1627" s="58"/>
      <c r="C1627" s="59"/>
      <c r="D1627" s="59"/>
      <c r="E1627" s="59"/>
      <c r="F1627" s="59"/>
      <c r="G1627" s="60">
        <f>IF(OR(E1627="",F1627="",C1627="",D1627=""),"",IF(C1627+D1627=0,"",(E1627*C1627+F1627*D1627)/(C1627+D1627)))</f>
        <v/>
      </c>
      <c r="H1627" s="59"/>
      <c r="I1627" s="60">
        <f>IF(OR(H1627="",E1627="",C1627="",D1627=""),"",IF(C1627+D1627=0,"",(H1627*D1627+E1627*C1627)/(C1627+D1627)))</f>
        <v/>
      </c>
      <c r="J1627" s="59"/>
      <c r="K1627" s="61">
        <f>IF(OR(J1627="",I1627=""),"",J1627-I1627)</f>
        <v/>
      </c>
      <c r="L1627" s="61">
        <f>IF(OR(J1627="",G1627=""),"",J1627-G1627)</f>
        <v/>
      </c>
      <c r="M1627" s="59"/>
      <c r="N1627" s="59"/>
      <c r="O1627" s="59"/>
      <c r="P1627" s="59"/>
      <c r="Q1627" s="59"/>
      <c r="R1627" s="60">
        <f>IF(AND(P1627="",Q1627=""),"",N(P1627)+N(Q1627))</f>
        <v/>
      </c>
      <c r="S1627" s="59"/>
      <c r="T1627" s="59"/>
      <c r="U1627" s="62">
        <f>IF(OR(R1627="",S1627="",T1627=""),"",IF(S1627+T1627=0,"",R1627/(S1627+T1627)))</f>
        <v/>
      </c>
      <c r="V1627" s="63"/>
      <c r="W1627" s="64"/>
      <c r="X1627" s="63"/>
    </row>
    <row r="1628" spans="2:24">
      <c r="B1628" s="58"/>
      <c r="C1628" s="59"/>
      <c r="D1628" s="59"/>
      <c r="E1628" s="59"/>
      <c r="F1628" s="59"/>
      <c r="G1628" s="60">
        <f>IF(OR(E1628="",F1628="",C1628="",D1628=""),"",IF(C1628+D1628=0,"",(E1628*C1628+F1628*D1628)/(C1628+D1628)))</f>
        <v/>
      </c>
      <c r="H1628" s="59"/>
      <c r="I1628" s="60">
        <f>IF(OR(H1628="",E1628="",C1628="",D1628=""),"",IF(C1628+D1628=0,"",(H1628*D1628+E1628*C1628)/(C1628+D1628)))</f>
        <v/>
      </c>
      <c r="J1628" s="59"/>
      <c r="K1628" s="61">
        <f>IF(OR(J1628="",I1628=""),"",J1628-I1628)</f>
        <v/>
      </c>
      <c r="L1628" s="61">
        <f>IF(OR(J1628="",G1628=""),"",J1628-G1628)</f>
        <v/>
      </c>
      <c r="M1628" s="59"/>
      <c r="N1628" s="59"/>
      <c r="O1628" s="59"/>
      <c r="P1628" s="59"/>
      <c r="Q1628" s="59"/>
      <c r="R1628" s="60">
        <f>IF(AND(P1628="",Q1628=""),"",N(P1628)+N(Q1628))</f>
        <v/>
      </c>
      <c r="S1628" s="59"/>
      <c r="T1628" s="59"/>
      <c r="U1628" s="62">
        <f>IF(OR(R1628="",S1628="",T1628=""),"",IF(S1628+T1628=0,"",R1628/(S1628+T1628)))</f>
        <v/>
      </c>
      <c r="V1628" s="63"/>
      <c r="W1628" s="64"/>
      <c r="X1628" s="63"/>
    </row>
    <row r="1629" spans="2:24">
      <c r="B1629" s="58"/>
      <c r="C1629" s="59"/>
      <c r="D1629" s="59"/>
      <c r="E1629" s="59"/>
      <c r="F1629" s="59"/>
      <c r="G1629" s="60">
        <f>IF(OR(E1629="",F1629="",C1629="",D1629=""),"",IF(C1629+D1629=0,"",(E1629*C1629+F1629*D1629)/(C1629+D1629)))</f>
        <v/>
      </c>
      <c r="H1629" s="59"/>
      <c r="I1629" s="60">
        <f>IF(OR(H1629="",E1629="",C1629="",D1629=""),"",IF(C1629+D1629=0,"",(H1629*D1629+E1629*C1629)/(C1629+D1629)))</f>
        <v/>
      </c>
      <c r="J1629" s="59"/>
      <c r="K1629" s="61">
        <f>IF(OR(J1629="",I1629=""),"",J1629-I1629)</f>
        <v/>
      </c>
      <c r="L1629" s="61">
        <f>IF(OR(J1629="",G1629=""),"",J1629-G1629)</f>
        <v/>
      </c>
      <c r="M1629" s="59"/>
      <c r="N1629" s="59"/>
      <c r="O1629" s="59"/>
      <c r="P1629" s="59"/>
      <c r="Q1629" s="59"/>
      <c r="R1629" s="60">
        <f>IF(AND(P1629="",Q1629=""),"",N(P1629)+N(Q1629))</f>
        <v/>
      </c>
      <c r="S1629" s="59"/>
      <c r="T1629" s="59"/>
      <c r="U1629" s="62">
        <f>IF(OR(R1629="",S1629="",T1629=""),"",IF(S1629+T1629=0,"",R1629/(S1629+T1629)))</f>
        <v/>
      </c>
      <c r="V1629" s="63"/>
      <c r="W1629" s="64"/>
      <c r="X1629" s="63"/>
    </row>
    <row r="1630" spans="2:24">
      <c r="B1630" s="58"/>
      <c r="C1630" s="59"/>
      <c r="D1630" s="59"/>
      <c r="E1630" s="59"/>
      <c r="F1630" s="59"/>
      <c r="G1630" s="60">
        <f>IF(OR(E1630="",F1630="",C1630="",D1630=""),"",IF(C1630+D1630=0,"",(E1630*C1630+F1630*D1630)/(C1630+D1630)))</f>
        <v/>
      </c>
      <c r="H1630" s="59"/>
      <c r="I1630" s="60">
        <f>IF(OR(H1630="",E1630="",C1630="",D1630=""),"",IF(C1630+D1630=0,"",(H1630*D1630+E1630*C1630)/(C1630+D1630)))</f>
        <v/>
      </c>
      <c r="J1630" s="59"/>
      <c r="K1630" s="61">
        <f>IF(OR(J1630="",I1630=""),"",J1630-I1630)</f>
        <v/>
      </c>
      <c r="L1630" s="61">
        <f>IF(OR(J1630="",G1630=""),"",J1630-G1630)</f>
        <v/>
      </c>
      <c r="M1630" s="59"/>
      <c r="N1630" s="59"/>
      <c r="O1630" s="59"/>
      <c r="P1630" s="59"/>
      <c r="Q1630" s="59"/>
      <c r="R1630" s="60">
        <f>IF(AND(P1630="",Q1630=""),"",N(P1630)+N(Q1630))</f>
        <v/>
      </c>
      <c r="S1630" s="59"/>
      <c r="T1630" s="59"/>
      <c r="U1630" s="62">
        <f>IF(OR(R1630="",S1630="",T1630=""),"",IF(S1630+T1630=0,"",R1630/(S1630+T1630)))</f>
        <v/>
      </c>
      <c r="V1630" s="63"/>
      <c r="W1630" s="64"/>
      <c r="X1630" s="63"/>
    </row>
    <row r="1631" spans="2:24">
      <c r="B1631" s="58"/>
      <c r="C1631" s="59"/>
      <c r="D1631" s="59"/>
      <c r="E1631" s="59"/>
      <c r="F1631" s="59"/>
      <c r="G1631" s="60">
        <f>IF(OR(E1631="",F1631="",C1631="",D1631=""),"",IF(C1631+D1631=0,"",(E1631*C1631+F1631*D1631)/(C1631+D1631)))</f>
        <v/>
      </c>
      <c r="H1631" s="59"/>
      <c r="I1631" s="60">
        <f>IF(OR(H1631="",E1631="",C1631="",D1631=""),"",IF(C1631+D1631=0,"",(H1631*D1631+E1631*C1631)/(C1631+D1631)))</f>
        <v/>
      </c>
      <c r="J1631" s="59"/>
      <c r="K1631" s="61">
        <f>IF(OR(J1631="",I1631=""),"",J1631-I1631)</f>
        <v/>
      </c>
      <c r="L1631" s="61">
        <f>IF(OR(J1631="",G1631=""),"",J1631-G1631)</f>
        <v/>
      </c>
      <c r="M1631" s="59"/>
      <c r="N1631" s="59"/>
      <c r="O1631" s="59"/>
      <c r="P1631" s="59"/>
      <c r="Q1631" s="59"/>
      <c r="R1631" s="60">
        <f>IF(AND(P1631="",Q1631=""),"",N(P1631)+N(Q1631))</f>
        <v/>
      </c>
      <c r="S1631" s="59"/>
      <c r="T1631" s="59"/>
      <c r="U1631" s="62">
        <f>IF(OR(R1631="",S1631="",T1631=""),"",IF(S1631+T1631=0,"",R1631/(S1631+T1631)))</f>
        <v/>
      </c>
      <c r="V1631" s="63"/>
      <c r="W1631" s="64"/>
      <c r="X1631" s="63"/>
    </row>
    <row r="1632" spans="2:24">
      <c r="B1632" s="58"/>
      <c r="C1632" s="59"/>
      <c r="D1632" s="59"/>
      <c r="E1632" s="59"/>
      <c r="F1632" s="59"/>
      <c r="G1632" s="60">
        <f>IF(OR(E1632="",F1632="",C1632="",D1632=""),"",IF(C1632+D1632=0,"",(E1632*C1632+F1632*D1632)/(C1632+D1632)))</f>
        <v/>
      </c>
      <c r="H1632" s="59"/>
      <c r="I1632" s="60">
        <f>IF(OR(H1632="",E1632="",C1632="",D1632=""),"",IF(C1632+D1632=0,"",(H1632*D1632+E1632*C1632)/(C1632+D1632)))</f>
        <v/>
      </c>
      <c r="J1632" s="59"/>
      <c r="K1632" s="61">
        <f>IF(OR(J1632="",I1632=""),"",J1632-I1632)</f>
        <v/>
      </c>
      <c r="L1632" s="61">
        <f>IF(OR(J1632="",G1632=""),"",J1632-G1632)</f>
        <v/>
      </c>
      <c r="M1632" s="59"/>
      <c r="N1632" s="59"/>
      <c r="O1632" s="59"/>
      <c r="P1632" s="59"/>
      <c r="Q1632" s="59"/>
      <c r="R1632" s="60">
        <f>IF(AND(P1632="",Q1632=""),"",N(P1632)+N(Q1632))</f>
        <v/>
      </c>
      <c r="S1632" s="59"/>
      <c r="T1632" s="59"/>
      <c r="U1632" s="62">
        <f>IF(OR(R1632="",S1632="",T1632=""),"",IF(S1632+T1632=0,"",R1632/(S1632+T1632)))</f>
        <v/>
      </c>
      <c r="V1632" s="63"/>
      <c r="W1632" s="64"/>
      <c r="X1632" s="63"/>
    </row>
    <row r="1633" spans="2:24">
      <c r="B1633" s="58"/>
      <c r="C1633" s="59"/>
      <c r="D1633" s="59"/>
      <c r="E1633" s="59"/>
      <c r="F1633" s="59"/>
      <c r="G1633" s="60">
        <f>IF(OR(E1633="",F1633="",C1633="",D1633=""),"",IF(C1633+D1633=0,"",(E1633*C1633+F1633*D1633)/(C1633+D1633)))</f>
        <v/>
      </c>
      <c r="H1633" s="59"/>
      <c r="I1633" s="60">
        <f>IF(OR(H1633="",E1633="",C1633="",D1633=""),"",IF(C1633+D1633=0,"",(H1633*D1633+E1633*C1633)/(C1633+D1633)))</f>
        <v/>
      </c>
      <c r="J1633" s="59"/>
      <c r="K1633" s="61">
        <f>IF(OR(J1633="",I1633=""),"",J1633-I1633)</f>
        <v/>
      </c>
      <c r="L1633" s="61">
        <f>IF(OR(J1633="",G1633=""),"",J1633-G1633)</f>
        <v/>
      </c>
      <c r="M1633" s="59"/>
      <c r="N1633" s="59"/>
      <c r="O1633" s="59"/>
      <c r="P1633" s="59"/>
      <c r="Q1633" s="59"/>
      <c r="R1633" s="60">
        <f>IF(AND(P1633="",Q1633=""),"",N(P1633)+N(Q1633))</f>
        <v/>
      </c>
      <c r="S1633" s="59"/>
      <c r="T1633" s="59"/>
      <c r="U1633" s="62">
        <f>IF(OR(R1633="",S1633="",T1633=""),"",IF(S1633+T1633=0,"",R1633/(S1633+T1633)))</f>
        <v/>
      </c>
      <c r="V1633" s="63"/>
      <c r="W1633" s="64"/>
      <c r="X1633" s="63"/>
    </row>
    <row r="1634" spans="2:24">
      <c r="B1634" s="58"/>
      <c r="C1634" s="59"/>
      <c r="D1634" s="59"/>
      <c r="E1634" s="59"/>
      <c r="F1634" s="59"/>
      <c r="G1634" s="60">
        <f>IF(OR(E1634="",F1634="",C1634="",D1634=""),"",IF(C1634+D1634=0,"",(E1634*C1634+F1634*D1634)/(C1634+D1634)))</f>
        <v/>
      </c>
      <c r="H1634" s="59"/>
      <c r="I1634" s="60">
        <f>IF(OR(H1634="",E1634="",C1634="",D1634=""),"",IF(C1634+D1634=0,"",(H1634*D1634+E1634*C1634)/(C1634+D1634)))</f>
        <v/>
      </c>
      <c r="J1634" s="59"/>
      <c r="K1634" s="61">
        <f>IF(OR(J1634="",I1634=""),"",J1634-I1634)</f>
        <v/>
      </c>
      <c r="L1634" s="61">
        <f>IF(OR(J1634="",G1634=""),"",J1634-G1634)</f>
        <v/>
      </c>
      <c r="M1634" s="59"/>
      <c r="N1634" s="59"/>
      <c r="O1634" s="59"/>
      <c r="P1634" s="59"/>
      <c r="Q1634" s="59"/>
      <c r="R1634" s="60">
        <f>IF(AND(P1634="",Q1634=""),"",N(P1634)+N(Q1634))</f>
        <v/>
      </c>
      <c r="S1634" s="59"/>
      <c r="T1634" s="59"/>
      <c r="U1634" s="62">
        <f>IF(OR(R1634="",S1634="",T1634=""),"",IF(S1634+T1634=0,"",R1634/(S1634+T1634)))</f>
        <v/>
      </c>
      <c r="V1634" s="63"/>
      <c r="W1634" s="64"/>
      <c r="X1634" s="63"/>
    </row>
    <row r="1635" spans="2:24">
      <c r="B1635" s="58"/>
      <c r="C1635" s="59"/>
      <c r="D1635" s="59"/>
      <c r="E1635" s="59"/>
      <c r="F1635" s="59"/>
      <c r="G1635" s="60">
        <f>IF(OR(E1635="",F1635="",C1635="",D1635=""),"",IF(C1635+D1635=0,"",(E1635*C1635+F1635*D1635)/(C1635+D1635)))</f>
        <v/>
      </c>
      <c r="H1635" s="59"/>
      <c r="I1635" s="60">
        <f>IF(OR(H1635="",E1635="",C1635="",D1635=""),"",IF(C1635+D1635=0,"",(H1635*D1635+E1635*C1635)/(C1635+D1635)))</f>
        <v/>
      </c>
      <c r="J1635" s="59"/>
      <c r="K1635" s="61">
        <f>IF(OR(J1635="",I1635=""),"",J1635-I1635)</f>
        <v/>
      </c>
      <c r="L1635" s="61">
        <f>IF(OR(J1635="",G1635=""),"",J1635-G1635)</f>
        <v/>
      </c>
      <c r="M1635" s="59"/>
      <c r="N1635" s="59"/>
      <c r="O1635" s="59"/>
      <c r="P1635" s="59"/>
      <c r="Q1635" s="59"/>
      <c r="R1635" s="60">
        <f>IF(AND(P1635="",Q1635=""),"",N(P1635)+N(Q1635))</f>
        <v/>
      </c>
      <c r="S1635" s="59"/>
      <c r="T1635" s="59"/>
      <c r="U1635" s="62">
        <f>IF(OR(R1635="",S1635="",T1635=""),"",IF(S1635+T1635=0,"",R1635/(S1635+T1635)))</f>
        <v/>
      </c>
      <c r="V1635" s="63"/>
      <c r="W1635" s="64"/>
      <c r="X1635" s="63"/>
    </row>
    <row r="1636" spans="2:24">
      <c r="B1636" s="58"/>
      <c r="C1636" s="59"/>
      <c r="D1636" s="59"/>
      <c r="E1636" s="59"/>
      <c r="F1636" s="59"/>
      <c r="G1636" s="60">
        <f>IF(OR(E1636="",F1636="",C1636="",D1636=""),"",IF(C1636+D1636=0,"",(E1636*C1636+F1636*D1636)/(C1636+D1636)))</f>
        <v/>
      </c>
      <c r="H1636" s="59"/>
      <c r="I1636" s="60">
        <f>IF(OR(H1636="",E1636="",C1636="",D1636=""),"",IF(C1636+D1636=0,"",(H1636*D1636+E1636*C1636)/(C1636+D1636)))</f>
        <v/>
      </c>
      <c r="J1636" s="59"/>
      <c r="K1636" s="61">
        <f>IF(OR(J1636="",I1636=""),"",J1636-I1636)</f>
        <v/>
      </c>
      <c r="L1636" s="61">
        <f>IF(OR(J1636="",G1636=""),"",J1636-G1636)</f>
        <v/>
      </c>
      <c r="M1636" s="59"/>
      <c r="N1636" s="59"/>
      <c r="O1636" s="59"/>
      <c r="P1636" s="59"/>
      <c r="Q1636" s="59"/>
      <c r="R1636" s="60">
        <f>IF(AND(P1636="",Q1636=""),"",N(P1636)+N(Q1636))</f>
        <v/>
      </c>
      <c r="S1636" s="59"/>
      <c r="T1636" s="59"/>
      <c r="U1636" s="62">
        <f>IF(OR(R1636="",S1636="",T1636=""),"",IF(S1636+T1636=0,"",R1636/(S1636+T1636)))</f>
        <v/>
      </c>
      <c r="V1636" s="63"/>
      <c r="W1636" s="64"/>
      <c r="X1636" s="63"/>
    </row>
    <row r="1637" spans="2:24">
      <c r="B1637" s="58"/>
      <c r="C1637" s="59"/>
      <c r="D1637" s="59"/>
      <c r="E1637" s="59"/>
      <c r="F1637" s="59"/>
      <c r="G1637" s="60">
        <f>IF(OR(E1637="",F1637="",C1637="",D1637=""),"",IF(C1637+D1637=0,"",(E1637*C1637+F1637*D1637)/(C1637+D1637)))</f>
        <v/>
      </c>
      <c r="H1637" s="59"/>
      <c r="I1637" s="60">
        <f>IF(OR(H1637="",E1637="",C1637="",D1637=""),"",IF(C1637+D1637=0,"",(H1637*D1637+E1637*C1637)/(C1637+D1637)))</f>
        <v/>
      </c>
      <c r="J1637" s="59"/>
      <c r="K1637" s="61">
        <f>IF(OR(J1637="",I1637=""),"",J1637-I1637)</f>
        <v/>
      </c>
      <c r="L1637" s="61">
        <f>IF(OR(J1637="",G1637=""),"",J1637-G1637)</f>
        <v/>
      </c>
      <c r="M1637" s="59"/>
      <c r="N1637" s="59"/>
      <c r="O1637" s="59"/>
      <c r="P1637" s="59"/>
      <c r="Q1637" s="59"/>
      <c r="R1637" s="60">
        <f>IF(AND(P1637="",Q1637=""),"",N(P1637)+N(Q1637))</f>
        <v/>
      </c>
      <c r="S1637" s="59"/>
      <c r="T1637" s="59"/>
      <c r="U1637" s="62">
        <f>IF(OR(R1637="",S1637="",T1637=""),"",IF(S1637+T1637=0,"",R1637/(S1637+T1637)))</f>
        <v/>
      </c>
      <c r="V1637" s="63"/>
      <c r="W1637" s="64"/>
      <c r="X1637" s="63"/>
    </row>
    <row r="1638" spans="2:24">
      <c r="B1638" s="58"/>
      <c r="C1638" s="59"/>
      <c r="D1638" s="59"/>
      <c r="E1638" s="59"/>
      <c r="F1638" s="59"/>
      <c r="G1638" s="60">
        <f>IF(OR(E1638="",F1638="",C1638="",D1638=""),"",IF(C1638+D1638=0,"",(E1638*C1638+F1638*D1638)/(C1638+D1638)))</f>
        <v/>
      </c>
      <c r="H1638" s="59"/>
      <c r="I1638" s="60">
        <f>IF(OR(H1638="",E1638="",C1638="",D1638=""),"",IF(C1638+D1638=0,"",(H1638*D1638+E1638*C1638)/(C1638+D1638)))</f>
        <v/>
      </c>
      <c r="J1638" s="59"/>
      <c r="K1638" s="61">
        <f>IF(OR(J1638="",I1638=""),"",J1638-I1638)</f>
        <v/>
      </c>
      <c r="L1638" s="61">
        <f>IF(OR(J1638="",G1638=""),"",J1638-G1638)</f>
        <v/>
      </c>
      <c r="M1638" s="59"/>
      <c r="N1638" s="59"/>
      <c r="O1638" s="59"/>
      <c r="P1638" s="59"/>
      <c r="Q1638" s="59"/>
      <c r="R1638" s="60">
        <f>IF(AND(P1638="",Q1638=""),"",N(P1638)+N(Q1638))</f>
        <v/>
      </c>
      <c r="S1638" s="59"/>
      <c r="T1638" s="59"/>
      <c r="U1638" s="62">
        <f>IF(OR(R1638="",S1638="",T1638=""),"",IF(S1638+T1638=0,"",R1638/(S1638+T1638)))</f>
        <v/>
      </c>
      <c r="V1638" s="63"/>
      <c r="W1638" s="64"/>
      <c r="X1638" s="63"/>
    </row>
    <row r="1639" spans="2:24">
      <c r="B1639" s="58"/>
      <c r="C1639" s="59"/>
      <c r="D1639" s="59"/>
      <c r="E1639" s="59"/>
      <c r="F1639" s="59"/>
      <c r="G1639" s="60">
        <f>IF(OR(E1639="",F1639="",C1639="",D1639=""),"",IF(C1639+D1639=0,"",(E1639*C1639+F1639*D1639)/(C1639+D1639)))</f>
        <v/>
      </c>
      <c r="H1639" s="59"/>
      <c r="I1639" s="60">
        <f>IF(OR(H1639="",E1639="",C1639="",D1639=""),"",IF(C1639+D1639=0,"",(H1639*D1639+E1639*C1639)/(C1639+D1639)))</f>
        <v/>
      </c>
      <c r="J1639" s="59"/>
      <c r="K1639" s="61">
        <f>IF(OR(J1639="",I1639=""),"",J1639-I1639)</f>
        <v/>
      </c>
      <c r="L1639" s="61">
        <f>IF(OR(J1639="",G1639=""),"",J1639-G1639)</f>
        <v/>
      </c>
      <c r="M1639" s="59"/>
      <c r="N1639" s="59"/>
      <c r="O1639" s="59"/>
      <c r="P1639" s="59"/>
      <c r="Q1639" s="59"/>
      <c r="R1639" s="60">
        <f>IF(AND(P1639="",Q1639=""),"",N(P1639)+N(Q1639))</f>
        <v/>
      </c>
      <c r="S1639" s="59"/>
      <c r="T1639" s="59"/>
      <c r="U1639" s="62">
        <f>IF(OR(R1639="",S1639="",T1639=""),"",IF(S1639+T1639=0,"",R1639/(S1639+T1639)))</f>
        <v/>
      </c>
      <c r="V1639" s="63"/>
      <c r="W1639" s="64"/>
      <c r="X1639" s="63"/>
    </row>
    <row r="1640" spans="2:24">
      <c r="B1640" s="58"/>
      <c r="C1640" s="59"/>
      <c r="D1640" s="59"/>
      <c r="E1640" s="59"/>
      <c r="F1640" s="59"/>
      <c r="G1640" s="60">
        <f>IF(OR(E1640="",F1640="",C1640="",D1640=""),"",IF(C1640+D1640=0,"",(E1640*C1640+F1640*D1640)/(C1640+D1640)))</f>
        <v/>
      </c>
      <c r="H1640" s="59"/>
      <c r="I1640" s="60">
        <f>IF(OR(H1640="",E1640="",C1640="",D1640=""),"",IF(C1640+D1640=0,"",(H1640*D1640+E1640*C1640)/(C1640+D1640)))</f>
        <v/>
      </c>
      <c r="J1640" s="59"/>
      <c r="K1640" s="61">
        <f>IF(OR(J1640="",I1640=""),"",J1640-I1640)</f>
        <v/>
      </c>
      <c r="L1640" s="61">
        <f>IF(OR(J1640="",G1640=""),"",J1640-G1640)</f>
        <v/>
      </c>
      <c r="M1640" s="59"/>
      <c r="N1640" s="59"/>
      <c r="O1640" s="59"/>
      <c r="P1640" s="59"/>
      <c r="Q1640" s="59"/>
      <c r="R1640" s="60">
        <f>IF(AND(P1640="",Q1640=""),"",N(P1640)+N(Q1640))</f>
        <v/>
      </c>
      <c r="S1640" s="59"/>
      <c r="T1640" s="59"/>
      <c r="U1640" s="62">
        <f>IF(OR(R1640="",S1640="",T1640=""),"",IF(S1640+T1640=0,"",R1640/(S1640+T1640)))</f>
        <v/>
      </c>
      <c r="V1640" s="63"/>
      <c r="W1640" s="64"/>
      <c r="X1640" s="63"/>
    </row>
    <row r="1641" spans="2:24">
      <c r="B1641" s="58"/>
      <c r="C1641" s="59"/>
      <c r="D1641" s="59"/>
      <c r="E1641" s="59"/>
      <c r="F1641" s="59"/>
      <c r="G1641" s="60">
        <f>IF(OR(E1641="",F1641="",C1641="",D1641=""),"",IF(C1641+D1641=0,"",(E1641*C1641+F1641*D1641)/(C1641+D1641)))</f>
        <v/>
      </c>
      <c r="H1641" s="59"/>
      <c r="I1641" s="60">
        <f>IF(OR(H1641="",E1641="",C1641="",D1641=""),"",IF(C1641+D1641=0,"",(H1641*D1641+E1641*C1641)/(C1641+D1641)))</f>
        <v/>
      </c>
      <c r="J1641" s="59"/>
      <c r="K1641" s="61">
        <f>IF(OR(J1641="",I1641=""),"",J1641-I1641)</f>
        <v/>
      </c>
      <c r="L1641" s="61">
        <f>IF(OR(J1641="",G1641=""),"",J1641-G1641)</f>
        <v/>
      </c>
      <c r="M1641" s="59"/>
      <c r="N1641" s="59"/>
      <c r="O1641" s="59"/>
      <c r="P1641" s="59"/>
      <c r="Q1641" s="59"/>
      <c r="R1641" s="60">
        <f>IF(AND(P1641="",Q1641=""),"",N(P1641)+N(Q1641))</f>
        <v/>
      </c>
      <c r="S1641" s="59"/>
      <c r="T1641" s="59"/>
      <c r="U1641" s="62">
        <f>IF(OR(R1641="",S1641="",T1641=""),"",IF(S1641+T1641=0,"",R1641/(S1641+T1641)))</f>
        <v/>
      </c>
      <c r="V1641" s="63"/>
      <c r="W1641" s="64"/>
      <c r="X1641" s="63"/>
    </row>
    <row r="1642" spans="2:24">
      <c r="B1642" s="58"/>
      <c r="C1642" s="59"/>
      <c r="D1642" s="59"/>
      <c r="E1642" s="59"/>
      <c r="F1642" s="59"/>
      <c r="G1642" s="60">
        <f>IF(OR(E1642="",F1642="",C1642="",D1642=""),"",IF(C1642+D1642=0,"",(E1642*C1642+F1642*D1642)/(C1642+D1642)))</f>
        <v/>
      </c>
      <c r="H1642" s="59"/>
      <c r="I1642" s="60">
        <f>IF(OR(H1642="",E1642="",C1642="",D1642=""),"",IF(C1642+D1642=0,"",(H1642*D1642+E1642*C1642)/(C1642+D1642)))</f>
        <v/>
      </c>
      <c r="J1642" s="59"/>
      <c r="K1642" s="61">
        <f>IF(OR(J1642="",I1642=""),"",J1642-I1642)</f>
        <v/>
      </c>
      <c r="L1642" s="61">
        <f>IF(OR(J1642="",G1642=""),"",J1642-G1642)</f>
        <v/>
      </c>
      <c r="M1642" s="59"/>
      <c r="N1642" s="59"/>
      <c r="O1642" s="59"/>
      <c r="P1642" s="59"/>
      <c r="Q1642" s="59"/>
      <c r="R1642" s="60">
        <f>IF(AND(P1642="",Q1642=""),"",N(P1642)+N(Q1642))</f>
        <v/>
      </c>
      <c r="S1642" s="59"/>
      <c r="T1642" s="59"/>
      <c r="U1642" s="62">
        <f>IF(OR(R1642="",S1642="",T1642=""),"",IF(S1642+T1642=0,"",R1642/(S1642+T1642)))</f>
        <v/>
      </c>
      <c r="V1642" s="63"/>
      <c r="W1642" s="64"/>
      <c r="X1642" s="63"/>
    </row>
    <row r="1643" spans="2:24">
      <c r="B1643" s="58"/>
      <c r="C1643" s="59"/>
      <c r="D1643" s="59"/>
      <c r="E1643" s="59"/>
      <c r="F1643" s="59"/>
      <c r="G1643" s="60">
        <f>IF(OR(E1643="",F1643="",C1643="",D1643=""),"",IF(C1643+D1643=0,"",(E1643*C1643+F1643*D1643)/(C1643+D1643)))</f>
        <v/>
      </c>
      <c r="H1643" s="59"/>
      <c r="I1643" s="60">
        <f>IF(OR(H1643="",E1643="",C1643="",D1643=""),"",IF(C1643+D1643=0,"",(H1643*D1643+E1643*C1643)/(C1643+D1643)))</f>
        <v/>
      </c>
      <c r="J1643" s="59"/>
      <c r="K1643" s="61">
        <f>IF(OR(J1643="",I1643=""),"",J1643-I1643)</f>
        <v/>
      </c>
      <c r="L1643" s="61">
        <f>IF(OR(J1643="",G1643=""),"",J1643-G1643)</f>
        <v/>
      </c>
      <c r="M1643" s="59"/>
      <c r="N1643" s="59"/>
      <c r="O1643" s="59"/>
      <c r="P1643" s="59"/>
      <c r="Q1643" s="59"/>
      <c r="R1643" s="60">
        <f>IF(AND(P1643="",Q1643=""),"",N(P1643)+N(Q1643))</f>
        <v/>
      </c>
      <c r="S1643" s="59"/>
      <c r="T1643" s="59"/>
      <c r="U1643" s="62">
        <f>IF(OR(R1643="",S1643="",T1643=""),"",IF(S1643+T1643=0,"",R1643/(S1643+T1643)))</f>
        <v/>
      </c>
      <c r="V1643" s="63"/>
      <c r="W1643" s="64"/>
      <c r="X1643" s="63"/>
    </row>
    <row r="1644" spans="2:24">
      <c r="B1644" s="58"/>
      <c r="C1644" s="59"/>
      <c r="D1644" s="59"/>
      <c r="E1644" s="59"/>
      <c r="F1644" s="59"/>
      <c r="G1644" s="60">
        <f>IF(OR(E1644="",F1644="",C1644="",D1644=""),"",IF(C1644+D1644=0,"",(E1644*C1644+F1644*D1644)/(C1644+D1644)))</f>
        <v/>
      </c>
      <c r="H1644" s="59"/>
      <c r="I1644" s="60">
        <f>IF(OR(H1644="",E1644="",C1644="",D1644=""),"",IF(C1644+D1644=0,"",(H1644*D1644+E1644*C1644)/(C1644+D1644)))</f>
        <v/>
      </c>
      <c r="J1644" s="59"/>
      <c r="K1644" s="61">
        <f>IF(OR(J1644="",I1644=""),"",J1644-I1644)</f>
        <v/>
      </c>
      <c r="L1644" s="61">
        <f>IF(OR(J1644="",G1644=""),"",J1644-G1644)</f>
        <v/>
      </c>
      <c r="M1644" s="59"/>
      <c r="N1644" s="59"/>
      <c r="O1644" s="59"/>
      <c r="P1644" s="59"/>
      <c r="Q1644" s="59"/>
      <c r="R1644" s="60">
        <f>IF(AND(P1644="",Q1644=""),"",N(P1644)+N(Q1644))</f>
        <v/>
      </c>
      <c r="S1644" s="59"/>
      <c r="T1644" s="59"/>
      <c r="U1644" s="62">
        <f>IF(OR(R1644="",S1644="",T1644=""),"",IF(S1644+T1644=0,"",R1644/(S1644+T1644)))</f>
        <v/>
      </c>
      <c r="V1644" s="63"/>
      <c r="W1644" s="64"/>
      <c r="X1644" s="63"/>
    </row>
    <row r="1645" spans="2:24">
      <c r="B1645" s="58"/>
      <c r="C1645" s="59"/>
      <c r="D1645" s="59"/>
      <c r="E1645" s="59"/>
      <c r="F1645" s="59"/>
      <c r="G1645" s="60">
        <f>IF(OR(E1645="",F1645="",C1645="",D1645=""),"",IF(C1645+D1645=0,"",(E1645*C1645+F1645*D1645)/(C1645+D1645)))</f>
        <v/>
      </c>
      <c r="H1645" s="59"/>
      <c r="I1645" s="60">
        <f>IF(OR(H1645="",E1645="",C1645="",D1645=""),"",IF(C1645+D1645=0,"",(H1645*D1645+E1645*C1645)/(C1645+D1645)))</f>
        <v/>
      </c>
      <c r="J1645" s="59"/>
      <c r="K1645" s="61">
        <f>IF(OR(J1645="",I1645=""),"",J1645-I1645)</f>
        <v/>
      </c>
      <c r="L1645" s="61">
        <f>IF(OR(J1645="",G1645=""),"",J1645-G1645)</f>
        <v/>
      </c>
      <c r="M1645" s="59"/>
      <c r="N1645" s="59"/>
      <c r="O1645" s="59"/>
      <c r="P1645" s="59"/>
      <c r="Q1645" s="59"/>
      <c r="R1645" s="60">
        <f>IF(AND(P1645="",Q1645=""),"",N(P1645)+N(Q1645))</f>
        <v/>
      </c>
      <c r="S1645" s="59"/>
      <c r="T1645" s="59"/>
      <c r="U1645" s="62">
        <f>IF(OR(R1645="",S1645="",T1645=""),"",IF(S1645+T1645=0,"",R1645/(S1645+T1645)))</f>
        <v/>
      </c>
      <c r="V1645" s="63"/>
      <c r="W1645" s="64"/>
      <c r="X1645" s="63"/>
    </row>
    <row r="1646" spans="2:24">
      <c r="B1646" s="58"/>
      <c r="C1646" s="59"/>
      <c r="D1646" s="59"/>
      <c r="E1646" s="59"/>
      <c r="F1646" s="59"/>
      <c r="G1646" s="60">
        <f>IF(OR(E1646="",F1646="",C1646="",D1646=""),"",IF(C1646+D1646=0,"",(E1646*C1646+F1646*D1646)/(C1646+D1646)))</f>
        <v/>
      </c>
      <c r="H1646" s="59"/>
      <c r="I1646" s="60">
        <f>IF(OR(H1646="",E1646="",C1646="",D1646=""),"",IF(C1646+D1646=0,"",(H1646*D1646+E1646*C1646)/(C1646+D1646)))</f>
        <v/>
      </c>
      <c r="J1646" s="59"/>
      <c r="K1646" s="61">
        <f>IF(OR(J1646="",I1646=""),"",J1646-I1646)</f>
        <v/>
      </c>
      <c r="L1646" s="61">
        <f>IF(OR(J1646="",G1646=""),"",J1646-G1646)</f>
        <v/>
      </c>
      <c r="M1646" s="59"/>
      <c r="N1646" s="59"/>
      <c r="O1646" s="59"/>
      <c r="P1646" s="59"/>
      <c r="Q1646" s="59"/>
      <c r="R1646" s="60">
        <f>IF(AND(P1646="",Q1646=""),"",N(P1646)+N(Q1646))</f>
        <v/>
      </c>
      <c r="S1646" s="59"/>
      <c r="T1646" s="59"/>
      <c r="U1646" s="62">
        <f>IF(OR(R1646="",S1646="",T1646=""),"",IF(S1646+T1646=0,"",R1646/(S1646+T1646)))</f>
        <v/>
      </c>
      <c r="V1646" s="63"/>
      <c r="W1646" s="64"/>
      <c r="X1646" s="63"/>
    </row>
    <row r="1647" spans="2:24">
      <c r="B1647" s="58"/>
      <c r="C1647" s="59"/>
      <c r="D1647" s="59"/>
      <c r="E1647" s="59"/>
      <c r="F1647" s="59"/>
      <c r="G1647" s="60">
        <f>IF(OR(E1647="",F1647="",C1647="",D1647=""),"",IF(C1647+D1647=0,"",(E1647*C1647+F1647*D1647)/(C1647+D1647)))</f>
        <v/>
      </c>
      <c r="H1647" s="59"/>
      <c r="I1647" s="60">
        <f>IF(OR(H1647="",E1647="",C1647="",D1647=""),"",IF(C1647+D1647=0,"",(H1647*D1647+E1647*C1647)/(C1647+D1647)))</f>
        <v/>
      </c>
      <c r="J1647" s="59"/>
      <c r="K1647" s="61">
        <f>IF(OR(J1647="",I1647=""),"",J1647-I1647)</f>
        <v/>
      </c>
      <c r="L1647" s="61">
        <f>IF(OR(J1647="",G1647=""),"",J1647-G1647)</f>
        <v/>
      </c>
      <c r="M1647" s="59"/>
      <c r="N1647" s="59"/>
      <c r="O1647" s="59"/>
      <c r="P1647" s="59"/>
      <c r="Q1647" s="59"/>
      <c r="R1647" s="60">
        <f>IF(AND(P1647="",Q1647=""),"",N(P1647)+N(Q1647))</f>
        <v/>
      </c>
      <c r="S1647" s="59"/>
      <c r="T1647" s="59"/>
      <c r="U1647" s="62">
        <f>IF(OR(R1647="",S1647="",T1647=""),"",IF(S1647+T1647=0,"",R1647/(S1647+T1647)))</f>
        <v/>
      </c>
      <c r="V1647" s="63"/>
      <c r="W1647" s="64"/>
      <c r="X1647" s="63"/>
    </row>
    <row r="1648" spans="2:24">
      <c r="B1648" s="58"/>
      <c r="C1648" s="59"/>
      <c r="D1648" s="59"/>
      <c r="E1648" s="59"/>
      <c r="F1648" s="59"/>
      <c r="G1648" s="60">
        <f>IF(OR(E1648="",F1648="",C1648="",D1648=""),"",IF(C1648+D1648=0,"",(E1648*C1648+F1648*D1648)/(C1648+D1648)))</f>
        <v/>
      </c>
      <c r="H1648" s="59"/>
      <c r="I1648" s="60">
        <f>IF(OR(H1648="",E1648="",C1648="",D1648=""),"",IF(C1648+D1648=0,"",(H1648*D1648+E1648*C1648)/(C1648+D1648)))</f>
        <v/>
      </c>
      <c r="J1648" s="59"/>
      <c r="K1648" s="61">
        <f>IF(OR(J1648="",I1648=""),"",J1648-I1648)</f>
        <v/>
      </c>
      <c r="L1648" s="61">
        <f>IF(OR(J1648="",G1648=""),"",J1648-G1648)</f>
        <v/>
      </c>
      <c r="M1648" s="59"/>
      <c r="N1648" s="59"/>
      <c r="O1648" s="59"/>
      <c r="P1648" s="59"/>
      <c r="Q1648" s="59"/>
      <c r="R1648" s="60">
        <f>IF(AND(P1648="",Q1648=""),"",N(P1648)+N(Q1648))</f>
        <v/>
      </c>
      <c r="S1648" s="59"/>
      <c r="T1648" s="59"/>
      <c r="U1648" s="62">
        <f>IF(OR(R1648="",S1648="",T1648=""),"",IF(S1648+T1648=0,"",R1648/(S1648+T1648)))</f>
        <v/>
      </c>
      <c r="V1648" s="63"/>
      <c r="W1648" s="64"/>
      <c r="X1648" s="63"/>
    </row>
    <row r="1649" spans="2:24">
      <c r="B1649" s="58"/>
      <c r="C1649" s="59"/>
      <c r="D1649" s="59"/>
      <c r="E1649" s="59"/>
      <c r="F1649" s="59"/>
      <c r="G1649" s="60">
        <f>IF(OR(E1649="",F1649="",C1649="",D1649=""),"",IF(C1649+D1649=0,"",(E1649*C1649+F1649*D1649)/(C1649+D1649)))</f>
        <v/>
      </c>
      <c r="H1649" s="59"/>
      <c r="I1649" s="60">
        <f>IF(OR(H1649="",E1649="",C1649="",D1649=""),"",IF(C1649+D1649=0,"",(H1649*D1649+E1649*C1649)/(C1649+D1649)))</f>
        <v/>
      </c>
      <c r="J1649" s="59"/>
      <c r="K1649" s="61">
        <f>IF(OR(J1649="",I1649=""),"",J1649-I1649)</f>
        <v/>
      </c>
      <c r="L1649" s="61">
        <f>IF(OR(J1649="",G1649=""),"",J1649-G1649)</f>
        <v/>
      </c>
      <c r="M1649" s="59"/>
      <c r="N1649" s="59"/>
      <c r="O1649" s="59"/>
      <c r="P1649" s="59"/>
      <c r="Q1649" s="59"/>
      <c r="R1649" s="60">
        <f>IF(AND(P1649="",Q1649=""),"",N(P1649)+N(Q1649))</f>
        <v/>
      </c>
      <c r="S1649" s="59"/>
      <c r="T1649" s="59"/>
      <c r="U1649" s="62">
        <f>IF(OR(R1649="",S1649="",T1649=""),"",IF(S1649+T1649=0,"",R1649/(S1649+T1649)))</f>
        <v/>
      </c>
      <c r="V1649" s="63"/>
      <c r="W1649" s="64"/>
      <c r="X1649" s="63"/>
    </row>
    <row r="1650" spans="2:24">
      <c r="B1650" s="58"/>
      <c r="C1650" s="59"/>
      <c r="D1650" s="59"/>
      <c r="E1650" s="59"/>
      <c r="F1650" s="59"/>
      <c r="G1650" s="60">
        <f>IF(OR(E1650="",F1650="",C1650="",D1650=""),"",IF(C1650+D1650=0,"",(E1650*C1650+F1650*D1650)/(C1650+D1650)))</f>
        <v/>
      </c>
      <c r="H1650" s="59"/>
      <c r="I1650" s="60">
        <f>IF(OR(H1650="",E1650="",C1650="",D1650=""),"",IF(C1650+D1650=0,"",(H1650*D1650+E1650*C1650)/(C1650+D1650)))</f>
        <v/>
      </c>
      <c r="J1650" s="59"/>
      <c r="K1650" s="61">
        <f>IF(OR(J1650="",I1650=""),"",J1650-I1650)</f>
        <v/>
      </c>
      <c r="L1650" s="61">
        <f>IF(OR(J1650="",G1650=""),"",J1650-G1650)</f>
        <v/>
      </c>
      <c r="M1650" s="59"/>
      <c r="N1650" s="59"/>
      <c r="O1650" s="59"/>
      <c r="P1650" s="59"/>
      <c r="Q1650" s="59"/>
      <c r="R1650" s="60">
        <f>IF(AND(P1650="",Q1650=""),"",N(P1650)+N(Q1650))</f>
        <v/>
      </c>
      <c r="S1650" s="59"/>
      <c r="T1650" s="59"/>
      <c r="U1650" s="62">
        <f>IF(OR(R1650="",S1650="",T1650=""),"",IF(S1650+T1650=0,"",R1650/(S1650+T1650)))</f>
        <v/>
      </c>
      <c r="V1650" s="63"/>
      <c r="W1650" s="64"/>
      <c r="X1650" s="63"/>
    </row>
    <row r="1651" spans="2:24">
      <c r="B1651" s="58"/>
      <c r="C1651" s="59"/>
      <c r="D1651" s="59"/>
      <c r="E1651" s="59"/>
      <c r="F1651" s="59"/>
      <c r="G1651" s="60">
        <f>IF(OR(E1651="",F1651="",C1651="",D1651=""),"",IF(C1651+D1651=0,"",(E1651*C1651+F1651*D1651)/(C1651+D1651)))</f>
        <v/>
      </c>
      <c r="H1651" s="59"/>
      <c r="I1651" s="60">
        <f>IF(OR(H1651="",E1651="",C1651="",D1651=""),"",IF(C1651+D1651=0,"",(H1651*D1651+E1651*C1651)/(C1651+D1651)))</f>
        <v/>
      </c>
      <c r="J1651" s="59"/>
      <c r="K1651" s="61">
        <f>IF(OR(J1651="",I1651=""),"",J1651-I1651)</f>
        <v/>
      </c>
      <c r="L1651" s="61">
        <f>IF(OR(J1651="",G1651=""),"",J1651-G1651)</f>
        <v/>
      </c>
      <c r="M1651" s="59"/>
      <c r="N1651" s="59"/>
      <c r="O1651" s="59"/>
      <c r="P1651" s="59"/>
      <c r="Q1651" s="59"/>
      <c r="R1651" s="60">
        <f>IF(AND(P1651="",Q1651=""),"",N(P1651)+N(Q1651))</f>
        <v/>
      </c>
      <c r="S1651" s="59"/>
      <c r="T1651" s="59"/>
      <c r="U1651" s="62">
        <f>IF(OR(R1651="",S1651="",T1651=""),"",IF(S1651+T1651=0,"",R1651/(S1651+T1651)))</f>
        <v/>
      </c>
      <c r="V1651" s="63"/>
      <c r="W1651" s="64"/>
      <c r="X1651" s="63"/>
    </row>
    <row r="1652" spans="2:24">
      <c r="B1652" s="58"/>
      <c r="C1652" s="59"/>
      <c r="D1652" s="59"/>
      <c r="E1652" s="59"/>
      <c r="F1652" s="59"/>
      <c r="G1652" s="60">
        <f>IF(OR(E1652="",F1652="",C1652="",D1652=""),"",IF(C1652+D1652=0,"",(E1652*C1652+F1652*D1652)/(C1652+D1652)))</f>
        <v/>
      </c>
      <c r="H1652" s="59"/>
      <c r="I1652" s="60">
        <f>IF(OR(H1652="",E1652="",C1652="",D1652=""),"",IF(C1652+D1652=0,"",(H1652*D1652+E1652*C1652)/(C1652+D1652)))</f>
        <v/>
      </c>
      <c r="J1652" s="59"/>
      <c r="K1652" s="61">
        <f>IF(OR(J1652="",I1652=""),"",J1652-I1652)</f>
        <v/>
      </c>
      <c r="L1652" s="61">
        <f>IF(OR(J1652="",G1652=""),"",J1652-G1652)</f>
        <v/>
      </c>
      <c r="M1652" s="59"/>
      <c r="N1652" s="59"/>
      <c r="O1652" s="59"/>
      <c r="P1652" s="59"/>
      <c r="Q1652" s="59"/>
      <c r="R1652" s="60">
        <f>IF(AND(P1652="",Q1652=""),"",N(P1652)+N(Q1652))</f>
        <v/>
      </c>
      <c r="S1652" s="59"/>
      <c r="T1652" s="59"/>
      <c r="U1652" s="62">
        <f>IF(OR(R1652="",S1652="",T1652=""),"",IF(S1652+T1652=0,"",R1652/(S1652+T1652)))</f>
        <v/>
      </c>
      <c r="V1652" s="63"/>
      <c r="W1652" s="64"/>
      <c r="X1652" s="63"/>
    </row>
    <row r="1653" spans="2:24">
      <c r="B1653" s="58"/>
      <c r="C1653" s="59"/>
      <c r="D1653" s="59"/>
      <c r="E1653" s="59"/>
      <c r="F1653" s="59"/>
      <c r="G1653" s="60">
        <f>IF(OR(E1653="",F1653="",C1653="",D1653=""),"",IF(C1653+D1653=0,"",(E1653*C1653+F1653*D1653)/(C1653+D1653)))</f>
        <v/>
      </c>
      <c r="H1653" s="59"/>
      <c r="I1653" s="60">
        <f>IF(OR(H1653="",E1653="",C1653="",D1653=""),"",IF(C1653+D1653=0,"",(H1653*D1653+E1653*C1653)/(C1653+D1653)))</f>
        <v/>
      </c>
      <c r="J1653" s="59"/>
      <c r="K1653" s="61">
        <f>IF(OR(J1653="",I1653=""),"",J1653-I1653)</f>
        <v/>
      </c>
      <c r="L1653" s="61">
        <f>IF(OR(J1653="",G1653=""),"",J1653-G1653)</f>
        <v/>
      </c>
      <c r="M1653" s="59"/>
      <c r="N1653" s="59"/>
      <c r="O1653" s="59"/>
      <c r="P1653" s="59"/>
      <c r="Q1653" s="59"/>
      <c r="R1653" s="60">
        <f>IF(AND(P1653="",Q1653=""),"",N(P1653)+N(Q1653))</f>
        <v/>
      </c>
      <c r="S1653" s="59"/>
      <c r="T1653" s="59"/>
      <c r="U1653" s="62">
        <f>IF(OR(R1653="",S1653="",T1653=""),"",IF(S1653+T1653=0,"",R1653/(S1653+T1653)))</f>
        <v/>
      </c>
      <c r="V1653" s="63"/>
      <c r="W1653" s="64"/>
      <c r="X1653" s="63"/>
    </row>
    <row r="1654" spans="2:24">
      <c r="B1654" s="58"/>
      <c r="C1654" s="59"/>
      <c r="D1654" s="59"/>
      <c r="E1654" s="59"/>
      <c r="F1654" s="59"/>
      <c r="G1654" s="60">
        <f>IF(OR(E1654="",F1654="",C1654="",D1654=""),"",IF(C1654+D1654=0,"",(E1654*C1654+F1654*D1654)/(C1654+D1654)))</f>
        <v/>
      </c>
      <c r="H1654" s="59"/>
      <c r="I1654" s="60">
        <f>IF(OR(H1654="",E1654="",C1654="",D1654=""),"",IF(C1654+D1654=0,"",(H1654*D1654+E1654*C1654)/(C1654+D1654)))</f>
        <v/>
      </c>
      <c r="J1654" s="59"/>
      <c r="K1654" s="61">
        <f>IF(OR(J1654="",I1654=""),"",J1654-I1654)</f>
        <v/>
      </c>
      <c r="L1654" s="61">
        <f>IF(OR(J1654="",G1654=""),"",J1654-G1654)</f>
        <v/>
      </c>
      <c r="M1654" s="59"/>
      <c r="N1654" s="59"/>
      <c r="O1654" s="59"/>
      <c r="P1654" s="59"/>
      <c r="Q1654" s="59"/>
      <c r="R1654" s="60">
        <f>IF(AND(P1654="",Q1654=""),"",N(P1654)+N(Q1654))</f>
        <v/>
      </c>
      <c r="S1654" s="59"/>
      <c r="T1654" s="59"/>
      <c r="U1654" s="62">
        <f>IF(OR(R1654="",S1654="",T1654=""),"",IF(S1654+T1654=0,"",R1654/(S1654+T1654)))</f>
        <v/>
      </c>
      <c r="V1654" s="63"/>
      <c r="W1654" s="64"/>
      <c r="X1654" s="63"/>
    </row>
    <row r="1655" spans="2:24">
      <c r="B1655" s="58"/>
      <c r="C1655" s="59"/>
      <c r="D1655" s="59"/>
      <c r="E1655" s="59"/>
      <c r="F1655" s="59"/>
      <c r="G1655" s="60">
        <f>IF(OR(E1655="",F1655="",C1655="",D1655=""),"",IF(C1655+D1655=0,"",(E1655*C1655+F1655*D1655)/(C1655+D1655)))</f>
        <v/>
      </c>
      <c r="H1655" s="59"/>
      <c r="I1655" s="60">
        <f>IF(OR(H1655="",E1655="",C1655="",D1655=""),"",IF(C1655+D1655=0,"",(H1655*D1655+E1655*C1655)/(C1655+D1655)))</f>
        <v/>
      </c>
      <c r="J1655" s="59"/>
      <c r="K1655" s="61">
        <f>IF(OR(J1655="",I1655=""),"",J1655-I1655)</f>
        <v/>
      </c>
      <c r="L1655" s="61">
        <f>IF(OR(J1655="",G1655=""),"",J1655-G1655)</f>
        <v/>
      </c>
      <c r="M1655" s="59"/>
      <c r="N1655" s="59"/>
      <c r="O1655" s="59"/>
      <c r="P1655" s="59"/>
      <c r="Q1655" s="59"/>
      <c r="R1655" s="60">
        <f>IF(AND(P1655="",Q1655=""),"",N(P1655)+N(Q1655))</f>
        <v/>
      </c>
      <c r="S1655" s="59"/>
      <c r="T1655" s="59"/>
      <c r="U1655" s="62">
        <f>IF(OR(R1655="",S1655="",T1655=""),"",IF(S1655+T1655=0,"",R1655/(S1655+T1655)))</f>
        <v/>
      </c>
      <c r="V1655" s="63"/>
      <c r="W1655" s="64"/>
      <c r="X1655" s="63"/>
    </row>
    <row r="1656" spans="2:24">
      <c r="B1656" s="58"/>
      <c r="C1656" s="59"/>
      <c r="D1656" s="59"/>
      <c r="E1656" s="59"/>
      <c r="F1656" s="59"/>
      <c r="G1656" s="60">
        <f>IF(OR(E1656="",F1656="",C1656="",D1656=""),"",IF(C1656+D1656=0,"",(E1656*C1656+F1656*D1656)/(C1656+D1656)))</f>
        <v/>
      </c>
      <c r="H1656" s="59"/>
      <c r="I1656" s="60">
        <f>IF(OR(H1656="",E1656="",C1656="",D1656=""),"",IF(C1656+D1656=0,"",(H1656*D1656+E1656*C1656)/(C1656+D1656)))</f>
        <v/>
      </c>
      <c r="J1656" s="59"/>
      <c r="K1656" s="61">
        <f>IF(OR(J1656="",I1656=""),"",J1656-I1656)</f>
        <v/>
      </c>
      <c r="L1656" s="61">
        <f>IF(OR(J1656="",G1656=""),"",J1656-G1656)</f>
        <v/>
      </c>
      <c r="M1656" s="59"/>
      <c r="N1656" s="59"/>
      <c r="O1656" s="59"/>
      <c r="P1656" s="59"/>
      <c r="Q1656" s="59"/>
      <c r="R1656" s="60">
        <f>IF(AND(P1656="",Q1656=""),"",N(P1656)+N(Q1656))</f>
        <v/>
      </c>
      <c r="S1656" s="59"/>
      <c r="T1656" s="59"/>
      <c r="U1656" s="62">
        <f>IF(OR(R1656="",S1656="",T1656=""),"",IF(S1656+T1656=0,"",R1656/(S1656+T1656)))</f>
        <v/>
      </c>
      <c r="V1656" s="63"/>
      <c r="W1656" s="64"/>
      <c r="X1656" s="63"/>
    </row>
    <row r="1657" spans="2:24">
      <c r="B1657" s="58"/>
      <c r="C1657" s="59"/>
      <c r="D1657" s="59"/>
      <c r="E1657" s="59"/>
      <c r="F1657" s="59"/>
      <c r="G1657" s="60">
        <f>IF(OR(E1657="",F1657="",C1657="",D1657=""),"",IF(C1657+D1657=0,"",(E1657*C1657+F1657*D1657)/(C1657+D1657)))</f>
        <v/>
      </c>
      <c r="H1657" s="59"/>
      <c r="I1657" s="60">
        <f>IF(OR(H1657="",E1657="",C1657="",D1657=""),"",IF(C1657+D1657=0,"",(H1657*D1657+E1657*C1657)/(C1657+D1657)))</f>
        <v/>
      </c>
      <c r="J1657" s="59"/>
      <c r="K1657" s="61">
        <f>IF(OR(J1657="",I1657=""),"",J1657-I1657)</f>
        <v/>
      </c>
      <c r="L1657" s="61">
        <f>IF(OR(J1657="",G1657=""),"",J1657-G1657)</f>
        <v/>
      </c>
      <c r="M1657" s="59"/>
      <c r="N1657" s="59"/>
      <c r="O1657" s="59"/>
      <c r="P1657" s="59"/>
      <c r="Q1657" s="59"/>
      <c r="R1657" s="60">
        <f>IF(AND(P1657="",Q1657=""),"",N(P1657)+N(Q1657))</f>
        <v/>
      </c>
      <c r="S1657" s="59"/>
      <c r="T1657" s="59"/>
      <c r="U1657" s="62">
        <f>IF(OR(R1657="",S1657="",T1657=""),"",IF(S1657+T1657=0,"",R1657/(S1657+T1657)))</f>
        <v/>
      </c>
      <c r="V1657" s="63"/>
      <c r="W1657" s="64"/>
      <c r="X1657" s="63"/>
    </row>
    <row r="1658" spans="2:24">
      <c r="B1658" s="58"/>
      <c r="C1658" s="59"/>
      <c r="D1658" s="59"/>
      <c r="E1658" s="59"/>
      <c r="F1658" s="59"/>
      <c r="G1658" s="60">
        <f>IF(OR(E1658="",F1658="",C1658="",D1658=""),"",IF(C1658+D1658=0,"",(E1658*C1658+F1658*D1658)/(C1658+D1658)))</f>
        <v/>
      </c>
      <c r="H1658" s="59"/>
      <c r="I1658" s="60">
        <f>IF(OR(H1658="",E1658="",C1658="",D1658=""),"",IF(C1658+D1658=0,"",(H1658*D1658+E1658*C1658)/(C1658+D1658)))</f>
        <v/>
      </c>
      <c r="J1658" s="59"/>
      <c r="K1658" s="61">
        <f>IF(OR(J1658="",I1658=""),"",J1658-I1658)</f>
        <v/>
      </c>
      <c r="L1658" s="61">
        <f>IF(OR(J1658="",G1658=""),"",J1658-G1658)</f>
        <v/>
      </c>
      <c r="M1658" s="59"/>
      <c r="N1658" s="59"/>
      <c r="O1658" s="59"/>
      <c r="P1658" s="59"/>
      <c r="Q1658" s="59"/>
      <c r="R1658" s="60">
        <f>IF(AND(P1658="",Q1658=""),"",N(P1658)+N(Q1658))</f>
        <v/>
      </c>
      <c r="S1658" s="59"/>
      <c r="T1658" s="59"/>
      <c r="U1658" s="62">
        <f>IF(OR(R1658="",S1658="",T1658=""),"",IF(S1658+T1658=0,"",R1658/(S1658+T1658)))</f>
        <v/>
      </c>
      <c r="V1658" s="63"/>
      <c r="W1658" s="64"/>
      <c r="X1658" s="63"/>
    </row>
    <row r="1659" spans="2:24">
      <c r="B1659" s="58"/>
      <c r="C1659" s="59"/>
      <c r="D1659" s="59"/>
      <c r="E1659" s="59"/>
      <c r="F1659" s="59"/>
      <c r="G1659" s="60">
        <f>IF(OR(E1659="",F1659="",C1659="",D1659=""),"",IF(C1659+D1659=0,"",(E1659*C1659+F1659*D1659)/(C1659+D1659)))</f>
        <v/>
      </c>
      <c r="H1659" s="59"/>
      <c r="I1659" s="60">
        <f>IF(OR(H1659="",E1659="",C1659="",D1659=""),"",IF(C1659+D1659=0,"",(H1659*D1659+E1659*C1659)/(C1659+D1659)))</f>
        <v/>
      </c>
      <c r="J1659" s="59"/>
      <c r="K1659" s="61">
        <f>IF(OR(J1659="",I1659=""),"",J1659-I1659)</f>
        <v/>
      </c>
      <c r="L1659" s="61">
        <f>IF(OR(J1659="",G1659=""),"",J1659-G1659)</f>
        <v/>
      </c>
      <c r="M1659" s="59"/>
      <c r="N1659" s="59"/>
      <c r="O1659" s="59"/>
      <c r="P1659" s="59"/>
      <c r="Q1659" s="59"/>
      <c r="R1659" s="60">
        <f>IF(AND(P1659="",Q1659=""),"",N(P1659)+N(Q1659))</f>
        <v/>
      </c>
      <c r="S1659" s="59"/>
      <c r="T1659" s="59"/>
      <c r="U1659" s="62">
        <f>IF(OR(R1659="",S1659="",T1659=""),"",IF(S1659+T1659=0,"",R1659/(S1659+T1659)))</f>
        <v/>
      </c>
      <c r="V1659" s="63"/>
      <c r="W1659" s="64"/>
      <c r="X1659" s="63"/>
    </row>
    <row r="1660" spans="2:24">
      <c r="B1660" s="58"/>
      <c r="C1660" s="59"/>
      <c r="D1660" s="59"/>
      <c r="E1660" s="59"/>
      <c r="F1660" s="59"/>
      <c r="G1660" s="60">
        <f>IF(OR(E1660="",F1660="",C1660="",D1660=""),"",IF(C1660+D1660=0,"",(E1660*C1660+F1660*D1660)/(C1660+D1660)))</f>
        <v/>
      </c>
      <c r="H1660" s="59"/>
      <c r="I1660" s="60">
        <f>IF(OR(H1660="",E1660="",C1660="",D1660=""),"",IF(C1660+D1660=0,"",(H1660*D1660+E1660*C1660)/(C1660+D1660)))</f>
        <v/>
      </c>
      <c r="J1660" s="59"/>
      <c r="K1660" s="61">
        <f>IF(OR(J1660="",I1660=""),"",J1660-I1660)</f>
        <v/>
      </c>
      <c r="L1660" s="61">
        <f>IF(OR(J1660="",G1660=""),"",J1660-G1660)</f>
        <v/>
      </c>
      <c r="M1660" s="59"/>
      <c r="N1660" s="59"/>
      <c r="O1660" s="59"/>
      <c r="P1660" s="59"/>
      <c r="Q1660" s="59"/>
      <c r="R1660" s="60">
        <f>IF(AND(P1660="",Q1660=""),"",N(P1660)+N(Q1660))</f>
        <v/>
      </c>
      <c r="S1660" s="59"/>
      <c r="T1660" s="59"/>
      <c r="U1660" s="62">
        <f>IF(OR(R1660="",S1660="",T1660=""),"",IF(S1660+T1660=0,"",R1660/(S1660+T1660)))</f>
        <v/>
      </c>
      <c r="V1660" s="63"/>
      <c r="W1660" s="64"/>
      <c r="X1660" s="63"/>
    </row>
    <row r="1661" spans="2:24">
      <c r="B1661" s="58"/>
      <c r="C1661" s="59"/>
      <c r="D1661" s="59"/>
      <c r="E1661" s="59"/>
      <c r="F1661" s="59"/>
      <c r="G1661" s="60">
        <f>IF(OR(E1661="",F1661="",C1661="",D1661=""),"",IF(C1661+D1661=0,"",(E1661*C1661+F1661*D1661)/(C1661+D1661)))</f>
        <v/>
      </c>
      <c r="H1661" s="59"/>
      <c r="I1661" s="60">
        <f>IF(OR(H1661="",E1661="",C1661="",D1661=""),"",IF(C1661+D1661=0,"",(H1661*D1661+E1661*C1661)/(C1661+D1661)))</f>
        <v/>
      </c>
      <c r="J1661" s="59"/>
      <c r="K1661" s="61">
        <f>IF(OR(J1661="",I1661=""),"",J1661-I1661)</f>
        <v/>
      </c>
      <c r="L1661" s="61">
        <f>IF(OR(J1661="",G1661=""),"",J1661-G1661)</f>
        <v/>
      </c>
      <c r="M1661" s="59"/>
      <c r="N1661" s="59"/>
      <c r="O1661" s="59"/>
      <c r="P1661" s="59"/>
      <c r="Q1661" s="59"/>
      <c r="R1661" s="60">
        <f>IF(AND(P1661="",Q1661=""),"",N(P1661)+N(Q1661))</f>
        <v/>
      </c>
      <c r="S1661" s="59"/>
      <c r="T1661" s="59"/>
      <c r="U1661" s="62">
        <f>IF(OR(R1661="",S1661="",T1661=""),"",IF(S1661+T1661=0,"",R1661/(S1661+T1661)))</f>
        <v/>
      </c>
      <c r="V1661" s="63"/>
      <c r="W1661" s="64"/>
      <c r="X1661" s="63"/>
    </row>
    <row r="1662" spans="2:24">
      <c r="B1662" s="58"/>
      <c r="C1662" s="59"/>
      <c r="D1662" s="59"/>
      <c r="E1662" s="59"/>
      <c r="F1662" s="59"/>
      <c r="G1662" s="60">
        <f>IF(OR(E1662="",F1662="",C1662="",D1662=""),"",IF(C1662+D1662=0,"",(E1662*C1662+F1662*D1662)/(C1662+D1662)))</f>
        <v/>
      </c>
      <c r="H1662" s="59"/>
      <c r="I1662" s="60">
        <f>IF(OR(H1662="",E1662="",C1662="",D1662=""),"",IF(C1662+D1662=0,"",(H1662*D1662+E1662*C1662)/(C1662+D1662)))</f>
        <v/>
      </c>
      <c r="J1662" s="59"/>
      <c r="K1662" s="61">
        <f>IF(OR(J1662="",I1662=""),"",J1662-I1662)</f>
        <v/>
      </c>
      <c r="L1662" s="61">
        <f>IF(OR(J1662="",G1662=""),"",J1662-G1662)</f>
        <v/>
      </c>
      <c r="M1662" s="59"/>
      <c r="N1662" s="59"/>
      <c r="O1662" s="59"/>
      <c r="P1662" s="59"/>
      <c r="Q1662" s="59"/>
      <c r="R1662" s="60">
        <f>IF(AND(P1662="",Q1662=""),"",N(P1662)+N(Q1662))</f>
        <v/>
      </c>
      <c r="S1662" s="59"/>
      <c r="T1662" s="59"/>
      <c r="U1662" s="62">
        <f>IF(OR(R1662="",S1662="",T1662=""),"",IF(S1662+T1662=0,"",R1662/(S1662+T1662)))</f>
        <v/>
      </c>
      <c r="V1662" s="63"/>
      <c r="W1662" s="64"/>
      <c r="X1662" s="63"/>
    </row>
    <row r="1663" spans="2:24">
      <c r="B1663" s="58"/>
      <c r="C1663" s="59"/>
      <c r="D1663" s="59"/>
      <c r="E1663" s="59"/>
      <c r="F1663" s="59"/>
      <c r="G1663" s="60">
        <f>IF(OR(E1663="",F1663="",C1663="",D1663=""),"",IF(C1663+D1663=0,"",(E1663*C1663+F1663*D1663)/(C1663+D1663)))</f>
        <v/>
      </c>
      <c r="H1663" s="59"/>
      <c r="I1663" s="60">
        <f>IF(OR(H1663="",E1663="",C1663="",D1663=""),"",IF(C1663+D1663=0,"",(H1663*D1663+E1663*C1663)/(C1663+D1663)))</f>
        <v/>
      </c>
      <c r="J1663" s="59"/>
      <c r="K1663" s="61">
        <f>IF(OR(J1663="",I1663=""),"",J1663-I1663)</f>
        <v/>
      </c>
      <c r="L1663" s="61">
        <f>IF(OR(J1663="",G1663=""),"",J1663-G1663)</f>
        <v/>
      </c>
      <c r="M1663" s="59"/>
      <c r="N1663" s="59"/>
      <c r="O1663" s="59"/>
      <c r="P1663" s="59"/>
      <c r="Q1663" s="59"/>
      <c r="R1663" s="60">
        <f>IF(AND(P1663="",Q1663=""),"",N(P1663)+N(Q1663))</f>
        <v/>
      </c>
      <c r="S1663" s="59"/>
      <c r="T1663" s="59"/>
      <c r="U1663" s="62">
        <f>IF(OR(R1663="",S1663="",T1663=""),"",IF(S1663+T1663=0,"",R1663/(S1663+T1663)))</f>
        <v/>
      </c>
      <c r="V1663" s="63"/>
      <c r="W1663" s="64"/>
      <c r="X1663" s="63"/>
    </row>
    <row r="1664" spans="2:24">
      <c r="B1664" s="58"/>
      <c r="C1664" s="59"/>
      <c r="D1664" s="59"/>
      <c r="E1664" s="59"/>
      <c r="F1664" s="59"/>
      <c r="G1664" s="60">
        <f>IF(OR(E1664="",F1664="",C1664="",D1664=""),"",IF(C1664+D1664=0,"",(E1664*C1664+F1664*D1664)/(C1664+D1664)))</f>
        <v/>
      </c>
      <c r="H1664" s="59"/>
      <c r="I1664" s="60">
        <f>IF(OR(H1664="",E1664="",C1664="",D1664=""),"",IF(C1664+D1664=0,"",(H1664*D1664+E1664*C1664)/(C1664+D1664)))</f>
        <v/>
      </c>
      <c r="J1664" s="59"/>
      <c r="K1664" s="61">
        <f>IF(OR(J1664="",I1664=""),"",J1664-I1664)</f>
        <v/>
      </c>
      <c r="L1664" s="61">
        <f>IF(OR(J1664="",G1664=""),"",J1664-G1664)</f>
        <v/>
      </c>
      <c r="M1664" s="59"/>
      <c r="N1664" s="59"/>
      <c r="O1664" s="59"/>
      <c r="P1664" s="59"/>
      <c r="Q1664" s="59"/>
      <c r="R1664" s="60">
        <f>IF(AND(P1664="",Q1664=""),"",N(P1664)+N(Q1664))</f>
        <v/>
      </c>
      <c r="S1664" s="59"/>
      <c r="T1664" s="59"/>
      <c r="U1664" s="62">
        <f>IF(OR(R1664="",S1664="",T1664=""),"",IF(S1664+T1664=0,"",R1664/(S1664+T1664)))</f>
        <v/>
      </c>
      <c r="V1664" s="63"/>
      <c r="W1664" s="64"/>
      <c r="X1664" s="63"/>
    </row>
    <row r="1665" spans="2:24">
      <c r="B1665" s="58"/>
      <c r="C1665" s="59"/>
      <c r="D1665" s="59"/>
      <c r="E1665" s="59"/>
      <c r="F1665" s="59"/>
      <c r="G1665" s="60">
        <f>IF(OR(E1665="",F1665="",C1665="",D1665=""),"",IF(C1665+D1665=0,"",(E1665*C1665+F1665*D1665)/(C1665+D1665)))</f>
        <v/>
      </c>
      <c r="H1665" s="59"/>
      <c r="I1665" s="60">
        <f>IF(OR(H1665="",E1665="",C1665="",D1665=""),"",IF(C1665+D1665=0,"",(H1665*D1665+E1665*C1665)/(C1665+D1665)))</f>
        <v/>
      </c>
      <c r="J1665" s="59"/>
      <c r="K1665" s="61">
        <f>IF(OR(J1665="",I1665=""),"",J1665-I1665)</f>
        <v/>
      </c>
      <c r="L1665" s="61">
        <f>IF(OR(J1665="",G1665=""),"",J1665-G1665)</f>
        <v/>
      </c>
      <c r="M1665" s="59"/>
      <c r="N1665" s="59"/>
      <c r="O1665" s="59"/>
      <c r="P1665" s="59"/>
      <c r="Q1665" s="59"/>
      <c r="R1665" s="60">
        <f>IF(AND(P1665="",Q1665=""),"",N(P1665)+N(Q1665))</f>
        <v/>
      </c>
      <c r="S1665" s="59"/>
      <c r="T1665" s="59"/>
      <c r="U1665" s="62">
        <f>IF(OR(R1665="",S1665="",T1665=""),"",IF(S1665+T1665=0,"",R1665/(S1665+T1665)))</f>
        <v/>
      </c>
      <c r="V1665" s="63"/>
      <c r="W1665" s="64"/>
      <c r="X1665" s="63"/>
    </row>
    <row r="1666" spans="2:24">
      <c r="B1666" s="58"/>
      <c r="C1666" s="59"/>
      <c r="D1666" s="59"/>
      <c r="E1666" s="59"/>
      <c r="F1666" s="59"/>
      <c r="G1666" s="60">
        <f>IF(OR(E1666="",F1666="",C1666="",D1666=""),"",IF(C1666+D1666=0,"",(E1666*C1666+F1666*D1666)/(C1666+D1666)))</f>
        <v/>
      </c>
      <c r="H1666" s="59"/>
      <c r="I1666" s="60">
        <f>IF(OR(H1666="",E1666="",C1666="",D1666=""),"",IF(C1666+D1666=0,"",(H1666*D1666+E1666*C1666)/(C1666+D1666)))</f>
        <v/>
      </c>
      <c r="J1666" s="59"/>
      <c r="K1666" s="61">
        <f>IF(OR(J1666="",I1666=""),"",J1666-I1666)</f>
        <v/>
      </c>
      <c r="L1666" s="61">
        <f>IF(OR(J1666="",G1666=""),"",J1666-G1666)</f>
        <v/>
      </c>
      <c r="M1666" s="59"/>
      <c r="N1666" s="59"/>
      <c r="O1666" s="59"/>
      <c r="P1666" s="59"/>
      <c r="Q1666" s="59"/>
      <c r="R1666" s="60">
        <f>IF(AND(P1666="",Q1666=""),"",N(P1666)+N(Q1666))</f>
        <v/>
      </c>
      <c r="S1666" s="59"/>
      <c r="T1666" s="59"/>
      <c r="U1666" s="62">
        <f>IF(OR(R1666="",S1666="",T1666=""),"",IF(S1666+T1666=0,"",R1666/(S1666+T1666)))</f>
        <v/>
      </c>
      <c r="V1666" s="63"/>
      <c r="W1666" s="64"/>
      <c r="X1666" s="63"/>
    </row>
    <row r="1667" spans="2:24">
      <c r="B1667" s="58"/>
      <c r="C1667" s="59"/>
      <c r="D1667" s="59"/>
      <c r="E1667" s="59"/>
      <c r="F1667" s="59"/>
      <c r="G1667" s="60">
        <f>IF(OR(E1667="",F1667="",C1667="",D1667=""),"",IF(C1667+D1667=0,"",(E1667*C1667+F1667*D1667)/(C1667+D1667)))</f>
        <v/>
      </c>
      <c r="H1667" s="59"/>
      <c r="I1667" s="60">
        <f>IF(OR(H1667="",E1667="",C1667="",D1667=""),"",IF(C1667+D1667=0,"",(H1667*D1667+E1667*C1667)/(C1667+D1667)))</f>
        <v/>
      </c>
      <c r="J1667" s="59"/>
      <c r="K1667" s="61">
        <f>IF(OR(J1667="",I1667=""),"",J1667-I1667)</f>
        <v/>
      </c>
      <c r="L1667" s="61">
        <f>IF(OR(J1667="",G1667=""),"",J1667-G1667)</f>
        <v/>
      </c>
      <c r="M1667" s="59"/>
      <c r="N1667" s="59"/>
      <c r="O1667" s="59"/>
      <c r="P1667" s="59"/>
      <c r="Q1667" s="59"/>
      <c r="R1667" s="60">
        <f>IF(AND(P1667="",Q1667=""),"",N(P1667)+N(Q1667))</f>
        <v/>
      </c>
      <c r="S1667" s="59"/>
      <c r="T1667" s="59"/>
      <c r="U1667" s="62">
        <f>IF(OR(R1667="",S1667="",T1667=""),"",IF(S1667+T1667=0,"",R1667/(S1667+T1667)))</f>
        <v/>
      </c>
      <c r="V1667" s="63"/>
      <c r="W1667" s="64"/>
      <c r="X1667" s="63"/>
    </row>
    <row r="1668" spans="2:24">
      <c r="B1668" s="58"/>
      <c r="C1668" s="59"/>
      <c r="D1668" s="59"/>
      <c r="E1668" s="59"/>
      <c r="F1668" s="59"/>
      <c r="G1668" s="60">
        <f>IF(OR(E1668="",F1668="",C1668="",D1668=""),"",IF(C1668+D1668=0,"",(E1668*C1668+F1668*D1668)/(C1668+D1668)))</f>
        <v/>
      </c>
      <c r="H1668" s="59"/>
      <c r="I1668" s="60">
        <f>IF(OR(H1668="",E1668="",C1668="",D1668=""),"",IF(C1668+D1668=0,"",(H1668*D1668+E1668*C1668)/(C1668+D1668)))</f>
        <v/>
      </c>
      <c r="J1668" s="59"/>
      <c r="K1668" s="61">
        <f>IF(OR(J1668="",I1668=""),"",J1668-I1668)</f>
        <v/>
      </c>
      <c r="L1668" s="61">
        <f>IF(OR(J1668="",G1668=""),"",J1668-G1668)</f>
        <v/>
      </c>
      <c r="M1668" s="59"/>
      <c r="N1668" s="59"/>
      <c r="O1668" s="59"/>
      <c r="P1668" s="59"/>
      <c r="Q1668" s="59"/>
      <c r="R1668" s="60">
        <f>IF(AND(P1668="",Q1668=""),"",N(P1668)+N(Q1668))</f>
        <v/>
      </c>
      <c r="S1668" s="59"/>
      <c r="T1668" s="59"/>
      <c r="U1668" s="62">
        <f>IF(OR(R1668="",S1668="",T1668=""),"",IF(S1668+T1668=0,"",R1668/(S1668+T1668)))</f>
        <v/>
      </c>
      <c r="V1668" s="63"/>
      <c r="W1668" s="64"/>
      <c r="X1668" s="63"/>
    </row>
    <row r="1669" spans="2:24">
      <c r="B1669" s="58"/>
      <c r="C1669" s="59"/>
      <c r="D1669" s="59"/>
      <c r="E1669" s="59"/>
      <c r="F1669" s="59"/>
      <c r="G1669" s="60">
        <f>IF(OR(E1669="",F1669="",C1669="",D1669=""),"",IF(C1669+D1669=0,"",(E1669*C1669+F1669*D1669)/(C1669+D1669)))</f>
        <v/>
      </c>
      <c r="H1669" s="59"/>
      <c r="I1669" s="60">
        <f>IF(OR(H1669="",E1669="",C1669="",D1669=""),"",IF(C1669+D1669=0,"",(H1669*D1669+E1669*C1669)/(C1669+D1669)))</f>
        <v/>
      </c>
      <c r="J1669" s="59"/>
      <c r="K1669" s="61">
        <f>IF(OR(J1669="",I1669=""),"",J1669-I1669)</f>
        <v/>
      </c>
      <c r="L1669" s="61">
        <f>IF(OR(J1669="",G1669=""),"",J1669-G1669)</f>
        <v/>
      </c>
      <c r="M1669" s="59"/>
      <c r="N1669" s="59"/>
      <c r="O1669" s="59"/>
      <c r="P1669" s="59"/>
      <c r="Q1669" s="59"/>
      <c r="R1669" s="60">
        <f>IF(AND(P1669="",Q1669=""),"",N(P1669)+N(Q1669))</f>
        <v/>
      </c>
      <c r="S1669" s="59"/>
      <c r="T1669" s="59"/>
      <c r="U1669" s="62">
        <f>IF(OR(R1669="",S1669="",T1669=""),"",IF(S1669+T1669=0,"",R1669/(S1669+T1669)))</f>
        <v/>
      </c>
      <c r="V1669" s="63"/>
      <c r="W1669" s="64"/>
      <c r="X1669" s="63"/>
    </row>
    <row r="1670" spans="2:24">
      <c r="B1670" s="58"/>
      <c r="C1670" s="59"/>
      <c r="D1670" s="59"/>
      <c r="E1670" s="59"/>
      <c r="F1670" s="59"/>
      <c r="G1670" s="60">
        <f>IF(OR(E1670="",F1670="",C1670="",D1670=""),"",IF(C1670+D1670=0,"",(E1670*C1670+F1670*D1670)/(C1670+D1670)))</f>
        <v/>
      </c>
      <c r="H1670" s="59"/>
      <c r="I1670" s="60">
        <f>IF(OR(H1670="",E1670="",C1670="",D1670=""),"",IF(C1670+D1670=0,"",(H1670*D1670+E1670*C1670)/(C1670+D1670)))</f>
        <v/>
      </c>
      <c r="J1670" s="59"/>
      <c r="K1670" s="61">
        <f>IF(OR(J1670="",I1670=""),"",J1670-I1670)</f>
        <v/>
      </c>
      <c r="L1670" s="61">
        <f>IF(OR(J1670="",G1670=""),"",J1670-G1670)</f>
        <v/>
      </c>
      <c r="M1670" s="59"/>
      <c r="N1670" s="59"/>
      <c r="O1670" s="59"/>
      <c r="P1670" s="59"/>
      <c r="Q1670" s="59"/>
      <c r="R1670" s="60">
        <f>IF(AND(P1670="",Q1670=""),"",N(P1670)+N(Q1670))</f>
        <v/>
      </c>
      <c r="S1670" s="59"/>
      <c r="T1670" s="59"/>
      <c r="U1670" s="62">
        <f>IF(OR(R1670="",S1670="",T1670=""),"",IF(S1670+T1670=0,"",R1670/(S1670+T1670)))</f>
        <v/>
      </c>
      <c r="V1670" s="63"/>
      <c r="W1670" s="64"/>
      <c r="X1670" s="63"/>
    </row>
    <row r="1671" spans="2:24">
      <c r="B1671" s="58"/>
      <c r="C1671" s="59"/>
      <c r="D1671" s="59"/>
      <c r="E1671" s="59"/>
      <c r="F1671" s="59"/>
      <c r="G1671" s="60">
        <f>IF(OR(E1671="",F1671="",C1671="",D1671=""),"",IF(C1671+D1671=0,"",(E1671*C1671+F1671*D1671)/(C1671+D1671)))</f>
        <v/>
      </c>
      <c r="H1671" s="59"/>
      <c r="I1671" s="60">
        <f>IF(OR(H1671="",E1671="",C1671="",D1671=""),"",IF(C1671+D1671=0,"",(H1671*D1671+E1671*C1671)/(C1671+D1671)))</f>
        <v/>
      </c>
      <c r="J1671" s="59"/>
      <c r="K1671" s="61">
        <f>IF(OR(J1671="",I1671=""),"",J1671-I1671)</f>
        <v/>
      </c>
      <c r="L1671" s="61">
        <f>IF(OR(J1671="",G1671=""),"",J1671-G1671)</f>
        <v/>
      </c>
      <c r="M1671" s="59"/>
      <c r="N1671" s="59"/>
      <c r="O1671" s="59"/>
      <c r="P1671" s="59"/>
      <c r="Q1671" s="59"/>
      <c r="R1671" s="60">
        <f>IF(AND(P1671="",Q1671=""),"",N(P1671)+N(Q1671))</f>
        <v/>
      </c>
      <c r="S1671" s="59"/>
      <c r="T1671" s="59"/>
      <c r="U1671" s="62">
        <f>IF(OR(R1671="",S1671="",T1671=""),"",IF(S1671+T1671=0,"",R1671/(S1671+T1671)))</f>
        <v/>
      </c>
      <c r="V1671" s="63"/>
      <c r="W1671" s="64"/>
      <c r="X1671" s="63"/>
    </row>
    <row r="1672" spans="2:24">
      <c r="B1672" s="58"/>
      <c r="C1672" s="59"/>
      <c r="D1672" s="59"/>
      <c r="E1672" s="59"/>
      <c r="F1672" s="59"/>
      <c r="G1672" s="60">
        <f>IF(OR(E1672="",F1672="",C1672="",D1672=""),"",IF(C1672+D1672=0,"",(E1672*C1672+F1672*D1672)/(C1672+D1672)))</f>
        <v/>
      </c>
      <c r="H1672" s="59"/>
      <c r="I1672" s="60">
        <f>IF(OR(H1672="",E1672="",C1672="",D1672=""),"",IF(C1672+D1672=0,"",(H1672*D1672+E1672*C1672)/(C1672+D1672)))</f>
        <v/>
      </c>
      <c r="J1672" s="59"/>
      <c r="K1672" s="61">
        <f>IF(OR(J1672="",I1672=""),"",J1672-I1672)</f>
        <v/>
      </c>
      <c r="L1672" s="61">
        <f>IF(OR(J1672="",G1672=""),"",J1672-G1672)</f>
        <v/>
      </c>
      <c r="M1672" s="59"/>
      <c r="N1672" s="59"/>
      <c r="O1672" s="59"/>
      <c r="P1672" s="59"/>
      <c r="Q1672" s="59"/>
      <c r="R1672" s="60">
        <f>IF(AND(P1672="",Q1672=""),"",N(P1672)+N(Q1672))</f>
        <v/>
      </c>
      <c r="S1672" s="59"/>
      <c r="T1672" s="59"/>
      <c r="U1672" s="62">
        <f>IF(OR(R1672="",S1672="",T1672=""),"",IF(S1672+T1672=0,"",R1672/(S1672+T1672)))</f>
        <v/>
      </c>
      <c r="V1672" s="63"/>
      <c r="W1672" s="64"/>
      <c r="X1672" s="63"/>
    </row>
    <row r="1673" spans="2:24">
      <c r="B1673" s="58"/>
      <c r="C1673" s="59"/>
      <c r="D1673" s="59"/>
      <c r="E1673" s="59"/>
      <c r="F1673" s="59"/>
      <c r="G1673" s="60">
        <f>IF(OR(E1673="",F1673="",C1673="",D1673=""),"",IF(C1673+D1673=0,"",(E1673*C1673+F1673*D1673)/(C1673+D1673)))</f>
        <v/>
      </c>
      <c r="H1673" s="59"/>
      <c r="I1673" s="60">
        <f>IF(OR(H1673="",E1673="",C1673="",D1673=""),"",IF(C1673+D1673=0,"",(H1673*D1673+E1673*C1673)/(C1673+D1673)))</f>
        <v/>
      </c>
      <c r="J1673" s="59"/>
      <c r="K1673" s="61">
        <f>IF(OR(J1673="",I1673=""),"",J1673-I1673)</f>
        <v/>
      </c>
      <c r="L1673" s="61">
        <f>IF(OR(J1673="",G1673=""),"",J1673-G1673)</f>
        <v/>
      </c>
      <c r="M1673" s="59"/>
      <c r="N1673" s="59"/>
      <c r="O1673" s="59"/>
      <c r="P1673" s="59"/>
      <c r="Q1673" s="59"/>
      <c r="R1673" s="60">
        <f>IF(AND(P1673="",Q1673=""),"",N(P1673)+N(Q1673))</f>
        <v/>
      </c>
      <c r="S1673" s="59"/>
      <c r="T1673" s="59"/>
      <c r="U1673" s="62">
        <f>IF(OR(R1673="",S1673="",T1673=""),"",IF(S1673+T1673=0,"",R1673/(S1673+T1673)))</f>
        <v/>
      </c>
      <c r="V1673" s="63"/>
      <c r="W1673" s="64"/>
      <c r="X1673" s="63"/>
    </row>
    <row r="1674" spans="2:24">
      <c r="B1674" s="58"/>
      <c r="C1674" s="59"/>
      <c r="D1674" s="59"/>
      <c r="E1674" s="59"/>
      <c r="F1674" s="59"/>
      <c r="G1674" s="60">
        <f>IF(OR(E1674="",F1674="",C1674="",D1674=""),"",IF(C1674+D1674=0,"",(E1674*C1674+F1674*D1674)/(C1674+D1674)))</f>
        <v/>
      </c>
      <c r="H1674" s="59"/>
      <c r="I1674" s="60">
        <f>IF(OR(H1674="",E1674="",C1674="",D1674=""),"",IF(C1674+D1674=0,"",(H1674*D1674+E1674*C1674)/(C1674+D1674)))</f>
        <v/>
      </c>
      <c r="J1674" s="59"/>
      <c r="K1674" s="61">
        <f>IF(OR(J1674="",I1674=""),"",J1674-I1674)</f>
        <v/>
      </c>
      <c r="L1674" s="61">
        <f>IF(OR(J1674="",G1674=""),"",J1674-G1674)</f>
        <v/>
      </c>
      <c r="M1674" s="59"/>
      <c r="N1674" s="59"/>
      <c r="O1674" s="59"/>
      <c r="P1674" s="59"/>
      <c r="Q1674" s="59"/>
      <c r="R1674" s="60">
        <f>IF(AND(P1674="",Q1674=""),"",N(P1674)+N(Q1674))</f>
        <v/>
      </c>
      <c r="S1674" s="59"/>
      <c r="T1674" s="59"/>
      <c r="U1674" s="62">
        <f>IF(OR(R1674="",S1674="",T1674=""),"",IF(S1674+T1674=0,"",R1674/(S1674+T1674)))</f>
        <v/>
      </c>
      <c r="V1674" s="63"/>
      <c r="W1674" s="64"/>
      <c r="X1674" s="63"/>
    </row>
    <row r="1675" spans="2:24">
      <c r="B1675" s="58"/>
      <c r="C1675" s="59"/>
      <c r="D1675" s="59"/>
      <c r="E1675" s="59"/>
      <c r="F1675" s="59"/>
      <c r="G1675" s="60">
        <f>IF(OR(E1675="",F1675="",C1675="",D1675=""),"",IF(C1675+D1675=0,"",(E1675*C1675+F1675*D1675)/(C1675+D1675)))</f>
        <v/>
      </c>
      <c r="H1675" s="59"/>
      <c r="I1675" s="60">
        <f>IF(OR(H1675="",E1675="",C1675="",D1675=""),"",IF(C1675+D1675=0,"",(H1675*D1675+E1675*C1675)/(C1675+D1675)))</f>
        <v/>
      </c>
      <c r="J1675" s="59"/>
      <c r="K1675" s="61">
        <f>IF(OR(J1675="",I1675=""),"",J1675-I1675)</f>
        <v/>
      </c>
      <c r="L1675" s="61">
        <f>IF(OR(J1675="",G1675=""),"",J1675-G1675)</f>
        <v/>
      </c>
      <c r="M1675" s="59"/>
      <c r="N1675" s="59"/>
      <c r="O1675" s="59"/>
      <c r="P1675" s="59"/>
      <c r="Q1675" s="59"/>
      <c r="R1675" s="60">
        <f>IF(AND(P1675="",Q1675=""),"",N(P1675)+N(Q1675))</f>
        <v/>
      </c>
      <c r="S1675" s="59"/>
      <c r="T1675" s="59"/>
      <c r="U1675" s="62">
        <f>IF(OR(R1675="",S1675="",T1675=""),"",IF(S1675+T1675=0,"",R1675/(S1675+T1675)))</f>
        <v/>
      </c>
      <c r="V1675" s="63"/>
      <c r="W1675" s="64"/>
      <c r="X1675" s="63"/>
    </row>
    <row r="1676" spans="2:24">
      <c r="B1676" s="58"/>
      <c r="C1676" s="59"/>
      <c r="D1676" s="59"/>
      <c r="E1676" s="59"/>
      <c r="F1676" s="59"/>
      <c r="G1676" s="60">
        <f>IF(OR(E1676="",F1676="",C1676="",D1676=""),"",IF(C1676+D1676=0,"",(E1676*C1676+F1676*D1676)/(C1676+D1676)))</f>
        <v/>
      </c>
      <c r="H1676" s="59"/>
      <c r="I1676" s="60">
        <f>IF(OR(H1676="",E1676="",C1676="",D1676=""),"",IF(C1676+D1676=0,"",(H1676*D1676+E1676*C1676)/(C1676+D1676)))</f>
        <v/>
      </c>
      <c r="J1676" s="59"/>
      <c r="K1676" s="61">
        <f>IF(OR(J1676="",I1676=""),"",J1676-I1676)</f>
        <v/>
      </c>
      <c r="L1676" s="61">
        <f>IF(OR(J1676="",G1676=""),"",J1676-G1676)</f>
        <v/>
      </c>
      <c r="M1676" s="59"/>
      <c r="N1676" s="59"/>
      <c r="O1676" s="59"/>
      <c r="P1676" s="59"/>
      <c r="Q1676" s="59"/>
      <c r="R1676" s="60">
        <f>IF(AND(P1676="",Q1676=""),"",N(P1676)+N(Q1676))</f>
        <v/>
      </c>
      <c r="S1676" s="59"/>
      <c r="T1676" s="59"/>
      <c r="U1676" s="62">
        <f>IF(OR(R1676="",S1676="",T1676=""),"",IF(S1676+T1676=0,"",R1676/(S1676+T1676)))</f>
        <v/>
      </c>
      <c r="V1676" s="63"/>
      <c r="W1676" s="64"/>
      <c r="X1676" s="63"/>
    </row>
    <row r="1677" spans="2:24">
      <c r="B1677" s="58"/>
      <c r="C1677" s="59"/>
      <c r="D1677" s="59"/>
      <c r="E1677" s="59"/>
      <c r="F1677" s="59"/>
      <c r="G1677" s="60">
        <f>IF(OR(E1677="",F1677="",C1677="",D1677=""),"",IF(C1677+D1677=0,"",(E1677*C1677+F1677*D1677)/(C1677+D1677)))</f>
        <v/>
      </c>
      <c r="H1677" s="59"/>
      <c r="I1677" s="60">
        <f>IF(OR(H1677="",E1677="",C1677="",D1677=""),"",IF(C1677+D1677=0,"",(H1677*D1677+E1677*C1677)/(C1677+D1677)))</f>
        <v/>
      </c>
      <c r="J1677" s="59"/>
      <c r="K1677" s="61">
        <f>IF(OR(J1677="",I1677=""),"",J1677-I1677)</f>
        <v/>
      </c>
      <c r="L1677" s="61">
        <f>IF(OR(J1677="",G1677=""),"",J1677-G1677)</f>
        <v/>
      </c>
      <c r="M1677" s="59"/>
      <c r="N1677" s="59"/>
      <c r="O1677" s="59"/>
      <c r="P1677" s="59"/>
      <c r="Q1677" s="59"/>
      <c r="R1677" s="60">
        <f>IF(AND(P1677="",Q1677=""),"",N(P1677)+N(Q1677))</f>
        <v/>
      </c>
      <c r="S1677" s="59"/>
      <c r="T1677" s="59"/>
      <c r="U1677" s="62">
        <f>IF(OR(R1677="",S1677="",T1677=""),"",IF(S1677+T1677=0,"",R1677/(S1677+T1677)))</f>
        <v/>
      </c>
      <c r="V1677" s="63"/>
      <c r="W1677" s="64"/>
      <c r="X1677" s="63"/>
    </row>
    <row r="1678" spans="2:24">
      <c r="B1678" s="58"/>
      <c r="C1678" s="59"/>
      <c r="D1678" s="59"/>
      <c r="E1678" s="59"/>
      <c r="F1678" s="59"/>
      <c r="G1678" s="60">
        <f>IF(OR(E1678="",F1678="",C1678="",D1678=""),"",IF(C1678+D1678=0,"",(E1678*C1678+F1678*D1678)/(C1678+D1678)))</f>
        <v/>
      </c>
      <c r="H1678" s="59"/>
      <c r="I1678" s="60">
        <f>IF(OR(H1678="",E1678="",C1678="",D1678=""),"",IF(C1678+D1678=0,"",(H1678*D1678+E1678*C1678)/(C1678+D1678)))</f>
        <v/>
      </c>
      <c r="J1678" s="59"/>
      <c r="K1678" s="61">
        <f>IF(OR(J1678="",I1678=""),"",J1678-I1678)</f>
        <v/>
      </c>
      <c r="L1678" s="61">
        <f>IF(OR(J1678="",G1678=""),"",J1678-G1678)</f>
        <v/>
      </c>
      <c r="M1678" s="59"/>
      <c r="N1678" s="59"/>
      <c r="O1678" s="59"/>
      <c r="P1678" s="59"/>
      <c r="Q1678" s="59"/>
      <c r="R1678" s="60">
        <f>IF(AND(P1678="",Q1678=""),"",N(P1678)+N(Q1678))</f>
        <v/>
      </c>
      <c r="S1678" s="59"/>
      <c r="T1678" s="59"/>
      <c r="U1678" s="62">
        <f>IF(OR(R1678="",S1678="",T1678=""),"",IF(S1678+T1678=0,"",R1678/(S1678+T1678)))</f>
        <v/>
      </c>
      <c r="V1678" s="63"/>
      <c r="W1678" s="64"/>
      <c r="X1678" s="63"/>
    </row>
    <row r="1679" spans="2:24">
      <c r="B1679" s="58"/>
      <c r="C1679" s="59"/>
      <c r="D1679" s="59"/>
      <c r="E1679" s="59"/>
      <c r="F1679" s="59"/>
      <c r="G1679" s="60">
        <f>IF(OR(E1679="",F1679="",C1679="",D1679=""),"",IF(C1679+D1679=0,"",(E1679*C1679+F1679*D1679)/(C1679+D1679)))</f>
        <v/>
      </c>
      <c r="H1679" s="59"/>
      <c r="I1679" s="60">
        <f>IF(OR(H1679="",E1679="",C1679="",D1679=""),"",IF(C1679+D1679=0,"",(H1679*D1679+E1679*C1679)/(C1679+D1679)))</f>
        <v/>
      </c>
      <c r="J1679" s="59"/>
      <c r="K1679" s="61">
        <f>IF(OR(J1679="",I1679=""),"",J1679-I1679)</f>
        <v/>
      </c>
      <c r="L1679" s="61">
        <f>IF(OR(J1679="",G1679=""),"",J1679-G1679)</f>
        <v/>
      </c>
      <c r="M1679" s="59"/>
      <c r="N1679" s="59"/>
      <c r="O1679" s="59"/>
      <c r="P1679" s="59"/>
      <c r="Q1679" s="59"/>
      <c r="R1679" s="60">
        <f>IF(AND(P1679="",Q1679=""),"",N(P1679)+N(Q1679))</f>
        <v/>
      </c>
      <c r="S1679" s="59"/>
      <c r="T1679" s="59"/>
      <c r="U1679" s="62">
        <f>IF(OR(R1679="",S1679="",T1679=""),"",IF(S1679+T1679=0,"",R1679/(S1679+T1679)))</f>
        <v/>
      </c>
      <c r="V1679" s="63"/>
      <c r="W1679" s="64"/>
      <c r="X1679" s="63"/>
    </row>
    <row r="1680" spans="2:24">
      <c r="B1680" s="58"/>
      <c r="C1680" s="59"/>
      <c r="D1680" s="59"/>
      <c r="E1680" s="59"/>
      <c r="F1680" s="59"/>
      <c r="G1680" s="60">
        <f>IF(OR(E1680="",F1680="",C1680="",D1680=""),"",IF(C1680+D1680=0,"",(E1680*C1680+F1680*D1680)/(C1680+D1680)))</f>
        <v/>
      </c>
      <c r="H1680" s="59"/>
      <c r="I1680" s="60">
        <f>IF(OR(H1680="",E1680="",C1680="",D1680=""),"",IF(C1680+D1680=0,"",(H1680*D1680+E1680*C1680)/(C1680+D1680)))</f>
        <v/>
      </c>
      <c r="J1680" s="59"/>
      <c r="K1680" s="61">
        <f>IF(OR(J1680="",I1680=""),"",J1680-I1680)</f>
        <v/>
      </c>
      <c r="L1680" s="61">
        <f>IF(OR(J1680="",G1680=""),"",J1680-G1680)</f>
        <v/>
      </c>
      <c r="M1680" s="59"/>
      <c r="N1680" s="59"/>
      <c r="O1680" s="59"/>
      <c r="P1680" s="59"/>
      <c r="Q1680" s="59"/>
      <c r="R1680" s="60">
        <f>IF(AND(P1680="",Q1680=""),"",N(P1680)+N(Q1680))</f>
        <v/>
      </c>
      <c r="S1680" s="59"/>
      <c r="T1680" s="59"/>
      <c r="U1680" s="62">
        <f>IF(OR(R1680="",S1680="",T1680=""),"",IF(S1680+T1680=0,"",R1680/(S1680+T1680)))</f>
        <v/>
      </c>
      <c r="V1680" s="63"/>
      <c r="W1680" s="64"/>
      <c r="X1680" s="63"/>
    </row>
    <row r="1681" spans="2:24">
      <c r="B1681" s="58"/>
      <c r="C1681" s="59"/>
      <c r="D1681" s="59"/>
      <c r="E1681" s="59"/>
      <c r="F1681" s="59"/>
      <c r="G1681" s="60">
        <f>IF(OR(E1681="",F1681="",C1681="",D1681=""),"",IF(C1681+D1681=0,"",(E1681*C1681+F1681*D1681)/(C1681+D1681)))</f>
        <v/>
      </c>
      <c r="H1681" s="59"/>
      <c r="I1681" s="60">
        <f>IF(OR(H1681="",E1681="",C1681="",D1681=""),"",IF(C1681+D1681=0,"",(H1681*D1681+E1681*C1681)/(C1681+D1681)))</f>
        <v/>
      </c>
      <c r="J1681" s="59"/>
      <c r="K1681" s="61">
        <f>IF(OR(J1681="",I1681=""),"",J1681-I1681)</f>
        <v/>
      </c>
      <c r="L1681" s="61">
        <f>IF(OR(J1681="",G1681=""),"",J1681-G1681)</f>
        <v/>
      </c>
      <c r="M1681" s="59"/>
      <c r="N1681" s="59"/>
      <c r="O1681" s="59"/>
      <c r="P1681" s="59"/>
      <c r="Q1681" s="59"/>
      <c r="R1681" s="60">
        <f>IF(AND(P1681="",Q1681=""),"",N(P1681)+N(Q1681))</f>
        <v/>
      </c>
      <c r="S1681" s="59"/>
      <c r="T1681" s="59"/>
      <c r="U1681" s="62">
        <f>IF(OR(R1681="",S1681="",T1681=""),"",IF(S1681+T1681=0,"",R1681/(S1681+T1681)))</f>
        <v/>
      </c>
      <c r="V1681" s="63"/>
      <c r="W1681" s="64"/>
      <c r="X1681" s="63"/>
    </row>
    <row r="1682" spans="2:24">
      <c r="B1682" s="58"/>
      <c r="C1682" s="59"/>
      <c r="D1682" s="59"/>
      <c r="E1682" s="59"/>
      <c r="F1682" s="59"/>
      <c r="G1682" s="60">
        <f>IF(OR(E1682="",F1682="",C1682="",D1682=""),"",IF(C1682+D1682=0,"",(E1682*C1682+F1682*D1682)/(C1682+D1682)))</f>
        <v/>
      </c>
      <c r="H1682" s="59"/>
      <c r="I1682" s="60">
        <f>IF(OR(H1682="",E1682="",C1682="",D1682=""),"",IF(C1682+D1682=0,"",(H1682*D1682+E1682*C1682)/(C1682+D1682)))</f>
        <v/>
      </c>
      <c r="J1682" s="59"/>
      <c r="K1682" s="61">
        <f>IF(OR(J1682="",I1682=""),"",J1682-I1682)</f>
        <v/>
      </c>
      <c r="L1682" s="61">
        <f>IF(OR(J1682="",G1682=""),"",J1682-G1682)</f>
        <v/>
      </c>
      <c r="M1682" s="59"/>
      <c r="N1682" s="59"/>
      <c r="O1682" s="59"/>
      <c r="P1682" s="59"/>
      <c r="Q1682" s="59"/>
      <c r="R1682" s="60">
        <f>IF(AND(P1682="",Q1682=""),"",N(P1682)+N(Q1682))</f>
        <v/>
      </c>
      <c r="S1682" s="59"/>
      <c r="T1682" s="59"/>
      <c r="U1682" s="62">
        <f>IF(OR(R1682="",S1682="",T1682=""),"",IF(S1682+T1682=0,"",R1682/(S1682+T1682)))</f>
        <v/>
      </c>
      <c r="V1682" s="63"/>
      <c r="W1682" s="64"/>
      <c r="X1682" s="63"/>
    </row>
    <row r="1683" spans="2:24">
      <c r="B1683" s="58"/>
      <c r="C1683" s="59"/>
      <c r="D1683" s="59"/>
      <c r="E1683" s="59"/>
      <c r="F1683" s="59"/>
      <c r="G1683" s="60">
        <f>IF(OR(E1683="",F1683="",C1683="",D1683=""),"",IF(C1683+D1683=0,"",(E1683*C1683+F1683*D1683)/(C1683+D1683)))</f>
        <v/>
      </c>
      <c r="H1683" s="59"/>
      <c r="I1683" s="60">
        <f>IF(OR(H1683="",E1683="",C1683="",D1683=""),"",IF(C1683+D1683=0,"",(H1683*D1683+E1683*C1683)/(C1683+D1683)))</f>
        <v/>
      </c>
      <c r="J1683" s="59"/>
      <c r="K1683" s="61">
        <f>IF(OR(J1683="",I1683=""),"",J1683-I1683)</f>
        <v/>
      </c>
      <c r="L1683" s="61">
        <f>IF(OR(J1683="",G1683=""),"",J1683-G1683)</f>
        <v/>
      </c>
      <c r="M1683" s="59"/>
      <c r="N1683" s="59"/>
      <c r="O1683" s="59"/>
      <c r="P1683" s="59"/>
      <c r="Q1683" s="59"/>
      <c r="R1683" s="60">
        <f>IF(AND(P1683="",Q1683=""),"",N(P1683)+N(Q1683))</f>
        <v/>
      </c>
      <c r="S1683" s="59"/>
      <c r="T1683" s="59"/>
      <c r="U1683" s="62">
        <f>IF(OR(R1683="",S1683="",T1683=""),"",IF(S1683+T1683=0,"",R1683/(S1683+T1683)))</f>
        <v/>
      </c>
      <c r="V1683" s="63"/>
      <c r="W1683" s="64"/>
      <c r="X1683" s="63"/>
    </row>
    <row r="1684" spans="2:24">
      <c r="B1684" s="58"/>
      <c r="C1684" s="59"/>
      <c r="D1684" s="59"/>
      <c r="E1684" s="59"/>
      <c r="F1684" s="59"/>
      <c r="G1684" s="60">
        <f>IF(OR(E1684="",F1684="",C1684="",D1684=""),"",IF(C1684+D1684=0,"",(E1684*C1684+F1684*D1684)/(C1684+D1684)))</f>
        <v/>
      </c>
      <c r="H1684" s="59"/>
      <c r="I1684" s="60">
        <f>IF(OR(H1684="",E1684="",C1684="",D1684=""),"",IF(C1684+D1684=0,"",(H1684*D1684+E1684*C1684)/(C1684+D1684)))</f>
        <v/>
      </c>
      <c r="J1684" s="59"/>
      <c r="K1684" s="61">
        <f>IF(OR(J1684="",I1684=""),"",J1684-I1684)</f>
        <v/>
      </c>
      <c r="L1684" s="61">
        <f>IF(OR(J1684="",G1684=""),"",J1684-G1684)</f>
        <v/>
      </c>
      <c r="M1684" s="59"/>
      <c r="N1684" s="59"/>
      <c r="O1684" s="59"/>
      <c r="P1684" s="59"/>
      <c r="Q1684" s="59"/>
      <c r="R1684" s="60">
        <f>IF(AND(P1684="",Q1684=""),"",N(P1684)+N(Q1684))</f>
        <v/>
      </c>
      <c r="S1684" s="59"/>
      <c r="T1684" s="59"/>
      <c r="U1684" s="62">
        <f>IF(OR(R1684="",S1684="",T1684=""),"",IF(S1684+T1684=0,"",R1684/(S1684+T1684)))</f>
        <v/>
      </c>
      <c r="V1684" s="63"/>
      <c r="W1684" s="64"/>
      <c r="X1684" s="63"/>
    </row>
    <row r="1685" spans="2:24">
      <c r="B1685" s="58"/>
      <c r="C1685" s="59"/>
      <c r="D1685" s="59"/>
      <c r="E1685" s="59"/>
      <c r="F1685" s="59"/>
      <c r="G1685" s="60">
        <f>IF(OR(E1685="",F1685="",C1685="",D1685=""),"",IF(C1685+D1685=0,"",(E1685*C1685+F1685*D1685)/(C1685+D1685)))</f>
        <v/>
      </c>
      <c r="H1685" s="59"/>
      <c r="I1685" s="60">
        <f>IF(OR(H1685="",E1685="",C1685="",D1685=""),"",IF(C1685+D1685=0,"",(H1685*D1685+E1685*C1685)/(C1685+D1685)))</f>
        <v/>
      </c>
      <c r="J1685" s="59"/>
      <c r="K1685" s="61">
        <f>IF(OR(J1685="",I1685=""),"",J1685-I1685)</f>
        <v/>
      </c>
      <c r="L1685" s="61">
        <f>IF(OR(J1685="",G1685=""),"",J1685-G1685)</f>
        <v/>
      </c>
      <c r="M1685" s="59"/>
      <c r="N1685" s="59"/>
      <c r="O1685" s="59"/>
      <c r="P1685" s="59"/>
      <c r="Q1685" s="59"/>
      <c r="R1685" s="60">
        <f>IF(AND(P1685="",Q1685=""),"",N(P1685)+N(Q1685))</f>
        <v/>
      </c>
      <c r="S1685" s="59"/>
      <c r="T1685" s="59"/>
      <c r="U1685" s="62">
        <f>IF(OR(R1685="",S1685="",T1685=""),"",IF(S1685+T1685=0,"",R1685/(S1685+T1685)))</f>
        <v/>
      </c>
      <c r="V1685" s="63"/>
      <c r="W1685" s="64"/>
      <c r="X1685" s="63"/>
    </row>
    <row r="1686" spans="2:24">
      <c r="B1686" s="58"/>
      <c r="C1686" s="59"/>
      <c r="D1686" s="59"/>
      <c r="E1686" s="59"/>
      <c r="F1686" s="59"/>
      <c r="G1686" s="60">
        <f>IF(OR(E1686="",F1686="",C1686="",D1686=""),"",IF(C1686+D1686=0,"",(E1686*C1686+F1686*D1686)/(C1686+D1686)))</f>
        <v/>
      </c>
      <c r="H1686" s="59"/>
      <c r="I1686" s="60">
        <f>IF(OR(H1686="",E1686="",C1686="",D1686=""),"",IF(C1686+D1686=0,"",(H1686*D1686+E1686*C1686)/(C1686+D1686)))</f>
        <v/>
      </c>
      <c r="J1686" s="59"/>
      <c r="K1686" s="61">
        <f>IF(OR(J1686="",I1686=""),"",J1686-I1686)</f>
        <v/>
      </c>
      <c r="L1686" s="61">
        <f>IF(OR(J1686="",G1686=""),"",J1686-G1686)</f>
        <v/>
      </c>
      <c r="M1686" s="59"/>
      <c r="N1686" s="59"/>
      <c r="O1686" s="59"/>
      <c r="P1686" s="59"/>
      <c r="Q1686" s="59"/>
      <c r="R1686" s="60">
        <f>IF(AND(P1686="",Q1686=""),"",N(P1686)+N(Q1686))</f>
        <v/>
      </c>
      <c r="S1686" s="59"/>
      <c r="T1686" s="59"/>
      <c r="U1686" s="62">
        <f>IF(OR(R1686="",S1686="",T1686=""),"",IF(S1686+T1686=0,"",R1686/(S1686+T1686)))</f>
        <v/>
      </c>
      <c r="V1686" s="63"/>
      <c r="W1686" s="64"/>
      <c r="X1686" s="63"/>
    </row>
    <row r="1687" spans="2:24">
      <c r="B1687" s="58"/>
      <c r="C1687" s="59"/>
      <c r="D1687" s="59"/>
      <c r="E1687" s="59"/>
      <c r="F1687" s="59"/>
      <c r="G1687" s="60">
        <f>IF(OR(E1687="",F1687="",C1687="",D1687=""),"",IF(C1687+D1687=0,"",(E1687*C1687+F1687*D1687)/(C1687+D1687)))</f>
        <v/>
      </c>
      <c r="H1687" s="59"/>
      <c r="I1687" s="60">
        <f>IF(OR(H1687="",E1687="",C1687="",D1687=""),"",IF(C1687+D1687=0,"",(H1687*D1687+E1687*C1687)/(C1687+D1687)))</f>
        <v/>
      </c>
      <c r="J1687" s="59"/>
      <c r="K1687" s="61">
        <f>IF(OR(J1687="",I1687=""),"",J1687-I1687)</f>
        <v/>
      </c>
      <c r="L1687" s="61">
        <f>IF(OR(J1687="",G1687=""),"",J1687-G1687)</f>
        <v/>
      </c>
      <c r="M1687" s="59"/>
      <c r="N1687" s="59"/>
      <c r="O1687" s="59"/>
      <c r="P1687" s="59"/>
      <c r="Q1687" s="59"/>
      <c r="R1687" s="60">
        <f>IF(AND(P1687="",Q1687=""),"",N(P1687)+N(Q1687))</f>
        <v/>
      </c>
      <c r="S1687" s="59"/>
      <c r="T1687" s="59"/>
      <c r="U1687" s="62">
        <f>IF(OR(R1687="",S1687="",T1687=""),"",IF(S1687+T1687=0,"",R1687/(S1687+T1687)))</f>
        <v/>
      </c>
      <c r="V1687" s="63"/>
      <c r="W1687" s="64"/>
      <c r="X1687" s="63"/>
    </row>
    <row r="1688" spans="2:24">
      <c r="B1688" s="58"/>
      <c r="C1688" s="59"/>
      <c r="D1688" s="59"/>
      <c r="E1688" s="59"/>
      <c r="F1688" s="59"/>
      <c r="G1688" s="60">
        <f>IF(OR(E1688="",F1688="",C1688="",D1688=""),"",IF(C1688+D1688=0,"",(E1688*C1688+F1688*D1688)/(C1688+D1688)))</f>
        <v/>
      </c>
      <c r="H1688" s="59"/>
      <c r="I1688" s="60">
        <f>IF(OR(H1688="",E1688="",C1688="",D1688=""),"",IF(C1688+D1688=0,"",(H1688*D1688+E1688*C1688)/(C1688+D1688)))</f>
        <v/>
      </c>
      <c r="J1688" s="59"/>
      <c r="K1688" s="61">
        <f>IF(OR(J1688="",I1688=""),"",J1688-I1688)</f>
        <v/>
      </c>
      <c r="L1688" s="61">
        <f>IF(OR(J1688="",G1688=""),"",J1688-G1688)</f>
        <v/>
      </c>
      <c r="M1688" s="59"/>
      <c r="N1688" s="59"/>
      <c r="O1688" s="59"/>
      <c r="P1688" s="59"/>
      <c r="Q1688" s="59"/>
      <c r="R1688" s="60">
        <f>IF(AND(P1688="",Q1688=""),"",N(P1688)+N(Q1688))</f>
        <v/>
      </c>
      <c r="S1688" s="59"/>
      <c r="T1688" s="59"/>
      <c r="U1688" s="62">
        <f>IF(OR(R1688="",S1688="",T1688=""),"",IF(S1688+T1688=0,"",R1688/(S1688+T1688)))</f>
        <v/>
      </c>
      <c r="V1688" s="63"/>
      <c r="W1688" s="64"/>
      <c r="X1688" s="63"/>
    </row>
    <row r="1689" spans="2:24">
      <c r="B1689" s="58"/>
      <c r="C1689" s="59"/>
      <c r="D1689" s="59"/>
      <c r="E1689" s="59"/>
      <c r="F1689" s="59"/>
      <c r="G1689" s="60">
        <f>IF(OR(E1689="",F1689="",C1689="",D1689=""),"",IF(C1689+D1689=0,"",(E1689*C1689+F1689*D1689)/(C1689+D1689)))</f>
        <v/>
      </c>
      <c r="H1689" s="59"/>
      <c r="I1689" s="60">
        <f>IF(OR(H1689="",E1689="",C1689="",D1689=""),"",IF(C1689+D1689=0,"",(H1689*D1689+E1689*C1689)/(C1689+D1689)))</f>
        <v/>
      </c>
      <c r="J1689" s="59"/>
      <c r="K1689" s="61">
        <f>IF(OR(J1689="",I1689=""),"",J1689-I1689)</f>
        <v/>
      </c>
      <c r="L1689" s="61">
        <f>IF(OR(J1689="",G1689=""),"",J1689-G1689)</f>
        <v/>
      </c>
      <c r="M1689" s="59"/>
      <c r="N1689" s="59"/>
      <c r="O1689" s="59"/>
      <c r="P1689" s="59"/>
      <c r="Q1689" s="59"/>
      <c r="R1689" s="60">
        <f>IF(AND(P1689="",Q1689=""),"",N(P1689)+N(Q1689))</f>
        <v/>
      </c>
      <c r="S1689" s="59"/>
      <c r="T1689" s="59"/>
      <c r="U1689" s="62">
        <f>IF(OR(R1689="",S1689="",T1689=""),"",IF(S1689+T1689=0,"",R1689/(S1689+T1689)))</f>
        <v/>
      </c>
      <c r="V1689" s="63"/>
      <c r="W1689" s="64"/>
      <c r="X1689" s="63"/>
    </row>
    <row r="1690" spans="2:24">
      <c r="B1690" s="58"/>
      <c r="C1690" s="59"/>
      <c r="D1690" s="59"/>
      <c r="E1690" s="59"/>
      <c r="F1690" s="59"/>
      <c r="G1690" s="60">
        <f>IF(OR(E1690="",F1690="",C1690="",D1690=""),"",IF(C1690+D1690=0,"",(E1690*C1690+F1690*D1690)/(C1690+D1690)))</f>
        <v/>
      </c>
      <c r="H1690" s="59"/>
      <c r="I1690" s="60">
        <f>IF(OR(H1690="",E1690="",C1690="",D1690=""),"",IF(C1690+D1690=0,"",(H1690*D1690+E1690*C1690)/(C1690+D1690)))</f>
        <v/>
      </c>
      <c r="J1690" s="59"/>
      <c r="K1690" s="61">
        <f>IF(OR(J1690="",I1690=""),"",J1690-I1690)</f>
        <v/>
      </c>
      <c r="L1690" s="61">
        <f>IF(OR(J1690="",G1690=""),"",J1690-G1690)</f>
        <v/>
      </c>
      <c r="M1690" s="59"/>
      <c r="N1690" s="59"/>
      <c r="O1690" s="59"/>
      <c r="P1690" s="59"/>
      <c r="Q1690" s="59"/>
      <c r="R1690" s="60">
        <f>IF(AND(P1690="",Q1690=""),"",N(P1690)+N(Q1690))</f>
        <v/>
      </c>
      <c r="S1690" s="59"/>
      <c r="T1690" s="59"/>
      <c r="U1690" s="62">
        <f>IF(OR(R1690="",S1690="",T1690=""),"",IF(S1690+T1690=0,"",R1690/(S1690+T1690)))</f>
        <v/>
      </c>
      <c r="V1690" s="63"/>
      <c r="W1690" s="64"/>
      <c r="X1690" s="63"/>
    </row>
    <row r="1691" spans="2:24">
      <c r="B1691" s="58"/>
      <c r="C1691" s="59"/>
      <c r="D1691" s="59"/>
      <c r="E1691" s="59"/>
      <c r="F1691" s="59"/>
      <c r="G1691" s="60">
        <f>IF(OR(E1691="",F1691="",C1691="",D1691=""),"",IF(C1691+D1691=0,"",(E1691*C1691+F1691*D1691)/(C1691+D1691)))</f>
        <v/>
      </c>
      <c r="H1691" s="59"/>
      <c r="I1691" s="60">
        <f>IF(OR(H1691="",E1691="",C1691="",D1691=""),"",IF(C1691+D1691=0,"",(H1691*D1691+E1691*C1691)/(C1691+D1691)))</f>
        <v/>
      </c>
      <c r="J1691" s="59"/>
      <c r="K1691" s="61">
        <f>IF(OR(J1691="",I1691=""),"",J1691-I1691)</f>
        <v/>
      </c>
      <c r="L1691" s="61">
        <f>IF(OR(J1691="",G1691=""),"",J1691-G1691)</f>
        <v/>
      </c>
      <c r="M1691" s="59"/>
      <c r="N1691" s="59"/>
      <c r="O1691" s="59"/>
      <c r="P1691" s="59"/>
      <c r="Q1691" s="59"/>
      <c r="R1691" s="60">
        <f>IF(AND(P1691="",Q1691=""),"",N(P1691)+N(Q1691))</f>
        <v/>
      </c>
      <c r="S1691" s="59"/>
      <c r="T1691" s="59"/>
      <c r="U1691" s="62">
        <f>IF(OR(R1691="",S1691="",T1691=""),"",IF(S1691+T1691=0,"",R1691/(S1691+T1691)))</f>
        <v/>
      </c>
      <c r="V1691" s="63"/>
      <c r="W1691" s="64"/>
      <c r="X1691" s="63"/>
    </row>
    <row r="1692" spans="2:24">
      <c r="B1692" s="58"/>
      <c r="C1692" s="59"/>
      <c r="D1692" s="59"/>
      <c r="E1692" s="59"/>
      <c r="F1692" s="59"/>
      <c r="G1692" s="60">
        <f>IF(OR(E1692="",F1692="",C1692="",D1692=""),"",IF(C1692+D1692=0,"",(E1692*C1692+F1692*D1692)/(C1692+D1692)))</f>
        <v/>
      </c>
      <c r="H1692" s="59"/>
      <c r="I1692" s="60">
        <f>IF(OR(H1692="",E1692="",C1692="",D1692=""),"",IF(C1692+D1692=0,"",(H1692*D1692+E1692*C1692)/(C1692+D1692)))</f>
        <v/>
      </c>
      <c r="J1692" s="59"/>
      <c r="K1692" s="61">
        <f>IF(OR(J1692="",I1692=""),"",J1692-I1692)</f>
        <v/>
      </c>
      <c r="L1692" s="61">
        <f>IF(OR(J1692="",G1692=""),"",J1692-G1692)</f>
        <v/>
      </c>
      <c r="M1692" s="59"/>
      <c r="N1692" s="59"/>
      <c r="O1692" s="59"/>
      <c r="P1692" s="59"/>
      <c r="Q1692" s="59"/>
      <c r="R1692" s="60">
        <f>IF(AND(P1692="",Q1692=""),"",N(P1692)+N(Q1692))</f>
        <v/>
      </c>
      <c r="S1692" s="59"/>
      <c r="T1692" s="59"/>
      <c r="U1692" s="62">
        <f>IF(OR(R1692="",S1692="",T1692=""),"",IF(S1692+T1692=0,"",R1692/(S1692+T1692)))</f>
        <v/>
      </c>
      <c r="V1692" s="63"/>
      <c r="W1692" s="64"/>
      <c r="X1692" s="63"/>
    </row>
    <row r="1693" spans="2:24">
      <c r="B1693" s="58"/>
      <c r="C1693" s="59"/>
      <c r="D1693" s="59"/>
      <c r="E1693" s="59"/>
      <c r="F1693" s="59"/>
      <c r="G1693" s="60">
        <f>IF(OR(E1693="",F1693="",C1693="",D1693=""),"",IF(C1693+D1693=0,"",(E1693*C1693+F1693*D1693)/(C1693+D1693)))</f>
        <v/>
      </c>
      <c r="H1693" s="59"/>
      <c r="I1693" s="60">
        <f>IF(OR(H1693="",E1693="",C1693="",D1693=""),"",IF(C1693+D1693=0,"",(H1693*D1693+E1693*C1693)/(C1693+D1693)))</f>
        <v/>
      </c>
      <c r="J1693" s="59"/>
      <c r="K1693" s="61">
        <f>IF(OR(J1693="",I1693=""),"",J1693-I1693)</f>
        <v/>
      </c>
      <c r="L1693" s="61">
        <f>IF(OR(J1693="",G1693=""),"",J1693-G1693)</f>
        <v/>
      </c>
      <c r="M1693" s="59"/>
      <c r="N1693" s="59"/>
      <c r="O1693" s="59"/>
      <c r="P1693" s="59"/>
      <c r="Q1693" s="59"/>
      <c r="R1693" s="60">
        <f>IF(AND(P1693="",Q1693=""),"",N(P1693)+N(Q1693))</f>
        <v/>
      </c>
      <c r="S1693" s="59"/>
      <c r="T1693" s="59"/>
      <c r="U1693" s="62">
        <f>IF(OR(R1693="",S1693="",T1693=""),"",IF(S1693+T1693=0,"",R1693/(S1693+T1693)))</f>
        <v/>
      </c>
      <c r="V1693" s="63"/>
      <c r="W1693" s="64"/>
      <c r="X1693" s="63"/>
    </row>
    <row r="1694" spans="2:24">
      <c r="B1694" s="58"/>
      <c r="C1694" s="59"/>
      <c r="D1694" s="59"/>
      <c r="E1694" s="59"/>
      <c r="F1694" s="59"/>
      <c r="G1694" s="60">
        <f>IF(OR(E1694="",F1694="",C1694="",D1694=""),"",IF(C1694+D1694=0,"",(E1694*C1694+F1694*D1694)/(C1694+D1694)))</f>
        <v/>
      </c>
      <c r="H1694" s="59"/>
      <c r="I1694" s="60">
        <f>IF(OR(H1694="",E1694="",C1694="",D1694=""),"",IF(C1694+D1694=0,"",(H1694*D1694+E1694*C1694)/(C1694+D1694)))</f>
        <v/>
      </c>
      <c r="J1694" s="59"/>
      <c r="K1694" s="61">
        <f>IF(OR(J1694="",I1694=""),"",J1694-I1694)</f>
        <v/>
      </c>
      <c r="L1694" s="61">
        <f>IF(OR(J1694="",G1694=""),"",J1694-G1694)</f>
        <v/>
      </c>
      <c r="M1694" s="59"/>
      <c r="N1694" s="59"/>
      <c r="O1694" s="59"/>
      <c r="P1694" s="59"/>
      <c r="Q1694" s="59"/>
      <c r="R1694" s="60">
        <f>IF(AND(P1694="",Q1694=""),"",N(P1694)+N(Q1694))</f>
        <v/>
      </c>
      <c r="S1694" s="59"/>
      <c r="T1694" s="59"/>
      <c r="U1694" s="62">
        <f>IF(OR(R1694="",S1694="",T1694=""),"",IF(S1694+T1694=0,"",R1694/(S1694+T1694)))</f>
        <v/>
      </c>
      <c r="V1694" s="63"/>
      <c r="W1694" s="64"/>
      <c r="X1694" s="63"/>
    </row>
    <row r="1695" spans="2:24">
      <c r="B1695" s="58"/>
      <c r="C1695" s="59"/>
      <c r="D1695" s="59"/>
      <c r="E1695" s="59"/>
      <c r="F1695" s="59"/>
      <c r="G1695" s="60">
        <f>IF(OR(E1695="",F1695="",C1695="",D1695=""),"",IF(C1695+D1695=0,"",(E1695*C1695+F1695*D1695)/(C1695+D1695)))</f>
        <v/>
      </c>
      <c r="H1695" s="59"/>
      <c r="I1695" s="60">
        <f>IF(OR(H1695="",E1695="",C1695="",D1695=""),"",IF(C1695+D1695=0,"",(H1695*D1695+E1695*C1695)/(C1695+D1695)))</f>
        <v/>
      </c>
      <c r="J1695" s="59"/>
      <c r="K1695" s="61">
        <f>IF(OR(J1695="",I1695=""),"",J1695-I1695)</f>
        <v/>
      </c>
      <c r="L1695" s="61">
        <f>IF(OR(J1695="",G1695=""),"",J1695-G1695)</f>
        <v/>
      </c>
      <c r="M1695" s="59"/>
      <c r="N1695" s="59"/>
      <c r="O1695" s="59"/>
      <c r="P1695" s="59"/>
      <c r="Q1695" s="59"/>
      <c r="R1695" s="60">
        <f>IF(AND(P1695="",Q1695=""),"",N(P1695)+N(Q1695))</f>
        <v/>
      </c>
      <c r="S1695" s="59"/>
      <c r="T1695" s="59"/>
      <c r="U1695" s="62">
        <f>IF(OR(R1695="",S1695="",T1695=""),"",IF(S1695+T1695=0,"",R1695/(S1695+T1695)))</f>
        <v/>
      </c>
      <c r="V1695" s="63"/>
      <c r="W1695" s="64"/>
      <c r="X1695" s="63"/>
    </row>
    <row r="1696" spans="2:24">
      <c r="B1696" s="58"/>
      <c r="C1696" s="59"/>
      <c r="D1696" s="59"/>
      <c r="E1696" s="59"/>
      <c r="F1696" s="59"/>
      <c r="G1696" s="60">
        <f>IF(OR(E1696="",F1696="",C1696="",D1696=""),"",IF(C1696+D1696=0,"",(E1696*C1696+F1696*D1696)/(C1696+D1696)))</f>
        <v/>
      </c>
      <c r="H1696" s="59"/>
      <c r="I1696" s="60">
        <f>IF(OR(H1696="",E1696="",C1696="",D1696=""),"",IF(C1696+D1696=0,"",(H1696*D1696+E1696*C1696)/(C1696+D1696)))</f>
        <v/>
      </c>
      <c r="J1696" s="59"/>
      <c r="K1696" s="61">
        <f>IF(OR(J1696="",I1696=""),"",J1696-I1696)</f>
        <v/>
      </c>
      <c r="L1696" s="61">
        <f>IF(OR(J1696="",G1696=""),"",J1696-G1696)</f>
        <v/>
      </c>
      <c r="M1696" s="59"/>
      <c r="N1696" s="59"/>
      <c r="O1696" s="59"/>
      <c r="P1696" s="59"/>
      <c r="Q1696" s="59"/>
      <c r="R1696" s="60">
        <f>IF(AND(P1696="",Q1696=""),"",N(P1696)+N(Q1696))</f>
        <v/>
      </c>
      <c r="S1696" s="59"/>
      <c r="T1696" s="59"/>
      <c r="U1696" s="62">
        <f>IF(OR(R1696="",S1696="",T1696=""),"",IF(S1696+T1696=0,"",R1696/(S1696+T1696)))</f>
        <v/>
      </c>
      <c r="V1696" s="63"/>
      <c r="W1696" s="64"/>
      <c r="X1696" s="63"/>
    </row>
    <row r="1697" spans="2:24">
      <c r="B1697" s="58"/>
      <c r="C1697" s="59"/>
      <c r="D1697" s="59"/>
      <c r="E1697" s="59"/>
      <c r="F1697" s="59"/>
      <c r="G1697" s="60">
        <f>IF(OR(E1697="",F1697="",C1697="",D1697=""),"",IF(C1697+D1697=0,"",(E1697*C1697+F1697*D1697)/(C1697+D1697)))</f>
        <v/>
      </c>
      <c r="H1697" s="59"/>
      <c r="I1697" s="60">
        <f>IF(OR(H1697="",E1697="",C1697="",D1697=""),"",IF(C1697+D1697=0,"",(H1697*D1697+E1697*C1697)/(C1697+D1697)))</f>
        <v/>
      </c>
      <c r="J1697" s="59"/>
      <c r="K1697" s="61">
        <f>IF(OR(J1697="",I1697=""),"",J1697-I1697)</f>
        <v/>
      </c>
      <c r="L1697" s="61">
        <f>IF(OR(J1697="",G1697=""),"",J1697-G1697)</f>
        <v/>
      </c>
      <c r="M1697" s="59"/>
      <c r="N1697" s="59"/>
      <c r="O1697" s="59"/>
      <c r="P1697" s="59"/>
      <c r="Q1697" s="59"/>
      <c r="R1697" s="60">
        <f>IF(AND(P1697="",Q1697=""),"",N(P1697)+N(Q1697))</f>
        <v/>
      </c>
      <c r="S1697" s="59"/>
      <c r="T1697" s="59"/>
      <c r="U1697" s="62">
        <f>IF(OR(R1697="",S1697="",T1697=""),"",IF(S1697+T1697=0,"",R1697/(S1697+T1697)))</f>
        <v/>
      </c>
      <c r="V1697" s="63"/>
      <c r="W1697" s="64"/>
      <c r="X1697" s="63"/>
    </row>
    <row r="1698" spans="2:24">
      <c r="B1698" s="58"/>
      <c r="C1698" s="59"/>
      <c r="D1698" s="59"/>
      <c r="E1698" s="59"/>
      <c r="F1698" s="59"/>
      <c r="G1698" s="60">
        <f>IF(OR(E1698="",F1698="",C1698="",D1698=""),"",IF(C1698+D1698=0,"",(E1698*C1698+F1698*D1698)/(C1698+D1698)))</f>
        <v/>
      </c>
      <c r="H1698" s="59"/>
      <c r="I1698" s="60">
        <f>IF(OR(H1698="",E1698="",C1698="",D1698=""),"",IF(C1698+D1698=0,"",(H1698*D1698+E1698*C1698)/(C1698+D1698)))</f>
        <v/>
      </c>
      <c r="J1698" s="59"/>
      <c r="K1698" s="61">
        <f>IF(OR(J1698="",I1698=""),"",J1698-I1698)</f>
        <v/>
      </c>
      <c r="L1698" s="61">
        <f>IF(OR(J1698="",G1698=""),"",J1698-G1698)</f>
        <v/>
      </c>
      <c r="M1698" s="59"/>
      <c r="N1698" s="59"/>
      <c r="O1698" s="59"/>
      <c r="P1698" s="59"/>
      <c r="Q1698" s="59"/>
      <c r="R1698" s="60">
        <f>IF(AND(P1698="",Q1698=""),"",N(P1698)+N(Q1698))</f>
        <v/>
      </c>
      <c r="S1698" s="59"/>
      <c r="T1698" s="59"/>
      <c r="U1698" s="62">
        <f>IF(OR(R1698="",S1698="",T1698=""),"",IF(S1698+T1698=0,"",R1698/(S1698+T1698)))</f>
        <v/>
      </c>
      <c r="V1698" s="63"/>
      <c r="W1698" s="64"/>
      <c r="X1698" s="63"/>
    </row>
    <row r="1699" spans="2:24">
      <c r="B1699" s="58"/>
      <c r="C1699" s="59"/>
      <c r="D1699" s="59"/>
      <c r="E1699" s="59"/>
      <c r="F1699" s="59"/>
      <c r="G1699" s="60">
        <f>IF(OR(E1699="",F1699="",C1699="",D1699=""),"",IF(C1699+D1699=0,"",(E1699*C1699+F1699*D1699)/(C1699+D1699)))</f>
        <v/>
      </c>
      <c r="H1699" s="59"/>
      <c r="I1699" s="60">
        <f>IF(OR(H1699="",E1699="",C1699="",D1699=""),"",IF(C1699+D1699=0,"",(H1699*D1699+E1699*C1699)/(C1699+D1699)))</f>
        <v/>
      </c>
      <c r="J1699" s="59"/>
      <c r="K1699" s="61">
        <f>IF(OR(J1699="",I1699=""),"",J1699-I1699)</f>
        <v/>
      </c>
      <c r="L1699" s="61">
        <f>IF(OR(J1699="",G1699=""),"",J1699-G1699)</f>
        <v/>
      </c>
      <c r="M1699" s="59"/>
      <c r="N1699" s="59"/>
      <c r="O1699" s="59"/>
      <c r="P1699" s="59"/>
      <c r="Q1699" s="59"/>
      <c r="R1699" s="60">
        <f>IF(AND(P1699="",Q1699=""),"",N(P1699)+N(Q1699))</f>
        <v/>
      </c>
      <c r="S1699" s="59"/>
      <c r="T1699" s="59"/>
      <c r="U1699" s="62">
        <f>IF(OR(R1699="",S1699="",T1699=""),"",IF(S1699+T1699=0,"",R1699/(S1699+T1699)))</f>
        <v/>
      </c>
      <c r="V1699" s="63"/>
      <c r="W1699" s="64"/>
      <c r="X1699" s="63"/>
    </row>
    <row r="1700" spans="2:24">
      <c r="B1700" s="58"/>
      <c r="C1700" s="59"/>
      <c r="D1700" s="59"/>
      <c r="E1700" s="59"/>
      <c r="F1700" s="59"/>
      <c r="G1700" s="60">
        <f>IF(OR(E1700="",F1700="",C1700="",D1700=""),"",IF(C1700+D1700=0,"",(E1700*C1700+F1700*D1700)/(C1700+D1700)))</f>
        <v/>
      </c>
      <c r="H1700" s="59"/>
      <c r="I1700" s="60">
        <f>IF(OR(H1700="",E1700="",C1700="",D1700=""),"",IF(C1700+D1700=0,"",(H1700*D1700+E1700*C1700)/(C1700+D1700)))</f>
        <v/>
      </c>
      <c r="J1700" s="59"/>
      <c r="K1700" s="61">
        <f>IF(OR(J1700="",I1700=""),"",J1700-I1700)</f>
        <v/>
      </c>
      <c r="L1700" s="61">
        <f>IF(OR(J1700="",G1700=""),"",J1700-G1700)</f>
        <v/>
      </c>
      <c r="M1700" s="59"/>
      <c r="N1700" s="59"/>
      <c r="O1700" s="59"/>
      <c r="P1700" s="59"/>
      <c r="Q1700" s="59"/>
      <c r="R1700" s="60">
        <f>IF(AND(P1700="",Q1700=""),"",N(P1700)+N(Q1700))</f>
        <v/>
      </c>
      <c r="S1700" s="59"/>
      <c r="T1700" s="59"/>
      <c r="U1700" s="62">
        <f>IF(OR(R1700="",S1700="",T1700=""),"",IF(S1700+T1700=0,"",R1700/(S1700+T1700)))</f>
        <v/>
      </c>
      <c r="V1700" s="63"/>
      <c r="W1700" s="64"/>
      <c r="X1700" s="63"/>
    </row>
    <row r="1701" spans="2:24">
      <c r="B1701" s="58"/>
      <c r="C1701" s="59"/>
      <c r="D1701" s="59"/>
      <c r="E1701" s="59"/>
      <c r="F1701" s="59"/>
      <c r="G1701" s="60">
        <f>IF(OR(E1701="",F1701="",C1701="",D1701=""),"",IF(C1701+D1701=0,"",(E1701*C1701+F1701*D1701)/(C1701+D1701)))</f>
        <v/>
      </c>
      <c r="H1701" s="59"/>
      <c r="I1701" s="60">
        <f>IF(OR(H1701="",E1701="",C1701="",D1701=""),"",IF(C1701+D1701=0,"",(H1701*D1701+E1701*C1701)/(C1701+D1701)))</f>
        <v/>
      </c>
      <c r="J1701" s="59"/>
      <c r="K1701" s="61">
        <f>IF(OR(J1701="",I1701=""),"",J1701-I1701)</f>
        <v/>
      </c>
      <c r="L1701" s="61">
        <f>IF(OR(J1701="",G1701=""),"",J1701-G1701)</f>
        <v/>
      </c>
      <c r="M1701" s="59"/>
      <c r="N1701" s="59"/>
      <c r="O1701" s="59"/>
      <c r="P1701" s="59"/>
      <c r="Q1701" s="59"/>
      <c r="R1701" s="60">
        <f>IF(AND(P1701="",Q1701=""),"",N(P1701)+N(Q1701))</f>
        <v/>
      </c>
      <c r="S1701" s="59"/>
      <c r="T1701" s="59"/>
      <c r="U1701" s="62">
        <f>IF(OR(R1701="",S1701="",T1701=""),"",IF(S1701+T1701=0,"",R1701/(S1701+T1701)))</f>
        <v/>
      </c>
      <c r="V1701" s="63"/>
      <c r="W1701" s="64"/>
      <c r="X1701" s="63"/>
    </row>
    <row r="1702" spans="2:24">
      <c r="B1702" s="58"/>
      <c r="C1702" s="59"/>
      <c r="D1702" s="59"/>
      <c r="E1702" s="59"/>
      <c r="F1702" s="59"/>
      <c r="G1702" s="60">
        <f>IF(OR(E1702="",F1702="",C1702="",D1702=""),"",IF(C1702+D1702=0,"",(E1702*C1702+F1702*D1702)/(C1702+D1702)))</f>
        <v/>
      </c>
      <c r="H1702" s="59"/>
      <c r="I1702" s="60">
        <f>IF(OR(H1702="",E1702="",C1702="",D1702=""),"",IF(C1702+D1702=0,"",(H1702*D1702+E1702*C1702)/(C1702+D1702)))</f>
        <v/>
      </c>
      <c r="J1702" s="59"/>
      <c r="K1702" s="61">
        <f>IF(OR(J1702="",I1702=""),"",J1702-I1702)</f>
        <v/>
      </c>
      <c r="L1702" s="61">
        <f>IF(OR(J1702="",G1702=""),"",J1702-G1702)</f>
        <v/>
      </c>
      <c r="M1702" s="59"/>
      <c r="N1702" s="59"/>
      <c r="O1702" s="59"/>
      <c r="P1702" s="59"/>
      <c r="Q1702" s="59"/>
      <c r="R1702" s="60">
        <f>IF(AND(P1702="",Q1702=""),"",N(P1702)+N(Q1702))</f>
        <v/>
      </c>
      <c r="S1702" s="59"/>
      <c r="T1702" s="59"/>
      <c r="U1702" s="62">
        <f>IF(OR(R1702="",S1702="",T1702=""),"",IF(S1702+T1702=0,"",R1702/(S1702+T1702)))</f>
        <v/>
      </c>
      <c r="V1702" s="63"/>
      <c r="W1702" s="64"/>
      <c r="X1702" s="63"/>
    </row>
    <row r="1703" spans="2:24">
      <c r="B1703" s="58"/>
      <c r="C1703" s="59"/>
      <c r="D1703" s="59"/>
      <c r="E1703" s="59"/>
      <c r="F1703" s="59"/>
      <c r="G1703" s="60">
        <f>IF(OR(E1703="",F1703="",C1703="",D1703=""),"",IF(C1703+D1703=0,"",(E1703*C1703+F1703*D1703)/(C1703+D1703)))</f>
        <v/>
      </c>
      <c r="H1703" s="59"/>
      <c r="I1703" s="60">
        <f>IF(OR(H1703="",E1703="",C1703="",D1703=""),"",IF(C1703+D1703=0,"",(H1703*D1703+E1703*C1703)/(C1703+D1703)))</f>
        <v/>
      </c>
      <c r="J1703" s="59"/>
      <c r="K1703" s="61">
        <f>IF(OR(J1703="",I1703=""),"",J1703-I1703)</f>
        <v/>
      </c>
      <c r="L1703" s="61">
        <f>IF(OR(J1703="",G1703=""),"",J1703-G1703)</f>
        <v/>
      </c>
      <c r="M1703" s="59"/>
      <c r="N1703" s="59"/>
      <c r="O1703" s="59"/>
      <c r="P1703" s="59"/>
      <c r="Q1703" s="59"/>
      <c r="R1703" s="60">
        <f>IF(AND(P1703="",Q1703=""),"",N(P1703)+N(Q1703))</f>
        <v/>
      </c>
      <c r="S1703" s="59"/>
      <c r="T1703" s="59"/>
      <c r="U1703" s="62">
        <f>IF(OR(R1703="",S1703="",T1703=""),"",IF(S1703+T1703=0,"",R1703/(S1703+T1703)))</f>
        <v/>
      </c>
      <c r="V1703" s="63"/>
      <c r="W1703" s="64"/>
      <c r="X1703" s="63"/>
    </row>
    <row r="1704" spans="2:24">
      <c r="B1704" s="58"/>
      <c r="C1704" s="59"/>
      <c r="D1704" s="59"/>
      <c r="E1704" s="59"/>
      <c r="F1704" s="59"/>
      <c r="G1704" s="60">
        <f>IF(OR(E1704="",F1704="",C1704="",D1704=""),"",IF(C1704+D1704=0,"",(E1704*C1704+F1704*D1704)/(C1704+D1704)))</f>
        <v/>
      </c>
      <c r="H1704" s="59"/>
      <c r="I1704" s="60">
        <f>IF(OR(H1704="",E1704="",C1704="",D1704=""),"",IF(C1704+D1704=0,"",(H1704*D1704+E1704*C1704)/(C1704+D1704)))</f>
        <v/>
      </c>
      <c r="J1704" s="59"/>
      <c r="K1704" s="61">
        <f>IF(OR(J1704="",I1704=""),"",J1704-I1704)</f>
        <v/>
      </c>
      <c r="L1704" s="61">
        <f>IF(OR(J1704="",G1704=""),"",J1704-G1704)</f>
        <v/>
      </c>
      <c r="M1704" s="59"/>
      <c r="N1704" s="59"/>
      <c r="O1704" s="59"/>
      <c r="P1704" s="59"/>
      <c r="Q1704" s="59"/>
      <c r="R1704" s="60">
        <f>IF(AND(P1704="",Q1704=""),"",N(P1704)+N(Q1704))</f>
        <v/>
      </c>
      <c r="S1704" s="59"/>
      <c r="T1704" s="59"/>
      <c r="U1704" s="62">
        <f>IF(OR(R1704="",S1704="",T1704=""),"",IF(S1704+T1704=0,"",R1704/(S1704+T1704)))</f>
        <v/>
      </c>
      <c r="V1704" s="63"/>
      <c r="W1704" s="64"/>
      <c r="X1704" s="63"/>
    </row>
    <row r="1705" spans="2:24">
      <c r="B1705" s="58"/>
      <c r="C1705" s="59"/>
      <c r="D1705" s="59"/>
      <c r="E1705" s="59"/>
      <c r="F1705" s="59"/>
      <c r="G1705" s="60">
        <f>IF(OR(E1705="",F1705="",C1705="",D1705=""),"",IF(C1705+D1705=0,"",(E1705*C1705+F1705*D1705)/(C1705+D1705)))</f>
        <v/>
      </c>
      <c r="H1705" s="59"/>
      <c r="I1705" s="60">
        <f>IF(OR(H1705="",E1705="",C1705="",D1705=""),"",IF(C1705+D1705=0,"",(H1705*D1705+E1705*C1705)/(C1705+D1705)))</f>
        <v/>
      </c>
      <c r="J1705" s="59"/>
      <c r="K1705" s="61">
        <f>IF(OR(J1705="",I1705=""),"",J1705-I1705)</f>
        <v/>
      </c>
      <c r="L1705" s="61">
        <f>IF(OR(J1705="",G1705=""),"",J1705-G1705)</f>
        <v/>
      </c>
      <c r="M1705" s="59"/>
      <c r="N1705" s="59"/>
      <c r="O1705" s="59"/>
      <c r="P1705" s="59"/>
      <c r="Q1705" s="59"/>
      <c r="R1705" s="60">
        <f>IF(AND(P1705="",Q1705=""),"",N(P1705)+N(Q1705))</f>
        <v/>
      </c>
      <c r="S1705" s="59"/>
      <c r="T1705" s="59"/>
      <c r="U1705" s="62">
        <f>IF(OR(R1705="",S1705="",T1705=""),"",IF(S1705+T1705=0,"",R1705/(S1705+T1705)))</f>
        <v/>
      </c>
      <c r="V1705" s="63"/>
      <c r="W1705" s="64"/>
      <c r="X1705" s="63"/>
    </row>
    <row r="1706" spans="2:24">
      <c r="B1706" s="58"/>
      <c r="C1706" s="59"/>
      <c r="D1706" s="59"/>
      <c r="E1706" s="59"/>
      <c r="F1706" s="59"/>
      <c r="G1706" s="60">
        <f>IF(OR(E1706="",F1706="",C1706="",D1706=""),"",IF(C1706+D1706=0,"",(E1706*C1706+F1706*D1706)/(C1706+D1706)))</f>
        <v/>
      </c>
      <c r="H1706" s="59"/>
      <c r="I1706" s="60">
        <f>IF(OR(H1706="",E1706="",C1706="",D1706=""),"",IF(C1706+D1706=0,"",(H1706*D1706+E1706*C1706)/(C1706+D1706)))</f>
        <v/>
      </c>
      <c r="J1706" s="59"/>
      <c r="K1706" s="61">
        <f>IF(OR(J1706="",I1706=""),"",J1706-I1706)</f>
        <v/>
      </c>
      <c r="L1706" s="61">
        <f>IF(OR(J1706="",G1706=""),"",J1706-G1706)</f>
        <v/>
      </c>
      <c r="M1706" s="59"/>
      <c r="N1706" s="59"/>
      <c r="O1706" s="59"/>
      <c r="P1706" s="59"/>
      <c r="Q1706" s="59"/>
      <c r="R1706" s="60">
        <f>IF(AND(P1706="",Q1706=""),"",N(P1706)+N(Q1706))</f>
        <v/>
      </c>
      <c r="S1706" s="59"/>
      <c r="T1706" s="59"/>
      <c r="U1706" s="62">
        <f>IF(OR(R1706="",S1706="",T1706=""),"",IF(S1706+T1706=0,"",R1706/(S1706+T1706)))</f>
        <v/>
      </c>
      <c r="V1706" s="63"/>
      <c r="W1706" s="64"/>
      <c r="X1706" s="63"/>
    </row>
    <row r="1707" spans="2:24">
      <c r="B1707" s="58"/>
      <c r="C1707" s="59"/>
      <c r="D1707" s="59"/>
      <c r="E1707" s="59"/>
      <c r="F1707" s="59"/>
      <c r="G1707" s="60">
        <f>IF(OR(E1707="",F1707="",C1707="",D1707=""),"",IF(C1707+D1707=0,"",(E1707*C1707+F1707*D1707)/(C1707+D1707)))</f>
        <v/>
      </c>
      <c r="H1707" s="59"/>
      <c r="I1707" s="60">
        <f>IF(OR(H1707="",E1707="",C1707="",D1707=""),"",IF(C1707+D1707=0,"",(H1707*D1707+E1707*C1707)/(C1707+D1707)))</f>
        <v/>
      </c>
      <c r="J1707" s="59"/>
      <c r="K1707" s="61">
        <f>IF(OR(J1707="",I1707=""),"",J1707-I1707)</f>
        <v/>
      </c>
      <c r="L1707" s="61">
        <f>IF(OR(J1707="",G1707=""),"",J1707-G1707)</f>
        <v/>
      </c>
      <c r="M1707" s="59"/>
      <c r="N1707" s="59"/>
      <c r="O1707" s="59"/>
      <c r="P1707" s="59"/>
      <c r="Q1707" s="59"/>
      <c r="R1707" s="60">
        <f>IF(AND(P1707="",Q1707=""),"",N(P1707)+N(Q1707))</f>
        <v/>
      </c>
      <c r="S1707" s="59"/>
      <c r="T1707" s="59"/>
      <c r="U1707" s="62">
        <f>IF(OR(R1707="",S1707="",T1707=""),"",IF(S1707+T1707=0,"",R1707/(S1707+T1707)))</f>
        <v/>
      </c>
      <c r="V1707" s="63"/>
      <c r="W1707" s="64"/>
      <c r="X1707" s="63"/>
    </row>
    <row r="1708" spans="2:24">
      <c r="B1708" s="58"/>
      <c r="C1708" s="59"/>
      <c r="D1708" s="59"/>
      <c r="E1708" s="59"/>
      <c r="F1708" s="59"/>
      <c r="G1708" s="60">
        <f>IF(OR(E1708="",F1708="",C1708="",D1708=""),"",IF(C1708+D1708=0,"",(E1708*C1708+F1708*D1708)/(C1708+D1708)))</f>
        <v/>
      </c>
      <c r="H1708" s="59"/>
      <c r="I1708" s="60">
        <f>IF(OR(H1708="",E1708="",C1708="",D1708=""),"",IF(C1708+D1708=0,"",(H1708*D1708+E1708*C1708)/(C1708+D1708)))</f>
        <v/>
      </c>
      <c r="J1708" s="59"/>
      <c r="K1708" s="61">
        <f>IF(OR(J1708="",I1708=""),"",J1708-I1708)</f>
        <v/>
      </c>
      <c r="L1708" s="61">
        <f>IF(OR(J1708="",G1708=""),"",J1708-G1708)</f>
        <v/>
      </c>
      <c r="M1708" s="59"/>
      <c r="N1708" s="59"/>
      <c r="O1708" s="59"/>
      <c r="P1708" s="59"/>
      <c r="Q1708" s="59"/>
      <c r="R1708" s="60">
        <f>IF(AND(P1708="",Q1708=""),"",N(P1708)+N(Q1708))</f>
        <v/>
      </c>
      <c r="S1708" s="59"/>
      <c r="T1708" s="59"/>
      <c r="U1708" s="62">
        <f>IF(OR(R1708="",S1708="",T1708=""),"",IF(S1708+T1708=0,"",R1708/(S1708+T1708)))</f>
        <v/>
      </c>
      <c r="V1708" s="63"/>
      <c r="W1708" s="64"/>
      <c r="X1708" s="63"/>
    </row>
    <row r="1709" spans="2:24">
      <c r="B1709" s="58"/>
      <c r="C1709" s="59"/>
      <c r="D1709" s="59"/>
      <c r="E1709" s="59"/>
      <c r="F1709" s="59"/>
      <c r="G1709" s="60">
        <f>IF(OR(E1709="",F1709="",C1709="",D1709=""),"",IF(C1709+D1709=0,"",(E1709*C1709+F1709*D1709)/(C1709+D1709)))</f>
        <v/>
      </c>
      <c r="H1709" s="59"/>
      <c r="I1709" s="60">
        <f>IF(OR(H1709="",E1709="",C1709="",D1709=""),"",IF(C1709+D1709=0,"",(H1709*D1709+E1709*C1709)/(C1709+D1709)))</f>
        <v/>
      </c>
      <c r="J1709" s="59"/>
      <c r="K1709" s="61">
        <f>IF(OR(J1709="",I1709=""),"",J1709-I1709)</f>
        <v/>
      </c>
      <c r="L1709" s="61">
        <f>IF(OR(J1709="",G1709=""),"",J1709-G1709)</f>
        <v/>
      </c>
      <c r="M1709" s="59"/>
      <c r="N1709" s="59"/>
      <c r="O1709" s="59"/>
      <c r="P1709" s="59"/>
      <c r="Q1709" s="59"/>
      <c r="R1709" s="60">
        <f>IF(AND(P1709="",Q1709=""),"",N(P1709)+N(Q1709))</f>
        <v/>
      </c>
      <c r="S1709" s="59"/>
      <c r="T1709" s="59"/>
      <c r="U1709" s="62">
        <f>IF(OR(R1709="",S1709="",T1709=""),"",IF(S1709+T1709=0,"",R1709/(S1709+T1709)))</f>
        <v/>
      </c>
      <c r="V1709" s="63"/>
      <c r="W1709" s="64"/>
      <c r="X1709" s="63"/>
    </row>
    <row r="1710" spans="2:24">
      <c r="B1710" s="58"/>
      <c r="C1710" s="59"/>
      <c r="D1710" s="59"/>
      <c r="E1710" s="59"/>
      <c r="F1710" s="59"/>
      <c r="G1710" s="60">
        <f>IF(OR(E1710="",F1710="",C1710="",D1710=""),"",IF(C1710+D1710=0,"",(E1710*C1710+F1710*D1710)/(C1710+D1710)))</f>
        <v/>
      </c>
      <c r="H1710" s="59"/>
      <c r="I1710" s="60">
        <f>IF(OR(H1710="",E1710="",C1710="",D1710=""),"",IF(C1710+D1710=0,"",(H1710*D1710+E1710*C1710)/(C1710+D1710)))</f>
        <v/>
      </c>
      <c r="J1710" s="59"/>
      <c r="K1710" s="61">
        <f>IF(OR(J1710="",I1710=""),"",J1710-I1710)</f>
        <v/>
      </c>
      <c r="L1710" s="61">
        <f>IF(OR(J1710="",G1710=""),"",J1710-G1710)</f>
        <v/>
      </c>
      <c r="M1710" s="59"/>
      <c r="N1710" s="59"/>
      <c r="O1710" s="59"/>
      <c r="P1710" s="59"/>
      <c r="Q1710" s="59"/>
      <c r="R1710" s="60">
        <f>IF(AND(P1710="",Q1710=""),"",N(P1710)+N(Q1710))</f>
        <v/>
      </c>
      <c r="S1710" s="59"/>
      <c r="T1710" s="59"/>
      <c r="U1710" s="62">
        <f>IF(OR(R1710="",S1710="",T1710=""),"",IF(S1710+T1710=0,"",R1710/(S1710+T1710)))</f>
        <v/>
      </c>
      <c r="V1710" s="63"/>
      <c r="W1710" s="64"/>
      <c r="X1710" s="63"/>
    </row>
    <row r="1711" spans="2:24">
      <c r="B1711" s="58"/>
      <c r="C1711" s="59"/>
      <c r="D1711" s="59"/>
      <c r="E1711" s="59"/>
      <c r="F1711" s="59"/>
      <c r="G1711" s="60">
        <f>IF(OR(E1711="",F1711="",C1711="",D1711=""),"",IF(C1711+D1711=0,"",(E1711*C1711+F1711*D1711)/(C1711+D1711)))</f>
        <v/>
      </c>
      <c r="H1711" s="59"/>
      <c r="I1711" s="60">
        <f>IF(OR(H1711="",E1711="",C1711="",D1711=""),"",IF(C1711+D1711=0,"",(H1711*D1711+E1711*C1711)/(C1711+D1711)))</f>
        <v/>
      </c>
      <c r="J1711" s="59"/>
      <c r="K1711" s="61">
        <f>IF(OR(J1711="",I1711=""),"",J1711-I1711)</f>
        <v/>
      </c>
      <c r="L1711" s="61">
        <f>IF(OR(J1711="",G1711=""),"",J1711-G1711)</f>
        <v/>
      </c>
      <c r="M1711" s="59"/>
      <c r="N1711" s="59"/>
      <c r="O1711" s="59"/>
      <c r="P1711" s="59"/>
      <c r="Q1711" s="59"/>
      <c r="R1711" s="60">
        <f>IF(AND(P1711="",Q1711=""),"",N(P1711)+N(Q1711))</f>
        <v/>
      </c>
      <c r="S1711" s="59"/>
      <c r="T1711" s="59"/>
      <c r="U1711" s="62">
        <f>IF(OR(R1711="",S1711="",T1711=""),"",IF(S1711+T1711=0,"",R1711/(S1711+T1711)))</f>
        <v/>
      </c>
      <c r="V1711" s="63"/>
      <c r="W1711" s="64"/>
      <c r="X1711" s="63"/>
    </row>
    <row r="1712" spans="2:24">
      <c r="B1712" s="58"/>
      <c r="C1712" s="59"/>
      <c r="D1712" s="59"/>
      <c r="E1712" s="59"/>
      <c r="F1712" s="59"/>
      <c r="G1712" s="60">
        <f>IF(OR(E1712="",F1712="",C1712="",D1712=""),"",IF(C1712+D1712=0,"",(E1712*C1712+F1712*D1712)/(C1712+D1712)))</f>
        <v/>
      </c>
      <c r="H1712" s="59"/>
      <c r="I1712" s="60">
        <f>IF(OR(H1712="",E1712="",C1712="",D1712=""),"",IF(C1712+D1712=0,"",(H1712*D1712+E1712*C1712)/(C1712+D1712)))</f>
        <v/>
      </c>
      <c r="J1712" s="59"/>
      <c r="K1712" s="61">
        <f>IF(OR(J1712="",I1712=""),"",J1712-I1712)</f>
        <v/>
      </c>
      <c r="L1712" s="61">
        <f>IF(OR(J1712="",G1712=""),"",J1712-G1712)</f>
        <v/>
      </c>
      <c r="M1712" s="59"/>
      <c r="N1712" s="59"/>
      <c r="O1712" s="59"/>
      <c r="P1712" s="59"/>
      <c r="Q1712" s="59"/>
      <c r="R1712" s="60">
        <f>IF(AND(P1712="",Q1712=""),"",N(P1712)+N(Q1712))</f>
        <v/>
      </c>
      <c r="S1712" s="59"/>
      <c r="T1712" s="59"/>
      <c r="U1712" s="62">
        <f>IF(OR(R1712="",S1712="",T1712=""),"",IF(S1712+T1712=0,"",R1712/(S1712+T1712)))</f>
        <v/>
      </c>
      <c r="V1712" s="63"/>
      <c r="W1712" s="64"/>
      <c r="X1712" s="63"/>
    </row>
    <row r="1713" spans="2:24">
      <c r="B1713" s="58"/>
      <c r="C1713" s="59"/>
      <c r="D1713" s="59"/>
      <c r="E1713" s="59"/>
      <c r="F1713" s="59"/>
      <c r="G1713" s="60">
        <f>IF(OR(E1713="",F1713="",C1713="",D1713=""),"",IF(C1713+D1713=0,"",(E1713*C1713+F1713*D1713)/(C1713+D1713)))</f>
        <v/>
      </c>
      <c r="H1713" s="59"/>
      <c r="I1713" s="60">
        <f>IF(OR(H1713="",E1713="",C1713="",D1713=""),"",IF(C1713+D1713=0,"",(H1713*D1713+E1713*C1713)/(C1713+D1713)))</f>
        <v/>
      </c>
      <c r="J1713" s="59"/>
      <c r="K1713" s="61">
        <f>IF(OR(J1713="",I1713=""),"",J1713-I1713)</f>
        <v/>
      </c>
      <c r="L1713" s="61">
        <f>IF(OR(J1713="",G1713=""),"",J1713-G1713)</f>
        <v/>
      </c>
      <c r="M1713" s="59"/>
      <c r="N1713" s="59"/>
      <c r="O1713" s="59"/>
      <c r="P1713" s="59"/>
      <c r="Q1713" s="59"/>
      <c r="R1713" s="60">
        <f>IF(AND(P1713="",Q1713=""),"",N(P1713)+N(Q1713))</f>
        <v/>
      </c>
      <c r="S1713" s="59"/>
      <c r="T1713" s="59"/>
      <c r="U1713" s="62">
        <f>IF(OR(R1713="",S1713="",T1713=""),"",IF(S1713+T1713=0,"",R1713/(S1713+T1713)))</f>
        <v/>
      </c>
      <c r="V1713" s="63"/>
      <c r="W1713" s="64"/>
      <c r="X1713" s="63"/>
    </row>
    <row r="1714" spans="2:24">
      <c r="B1714" s="58"/>
      <c r="C1714" s="59"/>
      <c r="D1714" s="59"/>
      <c r="E1714" s="59"/>
      <c r="F1714" s="59"/>
      <c r="G1714" s="60">
        <f>IF(OR(E1714="",F1714="",C1714="",D1714=""),"",IF(C1714+D1714=0,"",(E1714*C1714+F1714*D1714)/(C1714+D1714)))</f>
        <v/>
      </c>
      <c r="H1714" s="59"/>
      <c r="I1714" s="60">
        <f>IF(OR(H1714="",E1714="",C1714="",D1714=""),"",IF(C1714+D1714=0,"",(H1714*D1714+E1714*C1714)/(C1714+D1714)))</f>
        <v/>
      </c>
      <c r="J1714" s="59"/>
      <c r="K1714" s="61">
        <f>IF(OR(J1714="",I1714=""),"",J1714-I1714)</f>
        <v/>
      </c>
      <c r="L1714" s="61">
        <f>IF(OR(J1714="",G1714=""),"",J1714-G1714)</f>
        <v/>
      </c>
      <c r="M1714" s="59"/>
      <c r="N1714" s="59"/>
      <c r="O1714" s="59"/>
      <c r="P1714" s="59"/>
      <c r="Q1714" s="59"/>
      <c r="R1714" s="60">
        <f>IF(AND(P1714="",Q1714=""),"",N(P1714)+N(Q1714))</f>
        <v/>
      </c>
      <c r="S1714" s="59"/>
      <c r="T1714" s="59"/>
      <c r="U1714" s="62">
        <f>IF(OR(R1714="",S1714="",T1714=""),"",IF(S1714+T1714=0,"",R1714/(S1714+T1714)))</f>
        <v/>
      </c>
      <c r="V1714" s="63"/>
      <c r="W1714" s="64"/>
      <c r="X1714" s="63"/>
    </row>
    <row r="1715" spans="2:24">
      <c r="B1715" s="58"/>
      <c r="C1715" s="59"/>
      <c r="D1715" s="59"/>
      <c r="E1715" s="59"/>
      <c r="F1715" s="59"/>
      <c r="G1715" s="60">
        <f>IF(OR(E1715="",F1715="",C1715="",D1715=""),"",IF(C1715+D1715=0,"",(E1715*C1715+F1715*D1715)/(C1715+D1715)))</f>
        <v/>
      </c>
      <c r="H1715" s="59"/>
      <c r="I1715" s="60">
        <f>IF(OR(H1715="",E1715="",C1715="",D1715=""),"",IF(C1715+D1715=0,"",(H1715*D1715+E1715*C1715)/(C1715+D1715)))</f>
        <v/>
      </c>
      <c r="J1715" s="59"/>
      <c r="K1715" s="61">
        <f>IF(OR(J1715="",I1715=""),"",J1715-I1715)</f>
        <v/>
      </c>
      <c r="L1715" s="61">
        <f>IF(OR(J1715="",G1715=""),"",J1715-G1715)</f>
        <v/>
      </c>
      <c r="M1715" s="59"/>
      <c r="N1715" s="59"/>
      <c r="O1715" s="59"/>
      <c r="P1715" s="59"/>
      <c r="Q1715" s="59"/>
      <c r="R1715" s="60">
        <f>IF(AND(P1715="",Q1715=""),"",N(P1715)+N(Q1715))</f>
        <v/>
      </c>
      <c r="S1715" s="59"/>
      <c r="T1715" s="59"/>
      <c r="U1715" s="62">
        <f>IF(OR(R1715="",S1715="",T1715=""),"",IF(S1715+T1715=0,"",R1715/(S1715+T1715)))</f>
        <v/>
      </c>
      <c r="V1715" s="63"/>
      <c r="W1715" s="64"/>
      <c r="X1715" s="63"/>
    </row>
    <row r="1716" spans="2:24">
      <c r="B1716" s="58"/>
      <c r="C1716" s="59"/>
      <c r="D1716" s="59"/>
      <c r="E1716" s="59"/>
      <c r="F1716" s="59"/>
      <c r="G1716" s="60">
        <f>IF(OR(E1716="",F1716="",C1716="",D1716=""),"",IF(C1716+D1716=0,"",(E1716*C1716+F1716*D1716)/(C1716+D1716)))</f>
        <v/>
      </c>
      <c r="H1716" s="59"/>
      <c r="I1716" s="60">
        <f>IF(OR(H1716="",E1716="",C1716="",D1716=""),"",IF(C1716+D1716=0,"",(H1716*D1716+E1716*C1716)/(C1716+D1716)))</f>
        <v/>
      </c>
      <c r="J1716" s="59"/>
      <c r="K1716" s="61">
        <f>IF(OR(J1716="",I1716=""),"",J1716-I1716)</f>
        <v/>
      </c>
      <c r="L1716" s="61">
        <f>IF(OR(J1716="",G1716=""),"",J1716-G1716)</f>
        <v/>
      </c>
      <c r="M1716" s="59"/>
      <c r="N1716" s="59"/>
      <c r="O1716" s="59"/>
      <c r="P1716" s="59"/>
      <c r="Q1716" s="59"/>
      <c r="R1716" s="60">
        <f>IF(AND(P1716="",Q1716=""),"",N(P1716)+N(Q1716))</f>
        <v/>
      </c>
      <c r="S1716" s="59"/>
      <c r="T1716" s="59"/>
      <c r="U1716" s="62">
        <f>IF(OR(R1716="",S1716="",T1716=""),"",IF(S1716+T1716=0,"",R1716/(S1716+T1716)))</f>
        <v/>
      </c>
      <c r="V1716" s="63"/>
      <c r="W1716" s="64"/>
      <c r="X1716" s="63"/>
    </row>
    <row r="1717" spans="2:24">
      <c r="B1717" s="58"/>
      <c r="C1717" s="59"/>
      <c r="D1717" s="59"/>
      <c r="E1717" s="59"/>
      <c r="F1717" s="59"/>
      <c r="G1717" s="60">
        <f>IF(OR(E1717="",F1717="",C1717="",D1717=""),"",IF(C1717+D1717=0,"",(E1717*C1717+F1717*D1717)/(C1717+D1717)))</f>
        <v/>
      </c>
      <c r="H1717" s="59"/>
      <c r="I1717" s="60">
        <f>IF(OR(H1717="",E1717="",C1717="",D1717=""),"",IF(C1717+D1717=0,"",(H1717*D1717+E1717*C1717)/(C1717+D1717)))</f>
        <v/>
      </c>
      <c r="J1717" s="59"/>
      <c r="K1717" s="61">
        <f>IF(OR(J1717="",I1717=""),"",J1717-I1717)</f>
        <v/>
      </c>
      <c r="L1717" s="61">
        <f>IF(OR(J1717="",G1717=""),"",J1717-G1717)</f>
        <v/>
      </c>
      <c r="M1717" s="59"/>
      <c r="N1717" s="59"/>
      <c r="O1717" s="59"/>
      <c r="P1717" s="59"/>
      <c r="Q1717" s="59"/>
      <c r="R1717" s="60">
        <f>IF(AND(P1717="",Q1717=""),"",N(P1717)+N(Q1717))</f>
        <v/>
      </c>
      <c r="S1717" s="59"/>
      <c r="T1717" s="59"/>
      <c r="U1717" s="62">
        <f>IF(OR(R1717="",S1717="",T1717=""),"",IF(S1717+T1717=0,"",R1717/(S1717+T1717)))</f>
        <v/>
      </c>
      <c r="V1717" s="63"/>
      <c r="W1717" s="64"/>
      <c r="X1717" s="63"/>
    </row>
    <row r="1718" spans="2:24">
      <c r="B1718" s="58"/>
      <c r="C1718" s="59"/>
      <c r="D1718" s="59"/>
      <c r="E1718" s="59"/>
      <c r="F1718" s="59"/>
      <c r="G1718" s="60">
        <f>IF(OR(E1718="",F1718="",C1718="",D1718=""),"",IF(C1718+D1718=0,"",(E1718*C1718+F1718*D1718)/(C1718+D1718)))</f>
        <v/>
      </c>
      <c r="H1718" s="59"/>
      <c r="I1718" s="60">
        <f>IF(OR(H1718="",E1718="",C1718="",D1718=""),"",IF(C1718+D1718=0,"",(H1718*D1718+E1718*C1718)/(C1718+D1718)))</f>
        <v/>
      </c>
      <c r="J1718" s="59"/>
      <c r="K1718" s="61">
        <f>IF(OR(J1718="",I1718=""),"",J1718-I1718)</f>
        <v/>
      </c>
      <c r="L1718" s="61">
        <f>IF(OR(J1718="",G1718=""),"",J1718-G1718)</f>
        <v/>
      </c>
      <c r="M1718" s="59"/>
      <c r="N1718" s="59"/>
      <c r="O1718" s="59"/>
      <c r="P1718" s="59"/>
      <c r="Q1718" s="59"/>
      <c r="R1718" s="60">
        <f>IF(AND(P1718="",Q1718=""),"",N(P1718)+N(Q1718))</f>
        <v/>
      </c>
      <c r="S1718" s="59"/>
      <c r="T1718" s="59"/>
      <c r="U1718" s="62">
        <f>IF(OR(R1718="",S1718="",T1718=""),"",IF(S1718+T1718=0,"",R1718/(S1718+T1718)))</f>
        <v/>
      </c>
      <c r="V1718" s="63"/>
      <c r="W1718" s="64"/>
      <c r="X1718" s="63"/>
    </row>
    <row r="1719" spans="2:24">
      <c r="B1719" s="58"/>
      <c r="C1719" s="59"/>
      <c r="D1719" s="59"/>
      <c r="E1719" s="59"/>
      <c r="F1719" s="59"/>
      <c r="G1719" s="60">
        <f>IF(OR(E1719="",F1719="",C1719="",D1719=""),"",IF(C1719+D1719=0,"",(E1719*C1719+F1719*D1719)/(C1719+D1719)))</f>
        <v/>
      </c>
      <c r="H1719" s="59"/>
      <c r="I1719" s="60">
        <f>IF(OR(H1719="",E1719="",C1719="",D1719=""),"",IF(C1719+D1719=0,"",(H1719*D1719+E1719*C1719)/(C1719+D1719)))</f>
        <v/>
      </c>
      <c r="J1719" s="59"/>
      <c r="K1719" s="61">
        <f>IF(OR(J1719="",I1719=""),"",J1719-I1719)</f>
        <v/>
      </c>
      <c r="L1719" s="61">
        <f>IF(OR(J1719="",G1719=""),"",J1719-G1719)</f>
        <v/>
      </c>
      <c r="M1719" s="59"/>
      <c r="N1719" s="59"/>
      <c r="O1719" s="59"/>
      <c r="P1719" s="59"/>
      <c r="Q1719" s="59"/>
      <c r="R1719" s="60">
        <f>IF(AND(P1719="",Q1719=""),"",N(P1719)+N(Q1719))</f>
        <v/>
      </c>
      <c r="S1719" s="59"/>
      <c r="T1719" s="59"/>
      <c r="U1719" s="62">
        <f>IF(OR(R1719="",S1719="",T1719=""),"",IF(S1719+T1719=0,"",R1719/(S1719+T1719)))</f>
        <v/>
      </c>
      <c r="V1719" s="63"/>
      <c r="W1719" s="64"/>
      <c r="X1719" s="63"/>
    </row>
    <row r="1720" spans="2:24">
      <c r="B1720" s="58"/>
      <c r="C1720" s="59"/>
      <c r="D1720" s="59"/>
      <c r="E1720" s="59"/>
      <c r="F1720" s="59"/>
      <c r="G1720" s="60">
        <f>IF(OR(E1720="",F1720="",C1720="",D1720=""),"",IF(C1720+D1720=0,"",(E1720*C1720+F1720*D1720)/(C1720+D1720)))</f>
        <v/>
      </c>
      <c r="H1720" s="59"/>
      <c r="I1720" s="60">
        <f>IF(OR(H1720="",E1720="",C1720="",D1720=""),"",IF(C1720+D1720=0,"",(H1720*D1720+E1720*C1720)/(C1720+D1720)))</f>
        <v/>
      </c>
      <c r="J1720" s="59"/>
      <c r="K1720" s="61">
        <f>IF(OR(J1720="",I1720=""),"",J1720-I1720)</f>
        <v/>
      </c>
      <c r="L1720" s="61">
        <f>IF(OR(J1720="",G1720=""),"",J1720-G1720)</f>
        <v/>
      </c>
      <c r="M1720" s="59"/>
      <c r="N1720" s="59"/>
      <c r="O1720" s="59"/>
      <c r="P1720" s="59"/>
      <c r="Q1720" s="59"/>
      <c r="R1720" s="60">
        <f>IF(AND(P1720="",Q1720=""),"",N(P1720)+N(Q1720))</f>
        <v/>
      </c>
      <c r="S1720" s="59"/>
      <c r="T1720" s="59"/>
      <c r="U1720" s="62">
        <f>IF(OR(R1720="",S1720="",T1720=""),"",IF(S1720+T1720=0,"",R1720/(S1720+T1720)))</f>
        <v/>
      </c>
      <c r="V1720" s="63"/>
      <c r="W1720" s="64"/>
      <c r="X1720" s="63"/>
    </row>
    <row r="1721" spans="2:24">
      <c r="B1721" s="58"/>
      <c r="C1721" s="59"/>
      <c r="D1721" s="59"/>
      <c r="E1721" s="59"/>
      <c r="F1721" s="59"/>
      <c r="G1721" s="60">
        <f>IF(OR(E1721="",F1721="",C1721="",D1721=""),"",IF(C1721+D1721=0,"",(E1721*C1721+F1721*D1721)/(C1721+D1721)))</f>
        <v/>
      </c>
      <c r="H1721" s="59"/>
      <c r="I1721" s="60">
        <f>IF(OR(H1721="",E1721="",C1721="",D1721=""),"",IF(C1721+D1721=0,"",(H1721*D1721+E1721*C1721)/(C1721+D1721)))</f>
        <v/>
      </c>
      <c r="J1721" s="59"/>
      <c r="K1721" s="61">
        <f>IF(OR(J1721="",I1721=""),"",J1721-I1721)</f>
        <v/>
      </c>
      <c r="L1721" s="61">
        <f>IF(OR(J1721="",G1721=""),"",J1721-G1721)</f>
        <v/>
      </c>
      <c r="M1721" s="59"/>
      <c r="N1721" s="59"/>
      <c r="O1721" s="59"/>
      <c r="P1721" s="59"/>
      <c r="Q1721" s="59"/>
      <c r="R1721" s="60">
        <f>IF(AND(P1721="",Q1721=""),"",N(P1721)+N(Q1721))</f>
        <v/>
      </c>
      <c r="S1721" s="59"/>
      <c r="T1721" s="59"/>
      <c r="U1721" s="62">
        <f>IF(OR(R1721="",S1721="",T1721=""),"",IF(S1721+T1721=0,"",R1721/(S1721+T1721)))</f>
        <v/>
      </c>
      <c r="V1721" s="63"/>
      <c r="W1721" s="64"/>
      <c r="X1721" s="63"/>
    </row>
    <row r="1722" spans="2:24">
      <c r="B1722" s="58"/>
      <c r="C1722" s="59"/>
      <c r="D1722" s="59"/>
      <c r="E1722" s="59"/>
      <c r="F1722" s="59"/>
      <c r="G1722" s="60">
        <f>IF(OR(E1722="",F1722="",C1722="",D1722=""),"",IF(C1722+D1722=0,"",(E1722*C1722+F1722*D1722)/(C1722+D1722)))</f>
        <v/>
      </c>
      <c r="H1722" s="59"/>
      <c r="I1722" s="60">
        <f>IF(OR(H1722="",E1722="",C1722="",D1722=""),"",IF(C1722+D1722=0,"",(H1722*D1722+E1722*C1722)/(C1722+D1722)))</f>
        <v/>
      </c>
      <c r="J1722" s="59"/>
      <c r="K1722" s="61">
        <f>IF(OR(J1722="",I1722=""),"",J1722-I1722)</f>
        <v/>
      </c>
      <c r="L1722" s="61">
        <f>IF(OR(J1722="",G1722=""),"",J1722-G1722)</f>
        <v/>
      </c>
      <c r="M1722" s="59"/>
      <c r="N1722" s="59"/>
      <c r="O1722" s="59"/>
      <c r="P1722" s="59"/>
      <c r="Q1722" s="59"/>
      <c r="R1722" s="60">
        <f>IF(AND(P1722="",Q1722=""),"",N(P1722)+N(Q1722))</f>
        <v/>
      </c>
      <c r="S1722" s="59"/>
      <c r="T1722" s="59"/>
      <c r="U1722" s="62">
        <f>IF(OR(R1722="",S1722="",T1722=""),"",IF(S1722+T1722=0,"",R1722/(S1722+T1722)))</f>
        <v/>
      </c>
      <c r="V1722" s="63"/>
      <c r="W1722" s="64"/>
      <c r="X1722" s="63"/>
    </row>
    <row r="1723" spans="2:24">
      <c r="B1723" s="58"/>
      <c r="C1723" s="59"/>
      <c r="D1723" s="59"/>
      <c r="E1723" s="59"/>
      <c r="F1723" s="59"/>
      <c r="G1723" s="60">
        <f>IF(OR(E1723="",F1723="",C1723="",D1723=""),"",IF(C1723+D1723=0,"",(E1723*C1723+F1723*D1723)/(C1723+D1723)))</f>
        <v/>
      </c>
      <c r="H1723" s="59"/>
      <c r="I1723" s="60">
        <f>IF(OR(H1723="",E1723="",C1723="",D1723=""),"",IF(C1723+D1723=0,"",(H1723*D1723+E1723*C1723)/(C1723+D1723)))</f>
        <v/>
      </c>
      <c r="J1723" s="59"/>
      <c r="K1723" s="61">
        <f>IF(OR(J1723="",I1723=""),"",J1723-I1723)</f>
        <v/>
      </c>
      <c r="L1723" s="61">
        <f>IF(OR(J1723="",G1723=""),"",J1723-G1723)</f>
        <v/>
      </c>
      <c r="M1723" s="59"/>
      <c r="N1723" s="59"/>
      <c r="O1723" s="59"/>
      <c r="P1723" s="59"/>
      <c r="Q1723" s="59"/>
      <c r="R1723" s="60">
        <f>IF(AND(P1723="",Q1723=""),"",N(P1723)+N(Q1723))</f>
        <v/>
      </c>
      <c r="S1723" s="59"/>
      <c r="T1723" s="59"/>
      <c r="U1723" s="62">
        <f>IF(OR(R1723="",S1723="",T1723=""),"",IF(S1723+T1723=0,"",R1723/(S1723+T1723)))</f>
        <v/>
      </c>
      <c r="V1723" s="63"/>
      <c r="W1723" s="64"/>
      <c r="X1723" s="63"/>
    </row>
    <row r="1724" spans="2:24">
      <c r="B1724" s="58"/>
      <c r="C1724" s="59"/>
      <c r="D1724" s="59"/>
      <c r="E1724" s="59"/>
      <c r="F1724" s="59"/>
      <c r="G1724" s="60">
        <f>IF(OR(E1724="",F1724="",C1724="",D1724=""),"",IF(C1724+D1724=0,"",(E1724*C1724+F1724*D1724)/(C1724+D1724)))</f>
        <v/>
      </c>
      <c r="H1724" s="59"/>
      <c r="I1724" s="60">
        <f>IF(OR(H1724="",E1724="",C1724="",D1724=""),"",IF(C1724+D1724=0,"",(H1724*D1724+E1724*C1724)/(C1724+D1724)))</f>
        <v/>
      </c>
      <c r="J1724" s="59"/>
      <c r="K1724" s="61">
        <f>IF(OR(J1724="",I1724=""),"",J1724-I1724)</f>
        <v/>
      </c>
      <c r="L1724" s="61">
        <f>IF(OR(J1724="",G1724=""),"",J1724-G1724)</f>
        <v/>
      </c>
      <c r="M1724" s="59"/>
      <c r="N1724" s="59"/>
      <c r="O1724" s="59"/>
      <c r="P1724" s="59"/>
      <c r="Q1724" s="59"/>
      <c r="R1724" s="60">
        <f>IF(AND(P1724="",Q1724=""),"",N(P1724)+N(Q1724))</f>
        <v/>
      </c>
      <c r="S1724" s="59"/>
      <c r="T1724" s="59"/>
      <c r="U1724" s="62">
        <f>IF(OR(R1724="",S1724="",T1724=""),"",IF(S1724+T1724=0,"",R1724/(S1724+T1724)))</f>
        <v/>
      </c>
      <c r="V1724" s="63"/>
      <c r="W1724" s="64"/>
      <c r="X1724" s="63"/>
    </row>
    <row r="1725" spans="2:24">
      <c r="B1725" s="58"/>
      <c r="C1725" s="59"/>
      <c r="D1725" s="59"/>
      <c r="E1725" s="59"/>
      <c r="F1725" s="59"/>
      <c r="G1725" s="60">
        <f>IF(OR(E1725="",F1725="",C1725="",D1725=""),"",IF(C1725+D1725=0,"",(E1725*C1725+F1725*D1725)/(C1725+D1725)))</f>
        <v/>
      </c>
      <c r="H1725" s="59"/>
      <c r="I1725" s="60">
        <f>IF(OR(H1725="",E1725="",C1725="",D1725=""),"",IF(C1725+D1725=0,"",(H1725*D1725+E1725*C1725)/(C1725+D1725)))</f>
        <v/>
      </c>
      <c r="J1725" s="59"/>
      <c r="K1725" s="61">
        <f>IF(OR(J1725="",I1725=""),"",J1725-I1725)</f>
        <v/>
      </c>
      <c r="L1725" s="61">
        <f>IF(OR(J1725="",G1725=""),"",J1725-G1725)</f>
        <v/>
      </c>
      <c r="M1725" s="59"/>
      <c r="N1725" s="59"/>
      <c r="O1725" s="59"/>
      <c r="P1725" s="59"/>
      <c r="Q1725" s="59"/>
      <c r="R1725" s="60">
        <f>IF(AND(P1725="",Q1725=""),"",N(P1725)+N(Q1725))</f>
        <v/>
      </c>
      <c r="S1725" s="59"/>
      <c r="T1725" s="59"/>
      <c r="U1725" s="62">
        <f>IF(OR(R1725="",S1725="",T1725=""),"",IF(S1725+T1725=0,"",R1725/(S1725+T1725)))</f>
        <v/>
      </c>
      <c r="V1725" s="63"/>
      <c r="W1725" s="64"/>
      <c r="X1725" s="63"/>
    </row>
    <row r="1726" spans="2:24">
      <c r="B1726" s="58"/>
      <c r="C1726" s="59"/>
      <c r="D1726" s="59"/>
      <c r="E1726" s="59"/>
      <c r="F1726" s="59"/>
      <c r="G1726" s="60">
        <f>IF(OR(E1726="",F1726="",C1726="",D1726=""),"",IF(C1726+D1726=0,"",(E1726*C1726+F1726*D1726)/(C1726+D1726)))</f>
        <v/>
      </c>
      <c r="H1726" s="59"/>
      <c r="I1726" s="60">
        <f>IF(OR(H1726="",E1726="",C1726="",D1726=""),"",IF(C1726+D1726=0,"",(H1726*D1726+E1726*C1726)/(C1726+D1726)))</f>
        <v/>
      </c>
      <c r="J1726" s="59"/>
      <c r="K1726" s="61">
        <f>IF(OR(J1726="",I1726=""),"",J1726-I1726)</f>
        <v/>
      </c>
      <c r="L1726" s="61">
        <f>IF(OR(J1726="",G1726=""),"",J1726-G1726)</f>
        <v/>
      </c>
      <c r="M1726" s="59"/>
      <c r="N1726" s="59"/>
      <c r="O1726" s="59"/>
      <c r="P1726" s="59"/>
      <c r="Q1726" s="59"/>
      <c r="R1726" s="60">
        <f>IF(AND(P1726="",Q1726=""),"",N(P1726)+N(Q1726))</f>
        <v/>
      </c>
      <c r="S1726" s="59"/>
      <c r="T1726" s="59"/>
      <c r="U1726" s="62">
        <f>IF(OR(R1726="",S1726="",T1726=""),"",IF(S1726+T1726=0,"",R1726/(S1726+T1726)))</f>
        <v/>
      </c>
      <c r="V1726" s="63"/>
      <c r="W1726" s="64"/>
      <c r="X1726" s="63"/>
    </row>
    <row r="1727" spans="2:24">
      <c r="B1727" s="58"/>
      <c r="C1727" s="59"/>
      <c r="D1727" s="59"/>
      <c r="E1727" s="59"/>
      <c r="F1727" s="59"/>
      <c r="G1727" s="60">
        <f>IF(OR(E1727="",F1727="",C1727="",D1727=""),"",IF(C1727+D1727=0,"",(E1727*C1727+F1727*D1727)/(C1727+D1727)))</f>
        <v/>
      </c>
      <c r="H1727" s="59"/>
      <c r="I1727" s="60">
        <f>IF(OR(H1727="",E1727="",C1727="",D1727=""),"",IF(C1727+D1727=0,"",(H1727*D1727+E1727*C1727)/(C1727+D1727)))</f>
        <v/>
      </c>
      <c r="J1727" s="59"/>
      <c r="K1727" s="61">
        <f>IF(OR(J1727="",I1727=""),"",J1727-I1727)</f>
        <v/>
      </c>
      <c r="L1727" s="61">
        <f>IF(OR(J1727="",G1727=""),"",J1727-G1727)</f>
        <v/>
      </c>
      <c r="M1727" s="59"/>
      <c r="N1727" s="59"/>
      <c r="O1727" s="59"/>
      <c r="P1727" s="59"/>
      <c r="Q1727" s="59"/>
      <c r="R1727" s="60">
        <f>IF(AND(P1727="",Q1727=""),"",N(P1727)+N(Q1727))</f>
        <v/>
      </c>
      <c r="S1727" s="59"/>
      <c r="T1727" s="59"/>
      <c r="U1727" s="62">
        <f>IF(OR(R1727="",S1727="",T1727=""),"",IF(S1727+T1727=0,"",R1727/(S1727+T1727)))</f>
        <v/>
      </c>
      <c r="V1727" s="63"/>
      <c r="W1727" s="64"/>
      <c r="X1727" s="63"/>
    </row>
    <row r="1728" spans="2:24">
      <c r="B1728" s="58"/>
      <c r="C1728" s="59"/>
      <c r="D1728" s="59"/>
      <c r="E1728" s="59"/>
      <c r="F1728" s="59"/>
      <c r="G1728" s="60">
        <f>IF(OR(E1728="",F1728="",C1728="",D1728=""),"",IF(C1728+D1728=0,"",(E1728*C1728+F1728*D1728)/(C1728+D1728)))</f>
        <v/>
      </c>
      <c r="H1728" s="59"/>
      <c r="I1728" s="60">
        <f>IF(OR(H1728="",E1728="",C1728="",D1728=""),"",IF(C1728+D1728=0,"",(H1728*D1728+E1728*C1728)/(C1728+D1728)))</f>
        <v/>
      </c>
      <c r="J1728" s="59"/>
      <c r="K1728" s="61">
        <f>IF(OR(J1728="",I1728=""),"",J1728-I1728)</f>
        <v/>
      </c>
      <c r="L1728" s="61">
        <f>IF(OR(J1728="",G1728=""),"",J1728-G1728)</f>
        <v/>
      </c>
      <c r="M1728" s="59"/>
      <c r="N1728" s="59"/>
      <c r="O1728" s="59"/>
      <c r="P1728" s="59"/>
      <c r="Q1728" s="59"/>
      <c r="R1728" s="60">
        <f>IF(AND(P1728="",Q1728=""),"",N(P1728)+N(Q1728))</f>
        <v/>
      </c>
      <c r="S1728" s="59"/>
      <c r="T1728" s="59"/>
      <c r="U1728" s="62">
        <f>IF(OR(R1728="",S1728="",T1728=""),"",IF(S1728+T1728=0,"",R1728/(S1728+T1728)))</f>
        <v/>
      </c>
      <c r="V1728" s="63"/>
      <c r="W1728" s="64"/>
      <c r="X1728" s="63"/>
    </row>
    <row r="1729" spans="2:24">
      <c r="B1729" s="58"/>
      <c r="C1729" s="59"/>
      <c r="D1729" s="59"/>
      <c r="E1729" s="59"/>
      <c r="F1729" s="59"/>
      <c r="G1729" s="60">
        <f>IF(OR(E1729="",F1729="",C1729="",D1729=""),"",IF(C1729+D1729=0,"",(E1729*C1729+F1729*D1729)/(C1729+D1729)))</f>
        <v/>
      </c>
      <c r="H1729" s="59"/>
      <c r="I1729" s="60">
        <f>IF(OR(H1729="",E1729="",C1729="",D1729=""),"",IF(C1729+D1729=0,"",(H1729*D1729+E1729*C1729)/(C1729+D1729)))</f>
        <v/>
      </c>
      <c r="J1729" s="59"/>
      <c r="K1729" s="61">
        <f>IF(OR(J1729="",I1729=""),"",J1729-I1729)</f>
        <v/>
      </c>
      <c r="L1729" s="61">
        <f>IF(OR(J1729="",G1729=""),"",J1729-G1729)</f>
        <v/>
      </c>
      <c r="M1729" s="59"/>
      <c r="N1729" s="59"/>
      <c r="O1729" s="59"/>
      <c r="P1729" s="59"/>
      <c r="Q1729" s="59"/>
      <c r="R1729" s="60">
        <f>IF(AND(P1729="",Q1729=""),"",N(P1729)+N(Q1729))</f>
        <v/>
      </c>
      <c r="S1729" s="59"/>
      <c r="T1729" s="59"/>
      <c r="U1729" s="62">
        <f>IF(OR(R1729="",S1729="",T1729=""),"",IF(S1729+T1729=0,"",R1729/(S1729+T1729)))</f>
        <v/>
      </c>
      <c r="V1729" s="63"/>
      <c r="W1729" s="64"/>
      <c r="X1729" s="63"/>
    </row>
    <row r="1730" spans="2:24">
      <c r="B1730" s="58"/>
      <c r="C1730" s="59"/>
      <c r="D1730" s="59"/>
      <c r="E1730" s="59"/>
      <c r="F1730" s="59"/>
      <c r="G1730" s="60">
        <f>IF(OR(E1730="",F1730="",C1730="",D1730=""),"",IF(C1730+D1730=0,"",(E1730*C1730+F1730*D1730)/(C1730+D1730)))</f>
        <v/>
      </c>
      <c r="H1730" s="59"/>
      <c r="I1730" s="60">
        <f>IF(OR(H1730="",E1730="",C1730="",D1730=""),"",IF(C1730+D1730=0,"",(H1730*D1730+E1730*C1730)/(C1730+D1730)))</f>
        <v/>
      </c>
      <c r="J1730" s="59"/>
      <c r="K1730" s="61">
        <f>IF(OR(J1730="",I1730=""),"",J1730-I1730)</f>
        <v/>
      </c>
      <c r="L1730" s="61">
        <f>IF(OR(J1730="",G1730=""),"",J1730-G1730)</f>
        <v/>
      </c>
      <c r="M1730" s="59"/>
      <c r="N1730" s="59"/>
      <c r="O1730" s="59"/>
      <c r="P1730" s="59"/>
      <c r="Q1730" s="59"/>
      <c r="R1730" s="60">
        <f>IF(AND(P1730="",Q1730=""),"",N(P1730)+N(Q1730))</f>
        <v/>
      </c>
      <c r="S1730" s="59"/>
      <c r="T1730" s="59"/>
      <c r="U1730" s="62">
        <f>IF(OR(R1730="",S1730="",T1730=""),"",IF(S1730+T1730=0,"",R1730/(S1730+T1730)))</f>
        <v/>
      </c>
      <c r="V1730" s="63"/>
      <c r="W1730" s="64"/>
      <c r="X1730" s="63"/>
    </row>
    <row r="1731" spans="2:24">
      <c r="B1731" s="58"/>
      <c r="C1731" s="59"/>
      <c r="D1731" s="59"/>
      <c r="E1731" s="59"/>
      <c r="F1731" s="59"/>
      <c r="G1731" s="60">
        <f>IF(OR(E1731="",F1731="",C1731="",D1731=""),"",IF(C1731+D1731=0,"",(E1731*C1731+F1731*D1731)/(C1731+D1731)))</f>
        <v/>
      </c>
      <c r="H1731" s="59"/>
      <c r="I1731" s="60">
        <f>IF(OR(H1731="",E1731="",C1731="",D1731=""),"",IF(C1731+D1731=0,"",(H1731*D1731+E1731*C1731)/(C1731+D1731)))</f>
        <v/>
      </c>
      <c r="J1731" s="59"/>
      <c r="K1731" s="61">
        <f>IF(OR(J1731="",I1731=""),"",J1731-I1731)</f>
        <v/>
      </c>
      <c r="L1731" s="61">
        <f>IF(OR(J1731="",G1731=""),"",J1731-G1731)</f>
        <v/>
      </c>
      <c r="M1731" s="59"/>
      <c r="N1731" s="59"/>
      <c r="O1731" s="59"/>
      <c r="P1731" s="59"/>
      <c r="Q1731" s="59"/>
      <c r="R1731" s="60">
        <f>IF(AND(P1731="",Q1731=""),"",N(P1731)+N(Q1731))</f>
        <v/>
      </c>
      <c r="S1731" s="59"/>
      <c r="T1731" s="59"/>
      <c r="U1731" s="62">
        <f>IF(OR(R1731="",S1731="",T1731=""),"",IF(S1731+T1731=0,"",R1731/(S1731+T1731)))</f>
        <v/>
      </c>
      <c r="V1731" s="63"/>
      <c r="W1731" s="64"/>
      <c r="X1731" s="63"/>
    </row>
    <row r="1732" spans="2:24">
      <c r="B1732" s="58"/>
      <c r="C1732" s="59"/>
      <c r="D1732" s="59"/>
      <c r="E1732" s="59"/>
      <c r="F1732" s="59"/>
      <c r="G1732" s="60">
        <f>IF(OR(E1732="",F1732="",C1732="",D1732=""),"",IF(C1732+D1732=0,"",(E1732*C1732+F1732*D1732)/(C1732+D1732)))</f>
        <v/>
      </c>
      <c r="H1732" s="59"/>
      <c r="I1732" s="60">
        <f>IF(OR(H1732="",E1732="",C1732="",D1732=""),"",IF(C1732+D1732=0,"",(H1732*D1732+E1732*C1732)/(C1732+D1732)))</f>
        <v/>
      </c>
      <c r="J1732" s="59"/>
      <c r="K1732" s="61">
        <f>IF(OR(J1732="",I1732=""),"",J1732-I1732)</f>
        <v/>
      </c>
      <c r="L1732" s="61">
        <f>IF(OR(J1732="",G1732=""),"",J1732-G1732)</f>
        <v/>
      </c>
      <c r="M1732" s="59"/>
      <c r="N1732" s="59"/>
      <c r="O1732" s="59"/>
      <c r="P1732" s="59"/>
      <c r="Q1732" s="59"/>
      <c r="R1732" s="60">
        <f>IF(AND(P1732="",Q1732=""),"",N(P1732)+N(Q1732))</f>
        <v/>
      </c>
      <c r="S1732" s="59"/>
      <c r="T1732" s="59"/>
      <c r="U1732" s="62">
        <f>IF(OR(R1732="",S1732="",T1732=""),"",IF(S1732+T1732=0,"",R1732/(S1732+T1732)))</f>
        <v/>
      </c>
      <c r="V1732" s="63"/>
      <c r="W1732" s="64"/>
      <c r="X1732" s="63"/>
    </row>
    <row r="1733" spans="2:24">
      <c r="B1733" s="58"/>
      <c r="C1733" s="59"/>
      <c r="D1733" s="59"/>
      <c r="E1733" s="59"/>
      <c r="F1733" s="59"/>
      <c r="G1733" s="60">
        <f>IF(OR(E1733="",F1733="",C1733="",D1733=""),"",IF(C1733+D1733=0,"",(E1733*C1733+F1733*D1733)/(C1733+D1733)))</f>
        <v/>
      </c>
      <c r="H1733" s="59"/>
      <c r="I1733" s="60">
        <f>IF(OR(H1733="",E1733="",C1733="",D1733=""),"",IF(C1733+D1733=0,"",(H1733*D1733+E1733*C1733)/(C1733+D1733)))</f>
        <v/>
      </c>
      <c r="J1733" s="59"/>
      <c r="K1733" s="61">
        <f>IF(OR(J1733="",I1733=""),"",J1733-I1733)</f>
        <v/>
      </c>
      <c r="L1733" s="61">
        <f>IF(OR(J1733="",G1733=""),"",J1733-G1733)</f>
        <v/>
      </c>
      <c r="M1733" s="59"/>
      <c r="N1733" s="59"/>
      <c r="O1733" s="59"/>
      <c r="P1733" s="59"/>
      <c r="Q1733" s="59"/>
      <c r="R1733" s="60">
        <f>IF(AND(P1733="",Q1733=""),"",N(P1733)+N(Q1733))</f>
        <v/>
      </c>
      <c r="S1733" s="59"/>
      <c r="T1733" s="59"/>
      <c r="U1733" s="62">
        <f>IF(OR(R1733="",S1733="",T1733=""),"",IF(S1733+T1733=0,"",R1733/(S1733+T1733)))</f>
        <v/>
      </c>
      <c r="V1733" s="63"/>
      <c r="W1733" s="64"/>
      <c r="X1733" s="63"/>
    </row>
    <row r="1734" spans="2:24">
      <c r="B1734" s="58"/>
      <c r="C1734" s="59"/>
      <c r="D1734" s="59"/>
      <c r="E1734" s="59"/>
      <c r="F1734" s="59"/>
      <c r="G1734" s="60">
        <f>IF(OR(E1734="",F1734="",C1734="",D1734=""),"",IF(C1734+D1734=0,"",(E1734*C1734+F1734*D1734)/(C1734+D1734)))</f>
        <v/>
      </c>
      <c r="H1734" s="59"/>
      <c r="I1734" s="60">
        <f>IF(OR(H1734="",E1734="",C1734="",D1734=""),"",IF(C1734+D1734=0,"",(H1734*D1734+E1734*C1734)/(C1734+D1734)))</f>
        <v/>
      </c>
      <c r="J1734" s="59"/>
      <c r="K1734" s="61">
        <f>IF(OR(J1734="",I1734=""),"",J1734-I1734)</f>
        <v/>
      </c>
      <c r="L1734" s="61">
        <f>IF(OR(J1734="",G1734=""),"",J1734-G1734)</f>
        <v/>
      </c>
      <c r="M1734" s="59"/>
      <c r="N1734" s="59"/>
      <c r="O1734" s="59"/>
      <c r="P1734" s="59"/>
      <c r="Q1734" s="59"/>
      <c r="R1734" s="60">
        <f>IF(AND(P1734="",Q1734=""),"",N(P1734)+N(Q1734))</f>
        <v/>
      </c>
      <c r="S1734" s="59"/>
      <c r="T1734" s="59"/>
      <c r="U1734" s="62">
        <f>IF(OR(R1734="",S1734="",T1734=""),"",IF(S1734+T1734=0,"",R1734/(S1734+T1734)))</f>
        <v/>
      </c>
      <c r="V1734" s="63"/>
      <c r="W1734" s="64"/>
      <c r="X1734" s="63"/>
    </row>
    <row r="1735" spans="2:24">
      <c r="B1735" s="58"/>
      <c r="C1735" s="59"/>
      <c r="D1735" s="59"/>
      <c r="E1735" s="59"/>
      <c r="F1735" s="59"/>
      <c r="G1735" s="60">
        <f>IF(OR(E1735="",F1735="",C1735="",D1735=""),"",IF(C1735+D1735=0,"",(E1735*C1735+F1735*D1735)/(C1735+D1735)))</f>
        <v/>
      </c>
      <c r="H1735" s="59"/>
      <c r="I1735" s="60">
        <f>IF(OR(H1735="",E1735="",C1735="",D1735=""),"",IF(C1735+D1735=0,"",(H1735*D1735+E1735*C1735)/(C1735+D1735)))</f>
        <v/>
      </c>
      <c r="J1735" s="59"/>
      <c r="K1735" s="61">
        <f>IF(OR(J1735="",I1735=""),"",J1735-I1735)</f>
        <v/>
      </c>
      <c r="L1735" s="61">
        <f>IF(OR(J1735="",G1735=""),"",J1735-G1735)</f>
        <v/>
      </c>
      <c r="M1735" s="59"/>
      <c r="N1735" s="59"/>
      <c r="O1735" s="59"/>
      <c r="P1735" s="59"/>
      <c r="Q1735" s="59"/>
      <c r="R1735" s="60">
        <f>IF(AND(P1735="",Q1735=""),"",N(P1735)+N(Q1735))</f>
        <v/>
      </c>
      <c r="S1735" s="59"/>
      <c r="T1735" s="59"/>
      <c r="U1735" s="62">
        <f>IF(OR(R1735="",S1735="",T1735=""),"",IF(S1735+T1735=0,"",R1735/(S1735+T1735)))</f>
        <v/>
      </c>
      <c r="V1735" s="63"/>
      <c r="W1735" s="64"/>
      <c r="X1735" s="63"/>
    </row>
    <row r="1736" spans="2:24">
      <c r="B1736" s="58"/>
      <c r="C1736" s="59"/>
      <c r="D1736" s="59"/>
      <c r="E1736" s="59"/>
      <c r="F1736" s="59"/>
      <c r="G1736" s="60">
        <f>IF(OR(E1736="",F1736="",C1736="",D1736=""),"",IF(C1736+D1736=0,"",(E1736*C1736+F1736*D1736)/(C1736+D1736)))</f>
        <v/>
      </c>
      <c r="H1736" s="59"/>
      <c r="I1736" s="60">
        <f>IF(OR(H1736="",E1736="",C1736="",D1736=""),"",IF(C1736+D1736=0,"",(H1736*D1736+E1736*C1736)/(C1736+D1736)))</f>
        <v/>
      </c>
      <c r="J1736" s="59"/>
      <c r="K1736" s="61">
        <f>IF(OR(J1736="",I1736=""),"",J1736-I1736)</f>
        <v/>
      </c>
      <c r="L1736" s="61">
        <f>IF(OR(J1736="",G1736=""),"",J1736-G1736)</f>
        <v/>
      </c>
      <c r="M1736" s="59"/>
      <c r="N1736" s="59"/>
      <c r="O1736" s="59"/>
      <c r="P1736" s="59"/>
      <c r="Q1736" s="59"/>
      <c r="R1736" s="60">
        <f>IF(AND(P1736="",Q1736=""),"",N(P1736)+N(Q1736))</f>
        <v/>
      </c>
      <c r="S1736" s="59"/>
      <c r="T1736" s="59"/>
      <c r="U1736" s="62">
        <f>IF(OR(R1736="",S1736="",T1736=""),"",IF(S1736+T1736=0,"",R1736/(S1736+T1736)))</f>
        <v/>
      </c>
      <c r="V1736" s="63"/>
      <c r="W1736" s="64"/>
      <c r="X1736" s="63"/>
    </row>
    <row r="1737" spans="2:24">
      <c r="B1737" s="58"/>
      <c r="C1737" s="59"/>
      <c r="D1737" s="59"/>
      <c r="E1737" s="59"/>
      <c r="F1737" s="59"/>
      <c r="G1737" s="60">
        <f>IF(OR(E1737="",F1737="",C1737="",D1737=""),"",IF(C1737+D1737=0,"",(E1737*C1737+F1737*D1737)/(C1737+D1737)))</f>
        <v/>
      </c>
      <c r="H1737" s="59"/>
      <c r="I1737" s="60">
        <f>IF(OR(H1737="",E1737="",C1737="",D1737=""),"",IF(C1737+D1737=0,"",(H1737*D1737+E1737*C1737)/(C1737+D1737)))</f>
        <v/>
      </c>
      <c r="J1737" s="59"/>
      <c r="K1737" s="61">
        <f>IF(OR(J1737="",I1737=""),"",J1737-I1737)</f>
        <v/>
      </c>
      <c r="L1737" s="61">
        <f>IF(OR(J1737="",G1737=""),"",J1737-G1737)</f>
        <v/>
      </c>
      <c r="M1737" s="59"/>
      <c r="N1737" s="59"/>
      <c r="O1737" s="59"/>
      <c r="P1737" s="59"/>
      <c r="Q1737" s="59"/>
      <c r="R1737" s="60">
        <f>IF(AND(P1737="",Q1737=""),"",N(P1737)+N(Q1737))</f>
        <v/>
      </c>
      <c r="S1737" s="59"/>
      <c r="T1737" s="59"/>
      <c r="U1737" s="62">
        <f>IF(OR(R1737="",S1737="",T1737=""),"",IF(S1737+T1737=0,"",R1737/(S1737+T1737)))</f>
        <v/>
      </c>
      <c r="V1737" s="63"/>
      <c r="W1737" s="64"/>
      <c r="X1737" s="63"/>
    </row>
    <row r="1738" spans="2:24">
      <c r="B1738" s="58"/>
      <c r="C1738" s="59"/>
      <c r="D1738" s="59"/>
      <c r="E1738" s="59"/>
      <c r="F1738" s="59"/>
      <c r="G1738" s="60">
        <f>IF(OR(E1738="",F1738="",C1738="",D1738=""),"",IF(C1738+D1738=0,"",(E1738*C1738+F1738*D1738)/(C1738+D1738)))</f>
        <v/>
      </c>
      <c r="H1738" s="59"/>
      <c r="I1738" s="60">
        <f>IF(OR(H1738="",E1738="",C1738="",D1738=""),"",IF(C1738+D1738=0,"",(H1738*D1738+E1738*C1738)/(C1738+D1738)))</f>
        <v/>
      </c>
      <c r="J1738" s="59"/>
      <c r="K1738" s="61">
        <f>IF(OR(J1738="",I1738=""),"",J1738-I1738)</f>
        <v/>
      </c>
      <c r="L1738" s="61">
        <f>IF(OR(J1738="",G1738=""),"",J1738-G1738)</f>
        <v/>
      </c>
      <c r="M1738" s="59"/>
      <c r="N1738" s="59"/>
      <c r="O1738" s="59"/>
      <c r="P1738" s="59"/>
      <c r="Q1738" s="59"/>
      <c r="R1738" s="60">
        <f>IF(AND(P1738="",Q1738=""),"",N(P1738)+N(Q1738))</f>
        <v/>
      </c>
      <c r="S1738" s="59"/>
      <c r="T1738" s="59"/>
      <c r="U1738" s="62">
        <f>IF(OR(R1738="",S1738="",T1738=""),"",IF(S1738+T1738=0,"",R1738/(S1738+T1738)))</f>
        <v/>
      </c>
      <c r="V1738" s="63"/>
      <c r="W1738" s="64"/>
      <c r="X1738" s="63"/>
    </row>
    <row r="1739" spans="2:24">
      <c r="B1739" s="58"/>
      <c r="C1739" s="59"/>
      <c r="D1739" s="59"/>
      <c r="E1739" s="59"/>
      <c r="F1739" s="59"/>
      <c r="G1739" s="60">
        <f>IF(OR(E1739="",F1739="",C1739="",D1739=""),"",IF(C1739+D1739=0,"",(E1739*C1739+F1739*D1739)/(C1739+D1739)))</f>
        <v/>
      </c>
      <c r="H1739" s="59"/>
      <c r="I1739" s="60">
        <f>IF(OR(H1739="",E1739="",C1739="",D1739=""),"",IF(C1739+D1739=0,"",(H1739*D1739+E1739*C1739)/(C1739+D1739)))</f>
        <v/>
      </c>
      <c r="J1739" s="59"/>
      <c r="K1739" s="61">
        <f>IF(OR(J1739="",I1739=""),"",J1739-I1739)</f>
        <v/>
      </c>
      <c r="L1739" s="61">
        <f>IF(OR(J1739="",G1739=""),"",J1739-G1739)</f>
        <v/>
      </c>
      <c r="M1739" s="59"/>
      <c r="N1739" s="59"/>
      <c r="O1739" s="59"/>
      <c r="P1739" s="59"/>
      <c r="Q1739" s="59"/>
      <c r="R1739" s="60">
        <f>IF(AND(P1739="",Q1739=""),"",N(P1739)+N(Q1739))</f>
        <v/>
      </c>
      <c r="S1739" s="59"/>
      <c r="T1739" s="59"/>
      <c r="U1739" s="62">
        <f>IF(OR(R1739="",S1739="",T1739=""),"",IF(S1739+T1739=0,"",R1739/(S1739+T1739)))</f>
        <v/>
      </c>
      <c r="V1739" s="63"/>
      <c r="W1739" s="64"/>
      <c r="X1739" s="63"/>
    </row>
    <row r="1740" spans="2:24">
      <c r="B1740" s="58"/>
      <c r="C1740" s="59"/>
      <c r="D1740" s="59"/>
      <c r="E1740" s="59"/>
      <c r="F1740" s="59"/>
      <c r="G1740" s="60">
        <f>IF(OR(E1740="",F1740="",C1740="",D1740=""),"",IF(C1740+D1740=0,"",(E1740*C1740+F1740*D1740)/(C1740+D1740)))</f>
        <v/>
      </c>
      <c r="H1740" s="59"/>
      <c r="I1740" s="60">
        <f>IF(OR(H1740="",E1740="",C1740="",D1740=""),"",IF(C1740+D1740=0,"",(H1740*D1740+E1740*C1740)/(C1740+D1740)))</f>
        <v/>
      </c>
      <c r="J1740" s="59"/>
      <c r="K1740" s="61">
        <f>IF(OR(J1740="",I1740=""),"",J1740-I1740)</f>
        <v/>
      </c>
      <c r="L1740" s="61">
        <f>IF(OR(J1740="",G1740=""),"",J1740-G1740)</f>
        <v/>
      </c>
      <c r="M1740" s="59"/>
      <c r="N1740" s="59"/>
      <c r="O1740" s="59"/>
      <c r="P1740" s="59"/>
      <c r="Q1740" s="59"/>
      <c r="R1740" s="60">
        <f>IF(AND(P1740="",Q1740=""),"",N(P1740)+N(Q1740))</f>
        <v/>
      </c>
      <c r="S1740" s="59"/>
      <c r="T1740" s="59"/>
      <c r="U1740" s="62">
        <f>IF(OR(R1740="",S1740="",T1740=""),"",IF(S1740+T1740=0,"",R1740/(S1740+T1740)))</f>
        <v/>
      </c>
      <c r="V1740" s="63"/>
      <c r="W1740" s="64"/>
      <c r="X1740" s="63"/>
    </row>
    <row r="1741" spans="2:24">
      <c r="B1741" s="58"/>
      <c r="C1741" s="59"/>
      <c r="D1741" s="59"/>
      <c r="E1741" s="59"/>
      <c r="F1741" s="59"/>
      <c r="G1741" s="60">
        <f>IF(OR(E1741="",F1741="",C1741="",D1741=""),"",IF(C1741+D1741=0,"",(E1741*C1741+F1741*D1741)/(C1741+D1741)))</f>
        <v/>
      </c>
      <c r="H1741" s="59"/>
      <c r="I1741" s="60">
        <f>IF(OR(H1741="",E1741="",C1741="",D1741=""),"",IF(C1741+D1741=0,"",(H1741*D1741+E1741*C1741)/(C1741+D1741)))</f>
        <v/>
      </c>
      <c r="J1741" s="59"/>
      <c r="K1741" s="61">
        <f>IF(OR(J1741="",I1741=""),"",J1741-I1741)</f>
        <v/>
      </c>
      <c r="L1741" s="61">
        <f>IF(OR(J1741="",G1741=""),"",J1741-G1741)</f>
        <v/>
      </c>
      <c r="M1741" s="59"/>
      <c r="N1741" s="59"/>
      <c r="O1741" s="59"/>
      <c r="P1741" s="59"/>
      <c r="Q1741" s="59"/>
      <c r="R1741" s="60">
        <f>IF(AND(P1741="",Q1741=""),"",N(P1741)+N(Q1741))</f>
        <v/>
      </c>
      <c r="S1741" s="59"/>
      <c r="T1741" s="59"/>
      <c r="U1741" s="62">
        <f>IF(OR(R1741="",S1741="",T1741=""),"",IF(S1741+T1741=0,"",R1741/(S1741+T1741)))</f>
        <v/>
      </c>
      <c r="V1741" s="63"/>
      <c r="W1741" s="64"/>
      <c r="X1741" s="63"/>
    </row>
    <row r="1742" spans="2:24">
      <c r="B1742" s="58"/>
      <c r="C1742" s="59"/>
      <c r="D1742" s="59"/>
      <c r="E1742" s="59"/>
      <c r="F1742" s="59"/>
      <c r="G1742" s="60">
        <f>IF(OR(E1742="",F1742="",C1742="",D1742=""),"",IF(C1742+D1742=0,"",(E1742*C1742+F1742*D1742)/(C1742+D1742)))</f>
        <v/>
      </c>
      <c r="H1742" s="59"/>
      <c r="I1742" s="60">
        <f>IF(OR(H1742="",E1742="",C1742="",D1742=""),"",IF(C1742+D1742=0,"",(H1742*D1742+E1742*C1742)/(C1742+D1742)))</f>
        <v/>
      </c>
      <c r="J1742" s="59"/>
      <c r="K1742" s="61">
        <f>IF(OR(J1742="",I1742=""),"",J1742-I1742)</f>
        <v/>
      </c>
      <c r="L1742" s="61">
        <f>IF(OR(J1742="",G1742=""),"",J1742-G1742)</f>
        <v/>
      </c>
      <c r="M1742" s="59"/>
      <c r="N1742" s="59"/>
      <c r="O1742" s="59"/>
      <c r="P1742" s="59"/>
      <c r="Q1742" s="59"/>
      <c r="R1742" s="60">
        <f>IF(AND(P1742="",Q1742=""),"",N(P1742)+N(Q1742))</f>
        <v/>
      </c>
      <c r="S1742" s="59"/>
      <c r="T1742" s="59"/>
      <c r="U1742" s="62">
        <f>IF(OR(R1742="",S1742="",T1742=""),"",IF(S1742+T1742=0,"",R1742/(S1742+T1742)))</f>
        <v/>
      </c>
      <c r="V1742" s="63"/>
      <c r="W1742" s="64"/>
      <c r="X1742" s="63"/>
    </row>
    <row r="1743" spans="2:24">
      <c r="B1743" s="58"/>
      <c r="C1743" s="59"/>
      <c r="D1743" s="59"/>
      <c r="E1743" s="59"/>
      <c r="F1743" s="59"/>
      <c r="G1743" s="60">
        <f>IF(OR(E1743="",F1743="",C1743="",D1743=""),"",IF(C1743+D1743=0,"",(E1743*C1743+F1743*D1743)/(C1743+D1743)))</f>
        <v/>
      </c>
      <c r="H1743" s="59"/>
      <c r="I1743" s="60">
        <f>IF(OR(H1743="",E1743="",C1743="",D1743=""),"",IF(C1743+D1743=0,"",(H1743*D1743+E1743*C1743)/(C1743+D1743)))</f>
        <v/>
      </c>
      <c r="J1743" s="59"/>
      <c r="K1743" s="61">
        <f>IF(OR(J1743="",I1743=""),"",J1743-I1743)</f>
        <v/>
      </c>
      <c r="L1743" s="61">
        <f>IF(OR(J1743="",G1743=""),"",J1743-G1743)</f>
        <v/>
      </c>
      <c r="M1743" s="59"/>
      <c r="N1743" s="59"/>
      <c r="O1743" s="59"/>
      <c r="P1743" s="59"/>
      <c r="Q1743" s="59"/>
      <c r="R1743" s="60">
        <f>IF(AND(P1743="",Q1743=""),"",N(P1743)+N(Q1743))</f>
        <v/>
      </c>
      <c r="S1743" s="59"/>
      <c r="T1743" s="59"/>
      <c r="U1743" s="62">
        <f>IF(OR(R1743="",S1743="",T1743=""),"",IF(S1743+T1743=0,"",R1743/(S1743+T1743)))</f>
        <v/>
      </c>
      <c r="V1743" s="63"/>
      <c r="W1743" s="64"/>
      <c r="X1743" s="63"/>
    </row>
    <row r="1744" spans="2:24">
      <c r="B1744" s="58"/>
      <c r="C1744" s="59"/>
      <c r="D1744" s="59"/>
      <c r="E1744" s="59"/>
      <c r="F1744" s="59"/>
      <c r="G1744" s="60">
        <f>IF(OR(E1744="",F1744="",C1744="",D1744=""),"",IF(C1744+D1744=0,"",(E1744*C1744+F1744*D1744)/(C1744+D1744)))</f>
        <v/>
      </c>
      <c r="H1744" s="59"/>
      <c r="I1744" s="60">
        <f>IF(OR(H1744="",E1744="",C1744="",D1744=""),"",IF(C1744+D1744=0,"",(H1744*D1744+E1744*C1744)/(C1744+D1744)))</f>
        <v/>
      </c>
      <c r="J1744" s="59"/>
      <c r="K1744" s="61">
        <f>IF(OR(J1744="",I1744=""),"",J1744-I1744)</f>
        <v/>
      </c>
      <c r="L1744" s="61">
        <f>IF(OR(J1744="",G1744=""),"",J1744-G1744)</f>
        <v/>
      </c>
      <c r="M1744" s="59"/>
      <c r="N1744" s="59"/>
      <c r="O1744" s="59"/>
      <c r="P1744" s="59"/>
      <c r="Q1744" s="59"/>
      <c r="R1744" s="60">
        <f>IF(AND(P1744="",Q1744=""),"",N(P1744)+N(Q1744))</f>
        <v/>
      </c>
      <c r="S1744" s="59"/>
      <c r="T1744" s="59"/>
      <c r="U1744" s="62">
        <f>IF(OR(R1744="",S1744="",T1744=""),"",IF(S1744+T1744=0,"",R1744/(S1744+T1744)))</f>
        <v/>
      </c>
      <c r="V1744" s="63"/>
      <c r="W1744" s="64"/>
      <c r="X1744" s="63"/>
    </row>
    <row r="1745" spans="2:24">
      <c r="B1745" s="58"/>
      <c r="C1745" s="59"/>
      <c r="D1745" s="59"/>
      <c r="E1745" s="59"/>
      <c r="F1745" s="59"/>
      <c r="G1745" s="60">
        <f>IF(OR(E1745="",F1745="",C1745="",D1745=""),"",IF(C1745+D1745=0,"",(E1745*C1745+F1745*D1745)/(C1745+D1745)))</f>
        <v/>
      </c>
      <c r="H1745" s="59"/>
      <c r="I1745" s="60">
        <f>IF(OR(H1745="",E1745="",C1745="",D1745=""),"",IF(C1745+D1745=0,"",(H1745*D1745+E1745*C1745)/(C1745+D1745)))</f>
        <v/>
      </c>
      <c r="J1745" s="59"/>
      <c r="K1745" s="61">
        <f>IF(OR(J1745="",I1745=""),"",J1745-I1745)</f>
        <v/>
      </c>
      <c r="L1745" s="61">
        <f>IF(OR(J1745="",G1745=""),"",J1745-G1745)</f>
        <v/>
      </c>
      <c r="M1745" s="59"/>
      <c r="N1745" s="59"/>
      <c r="O1745" s="59"/>
      <c r="P1745" s="59"/>
      <c r="Q1745" s="59"/>
      <c r="R1745" s="60">
        <f>IF(AND(P1745="",Q1745=""),"",N(P1745)+N(Q1745))</f>
        <v/>
      </c>
      <c r="S1745" s="59"/>
      <c r="T1745" s="59"/>
      <c r="U1745" s="62">
        <f>IF(OR(R1745="",S1745="",T1745=""),"",IF(S1745+T1745=0,"",R1745/(S1745+T1745)))</f>
        <v/>
      </c>
      <c r="V1745" s="63"/>
      <c r="W1745" s="64"/>
      <c r="X1745" s="63"/>
    </row>
    <row r="1746" spans="2:24">
      <c r="B1746" s="58"/>
      <c r="C1746" s="59"/>
      <c r="D1746" s="59"/>
      <c r="E1746" s="59"/>
      <c r="F1746" s="59"/>
      <c r="G1746" s="60">
        <f>IF(OR(E1746="",F1746="",C1746="",D1746=""),"",IF(C1746+D1746=0,"",(E1746*C1746+F1746*D1746)/(C1746+D1746)))</f>
        <v/>
      </c>
      <c r="H1746" s="59"/>
      <c r="I1746" s="60">
        <f>IF(OR(H1746="",E1746="",C1746="",D1746=""),"",IF(C1746+D1746=0,"",(H1746*D1746+E1746*C1746)/(C1746+D1746)))</f>
        <v/>
      </c>
      <c r="J1746" s="59"/>
      <c r="K1746" s="61">
        <f>IF(OR(J1746="",I1746=""),"",J1746-I1746)</f>
        <v/>
      </c>
      <c r="L1746" s="61">
        <f>IF(OR(J1746="",G1746=""),"",J1746-G1746)</f>
        <v/>
      </c>
      <c r="M1746" s="59"/>
      <c r="N1746" s="59"/>
      <c r="O1746" s="59"/>
      <c r="P1746" s="59"/>
      <c r="Q1746" s="59"/>
      <c r="R1746" s="60">
        <f>IF(AND(P1746="",Q1746=""),"",N(P1746)+N(Q1746))</f>
        <v/>
      </c>
      <c r="S1746" s="59"/>
      <c r="T1746" s="59"/>
      <c r="U1746" s="62">
        <f>IF(OR(R1746="",S1746="",T1746=""),"",IF(S1746+T1746=0,"",R1746/(S1746+T1746)))</f>
        <v/>
      </c>
      <c r="V1746" s="63"/>
      <c r="W1746" s="64"/>
      <c r="X1746" s="63"/>
    </row>
    <row r="1747" spans="2:24">
      <c r="B1747" s="58"/>
      <c r="C1747" s="59"/>
      <c r="D1747" s="59"/>
      <c r="E1747" s="59"/>
      <c r="F1747" s="59"/>
      <c r="G1747" s="60">
        <f>IF(OR(E1747="",F1747="",C1747="",D1747=""),"",IF(C1747+D1747=0,"",(E1747*C1747+F1747*D1747)/(C1747+D1747)))</f>
        <v/>
      </c>
      <c r="H1747" s="59"/>
      <c r="I1747" s="60">
        <f>IF(OR(H1747="",E1747="",C1747="",D1747=""),"",IF(C1747+D1747=0,"",(H1747*D1747+E1747*C1747)/(C1747+D1747)))</f>
        <v/>
      </c>
      <c r="J1747" s="59"/>
      <c r="K1747" s="61">
        <f>IF(OR(J1747="",I1747=""),"",J1747-I1747)</f>
        <v/>
      </c>
      <c r="L1747" s="61">
        <f>IF(OR(J1747="",G1747=""),"",J1747-G1747)</f>
        <v/>
      </c>
      <c r="M1747" s="59"/>
      <c r="N1747" s="59"/>
      <c r="O1747" s="59"/>
      <c r="P1747" s="59"/>
      <c r="Q1747" s="59"/>
      <c r="R1747" s="60">
        <f>IF(AND(P1747="",Q1747=""),"",N(P1747)+N(Q1747))</f>
        <v/>
      </c>
      <c r="S1747" s="59"/>
      <c r="T1747" s="59"/>
      <c r="U1747" s="62">
        <f>IF(OR(R1747="",S1747="",T1747=""),"",IF(S1747+T1747=0,"",R1747/(S1747+T1747)))</f>
        <v/>
      </c>
      <c r="V1747" s="63"/>
      <c r="W1747" s="64"/>
      <c r="X1747" s="63"/>
    </row>
    <row r="1748" spans="2:24">
      <c r="B1748" s="58"/>
      <c r="C1748" s="59"/>
      <c r="D1748" s="59"/>
      <c r="E1748" s="59"/>
      <c r="F1748" s="59"/>
      <c r="G1748" s="60">
        <f>IF(OR(E1748="",F1748="",C1748="",D1748=""),"",IF(C1748+D1748=0,"",(E1748*C1748+F1748*D1748)/(C1748+D1748)))</f>
        <v/>
      </c>
      <c r="H1748" s="59"/>
      <c r="I1748" s="60">
        <f>IF(OR(H1748="",E1748="",C1748="",D1748=""),"",IF(C1748+D1748=0,"",(H1748*D1748+E1748*C1748)/(C1748+D1748)))</f>
        <v/>
      </c>
      <c r="J1748" s="59"/>
      <c r="K1748" s="61">
        <f>IF(OR(J1748="",I1748=""),"",J1748-I1748)</f>
        <v/>
      </c>
      <c r="L1748" s="61">
        <f>IF(OR(J1748="",G1748=""),"",J1748-G1748)</f>
        <v/>
      </c>
      <c r="M1748" s="59"/>
      <c r="N1748" s="59"/>
      <c r="O1748" s="59"/>
      <c r="P1748" s="59"/>
      <c r="Q1748" s="59"/>
      <c r="R1748" s="60">
        <f>IF(AND(P1748="",Q1748=""),"",N(P1748)+N(Q1748))</f>
        <v/>
      </c>
      <c r="S1748" s="59"/>
      <c r="T1748" s="59"/>
      <c r="U1748" s="62">
        <f>IF(OR(R1748="",S1748="",T1748=""),"",IF(S1748+T1748=0,"",R1748/(S1748+T1748)))</f>
        <v/>
      </c>
      <c r="V1748" s="63"/>
      <c r="W1748" s="64"/>
      <c r="X1748" s="63"/>
    </row>
    <row r="1749" spans="2:24">
      <c r="B1749" s="58"/>
      <c r="C1749" s="59"/>
      <c r="D1749" s="59"/>
      <c r="E1749" s="59"/>
      <c r="F1749" s="59"/>
      <c r="G1749" s="60">
        <f>IF(OR(E1749="",F1749="",C1749="",D1749=""),"",IF(C1749+D1749=0,"",(E1749*C1749+F1749*D1749)/(C1749+D1749)))</f>
        <v/>
      </c>
      <c r="H1749" s="59"/>
      <c r="I1749" s="60">
        <f>IF(OR(H1749="",E1749="",C1749="",D1749=""),"",IF(C1749+D1749=0,"",(H1749*D1749+E1749*C1749)/(C1749+D1749)))</f>
        <v/>
      </c>
      <c r="J1749" s="59"/>
      <c r="K1749" s="61">
        <f>IF(OR(J1749="",I1749=""),"",J1749-I1749)</f>
        <v/>
      </c>
      <c r="L1749" s="61">
        <f>IF(OR(J1749="",G1749=""),"",J1749-G1749)</f>
        <v/>
      </c>
      <c r="M1749" s="59"/>
      <c r="N1749" s="59"/>
      <c r="O1749" s="59"/>
      <c r="P1749" s="59"/>
      <c r="Q1749" s="59"/>
      <c r="R1749" s="60">
        <f>IF(AND(P1749="",Q1749=""),"",N(P1749)+N(Q1749))</f>
        <v/>
      </c>
      <c r="S1749" s="59"/>
      <c r="T1749" s="59"/>
      <c r="U1749" s="62">
        <f>IF(OR(R1749="",S1749="",T1749=""),"",IF(S1749+T1749=0,"",R1749/(S1749+T1749)))</f>
        <v/>
      </c>
      <c r="V1749" s="63"/>
      <c r="W1749" s="64"/>
      <c r="X1749" s="63"/>
    </row>
    <row r="1750" spans="2:24">
      <c r="B1750" s="58"/>
      <c r="C1750" s="59"/>
      <c r="D1750" s="59"/>
      <c r="E1750" s="59"/>
      <c r="F1750" s="59"/>
      <c r="G1750" s="60">
        <f>IF(OR(E1750="",F1750="",C1750="",D1750=""),"",IF(C1750+D1750=0,"",(E1750*C1750+F1750*D1750)/(C1750+D1750)))</f>
        <v/>
      </c>
      <c r="H1750" s="59"/>
      <c r="I1750" s="60">
        <f>IF(OR(H1750="",E1750="",C1750="",D1750=""),"",IF(C1750+D1750=0,"",(H1750*D1750+E1750*C1750)/(C1750+D1750)))</f>
        <v/>
      </c>
      <c r="J1750" s="59"/>
      <c r="K1750" s="61">
        <f>IF(OR(J1750="",I1750=""),"",J1750-I1750)</f>
        <v/>
      </c>
      <c r="L1750" s="61">
        <f>IF(OR(J1750="",G1750=""),"",J1750-G1750)</f>
        <v/>
      </c>
      <c r="M1750" s="59"/>
      <c r="N1750" s="59"/>
      <c r="O1750" s="59"/>
      <c r="P1750" s="59"/>
      <c r="Q1750" s="59"/>
      <c r="R1750" s="60">
        <f>IF(AND(P1750="",Q1750=""),"",N(P1750)+N(Q1750))</f>
        <v/>
      </c>
      <c r="S1750" s="59"/>
      <c r="T1750" s="59"/>
      <c r="U1750" s="62">
        <f>IF(OR(R1750="",S1750="",T1750=""),"",IF(S1750+T1750=0,"",R1750/(S1750+T1750)))</f>
        <v/>
      </c>
      <c r="V1750" s="63"/>
      <c r="W1750" s="64"/>
      <c r="X1750" s="63"/>
    </row>
    <row r="1751" spans="2:24">
      <c r="B1751" s="58"/>
      <c r="C1751" s="59"/>
      <c r="D1751" s="59"/>
      <c r="E1751" s="59"/>
      <c r="F1751" s="59"/>
      <c r="G1751" s="60">
        <f>IF(OR(E1751="",F1751="",C1751="",D1751=""),"",IF(C1751+D1751=0,"",(E1751*C1751+F1751*D1751)/(C1751+D1751)))</f>
        <v/>
      </c>
      <c r="H1751" s="59"/>
      <c r="I1751" s="60">
        <f>IF(OR(H1751="",E1751="",C1751="",D1751=""),"",IF(C1751+D1751=0,"",(H1751*D1751+E1751*C1751)/(C1751+D1751)))</f>
        <v/>
      </c>
      <c r="J1751" s="59"/>
      <c r="K1751" s="61">
        <f>IF(OR(J1751="",I1751=""),"",J1751-I1751)</f>
        <v/>
      </c>
      <c r="L1751" s="61">
        <f>IF(OR(J1751="",G1751=""),"",J1751-G1751)</f>
        <v/>
      </c>
      <c r="M1751" s="59"/>
      <c r="N1751" s="59"/>
      <c r="O1751" s="59"/>
      <c r="P1751" s="59"/>
      <c r="Q1751" s="59"/>
      <c r="R1751" s="60">
        <f>IF(AND(P1751="",Q1751=""),"",N(P1751)+N(Q1751))</f>
        <v/>
      </c>
      <c r="S1751" s="59"/>
      <c r="T1751" s="59"/>
      <c r="U1751" s="62">
        <f>IF(OR(R1751="",S1751="",T1751=""),"",IF(S1751+T1751=0,"",R1751/(S1751+T1751)))</f>
        <v/>
      </c>
      <c r="V1751" s="63"/>
      <c r="W1751" s="64"/>
      <c r="X1751" s="63"/>
    </row>
    <row r="1752" spans="2:24">
      <c r="B1752" s="58"/>
      <c r="C1752" s="59"/>
      <c r="D1752" s="59"/>
      <c r="E1752" s="59"/>
      <c r="F1752" s="59"/>
      <c r="G1752" s="60">
        <f>IF(OR(E1752="",F1752="",C1752="",D1752=""),"",IF(C1752+D1752=0,"",(E1752*C1752+F1752*D1752)/(C1752+D1752)))</f>
        <v/>
      </c>
      <c r="H1752" s="59"/>
      <c r="I1752" s="60">
        <f>IF(OR(H1752="",E1752="",C1752="",D1752=""),"",IF(C1752+D1752=0,"",(H1752*D1752+E1752*C1752)/(C1752+D1752)))</f>
        <v/>
      </c>
      <c r="J1752" s="59"/>
      <c r="K1752" s="61">
        <f>IF(OR(J1752="",I1752=""),"",J1752-I1752)</f>
        <v/>
      </c>
      <c r="L1752" s="61">
        <f>IF(OR(J1752="",G1752=""),"",J1752-G1752)</f>
        <v/>
      </c>
      <c r="M1752" s="59"/>
      <c r="N1752" s="59"/>
      <c r="O1752" s="59"/>
      <c r="P1752" s="59"/>
      <c r="Q1752" s="59"/>
      <c r="R1752" s="60">
        <f>IF(AND(P1752="",Q1752=""),"",N(P1752)+N(Q1752))</f>
        <v/>
      </c>
      <c r="S1752" s="59"/>
      <c r="T1752" s="59"/>
      <c r="U1752" s="62">
        <f>IF(OR(R1752="",S1752="",T1752=""),"",IF(S1752+T1752=0,"",R1752/(S1752+T1752)))</f>
        <v/>
      </c>
      <c r="V1752" s="63"/>
      <c r="W1752" s="64"/>
      <c r="X1752" s="63"/>
    </row>
    <row r="1753" spans="2:24">
      <c r="B1753" s="58"/>
      <c r="C1753" s="59"/>
      <c r="D1753" s="59"/>
      <c r="E1753" s="59"/>
      <c r="F1753" s="59"/>
      <c r="G1753" s="60">
        <f>IF(OR(E1753="",F1753="",C1753="",D1753=""),"",IF(C1753+D1753=0,"",(E1753*C1753+F1753*D1753)/(C1753+D1753)))</f>
        <v/>
      </c>
      <c r="H1753" s="59"/>
      <c r="I1753" s="60">
        <f>IF(OR(H1753="",E1753="",C1753="",D1753=""),"",IF(C1753+D1753=0,"",(H1753*D1753+E1753*C1753)/(C1753+D1753)))</f>
        <v/>
      </c>
      <c r="J1753" s="59"/>
      <c r="K1753" s="61">
        <f>IF(OR(J1753="",I1753=""),"",J1753-I1753)</f>
        <v/>
      </c>
      <c r="L1753" s="61">
        <f>IF(OR(J1753="",G1753=""),"",J1753-G1753)</f>
        <v/>
      </c>
      <c r="M1753" s="59"/>
      <c r="N1753" s="59"/>
      <c r="O1753" s="59"/>
      <c r="P1753" s="59"/>
      <c r="Q1753" s="59"/>
      <c r="R1753" s="60">
        <f>IF(AND(P1753="",Q1753=""),"",N(P1753)+N(Q1753))</f>
        <v/>
      </c>
      <c r="S1753" s="59"/>
      <c r="T1753" s="59"/>
      <c r="U1753" s="62">
        <f>IF(OR(R1753="",S1753="",T1753=""),"",IF(S1753+T1753=0,"",R1753/(S1753+T1753)))</f>
        <v/>
      </c>
      <c r="V1753" s="63"/>
      <c r="W1753" s="64"/>
      <c r="X1753" s="63"/>
    </row>
    <row r="1754" spans="2:24">
      <c r="B1754" s="58"/>
      <c r="C1754" s="59"/>
      <c r="D1754" s="59"/>
      <c r="E1754" s="59"/>
      <c r="F1754" s="59"/>
      <c r="G1754" s="60">
        <f>IF(OR(E1754="",F1754="",C1754="",D1754=""),"",IF(C1754+D1754=0,"",(E1754*C1754+F1754*D1754)/(C1754+D1754)))</f>
        <v/>
      </c>
      <c r="H1754" s="59"/>
      <c r="I1754" s="60">
        <f>IF(OR(H1754="",E1754="",C1754="",D1754=""),"",IF(C1754+D1754=0,"",(H1754*D1754+E1754*C1754)/(C1754+D1754)))</f>
        <v/>
      </c>
      <c r="J1754" s="59"/>
      <c r="K1754" s="61">
        <f>IF(OR(J1754="",I1754=""),"",J1754-I1754)</f>
        <v/>
      </c>
      <c r="L1754" s="61">
        <f>IF(OR(J1754="",G1754=""),"",J1754-G1754)</f>
        <v/>
      </c>
      <c r="M1754" s="59"/>
      <c r="N1754" s="59"/>
      <c r="O1754" s="59"/>
      <c r="P1754" s="59"/>
      <c r="Q1754" s="59"/>
      <c r="R1754" s="60">
        <f>IF(AND(P1754="",Q1754=""),"",N(P1754)+N(Q1754))</f>
        <v/>
      </c>
      <c r="S1754" s="59"/>
      <c r="T1754" s="59"/>
      <c r="U1754" s="62">
        <f>IF(OR(R1754="",S1754="",T1754=""),"",IF(S1754+T1754=0,"",R1754/(S1754+T1754)))</f>
        <v/>
      </c>
      <c r="V1754" s="63"/>
      <c r="W1754" s="64"/>
      <c r="X1754" s="63"/>
    </row>
    <row r="1755" spans="2:24">
      <c r="B1755" s="58"/>
      <c r="C1755" s="59"/>
      <c r="D1755" s="59"/>
      <c r="E1755" s="59"/>
      <c r="F1755" s="59"/>
      <c r="G1755" s="60">
        <f>IF(OR(E1755="",F1755="",C1755="",D1755=""),"",IF(C1755+D1755=0,"",(E1755*C1755+F1755*D1755)/(C1755+D1755)))</f>
        <v/>
      </c>
      <c r="H1755" s="59"/>
      <c r="I1755" s="60">
        <f>IF(OR(H1755="",E1755="",C1755="",D1755=""),"",IF(C1755+D1755=0,"",(H1755*D1755+E1755*C1755)/(C1755+D1755)))</f>
        <v/>
      </c>
      <c r="J1755" s="59"/>
      <c r="K1755" s="61">
        <f>IF(OR(J1755="",I1755=""),"",J1755-I1755)</f>
        <v/>
      </c>
      <c r="L1755" s="61">
        <f>IF(OR(J1755="",G1755=""),"",J1755-G1755)</f>
        <v/>
      </c>
      <c r="M1755" s="59"/>
      <c r="N1755" s="59"/>
      <c r="O1755" s="59"/>
      <c r="P1755" s="59"/>
      <c r="Q1755" s="59"/>
      <c r="R1755" s="60">
        <f>IF(AND(P1755="",Q1755=""),"",N(P1755)+N(Q1755))</f>
        <v/>
      </c>
      <c r="S1755" s="59"/>
      <c r="T1755" s="59"/>
      <c r="U1755" s="62">
        <f>IF(OR(R1755="",S1755="",T1755=""),"",IF(S1755+T1755=0,"",R1755/(S1755+T1755)))</f>
        <v/>
      </c>
      <c r="V1755" s="63"/>
      <c r="W1755" s="64"/>
      <c r="X1755" s="63"/>
    </row>
    <row r="1756" spans="2:24">
      <c r="B1756" s="58"/>
      <c r="C1756" s="59"/>
      <c r="D1756" s="59"/>
      <c r="E1756" s="59"/>
      <c r="F1756" s="59"/>
      <c r="G1756" s="60">
        <f>IF(OR(E1756="",F1756="",C1756="",D1756=""),"",IF(C1756+D1756=0,"",(E1756*C1756+F1756*D1756)/(C1756+D1756)))</f>
        <v/>
      </c>
      <c r="H1756" s="59"/>
      <c r="I1756" s="60">
        <f>IF(OR(H1756="",E1756="",C1756="",D1756=""),"",IF(C1756+D1756=0,"",(H1756*D1756+E1756*C1756)/(C1756+D1756)))</f>
        <v/>
      </c>
      <c r="J1756" s="59"/>
      <c r="K1756" s="61">
        <f>IF(OR(J1756="",I1756=""),"",J1756-I1756)</f>
        <v/>
      </c>
      <c r="L1756" s="61">
        <f>IF(OR(J1756="",G1756=""),"",J1756-G1756)</f>
        <v/>
      </c>
      <c r="M1756" s="59"/>
      <c r="N1756" s="59"/>
      <c r="O1756" s="59"/>
      <c r="P1756" s="59"/>
      <c r="Q1756" s="59"/>
      <c r="R1756" s="60">
        <f>IF(AND(P1756="",Q1756=""),"",N(P1756)+N(Q1756))</f>
        <v/>
      </c>
      <c r="S1756" s="59"/>
      <c r="T1756" s="59"/>
      <c r="U1756" s="62">
        <f>IF(OR(R1756="",S1756="",T1756=""),"",IF(S1756+T1756=0,"",R1756/(S1756+T1756)))</f>
        <v/>
      </c>
      <c r="V1756" s="63"/>
      <c r="W1756" s="64"/>
      <c r="X1756" s="63"/>
    </row>
    <row r="1757" spans="2:24">
      <c r="B1757" s="58"/>
      <c r="C1757" s="59"/>
      <c r="D1757" s="59"/>
      <c r="E1757" s="59"/>
      <c r="F1757" s="59"/>
      <c r="G1757" s="60">
        <f>IF(OR(E1757="",F1757="",C1757="",D1757=""),"",IF(C1757+D1757=0,"",(E1757*C1757+F1757*D1757)/(C1757+D1757)))</f>
        <v/>
      </c>
      <c r="H1757" s="59"/>
      <c r="I1757" s="60">
        <f>IF(OR(H1757="",E1757="",C1757="",D1757=""),"",IF(C1757+D1757=0,"",(H1757*D1757+E1757*C1757)/(C1757+D1757)))</f>
        <v/>
      </c>
      <c r="J1757" s="59"/>
      <c r="K1757" s="61">
        <f>IF(OR(J1757="",I1757=""),"",J1757-I1757)</f>
        <v/>
      </c>
      <c r="L1757" s="61">
        <f>IF(OR(J1757="",G1757=""),"",J1757-G1757)</f>
        <v/>
      </c>
      <c r="M1757" s="59"/>
      <c r="N1757" s="59"/>
      <c r="O1757" s="59"/>
      <c r="P1757" s="59"/>
      <c r="Q1757" s="59"/>
      <c r="R1757" s="60">
        <f>IF(AND(P1757="",Q1757=""),"",N(P1757)+N(Q1757))</f>
        <v/>
      </c>
      <c r="S1757" s="59"/>
      <c r="T1757" s="59"/>
      <c r="U1757" s="62">
        <f>IF(OR(R1757="",S1757="",T1757=""),"",IF(S1757+T1757=0,"",R1757/(S1757+T1757)))</f>
        <v/>
      </c>
      <c r="V1757" s="63"/>
      <c r="W1757" s="64"/>
      <c r="X1757" s="63"/>
    </row>
    <row r="1758" spans="2:24">
      <c r="B1758" s="58"/>
      <c r="C1758" s="59"/>
      <c r="D1758" s="59"/>
      <c r="E1758" s="59"/>
      <c r="F1758" s="59"/>
      <c r="G1758" s="60">
        <f>IF(OR(E1758="",F1758="",C1758="",D1758=""),"",IF(C1758+D1758=0,"",(E1758*C1758+F1758*D1758)/(C1758+D1758)))</f>
        <v/>
      </c>
      <c r="H1758" s="59"/>
      <c r="I1758" s="60">
        <f>IF(OR(H1758="",E1758="",C1758="",D1758=""),"",IF(C1758+D1758=0,"",(H1758*D1758+E1758*C1758)/(C1758+D1758)))</f>
        <v/>
      </c>
      <c r="J1758" s="59"/>
      <c r="K1758" s="61">
        <f>IF(OR(J1758="",I1758=""),"",J1758-I1758)</f>
        <v/>
      </c>
      <c r="L1758" s="61">
        <f>IF(OR(J1758="",G1758=""),"",J1758-G1758)</f>
        <v/>
      </c>
      <c r="M1758" s="59"/>
      <c r="N1758" s="59"/>
      <c r="O1758" s="59"/>
      <c r="P1758" s="59"/>
      <c r="Q1758" s="59"/>
      <c r="R1758" s="60">
        <f>IF(AND(P1758="",Q1758=""),"",N(P1758)+N(Q1758))</f>
        <v/>
      </c>
      <c r="S1758" s="59"/>
      <c r="T1758" s="59"/>
      <c r="U1758" s="62">
        <f>IF(OR(R1758="",S1758="",T1758=""),"",IF(S1758+T1758=0,"",R1758/(S1758+T1758)))</f>
        <v/>
      </c>
      <c r="V1758" s="63"/>
      <c r="W1758" s="64"/>
      <c r="X1758" s="63"/>
    </row>
    <row r="1759" spans="2:24">
      <c r="B1759" s="58"/>
      <c r="C1759" s="59"/>
      <c r="D1759" s="59"/>
      <c r="E1759" s="59"/>
      <c r="F1759" s="59"/>
      <c r="G1759" s="60">
        <f>IF(OR(E1759="",F1759="",C1759="",D1759=""),"",IF(C1759+D1759=0,"",(E1759*C1759+F1759*D1759)/(C1759+D1759)))</f>
        <v/>
      </c>
      <c r="H1759" s="59"/>
      <c r="I1759" s="60">
        <f>IF(OR(H1759="",E1759="",C1759="",D1759=""),"",IF(C1759+D1759=0,"",(H1759*D1759+E1759*C1759)/(C1759+D1759)))</f>
        <v/>
      </c>
      <c r="J1759" s="59"/>
      <c r="K1759" s="61">
        <f>IF(OR(J1759="",I1759=""),"",J1759-I1759)</f>
        <v/>
      </c>
      <c r="L1759" s="61">
        <f>IF(OR(J1759="",G1759=""),"",J1759-G1759)</f>
        <v/>
      </c>
      <c r="M1759" s="59"/>
      <c r="N1759" s="59"/>
      <c r="O1759" s="59"/>
      <c r="P1759" s="59"/>
      <c r="Q1759" s="59"/>
      <c r="R1759" s="60">
        <f>IF(AND(P1759="",Q1759=""),"",N(P1759)+N(Q1759))</f>
        <v/>
      </c>
      <c r="S1759" s="59"/>
      <c r="T1759" s="59"/>
      <c r="U1759" s="62">
        <f>IF(OR(R1759="",S1759="",T1759=""),"",IF(S1759+T1759=0,"",R1759/(S1759+T1759)))</f>
        <v/>
      </c>
      <c r="V1759" s="63"/>
      <c r="W1759" s="64"/>
      <c r="X1759" s="63"/>
    </row>
    <row r="1760" spans="2:24">
      <c r="B1760" s="58"/>
      <c r="C1760" s="59"/>
      <c r="D1760" s="59"/>
      <c r="E1760" s="59"/>
      <c r="F1760" s="59"/>
      <c r="G1760" s="60">
        <f>IF(OR(E1760="",F1760="",C1760="",D1760=""),"",IF(C1760+D1760=0,"",(E1760*C1760+F1760*D1760)/(C1760+D1760)))</f>
        <v/>
      </c>
      <c r="H1760" s="59"/>
      <c r="I1760" s="60">
        <f>IF(OR(H1760="",E1760="",C1760="",D1760=""),"",IF(C1760+D1760=0,"",(H1760*D1760+E1760*C1760)/(C1760+D1760)))</f>
        <v/>
      </c>
      <c r="J1760" s="59"/>
      <c r="K1760" s="61">
        <f>IF(OR(J1760="",I1760=""),"",J1760-I1760)</f>
        <v/>
      </c>
      <c r="L1760" s="61">
        <f>IF(OR(J1760="",G1760=""),"",J1760-G1760)</f>
        <v/>
      </c>
      <c r="M1760" s="59"/>
      <c r="N1760" s="59"/>
      <c r="O1760" s="59"/>
      <c r="P1760" s="59"/>
      <c r="Q1760" s="59"/>
      <c r="R1760" s="60">
        <f>IF(AND(P1760="",Q1760=""),"",N(P1760)+N(Q1760))</f>
        <v/>
      </c>
      <c r="S1760" s="59"/>
      <c r="T1760" s="59"/>
      <c r="U1760" s="62">
        <f>IF(OR(R1760="",S1760="",T1760=""),"",IF(S1760+T1760=0,"",R1760/(S1760+T1760)))</f>
        <v/>
      </c>
      <c r="V1760" s="63"/>
      <c r="W1760" s="64"/>
      <c r="X1760" s="63"/>
    </row>
    <row r="1761" spans="2:24">
      <c r="B1761" s="58"/>
      <c r="C1761" s="59"/>
      <c r="D1761" s="59"/>
      <c r="E1761" s="59"/>
      <c r="F1761" s="59"/>
      <c r="G1761" s="60">
        <f>IF(OR(E1761="",F1761="",C1761="",D1761=""),"",IF(C1761+D1761=0,"",(E1761*C1761+F1761*D1761)/(C1761+D1761)))</f>
        <v/>
      </c>
      <c r="H1761" s="59"/>
      <c r="I1761" s="60">
        <f>IF(OR(H1761="",E1761="",C1761="",D1761=""),"",IF(C1761+D1761=0,"",(H1761*D1761+E1761*C1761)/(C1761+D1761)))</f>
        <v/>
      </c>
      <c r="J1761" s="59"/>
      <c r="K1761" s="61">
        <f>IF(OR(J1761="",I1761=""),"",J1761-I1761)</f>
        <v/>
      </c>
      <c r="L1761" s="61">
        <f>IF(OR(J1761="",G1761=""),"",J1761-G1761)</f>
        <v/>
      </c>
      <c r="M1761" s="59"/>
      <c r="N1761" s="59"/>
      <c r="O1761" s="59"/>
      <c r="P1761" s="59"/>
      <c r="Q1761" s="59"/>
      <c r="R1761" s="60">
        <f>IF(AND(P1761="",Q1761=""),"",N(P1761)+N(Q1761))</f>
        <v/>
      </c>
      <c r="S1761" s="59"/>
      <c r="T1761" s="59"/>
      <c r="U1761" s="62">
        <f>IF(OR(R1761="",S1761="",T1761=""),"",IF(S1761+T1761=0,"",R1761/(S1761+T1761)))</f>
        <v/>
      </c>
      <c r="V1761" s="63"/>
      <c r="W1761" s="64"/>
      <c r="X1761" s="63"/>
    </row>
    <row r="1762" spans="2:24">
      <c r="B1762" s="58"/>
      <c r="C1762" s="59"/>
      <c r="D1762" s="59"/>
      <c r="E1762" s="59"/>
      <c r="F1762" s="59"/>
      <c r="G1762" s="60">
        <f>IF(OR(E1762="",F1762="",C1762="",D1762=""),"",IF(C1762+D1762=0,"",(E1762*C1762+F1762*D1762)/(C1762+D1762)))</f>
        <v/>
      </c>
      <c r="H1762" s="59"/>
      <c r="I1762" s="60">
        <f>IF(OR(H1762="",E1762="",C1762="",D1762=""),"",IF(C1762+D1762=0,"",(H1762*D1762+E1762*C1762)/(C1762+D1762)))</f>
        <v/>
      </c>
      <c r="J1762" s="59"/>
      <c r="K1762" s="61">
        <f>IF(OR(J1762="",I1762=""),"",J1762-I1762)</f>
        <v/>
      </c>
      <c r="L1762" s="61">
        <f>IF(OR(J1762="",G1762=""),"",J1762-G1762)</f>
        <v/>
      </c>
      <c r="M1762" s="59"/>
      <c r="N1762" s="59"/>
      <c r="O1762" s="59"/>
      <c r="P1762" s="59"/>
      <c r="Q1762" s="59"/>
      <c r="R1762" s="60">
        <f>IF(AND(P1762="",Q1762=""),"",N(P1762)+N(Q1762))</f>
        <v/>
      </c>
      <c r="S1762" s="59"/>
      <c r="T1762" s="59"/>
      <c r="U1762" s="62">
        <f>IF(OR(R1762="",S1762="",T1762=""),"",IF(S1762+T1762=0,"",R1762/(S1762+T1762)))</f>
        <v/>
      </c>
      <c r="V1762" s="63"/>
      <c r="W1762" s="64"/>
      <c r="X1762" s="63"/>
    </row>
    <row r="1763" spans="2:24">
      <c r="B1763" s="58"/>
      <c r="C1763" s="59"/>
      <c r="D1763" s="59"/>
      <c r="E1763" s="59"/>
      <c r="F1763" s="59"/>
      <c r="G1763" s="60">
        <f>IF(OR(E1763="",F1763="",C1763="",D1763=""),"",IF(C1763+D1763=0,"",(E1763*C1763+F1763*D1763)/(C1763+D1763)))</f>
        <v/>
      </c>
      <c r="H1763" s="59"/>
      <c r="I1763" s="60">
        <f>IF(OR(H1763="",E1763="",C1763="",D1763=""),"",IF(C1763+D1763=0,"",(H1763*D1763+E1763*C1763)/(C1763+D1763)))</f>
        <v/>
      </c>
      <c r="J1763" s="59"/>
      <c r="K1763" s="61">
        <f>IF(OR(J1763="",I1763=""),"",J1763-I1763)</f>
        <v/>
      </c>
      <c r="L1763" s="61">
        <f>IF(OR(J1763="",G1763=""),"",J1763-G1763)</f>
        <v/>
      </c>
      <c r="M1763" s="59"/>
      <c r="N1763" s="59"/>
      <c r="O1763" s="59"/>
      <c r="P1763" s="59"/>
      <c r="Q1763" s="59"/>
      <c r="R1763" s="60">
        <f>IF(AND(P1763="",Q1763=""),"",N(P1763)+N(Q1763))</f>
        <v/>
      </c>
      <c r="S1763" s="59"/>
      <c r="T1763" s="59"/>
      <c r="U1763" s="62">
        <f>IF(OR(R1763="",S1763="",T1763=""),"",IF(S1763+T1763=0,"",R1763/(S1763+T1763)))</f>
        <v/>
      </c>
      <c r="V1763" s="63"/>
      <c r="W1763" s="64"/>
      <c r="X1763" s="63"/>
    </row>
    <row r="1764" spans="2:24">
      <c r="B1764" s="58"/>
      <c r="C1764" s="59"/>
      <c r="D1764" s="59"/>
      <c r="E1764" s="59"/>
      <c r="F1764" s="59"/>
      <c r="G1764" s="60">
        <f>IF(OR(E1764="",F1764="",C1764="",D1764=""),"",IF(C1764+D1764=0,"",(E1764*C1764+F1764*D1764)/(C1764+D1764)))</f>
        <v/>
      </c>
      <c r="H1764" s="59"/>
      <c r="I1764" s="60">
        <f>IF(OR(H1764="",E1764="",C1764="",D1764=""),"",IF(C1764+D1764=0,"",(H1764*D1764+E1764*C1764)/(C1764+D1764)))</f>
        <v/>
      </c>
      <c r="J1764" s="59"/>
      <c r="K1764" s="61">
        <f>IF(OR(J1764="",I1764=""),"",J1764-I1764)</f>
        <v/>
      </c>
      <c r="L1764" s="61">
        <f>IF(OR(J1764="",G1764=""),"",J1764-G1764)</f>
        <v/>
      </c>
      <c r="M1764" s="59"/>
      <c r="N1764" s="59"/>
      <c r="O1764" s="59"/>
      <c r="P1764" s="59"/>
      <c r="Q1764" s="59"/>
      <c r="R1764" s="60">
        <f>IF(AND(P1764="",Q1764=""),"",N(P1764)+N(Q1764))</f>
        <v/>
      </c>
      <c r="S1764" s="59"/>
      <c r="T1764" s="59"/>
      <c r="U1764" s="62">
        <f>IF(OR(R1764="",S1764="",T1764=""),"",IF(S1764+T1764=0,"",R1764/(S1764+T1764)))</f>
        <v/>
      </c>
      <c r="V1764" s="63"/>
      <c r="W1764" s="64"/>
      <c r="X1764" s="63"/>
    </row>
    <row r="1765" spans="2:24">
      <c r="B1765" s="58"/>
      <c r="C1765" s="59"/>
      <c r="D1765" s="59"/>
      <c r="E1765" s="59"/>
      <c r="F1765" s="59"/>
      <c r="G1765" s="60">
        <f>IF(OR(E1765="",F1765="",C1765="",D1765=""),"",IF(C1765+D1765=0,"",(E1765*C1765+F1765*D1765)/(C1765+D1765)))</f>
        <v/>
      </c>
      <c r="H1765" s="59"/>
      <c r="I1765" s="60">
        <f>IF(OR(H1765="",E1765="",C1765="",D1765=""),"",IF(C1765+D1765=0,"",(H1765*D1765+E1765*C1765)/(C1765+D1765)))</f>
        <v/>
      </c>
      <c r="J1765" s="59"/>
      <c r="K1765" s="61">
        <f>IF(OR(J1765="",I1765=""),"",J1765-I1765)</f>
        <v/>
      </c>
      <c r="L1765" s="61">
        <f>IF(OR(J1765="",G1765=""),"",J1765-G1765)</f>
        <v/>
      </c>
      <c r="M1765" s="59"/>
      <c r="N1765" s="59"/>
      <c r="O1765" s="59"/>
      <c r="P1765" s="59"/>
      <c r="Q1765" s="59"/>
      <c r="R1765" s="60">
        <f>IF(AND(P1765="",Q1765=""),"",N(P1765)+N(Q1765))</f>
        <v/>
      </c>
      <c r="S1765" s="59"/>
      <c r="T1765" s="59"/>
      <c r="U1765" s="62">
        <f>IF(OR(R1765="",S1765="",T1765=""),"",IF(S1765+T1765=0,"",R1765/(S1765+T1765)))</f>
        <v/>
      </c>
      <c r="V1765" s="63"/>
      <c r="W1765" s="64"/>
      <c r="X1765" s="63"/>
    </row>
    <row r="1766" spans="2:24">
      <c r="B1766" s="58"/>
      <c r="C1766" s="59"/>
      <c r="D1766" s="59"/>
      <c r="E1766" s="59"/>
      <c r="F1766" s="59"/>
      <c r="G1766" s="60">
        <f>IF(OR(E1766="",F1766="",C1766="",D1766=""),"",IF(C1766+D1766=0,"",(E1766*C1766+F1766*D1766)/(C1766+D1766)))</f>
        <v/>
      </c>
      <c r="H1766" s="59"/>
      <c r="I1766" s="60">
        <f>IF(OR(H1766="",E1766="",C1766="",D1766=""),"",IF(C1766+D1766=0,"",(H1766*D1766+E1766*C1766)/(C1766+D1766)))</f>
        <v/>
      </c>
      <c r="J1766" s="59"/>
      <c r="K1766" s="61">
        <f>IF(OR(J1766="",I1766=""),"",J1766-I1766)</f>
        <v/>
      </c>
      <c r="L1766" s="61">
        <f>IF(OR(J1766="",G1766=""),"",J1766-G1766)</f>
        <v/>
      </c>
      <c r="M1766" s="59"/>
      <c r="N1766" s="59"/>
      <c r="O1766" s="59"/>
      <c r="P1766" s="59"/>
      <c r="Q1766" s="59"/>
      <c r="R1766" s="60">
        <f>IF(AND(P1766="",Q1766=""),"",N(P1766)+N(Q1766))</f>
        <v/>
      </c>
      <c r="S1766" s="59"/>
      <c r="T1766" s="59"/>
      <c r="U1766" s="62">
        <f>IF(OR(R1766="",S1766="",T1766=""),"",IF(S1766+T1766=0,"",R1766/(S1766+T1766)))</f>
        <v/>
      </c>
      <c r="V1766" s="63"/>
      <c r="W1766" s="64"/>
      <c r="X1766" s="63"/>
    </row>
    <row r="1767" spans="2:24">
      <c r="B1767" s="58"/>
      <c r="C1767" s="59"/>
      <c r="D1767" s="59"/>
      <c r="E1767" s="59"/>
      <c r="F1767" s="59"/>
      <c r="G1767" s="60">
        <f>IF(OR(E1767="",F1767="",C1767="",D1767=""),"",IF(C1767+D1767=0,"",(E1767*C1767+F1767*D1767)/(C1767+D1767)))</f>
        <v/>
      </c>
      <c r="H1767" s="59"/>
      <c r="I1767" s="60">
        <f>IF(OR(H1767="",E1767="",C1767="",D1767=""),"",IF(C1767+D1767=0,"",(H1767*D1767+E1767*C1767)/(C1767+D1767)))</f>
        <v/>
      </c>
      <c r="J1767" s="59"/>
      <c r="K1767" s="61">
        <f>IF(OR(J1767="",I1767=""),"",J1767-I1767)</f>
        <v/>
      </c>
      <c r="L1767" s="61">
        <f>IF(OR(J1767="",G1767=""),"",J1767-G1767)</f>
        <v/>
      </c>
      <c r="M1767" s="59"/>
      <c r="N1767" s="59"/>
      <c r="O1767" s="59"/>
      <c r="P1767" s="59"/>
      <c r="Q1767" s="59"/>
      <c r="R1767" s="60">
        <f>IF(AND(P1767="",Q1767=""),"",N(P1767)+N(Q1767))</f>
        <v/>
      </c>
      <c r="S1767" s="59"/>
      <c r="T1767" s="59"/>
      <c r="U1767" s="62">
        <f>IF(OR(R1767="",S1767="",T1767=""),"",IF(S1767+T1767=0,"",R1767/(S1767+T1767)))</f>
        <v/>
      </c>
      <c r="V1767" s="63"/>
      <c r="W1767" s="64"/>
      <c r="X1767" s="63"/>
    </row>
    <row r="1768" spans="2:24">
      <c r="B1768" s="58"/>
      <c r="C1768" s="59"/>
      <c r="D1768" s="59"/>
      <c r="E1768" s="59"/>
      <c r="F1768" s="59"/>
      <c r="G1768" s="60">
        <f>IF(OR(E1768="",F1768="",C1768="",D1768=""),"",IF(C1768+D1768=0,"",(E1768*C1768+F1768*D1768)/(C1768+D1768)))</f>
        <v/>
      </c>
      <c r="H1768" s="59"/>
      <c r="I1768" s="60">
        <f>IF(OR(H1768="",E1768="",C1768="",D1768=""),"",IF(C1768+D1768=0,"",(H1768*D1768+E1768*C1768)/(C1768+D1768)))</f>
        <v/>
      </c>
      <c r="J1768" s="59"/>
      <c r="K1768" s="61">
        <f>IF(OR(J1768="",I1768=""),"",J1768-I1768)</f>
        <v/>
      </c>
      <c r="L1768" s="61">
        <f>IF(OR(J1768="",G1768=""),"",J1768-G1768)</f>
        <v/>
      </c>
      <c r="M1768" s="59"/>
      <c r="N1768" s="59"/>
      <c r="O1768" s="59"/>
      <c r="P1768" s="59"/>
      <c r="Q1768" s="59"/>
      <c r="R1768" s="60">
        <f>IF(AND(P1768="",Q1768=""),"",N(P1768)+N(Q1768))</f>
        <v/>
      </c>
      <c r="S1768" s="59"/>
      <c r="T1768" s="59"/>
      <c r="U1768" s="62">
        <f>IF(OR(R1768="",S1768="",T1768=""),"",IF(S1768+T1768=0,"",R1768/(S1768+T1768)))</f>
        <v/>
      </c>
      <c r="V1768" s="63"/>
      <c r="W1768" s="64"/>
      <c r="X1768" s="63"/>
    </row>
    <row r="1769" spans="2:24">
      <c r="B1769" s="58"/>
      <c r="C1769" s="59"/>
      <c r="D1769" s="59"/>
      <c r="E1769" s="59"/>
      <c r="F1769" s="59"/>
      <c r="G1769" s="60">
        <f>IF(OR(E1769="",F1769="",C1769="",D1769=""),"",IF(C1769+D1769=0,"",(E1769*C1769+F1769*D1769)/(C1769+D1769)))</f>
        <v/>
      </c>
      <c r="H1769" s="59"/>
      <c r="I1769" s="60">
        <f>IF(OR(H1769="",E1769="",C1769="",D1769=""),"",IF(C1769+D1769=0,"",(H1769*D1769+E1769*C1769)/(C1769+D1769)))</f>
        <v/>
      </c>
      <c r="J1769" s="59"/>
      <c r="K1769" s="61">
        <f>IF(OR(J1769="",I1769=""),"",J1769-I1769)</f>
        <v/>
      </c>
      <c r="L1769" s="61">
        <f>IF(OR(J1769="",G1769=""),"",J1769-G1769)</f>
        <v/>
      </c>
      <c r="M1769" s="59"/>
      <c r="N1769" s="59"/>
      <c r="O1769" s="59"/>
      <c r="P1769" s="59"/>
      <c r="Q1769" s="59"/>
      <c r="R1769" s="60">
        <f>IF(AND(P1769="",Q1769=""),"",N(P1769)+N(Q1769))</f>
        <v/>
      </c>
      <c r="S1769" s="59"/>
      <c r="T1769" s="59"/>
      <c r="U1769" s="62">
        <f>IF(OR(R1769="",S1769="",T1769=""),"",IF(S1769+T1769=0,"",R1769/(S1769+T1769)))</f>
        <v/>
      </c>
      <c r="V1769" s="63"/>
      <c r="W1769" s="64"/>
      <c r="X1769" s="63"/>
    </row>
    <row r="1770" spans="2:24">
      <c r="B1770" s="58"/>
      <c r="C1770" s="59"/>
      <c r="D1770" s="59"/>
      <c r="E1770" s="59"/>
      <c r="F1770" s="59"/>
      <c r="G1770" s="60">
        <f>IF(OR(E1770="",F1770="",C1770="",D1770=""),"",IF(C1770+D1770=0,"",(E1770*C1770+F1770*D1770)/(C1770+D1770)))</f>
        <v/>
      </c>
      <c r="H1770" s="59"/>
      <c r="I1770" s="60">
        <f>IF(OR(H1770="",E1770="",C1770="",D1770=""),"",IF(C1770+D1770=0,"",(H1770*D1770+E1770*C1770)/(C1770+D1770)))</f>
        <v/>
      </c>
      <c r="J1770" s="59"/>
      <c r="K1770" s="61">
        <f>IF(OR(J1770="",I1770=""),"",J1770-I1770)</f>
        <v/>
      </c>
      <c r="L1770" s="61">
        <f>IF(OR(J1770="",G1770=""),"",J1770-G1770)</f>
        <v/>
      </c>
      <c r="M1770" s="59"/>
      <c r="N1770" s="59"/>
      <c r="O1770" s="59"/>
      <c r="P1770" s="59"/>
      <c r="Q1770" s="59"/>
      <c r="R1770" s="60">
        <f>IF(AND(P1770="",Q1770=""),"",N(P1770)+N(Q1770))</f>
        <v/>
      </c>
      <c r="S1770" s="59"/>
      <c r="T1770" s="59"/>
      <c r="U1770" s="62">
        <f>IF(OR(R1770="",S1770="",T1770=""),"",IF(S1770+T1770=0,"",R1770/(S1770+T1770)))</f>
        <v/>
      </c>
      <c r="V1770" s="63"/>
      <c r="W1770" s="64"/>
      <c r="X1770" s="63"/>
    </row>
    <row r="1771" spans="2:24">
      <c r="B1771" s="58"/>
      <c r="C1771" s="59"/>
      <c r="D1771" s="59"/>
      <c r="E1771" s="59"/>
      <c r="F1771" s="59"/>
      <c r="G1771" s="60">
        <f>IF(OR(E1771="",F1771="",C1771="",D1771=""),"",IF(C1771+D1771=0,"",(E1771*C1771+F1771*D1771)/(C1771+D1771)))</f>
        <v/>
      </c>
      <c r="H1771" s="59"/>
      <c r="I1771" s="60">
        <f>IF(OR(H1771="",E1771="",C1771="",D1771=""),"",IF(C1771+D1771=0,"",(H1771*D1771+E1771*C1771)/(C1771+D1771)))</f>
        <v/>
      </c>
      <c r="J1771" s="59"/>
      <c r="K1771" s="61">
        <f>IF(OR(J1771="",I1771=""),"",J1771-I1771)</f>
        <v/>
      </c>
      <c r="L1771" s="61">
        <f>IF(OR(J1771="",G1771=""),"",J1771-G1771)</f>
        <v/>
      </c>
      <c r="M1771" s="59"/>
      <c r="N1771" s="59"/>
      <c r="O1771" s="59"/>
      <c r="P1771" s="59"/>
      <c r="Q1771" s="59"/>
      <c r="R1771" s="60">
        <f>IF(AND(P1771="",Q1771=""),"",N(P1771)+N(Q1771))</f>
        <v/>
      </c>
      <c r="S1771" s="59"/>
      <c r="T1771" s="59"/>
      <c r="U1771" s="62">
        <f>IF(OR(R1771="",S1771="",T1771=""),"",IF(S1771+T1771=0,"",R1771/(S1771+T1771)))</f>
        <v/>
      </c>
      <c r="V1771" s="63"/>
      <c r="W1771" s="64"/>
      <c r="X1771" s="63"/>
    </row>
    <row r="1772" spans="2:24">
      <c r="B1772" s="58"/>
      <c r="C1772" s="59"/>
      <c r="D1772" s="59"/>
      <c r="E1772" s="59"/>
      <c r="F1772" s="59"/>
      <c r="G1772" s="60">
        <f>IF(OR(E1772="",F1772="",C1772="",D1772=""),"",IF(C1772+D1772=0,"",(E1772*C1772+F1772*D1772)/(C1772+D1772)))</f>
        <v/>
      </c>
      <c r="H1772" s="59"/>
      <c r="I1772" s="60">
        <f>IF(OR(H1772="",E1772="",C1772="",D1772=""),"",IF(C1772+D1772=0,"",(H1772*D1772+E1772*C1772)/(C1772+D1772)))</f>
        <v/>
      </c>
      <c r="J1772" s="59"/>
      <c r="K1772" s="61">
        <f>IF(OR(J1772="",I1772=""),"",J1772-I1772)</f>
        <v/>
      </c>
      <c r="L1772" s="61">
        <f>IF(OR(J1772="",G1772=""),"",J1772-G1772)</f>
        <v/>
      </c>
      <c r="M1772" s="59"/>
      <c r="N1772" s="59"/>
      <c r="O1772" s="59"/>
      <c r="P1772" s="59"/>
      <c r="Q1772" s="59"/>
      <c r="R1772" s="60">
        <f>IF(AND(P1772="",Q1772=""),"",N(P1772)+N(Q1772))</f>
        <v/>
      </c>
      <c r="S1772" s="59"/>
      <c r="T1772" s="59"/>
      <c r="U1772" s="62">
        <f>IF(OR(R1772="",S1772="",T1772=""),"",IF(S1772+T1772=0,"",R1772/(S1772+T1772)))</f>
        <v/>
      </c>
      <c r="V1772" s="63"/>
      <c r="W1772" s="64"/>
      <c r="X1772" s="63"/>
    </row>
    <row r="1773" spans="2:24">
      <c r="B1773" s="58"/>
      <c r="C1773" s="59"/>
      <c r="D1773" s="59"/>
      <c r="E1773" s="59"/>
      <c r="F1773" s="59"/>
      <c r="G1773" s="60">
        <f>IF(OR(E1773="",F1773="",C1773="",D1773=""),"",IF(C1773+D1773=0,"",(E1773*C1773+F1773*D1773)/(C1773+D1773)))</f>
        <v/>
      </c>
      <c r="H1773" s="59"/>
      <c r="I1773" s="60">
        <f>IF(OR(H1773="",E1773="",C1773="",D1773=""),"",IF(C1773+D1773=0,"",(H1773*D1773+E1773*C1773)/(C1773+D1773)))</f>
        <v/>
      </c>
      <c r="J1773" s="59"/>
      <c r="K1773" s="61">
        <f>IF(OR(J1773="",I1773=""),"",J1773-I1773)</f>
        <v/>
      </c>
      <c r="L1773" s="61">
        <f>IF(OR(J1773="",G1773=""),"",J1773-G1773)</f>
        <v/>
      </c>
      <c r="M1773" s="59"/>
      <c r="N1773" s="59"/>
      <c r="O1773" s="59"/>
      <c r="P1773" s="59"/>
      <c r="Q1773" s="59"/>
      <c r="R1773" s="60">
        <f>IF(AND(P1773="",Q1773=""),"",N(P1773)+N(Q1773))</f>
        <v/>
      </c>
      <c r="S1773" s="59"/>
      <c r="T1773" s="59"/>
      <c r="U1773" s="62">
        <f>IF(OR(R1773="",S1773="",T1773=""),"",IF(S1773+T1773=0,"",R1773/(S1773+T1773)))</f>
        <v/>
      </c>
      <c r="V1773" s="63"/>
      <c r="W1773" s="64"/>
      <c r="X1773" s="63"/>
    </row>
    <row r="1774" spans="2:24">
      <c r="B1774" s="58"/>
      <c r="C1774" s="59"/>
      <c r="D1774" s="59"/>
      <c r="E1774" s="59"/>
      <c r="F1774" s="59"/>
      <c r="G1774" s="60">
        <f>IF(OR(E1774="",F1774="",C1774="",D1774=""),"",IF(C1774+D1774=0,"",(E1774*C1774+F1774*D1774)/(C1774+D1774)))</f>
        <v/>
      </c>
      <c r="H1774" s="59"/>
      <c r="I1774" s="60">
        <f>IF(OR(H1774="",E1774="",C1774="",D1774=""),"",IF(C1774+D1774=0,"",(H1774*D1774+E1774*C1774)/(C1774+D1774)))</f>
        <v/>
      </c>
      <c r="J1774" s="59"/>
      <c r="K1774" s="61">
        <f>IF(OR(J1774="",I1774=""),"",J1774-I1774)</f>
        <v/>
      </c>
      <c r="L1774" s="61">
        <f>IF(OR(J1774="",G1774=""),"",J1774-G1774)</f>
        <v/>
      </c>
      <c r="M1774" s="59"/>
      <c r="N1774" s="59"/>
      <c r="O1774" s="59"/>
      <c r="P1774" s="59"/>
      <c r="Q1774" s="59"/>
      <c r="R1774" s="60">
        <f>IF(AND(P1774="",Q1774=""),"",N(P1774)+N(Q1774))</f>
        <v/>
      </c>
      <c r="S1774" s="59"/>
      <c r="T1774" s="59"/>
      <c r="U1774" s="62">
        <f>IF(OR(R1774="",S1774="",T1774=""),"",IF(S1774+T1774=0,"",R1774/(S1774+T1774)))</f>
        <v/>
      </c>
      <c r="V1774" s="63"/>
      <c r="W1774" s="64"/>
      <c r="X1774" s="63"/>
    </row>
    <row r="1775" spans="2:24">
      <c r="B1775" s="58"/>
      <c r="C1775" s="59"/>
      <c r="D1775" s="59"/>
      <c r="E1775" s="59"/>
      <c r="F1775" s="59"/>
      <c r="G1775" s="60">
        <f>IF(OR(E1775="",F1775="",C1775="",D1775=""),"",IF(C1775+D1775=0,"",(E1775*C1775+F1775*D1775)/(C1775+D1775)))</f>
        <v/>
      </c>
      <c r="H1775" s="59"/>
      <c r="I1775" s="60">
        <f>IF(OR(H1775="",E1775="",C1775="",D1775=""),"",IF(C1775+D1775=0,"",(H1775*D1775+E1775*C1775)/(C1775+D1775)))</f>
        <v/>
      </c>
      <c r="J1775" s="59"/>
      <c r="K1775" s="61">
        <f>IF(OR(J1775="",I1775=""),"",J1775-I1775)</f>
        <v/>
      </c>
      <c r="L1775" s="61">
        <f>IF(OR(J1775="",G1775=""),"",J1775-G1775)</f>
        <v/>
      </c>
      <c r="M1775" s="59"/>
      <c r="N1775" s="59"/>
      <c r="O1775" s="59"/>
      <c r="P1775" s="59"/>
      <c r="Q1775" s="59"/>
      <c r="R1775" s="60">
        <f>IF(AND(P1775="",Q1775=""),"",N(P1775)+N(Q1775))</f>
        <v/>
      </c>
      <c r="S1775" s="59"/>
      <c r="T1775" s="59"/>
      <c r="U1775" s="62">
        <f>IF(OR(R1775="",S1775="",T1775=""),"",IF(S1775+T1775=0,"",R1775/(S1775+T1775)))</f>
        <v/>
      </c>
      <c r="V1775" s="63"/>
      <c r="W1775" s="64"/>
      <c r="X1775" s="63"/>
    </row>
    <row r="1776" spans="2:24">
      <c r="B1776" s="58"/>
      <c r="C1776" s="59"/>
      <c r="D1776" s="59"/>
      <c r="E1776" s="59"/>
      <c r="F1776" s="59"/>
      <c r="G1776" s="60">
        <f>IF(OR(E1776="",F1776="",C1776="",D1776=""),"",IF(C1776+D1776=0,"",(E1776*C1776+F1776*D1776)/(C1776+D1776)))</f>
        <v/>
      </c>
      <c r="H1776" s="59"/>
      <c r="I1776" s="60">
        <f>IF(OR(H1776="",E1776="",C1776="",D1776=""),"",IF(C1776+D1776=0,"",(H1776*D1776+E1776*C1776)/(C1776+D1776)))</f>
        <v/>
      </c>
      <c r="J1776" s="59"/>
      <c r="K1776" s="61">
        <f>IF(OR(J1776="",I1776=""),"",J1776-I1776)</f>
        <v/>
      </c>
      <c r="L1776" s="61">
        <f>IF(OR(J1776="",G1776=""),"",J1776-G1776)</f>
        <v/>
      </c>
      <c r="M1776" s="59"/>
      <c r="N1776" s="59"/>
      <c r="O1776" s="59"/>
      <c r="P1776" s="59"/>
      <c r="Q1776" s="59"/>
      <c r="R1776" s="60">
        <f>IF(AND(P1776="",Q1776=""),"",N(P1776)+N(Q1776))</f>
        <v/>
      </c>
      <c r="S1776" s="59"/>
      <c r="T1776" s="59"/>
      <c r="U1776" s="62">
        <f>IF(OR(R1776="",S1776="",T1776=""),"",IF(S1776+T1776=0,"",R1776/(S1776+T1776)))</f>
        <v/>
      </c>
      <c r="V1776" s="63"/>
      <c r="W1776" s="64"/>
      <c r="X1776" s="63"/>
    </row>
    <row r="1777" spans="2:24">
      <c r="B1777" s="58"/>
      <c r="C1777" s="59"/>
      <c r="D1777" s="59"/>
      <c r="E1777" s="59"/>
      <c r="F1777" s="59"/>
      <c r="G1777" s="60">
        <f>IF(OR(E1777="",F1777="",C1777="",D1777=""),"",IF(C1777+D1777=0,"",(E1777*C1777+F1777*D1777)/(C1777+D1777)))</f>
        <v/>
      </c>
      <c r="H1777" s="59"/>
      <c r="I1777" s="60">
        <f>IF(OR(H1777="",E1777="",C1777="",D1777=""),"",IF(C1777+D1777=0,"",(H1777*D1777+E1777*C1777)/(C1777+D1777)))</f>
        <v/>
      </c>
      <c r="J1777" s="59"/>
      <c r="K1777" s="61">
        <f>IF(OR(J1777="",I1777=""),"",J1777-I1777)</f>
        <v/>
      </c>
      <c r="L1777" s="61">
        <f>IF(OR(J1777="",G1777=""),"",J1777-G1777)</f>
        <v/>
      </c>
      <c r="M1777" s="59"/>
      <c r="N1777" s="59"/>
      <c r="O1777" s="59"/>
      <c r="P1777" s="59"/>
      <c r="Q1777" s="59"/>
      <c r="R1777" s="60">
        <f>IF(AND(P1777="",Q1777=""),"",N(P1777)+N(Q1777))</f>
        <v/>
      </c>
      <c r="S1777" s="59"/>
      <c r="T1777" s="59"/>
      <c r="U1777" s="62">
        <f>IF(OR(R1777="",S1777="",T1777=""),"",IF(S1777+T1777=0,"",R1777/(S1777+T1777)))</f>
        <v/>
      </c>
      <c r="V1777" s="63"/>
      <c r="W1777" s="64"/>
      <c r="X1777" s="63"/>
    </row>
    <row r="1778" spans="2:24">
      <c r="B1778" s="58"/>
      <c r="C1778" s="59"/>
      <c r="D1778" s="59"/>
      <c r="E1778" s="59"/>
      <c r="F1778" s="59"/>
      <c r="G1778" s="60">
        <f>IF(OR(E1778="",F1778="",C1778="",D1778=""),"",IF(C1778+D1778=0,"",(E1778*C1778+F1778*D1778)/(C1778+D1778)))</f>
        <v/>
      </c>
      <c r="H1778" s="59"/>
      <c r="I1778" s="60">
        <f>IF(OR(H1778="",E1778="",C1778="",D1778=""),"",IF(C1778+D1778=0,"",(H1778*D1778+E1778*C1778)/(C1778+D1778)))</f>
        <v/>
      </c>
      <c r="J1778" s="59"/>
      <c r="K1778" s="61">
        <f>IF(OR(J1778="",I1778=""),"",J1778-I1778)</f>
        <v/>
      </c>
      <c r="L1778" s="61">
        <f>IF(OR(J1778="",G1778=""),"",J1778-G1778)</f>
        <v/>
      </c>
      <c r="M1778" s="59"/>
      <c r="N1778" s="59"/>
      <c r="O1778" s="59"/>
      <c r="P1778" s="59"/>
      <c r="Q1778" s="59"/>
      <c r="R1778" s="60">
        <f>IF(AND(P1778="",Q1778=""),"",N(P1778)+N(Q1778))</f>
        <v/>
      </c>
      <c r="S1778" s="59"/>
      <c r="T1778" s="59"/>
      <c r="U1778" s="62">
        <f>IF(OR(R1778="",S1778="",T1778=""),"",IF(S1778+T1778=0,"",R1778/(S1778+T1778)))</f>
        <v/>
      </c>
      <c r="V1778" s="63"/>
      <c r="W1778" s="64"/>
      <c r="X1778" s="63"/>
    </row>
    <row r="1779" spans="2:24">
      <c r="B1779" s="58"/>
      <c r="C1779" s="59"/>
      <c r="D1779" s="59"/>
      <c r="E1779" s="59"/>
      <c r="F1779" s="59"/>
      <c r="G1779" s="60">
        <f>IF(OR(E1779="",F1779="",C1779="",D1779=""),"",IF(C1779+D1779=0,"",(E1779*C1779+F1779*D1779)/(C1779+D1779)))</f>
        <v/>
      </c>
      <c r="H1779" s="59"/>
      <c r="I1779" s="60">
        <f>IF(OR(H1779="",E1779="",C1779="",D1779=""),"",IF(C1779+D1779=0,"",(H1779*D1779+E1779*C1779)/(C1779+D1779)))</f>
        <v/>
      </c>
      <c r="J1779" s="59"/>
      <c r="K1779" s="61">
        <f>IF(OR(J1779="",I1779=""),"",J1779-I1779)</f>
        <v/>
      </c>
      <c r="L1779" s="61">
        <f>IF(OR(J1779="",G1779=""),"",J1779-G1779)</f>
        <v/>
      </c>
      <c r="M1779" s="59"/>
      <c r="N1779" s="59"/>
      <c r="O1779" s="59"/>
      <c r="P1779" s="59"/>
      <c r="Q1779" s="59"/>
      <c r="R1779" s="60">
        <f>IF(AND(P1779="",Q1779=""),"",N(P1779)+N(Q1779))</f>
        <v/>
      </c>
      <c r="S1779" s="59"/>
      <c r="T1779" s="59"/>
      <c r="U1779" s="62">
        <f>IF(OR(R1779="",S1779="",T1779=""),"",IF(S1779+T1779=0,"",R1779/(S1779+T1779)))</f>
        <v/>
      </c>
      <c r="V1779" s="63"/>
      <c r="W1779" s="64"/>
      <c r="X1779" s="63"/>
    </row>
    <row r="1780" spans="2:24">
      <c r="B1780" s="58"/>
      <c r="C1780" s="59"/>
      <c r="D1780" s="59"/>
      <c r="E1780" s="59"/>
      <c r="F1780" s="59"/>
      <c r="G1780" s="60">
        <f>IF(OR(E1780="",F1780="",C1780="",D1780=""),"",IF(C1780+D1780=0,"",(E1780*C1780+F1780*D1780)/(C1780+D1780)))</f>
        <v/>
      </c>
      <c r="H1780" s="59"/>
      <c r="I1780" s="60">
        <f>IF(OR(H1780="",E1780="",C1780="",D1780=""),"",IF(C1780+D1780=0,"",(H1780*D1780+E1780*C1780)/(C1780+D1780)))</f>
        <v/>
      </c>
      <c r="J1780" s="59"/>
      <c r="K1780" s="61">
        <f>IF(OR(J1780="",I1780=""),"",J1780-I1780)</f>
        <v/>
      </c>
      <c r="L1780" s="61">
        <f>IF(OR(J1780="",G1780=""),"",J1780-G1780)</f>
        <v/>
      </c>
      <c r="M1780" s="59"/>
      <c r="N1780" s="59"/>
      <c r="O1780" s="59"/>
      <c r="P1780" s="59"/>
      <c r="Q1780" s="59"/>
      <c r="R1780" s="60">
        <f>IF(AND(P1780="",Q1780=""),"",N(P1780)+N(Q1780))</f>
        <v/>
      </c>
      <c r="S1780" s="59"/>
      <c r="T1780" s="59"/>
      <c r="U1780" s="62">
        <f>IF(OR(R1780="",S1780="",T1780=""),"",IF(S1780+T1780=0,"",R1780/(S1780+T1780)))</f>
        <v/>
      </c>
      <c r="V1780" s="63"/>
      <c r="W1780" s="64"/>
      <c r="X1780" s="63"/>
    </row>
    <row r="1781" spans="2:24">
      <c r="B1781" s="58"/>
      <c r="C1781" s="59"/>
      <c r="D1781" s="59"/>
      <c r="E1781" s="59"/>
      <c r="F1781" s="59"/>
      <c r="G1781" s="60">
        <f>IF(OR(E1781="",F1781="",C1781="",D1781=""),"",IF(C1781+D1781=0,"",(E1781*C1781+F1781*D1781)/(C1781+D1781)))</f>
        <v/>
      </c>
      <c r="H1781" s="59"/>
      <c r="I1781" s="60">
        <f>IF(OR(H1781="",E1781="",C1781="",D1781=""),"",IF(C1781+D1781=0,"",(H1781*D1781+E1781*C1781)/(C1781+D1781)))</f>
        <v/>
      </c>
      <c r="J1781" s="59"/>
      <c r="K1781" s="61">
        <f>IF(OR(J1781="",I1781=""),"",J1781-I1781)</f>
        <v/>
      </c>
      <c r="L1781" s="61">
        <f>IF(OR(J1781="",G1781=""),"",J1781-G1781)</f>
        <v/>
      </c>
      <c r="M1781" s="59"/>
      <c r="N1781" s="59"/>
      <c r="O1781" s="59"/>
      <c r="P1781" s="59"/>
      <c r="Q1781" s="59"/>
      <c r="R1781" s="60">
        <f>IF(AND(P1781="",Q1781=""),"",N(P1781)+N(Q1781))</f>
        <v/>
      </c>
      <c r="S1781" s="59"/>
      <c r="T1781" s="59"/>
      <c r="U1781" s="62">
        <f>IF(OR(R1781="",S1781="",T1781=""),"",IF(S1781+T1781=0,"",R1781/(S1781+T1781)))</f>
        <v/>
      </c>
      <c r="V1781" s="63"/>
      <c r="W1781" s="64"/>
      <c r="X1781" s="63"/>
    </row>
    <row r="1782" spans="2:24">
      <c r="B1782" s="58"/>
      <c r="C1782" s="59"/>
      <c r="D1782" s="59"/>
      <c r="E1782" s="59"/>
      <c r="F1782" s="59"/>
      <c r="G1782" s="60">
        <f>IF(OR(E1782="",F1782="",C1782="",D1782=""),"",IF(C1782+D1782=0,"",(E1782*C1782+F1782*D1782)/(C1782+D1782)))</f>
        <v/>
      </c>
      <c r="H1782" s="59"/>
      <c r="I1782" s="60">
        <f>IF(OR(H1782="",E1782="",C1782="",D1782=""),"",IF(C1782+D1782=0,"",(H1782*D1782+E1782*C1782)/(C1782+D1782)))</f>
        <v/>
      </c>
      <c r="J1782" s="59"/>
      <c r="K1782" s="61">
        <f>IF(OR(J1782="",I1782=""),"",J1782-I1782)</f>
        <v/>
      </c>
      <c r="L1782" s="61">
        <f>IF(OR(J1782="",G1782=""),"",J1782-G1782)</f>
        <v/>
      </c>
      <c r="M1782" s="59"/>
      <c r="N1782" s="59"/>
      <c r="O1782" s="59"/>
      <c r="P1782" s="59"/>
      <c r="Q1782" s="59"/>
      <c r="R1782" s="60">
        <f>IF(AND(P1782="",Q1782=""),"",N(P1782)+N(Q1782))</f>
        <v/>
      </c>
      <c r="S1782" s="59"/>
      <c r="T1782" s="59"/>
      <c r="U1782" s="62">
        <f>IF(OR(R1782="",S1782="",T1782=""),"",IF(S1782+T1782=0,"",R1782/(S1782+T1782)))</f>
        <v/>
      </c>
      <c r="V1782" s="63"/>
      <c r="W1782" s="64"/>
      <c r="X1782" s="63"/>
    </row>
    <row r="1783" spans="2:24">
      <c r="B1783" s="58"/>
      <c r="C1783" s="59"/>
      <c r="D1783" s="59"/>
      <c r="E1783" s="59"/>
      <c r="F1783" s="59"/>
      <c r="G1783" s="60">
        <f>IF(OR(E1783="",F1783="",C1783="",D1783=""),"",IF(C1783+D1783=0,"",(E1783*C1783+F1783*D1783)/(C1783+D1783)))</f>
        <v/>
      </c>
      <c r="H1783" s="59"/>
      <c r="I1783" s="60">
        <f>IF(OR(H1783="",E1783="",C1783="",D1783=""),"",IF(C1783+D1783=0,"",(H1783*D1783+E1783*C1783)/(C1783+D1783)))</f>
        <v/>
      </c>
      <c r="J1783" s="59"/>
      <c r="K1783" s="61">
        <f>IF(OR(J1783="",I1783=""),"",J1783-I1783)</f>
        <v/>
      </c>
      <c r="L1783" s="61">
        <f>IF(OR(J1783="",G1783=""),"",J1783-G1783)</f>
        <v/>
      </c>
      <c r="M1783" s="59"/>
      <c r="N1783" s="59"/>
      <c r="O1783" s="59"/>
      <c r="P1783" s="59"/>
      <c r="Q1783" s="59"/>
      <c r="R1783" s="60">
        <f>IF(AND(P1783="",Q1783=""),"",N(P1783)+N(Q1783))</f>
        <v/>
      </c>
      <c r="S1783" s="59"/>
      <c r="T1783" s="59"/>
      <c r="U1783" s="62">
        <f>IF(OR(R1783="",S1783="",T1783=""),"",IF(S1783+T1783=0,"",R1783/(S1783+T1783)))</f>
        <v/>
      </c>
      <c r="V1783" s="63"/>
      <c r="W1783" s="64"/>
      <c r="X1783" s="63"/>
    </row>
    <row r="1784" spans="2:24">
      <c r="B1784" s="58"/>
      <c r="C1784" s="59"/>
      <c r="D1784" s="59"/>
      <c r="E1784" s="59"/>
      <c r="F1784" s="59"/>
      <c r="G1784" s="60">
        <f>IF(OR(E1784="",F1784="",C1784="",D1784=""),"",IF(C1784+D1784=0,"",(E1784*C1784+F1784*D1784)/(C1784+D1784)))</f>
        <v/>
      </c>
      <c r="H1784" s="59"/>
      <c r="I1784" s="60">
        <f>IF(OR(H1784="",E1784="",C1784="",D1784=""),"",IF(C1784+D1784=0,"",(H1784*D1784+E1784*C1784)/(C1784+D1784)))</f>
        <v/>
      </c>
      <c r="J1784" s="59"/>
      <c r="K1784" s="61">
        <f>IF(OR(J1784="",I1784=""),"",J1784-I1784)</f>
        <v/>
      </c>
      <c r="L1784" s="61">
        <f>IF(OR(J1784="",G1784=""),"",J1784-G1784)</f>
        <v/>
      </c>
      <c r="M1784" s="59"/>
      <c r="N1784" s="59"/>
      <c r="O1784" s="59"/>
      <c r="P1784" s="59"/>
      <c r="Q1784" s="59"/>
      <c r="R1784" s="60">
        <f>IF(AND(P1784="",Q1784=""),"",N(P1784)+N(Q1784))</f>
        <v/>
      </c>
      <c r="S1784" s="59"/>
      <c r="T1784" s="59"/>
      <c r="U1784" s="62">
        <f>IF(OR(R1784="",S1784="",T1784=""),"",IF(S1784+T1784=0,"",R1784/(S1784+T1784)))</f>
        <v/>
      </c>
      <c r="V1784" s="63"/>
      <c r="W1784" s="64"/>
      <c r="X1784" s="63"/>
    </row>
    <row r="1785" spans="2:24">
      <c r="B1785" s="58"/>
      <c r="C1785" s="59"/>
      <c r="D1785" s="59"/>
      <c r="E1785" s="59"/>
      <c r="F1785" s="59"/>
      <c r="G1785" s="60">
        <f>IF(OR(E1785="",F1785="",C1785="",D1785=""),"",IF(C1785+D1785=0,"",(E1785*C1785+F1785*D1785)/(C1785+D1785)))</f>
        <v/>
      </c>
      <c r="H1785" s="59"/>
      <c r="I1785" s="60">
        <f>IF(OR(H1785="",E1785="",C1785="",D1785=""),"",IF(C1785+D1785=0,"",(H1785*D1785+E1785*C1785)/(C1785+D1785)))</f>
        <v/>
      </c>
      <c r="J1785" s="59"/>
      <c r="K1785" s="61">
        <f>IF(OR(J1785="",I1785=""),"",J1785-I1785)</f>
        <v/>
      </c>
      <c r="L1785" s="61">
        <f>IF(OR(J1785="",G1785=""),"",J1785-G1785)</f>
        <v/>
      </c>
      <c r="M1785" s="59"/>
      <c r="N1785" s="59"/>
      <c r="O1785" s="59"/>
      <c r="P1785" s="59"/>
      <c r="Q1785" s="59"/>
      <c r="R1785" s="60">
        <f>IF(AND(P1785="",Q1785=""),"",N(P1785)+N(Q1785))</f>
        <v/>
      </c>
      <c r="S1785" s="59"/>
      <c r="T1785" s="59"/>
      <c r="U1785" s="62">
        <f>IF(OR(R1785="",S1785="",T1785=""),"",IF(S1785+T1785=0,"",R1785/(S1785+T1785)))</f>
        <v/>
      </c>
      <c r="V1785" s="63"/>
      <c r="W1785" s="64"/>
      <c r="X1785" s="63"/>
    </row>
    <row r="1786" spans="2:24">
      <c r="B1786" s="58"/>
      <c r="C1786" s="59"/>
      <c r="D1786" s="59"/>
      <c r="E1786" s="59"/>
      <c r="F1786" s="59"/>
      <c r="G1786" s="60">
        <f>IF(OR(E1786="",F1786="",C1786="",D1786=""),"",IF(C1786+D1786=0,"",(E1786*C1786+F1786*D1786)/(C1786+D1786)))</f>
        <v/>
      </c>
      <c r="H1786" s="59"/>
      <c r="I1786" s="60">
        <f>IF(OR(H1786="",E1786="",C1786="",D1786=""),"",IF(C1786+D1786=0,"",(H1786*D1786+E1786*C1786)/(C1786+D1786)))</f>
        <v/>
      </c>
      <c r="J1786" s="59"/>
      <c r="K1786" s="61">
        <f>IF(OR(J1786="",I1786=""),"",J1786-I1786)</f>
        <v/>
      </c>
      <c r="L1786" s="61">
        <f>IF(OR(J1786="",G1786=""),"",J1786-G1786)</f>
        <v/>
      </c>
      <c r="M1786" s="59"/>
      <c r="N1786" s="59"/>
      <c r="O1786" s="59"/>
      <c r="P1786" s="59"/>
      <c r="Q1786" s="59"/>
      <c r="R1786" s="60">
        <f>IF(AND(P1786="",Q1786=""),"",N(P1786)+N(Q1786))</f>
        <v/>
      </c>
      <c r="S1786" s="59"/>
      <c r="T1786" s="59"/>
      <c r="U1786" s="62">
        <f>IF(OR(R1786="",S1786="",T1786=""),"",IF(S1786+T1786=0,"",R1786/(S1786+T1786)))</f>
        <v/>
      </c>
      <c r="V1786" s="63"/>
      <c r="W1786" s="64"/>
      <c r="X1786" s="63"/>
    </row>
    <row r="1787" spans="2:24">
      <c r="B1787" s="58"/>
      <c r="C1787" s="59"/>
      <c r="D1787" s="59"/>
      <c r="E1787" s="59"/>
      <c r="F1787" s="59"/>
      <c r="G1787" s="60">
        <f>IF(OR(E1787="",F1787="",C1787="",D1787=""),"",IF(C1787+D1787=0,"",(E1787*C1787+F1787*D1787)/(C1787+D1787)))</f>
        <v/>
      </c>
      <c r="H1787" s="59"/>
      <c r="I1787" s="60">
        <f>IF(OR(H1787="",E1787="",C1787="",D1787=""),"",IF(C1787+D1787=0,"",(H1787*D1787+E1787*C1787)/(C1787+D1787)))</f>
        <v/>
      </c>
      <c r="J1787" s="59"/>
      <c r="K1787" s="61">
        <f>IF(OR(J1787="",I1787=""),"",J1787-I1787)</f>
        <v/>
      </c>
      <c r="L1787" s="61">
        <f>IF(OR(J1787="",G1787=""),"",J1787-G1787)</f>
        <v/>
      </c>
      <c r="M1787" s="59"/>
      <c r="N1787" s="59"/>
      <c r="O1787" s="59"/>
      <c r="P1787" s="59"/>
      <c r="Q1787" s="59"/>
      <c r="R1787" s="60">
        <f>IF(AND(P1787="",Q1787=""),"",N(P1787)+N(Q1787))</f>
        <v/>
      </c>
      <c r="S1787" s="59"/>
      <c r="T1787" s="59"/>
      <c r="U1787" s="62">
        <f>IF(OR(R1787="",S1787="",T1787=""),"",IF(S1787+T1787=0,"",R1787/(S1787+T1787)))</f>
        <v/>
      </c>
      <c r="V1787" s="63"/>
      <c r="W1787" s="64"/>
      <c r="X1787" s="63"/>
    </row>
    <row r="1788" spans="2:24">
      <c r="B1788" s="58"/>
      <c r="C1788" s="59"/>
      <c r="D1788" s="59"/>
      <c r="E1788" s="59"/>
      <c r="F1788" s="59"/>
      <c r="G1788" s="60">
        <f>IF(OR(E1788="",F1788="",C1788="",D1788=""),"",IF(C1788+D1788=0,"",(E1788*C1788+F1788*D1788)/(C1788+D1788)))</f>
        <v/>
      </c>
      <c r="H1788" s="59"/>
      <c r="I1788" s="60">
        <f>IF(OR(H1788="",E1788="",C1788="",D1788=""),"",IF(C1788+D1788=0,"",(H1788*D1788+E1788*C1788)/(C1788+D1788)))</f>
        <v/>
      </c>
      <c r="J1788" s="59"/>
      <c r="K1788" s="61">
        <f>IF(OR(J1788="",I1788=""),"",J1788-I1788)</f>
        <v/>
      </c>
      <c r="L1788" s="61">
        <f>IF(OR(J1788="",G1788=""),"",J1788-G1788)</f>
        <v/>
      </c>
      <c r="M1788" s="59"/>
      <c r="N1788" s="59"/>
      <c r="O1788" s="59"/>
      <c r="P1788" s="59"/>
      <c r="Q1788" s="59"/>
      <c r="R1788" s="60">
        <f>IF(AND(P1788="",Q1788=""),"",N(P1788)+N(Q1788))</f>
        <v/>
      </c>
      <c r="S1788" s="59"/>
      <c r="T1788" s="59"/>
      <c r="U1788" s="62">
        <f>IF(OR(R1788="",S1788="",T1788=""),"",IF(S1788+T1788=0,"",R1788/(S1788+T1788)))</f>
        <v/>
      </c>
      <c r="V1788" s="63"/>
      <c r="W1788" s="64"/>
      <c r="X1788" s="63"/>
    </row>
    <row r="1789" spans="2:24">
      <c r="B1789" s="58"/>
      <c r="C1789" s="59"/>
      <c r="D1789" s="59"/>
      <c r="E1789" s="59"/>
      <c r="F1789" s="59"/>
      <c r="G1789" s="60">
        <f>IF(OR(E1789="",F1789="",C1789="",D1789=""),"",IF(C1789+D1789=0,"",(E1789*C1789+F1789*D1789)/(C1789+D1789)))</f>
        <v/>
      </c>
      <c r="H1789" s="59"/>
      <c r="I1789" s="60">
        <f>IF(OR(H1789="",E1789="",C1789="",D1789=""),"",IF(C1789+D1789=0,"",(H1789*D1789+E1789*C1789)/(C1789+D1789)))</f>
        <v/>
      </c>
      <c r="J1789" s="59"/>
      <c r="K1789" s="61">
        <f>IF(OR(J1789="",I1789=""),"",J1789-I1789)</f>
        <v/>
      </c>
      <c r="L1789" s="61">
        <f>IF(OR(J1789="",G1789=""),"",J1789-G1789)</f>
        <v/>
      </c>
      <c r="M1789" s="59"/>
      <c r="N1789" s="59"/>
      <c r="O1789" s="59"/>
      <c r="P1789" s="59"/>
      <c r="Q1789" s="59"/>
      <c r="R1789" s="60">
        <f>IF(AND(P1789="",Q1789=""),"",N(P1789)+N(Q1789))</f>
        <v/>
      </c>
      <c r="S1789" s="59"/>
      <c r="T1789" s="59"/>
      <c r="U1789" s="62">
        <f>IF(OR(R1789="",S1789="",T1789=""),"",IF(S1789+T1789=0,"",R1789/(S1789+T1789)))</f>
        <v/>
      </c>
      <c r="V1789" s="63"/>
      <c r="W1789" s="64"/>
      <c r="X1789" s="63"/>
    </row>
    <row r="1790" spans="2:24">
      <c r="B1790" s="58"/>
      <c r="C1790" s="59"/>
      <c r="D1790" s="59"/>
      <c r="E1790" s="59"/>
      <c r="F1790" s="59"/>
      <c r="G1790" s="60">
        <f>IF(OR(E1790="",F1790="",C1790="",D1790=""),"",IF(C1790+D1790=0,"",(E1790*C1790+F1790*D1790)/(C1790+D1790)))</f>
        <v/>
      </c>
      <c r="H1790" s="59"/>
      <c r="I1790" s="60">
        <f>IF(OR(H1790="",E1790="",C1790="",D1790=""),"",IF(C1790+D1790=0,"",(H1790*D1790+E1790*C1790)/(C1790+D1790)))</f>
        <v/>
      </c>
      <c r="J1790" s="59"/>
      <c r="K1790" s="61">
        <f>IF(OR(J1790="",I1790=""),"",J1790-I1790)</f>
        <v/>
      </c>
      <c r="L1790" s="61">
        <f>IF(OR(J1790="",G1790=""),"",J1790-G1790)</f>
        <v/>
      </c>
      <c r="M1790" s="59"/>
      <c r="N1790" s="59"/>
      <c r="O1790" s="59"/>
      <c r="P1790" s="59"/>
      <c r="Q1790" s="59"/>
      <c r="R1790" s="60">
        <f>IF(AND(P1790="",Q1790=""),"",N(P1790)+N(Q1790))</f>
        <v/>
      </c>
      <c r="S1790" s="59"/>
      <c r="T1790" s="59"/>
      <c r="U1790" s="62">
        <f>IF(OR(R1790="",S1790="",T1790=""),"",IF(S1790+T1790=0,"",R1790/(S1790+T1790)))</f>
        <v/>
      </c>
      <c r="V1790" s="63"/>
      <c r="W1790" s="64"/>
      <c r="X1790" s="63"/>
    </row>
    <row r="1791" spans="2:24">
      <c r="B1791" s="58"/>
      <c r="C1791" s="59"/>
      <c r="D1791" s="59"/>
      <c r="E1791" s="59"/>
      <c r="F1791" s="59"/>
      <c r="G1791" s="60">
        <f>IF(OR(E1791="",F1791="",C1791="",D1791=""),"",IF(C1791+D1791=0,"",(E1791*C1791+F1791*D1791)/(C1791+D1791)))</f>
        <v/>
      </c>
      <c r="H1791" s="59"/>
      <c r="I1791" s="60">
        <f>IF(OR(H1791="",E1791="",C1791="",D1791=""),"",IF(C1791+D1791=0,"",(H1791*D1791+E1791*C1791)/(C1791+D1791)))</f>
        <v/>
      </c>
      <c r="J1791" s="59"/>
      <c r="K1791" s="61">
        <f>IF(OR(J1791="",I1791=""),"",J1791-I1791)</f>
        <v/>
      </c>
      <c r="L1791" s="61">
        <f>IF(OR(J1791="",G1791=""),"",J1791-G1791)</f>
        <v/>
      </c>
      <c r="M1791" s="59"/>
      <c r="N1791" s="59"/>
      <c r="O1791" s="59"/>
      <c r="P1791" s="59"/>
      <c r="Q1791" s="59"/>
      <c r="R1791" s="60">
        <f>IF(AND(P1791="",Q1791=""),"",N(P1791)+N(Q1791))</f>
        <v/>
      </c>
      <c r="S1791" s="59"/>
      <c r="T1791" s="59"/>
      <c r="U1791" s="62">
        <f>IF(OR(R1791="",S1791="",T1791=""),"",IF(S1791+T1791=0,"",R1791/(S1791+T1791)))</f>
        <v/>
      </c>
      <c r="V1791" s="63"/>
      <c r="W1791" s="64"/>
      <c r="X1791" s="63"/>
    </row>
    <row r="1792" spans="2:24">
      <c r="B1792" s="58"/>
      <c r="C1792" s="59"/>
      <c r="D1792" s="59"/>
      <c r="E1792" s="59"/>
      <c r="F1792" s="59"/>
      <c r="G1792" s="60">
        <f>IF(OR(E1792="",F1792="",C1792="",D1792=""),"",IF(C1792+D1792=0,"",(E1792*C1792+F1792*D1792)/(C1792+D1792)))</f>
        <v/>
      </c>
      <c r="H1792" s="59"/>
      <c r="I1792" s="60">
        <f>IF(OR(H1792="",E1792="",C1792="",D1792=""),"",IF(C1792+D1792=0,"",(H1792*D1792+E1792*C1792)/(C1792+D1792)))</f>
        <v/>
      </c>
      <c r="J1792" s="59"/>
      <c r="K1792" s="61">
        <f>IF(OR(J1792="",I1792=""),"",J1792-I1792)</f>
        <v/>
      </c>
      <c r="L1792" s="61">
        <f>IF(OR(J1792="",G1792=""),"",J1792-G1792)</f>
        <v/>
      </c>
      <c r="M1792" s="59"/>
      <c r="N1792" s="59"/>
      <c r="O1792" s="59"/>
      <c r="P1792" s="59"/>
      <c r="Q1792" s="59"/>
      <c r="R1792" s="60">
        <f>IF(AND(P1792="",Q1792=""),"",N(P1792)+N(Q1792))</f>
        <v/>
      </c>
      <c r="S1792" s="59"/>
      <c r="T1792" s="59"/>
      <c r="U1792" s="62">
        <f>IF(OR(R1792="",S1792="",T1792=""),"",IF(S1792+T1792=0,"",R1792/(S1792+T1792)))</f>
        <v/>
      </c>
      <c r="V1792" s="63"/>
      <c r="W1792" s="64"/>
      <c r="X1792" s="63"/>
    </row>
    <row r="1793" spans="2:24">
      <c r="B1793" s="58"/>
      <c r="C1793" s="59"/>
      <c r="D1793" s="59"/>
      <c r="E1793" s="59"/>
      <c r="F1793" s="59"/>
      <c r="G1793" s="60">
        <f>IF(OR(E1793="",F1793="",C1793="",D1793=""),"",IF(C1793+D1793=0,"",(E1793*C1793+F1793*D1793)/(C1793+D1793)))</f>
        <v/>
      </c>
      <c r="H1793" s="59"/>
      <c r="I1793" s="60">
        <f>IF(OR(H1793="",E1793="",C1793="",D1793=""),"",IF(C1793+D1793=0,"",(H1793*D1793+E1793*C1793)/(C1793+D1793)))</f>
        <v/>
      </c>
      <c r="J1793" s="59"/>
      <c r="K1793" s="61">
        <f>IF(OR(J1793="",I1793=""),"",J1793-I1793)</f>
        <v/>
      </c>
      <c r="L1793" s="61">
        <f>IF(OR(J1793="",G1793=""),"",J1793-G1793)</f>
        <v/>
      </c>
      <c r="M1793" s="59"/>
      <c r="N1793" s="59"/>
      <c r="O1793" s="59"/>
      <c r="P1793" s="59"/>
      <c r="Q1793" s="59"/>
      <c r="R1793" s="60">
        <f>IF(AND(P1793="",Q1793=""),"",N(P1793)+N(Q1793))</f>
        <v/>
      </c>
      <c r="S1793" s="59"/>
      <c r="T1793" s="59"/>
      <c r="U1793" s="62">
        <f>IF(OR(R1793="",S1793="",T1793=""),"",IF(S1793+T1793=0,"",R1793/(S1793+T1793)))</f>
        <v/>
      </c>
      <c r="V1793" s="63"/>
      <c r="W1793" s="64"/>
      <c r="X1793" s="63"/>
    </row>
    <row r="1794" spans="2:24">
      <c r="B1794" s="58"/>
      <c r="C1794" s="59"/>
      <c r="D1794" s="59"/>
      <c r="E1794" s="59"/>
      <c r="F1794" s="59"/>
      <c r="G1794" s="60">
        <f>IF(OR(E1794="",F1794="",C1794="",D1794=""),"",IF(C1794+D1794=0,"",(E1794*C1794+F1794*D1794)/(C1794+D1794)))</f>
        <v/>
      </c>
      <c r="H1794" s="59"/>
      <c r="I1794" s="60">
        <f>IF(OR(H1794="",E1794="",C1794="",D1794=""),"",IF(C1794+D1794=0,"",(H1794*D1794+E1794*C1794)/(C1794+D1794)))</f>
        <v/>
      </c>
      <c r="J1794" s="59"/>
      <c r="K1794" s="61">
        <f>IF(OR(J1794="",I1794=""),"",J1794-I1794)</f>
        <v/>
      </c>
      <c r="L1794" s="61">
        <f>IF(OR(J1794="",G1794=""),"",J1794-G1794)</f>
        <v/>
      </c>
      <c r="M1794" s="59"/>
      <c r="N1794" s="59"/>
      <c r="O1794" s="59"/>
      <c r="P1794" s="59"/>
      <c r="Q1794" s="59"/>
      <c r="R1794" s="60">
        <f>IF(AND(P1794="",Q1794=""),"",N(P1794)+N(Q1794))</f>
        <v/>
      </c>
      <c r="S1794" s="59"/>
      <c r="T1794" s="59"/>
      <c r="U1794" s="62">
        <f>IF(OR(R1794="",S1794="",T1794=""),"",IF(S1794+T1794=0,"",R1794/(S1794+T1794)))</f>
        <v/>
      </c>
      <c r="V1794" s="63"/>
      <c r="W1794" s="64"/>
      <c r="X1794" s="63"/>
    </row>
    <row r="1795" spans="2:24">
      <c r="B1795" s="58"/>
      <c r="C1795" s="59"/>
      <c r="D1795" s="59"/>
      <c r="E1795" s="59"/>
      <c r="F1795" s="59"/>
      <c r="G1795" s="60">
        <f>IF(OR(E1795="",F1795="",C1795="",D1795=""),"",IF(C1795+D1795=0,"",(E1795*C1795+F1795*D1795)/(C1795+D1795)))</f>
        <v/>
      </c>
      <c r="H1795" s="59"/>
      <c r="I1795" s="60">
        <f>IF(OR(H1795="",E1795="",C1795="",D1795=""),"",IF(C1795+D1795=0,"",(H1795*D1795+E1795*C1795)/(C1795+D1795)))</f>
        <v/>
      </c>
      <c r="J1795" s="59"/>
      <c r="K1795" s="61">
        <f>IF(OR(J1795="",I1795=""),"",J1795-I1795)</f>
        <v/>
      </c>
      <c r="L1795" s="61">
        <f>IF(OR(J1795="",G1795=""),"",J1795-G1795)</f>
        <v/>
      </c>
      <c r="M1795" s="59"/>
      <c r="N1795" s="59"/>
      <c r="O1795" s="59"/>
      <c r="P1795" s="59"/>
      <c r="Q1795" s="59"/>
      <c r="R1795" s="60">
        <f>IF(AND(P1795="",Q1795=""),"",N(P1795)+N(Q1795))</f>
        <v/>
      </c>
      <c r="S1795" s="59"/>
      <c r="T1795" s="59"/>
      <c r="U1795" s="62">
        <f>IF(OR(R1795="",S1795="",T1795=""),"",IF(S1795+T1795=0,"",R1795/(S1795+T1795)))</f>
        <v/>
      </c>
      <c r="V1795" s="63"/>
      <c r="W1795" s="64"/>
      <c r="X1795" s="63"/>
    </row>
    <row r="1796" spans="2:24">
      <c r="B1796" s="58"/>
      <c r="C1796" s="59"/>
      <c r="D1796" s="59"/>
      <c r="E1796" s="59"/>
      <c r="F1796" s="59"/>
      <c r="G1796" s="60">
        <f>IF(OR(E1796="",F1796="",C1796="",D1796=""),"",IF(C1796+D1796=0,"",(E1796*C1796+F1796*D1796)/(C1796+D1796)))</f>
        <v/>
      </c>
      <c r="H1796" s="59"/>
      <c r="I1796" s="60">
        <f>IF(OR(H1796="",E1796="",C1796="",D1796=""),"",IF(C1796+D1796=0,"",(H1796*D1796+E1796*C1796)/(C1796+D1796)))</f>
        <v/>
      </c>
      <c r="J1796" s="59"/>
      <c r="K1796" s="61">
        <f>IF(OR(J1796="",I1796=""),"",J1796-I1796)</f>
        <v/>
      </c>
      <c r="L1796" s="61">
        <f>IF(OR(J1796="",G1796=""),"",J1796-G1796)</f>
        <v/>
      </c>
      <c r="M1796" s="59"/>
      <c r="N1796" s="59"/>
      <c r="O1796" s="59"/>
      <c r="P1796" s="59"/>
      <c r="Q1796" s="59"/>
      <c r="R1796" s="60">
        <f>IF(AND(P1796="",Q1796=""),"",N(P1796)+N(Q1796))</f>
        <v/>
      </c>
      <c r="S1796" s="59"/>
      <c r="T1796" s="59"/>
      <c r="U1796" s="62">
        <f>IF(OR(R1796="",S1796="",T1796=""),"",IF(S1796+T1796=0,"",R1796/(S1796+T1796)))</f>
        <v/>
      </c>
      <c r="V1796" s="63"/>
      <c r="W1796" s="64"/>
      <c r="X1796" s="63"/>
    </row>
    <row r="1797" spans="2:24">
      <c r="B1797" s="58"/>
      <c r="C1797" s="59"/>
      <c r="D1797" s="59"/>
      <c r="E1797" s="59"/>
      <c r="F1797" s="59"/>
      <c r="G1797" s="60">
        <f>IF(OR(E1797="",F1797="",C1797="",D1797=""),"",IF(C1797+D1797=0,"",(E1797*C1797+F1797*D1797)/(C1797+D1797)))</f>
        <v/>
      </c>
      <c r="H1797" s="59"/>
      <c r="I1797" s="60">
        <f>IF(OR(H1797="",E1797="",C1797="",D1797=""),"",IF(C1797+D1797=0,"",(H1797*D1797+E1797*C1797)/(C1797+D1797)))</f>
        <v/>
      </c>
      <c r="J1797" s="59"/>
      <c r="K1797" s="61">
        <f>IF(OR(J1797="",I1797=""),"",J1797-I1797)</f>
        <v/>
      </c>
      <c r="L1797" s="61">
        <f>IF(OR(J1797="",G1797=""),"",J1797-G1797)</f>
        <v/>
      </c>
      <c r="M1797" s="59"/>
      <c r="N1797" s="59"/>
      <c r="O1797" s="59"/>
      <c r="P1797" s="59"/>
      <c r="Q1797" s="59"/>
      <c r="R1797" s="60">
        <f>IF(AND(P1797="",Q1797=""),"",N(P1797)+N(Q1797))</f>
        <v/>
      </c>
      <c r="S1797" s="59"/>
      <c r="T1797" s="59"/>
      <c r="U1797" s="62">
        <f>IF(OR(R1797="",S1797="",T1797=""),"",IF(S1797+T1797=0,"",R1797/(S1797+T1797)))</f>
        <v/>
      </c>
      <c r="V1797" s="63"/>
      <c r="W1797" s="64"/>
      <c r="X1797" s="63"/>
    </row>
    <row r="1798" spans="2:24">
      <c r="B1798" s="58"/>
      <c r="C1798" s="59"/>
      <c r="D1798" s="59"/>
      <c r="E1798" s="59"/>
      <c r="F1798" s="59"/>
      <c r="G1798" s="60">
        <f>IF(OR(E1798="",F1798="",C1798="",D1798=""),"",IF(C1798+D1798=0,"",(E1798*C1798+F1798*D1798)/(C1798+D1798)))</f>
        <v/>
      </c>
      <c r="H1798" s="59"/>
      <c r="I1798" s="60">
        <f>IF(OR(H1798="",E1798="",C1798="",D1798=""),"",IF(C1798+D1798=0,"",(H1798*D1798+E1798*C1798)/(C1798+D1798)))</f>
        <v/>
      </c>
      <c r="J1798" s="59"/>
      <c r="K1798" s="61">
        <f>IF(OR(J1798="",I1798=""),"",J1798-I1798)</f>
        <v/>
      </c>
      <c r="L1798" s="61">
        <f>IF(OR(J1798="",G1798=""),"",J1798-G1798)</f>
        <v/>
      </c>
      <c r="M1798" s="59"/>
      <c r="N1798" s="59"/>
      <c r="O1798" s="59"/>
      <c r="P1798" s="59"/>
      <c r="Q1798" s="59"/>
      <c r="R1798" s="60">
        <f>IF(AND(P1798="",Q1798=""),"",N(P1798)+N(Q1798))</f>
        <v/>
      </c>
      <c r="S1798" s="59"/>
      <c r="T1798" s="59"/>
      <c r="U1798" s="62">
        <f>IF(OR(R1798="",S1798="",T1798=""),"",IF(S1798+T1798=0,"",R1798/(S1798+T1798)))</f>
        <v/>
      </c>
      <c r="V1798" s="63"/>
      <c r="W1798" s="64"/>
      <c r="X1798" s="63"/>
    </row>
    <row r="1799" spans="2:24">
      <c r="B1799" s="58"/>
      <c r="C1799" s="59"/>
      <c r="D1799" s="59"/>
      <c r="E1799" s="59"/>
      <c r="F1799" s="59"/>
      <c r="G1799" s="60">
        <f>IF(OR(E1799="",F1799="",C1799="",D1799=""),"",IF(C1799+D1799=0,"",(E1799*C1799+F1799*D1799)/(C1799+D1799)))</f>
        <v/>
      </c>
      <c r="H1799" s="59"/>
      <c r="I1799" s="60">
        <f>IF(OR(H1799="",E1799="",C1799="",D1799=""),"",IF(C1799+D1799=0,"",(H1799*D1799+E1799*C1799)/(C1799+D1799)))</f>
        <v/>
      </c>
      <c r="J1799" s="59"/>
      <c r="K1799" s="61">
        <f>IF(OR(J1799="",I1799=""),"",J1799-I1799)</f>
        <v/>
      </c>
      <c r="L1799" s="61">
        <f>IF(OR(J1799="",G1799=""),"",J1799-G1799)</f>
        <v/>
      </c>
      <c r="M1799" s="59"/>
      <c r="N1799" s="59"/>
      <c r="O1799" s="59"/>
      <c r="P1799" s="59"/>
      <c r="Q1799" s="59"/>
      <c r="R1799" s="60">
        <f>IF(AND(P1799="",Q1799=""),"",N(P1799)+N(Q1799))</f>
        <v/>
      </c>
      <c r="S1799" s="59"/>
      <c r="T1799" s="59"/>
      <c r="U1799" s="62">
        <f>IF(OR(R1799="",S1799="",T1799=""),"",IF(S1799+T1799=0,"",R1799/(S1799+T1799)))</f>
        <v/>
      </c>
      <c r="V1799" s="63"/>
      <c r="W1799" s="64"/>
      <c r="X1799" s="63"/>
    </row>
    <row r="1800" spans="2:24">
      <c r="B1800" s="58"/>
      <c r="C1800" s="59"/>
      <c r="D1800" s="59"/>
      <c r="E1800" s="59"/>
      <c r="F1800" s="59"/>
      <c r="G1800" s="60">
        <f>IF(OR(E1800="",F1800="",C1800="",D1800=""),"",IF(C1800+D1800=0,"",(E1800*C1800+F1800*D1800)/(C1800+D1800)))</f>
        <v/>
      </c>
      <c r="H1800" s="59"/>
      <c r="I1800" s="60">
        <f>IF(OR(H1800="",E1800="",C1800="",D1800=""),"",IF(C1800+D1800=0,"",(H1800*D1800+E1800*C1800)/(C1800+D1800)))</f>
        <v/>
      </c>
      <c r="J1800" s="59"/>
      <c r="K1800" s="61">
        <f>IF(OR(J1800="",I1800=""),"",J1800-I1800)</f>
        <v/>
      </c>
      <c r="L1800" s="61">
        <f>IF(OR(J1800="",G1800=""),"",J1800-G1800)</f>
        <v/>
      </c>
      <c r="M1800" s="59"/>
      <c r="N1800" s="59"/>
      <c r="O1800" s="59"/>
      <c r="P1800" s="59"/>
      <c r="Q1800" s="59"/>
      <c r="R1800" s="60">
        <f>IF(AND(P1800="",Q1800=""),"",N(P1800)+N(Q1800))</f>
        <v/>
      </c>
      <c r="S1800" s="59"/>
      <c r="T1800" s="59"/>
      <c r="U1800" s="62">
        <f>IF(OR(R1800="",S1800="",T1800=""),"",IF(S1800+T1800=0,"",R1800/(S1800+T1800)))</f>
        <v/>
      </c>
      <c r="V1800" s="63"/>
      <c r="W1800" s="64"/>
      <c r="X1800" s="63"/>
    </row>
    <row r="1801" spans="2:24">
      <c r="B1801" s="58"/>
      <c r="C1801" s="59"/>
      <c r="D1801" s="59"/>
      <c r="E1801" s="59"/>
      <c r="F1801" s="59"/>
      <c r="G1801" s="60">
        <f>IF(OR(E1801="",F1801="",C1801="",D1801=""),"",IF(C1801+D1801=0,"",(E1801*C1801+F1801*D1801)/(C1801+D1801)))</f>
        <v/>
      </c>
      <c r="H1801" s="59"/>
      <c r="I1801" s="60">
        <f>IF(OR(H1801="",E1801="",C1801="",D1801=""),"",IF(C1801+D1801=0,"",(H1801*D1801+E1801*C1801)/(C1801+D1801)))</f>
        <v/>
      </c>
      <c r="J1801" s="59"/>
      <c r="K1801" s="61">
        <f>IF(OR(J1801="",I1801=""),"",J1801-I1801)</f>
        <v/>
      </c>
      <c r="L1801" s="61">
        <f>IF(OR(J1801="",G1801=""),"",J1801-G1801)</f>
        <v/>
      </c>
      <c r="M1801" s="59"/>
      <c r="N1801" s="59"/>
      <c r="O1801" s="59"/>
      <c r="P1801" s="59"/>
      <c r="Q1801" s="59"/>
      <c r="R1801" s="60">
        <f>IF(AND(P1801="",Q1801=""),"",N(P1801)+N(Q1801))</f>
        <v/>
      </c>
      <c r="S1801" s="59"/>
      <c r="T1801" s="59"/>
      <c r="U1801" s="62">
        <f>IF(OR(R1801="",S1801="",T1801=""),"",IF(S1801+T1801=0,"",R1801/(S1801+T1801)))</f>
        <v/>
      </c>
      <c r="V1801" s="63"/>
      <c r="W1801" s="64"/>
      <c r="X1801" s="63"/>
    </row>
    <row r="1802" spans="2:24">
      <c r="B1802" s="58"/>
      <c r="C1802" s="59"/>
      <c r="D1802" s="59"/>
      <c r="E1802" s="59"/>
      <c r="F1802" s="59"/>
      <c r="G1802" s="60">
        <f>IF(OR(E1802="",F1802="",C1802="",D1802=""),"",IF(C1802+D1802=0,"",(E1802*C1802+F1802*D1802)/(C1802+D1802)))</f>
        <v/>
      </c>
      <c r="H1802" s="59"/>
      <c r="I1802" s="60">
        <f>IF(OR(H1802="",E1802="",C1802="",D1802=""),"",IF(C1802+D1802=0,"",(H1802*D1802+E1802*C1802)/(C1802+D1802)))</f>
        <v/>
      </c>
      <c r="J1802" s="59"/>
      <c r="K1802" s="61">
        <f>IF(OR(J1802="",I1802=""),"",J1802-I1802)</f>
        <v/>
      </c>
      <c r="L1802" s="61">
        <f>IF(OR(J1802="",G1802=""),"",J1802-G1802)</f>
        <v/>
      </c>
      <c r="M1802" s="59"/>
      <c r="N1802" s="59"/>
      <c r="O1802" s="59"/>
      <c r="P1802" s="59"/>
      <c r="Q1802" s="59"/>
      <c r="R1802" s="60">
        <f>IF(AND(P1802="",Q1802=""),"",N(P1802)+N(Q1802))</f>
        <v/>
      </c>
      <c r="S1802" s="59"/>
      <c r="T1802" s="59"/>
      <c r="U1802" s="62">
        <f>IF(OR(R1802="",S1802="",T1802=""),"",IF(S1802+T1802=0,"",R1802/(S1802+T1802)))</f>
        <v/>
      </c>
      <c r="V1802" s="63"/>
      <c r="W1802" s="64"/>
      <c r="X1802" s="63"/>
    </row>
    <row r="1803" spans="2:24">
      <c r="B1803" s="58"/>
      <c r="C1803" s="59"/>
      <c r="D1803" s="59"/>
      <c r="E1803" s="59"/>
      <c r="F1803" s="59"/>
      <c r="G1803" s="60">
        <f>IF(OR(E1803="",F1803="",C1803="",D1803=""),"",IF(C1803+D1803=0,"",(E1803*C1803+F1803*D1803)/(C1803+D1803)))</f>
        <v/>
      </c>
      <c r="H1803" s="59"/>
      <c r="I1803" s="60">
        <f>IF(OR(H1803="",E1803="",C1803="",D1803=""),"",IF(C1803+D1803=0,"",(H1803*D1803+E1803*C1803)/(C1803+D1803)))</f>
        <v/>
      </c>
      <c r="J1803" s="59"/>
      <c r="K1803" s="61">
        <f>IF(OR(J1803="",I1803=""),"",J1803-I1803)</f>
        <v/>
      </c>
      <c r="L1803" s="61">
        <f>IF(OR(J1803="",G1803=""),"",J1803-G1803)</f>
        <v/>
      </c>
      <c r="M1803" s="59"/>
      <c r="N1803" s="59"/>
      <c r="O1803" s="59"/>
      <c r="P1803" s="59"/>
      <c r="Q1803" s="59"/>
      <c r="R1803" s="60">
        <f>IF(AND(P1803="",Q1803=""),"",N(P1803)+N(Q1803))</f>
        <v/>
      </c>
      <c r="S1803" s="59"/>
      <c r="T1803" s="59"/>
      <c r="U1803" s="62">
        <f>IF(OR(R1803="",S1803="",T1803=""),"",IF(S1803+T1803=0,"",R1803/(S1803+T1803)))</f>
        <v/>
      </c>
      <c r="V1803" s="63"/>
      <c r="W1803" s="64"/>
      <c r="X1803" s="63"/>
    </row>
    <row r="1804" spans="2:24">
      <c r="B1804" s="58"/>
      <c r="C1804" s="59"/>
      <c r="D1804" s="59"/>
      <c r="E1804" s="59"/>
      <c r="F1804" s="59"/>
      <c r="G1804" s="60">
        <f>IF(OR(E1804="",F1804="",C1804="",D1804=""),"",IF(C1804+D1804=0,"",(E1804*C1804+F1804*D1804)/(C1804+D1804)))</f>
        <v/>
      </c>
      <c r="H1804" s="59"/>
      <c r="I1804" s="60">
        <f>IF(OR(H1804="",E1804="",C1804="",D1804=""),"",IF(C1804+D1804=0,"",(H1804*D1804+E1804*C1804)/(C1804+D1804)))</f>
        <v/>
      </c>
      <c r="J1804" s="59"/>
      <c r="K1804" s="61">
        <f>IF(OR(J1804="",I1804=""),"",J1804-I1804)</f>
        <v/>
      </c>
      <c r="L1804" s="61">
        <f>IF(OR(J1804="",G1804=""),"",J1804-G1804)</f>
        <v/>
      </c>
      <c r="M1804" s="59"/>
      <c r="N1804" s="59"/>
      <c r="O1804" s="59"/>
      <c r="P1804" s="59"/>
      <c r="Q1804" s="59"/>
      <c r="R1804" s="60">
        <f>IF(AND(P1804="",Q1804=""),"",N(P1804)+N(Q1804))</f>
        <v/>
      </c>
      <c r="S1804" s="59"/>
      <c r="T1804" s="59"/>
      <c r="U1804" s="62">
        <f>IF(OR(R1804="",S1804="",T1804=""),"",IF(S1804+T1804=0,"",R1804/(S1804+T1804)))</f>
        <v/>
      </c>
      <c r="V1804" s="63"/>
      <c r="W1804" s="64"/>
      <c r="X1804" s="63"/>
    </row>
    <row r="1805" spans="2:24">
      <c r="B1805" s="58"/>
      <c r="C1805" s="59"/>
      <c r="D1805" s="59"/>
      <c r="E1805" s="59"/>
      <c r="F1805" s="59"/>
      <c r="G1805" s="60">
        <f>IF(OR(E1805="",F1805="",C1805="",D1805=""),"",IF(C1805+D1805=0,"",(E1805*C1805+F1805*D1805)/(C1805+D1805)))</f>
        <v/>
      </c>
      <c r="H1805" s="59"/>
      <c r="I1805" s="60">
        <f>IF(OR(H1805="",E1805="",C1805="",D1805=""),"",IF(C1805+D1805=0,"",(H1805*D1805+E1805*C1805)/(C1805+D1805)))</f>
        <v/>
      </c>
      <c r="J1805" s="59"/>
      <c r="K1805" s="61">
        <f>IF(OR(J1805="",I1805=""),"",J1805-I1805)</f>
        <v/>
      </c>
      <c r="L1805" s="61">
        <f>IF(OR(J1805="",G1805=""),"",J1805-G1805)</f>
        <v/>
      </c>
      <c r="M1805" s="59"/>
      <c r="N1805" s="59"/>
      <c r="O1805" s="59"/>
      <c r="P1805" s="59"/>
      <c r="Q1805" s="59"/>
      <c r="R1805" s="60">
        <f>IF(AND(P1805="",Q1805=""),"",N(P1805)+N(Q1805))</f>
        <v/>
      </c>
      <c r="S1805" s="59"/>
      <c r="T1805" s="59"/>
      <c r="U1805" s="62">
        <f>IF(OR(R1805="",S1805="",T1805=""),"",IF(S1805+T1805=0,"",R1805/(S1805+T1805)))</f>
        <v/>
      </c>
      <c r="V1805" s="63"/>
      <c r="W1805" s="64"/>
      <c r="X1805" s="63"/>
    </row>
    <row r="1806" spans="2:24">
      <c r="B1806" s="58"/>
      <c r="C1806" s="59"/>
      <c r="D1806" s="59"/>
      <c r="E1806" s="59"/>
      <c r="F1806" s="59"/>
      <c r="G1806" s="60">
        <f>IF(OR(E1806="",F1806="",C1806="",D1806=""),"",IF(C1806+D1806=0,"",(E1806*C1806+F1806*D1806)/(C1806+D1806)))</f>
        <v/>
      </c>
      <c r="H1806" s="59"/>
      <c r="I1806" s="60">
        <f>IF(OR(H1806="",E1806="",C1806="",D1806=""),"",IF(C1806+D1806=0,"",(H1806*D1806+E1806*C1806)/(C1806+D1806)))</f>
        <v/>
      </c>
      <c r="J1806" s="59"/>
      <c r="K1806" s="61">
        <f>IF(OR(J1806="",I1806=""),"",J1806-I1806)</f>
        <v/>
      </c>
      <c r="L1806" s="61">
        <f>IF(OR(J1806="",G1806=""),"",J1806-G1806)</f>
        <v/>
      </c>
      <c r="M1806" s="59"/>
      <c r="N1806" s="59"/>
      <c r="O1806" s="59"/>
      <c r="P1806" s="59"/>
      <c r="Q1806" s="59"/>
      <c r="R1806" s="60">
        <f>IF(AND(P1806="",Q1806=""),"",N(P1806)+N(Q1806))</f>
        <v/>
      </c>
      <c r="S1806" s="59"/>
      <c r="T1806" s="59"/>
      <c r="U1806" s="62">
        <f>IF(OR(R1806="",S1806="",T1806=""),"",IF(S1806+T1806=0,"",R1806/(S1806+T1806)))</f>
        <v/>
      </c>
      <c r="V1806" s="63"/>
      <c r="W1806" s="64"/>
      <c r="X1806" s="63"/>
    </row>
    <row r="1807" spans="2:24">
      <c r="B1807" s="58"/>
      <c r="C1807" s="59"/>
      <c r="D1807" s="59"/>
      <c r="E1807" s="59"/>
      <c r="F1807" s="59"/>
      <c r="G1807" s="60">
        <f>IF(OR(E1807="",F1807="",C1807="",D1807=""),"",IF(C1807+D1807=0,"",(E1807*C1807+F1807*D1807)/(C1807+D1807)))</f>
        <v/>
      </c>
      <c r="H1807" s="59"/>
      <c r="I1807" s="60">
        <f>IF(OR(H1807="",E1807="",C1807="",D1807=""),"",IF(C1807+D1807=0,"",(H1807*D1807+E1807*C1807)/(C1807+D1807)))</f>
        <v/>
      </c>
      <c r="J1807" s="59"/>
      <c r="K1807" s="61">
        <f>IF(OR(J1807="",I1807=""),"",J1807-I1807)</f>
        <v/>
      </c>
      <c r="L1807" s="61">
        <f>IF(OR(J1807="",G1807=""),"",J1807-G1807)</f>
        <v/>
      </c>
      <c r="M1807" s="59"/>
      <c r="N1807" s="59"/>
      <c r="O1807" s="59"/>
      <c r="P1807" s="59"/>
      <c r="Q1807" s="59"/>
      <c r="R1807" s="60">
        <f>IF(AND(P1807="",Q1807=""),"",N(P1807)+N(Q1807))</f>
        <v/>
      </c>
      <c r="S1807" s="59"/>
      <c r="T1807" s="59"/>
      <c r="U1807" s="62">
        <f>IF(OR(R1807="",S1807="",T1807=""),"",IF(S1807+T1807=0,"",R1807/(S1807+T1807)))</f>
        <v/>
      </c>
      <c r="V1807" s="63"/>
      <c r="W1807" s="64"/>
      <c r="X1807" s="63"/>
    </row>
    <row r="1808" spans="2:24">
      <c r="B1808" s="58"/>
      <c r="C1808" s="59"/>
      <c r="D1808" s="59"/>
      <c r="E1808" s="59"/>
      <c r="F1808" s="59"/>
      <c r="G1808" s="60">
        <f>IF(OR(E1808="",F1808="",C1808="",D1808=""),"",IF(C1808+D1808=0,"",(E1808*C1808+F1808*D1808)/(C1808+D1808)))</f>
        <v/>
      </c>
      <c r="H1808" s="59"/>
      <c r="I1808" s="60">
        <f>IF(OR(H1808="",E1808="",C1808="",D1808=""),"",IF(C1808+D1808=0,"",(H1808*D1808+E1808*C1808)/(C1808+D1808)))</f>
        <v/>
      </c>
      <c r="J1808" s="59"/>
      <c r="K1808" s="61">
        <f>IF(OR(J1808="",I1808=""),"",J1808-I1808)</f>
        <v/>
      </c>
      <c r="L1808" s="61">
        <f>IF(OR(J1808="",G1808=""),"",J1808-G1808)</f>
        <v/>
      </c>
      <c r="M1808" s="59"/>
      <c r="N1808" s="59"/>
      <c r="O1808" s="59"/>
      <c r="P1808" s="59"/>
      <c r="Q1808" s="59"/>
      <c r="R1808" s="60">
        <f>IF(AND(P1808="",Q1808=""),"",N(P1808)+N(Q1808))</f>
        <v/>
      </c>
      <c r="S1808" s="59"/>
      <c r="T1808" s="59"/>
      <c r="U1808" s="62">
        <f>IF(OR(R1808="",S1808="",T1808=""),"",IF(S1808+T1808=0,"",R1808/(S1808+T1808)))</f>
        <v/>
      </c>
      <c r="V1808" s="63"/>
      <c r="W1808" s="64"/>
      <c r="X1808" s="63"/>
    </row>
    <row r="1809" spans="2:24">
      <c r="B1809" s="58"/>
      <c r="C1809" s="59"/>
      <c r="D1809" s="59"/>
      <c r="E1809" s="59"/>
      <c r="F1809" s="59"/>
      <c r="G1809" s="60">
        <f>IF(OR(E1809="",F1809="",C1809="",D1809=""),"",IF(C1809+D1809=0,"",(E1809*C1809+F1809*D1809)/(C1809+D1809)))</f>
        <v/>
      </c>
      <c r="H1809" s="59"/>
      <c r="I1809" s="60">
        <f>IF(OR(H1809="",E1809="",C1809="",D1809=""),"",IF(C1809+D1809=0,"",(H1809*D1809+E1809*C1809)/(C1809+D1809)))</f>
        <v/>
      </c>
      <c r="J1809" s="59"/>
      <c r="K1809" s="61">
        <f>IF(OR(J1809="",I1809=""),"",J1809-I1809)</f>
        <v/>
      </c>
      <c r="L1809" s="61">
        <f>IF(OR(J1809="",G1809=""),"",J1809-G1809)</f>
        <v/>
      </c>
      <c r="M1809" s="59"/>
      <c r="N1809" s="59"/>
      <c r="O1809" s="59"/>
      <c r="P1809" s="59"/>
      <c r="Q1809" s="59"/>
      <c r="R1809" s="60">
        <f>IF(AND(P1809="",Q1809=""),"",N(P1809)+N(Q1809))</f>
        <v/>
      </c>
      <c r="S1809" s="59"/>
      <c r="T1809" s="59"/>
      <c r="U1809" s="62">
        <f>IF(OR(R1809="",S1809="",T1809=""),"",IF(S1809+T1809=0,"",R1809/(S1809+T1809)))</f>
        <v/>
      </c>
      <c r="V1809" s="63"/>
      <c r="W1809" s="64"/>
      <c r="X1809" s="63"/>
    </row>
    <row r="1810" spans="2:24">
      <c r="B1810" s="58"/>
      <c r="C1810" s="59"/>
      <c r="D1810" s="59"/>
      <c r="E1810" s="59"/>
      <c r="F1810" s="59"/>
      <c r="G1810" s="60">
        <f>IF(OR(E1810="",F1810="",C1810="",D1810=""),"",IF(C1810+D1810=0,"",(E1810*C1810+F1810*D1810)/(C1810+D1810)))</f>
        <v/>
      </c>
      <c r="H1810" s="59"/>
      <c r="I1810" s="60">
        <f>IF(OR(H1810="",E1810="",C1810="",D1810=""),"",IF(C1810+D1810=0,"",(H1810*D1810+E1810*C1810)/(C1810+D1810)))</f>
        <v/>
      </c>
      <c r="J1810" s="59"/>
      <c r="K1810" s="61">
        <f>IF(OR(J1810="",I1810=""),"",J1810-I1810)</f>
        <v/>
      </c>
      <c r="L1810" s="61">
        <f>IF(OR(J1810="",G1810=""),"",J1810-G1810)</f>
        <v/>
      </c>
      <c r="M1810" s="59"/>
      <c r="N1810" s="59"/>
      <c r="O1810" s="59"/>
      <c r="P1810" s="59"/>
      <c r="Q1810" s="59"/>
      <c r="R1810" s="60">
        <f>IF(AND(P1810="",Q1810=""),"",N(P1810)+N(Q1810))</f>
        <v/>
      </c>
      <c r="S1810" s="59"/>
      <c r="T1810" s="59"/>
      <c r="U1810" s="62">
        <f>IF(OR(R1810="",S1810="",T1810=""),"",IF(S1810+T1810=0,"",R1810/(S1810+T1810)))</f>
        <v/>
      </c>
      <c r="V1810" s="63"/>
      <c r="W1810" s="64"/>
      <c r="X1810" s="63"/>
    </row>
    <row r="1811" spans="2:24">
      <c r="B1811" s="58"/>
      <c r="C1811" s="59"/>
      <c r="D1811" s="59"/>
      <c r="E1811" s="59"/>
      <c r="F1811" s="59"/>
      <c r="G1811" s="60">
        <f>IF(OR(E1811="",F1811="",C1811="",D1811=""),"",IF(C1811+D1811=0,"",(E1811*C1811+F1811*D1811)/(C1811+D1811)))</f>
        <v/>
      </c>
      <c r="H1811" s="59"/>
      <c r="I1811" s="60">
        <f>IF(OR(H1811="",E1811="",C1811="",D1811=""),"",IF(C1811+D1811=0,"",(H1811*D1811+E1811*C1811)/(C1811+D1811)))</f>
        <v/>
      </c>
      <c r="J1811" s="59"/>
      <c r="K1811" s="61">
        <f>IF(OR(J1811="",I1811=""),"",J1811-I1811)</f>
        <v/>
      </c>
      <c r="L1811" s="61">
        <f>IF(OR(J1811="",G1811=""),"",J1811-G1811)</f>
        <v/>
      </c>
      <c r="M1811" s="59"/>
      <c r="N1811" s="59"/>
      <c r="O1811" s="59"/>
      <c r="P1811" s="59"/>
      <c r="Q1811" s="59"/>
      <c r="R1811" s="60">
        <f>IF(AND(P1811="",Q1811=""),"",N(P1811)+N(Q1811))</f>
        <v/>
      </c>
      <c r="S1811" s="59"/>
      <c r="T1811" s="59"/>
      <c r="U1811" s="62">
        <f>IF(OR(R1811="",S1811="",T1811=""),"",IF(S1811+T1811=0,"",R1811/(S1811+T1811)))</f>
        <v/>
      </c>
      <c r="V1811" s="63"/>
      <c r="W1811" s="64"/>
      <c r="X1811" s="63"/>
    </row>
    <row r="1812" spans="2:24">
      <c r="B1812" s="58"/>
      <c r="C1812" s="59"/>
      <c r="D1812" s="59"/>
      <c r="E1812" s="59"/>
      <c r="F1812" s="59"/>
      <c r="G1812" s="60">
        <f>IF(OR(E1812="",F1812="",C1812="",D1812=""),"",IF(C1812+D1812=0,"",(E1812*C1812+F1812*D1812)/(C1812+D1812)))</f>
        <v/>
      </c>
      <c r="H1812" s="59"/>
      <c r="I1812" s="60">
        <f>IF(OR(H1812="",E1812="",C1812="",D1812=""),"",IF(C1812+D1812=0,"",(H1812*D1812+E1812*C1812)/(C1812+D1812)))</f>
        <v/>
      </c>
      <c r="J1812" s="59"/>
      <c r="K1812" s="61">
        <f>IF(OR(J1812="",I1812=""),"",J1812-I1812)</f>
        <v/>
      </c>
      <c r="L1812" s="61">
        <f>IF(OR(J1812="",G1812=""),"",J1812-G1812)</f>
        <v/>
      </c>
      <c r="M1812" s="59"/>
      <c r="N1812" s="59"/>
      <c r="O1812" s="59"/>
      <c r="P1812" s="59"/>
      <c r="Q1812" s="59"/>
      <c r="R1812" s="60">
        <f>IF(AND(P1812="",Q1812=""),"",N(P1812)+N(Q1812))</f>
        <v/>
      </c>
      <c r="S1812" s="59"/>
      <c r="T1812" s="59"/>
      <c r="U1812" s="62">
        <f>IF(OR(R1812="",S1812="",T1812=""),"",IF(S1812+T1812=0,"",R1812/(S1812+T1812)))</f>
        <v/>
      </c>
      <c r="V1812" s="63"/>
      <c r="W1812" s="64"/>
      <c r="X1812" s="63"/>
    </row>
    <row r="1813" spans="2:24">
      <c r="B1813" s="58"/>
      <c r="C1813" s="59"/>
      <c r="D1813" s="59"/>
      <c r="E1813" s="59"/>
      <c r="F1813" s="59"/>
      <c r="G1813" s="60">
        <f>IF(OR(E1813="",F1813="",C1813="",D1813=""),"",IF(C1813+D1813=0,"",(E1813*C1813+F1813*D1813)/(C1813+D1813)))</f>
        <v/>
      </c>
      <c r="H1813" s="59"/>
      <c r="I1813" s="60">
        <f>IF(OR(H1813="",E1813="",C1813="",D1813=""),"",IF(C1813+D1813=0,"",(H1813*D1813+E1813*C1813)/(C1813+D1813)))</f>
        <v/>
      </c>
      <c r="J1813" s="59"/>
      <c r="K1813" s="61">
        <f>IF(OR(J1813="",I1813=""),"",J1813-I1813)</f>
        <v/>
      </c>
      <c r="L1813" s="61">
        <f>IF(OR(J1813="",G1813=""),"",J1813-G1813)</f>
        <v/>
      </c>
      <c r="M1813" s="59"/>
      <c r="N1813" s="59"/>
      <c r="O1813" s="59"/>
      <c r="P1813" s="59"/>
      <c r="Q1813" s="59"/>
      <c r="R1813" s="60">
        <f>IF(AND(P1813="",Q1813=""),"",N(P1813)+N(Q1813))</f>
        <v/>
      </c>
      <c r="S1813" s="59"/>
      <c r="T1813" s="59"/>
      <c r="U1813" s="62">
        <f>IF(OR(R1813="",S1813="",T1813=""),"",IF(S1813+T1813=0,"",R1813/(S1813+T1813)))</f>
        <v/>
      </c>
      <c r="V1813" s="63"/>
      <c r="W1813" s="64"/>
      <c r="X1813" s="63"/>
    </row>
    <row r="1814" spans="2:24">
      <c r="B1814" s="58"/>
      <c r="C1814" s="59"/>
      <c r="D1814" s="59"/>
      <c r="E1814" s="59"/>
      <c r="F1814" s="59"/>
      <c r="G1814" s="60">
        <f>IF(OR(E1814="",F1814="",C1814="",D1814=""),"",IF(C1814+D1814=0,"",(E1814*C1814+F1814*D1814)/(C1814+D1814)))</f>
        <v/>
      </c>
      <c r="H1814" s="59"/>
      <c r="I1814" s="60">
        <f>IF(OR(H1814="",E1814="",C1814="",D1814=""),"",IF(C1814+D1814=0,"",(H1814*D1814+E1814*C1814)/(C1814+D1814)))</f>
        <v/>
      </c>
      <c r="J1814" s="59"/>
      <c r="K1814" s="61">
        <f>IF(OR(J1814="",I1814=""),"",J1814-I1814)</f>
        <v/>
      </c>
      <c r="L1814" s="61">
        <f>IF(OR(J1814="",G1814=""),"",J1814-G1814)</f>
        <v/>
      </c>
      <c r="M1814" s="59"/>
      <c r="N1814" s="59"/>
      <c r="O1814" s="59"/>
      <c r="P1814" s="59"/>
      <c r="Q1814" s="59"/>
      <c r="R1814" s="60">
        <f>IF(AND(P1814="",Q1814=""),"",N(P1814)+N(Q1814))</f>
        <v/>
      </c>
      <c r="S1814" s="59"/>
      <c r="T1814" s="59"/>
      <c r="U1814" s="62">
        <f>IF(OR(R1814="",S1814="",T1814=""),"",IF(S1814+T1814=0,"",R1814/(S1814+T1814)))</f>
        <v/>
      </c>
      <c r="V1814" s="63"/>
      <c r="W1814" s="64"/>
      <c r="X1814" s="63"/>
    </row>
    <row r="1815" spans="2:24">
      <c r="B1815" s="58"/>
      <c r="C1815" s="59"/>
      <c r="D1815" s="59"/>
      <c r="E1815" s="59"/>
      <c r="F1815" s="59"/>
      <c r="G1815" s="60">
        <f>IF(OR(E1815="",F1815="",C1815="",D1815=""),"",IF(C1815+D1815=0,"",(E1815*C1815+F1815*D1815)/(C1815+D1815)))</f>
        <v/>
      </c>
      <c r="H1815" s="59"/>
      <c r="I1815" s="60">
        <f>IF(OR(H1815="",E1815="",C1815="",D1815=""),"",IF(C1815+D1815=0,"",(H1815*D1815+E1815*C1815)/(C1815+D1815)))</f>
        <v/>
      </c>
      <c r="J1815" s="59"/>
      <c r="K1815" s="61">
        <f>IF(OR(J1815="",I1815=""),"",J1815-I1815)</f>
        <v/>
      </c>
      <c r="L1815" s="61">
        <f>IF(OR(J1815="",G1815=""),"",J1815-G1815)</f>
        <v/>
      </c>
      <c r="M1815" s="59"/>
      <c r="N1815" s="59"/>
      <c r="O1815" s="59"/>
      <c r="P1815" s="59"/>
      <c r="Q1815" s="59"/>
      <c r="R1815" s="60">
        <f>IF(AND(P1815="",Q1815=""),"",N(P1815)+N(Q1815))</f>
        <v/>
      </c>
      <c r="S1815" s="59"/>
      <c r="T1815" s="59"/>
      <c r="U1815" s="62">
        <f>IF(OR(R1815="",S1815="",T1815=""),"",IF(S1815+T1815=0,"",R1815/(S1815+T1815)))</f>
        <v/>
      </c>
      <c r="V1815" s="63"/>
      <c r="W1815" s="64"/>
      <c r="X1815" s="63"/>
    </row>
    <row r="1816" spans="2:24">
      <c r="B1816" s="58"/>
      <c r="C1816" s="59"/>
      <c r="D1816" s="59"/>
      <c r="E1816" s="59"/>
      <c r="F1816" s="59"/>
      <c r="G1816" s="60">
        <f>IF(OR(E1816="",F1816="",C1816="",D1816=""),"",IF(C1816+D1816=0,"",(E1816*C1816+F1816*D1816)/(C1816+D1816)))</f>
        <v/>
      </c>
      <c r="H1816" s="59"/>
      <c r="I1816" s="60">
        <f>IF(OR(H1816="",E1816="",C1816="",D1816=""),"",IF(C1816+D1816=0,"",(H1816*D1816+E1816*C1816)/(C1816+D1816)))</f>
        <v/>
      </c>
      <c r="J1816" s="59"/>
      <c r="K1816" s="61">
        <f>IF(OR(J1816="",I1816=""),"",J1816-I1816)</f>
        <v/>
      </c>
      <c r="L1816" s="61">
        <f>IF(OR(J1816="",G1816=""),"",J1816-G1816)</f>
        <v/>
      </c>
      <c r="M1816" s="59"/>
      <c r="N1816" s="59"/>
      <c r="O1816" s="59"/>
      <c r="P1816" s="59"/>
      <c r="Q1816" s="59"/>
      <c r="R1816" s="60">
        <f>IF(AND(P1816="",Q1816=""),"",N(P1816)+N(Q1816))</f>
        <v/>
      </c>
      <c r="S1816" s="59"/>
      <c r="T1816" s="59"/>
      <c r="U1816" s="62">
        <f>IF(OR(R1816="",S1816="",T1816=""),"",IF(S1816+T1816=0,"",R1816/(S1816+T1816)))</f>
        <v/>
      </c>
      <c r="V1816" s="63"/>
      <c r="W1816" s="64"/>
      <c r="X1816" s="63"/>
    </row>
    <row r="1817" spans="2:24">
      <c r="B1817" s="58"/>
      <c r="C1817" s="59"/>
      <c r="D1817" s="59"/>
      <c r="E1817" s="59"/>
      <c r="F1817" s="59"/>
      <c r="G1817" s="60">
        <f>IF(OR(E1817="",F1817="",C1817="",D1817=""),"",IF(C1817+D1817=0,"",(E1817*C1817+F1817*D1817)/(C1817+D1817)))</f>
        <v/>
      </c>
      <c r="H1817" s="59"/>
      <c r="I1817" s="60">
        <f>IF(OR(H1817="",E1817="",C1817="",D1817=""),"",IF(C1817+D1817=0,"",(H1817*D1817+E1817*C1817)/(C1817+D1817)))</f>
        <v/>
      </c>
      <c r="J1817" s="59"/>
      <c r="K1817" s="61">
        <f>IF(OR(J1817="",I1817=""),"",J1817-I1817)</f>
        <v/>
      </c>
      <c r="L1817" s="61">
        <f>IF(OR(J1817="",G1817=""),"",J1817-G1817)</f>
        <v/>
      </c>
      <c r="M1817" s="59"/>
      <c r="N1817" s="59"/>
      <c r="O1817" s="59"/>
      <c r="P1817" s="59"/>
      <c r="Q1817" s="59"/>
      <c r="R1817" s="60">
        <f>IF(AND(P1817="",Q1817=""),"",N(P1817)+N(Q1817))</f>
        <v/>
      </c>
      <c r="S1817" s="59"/>
      <c r="T1817" s="59"/>
      <c r="U1817" s="62">
        <f>IF(OR(R1817="",S1817="",T1817=""),"",IF(S1817+T1817=0,"",R1817/(S1817+T1817)))</f>
        <v/>
      </c>
      <c r="V1817" s="63"/>
      <c r="W1817" s="64"/>
      <c r="X1817" s="63"/>
    </row>
    <row r="1818" spans="2:24">
      <c r="B1818" s="58"/>
      <c r="C1818" s="59"/>
      <c r="D1818" s="59"/>
      <c r="E1818" s="59"/>
      <c r="F1818" s="59"/>
      <c r="G1818" s="60">
        <f>IF(OR(E1818="",F1818="",C1818="",D1818=""),"",IF(C1818+D1818=0,"",(E1818*C1818+F1818*D1818)/(C1818+D1818)))</f>
        <v/>
      </c>
      <c r="H1818" s="59"/>
      <c r="I1818" s="60">
        <f>IF(OR(H1818="",E1818="",C1818="",D1818=""),"",IF(C1818+D1818=0,"",(H1818*D1818+E1818*C1818)/(C1818+D1818)))</f>
        <v/>
      </c>
      <c r="J1818" s="59"/>
      <c r="K1818" s="61">
        <f>IF(OR(J1818="",I1818=""),"",J1818-I1818)</f>
        <v/>
      </c>
      <c r="L1818" s="61">
        <f>IF(OR(J1818="",G1818=""),"",J1818-G1818)</f>
        <v/>
      </c>
      <c r="M1818" s="59"/>
      <c r="N1818" s="59"/>
      <c r="O1818" s="59"/>
      <c r="P1818" s="59"/>
      <c r="Q1818" s="59"/>
      <c r="R1818" s="60">
        <f>IF(AND(P1818="",Q1818=""),"",N(P1818)+N(Q1818))</f>
        <v/>
      </c>
      <c r="S1818" s="59"/>
      <c r="T1818" s="59"/>
      <c r="U1818" s="62">
        <f>IF(OR(R1818="",S1818="",T1818=""),"",IF(S1818+T1818=0,"",R1818/(S1818+T1818)))</f>
        <v/>
      </c>
      <c r="V1818" s="63"/>
      <c r="W1818" s="64"/>
      <c r="X1818" s="63"/>
    </row>
    <row r="1819" spans="2:24">
      <c r="B1819" s="58"/>
      <c r="C1819" s="59"/>
      <c r="D1819" s="59"/>
      <c r="E1819" s="59"/>
      <c r="F1819" s="59"/>
      <c r="G1819" s="60">
        <f>IF(OR(E1819="",F1819="",C1819="",D1819=""),"",IF(C1819+D1819=0,"",(E1819*C1819+F1819*D1819)/(C1819+D1819)))</f>
        <v/>
      </c>
      <c r="H1819" s="59"/>
      <c r="I1819" s="60">
        <f>IF(OR(H1819="",E1819="",C1819="",D1819=""),"",IF(C1819+D1819=0,"",(H1819*D1819+E1819*C1819)/(C1819+D1819)))</f>
        <v/>
      </c>
      <c r="J1819" s="59"/>
      <c r="K1819" s="61">
        <f>IF(OR(J1819="",I1819=""),"",J1819-I1819)</f>
        <v/>
      </c>
      <c r="L1819" s="61">
        <f>IF(OR(J1819="",G1819=""),"",J1819-G1819)</f>
        <v/>
      </c>
      <c r="M1819" s="59"/>
      <c r="N1819" s="59"/>
      <c r="O1819" s="59"/>
      <c r="P1819" s="59"/>
      <c r="Q1819" s="59"/>
      <c r="R1819" s="60">
        <f>IF(AND(P1819="",Q1819=""),"",N(P1819)+N(Q1819))</f>
        <v/>
      </c>
      <c r="S1819" s="59"/>
      <c r="T1819" s="59"/>
      <c r="U1819" s="62">
        <f>IF(OR(R1819="",S1819="",T1819=""),"",IF(S1819+T1819=0,"",R1819/(S1819+T1819)))</f>
        <v/>
      </c>
      <c r="V1819" s="63"/>
      <c r="W1819" s="64"/>
      <c r="X1819" s="63"/>
    </row>
    <row r="1820" spans="2:24">
      <c r="B1820" s="58"/>
      <c r="C1820" s="59"/>
      <c r="D1820" s="59"/>
      <c r="E1820" s="59"/>
      <c r="F1820" s="59"/>
      <c r="G1820" s="60">
        <f>IF(OR(E1820="",F1820="",C1820="",D1820=""),"",IF(C1820+D1820=0,"",(E1820*C1820+F1820*D1820)/(C1820+D1820)))</f>
        <v/>
      </c>
      <c r="H1820" s="59"/>
      <c r="I1820" s="60">
        <f>IF(OR(H1820="",E1820="",C1820="",D1820=""),"",IF(C1820+D1820=0,"",(H1820*D1820+E1820*C1820)/(C1820+D1820)))</f>
        <v/>
      </c>
      <c r="J1820" s="59"/>
      <c r="K1820" s="61">
        <f>IF(OR(J1820="",I1820=""),"",J1820-I1820)</f>
        <v/>
      </c>
      <c r="L1820" s="61">
        <f>IF(OR(J1820="",G1820=""),"",J1820-G1820)</f>
        <v/>
      </c>
      <c r="M1820" s="59"/>
      <c r="N1820" s="59"/>
      <c r="O1820" s="59"/>
      <c r="P1820" s="59"/>
      <c r="Q1820" s="59"/>
      <c r="R1820" s="60">
        <f>IF(AND(P1820="",Q1820=""),"",N(P1820)+N(Q1820))</f>
        <v/>
      </c>
      <c r="S1820" s="59"/>
      <c r="T1820" s="59"/>
      <c r="U1820" s="62">
        <f>IF(OR(R1820="",S1820="",T1820=""),"",IF(S1820+T1820=0,"",R1820/(S1820+T1820)))</f>
        <v/>
      </c>
      <c r="V1820" s="63"/>
      <c r="W1820" s="64"/>
      <c r="X1820" s="63"/>
    </row>
    <row r="1821" spans="2:24">
      <c r="B1821" s="58"/>
      <c r="C1821" s="59"/>
      <c r="D1821" s="59"/>
      <c r="E1821" s="59"/>
      <c r="F1821" s="59"/>
      <c r="G1821" s="60">
        <f>IF(OR(E1821="",F1821="",C1821="",D1821=""),"",IF(C1821+D1821=0,"",(E1821*C1821+F1821*D1821)/(C1821+D1821)))</f>
        <v/>
      </c>
      <c r="H1821" s="59"/>
      <c r="I1821" s="60">
        <f>IF(OR(H1821="",E1821="",C1821="",D1821=""),"",IF(C1821+D1821=0,"",(H1821*D1821+E1821*C1821)/(C1821+D1821)))</f>
        <v/>
      </c>
      <c r="J1821" s="59"/>
      <c r="K1821" s="61">
        <f>IF(OR(J1821="",I1821=""),"",J1821-I1821)</f>
        <v/>
      </c>
      <c r="L1821" s="61">
        <f>IF(OR(J1821="",G1821=""),"",J1821-G1821)</f>
        <v/>
      </c>
      <c r="M1821" s="59"/>
      <c r="N1821" s="59"/>
      <c r="O1821" s="59"/>
      <c r="P1821" s="59"/>
      <c r="Q1821" s="59"/>
      <c r="R1821" s="60">
        <f>IF(AND(P1821="",Q1821=""),"",N(P1821)+N(Q1821))</f>
        <v/>
      </c>
      <c r="S1821" s="59"/>
      <c r="T1821" s="59"/>
      <c r="U1821" s="62">
        <f>IF(OR(R1821="",S1821="",T1821=""),"",IF(S1821+T1821=0,"",R1821/(S1821+T1821)))</f>
        <v/>
      </c>
      <c r="V1821" s="63"/>
      <c r="W1821" s="64"/>
      <c r="X1821" s="63"/>
    </row>
    <row r="1822" spans="2:24">
      <c r="B1822" s="58"/>
      <c r="C1822" s="59"/>
      <c r="D1822" s="59"/>
      <c r="E1822" s="59"/>
      <c r="F1822" s="59"/>
      <c r="G1822" s="60">
        <f>IF(OR(E1822="",F1822="",C1822="",D1822=""),"",IF(C1822+D1822=0,"",(E1822*C1822+F1822*D1822)/(C1822+D1822)))</f>
        <v/>
      </c>
      <c r="H1822" s="59"/>
      <c r="I1822" s="60">
        <f>IF(OR(H1822="",E1822="",C1822="",D1822=""),"",IF(C1822+D1822=0,"",(H1822*D1822+E1822*C1822)/(C1822+D1822)))</f>
        <v/>
      </c>
      <c r="J1822" s="59"/>
      <c r="K1822" s="61">
        <f>IF(OR(J1822="",I1822=""),"",J1822-I1822)</f>
        <v/>
      </c>
      <c r="L1822" s="61">
        <f>IF(OR(J1822="",G1822=""),"",J1822-G1822)</f>
        <v/>
      </c>
      <c r="M1822" s="59"/>
      <c r="N1822" s="59"/>
      <c r="O1822" s="59"/>
      <c r="P1822" s="59"/>
      <c r="Q1822" s="59"/>
      <c r="R1822" s="60">
        <f>IF(AND(P1822="",Q1822=""),"",N(P1822)+N(Q1822))</f>
        <v/>
      </c>
      <c r="S1822" s="59"/>
      <c r="T1822" s="59"/>
      <c r="U1822" s="62">
        <f>IF(OR(R1822="",S1822="",T1822=""),"",IF(S1822+T1822=0,"",R1822/(S1822+T1822)))</f>
        <v/>
      </c>
      <c r="V1822" s="63"/>
      <c r="W1822" s="64"/>
      <c r="X1822" s="63"/>
    </row>
    <row r="1823" spans="2:24">
      <c r="B1823" s="58"/>
      <c r="C1823" s="59"/>
      <c r="D1823" s="59"/>
      <c r="E1823" s="59"/>
      <c r="F1823" s="59"/>
      <c r="G1823" s="60">
        <f>IF(OR(E1823="",F1823="",C1823="",D1823=""),"",IF(C1823+D1823=0,"",(E1823*C1823+F1823*D1823)/(C1823+D1823)))</f>
        <v/>
      </c>
      <c r="H1823" s="59"/>
      <c r="I1823" s="60">
        <f>IF(OR(H1823="",E1823="",C1823="",D1823=""),"",IF(C1823+D1823=0,"",(H1823*D1823+E1823*C1823)/(C1823+D1823)))</f>
        <v/>
      </c>
      <c r="J1823" s="59"/>
      <c r="K1823" s="61">
        <f>IF(OR(J1823="",I1823=""),"",J1823-I1823)</f>
        <v/>
      </c>
      <c r="L1823" s="61">
        <f>IF(OR(J1823="",G1823=""),"",J1823-G1823)</f>
        <v/>
      </c>
      <c r="M1823" s="59"/>
      <c r="N1823" s="59"/>
      <c r="O1823" s="59"/>
      <c r="P1823" s="59"/>
      <c r="Q1823" s="59"/>
      <c r="R1823" s="60">
        <f>IF(AND(P1823="",Q1823=""),"",N(P1823)+N(Q1823))</f>
        <v/>
      </c>
      <c r="S1823" s="59"/>
      <c r="T1823" s="59"/>
      <c r="U1823" s="62">
        <f>IF(OR(R1823="",S1823="",T1823=""),"",IF(S1823+T1823=0,"",R1823/(S1823+T1823)))</f>
        <v/>
      </c>
      <c r="V1823" s="63"/>
      <c r="W1823" s="64"/>
      <c r="X1823" s="63"/>
    </row>
    <row r="1824" spans="2:24">
      <c r="B1824" s="58"/>
      <c r="C1824" s="59"/>
      <c r="D1824" s="59"/>
      <c r="E1824" s="59"/>
      <c r="F1824" s="59"/>
      <c r="G1824" s="60">
        <f>IF(OR(E1824="",F1824="",C1824="",D1824=""),"",IF(C1824+D1824=0,"",(E1824*C1824+F1824*D1824)/(C1824+D1824)))</f>
        <v/>
      </c>
      <c r="H1824" s="59"/>
      <c r="I1824" s="60">
        <f>IF(OR(H1824="",E1824="",C1824="",D1824=""),"",IF(C1824+D1824=0,"",(H1824*D1824+E1824*C1824)/(C1824+D1824)))</f>
        <v/>
      </c>
      <c r="J1824" s="59"/>
      <c r="K1824" s="61">
        <f>IF(OR(J1824="",I1824=""),"",J1824-I1824)</f>
        <v/>
      </c>
      <c r="L1824" s="61">
        <f>IF(OR(J1824="",G1824=""),"",J1824-G1824)</f>
        <v/>
      </c>
      <c r="M1824" s="59"/>
      <c r="N1824" s="59"/>
      <c r="O1824" s="59"/>
      <c r="P1824" s="59"/>
      <c r="Q1824" s="59"/>
      <c r="R1824" s="60">
        <f>IF(AND(P1824="",Q1824=""),"",N(P1824)+N(Q1824))</f>
        <v/>
      </c>
      <c r="S1824" s="59"/>
      <c r="T1824" s="59"/>
      <c r="U1824" s="62">
        <f>IF(OR(R1824="",S1824="",T1824=""),"",IF(S1824+T1824=0,"",R1824/(S1824+T1824)))</f>
        <v/>
      </c>
      <c r="V1824" s="63"/>
      <c r="W1824" s="64"/>
      <c r="X1824" s="63"/>
    </row>
    <row r="1825" spans="2:24">
      <c r="B1825" s="58"/>
      <c r="C1825" s="59"/>
      <c r="D1825" s="59"/>
      <c r="E1825" s="59"/>
      <c r="F1825" s="59"/>
      <c r="G1825" s="60">
        <f>IF(OR(E1825="",F1825="",C1825="",D1825=""),"",IF(C1825+D1825=0,"",(E1825*C1825+F1825*D1825)/(C1825+D1825)))</f>
        <v/>
      </c>
      <c r="H1825" s="59"/>
      <c r="I1825" s="60">
        <f>IF(OR(H1825="",E1825="",C1825="",D1825=""),"",IF(C1825+D1825=0,"",(H1825*D1825+E1825*C1825)/(C1825+D1825)))</f>
        <v/>
      </c>
      <c r="J1825" s="59"/>
      <c r="K1825" s="61">
        <f>IF(OR(J1825="",I1825=""),"",J1825-I1825)</f>
        <v/>
      </c>
      <c r="L1825" s="61">
        <f>IF(OR(J1825="",G1825=""),"",J1825-G1825)</f>
        <v/>
      </c>
      <c r="M1825" s="59"/>
      <c r="N1825" s="59"/>
      <c r="O1825" s="59"/>
      <c r="P1825" s="59"/>
      <c r="Q1825" s="59"/>
      <c r="R1825" s="60">
        <f>IF(AND(P1825="",Q1825=""),"",N(P1825)+N(Q1825))</f>
        <v/>
      </c>
      <c r="S1825" s="59"/>
      <c r="T1825" s="59"/>
      <c r="U1825" s="62">
        <f>IF(OR(R1825="",S1825="",T1825=""),"",IF(S1825+T1825=0,"",R1825/(S1825+T1825)))</f>
        <v/>
      </c>
      <c r="V1825" s="63"/>
      <c r="W1825" s="64"/>
      <c r="X1825" s="63"/>
    </row>
    <row r="1826" spans="2:24">
      <c r="B1826" s="58"/>
      <c r="C1826" s="59"/>
      <c r="D1826" s="59"/>
      <c r="E1826" s="59"/>
      <c r="F1826" s="59"/>
      <c r="G1826" s="60">
        <f>IF(OR(E1826="",F1826="",C1826="",D1826=""),"",IF(C1826+D1826=0,"",(E1826*C1826+F1826*D1826)/(C1826+D1826)))</f>
        <v/>
      </c>
      <c r="H1826" s="59"/>
      <c r="I1826" s="60">
        <f>IF(OR(H1826="",E1826="",C1826="",D1826=""),"",IF(C1826+D1826=0,"",(H1826*D1826+E1826*C1826)/(C1826+D1826)))</f>
        <v/>
      </c>
      <c r="J1826" s="59"/>
      <c r="K1826" s="61">
        <f>IF(OR(J1826="",I1826=""),"",J1826-I1826)</f>
        <v/>
      </c>
      <c r="L1826" s="61">
        <f>IF(OR(J1826="",G1826=""),"",J1826-G1826)</f>
        <v/>
      </c>
      <c r="M1826" s="59"/>
      <c r="N1826" s="59"/>
      <c r="O1826" s="59"/>
      <c r="P1826" s="59"/>
      <c r="Q1826" s="59"/>
      <c r="R1826" s="60">
        <f>IF(AND(P1826="",Q1826=""),"",N(P1826)+N(Q1826))</f>
        <v/>
      </c>
      <c r="S1826" s="59"/>
      <c r="T1826" s="59"/>
      <c r="U1826" s="62">
        <f>IF(OR(R1826="",S1826="",T1826=""),"",IF(S1826+T1826=0,"",R1826/(S1826+T1826)))</f>
        <v/>
      </c>
      <c r="V1826" s="63"/>
      <c r="W1826" s="64"/>
      <c r="X1826" s="63"/>
    </row>
    <row r="1827" spans="2:24">
      <c r="B1827" s="58"/>
      <c r="C1827" s="59"/>
      <c r="D1827" s="59"/>
      <c r="E1827" s="59"/>
      <c r="F1827" s="59"/>
      <c r="G1827" s="60">
        <f>IF(OR(E1827="",F1827="",C1827="",D1827=""),"",IF(C1827+D1827=0,"",(E1827*C1827+F1827*D1827)/(C1827+D1827)))</f>
        <v/>
      </c>
      <c r="H1827" s="59"/>
      <c r="I1827" s="60">
        <f>IF(OR(H1827="",E1827="",C1827="",D1827=""),"",IF(C1827+D1827=0,"",(H1827*D1827+E1827*C1827)/(C1827+D1827)))</f>
        <v/>
      </c>
      <c r="J1827" s="59"/>
      <c r="K1827" s="61">
        <f>IF(OR(J1827="",I1827=""),"",J1827-I1827)</f>
        <v/>
      </c>
      <c r="L1827" s="61">
        <f>IF(OR(J1827="",G1827=""),"",J1827-G1827)</f>
        <v/>
      </c>
      <c r="M1827" s="59"/>
      <c r="N1827" s="59"/>
      <c r="O1827" s="59"/>
      <c r="P1827" s="59"/>
      <c r="Q1827" s="59"/>
      <c r="R1827" s="60">
        <f>IF(AND(P1827="",Q1827=""),"",N(P1827)+N(Q1827))</f>
        <v/>
      </c>
      <c r="S1827" s="59"/>
      <c r="T1827" s="59"/>
      <c r="U1827" s="62">
        <f>IF(OR(R1827="",S1827="",T1827=""),"",IF(S1827+T1827=0,"",R1827/(S1827+T1827)))</f>
        <v/>
      </c>
      <c r="V1827" s="63"/>
      <c r="W1827" s="64"/>
      <c r="X1827" s="63"/>
    </row>
    <row r="1828" spans="2:24">
      <c r="B1828" s="58"/>
      <c r="C1828" s="59"/>
      <c r="D1828" s="59"/>
      <c r="E1828" s="59"/>
      <c r="F1828" s="59"/>
      <c r="G1828" s="60">
        <f>IF(OR(E1828="",F1828="",C1828="",D1828=""),"",IF(C1828+D1828=0,"",(E1828*C1828+F1828*D1828)/(C1828+D1828)))</f>
        <v/>
      </c>
      <c r="H1828" s="59"/>
      <c r="I1828" s="60">
        <f>IF(OR(H1828="",E1828="",C1828="",D1828=""),"",IF(C1828+D1828=0,"",(H1828*D1828+E1828*C1828)/(C1828+D1828)))</f>
        <v/>
      </c>
      <c r="J1828" s="59"/>
      <c r="K1828" s="61">
        <f>IF(OR(J1828="",I1828=""),"",J1828-I1828)</f>
        <v/>
      </c>
      <c r="L1828" s="61">
        <f>IF(OR(J1828="",G1828=""),"",J1828-G1828)</f>
        <v/>
      </c>
      <c r="M1828" s="59"/>
      <c r="N1828" s="59"/>
      <c r="O1828" s="59"/>
      <c r="P1828" s="59"/>
      <c r="Q1828" s="59"/>
      <c r="R1828" s="60">
        <f>IF(AND(P1828="",Q1828=""),"",N(P1828)+N(Q1828))</f>
        <v/>
      </c>
      <c r="S1828" s="59"/>
      <c r="T1828" s="59"/>
      <c r="U1828" s="62">
        <f>IF(OR(R1828="",S1828="",T1828=""),"",IF(S1828+T1828=0,"",R1828/(S1828+T1828)))</f>
        <v/>
      </c>
      <c r="V1828" s="63"/>
      <c r="W1828" s="64"/>
      <c r="X1828" s="63"/>
    </row>
    <row r="1829" spans="2:24">
      <c r="B1829" s="58"/>
      <c r="C1829" s="59"/>
      <c r="D1829" s="59"/>
      <c r="E1829" s="59"/>
      <c r="F1829" s="59"/>
      <c r="G1829" s="60">
        <f>IF(OR(E1829="",F1829="",C1829="",D1829=""),"",IF(C1829+D1829=0,"",(E1829*C1829+F1829*D1829)/(C1829+D1829)))</f>
        <v/>
      </c>
      <c r="H1829" s="59"/>
      <c r="I1829" s="60">
        <f>IF(OR(H1829="",E1829="",C1829="",D1829=""),"",IF(C1829+D1829=0,"",(H1829*D1829+E1829*C1829)/(C1829+D1829)))</f>
        <v/>
      </c>
      <c r="J1829" s="59"/>
      <c r="K1829" s="61">
        <f>IF(OR(J1829="",I1829=""),"",J1829-I1829)</f>
        <v/>
      </c>
      <c r="L1829" s="61">
        <f>IF(OR(J1829="",G1829=""),"",J1829-G1829)</f>
        <v/>
      </c>
      <c r="M1829" s="59"/>
      <c r="N1829" s="59"/>
      <c r="O1829" s="59"/>
      <c r="P1829" s="59"/>
      <c r="Q1829" s="59"/>
      <c r="R1829" s="60">
        <f>IF(AND(P1829="",Q1829=""),"",N(P1829)+N(Q1829))</f>
        <v/>
      </c>
      <c r="S1829" s="59"/>
      <c r="T1829" s="59"/>
      <c r="U1829" s="62">
        <f>IF(OR(R1829="",S1829="",T1829=""),"",IF(S1829+T1829=0,"",R1829/(S1829+T1829)))</f>
        <v/>
      </c>
      <c r="V1829" s="63"/>
      <c r="W1829" s="64"/>
      <c r="X1829" s="63"/>
    </row>
    <row r="1830" spans="2:24">
      <c r="B1830" s="58"/>
      <c r="C1830" s="59"/>
      <c r="D1830" s="59"/>
      <c r="E1830" s="59"/>
      <c r="F1830" s="59"/>
      <c r="G1830" s="60">
        <f>IF(OR(E1830="",F1830="",C1830="",D1830=""),"",IF(C1830+D1830=0,"",(E1830*C1830+F1830*D1830)/(C1830+D1830)))</f>
        <v/>
      </c>
      <c r="H1830" s="59"/>
      <c r="I1830" s="60">
        <f>IF(OR(H1830="",E1830="",C1830="",D1830=""),"",IF(C1830+D1830=0,"",(H1830*D1830+E1830*C1830)/(C1830+D1830)))</f>
        <v/>
      </c>
      <c r="J1830" s="59"/>
      <c r="K1830" s="61">
        <f>IF(OR(J1830="",I1830=""),"",J1830-I1830)</f>
        <v/>
      </c>
      <c r="L1830" s="61">
        <f>IF(OR(J1830="",G1830=""),"",J1830-G1830)</f>
        <v/>
      </c>
      <c r="M1830" s="59"/>
      <c r="N1830" s="59"/>
      <c r="O1830" s="59"/>
      <c r="P1830" s="59"/>
      <c r="Q1830" s="59"/>
      <c r="R1830" s="60">
        <f>IF(AND(P1830="",Q1830=""),"",N(P1830)+N(Q1830))</f>
        <v/>
      </c>
      <c r="S1830" s="59"/>
      <c r="T1830" s="59"/>
      <c r="U1830" s="62">
        <f>IF(OR(R1830="",S1830="",T1830=""),"",IF(S1830+T1830=0,"",R1830/(S1830+T1830)))</f>
        <v/>
      </c>
      <c r="V1830" s="63"/>
      <c r="W1830" s="64"/>
      <c r="X1830" s="63"/>
    </row>
    <row r="1831" spans="2:24">
      <c r="B1831" s="58"/>
      <c r="C1831" s="59"/>
      <c r="D1831" s="59"/>
      <c r="E1831" s="59"/>
      <c r="F1831" s="59"/>
      <c r="G1831" s="60">
        <f>IF(OR(E1831="",F1831="",C1831="",D1831=""),"",IF(C1831+D1831=0,"",(E1831*C1831+F1831*D1831)/(C1831+D1831)))</f>
        <v/>
      </c>
      <c r="H1831" s="59"/>
      <c r="I1831" s="60">
        <f>IF(OR(H1831="",E1831="",C1831="",D1831=""),"",IF(C1831+D1831=0,"",(H1831*D1831+E1831*C1831)/(C1831+D1831)))</f>
        <v/>
      </c>
      <c r="J1831" s="59"/>
      <c r="K1831" s="61">
        <f>IF(OR(J1831="",I1831=""),"",J1831-I1831)</f>
        <v/>
      </c>
      <c r="L1831" s="61">
        <f>IF(OR(J1831="",G1831=""),"",J1831-G1831)</f>
        <v/>
      </c>
      <c r="M1831" s="59"/>
      <c r="N1831" s="59"/>
      <c r="O1831" s="59"/>
      <c r="P1831" s="59"/>
      <c r="Q1831" s="59"/>
      <c r="R1831" s="60">
        <f>IF(AND(P1831="",Q1831=""),"",N(P1831)+N(Q1831))</f>
        <v/>
      </c>
      <c r="S1831" s="59"/>
      <c r="T1831" s="59"/>
      <c r="U1831" s="62">
        <f>IF(OR(R1831="",S1831="",T1831=""),"",IF(S1831+T1831=0,"",R1831/(S1831+T1831)))</f>
        <v/>
      </c>
      <c r="V1831" s="63"/>
      <c r="W1831" s="64"/>
      <c r="X1831" s="63"/>
    </row>
    <row r="1832" spans="2:24">
      <c r="B1832" s="58"/>
      <c r="C1832" s="59"/>
      <c r="D1832" s="59"/>
      <c r="E1832" s="59"/>
      <c r="F1832" s="59"/>
      <c r="G1832" s="60">
        <f>IF(OR(E1832="",F1832="",C1832="",D1832=""),"",IF(C1832+D1832=0,"",(E1832*C1832+F1832*D1832)/(C1832+D1832)))</f>
        <v/>
      </c>
      <c r="H1832" s="59"/>
      <c r="I1832" s="60">
        <f>IF(OR(H1832="",E1832="",C1832="",D1832=""),"",IF(C1832+D1832=0,"",(H1832*D1832+E1832*C1832)/(C1832+D1832)))</f>
        <v/>
      </c>
      <c r="J1832" s="59"/>
      <c r="K1832" s="61">
        <f>IF(OR(J1832="",I1832=""),"",J1832-I1832)</f>
        <v/>
      </c>
      <c r="L1832" s="61">
        <f>IF(OR(J1832="",G1832=""),"",J1832-G1832)</f>
        <v/>
      </c>
      <c r="M1832" s="59"/>
      <c r="N1832" s="59"/>
      <c r="O1832" s="59"/>
      <c r="P1832" s="59"/>
      <c r="Q1832" s="59"/>
      <c r="R1832" s="60">
        <f>IF(AND(P1832="",Q1832=""),"",N(P1832)+N(Q1832))</f>
        <v/>
      </c>
      <c r="S1832" s="59"/>
      <c r="T1832" s="59"/>
      <c r="U1832" s="62">
        <f>IF(OR(R1832="",S1832="",T1832=""),"",IF(S1832+T1832=0,"",R1832/(S1832+T1832)))</f>
        <v/>
      </c>
      <c r="V1832" s="63"/>
      <c r="W1832" s="64"/>
      <c r="X1832" s="63"/>
    </row>
    <row r="1833" spans="2:24">
      <c r="B1833" s="58"/>
      <c r="C1833" s="59"/>
      <c r="D1833" s="59"/>
      <c r="E1833" s="59"/>
      <c r="F1833" s="59"/>
      <c r="G1833" s="60">
        <f>IF(OR(E1833="",F1833="",C1833="",D1833=""),"",IF(C1833+D1833=0,"",(E1833*C1833+F1833*D1833)/(C1833+D1833)))</f>
        <v/>
      </c>
      <c r="H1833" s="59"/>
      <c r="I1833" s="60">
        <f>IF(OR(H1833="",E1833="",C1833="",D1833=""),"",IF(C1833+D1833=0,"",(H1833*D1833+E1833*C1833)/(C1833+D1833)))</f>
        <v/>
      </c>
      <c r="J1833" s="59"/>
      <c r="K1833" s="61">
        <f>IF(OR(J1833="",I1833=""),"",J1833-I1833)</f>
        <v/>
      </c>
      <c r="L1833" s="61">
        <f>IF(OR(J1833="",G1833=""),"",J1833-G1833)</f>
        <v/>
      </c>
      <c r="M1833" s="59"/>
      <c r="N1833" s="59"/>
      <c r="O1833" s="59"/>
      <c r="P1833" s="59"/>
      <c r="Q1833" s="59"/>
      <c r="R1833" s="60">
        <f>IF(AND(P1833="",Q1833=""),"",N(P1833)+N(Q1833))</f>
        <v/>
      </c>
      <c r="S1833" s="59"/>
      <c r="T1833" s="59"/>
      <c r="U1833" s="62">
        <f>IF(OR(R1833="",S1833="",T1833=""),"",IF(S1833+T1833=0,"",R1833/(S1833+T1833)))</f>
        <v/>
      </c>
      <c r="V1833" s="63"/>
      <c r="W1833" s="64"/>
      <c r="X1833" s="63"/>
    </row>
    <row r="1834" spans="2:24">
      <c r="B1834" s="58"/>
      <c r="C1834" s="59"/>
      <c r="D1834" s="59"/>
      <c r="E1834" s="59"/>
      <c r="F1834" s="59"/>
      <c r="G1834" s="60">
        <f>IF(OR(E1834="",F1834="",C1834="",D1834=""),"",IF(C1834+D1834=0,"",(E1834*C1834+F1834*D1834)/(C1834+D1834)))</f>
        <v/>
      </c>
      <c r="H1834" s="59"/>
      <c r="I1834" s="60">
        <f>IF(OR(H1834="",E1834="",C1834="",D1834=""),"",IF(C1834+D1834=0,"",(H1834*D1834+E1834*C1834)/(C1834+D1834)))</f>
        <v/>
      </c>
      <c r="J1834" s="59"/>
      <c r="K1834" s="61">
        <f>IF(OR(J1834="",I1834=""),"",J1834-I1834)</f>
        <v/>
      </c>
      <c r="L1834" s="61">
        <f>IF(OR(J1834="",G1834=""),"",J1834-G1834)</f>
        <v/>
      </c>
      <c r="M1834" s="59"/>
      <c r="N1834" s="59"/>
      <c r="O1834" s="59"/>
      <c r="P1834" s="59"/>
      <c r="Q1834" s="59"/>
      <c r="R1834" s="60">
        <f>IF(AND(P1834="",Q1834=""),"",N(P1834)+N(Q1834))</f>
        <v/>
      </c>
      <c r="S1834" s="59"/>
      <c r="T1834" s="59"/>
      <c r="U1834" s="62">
        <f>IF(OR(R1834="",S1834="",T1834=""),"",IF(S1834+T1834=0,"",R1834/(S1834+T1834)))</f>
        <v/>
      </c>
      <c r="V1834" s="63"/>
      <c r="W1834" s="64"/>
      <c r="X1834" s="63"/>
    </row>
    <row r="1835" spans="2:24">
      <c r="B1835" s="58"/>
      <c r="C1835" s="59"/>
      <c r="D1835" s="59"/>
      <c r="E1835" s="59"/>
      <c r="F1835" s="59"/>
      <c r="G1835" s="60">
        <f>IF(OR(E1835="",F1835="",C1835="",D1835=""),"",IF(C1835+D1835=0,"",(E1835*C1835+F1835*D1835)/(C1835+D1835)))</f>
        <v/>
      </c>
      <c r="H1835" s="59"/>
      <c r="I1835" s="60">
        <f>IF(OR(H1835="",E1835="",C1835="",D1835=""),"",IF(C1835+D1835=0,"",(H1835*D1835+E1835*C1835)/(C1835+D1835)))</f>
        <v/>
      </c>
      <c r="J1835" s="59"/>
      <c r="K1835" s="61">
        <f>IF(OR(J1835="",I1835=""),"",J1835-I1835)</f>
        <v/>
      </c>
      <c r="L1835" s="61">
        <f>IF(OR(J1835="",G1835=""),"",J1835-G1835)</f>
        <v/>
      </c>
      <c r="M1835" s="59"/>
      <c r="N1835" s="59"/>
      <c r="O1835" s="59"/>
      <c r="P1835" s="59"/>
      <c r="Q1835" s="59"/>
      <c r="R1835" s="60">
        <f>IF(AND(P1835="",Q1835=""),"",N(P1835)+N(Q1835))</f>
        <v/>
      </c>
      <c r="S1835" s="59"/>
      <c r="T1835" s="59"/>
      <c r="U1835" s="62">
        <f>IF(OR(R1835="",S1835="",T1835=""),"",IF(S1835+T1835=0,"",R1835/(S1835+T1835)))</f>
        <v/>
      </c>
      <c r="V1835" s="63"/>
      <c r="W1835" s="64"/>
      <c r="X1835" s="63"/>
    </row>
    <row r="1836" spans="2:24">
      <c r="B1836" s="58"/>
      <c r="C1836" s="59"/>
      <c r="D1836" s="59"/>
      <c r="E1836" s="59"/>
      <c r="F1836" s="59"/>
      <c r="G1836" s="60">
        <f>IF(OR(E1836="",F1836="",C1836="",D1836=""),"",IF(C1836+D1836=0,"",(E1836*C1836+F1836*D1836)/(C1836+D1836)))</f>
        <v/>
      </c>
      <c r="H1836" s="59"/>
      <c r="I1836" s="60">
        <f>IF(OR(H1836="",E1836="",C1836="",D1836=""),"",IF(C1836+D1836=0,"",(H1836*D1836+E1836*C1836)/(C1836+D1836)))</f>
        <v/>
      </c>
      <c r="J1836" s="59"/>
      <c r="K1836" s="61">
        <f>IF(OR(J1836="",I1836=""),"",J1836-I1836)</f>
        <v/>
      </c>
      <c r="L1836" s="61">
        <f>IF(OR(J1836="",G1836=""),"",J1836-G1836)</f>
        <v/>
      </c>
      <c r="M1836" s="59"/>
      <c r="N1836" s="59"/>
      <c r="O1836" s="59"/>
      <c r="P1836" s="59"/>
      <c r="Q1836" s="59"/>
      <c r="R1836" s="60">
        <f>IF(AND(P1836="",Q1836=""),"",N(P1836)+N(Q1836))</f>
        <v/>
      </c>
      <c r="S1836" s="59"/>
      <c r="T1836" s="59"/>
      <c r="U1836" s="62">
        <f>IF(OR(R1836="",S1836="",T1836=""),"",IF(S1836+T1836=0,"",R1836/(S1836+T1836)))</f>
        <v/>
      </c>
      <c r="V1836" s="63"/>
      <c r="W1836" s="64"/>
      <c r="X1836" s="63"/>
    </row>
    <row r="1837" spans="2:24">
      <c r="B1837" s="58"/>
      <c r="C1837" s="59"/>
      <c r="D1837" s="59"/>
      <c r="E1837" s="59"/>
      <c r="F1837" s="59"/>
      <c r="G1837" s="60">
        <f>IF(OR(E1837="",F1837="",C1837="",D1837=""),"",IF(C1837+D1837=0,"",(E1837*C1837+F1837*D1837)/(C1837+D1837)))</f>
        <v/>
      </c>
      <c r="H1837" s="59"/>
      <c r="I1837" s="60">
        <f>IF(OR(H1837="",E1837="",C1837="",D1837=""),"",IF(C1837+D1837=0,"",(H1837*D1837+E1837*C1837)/(C1837+D1837)))</f>
        <v/>
      </c>
      <c r="J1837" s="59"/>
      <c r="K1837" s="61">
        <f>IF(OR(J1837="",I1837=""),"",J1837-I1837)</f>
        <v/>
      </c>
      <c r="L1837" s="61">
        <f>IF(OR(J1837="",G1837=""),"",J1837-G1837)</f>
        <v/>
      </c>
      <c r="M1837" s="59"/>
      <c r="N1837" s="59"/>
      <c r="O1837" s="59"/>
      <c r="P1837" s="59"/>
      <c r="Q1837" s="59"/>
      <c r="R1837" s="60">
        <f>IF(AND(P1837="",Q1837=""),"",N(P1837)+N(Q1837))</f>
        <v/>
      </c>
      <c r="S1837" s="59"/>
      <c r="T1837" s="59"/>
      <c r="U1837" s="62">
        <f>IF(OR(R1837="",S1837="",T1837=""),"",IF(S1837+T1837=0,"",R1837/(S1837+T1837)))</f>
        <v/>
      </c>
      <c r="V1837" s="63"/>
      <c r="W1837" s="64"/>
      <c r="X1837" s="63"/>
    </row>
    <row r="1838" spans="2:24">
      <c r="B1838" s="58"/>
      <c r="C1838" s="59"/>
      <c r="D1838" s="59"/>
      <c r="E1838" s="59"/>
      <c r="F1838" s="59"/>
      <c r="G1838" s="60">
        <f>IF(OR(E1838="",F1838="",C1838="",D1838=""),"",IF(C1838+D1838=0,"",(E1838*C1838+F1838*D1838)/(C1838+D1838)))</f>
        <v/>
      </c>
      <c r="H1838" s="59"/>
      <c r="I1838" s="60">
        <f>IF(OR(H1838="",E1838="",C1838="",D1838=""),"",IF(C1838+D1838=0,"",(H1838*D1838+E1838*C1838)/(C1838+D1838)))</f>
        <v/>
      </c>
      <c r="J1838" s="59"/>
      <c r="K1838" s="61">
        <f>IF(OR(J1838="",I1838=""),"",J1838-I1838)</f>
        <v/>
      </c>
      <c r="L1838" s="61">
        <f>IF(OR(J1838="",G1838=""),"",J1838-G1838)</f>
        <v/>
      </c>
      <c r="M1838" s="59"/>
      <c r="N1838" s="59"/>
      <c r="O1838" s="59"/>
      <c r="P1838" s="59"/>
      <c r="Q1838" s="59"/>
      <c r="R1838" s="60">
        <f>IF(AND(P1838="",Q1838=""),"",N(P1838)+N(Q1838))</f>
        <v/>
      </c>
      <c r="S1838" s="59"/>
      <c r="T1838" s="59"/>
      <c r="U1838" s="62">
        <f>IF(OR(R1838="",S1838="",T1838=""),"",IF(S1838+T1838=0,"",R1838/(S1838+T1838)))</f>
        <v/>
      </c>
      <c r="V1838" s="63"/>
      <c r="W1838" s="64"/>
      <c r="X1838" s="63"/>
    </row>
    <row r="1839" spans="2:24">
      <c r="B1839" s="58"/>
      <c r="C1839" s="59"/>
      <c r="D1839" s="59"/>
      <c r="E1839" s="59"/>
      <c r="F1839" s="59"/>
      <c r="G1839" s="60">
        <f>IF(OR(E1839="",F1839="",C1839="",D1839=""),"",IF(C1839+D1839=0,"",(E1839*C1839+F1839*D1839)/(C1839+D1839)))</f>
        <v/>
      </c>
      <c r="H1839" s="59"/>
      <c r="I1839" s="60">
        <f>IF(OR(H1839="",E1839="",C1839="",D1839=""),"",IF(C1839+D1839=0,"",(H1839*D1839+E1839*C1839)/(C1839+D1839)))</f>
        <v/>
      </c>
      <c r="J1839" s="59"/>
      <c r="K1839" s="61">
        <f>IF(OR(J1839="",I1839=""),"",J1839-I1839)</f>
        <v/>
      </c>
      <c r="L1839" s="61">
        <f>IF(OR(J1839="",G1839=""),"",J1839-G1839)</f>
        <v/>
      </c>
      <c r="M1839" s="59"/>
      <c r="N1839" s="59"/>
      <c r="O1839" s="59"/>
      <c r="P1839" s="59"/>
      <c r="Q1839" s="59"/>
      <c r="R1839" s="60">
        <f>IF(AND(P1839="",Q1839=""),"",N(P1839)+N(Q1839))</f>
        <v/>
      </c>
      <c r="S1839" s="59"/>
      <c r="T1839" s="59"/>
      <c r="U1839" s="62">
        <f>IF(OR(R1839="",S1839="",T1839=""),"",IF(S1839+T1839=0,"",R1839/(S1839+T1839)))</f>
        <v/>
      </c>
      <c r="V1839" s="63"/>
      <c r="W1839" s="64"/>
      <c r="X1839" s="63"/>
    </row>
    <row r="1840" spans="2:24">
      <c r="B1840" s="58"/>
      <c r="C1840" s="59"/>
      <c r="D1840" s="59"/>
      <c r="E1840" s="59"/>
      <c r="F1840" s="59"/>
      <c r="G1840" s="60">
        <f>IF(OR(E1840="",F1840="",C1840="",D1840=""),"",IF(C1840+D1840=0,"",(E1840*C1840+F1840*D1840)/(C1840+D1840)))</f>
        <v/>
      </c>
      <c r="H1840" s="59"/>
      <c r="I1840" s="60">
        <f>IF(OR(H1840="",E1840="",C1840="",D1840=""),"",IF(C1840+D1840=0,"",(H1840*D1840+E1840*C1840)/(C1840+D1840)))</f>
        <v/>
      </c>
      <c r="J1840" s="59"/>
      <c r="K1840" s="61">
        <f>IF(OR(J1840="",I1840=""),"",J1840-I1840)</f>
        <v/>
      </c>
      <c r="L1840" s="61">
        <f>IF(OR(J1840="",G1840=""),"",J1840-G1840)</f>
        <v/>
      </c>
      <c r="M1840" s="59"/>
      <c r="N1840" s="59"/>
      <c r="O1840" s="59"/>
      <c r="P1840" s="59"/>
      <c r="Q1840" s="59"/>
      <c r="R1840" s="60">
        <f>IF(AND(P1840="",Q1840=""),"",N(P1840)+N(Q1840))</f>
        <v/>
      </c>
      <c r="S1840" s="59"/>
      <c r="T1840" s="59"/>
      <c r="U1840" s="62">
        <f>IF(OR(R1840="",S1840="",T1840=""),"",IF(S1840+T1840=0,"",R1840/(S1840+T1840)))</f>
        <v/>
      </c>
      <c r="V1840" s="63"/>
      <c r="W1840" s="64"/>
      <c r="X1840" s="63"/>
    </row>
    <row r="1841" spans="2:24">
      <c r="B1841" s="58"/>
      <c r="C1841" s="59"/>
      <c r="D1841" s="59"/>
      <c r="E1841" s="59"/>
      <c r="F1841" s="59"/>
      <c r="G1841" s="60">
        <f>IF(OR(E1841="",F1841="",C1841="",D1841=""),"",IF(C1841+D1841=0,"",(E1841*C1841+F1841*D1841)/(C1841+D1841)))</f>
        <v/>
      </c>
      <c r="H1841" s="59"/>
      <c r="I1841" s="60">
        <f>IF(OR(H1841="",E1841="",C1841="",D1841=""),"",IF(C1841+D1841=0,"",(H1841*D1841+E1841*C1841)/(C1841+D1841)))</f>
        <v/>
      </c>
      <c r="J1841" s="59"/>
      <c r="K1841" s="61">
        <f>IF(OR(J1841="",I1841=""),"",J1841-I1841)</f>
        <v/>
      </c>
      <c r="L1841" s="61">
        <f>IF(OR(J1841="",G1841=""),"",J1841-G1841)</f>
        <v/>
      </c>
      <c r="M1841" s="59"/>
      <c r="N1841" s="59"/>
      <c r="O1841" s="59"/>
      <c r="P1841" s="59"/>
      <c r="Q1841" s="59"/>
      <c r="R1841" s="60">
        <f>IF(AND(P1841="",Q1841=""),"",N(P1841)+N(Q1841))</f>
        <v/>
      </c>
      <c r="S1841" s="59"/>
      <c r="T1841" s="59"/>
      <c r="U1841" s="62">
        <f>IF(OR(R1841="",S1841="",T1841=""),"",IF(S1841+T1841=0,"",R1841/(S1841+T1841)))</f>
        <v/>
      </c>
      <c r="V1841" s="63"/>
      <c r="W1841" s="64"/>
      <c r="X1841" s="63"/>
    </row>
    <row r="1842" spans="2:24">
      <c r="B1842" s="58"/>
      <c r="C1842" s="59"/>
      <c r="D1842" s="59"/>
      <c r="E1842" s="59"/>
      <c r="F1842" s="59"/>
      <c r="G1842" s="60">
        <f>IF(OR(E1842="",F1842="",C1842="",D1842=""),"",IF(C1842+D1842=0,"",(E1842*C1842+F1842*D1842)/(C1842+D1842)))</f>
        <v/>
      </c>
      <c r="H1842" s="59"/>
      <c r="I1842" s="60">
        <f>IF(OR(H1842="",E1842="",C1842="",D1842=""),"",IF(C1842+D1842=0,"",(H1842*D1842+E1842*C1842)/(C1842+D1842)))</f>
        <v/>
      </c>
      <c r="J1842" s="59"/>
      <c r="K1842" s="61">
        <f>IF(OR(J1842="",I1842=""),"",J1842-I1842)</f>
        <v/>
      </c>
      <c r="L1842" s="61">
        <f>IF(OR(J1842="",G1842=""),"",J1842-G1842)</f>
        <v/>
      </c>
      <c r="M1842" s="59"/>
      <c r="N1842" s="59"/>
      <c r="O1842" s="59"/>
      <c r="P1842" s="59"/>
      <c r="Q1842" s="59"/>
      <c r="R1842" s="60">
        <f>IF(AND(P1842="",Q1842=""),"",N(P1842)+N(Q1842))</f>
        <v/>
      </c>
      <c r="S1842" s="59"/>
      <c r="T1842" s="59"/>
      <c r="U1842" s="62">
        <f>IF(OR(R1842="",S1842="",T1842=""),"",IF(S1842+T1842=0,"",R1842/(S1842+T1842)))</f>
        <v/>
      </c>
      <c r="V1842" s="63"/>
      <c r="W1842" s="64"/>
      <c r="X1842" s="63"/>
    </row>
    <row r="1843" spans="2:24">
      <c r="B1843" s="58"/>
      <c r="C1843" s="59"/>
      <c r="D1843" s="59"/>
      <c r="E1843" s="59"/>
      <c r="F1843" s="59"/>
      <c r="G1843" s="60">
        <f>IF(OR(E1843="",F1843="",C1843="",D1843=""),"",IF(C1843+D1843=0,"",(E1843*C1843+F1843*D1843)/(C1843+D1843)))</f>
        <v/>
      </c>
      <c r="H1843" s="59"/>
      <c r="I1843" s="60">
        <f>IF(OR(H1843="",E1843="",C1843="",D1843=""),"",IF(C1843+D1843=0,"",(H1843*D1843+E1843*C1843)/(C1843+D1843)))</f>
        <v/>
      </c>
      <c r="J1843" s="59"/>
      <c r="K1843" s="61">
        <f>IF(OR(J1843="",I1843=""),"",J1843-I1843)</f>
        <v/>
      </c>
      <c r="L1843" s="61">
        <f>IF(OR(J1843="",G1843=""),"",J1843-G1843)</f>
        <v/>
      </c>
      <c r="M1843" s="59"/>
      <c r="N1843" s="59"/>
      <c r="O1843" s="59"/>
      <c r="P1843" s="59"/>
      <c r="Q1843" s="59"/>
      <c r="R1843" s="60">
        <f>IF(AND(P1843="",Q1843=""),"",N(P1843)+N(Q1843))</f>
        <v/>
      </c>
      <c r="S1843" s="59"/>
      <c r="T1843" s="59"/>
      <c r="U1843" s="62">
        <f>IF(OR(R1843="",S1843="",T1843=""),"",IF(S1843+T1843=0,"",R1843/(S1843+T1843)))</f>
        <v/>
      </c>
      <c r="V1843" s="63"/>
      <c r="W1843" s="64"/>
      <c r="X1843" s="63"/>
    </row>
    <row r="1844" spans="2:24">
      <c r="B1844" s="58"/>
      <c r="C1844" s="59"/>
      <c r="D1844" s="59"/>
      <c r="E1844" s="59"/>
      <c r="F1844" s="59"/>
      <c r="G1844" s="60">
        <f>IF(OR(E1844="",F1844="",C1844="",D1844=""),"",IF(C1844+D1844=0,"",(E1844*C1844+F1844*D1844)/(C1844+D1844)))</f>
        <v/>
      </c>
      <c r="H1844" s="59"/>
      <c r="I1844" s="60">
        <f>IF(OR(H1844="",E1844="",C1844="",D1844=""),"",IF(C1844+D1844=0,"",(H1844*D1844+E1844*C1844)/(C1844+D1844)))</f>
        <v/>
      </c>
      <c r="J1844" s="59"/>
      <c r="K1844" s="61">
        <f>IF(OR(J1844="",I1844=""),"",J1844-I1844)</f>
        <v/>
      </c>
      <c r="L1844" s="61">
        <f>IF(OR(J1844="",G1844=""),"",J1844-G1844)</f>
        <v/>
      </c>
      <c r="M1844" s="59"/>
      <c r="N1844" s="59"/>
      <c r="O1844" s="59"/>
      <c r="P1844" s="59"/>
      <c r="Q1844" s="59"/>
      <c r="R1844" s="60">
        <f>IF(AND(P1844="",Q1844=""),"",N(P1844)+N(Q1844))</f>
        <v/>
      </c>
      <c r="S1844" s="59"/>
      <c r="T1844" s="59"/>
      <c r="U1844" s="62">
        <f>IF(OR(R1844="",S1844="",T1844=""),"",IF(S1844+T1844=0,"",R1844/(S1844+T1844)))</f>
        <v/>
      </c>
      <c r="V1844" s="63"/>
      <c r="W1844" s="64"/>
      <c r="X1844" s="63"/>
    </row>
    <row r="1845" spans="2:24">
      <c r="B1845" s="58"/>
      <c r="C1845" s="59"/>
      <c r="D1845" s="59"/>
      <c r="E1845" s="59"/>
      <c r="F1845" s="59"/>
      <c r="G1845" s="60">
        <f>IF(OR(E1845="",F1845="",C1845="",D1845=""),"",IF(C1845+D1845=0,"",(E1845*C1845+F1845*D1845)/(C1845+D1845)))</f>
        <v/>
      </c>
      <c r="H1845" s="59"/>
      <c r="I1845" s="60">
        <f>IF(OR(H1845="",E1845="",C1845="",D1845=""),"",IF(C1845+D1845=0,"",(H1845*D1845+E1845*C1845)/(C1845+D1845)))</f>
        <v/>
      </c>
      <c r="J1845" s="59"/>
      <c r="K1845" s="61">
        <f>IF(OR(J1845="",I1845=""),"",J1845-I1845)</f>
        <v/>
      </c>
      <c r="L1845" s="61">
        <f>IF(OR(J1845="",G1845=""),"",J1845-G1845)</f>
        <v/>
      </c>
      <c r="M1845" s="59"/>
      <c r="N1845" s="59"/>
      <c r="O1845" s="59"/>
      <c r="P1845" s="59"/>
      <c r="Q1845" s="59"/>
      <c r="R1845" s="60">
        <f>IF(AND(P1845="",Q1845=""),"",N(P1845)+N(Q1845))</f>
        <v/>
      </c>
      <c r="S1845" s="59"/>
      <c r="T1845" s="59"/>
      <c r="U1845" s="62">
        <f>IF(OR(R1845="",S1845="",T1845=""),"",IF(S1845+T1845=0,"",R1845/(S1845+T1845)))</f>
        <v/>
      </c>
      <c r="V1845" s="63"/>
      <c r="W1845" s="64"/>
      <c r="X1845" s="63"/>
    </row>
    <row r="1846" spans="2:24">
      <c r="B1846" s="58"/>
      <c r="C1846" s="59"/>
      <c r="D1846" s="59"/>
      <c r="E1846" s="59"/>
      <c r="F1846" s="59"/>
      <c r="G1846" s="60">
        <f>IF(OR(E1846="",F1846="",C1846="",D1846=""),"",IF(C1846+D1846=0,"",(E1846*C1846+F1846*D1846)/(C1846+D1846)))</f>
        <v/>
      </c>
      <c r="H1846" s="59"/>
      <c r="I1846" s="60">
        <f>IF(OR(H1846="",E1846="",C1846="",D1846=""),"",IF(C1846+D1846=0,"",(H1846*D1846+E1846*C1846)/(C1846+D1846)))</f>
        <v/>
      </c>
      <c r="J1846" s="59"/>
      <c r="K1846" s="61">
        <f>IF(OR(J1846="",I1846=""),"",J1846-I1846)</f>
        <v/>
      </c>
      <c r="L1846" s="61">
        <f>IF(OR(J1846="",G1846=""),"",J1846-G1846)</f>
        <v/>
      </c>
      <c r="M1846" s="59"/>
      <c r="N1846" s="59"/>
      <c r="O1846" s="59"/>
      <c r="P1846" s="59"/>
      <c r="Q1846" s="59"/>
      <c r="R1846" s="60">
        <f>IF(AND(P1846="",Q1846=""),"",N(P1846)+N(Q1846))</f>
        <v/>
      </c>
      <c r="S1846" s="59"/>
      <c r="T1846" s="59"/>
      <c r="U1846" s="62">
        <f>IF(OR(R1846="",S1846="",T1846=""),"",IF(S1846+T1846=0,"",R1846/(S1846+T1846)))</f>
        <v/>
      </c>
      <c r="V1846" s="63"/>
      <c r="W1846" s="64"/>
      <c r="X1846" s="63"/>
    </row>
    <row r="1847" spans="2:24">
      <c r="B1847" s="58"/>
      <c r="C1847" s="59"/>
      <c r="D1847" s="59"/>
      <c r="E1847" s="59"/>
      <c r="F1847" s="59"/>
      <c r="G1847" s="60">
        <f>IF(OR(E1847="",F1847="",C1847="",D1847=""),"",IF(C1847+D1847=0,"",(E1847*C1847+F1847*D1847)/(C1847+D1847)))</f>
        <v/>
      </c>
      <c r="H1847" s="59"/>
      <c r="I1847" s="60">
        <f>IF(OR(H1847="",E1847="",C1847="",D1847=""),"",IF(C1847+D1847=0,"",(H1847*D1847+E1847*C1847)/(C1847+D1847)))</f>
        <v/>
      </c>
      <c r="J1847" s="59"/>
      <c r="K1847" s="61">
        <f>IF(OR(J1847="",I1847=""),"",J1847-I1847)</f>
        <v/>
      </c>
      <c r="L1847" s="61">
        <f>IF(OR(J1847="",G1847=""),"",J1847-G1847)</f>
        <v/>
      </c>
      <c r="M1847" s="59"/>
      <c r="N1847" s="59"/>
      <c r="O1847" s="59"/>
      <c r="P1847" s="59"/>
      <c r="Q1847" s="59"/>
      <c r="R1847" s="60">
        <f>IF(AND(P1847="",Q1847=""),"",N(P1847)+N(Q1847))</f>
        <v/>
      </c>
      <c r="S1847" s="59"/>
      <c r="T1847" s="59"/>
      <c r="U1847" s="62">
        <f>IF(OR(R1847="",S1847="",T1847=""),"",IF(S1847+T1847=0,"",R1847/(S1847+T1847)))</f>
        <v/>
      </c>
      <c r="V1847" s="63"/>
      <c r="W1847" s="64"/>
      <c r="X1847" s="63"/>
    </row>
    <row r="1848" spans="2:24">
      <c r="B1848" s="58"/>
      <c r="C1848" s="59"/>
      <c r="D1848" s="59"/>
      <c r="E1848" s="59"/>
      <c r="F1848" s="59"/>
      <c r="G1848" s="60">
        <f>IF(OR(E1848="",F1848="",C1848="",D1848=""),"",IF(C1848+D1848=0,"",(E1848*C1848+F1848*D1848)/(C1848+D1848)))</f>
        <v/>
      </c>
      <c r="H1848" s="59"/>
      <c r="I1848" s="60">
        <f>IF(OR(H1848="",E1848="",C1848="",D1848=""),"",IF(C1848+D1848=0,"",(H1848*D1848+E1848*C1848)/(C1848+D1848)))</f>
        <v/>
      </c>
      <c r="J1848" s="59"/>
      <c r="K1848" s="61">
        <f>IF(OR(J1848="",I1848=""),"",J1848-I1848)</f>
        <v/>
      </c>
      <c r="L1848" s="61">
        <f>IF(OR(J1848="",G1848=""),"",J1848-G1848)</f>
        <v/>
      </c>
      <c r="M1848" s="59"/>
      <c r="N1848" s="59"/>
      <c r="O1848" s="59"/>
      <c r="P1848" s="59"/>
      <c r="Q1848" s="59"/>
      <c r="R1848" s="60">
        <f>IF(AND(P1848="",Q1848=""),"",N(P1848)+N(Q1848))</f>
        <v/>
      </c>
      <c r="S1848" s="59"/>
      <c r="T1848" s="59"/>
      <c r="U1848" s="62">
        <f>IF(OR(R1848="",S1848="",T1848=""),"",IF(S1848+T1848=0,"",R1848/(S1848+T1848)))</f>
        <v/>
      </c>
      <c r="V1848" s="63"/>
      <c r="W1848" s="64"/>
      <c r="X1848" s="63"/>
    </row>
    <row r="1849" spans="2:24">
      <c r="B1849" s="58"/>
      <c r="C1849" s="59"/>
      <c r="D1849" s="59"/>
      <c r="E1849" s="59"/>
      <c r="F1849" s="59"/>
      <c r="G1849" s="60">
        <f>IF(OR(E1849="",F1849="",C1849="",D1849=""),"",IF(C1849+D1849=0,"",(E1849*C1849+F1849*D1849)/(C1849+D1849)))</f>
        <v/>
      </c>
      <c r="H1849" s="59"/>
      <c r="I1849" s="60">
        <f>IF(OR(H1849="",E1849="",C1849="",D1849=""),"",IF(C1849+D1849=0,"",(H1849*D1849+E1849*C1849)/(C1849+D1849)))</f>
        <v/>
      </c>
      <c r="J1849" s="59"/>
      <c r="K1849" s="61">
        <f>IF(OR(J1849="",I1849=""),"",J1849-I1849)</f>
        <v/>
      </c>
      <c r="L1849" s="61">
        <f>IF(OR(J1849="",G1849=""),"",J1849-G1849)</f>
        <v/>
      </c>
      <c r="M1849" s="59"/>
      <c r="N1849" s="59"/>
      <c r="O1849" s="59"/>
      <c r="P1849" s="59"/>
      <c r="Q1849" s="59"/>
      <c r="R1849" s="60">
        <f>IF(AND(P1849="",Q1849=""),"",N(P1849)+N(Q1849))</f>
        <v/>
      </c>
      <c r="S1849" s="59"/>
      <c r="T1849" s="59"/>
      <c r="U1849" s="62">
        <f>IF(OR(R1849="",S1849="",T1849=""),"",IF(S1849+T1849=0,"",R1849/(S1849+T1849)))</f>
        <v/>
      </c>
      <c r="V1849" s="63"/>
      <c r="W1849" s="64"/>
      <c r="X1849" s="63"/>
    </row>
    <row r="1850" spans="2:24">
      <c r="B1850" s="58"/>
      <c r="C1850" s="59"/>
      <c r="D1850" s="59"/>
      <c r="E1850" s="59"/>
      <c r="F1850" s="59"/>
      <c r="G1850" s="60">
        <f>IF(OR(E1850="",F1850="",C1850="",D1850=""),"",IF(C1850+D1850=0,"",(E1850*C1850+F1850*D1850)/(C1850+D1850)))</f>
        <v/>
      </c>
      <c r="H1850" s="59"/>
      <c r="I1850" s="60">
        <f>IF(OR(H1850="",E1850="",C1850="",D1850=""),"",IF(C1850+D1850=0,"",(H1850*D1850+E1850*C1850)/(C1850+D1850)))</f>
        <v/>
      </c>
      <c r="J1850" s="59"/>
      <c r="K1850" s="61">
        <f>IF(OR(J1850="",I1850=""),"",J1850-I1850)</f>
        <v/>
      </c>
      <c r="L1850" s="61">
        <f>IF(OR(J1850="",G1850=""),"",J1850-G1850)</f>
        <v/>
      </c>
      <c r="M1850" s="59"/>
      <c r="N1850" s="59"/>
      <c r="O1850" s="59"/>
      <c r="P1850" s="59"/>
      <c r="Q1850" s="59"/>
      <c r="R1850" s="60">
        <f>IF(AND(P1850="",Q1850=""),"",N(P1850)+N(Q1850))</f>
        <v/>
      </c>
      <c r="S1850" s="59"/>
      <c r="T1850" s="59"/>
      <c r="U1850" s="62">
        <f>IF(OR(R1850="",S1850="",T1850=""),"",IF(S1850+T1850=0,"",R1850/(S1850+T1850)))</f>
        <v/>
      </c>
      <c r="V1850" s="63"/>
      <c r="W1850" s="64"/>
      <c r="X1850" s="63"/>
    </row>
    <row r="1851" spans="2:24">
      <c r="B1851" s="58"/>
      <c r="C1851" s="59"/>
      <c r="D1851" s="59"/>
      <c r="E1851" s="59"/>
      <c r="F1851" s="59"/>
      <c r="G1851" s="60">
        <f>IF(OR(E1851="",F1851="",C1851="",D1851=""),"",IF(C1851+D1851=0,"",(E1851*C1851+F1851*D1851)/(C1851+D1851)))</f>
        <v/>
      </c>
      <c r="H1851" s="59"/>
      <c r="I1851" s="60">
        <f>IF(OR(H1851="",E1851="",C1851="",D1851=""),"",IF(C1851+D1851=0,"",(H1851*D1851+E1851*C1851)/(C1851+D1851)))</f>
        <v/>
      </c>
      <c r="J1851" s="59"/>
      <c r="K1851" s="61">
        <f>IF(OR(J1851="",I1851=""),"",J1851-I1851)</f>
        <v/>
      </c>
      <c r="L1851" s="61">
        <f>IF(OR(J1851="",G1851=""),"",J1851-G1851)</f>
        <v/>
      </c>
      <c r="M1851" s="59"/>
      <c r="N1851" s="59"/>
      <c r="O1851" s="59"/>
      <c r="P1851" s="59"/>
      <c r="Q1851" s="59"/>
      <c r="R1851" s="60">
        <f>IF(AND(P1851="",Q1851=""),"",N(P1851)+N(Q1851))</f>
        <v/>
      </c>
      <c r="S1851" s="59"/>
      <c r="T1851" s="59"/>
      <c r="U1851" s="62">
        <f>IF(OR(R1851="",S1851="",T1851=""),"",IF(S1851+T1851=0,"",R1851/(S1851+T1851)))</f>
        <v/>
      </c>
      <c r="V1851" s="63"/>
      <c r="W1851" s="64"/>
      <c r="X1851" s="63"/>
    </row>
    <row r="1852" spans="2:24">
      <c r="B1852" s="58"/>
      <c r="C1852" s="59"/>
      <c r="D1852" s="59"/>
      <c r="E1852" s="59"/>
      <c r="F1852" s="59"/>
      <c r="G1852" s="60">
        <f>IF(OR(E1852="",F1852="",C1852="",D1852=""),"",IF(C1852+D1852=0,"",(E1852*C1852+F1852*D1852)/(C1852+D1852)))</f>
        <v/>
      </c>
      <c r="H1852" s="59"/>
      <c r="I1852" s="60">
        <f>IF(OR(H1852="",E1852="",C1852="",D1852=""),"",IF(C1852+D1852=0,"",(H1852*D1852+E1852*C1852)/(C1852+D1852)))</f>
        <v/>
      </c>
      <c r="J1852" s="59"/>
      <c r="K1852" s="61">
        <f>IF(OR(J1852="",I1852=""),"",J1852-I1852)</f>
        <v/>
      </c>
      <c r="L1852" s="61">
        <f>IF(OR(J1852="",G1852=""),"",J1852-G1852)</f>
        <v/>
      </c>
      <c r="M1852" s="59"/>
      <c r="N1852" s="59"/>
      <c r="O1852" s="59"/>
      <c r="P1852" s="59"/>
      <c r="Q1852" s="59"/>
      <c r="R1852" s="60">
        <f>IF(AND(P1852="",Q1852=""),"",N(P1852)+N(Q1852))</f>
        <v/>
      </c>
      <c r="S1852" s="59"/>
      <c r="T1852" s="59"/>
      <c r="U1852" s="62">
        <f>IF(OR(R1852="",S1852="",T1852=""),"",IF(S1852+T1852=0,"",R1852/(S1852+T1852)))</f>
        <v/>
      </c>
      <c r="V1852" s="63"/>
      <c r="W1852" s="64"/>
      <c r="X1852" s="63"/>
    </row>
    <row r="1853" spans="2:24">
      <c r="B1853" s="58"/>
      <c r="C1853" s="59"/>
      <c r="D1853" s="59"/>
      <c r="E1853" s="59"/>
      <c r="F1853" s="59"/>
      <c r="G1853" s="60">
        <f>IF(OR(E1853="",F1853="",C1853="",D1853=""),"",IF(C1853+D1853=0,"",(E1853*C1853+F1853*D1853)/(C1853+D1853)))</f>
        <v/>
      </c>
      <c r="H1853" s="59"/>
      <c r="I1853" s="60">
        <f>IF(OR(H1853="",E1853="",C1853="",D1853=""),"",IF(C1853+D1853=0,"",(H1853*D1853+E1853*C1853)/(C1853+D1853)))</f>
        <v/>
      </c>
      <c r="J1853" s="59"/>
      <c r="K1853" s="61">
        <f>IF(OR(J1853="",I1853=""),"",J1853-I1853)</f>
        <v/>
      </c>
      <c r="L1853" s="61">
        <f>IF(OR(J1853="",G1853=""),"",J1853-G1853)</f>
        <v/>
      </c>
      <c r="M1853" s="59"/>
      <c r="N1853" s="59"/>
      <c r="O1853" s="59"/>
      <c r="P1853" s="59"/>
      <c r="Q1853" s="59"/>
      <c r="R1853" s="60">
        <f>IF(AND(P1853="",Q1853=""),"",N(P1853)+N(Q1853))</f>
        <v/>
      </c>
      <c r="S1853" s="59"/>
      <c r="T1853" s="59"/>
      <c r="U1853" s="62">
        <f>IF(OR(R1853="",S1853="",T1853=""),"",IF(S1853+T1853=0,"",R1853/(S1853+T1853)))</f>
        <v/>
      </c>
      <c r="V1853" s="63"/>
      <c r="W1853" s="64"/>
      <c r="X1853" s="63"/>
    </row>
    <row r="1854" spans="2:24">
      <c r="B1854" s="58"/>
      <c r="C1854" s="59"/>
      <c r="D1854" s="59"/>
      <c r="E1854" s="59"/>
      <c r="F1854" s="59"/>
      <c r="G1854" s="60">
        <f>IF(OR(E1854="",F1854="",C1854="",D1854=""),"",IF(C1854+D1854=0,"",(E1854*C1854+F1854*D1854)/(C1854+D1854)))</f>
        <v/>
      </c>
      <c r="H1854" s="59"/>
      <c r="I1854" s="60">
        <f>IF(OR(H1854="",E1854="",C1854="",D1854=""),"",IF(C1854+D1854=0,"",(H1854*D1854+E1854*C1854)/(C1854+D1854)))</f>
        <v/>
      </c>
      <c r="J1854" s="59"/>
      <c r="K1854" s="61">
        <f>IF(OR(J1854="",I1854=""),"",J1854-I1854)</f>
        <v/>
      </c>
      <c r="L1854" s="61">
        <f>IF(OR(J1854="",G1854=""),"",J1854-G1854)</f>
        <v/>
      </c>
      <c r="M1854" s="59"/>
      <c r="N1854" s="59"/>
      <c r="O1854" s="59"/>
      <c r="P1854" s="59"/>
      <c r="Q1854" s="59"/>
      <c r="R1854" s="60">
        <f>IF(AND(P1854="",Q1854=""),"",N(P1854)+N(Q1854))</f>
        <v/>
      </c>
      <c r="S1854" s="59"/>
      <c r="T1854" s="59"/>
      <c r="U1854" s="62">
        <f>IF(OR(R1854="",S1854="",T1854=""),"",IF(S1854+T1854=0,"",R1854/(S1854+T1854)))</f>
        <v/>
      </c>
      <c r="V1854" s="63"/>
      <c r="W1854" s="64"/>
      <c r="X1854" s="63"/>
    </row>
    <row r="1855" spans="2:24">
      <c r="B1855" s="58"/>
      <c r="C1855" s="59"/>
      <c r="D1855" s="59"/>
      <c r="E1855" s="59"/>
      <c r="F1855" s="59"/>
      <c r="G1855" s="60">
        <f>IF(OR(E1855="",F1855="",C1855="",D1855=""),"",IF(C1855+D1855=0,"",(E1855*C1855+F1855*D1855)/(C1855+D1855)))</f>
        <v/>
      </c>
      <c r="H1855" s="59"/>
      <c r="I1855" s="60">
        <f>IF(OR(H1855="",E1855="",C1855="",D1855=""),"",IF(C1855+D1855=0,"",(H1855*D1855+E1855*C1855)/(C1855+D1855)))</f>
        <v/>
      </c>
      <c r="J1855" s="59"/>
      <c r="K1855" s="61">
        <f>IF(OR(J1855="",I1855=""),"",J1855-I1855)</f>
        <v/>
      </c>
      <c r="L1855" s="61">
        <f>IF(OR(J1855="",G1855=""),"",J1855-G1855)</f>
        <v/>
      </c>
      <c r="M1855" s="59"/>
      <c r="N1855" s="59"/>
      <c r="O1855" s="59"/>
      <c r="P1855" s="59"/>
      <c r="Q1855" s="59"/>
      <c r="R1855" s="60">
        <f>IF(AND(P1855="",Q1855=""),"",N(P1855)+N(Q1855))</f>
        <v/>
      </c>
      <c r="S1855" s="59"/>
      <c r="T1855" s="59"/>
      <c r="U1855" s="62">
        <f>IF(OR(R1855="",S1855="",T1855=""),"",IF(S1855+T1855=0,"",R1855/(S1855+T1855)))</f>
        <v/>
      </c>
      <c r="V1855" s="63"/>
      <c r="W1855" s="64"/>
      <c r="X1855" s="63"/>
    </row>
    <row r="1856" spans="2:24">
      <c r="B1856" s="58"/>
      <c r="C1856" s="59"/>
      <c r="D1856" s="59"/>
      <c r="E1856" s="59"/>
      <c r="F1856" s="59"/>
      <c r="G1856" s="60">
        <f>IF(OR(E1856="",F1856="",C1856="",D1856=""),"",IF(C1856+D1856=0,"",(E1856*C1856+F1856*D1856)/(C1856+D1856)))</f>
        <v/>
      </c>
      <c r="H1856" s="59"/>
      <c r="I1856" s="60">
        <f>IF(OR(H1856="",E1856="",C1856="",D1856=""),"",IF(C1856+D1856=0,"",(H1856*D1856+E1856*C1856)/(C1856+D1856)))</f>
        <v/>
      </c>
      <c r="J1856" s="59"/>
      <c r="K1856" s="61">
        <f>IF(OR(J1856="",I1856=""),"",J1856-I1856)</f>
        <v/>
      </c>
      <c r="L1856" s="61">
        <f>IF(OR(J1856="",G1856=""),"",J1856-G1856)</f>
        <v/>
      </c>
      <c r="M1856" s="59"/>
      <c r="N1856" s="59"/>
      <c r="O1856" s="59"/>
      <c r="P1856" s="59"/>
      <c r="Q1856" s="59"/>
      <c r="R1856" s="60">
        <f>IF(AND(P1856="",Q1856=""),"",N(P1856)+N(Q1856))</f>
        <v/>
      </c>
      <c r="S1856" s="59"/>
      <c r="T1856" s="59"/>
      <c r="U1856" s="62">
        <f>IF(OR(R1856="",S1856="",T1856=""),"",IF(S1856+T1856=0,"",R1856/(S1856+T1856)))</f>
        <v/>
      </c>
      <c r="V1856" s="63"/>
      <c r="W1856" s="64"/>
      <c r="X1856" s="63"/>
    </row>
    <row r="1857" spans="2:24">
      <c r="B1857" s="58"/>
      <c r="C1857" s="59"/>
      <c r="D1857" s="59"/>
      <c r="E1857" s="59"/>
      <c r="F1857" s="59"/>
      <c r="G1857" s="60">
        <f>IF(OR(E1857="",F1857="",C1857="",D1857=""),"",IF(C1857+D1857=0,"",(E1857*C1857+F1857*D1857)/(C1857+D1857)))</f>
        <v/>
      </c>
      <c r="H1857" s="59"/>
      <c r="I1857" s="60">
        <f>IF(OR(H1857="",E1857="",C1857="",D1857=""),"",IF(C1857+D1857=0,"",(H1857*D1857+E1857*C1857)/(C1857+D1857)))</f>
        <v/>
      </c>
      <c r="J1857" s="59"/>
      <c r="K1857" s="61">
        <f>IF(OR(J1857="",I1857=""),"",J1857-I1857)</f>
        <v/>
      </c>
      <c r="L1857" s="61">
        <f>IF(OR(J1857="",G1857=""),"",J1857-G1857)</f>
        <v/>
      </c>
      <c r="M1857" s="59"/>
      <c r="N1857" s="59"/>
      <c r="O1857" s="59"/>
      <c r="P1857" s="59"/>
      <c r="Q1857" s="59"/>
      <c r="R1857" s="60">
        <f>IF(AND(P1857="",Q1857=""),"",N(P1857)+N(Q1857))</f>
        <v/>
      </c>
      <c r="S1857" s="59"/>
      <c r="T1857" s="59"/>
      <c r="U1857" s="62">
        <f>IF(OR(R1857="",S1857="",T1857=""),"",IF(S1857+T1857=0,"",R1857/(S1857+T1857)))</f>
        <v/>
      </c>
      <c r="V1857" s="63"/>
      <c r="W1857" s="64"/>
      <c r="X1857" s="63"/>
    </row>
    <row r="1858" spans="2:24">
      <c r="B1858" s="58"/>
      <c r="C1858" s="59"/>
      <c r="D1858" s="59"/>
      <c r="E1858" s="59"/>
      <c r="F1858" s="59"/>
      <c r="G1858" s="60">
        <f>IF(OR(E1858="",F1858="",C1858="",D1858=""),"",IF(C1858+D1858=0,"",(E1858*C1858+F1858*D1858)/(C1858+D1858)))</f>
        <v/>
      </c>
      <c r="H1858" s="59"/>
      <c r="I1858" s="60">
        <f>IF(OR(H1858="",E1858="",C1858="",D1858=""),"",IF(C1858+D1858=0,"",(H1858*D1858+E1858*C1858)/(C1858+D1858)))</f>
        <v/>
      </c>
      <c r="J1858" s="59"/>
      <c r="K1858" s="61">
        <f>IF(OR(J1858="",I1858=""),"",J1858-I1858)</f>
        <v/>
      </c>
      <c r="L1858" s="61">
        <f>IF(OR(J1858="",G1858=""),"",J1858-G1858)</f>
        <v/>
      </c>
      <c r="M1858" s="59"/>
      <c r="N1858" s="59"/>
      <c r="O1858" s="59"/>
      <c r="P1858" s="59"/>
      <c r="Q1858" s="59"/>
      <c r="R1858" s="60">
        <f>IF(AND(P1858="",Q1858=""),"",N(P1858)+N(Q1858))</f>
        <v/>
      </c>
      <c r="S1858" s="59"/>
      <c r="T1858" s="59"/>
      <c r="U1858" s="62">
        <f>IF(OR(R1858="",S1858="",T1858=""),"",IF(S1858+T1858=0,"",R1858/(S1858+T1858)))</f>
        <v/>
      </c>
      <c r="V1858" s="63"/>
      <c r="W1858" s="64"/>
      <c r="X1858" s="63"/>
    </row>
    <row r="1859" spans="2:24">
      <c r="B1859" s="58"/>
      <c r="C1859" s="59"/>
      <c r="D1859" s="59"/>
      <c r="E1859" s="59"/>
      <c r="F1859" s="59"/>
      <c r="G1859" s="60">
        <f>IF(OR(E1859="",F1859="",C1859="",D1859=""),"",IF(C1859+D1859=0,"",(E1859*C1859+F1859*D1859)/(C1859+D1859)))</f>
        <v/>
      </c>
      <c r="H1859" s="59"/>
      <c r="I1859" s="60">
        <f>IF(OR(H1859="",E1859="",C1859="",D1859=""),"",IF(C1859+D1859=0,"",(H1859*D1859+E1859*C1859)/(C1859+D1859)))</f>
        <v/>
      </c>
      <c r="J1859" s="59"/>
      <c r="K1859" s="61">
        <f>IF(OR(J1859="",I1859=""),"",J1859-I1859)</f>
        <v/>
      </c>
      <c r="L1859" s="61">
        <f>IF(OR(J1859="",G1859=""),"",J1859-G1859)</f>
        <v/>
      </c>
      <c r="M1859" s="59"/>
      <c r="N1859" s="59"/>
      <c r="O1859" s="59"/>
      <c r="P1859" s="59"/>
      <c r="Q1859" s="59"/>
      <c r="R1859" s="60">
        <f>IF(AND(P1859="",Q1859=""),"",N(P1859)+N(Q1859))</f>
        <v/>
      </c>
      <c r="S1859" s="59"/>
      <c r="T1859" s="59"/>
      <c r="U1859" s="62">
        <f>IF(OR(R1859="",S1859="",T1859=""),"",IF(S1859+T1859=0,"",R1859/(S1859+T1859)))</f>
        <v/>
      </c>
      <c r="V1859" s="63"/>
      <c r="W1859" s="64"/>
      <c r="X1859" s="63"/>
    </row>
    <row r="1860" spans="2:24">
      <c r="B1860" s="58"/>
      <c r="C1860" s="59"/>
      <c r="D1860" s="59"/>
      <c r="E1860" s="59"/>
      <c r="F1860" s="59"/>
      <c r="G1860" s="60">
        <f>IF(OR(E1860="",F1860="",C1860="",D1860=""),"",IF(C1860+D1860=0,"",(E1860*C1860+F1860*D1860)/(C1860+D1860)))</f>
        <v/>
      </c>
      <c r="H1860" s="59"/>
      <c r="I1860" s="60">
        <f>IF(OR(H1860="",E1860="",C1860="",D1860=""),"",IF(C1860+D1860=0,"",(H1860*D1860+E1860*C1860)/(C1860+D1860)))</f>
        <v/>
      </c>
      <c r="J1860" s="59"/>
      <c r="K1860" s="61">
        <f>IF(OR(J1860="",I1860=""),"",J1860-I1860)</f>
        <v/>
      </c>
      <c r="L1860" s="61">
        <f>IF(OR(J1860="",G1860=""),"",J1860-G1860)</f>
        <v/>
      </c>
      <c r="M1860" s="59"/>
      <c r="N1860" s="59"/>
      <c r="O1860" s="59"/>
      <c r="P1860" s="59"/>
      <c r="Q1860" s="59"/>
      <c r="R1860" s="60">
        <f>IF(AND(P1860="",Q1860=""),"",N(P1860)+N(Q1860))</f>
        <v/>
      </c>
      <c r="S1860" s="59"/>
      <c r="T1860" s="59"/>
      <c r="U1860" s="62">
        <f>IF(OR(R1860="",S1860="",T1860=""),"",IF(S1860+T1860=0,"",R1860/(S1860+T1860)))</f>
        <v/>
      </c>
      <c r="V1860" s="63"/>
      <c r="W1860" s="64"/>
      <c r="X1860" s="63"/>
    </row>
    <row r="1861" spans="2:24">
      <c r="B1861" s="58"/>
      <c r="C1861" s="59"/>
      <c r="D1861" s="59"/>
      <c r="E1861" s="59"/>
      <c r="F1861" s="59"/>
      <c r="G1861" s="60">
        <f>IF(OR(E1861="",F1861="",C1861="",D1861=""),"",IF(C1861+D1861=0,"",(E1861*C1861+F1861*D1861)/(C1861+D1861)))</f>
        <v/>
      </c>
      <c r="H1861" s="59"/>
      <c r="I1861" s="60">
        <f>IF(OR(H1861="",E1861="",C1861="",D1861=""),"",IF(C1861+D1861=0,"",(H1861*D1861+E1861*C1861)/(C1861+D1861)))</f>
        <v/>
      </c>
      <c r="J1861" s="59"/>
      <c r="K1861" s="61">
        <f>IF(OR(J1861="",I1861=""),"",J1861-I1861)</f>
        <v/>
      </c>
      <c r="L1861" s="61">
        <f>IF(OR(J1861="",G1861=""),"",J1861-G1861)</f>
        <v/>
      </c>
      <c r="M1861" s="59"/>
      <c r="N1861" s="59"/>
      <c r="O1861" s="59"/>
      <c r="P1861" s="59"/>
      <c r="Q1861" s="59"/>
      <c r="R1861" s="60">
        <f>IF(AND(P1861="",Q1861=""),"",N(P1861)+N(Q1861))</f>
        <v/>
      </c>
      <c r="S1861" s="59"/>
      <c r="T1861" s="59"/>
      <c r="U1861" s="62">
        <f>IF(OR(R1861="",S1861="",T1861=""),"",IF(S1861+T1861=0,"",R1861/(S1861+T1861)))</f>
        <v/>
      </c>
      <c r="V1861" s="63"/>
      <c r="W1861" s="64"/>
      <c r="X1861" s="63"/>
    </row>
    <row r="1862" spans="2:24">
      <c r="B1862" s="58"/>
      <c r="C1862" s="59"/>
      <c r="D1862" s="59"/>
      <c r="E1862" s="59"/>
      <c r="F1862" s="59"/>
      <c r="G1862" s="60">
        <f>IF(OR(E1862="",F1862="",C1862="",D1862=""),"",IF(C1862+D1862=0,"",(E1862*C1862+F1862*D1862)/(C1862+D1862)))</f>
        <v/>
      </c>
      <c r="H1862" s="59"/>
      <c r="I1862" s="60">
        <f>IF(OR(H1862="",E1862="",C1862="",D1862=""),"",IF(C1862+D1862=0,"",(H1862*D1862+E1862*C1862)/(C1862+D1862)))</f>
        <v/>
      </c>
      <c r="J1862" s="59"/>
      <c r="K1862" s="61">
        <f>IF(OR(J1862="",I1862=""),"",J1862-I1862)</f>
        <v/>
      </c>
      <c r="L1862" s="61">
        <f>IF(OR(J1862="",G1862=""),"",J1862-G1862)</f>
        <v/>
      </c>
      <c r="M1862" s="59"/>
      <c r="N1862" s="59"/>
      <c r="O1862" s="59"/>
      <c r="P1862" s="59"/>
      <c r="Q1862" s="59"/>
      <c r="R1862" s="60">
        <f>IF(AND(P1862="",Q1862=""),"",N(P1862)+N(Q1862))</f>
        <v/>
      </c>
      <c r="S1862" s="59"/>
      <c r="T1862" s="59"/>
      <c r="U1862" s="62">
        <f>IF(OR(R1862="",S1862="",T1862=""),"",IF(S1862+T1862=0,"",R1862/(S1862+T1862)))</f>
        <v/>
      </c>
      <c r="V1862" s="63"/>
      <c r="W1862" s="64"/>
      <c r="X1862" s="63"/>
    </row>
    <row r="1863" spans="2:24">
      <c r="B1863" s="58"/>
      <c r="C1863" s="59"/>
      <c r="D1863" s="59"/>
      <c r="E1863" s="59"/>
      <c r="F1863" s="59"/>
      <c r="G1863" s="60">
        <f>IF(OR(E1863="",F1863="",C1863="",D1863=""),"",IF(C1863+D1863=0,"",(E1863*C1863+F1863*D1863)/(C1863+D1863)))</f>
        <v/>
      </c>
      <c r="H1863" s="59"/>
      <c r="I1863" s="60">
        <f>IF(OR(H1863="",E1863="",C1863="",D1863=""),"",IF(C1863+D1863=0,"",(H1863*D1863+E1863*C1863)/(C1863+D1863)))</f>
        <v/>
      </c>
      <c r="J1863" s="59"/>
      <c r="K1863" s="61">
        <f>IF(OR(J1863="",I1863=""),"",J1863-I1863)</f>
        <v/>
      </c>
      <c r="L1863" s="61">
        <f>IF(OR(J1863="",G1863=""),"",J1863-G1863)</f>
        <v/>
      </c>
      <c r="M1863" s="59"/>
      <c r="N1863" s="59"/>
      <c r="O1863" s="59"/>
      <c r="P1863" s="59"/>
      <c r="Q1863" s="59"/>
      <c r="R1863" s="60">
        <f>IF(AND(P1863="",Q1863=""),"",N(P1863)+N(Q1863))</f>
        <v/>
      </c>
      <c r="S1863" s="59"/>
      <c r="T1863" s="59"/>
      <c r="U1863" s="62">
        <f>IF(OR(R1863="",S1863="",T1863=""),"",IF(S1863+T1863=0,"",R1863/(S1863+T1863)))</f>
        <v/>
      </c>
      <c r="V1863" s="63"/>
      <c r="W1863" s="64"/>
      <c r="X1863" s="63"/>
    </row>
    <row r="1864" spans="2:24">
      <c r="B1864" s="58"/>
      <c r="C1864" s="59"/>
      <c r="D1864" s="59"/>
      <c r="E1864" s="59"/>
      <c r="F1864" s="59"/>
      <c r="G1864" s="60">
        <f>IF(OR(E1864="",F1864="",C1864="",D1864=""),"",IF(C1864+D1864=0,"",(E1864*C1864+F1864*D1864)/(C1864+D1864)))</f>
        <v/>
      </c>
      <c r="H1864" s="59"/>
      <c r="I1864" s="60">
        <f>IF(OR(H1864="",E1864="",C1864="",D1864=""),"",IF(C1864+D1864=0,"",(H1864*D1864+E1864*C1864)/(C1864+D1864)))</f>
        <v/>
      </c>
      <c r="J1864" s="59"/>
      <c r="K1864" s="61">
        <f>IF(OR(J1864="",I1864=""),"",J1864-I1864)</f>
        <v/>
      </c>
      <c r="L1864" s="61">
        <f>IF(OR(J1864="",G1864=""),"",J1864-G1864)</f>
        <v/>
      </c>
      <c r="M1864" s="59"/>
      <c r="N1864" s="59"/>
      <c r="O1864" s="59"/>
      <c r="P1864" s="59"/>
      <c r="Q1864" s="59"/>
      <c r="R1864" s="60">
        <f>IF(AND(P1864="",Q1864=""),"",N(P1864)+N(Q1864))</f>
        <v/>
      </c>
      <c r="S1864" s="59"/>
      <c r="T1864" s="59"/>
      <c r="U1864" s="62">
        <f>IF(OR(R1864="",S1864="",T1864=""),"",IF(S1864+T1864=0,"",R1864/(S1864+T1864)))</f>
        <v/>
      </c>
      <c r="V1864" s="63"/>
      <c r="W1864" s="64"/>
      <c r="X1864" s="63"/>
    </row>
    <row r="1865" spans="2:24">
      <c r="B1865" s="58"/>
      <c r="C1865" s="59"/>
      <c r="D1865" s="59"/>
      <c r="E1865" s="59"/>
      <c r="F1865" s="59"/>
      <c r="G1865" s="60">
        <f>IF(OR(E1865="",F1865="",C1865="",D1865=""),"",IF(C1865+D1865=0,"",(E1865*C1865+F1865*D1865)/(C1865+D1865)))</f>
        <v/>
      </c>
      <c r="H1865" s="59"/>
      <c r="I1865" s="60">
        <f>IF(OR(H1865="",E1865="",C1865="",D1865=""),"",IF(C1865+D1865=0,"",(H1865*D1865+E1865*C1865)/(C1865+D1865)))</f>
        <v/>
      </c>
      <c r="J1865" s="59"/>
      <c r="K1865" s="61">
        <f>IF(OR(J1865="",I1865=""),"",J1865-I1865)</f>
        <v/>
      </c>
      <c r="L1865" s="61">
        <f>IF(OR(J1865="",G1865=""),"",J1865-G1865)</f>
        <v/>
      </c>
      <c r="M1865" s="59"/>
      <c r="N1865" s="59"/>
      <c r="O1865" s="59"/>
      <c r="P1865" s="59"/>
      <c r="Q1865" s="59"/>
      <c r="R1865" s="60">
        <f>IF(AND(P1865="",Q1865=""),"",N(P1865)+N(Q1865))</f>
        <v/>
      </c>
      <c r="S1865" s="59"/>
      <c r="T1865" s="59"/>
      <c r="U1865" s="62">
        <f>IF(OR(R1865="",S1865="",T1865=""),"",IF(S1865+T1865=0,"",R1865/(S1865+T1865)))</f>
        <v/>
      </c>
      <c r="V1865" s="63"/>
      <c r="W1865" s="64"/>
      <c r="X1865" s="63"/>
    </row>
    <row r="1866" spans="2:24">
      <c r="B1866" s="58"/>
      <c r="C1866" s="59"/>
      <c r="D1866" s="59"/>
      <c r="E1866" s="59"/>
      <c r="F1866" s="59"/>
      <c r="G1866" s="60">
        <f>IF(OR(E1866="",F1866="",C1866="",D1866=""),"",IF(C1866+D1866=0,"",(E1866*C1866+F1866*D1866)/(C1866+D1866)))</f>
        <v/>
      </c>
      <c r="H1866" s="59"/>
      <c r="I1866" s="60">
        <f>IF(OR(H1866="",E1866="",C1866="",D1866=""),"",IF(C1866+D1866=0,"",(H1866*D1866+E1866*C1866)/(C1866+D1866)))</f>
        <v/>
      </c>
      <c r="J1866" s="59"/>
      <c r="K1866" s="61">
        <f>IF(OR(J1866="",I1866=""),"",J1866-I1866)</f>
        <v/>
      </c>
      <c r="L1866" s="61">
        <f>IF(OR(J1866="",G1866=""),"",J1866-G1866)</f>
        <v/>
      </c>
      <c r="M1866" s="59"/>
      <c r="N1866" s="59"/>
      <c r="O1866" s="59"/>
      <c r="P1866" s="59"/>
      <c r="Q1866" s="59"/>
      <c r="R1866" s="60">
        <f>IF(AND(P1866="",Q1866=""),"",N(P1866)+N(Q1866))</f>
        <v/>
      </c>
      <c r="S1866" s="59"/>
      <c r="T1866" s="59"/>
      <c r="U1866" s="62">
        <f>IF(OR(R1866="",S1866="",T1866=""),"",IF(S1866+T1866=0,"",R1866/(S1866+T1866)))</f>
        <v/>
      </c>
      <c r="V1866" s="63"/>
      <c r="W1866" s="64"/>
      <c r="X1866" s="63"/>
    </row>
    <row r="1867" spans="2:24">
      <c r="B1867" s="58"/>
      <c r="C1867" s="59"/>
      <c r="D1867" s="59"/>
      <c r="E1867" s="59"/>
      <c r="F1867" s="59"/>
      <c r="G1867" s="60">
        <f>IF(OR(E1867="",F1867="",C1867="",D1867=""),"",IF(C1867+D1867=0,"",(E1867*C1867+F1867*D1867)/(C1867+D1867)))</f>
        <v/>
      </c>
      <c r="H1867" s="59"/>
      <c r="I1867" s="60">
        <f>IF(OR(H1867="",E1867="",C1867="",D1867=""),"",IF(C1867+D1867=0,"",(H1867*D1867+E1867*C1867)/(C1867+D1867)))</f>
        <v/>
      </c>
      <c r="J1867" s="59"/>
      <c r="K1867" s="61">
        <f>IF(OR(J1867="",I1867=""),"",J1867-I1867)</f>
        <v/>
      </c>
      <c r="L1867" s="61">
        <f>IF(OR(J1867="",G1867=""),"",J1867-G1867)</f>
        <v/>
      </c>
      <c r="M1867" s="59"/>
      <c r="N1867" s="59"/>
      <c r="O1867" s="59"/>
      <c r="P1867" s="59"/>
      <c r="Q1867" s="59"/>
      <c r="R1867" s="60">
        <f>IF(AND(P1867="",Q1867=""),"",N(P1867)+N(Q1867))</f>
        <v/>
      </c>
      <c r="S1867" s="59"/>
      <c r="T1867" s="59"/>
      <c r="U1867" s="62">
        <f>IF(OR(R1867="",S1867="",T1867=""),"",IF(S1867+T1867=0,"",R1867/(S1867+T1867)))</f>
        <v/>
      </c>
      <c r="V1867" s="63"/>
      <c r="W1867" s="64"/>
      <c r="X1867" s="63"/>
    </row>
    <row r="1868" spans="2:24">
      <c r="B1868" s="58"/>
      <c r="C1868" s="59"/>
      <c r="D1868" s="59"/>
      <c r="E1868" s="59"/>
      <c r="F1868" s="59"/>
      <c r="G1868" s="60">
        <f>IF(OR(E1868="",F1868="",C1868="",D1868=""),"",IF(C1868+D1868=0,"",(E1868*C1868+F1868*D1868)/(C1868+D1868)))</f>
        <v/>
      </c>
      <c r="H1868" s="59"/>
      <c r="I1868" s="60">
        <f>IF(OR(H1868="",E1868="",C1868="",D1868=""),"",IF(C1868+D1868=0,"",(H1868*D1868+E1868*C1868)/(C1868+D1868)))</f>
        <v/>
      </c>
      <c r="J1868" s="59"/>
      <c r="K1868" s="61">
        <f>IF(OR(J1868="",I1868=""),"",J1868-I1868)</f>
        <v/>
      </c>
      <c r="L1868" s="61">
        <f>IF(OR(J1868="",G1868=""),"",J1868-G1868)</f>
        <v/>
      </c>
      <c r="M1868" s="59"/>
      <c r="N1868" s="59"/>
      <c r="O1868" s="59"/>
      <c r="P1868" s="59"/>
      <c r="Q1868" s="59"/>
      <c r="R1868" s="60">
        <f>IF(AND(P1868="",Q1868=""),"",N(P1868)+N(Q1868))</f>
        <v/>
      </c>
      <c r="S1868" s="59"/>
      <c r="T1868" s="59"/>
      <c r="U1868" s="62">
        <f>IF(OR(R1868="",S1868="",T1868=""),"",IF(S1868+T1868=0,"",R1868/(S1868+T1868)))</f>
        <v/>
      </c>
      <c r="V1868" s="63"/>
      <c r="W1868" s="64"/>
      <c r="X1868" s="63"/>
    </row>
    <row r="1869" spans="2:24">
      <c r="B1869" s="58"/>
      <c r="C1869" s="59"/>
      <c r="D1869" s="59"/>
      <c r="E1869" s="59"/>
      <c r="F1869" s="59"/>
      <c r="G1869" s="60">
        <f>IF(OR(E1869="",F1869="",C1869="",D1869=""),"",IF(C1869+D1869=0,"",(E1869*C1869+F1869*D1869)/(C1869+D1869)))</f>
        <v/>
      </c>
      <c r="H1869" s="59"/>
      <c r="I1869" s="60">
        <f>IF(OR(H1869="",E1869="",C1869="",D1869=""),"",IF(C1869+D1869=0,"",(H1869*D1869+E1869*C1869)/(C1869+D1869)))</f>
        <v/>
      </c>
      <c r="J1869" s="59"/>
      <c r="K1869" s="61">
        <f>IF(OR(J1869="",I1869=""),"",J1869-I1869)</f>
        <v/>
      </c>
      <c r="L1869" s="61">
        <f>IF(OR(J1869="",G1869=""),"",J1869-G1869)</f>
        <v/>
      </c>
      <c r="M1869" s="59"/>
      <c r="N1869" s="59"/>
      <c r="O1869" s="59"/>
      <c r="P1869" s="59"/>
      <c r="Q1869" s="59"/>
      <c r="R1869" s="60">
        <f>IF(AND(P1869="",Q1869=""),"",N(P1869)+N(Q1869))</f>
        <v/>
      </c>
      <c r="S1869" s="59"/>
      <c r="T1869" s="59"/>
      <c r="U1869" s="62">
        <f>IF(OR(R1869="",S1869="",T1869=""),"",IF(S1869+T1869=0,"",R1869/(S1869+T1869)))</f>
        <v/>
      </c>
      <c r="V1869" s="63"/>
      <c r="W1869" s="64"/>
      <c r="X1869" s="63"/>
    </row>
    <row r="1870" spans="2:24">
      <c r="B1870" s="58"/>
      <c r="C1870" s="59"/>
      <c r="D1870" s="59"/>
      <c r="E1870" s="59"/>
      <c r="F1870" s="59"/>
      <c r="G1870" s="60">
        <f>IF(OR(E1870="",F1870="",C1870="",D1870=""),"",IF(C1870+D1870=0,"",(E1870*C1870+F1870*D1870)/(C1870+D1870)))</f>
        <v/>
      </c>
      <c r="H1870" s="59"/>
      <c r="I1870" s="60">
        <f>IF(OR(H1870="",E1870="",C1870="",D1870=""),"",IF(C1870+D1870=0,"",(H1870*D1870+E1870*C1870)/(C1870+D1870)))</f>
        <v/>
      </c>
      <c r="J1870" s="59"/>
      <c r="K1870" s="61">
        <f>IF(OR(J1870="",I1870=""),"",J1870-I1870)</f>
        <v/>
      </c>
      <c r="L1870" s="61">
        <f>IF(OR(J1870="",G1870=""),"",J1870-G1870)</f>
        <v/>
      </c>
      <c r="M1870" s="59"/>
      <c r="N1870" s="59"/>
      <c r="O1870" s="59"/>
      <c r="P1870" s="59"/>
      <c r="Q1870" s="59"/>
      <c r="R1870" s="60">
        <f>IF(AND(P1870="",Q1870=""),"",N(P1870)+N(Q1870))</f>
        <v/>
      </c>
      <c r="S1870" s="59"/>
      <c r="T1870" s="59"/>
      <c r="U1870" s="62">
        <f>IF(OR(R1870="",S1870="",T1870=""),"",IF(S1870+T1870=0,"",R1870/(S1870+T1870)))</f>
        <v/>
      </c>
      <c r="V1870" s="63"/>
      <c r="W1870" s="64"/>
      <c r="X1870" s="63"/>
    </row>
    <row r="1871" spans="2:24">
      <c r="B1871" s="58"/>
      <c r="C1871" s="59"/>
      <c r="D1871" s="59"/>
      <c r="E1871" s="59"/>
      <c r="F1871" s="59"/>
      <c r="G1871" s="60">
        <f>IF(OR(E1871="",F1871="",C1871="",D1871=""),"",IF(C1871+D1871=0,"",(E1871*C1871+F1871*D1871)/(C1871+D1871)))</f>
        <v/>
      </c>
      <c r="H1871" s="59"/>
      <c r="I1871" s="60">
        <f>IF(OR(H1871="",E1871="",C1871="",D1871=""),"",IF(C1871+D1871=0,"",(H1871*D1871+E1871*C1871)/(C1871+D1871)))</f>
        <v/>
      </c>
      <c r="J1871" s="59"/>
      <c r="K1871" s="61">
        <f>IF(OR(J1871="",I1871=""),"",J1871-I1871)</f>
        <v/>
      </c>
      <c r="L1871" s="61">
        <f>IF(OR(J1871="",G1871=""),"",J1871-G1871)</f>
        <v/>
      </c>
      <c r="M1871" s="59"/>
      <c r="N1871" s="59"/>
      <c r="O1871" s="59"/>
      <c r="P1871" s="59"/>
      <c r="Q1871" s="59"/>
      <c r="R1871" s="60">
        <f>IF(AND(P1871="",Q1871=""),"",N(P1871)+N(Q1871))</f>
        <v/>
      </c>
      <c r="S1871" s="59"/>
      <c r="T1871" s="59"/>
      <c r="U1871" s="62">
        <f>IF(OR(R1871="",S1871="",T1871=""),"",IF(S1871+T1871=0,"",R1871/(S1871+T1871)))</f>
        <v/>
      </c>
      <c r="V1871" s="63"/>
      <c r="W1871" s="64"/>
      <c r="X1871" s="63"/>
    </row>
    <row r="1872" spans="2:24">
      <c r="B1872" s="58"/>
      <c r="C1872" s="59"/>
      <c r="D1872" s="59"/>
      <c r="E1872" s="59"/>
      <c r="F1872" s="59"/>
      <c r="G1872" s="60">
        <f>IF(OR(E1872="",F1872="",C1872="",D1872=""),"",IF(C1872+D1872=0,"",(E1872*C1872+F1872*D1872)/(C1872+D1872)))</f>
        <v/>
      </c>
      <c r="H1872" s="59"/>
      <c r="I1872" s="60">
        <f>IF(OR(H1872="",E1872="",C1872="",D1872=""),"",IF(C1872+D1872=0,"",(H1872*D1872+E1872*C1872)/(C1872+D1872)))</f>
        <v/>
      </c>
      <c r="J1872" s="59"/>
      <c r="K1872" s="61">
        <f>IF(OR(J1872="",I1872=""),"",J1872-I1872)</f>
        <v/>
      </c>
      <c r="L1872" s="61">
        <f>IF(OR(J1872="",G1872=""),"",J1872-G1872)</f>
        <v/>
      </c>
      <c r="M1872" s="59"/>
      <c r="N1872" s="59"/>
      <c r="O1872" s="59"/>
      <c r="P1872" s="59"/>
      <c r="Q1872" s="59"/>
      <c r="R1872" s="60">
        <f>IF(AND(P1872="",Q1872=""),"",N(P1872)+N(Q1872))</f>
        <v/>
      </c>
      <c r="S1872" s="59"/>
      <c r="T1872" s="59"/>
      <c r="U1872" s="62">
        <f>IF(OR(R1872="",S1872="",T1872=""),"",IF(S1872+T1872=0,"",R1872/(S1872+T1872)))</f>
        <v/>
      </c>
      <c r="V1872" s="63"/>
      <c r="W1872" s="64"/>
      <c r="X1872" s="63"/>
    </row>
    <row r="1873" spans="2:24">
      <c r="B1873" s="58"/>
      <c r="C1873" s="59"/>
      <c r="D1873" s="59"/>
      <c r="E1873" s="59"/>
      <c r="F1873" s="59"/>
      <c r="G1873" s="60">
        <f>IF(OR(E1873="",F1873="",C1873="",D1873=""),"",IF(C1873+D1873=0,"",(E1873*C1873+F1873*D1873)/(C1873+D1873)))</f>
        <v/>
      </c>
      <c r="H1873" s="59"/>
      <c r="I1873" s="60">
        <f>IF(OR(H1873="",E1873="",C1873="",D1873=""),"",IF(C1873+D1873=0,"",(H1873*D1873+E1873*C1873)/(C1873+D1873)))</f>
        <v/>
      </c>
      <c r="J1873" s="59"/>
      <c r="K1873" s="61">
        <f>IF(OR(J1873="",I1873=""),"",J1873-I1873)</f>
        <v/>
      </c>
      <c r="L1873" s="61">
        <f>IF(OR(J1873="",G1873=""),"",J1873-G1873)</f>
        <v/>
      </c>
      <c r="M1873" s="59"/>
      <c r="N1873" s="59"/>
      <c r="O1873" s="59"/>
      <c r="P1873" s="59"/>
      <c r="Q1873" s="59"/>
      <c r="R1873" s="60">
        <f>IF(AND(P1873="",Q1873=""),"",N(P1873)+N(Q1873))</f>
        <v/>
      </c>
      <c r="S1873" s="59"/>
      <c r="T1873" s="59"/>
      <c r="U1873" s="62">
        <f>IF(OR(R1873="",S1873="",T1873=""),"",IF(S1873+T1873=0,"",R1873/(S1873+T1873)))</f>
        <v/>
      </c>
      <c r="V1873" s="63"/>
      <c r="W1873" s="64"/>
      <c r="X1873" s="63"/>
    </row>
    <row r="1874" spans="2:24">
      <c r="B1874" s="58"/>
      <c r="C1874" s="59"/>
      <c r="D1874" s="59"/>
      <c r="E1874" s="59"/>
      <c r="F1874" s="59"/>
      <c r="G1874" s="60">
        <f>IF(OR(E1874="",F1874="",C1874="",D1874=""),"",IF(C1874+D1874=0,"",(E1874*C1874+F1874*D1874)/(C1874+D1874)))</f>
        <v/>
      </c>
      <c r="H1874" s="59"/>
      <c r="I1874" s="60">
        <f>IF(OR(H1874="",E1874="",C1874="",D1874=""),"",IF(C1874+D1874=0,"",(H1874*D1874+E1874*C1874)/(C1874+D1874)))</f>
        <v/>
      </c>
      <c r="J1874" s="59"/>
      <c r="K1874" s="61">
        <f>IF(OR(J1874="",I1874=""),"",J1874-I1874)</f>
        <v/>
      </c>
      <c r="L1874" s="61">
        <f>IF(OR(J1874="",G1874=""),"",J1874-G1874)</f>
        <v/>
      </c>
      <c r="M1874" s="59"/>
      <c r="N1874" s="59"/>
      <c r="O1874" s="59"/>
      <c r="P1874" s="59"/>
      <c r="Q1874" s="59"/>
      <c r="R1874" s="60">
        <f>IF(AND(P1874="",Q1874=""),"",N(P1874)+N(Q1874))</f>
        <v/>
      </c>
      <c r="S1874" s="59"/>
      <c r="T1874" s="59"/>
      <c r="U1874" s="62">
        <f>IF(OR(R1874="",S1874="",T1874=""),"",IF(S1874+T1874=0,"",R1874/(S1874+T1874)))</f>
        <v/>
      </c>
      <c r="V1874" s="63"/>
      <c r="W1874" s="64"/>
      <c r="X1874" s="63"/>
    </row>
    <row r="1875" spans="2:24">
      <c r="B1875" s="58"/>
      <c r="C1875" s="59"/>
      <c r="D1875" s="59"/>
      <c r="E1875" s="59"/>
      <c r="F1875" s="59"/>
      <c r="G1875" s="60">
        <f>IF(OR(E1875="",F1875="",C1875="",D1875=""),"",IF(C1875+D1875=0,"",(E1875*C1875+F1875*D1875)/(C1875+D1875)))</f>
        <v/>
      </c>
      <c r="H1875" s="59"/>
      <c r="I1875" s="60">
        <f>IF(OR(H1875="",E1875="",C1875="",D1875=""),"",IF(C1875+D1875=0,"",(H1875*D1875+E1875*C1875)/(C1875+D1875)))</f>
        <v/>
      </c>
      <c r="J1875" s="59"/>
      <c r="K1875" s="61">
        <f>IF(OR(J1875="",I1875=""),"",J1875-I1875)</f>
        <v/>
      </c>
      <c r="L1875" s="61">
        <f>IF(OR(J1875="",G1875=""),"",J1875-G1875)</f>
        <v/>
      </c>
      <c r="M1875" s="59"/>
      <c r="N1875" s="59"/>
      <c r="O1875" s="59"/>
      <c r="P1875" s="59"/>
      <c r="Q1875" s="59"/>
      <c r="R1875" s="60">
        <f>IF(AND(P1875="",Q1875=""),"",N(P1875)+N(Q1875))</f>
        <v/>
      </c>
      <c r="S1875" s="59"/>
      <c r="T1875" s="59"/>
      <c r="U1875" s="62">
        <f>IF(OR(R1875="",S1875="",T1875=""),"",IF(S1875+T1875=0,"",R1875/(S1875+T1875)))</f>
        <v/>
      </c>
      <c r="V1875" s="63"/>
      <c r="W1875" s="64"/>
      <c r="X1875" s="63"/>
    </row>
    <row r="1876" spans="2:24">
      <c r="B1876" s="58"/>
      <c r="C1876" s="59"/>
      <c r="D1876" s="59"/>
      <c r="E1876" s="59"/>
      <c r="F1876" s="59"/>
      <c r="G1876" s="60">
        <f>IF(OR(E1876="",F1876="",C1876="",D1876=""),"",IF(C1876+D1876=0,"",(E1876*C1876+F1876*D1876)/(C1876+D1876)))</f>
        <v/>
      </c>
      <c r="H1876" s="59"/>
      <c r="I1876" s="60">
        <f>IF(OR(H1876="",E1876="",C1876="",D1876=""),"",IF(C1876+D1876=0,"",(H1876*D1876+E1876*C1876)/(C1876+D1876)))</f>
        <v/>
      </c>
      <c r="J1876" s="59"/>
      <c r="K1876" s="61">
        <f>IF(OR(J1876="",I1876=""),"",J1876-I1876)</f>
        <v/>
      </c>
      <c r="L1876" s="61">
        <f>IF(OR(J1876="",G1876=""),"",J1876-G1876)</f>
        <v/>
      </c>
      <c r="M1876" s="59"/>
      <c r="N1876" s="59"/>
      <c r="O1876" s="59"/>
      <c r="P1876" s="59"/>
      <c r="Q1876" s="59"/>
      <c r="R1876" s="60">
        <f>IF(AND(P1876="",Q1876=""),"",N(P1876)+N(Q1876))</f>
        <v/>
      </c>
      <c r="S1876" s="59"/>
      <c r="T1876" s="59"/>
      <c r="U1876" s="62">
        <f>IF(OR(R1876="",S1876="",T1876=""),"",IF(S1876+T1876=0,"",R1876/(S1876+T1876)))</f>
        <v/>
      </c>
      <c r="V1876" s="63"/>
      <c r="W1876" s="64"/>
      <c r="X1876" s="63"/>
    </row>
    <row r="1877" spans="2:24">
      <c r="B1877" s="58"/>
      <c r="C1877" s="59"/>
      <c r="D1877" s="59"/>
      <c r="E1877" s="59"/>
      <c r="F1877" s="59"/>
      <c r="G1877" s="60">
        <f>IF(OR(E1877="",F1877="",C1877="",D1877=""),"",IF(C1877+D1877=0,"",(E1877*C1877+F1877*D1877)/(C1877+D1877)))</f>
        <v/>
      </c>
      <c r="H1877" s="59"/>
      <c r="I1877" s="60">
        <f>IF(OR(H1877="",E1877="",C1877="",D1877=""),"",IF(C1877+D1877=0,"",(H1877*D1877+E1877*C1877)/(C1877+D1877)))</f>
        <v/>
      </c>
      <c r="J1877" s="59"/>
      <c r="K1877" s="61">
        <f>IF(OR(J1877="",I1877=""),"",J1877-I1877)</f>
        <v/>
      </c>
      <c r="L1877" s="61">
        <f>IF(OR(J1877="",G1877=""),"",J1877-G1877)</f>
        <v/>
      </c>
      <c r="M1877" s="59"/>
      <c r="N1877" s="59"/>
      <c r="O1877" s="59"/>
      <c r="P1877" s="59"/>
      <c r="Q1877" s="59"/>
      <c r="R1877" s="60">
        <f>IF(AND(P1877="",Q1877=""),"",N(P1877)+N(Q1877))</f>
        <v/>
      </c>
      <c r="S1877" s="59"/>
      <c r="T1877" s="59"/>
      <c r="U1877" s="62">
        <f>IF(OR(R1877="",S1877="",T1877=""),"",IF(S1877+T1877=0,"",R1877/(S1877+T1877)))</f>
        <v/>
      </c>
      <c r="V1877" s="63"/>
      <c r="W1877" s="64"/>
      <c r="X1877" s="63"/>
    </row>
    <row r="1878" spans="2:24">
      <c r="B1878" s="58"/>
      <c r="C1878" s="59"/>
      <c r="D1878" s="59"/>
      <c r="E1878" s="59"/>
      <c r="F1878" s="59"/>
      <c r="G1878" s="60">
        <f>IF(OR(E1878="",F1878="",C1878="",D1878=""),"",IF(C1878+D1878=0,"",(E1878*C1878+F1878*D1878)/(C1878+D1878)))</f>
        <v/>
      </c>
      <c r="H1878" s="59"/>
      <c r="I1878" s="60">
        <f>IF(OR(H1878="",E1878="",C1878="",D1878=""),"",IF(C1878+D1878=0,"",(H1878*D1878+E1878*C1878)/(C1878+D1878)))</f>
        <v/>
      </c>
      <c r="J1878" s="59"/>
      <c r="K1878" s="61">
        <f>IF(OR(J1878="",I1878=""),"",J1878-I1878)</f>
        <v/>
      </c>
      <c r="L1878" s="61">
        <f>IF(OR(J1878="",G1878=""),"",J1878-G1878)</f>
        <v/>
      </c>
      <c r="M1878" s="59"/>
      <c r="N1878" s="59"/>
      <c r="O1878" s="59"/>
      <c r="P1878" s="59"/>
      <c r="Q1878" s="59"/>
      <c r="R1878" s="60">
        <f>IF(AND(P1878="",Q1878=""),"",N(P1878)+N(Q1878))</f>
        <v/>
      </c>
      <c r="S1878" s="59"/>
      <c r="T1878" s="59"/>
      <c r="U1878" s="62">
        <f>IF(OR(R1878="",S1878="",T1878=""),"",IF(S1878+T1878=0,"",R1878/(S1878+T1878)))</f>
        <v/>
      </c>
      <c r="V1878" s="63"/>
      <c r="W1878" s="64"/>
      <c r="X1878" s="63"/>
    </row>
    <row r="1879" spans="2:24">
      <c r="B1879" s="58"/>
      <c r="C1879" s="59"/>
      <c r="D1879" s="59"/>
      <c r="E1879" s="59"/>
      <c r="F1879" s="59"/>
      <c r="G1879" s="60">
        <f>IF(OR(E1879="",F1879="",C1879="",D1879=""),"",IF(C1879+D1879=0,"",(E1879*C1879+F1879*D1879)/(C1879+D1879)))</f>
        <v/>
      </c>
      <c r="H1879" s="59"/>
      <c r="I1879" s="60">
        <f>IF(OR(H1879="",E1879="",C1879="",D1879=""),"",IF(C1879+D1879=0,"",(H1879*D1879+E1879*C1879)/(C1879+D1879)))</f>
        <v/>
      </c>
      <c r="J1879" s="59"/>
      <c r="K1879" s="61">
        <f>IF(OR(J1879="",I1879=""),"",J1879-I1879)</f>
        <v/>
      </c>
      <c r="L1879" s="61">
        <f>IF(OR(J1879="",G1879=""),"",J1879-G1879)</f>
        <v/>
      </c>
      <c r="M1879" s="59"/>
      <c r="N1879" s="59"/>
      <c r="O1879" s="59"/>
      <c r="P1879" s="59"/>
      <c r="Q1879" s="59"/>
      <c r="R1879" s="60">
        <f>IF(AND(P1879="",Q1879=""),"",N(P1879)+N(Q1879))</f>
        <v/>
      </c>
      <c r="S1879" s="59"/>
      <c r="T1879" s="59"/>
      <c r="U1879" s="62">
        <f>IF(OR(R1879="",S1879="",T1879=""),"",IF(S1879+T1879=0,"",R1879/(S1879+T1879)))</f>
        <v/>
      </c>
      <c r="V1879" s="63"/>
      <c r="W1879" s="64"/>
      <c r="X1879" s="63"/>
    </row>
    <row r="1880" spans="2:24">
      <c r="B1880" s="58"/>
      <c r="C1880" s="59"/>
      <c r="D1880" s="59"/>
      <c r="E1880" s="59"/>
      <c r="F1880" s="59"/>
      <c r="G1880" s="60">
        <f>IF(OR(E1880="",F1880="",C1880="",D1880=""),"",IF(C1880+D1880=0,"",(E1880*C1880+F1880*D1880)/(C1880+D1880)))</f>
        <v/>
      </c>
      <c r="H1880" s="59"/>
      <c r="I1880" s="60">
        <f>IF(OR(H1880="",E1880="",C1880="",D1880=""),"",IF(C1880+D1880=0,"",(H1880*D1880+E1880*C1880)/(C1880+D1880)))</f>
        <v/>
      </c>
      <c r="J1880" s="59"/>
      <c r="K1880" s="61">
        <f>IF(OR(J1880="",I1880=""),"",J1880-I1880)</f>
        <v/>
      </c>
      <c r="L1880" s="61">
        <f>IF(OR(J1880="",G1880=""),"",J1880-G1880)</f>
        <v/>
      </c>
      <c r="M1880" s="59"/>
      <c r="N1880" s="59"/>
      <c r="O1880" s="59"/>
      <c r="P1880" s="59"/>
      <c r="Q1880" s="59"/>
      <c r="R1880" s="60">
        <f>IF(AND(P1880="",Q1880=""),"",N(P1880)+N(Q1880))</f>
        <v/>
      </c>
      <c r="S1880" s="59"/>
      <c r="T1880" s="59"/>
      <c r="U1880" s="62">
        <f>IF(OR(R1880="",S1880="",T1880=""),"",IF(S1880+T1880=0,"",R1880/(S1880+T1880)))</f>
        <v/>
      </c>
      <c r="V1880" s="63"/>
      <c r="W1880" s="64"/>
      <c r="X1880" s="63"/>
    </row>
    <row r="1881" spans="2:24">
      <c r="B1881" s="58"/>
      <c r="C1881" s="59"/>
      <c r="D1881" s="59"/>
      <c r="E1881" s="59"/>
      <c r="F1881" s="59"/>
      <c r="G1881" s="60">
        <f>IF(OR(E1881="",F1881="",C1881="",D1881=""),"",IF(C1881+D1881=0,"",(E1881*C1881+F1881*D1881)/(C1881+D1881)))</f>
        <v/>
      </c>
      <c r="H1881" s="59"/>
      <c r="I1881" s="60">
        <f>IF(OR(H1881="",E1881="",C1881="",D1881=""),"",IF(C1881+D1881=0,"",(H1881*D1881+E1881*C1881)/(C1881+D1881)))</f>
        <v/>
      </c>
      <c r="J1881" s="59"/>
      <c r="K1881" s="61">
        <f>IF(OR(J1881="",I1881=""),"",J1881-I1881)</f>
        <v/>
      </c>
      <c r="L1881" s="61">
        <f>IF(OR(J1881="",G1881=""),"",J1881-G1881)</f>
        <v/>
      </c>
      <c r="M1881" s="59"/>
      <c r="N1881" s="59"/>
      <c r="O1881" s="59"/>
      <c r="P1881" s="59"/>
      <c r="Q1881" s="59"/>
      <c r="R1881" s="60">
        <f>IF(AND(P1881="",Q1881=""),"",N(P1881)+N(Q1881))</f>
        <v/>
      </c>
      <c r="S1881" s="59"/>
      <c r="T1881" s="59"/>
      <c r="U1881" s="62">
        <f>IF(OR(R1881="",S1881="",T1881=""),"",IF(S1881+T1881=0,"",R1881/(S1881+T1881)))</f>
        <v/>
      </c>
      <c r="V1881" s="63"/>
      <c r="W1881" s="64"/>
      <c r="X1881" s="63"/>
    </row>
    <row r="1882" spans="2:24">
      <c r="B1882" s="58"/>
      <c r="C1882" s="59"/>
      <c r="D1882" s="59"/>
      <c r="E1882" s="59"/>
      <c r="F1882" s="59"/>
      <c r="G1882" s="60">
        <f>IF(OR(E1882="",F1882="",C1882="",D1882=""),"",IF(C1882+D1882=0,"",(E1882*C1882+F1882*D1882)/(C1882+D1882)))</f>
        <v/>
      </c>
      <c r="H1882" s="59"/>
      <c r="I1882" s="60">
        <f>IF(OR(H1882="",E1882="",C1882="",D1882=""),"",IF(C1882+D1882=0,"",(H1882*D1882+E1882*C1882)/(C1882+D1882)))</f>
        <v/>
      </c>
      <c r="J1882" s="59"/>
      <c r="K1882" s="61">
        <f>IF(OR(J1882="",I1882=""),"",J1882-I1882)</f>
        <v/>
      </c>
      <c r="L1882" s="61">
        <f>IF(OR(J1882="",G1882=""),"",J1882-G1882)</f>
        <v/>
      </c>
      <c r="M1882" s="59"/>
      <c r="N1882" s="59"/>
      <c r="O1882" s="59"/>
      <c r="P1882" s="59"/>
      <c r="Q1882" s="59"/>
      <c r="R1882" s="60">
        <f>IF(AND(P1882="",Q1882=""),"",N(P1882)+N(Q1882))</f>
        <v/>
      </c>
      <c r="S1882" s="59"/>
      <c r="T1882" s="59"/>
      <c r="U1882" s="62">
        <f>IF(OR(R1882="",S1882="",T1882=""),"",IF(S1882+T1882=0,"",R1882/(S1882+T1882)))</f>
        <v/>
      </c>
      <c r="V1882" s="63"/>
      <c r="W1882" s="64"/>
      <c r="X1882" s="63"/>
    </row>
    <row r="1883" spans="2:24">
      <c r="B1883" s="58"/>
      <c r="C1883" s="59"/>
      <c r="D1883" s="59"/>
      <c r="E1883" s="59"/>
      <c r="F1883" s="59"/>
      <c r="G1883" s="60">
        <f>IF(OR(E1883="",F1883="",C1883="",D1883=""),"",IF(C1883+D1883=0,"",(E1883*C1883+F1883*D1883)/(C1883+D1883)))</f>
        <v/>
      </c>
      <c r="H1883" s="59"/>
      <c r="I1883" s="60">
        <f>IF(OR(H1883="",E1883="",C1883="",D1883=""),"",IF(C1883+D1883=0,"",(H1883*D1883+E1883*C1883)/(C1883+D1883)))</f>
        <v/>
      </c>
      <c r="J1883" s="59"/>
      <c r="K1883" s="61">
        <f>IF(OR(J1883="",I1883=""),"",J1883-I1883)</f>
        <v/>
      </c>
      <c r="L1883" s="61">
        <f>IF(OR(J1883="",G1883=""),"",J1883-G1883)</f>
        <v/>
      </c>
      <c r="M1883" s="59"/>
      <c r="N1883" s="59"/>
      <c r="O1883" s="59"/>
      <c r="P1883" s="59"/>
      <c r="Q1883" s="59"/>
      <c r="R1883" s="60">
        <f>IF(AND(P1883="",Q1883=""),"",N(P1883)+N(Q1883))</f>
        <v/>
      </c>
      <c r="S1883" s="59"/>
      <c r="T1883" s="59"/>
      <c r="U1883" s="62">
        <f>IF(OR(R1883="",S1883="",T1883=""),"",IF(S1883+T1883=0,"",R1883/(S1883+T1883)))</f>
        <v/>
      </c>
      <c r="V1883" s="63"/>
      <c r="W1883" s="64"/>
      <c r="X1883" s="63"/>
    </row>
    <row r="1884" spans="2:24">
      <c r="B1884" s="58"/>
      <c r="C1884" s="59"/>
      <c r="D1884" s="59"/>
      <c r="E1884" s="59"/>
      <c r="F1884" s="59"/>
      <c r="G1884" s="60">
        <f>IF(OR(E1884="",F1884="",C1884="",D1884=""),"",IF(C1884+D1884=0,"",(E1884*C1884+F1884*D1884)/(C1884+D1884)))</f>
        <v/>
      </c>
      <c r="H1884" s="59"/>
      <c r="I1884" s="60">
        <f>IF(OR(H1884="",E1884="",C1884="",D1884=""),"",IF(C1884+D1884=0,"",(H1884*D1884+E1884*C1884)/(C1884+D1884)))</f>
        <v/>
      </c>
      <c r="J1884" s="59"/>
      <c r="K1884" s="61">
        <f>IF(OR(J1884="",I1884=""),"",J1884-I1884)</f>
        <v/>
      </c>
      <c r="L1884" s="61">
        <f>IF(OR(J1884="",G1884=""),"",J1884-G1884)</f>
        <v/>
      </c>
      <c r="M1884" s="59"/>
      <c r="N1884" s="59"/>
      <c r="O1884" s="59"/>
      <c r="P1884" s="59"/>
      <c r="Q1884" s="59"/>
      <c r="R1884" s="60">
        <f>IF(AND(P1884="",Q1884=""),"",N(P1884)+N(Q1884))</f>
        <v/>
      </c>
      <c r="S1884" s="59"/>
      <c r="T1884" s="59"/>
      <c r="U1884" s="62">
        <f>IF(OR(R1884="",S1884="",T1884=""),"",IF(S1884+T1884=0,"",R1884/(S1884+T1884)))</f>
        <v/>
      </c>
      <c r="V1884" s="63"/>
      <c r="W1884" s="64"/>
      <c r="X1884" s="63"/>
    </row>
    <row r="1885" spans="2:24">
      <c r="B1885" s="58"/>
      <c r="C1885" s="59"/>
      <c r="D1885" s="59"/>
      <c r="E1885" s="59"/>
      <c r="F1885" s="59"/>
      <c r="G1885" s="60">
        <f>IF(OR(E1885="",F1885="",C1885="",D1885=""),"",IF(C1885+D1885=0,"",(E1885*C1885+F1885*D1885)/(C1885+D1885)))</f>
        <v/>
      </c>
      <c r="H1885" s="59"/>
      <c r="I1885" s="60">
        <f>IF(OR(H1885="",E1885="",C1885="",D1885=""),"",IF(C1885+D1885=0,"",(H1885*D1885+E1885*C1885)/(C1885+D1885)))</f>
        <v/>
      </c>
      <c r="J1885" s="59"/>
      <c r="K1885" s="61">
        <f>IF(OR(J1885="",I1885=""),"",J1885-I1885)</f>
        <v/>
      </c>
      <c r="L1885" s="61">
        <f>IF(OR(J1885="",G1885=""),"",J1885-G1885)</f>
        <v/>
      </c>
      <c r="M1885" s="59"/>
      <c r="N1885" s="59"/>
      <c r="O1885" s="59"/>
      <c r="P1885" s="59"/>
      <c r="Q1885" s="59"/>
      <c r="R1885" s="60">
        <f>IF(AND(P1885="",Q1885=""),"",N(P1885)+N(Q1885))</f>
        <v/>
      </c>
      <c r="S1885" s="59"/>
      <c r="T1885" s="59"/>
      <c r="U1885" s="62">
        <f>IF(OR(R1885="",S1885="",T1885=""),"",IF(S1885+T1885=0,"",R1885/(S1885+T1885)))</f>
        <v/>
      </c>
      <c r="V1885" s="63"/>
      <c r="W1885" s="64"/>
      <c r="X1885" s="63"/>
    </row>
    <row r="1886" spans="2:24">
      <c r="B1886" s="58"/>
      <c r="C1886" s="59"/>
      <c r="D1886" s="59"/>
      <c r="E1886" s="59"/>
      <c r="F1886" s="59"/>
      <c r="G1886" s="60">
        <f>IF(OR(E1886="",F1886="",C1886="",D1886=""),"",IF(C1886+D1886=0,"",(E1886*C1886+F1886*D1886)/(C1886+D1886)))</f>
        <v/>
      </c>
      <c r="H1886" s="59"/>
      <c r="I1886" s="60">
        <f>IF(OR(H1886="",E1886="",C1886="",D1886=""),"",IF(C1886+D1886=0,"",(H1886*D1886+E1886*C1886)/(C1886+D1886)))</f>
        <v/>
      </c>
      <c r="J1886" s="59"/>
      <c r="K1886" s="61">
        <f>IF(OR(J1886="",I1886=""),"",J1886-I1886)</f>
        <v/>
      </c>
      <c r="L1886" s="61">
        <f>IF(OR(J1886="",G1886=""),"",J1886-G1886)</f>
        <v/>
      </c>
      <c r="M1886" s="59"/>
      <c r="N1886" s="59"/>
      <c r="O1886" s="59"/>
      <c r="P1886" s="59"/>
      <c r="Q1886" s="59"/>
      <c r="R1886" s="60">
        <f>IF(AND(P1886="",Q1886=""),"",N(P1886)+N(Q1886))</f>
        <v/>
      </c>
      <c r="S1886" s="59"/>
      <c r="T1886" s="59"/>
      <c r="U1886" s="62">
        <f>IF(OR(R1886="",S1886="",T1886=""),"",IF(S1886+T1886=0,"",R1886/(S1886+T1886)))</f>
        <v/>
      </c>
      <c r="V1886" s="63"/>
      <c r="W1886" s="64"/>
      <c r="X1886" s="63"/>
    </row>
    <row r="1887" spans="2:24">
      <c r="B1887" s="58"/>
      <c r="C1887" s="59"/>
      <c r="D1887" s="59"/>
      <c r="E1887" s="59"/>
      <c r="F1887" s="59"/>
      <c r="G1887" s="60">
        <f>IF(OR(E1887="",F1887="",C1887="",D1887=""),"",IF(C1887+D1887=0,"",(E1887*C1887+F1887*D1887)/(C1887+D1887)))</f>
        <v/>
      </c>
      <c r="H1887" s="59"/>
      <c r="I1887" s="60">
        <f>IF(OR(H1887="",E1887="",C1887="",D1887=""),"",IF(C1887+D1887=0,"",(H1887*D1887+E1887*C1887)/(C1887+D1887)))</f>
        <v/>
      </c>
      <c r="J1887" s="59"/>
      <c r="K1887" s="61">
        <f>IF(OR(J1887="",I1887=""),"",J1887-I1887)</f>
        <v/>
      </c>
      <c r="L1887" s="61">
        <f>IF(OR(J1887="",G1887=""),"",J1887-G1887)</f>
        <v/>
      </c>
      <c r="M1887" s="59"/>
      <c r="N1887" s="59"/>
      <c r="O1887" s="59"/>
      <c r="P1887" s="59"/>
      <c r="Q1887" s="59"/>
      <c r="R1887" s="60">
        <f>IF(AND(P1887="",Q1887=""),"",N(P1887)+N(Q1887))</f>
        <v/>
      </c>
      <c r="S1887" s="59"/>
      <c r="T1887" s="59"/>
      <c r="U1887" s="62">
        <f>IF(OR(R1887="",S1887="",T1887=""),"",IF(S1887+T1887=0,"",R1887/(S1887+T1887)))</f>
        <v/>
      </c>
      <c r="V1887" s="63"/>
      <c r="W1887" s="64"/>
      <c r="X1887" s="63"/>
    </row>
    <row r="1888" spans="2:24">
      <c r="B1888" s="58"/>
      <c r="C1888" s="59"/>
      <c r="D1888" s="59"/>
      <c r="E1888" s="59"/>
      <c r="F1888" s="59"/>
      <c r="G1888" s="60">
        <f>IF(OR(E1888="",F1888="",C1888="",D1888=""),"",IF(C1888+D1888=0,"",(E1888*C1888+F1888*D1888)/(C1888+D1888)))</f>
        <v/>
      </c>
      <c r="H1888" s="59"/>
      <c r="I1888" s="60">
        <f>IF(OR(H1888="",E1888="",C1888="",D1888=""),"",IF(C1888+D1888=0,"",(H1888*D1888+E1888*C1888)/(C1888+D1888)))</f>
        <v/>
      </c>
      <c r="J1888" s="59"/>
      <c r="K1888" s="61">
        <f>IF(OR(J1888="",I1888=""),"",J1888-I1888)</f>
        <v/>
      </c>
      <c r="L1888" s="61">
        <f>IF(OR(J1888="",G1888=""),"",J1888-G1888)</f>
        <v/>
      </c>
      <c r="M1888" s="59"/>
      <c r="N1888" s="59"/>
      <c r="O1888" s="59"/>
      <c r="P1888" s="59"/>
      <c r="Q1888" s="59"/>
      <c r="R1888" s="60">
        <f>IF(AND(P1888="",Q1888=""),"",N(P1888)+N(Q1888))</f>
        <v/>
      </c>
      <c r="S1888" s="59"/>
      <c r="T1888" s="59"/>
      <c r="U1888" s="62">
        <f>IF(OR(R1888="",S1888="",T1888=""),"",IF(S1888+T1888=0,"",R1888/(S1888+T1888)))</f>
        <v/>
      </c>
      <c r="V1888" s="63"/>
      <c r="W1888" s="64"/>
      <c r="X1888" s="63"/>
    </row>
    <row r="1889" spans="2:24">
      <c r="B1889" s="58"/>
      <c r="C1889" s="59"/>
      <c r="D1889" s="59"/>
      <c r="E1889" s="59"/>
      <c r="F1889" s="59"/>
      <c r="G1889" s="60">
        <f>IF(OR(E1889="",F1889="",C1889="",D1889=""),"",IF(C1889+D1889=0,"",(E1889*C1889+F1889*D1889)/(C1889+D1889)))</f>
        <v/>
      </c>
      <c r="H1889" s="59"/>
      <c r="I1889" s="60">
        <f>IF(OR(H1889="",E1889="",C1889="",D1889=""),"",IF(C1889+D1889=0,"",(H1889*D1889+E1889*C1889)/(C1889+D1889)))</f>
        <v/>
      </c>
      <c r="J1889" s="59"/>
      <c r="K1889" s="61">
        <f>IF(OR(J1889="",I1889=""),"",J1889-I1889)</f>
        <v/>
      </c>
      <c r="L1889" s="61">
        <f>IF(OR(J1889="",G1889=""),"",J1889-G1889)</f>
        <v/>
      </c>
      <c r="M1889" s="59"/>
      <c r="N1889" s="59"/>
      <c r="O1889" s="59"/>
      <c r="P1889" s="59"/>
      <c r="Q1889" s="59"/>
      <c r="R1889" s="60">
        <f>IF(AND(P1889="",Q1889=""),"",N(P1889)+N(Q1889))</f>
        <v/>
      </c>
      <c r="S1889" s="59"/>
      <c r="T1889" s="59"/>
      <c r="U1889" s="62">
        <f>IF(OR(R1889="",S1889="",T1889=""),"",IF(S1889+T1889=0,"",R1889/(S1889+T1889)))</f>
        <v/>
      </c>
      <c r="V1889" s="63"/>
      <c r="W1889" s="64"/>
      <c r="X1889" s="63"/>
    </row>
    <row r="1890" spans="2:24">
      <c r="B1890" s="58"/>
      <c r="C1890" s="59"/>
      <c r="D1890" s="59"/>
      <c r="E1890" s="59"/>
      <c r="F1890" s="59"/>
      <c r="G1890" s="60">
        <f>IF(OR(E1890="",F1890="",C1890="",D1890=""),"",IF(C1890+D1890=0,"",(E1890*C1890+F1890*D1890)/(C1890+D1890)))</f>
        <v/>
      </c>
      <c r="H1890" s="59"/>
      <c r="I1890" s="60">
        <f>IF(OR(H1890="",E1890="",C1890="",D1890=""),"",IF(C1890+D1890=0,"",(H1890*D1890+E1890*C1890)/(C1890+D1890)))</f>
        <v/>
      </c>
      <c r="J1890" s="59"/>
      <c r="K1890" s="61">
        <f>IF(OR(J1890="",I1890=""),"",J1890-I1890)</f>
        <v/>
      </c>
      <c r="L1890" s="61">
        <f>IF(OR(J1890="",G1890=""),"",J1890-G1890)</f>
        <v/>
      </c>
      <c r="M1890" s="59"/>
      <c r="N1890" s="59"/>
      <c r="O1890" s="59"/>
      <c r="P1890" s="59"/>
      <c r="Q1890" s="59"/>
      <c r="R1890" s="60">
        <f>IF(AND(P1890="",Q1890=""),"",N(P1890)+N(Q1890))</f>
        <v/>
      </c>
      <c r="S1890" s="59"/>
      <c r="T1890" s="59"/>
      <c r="U1890" s="62">
        <f>IF(OR(R1890="",S1890="",T1890=""),"",IF(S1890+T1890=0,"",R1890/(S1890+T1890)))</f>
        <v/>
      </c>
      <c r="V1890" s="63"/>
      <c r="W1890" s="64"/>
      <c r="X1890" s="63"/>
    </row>
    <row r="1891" spans="2:24">
      <c r="B1891" s="58"/>
      <c r="C1891" s="59"/>
      <c r="D1891" s="59"/>
      <c r="E1891" s="59"/>
      <c r="F1891" s="59"/>
      <c r="G1891" s="60">
        <f>IF(OR(E1891="",F1891="",C1891="",D1891=""),"",IF(C1891+D1891=0,"",(E1891*C1891+F1891*D1891)/(C1891+D1891)))</f>
        <v/>
      </c>
      <c r="H1891" s="59"/>
      <c r="I1891" s="60">
        <f>IF(OR(H1891="",E1891="",C1891="",D1891=""),"",IF(C1891+D1891=0,"",(H1891*D1891+E1891*C1891)/(C1891+D1891)))</f>
        <v/>
      </c>
      <c r="J1891" s="59"/>
      <c r="K1891" s="61">
        <f>IF(OR(J1891="",I1891=""),"",J1891-I1891)</f>
        <v/>
      </c>
      <c r="L1891" s="61">
        <f>IF(OR(J1891="",G1891=""),"",J1891-G1891)</f>
        <v/>
      </c>
      <c r="M1891" s="59"/>
      <c r="N1891" s="59"/>
      <c r="O1891" s="59"/>
      <c r="P1891" s="59"/>
      <c r="Q1891" s="59"/>
      <c r="R1891" s="60">
        <f>IF(AND(P1891="",Q1891=""),"",N(P1891)+N(Q1891))</f>
        <v/>
      </c>
      <c r="S1891" s="59"/>
      <c r="T1891" s="59"/>
      <c r="U1891" s="62">
        <f>IF(OR(R1891="",S1891="",T1891=""),"",IF(S1891+T1891=0,"",R1891/(S1891+T1891)))</f>
        <v/>
      </c>
      <c r="V1891" s="63"/>
      <c r="W1891" s="64"/>
      <c r="X1891" s="63"/>
    </row>
    <row r="1892" spans="2:24">
      <c r="B1892" s="58"/>
      <c r="C1892" s="59"/>
      <c r="D1892" s="59"/>
      <c r="E1892" s="59"/>
      <c r="F1892" s="59"/>
      <c r="G1892" s="60">
        <f>IF(OR(E1892="",F1892="",C1892="",D1892=""),"",IF(C1892+D1892=0,"",(E1892*C1892+F1892*D1892)/(C1892+D1892)))</f>
        <v/>
      </c>
      <c r="H1892" s="59"/>
      <c r="I1892" s="60">
        <f>IF(OR(H1892="",E1892="",C1892="",D1892=""),"",IF(C1892+D1892=0,"",(H1892*D1892+E1892*C1892)/(C1892+D1892)))</f>
        <v/>
      </c>
      <c r="J1892" s="59"/>
      <c r="K1892" s="61">
        <f>IF(OR(J1892="",I1892=""),"",J1892-I1892)</f>
        <v/>
      </c>
      <c r="L1892" s="61">
        <f>IF(OR(J1892="",G1892=""),"",J1892-G1892)</f>
        <v/>
      </c>
      <c r="M1892" s="59"/>
      <c r="N1892" s="59"/>
      <c r="O1892" s="59"/>
      <c r="P1892" s="59"/>
      <c r="Q1892" s="59"/>
      <c r="R1892" s="60">
        <f>IF(AND(P1892="",Q1892=""),"",N(P1892)+N(Q1892))</f>
        <v/>
      </c>
      <c r="S1892" s="59"/>
      <c r="T1892" s="59"/>
      <c r="U1892" s="62">
        <f>IF(OR(R1892="",S1892="",T1892=""),"",IF(S1892+T1892=0,"",R1892/(S1892+T1892)))</f>
        <v/>
      </c>
      <c r="V1892" s="63"/>
      <c r="W1892" s="64"/>
      <c r="X1892" s="63"/>
    </row>
    <row r="1893" spans="2:24">
      <c r="B1893" s="58"/>
      <c r="C1893" s="59"/>
      <c r="D1893" s="59"/>
      <c r="E1893" s="59"/>
      <c r="F1893" s="59"/>
      <c r="G1893" s="60">
        <f>IF(OR(E1893="",F1893="",C1893="",D1893=""),"",IF(C1893+D1893=0,"",(E1893*C1893+F1893*D1893)/(C1893+D1893)))</f>
        <v/>
      </c>
      <c r="H1893" s="59"/>
      <c r="I1893" s="60">
        <f>IF(OR(H1893="",E1893="",C1893="",D1893=""),"",IF(C1893+D1893=0,"",(H1893*D1893+E1893*C1893)/(C1893+D1893)))</f>
        <v/>
      </c>
      <c r="J1893" s="59"/>
      <c r="K1893" s="61">
        <f>IF(OR(J1893="",I1893=""),"",J1893-I1893)</f>
        <v/>
      </c>
      <c r="L1893" s="61">
        <f>IF(OR(J1893="",G1893=""),"",J1893-G1893)</f>
        <v/>
      </c>
      <c r="M1893" s="59"/>
      <c r="N1893" s="59"/>
      <c r="O1893" s="59"/>
      <c r="P1893" s="59"/>
      <c r="Q1893" s="59"/>
      <c r="R1893" s="60">
        <f>IF(AND(P1893="",Q1893=""),"",N(P1893)+N(Q1893))</f>
        <v/>
      </c>
      <c r="S1893" s="59"/>
      <c r="T1893" s="59"/>
      <c r="U1893" s="62">
        <f>IF(OR(R1893="",S1893="",T1893=""),"",IF(S1893+T1893=0,"",R1893/(S1893+T1893)))</f>
        <v/>
      </c>
      <c r="V1893" s="63"/>
      <c r="W1893" s="64"/>
      <c r="X1893" s="63"/>
    </row>
    <row r="1894" spans="2:24">
      <c r="B1894" s="58"/>
      <c r="C1894" s="59"/>
      <c r="D1894" s="59"/>
      <c r="E1894" s="59"/>
      <c r="F1894" s="59"/>
      <c r="G1894" s="60">
        <f>IF(OR(E1894="",F1894="",C1894="",D1894=""),"",IF(C1894+D1894=0,"",(E1894*C1894+F1894*D1894)/(C1894+D1894)))</f>
        <v/>
      </c>
      <c r="H1894" s="59"/>
      <c r="I1894" s="60">
        <f>IF(OR(H1894="",E1894="",C1894="",D1894=""),"",IF(C1894+D1894=0,"",(H1894*D1894+E1894*C1894)/(C1894+D1894)))</f>
        <v/>
      </c>
      <c r="J1894" s="59"/>
      <c r="K1894" s="61">
        <f>IF(OR(J1894="",I1894=""),"",J1894-I1894)</f>
        <v/>
      </c>
      <c r="L1894" s="61">
        <f>IF(OR(J1894="",G1894=""),"",J1894-G1894)</f>
        <v/>
      </c>
      <c r="M1894" s="59"/>
      <c r="N1894" s="59"/>
      <c r="O1894" s="59"/>
      <c r="P1894" s="59"/>
      <c r="Q1894" s="59"/>
      <c r="R1894" s="60">
        <f>IF(AND(P1894="",Q1894=""),"",N(P1894)+N(Q1894))</f>
        <v/>
      </c>
      <c r="S1894" s="59"/>
      <c r="T1894" s="59"/>
      <c r="U1894" s="62">
        <f>IF(OR(R1894="",S1894="",T1894=""),"",IF(S1894+T1894=0,"",R1894/(S1894+T1894)))</f>
        <v/>
      </c>
      <c r="V1894" s="63"/>
      <c r="W1894" s="64"/>
      <c r="X1894" s="63"/>
    </row>
    <row r="1895" spans="2:24">
      <c r="B1895" s="58"/>
      <c r="C1895" s="59"/>
      <c r="D1895" s="59"/>
      <c r="E1895" s="59"/>
      <c r="F1895" s="59"/>
      <c r="G1895" s="60">
        <f>IF(OR(E1895="",F1895="",C1895="",D1895=""),"",IF(C1895+D1895=0,"",(E1895*C1895+F1895*D1895)/(C1895+D1895)))</f>
        <v/>
      </c>
      <c r="H1895" s="59"/>
      <c r="I1895" s="60">
        <f>IF(OR(H1895="",E1895="",C1895="",D1895=""),"",IF(C1895+D1895=0,"",(H1895*D1895+E1895*C1895)/(C1895+D1895)))</f>
        <v/>
      </c>
      <c r="J1895" s="59"/>
      <c r="K1895" s="61">
        <f>IF(OR(J1895="",I1895=""),"",J1895-I1895)</f>
        <v/>
      </c>
      <c r="L1895" s="61">
        <f>IF(OR(J1895="",G1895=""),"",J1895-G1895)</f>
        <v/>
      </c>
      <c r="M1895" s="59"/>
      <c r="N1895" s="59"/>
      <c r="O1895" s="59"/>
      <c r="P1895" s="59"/>
      <c r="Q1895" s="59"/>
      <c r="R1895" s="60">
        <f>IF(AND(P1895="",Q1895=""),"",N(P1895)+N(Q1895))</f>
        <v/>
      </c>
      <c r="S1895" s="59"/>
      <c r="T1895" s="59"/>
      <c r="U1895" s="62">
        <f>IF(OR(R1895="",S1895="",T1895=""),"",IF(S1895+T1895=0,"",R1895/(S1895+T1895)))</f>
        <v/>
      </c>
      <c r="V1895" s="63"/>
      <c r="W1895" s="64"/>
      <c r="X1895" s="63"/>
    </row>
    <row r="1896" spans="2:24">
      <c r="B1896" s="58"/>
      <c r="C1896" s="59"/>
      <c r="D1896" s="59"/>
      <c r="E1896" s="59"/>
      <c r="F1896" s="59"/>
      <c r="G1896" s="60">
        <f>IF(OR(E1896="",F1896="",C1896="",D1896=""),"",IF(C1896+D1896=0,"",(E1896*C1896+F1896*D1896)/(C1896+D1896)))</f>
        <v/>
      </c>
      <c r="H1896" s="59"/>
      <c r="I1896" s="60">
        <f>IF(OR(H1896="",E1896="",C1896="",D1896=""),"",IF(C1896+D1896=0,"",(H1896*D1896+E1896*C1896)/(C1896+D1896)))</f>
        <v/>
      </c>
      <c r="J1896" s="59"/>
      <c r="K1896" s="61">
        <f>IF(OR(J1896="",I1896=""),"",J1896-I1896)</f>
        <v/>
      </c>
      <c r="L1896" s="61">
        <f>IF(OR(J1896="",G1896=""),"",J1896-G1896)</f>
        <v/>
      </c>
      <c r="M1896" s="59"/>
      <c r="N1896" s="59"/>
      <c r="O1896" s="59"/>
      <c r="P1896" s="59"/>
      <c r="Q1896" s="59"/>
      <c r="R1896" s="60">
        <f>IF(AND(P1896="",Q1896=""),"",N(P1896)+N(Q1896))</f>
        <v/>
      </c>
      <c r="S1896" s="59"/>
      <c r="T1896" s="59"/>
      <c r="U1896" s="62">
        <f>IF(OR(R1896="",S1896="",T1896=""),"",IF(S1896+T1896=0,"",R1896/(S1896+T1896)))</f>
        <v/>
      </c>
      <c r="V1896" s="63"/>
      <c r="W1896" s="64"/>
      <c r="X1896" s="63"/>
    </row>
    <row r="1897" spans="2:24">
      <c r="B1897" s="58"/>
      <c r="C1897" s="59"/>
      <c r="D1897" s="59"/>
      <c r="E1897" s="59"/>
      <c r="F1897" s="59"/>
      <c r="G1897" s="60">
        <f>IF(OR(E1897="",F1897="",C1897="",D1897=""),"",IF(C1897+D1897=0,"",(E1897*C1897+F1897*D1897)/(C1897+D1897)))</f>
        <v/>
      </c>
      <c r="H1897" s="59"/>
      <c r="I1897" s="60">
        <f>IF(OR(H1897="",E1897="",C1897="",D1897=""),"",IF(C1897+D1897=0,"",(H1897*D1897+E1897*C1897)/(C1897+D1897)))</f>
        <v/>
      </c>
      <c r="J1897" s="59"/>
      <c r="K1897" s="61">
        <f>IF(OR(J1897="",I1897=""),"",J1897-I1897)</f>
        <v/>
      </c>
      <c r="L1897" s="61">
        <f>IF(OR(J1897="",G1897=""),"",J1897-G1897)</f>
        <v/>
      </c>
      <c r="M1897" s="59"/>
      <c r="N1897" s="59"/>
      <c r="O1897" s="59"/>
      <c r="P1897" s="59"/>
      <c r="Q1897" s="59"/>
      <c r="R1897" s="60">
        <f>IF(AND(P1897="",Q1897=""),"",N(P1897)+N(Q1897))</f>
        <v/>
      </c>
      <c r="S1897" s="59"/>
      <c r="T1897" s="59"/>
      <c r="U1897" s="62">
        <f>IF(OR(R1897="",S1897="",T1897=""),"",IF(S1897+T1897=0,"",R1897/(S1897+T1897)))</f>
        <v/>
      </c>
      <c r="V1897" s="63"/>
      <c r="W1897" s="64"/>
      <c r="X1897" s="63"/>
    </row>
    <row r="1898" spans="2:24">
      <c r="B1898" s="58"/>
      <c r="C1898" s="59"/>
      <c r="D1898" s="59"/>
      <c r="E1898" s="59"/>
      <c r="F1898" s="59"/>
      <c r="G1898" s="60">
        <f>IF(OR(E1898="",F1898="",C1898="",D1898=""),"",IF(C1898+D1898=0,"",(E1898*C1898+F1898*D1898)/(C1898+D1898)))</f>
        <v/>
      </c>
      <c r="H1898" s="59"/>
      <c r="I1898" s="60">
        <f>IF(OR(H1898="",E1898="",C1898="",D1898=""),"",IF(C1898+D1898=0,"",(H1898*D1898+E1898*C1898)/(C1898+D1898)))</f>
        <v/>
      </c>
      <c r="J1898" s="59"/>
      <c r="K1898" s="61">
        <f>IF(OR(J1898="",I1898=""),"",J1898-I1898)</f>
        <v/>
      </c>
      <c r="L1898" s="61">
        <f>IF(OR(J1898="",G1898=""),"",J1898-G1898)</f>
        <v/>
      </c>
      <c r="M1898" s="59"/>
      <c r="N1898" s="59"/>
      <c r="O1898" s="59"/>
      <c r="P1898" s="59"/>
      <c r="Q1898" s="59"/>
      <c r="R1898" s="60">
        <f>IF(AND(P1898="",Q1898=""),"",N(P1898)+N(Q1898))</f>
        <v/>
      </c>
      <c r="S1898" s="59"/>
      <c r="T1898" s="59"/>
      <c r="U1898" s="62">
        <f>IF(OR(R1898="",S1898="",T1898=""),"",IF(S1898+T1898=0,"",R1898/(S1898+T1898)))</f>
        <v/>
      </c>
      <c r="V1898" s="63"/>
      <c r="W1898" s="64"/>
      <c r="X1898" s="63"/>
    </row>
    <row r="1899" spans="2:24">
      <c r="B1899" s="58"/>
      <c r="C1899" s="59"/>
      <c r="D1899" s="59"/>
      <c r="E1899" s="59"/>
      <c r="F1899" s="59"/>
      <c r="G1899" s="60">
        <f>IF(OR(E1899="",F1899="",C1899="",D1899=""),"",IF(C1899+D1899=0,"",(E1899*C1899+F1899*D1899)/(C1899+D1899)))</f>
        <v/>
      </c>
      <c r="H1899" s="59"/>
      <c r="I1899" s="60">
        <f>IF(OR(H1899="",E1899="",C1899="",D1899=""),"",IF(C1899+D1899=0,"",(H1899*D1899+E1899*C1899)/(C1899+D1899)))</f>
        <v/>
      </c>
      <c r="J1899" s="59"/>
      <c r="K1899" s="61">
        <f>IF(OR(J1899="",I1899=""),"",J1899-I1899)</f>
        <v/>
      </c>
      <c r="L1899" s="61">
        <f>IF(OR(J1899="",G1899=""),"",J1899-G1899)</f>
        <v/>
      </c>
      <c r="M1899" s="59"/>
      <c r="N1899" s="59"/>
      <c r="O1899" s="59"/>
      <c r="P1899" s="59"/>
      <c r="Q1899" s="59"/>
      <c r="R1899" s="60">
        <f>IF(AND(P1899="",Q1899=""),"",N(P1899)+N(Q1899))</f>
        <v/>
      </c>
      <c r="S1899" s="59"/>
      <c r="T1899" s="59"/>
      <c r="U1899" s="62">
        <f>IF(OR(R1899="",S1899="",T1899=""),"",IF(S1899+T1899=0,"",R1899/(S1899+T1899)))</f>
        <v/>
      </c>
      <c r="V1899" s="63"/>
      <c r="W1899" s="64"/>
      <c r="X1899" s="63"/>
    </row>
    <row r="1900" spans="2:24">
      <c r="B1900" s="58"/>
      <c r="C1900" s="59"/>
      <c r="D1900" s="59"/>
      <c r="E1900" s="59"/>
      <c r="F1900" s="59"/>
      <c r="G1900" s="60">
        <f>IF(OR(E1900="",F1900="",C1900="",D1900=""),"",IF(C1900+D1900=0,"",(E1900*C1900+F1900*D1900)/(C1900+D1900)))</f>
        <v/>
      </c>
      <c r="H1900" s="59"/>
      <c r="I1900" s="60">
        <f>IF(OR(H1900="",E1900="",C1900="",D1900=""),"",IF(C1900+D1900=0,"",(H1900*D1900+E1900*C1900)/(C1900+D1900)))</f>
        <v/>
      </c>
      <c r="J1900" s="59"/>
      <c r="K1900" s="61">
        <f>IF(OR(J1900="",I1900=""),"",J1900-I1900)</f>
        <v/>
      </c>
      <c r="L1900" s="61">
        <f>IF(OR(J1900="",G1900=""),"",J1900-G1900)</f>
        <v/>
      </c>
      <c r="M1900" s="59"/>
      <c r="N1900" s="59"/>
      <c r="O1900" s="59"/>
      <c r="P1900" s="59"/>
      <c r="Q1900" s="59"/>
      <c r="R1900" s="60">
        <f>IF(AND(P1900="",Q1900=""),"",N(P1900)+N(Q1900))</f>
        <v/>
      </c>
      <c r="S1900" s="59"/>
      <c r="T1900" s="59"/>
      <c r="U1900" s="62">
        <f>IF(OR(R1900="",S1900="",T1900=""),"",IF(S1900+T1900=0,"",R1900/(S1900+T1900)))</f>
        <v/>
      </c>
      <c r="V1900" s="63"/>
      <c r="W1900" s="64"/>
      <c r="X1900" s="63"/>
    </row>
    <row r="1901" spans="2:24">
      <c r="B1901" s="58"/>
      <c r="C1901" s="59"/>
      <c r="D1901" s="59"/>
      <c r="E1901" s="59"/>
      <c r="F1901" s="59"/>
      <c r="G1901" s="60">
        <f>IF(OR(E1901="",F1901="",C1901="",D1901=""),"",IF(C1901+D1901=0,"",(E1901*C1901+F1901*D1901)/(C1901+D1901)))</f>
        <v/>
      </c>
      <c r="H1901" s="59"/>
      <c r="I1901" s="60">
        <f>IF(OR(H1901="",E1901="",C1901="",D1901=""),"",IF(C1901+D1901=0,"",(H1901*D1901+E1901*C1901)/(C1901+D1901)))</f>
        <v/>
      </c>
      <c r="J1901" s="59"/>
      <c r="K1901" s="61">
        <f>IF(OR(J1901="",I1901=""),"",J1901-I1901)</f>
        <v/>
      </c>
      <c r="L1901" s="61">
        <f>IF(OR(J1901="",G1901=""),"",J1901-G1901)</f>
        <v/>
      </c>
      <c r="M1901" s="59"/>
      <c r="N1901" s="59"/>
      <c r="O1901" s="59"/>
      <c r="P1901" s="59"/>
      <c r="Q1901" s="59"/>
      <c r="R1901" s="60">
        <f>IF(AND(P1901="",Q1901=""),"",N(P1901)+N(Q1901))</f>
        <v/>
      </c>
      <c r="S1901" s="59"/>
      <c r="T1901" s="59"/>
      <c r="U1901" s="62">
        <f>IF(OR(R1901="",S1901="",T1901=""),"",IF(S1901+T1901=0,"",R1901/(S1901+T1901)))</f>
        <v/>
      </c>
      <c r="V1901" s="63"/>
      <c r="W1901" s="64"/>
      <c r="X1901" s="63"/>
    </row>
    <row r="1902" spans="2:24">
      <c r="B1902" s="58"/>
      <c r="C1902" s="59"/>
      <c r="D1902" s="59"/>
      <c r="E1902" s="59"/>
      <c r="F1902" s="59"/>
      <c r="G1902" s="60">
        <f>IF(OR(E1902="",F1902="",C1902="",D1902=""),"",IF(C1902+D1902=0,"",(E1902*C1902+F1902*D1902)/(C1902+D1902)))</f>
        <v/>
      </c>
      <c r="H1902" s="59"/>
      <c r="I1902" s="60">
        <f>IF(OR(H1902="",E1902="",C1902="",D1902=""),"",IF(C1902+D1902=0,"",(H1902*D1902+E1902*C1902)/(C1902+D1902)))</f>
        <v/>
      </c>
      <c r="J1902" s="59"/>
      <c r="K1902" s="61">
        <f>IF(OR(J1902="",I1902=""),"",J1902-I1902)</f>
        <v/>
      </c>
      <c r="L1902" s="61">
        <f>IF(OR(J1902="",G1902=""),"",J1902-G1902)</f>
        <v/>
      </c>
      <c r="M1902" s="59"/>
      <c r="N1902" s="59"/>
      <c r="O1902" s="59"/>
      <c r="P1902" s="59"/>
      <c r="Q1902" s="59"/>
      <c r="R1902" s="60">
        <f>IF(AND(P1902="",Q1902=""),"",N(P1902)+N(Q1902))</f>
        <v/>
      </c>
      <c r="S1902" s="59"/>
      <c r="T1902" s="59"/>
      <c r="U1902" s="62">
        <f>IF(OR(R1902="",S1902="",T1902=""),"",IF(S1902+T1902=0,"",R1902/(S1902+T1902)))</f>
        <v/>
      </c>
      <c r="V1902" s="63"/>
      <c r="W1902" s="64"/>
      <c r="X1902" s="63"/>
    </row>
    <row r="1903" spans="2:24">
      <c r="B1903" s="58"/>
      <c r="C1903" s="59"/>
      <c r="D1903" s="59"/>
      <c r="E1903" s="59"/>
      <c r="F1903" s="59"/>
      <c r="G1903" s="60">
        <f>IF(OR(E1903="",F1903="",C1903="",D1903=""),"",IF(C1903+D1903=0,"",(E1903*C1903+F1903*D1903)/(C1903+D1903)))</f>
        <v/>
      </c>
      <c r="H1903" s="59"/>
      <c r="I1903" s="60">
        <f>IF(OR(H1903="",E1903="",C1903="",D1903=""),"",IF(C1903+D1903=0,"",(H1903*D1903+E1903*C1903)/(C1903+D1903)))</f>
        <v/>
      </c>
      <c r="J1903" s="59"/>
      <c r="K1903" s="61">
        <f>IF(OR(J1903="",I1903=""),"",J1903-I1903)</f>
        <v/>
      </c>
      <c r="L1903" s="61">
        <f>IF(OR(J1903="",G1903=""),"",J1903-G1903)</f>
        <v/>
      </c>
      <c r="M1903" s="59"/>
      <c r="N1903" s="59"/>
      <c r="O1903" s="59"/>
      <c r="P1903" s="59"/>
      <c r="Q1903" s="59"/>
      <c r="R1903" s="60">
        <f>IF(AND(P1903="",Q1903=""),"",N(P1903)+N(Q1903))</f>
        <v/>
      </c>
      <c r="S1903" s="59"/>
      <c r="T1903" s="59"/>
      <c r="U1903" s="62">
        <f>IF(OR(R1903="",S1903="",T1903=""),"",IF(S1903+T1903=0,"",R1903/(S1903+T1903)))</f>
        <v/>
      </c>
      <c r="V1903" s="63"/>
      <c r="W1903" s="64"/>
      <c r="X1903" s="63"/>
    </row>
    <row r="1904" spans="2:24">
      <c r="B1904" s="58"/>
      <c r="C1904" s="59"/>
      <c r="D1904" s="59"/>
      <c r="E1904" s="59"/>
      <c r="F1904" s="59"/>
      <c r="G1904" s="60">
        <f>IF(OR(E1904="",F1904="",C1904="",D1904=""),"",IF(C1904+D1904=0,"",(E1904*C1904+F1904*D1904)/(C1904+D1904)))</f>
        <v/>
      </c>
      <c r="H1904" s="59"/>
      <c r="I1904" s="60">
        <f>IF(OR(H1904="",E1904="",C1904="",D1904=""),"",IF(C1904+D1904=0,"",(H1904*D1904+E1904*C1904)/(C1904+D1904)))</f>
        <v/>
      </c>
      <c r="J1904" s="59"/>
      <c r="K1904" s="61">
        <f>IF(OR(J1904="",I1904=""),"",J1904-I1904)</f>
        <v/>
      </c>
      <c r="L1904" s="61">
        <f>IF(OR(J1904="",G1904=""),"",J1904-G1904)</f>
        <v/>
      </c>
      <c r="M1904" s="59"/>
      <c r="N1904" s="59"/>
      <c r="O1904" s="59"/>
      <c r="P1904" s="59"/>
      <c r="Q1904" s="59"/>
      <c r="R1904" s="60">
        <f>IF(AND(P1904="",Q1904=""),"",N(P1904)+N(Q1904))</f>
        <v/>
      </c>
      <c r="S1904" s="59"/>
      <c r="T1904" s="59"/>
      <c r="U1904" s="62">
        <f>IF(OR(R1904="",S1904="",T1904=""),"",IF(S1904+T1904=0,"",R1904/(S1904+T1904)))</f>
        <v/>
      </c>
      <c r="V1904" s="63"/>
      <c r="W1904" s="64"/>
      <c r="X1904" s="63"/>
    </row>
    <row r="1905" spans="2:24">
      <c r="B1905" s="58"/>
      <c r="C1905" s="59"/>
      <c r="D1905" s="59"/>
      <c r="E1905" s="59"/>
      <c r="F1905" s="59"/>
      <c r="G1905" s="60">
        <f>IF(OR(E1905="",F1905="",C1905="",D1905=""),"",IF(C1905+D1905=0,"",(E1905*C1905+F1905*D1905)/(C1905+D1905)))</f>
        <v/>
      </c>
      <c r="H1905" s="59"/>
      <c r="I1905" s="60">
        <f>IF(OR(H1905="",E1905="",C1905="",D1905=""),"",IF(C1905+D1905=0,"",(H1905*D1905+E1905*C1905)/(C1905+D1905)))</f>
        <v/>
      </c>
      <c r="J1905" s="59"/>
      <c r="K1905" s="61">
        <f>IF(OR(J1905="",I1905=""),"",J1905-I1905)</f>
        <v/>
      </c>
      <c r="L1905" s="61">
        <f>IF(OR(J1905="",G1905=""),"",J1905-G1905)</f>
        <v/>
      </c>
      <c r="M1905" s="59"/>
      <c r="N1905" s="59"/>
      <c r="O1905" s="59"/>
      <c r="P1905" s="59"/>
      <c r="Q1905" s="59"/>
      <c r="R1905" s="60">
        <f>IF(AND(P1905="",Q1905=""),"",N(P1905)+N(Q1905))</f>
        <v/>
      </c>
      <c r="S1905" s="59"/>
      <c r="T1905" s="59"/>
      <c r="U1905" s="62">
        <f>IF(OR(R1905="",S1905="",T1905=""),"",IF(S1905+T1905=0,"",R1905/(S1905+T1905)))</f>
        <v/>
      </c>
      <c r="V1905" s="63"/>
      <c r="W1905" s="64"/>
      <c r="X1905" s="63"/>
    </row>
    <row r="1906" spans="2:24">
      <c r="B1906" s="58"/>
      <c r="C1906" s="59"/>
      <c r="D1906" s="59"/>
      <c r="E1906" s="59"/>
      <c r="F1906" s="59"/>
      <c r="G1906" s="60">
        <f>IF(OR(E1906="",F1906="",C1906="",D1906=""),"",IF(C1906+D1906=0,"",(E1906*C1906+F1906*D1906)/(C1906+D1906)))</f>
        <v/>
      </c>
      <c r="H1906" s="59"/>
      <c r="I1906" s="60">
        <f>IF(OR(H1906="",E1906="",C1906="",D1906=""),"",IF(C1906+D1906=0,"",(H1906*D1906+E1906*C1906)/(C1906+D1906)))</f>
        <v/>
      </c>
      <c r="J1906" s="59"/>
      <c r="K1906" s="61">
        <f>IF(OR(J1906="",I1906=""),"",J1906-I1906)</f>
        <v/>
      </c>
      <c r="L1906" s="61">
        <f>IF(OR(J1906="",G1906=""),"",J1906-G1906)</f>
        <v/>
      </c>
      <c r="M1906" s="59"/>
      <c r="N1906" s="59"/>
      <c r="O1906" s="59"/>
      <c r="P1906" s="59"/>
      <c r="Q1906" s="59"/>
      <c r="R1906" s="60">
        <f>IF(AND(P1906="",Q1906=""),"",N(P1906)+N(Q1906))</f>
        <v/>
      </c>
      <c r="S1906" s="59"/>
      <c r="T1906" s="59"/>
      <c r="U1906" s="62">
        <f>IF(OR(R1906="",S1906="",T1906=""),"",IF(S1906+T1906=0,"",R1906/(S1906+T1906)))</f>
        <v/>
      </c>
      <c r="V1906" s="63"/>
      <c r="W1906" s="64"/>
      <c r="X1906" s="63"/>
    </row>
    <row r="1907" spans="2:24">
      <c r="B1907" s="58"/>
      <c r="C1907" s="59"/>
      <c r="D1907" s="59"/>
      <c r="E1907" s="59"/>
      <c r="F1907" s="59"/>
      <c r="G1907" s="60">
        <f>IF(OR(E1907="",F1907="",C1907="",D1907=""),"",IF(C1907+D1907=0,"",(E1907*C1907+F1907*D1907)/(C1907+D1907)))</f>
        <v/>
      </c>
      <c r="H1907" s="59"/>
      <c r="I1907" s="60">
        <f>IF(OR(H1907="",E1907="",C1907="",D1907=""),"",IF(C1907+D1907=0,"",(H1907*D1907+E1907*C1907)/(C1907+D1907)))</f>
        <v/>
      </c>
      <c r="J1907" s="59"/>
      <c r="K1907" s="61">
        <f>IF(OR(J1907="",I1907=""),"",J1907-I1907)</f>
        <v/>
      </c>
      <c r="L1907" s="61">
        <f>IF(OR(J1907="",G1907=""),"",J1907-G1907)</f>
        <v/>
      </c>
      <c r="M1907" s="59"/>
      <c r="N1907" s="59"/>
      <c r="O1907" s="59"/>
      <c r="P1907" s="59"/>
      <c r="Q1907" s="59"/>
      <c r="R1907" s="60">
        <f>IF(AND(P1907="",Q1907=""),"",N(P1907)+N(Q1907))</f>
        <v/>
      </c>
      <c r="S1907" s="59"/>
      <c r="T1907" s="59"/>
      <c r="U1907" s="62">
        <f>IF(OR(R1907="",S1907="",T1907=""),"",IF(S1907+T1907=0,"",R1907/(S1907+T1907)))</f>
        <v/>
      </c>
      <c r="V1907" s="63"/>
      <c r="W1907" s="64"/>
      <c r="X1907" s="63"/>
    </row>
    <row r="1908" spans="2:24">
      <c r="B1908" s="58"/>
      <c r="C1908" s="59"/>
      <c r="D1908" s="59"/>
      <c r="E1908" s="59"/>
      <c r="F1908" s="59"/>
      <c r="G1908" s="60">
        <f>IF(OR(E1908="",F1908="",C1908="",D1908=""),"",IF(C1908+D1908=0,"",(E1908*C1908+F1908*D1908)/(C1908+D1908)))</f>
        <v/>
      </c>
      <c r="H1908" s="59"/>
      <c r="I1908" s="60">
        <f>IF(OR(H1908="",E1908="",C1908="",D1908=""),"",IF(C1908+D1908=0,"",(H1908*D1908+E1908*C1908)/(C1908+D1908)))</f>
        <v/>
      </c>
      <c r="J1908" s="59"/>
      <c r="K1908" s="61">
        <f>IF(OR(J1908="",I1908=""),"",J1908-I1908)</f>
        <v/>
      </c>
      <c r="L1908" s="61">
        <f>IF(OR(J1908="",G1908=""),"",J1908-G1908)</f>
        <v/>
      </c>
      <c r="M1908" s="59"/>
      <c r="N1908" s="59"/>
      <c r="O1908" s="59"/>
      <c r="P1908" s="59"/>
      <c r="Q1908" s="59"/>
      <c r="R1908" s="60">
        <f>IF(AND(P1908="",Q1908=""),"",N(P1908)+N(Q1908))</f>
        <v/>
      </c>
      <c r="S1908" s="59"/>
      <c r="T1908" s="59"/>
      <c r="U1908" s="62">
        <f>IF(OR(R1908="",S1908="",T1908=""),"",IF(S1908+T1908=0,"",R1908/(S1908+T1908)))</f>
        <v/>
      </c>
      <c r="V1908" s="63"/>
      <c r="W1908" s="64"/>
      <c r="X1908" s="63"/>
    </row>
    <row r="1909" spans="2:24">
      <c r="B1909" s="58"/>
      <c r="C1909" s="59"/>
      <c r="D1909" s="59"/>
      <c r="E1909" s="59"/>
      <c r="F1909" s="59"/>
      <c r="G1909" s="60">
        <f>IF(OR(E1909="",F1909="",C1909="",D1909=""),"",IF(C1909+D1909=0,"",(E1909*C1909+F1909*D1909)/(C1909+D1909)))</f>
        <v/>
      </c>
      <c r="H1909" s="59"/>
      <c r="I1909" s="60">
        <f>IF(OR(H1909="",E1909="",C1909="",D1909=""),"",IF(C1909+D1909=0,"",(H1909*D1909+E1909*C1909)/(C1909+D1909)))</f>
        <v/>
      </c>
      <c r="J1909" s="59"/>
      <c r="K1909" s="61">
        <f>IF(OR(J1909="",I1909=""),"",J1909-I1909)</f>
        <v/>
      </c>
      <c r="L1909" s="61">
        <f>IF(OR(J1909="",G1909=""),"",J1909-G1909)</f>
        <v/>
      </c>
      <c r="M1909" s="59"/>
      <c r="N1909" s="59"/>
      <c r="O1909" s="59"/>
      <c r="P1909" s="59"/>
      <c r="Q1909" s="59"/>
      <c r="R1909" s="60">
        <f>IF(AND(P1909="",Q1909=""),"",N(P1909)+N(Q1909))</f>
        <v/>
      </c>
      <c r="S1909" s="59"/>
      <c r="T1909" s="59"/>
      <c r="U1909" s="62">
        <f>IF(OR(R1909="",S1909="",T1909=""),"",IF(S1909+T1909=0,"",R1909/(S1909+T1909)))</f>
        <v/>
      </c>
      <c r="V1909" s="63"/>
      <c r="W1909" s="64"/>
      <c r="X1909" s="63"/>
    </row>
    <row r="1910" spans="2:24">
      <c r="B1910" s="58"/>
      <c r="C1910" s="59"/>
      <c r="D1910" s="59"/>
      <c r="E1910" s="59"/>
      <c r="F1910" s="59"/>
      <c r="G1910" s="60">
        <f>IF(OR(E1910="",F1910="",C1910="",D1910=""),"",IF(C1910+D1910=0,"",(E1910*C1910+F1910*D1910)/(C1910+D1910)))</f>
        <v/>
      </c>
      <c r="H1910" s="59"/>
      <c r="I1910" s="60">
        <f>IF(OR(H1910="",E1910="",C1910="",D1910=""),"",IF(C1910+D1910=0,"",(H1910*D1910+E1910*C1910)/(C1910+D1910)))</f>
        <v/>
      </c>
      <c r="J1910" s="59"/>
      <c r="K1910" s="61">
        <f>IF(OR(J1910="",I1910=""),"",J1910-I1910)</f>
        <v/>
      </c>
      <c r="L1910" s="61">
        <f>IF(OR(J1910="",G1910=""),"",J1910-G1910)</f>
        <v/>
      </c>
      <c r="M1910" s="59"/>
      <c r="N1910" s="59"/>
      <c r="O1910" s="59"/>
      <c r="P1910" s="59"/>
      <c r="Q1910" s="59"/>
      <c r="R1910" s="60">
        <f>IF(AND(P1910="",Q1910=""),"",N(P1910)+N(Q1910))</f>
        <v/>
      </c>
      <c r="S1910" s="59"/>
      <c r="T1910" s="59"/>
      <c r="U1910" s="62">
        <f>IF(OR(R1910="",S1910="",T1910=""),"",IF(S1910+T1910=0,"",R1910/(S1910+T1910)))</f>
        <v/>
      </c>
      <c r="V1910" s="63"/>
      <c r="W1910" s="64"/>
      <c r="X1910" s="63"/>
    </row>
    <row r="1911" spans="2:24">
      <c r="B1911" s="58"/>
      <c r="C1911" s="59"/>
      <c r="D1911" s="59"/>
      <c r="E1911" s="59"/>
      <c r="F1911" s="59"/>
      <c r="G1911" s="60">
        <f>IF(OR(E1911="",F1911="",C1911="",D1911=""),"",IF(C1911+D1911=0,"",(E1911*C1911+F1911*D1911)/(C1911+D1911)))</f>
        <v/>
      </c>
      <c r="H1911" s="59"/>
      <c r="I1911" s="60">
        <f>IF(OR(H1911="",E1911="",C1911="",D1911=""),"",IF(C1911+D1911=0,"",(H1911*D1911+E1911*C1911)/(C1911+D1911)))</f>
        <v/>
      </c>
      <c r="J1911" s="59"/>
      <c r="K1911" s="61">
        <f>IF(OR(J1911="",I1911=""),"",J1911-I1911)</f>
        <v/>
      </c>
      <c r="L1911" s="61">
        <f>IF(OR(J1911="",G1911=""),"",J1911-G1911)</f>
        <v/>
      </c>
      <c r="M1911" s="59"/>
      <c r="N1911" s="59"/>
      <c r="O1911" s="59"/>
      <c r="P1911" s="59"/>
      <c r="Q1911" s="59"/>
      <c r="R1911" s="60">
        <f>IF(AND(P1911="",Q1911=""),"",N(P1911)+N(Q1911))</f>
        <v/>
      </c>
      <c r="S1911" s="59"/>
      <c r="T1911" s="59"/>
      <c r="U1911" s="62">
        <f>IF(OR(R1911="",S1911="",T1911=""),"",IF(S1911+T1911=0,"",R1911/(S1911+T1911)))</f>
        <v/>
      </c>
      <c r="V1911" s="63"/>
      <c r="W1911" s="64"/>
      <c r="X1911" s="63"/>
    </row>
    <row r="1912" spans="2:24">
      <c r="B1912" s="58"/>
      <c r="C1912" s="59"/>
      <c r="D1912" s="59"/>
      <c r="E1912" s="59"/>
      <c r="F1912" s="59"/>
      <c r="G1912" s="60">
        <f>IF(OR(E1912="",F1912="",C1912="",D1912=""),"",IF(C1912+D1912=0,"",(E1912*C1912+F1912*D1912)/(C1912+D1912)))</f>
        <v/>
      </c>
      <c r="H1912" s="59"/>
      <c r="I1912" s="60">
        <f>IF(OR(H1912="",E1912="",C1912="",D1912=""),"",IF(C1912+D1912=0,"",(H1912*D1912+E1912*C1912)/(C1912+D1912)))</f>
        <v/>
      </c>
      <c r="J1912" s="59"/>
      <c r="K1912" s="61">
        <f>IF(OR(J1912="",I1912=""),"",J1912-I1912)</f>
        <v/>
      </c>
      <c r="L1912" s="61">
        <f>IF(OR(J1912="",G1912=""),"",J1912-G1912)</f>
        <v/>
      </c>
      <c r="M1912" s="59"/>
      <c r="N1912" s="59"/>
      <c r="O1912" s="59"/>
      <c r="P1912" s="59"/>
      <c r="Q1912" s="59"/>
      <c r="R1912" s="60">
        <f>IF(AND(P1912="",Q1912=""),"",N(P1912)+N(Q1912))</f>
        <v/>
      </c>
      <c r="S1912" s="59"/>
      <c r="T1912" s="59"/>
      <c r="U1912" s="62">
        <f>IF(OR(R1912="",S1912="",T1912=""),"",IF(S1912+T1912=0,"",R1912/(S1912+T1912)))</f>
        <v/>
      </c>
      <c r="V1912" s="63"/>
      <c r="W1912" s="64"/>
      <c r="X1912" s="63"/>
    </row>
    <row r="1913" spans="2:24">
      <c r="B1913" s="58"/>
      <c r="C1913" s="59"/>
      <c r="D1913" s="59"/>
      <c r="E1913" s="59"/>
      <c r="F1913" s="59"/>
      <c r="G1913" s="60">
        <f>IF(OR(E1913="",F1913="",C1913="",D1913=""),"",IF(C1913+D1913=0,"",(E1913*C1913+F1913*D1913)/(C1913+D1913)))</f>
        <v/>
      </c>
      <c r="H1913" s="59"/>
      <c r="I1913" s="60">
        <f>IF(OR(H1913="",E1913="",C1913="",D1913=""),"",IF(C1913+D1913=0,"",(H1913*D1913+E1913*C1913)/(C1913+D1913)))</f>
        <v/>
      </c>
      <c r="J1913" s="59"/>
      <c r="K1913" s="61">
        <f>IF(OR(J1913="",I1913=""),"",J1913-I1913)</f>
        <v/>
      </c>
      <c r="L1913" s="61">
        <f>IF(OR(J1913="",G1913=""),"",J1913-G1913)</f>
        <v/>
      </c>
      <c r="M1913" s="59"/>
      <c r="N1913" s="59"/>
      <c r="O1913" s="59"/>
      <c r="P1913" s="59"/>
      <c r="Q1913" s="59"/>
      <c r="R1913" s="60">
        <f>IF(AND(P1913="",Q1913=""),"",N(P1913)+N(Q1913))</f>
        <v/>
      </c>
      <c r="S1913" s="59"/>
      <c r="T1913" s="59"/>
      <c r="U1913" s="62">
        <f>IF(OR(R1913="",S1913="",T1913=""),"",IF(S1913+T1913=0,"",R1913/(S1913+T1913)))</f>
        <v/>
      </c>
      <c r="V1913" s="63"/>
      <c r="W1913" s="64"/>
      <c r="X1913" s="63"/>
    </row>
    <row r="1914" spans="2:24">
      <c r="B1914" s="58"/>
      <c r="C1914" s="59"/>
      <c r="D1914" s="59"/>
      <c r="E1914" s="59"/>
      <c r="F1914" s="59"/>
      <c r="G1914" s="60">
        <f>IF(OR(E1914="",F1914="",C1914="",D1914=""),"",IF(C1914+D1914=0,"",(E1914*C1914+F1914*D1914)/(C1914+D1914)))</f>
        <v/>
      </c>
      <c r="H1914" s="59"/>
      <c r="I1914" s="60">
        <f>IF(OR(H1914="",E1914="",C1914="",D1914=""),"",IF(C1914+D1914=0,"",(H1914*D1914+E1914*C1914)/(C1914+D1914)))</f>
        <v/>
      </c>
      <c r="J1914" s="59"/>
      <c r="K1914" s="61">
        <f>IF(OR(J1914="",I1914=""),"",J1914-I1914)</f>
        <v/>
      </c>
      <c r="L1914" s="61">
        <f>IF(OR(J1914="",G1914=""),"",J1914-G1914)</f>
        <v/>
      </c>
      <c r="M1914" s="59"/>
      <c r="N1914" s="59"/>
      <c r="O1914" s="59"/>
      <c r="P1914" s="59"/>
      <c r="Q1914" s="59"/>
      <c r="R1914" s="60">
        <f>IF(AND(P1914="",Q1914=""),"",N(P1914)+N(Q1914))</f>
        <v/>
      </c>
      <c r="S1914" s="59"/>
      <c r="T1914" s="59"/>
      <c r="U1914" s="62">
        <f>IF(OR(R1914="",S1914="",T1914=""),"",IF(S1914+T1914=0,"",R1914/(S1914+T1914)))</f>
        <v/>
      </c>
      <c r="V1914" s="63"/>
      <c r="W1914" s="64"/>
      <c r="X1914" s="63"/>
    </row>
    <row r="1915" spans="2:24">
      <c r="B1915" s="58"/>
      <c r="C1915" s="59"/>
      <c r="D1915" s="59"/>
      <c r="E1915" s="59"/>
      <c r="F1915" s="59"/>
      <c r="G1915" s="60">
        <f>IF(OR(E1915="",F1915="",C1915="",D1915=""),"",IF(C1915+D1915=0,"",(E1915*C1915+F1915*D1915)/(C1915+D1915)))</f>
        <v/>
      </c>
      <c r="H1915" s="59"/>
      <c r="I1915" s="60">
        <f>IF(OR(H1915="",E1915="",C1915="",D1915=""),"",IF(C1915+D1915=0,"",(H1915*D1915+E1915*C1915)/(C1915+D1915)))</f>
        <v/>
      </c>
      <c r="J1915" s="59"/>
      <c r="K1915" s="61">
        <f>IF(OR(J1915="",I1915=""),"",J1915-I1915)</f>
        <v/>
      </c>
      <c r="L1915" s="61">
        <f>IF(OR(J1915="",G1915=""),"",J1915-G1915)</f>
        <v/>
      </c>
      <c r="M1915" s="59"/>
      <c r="N1915" s="59"/>
      <c r="O1915" s="59"/>
      <c r="P1915" s="59"/>
      <c r="Q1915" s="59"/>
      <c r="R1915" s="60">
        <f>IF(AND(P1915="",Q1915=""),"",N(P1915)+N(Q1915))</f>
        <v/>
      </c>
      <c r="S1915" s="59"/>
      <c r="T1915" s="59"/>
      <c r="U1915" s="62">
        <f>IF(OR(R1915="",S1915="",T1915=""),"",IF(S1915+T1915=0,"",R1915/(S1915+T1915)))</f>
        <v/>
      </c>
      <c r="V1915" s="63"/>
      <c r="W1915" s="64"/>
      <c r="X1915" s="63"/>
    </row>
    <row r="1916" spans="2:24">
      <c r="B1916" s="58"/>
      <c r="C1916" s="59"/>
      <c r="D1916" s="59"/>
      <c r="E1916" s="59"/>
      <c r="F1916" s="59"/>
      <c r="G1916" s="60">
        <f>IF(OR(E1916="",F1916="",C1916="",D1916=""),"",IF(C1916+D1916=0,"",(E1916*C1916+F1916*D1916)/(C1916+D1916)))</f>
        <v/>
      </c>
      <c r="H1916" s="59"/>
      <c r="I1916" s="60">
        <f>IF(OR(H1916="",E1916="",C1916="",D1916=""),"",IF(C1916+D1916=0,"",(H1916*D1916+E1916*C1916)/(C1916+D1916)))</f>
        <v/>
      </c>
      <c r="J1916" s="59"/>
      <c r="K1916" s="61">
        <f>IF(OR(J1916="",I1916=""),"",J1916-I1916)</f>
        <v/>
      </c>
      <c r="L1916" s="61">
        <f>IF(OR(J1916="",G1916=""),"",J1916-G1916)</f>
        <v/>
      </c>
      <c r="M1916" s="59"/>
      <c r="N1916" s="59"/>
      <c r="O1916" s="59"/>
      <c r="P1916" s="59"/>
      <c r="Q1916" s="59"/>
      <c r="R1916" s="60">
        <f>IF(AND(P1916="",Q1916=""),"",N(P1916)+N(Q1916))</f>
        <v/>
      </c>
      <c r="S1916" s="59"/>
      <c r="T1916" s="59"/>
      <c r="U1916" s="62">
        <f>IF(OR(R1916="",S1916="",T1916=""),"",IF(S1916+T1916=0,"",R1916/(S1916+T1916)))</f>
        <v/>
      </c>
      <c r="V1916" s="63"/>
      <c r="W1916" s="64"/>
      <c r="X1916" s="63"/>
    </row>
    <row r="1917" spans="2:24">
      <c r="B1917" s="58"/>
      <c r="C1917" s="59"/>
      <c r="D1917" s="59"/>
      <c r="E1917" s="59"/>
      <c r="F1917" s="59"/>
      <c r="G1917" s="60">
        <f>IF(OR(E1917="",F1917="",C1917="",D1917=""),"",IF(C1917+D1917=0,"",(E1917*C1917+F1917*D1917)/(C1917+D1917)))</f>
        <v/>
      </c>
      <c r="H1917" s="59"/>
      <c r="I1917" s="60">
        <f>IF(OR(H1917="",E1917="",C1917="",D1917=""),"",IF(C1917+D1917=0,"",(H1917*D1917+E1917*C1917)/(C1917+D1917)))</f>
        <v/>
      </c>
      <c r="J1917" s="59"/>
      <c r="K1917" s="61">
        <f>IF(OR(J1917="",I1917=""),"",J1917-I1917)</f>
        <v/>
      </c>
      <c r="L1917" s="61">
        <f>IF(OR(J1917="",G1917=""),"",J1917-G1917)</f>
        <v/>
      </c>
      <c r="M1917" s="59"/>
      <c r="N1917" s="59"/>
      <c r="O1917" s="59"/>
      <c r="P1917" s="59"/>
      <c r="Q1917" s="59"/>
      <c r="R1917" s="60">
        <f>IF(AND(P1917="",Q1917=""),"",N(P1917)+N(Q1917))</f>
        <v/>
      </c>
      <c r="S1917" s="59"/>
      <c r="T1917" s="59"/>
      <c r="U1917" s="62">
        <f>IF(OR(R1917="",S1917="",T1917=""),"",IF(S1917+T1917=0,"",R1917/(S1917+T1917)))</f>
        <v/>
      </c>
      <c r="V1917" s="63"/>
      <c r="W1917" s="64"/>
      <c r="X1917" s="63"/>
    </row>
    <row r="1918" spans="2:24">
      <c r="B1918" s="58"/>
      <c r="C1918" s="59"/>
      <c r="D1918" s="59"/>
      <c r="E1918" s="59"/>
      <c r="F1918" s="59"/>
      <c r="G1918" s="60">
        <f>IF(OR(E1918="",F1918="",C1918="",D1918=""),"",IF(C1918+D1918=0,"",(E1918*C1918+F1918*D1918)/(C1918+D1918)))</f>
        <v/>
      </c>
      <c r="H1918" s="59"/>
      <c r="I1918" s="60">
        <f>IF(OR(H1918="",E1918="",C1918="",D1918=""),"",IF(C1918+D1918=0,"",(H1918*D1918+E1918*C1918)/(C1918+D1918)))</f>
        <v/>
      </c>
      <c r="J1918" s="59"/>
      <c r="K1918" s="61">
        <f>IF(OR(J1918="",I1918=""),"",J1918-I1918)</f>
        <v/>
      </c>
      <c r="L1918" s="61">
        <f>IF(OR(J1918="",G1918=""),"",J1918-G1918)</f>
        <v/>
      </c>
      <c r="M1918" s="59"/>
      <c r="N1918" s="59"/>
      <c r="O1918" s="59"/>
      <c r="P1918" s="59"/>
      <c r="Q1918" s="59"/>
      <c r="R1918" s="60">
        <f>IF(AND(P1918="",Q1918=""),"",N(P1918)+N(Q1918))</f>
        <v/>
      </c>
      <c r="S1918" s="59"/>
      <c r="T1918" s="59"/>
      <c r="U1918" s="62">
        <f>IF(OR(R1918="",S1918="",T1918=""),"",IF(S1918+T1918=0,"",R1918/(S1918+T1918)))</f>
        <v/>
      </c>
      <c r="V1918" s="63"/>
      <c r="W1918" s="64"/>
      <c r="X1918" s="63"/>
    </row>
    <row r="1919" spans="2:24">
      <c r="B1919" s="58"/>
      <c r="C1919" s="59"/>
      <c r="D1919" s="59"/>
      <c r="E1919" s="59"/>
      <c r="F1919" s="59"/>
      <c r="G1919" s="60">
        <f>IF(OR(E1919="",F1919="",C1919="",D1919=""),"",IF(C1919+D1919=0,"",(E1919*C1919+F1919*D1919)/(C1919+D1919)))</f>
        <v/>
      </c>
      <c r="H1919" s="59"/>
      <c r="I1919" s="60">
        <f>IF(OR(H1919="",E1919="",C1919="",D1919=""),"",IF(C1919+D1919=0,"",(H1919*D1919+E1919*C1919)/(C1919+D1919)))</f>
        <v/>
      </c>
      <c r="J1919" s="59"/>
      <c r="K1919" s="61">
        <f>IF(OR(J1919="",I1919=""),"",J1919-I1919)</f>
        <v/>
      </c>
      <c r="L1919" s="61">
        <f>IF(OR(J1919="",G1919=""),"",J1919-G1919)</f>
        <v/>
      </c>
      <c r="M1919" s="59"/>
      <c r="N1919" s="59"/>
      <c r="O1919" s="59"/>
      <c r="P1919" s="59"/>
      <c r="Q1919" s="59"/>
      <c r="R1919" s="60">
        <f>IF(AND(P1919="",Q1919=""),"",N(P1919)+N(Q1919))</f>
        <v/>
      </c>
      <c r="S1919" s="59"/>
      <c r="T1919" s="59"/>
      <c r="U1919" s="62">
        <f>IF(OR(R1919="",S1919="",T1919=""),"",IF(S1919+T1919=0,"",R1919/(S1919+T1919)))</f>
        <v/>
      </c>
      <c r="V1919" s="63"/>
      <c r="W1919" s="64"/>
      <c r="X1919" s="63"/>
    </row>
    <row r="1920" spans="2:24">
      <c r="B1920" s="58"/>
      <c r="C1920" s="59"/>
      <c r="D1920" s="59"/>
      <c r="E1920" s="59"/>
      <c r="F1920" s="59"/>
      <c r="G1920" s="60">
        <f>IF(OR(E1920="",F1920="",C1920="",D1920=""),"",IF(C1920+D1920=0,"",(E1920*C1920+F1920*D1920)/(C1920+D1920)))</f>
        <v/>
      </c>
      <c r="H1920" s="59"/>
      <c r="I1920" s="60">
        <f>IF(OR(H1920="",E1920="",C1920="",D1920=""),"",IF(C1920+D1920=0,"",(H1920*D1920+E1920*C1920)/(C1920+D1920)))</f>
        <v/>
      </c>
      <c r="J1920" s="59"/>
      <c r="K1920" s="61">
        <f>IF(OR(J1920="",I1920=""),"",J1920-I1920)</f>
        <v/>
      </c>
      <c r="L1920" s="61">
        <f>IF(OR(J1920="",G1920=""),"",J1920-G1920)</f>
        <v/>
      </c>
      <c r="M1920" s="59"/>
      <c r="N1920" s="59"/>
      <c r="O1920" s="59"/>
      <c r="P1920" s="59"/>
      <c r="Q1920" s="59"/>
      <c r="R1920" s="60">
        <f>IF(AND(P1920="",Q1920=""),"",N(P1920)+N(Q1920))</f>
        <v/>
      </c>
      <c r="S1920" s="59"/>
      <c r="T1920" s="59"/>
      <c r="U1920" s="62">
        <f>IF(OR(R1920="",S1920="",T1920=""),"",IF(S1920+T1920=0,"",R1920/(S1920+T1920)))</f>
        <v/>
      </c>
      <c r="V1920" s="63"/>
      <c r="W1920" s="64"/>
      <c r="X1920" s="63"/>
    </row>
    <row r="1921" spans="2:24">
      <c r="B1921" s="58"/>
      <c r="C1921" s="59"/>
      <c r="D1921" s="59"/>
      <c r="E1921" s="59"/>
      <c r="F1921" s="59"/>
      <c r="G1921" s="60">
        <f>IF(OR(E1921="",F1921="",C1921="",D1921=""),"",IF(C1921+D1921=0,"",(E1921*C1921+F1921*D1921)/(C1921+D1921)))</f>
        <v/>
      </c>
      <c r="H1921" s="59"/>
      <c r="I1921" s="60">
        <f>IF(OR(H1921="",E1921="",C1921="",D1921=""),"",IF(C1921+D1921=0,"",(H1921*D1921+E1921*C1921)/(C1921+D1921)))</f>
        <v/>
      </c>
      <c r="J1921" s="59"/>
      <c r="K1921" s="61">
        <f>IF(OR(J1921="",I1921=""),"",J1921-I1921)</f>
        <v/>
      </c>
      <c r="L1921" s="61">
        <f>IF(OR(J1921="",G1921=""),"",J1921-G1921)</f>
        <v/>
      </c>
      <c r="M1921" s="59"/>
      <c r="N1921" s="59"/>
      <c r="O1921" s="59"/>
      <c r="P1921" s="59"/>
      <c r="Q1921" s="59"/>
      <c r="R1921" s="60">
        <f>IF(AND(P1921="",Q1921=""),"",N(P1921)+N(Q1921))</f>
        <v/>
      </c>
      <c r="S1921" s="59"/>
      <c r="T1921" s="59"/>
      <c r="U1921" s="62">
        <f>IF(OR(R1921="",S1921="",T1921=""),"",IF(S1921+T1921=0,"",R1921/(S1921+T1921)))</f>
        <v/>
      </c>
      <c r="V1921" s="63"/>
      <c r="W1921" s="64"/>
      <c r="X1921" s="63"/>
    </row>
    <row r="1922" spans="2:24">
      <c r="B1922" s="58"/>
      <c r="C1922" s="59"/>
      <c r="D1922" s="59"/>
      <c r="E1922" s="59"/>
      <c r="F1922" s="59"/>
      <c r="G1922" s="60">
        <f>IF(OR(E1922="",F1922="",C1922="",D1922=""),"",IF(C1922+D1922=0,"",(E1922*C1922+F1922*D1922)/(C1922+D1922)))</f>
        <v/>
      </c>
      <c r="H1922" s="59"/>
      <c r="I1922" s="60">
        <f>IF(OR(H1922="",E1922="",C1922="",D1922=""),"",IF(C1922+D1922=0,"",(H1922*D1922+E1922*C1922)/(C1922+D1922)))</f>
        <v/>
      </c>
      <c r="J1922" s="59"/>
      <c r="K1922" s="61">
        <f>IF(OR(J1922="",I1922=""),"",J1922-I1922)</f>
        <v/>
      </c>
      <c r="L1922" s="61">
        <f>IF(OR(J1922="",G1922=""),"",J1922-G1922)</f>
        <v/>
      </c>
      <c r="M1922" s="59"/>
      <c r="N1922" s="59"/>
      <c r="O1922" s="59"/>
      <c r="P1922" s="59"/>
      <c r="Q1922" s="59"/>
      <c r="R1922" s="60">
        <f>IF(AND(P1922="",Q1922=""),"",N(P1922)+N(Q1922))</f>
        <v/>
      </c>
      <c r="S1922" s="59"/>
      <c r="T1922" s="59"/>
      <c r="U1922" s="62">
        <f>IF(OR(R1922="",S1922="",T1922=""),"",IF(S1922+T1922=0,"",R1922/(S1922+T1922)))</f>
        <v/>
      </c>
      <c r="V1922" s="63"/>
      <c r="W1922" s="64"/>
      <c r="X1922" s="63"/>
    </row>
    <row r="1923" spans="2:24">
      <c r="B1923" s="58"/>
      <c r="C1923" s="59"/>
      <c r="D1923" s="59"/>
      <c r="E1923" s="59"/>
      <c r="F1923" s="59"/>
      <c r="G1923" s="60">
        <f>IF(OR(E1923="",F1923="",C1923="",D1923=""),"",IF(C1923+D1923=0,"",(E1923*C1923+F1923*D1923)/(C1923+D1923)))</f>
        <v/>
      </c>
      <c r="H1923" s="59"/>
      <c r="I1923" s="60">
        <f>IF(OR(H1923="",E1923="",C1923="",D1923=""),"",IF(C1923+D1923=0,"",(H1923*D1923+E1923*C1923)/(C1923+D1923)))</f>
        <v/>
      </c>
      <c r="J1923" s="59"/>
      <c r="K1923" s="61">
        <f>IF(OR(J1923="",I1923=""),"",J1923-I1923)</f>
        <v/>
      </c>
      <c r="L1923" s="61">
        <f>IF(OR(J1923="",G1923=""),"",J1923-G1923)</f>
        <v/>
      </c>
      <c r="M1923" s="59"/>
      <c r="N1923" s="59"/>
      <c r="O1923" s="59"/>
      <c r="P1923" s="59"/>
      <c r="Q1923" s="59"/>
      <c r="R1923" s="60">
        <f>IF(AND(P1923="",Q1923=""),"",N(P1923)+N(Q1923))</f>
        <v/>
      </c>
      <c r="S1923" s="59"/>
      <c r="T1923" s="59"/>
      <c r="U1923" s="62">
        <f>IF(OR(R1923="",S1923="",T1923=""),"",IF(S1923+T1923=0,"",R1923/(S1923+T1923)))</f>
        <v/>
      </c>
      <c r="V1923" s="63"/>
      <c r="W1923" s="64"/>
      <c r="X1923" s="63"/>
    </row>
    <row r="1924" spans="2:24">
      <c r="B1924" s="58"/>
      <c r="C1924" s="59"/>
      <c r="D1924" s="59"/>
      <c r="E1924" s="59"/>
      <c r="F1924" s="59"/>
      <c r="G1924" s="60">
        <f>IF(OR(E1924="",F1924="",C1924="",D1924=""),"",IF(C1924+D1924=0,"",(E1924*C1924+F1924*D1924)/(C1924+D1924)))</f>
        <v/>
      </c>
      <c r="H1924" s="59"/>
      <c r="I1924" s="60">
        <f>IF(OR(H1924="",E1924="",C1924="",D1924=""),"",IF(C1924+D1924=0,"",(H1924*D1924+E1924*C1924)/(C1924+D1924)))</f>
        <v/>
      </c>
      <c r="J1924" s="59"/>
      <c r="K1924" s="61">
        <f>IF(OR(J1924="",I1924=""),"",J1924-I1924)</f>
        <v/>
      </c>
      <c r="L1924" s="61">
        <f>IF(OR(J1924="",G1924=""),"",J1924-G1924)</f>
        <v/>
      </c>
      <c r="M1924" s="59"/>
      <c r="N1924" s="59"/>
      <c r="O1924" s="59"/>
      <c r="P1924" s="59"/>
      <c r="Q1924" s="59"/>
      <c r="R1924" s="60">
        <f>IF(AND(P1924="",Q1924=""),"",N(P1924)+N(Q1924))</f>
        <v/>
      </c>
      <c r="S1924" s="59"/>
      <c r="T1924" s="59"/>
      <c r="U1924" s="62">
        <f>IF(OR(R1924="",S1924="",T1924=""),"",IF(S1924+T1924=0,"",R1924/(S1924+T1924)))</f>
        <v/>
      </c>
      <c r="V1924" s="63"/>
      <c r="W1924" s="64"/>
      <c r="X1924" s="63"/>
    </row>
    <row r="1925" spans="2:24">
      <c r="B1925" s="58"/>
      <c r="C1925" s="59"/>
      <c r="D1925" s="59"/>
      <c r="E1925" s="59"/>
      <c r="F1925" s="59"/>
      <c r="G1925" s="60">
        <f>IF(OR(E1925="",F1925="",C1925="",D1925=""),"",IF(C1925+D1925=0,"",(E1925*C1925+F1925*D1925)/(C1925+D1925)))</f>
        <v/>
      </c>
      <c r="H1925" s="59"/>
      <c r="I1925" s="60">
        <f>IF(OR(H1925="",E1925="",C1925="",D1925=""),"",IF(C1925+D1925=0,"",(H1925*D1925+E1925*C1925)/(C1925+D1925)))</f>
        <v/>
      </c>
      <c r="J1925" s="59"/>
      <c r="K1925" s="61">
        <f>IF(OR(J1925="",I1925=""),"",J1925-I1925)</f>
        <v/>
      </c>
      <c r="L1925" s="61">
        <f>IF(OR(J1925="",G1925=""),"",J1925-G1925)</f>
        <v/>
      </c>
      <c r="M1925" s="59"/>
      <c r="N1925" s="59"/>
      <c r="O1925" s="59"/>
      <c r="P1925" s="59"/>
      <c r="Q1925" s="59"/>
      <c r="R1925" s="60">
        <f>IF(AND(P1925="",Q1925=""),"",N(P1925)+N(Q1925))</f>
        <v/>
      </c>
      <c r="S1925" s="59"/>
      <c r="T1925" s="59"/>
      <c r="U1925" s="62">
        <f>IF(OR(R1925="",S1925="",T1925=""),"",IF(S1925+T1925=0,"",R1925/(S1925+T1925)))</f>
        <v/>
      </c>
      <c r="V1925" s="63"/>
      <c r="W1925" s="64"/>
      <c r="X1925" s="63"/>
    </row>
    <row r="1926" spans="2:24">
      <c r="B1926" s="58"/>
      <c r="C1926" s="59"/>
      <c r="D1926" s="59"/>
      <c r="E1926" s="59"/>
      <c r="F1926" s="59"/>
      <c r="G1926" s="60">
        <f>IF(OR(E1926="",F1926="",C1926="",D1926=""),"",IF(C1926+D1926=0,"",(E1926*C1926+F1926*D1926)/(C1926+D1926)))</f>
        <v/>
      </c>
      <c r="H1926" s="59"/>
      <c r="I1926" s="60">
        <f>IF(OR(H1926="",E1926="",C1926="",D1926=""),"",IF(C1926+D1926=0,"",(H1926*D1926+E1926*C1926)/(C1926+D1926)))</f>
        <v/>
      </c>
      <c r="J1926" s="59"/>
      <c r="K1926" s="61">
        <f>IF(OR(J1926="",I1926=""),"",J1926-I1926)</f>
        <v/>
      </c>
      <c r="L1926" s="61">
        <f>IF(OR(J1926="",G1926=""),"",J1926-G1926)</f>
        <v/>
      </c>
      <c r="M1926" s="59"/>
      <c r="N1926" s="59"/>
      <c r="O1926" s="59"/>
      <c r="P1926" s="59"/>
      <c r="Q1926" s="59"/>
      <c r="R1926" s="60">
        <f>IF(AND(P1926="",Q1926=""),"",N(P1926)+N(Q1926))</f>
        <v/>
      </c>
      <c r="S1926" s="59"/>
      <c r="T1926" s="59"/>
      <c r="U1926" s="62">
        <f>IF(OR(R1926="",S1926="",T1926=""),"",IF(S1926+T1926=0,"",R1926/(S1926+T1926)))</f>
        <v/>
      </c>
      <c r="V1926" s="63"/>
      <c r="W1926" s="64"/>
      <c r="X1926" s="63"/>
    </row>
    <row r="1927" spans="2:24">
      <c r="B1927" s="58"/>
      <c r="C1927" s="59"/>
      <c r="D1927" s="59"/>
      <c r="E1927" s="59"/>
      <c r="F1927" s="59"/>
      <c r="G1927" s="60">
        <f>IF(OR(E1927="",F1927="",C1927="",D1927=""),"",IF(C1927+D1927=0,"",(E1927*C1927+F1927*D1927)/(C1927+D1927)))</f>
        <v/>
      </c>
      <c r="H1927" s="59"/>
      <c r="I1927" s="60">
        <f>IF(OR(H1927="",E1927="",C1927="",D1927=""),"",IF(C1927+D1927=0,"",(H1927*D1927+E1927*C1927)/(C1927+D1927)))</f>
        <v/>
      </c>
      <c r="J1927" s="59"/>
      <c r="K1927" s="61">
        <f>IF(OR(J1927="",I1927=""),"",J1927-I1927)</f>
        <v/>
      </c>
      <c r="L1927" s="61">
        <f>IF(OR(J1927="",G1927=""),"",J1927-G1927)</f>
        <v/>
      </c>
      <c r="M1927" s="59"/>
      <c r="N1927" s="59"/>
      <c r="O1927" s="59"/>
      <c r="P1927" s="59"/>
      <c r="Q1927" s="59"/>
      <c r="R1927" s="60">
        <f>IF(AND(P1927="",Q1927=""),"",N(P1927)+N(Q1927))</f>
        <v/>
      </c>
      <c r="S1927" s="59"/>
      <c r="T1927" s="59"/>
      <c r="U1927" s="62">
        <f>IF(OR(R1927="",S1927="",T1927=""),"",IF(S1927+T1927=0,"",R1927/(S1927+T1927)))</f>
        <v/>
      </c>
      <c r="V1927" s="63"/>
      <c r="W1927" s="64"/>
      <c r="X1927" s="63"/>
    </row>
    <row r="1928" spans="2:24">
      <c r="B1928" s="58"/>
      <c r="C1928" s="59"/>
      <c r="D1928" s="59"/>
      <c r="E1928" s="59"/>
      <c r="F1928" s="59"/>
      <c r="G1928" s="60">
        <f>IF(OR(E1928="",F1928="",C1928="",D1928=""),"",IF(C1928+D1928=0,"",(E1928*C1928+F1928*D1928)/(C1928+D1928)))</f>
        <v/>
      </c>
      <c r="H1928" s="59"/>
      <c r="I1928" s="60">
        <f>IF(OR(H1928="",E1928="",C1928="",D1928=""),"",IF(C1928+D1928=0,"",(H1928*D1928+E1928*C1928)/(C1928+D1928)))</f>
        <v/>
      </c>
      <c r="J1928" s="59"/>
      <c r="K1928" s="61">
        <f>IF(OR(J1928="",I1928=""),"",J1928-I1928)</f>
        <v/>
      </c>
      <c r="L1928" s="61">
        <f>IF(OR(J1928="",G1928=""),"",J1928-G1928)</f>
        <v/>
      </c>
      <c r="M1928" s="59"/>
      <c r="N1928" s="59"/>
      <c r="O1928" s="59"/>
      <c r="P1928" s="59"/>
      <c r="Q1928" s="59"/>
      <c r="R1928" s="60">
        <f>IF(AND(P1928="",Q1928=""),"",N(P1928)+N(Q1928))</f>
        <v/>
      </c>
      <c r="S1928" s="59"/>
      <c r="T1928" s="59"/>
      <c r="U1928" s="62">
        <f>IF(OR(R1928="",S1928="",T1928=""),"",IF(S1928+T1928=0,"",R1928/(S1928+T1928)))</f>
        <v/>
      </c>
      <c r="V1928" s="63"/>
      <c r="W1928" s="64"/>
      <c r="X1928" s="63"/>
    </row>
    <row r="1929" spans="2:24">
      <c r="B1929" s="58"/>
      <c r="C1929" s="59"/>
      <c r="D1929" s="59"/>
      <c r="E1929" s="59"/>
      <c r="F1929" s="59"/>
      <c r="G1929" s="60">
        <f>IF(OR(E1929="",F1929="",C1929="",D1929=""),"",IF(C1929+D1929=0,"",(E1929*C1929+F1929*D1929)/(C1929+D1929)))</f>
        <v/>
      </c>
      <c r="H1929" s="59"/>
      <c r="I1929" s="60">
        <f>IF(OR(H1929="",E1929="",C1929="",D1929=""),"",IF(C1929+D1929=0,"",(H1929*D1929+E1929*C1929)/(C1929+D1929)))</f>
        <v/>
      </c>
      <c r="J1929" s="59"/>
      <c r="K1929" s="61">
        <f>IF(OR(J1929="",I1929=""),"",J1929-I1929)</f>
        <v/>
      </c>
      <c r="L1929" s="61">
        <f>IF(OR(J1929="",G1929=""),"",J1929-G1929)</f>
        <v/>
      </c>
      <c r="M1929" s="59"/>
      <c r="N1929" s="59"/>
      <c r="O1929" s="59"/>
      <c r="P1929" s="59"/>
      <c r="Q1929" s="59"/>
      <c r="R1929" s="60">
        <f>IF(AND(P1929="",Q1929=""),"",N(P1929)+N(Q1929))</f>
        <v/>
      </c>
      <c r="S1929" s="59"/>
      <c r="T1929" s="59"/>
      <c r="U1929" s="62">
        <f>IF(OR(R1929="",S1929="",T1929=""),"",IF(S1929+T1929=0,"",R1929/(S1929+T1929)))</f>
        <v/>
      </c>
      <c r="V1929" s="63"/>
      <c r="W1929" s="64"/>
      <c r="X1929" s="63"/>
    </row>
    <row r="1930" spans="2:24">
      <c r="B1930" s="58"/>
      <c r="C1930" s="59"/>
      <c r="D1930" s="59"/>
      <c r="E1930" s="59"/>
      <c r="F1930" s="59"/>
      <c r="G1930" s="60">
        <f>IF(OR(E1930="",F1930="",C1930="",D1930=""),"",IF(C1930+D1930=0,"",(E1930*C1930+F1930*D1930)/(C1930+D1930)))</f>
        <v/>
      </c>
      <c r="H1930" s="59"/>
      <c r="I1930" s="60">
        <f>IF(OR(H1930="",E1930="",C1930="",D1930=""),"",IF(C1930+D1930=0,"",(H1930*D1930+E1930*C1930)/(C1930+D1930)))</f>
        <v/>
      </c>
      <c r="J1930" s="59"/>
      <c r="K1930" s="61">
        <f>IF(OR(J1930="",I1930=""),"",J1930-I1930)</f>
        <v/>
      </c>
      <c r="L1930" s="61">
        <f>IF(OR(J1930="",G1930=""),"",J1930-G1930)</f>
        <v/>
      </c>
      <c r="M1930" s="59"/>
      <c r="N1930" s="59"/>
      <c r="O1930" s="59"/>
      <c r="P1930" s="59"/>
      <c r="Q1930" s="59"/>
      <c r="R1930" s="60">
        <f>IF(AND(P1930="",Q1930=""),"",N(P1930)+N(Q1930))</f>
        <v/>
      </c>
      <c r="S1930" s="59"/>
      <c r="T1930" s="59"/>
      <c r="U1930" s="62">
        <f>IF(OR(R1930="",S1930="",T1930=""),"",IF(S1930+T1930=0,"",R1930/(S1930+T1930)))</f>
        <v/>
      </c>
      <c r="V1930" s="63"/>
      <c r="W1930" s="64"/>
      <c r="X1930" s="63"/>
    </row>
    <row r="1931" spans="2:24">
      <c r="B1931" s="58"/>
      <c r="C1931" s="59"/>
      <c r="D1931" s="59"/>
      <c r="E1931" s="59"/>
      <c r="F1931" s="59"/>
      <c r="G1931" s="60">
        <f>IF(OR(E1931="",F1931="",C1931="",D1931=""),"",IF(C1931+D1931=0,"",(E1931*C1931+F1931*D1931)/(C1931+D1931)))</f>
        <v/>
      </c>
      <c r="H1931" s="59"/>
      <c r="I1931" s="60">
        <f>IF(OR(H1931="",E1931="",C1931="",D1931=""),"",IF(C1931+D1931=0,"",(H1931*D1931+E1931*C1931)/(C1931+D1931)))</f>
        <v/>
      </c>
      <c r="J1931" s="59"/>
      <c r="K1931" s="61">
        <f>IF(OR(J1931="",I1931=""),"",J1931-I1931)</f>
        <v/>
      </c>
      <c r="L1931" s="61">
        <f>IF(OR(J1931="",G1931=""),"",J1931-G1931)</f>
        <v/>
      </c>
      <c r="M1931" s="59"/>
      <c r="N1931" s="59"/>
      <c r="O1931" s="59"/>
      <c r="P1931" s="59"/>
      <c r="Q1931" s="59"/>
      <c r="R1931" s="60">
        <f>IF(AND(P1931="",Q1931=""),"",N(P1931)+N(Q1931))</f>
        <v/>
      </c>
      <c r="S1931" s="59"/>
      <c r="T1931" s="59"/>
      <c r="U1931" s="62">
        <f>IF(OR(R1931="",S1931="",T1931=""),"",IF(S1931+T1931=0,"",R1931/(S1931+T1931)))</f>
        <v/>
      </c>
      <c r="V1931" s="63"/>
      <c r="W1931" s="64"/>
      <c r="X1931" s="63"/>
    </row>
    <row r="1932" spans="2:24">
      <c r="B1932" s="58"/>
      <c r="C1932" s="59"/>
      <c r="D1932" s="59"/>
      <c r="E1932" s="59"/>
      <c r="F1932" s="59"/>
      <c r="G1932" s="60">
        <f>IF(OR(E1932="",F1932="",C1932="",D1932=""),"",IF(C1932+D1932=0,"",(E1932*C1932+F1932*D1932)/(C1932+D1932)))</f>
        <v/>
      </c>
      <c r="H1932" s="59"/>
      <c r="I1932" s="60">
        <f>IF(OR(H1932="",E1932="",C1932="",D1932=""),"",IF(C1932+D1932=0,"",(H1932*D1932+E1932*C1932)/(C1932+D1932)))</f>
        <v/>
      </c>
      <c r="J1932" s="59"/>
      <c r="K1932" s="61">
        <f>IF(OR(J1932="",I1932=""),"",J1932-I1932)</f>
        <v/>
      </c>
      <c r="L1932" s="61">
        <f>IF(OR(J1932="",G1932=""),"",J1932-G1932)</f>
        <v/>
      </c>
      <c r="M1932" s="59"/>
      <c r="N1932" s="59"/>
      <c r="O1932" s="59"/>
      <c r="P1932" s="59"/>
      <c r="Q1932" s="59"/>
      <c r="R1932" s="60">
        <f>IF(AND(P1932="",Q1932=""),"",N(P1932)+N(Q1932))</f>
        <v/>
      </c>
      <c r="S1932" s="59"/>
      <c r="T1932" s="59"/>
      <c r="U1932" s="62">
        <f>IF(OR(R1932="",S1932="",T1932=""),"",IF(S1932+T1932=0,"",R1932/(S1932+T1932)))</f>
        <v/>
      </c>
      <c r="V1932" s="63"/>
      <c r="W1932" s="64"/>
      <c r="X1932" s="63"/>
    </row>
    <row r="1933" spans="2:24">
      <c r="B1933" s="58"/>
      <c r="C1933" s="59"/>
      <c r="D1933" s="59"/>
      <c r="E1933" s="59"/>
      <c r="F1933" s="59"/>
      <c r="G1933" s="60">
        <f>IF(OR(E1933="",F1933="",C1933="",D1933=""),"",IF(C1933+D1933=0,"",(E1933*C1933+F1933*D1933)/(C1933+D1933)))</f>
        <v/>
      </c>
      <c r="H1933" s="59"/>
      <c r="I1933" s="60">
        <f>IF(OR(H1933="",E1933="",C1933="",D1933=""),"",IF(C1933+D1933=0,"",(H1933*D1933+E1933*C1933)/(C1933+D1933)))</f>
        <v/>
      </c>
      <c r="J1933" s="59"/>
      <c r="K1933" s="61">
        <f>IF(OR(J1933="",I1933=""),"",J1933-I1933)</f>
        <v/>
      </c>
      <c r="L1933" s="61">
        <f>IF(OR(J1933="",G1933=""),"",J1933-G1933)</f>
        <v/>
      </c>
      <c r="M1933" s="59"/>
      <c r="N1933" s="59"/>
      <c r="O1933" s="59"/>
      <c r="P1933" s="59"/>
      <c r="Q1933" s="59"/>
      <c r="R1933" s="60">
        <f>IF(AND(P1933="",Q1933=""),"",N(P1933)+N(Q1933))</f>
        <v/>
      </c>
      <c r="S1933" s="59"/>
      <c r="T1933" s="59"/>
      <c r="U1933" s="62">
        <f>IF(OR(R1933="",S1933="",T1933=""),"",IF(S1933+T1933=0,"",R1933/(S1933+T1933)))</f>
        <v/>
      </c>
      <c r="V1933" s="63"/>
      <c r="W1933" s="64"/>
      <c r="X1933" s="63"/>
    </row>
    <row r="1934" spans="2:24">
      <c r="B1934" s="58"/>
      <c r="C1934" s="59"/>
      <c r="D1934" s="59"/>
      <c r="E1934" s="59"/>
      <c r="F1934" s="59"/>
      <c r="G1934" s="60">
        <f>IF(OR(E1934="",F1934="",C1934="",D1934=""),"",IF(C1934+D1934=0,"",(E1934*C1934+F1934*D1934)/(C1934+D1934)))</f>
        <v/>
      </c>
      <c r="H1934" s="59"/>
      <c r="I1934" s="60">
        <f>IF(OR(H1934="",E1934="",C1934="",D1934=""),"",IF(C1934+D1934=0,"",(H1934*D1934+E1934*C1934)/(C1934+D1934)))</f>
        <v/>
      </c>
      <c r="J1934" s="59"/>
      <c r="K1934" s="61">
        <f>IF(OR(J1934="",I1934=""),"",J1934-I1934)</f>
        <v/>
      </c>
      <c r="L1934" s="61">
        <f>IF(OR(J1934="",G1934=""),"",J1934-G1934)</f>
        <v/>
      </c>
      <c r="M1934" s="59"/>
      <c r="N1934" s="59"/>
      <c r="O1934" s="59"/>
      <c r="P1934" s="59"/>
      <c r="Q1934" s="59"/>
      <c r="R1934" s="60">
        <f>IF(AND(P1934="",Q1934=""),"",N(P1934)+N(Q1934))</f>
        <v/>
      </c>
      <c r="S1934" s="59"/>
      <c r="T1934" s="59"/>
      <c r="U1934" s="62">
        <f>IF(OR(R1934="",S1934="",T1934=""),"",IF(S1934+T1934=0,"",R1934/(S1934+T1934)))</f>
        <v/>
      </c>
      <c r="V1934" s="63"/>
      <c r="W1934" s="64"/>
      <c r="X1934" s="63"/>
    </row>
    <row r="1935" spans="2:24">
      <c r="B1935" s="58"/>
      <c r="C1935" s="59"/>
      <c r="D1935" s="59"/>
      <c r="E1935" s="59"/>
      <c r="F1935" s="59"/>
      <c r="G1935" s="60">
        <f>IF(OR(E1935="",F1935="",C1935="",D1935=""),"",IF(C1935+D1935=0,"",(E1935*C1935+F1935*D1935)/(C1935+D1935)))</f>
        <v/>
      </c>
      <c r="H1935" s="59"/>
      <c r="I1935" s="60">
        <f>IF(OR(H1935="",E1935="",C1935="",D1935=""),"",IF(C1935+D1935=0,"",(H1935*D1935+E1935*C1935)/(C1935+D1935)))</f>
        <v/>
      </c>
      <c r="J1935" s="59"/>
      <c r="K1935" s="61">
        <f>IF(OR(J1935="",I1935=""),"",J1935-I1935)</f>
        <v/>
      </c>
      <c r="L1935" s="61">
        <f>IF(OR(J1935="",G1935=""),"",J1935-G1935)</f>
        <v/>
      </c>
      <c r="M1935" s="59"/>
      <c r="N1935" s="59"/>
      <c r="O1935" s="59"/>
      <c r="P1935" s="59"/>
      <c r="Q1935" s="59"/>
      <c r="R1935" s="60">
        <f>IF(AND(P1935="",Q1935=""),"",N(P1935)+N(Q1935))</f>
        <v/>
      </c>
      <c r="S1935" s="59"/>
      <c r="T1935" s="59"/>
      <c r="U1935" s="62">
        <f>IF(OR(R1935="",S1935="",T1935=""),"",IF(S1935+T1935=0,"",R1935/(S1935+T1935)))</f>
        <v/>
      </c>
      <c r="V1935" s="63"/>
      <c r="W1935" s="64"/>
      <c r="X1935" s="63"/>
    </row>
    <row r="1936" spans="2:24">
      <c r="B1936" s="58"/>
      <c r="C1936" s="59"/>
      <c r="D1936" s="59"/>
      <c r="E1936" s="59"/>
      <c r="F1936" s="59"/>
      <c r="G1936" s="60">
        <f>IF(OR(E1936="",F1936="",C1936="",D1936=""),"",IF(C1936+D1936=0,"",(E1936*C1936+F1936*D1936)/(C1936+D1936)))</f>
        <v/>
      </c>
      <c r="H1936" s="59"/>
      <c r="I1936" s="60">
        <f>IF(OR(H1936="",E1936="",C1936="",D1936=""),"",IF(C1936+D1936=0,"",(H1936*D1936+E1936*C1936)/(C1936+D1936)))</f>
        <v/>
      </c>
      <c r="J1936" s="59"/>
      <c r="K1936" s="61">
        <f>IF(OR(J1936="",I1936=""),"",J1936-I1936)</f>
        <v/>
      </c>
      <c r="L1936" s="61">
        <f>IF(OR(J1936="",G1936=""),"",J1936-G1936)</f>
        <v/>
      </c>
      <c r="M1936" s="59"/>
      <c r="N1936" s="59"/>
      <c r="O1936" s="59"/>
      <c r="P1936" s="59"/>
      <c r="Q1936" s="59"/>
      <c r="R1936" s="60">
        <f>IF(AND(P1936="",Q1936=""),"",N(P1936)+N(Q1936))</f>
        <v/>
      </c>
      <c r="S1936" s="59"/>
      <c r="T1936" s="59"/>
      <c r="U1936" s="62">
        <f>IF(OR(R1936="",S1936="",T1936=""),"",IF(S1936+T1936=0,"",R1936/(S1936+T1936)))</f>
        <v/>
      </c>
      <c r="V1936" s="63"/>
      <c r="W1936" s="64"/>
      <c r="X1936" s="63"/>
    </row>
    <row r="1937" spans="2:24">
      <c r="B1937" s="58"/>
      <c r="C1937" s="59"/>
      <c r="D1937" s="59"/>
      <c r="E1937" s="59"/>
      <c r="F1937" s="59"/>
      <c r="G1937" s="60">
        <f>IF(OR(E1937="",F1937="",C1937="",D1937=""),"",IF(C1937+D1937=0,"",(E1937*C1937+F1937*D1937)/(C1937+D1937)))</f>
        <v/>
      </c>
      <c r="H1937" s="59"/>
      <c r="I1937" s="60">
        <f>IF(OR(H1937="",E1937="",C1937="",D1937=""),"",IF(C1937+D1937=0,"",(H1937*D1937+E1937*C1937)/(C1937+D1937)))</f>
        <v/>
      </c>
      <c r="J1937" s="59"/>
      <c r="K1937" s="61">
        <f>IF(OR(J1937="",I1937=""),"",J1937-I1937)</f>
        <v/>
      </c>
      <c r="L1937" s="61">
        <f>IF(OR(J1937="",G1937=""),"",J1937-G1937)</f>
        <v/>
      </c>
      <c r="M1937" s="59"/>
      <c r="N1937" s="59"/>
      <c r="O1937" s="59"/>
      <c r="P1937" s="59"/>
      <c r="Q1937" s="59"/>
      <c r="R1937" s="60">
        <f>IF(AND(P1937="",Q1937=""),"",N(P1937)+N(Q1937))</f>
        <v/>
      </c>
      <c r="S1937" s="59"/>
      <c r="T1937" s="59"/>
      <c r="U1937" s="62">
        <f>IF(OR(R1937="",S1937="",T1937=""),"",IF(S1937+T1937=0,"",R1937/(S1937+T1937)))</f>
        <v/>
      </c>
      <c r="V1937" s="63"/>
      <c r="W1937" s="64"/>
      <c r="X1937" s="63"/>
    </row>
    <row r="1938" spans="2:24">
      <c r="B1938" s="58"/>
      <c r="C1938" s="59"/>
      <c r="D1938" s="59"/>
      <c r="E1938" s="59"/>
      <c r="F1938" s="59"/>
      <c r="G1938" s="60">
        <f>IF(OR(E1938="",F1938="",C1938="",D1938=""),"",IF(C1938+D1938=0,"",(E1938*C1938+F1938*D1938)/(C1938+D1938)))</f>
        <v/>
      </c>
      <c r="H1938" s="59"/>
      <c r="I1938" s="60">
        <f>IF(OR(H1938="",E1938="",C1938="",D1938=""),"",IF(C1938+D1938=0,"",(H1938*D1938+E1938*C1938)/(C1938+D1938)))</f>
        <v/>
      </c>
      <c r="J1938" s="59"/>
      <c r="K1938" s="61">
        <f>IF(OR(J1938="",I1938=""),"",J1938-I1938)</f>
        <v/>
      </c>
      <c r="L1938" s="61">
        <f>IF(OR(J1938="",G1938=""),"",J1938-G1938)</f>
        <v/>
      </c>
      <c r="M1938" s="59"/>
      <c r="N1938" s="59"/>
      <c r="O1938" s="59"/>
      <c r="P1938" s="59"/>
      <c r="Q1938" s="59"/>
      <c r="R1938" s="60">
        <f>IF(AND(P1938="",Q1938=""),"",N(P1938)+N(Q1938))</f>
        <v/>
      </c>
      <c r="S1938" s="59"/>
      <c r="T1938" s="59"/>
      <c r="U1938" s="62">
        <f>IF(OR(R1938="",S1938="",T1938=""),"",IF(S1938+T1938=0,"",R1938/(S1938+T1938)))</f>
        <v/>
      </c>
      <c r="V1938" s="63"/>
      <c r="W1938" s="64"/>
      <c r="X1938" s="63"/>
    </row>
    <row r="1939" spans="2:24">
      <c r="B1939" s="58"/>
      <c r="C1939" s="59"/>
      <c r="D1939" s="59"/>
      <c r="E1939" s="59"/>
      <c r="F1939" s="59"/>
      <c r="G1939" s="60">
        <f>IF(OR(E1939="",F1939="",C1939="",D1939=""),"",IF(C1939+D1939=0,"",(E1939*C1939+F1939*D1939)/(C1939+D1939)))</f>
        <v/>
      </c>
      <c r="H1939" s="59"/>
      <c r="I1939" s="60">
        <f>IF(OR(H1939="",E1939="",C1939="",D1939=""),"",IF(C1939+D1939=0,"",(H1939*D1939+E1939*C1939)/(C1939+D1939)))</f>
        <v/>
      </c>
      <c r="J1939" s="59"/>
      <c r="K1939" s="61">
        <f>IF(OR(J1939="",I1939=""),"",J1939-I1939)</f>
        <v/>
      </c>
      <c r="L1939" s="61">
        <f>IF(OR(J1939="",G1939=""),"",J1939-G1939)</f>
        <v/>
      </c>
      <c r="M1939" s="59"/>
      <c r="N1939" s="59"/>
      <c r="O1939" s="59"/>
      <c r="P1939" s="59"/>
      <c r="Q1939" s="59"/>
      <c r="R1939" s="60">
        <f>IF(AND(P1939="",Q1939=""),"",N(P1939)+N(Q1939))</f>
        <v/>
      </c>
      <c r="S1939" s="59"/>
      <c r="T1939" s="59"/>
      <c r="U1939" s="62">
        <f>IF(OR(R1939="",S1939="",T1939=""),"",IF(S1939+T1939=0,"",R1939/(S1939+T1939)))</f>
        <v/>
      </c>
      <c r="V1939" s="63"/>
      <c r="W1939" s="64"/>
      <c r="X1939" s="63"/>
    </row>
    <row r="1940" spans="2:24">
      <c r="B1940" s="58"/>
      <c r="C1940" s="59"/>
      <c r="D1940" s="59"/>
      <c r="E1940" s="59"/>
      <c r="F1940" s="59"/>
      <c r="G1940" s="60">
        <f>IF(OR(E1940="",F1940="",C1940="",D1940=""),"",IF(C1940+D1940=0,"",(E1940*C1940+F1940*D1940)/(C1940+D1940)))</f>
        <v/>
      </c>
      <c r="H1940" s="59"/>
      <c r="I1940" s="60">
        <f>IF(OR(H1940="",E1940="",C1940="",D1940=""),"",IF(C1940+D1940=0,"",(H1940*D1940+E1940*C1940)/(C1940+D1940)))</f>
        <v/>
      </c>
      <c r="J1940" s="59"/>
      <c r="K1940" s="61">
        <f>IF(OR(J1940="",I1940=""),"",J1940-I1940)</f>
        <v/>
      </c>
      <c r="L1940" s="61">
        <f>IF(OR(J1940="",G1940=""),"",J1940-G1940)</f>
        <v/>
      </c>
      <c r="M1940" s="59"/>
      <c r="N1940" s="59"/>
      <c r="O1940" s="59"/>
      <c r="P1940" s="59"/>
      <c r="Q1940" s="59"/>
      <c r="R1940" s="60">
        <f>IF(AND(P1940="",Q1940=""),"",N(P1940)+N(Q1940))</f>
        <v/>
      </c>
      <c r="S1940" s="59"/>
      <c r="T1940" s="59"/>
      <c r="U1940" s="62">
        <f>IF(OR(R1940="",S1940="",T1940=""),"",IF(S1940+T1940=0,"",R1940/(S1940+T1940)))</f>
        <v/>
      </c>
      <c r="V1940" s="63"/>
      <c r="W1940" s="64"/>
      <c r="X1940" s="63"/>
    </row>
    <row r="1941" spans="2:24">
      <c r="B1941" s="58"/>
      <c r="C1941" s="59"/>
      <c r="D1941" s="59"/>
      <c r="E1941" s="59"/>
      <c r="F1941" s="59"/>
      <c r="G1941" s="60">
        <f>IF(OR(E1941="",F1941="",C1941="",D1941=""),"",IF(C1941+D1941=0,"",(E1941*C1941+F1941*D1941)/(C1941+D1941)))</f>
        <v/>
      </c>
      <c r="H1941" s="59"/>
      <c r="I1941" s="60">
        <f>IF(OR(H1941="",E1941="",C1941="",D1941=""),"",IF(C1941+D1941=0,"",(H1941*D1941+E1941*C1941)/(C1941+D1941)))</f>
        <v/>
      </c>
      <c r="J1941" s="59"/>
      <c r="K1941" s="61">
        <f>IF(OR(J1941="",I1941=""),"",J1941-I1941)</f>
        <v/>
      </c>
      <c r="L1941" s="61">
        <f>IF(OR(J1941="",G1941=""),"",J1941-G1941)</f>
        <v/>
      </c>
      <c r="M1941" s="59"/>
      <c r="N1941" s="59"/>
      <c r="O1941" s="59"/>
      <c r="P1941" s="59"/>
      <c r="Q1941" s="59"/>
      <c r="R1941" s="60">
        <f>IF(AND(P1941="",Q1941=""),"",N(P1941)+N(Q1941))</f>
        <v/>
      </c>
      <c r="S1941" s="59"/>
      <c r="T1941" s="59"/>
      <c r="U1941" s="62">
        <f>IF(OR(R1941="",S1941="",T1941=""),"",IF(S1941+T1941=0,"",R1941/(S1941+T1941)))</f>
        <v/>
      </c>
      <c r="V1941" s="63"/>
      <c r="W1941" s="64"/>
      <c r="X1941" s="63"/>
    </row>
    <row r="1942" spans="2:24">
      <c r="B1942" s="58"/>
      <c r="C1942" s="59"/>
      <c r="D1942" s="59"/>
      <c r="E1942" s="59"/>
      <c r="F1942" s="59"/>
      <c r="G1942" s="60">
        <f>IF(OR(E1942="",F1942="",C1942="",D1942=""),"",IF(C1942+D1942=0,"",(E1942*C1942+F1942*D1942)/(C1942+D1942)))</f>
        <v/>
      </c>
      <c r="H1942" s="59"/>
      <c r="I1942" s="60">
        <f>IF(OR(H1942="",E1942="",C1942="",D1942=""),"",IF(C1942+D1942=0,"",(H1942*D1942+E1942*C1942)/(C1942+D1942)))</f>
        <v/>
      </c>
      <c r="J1942" s="59"/>
      <c r="K1942" s="61">
        <f>IF(OR(J1942="",I1942=""),"",J1942-I1942)</f>
        <v/>
      </c>
      <c r="L1942" s="61">
        <f>IF(OR(J1942="",G1942=""),"",J1942-G1942)</f>
        <v/>
      </c>
      <c r="M1942" s="59"/>
      <c r="N1942" s="59"/>
      <c r="O1942" s="59"/>
      <c r="P1942" s="59"/>
      <c r="Q1942" s="59"/>
      <c r="R1942" s="60">
        <f>IF(AND(P1942="",Q1942=""),"",N(P1942)+N(Q1942))</f>
        <v/>
      </c>
      <c r="S1942" s="59"/>
      <c r="T1942" s="59"/>
      <c r="U1942" s="62">
        <f>IF(OR(R1942="",S1942="",T1942=""),"",IF(S1942+T1942=0,"",R1942/(S1942+T1942)))</f>
        <v/>
      </c>
      <c r="V1942" s="63"/>
      <c r="W1942" s="64"/>
      <c r="X1942" s="63"/>
    </row>
    <row r="1943" spans="2:24">
      <c r="B1943" s="58"/>
      <c r="C1943" s="59"/>
      <c r="D1943" s="59"/>
      <c r="E1943" s="59"/>
      <c r="F1943" s="59"/>
      <c r="G1943" s="60">
        <f>IF(OR(E1943="",F1943="",C1943="",D1943=""),"",IF(C1943+D1943=0,"",(E1943*C1943+F1943*D1943)/(C1943+D1943)))</f>
        <v/>
      </c>
      <c r="H1943" s="59"/>
      <c r="I1943" s="60">
        <f>IF(OR(H1943="",E1943="",C1943="",D1943=""),"",IF(C1943+D1943=0,"",(H1943*D1943+E1943*C1943)/(C1943+D1943)))</f>
        <v/>
      </c>
      <c r="J1943" s="59"/>
      <c r="K1943" s="61">
        <f>IF(OR(J1943="",I1943=""),"",J1943-I1943)</f>
        <v/>
      </c>
      <c r="L1943" s="61">
        <f>IF(OR(J1943="",G1943=""),"",J1943-G1943)</f>
        <v/>
      </c>
      <c r="M1943" s="59"/>
      <c r="N1943" s="59"/>
      <c r="O1943" s="59"/>
      <c r="P1943" s="59"/>
      <c r="Q1943" s="59"/>
      <c r="R1943" s="60">
        <f>IF(AND(P1943="",Q1943=""),"",N(P1943)+N(Q1943))</f>
        <v/>
      </c>
      <c r="S1943" s="59"/>
      <c r="T1943" s="59"/>
      <c r="U1943" s="62">
        <f>IF(OR(R1943="",S1943="",T1943=""),"",IF(S1943+T1943=0,"",R1943/(S1943+T1943)))</f>
        <v/>
      </c>
      <c r="V1943" s="63"/>
      <c r="W1943" s="64"/>
      <c r="X1943" s="63"/>
    </row>
    <row r="1944" spans="2:24">
      <c r="B1944" s="58"/>
      <c r="C1944" s="59"/>
      <c r="D1944" s="59"/>
      <c r="E1944" s="59"/>
      <c r="F1944" s="59"/>
      <c r="G1944" s="60">
        <f>IF(OR(E1944="",F1944="",C1944="",D1944=""),"",IF(C1944+D1944=0,"",(E1944*C1944+F1944*D1944)/(C1944+D1944)))</f>
        <v/>
      </c>
      <c r="H1944" s="59"/>
      <c r="I1944" s="60">
        <f>IF(OR(H1944="",E1944="",C1944="",D1944=""),"",IF(C1944+D1944=0,"",(H1944*D1944+E1944*C1944)/(C1944+D1944)))</f>
        <v/>
      </c>
      <c r="J1944" s="59"/>
      <c r="K1944" s="61">
        <f>IF(OR(J1944="",I1944=""),"",J1944-I1944)</f>
        <v/>
      </c>
      <c r="L1944" s="61">
        <f>IF(OR(J1944="",G1944=""),"",J1944-G1944)</f>
        <v/>
      </c>
      <c r="M1944" s="59"/>
      <c r="N1944" s="59"/>
      <c r="O1944" s="59"/>
      <c r="P1944" s="59"/>
      <c r="Q1944" s="59"/>
      <c r="R1944" s="60">
        <f>IF(AND(P1944="",Q1944=""),"",N(P1944)+N(Q1944))</f>
        <v/>
      </c>
      <c r="S1944" s="59"/>
      <c r="T1944" s="59"/>
      <c r="U1944" s="62">
        <f>IF(OR(R1944="",S1944="",T1944=""),"",IF(S1944+T1944=0,"",R1944/(S1944+T1944)))</f>
        <v/>
      </c>
      <c r="V1944" s="63"/>
      <c r="W1944" s="64"/>
      <c r="X1944" s="63"/>
    </row>
    <row r="1945" spans="2:24">
      <c r="B1945" s="58"/>
      <c r="C1945" s="59"/>
      <c r="D1945" s="59"/>
      <c r="E1945" s="59"/>
      <c r="F1945" s="59"/>
      <c r="G1945" s="60">
        <f>IF(OR(E1945="",F1945="",C1945="",D1945=""),"",IF(C1945+D1945=0,"",(E1945*C1945+F1945*D1945)/(C1945+D1945)))</f>
        <v/>
      </c>
      <c r="H1945" s="59"/>
      <c r="I1945" s="60">
        <f>IF(OR(H1945="",E1945="",C1945="",D1945=""),"",IF(C1945+D1945=0,"",(H1945*D1945+E1945*C1945)/(C1945+D1945)))</f>
        <v/>
      </c>
      <c r="J1945" s="59"/>
      <c r="K1945" s="61">
        <f>IF(OR(J1945="",I1945=""),"",J1945-I1945)</f>
        <v/>
      </c>
      <c r="L1945" s="61">
        <f>IF(OR(J1945="",G1945=""),"",J1945-G1945)</f>
        <v/>
      </c>
      <c r="M1945" s="59"/>
      <c r="N1945" s="59"/>
      <c r="O1945" s="59"/>
      <c r="P1945" s="59"/>
      <c r="Q1945" s="59"/>
      <c r="R1945" s="60">
        <f>IF(AND(P1945="",Q1945=""),"",N(P1945)+N(Q1945))</f>
        <v/>
      </c>
      <c r="S1945" s="59"/>
      <c r="T1945" s="59"/>
      <c r="U1945" s="62">
        <f>IF(OR(R1945="",S1945="",T1945=""),"",IF(S1945+T1945=0,"",R1945/(S1945+T1945)))</f>
        <v/>
      </c>
      <c r="V1945" s="63"/>
      <c r="W1945" s="64"/>
      <c r="X1945" s="63"/>
    </row>
    <row r="1946" spans="2:24">
      <c r="B1946" s="58"/>
      <c r="C1946" s="59"/>
      <c r="D1946" s="59"/>
      <c r="E1946" s="59"/>
      <c r="F1946" s="59"/>
      <c r="G1946" s="60">
        <f>IF(OR(E1946="",F1946="",C1946="",D1946=""),"",IF(C1946+D1946=0,"",(E1946*C1946+F1946*D1946)/(C1946+D1946)))</f>
        <v/>
      </c>
      <c r="H1946" s="59"/>
      <c r="I1946" s="60">
        <f>IF(OR(H1946="",E1946="",C1946="",D1946=""),"",IF(C1946+D1946=0,"",(H1946*D1946+E1946*C1946)/(C1946+D1946)))</f>
        <v/>
      </c>
      <c r="J1946" s="59"/>
      <c r="K1946" s="61">
        <f>IF(OR(J1946="",I1946=""),"",J1946-I1946)</f>
        <v/>
      </c>
      <c r="L1946" s="61">
        <f>IF(OR(J1946="",G1946=""),"",J1946-G1946)</f>
        <v/>
      </c>
      <c r="M1946" s="59"/>
      <c r="N1946" s="59"/>
      <c r="O1946" s="59"/>
      <c r="P1946" s="59"/>
      <c r="Q1946" s="59"/>
      <c r="R1946" s="60">
        <f>IF(AND(P1946="",Q1946=""),"",N(P1946)+N(Q1946))</f>
        <v/>
      </c>
      <c r="S1946" s="59"/>
      <c r="T1946" s="59"/>
      <c r="U1946" s="62">
        <f>IF(OR(R1946="",S1946="",T1946=""),"",IF(S1946+T1946=0,"",R1946/(S1946+T1946)))</f>
        <v/>
      </c>
      <c r="V1946" s="63"/>
      <c r="W1946" s="64"/>
      <c r="X1946" s="63"/>
    </row>
    <row r="1947" spans="2:24">
      <c r="B1947" s="58"/>
      <c r="C1947" s="59"/>
      <c r="D1947" s="59"/>
      <c r="E1947" s="59"/>
      <c r="F1947" s="59"/>
      <c r="G1947" s="60">
        <f>IF(OR(E1947="",F1947="",C1947="",D1947=""),"",IF(C1947+D1947=0,"",(E1947*C1947+F1947*D1947)/(C1947+D1947)))</f>
        <v/>
      </c>
      <c r="H1947" s="59"/>
      <c r="I1947" s="60">
        <f>IF(OR(H1947="",E1947="",C1947="",D1947=""),"",IF(C1947+D1947=0,"",(H1947*D1947+E1947*C1947)/(C1947+D1947)))</f>
        <v/>
      </c>
      <c r="J1947" s="59"/>
      <c r="K1947" s="61">
        <f>IF(OR(J1947="",I1947=""),"",J1947-I1947)</f>
        <v/>
      </c>
      <c r="L1947" s="61">
        <f>IF(OR(J1947="",G1947=""),"",J1947-G1947)</f>
        <v/>
      </c>
      <c r="M1947" s="59"/>
      <c r="N1947" s="59"/>
      <c r="O1947" s="59"/>
      <c r="P1947" s="59"/>
      <c r="Q1947" s="59"/>
      <c r="R1947" s="60">
        <f>IF(AND(P1947="",Q1947=""),"",N(P1947)+N(Q1947))</f>
        <v/>
      </c>
      <c r="S1947" s="59"/>
      <c r="T1947" s="59"/>
      <c r="U1947" s="62">
        <f>IF(OR(R1947="",S1947="",T1947=""),"",IF(S1947+T1947=0,"",R1947/(S1947+T1947)))</f>
        <v/>
      </c>
      <c r="V1947" s="63"/>
      <c r="W1947" s="64"/>
      <c r="X1947" s="63"/>
    </row>
    <row r="1948" spans="2:24">
      <c r="B1948" s="58"/>
      <c r="C1948" s="59"/>
      <c r="D1948" s="59"/>
      <c r="E1948" s="59"/>
      <c r="F1948" s="59"/>
      <c r="G1948" s="60">
        <f>IF(OR(E1948="",F1948="",C1948="",D1948=""),"",IF(C1948+D1948=0,"",(E1948*C1948+F1948*D1948)/(C1948+D1948)))</f>
        <v/>
      </c>
      <c r="H1948" s="59"/>
      <c r="I1948" s="60">
        <f>IF(OR(H1948="",E1948="",C1948="",D1948=""),"",IF(C1948+D1948=0,"",(H1948*D1948+E1948*C1948)/(C1948+D1948)))</f>
        <v/>
      </c>
      <c r="J1948" s="59"/>
      <c r="K1948" s="61">
        <f>IF(OR(J1948="",I1948=""),"",J1948-I1948)</f>
        <v/>
      </c>
      <c r="L1948" s="61">
        <f>IF(OR(J1948="",G1948=""),"",J1948-G1948)</f>
        <v/>
      </c>
      <c r="M1948" s="59"/>
      <c r="N1948" s="59"/>
      <c r="O1948" s="59"/>
      <c r="P1948" s="59"/>
      <c r="Q1948" s="59"/>
      <c r="R1948" s="60">
        <f>IF(AND(P1948="",Q1948=""),"",N(P1948)+N(Q1948))</f>
        <v/>
      </c>
      <c r="S1948" s="59"/>
      <c r="T1948" s="59"/>
      <c r="U1948" s="62">
        <f>IF(OR(R1948="",S1948="",T1948=""),"",IF(S1948+T1948=0,"",R1948/(S1948+T1948)))</f>
        <v/>
      </c>
      <c r="V1948" s="63"/>
      <c r="W1948" s="64"/>
      <c r="X1948" s="63"/>
    </row>
    <row r="1949" spans="2:24">
      <c r="B1949" s="58"/>
      <c r="C1949" s="59"/>
      <c r="D1949" s="59"/>
      <c r="E1949" s="59"/>
      <c r="F1949" s="59"/>
      <c r="G1949" s="60">
        <f>IF(OR(E1949="",F1949="",C1949="",D1949=""),"",IF(C1949+D1949=0,"",(E1949*C1949+F1949*D1949)/(C1949+D1949)))</f>
        <v/>
      </c>
      <c r="H1949" s="59"/>
      <c r="I1949" s="60">
        <f>IF(OR(H1949="",E1949="",C1949="",D1949=""),"",IF(C1949+D1949=0,"",(H1949*D1949+E1949*C1949)/(C1949+D1949)))</f>
        <v/>
      </c>
      <c r="J1949" s="59"/>
      <c r="K1949" s="61">
        <f>IF(OR(J1949="",I1949=""),"",J1949-I1949)</f>
        <v/>
      </c>
      <c r="L1949" s="61">
        <f>IF(OR(J1949="",G1949=""),"",J1949-G1949)</f>
        <v/>
      </c>
      <c r="M1949" s="59"/>
      <c r="N1949" s="59"/>
      <c r="O1949" s="59"/>
      <c r="P1949" s="59"/>
      <c r="Q1949" s="59"/>
      <c r="R1949" s="60">
        <f>IF(AND(P1949="",Q1949=""),"",N(P1949)+N(Q1949))</f>
        <v/>
      </c>
      <c r="S1949" s="59"/>
      <c r="T1949" s="59"/>
      <c r="U1949" s="62">
        <f>IF(OR(R1949="",S1949="",T1949=""),"",IF(S1949+T1949=0,"",R1949/(S1949+T1949)))</f>
        <v/>
      </c>
      <c r="V1949" s="63"/>
      <c r="W1949" s="64"/>
      <c r="X1949" s="63"/>
    </row>
    <row r="1950" spans="2:24">
      <c r="B1950" s="58"/>
      <c r="C1950" s="59"/>
      <c r="D1950" s="59"/>
      <c r="E1950" s="59"/>
      <c r="F1950" s="59"/>
      <c r="G1950" s="60">
        <f>IF(OR(E1950="",F1950="",C1950="",D1950=""),"",IF(C1950+D1950=0,"",(E1950*C1950+F1950*D1950)/(C1950+D1950)))</f>
        <v/>
      </c>
      <c r="H1950" s="59"/>
      <c r="I1950" s="60">
        <f>IF(OR(H1950="",E1950="",C1950="",D1950=""),"",IF(C1950+D1950=0,"",(H1950*D1950+E1950*C1950)/(C1950+D1950)))</f>
        <v/>
      </c>
      <c r="J1950" s="59"/>
      <c r="K1950" s="61">
        <f>IF(OR(J1950="",I1950=""),"",J1950-I1950)</f>
        <v/>
      </c>
      <c r="L1950" s="61">
        <f>IF(OR(J1950="",G1950=""),"",J1950-G1950)</f>
        <v/>
      </c>
      <c r="M1950" s="59"/>
      <c r="N1950" s="59"/>
      <c r="O1950" s="59"/>
      <c r="P1950" s="59"/>
      <c r="Q1950" s="59"/>
      <c r="R1950" s="60">
        <f>IF(AND(P1950="",Q1950=""),"",N(P1950)+N(Q1950))</f>
        <v/>
      </c>
      <c r="S1950" s="59"/>
      <c r="T1950" s="59"/>
      <c r="U1950" s="62">
        <f>IF(OR(R1950="",S1950="",T1950=""),"",IF(S1950+T1950=0,"",R1950/(S1950+T1950)))</f>
        <v/>
      </c>
      <c r="V1950" s="63"/>
      <c r="W1950" s="64"/>
      <c r="X1950" s="63"/>
    </row>
    <row r="1951" spans="2:24">
      <c r="B1951" s="58"/>
      <c r="C1951" s="59"/>
      <c r="D1951" s="59"/>
      <c r="E1951" s="59"/>
      <c r="F1951" s="59"/>
      <c r="G1951" s="60">
        <f>IF(OR(E1951="",F1951="",C1951="",D1951=""),"",IF(C1951+D1951=0,"",(E1951*C1951+F1951*D1951)/(C1951+D1951)))</f>
        <v/>
      </c>
      <c r="H1951" s="59"/>
      <c r="I1951" s="60">
        <f>IF(OR(H1951="",E1951="",C1951="",D1951=""),"",IF(C1951+D1951=0,"",(H1951*D1951+E1951*C1951)/(C1951+D1951)))</f>
        <v/>
      </c>
      <c r="J1951" s="59"/>
      <c r="K1951" s="61">
        <f>IF(OR(J1951="",I1951=""),"",J1951-I1951)</f>
        <v/>
      </c>
      <c r="L1951" s="61">
        <f>IF(OR(J1951="",G1951=""),"",J1951-G1951)</f>
        <v/>
      </c>
      <c r="M1951" s="59"/>
      <c r="N1951" s="59"/>
      <c r="O1951" s="59"/>
      <c r="P1951" s="59"/>
      <c r="Q1951" s="59"/>
      <c r="R1951" s="60">
        <f>IF(AND(P1951="",Q1951=""),"",N(P1951)+N(Q1951))</f>
        <v/>
      </c>
      <c r="S1951" s="59"/>
      <c r="T1951" s="59"/>
      <c r="U1951" s="62">
        <f>IF(OR(R1951="",S1951="",T1951=""),"",IF(S1951+T1951=0,"",R1951/(S1951+T1951)))</f>
        <v/>
      </c>
      <c r="V1951" s="63"/>
      <c r="W1951" s="64"/>
      <c r="X1951" s="63"/>
    </row>
    <row r="1952" spans="2:24">
      <c r="B1952" s="58"/>
      <c r="C1952" s="59"/>
      <c r="D1952" s="59"/>
      <c r="E1952" s="59"/>
      <c r="F1952" s="59"/>
      <c r="G1952" s="60">
        <f>IF(OR(E1952="",F1952="",C1952="",D1952=""),"",IF(C1952+D1952=0,"",(E1952*C1952+F1952*D1952)/(C1952+D1952)))</f>
        <v/>
      </c>
      <c r="H1952" s="59"/>
      <c r="I1952" s="60">
        <f>IF(OR(H1952="",E1952="",C1952="",D1952=""),"",IF(C1952+D1952=0,"",(H1952*D1952+E1952*C1952)/(C1952+D1952)))</f>
        <v/>
      </c>
      <c r="J1952" s="59"/>
      <c r="K1952" s="61">
        <f>IF(OR(J1952="",I1952=""),"",J1952-I1952)</f>
        <v/>
      </c>
      <c r="L1952" s="61">
        <f>IF(OR(J1952="",G1952=""),"",J1952-G1952)</f>
        <v/>
      </c>
      <c r="M1952" s="59"/>
      <c r="N1952" s="59"/>
      <c r="O1952" s="59"/>
      <c r="P1952" s="59"/>
      <c r="Q1952" s="59"/>
      <c r="R1952" s="60">
        <f>IF(AND(P1952="",Q1952=""),"",N(P1952)+N(Q1952))</f>
        <v/>
      </c>
      <c r="S1952" s="59"/>
      <c r="T1952" s="59"/>
      <c r="U1952" s="62">
        <f>IF(OR(R1952="",S1952="",T1952=""),"",IF(S1952+T1952=0,"",R1952/(S1952+T1952)))</f>
        <v/>
      </c>
      <c r="V1952" s="63"/>
      <c r="W1952" s="64"/>
      <c r="X1952" s="63"/>
    </row>
    <row r="1953" spans="2:24">
      <c r="B1953" s="58"/>
      <c r="C1953" s="59"/>
      <c r="D1953" s="59"/>
      <c r="E1953" s="59"/>
      <c r="F1953" s="59"/>
      <c r="G1953" s="60">
        <f>IF(OR(E1953="",F1953="",C1953="",D1953=""),"",IF(C1953+D1953=0,"",(E1953*C1953+F1953*D1953)/(C1953+D1953)))</f>
        <v/>
      </c>
      <c r="H1953" s="59"/>
      <c r="I1953" s="60">
        <f>IF(OR(H1953="",E1953="",C1953="",D1953=""),"",IF(C1953+D1953=0,"",(H1953*D1953+E1953*C1953)/(C1953+D1953)))</f>
        <v/>
      </c>
      <c r="J1953" s="59"/>
      <c r="K1953" s="61">
        <f>IF(OR(J1953="",I1953=""),"",J1953-I1953)</f>
        <v/>
      </c>
      <c r="L1953" s="61">
        <f>IF(OR(J1953="",G1953=""),"",J1953-G1953)</f>
        <v/>
      </c>
      <c r="M1953" s="59"/>
      <c r="N1953" s="59"/>
      <c r="O1953" s="59"/>
      <c r="P1953" s="59"/>
      <c r="Q1953" s="59"/>
      <c r="R1953" s="60">
        <f>IF(AND(P1953="",Q1953=""),"",N(P1953)+N(Q1953))</f>
        <v/>
      </c>
      <c r="S1953" s="59"/>
      <c r="T1953" s="59"/>
      <c r="U1953" s="62">
        <f>IF(OR(R1953="",S1953="",T1953=""),"",IF(S1953+T1953=0,"",R1953/(S1953+T1953)))</f>
        <v/>
      </c>
      <c r="V1953" s="63"/>
      <c r="W1953" s="64"/>
      <c r="X1953" s="63"/>
    </row>
    <row r="1954" spans="2:24">
      <c r="B1954" s="58"/>
      <c r="C1954" s="59"/>
      <c r="D1954" s="59"/>
      <c r="E1954" s="59"/>
      <c r="F1954" s="59"/>
      <c r="G1954" s="60">
        <f>IF(OR(E1954="",F1954="",C1954="",D1954=""),"",IF(C1954+D1954=0,"",(E1954*C1954+F1954*D1954)/(C1954+D1954)))</f>
        <v/>
      </c>
      <c r="H1954" s="59"/>
      <c r="I1954" s="60">
        <f>IF(OR(H1954="",E1954="",C1954="",D1954=""),"",IF(C1954+D1954=0,"",(H1954*D1954+E1954*C1954)/(C1954+D1954)))</f>
        <v/>
      </c>
      <c r="J1954" s="59"/>
      <c r="K1954" s="61">
        <f>IF(OR(J1954="",I1954=""),"",J1954-I1954)</f>
        <v/>
      </c>
      <c r="L1954" s="61">
        <f>IF(OR(J1954="",G1954=""),"",J1954-G1954)</f>
        <v/>
      </c>
      <c r="M1954" s="59"/>
      <c r="N1954" s="59"/>
      <c r="O1954" s="59"/>
      <c r="P1954" s="59"/>
      <c r="Q1954" s="59"/>
      <c r="R1954" s="60">
        <f>IF(AND(P1954="",Q1954=""),"",N(P1954)+N(Q1954))</f>
        <v/>
      </c>
      <c r="S1954" s="59"/>
      <c r="T1954" s="59"/>
      <c r="U1954" s="62">
        <f>IF(OR(R1954="",S1954="",T1954=""),"",IF(S1954+T1954=0,"",R1954/(S1954+T1954)))</f>
        <v/>
      </c>
      <c r="V1954" s="63"/>
      <c r="W1954" s="64"/>
      <c r="X1954" s="63"/>
    </row>
    <row r="1955" spans="2:24">
      <c r="B1955" s="58"/>
      <c r="C1955" s="59"/>
      <c r="D1955" s="59"/>
      <c r="E1955" s="59"/>
      <c r="F1955" s="59"/>
      <c r="G1955" s="60">
        <f>IF(OR(E1955="",F1955="",C1955="",D1955=""),"",IF(C1955+D1955=0,"",(E1955*C1955+F1955*D1955)/(C1955+D1955)))</f>
        <v/>
      </c>
      <c r="H1955" s="59"/>
      <c r="I1955" s="60">
        <f>IF(OR(H1955="",E1955="",C1955="",D1955=""),"",IF(C1955+D1955=0,"",(H1955*D1955+E1955*C1955)/(C1955+D1955)))</f>
        <v/>
      </c>
      <c r="J1955" s="59"/>
      <c r="K1955" s="61">
        <f>IF(OR(J1955="",I1955=""),"",J1955-I1955)</f>
        <v/>
      </c>
      <c r="L1955" s="61">
        <f>IF(OR(J1955="",G1955=""),"",J1955-G1955)</f>
        <v/>
      </c>
      <c r="M1955" s="59"/>
      <c r="N1955" s="59"/>
      <c r="O1955" s="59"/>
      <c r="P1955" s="59"/>
      <c r="Q1955" s="59"/>
      <c r="R1955" s="60">
        <f>IF(AND(P1955="",Q1955=""),"",N(P1955)+N(Q1955))</f>
        <v/>
      </c>
      <c r="S1955" s="59"/>
      <c r="T1955" s="59"/>
      <c r="U1955" s="62">
        <f>IF(OR(R1955="",S1955="",T1955=""),"",IF(S1955+T1955=0,"",R1955/(S1955+T1955)))</f>
        <v/>
      </c>
      <c r="V1955" s="63"/>
      <c r="W1955" s="64"/>
      <c r="X1955" s="63"/>
    </row>
    <row r="1956" spans="2:24">
      <c r="B1956" s="58"/>
      <c r="C1956" s="59"/>
      <c r="D1956" s="59"/>
      <c r="E1956" s="59"/>
      <c r="F1956" s="59"/>
      <c r="G1956" s="60">
        <f>IF(OR(E1956="",F1956="",C1956="",D1956=""),"",IF(C1956+D1956=0,"",(E1956*C1956+F1956*D1956)/(C1956+D1956)))</f>
        <v/>
      </c>
      <c r="H1956" s="59"/>
      <c r="I1956" s="60">
        <f>IF(OR(H1956="",E1956="",C1956="",D1956=""),"",IF(C1956+D1956=0,"",(H1956*D1956+E1956*C1956)/(C1956+D1956)))</f>
        <v/>
      </c>
      <c r="J1956" s="59"/>
      <c r="K1956" s="61">
        <f>IF(OR(J1956="",I1956=""),"",J1956-I1956)</f>
        <v/>
      </c>
      <c r="L1956" s="61">
        <f>IF(OR(J1956="",G1956=""),"",J1956-G1956)</f>
        <v/>
      </c>
      <c r="M1956" s="59"/>
      <c r="N1956" s="59"/>
      <c r="O1956" s="59"/>
      <c r="P1956" s="59"/>
      <c r="Q1956" s="59"/>
      <c r="R1956" s="60">
        <f>IF(AND(P1956="",Q1956=""),"",N(P1956)+N(Q1956))</f>
        <v/>
      </c>
      <c r="S1956" s="59"/>
      <c r="T1956" s="59"/>
      <c r="U1956" s="62">
        <f>IF(OR(R1956="",S1956="",T1956=""),"",IF(S1956+T1956=0,"",R1956/(S1956+T1956)))</f>
        <v/>
      </c>
      <c r="V1956" s="63"/>
      <c r="W1956" s="64"/>
      <c r="X1956" s="63"/>
    </row>
    <row r="1957" spans="2:24">
      <c r="B1957" s="58"/>
      <c r="C1957" s="59"/>
      <c r="D1957" s="59"/>
      <c r="E1957" s="59"/>
      <c r="F1957" s="59"/>
      <c r="G1957" s="60">
        <f>IF(OR(E1957="",F1957="",C1957="",D1957=""),"",IF(C1957+D1957=0,"",(E1957*C1957+F1957*D1957)/(C1957+D1957)))</f>
        <v/>
      </c>
      <c r="H1957" s="59"/>
      <c r="I1957" s="60">
        <f>IF(OR(H1957="",E1957="",C1957="",D1957=""),"",IF(C1957+D1957=0,"",(H1957*D1957+E1957*C1957)/(C1957+D1957)))</f>
        <v/>
      </c>
      <c r="J1957" s="59"/>
      <c r="K1957" s="61">
        <f>IF(OR(J1957="",I1957=""),"",J1957-I1957)</f>
        <v/>
      </c>
      <c r="L1957" s="61">
        <f>IF(OR(J1957="",G1957=""),"",J1957-G1957)</f>
        <v/>
      </c>
      <c r="M1957" s="59"/>
      <c r="N1957" s="59"/>
      <c r="O1957" s="59"/>
      <c r="P1957" s="59"/>
      <c r="Q1957" s="59"/>
      <c r="R1957" s="60">
        <f>IF(AND(P1957="",Q1957=""),"",N(P1957)+N(Q1957))</f>
        <v/>
      </c>
      <c r="S1957" s="59"/>
      <c r="T1957" s="59"/>
      <c r="U1957" s="62">
        <f>IF(OR(R1957="",S1957="",T1957=""),"",IF(S1957+T1957=0,"",R1957/(S1957+T1957)))</f>
        <v/>
      </c>
      <c r="V1957" s="63"/>
      <c r="W1957" s="64"/>
      <c r="X1957" s="63"/>
    </row>
    <row r="1958" spans="2:24">
      <c r="B1958" s="58"/>
      <c r="C1958" s="59"/>
      <c r="D1958" s="59"/>
      <c r="E1958" s="59"/>
      <c r="F1958" s="59"/>
      <c r="G1958" s="60">
        <f>IF(OR(E1958="",F1958="",C1958="",D1958=""),"",IF(C1958+D1958=0,"",(E1958*C1958+F1958*D1958)/(C1958+D1958)))</f>
        <v/>
      </c>
      <c r="H1958" s="59"/>
      <c r="I1958" s="60">
        <f>IF(OR(H1958="",E1958="",C1958="",D1958=""),"",IF(C1958+D1958=0,"",(H1958*D1958+E1958*C1958)/(C1958+D1958)))</f>
        <v/>
      </c>
      <c r="J1958" s="59"/>
      <c r="K1958" s="61">
        <f>IF(OR(J1958="",I1958=""),"",J1958-I1958)</f>
        <v/>
      </c>
      <c r="L1958" s="61">
        <f>IF(OR(J1958="",G1958=""),"",J1958-G1958)</f>
        <v/>
      </c>
      <c r="M1958" s="59"/>
      <c r="N1958" s="59"/>
      <c r="O1958" s="59"/>
      <c r="P1958" s="59"/>
      <c r="Q1958" s="59"/>
      <c r="R1958" s="60">
        <f>IF(AND(P1958="",Q1958=""),"",N(P1958)+N(Q1958))</f>
        <v/>
      </c>
      <c r="S1958" s="59"/>
      <c r="T1958" s="59"/>
      <c r="U1958" s="62">
        <f>IF(OR(R1958="",S1958="",T1958=""),"",IF(S1958+T1958=0,"",R1958/(S1958+T1958)))</f>
        <v/>
      </c>
      <c r="V1958" s="63"/>
      <c r="W1958" s="64"/>
      <c r="X1958" s="63"/>
    </row>
    <row r="1959" spans="2:24">
      <c r="B1959" s="58"/>
      <c r="C1959" s="59"/>
      <c r="D1959" s="59"/>
      <c r="E1959" s="59"/>
      <c r="F1959" s="59"/>
      <c r="G1959" s="60">
        <f>IF(OR(E1959="",F1959="",C1959="",D1959=""),"",IF(C1959+D1959=0,"",(E1959*C1959+F1959*D1959)/(C1959+D1959)))</f>
        <v/>
      </c>
      <c r="H1959" s="59"/>
      <c r="I1959" s="60">
        <f>IF(OR(H1959="",E1959="",C1959="",D1959=""),"",IF(C1959+D1959=0,"",(H1959*D1959+E1959*C1959)/(C1959+D1959)))</f>
        <v/>
      </c>
      <c r="J1959" s="59"/>
      <c r="K1959" s="61">
        <f>IF(OR(J1959="",I1959=""),"",J1959-I1959)</f>
        <v/>
      </c>
      <c r="L1959" s="61">
        <f>IF(OR(J1959="",G1959=""),"",J1959-G1959)</f>
        <v/>
      </c>
      <c r="M1959" s="59"/>
      <c r="N1959" s="59"/>
      <c r="O1959" s="59"/>
      <c r="P1959" s="59"/>
      <c r="Q1959" s="59"/>
      <c r="R1959" s="60">
        <f>IF(AND(P1959="",Q1959=""),"",N(P1959)+N(Q1959))</f>
        <v/>
      </c>
      <c r="S1959" s="59"/>
      <c r="T1959" s="59"/>
      <c r="U1959" s="62">
        <f>IF(OR(R1959="",S1959="",T1959=""),"",IF(S1959+T1959=0,"",R1959/(S1959+T1959)))</f>
        <v/>
      </c>
      <c r="V1959" s="63"/>
      <c r="W1959" s="64"/>
      <c r="X1959" s="63"/>
    </row>
    <row r="1960" spans="2:24">
      <c r="B1960" s="58"/>
      <c r="C1960" s="59"/>
      <c r="D1960" s="59"/>
      <c r="E1960" s="59"/>
      <c r="F1960" s="59"/>
      <c r="G1960" s="60">
        <f>IF(OR(E1960="",F1960="",C1960="",D1960=""),"",IF(C1960+D1960=0,"",(E1960*C1960+F1960*D1960)/(C1960+D1960)))</f>
        <v/>
      </c>
      <c r="H1960" s="59"/>
      <c r="I1960" s="60">
        <f>IF(OR(H1960="",E1960="",C1960="",D1960=""),"",IF(C1960+D1960=0,"",(H1960*D1960+E1960*C1960)/(C1960+D1960)))</f>
        <v/>
      </c>
      <c r="J1960" s="59"/>
      <c r="K1960" s="61">
        <f>IF(OR(J1960="",I1960=""),"",J1960-I1960)</f>
        <v/>
      </c>
      <c r="L1960" s="61">
        <f>IF(OR(J1960="",G1960=""),"",J1960-G1960)</f>
        <v/>
      </c>
      <c r="M1960" s="59"/>
      <c r="N1960" s="59"/>
      <c r="O1960" s="59"/>
      <c r="P1960" s="59"/>
      <c r="Q1960" s="59"/>
      <c r="R1960" s="60">
        <f>IF(AND(P1960="",Q1960=""),"",N(P1960)+N(Q1960))</f>
        <v/>
      </c>
      <c r="S1960" s="59"/>
      <c r="T1960" s="59"/>
      <c r="U1960" s="62">
        <f>IF(OR(R1960="",S1960="",T1960=""),"",IF(S1960+T1960=0,"",R1960/(S1960+T1960)))</f>
        <v/>
      </c>
      <c r="V1960" s="63"/>
      <c r="W1960" s="64"/>
      <c r="X1960" s="63"/>
    </row>
    <row r="1961" spans="2:24">
      <c r="B1961" s="58"/>
      <c r="C1961" s="59"/>
      <c r="D1961" s="59"/>
      <c r="E1961" s="59"/>
      <c r="F1961" s="59"/>
      <c r="G1961" s="60">
        <f>IF(OR(E1961="",F1961="",C1961="",D1961=""),"",IF(C1961+D1961=0,"",(E1961*C1961+F1961*D1961)/(C1961+D1961)))</f>
        <v/>
      </c>
      <c r="H1961" s="59"/>
      <c r="I1961" s="60">
        <f>IF(OR(H1961="",E1961="",C1961="",D1961=""),"",IF(C1961+D1961=0,"",(H1961*D1961+E1961*C1961)/(C1961+D1961)))</f>
        <v/>
      </c>
      <c r="J1961" s="59"/>
      <c r="K1961" s="61">
        <f>IF(OR(J1961="",I1961=""),"",J1961-I1961)</f>
        <v/>
      </c>
      <c r="L1961" s="61">
        <f>IF(OR(J1961="",G1961=""),"",J1961-G1961)</f>
        <v/>
      </c>
      <c r="M1961" s="59"/>
      <c r="N1961" s="59"/>
      <c r="O1961" s="59"/>
      <c r="P1961" s="59"/>
      <c r="Q1961" s="59"/>
      <c r="R1961" s="60">
        <f>IF(AND(P1961="",Q1961=""),"",N(P1961)+N(Q1961))</f>
        <v/>
      </c>
      <c r="S1961" s="59"/>
      <c r="T1961" s="59"/>
      <c r="U1961" s="62">
        <f>IF(OR(R1961="",S1961="",T1961=""),"",IF(S1961+T1961=0,"",R1961/(S1961+T1961)))</f>
        <v/>
      </c>
      <c r="V1961" s="63"/>
      <c r="W1961" s="64"/>
      <c r="X1961" s="63"/>
    </row>
    <row r="1962" spans="2:24">
      <c r="B1962" s="58"/>
      <c r="C1962" s="59"/>
      <c r="D1962" s="59"/>
      <c r="E1962" s="59"/>
      <c r="F1962" s="59"/>
      <c r="G1962" s="60">
        <f>IF(OR(E1962="",F1962="",C1962="",D1962=""),"",IF(C1962+D1962=0,"",(E1962*C1962+F1962*D1962)/(C1962+D1962)))</f>
        <v/>
      </c>
      <c r="H1962" s="59"/>
      <c r="I1962" s="60">
        <f>IF(OR(H1962="",E1962="",C1962="",D1962=""),"",IF(C1962+D1962=0,"",(H1962*D1962+E1962*C1962)/(C1962+D1962)))</f>
        <v/>
      </c>
      <c r="J1962" s="59"/>
      <c r="K1962" s="61">
        <f>IF(OR(J1962="",I1962=""),"",J1962-I1962)</f>
        <v/>
      </c>
      <c r="L1962" s="61">
        <f>IF(OR(J1962="",G1962=""),"",J1962-G1962)</f>
        <v/>
      </c>
      <c r="M1962" s="59"/>
      <c r="N1962" s="59"/>
      <c r="O1962" s="59"/>
      <c r="P1962" s="59"/>
      <c r="Q1962" s="59"/>
      <c r="R1962" s="60">
        <f>IF(AND(P1962="",Q1962=""),"",N(P1962)+N(Q1962))</f>
        <v/>
      </c>
      <c r="S1962" s="59"/>
      <c r="T1962" s="59"/>
      <c r="U1962" s="62">
        <f>IF(OR(R1962="",S1962="",T1962=""),"",IF(S1962+T1962=0,"",R1962/(S1962+T1962)))</f>
        <v/>
      </c>
      <c r="V1962" s="63"/>
      <c r="W1962" s="64"/>
      <c r="X1962" s="63"/>
    </row>
    <row r="1963" spans="2:24">
      <c r="B1963" s="58"/>
      <c r="C1963" s="59"/>
      <c r="D1963" s="59"/>
      <c r="E1963" s="59"/>
      <c r="F1963" s="59"/>
      <c r="G1963" s="60">
        <f>IF(OR(E1963="",F1963="",C1963="",D1963=""),"",IF(C1963+D1963=0,"",(E1963*C1963+F1963*D1963)/(C1963+D1963)))</f>
        <v/>
      </c>
      <c r="H1963" s="59"/>
      <c r="I1963" s="60">
        <f>IF(OR(H1963="",E1963="",C1963="",D1963=""),"",IF(C1963+D1963=0,"",(H1963*D1963+E1963*C1963)/(C1963+D1963)))</f>
        <v/>
      </c>
      <c r="J1963" s="59"/>
      <c r="K1963" s="61">
        <f>IF(OR(J1963="",I1963=""),"",J1963-I1963)</f>
        <v/>
      </c>
      <c r="L1963" s="61">
        <f>IF(OR(J1963="",G1963=""),"",J1963-G1963)</f>
        <v/>
      </c>
      <c r="M1963" s="59"/>
      <c r="N1963" s="59"/>
      <c r="O1963" s="59"/>
      <c r="P1963" s="59"/>
      <c r="Q1963" s="59"/>
      <c r="R1963" s="60">
        <f>IF(AND(P1963="",Q1963=""),"",N(P1963)+N(Q1963))</f>
        <v/>
      </c>
      <c r="S1963" s="59"/>
      <c r="T1963" s="59"/>
      <c r="U1963" s="62">
        <f>IF(OR(R1963="",S1963="",T1963=""),"",IF(S1963+T1963=0,"",R1963/(S1963+T1963)))</f>
        <v/>
      </c>
      <c r="V1963" s="63"/>
      <c r="W1963" s="64"/>
      <c r="X1963" s="63"/>
    </row>
    <row r="1964" spans="2:24">
      <c r="B1964" s="58"/>
      <c r="C1964" s="59"/>
      <c r="D1964" s="59"/>
      <c r="E1964" s="59"/>
      <c r="F1964" s="59"/>
      <c r="G1964" s="60">
        <f>IF(OR(E1964="",F1964="",C1964="",D1964=""),"",IF(C1964+D1964=0,"",(E1964*C1964+F1964*D1964)/(C1964+D1964)))</f>
        <v/>
      </c>
      <c r="H1964" s="59"/>
      <c r="I1964" s="60">
        <f>IF(OR(H1964="",E1964="",C1964="",D1964=""),"",IF(C1964+D1964=0,"",(H1964*D1964+E1964*C1964)/(C1964+D1964)))</f>
        <v/>
      </c>
      <c r="J1964" s="59"/>
      <c r="K1964" s="61">
        <f>IF(OR(J1964="",I1964=""),"",J1964-I1964)</f>
        <v/>
      </c>
      <c r="L1964" s="61">
        <f>IF(OR(J1964="",G1964=""),"",J1964-G1964)</f>
        <v/>
      </c>
      <c r="M1964" s="59"/>
      <c r="N1964" s="59"/>
      <c r="O1964" s="59"/>
      <c r="P1964" s="59"/>
      <c r="Q1964" s="59"/>
      <c r="R1964" s="60">
        <f>IF(AND(P1964="",Q1964=""),"",N(P1964)+N(Q1964))</f>
        <v/>
      </c>
      <c r="S1964" s="59"/>
      <c r="T1964" s="59"/>
      <c r="U1964" s="62">
        <f>IF(OR(R1964="",S1964="",T1964=""),"",IF(S1964+T1964=0,"",R1964/(S1964+T1964)))</f>
        <v/>
      </c>
      <c r="V1964" s="63"/>
      <c r="W1964" s="64"/>
      <c r="X1964" s="63"/>
    </row>
    <row r="1965" spans="2:24">
      <c r="B1965" s="58"/>
      <c r="C1965" s="59"/>
      <c r="D1965" s="59"/>
      <c r="E1965" s="59"/>
      <c r="F1965" s="59"/>
      <c r="G1965" s="60">
        <f>IF(OR(E1965="",F1965="",C1965="",D1965=""),"",IF(C1965+D1965=0,"",(E1965*C1965+F1965*D1965)/(C1965+D1965)))</f>
        <v/>
      </c>
      <c r="H1965" s="59"/>
      <c r="I1965" s="60">
        <f>IF(OR(H1965="",E1965="",C1965="",D1965=""),"",IF(C1965+D1965=0,"",(H1965*D1965+E1965*C1965)/(C1965+D1965)))</f>
        <v/>
      </c>
      <c r="J1965" s="59"/>
      <c r="K1965" s="61">
        <f>IF(OR(J1965="",I1965=""),"",J1965-I1965)</f>
        <v/>
      </c>
      <c r="L1965" s="61">
        <f>IF(OR(J1965="",G1965=""),"",J1965-G1965)</f>
        <v/>
      </c>
      <c r="M1965" s="59"/>
      <c r="N1965" s="59"/>
      <c r="O1965" s="59"/>
      <c r="P1965" s="59"/>
      <c r="Q1965" s="59"/>
      <c r="R1965" s="60">
        <f>IF(AND(P1965="",Q1965=""),"",N(P1965)+N(Q1965))</f>
        <v/>
      </c>
      <c r="S1965" s="59"/>
      <c r="T1965" s="59"/>
      <c r="U1965" s="62">
        <f>IF(OR(R1965="",S1965="",T1965=""),"",IF(S1965+T1965=0,"",R1965/(S1965+T1965)))</f>
        <v/>
      </c>
      <c r="V1965" s="63"/>
      <c r="W1965" s="64"/>
      <c r="X1965" s="63"/>
    </row>
    <row r="1966" spans="2:24">
      <c r="B1966" s="58"/>
      <c r="C1966" s="59"/>
      <c r="D1966" s="59"/>
      <c r="E1966" s="59"/>
      <c r="F1966" s="59"/>
      <c r="G1966" s="60">
        <f>IF(OR(E1966="",F1966="",C1966="",D1966=""),"",IF(C1966+D1966=0,"",(E1966*C1966+F1966*D1966)/(C1966+D1966)))</f>
        <v/>
      </c>
      <c r="H1966" s="59"/>
      <c r="I1966" s="60">
        <f>IF(OR(H1966="",E1966="",C1966="",D1966=""),"",IF(C1966+D1966=0,"",(H1966*D1966+E1966*C1966)/(C1966+D1966)))</f>
        <v/>
      </c>
      <c r="J1966" s="59"/>
      <c r="K1966" s="61">
        <f>IF(OR(J1966="",I1966=""),"",J1966-I1966)</f>
        <v/>
      </c>
      <c r="L1966" s="61">
        <f>IF(OR(J1966="",G1966=""),"",J1966-G1966)</f>
        <v/>
      </c>
      <c r="M1966" s="59"/>
      <c r="N1966" s="59"/>
      <c r="O1966" s="59"/>
      <c r="P1966" s="59"/>
      <c r="Q1966" s="59"/>
      <c r="R1966" s="60">
        <f>IF(AND(P1966="",Q1966=""),"",N(P1966)+N(Q1966))</f>
        <v/>
      </c>
      <c r="S1966" s="59"/>
      <c r="T1966" s="59"/>
      <c r="U1966" s="62">
        <f>IF(OR(R1966="",S1966="",T1966=""),"",IF(S1966+T1966=0,"",R1966/(S1966+T1966)))</f>
        <v/>
      </c>
      <c r="V1966" s="63"/>
      <c r="W1966" s="64"/>
      <c r="X1966" s="63"/>
    </row>
    <row r="1967" spans="2:24">
      <c r="B1967" s="58"/>
      <c r="C1967" s="59"/>
      <c r="D1967" s="59"/>
      <c r="E1967" s="59"/>
      <c r="F1967" s="59"/>
      <c r="G1967" s="60">
        <f>IF(OR(E1967="",F1967="",C1967="",D1967=""),"",IF(C1967+D1967=0,"",(E1967*C1967+F1967*D1967)/(C1967+D1967)))</f>
        <v/>
      </c>
      <c r="H1967" s="59"/>
      <c r="I1967" s="60">
        <f>IF(OR(H1967="",E1967="",C1967="",D1967=""),"",IF(C1967+D1967=0,"",(H1967*D1967+E1967*C1967)/(C1967+D1967)))</f>
        <v/>
      </c>
      <c r="J1967" s="59"/>
      <c r="K1967" s="61">
        <f>IF(OR(J1967="",I1967=""),"",J1967-I1967)</f>
        <v/>
      </c>
      <c r="L1967" s="61">
        <f>IF(OR(J1967="",G1967=""),"",J1967-G1967)</f>
        <v/>
      </c>
      <c r="M1967" s="59"/>
      <c r="N1967" s="59"/>
      <c r="O1967" s="59"/>
      <c r="P1967" s="59"/>
      <c r="Q1967" s="59"/>
      <c r="R1967" s="60">
        <f>IF(AND(P1967="",Q1967=""),"",N(P1967)+N(Q1967))</f>
        <v/>
      </c>
      <c r="S1967" s="59"/>
      <c r="T1967" s="59"/>
      <c r="U1967" s="62">
        <f>IF(OR(R1967="",S1967="",T1967=""),"",IF(S1967+T1967=0,"",R1967/(S1967+T1967)))</f>
        <v/>
      </c>
      <c r="V1967" s="63"/>
      <c r="W1967" s="64"/>
      <c r="X1967" s="63"/>
    </row>
    <row r="1968" spans="2:24">
      <c r="B1968" s="58"/>
      <c r="C1968" s="59"/>
      <c r="D1968" s="59"/>
      <c r="E1968" s="59"/>
      <c r="F1968" s="59"/>
      <c r="G1968" s="60">
        <f>IF(OR(E1968="",F1968="",C1968="",D1968=""),"",IF(C1968+D1968=0,"",(E1968*C1968+F1968*D1968)/(C1968+D1968)))</f>
        <v/>
      </c>
      <c r="H1968" s="59"/>
      <c r="I1968" s="60">
        <f>IF(OR(H1968="",E1968="",C1968="",D1968=""),"",IF(C1968+D1968=0,"",(H1968*D1968+E1968*C1968)/(C1968+D1968)))</f>
        <v/>
      </c>
      <c r="J1968" s="59"/>
      <c r="K1968" s="61">
        <f>IF(OR(J1968="",I1968=""),"",J1968-I1968)</f>
        <v/>
      </c>
      <c r="L1968" s="61">
        <f>IF(OR(J1968="",G1968=""),"",J1968-G1968)</f>
        <v/>
      </c>
      <c r="M1968" s="59"/>
      <c r="N1968" s="59"/>
      <c r="O1968" s="59"/>
      <c r="P1968" s="59"/>
      <c r="Q1968" s="59"/>
      <c r="R1968" s="60">
        <f>IF(AND(P1968="",Q1968=""),"",N(P1968)+N(Q1968))</f>
        <v/>
      </c>
      <c r="S1968" s="59"/>
      <c r="T1968" s="59"/>
      <c r="U1968" s="62">
        <f>IF(OR(R1968="",S1968="",T1968=""),"",IF(S1968+T1968=0,"",R1968/(S1968+T1968)))</f>
        <v/>
      </c>
      <c r="V1968" s="63"/>
      <c r="W1968" s="64"/>
      <c r="X1968" s="63"/>
    </row>
    <row r="1969" spans="2:24">
      <c r="B1969" s="58"/>
      <c r="C1969" s="59"/>
      <c r="D1969" s="59"/>
      <c r="E1969" s="59"/>
      <c r="F1969" s="59"/>
      <c r="G1969" s="60">
        <f>IF(OR(E1969="",F1969="",C1969="",D1969=""),"",IF(C1969+D1969=0,"",(E1969*C1969+F1969*D1969)/(C1969+D1969)))</f>
        <v/>
      </c>
      <c r="H1969" s="59"/>
      <c r="I1969" s="60">
        <f>IF(OR(H1969="",E1969="",C1969="",D1969=""),"",IF(C1969+D1969=0,"",(H1969*D1969+E1969*C1969)/(C1969+D1969)))</f>
        <v/>
      </c>
      <c r="J1969" s="59"/>
      <c r="K1969" s="61">
        <f>IF(OR(J1969="",I1969=""),"",J1969-I1969)</f>
        <v/>
      </c>
      <c r="L1969" s="61">
        <f>IF(OR(J1969="",G1969=""),"",J1969-G1969)</f>
        <v/>
      </c>
      <c r="M1969" s="59"/>
      <c r="N1969" s="59"/>
      <c r="O1969" s="59"/>
      <c r="P1969" s="59"/>
      <c r="Q1969" s="59"/>
      <c r="R1969" s="60">
        <f>IF(AND(P1969="",Q1969=""),"",N(P1969)+N(Q1969))</f>
        <v/>
      </c>
      <c r="S1969" s="59"/>
      <c r="T1969" s="59"/>
      <c r="U1969" s="62">
        <f>IF(OR(R1969="",S1969="",T1969=""),"",IF(S1969+T1969=0,"",R1969/(S1969+T1969)))</f>
        <v/>
      </c>
      <c r="V1969" s="63"/>
      <c r="W1969" s="64"/>
      <c r="X1969" s="63"/>
    </row>
    <row r="1970" spans="2:24">
      <c r="B1970" s="58"/>
      <c r="C1970" s="59"/>
      <c r="D1970" s="59"/>
      <c r="E1970" s="59"/>
      <c r="F1970" s="59"/>
      <c r="G1970" s="60">
        <f>IF(OR(E1970="",F1970="",C1970="",D1970=""),"",IF(C1970+D1970=0,"",(E1970*C1970+F1970*D1970)/(C1970+D1970)))</f>
        <v/>
      </c>
      <c r="H1970" s="59"/>
      <c r="I1970" s="60">
        <f>IF(OR(H1970="",E1970="",C1970="",D1970=""),"",IF(C1970+D1970=0,"",(H1970*D1970+E1970*C1970)/(C1970+D1970)))</f>
        <v/>
      </c>
      <c r="J1970" s="59"/>
      <c r="K1970" s="61">
        <f>IF(OR(J1970="",I1970=""),"",J1970-I1970)</f>
        <v/>
      </c>
      <c r="L1970" s="61">
        <f>IF(OR(J1970="",G1970=""),"",J1970-G1970)</f>
        <v/>
      </c>
      <c r="M1970" s="59"/>
      <c r="N1970" s="59"/>
      <c r="O1970" s="59"/>
      <c r="P1970" s="59"/>
      <c r="Q1970" s="59"/>
      <c r="R1970" s="60">
        <f>IF(AND(P1970="",Q1970=""),"",N(P1970)+N(Q1970))</f>
        <v/>
      </c>
      <c r="S1970" s="59"/>
      <c r="T1970" s="59"/>
      <c r="U1970" s="62">
        <f>IF(OR(R1970="",S1970="",T1970=""),"",IF(S1970+T1970=0,"",R1970/(S1970+T1970)))</f>
        <v/>
      </c>
      <c r="V1970" s="63"/>
      <c r="W1970" s="64"/>
      <c r="X1970" s="63"/>
    </row>
    <row r="1971" spans="2:24">
      <c r="B1971" s="58"/>
      <c r="C1971" s="59"/>
      <c r="D1971" s="59"/>
      <c r="E1971" s="59"/>
      <c r="F1971" s="59"/>
      <c r="G1971" s="60">
        <f>IF(OR(E1971="",F1971="",C1971="",D1971=""),"",IF(C1971+D1971=0,"",(E1971*C1971+F1971*D1971)/(C1971+D1971)))</f>
        <v/>
      </c>
      <c r="H1971" s="59"/>
      <c r="I1971" s="60">
        <f>IF(OR(H1971="",E1971="",C1971="",D1971=""),"",IF(C1971+D1971=0,"",(H1971*D1971+E1971*C1971)/(C1971+D1971)))</f>
        <v/>
      </c>
      <c r="J1971" s="59"/>
      <c r="K1971" s="61">
        <f>IF(OR(J1971="",I1971=""),"",J1971-I1971)</f>
        <v/>
      </c>
      <c r="L1971" s="61">
        <f>IF(OR(J1971="",G1971=""),"",J1971-G1971)</f>
        <v/>
      </c>
      <c r="M1971" s="59"/>
      <c r="N1971" s="59"/>
      <c r="O1971" s="59"/>
      <c r="P1971" s="59"/>
      <c r="Q1971" s="59"/>
      <c r="R1971" s="60">
        <f>IF(AND(P1971="",Q1971=""),"",N(P1971)+N(Q1971))</f>
        <v/>
      </c>
      <c r="S1971" s="59"/>
      <c r="T1971" s="59"/>
      <c r="U1971" s="62">
        <f>IF(OR(R1971="",S1971="",T1971=""),"",IF(S1971+T1971=0,"",R1971/(S1971+T1971)))</f>
        <v/>
      </c>
      <c r="V1971" s="63"/>
      <c r="W1971" s="64"/>
      <c r="X1971" s="63"/>
    </row>
    <row r="1972" spans="2:24">
      <c r="B1972" s="58"/>
      <c r="C1972" s="59"/>
      <c r="D1972" s="59"/>
      <c r="E1972" s="59"/>
      <c r="F1972" s="59"/>
      <c r="G1972" s="60">
        <f>IF(OR(E1972="",F1972="",C1972="",D1972=""),"",IF(C1972+D1972=0,"",(E1972*C1972+F1972*D1972)/(C1972+D1972)))</f>
        <v/>
      </c>
      <c r="H1972" s="59"/>
      <c r="I1972" s="60">
        <f>IF(OR(H1972="",E1972="",C1972="",D1972=""),"",IF(C1972+D1972=0,"",(H1972*D1972+E1972*C1972)/(C1972+D1972)))</f>
        <v/>
      </c>
      <c r="J1972" s="59"/>
      <c r="K1972" s="61">
        <f>IF(OR(J1972="",I1972=""),"",J1972-I1972)</f>
        <v/>
      </c>
      <c r="L1972" s="61">
        <f>IF(OR(J1972="",G1972=""),"",J1972-G1972)</f>
        <v/>
      </c>
      <c r="M1972" s="59"/>
      <c r="N1972" s="59"/>
      <c r="O1972" s="59"/>
      <c r="P1972" s="59"/>
      <c r="Q1972" s="59"/>
      <c r="R1972" s="60">
        <f>IF(AND(P1972="",Q1972=""),"",N(P1972)+N(Q1972))</f>
        <v/>
      </c>
      <c r="S1972" s="59"/>
      <c r="T1972" s="59"/>
      <c r="U1972" s="62">
        <f>IF(OR(R1972="",S1972="",T1972=""),"",IF(S1972+T1972=0,"",R1972/(S1972+T1972)))</f>
        <v/>
      </c>
      <c r="V1972" s="63"/>
      <c r="W1972" s="64"/>
      <c r="X1972" s="63"/>
    </row>
    <row r="1973" spans="2:24">
      <c r="B1973" s="58"/>
      <c r="C1973" s="59"/>
      <c r="D1973" s="59"/>
      <c r="E1973" s="59"/>
      <c r="F1973" s="59"/>
      <c r="G1973" s="60">
        <f>IF(OR(E1973="",F1973="",C1973="",D1973=""),"",IF(C1973+D1973=0,"",(E1973*C1973+F1973*D1973)/(C1973+D1973)))</f>
        <v/>
      </c>
      <c r="H1973" s="59"/>
      <c r="I1973" s="60">
        <f>IF(OR(H1973="",E1973="",C1973="",D1973=""),"",IF(C1973+D1973=0,"",(H1973*D1973+E1973*C1973)/(C1973+D1973)))</f>
        <v/>
      </c>
      <c r="J1973" s="59"/>
      <c r="K1973" s="61">
        <f>IF(OR(J1973="",I1973=""),"",J1973-I1973)</f>
        <v/>
      </c>
      <c r="L1973" s="61">
        <f>IF(OR(J1973="",G1973=""),"",J1973-G1973)</f>
        <v/>
      </c>
      <c r="M1973" s="59"/>
      <c r="N1973" s="59"/>
      <c r="O1973" s="59"/>
      <c r="P1973" s="59"/>
      <c r="Q1973" s="59"/>
      <c r="R1973" s="60">
        <f>IF(AND(P1973="",Q1973=""),"",N(P1973)+N(Q1973))</f>
        <v/>
      </c>
      <c r="S1973" s="59"/>
      <c r="T1973" s="59"/>
      <c r="U1973" s="62">
        <f>IF(OR(R1973="",S1973="",T1973=""),"",IF(S1973+T1973=0,"",R1973/(S1973+T1973)))</f>
        <v/>
      </c>
      <c r="V1973" s="63"/>
      <c r="W1973" s="64"/>
      <c r="X1973" s="63"/>
    </row>
    <row r="1974" spans="2:24">
      <c r="B1974" s="58"/>
      <c r="C1974" s="59"/>
      <c r="D1974" s="59"/>
      <c r="E1974" s="59"/>
      <c r="F1974" s="59"/>
      <c r="G1974" s="60">
        <f>IF(OR(E1974="",F1974="",C1974="",D1974=""),"",IF(C1974+D1974=0,"",(E1974*C1974+F1974*D1974)/(C1974+D1974)))</f>
        <v/>
      </c>
      <c r="H1974" s="59"/>
      <c r="I1974" s="60">
        <f>IF(OR(H1974="",E1974="",C1974="",D1974=""),"",IF(C1974+D1974=0,"",(H1974*D1974+E1974*C1974)/(C1974+D1974)))</f>
        <v/>
      </c>
      <c r="J1974" s="59"/>
      <c r="K1974" s="61">
        <f>IF(OR(J1974="",I1974=""),"",J1974-I1974)</f>
        <v/>
      </c>
      <c r="L1974" s="61">
        <f>IF(OR(J1974="",G1974=""),"",J1974-G1974)</f>
        <v/>
      </c>
      <c r="M1974" s="59"/>
      <c r="N1974" s="59"/>
      <c r="O1974" s="59"/>
      <c r="P1974" s="59"/>
      <c r="Q1974" s="59"/>
      <c r="R1974" s="60">
        <f>IF(AND(P1974="",Q1974=""),"",N(P1974)+N(Q1974))</f>
        <v/>
      </c>
      <c r="S1974" s="59"/>
      <c r="T1974" s="59"/>
      <c r="U1974" s="62">
        <f>IF(OR(R1974="",S1974="",T1974=""),"",IF(S1974+T1974=0,"",R1974/(S1974+T1974)))</f>
        <v/>
      </c>
      <c r="V1974" s="63"/>
      <c r="W1974" s="64"/>
      <c r="X1974" s="63"/>
    </row>
    <row r="1975" spans="2:24">
      <c r="B1975" s="58"/>
      <c r="C1975" s="59"/>
      <c r="D1975" s="59"/>
      <c r="E1975" s="59"/>
      <c r="F1975" s="59"/>
      <c r="G1975" s="60">
        <f>IF(OR(E1975="",F1975="",C1975="",D1975=""),"",IF(C1975+D1975=0,"",(E1975*C1975+F1975*D1975)/(C1975+D1975)))</f>
        <v/>
      </c>
      <c r="H1975" s="59"/>
      <c r="I1975" s="60">
        <f>IF(OR(H1975="",E1975="",C1975="",D1975=""),"",IF(C1975+D1975=0,"",(H1975*D1975+E1975*C1975)/(C1975+D1975)))</f>
        <v/>
      </c>
      <c r="J1975" s="59"/>
      <c r="K1975" s="61">
        <f>IF(OR(J1975="",I1975=""),"",J1975-I1975)</f>
        <v/>
      </c>
      <c r="L1975" s="61">
        <f>IF(OR(J1975="",G1975=""),"",J1975-G1975)</f>
        <v/>
      </c>
      <c r="M1975" s="59"/>
      <c r="N1975" s="59"/>
      <c r="O1975" s="59"/>
      <c r="P1975" s="59"/>
      <c r="Q1975" s="59"/>
      <c r="R1975" s="60">
        <f>IF(AND(P1975="",Q1975=""),"",N(P1975)+N(Q1975))</f>
        <v/>
      </c>
      <c r="S1975" s="59"/>
      <c r="T1975" s="59"/>
      <c r="U1975" s="62">
        <f>IF(OR(R1975="",S1975="",T1975=""),"",IF(S1975+T1975=0,"",R1975/(S1975+T1975)))</f>
        <v/>
      </c>
      <c r="V1975" s="63"/>
      <c r="W1975" s="64"/>
      <c r="X1975" s="63"/>
    </row>
    <row r="1976" spans="2:24">
      <c r="B1976" s="58"/>
      <c r="C1976" s="59"/>
      <c r="D1976" s="59"/>
      <c r="E1976" s="59"/>
      <c r="F1976" s="59"/>
      <c r="G1976" s="60">
        <f>IF(OR(E1976="",F1976="",C1976="",D1976=""),"",IF(C1976+D1976=0,"",(E1976*C1976+F1976*D1976)/(C1976+D1976)))</f>
        <v/>
      </c>
      <c r="H1976" s="59"/>
      <c r="I1976" s="60">
        <f>IF(OR(H1976="",E1976="",C1976="",D1976=""),"",IF(C1976+D1976=0,"",(H1976*D1976+E1976*C1976)/(C1976+D1976)))</f>
        <v/>
      </c>
      <c r="J1976" s="59"/>
      <c r="K1976" s="61">
        <f>IF(OR(J1976="",I1976=""),"",J1976-I1976)</f>
        <v/>
      </c>
      <c r="L1976" s="61">
        <f>IF(OR(J1976="",G1976=""),"",J1976-G1976)</f>
        <v/>
      </c>
      <c r="M1976" s="59"/>
      <c r="N1976" s="59"/>
      <c r="O1976" s="59"/>
      <c r="P1976" s="59"/>
      <c r="Q1976" s="59"/>
      <c r="R1976" s="60">
        <f>IF(AND(P1976="",Q1976=""),"",N(P1976)+N(Q1976))</f>
        <v/>
      </c>
      <c r="S1976" s="59"/>
      <c r="T1976" s="59"/>
      <c r="U1976" s="62">
        <f>IF(OR(R1976="",S1976="",T1976=""),"",IF(S1976+T1976=0,"",R1976/(S1976+T1976)))</f>
        <v/>
      </c>
      <c r="V1976" s="63"/>
      <c r="W1976" s="64"/>
      <c r="X1976" s="63"/>
    </row>
    <row r="1977" spans="2:24">
      <c r="B1977" s="58"/>
      <c r="C1977" s="59"/>
      <c r="D1977" s="59"/>
      <c r="E1977" s="59"/>
      <c r="F1977" s="59"/>
      <c r="G1977" s="60">
        <f>IF(OR(E1977="",F1977="",C1977="",D1977=""),"",IF(C1977+D1977=0,"",(E1977*C1977+F1977*D1977)/(C1977+D1977)))</f>
        <v/>
      </c>
      <c r="H1977" s="59"/>
      <c r="I1977" s="60">
        <f>IF(OR(H1977="",E1977="",C1977="",D1977=""),"",IF(C1977+D1977=0,"",(H1977*D1977+E1977*C1977)/(C1977+D1977)))</f>
        <v/>
      </c>
      <c r="J1977" s="59"/>
      <c r="K1977" s="61">
        <f>IF(OR(J1977="",I1977=""),"",J1977-I1977)</f>
        <v/>
      </c>
      <c r="L1977" s="61">
        <f>IF(OR(J1977="",G1977=""),"",J1977-G1977)</f>
        <v/>
      </c>
      <c r="M1977" s="59"/>
      <c r="N1977" s="59"/>
      <c r="O1977" s="59"/>
      <c r="P1977" s="59"/>
      <c r="Q1977" s="59"/>
      <c r="R1977" s="60">
        <f>IF(AND(P1977="",Q1977=""),"",N(P1977)+N(Q1977))</f>
        <v/>
      </c>
      <c r="S1977" s="59"/>
      <c r="T1977" s="59"/>
      <c r="U1977" s="62">
        <f>IF(OR(R1977="",S1977="",T1977=""),"",IF(S1977+T1977=0,"",R1977/(S1977+T1977)))</f>
        <v/>
      </c>
      <c r="V1977" s="63"/>
      <c r="W1977" s="64"/>
      <c r="X1977" s="63"/>
    </row>
    <row r="1978" spans="2:24">
      <c r="B1978" s="58"/>
      <c r="C1978" s="59"/>
      <c r="D1978" s="59"/>
      <c r="E1978" s="59"/>
      <c r="F1978" s="59"/>
      <c r="G1978" s="60">
        <f>IF(OR(E1978="",F1978="",C1978="",D1978=""),"",IF(C1978+D1978=0,"",(E1978*C1978+F1978*D1978)/(C1978+D1978)))</f>
        <v/>
      </c>
      <c r="H1978" s="59"/>
      <c r="I1978" s="60">
        <f>IF(OR(H1978="",E1978="",C1978="",D1978=""),"",IF(C1978+D1978=0,"",(H1978*D1978+E1978*C1978)/(C1978+D1978)))</f>
        <v/>
      </c>
      <c r="J1978" s="59"/>
      <c r="K1978" s="61">
        <f>IF(OR(J1978="",I1978=""),"",J1978-I1978)</f>
        <v/>
      </c>
      <c r="L1978" s="61">
        <f>IF(OR(J1978="",G1978=""),"",J1978-G1978)</f>
        <v/>
      </c>
      <c r="M1978" s="59"/>
      <c r="N1978" s="59"/>
      <c r="O1978" s="59"/>
      <c r="P1978" s="59"/>
      <c r="Q1978" s="59"/>
      <c r="R1978" s="60">
        <f>IF(AND(P1978="",Q1978=""),"",N(P1978)+N(Q1978))</f>
        <v/>
      </c>
      <c r="S1978" s="59"/>
      <c r="T1978" s="59"/>
      <c r="U1978" s="62">
        <f>IF(OR(R1978="",S1978="",T1978=""),"",IF(S1978+T1978=0,"",R1978/(S1978+T1978)))</f>
        <v/>
      </c>
      <c r="V1978" s="63"/>
      <c r="W1978" s="64"/>
      <c r="X1978" s="63"/>
    </row>
    <row r="1979" spans="2:24">
      <c r="B1979" s="58"/>
      <c r="C1979" s="59"/>
      <c r="D1979" s="59"/>
      <c r="E1979" s="59"/>
      <c r="F1979" s="59"/>
      <c r="G1979" s="60">
        <f>IF(OR(E1979="",F1979="",C1979="",D1979=""),"",IF(C1979+D1979=0,"",(E1979*C1979+F1979*D1979)/(C1979+D1979)))</f>
        <v/>
      </c>
      <c r="H1979" s="59"/>
      <c r="I1979" s="60">
        <f>IF(OR(H1979="",E1979="",C1979="",D1979=""),"",IF(C1979+D1979=0,"",(H1979*D1979+E1979*C1979)/(C1979+D1979)))</f>
        <v/>
      </c>
      <c r="J1979" s="59"/>
      <c r="K1979" s="61">
        <f>IF(OR(J1979="",I1979=""),"",J1979-I1979)</f>
        <v/>
      </c>
      <c r="L1979" s="61">
        <f>IF(OR(J1979="",G1979=""),"",J1979-G1979)</f>
        <v/>
      </c>
      <c r="M1979" s="59"/>
      <c r="N1979" s="59"/>
      <c r="O1979" s="59"/>
      <c r="P1979" s="59"/>
      <c r="Q1979" s="59"/>
      <c r="R1979" s="60">
        <f>IF(AND(P1979="",Q1979=""),"",N(P1979)+N(Q1979))</f>
        <v/>
      </c>
      <c r="S1979" s="59"/>
      <c r="T1979" s="59"/>
      <c r="U1979" s="62">
        <f>IF(OR(R1979="",S1979="",T1979=""),"",IF(S1979+T1979=0,"",R1979/(S1979+T1979)))</f>
        <v/>
      </c>
      <c r="V1979" s="63"/>
      <c r="W1979" s="64"/>
      <c r="X1979" s="63"/>
    </row>
    <row r="1980" spans="2:24">
      <c r="B1980" s="58"/>
      <c r="C1980" s="59"/>
      <c r="D1980" s="59"/>
      <c r="E1980" s="59"/>
      <c r="F1980" s="59"/>
      <c r="G1980" s="60">
        <f>IF(OR(E1980="",F1980="",C1980="",D1980=""),"",IF(C1980+D1980=0,"",(E1980*C1980+F1980*D1980)/(C1980+D1980)))</f>
        <v/>
      </c>
      <c r="H1980" s="59"/>
      <c r="I1980" s="60">
        <f>IF(OR(H1980="",E1980="",C1980="",D1980=""),"",IF(C1980+D1980=0,"",(H1980*D1980+E1980*C1980)/(C1980+D1980)))</f>
        <v/>
      </c>
      <c r="J1980" s="59"/>
      <c r="K1980" s="61">
        <f>IF(OR(J1980="",I1980=""),"",J1980-I1980)</f>
        <v/>
      </c>
      <c r="L1980" s="61">
        <f>IF(OR(J1980="",G1980=""),"",J1980-G1980)</f>
        <v/>
      </c>
      <c r="M1980" s="59"/>
      <c r="N1980" s="59"/>
      <c r="O1980" s="59"/>
      <c r="P1980" s="59"/>
      <c r="Q1980" s="59"/>
      <c r="R1980" s="60">
        <f>IF(AND(P1980="",Q1980=""),"",N(P1980)+N(Q1980))</f>
        <v/>
      </c>
      <c r="S1980" s="59"/>
      <c r="T1980" s="59"/>
      <c r="U1980" s="62">
        <f>IF(OR(R1980="",S1980="",T1980=""),"",IF(S1980+T1980=0,"",R1980/(S1980+T1980)))</f>
        <v/>
      </c>
      <c r="V1980" s="63"/>
      <c r="W1980" s="64"/>
      <c r="X1980" s="63"/>
    </row>
    <row r="1981" spans="2:24">
      <c r="B1981" s="58"/>
      <c r="C1981" s="59"/>
      <c r="D1981" s="59"/>
      <c r="E1981" s="59"/>
      <c r="F1981" s="59"/>
      <c r="G1981" s="60">
        <f>IF(OR(E1981="",F1981="",C1981="",D1981=""),"",IF(C1981+D1981=0,"",(E1981*C1981+F1981*D1981)/(C1981+D1981)))</f>
        <v/>
      </c>
      <c r="H1981" s="59"/>
      <c r="I1981" s="60">
        <f>IF(OR(H1981="",E1981="",C1981="",D1981=""),"",IF(C1981+D1981=0,"",(H1981*D1981+E1981*C1981)/(C1981+D1981)))</f>
        <v/>
      </c>
      <c r="J1981" s="59"/>
      <c r="K1981" s="61">
        <f>IF(OR(J1981="",I1981=""),"",J1981-I1981)</f>
        <v/>
      </c>
      <c r="L1981" s="61">
        <f>IF(OR(J1981="",G1981=""),"",J1981-G1981)</f>
        <v/>
      </c>
      <c r="M1981" s="59"/>
      <c r="N1981" s="59"/>
      <c r="O1981" s="59"/>
      <c r="P1981" s="59"/>
      <c r="Q1981" s="59"/>
      <c r="R1981" s="60">
        <f>IF(AND(P1981="",Q1981=""),"",N(P1981)+N(Q1981))</f>
        <v/>
      </c>
      <c r="S1981" s="59"/>
      <c r="T1981" s="59"/>
      <c r="U1981" s="62">
        <f>IF(OR(R1981="",S1981="",T1981=""),"",IF(S1981+T1981=0,"",R1981/(S1981+T1981)))</f>
        <v/>
      </c>
      <c r="V1981" s="63"/>
      <c r="W1981" s="64"/>
      <c r="X1981" s="63"/>
    </row>
    <row r="1982" spans="2:24">
      <c r="B1982" s="58"/>
      <c r="C1982" s="59"/>
      <c r="D1982" s="59"/>
      <c r="E1982" s="59"/>
      <c r="F1982" s="59"/>
      <c r="G1982" s="60">
        <f>IF(OR(E1982="",F1982="",C1982="",D1982=""),"",IF(C1982+D1982=0,"",(E1982*C1982+F1982*D1982)/(C1982+D1982)))</f>
        <v/>
      </c>
      <c r="H1982" s="59"/>
      <c r="I1982" s="60">
        <f>IF(OR(H1982="",E1982="",C1982="",D1982=""),"",IF(C1982+D1982=0,"",(H1982*D1982+E1982*C1982)/(C1982+D1982)))</f>
        <v/>
      </c>
      <c r="J1982" s="59"/>
      <c r="K1982" s="61">
        <f>IF(OR(J1982="",I1982=""),"",J1982-I1982)</f>
        <v/>
      </c>
      <c r="L1982" s="61">
        <f>IF(OR(J1982="",G1982=""),"",J1982-G1982)</f>
        <v/>
      </c>
      <c r="M1982" s="59"/>
      <c r="N1982" s="59"/>
      <c r="O1982" s="59"/>
      <c r="P1982" s="59"/>
      <c r="Q1982" s="59"/>
      <c r="R1982" s="60">
        <f>IF(AND(P1982="",Q1982=""),"",N(P1982)+N(Q1982))</f>
        <v/>
      </c>
      <c r="S1982" s="59"/>
      <c r="T1982" s="59"/>
      <c r="U1982" s="62">
        <f>IF(OR(R1982="",S1982="",T1982=""),"",IF(S1982+T1982=0,"",R1982/(S1982+T1982)))</f>
        <v/>
      </c>
      <c r="V1982" s="63"/>
      <c r="W1982" s="64"/>
      <c r="X1982" s="63"/>
    </row>
    <row r="1983" spans="2:24">
      <c r="B1983" s="58"/>
      <c r="C1983" s="59"/>
      <c r="D1983" s="59"/>
      <c r="E1983" s="59"/>
      <c r="F1983" s="59"/>
      <c r="G1983" s="60">
        <f>IF(OR(E1983="",F1983="",C1983="",D1983=""),"",IF(C1983+D1983=0,"",(E1983*C1983+F1983*D1983)/(C1983+D1983)))</f>
        <v/>
      </c>
      <c r="H1983" s="59"/>
      <c r="I1983" s="60">
        <f>IF(OR(H1983="",E1983="",C1983="",D1983=""),"",IF(C1983+D1983=0,"",(H1983*D1983+E1983*C1983)/(C1983+D1983)))</f>
        <v/>
      </c>
      <c r="J1983" s="59"/>
      <c r="K1983" s="61">
        <f>IF(OR(J1983="",I1983=""),"",J1983-I1983)</f>
        <v/>
      </c>
      <c r="L1983" s="61">
        <f>IF(OR(J1983="",G1983=""),"",J1983-G1983)</f>
        <v/>
      </c>
      <c r="M1983" s="59"/>
      <c r="N1983" s="59"/>
      <c r="O1983" s="59"/>
      <c r="P1983" s="59"/>
      <c r="Q1983" s="59"/>
      <c r="R1983" s="60">
        <f>IF(AND(P1983="",Q1983=""),"",N(P1983)+N(Q1983))</f>
        <v/>
      </c>
      <c r="S1983" s="59"/>
      <c r="T1983" s="59"/>
      <c r="U1983" s="62">
        <f>IF(OR(R1983="",S1983="",T1983=""),"",IF(S1983+T1983=0,"",R1983/(S1983+T1983)))</f>
        <v/>
      </c>
      <c r="V1983" s="63"/>
      <c r="W1983" s="64"/>
      <c r="X1983" s="63"/>
    </row>
    <row r="1984" spans="2:24">
      <c r="B1984" s="58"/>
      <c r="C1984" s="59"/>
      <c r="D1984" s="59"/>
      <c r="E1984" s="59"/>
      <c r="F1984" s="59"/>
      <c r="G1984" s="60">
        <f>IF(OR(E1984="",F1984="",C1984="",D1984=""),"",IF(C1984+D1984=0,"",(E1984*C1984+F1984*D1984)/(C1984+D1984)))</f>
        <v/>
      </c>
      <c r="H1984" s="59"/>
      <c r="I1984" s="60">
        <f>IF(OR(H1984="",E1984="",C1984="",D1984=""),"",IF(C1984+D1984=0,"",(H1984*D1984+E1984*C1984)/(C1984+D1984)))</f>
        <v/>
      </c>
      <c r="J1984" s="59"/>
      <c r="K1984" s="61">
        <f>IF(OR(J1984="",I1984=""),"",J1984-I1984)</f>
        <v/>
      </c>
      <c r="L1984" s="61">
        <f>IF(OR(J1984="",G1984=""),"",J1984-G1984)</f>
        <v/>
      </c>
      <c r="M1984" s="59"/>
      <c r="N1984" s="59"/>
      <c r="O1984" s="59"/>
      <c r="P1984" s="59"/>
      <c r="Q1984" s="59"/>
      <c r="R1984" s="60">
        <f>IF(AND(P1984="",Q1984=""),"",N(P1984)+N(Q1984))</f>
        <v/>
      </c>
      <c r="S1984" s="59"/>
      <c r="T1984" s="59"/>
      <c r="U1984" s="62">
        <f>IF(OR(R1984="",S1984="",T1984=""),"",IF(S1984+T1984=0,"",R1984/(S1984+T1984)))</f>
        <v/>
      </c>
      <c r="V1984" s="63"/>
      <c r="W1984" s="64"/>
      <c r="X1984" s="63"/>
    </row>
    <row r="1985" spans="2:24">
      <c r="B1985" s="58"/>
      <c r="C1985" s="59"/>
      <c r="D1985" s="59"/>
      <c r="E1985" s="59"/>
      <c r="F1985" s="59"/>
      <c r="G1985" s="60">
        <f>IF(OR(E1985="",F1985="",C1985="",D1985=""),"",IF(C1985+D1985=0,"",(E1985*C1985+F1985*D1985)/(C1985+D1985)))</f>
        <v/>
      </c>
      <c r="H1985" s="59"/>
      <c r="I1985" s="60">
        <f>IF(OR(H1985="",E1985="",C1985="",D1985=""),"",IF(C1985+D1985=0,"",(H1985*D1985+E1985*C1985)/(C1985+D1985)))</f>
        <v/>
      </c>
      <c r="J1985" s="59"/>
      <c r="K1985" s="61">
        <f>IF(OR(J1985="",I1985=""),"",J1985-I1985)</f>
        <v/>
      </c>
      <c r="L1985" s="61">
        <f>IF(OR(J1985="",G1985=""),"",J1985-G1985)</f>
        <v/>
      </c>
      <c r="M1985" s="59"/>
      <c r="N1985" s="59"/>
      <c r="O1985" s="59"/>
      <c r="P1985" s="59"/>
      <c r="Q1985" s="59"/>
      <c r="R1985" s="60">
        <f>IF(AND(P1985="",Q1985=""),"",N(P1985)+N(Q1985))</f>
        <v/>
      </c>
      <c r="S1985" s="59"/>
      <c r="T1985" s="59"/>
      <c r="U1985" s="62">
        <f>IF(OR(R1985="",S1985="",T1985=""),"",IF(S1985+T1985=0,"",R1985/(S1985+T1985)))</f>
        <v/>
      </c>
      <c r="V1985" s="63"/>
      <c r="W1985" s="64"/>
      <c r="X1985" s="63"/>
    </row>
    <row r="1986" spans="2:24">
      <c r="B1986" s="58"/>
      <c r="C1986" s="59"/>
      <c r="D1986" s="59"/>
      <c r="E1986" s="59"/>
      <c r="F1986" s="59"/>
      <c r="G1986" s="60">
        <f>IF(OR(E1986="",F1986="",C1986="",D1986=""),"",IF(C1986+D1986=0,"",(E1986*C1986+F1986*D1986)/(C1986+D1986)))</f>
        <v/>
      </c>
      <c r="H1986" s="59"/>
      <c r="I1986" s="60">
        <f>IF(OR(H1986="",E1986="",C1986="",D1986=""),"",IF(C1986+D1986=0,"",(H1986*D1986+E1986*C1986)/(C1986+D1986)))</f>
        <v/>
      </c>
      <c r="J1986" s="59"/>
      <c r="K1986" s="61">
        <f>IF(OR(J1986="",I1986=""),"",J1986-I1986)</f>
        <v/>
      </c>
      <c r="L1986" s="61">
        <f>IF(OR(J1986="",G1986=""),"",J1986-G1986)</f>
        <v/>
      </c>
      <c r="M1986" s="59"/>
      <c r="N1986" s="59"/>
      <c r="O1986" s="59"/>
      <c r="P1986" s="59"/>
      <c r="Q1986" s="59"/>
      <c r="R1986" s="60">
        <f>IF(AND(P1986="",Q1986=""),"",N(P1986)+N(Q1986))</f>
        <v/>
      </c>
      <c r="S1986" s="59"/>
      <c r="T1986" s="59"/>
      <c r="U1986" s="62">
        <f>IF(OR(R1986="",S1986="",T1986=""),"",IF(S1986+T1986=0,"",R1986/(S1986+T1986)))</f>
        <v/>
      </c>
      <c r="V1986" s="63"/>
      <c r="W1986" s="64"/>
      <c r="X1986" s="63"/>
    </row>
    <row r="1987" spans="2:24">
      <c r="B1987" s="58"/>
      <c r="C1987" s="59"/>
      <c r="D1987" s="59"/>
      <c r="E1987" s="59"/>
      <c r="F1987" s="59"/>
      <c r="G1987" s="60">
        <f>IF(OR(E1987="",F1987="",C1987="",D1987=""),"",IF(C1987+D1987=0,"",(E1987*C1987+F1987*D1987)/(C1987+D1987)))</f>
        <v/>
      </c>
      <c r="H1987" s="59"/>
      <c r="I1987" s="60">
        <f>IF(OR(H1987="",E1987="",C1987="",D1987=""),"",IF(C1987+D1987=0,"",(H1987*D1987+E1987*C1987)/(C1987+D1987)))</f>
        <v/>
      </c>
      <c r="J1987" s="59"/>
      <c r="K1987" s="61">
        <f>IF(OR(J1987="",I1987=""),"",J1987-I1987)</f>
        <v/>
      </c>
      <c r="L1987" s="61">
        <f>IF(OR(J1987="",G1987=""),"",J1987-G1987)</f>
        <v/>
      </c>
      <c r="M1987" s="59"/>
      <c r="N1987" s="59"/>
      <c r="O1987" s="59"/>
      <c r="P1987" s="59"/>
      <c r="Q1987" s="59"/>
      <c r="R1987" s="60">
        <f>IF(AND(P1987="",Q1987=""),"",N(P1987)+N(Q1987))</f>
        <v/>
      </c>
      <c r="S1987" s="59"/>
      <c r="T1987" s="59"/>
      <c r="U1987" s="62">
        <f>IF(OR(R1987="",S1987="",T1987=""),"",IF(S1987+T1987=0,"",R1987/(S1987+T1987)))</f>
        <v/>
      </c>
      <c r="V1987" s="63"/>
      <c r="W1987" s="64"/>
      <c r="X1987" s="63"/>
    </row>
    <row r="1988" spans="2:24">
      <c r="B1988" s="58"/>
      <c r="C1988" s="59"/>
      <c r="D1988" s="59"/>
      <c r="E1988" s="59"/>
      <c r="F1988" s="59"/>
      <c r="G1988" s="60">
        <f>IF(OR(E1988="",F1988="",C1988="",D1988=""),"",IF(C1988+D1988=0,"",(E1988*C1988+F1988*D1988)/(C1988+D1988)))</f>
        <v/>
      </c>
      <c r="H1988" s="59"/>
      <c r="I1988" s="60">
        <f>IF(OR(H1988="",E1988="",C1988="",D1988=""),"",IF(C1988+D1988=0,"",(H1988*D1988+E1988*C1988)/(C1988+D1988)))</f>
        <v/>
      </c>
      <c r="J1988" s="59"/>
      <c r="K1988" s="61">
        <f>IF(OR(J1988="",I1988=""),"",J1988-I1988)</f>
        <v/>
      </c>
      <c r="L1988" s="61">
        <f>IF(OR(J1988="",G1988=""),"",J1988-G1988)</f>
        <v/>
      </c>
      <c r="M1988" s="59"/>
      <c r="N1988" s="59"/>
      <c r="O1988" s="59"/>
      <c r="P1988" s="59"/>
      <c r="Q1988" s="59"/>
      <c r="R1988" s="60">
        <f>IF(AND(P1988="",Q1988=""),"",N(P1988)+N(Q1988))</f>
        <v/>
      </c>
      <c r="S1988" s="59"/>
      <c r="T1988" s="59"/>
      <c r="U1988" s="62">
        <f>IF(OR(R1988="",S1988="",T1988=""),"",IF(S1988+T1988=0,"",R1988/(S1988+T1988)))</f>
        <v/>
      </c>
      <c r="V1988" s="63"/>
      <c r="W1988" s="64"/>
      <c r="X1988" s="63"/>
    </row>
    <row r="1989" spans="2:24">
      <c r="B1989" s="58"/>
      <c r="C1989" s="59"/>
      <c r="D1989" s="59"/>
      <c r="E1989" s="59"/>
      <c r="F1989" s="59"/>
      <c r="G1989" s="60">
        <f>IF(OR(E1989="",F1989="",C1989="",D1989=""),"",IF(C1989+D1989=0,"",(E1989*C1989+F1989*D1989)/(C1989+D1989)))</f>
        <v/>
      </c>
      <c r="H1989" s="59"/>
      <c r="I1989" s="60">
        <f>IF(OR(H1989="",E1989="",C1989="",D1989=""),"",IF(C1989+D1989=0,"",(H1989*D1989+E1989*C1989)/(C1989+D1989)))</f>
        <v/>
      </c>
      <c r="J1989" s="59"/>
      <c r="K1989" s="61">
        <f>IF(OR(J1989="",I1989=""),"",J1989-I1989)</f>
        <v/>
      </c>
      <c r="L1989" s="61">
        <f>IF(OR(J1989="",G1989=""),"",J1989-G1989)</f>
        <v/>
      </c>
      <c r="M1989" s="59"/>
      <c r="N1989" s="59"/>
      <c r="O1989" s="59"/>
      <c r="P1989" s="59"/>
      <c r="Q1989" s="59"/>
      <c r="R1989" s="60">
        <f>IF(AND(P1989="",Q1989=""),"",N(P1989)+N(Q1989))</f>
        <v/>
      </c>
      <c r="S1989" s="59"/>
      <c r="T1989" s="59"/>
      <c r="U1989" s="62">
        <f>IF(OR(R1989="",S1989="",T1989=""),"",IF(S1989+T1989=0,"",R1989/(S1989+T1989)))</f>
        <v/>
      </c>
      <c r="V1989" s="63"/>
      <c r="W1989" s="64"/>
      <c r="X1989" s="63"/>
    </row>
    <row r="1990" spans="2:24">
      <c r="B1990" s="58"/>
      <c r="C1990" s="59"/>
      <c r="D1990" s="59"/>
      <c r="E1990" s="59"/>
      <c r="F1990" s="59"/>
      <c r="G1990" s="60">
        <f>IF(OR(E1990="",F1990="",C1990="",D1990=""),"",IF(C1990+D1990=0,"",(E1990*C1990+F1990*D1990)/(C1990+D1990)))</f>
        <v/>
      </c>
      <c r="H1990" s="59"/>
      <c r="I1990" s="60">
        <f>IF(OR(H1990="",E1990="",C1990="",D1990=""),"",IF(C1990+D1990=0,"",(H1990*D1990+E1990*C1990)/(C1990+D1990)))</f>
        <v/>
      </c>
      <c r="J1990" s="59"/>
      <c r="K1990" s="61">
        <f>IF(OR(J1990="",I1990=""),"",J1990-I1990)</f>
        <v/>
      </c>
      <c r="L1990" s="61">
        <f>IF(OR(J1990="",G1990=""),"",J1990-G1990)</f>
        <v/>
      </c>
      <c r="M1990" s="59"/>
      <c r="N1990" s="59"/>
      <c r="O1990" s="59"/>
      <c r="P1990" s="59"/>
      <c r="Q1990" s="59"/>
      <c r="R1990" s="60">
        <f>IF(AND(P1990="",Q1990=""),"",N(P1990)+N(Q1990))</f>
        <v/>
      </c>
      <c r="S1990" s="59"/>
      <c r="T1990" s="59"/>
      <c r="U1990" s="62">
        <f>IF(OR(R1990="",S1990="",T1990=""),"",IF(S1990+T1990=0,"",R1990/(S1990+T1990)))</f>
        <v/>
      </c>
      <c r="V1990" s="63"/>
      <c r="W1990" s="64"/>
      <c r="X1990" s="63"/>
    </row>
    <row r="1991" spans="2:24">
      <c r="B1991" s="58"/>
      <c r="C1991" s="59"/>
      <c r="D1991" s="59"/>
      <c r="E1991" s="59"/>
      <c r="F1991" s="59"/>
      <c r="G1991" s="60">
        <f>IF(OR(E1991="",F1991="",C1991="",D1991=""),"",IF(C1991+D1991=0,"",(E1991*C1991+F1991*D1991)/(C1991+D1991)))</f>
        <v/>
      </c>
      <c r="H1991" s="59"/>
      <c r="I1991" s="60">
        <f>IF(OR(H1991="",E1991="",C1991="",D1991=""),"",IF(C1991+D1991=0,"",(H1991*D1991+E1991*C1991)/(C1991+D1991)))</f>
        <v/>
      </c>
      <c r="J1991" s="59"/>
      <c r="K1991" s="61">
        <f>IF(OR(J1991="",I1991=""),"",J1991-I1991)</f>
        <v/>
      </c>
      <c r="L1991" s="61">
        <f>IF(OR(J1991="",G1991=""),"",J1991-G1991)</f>
        <v/>
      </c>
      <c r="M1991" s="59"/>
      <c r="N1991" s="59"/>
      <c r="O1991" s="59"/>
      <c r="P1991" s="59"/>
      <c r="Q1991" s="59"/>
      <c r="R1991" s="60">
        <f>IF(AND(P1991="",Q1991=""),"",N(P1991)+N(Q1991))</f>
        <v/>
      </c>
      <c r="S1991" s="59"/>
      <c r="T1991" s="59"/>
      <c r="U1991" s="62">
        <f>IF(OR(R1991="",S1991="",T1991=""),"",IF(S1991+T1991=0,"",R1991/(S1991+T1991)))</f>
        <v/>
      </c>
      <c r="V1991" s="63"/>
      <c r="W1991" s="64"/>
      <c r="X1991" s="63"/>
    </row>
    <row r="1992" spans="2:24">
      <c r="B1992" s="58"/>
      <c r="C1992" s="59"/>
      <c r="D1992" s="59"/>
      <c r="E1992" s="59"/>
      <c r="F1992" s="59"/>
      <c r="G1992" s="60">
        <f>IF(OR(E1992="",F1992="",C1992="",D1992=""),"",IF(C1992+D1992=0,"",(E1992*C1992+F1992*D1992)/(C1992+D1992)))</f>
        <v/>
      </c>
      <c r="H1992" s="59"/>
      <c r="I1992" s="60">
        <f>IF(OR(H1992="",E1992="",C1992="",D1992=""),"",IF(C1992+D1992=0,"",(H1992*D1992+E1992*C1992)/(C1992+D1992)))</f>
        <v/>
      </c>
      <c r="J1992" s="59"/>
      <c r="K1992" s="61">
        <f>IF(OR(J1992="",I1992=""),"",J1992-I1992)</f>
        <v/>
      </c>
      <c r="L1992" s="61">
        <f>IF(OR(J1992="",G1992=""),"",J1992-G1992)</f>
        <v/>
      </c>
      <c r="M1992" s="59"/>
      <c r="N1992" s="59"/>
      <c r="O1992" s="59"/>
      <c r="P1992" s="59"/>
      <c r="Q1992" s="59"/>
      <c r="R1992" s="60">
        <f>IF(AND(P1992="",Q1992=""),"",N(P1992)+N(Q1992))</f>
        <v/>
      </c>
      <c r="S1992" s="59"/>
      <c r="T1992" s="59"/>
      <c r="U1992" s="62">
        <f>IF(OR(R1992="",S1992="",T1992=""),"",IF(S1992+T1992=0,"",R1992/(S1992+T1992)))</f>
        <v/>
      </c>
      <c r="V1992" s="63"/>
      <c r="W1992" s="64"/>
      <c r="X1992" s="63"/>
    </row>
    <row r="1993" spans="2:24">
      <c r="B1993" s="58"/>
      <c r="C1993" s="59"/>
      <c r="D1993" s="59"/>
      <c r="E1993" s="59"/>
      <c r="F1993" s="59"/>
      <c r="G1993" s="60">
        <f>IF(OR(E1993="",F1993="",C1993="",D1993=""),"",IF(C1993+D1993=0,"",(E1993*C1993+F1993*D1993)/(C1993+D1993)))</f>
        <v/>
      </c>
      <c r="H1993" s="59"/>
      <c r="I1993" s="60">
        <f>IF(OR(H1993="",E1993="",C1993="",D1993=""),"",IF(C1993+D1993=0,"",(H1993*D1993+E1993*C1993)/(C1993+D1993)))</f>
        <v/>
      </c>
      <c r="J1993" s="59"/>
      <c r="K1993" s="61">
        <f>IF(OR(J1993="",I1993=""),"",J1993-I1993)</f>
        <v/>
      </c>
      <c r="L1993" s="61">
        <f>IF(OR(J1993="",G1993=""),"",J1993-G1993)</f>
        <v/>
      </c>
      <c r="M1993" s="59"/>
      <c r="N1993" s="59"/>
      <c r="O1993" s="59"/>
      <c r="P1993" s="59"/>
      <c r="Q1993" s="59"/>
      <c r="R1993" s="60">
        <f>IF(AND(P1993="",Q1993=""),"",N(P1993)+N(Q1993))</f>
        <v/>
      </c>
      <c r="S1993" s="59"/>
      <c r="T1993" s="59"/>
      <c r="U1993" s="62">
        <f>IF(OR(R1993="",S1993="",T1993=""),"",IF(S1993+T1993=0,"",R1993/(S1993+T1993)))</f>
        <v/>
      </c>
      <c r="V1993" s="63"/>
      <c r="W1993" s="64"/>
      <c r="X1993" s="63"/>
    </row>
    <row r="1994" spans="2:24">
      <c r="B1994" s="58"/>
      <c r="C1994" s="59"/>
      <c r="D1994" s="59"/>
      <c r="E1994" s="59"/>
      <c r="F1994" s="59"/>
      <c r="G1994" s="60">
        <f>IF(OR(E1994="",F1994="",C1994="",D1994=""),"",IF(C1994+D1994=0,"",(E1994*C1994+F1994*D1994)/(C1994+D1994)))</f>
        <v/>
      </c>
      <c r="H1994" s="59"/>
      <c r="I1994" s="60">
        <f>IF(OR(H1994="",E1994="",C1994="",D1994=""),"",IF(C1994+D1994=0,"",(H1994*D1994+E1994*C1994)/(C1994+D1994)))</f>
        <v/>
      </c>
      <c r="J1994" s="59"/>
      <c r="K1994" s="61">
        <f>IF(OR(J1994="",I1994=""),"",J1994-I1994)</f>
        <v/>
      </c>
      <c r="L1994" s="61">
        <f>IF(OR(J1994="",G1994=""),"",J1994-G1994)</f>
        <v/>
      </c>
      <c r="M1994" s="59"/>
      <c r="N1994" s="59"/>
      <c r="O1994" s="59"/>
      <c r="P1994" s="59"/>
      <c r="Q1994" s="59"/>
      <c r="R1994" s="60">
        <f>IF(AND(P1994="",Q1994=""),"",N(P1994)+N(Q1994))</f>
        <v/>
      </c>
      <c r="S1994" s="59"/>
      <c r="T1994" s="59"/>
      <c r="U1994" s="62">
        <f>IF(OR(R1994="",S1994="",T1994=""),"",IF(S1994+T1994=0,"",R1994/(S1994+T1994)))</f>
        <v/>
      </c>
      <c r="V1994" s="63"/>
      <c r="W1994" s="64"/>
      <c r="X1994" s="63"/>
    </row>
    <row r="1995" spans="2:24">
      <c r="B1995" s="58"/>
      <c r="C1995" s="59"/>
      <c r="D1995" s="59"/>
      <c r="E1995" s="59"/>
      <c r="F1995" s="59"/>
      <c r="G1995" s="60">
        <f>IF(OR(E1995="",F1995="",C1995="",D1995=""),"",IF(C1995+D1995=0,"",(E1995*C1995+F1995*D1995)/(C1995+D1995)))</f>
        <v/>
      </c>
      <c r="H1995" s="59"/>
      <c r="I1995" s="60">
        <f>IF(OR(H1995="",E1995="",C1995="",D1995=""),"",IF(C1995+D1995=0,"",(H1995*D1995+E1995*C1995)/(C1995+D1995)))</f>
        <v/>
      </c>
      <c r="J1995" s="59"/>
      <c r="K1995" s="61">
        <f>IF(OR(J1995="",I1995=""),"",J1995-I1995)</f>
        <v/>
      </c>
      <c r="L1995" s="61">
        <f>IF(OR(J1995="",G1995=""),"",J1995-G1995)</f>
        <v/>
      </c>
      <c r="M1995" s="59"/>
      <c r="N1995" s="59"/>
      <c r="O1995" s="59"/>
      <c r="P1995" s="59"/>
      <c r="Q1995" s="59"/>
      <c r="R1995" s="60">
        <f>IF(AND(P1995="",Q1995=""),"",N(P1995)+N(Q1995))</f>
        <v/>
      </c>
      <c r="S1995" s="59"/>
      <c r="T1995" s="59"/>
      <c r="U1995" s="62">
        <f>IF(OR(R1995="",S1995="",T1995=""),"",IF(S1995+T1995=0,"",R1995/(S1995+T1995)))</f>
        <v/>
      </c>
      <c r="V1995" s="63"/>
      <c r="W1995" s="64"/>
      <c r="X1995" s="63"/>
    </row>
    <row r="1996" spans="2:24">
      <c r="B1996" s="58"/>
      <c r="C1996" s="59"/>
      <c r="D1996" s="59"/>
      <c r="E1996" s="59"/>
      <c r="F1996" s="59"/>
      <c r="G1996" s="60">
        <f>IF(OR(E1996="",F1996="",C1996="",D1996=""),"",IF(C1996+D1996=0,"",(E1996*C1996+F1996*D1996)/(C1996+D1996)))</f>
        <v/>
      </c>
      <c r="H1996" s="59"/>
      <c r="I1996" s="60">
        <f>IF(OR(H1996="",E1996="",C1996="",D1996=""),"",IF(C1996+D1996=0,"",(H1996*D1996+E1996*C1996)/(C1996+D1996)))</f>
        <v/>
      </c>
      <c r="J1996" s="59"/>
      <c r="K1996" s="61">
        <f>IF(OR(J1996="",I1996=""),"",J1996-I1996)</f>
        <v/>
      </c>
      <c r="L1996" s="61">
        <f>IF(OR(J1996="",G1996=""),"",J1996-G1996)</f>
        <v/>
      </c>
      <c r="M1996" s="59"/>
      <c r="N1996" s="59"/>
      <c r="O1996" s="59"/>
      <c r="P1996" s="59"/>
      <c r="Q1996" s="59"/>
      <c r="R1996" s="60">
        <f>IF(AND(P1996="",Q1996=""),"",N(P1996)+N(Q1996))</f>
        <v/>
      </c>
      <c r="S1996" s="59"/>
      <c r="T1996" s="59"/>
      <c r="U1996" s="62">
        <f>IF(OR(R1996="",S1996="",T1996=""),"",IF(S1996+T1996=0,"",R1996/(S1996+T1996)))</f>
        <v/>
      </c>
      <c r="V1996" s="63"/>
      <c r="W1996" s="64"/>
      <c r="X1996" s="63"/>
    </row>
    <row r="1997" spans="2:24">
      <c r="B1997" s="58"/>
      <c r="C1997" s="59"/>
      <c r="D1997" s="59"/>
      <c r="E1997" s="59"/>
      <c r="F1997" s="59"/>
      <c r="G1997" s="60">
        <f>IF(OR(E1997="",F1997="",C1997="",D1997=""),"",IF(C1997+D1997=0,"",(E1997*C1997+F1997*D1997)/(C1997+D1997)))</f>
        <v/>
      </c>
      <c r="H1997" s="59"/>
      <c r="I1997" s="60">
        <f>IF(OR(H1997="",E1997="",C1997="",D1997=""),"",IF(C1997+D1997=0,"",(H1997*D1997+E1997*C1997)/(C1997+D1997)))</f>
        <v/>
      </c>
      <c r="J1997" s="59"/>
      <c r="K1997" s="61">
        <f>IF(OR(J1997="",I1997=""),"",J1997-I1997)</f>
        <v/>
      </c>
      <c r="L1997" s="61">
        <f>IF(OR(J1997="",G1997=""),"",J1997-G1997)</f>
        <v/>
      </c>
      <c r="M1997" s="59"/>
      <c r="N1997" s="59"/>
      <c r="O1997" s="59"/>
      <c r="P1997" s="59"/>
      <c r="Q1997" s="59"/>
      <c r="R1997" s="60">
        <f>IF(AND(P1997="",Q1997=""),"",N(P1997)+N(Q1997))</f>
        <v/>
      </c>
      <c r="S1997" s="59"/>
      <c r="T1997" s="59"/>
      <c r="U1997" s="62">
        <f>IF(OR(R1997="",S1997="",T1997=""),"",IF(S1997+T1997=0,"",R1997/(S1997+T1997)))</f>
        <v/>
      </c>
      <c r="V1997" s="63"/>
      <c r="W1997" s="64"/>
      <c r="X1997" s="63"/>
    </row>
    <row r="1998" spans="2:24">
      <c r="B1998" s="58"/>
      <c r="C1998" s="59"/>
      <c r="D1998" s="59"/>
      <c r="E1998" s="59"/>
      <c r="F1998" s="59"/>
      <c r="G1998" s="60">
        <f>IF(OR(E1998="",F1998="",C1998="",D1998=""),"",IF(C1998+D1998=0,"",(E1998*C1998+F1998*D1998)/(C1998+D1998)))</f>
        <v/>
      </c>
      <c r="H1998" s="59"/>
      <c r="I1998" s="60">
        <f>IF(OR(H1998="",E1998="",C1998="",D1998=""),"",IF(C1998+D1998=0,"",(H1998*D1998+E1998*C1998)/(C1998+D1998)))</f>
        <v/>
      </c>
      <c r="J1998" s="59"/>
      <c r="K1998" s="61">
        <f>IF(OR(J1998="",I1998=""),"",J1998-I1998)</f>
        <v/>
      </c>
      <c r="L1998" s="61">
        <f>IF(OR(J1998="",G1998=""),"",J1998-G1998)</f>
        <v/>
      </c>
      <c r="M1998" s="59"/>
      <c r="N1998" s="59"/>
      <c r="O1998" s="59"/>
      <c r="P1998" s="59"/>
      <c r="Q1998" s="59"/>
      <c r="R1998" s="60">
        <f>IF(AND(P1998="",Q1998=""),"",N(P1998)+N(Q1998))</f>
        <v/>
      </c>
      <c r="S1998" s="59"/>
      <c r="T1998" s="59"/>
      <c r="U1998" s="62">
        <f>IF(OR(R1998="",S1998="",T1998=""),"",IF(S1998+T1998=0,"",R1998/(S1998+T1998)))</f>
        <v/>
      </c>
      <c r="V1998" s="63"/>
      <c r="W1998" s="64"/>
      <c r="X1998" s="63"/>
    </row>
    <row r="1999" spans="2:24">
      <c r="B1999" s="58"/>
      <c r="C1999" s="59"/>
      <c r="D1999" s="59"/>
      <c r="E1999" s="59"/>
      <c r="F1999" s="59"/>
      <c r="G1999" s="60">
        <f>IF(OR(E1999="",F1999="",C1999="",D1999=""),"",IF(C1999+D1999=0,"",(E1999*C1999+F1999*D1999)/(C1999+D1999)))</f>
        <v/>
      </c>
      <c r="H1999" s="59"/>
      <c r="I1999" s="60">
        <f>IF(OR(H1999="",E1999="",C1999="",D1999=""),"",IF(C1999+D1999=0,"",(H1999*D1999+E1999*C1999)/(C1999+D1999)))</f>
        <v/>
      </c>
      <c r="J1999" s="59"/>
      <c r="K1999" s="61">
        <f>IF(OR(J1999="",I1999=""),"",J1999-I1999)</f>
        <v/>
      </c>
      <c r="L1999" s="61">
        <f>IF(OR(J1999="",G1999=""),"",J1999-G1999)</f>
        <v/>
      </c>
      <c r="M1999" s="59"/>
      <c r="N1999" s="59"/>
      <c r="O1999" s="59"/>
      <c r="P1999" s="59"/>
      <c r="Q1999" s="59"/>
      <c r="R1999" s="60">
        <f>IF(AND(P1999="",Q1999=""),"",N(P1999)+N(Q1999))</f>
        <v/>
      </c>
      <c r="S1999" s="59"/>
      <c r="T1999" s="59"/>
      <c r="U1999" s="62">
        <f>IF(OR(R1999="",S1999="",T1999=""),"",IF(S1999+T1999=0,"",R1999/(S1999+T1999)))</f>
        <v/>
      </c>
      <c r="V1999" s="63"/>
      <c r="W1999" s="64"/>
      <c r="X1999" s="63"/>
    </row>
    <row r="2000" spans="2:24">
      <c r="B2000" s="58"/>
      <c r="C2000" s="59"/>
      <c r="D2000" s="59"/>
      <c r="E2000" s="59"/>
      <c r="F2000" s="59"/>
      <c r="G2000" s="60">
        <f>IF(OR(E2000="",F2000="",C2000="",D2000=""),"",IF(C2000+D2000=0,"",(E2000*C2000+F2000*D2000)/(C2000+D2000)))</f>
        <v/>
      </c>
      <c r="H2000" s="59"/>
      <c r="I2000" s="60">
        <f>IF(OR(H2000="",E2000="",C2000="",D2000=""),"",IF(C2000+D2000=0,"",(H2000*D2000+E2000*C2000)/(C2000+D2000)))</f>
        <v/>
      </c>
      <c r="J2000" s="59"/>
      <c r="K2000" s="61">
        <f>IF(OR(J2000="",I2000=""),"",J2000-I2000)</f>
        <v/>
      </c>
      <c r="L2000" s="61">
        <f>IF(OR(J2000="",G2000=""),"",J2000-G2000)</f>
        <v/>
      </c>
      <c r="M2000" s="59"/>
      <c r="N2000" s="59"/>
      <c r="O2000" s="59"/>
      <c r="P2000" s="59"/>
      <c r="Q2000" s="59"/>
      <c r="R2000" s="60">
        <f>IF(AND(P2000="",Q2000=""),"",N(P2000)+N(Q2000))</f>
        <v/>
      </c>
      <c r="S2000" s="59"/>
      <c r="T2000" s="59"/>
      <c r="U2000" s="62">
        <f>IF(OR(R2000="",S2000="",T2000=""),"",IF(S2000+T2000=0,"",R2000/(S2000+T2000)))</f>
        <v/>
      </c>
      <c r="V2000" s="63"/>
      <c r="W2000" s="64"/>
      <c r="X2000" s="63"/>
    </row>
    <row r="2001" spans="2:24">
      <c r="B2001" s="58"/>
      <c r="C2001" s="59"/>
      <c r="D2001" s="59"/>
      <c r="E2001" s="59"/>
      <c r="F2001" s="59"/>
      <c r="G2001" s="60">
        <f>IF(OR(E2001="",F2001="",C2001="",D2001=""),"",IF(C2001+D2001=0,"",(E2001*C2001+F2001*D2001)/(C2001+D2001)))</f>
        <v/>
      </c>
      <c r="H2001" s="59"/>
      <c r="I2001" s="60">
        <f>IF(OR(H2001="",E2001="",C2001="",D2001=""),"",IF(C2001+D2001=0,"",(H2001*D2001+E2001*C2001)/(C2001+D2001)))</f>
        <v/>
      </c>
      <c r="J2001" s="59"/>
      <c r="K2001" s="61">
        <f>IF(OR(J2001="",I2001=""),"",J2001-I2001)</f>
        <v/>
      </c>
      <c r="L2001" s="61">
        <f>IF(OR(J2001="",G2001=""),"",J2001-G2001)</f>
        <v/>
      </c>
      <c r="M2001" s="59"/>
      <c r="N2001" s="59"/>
      <c r="O2001" s="59"/>
      <c r="P2001" s="59"/>
      <c r="Q2001" s="59"/>
      <c r="R2001" s="60">
        <f>IF(AND(P2001="",Q2001=""),"",N(P2001)+N(Q2001))</f>
        <v/>
      </c>
      <c r="S2001" s="59"/>
      <c r="T2001" s="59"/>
      <c r="U2001" s="62">
        <f>IF(OR(R2001="",S2001="",T2001=""),"",IF(S2001+T2001=0,"",R2001/(S2001+T2001)))</f>
        <v/>
      </c>
      <c r="V2001" s="63"/>
      <c r="W2001" s="64"/>
      <c r="X2001" s="63"/>
    </row>
    <row r="2002" spans="2:24">
      <c r="B2002" s="58"/>
      <c r="C2002" s="59"/>
      <c r="D2002" s="59"/>
      <c r="E2002" s="59"/>
      <c r="F2002" s="59"/>
      <c r="G2002" s="60">
        <f>IF(OR(E2002="",F2002="",C2002="",D2002=""),"",IF(C2002+D2002=0,"",(E2002*C2002+F2002*D2002)/(C2002+D2002)))</f>
        <v/>
      </c>
      <c r="H2002" s="59"/>
      <c r="I2002" s="60">
        <f>IF(OR(H2002="",E2002="",C2002="",D2002=""),"",IF(C2002+D2002=0,"",(H2002*D2002+E2002*C2002)/(C2002+D2002)))</f>
        <v/>
      </c>
      <c r="J2002" s="59"/>
      <c r="K2002" s="61">
        <f>IF(OR(J2002="",I2002=""),"",J2002-I2002)</f>
        <v/>
      </c>
      <c r="L2002" s="61">
        <f>IF(OR(J2002="",G2002=""),"",J2002-G2002)</f>
        <v/>
      </c>
      <c r="M2002" s="59"/>
      <c r="N2002" s="59"/>
      <c r="O2002" s="59"/>
      <c r="P2002" s="59"/>
      <c r="Q2002" s="59"/>
      <c r="R2002" s="60">
        <f>IF(AND(P2002="",Q2002=""),"",N(P2002)+N(Q2002))</f>
        <v/>
      </c>
      <c r="S2002" s="59"/>
      <c r="T2002" s="59"/>
      <c r="U2002" s="62">
        <f>IF(OR(R2002="",S2002="",T2002=""),"",IF(S2002+T2002=0,"",R2002/(S2002+T2002)))</f>
        <v/>
      </c>
      <c r="V2002" s="63"/>
      <c r="W2002" s="64"/>
      <c r="X2002" s="63"/>
    </row>
    <row r="2003" spans="2:24">
      <c r="B2003" s="58"/>
      <c r="C2003" s="59"/>
      <c r="D2003" s="59"/>
      <c r="E2003" s="59"/>
      <c r="F2003" s="59"/>
      <c r="G2003" s="60">
        <f>IF(OR(E2003="",F2003="",C2003="",D2003=""),"",IF(C2003+D2003=0,"",(E2003*C2003+F2003*D2003)/(C2003+D2003)))</f>
        <v/>
      </c>
      <c r="H2003" s="59"/>
      <c r="I2003" s="60">
        <f>IF(OR(H2003="",E2003="",C2003="",D2003=""),"",IF(C2003+D2003=0,"",(H2003*D2003+E2003*C2003)/(C2003+D2003)))</f>
        <v/>
      </c>
      <c r="J2003" s="59"/>
      <c r="K2003" s="61">
        <f>IF(OR(J2003="",I2003=""),"",J2003-I2003)</f>
        <v/>
      </c>
      <c r="L2003" s="61">
        <f>IF(OR(J2003="",G2003=""),"",J2003-G2003)</f>
        <v/>
      </c>
      <c r="M2003" s="59"/>
      <c r="N2003" s="59"/>
      <c r="O2003" s="59"/>
      <c r="P2003" s="59"/>
      <c r="Q2003" s="59"/>
      <c r="R2003" s="60">
        <f>IF(AND(P2003="",Q2003=""),"",N(P2003)+N(Q2003))</f>
        <v/>
      </c>
      <c r="S2003" s="59"/>
      <c r="T2003" s="59"/>
      <c r="U2003" s="62">
        <f>IF(OR(R2003="",S2003="",T2003=""),"",IF(S2003+T2003=0,"",R2003/(S2003+T2003)))</f>
        <v/>
      </c>
      <c r="V2003" s="63"/>
      <c r="W2003" s="64"/>
      <c r="X2003" s="63"/>
    </row>
    <row r="2004" spans="2:24">
      <c r="B2004" s="58"/>
      <c r="C2004" s="59"/>
      <c r="D2004" s="59"/>
      <c r="E2004" s="59"/>
      <c r="F2004" s="59"/>
      <c r="G2004" s="60">
        <f>IF(OR(E2004="",F2004="",C2004="",D2004=""),"",IF(C2004+D2004=0,"",(E2004*C2004+F2004*D2004)/(C2004+D2004)))</f>
        <v/>
      </c>
      <c r="H2004" s="59"/>
      <c r="I2004" s="60">
        <f>IF(OR(H2004="",E2004="",C2004="",D2004=""),"",IF(C2004+D2004=0,"",(H2004*D2004+E2004*C2004)/(C2004+D2004)))</f>
        <v/>
      </c>
      <c r="J2004" s="59"/>
      <c r="K2004" s="61">
        <f>IF(OR(J2004="",I2004=""),"",J2004-I2004)</f>
        <v/>
      </c>
      <c r="L2004" s="61">
        <f>IF(OR(J2004="",G2004=""),"",J2004-G2004)</f>
        <v/>
      </c>
      <c r="M2004" s="59"/>
      <c r="N2004" s="59"/>
      <c r="O2004" s="59"/>
      <c r="P2004" s="59"/>
      <c r="Q2004" s="59"/>
      <c r="R2004" s="60">
        <f>IF(AND(P2004="",Q2004=""),"",N(P2004)+N(Q2004))</f>
        <v/>
      </c>
      <c r="S2004" s="59"/>
      <c r="T2004" s="59"/>
      <c r="U2004" s="62">
        <f>IF(OR(R2004="",S2004="",T2004=""),"",IF(S2004+T2004=0,"",R2004/(S2004+T2004)))</f>
        <v/>
      </c>
      <c r="V2004" s="63"/>
      <c r="W2004" s="64"/>
      <c r="X2004" s="63"/>
    </row>
    <row r="2005" spans="2:24">
      <c r="B2005" s="58"/>
      <c r="C2005" s="59"/>
      <c r="D2005" s="59"/>
      <c r="E2005" s="59"/>
      <c r="F2005" s="59"/>
      <c r="G2005" s="60">
        <f>IF(OR(E2005="",F2005="",C2005="",D2005=""),"",IF(C2005+D2005=0,"",(E2005*C2005+F2005*D2005)/(C2005+D2005)))</f>
        <v/>
      </c>
      <c r="H2005" s="59"/>
      <c r="I2005" s="60">
        <f>IF(OR(H2005="",E2005="",C2005="",D2005=""),"",IF(C2005+D2005=0,"",(H2005*D2005+E2005*C2005)/(C2005+D2005)))</f>
        <v/>
      </c>
      <c r="J2005" s="59"/>
      <c r="K2005" s="61">
        <f>IF(OR(J2005="",I2005=""),"",J2005-I2005)</f>
        <v/>
      </c>
      <c r="L2005" s="61">
        <f>IF(OR(J2005="",G2005=""),"",J2005-G2005)</f>
        <v/>
      </c>
      <c r="M2005" s="59"/>
      <c r="N2005" s="59"/>
      <c r="O2005" s="59"/>
      <c r="P2005" s="59"/>
      <c r="Q2005" s="59"/>
      <c r="R2005" s="60">
        <f>IF(AND(P2005="",Q2005=""),"",N(P2005)+N(Q2005))</f>
        <v/>
      </c>
      <c r="S2005" s="59"/>
      <c r="T2005" s="59"/>
      <c r="U2005" s="62">
        <f>IF(OR(R2005="",S2005="",T2005=""),"",IF(S2005+T2005=0,"",R2005/(S2005+T2005)))</f>
        <v/>
      </c>
      <c r="V2005" s="63"/>
      <c r="W2005" s="64"/>
      <c r="X2005" s="63"/>
    </row>
    <row r="2006" spans="2:24">
      <c r="B2006" s="58"/>
      <c r="C2006" s="59"/>
      <c r="D2006" s="59"/>
      <c r="E2006" s="59"/>
      <c r="F2006" s="59"/>
      <c r="G2006" s="60">
        <f>IF(OR(E2006="",F2006="",C2006="",D2006=""),"",IF(C2006+D2006=0,"",(E2006*C2006+F2006*D2006)/(C2006+D2006)))</f>
        <v/>
      </c>
      <c r="H2006" s="59"/>
      <c r="I2006" s="60">
        <f>IF(OR(H2006="",E2006="",C2006="",D2006=""),"",IF(C2006+D2006=0,"",(H2006*D2006+E2006*C2006)/(C2006+D2006)))</f>
        <v/>
      </c>
      <c r="J2006" s="59"/>
      <c r="K2006" s="61">
        <f>IF(OR(J2006="",I2006=""),"",J2006-I2006)</f>
        <v/>
      </c>
      <c r="L2006" s="61">
        <f>IF(OR(J2006="",G2006=""),"",J2006-G2006)</f>
        <v/>
      </c>
      <c r="M2006" s="59"/>
      <c r="N2006" s="59"/>
      <c r="O2006" s="59"/>
      <c r="P2006" s="59"/>
      <c r="Q2006" s="59"/>
      <c r="R2006" s="60">
        <f>IF(AND(P2006="",Q2006=""),"",N(P2006)+N(Q2006))</f>
        <v/>
      </c>
      <c r="S2006" s="59"/>
      <c r="T2006" s="59"/>
      <c r="U2006" s="62">
        <f>IF(OR(R2006="",S2006="",T2006=""),"",IF(S2006+T2006=0,"",R2006/(S2006+T2006)))</f>
        <v/>
      </c>
      <c r="V2006" s="63"/>
      <c r="W2006" s="64"/>
      <c r="X2006" s="63"/>
    </row>
    <row r="2007" spans="2:24">
      <c r="B2007" s="58"/>
      <c r="C2007" s="59"/>
      <c r="D2007" s="59"/>
      <c r="E2007" s="59"/>
      <c r="F2007" s="59"/>
      <c r="G2007" s="60">
        <f>IF(OR(E2007="",F2007="",C2007="",D2007=""),"",IF(C2007+D2007=0,"",(E2007*C2007+F2007*D2007)/(C2007+D2007)))</f>
        <v/>
      </c>
      <c r="H2007" s="59"/>
      <c r="I2007" s="60">
        <f>IF(OR(H2007="",E2007="",C2007="",D2007=""),"",IF(C2007+D2007=0,"",(H2007*D2007+E2007*C2007)/(C2007+D2007)))</f>
        <v/>
      </c>
      <c r="J2007" s="59"/>
      <c r="K2007" s="61">
        <f>IF(OR(J2007="",I2007=""),"",J2007-I2007)</f>
        <v/>
      </c>
      <c r="L2007" s="61">
        <f>IF(OR(J2007="",G2007=""),"",J2007-G2007)</f>
        <v/>
      </c>
      <c r="M2007" s="59"/>
      <c r="N2007" s="59"/>
      <c r="O2007" s="59"/>
      <c r="P2007" s="59"/>
      <c r="Q2007" s="59"/>
      <c r="R2007" s="60">
        <f>IF(AND(P2007="",Q2007=""),"",N(P2007)+N(Q2007))</f>
        <v/>
      </c>
      <c r="S2007" s="59"/>
      <c r="T2007" s="59"/>
      <c r="U2007" s="62">
        <f>IF(OR(R2007="",S2007="",T2007=""),"",IF(S2007+T2007=0,"",R2007/(S2007+T2007)))</f>
        <v/>
      </c>
      <c r="V2007" s="63"/>
      <c r="W2007" s="64"/>
      <c r="X2007" s="63"/>
    </row>
    <row r="2008" spans="2:24">
      <c r="B2008" s="58"/>
      <c r="C2008" s="59"/>
      <c r="D2008" s="59"/>
      <c r="E2008" s="59"/>
      <c r="F2008" s="59"/>
      <c r="G2008" s="60">
        <f>IF(OR(E2008="",F2008="",C2008="",D2008=""),"",IF(C2008+D2008=0,"",(E2008*C2008+F2008*D2008)/(C2008+D2008)))</f>
        <v/>
      </c>
      <c r="H2008" s="59"/>
      <c r="I2008" s="60">
        <f>IF(OR(H2008="",E2008="",C2008="",D2008=""),"",IF(C2008+D2008=0,"",(H2008*D2008+E2008*C2008)/(C2008+D2008)))</f>
        <v/>
      </c>
      <c r="J2008" s="59"/>
      <c r="K2008" s="61">
        <f>IF(OR(J2008="",I2008=""),"",J2008-I2008)</f>
        <v/>
      </c>
      <c r="L2008" s="61">
        <f>IF(OR(J2008="",G2008=""),"",J2008-G2008)</f>
        <v/>
      </c>
      <c r="M2008" s="59"/>
      <c r="N2008" s="59"/>
      <c r="O2008" s="59"/>
      <c r="P2008" s="59"/>
      <c r="Q2008" s="59"/>
      <c r="R2008" s="60">
        <f>IF(AND(P2008="",Q2008=""),"",N(P2008)+N(Q2008))</f>
        <v/>
      </c>
      <c r="S2008" s="59"/>
      <c r="T2008" s="59"/>
      <c r="U2008" s="62">
        <f>IF(OR(R2008="",S2008="",T2008=""),"",IF(S2008+T2008=0,"",R2008/(S2008+T2008)))</f>
        <v/>
      </c>
      <c r="V2008" s="63"/>
      <c r="W2008" s="64"/>
      <c r="X2008" s="63"/>
    </row>
    <row r="2009" spans="2:24">
      <c r="B2009" s="58"/>
      <c r="C2009" s="59"/>
      <c r="D2009" s="59"/>
      <c r="E2009" s="59"/>
      <c r="F2009" s="59"/>
      <c r="G2009" s="60">
        <f>IF(OR(E2009="",F2009="",C2009="",D2009=""),"",IF(C2009+D2009=0,"",(E2009*C2009+F2009*D2009)/(C2009+D2009)))</f>
        <v/>
      </c>
      <c r="H2009" s="59"/>
      <c r="I2009" s="60">
        <f>IF(OR(H2009="",E2009="",C2009="",D2009=""),"",IF(C2009+D2009=0,"",(H2009*D2009+E2009*C2009)/(C2009+D2009)))</f>
        <v/>
      </c>
      <c r="J2009" s="59"/>
      <c r="K2009" s="61">
        <f>IF(OR(J2009="",I2009=""),"",J2009-I2009)</f>
        <v/>
      </c>
      <c r="L2009" s="61">
        <f>IF(OR(J2009="",G2009=""),"",J2009-G2009)</f>
        <v/>
      </c>
      <c r="M2009" s="59"/>
      <c r="N2009" s="59"/>
      <c r="O2009" s="59"/>
      <c r="P2009" s="59"/>
      <c r="Q2009" s="59"/>
      <c r="R2009" s="60">
        <f>IF(AND(P2009="",Q2009=""),"",N(P2009)+N(Q2009))</f>
        <v/>
      </c>
      <c r="S2009" s="59"/>
      <c r="T2009" s="59"/>
      <c r="U2009" s="62">
        <f>IF(OR(R2009="",S2009="",T2009=""),"",IF(S2009+T2009=0,"",R2009/(S2009+T2009)))</f>
        <v/>
      </c>
      <c r="V2009" s="63"/>
      <c r="W2009" s="64"/>
      <c r="X2009" s="63"/>
    </row>
    <row r="2010" spans="2:24">
      <c r="B2010" s="58"/>
      <c r="C2010" s="59"/>
      <c r="D2010" s="59"/>
      <c r="E2010" s="59"/>
      <c r="F2010" s="59"/>
      <c r="G2010" s="60">
        <f>IF(OR(E2010="",F2010="",C2010="",D2010=""),"",IF(C2010+D2010=0,"",(E2010*C2010+F2010*D2010)/(C2010+D2010)))</f>
        <v/>
      </c>
      <c r="H2010" s="59"/>
      <c r="I2010" s="60">
        <f>IF(OR(H2010="",E2010="",C2010="",D2010=""),"",IF(C2010+D2010=0,"",(H2010*D2010+E2010*C2010)/(C2010+D2010)))</f>
        <v/>
      </c>
      <c r="J2010" s="59"/>
      <c r="K2010" s="61">
        <f>IF(OR(J2010="",I2010=""),"",J2010-I2010)</f>
        <v/>
      </c>
      <c r="L2010" s="61">
        <f>IF(OR(J2010="",G2010=""),"",J2010-G2010)</f>
        <v/>
      </c>
      <c r="M2010" s="59"/>
      <c r="N2010" s="59"/>
      <c r="O2010" s="59"/>
      <c r="P2010" s="59"/>
      <c r="Q2010" s="59"/>
      <c r="R2010" s="60">
        <f>IF(AND(P2010="",Q2010=""),"",N(P2010)+N(Q2010))</f>
        <v/>
      </c>
      <c r="S2010" s="59"/>
      <c r="T2010" s="59"/>
      <c r="U2010" s="62">
        <f>IF(OR(R2010="",S2010="",T2010=""),"",IF(S2010+T2010=0,"",R2010/(S2010+T2010)))</f>
        <v/>
      </c>
      <c r="V2010" s="63"/>
      <c r="W2010" s="64"/>
      <c r="X2010" s="63"/>
    </row>
    <row r="2011" spans="2:24">
      <c r="B2011" s="58"/>
      <c r="C2011" s="59"/>
      <c r="D2011" s="59"/>
      <c r="E2011" s="59"/>
      <c r="F2011" s="59"/>
      <c r="G2011" s="60">
        <f>IF(OR(E2011="",F2011="",C2011="",D2011=""),"",IF(C2011+D2011=0,"",(E2011*C2011+F2011*D2011)/(C2011+D2011)))</f>
        <v/>
      </c>
      <c r="H2011" s="59"/>
      <c r="I2011" s="60">
        <f>IF(OR(H2011="",E2011="",C2011="",D2011=""),"",IF(C2011+D2011=0,"",(H2011*D2011+E2011*C2011)/(C2011+D2011)))</f>
        <v/>
      </c>
      <c r="J2011" s="59"/>
      <c r="K2011" s="61">
        <f>IF(OR(J2011="",I2011=""),"",J2011-I2011)</f>
        <v/>
      </c>
      <c r="L2011" s="61">
        <f>IF(OR(J2011="",G2011=""),"",J2011-G2011)</f>
        <v/>
      </c>
      <c r="M2011" s="59"/>
      <c r="N2011" s="59"/>
      <c r="O2011" s="59"/>
      <c r="P2011" s="59"/>
      <c r="Q2011" s="59"/>
      <c r="R2011" s="60">
        <f>IF(AND(P2011="",Q2011=""),"",N(P2011)+N(Q2011))</f>
        <v/>
      </c>
      <c r="S2011" s="59"/>
      <c r="T2011" s="59"/>
      <c r="U2011" s="62">
        <f>IF(OR(R2011="",S2011="",T2011=""),"",IF(S2011+T2011=0,"",R2011/(S2011+T2011)))</f>
        <v/>
      </c>
      <c r="V2011" s="63"/>
      <c r="W2011" s="64"/>
      <c r="X2011" s="63"/>
    </row>
    <row r="2012" spans="2:24">
      <c r="B2012" s="58"/>
      <c r="C2012" s="59"/>
      <c r="D2012" s="59"/>
      <c r="E2012" s="59"/>
      <c r="F2012" s="59"/>
      <c r="G2012" s="60">
        <f>IF(OR(E2012="",F2012="",C2012="",D2012=""),"",IF(C2012+D2012=0,"",(E2012*C2012+F2012*D2012)/(C2012+D2012)))</f>
        <v/>
      </c>
      <c r="H2012" s="59"/>
      <c r="I2012" s="60">
        <f>IF(OR(H2012="",E2012="",C2012="",D2012=""),"",IF(C2012+D2012=0,"",(H2012*D2012+E2012*C2012)/(C2012+D2012)))</f>
        <v/>
      </c>
      <c r="J2012" s="59"/>
      <c r="K2012" s="61">
        <f>IF(OR(J2012="",I2012=""),"",J2012-I2012)</f>
        <v/>
      </c>
      <c r="L2012" s="61">
        <f>IF(OR(J2012="",G2012=""),"",J2012-G2012)</f>
        <v/>
      </c>
      <c r="M2012" s="59"/>
      <c r="N2012" s="59"/>
      <c r="O2012" s="59"/>
      <c r="P2012" s="59"/>
      <c r="Q2012" s="59"/>
      <c r="R2012" s="60">
        <f>IF(AND(P2012="",Q2012=""),"",N(P2012)+N(Q2012))</f>
        <v/>
      </c>
      <c r="S2012" s="59"/>
      <c r="T2012" s="59"/>
      <c r="U2012" s="62">
        <f>IF(OR(R2012="",S2012="",T2012=""),"",IF(S2012+T2012=0,"",R2012/(S2012+T2012)))</f>
        <v/>
      </c>
      <c r="V2012" s="63"/>
      <c r="W2012" s="64"/>
      <c r="X2012" s="63"/>
    </row>
    <row r="2013" spans="2:24">
      <c r="B2013" s="58"/>
      <c r="C2013" s="59"/>
      <c r="D2013" s="59"/>
      <c r="E2013" s="59"/>
      <c r="F2013" s="59"/>
      <c r="G2013" s="60">
        <f>IF(OR(E2013="",F2013="",C2013="",D2013=""),"",IF(C2013+D2013=0,"",(E2013*C2013+F2013*D2013)/(C2013+D2013)))</f>
        <v/>
      </c>
      <c r="H2013" s="59"/>
      <c r="I2013" s="60">
        <f>IF(OR(H2013="",E2013="",C2013="",D2013=""),"",IF(C2013+D2013=0,"",(H2013*D2013+E2013*C2013)/(C2013+D2013)))</f>
        <v/>
      </c>
      <c r="J2013" s="59"/>
      <c r="K2013" s="61">
        <f>IF(OR(J2013="",I2013=""),"",J2013-I2013)</f>
        <v/>
      </c>
      <c r="L2013" s="61">
        <f>IF(OR(J2013="",G2013=""),"",J2013-G2013)</f>
        <v/>
      </c>
      <c r="M2013" s="59"/>
      <c r="N2013" s="59"/>
      <c r="O2013" s="59"/>
      <c r="P2013" s="59"/>
      <c r="Q2013" s="59"/>
      <c r="R2013" s="60">
        <f>IF(AND(P2013="",Q2013=""),"",N(P2013)+N(Q2013))</f>
        <v/>
      </c>
      <c r="S2013" s="59"/>
      <c r="T2013" s="59"/>
      <c r="U2013" s="62">
        <f>IF(OR(R2013="",S2013="",T2013=""),"",IF(S2013+T2013=0,"",R2013/(S2013+T2013)))</f>
        <v/>
      </c>
      <c r="V2013" s="63"/>
      <c r="W2013" s="64"/>
      <c r="X2013" s="63"/>
    </row>
    <row r="2014" spans="2:24">
      <c r="B2014" s="58"/>
      <c r="C2014" s="59"/>
      <c r="D2014" s="59"/>
      <c r="E2014" s="59"/>
      <c r="F2014" s="59"/>
      <c r="G2014" s="60">
        <f>IF(OR(E2014="",F2014="",C2014="",D2014=""),"",IF(C2014+D2014=0,"",(E2014*C2014+F2014*D2014)/(C2014+D2014)))</f>
        <v/>
      </c>
      <c r="H2014" s="59"/>
      <c r="I2014" s="60">
        <f>IF(OR(H2014="",E2014="",C2014="",D2014=""),"",IF(C2014+D2014=0,"",(H2014*D2014+E2014*C2014)/(C2014+D2014)))</f>
        <v/>
      </c>
      <c r="J2014" s="59"/>
      <c r="K2014" s="61">
        <f>IF(OR(J2014="",I2014=""),"",J2014-I2014)</f>
        <v/>
      </c>
      <c r="L2014" s="61">
        <f>IF(OR(J2014="",G2014=""),"",J2014-G2014)</f>
        <v/>
      </c>
      <c r="M2014" s="59"/>
      <c r="N2014" s="59"/>
      <c r="O2014" s="59"/>
      <c r="P2014" s="59"/>
      <c r="Q2014" s="59"/>
      <c r="R2014" s="60">
        <f>IF(AND(P2014="",Q2014=""),"",N(P2014)+N(Q2014))</f>
        <v/>
      </c>
      <c r="S2014" s="59"/>
      <c r="T2014" s="59"/>
      <c r="U2014" s="62">
        <f>IF(OR(R2014="",S2014="",T2014=""),"",IF(S2014+T2014=0,"",R2014/(S2014+T2014)))</f>
        <v/>
      </c>
      <c r="V2014" s="63"/>
      <c r="W2014" s="64"/>
      <c r="X2014" s="63"/>
    </row>
    <row r="2015" spans="2:24">
      <c r="B2015" s="58"/>
      <c r="C2015" s="59"/>
      <c r="D2015" s="59"/>
      <c r="E2015" s="59"/>
      <c r="F2015" s="59"/>
      <c r="G2015" s="60">
        <f>IF(OR(E2015="",F2015="",C2015="",D2015=""),"",IF(C2015+D2015=0,"",(E2015*C2015+F2015*D2015)/(C2015+D2015)))</f>
        <v/>
      </c>
      <c r="H2015" s="59"/>
      <c r="I2015" s="60">
        <f>IF(OR(H2015="",E2015="",C2015="",D2015=""),"",IF(C2015+D2015=0,"",(H2015*D2015+E2015*C2015)/(C2015+D2015)))</f>
        <v/>
      </c>
      <c r="J2015" s="59"/>
      <c r="K2015" s="61">
        <f>IF(OR(J2015="",I2015=""),"",J2015-I2015)</f>
        <v/>
      </c>
      <c r="L2015" s="61">
        <f>IF(OR(J2015="",G2015=""),"",J2015-G2015)</f>
        <v/>
      </c>
      <c r="M2015" s="59"/>
      <c r="N2015" s="59"/>
      <c r="O2015" s="59"/>
      <c r="P2015" s="59"/>
      <c r="Q2015" s="59"/>
      <c r="R2015" s="60">
        <f>IF(AND(P2015="",Q2015=""),"",N(P2015)+N(Q2015))</f>
        <v/>
      </c>
      <c r="S2015" s="59"/>
      <c r="T2015" s="59"/>
      <c r="U2015" s="62">
        <f>IF(OR(R2015="",S2015="",T2015=""),"",IF(S2015+T2015=0,"",R2015/(S2015+T2015)))</f>
        <v/>
      </c>
      <c r="V2015" s="63"/>
      <c r="W2015" s="64"/>
      <c r="X2015" s="63"/>
    </row>
    <row r="2016" spans="2:24">
      <c r="B2016" s="58"/>
      <c r="C2016" s="59"/>
      <c r="D2016" s="59"/>
      <c r="E2016" s="59"/>
      <c r="F2016" s="59"/>
      <c r="G2016" s="60">
        <f>IF(OR(E2016="",F2016="",C2016="",D2016=""),"",IF(C2016+D2016=0,"",(E2016*C2016+F2016*D2016)/(C2016+D2016)))</f>
        <v/>
      </c>
      <c r="H2016" s="59"/>
      <c r="I2016" s="60">
        <f>IF(OR(H2016="",E2016="",C2016="",D2016=""),"",IF(C2016+D2016=0,"",(H2016*D2016+E2016*C2016)/(C2016+D2016)))</f>
        <v/>
      </c>
      <c r="J2016" s="59"/>
      <c r="K2016" s="61">
        <f>IF(OR(J2016="",I2016=""),"",J2016-I2016)</f>
        <v/>
      </c>
      <c r="L2016" s="61">
        <f>IF(OR(J2016="",G2016=""),"",J2016-G2016)</f>
        <v/>
      </c>
      <c r="M2016" s="59"/>
      <c r="N2016" s="59"/>
      <c r="O2016" s="59"/>
      <c r="P2016" s="59"/>
      <c r="Q2016" s="59"/>
      <c r="R2016" s="60">
        <f>IF(AND(P2016="",Q2016=""),"",N(P2016)+N(Q2016))</f>
        <v/>
      </c>
      <c r="S2016" s="59"/>
      <c r="T2016" s="59"/>
      <c r="U2016" s="62">
        <f>IF(OR(R2016="",S2016="",T2016=""),"",IF(S2016+T2016=0,"",R2016/(S2016+T2016)))</f>
        <v/>
      </c>
      <c r="V2016" s="63"/>
      <c r="W2016" s="64"/>
      <c r="X2016" s="63"/>
    </row>
    <row r="2017" spans="2:24">
      <c r="B2017" s="58"/>
      <c r="C2017" s="59"/>
      <c r="D2017" s="59"/>
      <c r="E2017" s="59"/>
      <c r="F2017" s="59"/>
      <c r="G2017" s="60">
        <f>IF(OR(E2017="",F2017="",C2017="",D2017=""),"",IF(C2017+D2017=0,"",(E2017*C2017+F2017*D2017)/(C2017+D2017)))</f>
        <v/>
      </c>
      <c r="H2017" s="59"/>
      <c r="I2017" s="60">
        <f>IF(OR(H2017="",E2017="",C2017="",D2017=""),"",IF(C2017+D2017=0,"",(H2017*D2017+E2017*C2017)/(C2017+D2017)))</f>
        <v/>
      </c>
      <c r="J2017" s="59"/>
      <c r="K2017" s="61">
        <f>IF(OR(J2017="",I2017=""),"",J2017-I2017)</f>
        <v/>
      </c>
      <c r="L2017" s="61">
        <f>IF(OR(J2017="",G2017=""),"",J2017-G2017)</f>
        <v/>
      </c>
      <c r="M2017" s="59"/>
      <c r="N2017" s="59"/>
      <c r="O2017" s="59"/>
      <c r="P2017" s="59"/>
      <c r="Q2017" s="59"/>
      <c r="R2017" s="60">
        <f>IF(AND(P2017="",Q2017=""),"",N(P2017)+N(Q2017))</f>
        <v/>
      </c>
      <c r="S2017" s="59"/>
      <c r="T2017" s="59"/>
      <c r="U2017" s="62">
        <f>IF(OR(R2017="",S2017="",T2017=""),"",IF(S2017+T2017=0,"",R2017/(S2017+T2017)))</f>
        <v/>
      </c>
      <c r="V2017" s="63"/>
      <c r="W2017" s="64"/>
      <c r="X2017" s="63"/>
    </row>
    <row r="2018" spans="2:24">
      <c r="B2018" s="58"/>
      <c r="C2018" s="59"/>
      <c r="D2018" s="59"/>
      <c r="E2018" s="59"/>
      <c r="F2018" s="59"/>
      <c r="G2018" s="60">
        <f>IF(OR(E2018="",F2018="",C2018="",D2018=""),"",IF(C2018+D2018=0,"",(E2018*C2018+F2018*D2018)/(C2018+D2018)))</f>
        <v/>
      </c>
      <c r="H2018" s="59"/>
      <c r="I2018" s="60">
        <f>IF(OR(H2018="",E2018="",C2018="",D2018=""),"",IF(C2018+D2018=0,"",(H2018*D2018+E2018*C2018)/(C2018+D2018)))</f>
        <v/>
      </c>
      <c r="J2018" s="59"/>
      <c r="K2018" s="61">
        <f>IF(OR(J2018="",I2018=""),"",J2018-I2018)</f>
        <v/>
      </c>
      <c r="L2018" s="61">
        <f>IF(OR(J2018="",G2018=""),"",J2018-G2018)</f>
        <v/>
      </c>
      <c r="M2018" s="59"/>
      <c r="N2018" s="59"/>
      <c r="O2018" s="59"/>
      <c r="P2018" s="59"/>
      <c r="Q2018" s="59"/>
      <c r="R2018" s="60">
        <f>IF(AND(P2018="",Q2018=""),"",N(P2018)+N(Q2018))</f>
        <v/>
      </c>
      <c r="S2018" s="59"/>
      <c r="T2018" s="59"/>
      <c r="U2018" s="62">
        <f>IF(OR(R2018="",S2018="",T2018=""),"",IF(S2018+T2018=0,"",R2018/(S2018+T2018)))</f>
        <v/>
      </c>
      <c r="V2018" s="63"/>
      <c r="W2018" s="64"/>
      <c r="X2018" s="63"/>
    </row>
    <row r="2019" spans="2:24">
      <c r="B2019" s="58"/>
      <c r="C2019" s="59"/>
      <c r="D2019" s="59"/>
      <c r="E2019" s="59"/>
      <c r="F2019" s="59"/>
      <c r="G2019" s="60">
        <f>IF(OR(E2019="",F2019="",C2019="",D2019=""),"",IF(C2019+D2019=0,"",(E2019*C2019+F2019*D2019)/(C2019+D2019)))</f>
        <v/>
      </c>
      <c r="H2019" s="59"/>
      <c r="I2019" s="60">
        <f>IF(OR(H2019="",E2019="",C2019="",D2019=""),"",IF(C2019+D2019=0,"",(H2019*D2019+E2019*C2019)/(C2019+D2019)))</f>
        <v/>
      </c>
      <c r="J2019" s="59"/>
      <c r="K2019" s="61">
        <f>IF(OR(J2019="",I2019=""),"",J2019-I2019)</f>
        <v/>
      </c>
      <c r="L2019" s="61">
        <f>IF(OR(J2019="",G2019=""),"",J2019-G2019)</f>
        <v/>
      </c>
      <c r="M2019" s="59"/>
      <c r="N2019" s="59"/>
      <c r="O2019" s="59"/>
      <c r="P2019" s="59"/>
      <c r="Q2019" s="59"/>
      <c r="R2019" s="60">
        <f>IF(AND(P2019="",Q2019=""),"",N(P2019)+N(Q2019))</f>
        <v/>
      </c>
      <c r="S2019" s="59"/>
      <c r="T2019" s="59"/>
      <c r="U2019" s="62">
        <f>IF(OR(R2019="",S2019="",T2019=""),"",IF(S2019+T2019=0,"",R2019/(S2019+T2019)))</f>
        <v/>
      </c>
      <c r="V2019" s="63"/>
      <c r="W2019" s="64"/>
      <c r="X2019" s="63"/>
    </row>
    <row r="2020" spans="2:24">
      <c r="B2020" s="58"/>
      <c r="C2020" s="59"/>
      <c r="D2020" s="59"/>
      <c r="E2020" s="59"/>
      <c r="F2020" s="59"/>
      <c r="G2020" s="60">
        <f>IF(OR(E2020="",F2020="",C2020="",D2020=""),"",IF(C2020+D2020=0,"",(E2020*C2020+F2020*D2020)/(C2020+D2020)))</f>
        <v/>
      </c>
      <c r="H2020" s="59"/>
      <c r="I2020" s="60">
        <f>IF(OR(H2020="",E2020="",C2020="",D2020=""),"",IF(C2020+D2020=0,"",(H2020*D2020+E2020*C2020)/(C2020+D2020)))</f>
        <v/>
      </c>
      <c r="J2020" s="59"/>
      <c r="K2020" s="61">
        <f>IF(OR(J2020="",I2020=""),"",J2020-I2020)</f>
        <v/>
      </c>
      <c r="L2020" s="61">
        <f>IF(OR(J2020="",G2020=""),"",J2020-G2020)</f>
        <v/>
      </c>
      <c r="M2020" s="59"/>
      <c r="N2020" s="59"/>
      <c r="O2020" s="59"/>
      <c r="P2020" s="59"/>
      <c r="Q2020" s="59"/>
      <c r="R2020" s="60">
        <f>IF(AND(P2020="",Q2020=""),"",N(P2020)+N(Q2020))</f>
        <v/>
      </c>
      <c r="S2020" s="59"/>
      <c r="T2020" s="59"/>
      <c r="U2020" s="62">
        <f>IF(OR(R2020="",S2020="",T2020=""),"",IF(S2020+T2020=0,"",R2020/(S2020+T2020)))</f>
        <v/>
      </c>
      <c r="V2020" s="63"/>
      <c r="W2020" s="64"/>
      <c r="X2020" s="63"/>
    </row>
    <row r="2021" spans="2:24">
      <c r="B2021" s="58"/>
      <c r="C2021" s="59"/>
      <c r="D2021" s="59"/>
      <c r="E2021" s="59"/>
      <c r="F2021" s="59"/>
      <c r="G2021" s="60">
        <f>IF(OR(E2021="",F2021="",C2021="",D2021=""),"",IF(C2021+D2021=0,"",(E2021*C2021+F2021*D2021)/(C2021+D2021)))</f>
        <v/>
      </c>
      <c r="H2021" s="59"/>
      <c r="I2021" s="60">
        <f>IF(OR(H2021="",E2021="",C2021="",D2021=""),"",IF(C2021+D2021=0,"",(H2021*D2021+E2021*C2021)/(C2021+D2021)))</f>
        <v/>
      </c>
      <c r="J2021" s="59"/>
      <c r="K2021" s="61">
        <f>IF(OR(J2021="",I2021=""),"",J2021-I2021)</f>
        <v/>
      </c>
      <c r="L2021" s="61">
        <f>IF(OR(J2021="",G2021=""),"",J2021-G2021)</f>
        <v/>
      </c>
      <c r="M2021" s="59"/>
      <c r="N2021" s="59"/>
      <c r="O2021" s="59"/>
      <c r="P2021" s="59"/>
      <c r="Q2021" s="59"/>
      <c r="R2021" s="60">
        <f>IF(AND(P2021="",Q2021=""),"",N(P2021)+N(Q2021))</f>
        <v/>
      </c>
      <c r="S2021" s="59"/>
      <c r="T2021" s="59"/>
      <c r="U2021" s="62">
        <f>IF(OR(R2021="",S2021="",T2021=""),"",IF(S2021+T2021=0,"",R2021/(S2021+T2021)))</f>
        <v/>
      </c>
      <c r="V2021" s="63"/>
      <c r="W2021" s="64"/>
      <c r="X2021" s="63"/>
    </row>
    <row r="2022" spans="2:24">
      <c r="B2022" s="58"/>
      <c r="C2022" s="59"/>
      <c r="D2022" s="59"/>
      <c r="E2022" s="59"/>
      <c r="F2022" s="59"/>
      <c r="G2022" s="60">
        <f>IF(OR(E2022="",F2022="",C2022="",D2022=""),"",IF(C2022+D2022=0,"",(E2022*C2022+F2022*D2022)/(C2022+D2022)))</f>
        <v/>
      </c>
      <c r="H2022" s="59"/>
      <c r="I2022" s="60">
        <f>IF(OR(H2022="",E2022="",C2022="",D2022=""),"",IF(C2022+D2022=0,"",(H2022*D2022+E2022*C2022)/(C2022+D2022)))</f>
        <v/>
      </c>
      <c r="J2022" s="59"/>
      <c r="K2022" s="61">
        <f>IF(OR(J2022="",I2022=""),"",J2022-I2022)</f>
        <v/>
      </c>
      <c r="L2022" s="61">
        <f>IF(OR(J2022="",G2022=""),"",J2022-G2022)</f>
        <v/>
      </c>
      <c r="M2022" s="59"/>
      <c r="N2022" s="59"/>
      <c r="O2022" s="59"/>
      <c r="P2022" s="59"/>
      <c r="Q2022" s="59"/>
      <c r="R2022" s="60">
        <f>IF(AND(P2022="",Q2022=""),"",N(P2022)+N(Q2022))</f>
        <v/>
      </c>
      <c r="S2022" s="59"/>
      <c r="T2022" s="59"/>
      <c r="U2022" s="62">
        <f>IF(OR(R2022="",S2022="",T2022=""),"",IF(S2022+T2022=0,"",R2022/(S2022+T2022)))</f>
        <v/>
      </c>
      <c r="V2022" s="63"/>
      <c r="W2022" s="64"/>
      <c r="X2022" s="63"/>
    </row>
    <row r="2023" spans="2:24">
      <c r="B2023" s="58"/>
      <c r="C2023" s="59"/>
      <c r="D2023" s="59"/>
      <c r="E2023" s="59"/>
      <c r="F2023" s="59"/>
      <c r="G2023" s="60">
        <f>IF(OR(E2023="",F2023="",C2023="",D2023=""),"",IF(C2023+D2023=0,"",(E2023*C2023+F2023*D2023)/(C2023+D2023)))</f>
        <v/>
      </c>
      <c r="H2023" s="59"/>
      <c r="I2023" s="60">
        <f>IF(OR(H2023="",E2023="",C2023="",D2023=""),"",IF(C2023+D2023=0,"",(H2023*D2023+E2023*C2023)/(C2023+D2023)))</f>
        <v/>
      </c>
      <c r="J2023" s="59"/>
      <c r="K2023" s="61">
        <f>IF(OR(J2023="",I2023=""),"",J2023-I2023)</f>
        <v/>
      </c>
      <c r="L2023" s="61">
        <f>IF(OR(J2023="",G2023=""),"",J2023-G2023)</f>
        <v/>
      </c>
      <c r="M2023" s="59"/>
      <c r="N2023" s="59"/>
      <c r="O2023" s="59"/>
      <c r="P2023" s="59"/>
      <c r="Q2023" s="59"/>
      <c r="R2023" s="60">
        <f>IF(AND(P2023="",Q2023=""),"",N(P2023)+N(Q2023))</f>
        <v/>
      </c>
      <c r="S2023" s="59"/>
      <c r="T2023" s="59"/>
      <c r="U2023" s="62">
        <f>IF(OR(R2023="",S2023="",T2023=""),"",IF(S2023+T2023=0,"",R2023/(S2023+T2023)))</f>
        <v/>
      </c>
      <c r="V2023" s="63"/>
      <c r="W2023" s="64"/>
      <c r="X2023" s="63"/>
    </row>
    <row r="2024" spans="2:24">
      <c r="B2024" s="58"/>
      <c r="C2024" s="59"/>
      <c r="D2024" s="59"/>
      <c r="E2024" s="59"/>
      <c r="F2024" s="59"/>
      <c r="G2024" s="60">
        <f>IF(OR(E2024="",F2024="",C2024="",D2024=""),"",IF(C2024+D2024=0,"",(E2024*C2024+F2024*D2024)/(C2024+D2024)))</f>
        <v/>
      </c>
      <c r="H2024" s="59"/>
      <c r="I2024" s="60">
        <f>IF(OR(H2024="",E2024="",C2024="",D2024=""),"",IF(C2024+D2024=0,"",(H2024*D2024+E2024*C2024)/(C2024+D2024)))</f>
        <v/>
      </c>
      <c r="J2024" s="59"/>
      <c r="K2024" s="61">
        <f>IF(OR(J2024="",I2024=""),"",J2024-I2024)</f>
        <v/>
      </c>
      <c r="L2024" s="61">
        <f>IF(OR(J2024="",G2024=""),"",J2024-G2024)</f>
        <v/>
      </c>
      <c r="M2024" s="59"/>
      <c r="N2024" s="59"/>
      <c r="O2024" s="59"/>
      <c r="P2024" s="59"/>
      <c r="Q2024" s="59"/>
      <c r="R2024" s="60">
        <f>IF(AND(P2024="",Q2024=""),"",N(P2024)+N(Q2024))</f>
        <v/>
      </c>
      <c r="S2024" s="59"/>
      <c r="T2024" s="59"/>
      <c r="U2024" s="62">
        <f>IF(OR(R2024="",S2024="",T2024=""),"",IF(S2024+T2024=0,"",R2024/(S2024+T2024)))</f>
        <v/>
      </c>
      <c r="V2024" s="63"/>
      <c r="W2024" s="64"/>
      <c r="X2024" s="63"/>
    </row>
    <row r="2025" spans="2:24">
      <c r="B2025" s="58"/>
      <c r="C2025" s="59"/>
      <c r="D2025" s="59"/>
      <c r="E2025" s="59"/>
      <c r="F2025" s="59"/>
      <c r="G2025" s="60">
        <f>IF(OR(E2025="",F2025="",C2025="",D2025=""),"",IF(C2025+D2025=0,"",(E2025*C2025+F2025*D2025)/(C2025+D2025)))</f>
        <v/>
      </c>
      <c r="H2025" s="59"/>
      <c r="I2025" s="60">
        <f>IF(OR(H2025="",E2025="",C2025="",D2025=""),"",IF(C2025+D2025=0,"",(H2025*D2025+E2025*C2025)/(C2025+D2025)))</f>
        <v/>
      </c>
      <c r="J2025" s="59"/>
      <c r="K2025" s="61">
        <f>IF(OR(J2025="",I2025=""),"",J2025-I2025)</f>
        <v/>
      </c>
      <c r="L2025" s="61">
        <f>IF(OR(J2025="",G2025=""),"",J2025-G2025)</f>
        <v/>
      </c>
      <c r="M2025" s="59"/>
      <c r="N2025" s="59"/>
      <c r="O2025" s="59"/>
      <c r="P2025" s="59"/>
      <c r="Q2025" s="59"/>
      <c r="R2025" s="60">
        <f>IF(AND(P2025="",Q2025=""),"",N(P2025)+N(Q2025))</f>
        <v/>
      </c>
      <c r="S2025" s="59"/>
      <c r="T2025" s="59"/>
      <c r="U2025" s="62">
        <f>IF(OR(R2025="",S2025="",T2025=""),"",IF(S2025+T2025=0,"",R2025/(S2025+T2025)))</f>
        <v/>
      </c>
      <c r="V2025" s="63"/>
      <c r="W2025" s="64"/>
      <c r="X2025" s="63"/>
    </row>
    <row r="2026" spans="2:24">
      <c r="B2026" s="58"/>
      <c r="C2026" s="59"/>
      <c r="D2026" s="59"/>
      <c r="E2026" s="59"/>
      <c r="F2026" s="59"/>
      <c r="G2026" s="60">
        <f>IF(OR(E2026="",F2026="",C2026="",D2026=""),"",IF(C2026+D2026=0,"",(E2026*C2026+F2026*D2026)/(C2026+D2026)))</f>
        <v/>
      </c>
      <c r="H2026" s="59"/>
      <c r="I2026" s="60">
        <f>IF(OR(H2026="",E2026="",C2026="",D2026=""),"",IF(C2026+D2026=0,"",(H2026*D2026+E2026*C2026)/(C2026+D2026)))</f>
        <v/>
      </c>
      <c r="J2026" s="59"/>
      <c r="K2026" s="61">
        <f>IF(OR(J2026="",I2026=""),"",J2026-I2026)</f>
        <v/>
      </c>
      <c r="L2026" s="61">
        <f>IF(OR(J2026="",G2026=""),"",J2026-G2026)</f>
        <v/>
      </c>
      <c r="M2026" s="59"/>
      <c r="N2026" s="59"/>
      <c r="O2026" s="59"/>
      <c r="P2026" s="59"/>
      <c r="Q2026" s="59"/>
      <c r="R2026" s="60">
        <f>IF(AND(P2026="",Q2026=""),"",N(P2026)+N(Q2026))</f>
        <v/>
      </c>
      <c r="S2026" s="59"/>
      <c r="T2026" s="59"/>
      <c r="U2026" s="62">
        <f>IF(OR(R2026="",S2026="",T2026=""),"",IF(S2026+T2026=0,"",R2026/(S2026+T2026)))</f>
        <v/>
      </c>
      <c r="V2026" s="63"/>
      <c r="W2026" s="64"/>
      <c r="X2026" s="63"/>
    </row>
    <row r="2027" spans="2:24">
      <c r="B2027" s="58"/>
      <c r="C2027" s="59"/>
      <c r="D2027" s="59"/>
      <c r="E2027" s="59"/>
      <c r="F2027" s="59"/>
      <c r="G2027" s="60">
        <f>IF(OR(E2027="",F2027="",C2027="",D2027=""),"",IF(C2027+D2027=0,"",(E2027*C2027+F2027*D2027)/(C2027+D2027)))</f>
        <v/>
      </c>
      <c r="H2027" s="59"/>
      <c r="I2027" s="60">
        <f>IF(OR(H2027="",E2027="",C2027="",D2027=""),"",IF(C2027+D2027=0,"",(H2027*D2027+E2027*C2027)/(C2027+D2027)))</f>
        <v/>
      </c>
      <c r="J2027" s="59"/>
      <c r="K2027" s="61">
        <f>IF(OR(J2027="",I2027=""),"",J2027-I2027)</f>
        <v/>
      </c>
      <c r="L2027" s="61">
        <f>IF(OR(J2027="",G2027=""),"",J2027-G2027)</f>
        <v/>
      </c>
      <c r="M2027" s="59"/>
      <c r="N2027" s="59"/>
      <c r="O2027" s="59"/>
      <c r="P2027" s="59"/>
      <c r="Q2027" s="59"/>
      <c r="R2027" s="60">
        <f>IF(AND(P2027="",Q2027=""),"",N(P2027)+N(Q2027))</f>
        <v/>
      </c>
      <c r="S2027" s="59"/>
      <c r="T2027" s="59"/>
      <c r="U2027" s="62">
        <f>IF(OR(R2027="",S2027="",T2027=""),"",IF(S2027+T2027=0,"",R2027/(S2027+T2027)))</f>
        <v/>
      </c>
      <c r="V2027" s="63"/>
      <c r="W2027" s="64"/>
      <c r="X2027" s="63"/>
    </row>
    <row r="2028" spans="2:24">
      <c r="B2028" s="58"/>
      <c r="C2028" s="59"/>
      <c r="D2028" s="59"/>
      <c r="E2028" s="59"/>
      <c r="F2028" s="59"/>
      <c r="G2028" s="60">
        <f>IF(OR(E2028="",F2028="",C2028="",D2028=""),"",IF(C2028+D2028=0,"",(E2028*C2028+F2028*D2028)/(C2028+D2028)))</f>
        <v/>
      </c>
      <c r="H2028" s="59"/>
      <c r="I2028" s="60">
        <f>IF(OR(H2028="",E2028="",C2028="",D2028=""),"",IF(C2028+D2028=0,"",(H2028*D2028+E2028*C2028)/(C2028+D2028)))</f>
        <v/>
      </c>
      <c r="J2028" s="59"/>
      <c r="K2028" s="61">
        <f>IF(OR(J2028="",I2028=""),"",J2028-I2028)</f>
        <v/>
      </c>
      <c r="L2028" s="61">
        <f>IF(OR(J2028="",G2028=""),"",J2028-G2028)</f>
        <v/>
      </c>
      <c r="M2028" s="59"/>
      <c r="N2028" s="59"/>
      <c r="O2028" s="59"/>
      <c r="P2028" s="59"/>
      <c r="Q2028" s="59"/>
      <c r="R2028" s="60">
        <f>IF(AND(P2028="",Q2028=""),"",N(P2028)+N(Q2028))</f>
        <v/>
      </c>
      <c r="S2028" s="59"/>
      <c r="T2028" s="59"/>
      <c r="U2028" s="62">
        <f>IF(OR(R2028="",S2028="",T2028=""),"",IF(S2028+T2028=0,"",R2028/(S2028+T2028)))</f>
        <v/>
      </c>
      <c r="V2028" s="63"/>
      <c r="W2028" s="64"/>
      <c r="X2028" s="63"/>
    </row>
    <row r="2029" spans="2:24">
      <c r="B2029" s="58"/>
      <c r="C2029" s="59"/>
      <c r="D2029" s="59"/>
      <c r="E2029" s="59"/>
      <c r="F2029" s="59"/>
      <c r="G2029" s="60">
        <f>IF(OR(E2029="",F2029="",C2029="",D2029=""),"",IF(C2029+D2029=0,"",(E2029*C2029+F2029*D2029)/(C2029+D2029)))</f>
        <v/>
      </c>
      <c r="H2029" s="59"/>
      <c r="I2029" s="60">
        <f>IF(OR(H2029="",E2029="",C2029="",D2029=""),"",IF(C2029+D2029=0,"",(H2029*D2029+E2029*C2029)/(C2029+D2029)))</f>
        <v/>
      </c>
      <c r="J2029" s="59"/>
      <c r="K2029" s="61">
        <f>IF(OR(J2029="",I2029=""),"",J2029-I2029)</f>
        <v/>
      </c>
      <c r="L2029" s="61">
        <f>IF(OR(J2029="",G2029=""),"",J2029-G2029)</f>
        <v/>
      </c>
      <c r="M2029" s="59"/>
      <c r="N2029" s="59"/>
      <c r="O2029" s="59"/>
      <c r="P2029" s="59"/>
      <c r="Q2029" s="59"/>
      <c r="R2029" s="60">
        <f>IF(AND(P2029="",Q2029=""),"",N(P2029)+N(Q2029))</f>
        <v/>
      </c>
      <c r="S2029" s="59"/>
      <c r="T2029" s="59"/>
      <c r="U2029" s="62">
        <f>IF(OR(R2029="",S2029="",T2029=""),"",IF(S2029+T2029=0,"",R2029/(S2029+T2029)))</f>
        <v/>
      </c>
      <c r="V2029" s="63"/>
      <c r="W2029" s="64"/>
      <c r="X2029" s="63"/>
    </row>
    <row r="2030" spans="2:24">
      <c r="B2030" s="58"/>
      <c r="C2030" s="59"/>
      <c r="D2030" s="59"/>
      <c r="E2030" s="59"/>
      <c r="F2030" s="59"/>
      <c r="G2030" s="60">
        <f>IF(OR(E2030="",F2030="",C2030="",D2030=""),"",IF(C2030+D2030=0,"",(E2030*C2030+F2030*D2030)/(C2030+D2030)))</f>
        <v/>
      </c>
      <c r="H2030" s="59"/>
      <c r="I2030" s="60">
        <f>IF(OR(H2030="",E2030="",C2030="",D2030=""),"",IF(C2030+D2030=0,"",(H2030*D2030+E2030*C2030)/(C2030+D2030)))</f>
        <v/>
      </c>
      <c r="J2030" s="59"/>
      <c r="K2030" s="61">
        <f>IF(OR(J2030="",I2030=""),"",J2030-I2030)</f>
        <v/>
      </c>
      <c r="L2030" s="61">
        <f>IF(OR(J2030="",G2030=""),"",J2030-G2030)</f>
        <v/>
      </c>
      <c r="M2030" s="59"/>
      <c r="N2030" s="59"/>
      <c r="O2030" s="59"/>
      <c r="P2030" s="59"/>
      <c r="Q2030" s="59"/>
      <c r="R2030" s="60">
        <f>IF(AND(P2030="",Q2030=""),"",N(P2030)+N(Q2030))</f>
        <v/>
      </c>
      <c r="S2030" s="59"/>
      <c r="T2030" s="59"/>
      <c r="U2030" s="62">
        <f>IF(OR(R2030="",S2030="",T2030=""),"",IF(S2030+T2030=0,"",R2030/(S2030+T2030)))</f>
        <v/>
      </c>
      <c r="V2030" s="63"/>
      <c r="W2030" s="64"/>
      <c r="X2030" s="63"/>
    </row>
    <row r="2031" spans="2:24">
      <c r="B2031" s="58"/>
      <c r="C2031" s="59"/>
      <c r="D2031" s="59"/>
      <c r="E2031" s="59"/>
      <c r="F2031" s="59"/>
      <c r="G2031" s="60">
        <f>IF(OR(E2031="",F2031="",C2031="",D2031=""),"",IF(C2031+D2031=0,"",(E2031*C2031+F2031*D2031)/(C2031+D2031)))</f>
        <v/>
      </c>
      <c r="H2031" s="59"/>
      <c r="I2031" s="60">
        <f>IF(OR(H2031="",E2031="",C2031="",D2031=""),"",IF(C2031+D2031=0,"",(H2031*D2031+E2031*C2031)/(C2031+D2031)))</f>
        <v/>
      </c>
      <c r="J2031" s="59"/>
      <c r="K2031" s="61">
        <f>IF(OR(J2031="",I2031=""),"",J2031-I2031)</f>
        <v/>
      </c>
      <c r="L2031" s="61">
        <f>IF(OR(J2031="",G2031=""),"",J2031-G2031)</f>
        <v/>
      </c>
      <c r="M2031" s="59"/>
      <c r="N2031" s="59"/>
      <c r="O2031" s="59"/>
      <c r="P2031" s="59"/>
      <c r="Q2031" s="59"/>
      <c r="R2031" s="60">
        <f>IF(AND(P2031="",Q2031=""),"",N(P2031)+N(Q2031))</f>
        <v/>
      </c>
      <c r="S2031" s="59"/>
      <c r="T2031" s="59"/>
      <c r="U2031" s="62">
        <f>IF(OR(R2031="",S2031="",T2031=""),"",IF(S2031+T2031=0,"",R2031/(S2031+T2031)))</f>
        <v/>
      </c>
      <c r="V2031" s="63"/>
      <c r="W2031" s="64"/>
      <c r="X2031" s="63"/>
    </row>
    <row r="2032" spans="2:24">
      <c r="B2032" s="58"/>
      <c r="C2032" s="59"/>
      <c r="D2032" s="59"/>
      <c r="E2032" s="59"/>
      <c r="F2032" s="59"/>
      <c r="G2032" s="60">
        <f>IF(OR(E2032="",F2032="",C2032="",D2032=""),"",IF(C2032+D2032=0,"",(E2032*C2032+F2032*D2032)/(C2032+D2032)))</f>
        <v/>
      </c>
      <c r="H2032" s="59"/>
      <c r="I2032" s="60">
        <f>IF(OR(H2032="",E2032="",C2032="",D2032=""),"",IF(C2032+D2032=0,"",(H2032*D2032+E2032*C2032)/(C2032+D2032)))</f>
        <v/>
      </c>
      <c r="J2032" s="59"/>
      <c r="K2032" s="61">
        <f>IF(OR(J2032="",I2032=""),"",J2032-I2032)</f>
        <v/>
      </c>
      <c r="L2032" s="61">
        <f>IF(OR(J2032="",G2032=""),"",J2032-G2032)</f>
        <v/>
      </c>
      <c r="M2032" s="59"/>
      <c r="N2032" s="59"/>
      <c r="O2032" s="59"/>
      <c r="P2032" s="59"/>
      <c r="Q2032" s="59"/>
      <c r="R2032" s="60">
        <f>IF(AND(P2032="",Q2032=""),"",N(P2032)+N(Q2032))</f>
        <v/>
      </c>
      <c r="S2032" s="59"/>
      <c r="T2032" s="59"/>
      <c r="U2032" s="62">
        <f>IF(OR(R2032="",S2032="",T2032=""),"",IF(S2032+T2032=0,"",R2032/(S2032+T2032)))</f>
        <v/>
      </c>
      <c r="V2032" s="63"/>
      <c r="W2032" s="64"/>
      <c r="X2032" s="63"/>
    </row>
    <row r="2033" spans="2:24">
      <c r="B2033" s="58"/>
      <c r="C2033" s="59"/>
      <c r="D2033" s="59"/>
      <c r="E2033" s="59"/>
      <c r="F2033" s="59"/>
      <c r="G2033" s="60">
        <f>IF(OR(E2033="",F2033="",C2033="",D2033=""),"",IF(C2033+D2033=0,"",(E2033*C2033+F2033*D2033)/(C2033+D2033)))</f>
        <v/>
      </c>
      <c r="H2033" s="59"/>
      <c r="I2033" s="60">
        <f>IF(OR(H2033="",E2033="",C2033="",D2033=""),"",IF(C2033+D2033=0,"",(H2033*D2033+E2033*C2033)/(C2033+D2033)))</f>
        <v/>
      </c>
      <c r="J2033" s="59"/>
      <c r="K2033" s="61">
        <f>IF(OR(J2033="",I2033=""),"",J2033-I2033)</f>
        <v/>
      </c>
      <c r="L2033" s="61">
        <f>IF(OR(J2033="",G2033=""),"",J2033-G2033)</f>
        <v/>
      </c>
      <c r="M2033" s="59"/>
      <c r="N2033" s="59"/>
      <c r="O2033" s="59"/>
      <c r="P2033" s="59"/>
      <c r="Q2033" s="59"/>
      <c r="R2033" s="60">
        <f>IF(AND(P2033="",Q2033=""),"",N(P2033)+N(Q2033))</f>
        <v/>
      </c>
      <c r="S2033" s="59"/>
      <c r="T2033" s="59"/>
      <c r="U2033" s="62">
        <f>IF(OR(R2033="",S2033="",T2033=""),"",IF(S2033+T2033=0,"",R2033/(S2033+T2033)))</f>
        <v/>
      </c>
      <c r="V2033" s="63"/>
      <c r="W2033" s="64"/>
      <c r="X2033" s="63"/>
    </row>
    <row r="2034" spans="2:24">
      <c r="B2034" s="58"/>
      <c r="C2034" s="59"/>
      <c r="D2034" s="59"/>
      <c r="E2034" s="59"/>
      <c r="F2034" s="59"/>
      <c r="G2034" s="60">
        <f>IF(OR(E2034="",F2034="",C2034="",D2034=""),"",IF(C2034+D2034=0,"",(E2034*C2034+F2034*D2034)/(C2034+D2034)))</f>
        <v/>
      </c>
      <c r="H2034" s="59"/>
      <c r="I2034" s="60">
        <f>IF(OR(H2034="",E2034="",C2034="",D2034=""),"",IF(C2034+D2034=0,"",(H2034*D2034+E2034*C2034)/(C2034+D2034)))</f>
        <v/>
      </c>
      <c r="J2034" s="59"/>
      <c r="K2034" s="61">
        <f>IF(OR(J2034="",I2034=""),"",J2034-I2034)</f>
        <v/>
      </c>
      <c r="L2034" s="61">
        <f>IF(OR(J2034="",G2034=""),"",J2034-G2034)</f>
        <v/>
      </c>
      <c r="M2034" s="59"/>
      <c r="N2034" s="59"/>
      <c r="O2034" s="59"/>
      <c r="P2034" s="59"/>
      <c r="Q2034" s="59"/>
      <c r="R2034" s="60">
        <f>IF(AND(P2034="",Q2034=""),"",N(P2034)+N(Q2034))</f>
        <v/>
      </c>
      <c r="S2034" s="59"/>
      <c r="T2034" s="59"/>
      <c r="U2034" s="62">
        <f>IF(OR(R2034="",S2034="",T2034=""),"",IF(S2034+T2034=0,"",R2034/(S2034+T2034)))</f>
        <v/>
      </c>
      <c r="V2034" s="63"/>
      <c r="W2034" s="64"/>
      <c r="X2034" s="63"/>
    </row>
    <row r="2035" spans="2:24">
      <c r="B2035" s="58"/>
      <c r="C2035" s="59"/>
      <c r="D2035" s="59"/>
      <c r="E2035" s="59"/>
      <c r="F2035" s="59"/>
      <c r="G2035" s="60">
        <f>IF(OR(E2035="",F2035="",C2035="",D2035=""),"",IF(C2035+D2035=0,"",(E2035*C2035+F2035*D2035)/(C2035+D2035)))</f>
        <v/>
      </c>
      <c r="H2035" s="59"/>
      <c r="I2035" s="60">
        <f>IF(OR(H2035="",E2035="",C2035="",D2035=""),"",IF(C2035+D2035=0,"",(H2035*D2035+E2035*C2035)/(C2035+D2035)))</f>
        <v/>
      </c>
      <c r="J2035" s="59"/>
      <c r="K2035" s="61">
        <f>IF(OR(J2035="",I2035=""),"",J2035-I2035)</f>
        <v/>
      </c>
      <c r="L2035" s="61">
        <f>IF(OR(J2035="",G2035=""),"",J2035-G2035)</f>
        <v/>
      </c>
      <c r="M2035" s="59"/>
      <c r="N2035" s="59"/>
      <c r="O2035" s="59"/>
      <c r="P2035" s="59"/>
      <c r="Q2035" s="59"/>
      <c r="R2035" s="60">
        <f>IF(AND(P2035="",Q2035=""),"",N(P2035)+N(Q2035))</f>
        <v/>
      </c>
      <c r="S2035" s="59"/>
      <c r="T2035" s="59"/>
      <c r="U2035" s="62">
        <f>IF(OR(R2035="",S2035="",T2035=""),"",IF(S2035+T2035=0,"",R2035/(S2035+T2035)))</f>
        <v/>
      </c>
      <c r="V2035" s="63"/>
      <c r="W2035" s="64"/>
      <c r="X2035" s="63"/>
    </row>
    <row r="2036" spans="2:24">
      <c r="B2036" s="58"/>
      <c r="C2036" s="59"/>
      <c r="D2036" s="59"/>
      <c r="E2036" s="59"/>
      <c r="F2036" s="59"/>
      <c r="G2036" s="60">
        <f>IF(OR(E2036="",F2036="",C2036="",D2036=""),"",IF(C2036+D2036=0,"",(E2036*C2036+F2036*D2036)/(C2036+D2036)))</f>
        <v/>
      </c>
      <c r="H2036" s="59"/>
      <c r="I2036" s="60">
        <f>IF(OR(H2036="",E2036="",C2036="",D2036=""),"",IF(C2036+D2036=0,"",(H2036*D2036+E2036*C2036)/(C2036+D2036)))</f>
        <v/>
      </c>
      <c r="J2036" s="59"/>
      <c r="K2036" s="61">
        <f>IF(OR(J2036="",I2036=""),"",J2036-I2036)</f>
        <v/>
      </c>
      <c r="L2036" s="61">
        <f>IF(OR(J2036="",G2036=""),"",J2036-G2036)</f>
        <v/>
      </c>
      <c r="M2036" s="59"/>
      <c r="N2036" s="59"/>
      <c r="O2036" s="59"/>
      <c r="P2036" s="59"/>
      <c r="Q2036" s="59"/>
      <c r="R2036" s="60">
        <f>IF(AND(P2036="",Q2036=""),"",N(P2036)+N(Q2036))</f>
        <v/>
      </c>
      <c r="S2036" s="59"/>
      <c r="T2036" s="59"/>
      <c r="U2036" s="62">
        <f>IF(OR(R2036="",S2036="",T2036=""),"",IF(S2036+T2036=0,"",R2036/(S2036+T2036)))</f>
        <v/>
      </c>
      <c r="V2036" s="63"/>
      <c r="W2036" s="64"/>
      <c r="X2036" s="63"/>
    </row>
    <row r="2037" spans="2:24">
      <c r="B2037" s="58"/>
      <c r="C2037" s="59"/>
      <c r="D2037" s="59"/>
      <c r="E2037" s="59"/>
      <c r="F2037" s="59"/>
      <c r="G2037" s="60">
        <f>IF(OR(E2037="",F2037="",C2037="",D2037=""),"",IF(C2037+D2037=0,"",(E2037*C2037+F2037*D2037)/(C2037+D2037)))</f>
        <v/>
      </c>
      <c r="H2037" s="59"/>
      <c r="I2037" s="60">
        <f>IF(OR(H2037="",E2037="",C2037="",D2037=""),"",IF(C2037+D2037=0,"",(H2037*D2037+E2037*C2037)/(C2037+D2037)))</f>
        <v/>
      </c>
      <c r="J2037" s="59"/>
      <c r="K2037" s="61">
        <f>IF(OR(J2037="",I2037=""),"",J2037-I2037)</f>
        <v/>
      </c>
      <c r="L2037" s="61">
        <f>IF(OR(J2037="",G2037=""),"",J2037-G2037)</f>
        <v/>
      </c>
      <c r="M2037" s="59"/>
      <c r="N2037" s="59"/>
      <c r="O2037" s="59"/>
      <c r="P2037" s="59"/>
      <c r="Q2037" s="59"/>
      <c r="R2037" s="60">
        <f>IF(AND(P2037="",Q2037=""),"",N(P2037)+N(Q2037))</f>
        <v/>
      </c>
      <c r="S2037" s="59"/>
      <c r="T2037" s="59"/>
      <c r="U2037" s="62">
        <f>IF(OR(R2037="",S2037="",T2037=""),"",IF(S2037+T2037=0,"",R2037/(S2037+T2037)))</f>
        <v/>
      </c>
      <c r="V2037" s="63"/>
      <c r="W2037" s="64"/>
      <c r="X2037" s="63"/>
    </row>
    <row r="2038" spans="2:24">
      <c r="B2038" s="58"/>
      <c r="C2038" s="59"/>
      <c r="D2038" s="59"/>
      <c r="E2038" s="59"/>
      <c r="F2038" s="59"/>
      <c r="G2038" s="60">
        <f>IF(OR(E2038="",F2038="",C2038="",D2038=""),"",IF(C2038+D2038=0,"",(E2038*C2038+F2038*D2038)/(C2038+D2038)))</f>
        <v/>
      </c>
      <c r="H2038" s="59"/>
      <c r="I2038" s="60">
        <f>IF(OR(H2038="",E2038="",C2038="",D2038=""),"",IF(C2038+D2038=0,"",(H2038*D2038+E2038*C2038)/(C2038+D2038)))</f>
        <v/>
      </c>
      <c r="J2038" s="59"/>
      <c r="K2038" s="61">
        <f>IF(OR(J2038="",I2038=""),"",J2038-I2038)</f>
        <v/>
      </c>
      <c r="L2038" s="61">
        <f>IF(OR(J2038="",G2038=""),"",J2038-G2038)</f>
        <v/>
      </c>
      <c r="M2038" s="59"/>
      <c r="N2038" s="59"/>
      <c r="O2038" s="59"/>
      <c r="P2038" s="59"/>
      <c r="Q2038" s="59"/>
      <c r="R2038" s="60">
        <f>IF(AND(P2038="",Q2038=""),"",N(P2038)+N(Q2038))</f>
        <v/>
      </c>
      <c r="S2038" s="59"/>
      <c r="T2038" s="59"/>
      <c r="U2038" s="62">
        <f>IF(OR(R2038="",S2038="",T2038=""),"",IF(S2038+T2038=0,"",R2038/(S2038+T2038)))</f>
        <v/>
      </c>
      <c r="V2038" s="63"/>
      <c r="W2038" s="64"/>
      <c r="X2038" s="63"/>
    </row>
    <row r="2039" spans="2:24">
      <c r="B2039" s="58"/>
      <c r="C2039" s="59"/>
      <c r="D2039" s="59"/>
      <c r="E2039" s="59"/>
      <c r="F2039" s="59"/>
      <c r="G2039" s="60">
        <f>IF(OR(E2039="",F2039="",C2039="",D2039=""),"",IF(C2039+D2039=0,"",(E2039*C2039+F2039*D2039)/(C2039+D2039)))</f>
        <v/>
      </c>
      <c r="H2039" s="59"/>
      <c r="I2039" s="60">
        <f>IF(OR(H2039="",E2039="",C2039="",D2039=""),"",IF(C2039+D2039=0,"",(H2039*D2039+E2039*C2039)/(C2039+D2039)))</f>
        <v/>
      </c>
      <c r="J2039" s="59"/>
      <c r="K2039" s="61">
        <f>IF(OR(J2039="",I2039=""),"",J2039-I2039)</f>
        <v/>
      </c>
      <c r="L2039" s="61">
        <f>IF(OR(J2039="",G2039=""),"",J2039-G2039)</f>
        <v/>
      </c>
      <c r="M2039" s="59"/>
      <c r="N2039" s="59"/>
      <c r="O2039" s="59"/>
      <c r="P2039" s="59"/>
      <c r="Q2039" s="59"/>
      <c r="R2039" s="60">
        <f>IF(AND(P2039="",Q2039=""),"",N(P2039)+N(Q2039))</f>
        <v/>
      </c>
      <c r="S2039" s="59"/>
      <c r="T2039" s="59"/>
      <c r="U2039" s="62">
        <f>IF(OR(R2039="",S2039="",T2039=""),"",IF(S2039+T2039=0,"",R2039/(S2039+T2039)))</f>
        <v/>
      </c>
      <c r="V2039" s="63"/>
      <c r="W2039" s="64"/>
      <c r="X2039" s="63"/>
    </row>
    <row r="2040" spans="2:24">
      <c r="B2040" s="58"/>
      <c r="C2040" s="59"/>
      <c r="D2040" s="59"/>
      <c r="E2040" s="59"/>
      <c r="F2040" s="59"/>
      <c r="G2040" s="60">
        <f>IF(OR(E2040="",F2040="",C2040="",D2040=""),"",IF(C2040+D2040=0,"",(E2040*C2040+F2040*D2040)/(C2040+D2040)))</f>
        <v/>
      </c>
      <c r="H2040" s="59"/>
      <c r="I2040" s="60">
        <f>IF(OR(H2040="",E2040="",C2040="",D2040=""),"",IF(C2040+D2040=0,"",(H2040*D2040+E2040*C2040)/(C2040+D2040)))</f>
        <v/>
      </c>
      <c r="J2040" s="59"/>
      <c r="K2040" s="61">
        <f>IF(OR(J2040="",I2040=""),"",J2040-I2040)</f>
        <v/>
      </c>
      <c r="L2040" s="61">
        <f>IF(OR(J2040="",G2040=""),"",J2040-G2040)</f>
        <v/>
      </c>
      <c r="M2040" s="59"/>
      <c r="N2040" s="59"/>
      <c r="O2040" s="59"/>
      <c r="P2040" s="59"/>
      <c r="Q2040" s="59"/>
      <c r="R2040" s="60">
        <f>IF(AND(P2040="",Q2040=""),"",N(P2040)+N(Q2040))</f>
        <v/>
      </c>
      <c r="S2040" s="59"/>
      <c r="T2040" s="59"/>
      <c r="U2040" s="62">
        <f>IF(OR(R2040="",S2040="",T2040=""),"",IF(S2040+T2040=0,"",R2040/(S2040+T2040)))</f>
        <v/>
      </c>
      <c r="V2040" s="63"/>
      <c r="W2040" s="64"/>
      <c r="X2040" s="63"/>
    </row>
    <row r="2041" spans="2:24">
      <c r="B2041" s="58"/>
      <c r="C2041" s="59"/>
      <c r="D2041" s="59"/>
      <c r="E2041" s="59"/>
      <c r="F2041" s="59"/>
      <c r="G2041" s="60">
        <f>IF(OR(E2041="",F2041="",C2041="",D2041=""),"",IF(C2041+D2041=0,"",(E2041*C2041+F2041*D2041)/(C2041+D2041)))</f>
        <v/>
      </c>
      <c r="H2041" s="59"/>
      <c r="I2041" s="60">
        <f>IF(OR(H2041="",E2041="",C2041="",D2041=""),"",IF(C2041+D2041=0,"",(H2041*D2041+E2041*C2041)/(C2041+D2041)))</f>
        <v/>
      </c>
      <c r="J2041" s="59"/>
      <c r="K2041" s="61">
        <f>IF(OR(J2041="",I2041=""),"",J2041-I2041)</f>
        <v/>
      </c>
      <c r="L2041" s="61">
        <f>IF(OR(J2041="",G2041=""),"",J2041-G2041)</f>
        <v/>
      </c>
      <c r="M2041" s="59"/>
      <c r="N2041" s="59"/>
      <c r="O2041" s="59"/>
      <c r="P2041" s="59"/>
      <c r="Q2041" s="59"/>
      <c r="R2041" s="60">
        <f>IF(AND(P2041="",Q2041=""),"",N(P2041)+N(Q2041))</f>
        <v/>
      </c>
      <c r="S2041" s="59"/>
      <c r="T2041" s="59"/>
      <c r="U2041" s="62">
        <f>IF(OR(R2041="",S2041="",T2041=""),"",IF(S2041+T2041=0,"",R2041/(S2041+T2041)))</f>
        <v/>
      </c>
      <c r="V2041" s="63"/>
      <c r="W2041" s="64"/>
      <c r="X2041" s="63"/>
    </row>
    <row r="2042" spans="2:24">
      <c r="B2042" s="58"/>
      <c r="C2042" s="59"/>
      <c r="D2042" s="59"/>
      <c r="E2042" s="59"/>
      <c r="F2042" s="59"/>
      <c r="G2042" s="60">
        <f>IF(OR(E2042="",F2042="",C2042="",D2042=""),"",IF(C2042+D2042=0,"",(E2042*C2042+F2042*D2042)/(C2042+D2042)))</f>
        <v/>
      </c>
      <c r="H2042" s="59"/>
      <c r="I2042" s="60">
        <f>IF(OR(H2042="",E2042="",C2042="",D2042=""),"",IF(C2042+D2042=0,"",(H2042*D2042+E2042*C2042)/(C2042+D2042)))</f>
        <v/>
      </c>
      <c r="J2042" s="59"/>
      <c r="K2042" s="61">
        <f>IF(OR(J2042="",I2042=""),"",J2042-I2042)</f>
        <v/>
      </c>
      <c r="L2042" s="61">
        <f>IF(OR(J2042="",G2042=""),"",J2042-G2042)</f>
        <v/>
      </c>
      <c r="M2042" s="59"/>
      <c r="N2042" s="59"/>
      <c r="O2042" s="59"/>
      <c r="P2042" s="59"/>
      <c r="Q2042" s="59"/>
      <c r="R2042" s="60">
        <f>IF(AND(P2042="",Q2042=""),"",N(P2042)+N(Q2042))</f>
        <v/>
      </c>
      <c r="S2042" s="59"/>
      <c r="T2042" s="59"/>
      <c r="U2042" s="62">
        <f>IF(OR(R2042="",S2042="",T2042=""),"",IF(S2042+T2042=0,"",R2042/(S2042+T2042)))</f>
        <v/>
      </c>
      <c r="V2042" s="63"/>
      <c r="W2042" s="64"/>
      <c r="X2042" s="63"/>
    </row>
    <row r="2043" spans="2:24">
      <c r="B2043" s="58"/>
      <c r="C2043" s="59"/>
      <c r="D2043" s="59"/>
      <c r="E2043" s="59"/>
      <c r="F2043" s="59"/>
      <c r="G2043" s="60">
        <f>IF(OR(E2043="",F2043="",C2043="",D2043=""),"",IF(C2043+D2043=0,"",(E2043*C2043+F2043*D2043)/(C2043+D2043)))</f>
        <v/>
      </c>
      <c r="H2043" s="59"/>
      <c r="I2043" s="60">
        <f>IF(OR(H2043="",E2043="",C2043="",D2043=""),"",IF(C2043+D2043=0,"",(H2043*D2043+E2043*C2043)/(C2043+D2043)))</f>
        <v/>
      </c>
      <c r="J2043" s="59"/>
      <c r="K2043" s="61">
        <f>IF(OR(J2043="",I2043=""),"",J2043-I2043)</f>
        <v/>
      </c>
      <c r="L2043" s="61">
        <f>IF(OR(J2043="",G2043=""),"",J2043-G2043)</f>
        <v/>
      </c>
      <c r="M2043" s="59"/>
      <c r="N2043" s="59"/>
      <c r="O2043" s="59"/>
      <c r="P2043" s="59"/>
      <c r="Q2043" s="59"/>
      <c r="R2043" s="60">
        <f>IF(AND(P2043="",Q2043=""),"",N(P2043)+N(Q2043))</f>
        <v/>
      </c>
      <c r="S2043" s="59"/>
      <c r="T2043" s="59"/>
      <c r="U2043" s="62">
        <f>IF(OR(R2043="",S2043="",T2043=""),"",IF(S2043+T2043=0,"",R2043/(S2043+T2043)))</f>
        <v/>
      </c>
      <c r="V2043" s="63"/>
      <c r="W2043" s="64"/>
      <c r="X2043" s="63"/>
    </row>
    <row r="2044" spans="2:24">
      <c r="B2044" s="58"/>
      <c r="C2044" s="59"/>
      <c r="D2044" s="59"/>
      <c r="E2044" s="59"/>
      <c r="F2044" s="59"/>
      <c r="G2044" s="60">
        <f>IF(OR(E2044="",F2044="",C2044="",D2044=""),"",IF(C2044+D2044=0,"",(E2044*C2044+F2044*D2044)/(C2044+D2044)))</f>
        <v/>
      </c>
      <c r="H2044" s="59"/>
      <c r="I2044" s="60">
        <f>IF(OR(H2044="",E2044="",C2044="",D2044=""),"",IF(C2044+D2044=0,"",(H2044*D2044+E2044*C2044)/(C2044+D2044)))</f>
        <v/>
      </c>
      <c r="J2044" s="59"/>
      <c r="K2044" s="61">
        <f>IF(OR(J2044="",I2044=""),"",J2044-I2044)</f>
        <v/>
      </c>
      <c r="L2044" s="61">
        <f>IF(OR(J2044="",G2044=""),"",J2044-G2044)</f>
        <v/>
      </c>
      <c r="M2044" s="59"/>
      <c r="N2044" s="59"/>
      <c r="O2044" s="59"/>
      <c r="P2044" s="59"/>
      <c r="Q2044" s="59"/>
      <c r="R2044" s="60">
        <f>IF(AND(P2044="",Q2044=""),"",N(P2044)+N(Q2044))</f>
        <v/>
      </c>
      <c r="S2044" s="59"/>
      <c r="T2044" s="59"/>
      <c r="U2044" s="62">
        <f>IF(OR(R2044="",S2044="",T2044=""),"",IF(S2044+T2044=0,"",R2044/(S2044+T2044)))</f>
        <v/>
      </c>
      <c r="V2044" s="63"/>
      <c r="W2044" s="64"/>
      <c r="X2044" s="63"/>
    </row>
    <row r="2045" spans="2:24">
      <c r="B2045" s="58"/>
      <c r="C2045" s="59"/>
      <c r="D2045" s="59"/>
      <c r="E2045" s="59"/>
      <c r="F2045" s="59"/>
      <c r="G2045" s="60">
        <f>IF(OR(E2045="",F2045="",C2045="",D2045=""),"",IF(C2045+D2045=0,"",(E2045*C2045+F2045*D2045)/(C2045+D2045)))</f>
        <v/>
      </c>
      <c r="H2045" s="59"/>
      <c r="I2045" s="60">
        <f>IF(OR(H2045="",E2045="",C2045="",D2045=""),"",IF(C2045+D2045=0,"",(H2045*D2045+E2045*C2045)/(C2045+D2045)))</f>
        <v/>
      </c>
      <c r="J2045" s="59"/>
      <c r="K2045" s="61">
        <f>IF(OR(J2045="",I2045=""),"",J2045-I2045)</f>
        <v/>
      </c>
      <c r="L2045" s="61">
        <f>IF(OR(J2045="",G2045=""),"",J2045-G2045)</f>
        <v/>
      </c>
      <c r="M2045" s="59"/>
      <c r="N2045" s="59"/>
      <c r="O2045" s="59"/>
      <c r="P2045" s="59"/>
      <c r="Q2045" s="59"/>
      <c r="R2045" s="60">
        <f>IF(AND(P2045="",Q2045=""),"",N(P2045)+N(Q2045))</f>
        <v/>
      </c>
      <c r="S2045" s="59"/>
      <c r="T2045" s="59"/>
      <c r="U2045" s="62">
        <f>IF(OR(R2045="",S2045="",T2045=""),"",IF(S2045+T2045=0,"",R2045/(S2045+T2045)))</f>
        <v/>
      </c>
      <c r="V2045" s="63"/>
      <c r="W2045" s="64"/>
      <c r="X2045" s="63"/>
    </row>
    <row r="2046" spans="2:24">
      <c r="B2046" s="58"/>
      <c r="C2046" s="59"/>
      <c r="D2046" s="59"/>
      <c r="E2046" s="59"/>
      <c r="F2046" s="59"/>
      <c r="G2046" s="60">
        <f>IF(OR(E2046="",F2046="",C2046="",D2046=""),"",IF(C2046+D2046=0,"",(E2046*C2046+F2046*D2046)/(C2046+D2046)))</f>
        <v/>
      </c>
      <c r="H2046" s="59"/>
      <c r="I2046" s="60">
        <f>IF(OR(H2046="",E2046="",C2046="",D2046=""),"",IF(C2046+D2046=0,"",(H2046*D2046+E2046*C2046)/(C2046+D2046)))</f>
        <v/>
      </c>
      <c r="J2046" s="59"/>
      <c r="K2046" s="61">
        <f>IF(OR(J2046="",I2046=""),"",J2046-I2046)</f>
        <v/>
      </c>
      <c r="L2046" s="61">
        <f>IF(OR(J2046="",G2046=""),"",J2046-G2046)</f>
        <v/>
      </c>
      <c r="M2046" s="59"/>
      <c r="N2046" s="59"/>
      <c r="O2046" s="59"/>
      <c r="P2046" s="59"/>
      <c r="Q2046" s="59"/>
      <c r="R2046" s="60">
        <f>IF(AND(P2046="",Q2046=""),"",N(P2046)+N(Q2046))</f>
        <v/>
      </c>
      <c r="S2046" s="59"/>
      <c r="T2046" s="59"/>
      <c r="U2046" s="62">
        <f>IF(OR(R2046="",S2046="",T2046=""),"",IF(S2046+T2046=0,"",R2046/(S2046+T2046)))</f>
        <v/>
      </c>
      <c r="V2046" s="63"/>
      <c r="W2046" s="64"/>
      <c r="X2046" s="63"/>
    </row>
    <row r="2047" spans="2:24">
      <c r="B2047" s="58"/>
      <c r="C2047" s="59"/>
      <c r="D2047" s="59"/>
      <c r="E2047" s="59"/>
      <c r="F2047" s="59"/>
      <c r="G2047" s="60">
        <f>IF(OR(E2047="",F2047="",C2047="",D2047=""),"",IF(C2047+D2047=0,"",(E2047*C2047+F2047*D2047)/(C2047+D2047)))</f>
        <v/>
      </c>
      <c r="H2047" s="59"/>
      <c r="I2047" s="60">
        <f>IF(OR(H2047="",E2047="",C2047="",D2047=""),"",IF(C2047+D2047=0,"",(H2047*D2047+E2047*C2047)/(C2047+D2047)))</f>
        <v/>
      </c>
      <c r="J2047" s="59"/>
      <c r="K2047" s="61">
        <f>IF(OR(J2047="",I2047=""),"",J2047-I2047)</f>
        <v/>
      </c>
      <c r="L2047" s="61">
        <f>IF(OR(J2047="",G2047=""),"",J2047-G2047)</f>
        <v/>
      </c>
      <c r="M2047" s="59"/>
      <c r="N2047" s="59"/>
      <c r="O2047" s="59"/>
      <c r="P2047" s="59"/>
      <c r="Q2047" s="59"/>
      <c r="R2047" s="60">
        <f>IF(AND(P2047="",Q2047=""),"",N(P2047)+N(Q2047))</f>
        <v/>
      </c>
      <c r="S2047" s="59"/>
      <c r="T2047" s="59"/>
      <c r="U2047" s="62">
        <f>IF(OR(R2047="",S2047="",T2047=""),"",IF(S2047+T2047=0,"",R2047/(S2047+T2047)))</f>
        <v/>
      </c>
      <c r="V2047" s="63"/>
      <c r="W2047" s="64"/>
      <c r="X2047" s="63"/>
    </row>
    <row r="2048" spans="2:24">
      <c r="B2048" s="58"/>
      <c r="C2048" s="59"/>
      <c r="D2048" s="59"/>
      <c r="E2048" s="59"/>
      <c r="F2048" s="59"/>
      <c r="G2048" s="60">
        <f>IF(OR(E2048="",F2048="",C2048="",D2048=""),"",IF(C2048+D2048=0,"",(E2048*C2048+F2048*D2048)/(C2048+D2048)))</f>
        <v/>
      </c>
      <c r="H2048" s="59"/>
      <c r="I2048" s="60">
        <f>IF(OR(H2048="",E2048="",C2048="",D2048=""),"",IF(C2048+D2048=0,"",(H2048*D2048+E2048*C2048)/(C2048+D2048)))</f>
        <v/>
      </c>
      <c r="J2048" s="59"/>
      <c r="K2048" s="61">
        <f>IF(OR(J2048="",I2048=""),"",J2048-I2048)</f>
        <v/>
      </c>
      <c r="L2048" s="61">
        <f>IF(OR(J2048="",G2048=""),"",J2048-G2048)</f>
        <v/>
      </c>
      <c r="M2048" s="59"/>
      <c r="N2048" s="59"/>
      <c r="O2048" s="59"/>
      <c r="P2048" s="59"/>
      <c r="Q2048" s="59"/>
      <c r="R2048" s="60">
        <f>IF(AND(P2048="",Q2048=""),"",N(P2048)+N(Q2048))</f>
        <v/>
      </c>
      <c r="S2048" s="59"/>
      <c r="T2048" s="59"/>
      <c r="U2048" s="62">
        <f>IF(OR(R2048="",S2048="",T2048=""),"",IF(S2048+T2048=0,"",R2048/(S2048+T2048)))</f>
        <v/>
      </c>
      <c r="V2048" s="63"/>
      <c r="W2048" s="64"/>
      <c r="X2048" s="63"/>
    </row>
    <row r="2049" spans="2:24">
      <c r="B2049" s="58"/>
      <c r="C2049" s="59"/>
      <c r="D2049" s="59"/>
      <c r="E2049" s="59"/>
      <c r="F2049" s="59"/>
      <c r="G2049" s="60">
        <f>IF(OR(E2049="",F2049="",C2049="",D2049=""),"",IF(C2049+D2049=0,"",(E2049*C2049+F2049*D2049)/(C2049+D2049)))</f>
        <v/>
      </c>
      <c r="H2049" s="59"/>
      <c r="I2049" s="60">
        <f>IF(OR(H2049="",E2049="",C2049="",D2049=""),"",IF(C2049+D2049=0,"",(H2049*D2049+E2049*C2049)/(C2049+D2049)))</f>
        <v/>
      </c>
      <c r="J2049" s="59"/>
      <c r="K2049" s="61">
        <f>IF(OR(J2049="",I2049=""),"",J2049-I2049)</f>
        <v/>
      </c>
      <c r="L2049" s="61">
        <f>IF(OR(J2049="",G2049=""),"",J2049-G2049)</f>
        <v/>
      </c>
      <c r="M2049" s="59"/>
      <c r="N2049" s="59"/>
      <c r="O2049" s="59"/>
      <c r="P2049" s="59"/>
      <c r="Q2049" s="59"/>
      <c r="R2049" s="60">
        <f>IF(AND(P2049="",Q2049=""),"",N(P2049)+N(Q2049))</f>
        <v/>
      </c>
      <c r="S2049" s="59"/>
      <c r="T2049" s="59"/>
      <c r="U2049" s="62">
        <f>IF(OR(R2049="",S2049="",T2049=""),"",IF(S2049+T2049=0,"",R2049/(S2049+T2049)))</f>
        <v/>
      </c>
      <c r="V2049" s="63"/>
      <c r="W2049" s="64"/>
      <c r="X2049" s="63"/>
    </row>
    <row r="2050" spans="2:24">
      <c r="B2050" s="58"/>
      <c r="C2050" s="59"/>
      <c r="D2050" s="59"/>
      <c r="E2050" s="59"/>
      <c r="F2050" s="59"/>
      <c r="G2050" s="60">
        <f>IF(OR(E2050="",F2050="",C2050="",D2050=""),"",IF(C2050+D2050=0,"",(E2050*C2050+F2050*D2050)/(C2050+D2050)))</f>
        <v/>
      </c>
      <c r="H2050" s="59"/>
      <c r="I2050" s="60">
        <f>IF(OR(H2050="",E2050="",C2050="",D2050=""),"",IF(C2050+D2050=0,"",(H2050*D2050+E2050*C2050)/(C2050+D2050)))</f>
        <v/>
      </c>
      <c r="J2050" s="59"/>
      <c r="K2050" s="61">
        <f>IF(OR(J2050="",I2050=""),"",J2050-I2050)</f>
        <v/>
      </c>
      <c r="L2050" s="61">
        <f>IF(OR(J2050="",G2050=""),"",J2050-G2050)</f>
        <v/>
      </c>
      <c r="M2050" s="59"/>
      <c r="N2050" s="59"/>
      <c r="O2050" s="59"/>
      <c r="P2050" s="59"/>
      <c r="Q2050" s="59"/>
      <c r="R2050" s="60">
        <f>IF(AND(P2050="",Q2050=""),"",N(P2050)+N(Q2050))</f>
        <v/>
      </c>
      <c r="S2050" s="59"/>
      <c r="T2050" s="59"/>
      <c r="U2050" s="62">
        <f>IF(OR(R2050="",S2050="",T2050=""),"",IF(S2050+T2050=0,"",R2050/(S2050+T2050)))</f>
        <v/>
      </c>
      <c r="V2050" s="63"/>
      <c r="W2050" s="64"/>
      <c r="X2050" s="63"/>
    </row>
    <row r="2051" spans="2:24">
      <c r="B2051" s="58"/>
      <c r="C2051" s="59"/>
      <c r="D2051" s="59"/>
      <c r="E2051" s="59"/>
      <c r="F2051" s="59"/>
      <c r="G2051" s="60">
        <f>IF(OR(E2051="",F2051="",C2051="",D2051=""),"",IF(C2051+D2051=0,"",(E2051*C2051+F2051*D2051)/(C2051+D2051)))</f>
        <v/>
      </c>
      <c r="H2051" s="59"/>
      <c r="I2051" s="60">
        <f>IF(OR(H2051="",E2051="",C2051="",D2051=""),"",IF(C2051+D2051=0,"",(H2051*D2051+E2051*C2051)/(C2051+D2051)))</f>
        <v/>
      </c>
      <c r="J2051" s="59"/>
      <c r="K2051" s="61">
        <f>IF(OR(J2051="",I2051=""),"",J2051-I2051)</f>
        <v/>
      </c>
      <c r="L2051" s="61">
        <f>IF(OR(J2051="",G2051=""),"",J2051-G2051)</f>
        <v/>
      </c>
      <c r="M2051" s="59"/>
      <c r="N2051" s="59"/>
      <c r="O2051" s="59"/>
      <c r="P2051" s="59"/>
      <c r="Q2051" s="59"/>
      <c r="R2051" s="60">
        <f>IF(AND(P2051="",Q2051=""),"",N(P2051)+N(Q2051))</f>
        <v/>
      </c>
      <c r="S2051" s="59"/>
      <c r="T2051" s="59"/>
      <c r="U2051" s="62">
        <f>IF(OR(R2051="",S2051="",T2051=""),"",IF(S2051+T2051=0,"",R2051/(S2051+T2051)))</f>
        <v/>
      </c>
      <c r="V2051" s="63"/>
      <c r="W2051" s="64"/>
      <c r="X2051" s="63"/>
    </row>
    <row r="2052" spans="2:24">
      <c r="B2052" s="58"/>
      <c r="C2052" s="59"/>
      <c r="D2052" s="59"/>
      <c r="E2052" s="59"/>
      <c r="F2052" s="59"/>
      <c r="G2052" s="60">
        <f>IF(OR(E2052="",F2052="",C2052="",D2052=""),"",IF(C2052+D2052=0,"",(E2052*C2052+F2052*D2052)/(C2052+D2052)))</f>
        <v/>
      </c>
      <c r="H2052" s="59"/>
      <c r="I2052" s="60">
        <f>IF(OR(H2052="",E2052="",C2052="",D2052=""),"",IF(C2052+D2052=0,"",(H2052*D2052+E2052*C2052)/(C2052+D2052)))</f>
        <v/>
      </c>
      <c r="J2052" s="59"/>
      <c r="K2052" s="61">
        <f>IF(OR(J2052="",I2052=""),"",J2052-I2052)</f>
        <v/>
      </c>
      <c r="L2052" s="61">
        <f>IF(OR(J2052="",G2052=""),"",J2052-G2052)</f>
        <v/>
      </c>
      <c r="M2052" s="59"/>
      <c r="N2052" s="59"/>
      <c r="O2052" s="59"/>
      <c r="P2052" s="59"/>
      <c r="Q2052" s="59"/>
      <c r="R2052" s="60">
        <f>IF(AND(P2052="",Q2052=""),"",N(P2052)+N(Q2052))</f>
        <v/>
      </c>
      <c r="S2052" s="59"/>
      <c r="T2052" s="59"/>
      <c r="U2052" s="62">
        <f>IF(OR(R2052="",S2052="",T2052=""),"",IF(S2052+T2052=0,"",R2052/(S2052+T2052)))</f>
        <v/>
      </c>
      <c r="V2052" s="63"/>
      <c r="W2052" s="64"/>
      <c r="X2052" s="63"/>
    </row>
    <row r="2053" spans="2:24">
      <c r="B2053" s="58"/>
      <c r="C2053" s="59"/>
      <c r="D2053" s="59"/>
      <c r="E2053" s="59"/>
      <c r="F2053" s="59"/>
      <c r="G2053" s="60">
        <f>IF(OR(E2053="",F2053="",C2053="",D2053=""),"",IF(C2053+D2053=0,"",(E2053*C2053+F2053*D2053)/(C2053+D2053)))</f>
        <v/>
      </c>
      <c r="H2053" s="59"/>
      <c r="I2053" s="60">
        <f>IF(OR(H2053="",E2053="",C2053="",D2053=""),"",IF(C2053+D2053=0,"",(H2053*D2053+E2053*C2053)/(C2053+D2053)))</f>
        <v/>
      </c>
      <c r="J2053" s="59"/>
      <c r="K2053" s="61">
        <f>IF(OR(J2053="",I2053=""),"",J2053-I2053)</f>
        <v/>
      </c>
      <c r="L2053" s="61">
        <f>IF(OR(J2053="",G2053=""),"",J2053-G2053)</f>
        <v/>
      </c>
      <c r="M2053" s="59"/>
      <c r="N2053" s="59"/>
      <c r="O2053" s="59"/>
      <c r="P2053" s="59"/>
      <c r="Q2053" s="59"/>
      <c r="R2053" s="60">
        <f>IF(AND(P2053="",Q2053=""),"",N(P2053)+N(Q2053))</f>
        <v/>
      </c>
      <c r="S2053" s="59"/>
      <c r="T2053" s="59"/>
      <c r="U2053" s="62">
        <f>IF(OR(R2053="",S2053="",T2053=""),"",IF(S2053+T2053=0,"",R2053/(S2053+T2053)))</f>
        <v/>
      </c>
      <c r="V2053" s="63"/>
      <c r="W2053" s="64"/>
      <c r="X2053" s="63"/>
    </row>
    <row r="2054" spans="2:24">
      <c r="B2054" s="58"/>
      <c r="C2054" s="59"/>
      <c r="D2054" s="59"/>
      <c r="E2054" s="59"/>
      <c r="F2054" s="59"/>
      <c r="G2054" s="60">
        <f>IF(OR(E2054="",F2054="",C2054="",D2054=""),"",IF(C2054+D2054=0,"",(E2054*C2054+F2054*D2054)/(C2054+D2054)))</f>
        <v/>
      </c>
      <c r="H2054" s="59"/>
      <c r="I2054" s="60">
        <f>IF(OR(H2054="",E2054="",C2054="",D2054=""),"",IF(C2054+D2054=0,"",(H2054*D2054+E2054*C2054)/(C2054+D2054)))</f>
        <v/>
      </c>
      <c r="J2054" s="59"/>
      <c r="K2054" s="61">
        <f>IF(OR(J2054="",I2054=""),"",J2054-I2054)</f>
        <v/>
      </c>
      <c r="L2054" s="61">
        <f>IF(OR(J2054="",G2054=""),"",J2054-G2054)</f>
        <v/>
      </c>
      <c r="M2054" s="59"/>
      <c r="N2054" s="59"/>
      <c r="O2054" s="59"/>
      <c r="P2054" s="59"/>
      <c r="Q2054" s="59"/>
      <c r="R2054" s="60">
        <f>IF(AND(P2054="",Q2054=""),"",N(P2054)+N(Q2054))</f>
        <v/>
      </c>
      <c r="S2054" s="59"/>
      <c r="T2054" s="59"/>
      <c r="U2054" s="62">
        <f>IF(OR(R2054="",S2054="",T2054=""),"",IF(S2054+T2054=0,"",R2054/(S2054+T2054)))</f>
        <v/>
      </c>
      <c r="V2054" s="63"/>
      <c r="W2054" s="64"/>
      <c r="X2054" s="63"/>
    </row>
    <row r="2055" spans="2:24">
      <c r="B2055" s="58"/>
      <c r="C2055" s="59"/>
      <c r="D2055" s="59"/>
      <c r="E2055" s="59"/>
      <c r="F2055" s="59"/>
      <c r="G2055" s="60">
        <f>IF(OR(E2055="",F2055="",C2055="",D2055=""),"",IF(C2055+D2055=0,"",(E2055*C2055+F2055*D2055)/(C2055+D2055)))</f>
        <v/>
      </c>
      <c r="H2055" s="59"/>
      <c r="I2055" s="60">
        <f>IF(OR(H2055="",E2055="",C2055="",D2055=""),"",IF(C2055+D2055=0,"",(H2055*D2055+E2055*C2055)/(C2055+D2055)))</f>
        <v/>
      </c>
      <c r="J2055" s="59"/>
      <c r="K2055" s="61">
        <f>IF(OR(J2055="",I2055=""),"",J2055-I2055)</f>
        <v/>
      </c>
      <c r="L2055" s="61">
        <f>IF(OR(J2055="",G2055=""),"",J2055-G2055)</f>
        <v/>
      </c>
      <c r="M2055" s="59"/>
      <c r="N2055" s="59"/>
      <c r="O2055" s="59"/>
      <c r="P2055" s="59"/>
      <c r="Q2055" s="59"/>
      <c r="R2055" s="60">
        <f>IF(AND(P2055="",Q2055=""),"",N(P2055)+N(Q2055))</f>
        <v/>
      </c>
      <c r="S2055" s="59"/>
      <c r="T2055" s="59"/>
      <c r="U2055" s="62">
        <f>IF(OR(R2055="",S2055="",T2055=""),"",IF(S2055+T2055=0,"",R2055/(S2055+T2055)))</f>
        <v/>
      </c>
      <c r="V2055" s="63"/>
      <c r="W2055" s="64"/>
      <c r="X2055" s="63"/>
    </row>
    <row r="2056" spans="2:24">
      <c r="B2056" s="58"/>
      <c r="C2056" s="59"/>
      <c r="D2056" s="59"/>
      <c r="E2056" s="59"/>
      <c r="F2056" s="59"/>
      <c r="G2056" s="60">
        <f>IF(OR(E2056="",F2056="",C2056="",D2056=""),"",IF(C2056+D2056=0,"",(E2056*C2056+F2056*D2056)/(C2056+D2056)))</f>
        <v/>
      </c>
      <c r="H2056" s="59"/>
      <c r="I2056" s="60">
        <f>IF(OR(H2056="",E2056="",C2056="",D2056=""),"",IF(C2056+D2056=0,"",(H2056*D2056+E2056*C2056)/(C2056+D2056)))</f>
        <v/>
      </c>
      <c r="J2056" s="59"/>
      <c r="K2056" s="61">
        <f>IF(OR(J2056="",I2056=""),"",J2056-I2056)</f>
        <v/>
      </c>
      <c r="L2056" s="61">
        <f>IF(OR(J2056="",G2056=""),"",J2056-G2056)</f>
        <v/>
      </c>
      <c r="M2056" s="59"/>
      <c r="N2056" s="59"/>
      <c r="O2056" s="59"/>
      <c r="P2056" s="59"/>
      <c r="Q2056" s="59"/>
      <c r="R2056" s="60">
        <f>IF(AND(P2056="",Q2056=""),"",N(P2056)+N(Q2056))</f>
        <v/>
      </c>
      <c r="S2056" s="59"/>
      <c r="T2056" s="59"/>
      <c r="U2056" s="62">
        <f>IF(OR(R2056="",S2056="",T2056=""),"",IF(S2056+T2056=0,"",R2056/(S2056+T2056)))</f>
        <v/>
      </c>
      <c r="V2056" s="63"/>
      <c r="W2056" s="64"/>
      <c r="X2056" s="63"/>
    </row>
    <row r="2057" spans="2:24">
      <c r="B2057" s="58"/>
      <c r="C2057" s="59"/>
      <c r="D2057" s="59"/>
      <c r="E2057" s="59"/>
      <c r="F2057" s="59"/>
      <c r="G2057" s="60">
        <f>IF(OR(E2057="",F2057="",C2057="",D2057=""),"",IF(C2057+D2057=0,"",(E2057*C2057+F2057*D2057)/(C2057+D2057)))</f>
        <v/>
      </c>
      <c r="H2057" s="59"/>
      <c r="I2057" s="60">
        <f>IF(OR(H2057="",E2057="",C2057="",D2057=""),"",IF(C2057+D2057=0,"",(H2057*D2057+E2057*C2057)/(C2057+D2057)))</f>
        <v/>
      </c>
      <c r="J2057" s="59"/>
      <c r="K2057" s="61">
        <f>IF(OR(J2057="",I2057=""),"",J2057-I2057)</f>
        <v/>
      </c>
      <c r="L2057" s="61">
        <f>IF(OR(J2057="",G2057=""),"",J2057-G2057)</f>
        <v/>
      </c>
      <c r="M2057" s="59"/>
      <c r="N2057" s="59"/>
      <c r="O2057" s="59"/>
      <c r="P2057" s="59"/>
      <c r="Q2057" s="59"/>
      <c r="R2057" s="60">
        <f>IF(AND(P2057="",Q2057=""),"",N(P2057)+N(Q2057))</f>
        <v/>
      </c>
      <c r="S2057" s="59"/>
      <c r="T2057" s="59"/>
      <c r="U2057" s="62">
        <f>IF(OR(R2057="",S2057="",T2057=""),"",IF(S2057+T2057=0,"",R2057/(S2057+T2057)))</f>
        <v/>
      </c>
      <c r="V2057" s="63"/>
      <c r="W2057" s="64"/>
      <c r="X2057" s="63"/>
    </row>
    <row r="2058" spans="2:24">
      <c r="B2058" s="58"/>
      <c r="C2058" s="59"/>
      <c r="D2058" s="59"/>
      <c r="E2058" s="59"/>
      <c r="F2058" s="59"/>
      <c r="G2058" s="60">
        <f>IF(OR(E2058="",F2058="",C2058="",D2058=""),"",IF(C2058+D2058=0,"",(E2058*C2058+F2058*D2058)/(C2058+D2058)))</f>
        <v/>
      </c>
      <c r="H2058" s="59"/>
      <c r="I2058" s="60">
        <f>IF(OR(H2058="",E2058="",C2058="",D2058=""),"",IF(C2058+D2058=0,"",(H2058*D2058+E2058*C2058)/(C2058+D2058)))</f>
        <v/>
      </c>
      <c r="J2058" s="59"/>
      <c r="K2058" s="61">
        <f>IF(OR(J2058="",I2058=""),"",J2058-I2058)</f>
        <v/>
      </c>
      <c r="L2058" s="61">
        <f>IF(OR(J2058="",G2058=""),"",J2058-G2058)</f>
        <v/>
      </c>
      <c r="M2058" s="59"/>
      <c r="N2058" s="59"/>
      <c r="O2058" s="59"/>
      <c r="P2058" s="59"/>
      <c r="Q2058" s="59"/>
      <c r="R2058" s="60">
        <f>IF(AND(P2058="",Q2058=""),"",N(P2058)+N(Q2058))</f>
        <v/>
      </c>
      <c r="S2058" s="59"/>
      <c r="T2058" s="59"/>
      <c r="U2058" s="62">
        <f>IF(OR(R2058="",S2058="",T2058=""),"",IF(S2058+T2058=0,"",R2058/(S2058+T2058)))</f>
        <v/>
      </c>
      <c r="V2058" s="63"/>
      <c r="W2058" s="64"/>
      <c r="X2058" s="63"/>
    </row>
    <row r="2059" spans="2:24">
      <c r="B2059" s="58"/>
      <c r="C2059" s="59"/>
      <c r="D2059" s="59"/>
      <c r="E2059" s="59"/>
      <c r="F2059" s="59"/>
      <c r="G2059" s="60">
        <f>IF(OR(E2059="",F2059="",C2059="",D2059=""),"",IF(C2059+D2059=0,"",(E2059*C2059+F2059*D2059)/(C2059+D2059)))</f>
        <v/>
      </c>
      <c r="H2059" s="59"/>
      <c r="I2059" s="60">
        <f>IF(OR(H2059="",E2059="",C2059="",D2059=""),"",IF(C2059+D2059=0,"",(H2059*D2059+E2059*C2059)/(C2059+D2059)))</f>
        <v/>
      </c>
      <c r="J2059" s="59"/>
      <c r="K2059" s="61">
        <f>IF(OR(J2059="",I2059=""),"",J2059-I2059)</f>
        <v/>
      </c>
      <c r="L2059" s="61">
        <f>IF(OR(J2059="",G2059=""),"",J2059-G2059)</f>
        <v/>
      </c>
      <c r="M2059" s="59"/>
      <c r="N2059" s="59"/>
      <c r="O2059" s="59"/>
      <c r="P2059" s="59"/>
      <c r="Q2059" s="59"/>
      <c r="R2059" s="60">
        <f>IF(AND(P2059="",Q2059=""),"",N(P2059)+N(Q2059))</f>
        <v/>
      </c>
      <c r="S2059" s="59"/>
      <c r="T2059" s="59"/>
      <c r="U2059" s="62">
        <f>IF(OR(R2059="",S2059="",T2059=""),"",IF(S2059+T2059=0,"",R2059/(S2059+T2059)))</f>
        <v/>
      </c>
      <c r="V2059" s="63"/>
      <c r="W2059" s="64"/>
      <c r="X2059" s="63"/>
    </row>
    <row r="2060" spans="2:24">
      <c r="B2060" s="58"/>
      <c r="C2060" s="59"/>
      <c r="D2060" s="59"/>
      <c r="E2060" s="59"/>
      <c r="F2060" s="59"/>
      <c r="G2060" s="60">
        <f>IF(OR(E2060="",F2060="",C2060="",D2060=""),"",IF(C2060+D2060=0,"",(E2060*C2060+F2060*D2060)/(C2060+D2060)))</f>
        <v/>
      </c>
      <c r="H2060" s="59"/>
      <c r="I2060" s="60">
        <f>IF(OR(H2060="",E2060="",C2060="",D2060=""),"",IF(C2060+D2060=0,"",(H2060*D2060+E2060*C2060)/(C2060+D2060)))</f>
        <v/>
      </c>
      <c r="J2060" s="59"/>
      <c r="K2060" s="61">
        <f>IF(OR(J2060="",I2060=""),"",J2060-I2060)</f>
        <v/>
      </c>
      <c r="L2060" s="61">
        <f>IF(OR(J2060="",G2060=""),"",J2060-G2060)</f>
        <v/>
      </c>
      <c r="M2060" s="59"/>
      <c r="N2060" s="59"/>
      <c r="O2060" s="59"/>
      <c r="P2060" s="59"/>
      <c r="Q2060" s="59"/>
      <c r="R2060" s="60">
        <f>IF(AND(P2060="",Q2060=""),"",N(P2060)+N(Q2060))</f>
        <v/>
      </c>
      <c r="S2060" s="59"/>
      <c r="T2060" s="59"/>
      <c r="U2060" s="62">
        <f>IF(OR(R2060="",S2060="",T2060=""),"",IF(S2060+T2060=0,"",R2060/(S2060+T2060)))</f>
        <v/>
      </c>
      <c r="V2060" s="63"/>
      <c r="W2060" s="64"/>
      <c r="X2060" s="63"/>
    </row>
    <row r="2061" spans="2:24">
      <c r="B2061" s="58"/>
      <c r="C2061" s="59"/>
      <c r="D2061" s="59"/>
      <c r="E2061" s="59"/>
      <c r="F2061" s="59"/>
      <c r="G2061" s="60">
        <f>IF(OR(E2061="",F2061="",C2061="",D2061=""),"",IF(C2061+D2061=0,"",(E2061*C2061+F2061*D2061)/(C2061+D2061)))</f>
        <v/>
      </c>
      <c r="H2061" s="59"/>
      <c r="I2061" s="60">
        <f>IF(OR(H2061="",E2061="",C2061="",D2061=""),"",IF(C2061+D2061=0,"",(H2061*D2061+E2061*C2061)/(C2061+D2061)))</f>
        <v/>
      </c>
      <c r="J2061" s="59"/>
      <c r="K2061" s="61">
        <f>IF(OR(J2061="",I2061=""),"",J2061-I2061)</f>
        <v/>
      </c>
      <c r="L2061" s="61">
        <f>IF(OR(J2061="",G2061=""),"",J2061-G2061)</f>
        <v/>
      </c>
      <c r="M2061" s="59"/>
      <c r="N2061" s="59"/>
      <c r="O2061" s="59"/>
      <c r="P2061" s="59"/>
      <c r="Q2061" s="59"/>
      <c r="R2061" s="60">
        <f>IF(AND(P2061="",Q2061=""),"",N(P2061)+N(Q2061))</f>
        <v/>
      </c>
      <c r="S2061" s="59"/>
      <c r="T2061" s="59"/>
      <c r="U2061" s="62">
        <f>IF(OR(R2061="",S2061="",T2061=""),"",IF(S2061+T2061=0,"",R2061/(S2061+T2061)))</f>
        <v/>
      </c>
      <c r="V2061" s="63"/>
      <c r="W2061" s="64"/>
      <c r="X2061" s="63"/>
    </row>
    <row r="2062" spans="2:24">
      <c r="B2062" s="58"/>
      <c r="C2062" s="59"/>
      <c r="D2062" s="59"/>
      <c r="E2062" s="59"/>
      <c r="F2062" s="59"/>
      <c r="G2062" s="60">
        <f>IF(OR(E2062="",F2062="",C2062="",D2062=""),"",IF(C2062+D2062=0,"",(E2062*C2062+F2062*D2062)/(C2062+D2062)))</f>
        <v/>
      </c>
      <c r="H2062" s="59"/>
      <c r="I2062" s="60">
        <f>IF(OR(H2062="",E2062="",C2062="",D2062=""),"",IF(C2062+D2062=0,"",(H2062*D2062+E2062*C2062)/(C2062+D2062)))</f>
        <v/>
      </c>
      <c r="J2062" s="59"/>
      <c r="K2062" s="61">
        <f>IF(OR(J2062="",I2062=""),"",J2062-I2062)</f>
        <v/>
      </c>
      <c r="L2062" s="61">
        <f>IF(OR(J2062="",G2062=""),"",J2062-G2062)</f>
        <v/>
      </c>
      <c r="M2062" s="59"/>
      <c r="N2062" s="59"/>
      <c r="O2062" s="59"/>
      <c r="P2062" s="59"/>
      <c r="Q2062" s="59"/>
      <c r="R2062" s="60">
        <f>IF(AND(P2062="",Q2062=""),"",N(P2062)+N(Q2062))</f>
        <v/>
      </c>
      <c r="S2062" s="59"/>
      <c r="T2062" s="59"/>
      <c r="U2062" s="62">
        <f>IF(OR(R2062="",S2062="",T2062=""),"",IF(S2062+T2062=0,"",R2062/(S2062+T2062)))</f>
        <v/>
      </c>
      <c r="V2062" s="63"/>
      <c r="W2062" s="64"/>
      <c r="X2062" s="63"/>
    </row>
    <row r="2063" spans="2:24">
      <c r="B2063" s="58"/>
      <c r="C2063" s="59"/>
      <c r="D2063" s="59"/>
      <c r="E2063" s="59"/>
      <c r="F2063" s="59"/>
      <c r="G2063" s="60">
        <f>IF(OR(E2063="",F2063="",C2063="",D2063=""),"",IF(C2063+D2063=0,"",(E2063*C2063+F2063*D2063)/(C2063+D2063)))</f>
        <v/>
      </c>
      <c r="H2063" s="59"/>
      <c r="I2063" s="60">
        <f>IF(OR(H2063="",E2063="",C2063="",D2063=""),"",IF(C2063+D2063=0,"",(H2063*D2063+E2063*C2063)/(C2063+D2063)))</f>
        <v/>
      </c>
      <c r="J2063" s="59"/>
      <c r="K2063" s="61">
        <f>IF(OR(J2063="",I2063=""),"",J2063-I2063)</f>
        <v/>
      </c>
      <c r="L2063" s="61">
        <f>IF(OR(J2063="",G2063=""),"",J2063-G2063)</f>
        <v/>
      </c>
      <c r="M2063" s="59"/>
      <c r="N2063" s="59"/>
      <c r="O2063" s="59"/>
      <c r="P2063" s="59"/>
      <c r="Q2063" s="59"/>
      <c r="R2063" s="60">
        <f>IF(AND(P2063="",Q2063=""),"",N(P2063)+N(Q2063))</f>
        <v/>
      </c>
      <c r="S2063" s="59"/>
      <c r="T2063" s="59"/>
      <c r="U2063" s="62">
        <f>IF(OR(R2063="",S2063="",T2063=""),"",IF(S2063+T2063=0,"",R2063/(S2063+T2063)))</f>
        <v/>
      </c>
      <c r="V2063" s="63"/>
      <c r="W2063" s="64"/>
      <c r="X2063" s="63"/>
    </row>
    <row r="2064" spans="2:24">
      <c r="B2064" s="58"/>
      <c r="C2064" s="59"/>
      <c r="D2064" s="59"/>
      <c r="E2064" s="59"/>
      <c r="F2064" s="59"/>
      <c r="G2064" s="60">
        <f>IF(OR(E2064="",F2064="",C2064="",D2064=""),"",IF(C2064+D2064=0,"",(E2064*C2064+F2064*D2064)/(C2064+D2064)))</f>
        <v/>
      </c>
      <c r="H2064" s="59"/>
      <c r="I2064" s="60">
        <f>IF(OR(H2064="",E2064="",C2064="",D2064=""),"",IF(C2064+D2064=0,"",(H2064*D2064+E2064*C2064)/(C2064+D2064)))</f>
        <v/>
      </c>
      <c r="J2064" s="59"/>
      <c r="K2064" s="61">
        <f>IF(OR(J2064="",I2064=""),"",J2064-I2064)</f>
        <v/>
      </c>
      <c r="L2064" s="61">
        <f>IF(OR(J2064="",G2064=""),"",J2064-G2064)</f>
        <v/>
      </c>
      <c r="M2064" s="59"/>
      <c r="N2064" s="59"/>
      <c r="O2064" s="59"/>
      <c r="P2064" s="59"/>
      <c r="Q2064" s="59"/>
      <c r="R2064" s="60">
        <f>IF(AND(P2064="",Q2064=""),"",N(P2064)+N(Q2064))</f>
        <v/>
      </c>
      <c r="S2064" s="59"/>
      <c r="T2064" s="59"/>
      <c r="U2064" s="62">
        <f>IF(OR(R2064="",S2064="",T2064=""),"",IF(S2064+T2064=0,"",R2064/(S2064+T2064)))</f>
        <v/>
      </c>
      <c r="V2064" s="63"/>
      <c r="W2064" s="64"/>
      <c r="X2064" s="63"/>
    </row>
    <row r="2065" spans="2:24">
      <c r="B2065" s="58"/>
      <c r="C2065" s="59"/>
      <c r="D2065" s="59"/>
      <c r="E2065" s="59"/>
      <c r="F2065" s="59"/>
      <c r="G2065" s="60">
        <f>IF(OR(E2065="",F2065="",C2065="",D2065=""),"",IF(C2065+D2065=0,"",(E2065*C2065+F2065*D2065)/(C2065+D2065)))</f>
        <v/>
      </c>
      <c r="H2065" s="59"/>
      <c r="I2065" s="60">
        <f>IF(OR(H2065="",E2065="",C2065="",D2065=""),"",IF(C2065+D2065=0,"",(H2065*D2065+E2065*C2065)/(C2065+D2065)))</f>
        <v/>
      </c>
      <c r="J2065" s="59"/>
      <c r="K2065" s="61">
        <f>IF(OR(J2065="",I2065=""),"",J2065-I2065)</f>
        <v/>
      </c>
      <c r="L2065" s="61">
        <f>IF(OR(J2065="",G2065=""),"",J2065-G2065)</f>
        <v/>
      </c>
      <c r="M2065" s="59"/>
      <c r="N2065" s="59"/>
      <c r="O2065" s="59"/>
      <c r="P2065" s="59"/>
      <c r="Q2065" s="59"/>
      <c r="R2065" s="60">
        <f>IF(AND(P2065="",Q2065=""),"",N(P2065)+N(Q2065))</f>
        <v/>
      </c>
      <c r="S2065" s="59"/>
      <c r="T2065" s="59"/>
      <c r="U2065" s="62">
        <f>IF(OR(R2065="",S2065="",T2065=""),"",IF(S2065+T2065=0,"",R2065/(S2065+T2065)))</f>
        <v/>
      </c>
      <c r="V2065" s="63"/>
      <c r="W2065" s="64"/>
      <c r="X2065" s="63"/>
    </row>
    <row r="2066" spans="2:24">
      <c r="B2066" s="58"/>
      <c r="C2066" s="59"/>
      <c r="D2066" s="59"/>
      <c r="E2066" s="59"/>
      <c r="F2066" s="59"/>
      <c r="G2066" s="60">
        <f>IF(OR(E2066="",F2066="",C2066="",D2066=""),"",IF(C2066+D2066=0,"",(E2066*C2066+F2066*D2066)/(C2066+D2066)))</f>
        <v/>
      </c>
      <c r="H2066" s="59"/>
      <c r="I2066" s="60">
        <f>IF(OR(H2066="",E2066="",C2066="",D2066=""),"",IF(C2066+D2066=0,"",(H2066*D2066+E2066*C2066)/(C2066+D2066)))</f>
        <v/>
      </c>
      <c r="J2066" s="59"/>
      <c r="K2066" s="61">
        <f>IF(OR(J2066="",I2066=""),"",J2066-I2066)</f>
        <v/>
      </c>
      <c r="L2066" s="61">
        <f>IF(OR(J2066="",G2066=""),"",J2066-G2066)</f>
        <v/>
      </c>
      <c r="M2066" s="59"/>
      <c r="N2066" s="59"/>
      <c r="O2066" s="59"/>
      <c r="P2066" s="59"/>
      <c r="Q2066" s="59"/>
      <c r="R2066" s="60">
        <f>IF(AND(P2066="",Q2066=""),"",N(P2066)+N(Q2066))</f>
        <v/>
      </c>
      <c r="S2066" s="59"/>
      <c r="T2066" s="59"/>
      <c r="U2066" s="62">
        <f>IF(OR(R2066="",S2066="",T2066=""),"",IF(S2066+T2066=0,"",R2066/(S2066+T2066)))</f>
        <v/>
      </c>
      <c r="V2066" s="63"/>
      <c r="W2066" s="64"/>
      <c r="X2066" s="63"/>
    </row>
    <row r="2067" spans="2:24">
      <c r="B2067" s="58"/>
      <c r="C2067" s="59"/>
      <c r="D2067" s="59"/>
      <c r="E2067" s="59"/>
      <c r="F2067" s="59"/>
      <c r="G2067" s="60">
        <f>IF(OR(E2067="",F2067="",C2067="",D2067=""),"",IF(C2067+D2067=0,"",(E2067*C2067+F2067*D2067)/(C2067+D2067)))</f>
        <v/>
      </c>
      <c r="H2067" s="59"/>
      <c r="I2067" s="60">
        <f>IF(OR(H2067="",E2067="",C2067="",D2067=""),"",IF(C2067+D2067=0,"",(H2067*D2067+E2067*C2067)/(C2067+D2067)))</f>
        <v/>
      </c>
      <c r="J2067" s="59"/>
      <c r="K2067" s="61">
        <f>IF(OR(J2067="",I2067=""),"",J2067-I2067)</f>
        <v/>
      </c>
      <c r="L2067" s="61">
        <f>IF(OR(J2067="",G2067=""),"",J2067-G2067)</f>
        <v/>
      </c>
      <c r="M2067" s="59"/>
      <c r="N2067" s="59"/>
      <c r="O2067" s="59"/>
      <c r="P2067" s="59"/>
      <c r="Q2067" s="59"/>
      <c r="R2067" s="60">
        <f>IF(AND(P2067="",Q2067=""),"",N(P2067)+N(Q2067))</f>
        <v/>
      </c>
      <c r="S2067" s="59"/>
      <c r="T2067" s="59"/>
      <c r="U2067" s="62">
        <f>IF(OR(R2067="",S2067="",T2067=""),"",IF(S2067+T2067=0,"",R2067/(S2067+T2067)))</f>
        <v/>
      </c>
      <c r="V2067" s="63"/>
      <c r="W2067" s="64"/>
      <c r="X2067" s="63"/>
    </row>
    <row r="2068" spans="2:24">
      <c r="B2068" s="58"/>
      <c r="C2068" s="59"/>
      <c r="D2068" s="59"/>
      <c r="E2068" s="59"/>
      <c r="F2068" s="59"/>
      <c r="G2068" s="60">
        <f>IF(OR(E2068="",F2068="",C2068="",D2068=""),"",IF(C2068+D2068=0,"",(E2068*C2068+F2068*D2068)/(C2068+D2068)))</f>
        <v/>
      </c>
      <c r="H2068" s="59"/>
      <c r="I2068" s="60">
        <f>IF(OR(H2068="",E2068="",C2068="",D2068=""),"",IF(C2068+D2068=0,"",(H2068*D2068+E2068*C2068)/(C2068+D2068)))</f>
        <v/>
      </c>
      <c r="J2068" s="59"/>
      <c r="K2068" s="61">
        <f>IF(OR(J2068="",I2068=""),"",J2068-I2068)</f>
        <v/>
      </c>
      <c r="L2068" s="61">
        <f>IF(OR(J2068="",G2068=""),"",J2068-G2068)</f>
        <v/>
      </c>
      <c r="M2068" s="59"/>
      <c r="N2068" s="59"/>
      <c r="O2068" s="59"/>
      <c r="P2068" s="59"/>
      <c r="Q2068" s="59"/>
      <c r="R2068" s="60">
        <f>IF(AND(P2068="",Q2068=""),"",N(P2068)+N(Q2068))</f>
        <v/>
      </c>
      <c r="S2068" s="59"/>
      <c r="T2068" s="59"/>
      <c r="U2068" s="62">
        <f>IF(OR(R2068="",S2068="",T2068=""),"",IF(S2068+T2068=0,"",R2068/(S2068+T2068)))</f>
        <v/>
      </c>
      <c r="V2068" s="63"/>
      <c r="W2068" s="64"/>
      <c r="X2068" s="63"/>
    </row>
    <row r="2069" spans="2:24">
      <c r="B2069" s="58"/>
      <c r="C2069" s="59"/>
      <c r="D2069" s="59"/>
      <c r="E2069" s="59"/>
      <c r="F2069" s="59"/>
      <c r="G2069" s="60">
        <f>IF(OR(E2069="",F2069="",C2069="",D2069=""),"",IF(C2069+D2069=0,"",(E2069*C2069+F2069*D2069)/(C2069+D2069)))</f>
        <v/>
      </c>
      <c r="H2069" s="59"/>
      <c r="I2069" s="60">
        <f>IF(OR(H2069="",E2069="",C2069="",D2069=""),"",IF(C2069+D2069=0,"",(H2069*D2069+E2069*C2069)/(C2069+D2069)))</f>
        <v/>
      </c>
      <c r="J2069" s="59"/>
      <c r="K2069" s="61">
        <f>IF(OR(J2069="",I2069=""),"",J2069-I2069)</f>
        <v/>
      </c>
      <c r="L2069" s="61">
        <f>IF(OR(J2069="",G2069=""),"",J2069-G2069)</f>
        <v/>
      </c>
      <c r="M2069" s="59"/>
      <c r="N2069" s="59"/>
      <c r="O2069" s="59"/>
      <c r="P2069" s="59"/>
      <c r="Q2069" s="59"/>
      <c r="R2069" s="60">
        <f>IF(AND(P2069="",Q2069=""),"",N(P2069)+N(Q2069))</f>
        <v/>
      </c>
      <c r="S2069" s="59"/>
      <c r="T2069" s="59"/>
      <c r="U2069" s="62">
        <f>IF(OR(R2069="",S2069="",T2069=""),"",IF(S2069+T2069=0,"",R2069/(S2069+T2069)))</f>
        <v/>
      </c>
      <c r="V2069" s="63"/>
      <c r="W2069" s="64"/>
      <c r="X2069" s="63"/>
    </row>
    <row r="2070" spans="2:24">
      <c r="B2070" s="58"/>
      <c r="C2070" s="59"/>
      <c r="D2070" s="59"/>
      <c r="E2070" s="59"/>
      <c r="F2070" s="59"/>
      <c r="G2070" s="60">
        <f>IF(OR(E2070="",F2070="",C2070="",D2070=""),"",IF(C2070+D2070=0,"",(E2070*C2070+F2070*D2070)/(C2070+D2070)))</f>
        <v/>
      </c>
      <c r="H2070" s="59"/>
      <c r="I2070" s="60">
        <f>IF(OR(H2070="",E2070="",C2070="",D2070=""),"",IF(C2070+D2070=0,"",(H2070*D2070+E2070*C2070)/(C2070+D2070)))</f>
        <v/>
      </c>
      <c r="J2070" s="59"/>
      <c r="K2070" s="61">
        <f>IF(OR(J2070="",I2070=""),"",J2070-I2070)</f>
        <v/>
      </c>
      <c r="L2070" s="61">
        <f>IF(OR(J2070="",G2070=""),"",J2070-G2070)</f>
        <v/>
      </c>
      <c r="M2070" s="59"/>
      <c r="N2070" s="59"/>
      <c r="O2070" s="59"/>
      <c r="P2070" s="59"/>
      <c r="Q2070" s="59"/>
      <c r="R2070" s="60">
        <f>IF(AND(P2070="",Q2070=""),"",N(P2070)+N(Q2070))</f>
        <v/>
      </c>
      <c r="S2070" s="59"/>
      <c r="T2070" s="59"/>
      <c r="U2070" s="62">
        <f>IF(OR(R2070="",S2070="",T2070=""),"",IF(S2070+T2070=0,"",R2070/(S2070+T2070)))</f>
        <v/>
      </c>
      <c r="V2070" s="63"/>
      <c r="W2070" s="64"/>
      <c r="X2070" s="63"/>
    </row>
    <row r="2071" spans="2:24">
      <c r="B2071" s="58"/>
      <c r="C2071" s="59"/>
      <c r="D2071" s="59"/>
      <c r="E2071" s="59"/>
      <c r="F2071" s="59"/>
      <c r="G2071" s="60">
        <f>IF(OR(E2071="",F2071="",C2071="",D2071=""),"",IF(C2071+D2071=0,"",(E2071*C2071+F2071*D2071)/(C2071+D2071)))</f>
        <v/>
      </c>
      <c r="H2071" s="59"/>
      <c r="I2071" s="60">
        <f>IF(OR(H2071="",E2071="",C2071="",D2071=""),"",IF(C2071+D2071=0,"",(H2071*D2071+E2071*C2071)/(C2071+D2071)))</f>
        <v/>
      </c>
      <c r="J2071" s="59"/>
      <c r="K2071" s="61">
        <f>IF(OR(J2071="",I2071=""),"",J2071-I2071)</f>
        <v/>
      </c>
      <c r="L2071" s="61">
        <f>IF(OR(J2071="",G2071=""),"",J2071-G2071)</f>
        <v/>
      </c>
      <c r="M2071" s="59"/>
      <c r="N2071" s="59"/>
      <c r="O2071" s="59"/>
      <c r="P2071" s="59"/>
      <c r="Q2071" s="59"/>
      <c r="R2071" s="60">
        <f>IF(AND(P2071="",Q2071=""),"",N(P2071)+N(Q2071))</f>
        <v/>
      </c>
      <c r="S2071" s="59"/>
      <c r="T2071" s="59"/>
      <c r="U2071" s="62">
        <f>IF(OR(R2071="",S2071="",T2071=""),"",IF(S2071+T2071=0,"",R2071/(S2071+T2071)))</f>
        <v/>
      </c>
      <c r="V2071" s="63"/>
      <c r="W2071" s="64"/>
      <c r="X2071" s="63"/>
    </row>
    <row r="2072" spans="2:24">
      <c r="B2072" s="58"/>
      <c r="C2072" s="59"/>
      <c r="D2072" s="59"/>
      <c r="E2072" s="59"/>
      <c r="F2072" s="59"/>
      <c r="G2072" s="60">
        <f>IF(OR(E2072="",F2072="",C2072="",D2072=""),"",IF(C2072+D2072=0,"",(E2072*C2072+F2072*D2072)/(C2072+D2072)))</f>
        <v/>
      </c>
      <c r="H2072" s="59"/>
      <c r="I2072" s="60">
        <f>IF(OR(H2072="",E2072="",C2072="",D2072=""),"",IF(C2072+D2072=0,"",(H2072*D2072+E2072*C2072)/(C2072+D2072)))</f>
        <v/>
      </c>
      <c r="J2072" s="59"/>
      <c r="K2072" s="61">
        <f>IF(OR(J2072="",I2072=""),"",J2072-I2072)</f>
        <v/>
      </c>
      <c r="L2072" s="61">
        <f>IF(OR(J2072="",G2072=""),"",J2072-G2072)</f>
        <v/>
      </c>
      <c r="M2072" s="59"/>
      <c r="N2072" s="59"/>
      <c r="O2072" s="59"/>
      <c r="P2072" s="59"/>
      <c r="Q2072" s="59"/>
      <c r="R2072" s="60">
        <f>IF(AND(P2072="",Q2072=""),"",N(P2072)+N(Q2072))</f>
        <v/>
      </c>
      <c r="S2072" s="59"/>
      <c r="T2072" s="59"/>
      <c r="U2072" s="62">
        <f>IF(OR(R2072="",S2072="",T2072=""),"",IF(S2072+T2072=0,"",R2072/(S2072+T2072)))</f>
        <v/>
      </c>
      <c r="V2072" s="63"/>
      <c r="W2072" s="64"/>
      <c r="X2072" s="63"/>
    </row>
    <row r="2073" spans="2:24">
      <c r="B2073" s="58"/>
      <c r="C2073" s="59"/>
      <c r="D2073" s="59"/>
      <c r="E2073" s="59"/>
      <c r="F2073" s="59"/>
      <c r="G2073" s="60">
        <f>IF(OR(E2073="",F2073="",C2073="",D2073=""),"",IF(C2073+D2073=0,"",(E2073*C2073+F2073*D2073)/(C2073+D2073)))</f>
        <v/>
      </c>
      <c r="H2073" s="59"/>
      <c r="I2073" s="60">
        <f>IF(OR(H2073="",E2073="",C2073="",D2073=""),"",IF(C2073+D2073=0,"",(H2073*D2073+E2073*C2073)/(C2073+D2073)))</f>
        <v/>
      </c>
      <c r="J2073" s="59"/>
      <c r="K2073" s="61">
        <f>IF(OR(J2073="",I2073=""),"",J2073-I2073)</f>
        <v/>
      </c>
      <c r="L2073" s="61">
        <f>IF(OR(J2073="",G2073=""),"",J2073-G2073)</f>
        <v/>
      </c>
      <c r="M2073" s="59"/>
      <c r="N2073" s="59"/>
      <c r="O2073" s="59"/>
      <c r="P2073" s="59"/>
      <c r="Q2073" s="59"/>
      <c r="R2073" s="60">
        <f>IF(AND(P2073="",Q2073=""),"",N(P2073)+N(Q2073))</f>
        <v/>
      </c>
      <c r="S2073" s="59"/>
      <c r="T2073" s="59"/>
      <c r="U2073" s="62">
        <f>IF(OR(R2073="",S2073="",T2073=""),"",IF(S2073+T2073=0,"",R2073/(S2073+T2073)))</f>
        <v/>
      </c>
      <c r="V2073" s="63"/>
      <c r="W2073" s="64"/>
      <c r="X2073" s="63"/>
    </row>
    <row r="2074" spans="2:24">
      <c r="B2074" s="58"/>
      <c r="C2074" s="59"/>
      <c r="D2074" s="59"/>
      <c r="E2074" s="59"/>
      <c r="F2074" s="59"/>
      <c r="G2074" s="60">
        <f>IF(OR(E2074="",F2074="",C2074="",D2074=""),"",IF(C2074+D2074=0,"",(E2074*C2074+F2074*D2074)/(C2074+D2074)))</f>
        <v/>
      </c>
      <c r="H2074" s="59"/>
      <c r="I2074" s="60">
        <f>IF(OR(H2074="",E2074="",C2074="",D2074=""),"",IF(C2074+D2074=0,"",(H2074*D2074+E2074*C2074)/(C2074+D2074)))</f>
        <v/>
      </c>
      <c r="J2074" s="59"/>
      <c r="K2074" s="61">
        <f>IF(OR(J2074="",I2074=""),"",J2074-I2074)</f>
        <v/>
      </c>
      <c r="L2074" s="61">
        <f>IF(OR(J2074="",G2074=""),"",J2074-G2074)</f>
        <v/>
      </c>
      <c r="M2074" s="59"/>
      <c r="N2074" s="59"/>
      <c r="O2074" s="59"/>
      <c r="P2074" s="59"/>
      <c r="Q2074" s="59"/>
      <c r="R2074" s="60">
        <f>IF(AND(P2074="",Q2074=""),"",N(P2074)+N(Q2074))</f>
        <v/>
      </c>
      <c r="S2074" s="59"/>
      <c r="T2074" s="59"/>
      <c r="U2074" s="62">
        <f>IF(OR(R2074="",S2074="",T2074=""),"",IF(S2074+T2074=0,"",R2074/(S2074+T2074)))</f>
        <v/>
      </c>
      <c r="V2074" s="63"/>
      <c r="W2074" s="64"/>
      <c r="X2074" s="63"/>
    </row>
    <row r="2075" spans="2:24">
      <c r="B2075" s="58"/>
      <c r="C2075" s="59"/>
      <c r="D2075" s="59"/>
      <c r="E2075" s="59"/>
      <c r="F2075" s="59"/>
      <c r="G2075" s="60">
        <f>IF(OR(E2075="",F2075="",C2075="",D2075=""),"",IF(C2075+D2075=0,"",(E2075*C2075+F2075*D2075)/(C2075+D2075)))</f>
        <v/>
      </c>
      <c r="H2075" s="59"/>
      <c r="I2075" s="60">
        <f>IF(OR(H2075="",E2075="",C2075="",D2075=""),"",IF(C2075+D2075=0,"",(H2075*D2075+E2075*C2075)/(C2075+D2075)))</f>
        <v/>
      </c>
      <c r="J2075" s="59"/>
      <c r="K2075" s="61">
        <f>IF(OR(J2075="",I2075=""),"",J2075-I2075)</f>
        <v/>
      </c>
      <c r="L2075" s="61">
        <f>IF(OR(J2075="",G2075=""),"",J2075-G2075)</f>
        <v/>
      </c>
      <c r="M2075" s="59"/>
      <c r="N2075" s="59"/>
      <c r="O2075" s="59"/>
      <c r="P2075" s="59"/>
      <c r="Q2075" s="59"/>
      <c r="R2075" s="60">
        <f>IF(AND(P2075="",Q2075=""),"",N(P2075)+N(Q2075))</f>
        <v/>
      </c>
      <c r="S2075" s="59"/>
      <c r="T2075" s="59"/>
      <c r="U2075" s="62">
        <f>IF(OR(R2075="",S2075="",T2075=""),"",IF(S2075+T2075=0,"",R2075/(S2075+T2075)))</f>
        <v/>
      </c>
      <c r="V2075" s="63"/>
      <c r="W2075" s="64"/>
      <c r="X2075" s="63"/>
    </row>
    <row r="2076" spans="2:24">
      <c r="B2076" s="58"/>
      <c r="C2076" s="59"/>
      <c r="D2076" s="59"/>
      <c r="E2076" s="59"/>
      <c r="F2076" s="59"/>
      <c r="G2076" s="60">
        <f>IF(OR(E2076="",F2076="",C2076="",D2076=""),"",IF(C2076+D2076=0,"",(E2076*C2076+F2076*D2076)/(C2076+D2076)))</f>
        <v/>
      </c>
      <c r="H2076" s="59"/>
      <c r="I2076" s="60">
        <f>IF(OR(H2076="",E2076="",C2076="",D2076=""),"",IF(C2076+D2076=0,"",(H2076*D2076+E2076*C2076)/(C2076+D2076)))</f>
        <v/>
      </c>
      <c r="J2076" s="59"/>
      <c r="K2076" s="61">
        <f>IF(OR(J2076="",I2076=""),"",J2076-I2076)</f>
        <v/>
      </c>
      <c r="L2076" s="61">
        <f>IF(OR(J2076="",G2076=""),"",J2076-G2076)</f>
        <v/>
      </c>
      <c r="M2076" s="59"/>
      <c r="N2076" s="59"/>
      <c r="O2076" s="59"/>
      <c r="P2076" s="59"/>
      <c r="Q2076" s="59"/>
      <c r="R2076" s="60">
        <f>IF(AND(P2076="",Q2076=""),"",N(P2076)+N(Q2076))</f>
        <v/>
      </c>
      <c r="S2076" s="59"/>
      <c r="T2076" s="59"/>
      <c r="U2076" s="62">
        <f>IF(OR(R2076="",S2076="",T2076=""),"",IF(S2076+T2076=0,"",R2076/(S2076+T2076)))</f>
        <v/>
      </c>
      <c r="V2076" s="63"/>
      <c r="W2076" s="64"/>
      <c r="X2076" s="63"/>
    </row>
    <row r="2077" spans="2:24">
      <c r="B2077" s="58"/>
      <c r="C2077" s="59"/>
      <c r="D2077" s="59"/>
      <c r="E2077" s="59"/>
      <c r="F2077" s="59"/>
      <c r="G2077" s="60">
        <f>IF(OR(E2077="",F2077="",C2077="",D2077=""),"",IF(C2077+D2077=0,"",(E2077*C2077+F2077*D2077)/(C2077+D2077)))</f>
        <v/>
      </c>
      <c r="H2077" s="59"/>
      <c r="I2077" s="60">
        <f>IF(OR(H2077="",E2077="",C2077="",D2077=""),"",IF(C2077+D2077=0,"",(H2077*D2077+E2077*C2077)/(C2077+D2077)))</f>
        <v/>
      </c>
      <c r="J2077" s="59"/>
      <c r="K2077" s="61">
        <f>IF(OR(J2077="",I2077=""),"",J2077-I2077)</f>
        <v/>
      </c>
      <c r="L2077" s="61">
        <f>IF(OR(J2077="",G2077=""),"",J2077-G2077)</f>
        <v/>
      </c>
      <c r="M2077" s="59"/>
      <c r="N2077" s="59"/>
      <c r="O2077" s="59"/>
      <c r="P2077" s="59"/>
      <c r="Q2077" s="59"/>
      <c r="R2077" s="60">
        <f>IF(AND(P2077="",Q2077=""),"",N(P2077)+N(Q2077))</f>
        <v/>
      </c>
      <c r="S2077" s="59"/>
      <c r="T2077" s="59"/>
      <c r="U2077" s="62">
        <f>IF(OR(R2077="",S2077="",T2077=""),"",IF(S2077+T2077=0,"",R2077/(S2077+T2077)))</f>
        <v/>
      </c>
      <c r="V2077" s="63"/>
      <c r="W2077" s="64"/>
      <c r="X2077" s="63"/>
    </row>
    <row r="2078" spans="2:24">
      <c r="B2078" s="58"/>
      <c r="C2078" s="59"/>
      <c r="D2078" s="59"/>
      <c r="E2078" s="59"/>
      <c r="F2078" s="59"/>
      <c r="G2078" s="60">
        <f>IF(OR(E2078="",F2078="",C2078="",D2078=""),"",IF(C2078+D2078=0,"",(E2078*C2078+F2078*D2078)/(C2078+D2078)))</f>
        <v/>
      </c>
      <c r="H2078" s="59"/>
      <c r="I2078" s="60">
        <f>IF(OR(H2078="",E2078="",C2078="",D2078=""),"",IF(C2078+D2078=0,"",(H2078*D2078+E2078*C2078)/(C2078+D2078)))</f>
        <v/>
      </c>
      <c r="J2078" s="59"/>
      <c r="K2078" s="61">
        <f>IF(OR(J2078="",I2078=""),"",J2078-I2078)</f>
        <v/>
      </c>
      <c r="L2078" s="61">
        <f>IF(OR(J2078="",G2078=""),"",J2078-G2078)</f>
        <v/>
      </c>
      <c r="M2078" s="59"/>
      <c r="N2078" s="59"/>
      <c r="O2078" s="59"/>
      <c r="P2078" s="59"/>
      <c r="Q2078" s="59"/>
      <c r="R2078" s="60">
        <f>IF(AND(P2078="",Q2078=""),"",N(P2078)+N(Q2078))</f>
        <v/>
      </c>
      <c r="S2078" s="59"/>
      <c r="T2078" s="59"/>
      <c r="U2078" s="62">
        <f>IF(OR(R2078="",S2078="",T2078=""),"",IF(S2078+T2078=0,"",R2078/(S2078+T2078)))</f>
        <v/>
      </c>
      <c r="V2078" s="63"/>
      <c r="W2078" s="64"/>
      <c r="X2078" s="63"/>
    </row>
    <row r="2079" spans="2:24">
      <c r="B2079" s="58"/>
      <c r="C2079" s="59"/>
      <c r="D2079" s="59"/>
      <c r="E2079" s="59"/>
      <c r="F2079" s="59"/>
      <c r="G2079" s="60">
        <f>IF(OR(E2079="",F2079="",C2079="",D2079=""),"",IF(C2079+D2079=0,"",(E2079*C2079+F2079*D2079)/(C2079+D2079)))</f>
        <v/>
      </c>
      <c r="H2079" s="59"/>
      <c r="I2079" s="60">
        <f>IF(OR(H2079="",E2079="",C2079="",D2079=""),"",IF(C2079+D2079=0,"",(H2079*D2079+E2079*C2079)/(C2079+D2079)))</f>
        <v/>
      </c>
      <c r="J2079" s="59"/>
      <c r="K2079" s="61">
        <f>IF(OR(J2079="",I2079=""),"",J2079-I2079)</f>
        <v/>
      </c>
      <c r="L2079" s="61">
        <f>IF(OR(J2079="",G2079=""),"",J2079-G2079)</f>
        <v/>
      </c>
      <c r="M2079" s="59"/>
      <c r="N2079" s="59"/>
      <c r="O2079" s="59"/>
      <c r="P2079" s="59"/>
      <c r="Q2079" s="59"/>
      <c r="R2079" s="60">
        <f>IF(AND(P2079="",Q2079=""),"",N(P2079)+N(Q2079))</f>
        <v/>
      </c>
      <c r="S2079" s="59"/>
      <c r="T2079" s="59"/>
      <c r="U2079" s="62">
        <f>IF(OR(R2079="",S2079="",T2079=""),"",IF(S2079+T2079=0,"",R2079/(S2079+T2079)))</f>
        <v/>
      </c>
      <c r="V2079" s="63"/>
      <c r="W2079" s="64"/>
      <c r="X2079" s="63"/>
    </row>
    <row r="2080" spans="2:24">
      <c r="B2080" s="58"/>
      <c r="C2080" s="59"/>
      <c r="D2080" s="59"/>
      <c r="E2080" s="59"/>
      <c r="F2080" s="59"/>
      <c r="G2080" s="60">
        <f>IF(OR(E2080="",F2080="",C2080="",D2080=""),"",IF(C2080+D2080=0,"",(E2080*C2080+F2080*D2080)/(C2080+D2080)))</f>
        <v/>
      </c>
      <c r="H2080" s="59"/>
      <c r="I2080" s="60">
        <f>IF(OR(H2080="",E2080="",C2080="",D2080=""),"",IF(C2080+D2080=0,"",(H2080*D2080+E2080*C2080)/(C2080+D2080)))</f>
        <v/>
      </c>
      <c r="J2080" s="59"/>
      <c r="K2080" s="61">
        <f>IF(OR(J2080="",I2080=""),"",J2080-I2080)</f>
        <v/>
      </c>
      <c r="L2080" s="61">
        <f>IF(OR(J2080="",G2080=""),"",J2080-G2080)</f>
        <v/>
      </c>
      <c r="M2080" s="59"/>
      <c r="N2080" s="59"/>
      <c r="O2080" s="59"/>
      <c r="P2080" s="59"/>
      <c r="Q2080" s="59"/>
      <c r="R2080" s="60">
        <f>IF(AND(P2080="",Q2080=""),"",N(P2080)+N(Q2080))</f>
        <v/>
      </c>
      <c r="S2080" s="59"/>
      <c r="T2080" s="59"/>
      <c r="U2080" s="62">
        <f>IF(OR(R2080="",S2080="",T2080=""),"",IF(S2080+T2080=0,"",R2080/(S2080+T2080)))</f>
        <v/>
      </c>
      <c r="V2080" s="63"/>
      <c r="W2080" s="64"/>
      <c r="X2080" s="63"/>
    </row>
    <row r="2081" spans="2:24">
      <c r="B2081" s="58"/>
      <c r="C2081" s="59"/>
      <c r="D2081" s="59"/>
      <c r="E2081" s="59"/>
      <c r="F2081" s="59"/>
      <c r="G2081" s="60">
        <f>IF(OR(E2081="",F2081="",C2081="",D2081=""),"",IF(C2081+D2081=0,"",(E2081*C2081+F2081*D2081)/(C2081+D2081)))</f>
        <v/>
      </c>
      <c r="H2081" s="59"/>
      <c r="I2081" s="60">
        <f>IF(OR(H2081="",E2081="",C2081="",D2081=""),"",IF(C2081+D2081=0,"",(H2081*D2081+E2081*C2081)/(C2081+D2081)))</f>
        <v/>
      </c>
      <c r="J2081" s="59"/>
      <c r="K2081" s="61">
        <f>IF(OR(J2081="",I2081=""),"",J2081-I2081)</f>
        <v/>
      </c>
      <c r="L2081" s="61">
        <f>IF(OR(J2081="",G2081=""),"",J2081-G2081)</f>
        <v/>
      </c>
      <c r="M2081" s="59"/>
      <c r="N2081" s="59"/>
      <c r="O2081" s="59"/>
      <c r="P2081" s="59"/>
      <c r="Q2081" s="59"/>
      <c r="R2081" s="60">
        <f>IF(AND(P2081="",Q2081=""),"",N(P2081)+N(Q2081))</f>
        <v/>
      </c>
      <c r="S2081" s="59"/>
      <c r="T2081" s="59"/>
      <c r="U2081" s="62">
        <f>IF(OR(R2081="",S2081="",T2081=""),"",IF(S2081+T2081=0,"",R2081/(S2081+T2081)))</f>
        <v/>
      </c>
      <c r="V2081" s="63"/>
      <c r="W2081" s="64"/>
      <c r="X2081" s="63"/>
    </row>
    <row r="2082" spans="2:24">
      <c r="B2082" s="58"/>
      <c r="C2082" s="59"/>
      <c r="D2082" s="59"/>
      <c r="E2082" s="59"/>
      <c r="F2082" s="59"/>
      <c r="G2082" s="60">
        <f>IF(OR(E2082="",F2082="",C2082="",D2082=""),"",IF(C2082+D2082=0,"",(E2082*C2082+F2082*D2082)/(C2082+D2082)))</f>
        <v/>
      </c>
      <c r="H2082" s="59"/>
      <c r="I2082" s="60">
        <f>IF(OR(H2082="",E2082="",C2082="",D2082=""),"",IF(C2082+D2082=0,"",(H2082*D2082+E2082*C2082)/(C2082+D2082)))</f>
        <v/>
      </c>
      <c r="J2082" s="59"/>
      <c r="K2082" s="61">
        <f>IF(OR(J2082="",I2082=""),"",J2082-I2082)</f>
        <v/>
      </c>
      <c r="L2082" s="61">
        <f>IF(OR(J2082="",G2082=""),"",J2082-G2082)</f>
        <v/>
      </c>
      <c r="M2082" s="59"/>
      <c r="N2082" s="59"/>
      <c r="O2082" s="59"/>
      <c r="P2082" s="59"/>
      <c r="Q2082" s="59"/>
      <c r="R2082" s="60">
        <f>IF(AND(P2082="",Q2082=""),"",N(P2082)+N(Q2082))</f>
        <v/>
      </c>
      <c r="S2082" s="59"/>
      <c r="T2082" s="59"/>
      <c r="U2082" s="62">
        <f>IF(OR(R2082="",S2082="",T2082=""),"",IF(S2082+T2082=0,"",R2082/(S2082+T2082)))</f>
        <v/>
      </c>
      <c r="V2082" s="63"/>
      <c r="W2082" s="64"/>
      <c r="X2082" s="63"/>
    </row>
    <row r="2083" spans="2:24">
      <c r="B2083" s="58"/>
      <c r="C2083" s="59"/>
      <c r="D2083" s="59"/>
      <c r="E2083" s="59"/>
      <c r="F2083" s="59"/>
      <c r="G2083" s="60">
        <f>IF(OR(E2083="",F2083="",C2083="",D2083=""),"",IF(C2083+D2083=0,"",(E2083*C2083+F2083*D2083)/(C2083+D2083)))</f>
        <v/>
      </c>
      <c r="H2083" s="59"/>
      <c r="I2083" s="60">
        <f>IF(OR(H2083="",E2083="",C2083="",D2083=""),"",IF(C2083+D2083=0,"",(H2083*D2083+E2083*C2083)/(C2083+D2083)))</f>
        <v/>
      </c>
      <c r="J2083" s="59"/>
      <c r="K2083" s="61">
        <f>IF(OR(J2083="",I2083=""),"",J2083-I2083)</f>
        <v/>
      </c>
      <c r="L2083" s="61">
        <f>IF(OR(J2083="",G2083=""),"",J2083-G2083)</f>
        <v/>
      </c>
      <c r="M2083" s="59"/>
      <c r="N2083" s="59"/>
      <c r="O2083" s="59"/>
      <c r="P2083" s="59"/>
      <c r="Q2083" s="59"/>
      <c r="R2083" s="60">
        <f>IF(AND(P2083="",Q2083=""),"",N(P2083)+N(Q2083))</f>
        <v/>
      </c>
      <c r="S2083" s="59"/>
      <c r="T2083" s="59"/>
      <c r="U2083" s="62">
        <f>IF(OR(R2083="",S2083="",T2083=""),"",IF(S2083+T2083=0,"",R2083/(S2083+T2083)))</f>
        <v/>
      </c>
      <c r="V2083" s="63"/>
      <c r="W2083" s="64"/>
      <c r="X2083" s="63"/>
    </row>
    <row r="2084" spans="2:24">
      <c r="B2084" s="58"/>
      <c r="C2084" s="59"/>
      <c r="D2084" s="59"/>
      <c r="E2084" s="59"/>
      <c r="F2084" s="59"/>
      <c r="G2084" s="60">
        <f>IF(OR(E2084="",F2084="",C2084="",D2084=""),"",IF(C2084+D2084=0,"",(E2084*C2084+F2084*D2084)/(C2084+D2084)))</f>
        <v/>
      </c>
      <c r="H2084" s="59"/>
      <c r="I2084" s="60">
        <f>IF(OR(H2084="",E2084="",C2084="",D2084=""),"",IF(C2084+D2084=0,"",(H2084*D2084+E2084*C2084)/(C2084+D2084)))</f>
        <v/>
      </c>
      <c r="J2084" s="59"/>
      <c r="K2084" s="61">
        <f>IF(OR(J2084="",I2084=""),"",J2084-I2084)</f>
        <v/>
      </c>
      <c r="L2084" s="61">
        <f>IF(OR(J2084="",G2084=""),"",J2084-G2084)</f>
        <v/>
      </c>
      <c r="M2084" s="59"/>
      <c r="N2084" s="59"/>
      <c r="O2084" s="59"/>
      <c r="P2084" s="59"/>
      <c r="Q2084" s="59"/>
      <c r="R2084" s="60">
        <f>IF(AND(P2084="",Q2084=""),"",N(P2084)+N(Q2084))</f>
        <v/>
      </c>
      <c r="S2084" s="59"/>
      <c r="T2084" s="59"/>
      <c r="U2084" s="62">
        <f>IF(OR(R2084="",S2084="",T2084=""),"",IF(S2084+T2084=0,"",R2084/(S2084+T2084)))</f>
        <v/>
      </c>
      <c r="V2084" s="63"/>
      <c r="W2084" s="64"/>
      <c r="X2084" s="63"/>
    </row>
    <row r="2085" spans="2:24">
      <c r="B2085" s="58"/>
      <c r="C2085" s="59"/>
      <c r="D2085" s="59"/>
      <c r="E2085" s="59"/>
      <c r="F2085" s="59"/>
      <c r="G2085" s="60">
        <f>IF(OR(E2085="",F2085="",C2085="",D2085=""),"",IF(C2085+D2085=0,"",(E2085*C2085+F2085*D2085)/(C2085+D2085)))</f>
        <v/>
      </c>
      <c r="H2085" s="59"/>
      <c r="I2085" s="60">
        <f>IF(OR(H2085="",E2085="",C2085="",D2085=""),"",IF(C2085+D2085=0,"",(H2085*D2085+E2085*C2085)/(C2085+D2085)))</f>
        <v/>
      </c>
      <c r="J2085" s="59"/>
      <c r="K2085" s="61">
        <f>IF(OR(J2085="",I2085=""),"",J2085-I2085)</f>
        <v/>
      </c>
      <c r="L2085" s="61">
        <f>IF(OR(J2085="",G2085=""),"",J2085-G2085)</f>
        <v/>
      </c>
      <c r="M2085" s="59"/>
      <c r="N2085" s="59"/>
      <c r="O2085" s="59"/>
      <c r="P2085" s="59"/>
      <c r="Q2085" s="59"/>
      <c r="R2085" s="60">
        <f>IF(AND(P2085="",Q2085=""),"",N(P2085)+N(Q2085))</f>
        <v/>
      </c>
      <c r="S2085" s="59"/>
      <c r="T2085" s="59"/>
      <c r="U2085" s="62">
        <f>IF(OR(R2085="",S2085="",T2085=""),"",IF(S2085+T2085=0,"",R2085/(S2085+T2085)))</f>
        <v/>
      </c>
      <c r="V2085" s="63"/>
      <c r="W2085" s="64"/>
      <c r="X2085" s="63"/>
    </row>
    <row r="2086" spans="2:24">
      <c r="B2086" s="58"/>
      <c r="C2086" s="59"/>
      <c r="D2086" s="59"/>
      <c r="E2086" s="59"/>
      <c r="F2086" s="59"/>
      <c r="G2086" s="60">
        <f>IF(OR(E2086="",F2086="",C2086="",D2086=""),"",IF(C2086+D2086=0,"",(E2086*C2086+F2086*D2086)/(C2086+D2086)))</f>
        <v/>
      </c>
      <c r="H2086" s="59"/>
      <c r="I2086" s="60">
        <f>IF(OR(H2086="",E2086="",C2086="",D2086=""),"",IF(C2086+D2086=0,"",(H2086*D2086+E2086*C2086)/(C2086+D2086)))</f>
        <v/>
      </c>
      <c r="J2086" s="59"/>
      <c r="K2086" s="61">
        <f>IF(OR(J2086="",I2086=""),"",J2086-I2086)</f>
        <v/>
      </c>
      <c r="L2086" s="61">
        <f>IF(OR(J2086="",G2086=""),"",J2086-G2086)</f>
        <v/>
      </c>
      <c r="M2086" s="59"/>
      <c r="N2086" s="59"/>
      <c r="O2086" s="59"/>
      <c r="P2086" s="59"/>
      <c r="Q2086" s="59"/>
      <c r="R2086" s="60">
        <f>IF(AND(P2086="",Q2086=""),"",N(P2086)+N(Q2086))</f>
        <v/>
      </c>
      <c r="S2086" s="59"/>
      <c r="T2086" s="59"/>
      <c r="U2086" s="62">
        <f>IF(OR(R2086="",S2086="",T2086=""),"",IF(S2086+T2086=0,"",R2086/(S2086+T2086)))</f>
        <v/>
      </c>
      <c r="V2086" s="63"/>
      <c r="W2086" s="64"/>
      <c r="X2086" s="63"/>
    </row>
    <row r="2087" spans="2:24">
      <c r="B2087" s="58"/>
      <c r="C2087" s="59"/>
      <c r="D2087" s="59"/>
      <c r="E2087" s="59"/>
      <c r="F2087" s="59"/>
      <c r="G2087" s="60">
        <f>IF(OR(E2087="",F2087="",C2087="",D2087=""),"",IF(C2087+D2087=0,"",(E2087*C2087+F2087*D2087)/(C2087+D2087)))</f>
        <v/>
      </c>
      <c r="H2087" s="59"/>
      <c r="I2087" s="60">
        <f>IF(OR(H2087="",E2087="",C2087="",D2087=""),"",IF(C2087+D2087=0,"",(H2087*D2087+E2087*C2087)/(C2087+D2087)))</f>
        <v/>
      </c>
      <c r="J2087" s="59"/>
      <c r="K2087" s="61">
        <f>IF(OR(J2087="",I2087=""),"",J2087-I2087)</f>
        <v/>
      </c>
      <c r="L2087" s="61">
        <f>IF(OR(J2087="",G2087=""),"",J2087-G2087)</f>
        <v/>
      </c>
      <c r="M2087" s="59"/>
      <c r="N2087" s="59"/>
      <c r="O2087" s="59"/>
      <c r="P2087" s="59"/>
      <c r="Q2087" s="59"/>
      <c r="R2087" s="60">
        <f>IF(AND(P2087="",Q2087=""),"",N(P2087)+N(Q2087))</f>
        <v/>
      </c>
      <c r="S2087" s="59"/>
      <c r="T2087" s="59"/>
      <c r="U2087" s="62">
        <f>IF(OR(R2087="",S2087="",T2087=""),"",IF(S2087+T2087=0,"",R2087/(S2087+T2087)))</f>
        <v/>
      </c>
      <c r="V2087" s="63"/>
      <c r="W2087" s="64"/>
      <c r="X2087" s="63"/>
    </row>
    <row r="2088" spans="2:24">
      <c r="B2088" s="58"/>
      <c r="C2088" s="59"/>
      <c r="D2088" s="59"/>
      <c r="E2088" s="59"/>
      <c r="F2088" s="59"/>
      <c r="G2088" s="60">
        <f>IF(OR(E2088="",F2088="",C2088="",D2088=""),"",IF(C2088+D2088=0,"",(E2088*C2088+F2088*D2088)/(C2088+D2088)))</f>
        <v/>
      </c>
      <c r="H2088" s="59"/>
      <c r="I2088" s="60">
        <f>IF(OR(H2088="",E2088="",C2088="",D2088=""),"",IF(C2088+D2088=0,"",(H2088*D2088+E2088*C2088)/(C2088+D2088)))</f>
        <v/>
      </c>
      <c r="J2088" s="59"/>
      <c r="K2088" s="61">
        <f>IF(OR(J2088="",I2088=""),"",J2088-I2088)</f>
        <v/>
      </c>
      <c r="L2088" s="61">
        <f>IF(OR(J2088="",G2088=""),"",J2088-G2088)</f>
        <v/>
      </c>
      <c r="M2088" s="59"/>
      <c r="N2088" s="59"/>
      <c r="O2088" s="59"/>
      <c r="P2088" s="59"/>
      <c r="Q2088" s="59"/>
      <c r="R2088" s="60">
        <f>IF(AND(P2088="",Q2088=""),"",N(P2088)+N(Q2088))</f>
        <v/>
      </c>
      <c r="S2088" s="59"/>
      <c r="T2088" s="59"/>
      <c r="U2088" s="62">
        <f>IF(OR(R2088="",S2088="",T2088=""),"",IF(S2088+T2088=0,"",R2088/(S2088+T2088)))</f>
        <v/>
      </c>
      <c r="V2088" s="63"/>
      <c r="W2088" s="64"/>
      <c r="X2088" s="63"/>
    </row>
    <row r="2089" spans="2:24">
      <c r="B2089" s="58"/>
      <c r="C2089" s="59"/>
      <c r="D2089" s="59"/>
      <c r="E2089" s="59"/>
      <c r="F2089" s="59"/>
      <c r="G2089" s="60">
        <f>IF(OR(E2089="",F2089="",C2089="",D2089=""),"",IF(C2089+D2089=0,"",(E2089*C2089+F2089*D2089)/(C2089+D2089)))</f>
        <v/>
      </c>
      <c r="H2089" s="59"/>
      <c r="I2089" s="60">
        <f>IF(OR(H2089="",E2089="",C2089="",D2089=""),"",IF(C2089+D2089=0,"",(H2089*D2089+E2089*C2089)/(C2089+D2089)))</f>
        <v/>
      </c>
      <c r="J2089" s="59"/>
      <c r="K2089" s="61">
        <f>IF(OR(J2089="",I2089=""),"",J2089-I2089)</f>
        <v/>
      </c>
      <c r="L2089" s="61">
        <f>IF(OR(J2089="",G2089=""),"",J2089-G2089)</f>
        <v/>
      </c>
      <c r="M2089" s="59"/>
      <c r="N2089" s="59"/>
      <c r="O2089" s="59"/>
      <c r="P2089" s="59"/>
      <c r="Q2089" s="59"/>
      <c r="R2089" s="60">
        <f>IF(AND(P2089="",Q2089=""),"",N(P2089)+N(Q2089))</f>
        <v/>
      </c>
      <c r="S2089" s="59"/>
      <c r="T2089" s="59"/>
      <c r="U2089" s="62">
        <f>IF(OR(R2089="",S2089="",T2089=""),"",IF(S2089+T2089=0,"",R2089/(S2089+T2089)))</f>
        <v/>
      </c>
      <c r="V2089" s="63"/>
      <c r="W2089" s="64"/>
      <c r="X2089" s="63"/>
    </row>
    <row r="2090" spans="2:24">
      <c r="B2090" s="58"/>
      <c r="C2090" s="59"/>
      <c r="D2090" s="59"/>
      <c r="E2090" s="59"/>
      <c r="F2090" s="59"/>
      <c r="G2090" s="60">
        <f>IF(OR(E2090="",F2090="",C2090="",D2090=""),"",IF(C2090+D2090=0,"",(E2090*C2090+F2090*D2090)/(C2090+D2090)))</f>
        <v/>
      </c>
      <c r="H2090" s="59"/>
      <c r="I2090" s="60">
        <f>IF(OR(H2090="",E2090="",C2090="",D2090=""),"",IF(C2090+D2090=0,"",(H2090*D2090+E2090*C2090)/(C2090+D2090)))</f>
        <v/>
      </c>
      <c r="J2090" s="59"/>
      <c r="K2090" s="61">
        <f>IF(OR(J2090="",I2090=""),"",J2090-I2090)</f>
        <v/>
      </c>
      <c r="L2090" s="61">
        <f>IF(OR(J2090="",G2090=""),"",J2090-G2090)</f>
        <v/>
      </c>
      <c r="M2090" s="59"/>
      <c r="N2090" s="59"/>
      <c r="O2090" s="59"/>
      <c r="P2090" s="59"/>
      <c r="Q2090" s="59"/>
      <c r="R2090" s="60">
        <f>IF(AND(P2090="",Q2090=""),"",N(P2090)+N(Q2090))</f>
        <v/>
      </c>
      <c r="S2090" s="59"/>
      <c r="T2090" s="59"/>
      <c r="U2090" s="62">
        <f>IF(OR(R2090="",S2090="",T2090=""),"",IF(S2090+T2090=0,"",R2090/(S2090+T2090)))</f>
        <v/>
      </c>
      <c r="V2090" s="63"/>
      <c r="W2090" s="64"/>
      <c r="X2090" s="63"/>
    </row>
    <row r="2091" spans="2:24">
      <c r="B2091" s="58"/>
      <c r="C2091" s="59"/>
      <c r="D2091" s="59"/>
      <c r="E2091" s="59"/>
      <c r="F2091" s="59"/>
      <c r="G2091" s="60">
        <f>IF(OR(E2091="",F2091="",C2091="",D2091=""),"",IF(C2091+D2091=0,"",(E2091*C2091+F2091*D2091)/(C2091+D2091)))</f>
        <v/>
      </c>
      <c r="H2091" s="59"/>
      <c r="I2091" s="60">
        <f>IF(OR(H2091="",E2091="",C2091="",D2091=""),"",IF(C2091+D2091=0,"",(H2091*D2091+E2091*C2091)/(C2091+D2091)))</f>
        <v/>
      </c>
      <c r="J2091" s="59"/>
      <c r="K2091" s="61">
        <f>IF(OR(J2091="",I2091=""),"",J2091-I2091)</f>
        <v/>
      </c>
      <c r="L2091" s="61">
        <f>IF(OR(J2091="",G2091=""),"",J2091-G2091)</f>
        <v/>
      </c>
      <c r="M2091" s="59"/>
      <c r="N2091" s="59"/>
      <c r="O2091" s="59"/>
      <c r="P2091" s="59"/>
      <c r="Q2091" s="59"/>
      <c r="R2091" s="60">
        <f>IF(AND(P2091="",Q2091=""),"",N(P2091)+N(Q2091))</f>
        <v/>
      </c>
      <c r="S2091" s="59"/>
      <c r="T2091" s="59"/>
      <c r="U2091" s="62">
        <f>IF(OR(R2091="",S2091="",T2091=""),"",IF(S2091+T2091=0,"",R2091/(S2091+T2091)))</f>
        <v/>
      </c>
      <c r="V2091" s="63"/>
      <c r="W2091" s="64"/>
      <c r="X2091" s="63"/>
    </row>
    <row r="2092" spans="2:24">
      <c r="B2092" s="58"/>
      <c r="C2092" s="59"/>
      <c r="D2092" s="59"/>
      <c r="E2092" s="59"/>
      <c r="F2092" s="59"/>
      <c r="G2092" s="60">
        <f>IF(OR(E2092="",F2092="",C2092="",D2092=""),"",IF(C2092+D2092=0,"",(E2092*C2092+F2092*D2092)/(C2092+D2092)))</f>
        <v/>
      </c>
      <c r="H2092" s="59"/>
      <c r="I2092" s="60">
        <f>IF(OR(H2092="",E2092="",C2092="",D2092=""),"",IF(C2092+D2092=0,"",(H2092*D2092+E2092*C2092)/(C2092+D2092)))</f>
        <v/>
      </c>
      <c r="J2092" s="59"/>
      <c r="K2092" s="61">
        <f>IF(OR(J2092="",I2092=""),"",J2092-I2092)</f>
        <v/>
      </c>
      <c r="L2092" s="61">
        <f>IF(OR(J2092="",G2092=""),"",J2092-G2092)</f>
        <v/>
      </c>
      <c r="M2092" s="59"/>
      <c r="N2092" s="59"/>
      <c r="O2092" s="59"/>
      <c r="P2092" s="59"/>
      <c r="Q2092" s="59"/>
      <c r="R2092" s="60">
        <f>IF(AND(P2092="",Q2092=""),"",N(P2092)+N(Q2092))</f>
        <v/>
      </c>
      <c r="S2092" s="59"/>
      <c r="T2092" s="59"/>
      <c r="U2092" s="62">
        <f>IF(OR(R2092="",S2092="",T2092=""),"",IF(S2092+T2092=0,"",R2092/(S2092+T2092)))</f>
        <v/>
      </c>
      <c r="V2092" s="63"/>
      <c r="W2092" s="64"/>
      <c r="X2092" s="63"/>
    </row>
    <row r="2093" spans="2:24">
      <c r="B2093" s="58"/>
      <c r="C2093" s="59"/>
      <c r="D2093" s="59"/>
      <c r="E2093" s="59"/>
      <c r="F2093" s="59"/>
      <c r="G2093" s="60">
        <f>IF(OR(E2093="",F2093="",C2093="",D2093=""),"",IF(C2093+D2093=0,"",(E2093*C2093+F2093*D2093)/(C2093+D2093)))</f>
        <v/>
      </c>
      <c r="H2093" s="59"/>
      <c r="I2093" s="60">
        <f>IF(OR(H2093="",E2093="",C2093="",D2093=""),"",IF(C2093+D2093=0,"",(H2093*D2093+E2093*C2093)/(C2093+D2093)))</f>
        <v/>
      </c>
      <c r="J2093" s="59"/>
      <c r="K2093" s="61">
        <f>IF(OR(J2093="",I2093=""),"",J2093-I2093)</f>
        <v/>
      </c>
      <c r="L2093" s="61">
        <f>IF(OR(J2093="",G2093=""),"",J2093-G2093)</f>
        <v/>
      </c>
      <c r="M2093" s="59"/>
      <c r="N2093" s="59"/>
      <c r="O2093" s="59"/>
      <c r="P2093" s="59"/>
      <c r="Q2093" s="59"/>
      <c r="R2093" s="60">
        <f>IF(AND(P2093="",Q2093=""),"",N(P2093)+N(Q2093))</f>
        <v/>
      </c>
      <c r="S2093" s="59"/>
      <c r="T2093" s="59"/>
      <c r="U2093" s="62">
        <f>IF(OR(R2093="",S2093="",T2093=""),"",IF(S2093+T2093=0,"",R2093/(S2093+T2093)))</f>
        <v/>
      </c>
      <c r="V2093" s="63"/>
      <c r="W2093" s="64"/>
      <c r="X2093" s="63"/>
    </row>
    <row r="2094" spans="2:24">
      <c r="B2094" s="58"/>
      <c r="C2094" s="59"/>
      <c r="D2094" s="59"/>
      <c r="E2094" s="59"/>
      <c r="F2094" s="59"/>
      <c r="G2094" s="60">
        <f>IF(OR(E2094="",F2094="",C2094="",D2094=""),"",IF(C2094+D2094=0,"",(E2094*C2094+F2094*D2094)/(C2094+D2094)))</f>
        <v/>
      </c>
      <c r="H2094" s="59"/>
      <c r="I2094" s="60">
        <f>IF(OR(H2094="",E2094="",C2094="",D2094=""),"",IF(C2094+D2094=0,"",(H2094*D2094+E2094*C2094)/(C2094+D2094)))</f>
        <v/>
      </c>
      <c r="J2094" s="59"/>
      <c r="K2094" s="61">
        <f>IF(OR(J2094="",I2094=""),"",J2094-I2094)</f>
        <v/>
      </c>
      <c r="L2094" s="61">
        <f>IF(OR(J2094="",G2094=""),"",J2094-G2094)</f>
        <v/>
      </c>
      <c r="M2094" s="59"/>
      <c r="N2094" s="59"/>
      <c r="O2094" s="59"/>
      <c r="P2094" s="59"/>
      <c r="Q2094" s="59"/>
      <c r="R2094" s="60">
        <f>IF(AND(P2094="",Q2094=""),"",N(P2094)+N(Q2094))</f>
        <v/>
      </c>
      <c r="S2094" s="59"/>
      <c r="T2094" s="59"/>
      <c r="U2094" s="62">
        <f>IF(OR(R2094="",S2094="",T2094=""),"",IF(S2094+T2094=0,"",R2094/(S2094+T2094)))</f>
        <v/>
      </c>
      <c r="V2094" s="63"/>
      <c r="W2094" s="64"/>
      <c r="X2094" s="63"/>
    </row>
    <row r="2095" spans="2:24">
      <c r="B2095" s="58"/>
      <c r="C2095" s="59"/>
      <c r="D2095" s="59"/>
      <c r="E2095" s="59"/>
      <c r="F2095" s="59"/>
      <c r="G2095" s="60">
        <f>IF(OR(E2095="",F2095="",C2095="",D2095=""),"",IF(C2095+D2095=0,"",(E2095*C2095+F2095*D2095)/(C2095+D2095)))</f>
        <v/>
      </c>
      <c r="H2095" s="59"/>
      <c r="I2095" s="60">
        <f>IF(OR(H2095="",E2095="",C2095="",D2095=""),"",IF(C2095+D2095=0,"",(H2095*D2095+E2095*C2095)/(C2095+D2095)))</f>
        <v/>
      </c>
      <c r="J2095" s="59"/>
      <c r="K2095" s="61">
        <f>IF(OR(J2095="",I2095=""),"",J2095-I2095)</f>
        <v/>
      </c>
      <c r="L2095" s="61">
        <f>IF(OR(J2095="",G2095=""),"",J2095-G2095)</f>
        <v/>
      </c>
      <c r="M2095" s="59"/>
      <c r="N2095" s="59"/>
      <c r="O2095" s="59"/>
      <c r="P2095" s="59"/>
      <c r="Q2095" s="59"/>
      <c r="R2095" s="60">
        <f>IF(AND(P2095="",Q2095=""),"",N(P2095)+N(Q2095))</f>
        <v/>
      </c>
      <c r="S2095" s="59"/>
      <c r="T2095" s="59"/>
      <c r="U2095" s="62">
        <f>IF(OR(R2095="",S2095="",T2095=""),"",IF(S2095+T2095=0,"",R2095/(S2095+T2095)))</f>
        <v/>
      </c>
      <c r="V2095" s="63"/>
      <c r="W2095" s="64"/>
      <c r="X2095" s="63"/>
    </row>
    <row r="2096" spans="2:24">
      <c r="B2096" s="58"/>
      <c r="C2096" s="59"/>
      <c r="D2096" s="59"/>
      <c r="E2096" s="59"/>
      <c r="F2096" s="59"/>
      <c r="G2096" s="60">
        <f>IF(OR(E2096="",F2096="",C2096="",D2096=""),"",IF(C2096+D2096=0,"",(E2096*C2096+F2096*D2096)/(C2096+D2096)))</f>
        <v/>
      </c>
      <c r="H2096" s="59"/>
      <c r="I2096" s="60">
        <f>IF(OR(H2096="",E2096="",C2096="",D2096=""),"",IF(C2096+D2096=0,"",(H2096*D2096+E2096*C2096)/(C2096+D2096)))</f>
        <v/>
      </c>
      <c r="J2096" s="59"/>
      <c r="K2096" s="61">
        <f>IF(OR(J2096="",I2096=""),"",J2096-I2096)</f>
        <v/>
      </c>
      <c r="L2096" s="61">
        <f>IF(OR(J2096="",G2096=""),"",J2096-G2096)</f>
        <v/>
      </c>
      <c r="M2096" s="59"/>
      <c r="N2096" s="59"/>
      <c r="O2096" s="59"/>
      <c r="P2096" s="59"/>
      <c r="Q2096" s="59"/>
      <c r="R2096" s="60">
        <f>IF(AND(P2096="",Q2096=""),"",N(P2096)+N(Q2096))</f>
        <v/>
      </c>
      <c r="S2096" s="59"/>
      <c r="T2096" s="59"/>
      <c r="U2096" s="62">
        <f>IF(OR(R2096="",S2096="",T2096=""),"",IF(S2096+T2096=0,"",R2096/(S2096+T2096)))</f>
        <v/>
      </c>
      <c r="V2096" s="63"/>
      <c r="W2096" s="64"/>
      <c r="X2096" s="63"/>
    </row>
    <row r="2097" spans="2:24">
      <c r="B2097" s="58"/>
      <c r="C2097" s="59"/>
      <c r="D2097" s="59"/>
      <c r="E2097" s="59"/>
      <c r="F2097" s="59"/>
      <c r="G2097" s="60">
        <f>IF(OR(E2097="",F2097="",C2097="",D2097=""),"",IF(C2097+D2097=0,"",(E2097*C2097+F2097*D2097)/(C2097+D2097)))</f>
        <v/>
      </c>
      <c r="H2097" s="59"/>
      <c r="I2097" s="60">
        <f>IF(OR(H2097="",E2097="",C2097="",D2097=""),"",IF(C2097+D2097=0,"",(H2097*D2097+E2097*C2097)/(C2097+D2097)))</f>
        <v/>
      </c>
      <c r="J2097" s="59"/>
      <c r="K2097" s="61">
        <f>IF(OR(J2097="",I2097=""),"",J2097-I2097)</f>
        <v/>
      </c>
      <c r="L2097" s="61">
        <f>IF(OR(J2097="",G2097=""),"",J2097-G2097)</f>
        <v/>
      </c>
      <c r="M2097" s="59"/>
      <c r="N2097" s="59"/>
      <c r="O2097" s="59"/>
      <c r="P2097" s="59"/>
      <c r="Q2097" s="59"/>
      <c r="R2097" s="60">
        <f>IF(AND(P2097="",Q2097=""),"",N(P2097)+N(Q2097))</f>
        <v/>
      </c>
      <c r="S2097" s="59"/>
      <c r="T2097" s="59"/>
      <c r="U2097" s="62">
        <f>IF(OR(R2097="",S2097="",T2097=""),"",IF(S2097+T2097=0,"",R2097/(S2097+T2097)))</f>
        <v/>
      </c>
      <c r="V2097" s="63"/>
      <c r="W2097" s="64"/>
      <c r="X2097" s="63"/>
    </row>
    <row r="2098" spans="2:24">
      <c r="B2098" s="58"/>
      <c r="C2098" s="59"/>
      <c r="D2098" s="59"/>
      <c r="E2098" s="59"/>
      <c r="F2098" s="59"/>
      <c r="G2098" s="60">
        <f>IF(OR(E2098="",F2098="",C2098="",D2098=""),"",IF(C2098+D2098=0,"",(E2098*C2098+F2098*D2098)/(C2098+D2098)))</f>
        <v/>
      </c>
      <c r="H2098" s="59"/>
      <c r="I2098" s="60">
        <f>IF(OR(H2098="",E2098="",C2098="",D2098=""),"",IF(C2098+D2098=0,"",(H2098*D2098+E2098*C2098)/(C2098+D2098)))</f>
        <v/>
      </c>
      <c r="J2098" s="59"/>
      <c r="K2098" s="61">
        <f>IF(OR(J2098="",I2098=""),"",J2098-I2098)</f>
        <v/>
      </c>
      <c r="L2098" s="61">
        <f>IF(OR(J2098="",G2098=""),"",J2098-G2098)</f>
        <v/>
      </c>
      <c r="M2098" s="59"/>
      <c r="N2098" s="59"/>
      <c r="O2098" s="59"/>
      <c r="P2098" s="59"/>
      <c r="Q2098" s="59"/>
      <c r="R2098" s="60">
        <f>IF(AND(P2098="",Q2098=""),"",N(P2098)+N(Q2098))</f>
        <v/>
      </c>
      <c r="S2098" s="59"/>
      <c r="T2098" s="59"/>
      <c r="U2098" s="62">
        <f>IF(OR(R2098="",S2098="",T2098=""),"",IF(S2098+T2098=0,"",R2098/(S2098+T2098)))</f>
        <v/>
      </c>
      <c r="V2098" s="63"/>
      <c r="W2098" s="64"/>
      <c r="X2098" s="63"/>
    </row>
    <row r="2099" spans="2:24">
      <c r="B2099" s="58"/>
      <c r="C2099" s="59"/>
      <c r="D2099" s="59"/>
      <c r="E2099" s="59"/>
      <c r="F2099" s="59"/>
      <c r="G2099" s="60">
        <f>IF(OR(E2099="",F2099="",C2099="",D2099=""),"",IF(C2099+D2099=0,"",(E2099*C2099+F2099*D2099)/(C2099+D2099)))</f>
        <v/>
      </c>
      <c r="H2099" s="59"/>
      <c r="I2099" s="60">
        <f>IF(OR(H2099="",E2099="",C2099="",D2099=""),"",IF(C2099+D2099=0,"",(H2099*D2099+E2099*C2099)/(C2099+D2099)))</f>
        <v/>
      </c>
      <c r="J2099" s="59"/>
      <c r="K2099" s="61">
        <f>IF(OR(J2099="",I2099=""),"",J2099-I2099)</f>
        <v/>
      </c>
      <c r="L2099" s="61">
        <f>IF(OR(J2099="",G2099=""),"",J2099-G2099)</f>
        <v/>
      </c>
      <c r="M2099" s="59"/>
      <c r="N2099" s="59"/>
      <c r="O2099" s="59"/>
      <c r="P2099" s="59"/>
      <c r="Q2099" s="59"/>
      <c r="R2099" s="60">
        <f>IF(AND(P2099="",Q2099=""),"",N(P2099)+N(Q2099))</f>
        <v/>
      </c>
      <c r="S2099" s="59"/>
      <c r="T2099" s="59"/>
      <c r="U2099" s="62">
        <f>IF(OR(R2099="",S2099="",T2099=""),"",IF(S2099+T2099=0,"",R2099/(S2099+T2099)))</f>
        <v/>
      </c>
      <c r="V2099" s="63"/>
      <c r="W2099" s="64"/>
      <c r="X2099" s="63"/>
    </row>
    <row r="2100" spans="2:24">
      <c r="B2100" s="58"/>
      <c r="C2100" s="59"/>
      <c r="D2100" s="59"/>
      <c r="E2100" s="59"/>
      <c r="F2100" s="59"/>
      <c r="G2100" s="60">
        <f>IF(OR(E2100="",F2100="",C2100="",D2100=""),"",IF(C2100+D2100=0,"",(E2100*C2100+F2100*D2100)/(C2100+D2100)))</f>
        <v/>
      </c>
      <c r="H2100" s="59"/>
      <c r="I2100" s="60">
        <f>IF(OR(H2100="",E2100="",C2100="",D2100=""),"",IF(C2100+D2100=0,"",(H2100*D2100+E2100*C2100)/(C2100+D2100)))</f>
        <v/>
      </c>
      <c r="J2100" s="59"/>
      <c r="K2100" s="61">
        <f>IF(OR(J2100="",I2100=""),"",J2100-I2100)</f>
        <v/>
      </c>
      <c r="L2100" s="61">
        <f>IF(OR(J2100="",G2100=""),"",J2100-G2100)</f>
        <v/>
      </c>
      <c r="M2100" s="59"/>
      <c r="N2100" s="59"/>
      <c r="O2100" s="59"/>
      <c r="P2100" s="59"/>
      <c r="Q2100" s="59"/>
      <c r="R2100" s="60">
        <f>IF(AND(P2100="",Q2100=""),"",N(P2100)+N(Q2100))</f>
        <v/>
      </c>
      <c r="S2100" s="59"/>
      <c r="T2100" s="59"/>
      <c r="U2100" s="62">
        <f>IF(OR(R2100="",S2100="",T2100=""),"",IF(S2100+T2100=0,"",R2100/(S2100+T2100)))</f>
        <v/>
      </c>
      <c r="V2100" s="63"/>
      <c r="W2100" s="64"/>
      <c r="X2100" s="63"/>
    </row>
    <row r="2101" spans="2:24">
      <c r="B2101" s="58"/>
      <c r="C2101" s="59"/>
      <c r="D2101" s="59"/>
      <c r="E2101" s="59"/>
      <c r="F2101" s="59"/>
      <c r="G2101" s="60">
        <f>IF(OR(E2101="",F2101="",C2101="",D2101=""),"",IF(C2101+D2101=0,"",(E2101*C2101+F2101*D2101)/(C2101+D2101)))</f>
        <v/>
      </c>
      <c r="H2101" s="59"/>
      <c r="I2101" s="60">
        <f>IF(OR(H2101="",E2101="",C2101="",D2101=""),"",IF(C2101+D2101=0,"",(H2101*D2101+E2101*C2101)/(C2101+D2101)))</f>
        <v/>
      </c>
      <c r="J2101" s="59"/>
      <c r="K2101" s="61">
        <f>IF(OR(J2101="",I2101=""),"",J2101-I2101)</f>
        <v/>
      </c>
      <c r="L2101" s="61">
        <f>IF(OR(J2101="",G2101=""),"",J2101-G2101)</f>
        <v/>
      </c>
      <c r="M2101" s="59"/>
      <c r="N2101" s="59"/>
      <c r="O2101" s="59"/>
      <c r="P2101" s="59"/>
      <c r="Q2101" s="59"/>
      <c r="R2101" s="60">
        <f>IF(AND(P2101="",Q2101=""),"",N(P2101)+N(Q2101))</f>
        <v/>
      </c>
      <c r="S2101" s="59"/>
      <c r="T2101" s="59"/>
      <c r="U2101" s="62">
        <f>IF(OR(R2101="",S2101="",T2101=""),"",IF(S2101+T2101=0,"",R2101/(S2101+T2101)))</f>
        <v/>
      </c>
      <c r="V2101" s="63"/>
      <c r="W2101" s="64"/>
      <c r="X2101" s="63"/>
    </row>
    <row r="2102" spans="2:24">
      <c r="B2102" s="58"/>
      <c r="C2102" s="59"/>
      <c r="D2102" s="59"/>
      <c r="E2102" s="59"/>
      <c r="F2102" s="59"/>
      <c r="G2102" s="60">
        <f>IF(OR(E2102="",F2102="",C2102="",D2102=""),"",IF(C2102+D2102=0,"",(E2102*C2102+F2102*D2102)/(C2102+D2102)))</f>
        <v/>
      </c>
      <c r="H2102" s="59"/>
      <c r="I2102" s="60">
        <f>IF(OR(H2102="",E2102="",C2102="",D2102=""),"",IF(C2102+D2102=0,"",(H2102*D2102+E2102*C2102)/(C2102+D2102)))</f>
        <v/>
      </c>
      <c r="J2102" s="59"/>
      <c r="K2102" s="61">
        <f>IF(OR(J2102="",I2102=""),"",J2102-I2102)</f>
        <v/>
      </c>
      <c r="L2102" s="61">
        <f>IF(OR(J2102="",G2102=""),"",J2102-G2102)</f>
        <v/>
      </c>
      <c r="M2102" s="59"/>
      <c r="N2102" s="59"/>
      <c r="O2102" s="59"/>
      <c r="P2102" s="59"/>
      <c r="Q2102" s="59"/>
      <c r="R2102" s="60">
        <f>IF(AND(P2102="",Q2102=""),"",N(P2102)+N(Q2102))</f>
        <v/>
      </c>
      <c r="S2102" s="59"/>
      <c r="T2102" s="59"/>
      <c r="U2102" s="62">
        <f>IF(OR(R2102="",S2102="",T2102=""),"",IF(S2102+T2102=0,"",R2102/(S2102+T2102)))</f>
        <v/>
      </c>
      <c r="V2102" s="63"/>
      <c r="W2102" s="64"/>
      <c r="X2102" s="63"/>
    </row>
    <row r="2103" spans="2:24">
      <c r="B2103" s="58"/>
      <c r="C2103" s="59"/>
      <c r="D2103" s="59"/>
      <c r="E2103" s="59"/>
      <c r="F2103" s="59"/>
      <c r="G2103" s="60">
        <f>IF(OR(E2103="",F2103="",C2103="",D2103=""),"",IF(C2103+D2103=0,"",(E2103*C2103+F2103*D2103)/(C2103+D2103)))</f>
        <v/>
      </c>
      <c r="H2103" s="59"/>
      <c r="I2103" s="60">
        <f>IF(OR(H2103="",E2103="",C2103="",D2103=""),"",IF(C2103+D2103=0,"",(H2103*D2103+E2103*C2103)/(C2103+D2103)))</f>
        <v/>
      </c>
      <c r="J2103" s="59"/>
      <c r="K2103" s="61">
        <f>IF(OR(J2103="",I2103=""),"",J2103-I2103)</f>
        <v/>
      </c>
      <c r="L2103" s="61">
        <f>IF(OR(J2103="",G2103=""),"",J2103-G2103)</f>
        <v/>
      </c>
      <c r="M2103" s="59"/>
      <c r="N2103" s="59"/>
      <c r="O2103" s="59"/>
      <c r="P2103" s="59"/>
      <c r="Q2103" s="59"/>
      <c r="R2103" s="60">
        <f>IF(AND(P2103="",Q2103=""),"",N(P2103)+N(Q2103))</f>
        <v/>
      </c>
      <c r="S2103" s="59"/>
      <c r="T2103" s="59"/>
      <c r="U2103" s="62">
        <f>IF(OR(R2103="",S2103="",T2103=""),"",IF(S2103+T2103=0,"",R2103/(S2103+T2103)))</f>
        <v/>
      </c>
      <c r="V2103" s="63"/>
      <c r="W2103" s="64"/>
      <c r="X2103" s="63"/>
    </row>
    <row r="2104" spans="2:24">
      <c r="B2104" s="58"/>
      <c r="C2104" s="59"/>
      <c r="D2104" s="59"/>
      <c r="E2104" s="59"/>
      <c r="F2104" s="59"/>
      <c r="G2104" s="60">
        <f>IF(OR(E2104="",F2104="",C2104="",D2104=""),"",IF(C2104+D2104=0,"",(E2104*C2104+F2104*D2104)/(C2104+D2104)))</f>
        <v/>
      </c>
      <c r="H2104" s="59"/>
      <c r="I2104" s="60">
        <f>IF(OR(H2104="",E2104="",C2104="",D2104=""),"",IF(C2104+D2104=0,"",(H2104*D2104+E2104*C2104)/(C2104+D2104)))</f>
        <v/>
      </c>
      <c r="J2104" s="59"/>
      <c r="K2104" s="61">
        <f>IF(OR(J2104="",I2104=""),"",J2104-I2104)</f>
        <v/>
      </c>
      <c r="L2104" s="61">
        <f>IF(OR(J2104="",G2104=""),"",J2104-G2104)</f>
        <v/>
      </c>
      <c r="M2104" s="59"/>
      <c r="N2104" s="59"/>
      <c r="O2104" s="59"/>
      <c r="P2104" s="59"/>
      <c r="Q2104" s="59"/>
      <c r="R2104" s="60">
        <f>IF(AND(P2104="",Q2104=""),"",N(P2104)+N(Q2104))</f>
        <v/>
      </c>
      <c r="S2104" s="59"/>
      <c r="T2104" s="59"/>
      <c r="U2104" s="62">
        <f>IF(OR(R2104="",S2104="",T2104=""),"",IF(S2104+T2104=0,"",R2104/(S2104+T2104)))</f>
        <v/>
      </c>
      <c r="V2104" s="63"/>
      <c r="W2104" s="64"/>
      <c r="X2104" s="63"/>
    </row>
    <row r="2105" spans="2:24">
      <c r="B2105" s="58"/>
      <c r="C2105" s="59"/>
      <c r="D2105" s="59"/>
      <c r="E2105" s="59"/>
      <c r="F2105" s="59"/>
      <c r="G2105" s="60">
        <f>IF(OR(E2105="",F2105="",C2105="",D2105=""),"",IF(C2105+D2105=0,"",(E2105*C2105+F2105*D2105)/(C2105+D2105)))</f>
        <v/>
      </c>
      <c r="H2105" s="59"/>
      <c r="I2105" s="60">
        <f>IF(OR(H2105="",E2105="",C2105="",D2105=""),"",IF(C2105+D2105=0,"",(H2105*D2105+E2105*C2105)/(C2105+D2105)))</f>
        <v/>
      </c>
      <c r="J2105" s="59"/>
      <c r="K2105" s="61">
        <f>IF(OR(J2105="",I2105=""),"",J2105-I2105)</f>
        <v/>
      </c>
      <c r="L2105" s="61">
        <f>IF(OR(J2105="",G2105=""),"",J2105-G2105)</f>
        <v/>
      </c>
      <c r="M2105" s="59"/>
      <c r="N2105" s="59"/>
      <c r="O2105" s="59"/>
      <c r="P2105" s="59"/>
      <c r="Q2105" s="59"/>
      <c r="R2105" s="60">
        <f>IF(AND(P2105="",Q2105=""),"",N(P2105)+N(Q2105))</f>
        <v/>
      </c>
      <c r="S2105" s="59"/>
      <c r="T2105" s="59"/>
      <c r="U2105" s="62">
        <f>IF(OR(R2105="",S2105="",T2105=""),"",IF(S2105+T2105=0,"",R2105/(S2105+T2105)))</f>
        <v/>
      </c>
      <c r="V2105" s="63"/>
      <c r="W2105" s="64"/>
      <c r="X2105" s="63"/>
    </row>
    <row r="2106" spans="2:24">
      <c r="B2106" s="58"/>
      <c r="C2106" s="59"/>
      <c r="D2106" s="59"/>
      <c r="E2106" s="59"/>
      <c r="F2106" s="59"/>
      <c r="G2106" s="60">
        <f>IF(OR(E2106="",F2106="",C2106="",D2106=""),"",IF(C2106+D2106=0,"",(E2106*C2106+F2106*D2106)/(C2106+D2106)))</f>
        <v/>
      </c>
      <c r="H2106" s="59"/>
      <c r="I2106" s="60">
        <f>IF(OR(H2106="",E2106="",C2106="",D2106=""),"",IF(C2106+D2106=0,"",(H2106*D2106+E2106*C2106)/(C2106+D2106)))</f>
        <v/>
      </c>
      <c r="J2106" s="59"/>
      <c r="K2106" s="61">
        <f>IF(OR(J2106="",I2106=""),"",J2106-I2106)</f>
        <v/>
      </c>
      <c r="L2106" s="61">
        <f>IF(OR(J2106="",G2106=""),"",J2106-G2106)</f>
        <v/>
      </c>
      <c r="M2106" s="59"/>
      <c r="N2106" s="59"/>
      <c r="O2106" s="59"/>
      <c r="P2106" s="59"/>
      <c r="Q2106" s="59"/>
      <c r="R2106" s="60">
        <f>IF(AND(P2106="",Q2106=""),"",N(P2106)+N(Q2106))</f>
        <v/>
      </c>
      <c r="S2106" s="59"/>
      <c r="T2106" s="59"/>
      <c r="U2106" s="62">
        <f>IF(OR(R2106="",S2106="",T2106=""),"",IF(S2106+T2106=0,"",R2106/(S2106+T2106)))</f>
        <v/>
      </c>
      <c r="V2106" s="63"/>
      <c r="W2106" s="64"/>
      <c r="X2106" s="63"/>
    </row>
    <row r="2107" spans="2:24">
      <c r="B2107" s="58"/>
      <c r="C2107" s="59"/>
      <c r="D2107" s="59"/>
      <c r="E2107" s="59"/>
      <c r="F2107" s="59"/>
      <c r="G2107" s="60">
        <f>IF(OR(E2107="",F2107="",C2107="",D2107=""),"",IF(C2107+D2107=0,"",(E2107*C2107+F2107*D2107)/(C2107+D2107)))</f>
        <v/>
      </c>
      <c r="H2107" s="59"/>
      <c r="I2107" s="60">
        <f>IF(OR(H2107="",E2107="",C2107="",D2107=""),"",IF(C2107+D2107=0,"",(H2107*D2107+E2107*C2107)/(C2107+D2107)))</f>
        <v/>
      </c>
      <c r="J2107" s="59"/>
      <c r="K2107" s="61">
        <f>IF(OR(J2107="",I2107=""),"",J2107-I2107)</f>
        <v/>
      </c>
      <c r="L2107" s="61">
        <f>IF(OR(J2107="",G2107=""),"",J2107-G2107)</f>
        <v/>
      </c>
      <c r="M2107" s="59"/>
      <c r="N2107" s="59"/>
      <c r="O2107" s="59"/>
      <c r="P2107" s="59"/>
      <c r="Q2107" s="59"/>
      <c r="R2107" s="60">
        <f>IF(AND(P2107="",Q2107=""),"",N(P2107)+N(Q2107))</f>
        <v/>
      </c>
      <c r="S2107" s="59"/>
      <c r="T2107" s="59"/>
      <c r="U2107" s="62">
        <f>IF(OR(R2107="",S2107="",T2107=""),"",IF(S2107+T2107=0,"",R2107/(S2107+T2107)))</f>
        <v/>
      </c>
      <c r="V2107" s="63"/>
      <c r="W2107" s="64"/>
      <c r="X2107" s="63"/>
    </row>
    <row r="2108" spans="2:24">
      <c r="B2108" s="58"/>
      <c r="C2108" s="59"/>
      <c r="D2108" s="59"/>
      <c r="E2108" s="59"/>
      <c r="F2108" s="59"/>
      <c r="G2108" s="60">
        <f>IF(OR(E2108="",F2108="",C2108="",D2108=""),"",IF(C2108+D2108=0,"",(E2108*C2108+F2108*D2108)/(C2108+D2108)))</f>
        <v/>
      </c>
      <c r="H2108" s="59"/>
      <c r="I2108" s="60">
        <f>IF(OR(H2108="",E2108="",C2108="",D2108=""),"",IF(C2108+D2108=0,"",(H2108*D2108+E2108*C2108)/(C2108+D2108)))</f>
        <v/>
      </c>
      <c r="J2108" s="59"/>
      <c r="K2108" s="61">
        <f>IF(OR(J2108="",I2108=""),"",J2108-I2108)</f>
        <v/>
      </c>
      <c r="L2108" s="61">
        <f>IF(OR(J2108="",G2108=""),"",J2108-G2108)</f>
        <v/>
      </c>
      <c r="M2108" s="59"/>
      <c r="N2108" s="59"/>
      <c r="O2108" s="59"/>
      <c r="P2108" s="59"/>
      <c r="Q2108" s="59"/>
      <c r="R2108" s="60">
        <f>IF(AND(P2108="",Q2108=""),"",N(P2108)+N(Q2108))</f>
        <v/>
      </c>
      <c r="S2108" s="59"/>
      <c r="T2108" s="59"/>
      <c r="U2108" s="62">
        <f>IF(OR(R2108="",S2108="",T2108=""),"",IF(S2108+T2108=0,"",R2108/(S2108+T2108)))</f>
        <v/>
      </c>
      <c r="V2108" s="63"/>
      <c r="W2108" s="64"/>
      <c r="X2108" s="63"/>
    </row>
    <row r="2109" spans="2:24">
      <c r="B2109" s="58"/>
      <c r="C2109" s="59"/>
      <c r="D2109" s="59"/>
      <c r="E2109" s="59"/>
      <c r="F2109" s="59"/>
      <c r="G2109" s="60">
        <f>IF(OR(E2109="",F2109="",C2109="",D2109=""),"",IF(C2109+D2109=0,"",(E2109*C2109+F2109*D2109)/(C2109+D2109)))</f>
        <v/>
      </c>
      <c r="H2109" s="59"/>
      <c r="I2109" s="60">
        <f>IF(OR(H2109="",E2109="",C2109="",D2109=""),"",IF(C2109+D2109=0,"",(H2109*D2109+E2109*C2109)/(C2109+D2109)))</f>
        <v/>
      </c>
      <c r="J2109" s="59"/>
      <c r="K2109" s="61">
        <f>IF(OR(J2109="",I2109=""),"",J2109-I2109)</f>
        <v/>
      </c>
      <c r="L2109" s="61">
        <f>IF(OR(J2109="",G2109=""),"",J2109-G2109)</f>
        <v/>
      </c>
      <c r="M2109" s="59"/>
      <c r="N2109" s="59"/>
      <c r="O2109" s="59"/>
      <c r="P2109" s="59"/>
      <c r="Q2109" s="59"/>
      <c r="R2109" s="60">
        <f>IF(AND(P2109="",Q2109=""),"",N(P2109)+N(Q2109))</f>
        <v/>
      </c>
      <c r="S2109" s="59"/>
      <c r="T2109" s="59"/>
      <c r="U2109" s="62">
        <f>IF(OR(R2109="",S2109="",T2109=""),"",IF(S2109+T2109=0,"",R2109/(S2109+T2109)))</f>
        <v/>
      </c>
      <c r="V2109" s="63"/>
      <c r="W2109" s="64"/>
      <c r="X2109" s="63"/>
    </row>
    <row r="2110" spans="2:24">
      <c r="B2110" s="58"/>
      <c r="C2110" s="59"/>
      <c r="D2110" s="59"/>
      <c r="E2110" s="59"/>
      <c r="F2110" s="59"/>
      <c r="G2110" s="60">
        <f>IF(OR(E2110="",F2110="",C2110="",D2110=""),"",IF(C2110+D2110=0,"",(E2110*C2110+F2110*D2110)/(C2110+D2110)))</f>
        <v/>
      </c>
      <c r="H2110" s="59"/>
      <c r="I2110" s="60">
        <f>IF(OR(H2110="",E2110="",C2110="",D2110=""),"",IF(C2110+D2110=0,"",(H2110*D2110+E2110*C2110)/(C2110+D2110)))</f>
        <v/>
      </c>
      <c r="J2110" s="59"/>
      <c r="K2110" s="61">
        <f>IF(OR(J2110="",I2110=""),"",J2110-I2110)</f>
        <v/>
      </c>
      <c r="L2110" s="61">
        <f>IF(OR(J2110="",G2110=""),"",J2110-G2110)</f>
        <v/>
      </c>
      <c r="M2110" s="59"/>
      <c r="N2110" s="59"/>
      <c r="O2110" s="59"/>
      <c r="P2110" s="59"/>
      <c r="Q2110" s="59"/>
      <c r="R2110" s="60">
        <f>IF(AND(P2110="",Q2110=""),"",N(P2110)+N(Q2110))</f>
        <v/>
      </c>
      <c r="S2110" s="59"/>
      <c r="T2110" s="59"/>
      <c r="U2110" s="62">
        <f>IF(OR(R2110="",S2110="",T2110=""),"",IF(S2110+T2110=0,"",R2110/(S2110+T2110)))</f>
        <v/>
      </c>
      <c r="V2110" s="63"/>
      <c r="W2110" s="64"/>
      <c r="X2110" s="63"/>
    </row>
    <row r="2111" spans="2:24">
      <c r="B2111" s="58"/>
      <c r="C2111" s="59"/>
      <c r="D2111" s="59"/>
      <c r="E2111" s="59"/>
      <c r="F2111" s="59"/>
      <c r="G2111" s="60">
        <f>IF(OR(E2111="",F2111="",C2111="",D2111=""),"",IF(C2111+D2111=0,"",(E2111*C2111+F2111*D2111)/(C2111+D2111)))</f>
        <v/>
      </c>
      <c r="H2111" s="59"/>
      <c r="I2111" s="60">
        <f>IF(OR(H2111="",E2111="",C2111="",D2111=""),"",IF(C2111+D2111=0,"",(H2111*D2111+E2111*C2111)/(C2111+D2111)))</f>
        <v/>
      </c>
      <c r="J2111" s="59"/>
      <c r="K2111" s="61">
        <f>IF(OR(J2111="",I2111=""),"",J2111-I2111)</f>
        <v/>
      </c>
      <c r="L2111" s="61">
        <f>IF(OR(J2111="",G2111=""),"",J2111-G2111)</f>
        <v/>
      </c>
      <c r="M2111" s="59"/>
      <c r="N2111" s="59"/>
      <c r="O2111" s="59"/>
      <c r="P2111" s="59"/>
      <c r="Q2111" s="59"/>
      <c r="R2111" s="60">
        <f>IF(AND(P2111="",Q2111=""),"",N(P2111)+N(Q2111))</f>
        <v/>
      </c>
      <c r="S2111" s="59"/>
      <c r="T2111" s="59"/>
      <c r="U2111" s="62">
        <f>IF(OR(R2111="",S2111="",T2111=""),"",IF(S2111+T2111=0,"",R2111/(S2111+T2111)))</f>
        <v/>
      </c>
      <c r="V2111" s="63"/>
      <c r="W2111" s="64"/>
      <c r="X2111" s="63"/>
    </row>
    <row r="2112" spans="2:24">
      <c r="B2112" s="58"/>
      <c r="C2112" s="59"/>
      <c r="D2112" s="59"/>
      <c r="E2112" s="59"/>
      <c r="F2112" s="59"/>
      <c r="G2112" s="60">
        <f>IF(OR(E2112="",F2112="",C2112="",D2112=""),"",IF(C2112+D2112=0,"",(E2112*C2112+F2112*D2112)/(C2112+D2112)))</f>
        <v/>
      </c>
      <c r="H2112" s="59"/>
      <c r="I2112" s="60">
        <f>IF(OR(H2112="",E2112="",C2112="",D2112=""),"",IF(C2112+D2112=0,"",(H2112*D2112+E2112*C2112)/(C2112+D2112)))</f>
        <v/>
      </c>
      <c r="J2112" s="59"/>
      <c r="K2112" s="61">
        <f>IF(OR(J2112="",I2112=""),"",J2112-I2112)</f>
        <v/>
      </c>
      <c r="L2112" s="61">
        <f>IF(OR(J2112="",G2112=""),"",J2112-G2112)</f>
        <v/>
      </c>
      <c r="M2112" s="59"/>
      <c r="N2112" s="59"/>
      <c r="O2112" s="59"/>
      <c r="P2112" s="59"/>
      <c r="Q2112" s="59"/>
      <c r="R2112" s="60">
        <f>IF(AND(P2112="",Q2112=""),"",N(P2112)+N(Q2112))</f>
        <v/>
      </c>
      <c r="S2112" s="59"/>
      <c r="T2112" s="59"/>
      <c r="U2112" s="62">
        <f>IF(OR(R2112="",S2112="",T2112=""),"",IF(S2112+T2112=0,"",R2112/(S2112+T2112)))</f>
        <v/>
      </c>
      <c r="V2112" s="63"/>
      <c r="W2112" s="64"/>
      <c r="X2112" s="63"/>
    </row>
    <row r="2113" spans="2:24">
      <c r="B2113" s="58"/>
      <c r="C2113" s="59"/>
      <c r="D2113" s="59"/>
      <c r="E2113" s="59"/>
      <c r="F2113" s="59"/>
      <c r="G2113" s="60">
        <f>IF(OR(E2113="",F2113="",C2113="",D2113=""),"",IF(C2113+D2113=0,"",(E2113*C2113+F2113*D2113)/(C2113+D2113)))</f>
        <v/>
      </c>
      <c r="H2113" s="59"/>
      <c r="I2113" s="60">
        <f>IF(OR(H2113="",E2113="",C2113="",D2113=""),"",IF(C2113+D2113=0,"",(H2113*D2113+E2113*C2113)/(C2113+D2113)))</f>
        <v/>
      </c>
      <c r="J2113" s="59"/>
      <c r="K2113" s="61">
        <f>IF(OR(J2113="",I2113=""),"",J2113-I2113)</f>
        <v/>
      </c>
      <c r="L2113" s="61">
        <f>IF(OR(J2113="",G2113=""),"",J2113-G2113)</f>
        <v/>
      </c>
      <c r="M2113" s="59"/>
      <c r="N2113" s="59"/>
      <c r="O2113" s="59"/>
      <c r="P2113" s="59"/>
      <c r="Q2113" s="59"/>
      <c r="R2113" s="60">
        <f>IF(AND(P2113="",Q2113=""),"",N(P2113)+N(Q2113))</f>
        <v/>
      </c>
      <c r="S2113" s="59"/>
      <c r="T2113" s="59"/>
      <c r="U2113" s="62">
        <f>IF(OR(R2113="",S2113="",T2113=""),"",IF(S2113+T2113=0,"",R2113/(S2113+T2113)))</f>
        <v/>
      </c>
      <c r="V2113" s="63"/>
      <c r="W2113" s="64"/>
      <c r="X2113" s="63"/>
    </row>
    <row r="2114" spans="2:24">
      <c r="B2114" s="58"/>
      <c r="C2114" s="59"/>
      <c r="D2114" s="59"/>
      <c r="E2114" s="59"/>
      <c r="F2114" s="59"/>
      <c r="G2114" s="60">
        <f>IF(OR(E2114="",F2114="",C2114="",D2114=""),"",IF(C2114+D2114=0,"",(E2114*C2114+F2114*D2114)/(C2114+D2114)))</f>
        <v/>
      </c>
      <c r="H2114" s="59"/>
      <c r="I2114" s="60">
        <f>IF(OR(H2114="",E2114="",C2114="",D2114=""),"",IF(C2114+D2114=0,"",(H2114*D2114+E2114*C2114)/(C2114+D2114)))</f>
        <v/>
      </c>
      <c r="J2114" s="59"/>
      <c r="K2114" s="61">
        <f>IF(OR(J2114="",I2114=""),"",J2114-I2114)</f>
        <v/>
      </c>
      <c r="L2114" s="61">
        <f>IF(OR(J2114="",G2114=""),"",J2114-G2114)</f>
        <v/>
      </c>
      <c r="M2114" s="59"/>
      <c r="N2114" s="59"/>
      <c r="O2114" s="59"/>
      <c r="P2114" s="59"/>
      <c r="Q2114" s="59"/>
      <c r="R2114" s="60">
        <f>IF(AND(P2114="",Q2114=""),"",N(P2114)+N(Q2114))</f>
        <v/>
      </c>
      <c r="S2114" s="59"/>
      <c r="T2114" s="59"/>
      <c r="U2114" s="62">
        <f>IF(OR(R2114="",S2114="",T2114=""),"",IF(S2114+T2114=0,"",R2114/(S2114+T2114)))</f>
        <v/>
      </c>
      <c r="V2114" s="63"/>
      <c r="W2114" s="64"/>
      <c r="X2114" s="63"/>
    </row>
    <row r="2115" spans="2:24">
      <c r="B2115" s="58"/>
      <c r="C2115" s="59"/>
      <c r="D2115" s="59"/>
      <c r="E2115" s="59"/>
      <c r="F2115" s="59"/>
      <c r="G2115" s="60">
        <f>IF(OR(E2115="",F2115="",C2115="",D2115=""),"",IF(C2115+D2115=0,"",(E2115*C2115+F2115*D2115)/(C2115+D2115)))</f>
        <v/>
      </c>
      <c r="H2115" s="59"/>
      <c r="I2115" s="60">
        <f>IF(OR(H2115="",E2115="",C2115="",D2115=""),"",IF(C2115+D2115=0,"",(H2115*D2115+E2115*C2115)/(C2115+D2115)))</f>
        <v/>
      </c>
      <c r="J2115" s="59"/>
      <c r="K2115" s="61">
        <f>IF(OR(J2115="",I2115=""),"",J2115-I2115)</f>
        <v/>
      </c>
      <c r="L2115" s="61">
        <f>IF(OR(J2115="",G2115=""),"",J2115-G2115)</f>
        <v/>
      </c>
      <c r="M2115" s="59"/>
      <c r="N2115" s="59"/>
      <c r="O2115" s="59"/>
      <c r="P2115" s="59"/>
      <c r="Q2115" s="59"/>
      <c r="R2115" s="60">
        <f>IF(AND(P2115="",Q2115=""),"",N(P2115)+N(Q2115))</f>
        <v/>
      </c>
      <c r="S2115" s="59"/>
      <c r="T2115" s="59"/>
      <c r="U2115" s="62">
        <f>IF(OR(R2115="",S2115="",T2115=""),"",IF(S2115+T2115=0,"",R2115/(S2115+T2115)))</f>
        <v/>
      </c>
      <c r="V2115" s="63"/>
      <c r="W2115" s="64"/>
      <c r="X2115" s="63"/>
    </row>
    <row r="2116" spans="2:24">
      <c r="B2116" s="58"/>
      <c r="C2116" s="59"/>
      <c r="D2116" s="59"/>
      <c r="E2116" s="59"/>
      <c r="F2116" s="59"/>
      <c r="G2116" s="60">
        <f>IF(OR(E2116="",F2116="",C2116="",D2116=""),"",IF(C2116+D2116=0,"",(E2116*C2116+F2116*D2116)/(C2116+D2116)))</f>
        <v/>
      </c>
      <c r="H2116" s="59"/>
      <c r="I2116" s="60">
        <f>IF(OR(H2116="",E2116="",C2116="",D2116=""),"",IF(C2116+D2116=0,"",(H2116*D2116+E2116*C2116)/(C2116+D2116)))</f>
        <v/>
      </c>
      <c r="J2116" s="59"/>
      <c r="K2116" s="61">
        <f>IF(OR(J2116="",I2116=""),"",J2116-I2116)</f>
        <v/>
      </c>
      <c r="L2116" s="61">
        <f>IF(OR(J2116="",G2116=""),"",J2116-G2116)</f>
        <v/>
      </c>
      <c r="M2116" s="59"/>
      <c r="N2116" s="59"/>
      <c r="O2116" s="59"/>
      <c r="P2116" s="59"/>
      <c r="Q2116" s="59"/>
      <c r="R2116" s="60">
        <f>IF(AND(P2116="",Q2116=""),"",N(P2116)+N(Q2116))</f>
        <v/>
      </c>
      <c r="S2116" s="59"/>
      <c r="T2116" s="59"/>
      <c r="U2116" s="62">
        <f>IF(OR(R2116="",S2116="",T2116=""),"",IF(S2116+T2116=0,"",R2116/(S2116+T2116)))</f>
        <v/>
      </c>
      <c r="V2116" s="63"/>
      <c r="W2116" s="64"/>
      <c r="X2116" s="63"/>
    </row>
    <row r="2117" spans="2:24">
      <c r="B2117" s="58"/>
      <c r="C2117" s="59"/>
      <c r="D2117" s="59"/>
      <c r="E2117" s="59"/>
      <c r="F2117" s="59"/>
      <c r="G2117" s="60">
        <f>IF(OR(E2117="",F2117="",C2117="",D2117=""),"",IF(C2117+D2117=0,"",(E2117*C2117+F2117*D2117)/(C2117+D2117)))</f>
        <v/>
      </c>
      <c r="H2117" s="59"/>
      <c r="I2117" s="60">
        <f>IF(OR(H2117="",E2117="",C2117="",D2117=""),"",IF(C2117+D2117=0,"",(H2117*D2117+E2117*C2117)/(C2117+D2117)))</f>
        <v/>
      </c>
      <c r="J2117" s="59"/>
      <c r="K2117" s="61">
        <f>IF(OR(J2117="",I2117=""),"",J2117-I2117)</f>
        <v/>
      </c>
      <c r="L2117" s="61">
        <f>IF(OR(J2117="",G2117=""),"",J2117-G2117)</f>
        <v/>
      </c>
      <c r="M2117" s="59"/>
      <c r="N2117" s="59"/>
      <c r="O2117" s="59"/>
      <c r="P2117" s="59"/>
      <c r="Q2117" s="59"/>
      <c r="R2117" s="60">
        <f>IF(AND(P2117="",Q2117=""),"",N(P2117)+N(Q2117))</f>
        <v/>
      </c>
      <c r="S2117" s="59"/>
      <c r="T2117" s="59"/>
      <c r="U2117" s="62">
        <f>IF(OR(R2117="",S2117="",T2117=""),"",IF(S2117+T2117=0,"",R2117/(S2117+T2117)))</f>
        <v/>
      </c>
      <c r="V2117" s="63"/>
      <c r="W2117" s="64"/>
      <c r="X2117" s="63"/>
    </row>
    <row r="2118" spans="2:24">
      <c r="B2118" s="58"/>
      <c r="C2118" s="59"/>
      <c r="D2118" s="59"/>
      <c r="E2118" s="59"/>
      <c r="F2118" s="59"/>
      <c r="G2118" s="60">
        <f>IF(OR(E2118="",F2118="",C2118="",D2118=""),"",IF(C2118+D2118=0,"",(E2118*C2118+F2118*D2118)/(C2118+D2118)))</f>
        <v/>
      </c>
      <c r="H2118" s="59"/>
      <c r="I2118" s="60">
        <f>IF(OR(H2118="",E2118="",C2118="",D2118=""),"",IF(C2118+D2118=0,"",(H2118*D2118+E2118*C2118)/(C2118+D2118)))</f>
        <v/>
      </c>
      <c r="J2118" s="59"/>
      <c r="K2118" s="61">
        <f>IF(OR(J2118="",I2118=""),"",J2118-I2118)</f>
        <v/>
      </c>
      <c r="L2118" s="61">
        <f>IF(OR(J2118="",G2118=""),"",J2118-G2118)</f>
        <v/>
      </c>
      <c r="M2118" s="59"/>
      <c r="N2118" s="59"/>
      <c r="O2118" s="59"/>
      <c r="P2118" s="59"/>
      <c r="Q2118" s="59"/>
      <c r="R2118" s="60">
        <f>IF(AND(P2118="",Q2118=""),"",N(P2118)+N(Q2118))</f>
        <v/>
      </c>
      <c r="S2118" s="59"/>
      <c r="T2118" s="59"/>
      <c r="U2118" s="62">
        <f>IF(OR(R2118="",S2118="",T2118=""),"",IF(S2118+T2118=0,"",R2118/(S2118+T2118)))</f>
        <v/>
      </c>
      <c r="V2118" s="63"/>
      <c r="W2118" s="64"/>
      <c r="X2118" s="63"/>
    </row>
    <row r="2119" spans="2:24">
      <c r="B2119" s="58"/>
      <c r="C2119" s="59"/>
      <c r="D2119" s="59"/>
      <c r="E2119" s="59"/>
      <c r="F2119" s="59"/>
      <c r="G2119" s="60">
        <f>IF(OR(E2119="",F2119="",C2119="",D2119=""),"",IF(C2119+D2119=0,"",(E2119*C2119+F2119*D2119)/(C2119+D2119)))</f>
        <v/>
      </c>
      <c r="H2119" s="59"/>
      <c r="I2119" s="60">
        <f>IF(OR(H2119="",E2119="",C2119="",D2119=""),"",IF(C2119+D2119=0,"",(H2119*D2119+E2119*C2119)/(C2119+D2119)))</f>
        <v/>
      </c>
      <c r="J2119" s="59"/>
      <c r="K2119" s="61">
        <f>IF(OR(J2119="",I2119=""),"",J2119-I2119)</f>
        <v/>
      </c>
      <c r="L2119" s="61">
        <f>IF(OR(J2119="",G2119=""),"",J2119-G2119)</f>
        <v/>
      </c>
      <c r="M2119" s="59"/>
      <c r="N2119" s="59"/>
      <c r="O2119" s="59"/>
      <c r="P2119" s="59"/>
      <c r="Q2119" s="59"/>
      <c r="R2119" s="60">
        <f>IF(AND(P2119="",Q2119=""),"",N(P2119)+N(Q2119))</f>
        <v/>
      </c>
      <c r="S2119" s="59"/>
      <c r="T2119" s="59"/>
      <c r="U2119" s="62">
        <f>IF(OR(R2119="",S2119="",T2119=""),"",IF(S2119+T2119=0,"",R2119/(S2119+T2119)))</f>
        <v/>
      </c>
      <c r="V2119" s="63"/>
      <c r="W2119" s="64"/>
      <c r="X2119" s="63"/>
    </row>
    <row r="2120" spans="2:24">
      <c r="B2120" s="58"/>
      <c r="C2120" s="59"/>
      <c r="D2120" s="59"/>
      <c r="E2120" s="59"/>
      <c r="F2120" s="59"/>
      <c r="G2120" s="60">
        <f>IF(OR(E2120="",F2120="",C2120="",D2120=""),"",IF(C2120+D2120=0,"",(E2120*C2120+F2120*D2120)/(C2120+D2120)))</f>
        <v/>
      </c>
      <c r="H2120" s="59"/>
      <c r="I2120" s="60">
        <f>IF(OR(H2120="",E2120="",C2120="",D2120=""),"",IF(C2120+D2120=0,"",(H2120*D2120+E2120*C2120)/(C2120+D2120)))</f>
        <v/>
      </c>
      <c r="J2120" s="59"/>
      <c r="K2120" s="61">
        <f>IF(OR(J2120="",I2120=""),"",J2120-I2120)</f>
        <v/>
      </c>
      <c r="L2120" s="61">
        <f>IF(OR(J2120="",G2120=""),"",J2120-G2120)</f>
        <v/>
      </c>
      <c r="M2120" s="59"/>
      <c r="N2120" s="59"/>
      <c r="O2120" s="59"/>
      <c r="P2120" s="59"/>
      <c r="Q2120" s="59"/>
      <c r="R2120" s="60">
        <f>IF(AND(P2120="",Q2120=""),"",N(P2120)+N(Q2120))</f>
        <v/>
      </c>
      <c r="S2120" s="59"/>
      <c r="T2120" s="59"/>
      <c r="U2120" s="62">
        <f>IF(OR(R2120="",S2120="",T2120=""),"",IF(S2120+T2120=0,"",R2120/(S2120+T2120)))</f>
        <v/>
      </c>
      <c r="V2120" s="63"/>
      <c r="W2120" s="64"/>
      <c r="X2120" s="63"/>
    </row>
    <row r="2121" spans="2:24">
      <c r="B2121" s="58"/>
      <c r="C2121" s="59"/>
      <c r="D2121" s="59"/>
      <c r="E2121" s="59"/>
      <c r="F2121" s="59"/>
      <c r="G2121" s="60">
        <f>IF(OR(E2121="",F2121="",C2121="",D2121=""),"",IF(C2121+D2121=0,"",(E2121*C2121+F2121*D2121)/(C2121+D2121)))</f>
        <v/>
      </c>
      <c r="H2121" s="59"/>
      <c r="I2121" s="60">
        <f>IF(OR(H2121="",E2121="",C2121="",D2121=""),"",IF(C2121+D2121=0,"",(H2121*D2121+E2121*C2121)/(C2121+D2121)))</f>
        <v/>
      </c>
      <c r="J2121" s="59"/>
      <c r="K2121" s="61">
        <f>IF(OR(J2121="",I2121=""),"",J2121-I2121)</f>
        <v/>
      </c>
      <c r="L2121" s="61">
        <f>IF(OR(J2121="",G2121=""),"",J2121-G2121)</f>
        <v/>
      </c>
      <c r="M2121" s="59"/>
      <c r="N2121" s="59"/>
      <c r="O2121" s="59"/>
      <c r="P2121" s="59"/>
      <c r="Q2121" s="59"/>
      <c r="R2121" s="60">
        <f>IF(AND(P2121="",Q2121=""),"",N(P2121)+N(Q2121))</f>
        <v/>
      </c>
      <c r="S2121" s="59"/>
      <c r="T2121" s="59"/>
      <c r="U2121" s="62">
        <f>IF(OR(R2121="",S2121="",T2121=""),"",IF(S2121+T2121=0,"",R2121/(S2121+T2121)))</f>
        <v/>
      </c>
      <c r="V2121" s="63"/>
      <c r="W2121" s="64"/>
      <c r="X2121" s="63"/>
    </row>
    <row r="2122" spans="2:24">
      <c r="B2122" s="58"/>
      <c r="C2122" s="59"/>
      <c r="D2122" s="59"/>
      <c r="E2122" s="59"/>
      <c r="F2122" s="59"/>
      <c r="G2122" s="60">
        <f>IF(OR(E2122="",F2122="",C2122="",D2122=""),"",IF(C2122+D2122=0,"",(E2122*C2122+F2122*D2122)/(C2122+D2122)))</f>
        <v/>
      </c>
      <c r="H2122" s="59"/>
      <c r="I2122" s="60">
        <f>IF(OR(H2122="",E2122="",C2122="",D2122=""),"",IF(C2122+D2122=0,"",(H2122*D2122+E2122*C2122)/(C2122+D2122)))</f>
        <v/>
      </c>
      <c r="J2122" s="59"/>
      <c r="K2122" s="61">
        <f>IF(OR(J2122="",I2122=""),"",J2122-I2122)</f>
        <v/>
      </c>
      <c r="L2122" s="61">
        <f>IF(OR(J2122="",G2122=""),"",J2122-G2122)</f>
        <v/>
      </c>
      <c r="M2122" s="59"/>
      <c r="N2122" s="59"/>
      <c r="O2122" s="59"/>
      <c r="P2122" s="59"/>
      <c r="Q2122" s="59"/>
      <c r="R2122" s="60">
        <f>IF(AND(P2122="",Q2122=""),"",N(P2122)+N(Q2122))</f>
        <v/>
      </c>
      <c r="S2122" s="59"/>
      <c r="T2122" s="59"/>
      <c r="U2122" s="62">
        <f>IF(OR(R2122="",S2122="",T2122=""),"",IF(S2122+T2122=0,"",R2122/(S2122+T2122)))</f>
        <v/>
      </c>
      <c r="V2122" s="63"/>
      <c r="W2122" s="64"/>
      <c r="X2122" s="63"/>
    </row>
    <row r="2123" spans="2:24">
      <c r="B2123" s="58"/>
      <c r="C2123" s="59"/>
      <c r="D2123" s="59"/>
      <c r="E2123" s="59"/>
      <c r="F2123" s="59"/>
      <c r="G2123" s="60">
        <f>IF(OR(E2123="",F2123="",C2123="",D2123=""),"",IF(C2123+D2123=0,"",(E2123*C2123+F2123*D2123)/(C2123+D2123)))</f>
        <v/>
      </c>
      <c r="H2123" s="59"/>
      <c r="I2123" s="60">
        <f>IF(OR(H2123="",E2123="",C2123="",D2123=""),"",IF(C2123+D2123=0,"",(H2123*D2123+E2123*C2123)/(C2123+D2123)))</f>
        <v/>
      </c>
      <c r="J2123" s="59"/>
      <c r="K2123" s="61">
        <f>IF(OR(J2123="",I2123=""),"",J2123-I2123)</f>
        <v/>
      </c>
      <c r="L2123" s="61">
        <f>IF(OR(J2123="",G2123=""),"",J2123-G2123)</f>
        <v/>
      </c>
      <c r="M2123" s="59"/>
      <c r="N2123" s="59"/>
      <c r="O2123" s="59"/>
      <c r="P2123" s="59"/>
      <c r="Q2123" s="59"/>
      <c r="R2123" s="60">
        <f>IF(AND(P2123="",Q2123=""),"",N(P2123)+N(Q2123))</f>
        <v/>
      </c>
      <c r="S2123" s="59"/>
      <c r="T2123" s="59"/>
      <c r="U2123" s="62">
        <f>IF(OR(R2123="",S2123="",T2123=""),"",IF(S2123+T2123=0,"",R2123/(S2123+T2123)))</f>
        <v/>
      </c>
      <c r="V2123" s="63"/>
      <c r="W2123" s="64"/>
      <c r="X2123" s="63"/>
    </row>
    <row r="2124" spans="2:24">
      <c r="B2124" s="58"/>
      <c r="C2124" s="59"/>
      <c r="D2124" s="59"/>
      <c r="E2124" s="59"/>
      <c r="F2124" s="59"/>
      <c r="G2124" s="60">
        <f>IF(OR(E2124="",F2124="",C2124="",D2124=""),"",IF(C2124+D2124=0,"",(E2124*C2124+F2124*D2124)/(C2124+D2124)))</f>
        <v/>
      </c>
      <c r="H2124" s="59"/>
      <c r="I2124" s="60">
        <f>IF(OR(H2124="",E2124="",C2124="",D2124=""),"",IF(C2124+D2124=0,"",(H2124*D2124+E2124*C2124)/(C2124+D2124)))</f>
        <v/>
      </c>
      <c r="J2124" s="59"/>
      <c r="K2124" s="61">
        <f>IF(OR(J2124="",I2124=""),"",J2124-I2124)</f>
        <v/>
      </c>
      <c r="L2124" s="61">
        <f>IF(OR(J2124="",G2124=""),"",J2124-G2124)</f>
        <v/>
      </c>
      <c r="M2124" s="59"/>
      <c r="N2124" s="59"/>
      <c r="O2124" s="59"/>
      <c r="P2124" s="59"/>
      <c r="Q2124" s="59"/>
      <c r="R2124" s="60">
        <f>IF(AND(P2124="",Q2124=""),"",N(P2124)+N(Q2124))</f>
        <v/>
      </c>
      <c r="S2124" s="59"/>
      <c r="T2124" s="59"/>
      <c r="U2124" s="62">
        <f>IF(OR(R2124="",S2124="",T2124=""),"",IF(S2124+T2124=0,"",R2124/(S2124+T2124)))</f>
        <v/>
      </c>
      <c r="V2124" s="63"/>
      <c r="W2124" s="64"/>
      <c r="X2124" s="63"/>
    </row>
    <row r="2125" spans="2:24">
      <c r="B2125" s="58"/>
      <c r="C2125" s="59"/>
      <c r="D2125" s="59"/>
      <c r="E2125" s="59"/>
      <c r="F2125" s="59"/>
      <c r="G2125" s="60">
        <f>IF(OR(E2125="",F2125="",C2125="",D2125=""),"",IF(C2125+D2125=0,"",(E2125*C2125+F2125*D2125)/(C2125+D2125)))</f>
        <v/>
      </c>
      <c r="H2125" s="59"/>
      <c r="I2125" s="60">
        <f>IF(OR(H2125="",E2125="",C2125="",D2125=""),"",IF(C2125+D2125=0,"",(H2125*D2125+E2125*C2125)/(C2125+D2125)))</f>
        <v/>
      </c>
      <c r="J2125" s="59"/>
      <c r="K2125" s="61">
        <f>IF(OR(J2125="",I2125=""),"",J2125-I2125)</f>
        <v/>
      </c>
      <c r="L2125" s="61">
        <f>IF(OR(J2125="",G2125=""),"",J2125-G2125)</f>
        <v/>
      </c>
      <c r="M2125" s="59"/>
      <c r="N2125" s="59"/>
      <c r="O2125" s="59"/>
      <c r="P2125" s="59"/>
      <c r="Q2125" s="59"/>
      <c r="R2125" s="60">
        <f>IF(AND(P2125="",Q2125=""),"",N(P2125)+N(Q2125))</f>
        <v/>
      </c>
      <c r="S2125" s="59"/>
      <c r="T2125" s="59"/>
      <c r="U2125" s="62">
        <f>IF(OR(R2125="",S2125="",T2125=""),"",IF(S2125+T2125=0,"",R2125/(S2125+T2125)))</f>
        <v/>
      </c>
      <c r="V2125" s="63"/>
      <c r="W2125" s="64"/>
      <c r="X2125" s="63"/>
    </row>
    <row r="2126" spans="2:24">
      <c r="B2126" s="58"/>
      <c r="C2126" s="59"/>
      <c r="D2126" s="59"/>
      <c r="E2126" s="59"/>
      <c r="F2126" s="59"/>
      <c r="G2126" s="60">
        <f>IF(OR(E2126="",F2126="",C2126="",D2126=""),"",IF(C2126+D2126=0,"",(E2126*C2126+F2126*D2126)/(C2126+D2126)))</f>
        <v/>
      </c>
      <c r="H2126" s="59"/>
      <c r="I2126" s="60">
        <f>IF(OR(H2126="",E2126="",C2126="",D2126=""),"",IF(C2126+D2126=0,"",(H2126*D2126+E2126*C2126)/(C2126+D2126)))</f>
        <v/>
      </c>
      <c r="J2126" s="59"/>
      <c r="K2126" s="61">
        <f>IF(OR(J2126="",I2126=""),"",J2126-I2126)</f>
        <v/>
      </c>
      <c r="L2126" s="61">
        <f>IF(OR(J2126="",G2126=""),"",J2126-G2126)</f>
        <v/>
      </c>
      <c r="M2126" s="59"/>
      <c r="N2126" s="59"/>
      <c r="O2126" s="59"/>
      <c r="P2126" s="59"/>
      <c r="Q2126" s="59"/>
      <c r="R2126" s="60">
        <f>IF(AND(P2126="",Q2126=""),"",N(P2126)+N(Q2126))</f>
        <v/>
      </c>
      <c r="S2126" s="59"/>
      <c r="T2126" s="59"/>
      <c r="U2126" s="62">
        <f>IF(OR(R2126="",S2126="",T2126=""),"",IF(S2126+T2126=0,"",R2126/(S2126+T2126)))</f>
        <v/>
      </c>
      <c r="V2126" s="63"/>
      <c r="W2126" s="64"/>
      <c r="X2126" s="63"/>
    </row>
    <row r="2127" spans="2:24">
      <c r="B2127" s="58"/>
      <c r="C2127" s="59"/>
      <c r="D2127" s="59"/>
      <c r="E2127" s="59"/>
      <c r="F2127" s="59"/>
      <c r="G2127" s="60">
        <f>IF(OR(E2127="",F2127="",C2127="",D2127=""),"",IF(C2127+D2127=0,"",(E2127*C2127+F2127*D2127)/(C2127+D2127)))</f>
        <v/>
      </c>
      <c r="H2127" s="59"/>
      <c r="I2127" s="60">
        <f>IF(OR(H2127="",E2127="",C2127="",D2127=""),"",IF(C2127+D2127=0,"",(H2127*D2127+E2127*C2127)/(C2127+D2127)))</f>
        <v/>
      </c>
      <c r="J2127" s="59"/>
      <c r="K2127" s="61">
        <f>IF(OR(J2127="",I2127=""),"",J2127-I2127)</f>
        <v/>
      </c>
      <c r="L2127" s="61">
        <f>IF(OR(J2127="",G2127=""),"",J2127-G2127)</f>
        <v/>
      </c>
      <c r="M2127" s="59"/>
      <c r="N2127" s="59"/>
      <c r="O2127" s="59"/>
      <c r="P2127" s="59"/>
      <c r="Q2127" s="59"/>
      <c r="R2127" s="60">
        <f>IF(AND(P2127="",Q2127=""),"",N(P2127)+N(Q2127))</f>
        <v/>
      </c>
      <c r="S2127" s="59"/>
      <c r="T2127" s="59"/>
      <c r="U2127" s="62">
        <f>IF(OR(R2127="",S2127="",T2127=""),"",IF(S2127+T2127=0,"",R2127/(S2127+T2127)))</f>
        <v/>
      </c>
      <c r="V2127" s="63"/>
      <c r="W2127" s="64"/>
      <c r="X2127" s="63"/>
    </row>
    <row r="2128" spans="2:24">
      <c r="B2128" s="58"/>
      <c r="C2128" s="59"/>
      <c r="D2128" s="59"/>
      <c r="E2128" s="59"/>
      <c r="F2128" s="59"/>
      <c r="G2128" s="60">
        <f>IF(OR(E2128="",F2128="",C2128="",D2128=""),"",IF(C2128+D2128=0,"",(E2128*C2128+F2128*D2128)/(C2128+D2128)))</f>
        <v/>
      </c>
      <c r="H2128" s="59"/>
      <c r="I2128" s="60">
        <f>IF(OR(H2128="",E2128="",C2128="",D2128=""),"",IF(C2128+D2128=0,"",(H2128*D2128+E2128*C2128)/(C2128+D2128)))</f>
        <v/>
      </c>
      <c r="J2128" s="59"/>
      <c r="K2128" s="61">
        <f>IF(OR(J2128="",I2128=""),"",J2128-I2128)</f>
        <v/>
      </c>
      <c r="L2128" s="61">
        <f>IF(OR(J2128="",G2128=""),"",J2128-G2128)</f>
        <v/>
      </c>
      <c r="M2128" s="59"/>
      <c r="N2128" s="59"/>
      <c r="O2128" s="59"/>
      <c r="P2128" s="59"/>
      <c r="Q2128" s="59"/>
      <c r="R2128" s="60">
        <f>IF(AND(P2128="",Q2128=""),"",N(P2128)+N(Q2128))</f>
        <v/>
      </c>
      <c r="S2128" s="59"/>
      <c r="T2128" s="59"/>
      <c r="U2128" s="62">
        <f>IF(OR(R2128="",S2128="",T2128=""),"",IF(S2128+T2128=0,"",R2128/(S2128+T2128)))</f>
        <v/>
      </c>
      <c r="V2128" s="63"/>
      <c r="W2128" s="64"/>
      <c r="X2128" s="63"/>
    </row>
    <row r="2129" spans="2:24">
      <c r="B2129" s="58"/>
      <c r="C2129" s="59"/>
      <c r="D2129" s="59"/>
      <c r="E2129" s="59"/>
      <c r="F2129" s="59"/>
      <c r="G2129" s="60">
        <f>IF(OR(E2129="",F2129="",C2129="",D2129=""),"",IF(C2129+D2129=0,"",(E2129*C2129+F2129*D2129)/(C2129+D2129)))</f>
        <v/>
      </c>
      <c r="H2129" s="59"/>
      <c r="I2129" s="60">
        <f>IF(OR(H2129="",E2129="",C2129="",D2129=""),"",IF(C2129+D2129=0,"",(H2129*D2129+E2129*C2129)/(C2129+D2129)))</f>
        <v/>
      </c>
      <c r="J2129" s="59"/>
      <c r="K2129" s="61">
        <f>IF(OR(J2129="",I2129=""),"",J2129-I2129)</f>
        <v/>
      </c>
      <c r="L2129" s="61">
        <f>IF(OR(J2129="",G2129=""),"",J2129-G2129)</f>
        <v/>
      </c>
      <c r="M2129" s="59"/>
      <c r="N2129" s="59"/>
      <c r="O2129" s="59"/>
      <c r="P2129" s="59"/>
      <c r="Q2129" s="59"/>
      <c r="R2129" s="60">
        <f>IF(AND(P2129="",Q2129=""),"",N(P2129)+N(Q2129))</f>
        <v/>
      </c>
      <c r="S2129" s="59"/>
      <c r="T2129" s="59"/>
      <c r="U2129" s="62">
        <f>IF(OR(R2129="",S2129="",T2129=""),"",IF(S2129+T2129=0,"",R2129/(S2129+T2129)))</f>
        <v/>
      </c>
      <c r="V2129" s="63"/>
      <c r="W2129" s="64"/>
      <c r="X2129" s="63"/>
    </row>
    <row r="2130" spans="2:24">
      <c r="B2130" s="58"/>
      <c r="C2130" s="59"/>
      <c r="D2130" s="59"/>
      <c r="E2130" s="59"/>
      <c r="F2130" s="59"/>
      <c r="G2130" s="60">
        <f>IF(OR(E2130="",F2130="",C2130="",D2130=""),"",IF(C2130+D2130=0,"",(E2130*C2130+F2130*D2130)/(C2130+D2130)))</f>
        <v/>
      </c>
      <c r="H2130" s="59"/>
      <c r="I2130" s="60">
        <f>IF(OR(H2130="",E2130="",C2130="",D2130=""),"",IF(C2130+D2130=0,"",(H2130*D2130+E2130*C2130)/(C2130+D2130)))</f>
        <v/>
      </c>
      <c r="J2130" s="59"/>
      <c r="K2130" s="61">
        <f>IF(OR(J2130="",I2130=""),"",J2130-I2130)</f>
        <v/>
      </c>
      <c r="L2130" s="61">
        <f>IF(OR(J2130="",G2130=""),"",J2130-G2130)</f>
        <v/>
      </c>
      <c r="M2130" s="59"/>
      <c r="N2130" s="59"/>
      <c r="O2130" s="59"/>
      <c r="P2130" s="59"/>
      <c r="Q2130" s="59"/>
      <c r="R2130" s="60">
        <f>IF(AND(P2130="",Q2130=""),"",N(P2130)+N(Q2130))</f>
        <v/>
      </c>
      <c r="S2130" s="59"/>
      <c r="T2130" s="59"/>
      <c r="U2130" s="62">
        <f>IF(OR(R2130="",S2130="",T2130=""),"",IF(S2130+T2130=0,"",R2130/(S2130+T2130)))</f>
        <v/>
      </c>
      <c r="V2130" s="63"/>
      <c r="W2130" s="64"/>
      <c r="X2130" s="63"/>
    </row>
    <row r="2131" spans="2:24">
      <c r="B2131" s="58"/>
      <c r="C2131" s="59"/>
      <c r="D2131" s="59"/>
      <c r="E2131" s="59"/>
      <c r="F2131" s="59"/>
      <c r="G2131" s="60">
        <f>IF(OR(E2131="",F2131="",C2131="",D2131=""),"",IF(C2131+D2131=0,"",(E2131*C2131+F2131*D2131)/(C2131+D2131)))</f>
        <v/>
      </c>
      <c r="H2131" s="59"/>
      <c r="I2131" s="60">
        <f>IF(OR(H2131="",E2131="",C2131="",D2131=""),"",IF(C2131+D2131=0,"",(H2131*D2131+E2131*C2131)/(C2131+D2131)))</f>
        <v/>
      </c>
      <c r="J2131" s="59"/>
      <c r="K2131" s="61">
        <f>IF(OR(J2131="",I2131=""),"",J2131-I2131)</f>
        <v/>
      </c>
      <c r="L2131" s="61">
        <f>IF(OR(J2131="",G2131=""),"",J2131-G2131)</f>
        <v/>
      </c>
      <c r="M2131" s="59"/>
      <c r="N2131" s="59"/>
      <c r="O2131" s="59"/>
      <c r="P2131" s="59"/>
      <c r="Q2131" s="59"/>
      <c r="R2131" s="60">
        <f>IF(AND(P2131="",Q2131=""),"",N(P2131)+N(Q2131))</f>
        <v/>
      </c>
      <c r="S2131" s="59"/>
      <c r="T2131" s="59"/>
      <c r="U2131" s="62">
        <f>IF(OR(R2131="",S2131="",T2131=""),"",IF(S2131+T2131=0,"",R2131/(S2131+T2131)))</f>
        <v/>
      </c>
      <c r="V2131" s="63"/>
      <c r="W2131" s="64"/>
      <c r="X2131" s="63"/>
    </row>
    <row r="2132" spans="2:24">
      <c r="B2132" s="58"/>
      <c r="C2132" s="59"/>
      <c r="D2132" s="59"/>
      <c r="E2132" s="59"/>
      <c r="F2132" s="59"/>
      <c r="G2132" s="60">
        <f>IF(OR(E2132="",F2132="",C2132="",D2132=""),"",IF(C2132+D2132=0,"",(E2132*C2132+F2132*D2132)/(C2132+D2132)))</f>
        <v/>
      </c>
      <c r="H2132" s="59"/>
      <c r="I2132" s="60">
        <f>IF(OR(H2132="",E2132="",C2132="",D2132=""),"",IF(C2132+D2132=0,"",(H2132*D2132+E2132*C2132)/(C2132+D2132)))</f>
        <v/>
      </c>
      <c r="J2132" s="59"/>
      <c r="K2132" s="61">
        <f>IF(OR(J2132="",I2132=""),"",J2132-I2132)</f>
        <v/>
      </c>
      <c r="L2132" s="61">
        <f>IF(OR(J2132="",G2132=""),"",J2132-G2132)</f>
        <v/>
      </c>
      <c r="M2132" s="59"/>
      <c r="N2132" s="59"/>
      <c r="O2132" s="59"/>
      <c r="P2132" s="59"/>
      <c r="Q2132" s="59"/>
      <c r="R2132" s="60">
        <f>IF(AND(P2132="",Q2132=""),"",N(P2132)+N(Q2132))</f>
        <v/>
      </c>
      <c r="S2132" s="59"/>
      <c r="T2132" s="59"/>
      <c r="U2132" s="62">
        <f>IF(OR(R2132="",S2132="",T2132=""),"",IF(S2132+T2132=0,"",R2132/(S2132+T2132)))</f>
        <v/>
      </c>
      <c r="V2132" s="63"/>
      <c r="W2132" s="64"/>
      <c r="X2132" s="63"/>
    </row>
    <row r="2133" spans="2:24">
      <c r="B2133" s="58"/>
      <c r="C2133" s="59"/>
      <c r="D2133" s="59"/>
      <c r="E2133" s="59"/>
      <c r="F2133" s="59"/>
      <c r="G2133" s="60">
        <f>IF(OR(E2133="",F2133="",C2133="",D2133=""),"",IF(C2133+D2133=0,"",(E2133*C2133+F2133*D2133)/(C2133+D2133)))</f>
        <v/>
      </c>
      <c r="H2133" s="59"/>
      <c r="I2133" s="60">
        <f>IF(OR(H2133="",E2133="",C2133="",D2133=""),"",IF(C2133+D2133=0,"",(H2133*D2133+E2133*C2133)/(C2133+D2133)))</f>
        <v/>
      </c>
      <c r="J2133" s="59"/>
      <c r="K2133" s="61">
        <f>IF(OR(J2133="",I2133=""),"",J2133-I2133)</f>
        <v/>
      </c>
      <c r="L2133" s="61">
        <f>IF(OR(J2133="",G2133=""),"",J2133-G2133)</f>
        <v/>
      </c>
      <c r="M2133" s="59"/>
      <c r="N2133" s="59"/>
      <c r="O2133" s="59"/>
      <c r="P2133" s="59"/>
      <c r="Q2133" s="59"/>
      <c r="R2133" s="60">
        <f>IF(AND(P2133="",Q2133=""),"",N(P2133)+N(Q2133))</f>
        <v/>
      </c>
      <c r="S2133" s="59"/>
      <c r="T2133" s="59"/>
      <c r="U2133" s="62">
        <f>IF(OR(R2133="",S2133="",T2133=""),"",IF(S2133+T2133=0,"",R2133/(S2133+T2133)))</f>
        <v/>
      </c>
      <c r="V2133" s="63"/>
      <c r="W2133" s="64"/>
      <c r="X2133" s="63"/>
    </row>
    <row r="2134" spans="2:24">
      <c r="B2134" s="58"/>
      <c r="C2134" s="59"/>
      <c r="D2134" s="59"/>
      <c r="E2134" s="59"/>
      <c r="F2134" s="59"/>
      <c r="G2134" s="60">
        <f>IF(OR(E2134="",F2134="",C2134="",D2134=""),"",IF(C2134+D2134=0,"",(E2134*C2134+F2134*D2134)/(C2134+D2134)))</f>
        <v/>
      </c>
      <c r="H2134" s="59"/>
      <c r="I2134" s="60">
        <f>IF(OR(H2134="",E2134="",C2134="",D2134=""),"",IF(C2134+D2134=0,"",(H2134*D2134+E2134*C2134)/(C2134+D2134)))</f>
        <v/>
      </c>
      <c r="J2134" s="59"/>
      <c r="K2134" s="61">
        <f>IF(OR(J2134="",I2134=""),"",J2134-I2134)</f>
        <v/>
      </c>
      <c r="L2134" s="61">
        <f>IF(OR(J2134="",G2134=""),"",J2134-G2134)</f>
        <v/>
      </c>
      <c r="M2134" s="59"/>
      <c r="N2134" s="59"/>
      <c r="O2134" s="59"/>
      <c r="P2134" s="59"/>
      <c r="Q2134" s="59"/>
      <c r="R2134" s="60">
        <f>IF(AND(P2134="",Q2134=""),"",N(P2134)+N(Q2134))</f>
        <v/>
      </c>
      <c r="S2134" s="59"/>
      <c r="T2134" s="59"/>
      <c r="U2134" s="62">
        <f>IF(OR(R2134="",S2134="",T2134=""),"",IF(S2134+T2134=0,"",R2134/(S2134+T2134)))</f>
        <v/>
      </c>
      <c r="V2134" s="63"/>
      <c r="W2134" s="64"/>
      <c r="X2134" s="63"/>
    </row>
    <row r="2135" spans="2:24">
      <c r="B2135" s="58"/>
      <c r="C2135" s="59"/>
      <c r="D2135" s="59"/>
      <c r="E2135" s="59"/>
      <c r="F2135" s="59"/>
      <c r="G2135" s="60">
        <f>IF(OR(E2135="",F2135="",C2135="",D2135=""),"",IF(C2135+D2135=0,"",(E2135*C2135+F2135*D2135)/(C2135+D2135)))</f>
        <v/>
      </c>
      <c r="H2135" s="59"/>
      <c r="I2135" s="60">
        <f>IF(OR(H2135="",E2135="",C2135="",D2135=""),"",IF(C2135+D2135=0,"",(H2135*D2135+E2135*C2135)/(C2135+D2135)))</f>
        <v/>
      </c>
      <c r="J2135" s="59"/>
      <c r="K2135" s="61">
        <f>IF(OR(J2135="",I2135=""),"",J2135-I2135)</f>
        <v/>
      </c>
      <c r="L2135" s="61">
        <f>IF(OR(J2135="",G2135=""),"",J2135-G2135)</f>
        <v/>
      </c>
      <c r="M2135" s="59"/>
      <c r="N2135" s="59"/>
      <c r="O2135" s="59"/>
      <c r="P2135" s="59"/>
      <c r="Q2135" s="59"/>
      <c r="R2135" s="60">
        <f>IF(AND(P2135="",Q2135=""),"",N(P2135)+N(Q2135))</f>
        <v/>
      </c>
      <c r="S2135" s="59"/>
      <c r="T2135" s="59"/>
      <c r="U2135" s="62">
        <f>IF(OR(R2135="",S2135="",T2135=""),"",IF(S2135+T2135=0,"",R2135/(S2135+T2135)))</f>
        <v/>
      </c>
      <c r="V2135" s="63"/>
      <c r="W2135" s="64"/>
      <c r="X2135" s="63"/>
    </row>
    <row r="2136" spans="2:24">
      <c r="B2136" s="58"/>
      <c r="C2136" s="59"/>
      <c r="D2136" s="59"/>
      <c r="E2136" s="59"/>
      <c r="F2136" s="59"/>
      <c r="G2136" s="60">
        <f>IF(OR(E2136="",F2136="",C2136="",D2136=""),"",IF(C2136+D2136=0,"",(E2136*C2136+F2136*D2136)/(C2136+D2136)))</f>
        <v/>
      </c>
      <c r="H2136" s="59"/>
      <c r="I2136" s="60">
        <f>IF(OR(H2136="",E2136="",C2136="",D2136=""),"",IF(C2136+D2136=0,"",(H2136*D2136+E2136*C2136)/(C2136+D2136)))</f>
        <v/>
      </c>
      <c r="J2136" s="59"/>
      <c r="K2136" s="61">
        <f>IF(OR(J2136="",I2136=""),"",J2136-I2136)</f>
        <v/>
      </c>
      <c r="L2136" s="61">
        <f>IF(OR(J2136="",G2136=""),"",J2136-G2136)</f>
        <v/>
      </c>
      <c r="M2136" s="59"/>
      <c r="N2136" s="59"/>
      <c r="O2136" s="59"/>
      <c r="P2136" s="59"/>
      <c r="Q2136" s="59"/>
      <c r="R2136" s="60">
        <f>IF(AND(P2136="",Q2136=""),"",N(P2136)+N(Q2136))</f>
        <v/>
      </c>
      <c r="S2136" s="59"/>
      <c r="T2136" s="59"/>
      <c r="U2136" s="62">
        <f>IF(OR(R2136="",S2136="",T2136=""),"",IF(S2136+T2136=0,"",R2136/(S2136+T2136)))</f>
        <v/>
      </c>
      <c r="V2136" s="63"/>
      <c r="W2136" s="64"/>
      <c r="X2136" s="63"/>
    </row>
    <row r="2137" spans="2:24">
      <c r="B2137" s="58"/>
      <c r="C2137" s="59"/>
      <c r="D2137" s="59"/>
      <c r="E2137" s="59"/>
      <c r="F2137" s="59"/>
      <c r="G2137" s="60">
        <f>IF(OR(E2137="",F2137="",C2137="",D2137=""),"",IF(C2137+D2137=0,"",(E2137*C2137+F2137*D2137)/(C2137+D2137)))</f>
        <v/>
      </c>
      <c r="H2137" s="59"/>
      <c r="I2137" s="60">
        <f>IF(OR(H2137="",E2137="",C2137="",D2137=""),"",IF(C2137+D2137=0,"",(H2137*D2137+E2137*C2137)/(C2137+D2137)))</f>
        <v/>
      </c>
      <c r="J2137" s="59"/>
      <c r="K2137" s="61">
        <f>IF(OR(J2137="",I2137=""),"",J2137-I2137)</f>
        <v/>
      </c>
      <c r="L2137" s="61">
        <f>IF(OR(J2137="",G2137=""),"",J2137-G2137)</f>
        <v/>
      </c>
      <c r="M2137" s="59"/>
      <c r="N2137" s="59"/>
      <c r="O2137" s="59"/>
      <c r="P2137" s="59"/>
      <c r="Q2137" s="59"/>
      <c r="R2137" s="60">
        <f>IF(AND(P2137="",Q2137=""),"",N(P2137)+N(Q2137))</f>
        <v/>
      </c>
      <c r="S2137" s="59"/>
      <c r="T2137" s="59"/>
      <c r="U2137" s="62">
        <f>IF(OR(R2137="",S2137="",T2137=""),"",IF(S2137+T2137=0,"",R2137/(S2137+T2137)))</f>
        <v/>
      </c>
      <c r="V2137" s="63"/>
      <c r="W2137" s="64"/>
      <c r="X2137" s="63"/>
    </row>
    <row r="2138" spans="2:24">
      <c r="B2138" s="58"/>
      <c r="C2138" s="59"/>
      <c r="D2138" s="59"/>
      <c r="E2138" s="59"/>
      <c r="F2138" s="59"/>
      <c r="G2138" s="60">
        <f>IF(OR(E2138="",F2138="",C2138="",D2138=""),"",IF(C2138+D2138=0,"",(E2138*C2138+F2138*D2138)/(C2138+D2138)))</f>
        <v/>
      </c>
      <c r="H2138" s="59"/>
      <c r="I2138" s="60">
        <f>IF(OR(H2138="",E2138="",C2138="",D2138=""),"",IF(C2138+D2138=0,"",(H2138*D2138+E2138*C2138)/(C2138+D2138)))</f>
        <v/>
      </c>
      <c r="J2138" s="59"/>
      <c r="K2138" s="61">
        <f>IF(OR(J2138="",I2138=""),"",J2138-I2138)</f>
        <v/>
      </c>
      <c r="L2138" s="61">
        <f>IF(OR(J2138="",G2138=""),"",J2138-G2138)</f>
        <v/>
      </c>
      <c r="M2138" s="59"/>
      <c r="N2138" s="59"/>
      <c r="O2138" s="59"/>
      <c r="P2138" s="59"/>
      <c r="Q2138" s="59"/>
      <c r="R2138" s="60">
        <f>IF(AND(P2138="",Q2138=""),"",N(P2138)+N(Q2138))</f>
        <v/>
      </c>
      <c r="S2138" s="59"/>
      <c r="T2138" s="59"/>
      <c r="U2138" s="62">
        <f>IF(OR(R2138="",S2138="",T2138=""),"",IF(S2138+T2138=0,"",R2138/(S2138+T2138)))</f>
        <v/>
      </c>
      <c r="V2138" s="63"/>
      <c r="W2138" s="64"/>
      <c r="X2138" s="63"/>
    </row>
    <row r="2139" spans="2:24">
      <c r="B2139" s="58"/>
      <c r="C2139" s="59"/>
      <c r="D2139" s="59"/>
      <c r="E2139" s="59"/>
      <c r="F2139" s="59"/>
      <c r="G2139" s="60">
        <f>IF(OR(E2139="",F2139="",C2139="",D2139=""),"",IF(C2139+D2139=0,"",(E2139*C2139+F2139*D2139)/(C2139+D2139)))</f>
        <v/>
      </c>
      <c r="H2139" s="59"/>
      <c r="I2139" s="60">
        <f>IF(OR(H2139="",E2139="",C2139="",D2139=""),"",IF(C2139+D2139=0,"",(H2139*D2139+E2139*C2139)/(C2139+D2139)))</f>
        <v/>
      </c>
      <c r="J2139" s="59"/>
      <c r="K2139" s="61">
        <f>IF(OR(J2139="",I2139=""),"",J2139-I2139)</f>
        <v/>
      </c>
      <c r="L2139" s="61">
        <f>IF(OR(J2139="",G2139=""),"",J2139-G2139)</f>
        <v/>
      </c>
      <c r="M2139" s="59"/>
      <c r="N2139" s="59"/>
      <c r="O2139" s="59"/>
      <c r="P2139" s="59"/>
      <c r="Q2139" s="59"/>
      <c r="R2139" s="60">
        <f>IF(AND(P2139="",Q2139=""),"",N(P2139)+N(Q2139))</f>
        <v/>
      </c>
      <c r="S2139" s="59"/>
      <c r="T2139" s="59"/>
      <c r="U2139" s="62">
        <f>IF(OR(R2139="",S2139="",T2139=""),"",IF(S2139+T2139=0,"",R2139/(S2139+T2139)))</f>
        <v/>
      </c>
      <c r="V2139" s="63"/>
      <c r="W2139" s="64"/>
      <c r="X2139" s="63"/>
    </row>
    <row r="2140" spans="2:24">
      <c r="B2140" s="58"/>
      <c r="C2140" s="59"/>
      <c r="D2140" s="59"/>
      <c r="E2140" s="59"/>
      <c r="F2140" s="59"/>
      <c r="G2140" s="60">
        <f>IF(OR(E2140="",F2140="",C2140="",D2140=""),"",IF(C2140+D2140=0,"",(E2140*C2140+F2140*D2140)/(C2140+D2140)))</f>
        <v/>
      </c>
      <c r="H2140" s="59"/>
      <c r="I2140" s="60">
        <f>IF(OR(H2140="",E2140="",C2140="",D2140=""),"",IF(C2140+D2140=0,"",(H2140*D2140+E2140*C2140)/(C2140+D2140)))</f>
        <v/>
      </c>
      <c r="J2140" s="59"/>
      <c r="K2140" s="61">
        <f>IF(OR(J2140="",I2140=""),"",J2140-I2140)</f>
        <v/>
      </c>
      <c r="L2140" s="61">
        <f>IF(OR(J2140="",G2140=""),"",J2140-G2140)</f>
        <v/>
      </c>
      <c r="M2140" s="59"/>
      <c r="N2140" s="59"/>
      <c r="O2140" s="59"/>
      <c r="P2140" s="59"/>
      <c r="Q2140" s="59"/>
      <c r="R2140" s="60">
        <f>IF(AND(P2140="",Q2140=""),"",N(P2140)+N(Q2140))</f>
        <v/>
      </c>
      <c r="S2140" s="59"/>
      <c r="T2140" s="59"/>
      <c r="U2140" s="62">
        <f>IF(OR(R2140="",S2140="",T2140=""),"",IF(S2140+T2140=0,"",R2140/(S2140+T2140)))</f>
        <v/>
      </c>
      <c r="V2140" s="63"/>
      <c r="W2140" s="64"/>
      <c r="X2140" s="63"/>
    </row>
    <row r="2141" spans="2:24">
      <c r="B2141" s="58"/>
      <c r="C2141" s="59"/>
      <c r="D2141" s="59"/>
      <c r="E2141" s="59"/>
      <c r="F2141" s="59"/>
      <c r="G2141" s="60">
        <f>IF(OR(E2141="",F2141="",C2141="",D2141=""),"",IF(C2141+D2141=0,"",(E2141*C2141+F2141*D2141)/(C2141+D2141)))</f>
        <v/>
      </c>
      <c r="H2141" s="59"/>
      <c r="I2141" s="60">
        <f>IF(OR(H2141="",E2141="",C2141="",D2141=""),"",IF(C2141+D2141=0,"",(H2141*D2141+E2141*C2141)/(C2141+D2141)))</f>
        <v/>
      </c>
      <c r="J2141" s="59"/>
      <c r="K2141" s="61">
        <f>IF(OR(J2141="",I2141=""),"",J2141-I2141)</f>
        <v/>
      </c>
      <c r="L2141" s="61">
        <f>IF(OR(J2141="",G2141=""),"",J2141-G2141)</f>
        <v/>
      </c>
      <c r="M2141" s="59"/>
      <c r="N2141" s="59"/>
      <c r="O2141" s="59"/>
      <c r="P2141" s="59"/>
      <c r="Q2141" s="59"/>
      <c r="R2141" s="60">
        <f>IF(AND(P2141="",Q2141=""),"",N(P2141)+N(Q2141))</f>
        <v/>
      </c>
      <c r="S2141" s="59"/>
      <c r="T2141" s="59"/>
      <c r="U2141" s="62">
        <f>IF(OR(R2141="",S2141="",T2141=""),"",IF(S2141+T2141=0,"",R2141/(S2141+T2141)))</f>
        <v/>
      </c>
      <c r="V2141" s="63"/>
      <c r="W2141" s="64"/>
      <c r="X2141" s="63"/>
    </row>
    <row r="2142" spans="2:24">
      <c r="B2142" s="58"/>
      <c r="C2142" s="59"/>
      <c r="D2142" s="59"/>
      <c r="E2142" s="59"/>
      <c r="F2142" s="59"/>
      <c r="G2142" s="60">
        <f>IF(OR(E2142="",F2142="",C2142="",D2142=""),"",IF(C2142+D2142=0,"",(E2142*C2142+F2142*D2142)/(C2142+D2142)))</f>
        <v/>
      </c>
      <c r="H2142" s="59"/>
      <c r="I2142" s="60">
        <f>IF(OR(H2142="",E2142="",C2142="",D2142=""),"",IF(C2142+D2142=0,"",(H2142*D2142+E2142*C2142)/(C2142+D2142)))</f>
        <v/>
      </c>
      <c r="J2142" s="59"/>
      <c r="K2142" s="61">
        <f>IF(OR(J2142="",I2142=""),"",J2142-I2142)</f>
        <v/>
      </c>
      <c r="L2142" s="61">
        <f>IF(OR(J2142="",G2142=""),"",J2142-G2142)</f>
        <v/>
      </c>
      <c r="M2142" s="59"/>
      <c r="N2142" s="59"/>
      <c r="O2142" s="59"/>
      <c r="P2142" s="59"/>
      <c r="Q2142" s="59"/>
      <c r="R2142" s="60">
        <f>IF(AND(P2142="",Q2142=""),"",N(P2142)+N(Q2142))</f>
        <v/>
      </c>
      <c r="S2142" s="59"/>
      <c r="T2142" s="59"/>
      <c r="U2142" s="62">
        <f>IF(OR(R2142="",S2142="",T2142=""),"",IF(S2142+T2142=0,"",R2142/(S2142+T2142)))</f>
        <v/>
      </c>
      <c r="V2142" s="63"/>
      <c r="W2142" s="64"/>
      <c r="X2142" s="63"/>
    </row>
    <row r="2143" spans="2:24">
      <c r="B2143" s="58"/>
      <c r="C2143" s="59"/>
      <c r="D2143" s="59"/>
      <c r="E2143" s="59"/>
      <c r="F2143" s="59"/>
      <c r="G2143" s="60">
        <f>IF(OR(E2143="",F2143="",C2143="",D2143=""),"",IF(C2143+D2143=0,"",(E2143*C2143+F2143*D2143)/(C2143+D2143)))</f>
        <v/>
      </c>
      <c r="H2143" s="59"/>
      <c r="I2143" s="60">
        <f>IF(OR(H2143="",E2143="",C2143="",D2143=""),"",IF(C2143+D2143=0,"",(H2143*D2143+E2143*C2143)/(C2143+D2143)))</f>
        <v/>
      </c>
      <c r="J2143" s="59"/>
      <c r="K2143" s="61">
        <f>IF(OR(J2143="",I2143=""),"",J2143-I2143)</f>
        <v/>
      </c>
      <c r="L2143" s="61">
        <f>IF(OR(J2143="",G2143=""),"",J2143-G2143)</f>
        <v/>
      </c>
      <c r="M2143" s="59"/>
      <c r="N2143" s="59"/>
      <c r="O2143" s="59"/>
      <c r="P2143" s="59"/>
      <c r="Q2143" s="59"/>
      <c r="R2143" s="60">
        <f>IF(AND(P2143="",Q2143=""),"",N(P2143)+N(Q2143))</f>
        <v/>
      </c>
      <c r="S2143" s="59"/>
      <c r="T2143" s="59"/>
      <c r="U2143" s="62">
        <f>IF(OR(R2143="",S2143="",T2143=""),"",IF(S2143+T2143=0,"",R2143/(S2143+T2143)))</f>
        <v/>
      </c>
      <c r="V2143" s="63"/>
      <c r="W2143" s="64"/>
      <c r="X2143" s="63"/>
    </row>
    <row r="2144" spans="2:24">
      <c r="B2144" s="58"/>
      <c r="C2144" s="59"/>
      <c r="D2144" s="59"/>
      <c r="E2144" s="59"/>
      <c r="F2144" s="59"/>
      <c r="G2144" s="60">
        <f>IF(OR(E2144="",F2144="",C2144="",D2144=""),"",IF(C2144+D2144=0,"",(E2144*C2144+F2144*D2144)/(C2144+D2144)))</f>
        <v/>
      </c>
      <c r="H2144" s="59"/>
      <c r="I2144" s="60">
        <f>IF(OR(H2144="",E2144="",C2144="",D2144=""),"",IF(C2144+D2144=0,"",(H2144*D2144+E2144*C2144)/(C2144+D2144)))</f>
        <v/>
      </c>
      <c r="J2144" s="59"/>
      <c r="K2144" s="61">
        <f>IF(OR(J2144="",I2144=""),"",J2144-I2144)</f>
        <v/>
      </c>
      <c r="L2144" s="61">
        <f>IF(OR(J2144="",G2144=""),"",J2144-G2144)</f>
        <v/>
      </c>
      <c r="M2144" s="59"/>
      <c r="N2144" s="59"/>
      <c r="O2144" s="59"/>
      <c r="P2144" s="59"/>
      <c r="Q2144" s="59"/>
      <c r="R2144" s="60">
        <f>IF(AND(P2144="",Q2144=""),"",N(P2144)+N(Q2144))</f>
        <v/>
      </c>
      <c r="S2144" s="59"/>
      <c r="T2144" s="59"/>
      <c r="U2144" s="62">
        <f>IF(OR(R2144="",S2144="",T2144=""),"",IF(S2144+T2144=0,"",R2144/(S2144+T2144)))</f>
        <v/>
      </c>
      <c r="V2144" s="63"/>
      <c r="W2144" s="64"/>
      <c r="X2144" s="63"/>
    </row>
    <row r="2145" spans="2:24">
      <c r="B2145" s="58"/>
      <c r="C2145" s="59"/>
      <c r="D2145" s="59"/>
      <c r="E2145" s="59"/>
      <c r="F2145" s="59"/>
      <c r="G2145" s="60">
        <f>IF(OR(E2145="",F2145="",C2145="",D2145=""),"",IF(C2145+D2145=0,"",(E2145*C2145+F2145*D2145)/(C2145+D2145)))</f>
        <v/>
      </c>
      <c r="H2145" s="59"/>
      <c r="I2145" s="60">
        <f>IF(OR(H2145="",E2145="",C2145="",D2145=""),"",IF(C2145+D2145=0,"",(H2145*D2145+E2145*C2145)/(C2145+D2145)))</f>
        <v/>
      </c>
      <c r="J2145" s="59"/>
      <c r="K2145" s="61">
        <f>IF(OR(J2145="",I2145=""),"",J2145-I2145)</f>
        <v/>
      </c>
      <c r="L2145" s="61">
        <f>IF(OR(J2145="",G2145=""),"",J2145-G2145)</f>
        <v/>
      </c>
      <c r="M2145" s="59"/>
      <c r="N2145" s="59"/>
      <c r="O2145" s="59"/>
      <c r="P2145" s="59"/>
      <c r="Q2145" s="59"/>
      <c r="R2145" s="60">
        <f>IF(AND(P2145="",Q2145=""),"",N(P2145)+N(Q2145))</f>
        <v/>
      </c>
      <c r="S2145" s="59"/>
      <c r="T2145" s="59"/>
      <c r="U2145" s="62">
        <f>IF(OR(R2145="",S2145="",T2145=""),"",IF(S2145+T2145=0,"",R2145/(S2145+T2145)))</f>
        <v/>
      </c>
      <c r="V2145" s="63"/>
      <c r="W2145" s="64"/>
      <c r="X2145" s="63"/>
    </row>
    <row r="2146" spans="2:24">
      <c r="B2146" s="58"/>
      <c r="C2146" s="59"/>
      <c r="D2146" s="59"/>
      <c r="E2146" s="59"/>
      <c r="F2146" s="59"/>
      <c r="G2146" s="60">
        <f>IF(OR(E2146="",F2146="",C2146="",D2146=""),"",IF(C2146+D2146=0,"",(E2146*C2146+F2146*D2146)/(C2146+D2146)))</f>
        <v/>
      </c>
      <c r="H2146" s="59"/>
      <c r="I2146" s="60">
        <f>IF(OR(H2146="",E2146="",C2146="",D2146=""),"",IF(C2146+D2146=0,"",(H2146*D2146+E2146*C2146)/(C2146+D2146)))</f>
        <v/>
      </c>
      <c r="J2146" s="59"/>
      <c r="K2146" s="61">
        <f>IF(OR(J2146="",I2146=""),"",J2146-I2146)</f>
        <v/>
      </c>
      <c r="L2146" s="61">
        <f>IF(OR(J2146="",G2146=""),"",J2146-G2146)</f>
        <v/>
      </c>
      <c r="M2146" s="59"/>
      <c r="N2146" s="59"/>
      <c r="O2146" s="59"/>
      <c r="P2146" s="59"/>
      <c r="Q2146" s="59"/>
      <c r="R2146" s="60">
        <f>IF(AND(P2146="",Q2146=""),"",N(P2146)+N(Q2146))</f>
        <v/>
      </c>
      <c r="S2146" s="59"/>
      <c r="T2146" s="59"/>
      <c r="U2146" s="62">
        <f>IF(OR(R2146="",S2146="",T2146=""),"",IF(S2146+T2146=0,"",R2146/(S2146+T2146)))</f>
        <v/>
      </c>
      <c r="V2146" s="63"/>
      <c r="W2146" s="64"/>
      <c r="X2146" s="63"/>
    </row>
    <row r="2147" spans="2:24">
      <c r="B2147" s="58"/>
      <c r="C2147" s="59"/>
      <c r="D2147" s="59"/>
      <c r="E2147" s="59"/>
      <c r="F2147" s="59"/>
      <c r="G2147" s="60">
        <f>IF(OR(E2147="",F2147="",C2147="",D2147=""),"",IF(C2147+D2147=0,"",(E2147*C2147+F2147*D2147)/(C2147+D2147)))</f>
        <v/>
      </c>
      <c r="H2147" s="59"/>
      <c r="I2147" s="60">
        <f>IF(OR(H2147="",E2147="",C2147="",D2147=""),"",IF(C2147+D2147=0,"",(H2147*D2147+E2147*C2147)/(C2147+D2147)))</f>
        <v/>
      </c>
      <c r="J2147" s="59"/>
      <c r="K2147" s="61">
        <f>IF(OR(J2147="",I2147=""),"",J2147-I2147)</f>
        <v/>
      </c>
      <c r="L2147" s="61">
        <f>IF(OR(J2147="",G2147=""),"",J2147-G2147)</f>
        <v/>
      </c>
      <c r="M2147" s="59"/>
      <c r="N2147" s="59"/>
      <c r="O2147" s="59"/>
      <c r="P2147" s="59"/>
      <c r="Q2147" s="59"/>
      <c r="R2147" s="60">
        <f>IF(AND(P2147="",Q2147=""),"",N(P2147)+N(Q2147))</f>
        <v/>
      </c>
      <c r="S2147" s="59"/>
      <c r="T2147" s="59"/>
      <c r="U2147" s="62">
        <f>IF(OR(R2147="",S2147="",T2147=""),"",IF(S2147+T2147=0,"",R2147/(S2147+T2147)))</f>
        <v/>
      </c>
      <c r="V2147" s="63"/>
      <c r="W2147" s="64"/>
      <c r="X2147" s="63"/>
    </row>
    <row r="2148" spans="2:24">
      <c r="B2148" s="58"/>
      <c r="C2148" s="59"/>
      <c r="D2148" s="59"/>
      <c r="E2148" s="59"/>
      <c r="F2148" s="59"/>
      <c r="G2148" s="60">
        <f>IF(OR(E2148="",F2148="",C2148="",D2148=""),"",IF(C2148+D2148=0,"",(E2148*C2148+F2148*D2148)/(C2148+D2148)))</f>
        <v/>
      </c>
      <c r="H2148" s="59"/>
      <c r="I2148" s="60">
        <f>IF(OR(H2148="",E2148="",C2148="",D2148=""),"",IF(C2148+D2148=0,"",(H2148*D2148+E2148*C2148)/(C2148+D2148)))</f>
        <v/>
      </c>
      <c r="J2148" s="59"/>
      <c r="K2148" s="61">
        <f>IF(OR(J2148="",I2148=""),"",J2148-I2148)</f>
        <v/>
      </c>
      <c r="L2148" s="61">
        <f>IF(OR(J2148="",G2148=""),"",J2148-G2148)</f>
        <v/>
      </c>
      <c r="M2148" s="59"/>
      <c r="N2148" s="59"/>
      <c r="O2148" s="59"/>
      <c r="P2148" s="59"/>
      <c r="Q2148" s="59"/>
      <c r="R2148" s="60">
        <f>IF(AND(P2148="",Q2148=""),"",N(P2148)+N(Q2148))</f>
        <v/>
      </c>
      <c r="S2148" s="59"/>
      <c r="T2148" s="59"/>
      <c r="U2148" s="62">
        <f>IF(OR(R2148="",S2148="",T2148=""),"",IF(S2148+T2148=0,"",R2148/(S2148+T2148)))</f>
        <v/>
      </c>
      <c r="V2148" s="63"/>
      <c r="W2148" s="64"/>
      <c r="X2148" s="63"/>
    </row>
    <row r="2149" spans="2:24">
      <c r="B2149" s="58"/>
      <c r="C2149" s="59"/>
      <c r="D2149" s="59"/>
      <c r="E2149" s="59"/>
      <c r="F2149" s="59"/>
      <c r="G2149" s="60">
        <f>IF(OR(E2149="",F2149="",C2149="",D2149=""),"",IF(C2149+D2149=0,"",(E2149*C2149+F2149*D2149)/(C2149+D2149)))</f>
        <v/>
      </c>
      <c r="H2149" s="59"/>
      <c r="I2149" s="60">
        <f>IF(OR(H2149="",E2149="",C2149="",D2149=""),"",IF(C2149+D2149=0,"",(H2149*D2149+E2149*C2149)/(C2149+D2149)))</f>
        <v/>
      </c>
      <c r="J2149" s="59"/>
      <c r="K2149" s="61">
        <f>IF(OR(J2149="",I2149=""),"",J2149-I2149)</f>
        <v/>
      </c>
      <c r="L2149" s="61">
        <f>IF(OR(J2149="",G2149=""),"",J2149-G2149)</f>
        <v/>
      </c>
      <c r="M2149" s="59"/>
      <c r="N2149" s="59"/>
      <c r="O2149" s="59"/>
      <c r="P2149" s="59"/>
      <c r="Q2149" s="59"/>
      <c r="R2149" s="60">
        <f>IF(AND(P2149="",Q2149=""),"",N(P2149)+N(Q2149))</f>
        <v/>
      </c>
      <c r="S2149" s="59"/>
      <c r="T2149" s="59"/>
      <c r="U2149" s="62">
        <f>IF(OR(R2149="",S2149="",T2149=""),"",IF(S2149+T2149=0,"",R2149/(S2149+T2149)))</f>
        <v/>
      </c>
      <c r="V2149" s="63"/>
      <c r="W2149" s="64"/>
      <c r="X2149" s="63"/>
    </row>
    <row r="2150" spans="2:24">
      <c r="B2150" s="58"/>
      <c r="C2150" s="59"/>
      <c r="D2150" s="59"/>
      <c r="E2150" s="59"/>
      <c r="F2150" s="59"/>
      <c r="G2150" s="60">
        <f>IF(OR(E2150="",F2150="",C2150="",D2150=""),"",IF(C2150+D2150=0,"",(E2150*C2150+F2150*D2150)/(C2150+D2150)))</f>
        <v/>
      </c>
      <c r="H2150" s="59"/>
      <c r="I2150" s="60">
        <f>IF(OR(H2150="",E2150="",C2150="",D2150=""),"",IF(C2150+D2150=0,"",(H2150*D2150+E2150*C2150)/(C2150+D2150)))</f>
        <v/>
      </c>
      <c r="J2150" s="59"/>
      <c r="K2150" s="61">
        <f>IF(OR(J2150="",I2150=""),"",J2150-I2150)</f>
        <v/>
      </c>
      <c r="L2150" s="61">
        <f>IF(OR(J2150="",G2150=""),"",J2150-G2150)</f>
        <v/>
      </c>
      <c r="M2150" s="59"/>
      <c r="N2150" s="59"/>
      <c r="O2150" s="59"/>
      <c r="P2150" s="59"/>
      <c r="Q2150" s="59"/>
      <c r="R2150" s="60">
        <f>IF(AND(P2150="",Q2150=""),"",N(P2150)+N(Q2150))</f>
        <v/>
      </c>
      <c r="S2150" s="59"/>
      <c r="T2150" s="59"/>
      <c r="U2150" s="62">
        <f>IF(OR(R2150="",S2150="",T2150=""),"",IF(S2150+T2150=0,"",R2150/(S2150+T2150)))</f>
        <v/>
      </c>
      <c r="V2150" s="63"/>
      <c r="W2150" s="64"/>
      <c r="X2150" s="63"/>
    </row>
    <row r="2151" spans="2:24">
      <c r="B2151" s="58"/>
      <c r="C2151" s="59"/>
      <c r="D2151" s="59"/>
      <c r="E2151" s="59"/>
      <c r="F2151" s="59"/>
      <c r="G2151" s="60">
        <f>IF(OR(E2151="",F2151="",C2151="",D2151=""),"",IF(C2151+D2151=0,"",(E2151*C2151+F2151*D2151)/(C2151+D2151)))</f>
        <v/>
      </c>
      <c r="H2151" s="59"/>
      <c r="I2151" s="60">
        <f>IF(OR(H2151="",E2151="",C2151="",D2151=""),"",IF(C2151+D2151=0,"",(H2151*D2151+E2151*C2151)/(C2151+D2151)))</f>
        <v/>
      </c>
      <c r="J2151" s="59"/>
      <c r="K2151" s="61">
        <f>IF(OR(J2151="",I2151=""),"",J2151-I2151)</f>
        <v/>
      </c>
      <c r="L2151" s="61">
        <f>IF(OR(J2151="",G2151=""),"",J2151-G2151)</f>
        <v/>
      </c>
      <c r="M2151" s="59"/>
      <c r="N2151" s="59"/>
      <c r="O2151" s="59"/>
      <c r="P2151" s="59"/>
      <c r="Q2151" s="59"/>
      <c r="R2151" s="60">
        <f>IF(AND(P2151="",Q2151=""),"",N(P2151)+N(Q2151))</f>
        <v/>
      </c>
      <c r="S2151" s="59"/>
      <c r="T2151" s="59"/>
      <c r="U2151" s="62">
        <f>IF(OR(R2151="",S2151="",T2151=""),"",IF(S2151+T2151=0,"",R2151/(S2151+T2151)))</f>
        <v/>
      </c>
      <c r="V2151" s="63"/>
      <c r="W2151" s="64"/>
      <c r="X2151" s="63"/>
    </row>
    <row r="2152" spans="2:24">
      <c r="B2152" s="58"/>
      <c r="C2152" s="59"/>
      <c r="D2152" s="59"/>
      <c r="E2152" s="59"/>
      <c r="F2152" s="59"/>
      <c r="G2152" s="60">
        <f>IF(OR(E2152="",F2152="",C2152="",D2152=""),"",IF(C2152+D2152=0,"",(E2152*C2152+F2152*D2152)/(C2152+D2152)))</f>
        <v/>
      </c>
      <c r="H2152" s="59"/>
      <c r="I2152" s="60">
        <f>IF(OR(H2152="",E2152="",C2152="",D2152=""),"",IF(C2152+D2152=0,"",(H2152*D2152+E2152*C2152)/(C2152+D2152)))</f>
        <v/>
      </c>
      <c r="J2152" s="59"/>
      <c r="K2152" s="61">
        <f>IF(OR(J2152="",I2152=""),"",J2152-I2152)</f>
        <v/>
      </c>
      <c r="L2152" s="61">
        <f>IF(OR(J2152="",G2152=""),"",J2152-G2152)</f>
        <v/>
      </c>
      <c r="M2152" s="59"/>
      <c r="N2152" s="59"/>
      <c r="O2152" s="59"/>
      <c r="P2152" s="59"/>
      <c r="Q2152" s="59"/>
      <c r="R2152" s="60">
        <f>IF(AND(P2152="",Q2152=""),"",N(P2152)+N(Q2152))</f>
        <v/>
      </c>
      <c r="S2152" s="59"/>
      <c r="T2152" s="59"/>
      <c r="U2152" s="62">
        <f>IF(OR(R2152="",S2152="",T2152=""),"",IF(S2152+T2152=0,"",R2152/(S2152+T2152)))</f>
        <v/>
      </c>
      <c r="V2152" s="63"/>
      <c r="W2152" s="64"/>
      <c r="X2152" s="63"/>
    </row>
    <row r="2153" spans="2:24">
      <c r="B2153" s="58"/>
      <c r="C2153" s="59"/>
      <c r="D2153" s="59"/>
      <c r="E2153" s="59"/>
      <c r="F2153" s="59"/>
      <c r="G2153" s="60">
        <f>IF(OR(E2153="",F2153="",C2153="",D2153=""),"",IF(C2153+D2153=0,"",(E2153*C2153+F2153*D2153)/(C2153+D2153)))</f>
        <v/>
      </c>
      <c r="H2153" s="59"/>
      <c r="I2153" s="60">
        <f>IF(OR(H2153="",E2153="",C2153="",D2153=""),"",IF(C2153+D2153=0,"",(H2153*D2153+E2153*C2153)/(C2153+D2153)))</f>
        <v/>
      </c>
      <c r="J2153" s="59"/>
      <c r="K2153" s="61">
        <f>IF(OR(J2153="",I2153=""),"",J2153-I2153)</f>
        <v/>
      </c>
      <c r="L2153" s="61">
        <f>IF(OR(J2153="",G2153=""),"",J2153-G2153)</f>
        <v/>
      </c>
      <c r="M2153" s="59"/>
      <c r="N2153" s="59"/>
      <c r="O2153" s="59"/>
      <c r="P2153" s="59"/>
      <c r="Q2153" s="59"/>
      <c r="R2153" s="60">
        <f>IF(AND(P2153="",Q2153=""),"",N(P2153)+N(Q2153))</f>
        <v/>
      </c>
      <c r="S2153" s="59"/>
      <c r="T2153" s="59"/>
      <c r="U2153" s="62">
        <f>IF(OR(R2153="",S2153="",T2153=""),"",IF(S2153+T2153=0,"",R2153/(S2153+T2153)))</f>
        <v/>
      </c>
      <c r="V2153" s="63"/>
      <c r="W2153" s="64"/>
      <c r="X2153" s="63"/>
    </row>
    <row r="2154" spans="2:24">
      <c r="B2154" s="58"/>
      <c r="C2154" s="59"/>
      <c r="D2154" s="59"/>
      <c r="E2154" s="59"/>
      <c r="F2154" s="59"/>
      <c r="G2154" s="60">
        <f>IF(OR(E2154="",F2154="",C2154="",D2154=""),"",IF(C2154+D2154=0,"",(E2154*C2154+F2154*D2154)/(C2154+D2154)))</f>
        <v/>
      </c>
      <c r="H2154" s="59"/>
      <c r="I2154" s="60">
        <f>IF(OR(H2154="",E2154="",C2154="",D2154=""),"",IF(C2154+D2154=0,"",(H2154*D2154+E2154*C2154)/(C2154+D2154)))</f>
        <v/>
      </c>
      <c r="J2154" s="59"/>
      <c r="K2154" s="61">
        <f>IF(OR(J2154="",I2154=""),"",J2154-I2154)</f>
        <v/>
      </c>
      <c r="L2154" s="61">
        <f>IF(OR(J2154="",G2154=""),"",J2154-G2154)</f>
        <v/>
      </c>
      <c r="M2154" s="59"/>
      <c r="N2154" s="59"/>
      <c r="O2154" s="59"/>
      <c r="P2154" s="59"/>
      <c r="Q2154" s="59"/>
      <c r="R2154" s="60">
        <f>IF(AND(P2154="",Q2154=""),"",N(P2154)+N(Q2154))</f>
        <v/>
      </c>
      <c r="S2154" s="59"/>
      <c r="T2154" s="59"/>
      <c r="U2154" s="62">
        <f>IF(OR(R2154="",S2154="",T2154=""),"",IF(S2154+T2154=0,"",R2154/(S2154+T2154)))</f>
        <v/>
      </c>
      <c r="V2154" s="63"/>
      <c r="W2154" s="64"/>
      <c r="X2154" s="63"/>
    </row>
    <row r="2155" spans="2:24">
      <c r="B2155" s="58"/>
      <c r="C2155" s="59"/>
      <c r="D2155" s="59"/>
      <c r="E2155" s="59"/>
      <c r="F2155" s="59"/>
      <c r="G2155" s="60">
        <f>IF(OR(E2155="",F2155="",C2155="",D2155=""),"",IF(C2155+D2155=0,"",(E2155*C2155+F2155*D2155)/(C2155+D2155)))</f>
        <v/>
      </c>
      <c r="H2155" s="59"/>
      <c r="I2155" s="60">
        <f>IF(OR(H2155="",E2155="",C2155="",D2155=""),"",IF(C2155+D2155=0,"",(H2155*D2155+E2155*C2155)/(C2155+D2155)))</f>
        <v/>
      </c>
      <c r="J2155" s="59"/>
      <c r="K2155" s="61">
        <f>IF(OR(J2155="",I2155=""),"",J2155-I2155)</f>
        <v/>
      </c>
      <c r="L2155" s="61">
        <f>IF(OR(J2155="",G2155=""),"",J2155-G2155)</f>
        <v/>
      </c>
      <c r="M2155" s="59"/>
      <c r="N2155" s="59"/>
      <c r="O2155" s="59"/>
      <c r="P2155" s="59"/>
      <c r="Q2155" s="59"/>
      <c r="R2155" s="60">
        <f>IF(AND(P2155="",Q2155=""),"",N(P2155)+N(Q2155))</f>
        <v/>
      </c>
      <c r="S2155" s="59"/>
      <c r="T2155" s="59"/>
      <c r="U2155" s="62">
        <f>IF(OR(R2155="",S2155="",T2155=""),"",IF(S2155+T2155=0,"",R2155/(S2155+T2155)))</f>
        <v/>
      </c>
      <c r="V2155" s="63"/>
      <c r="W2155" s="64"/>
      <c r="X2155" s="63"/>
    </row>
    <row r="2156" spans="2:24">
      <c r="B2156" s="58"/>
      <c r="C2156" s="59"/>
      <c r="D2156" s="59"/>
      <c r="E2156" s="59"/>
      <c r="F2156" s="59"/>
      <c r="G2156" s="60">
        <f>IF(OR(E2156="",F2156="",C2156="",D2156=""),"",IF(C2156+D2156=0,"",(E2156*C2156+F2156*D2156)/(C2156+D2156)))</f>
        <v/>
      </c>
      <c r="H2156" s="59"/>
      <c r="I2156" s="60">
        <f>IF(OR(H2156="",E2156="",C2156="",D2156=""),"",IF(C2156+D2156=0,"",(H2156*D2156+E2156*C2156)/(C2156+D2156)))</f>
        <v/>
      </c>
      <c r="J2156" s="59"/>
      <c r="K2156" s="61">
        <f>IF(OR(J2156="",I2156=""),"",J2156-I2156)</f>
        <v/>
      </c>
      <c r="L2156" s="61">
        <f>IF(OR(J2156="",G2156=""),"",J2156-G2156)</f>
        <v/>
      </c>
      <c r="M2156" s="59"/>
      <c r="N2156" s="59"/>
      <c r="O2156" s="59"/>
      <c r="P2156" s="59"/>
      <c r="Q2156" s="59"/>
      <c r="R2156" s="60">
        <f>IF(AND(P2156="",Q2156=""),"",N(P2156)+N(Q2156))</f>
        <v/>
      </c>
      <c r="S2156" s="59"/>
      <c r="T2156" s="59"/>
      <c r="U2156" s="62">
        <f>IF(OR(R2156="",S2156="",T2156=""),"",IF(S2156+T2156=0,"",R2156/(S2156+T2156)))</f>
        <v/>
      </c>
      <c r="V2156" s="63"/>
      <c r="W2156" s="64"/>
      <c r="X2156" s="63"/>
    </row>
    <row r="2157" spans="2:24">
      <c r="B2157" s="58"/>
      <c r="C2157" s="59"/>
      <c r="D2157" s="59"/>
      <c r="E2157" s="59"/>
      <c r="F2157" s="59"/>
      <c r="G2157" s="60">
        <f>IF(OR(E2157="",F2157="",C2157="",D2157=""),"",IF(C2157+D2157=0,"",(E2157*C2157+F2157*D2157)/(C2157+D2157)))</f>
        <v/>
      </c>
      <c r="H2157" s="59"/>
      <c r="I2157" s="60">
        <f>IF(OR(H2157="",E2157="",C2157="",D2157=""),"",IF(C2157+D2157=0,"",(H2157*D2157+E2157*C2157)/(C2157+D2157)))</f>
        <v/>
      </c>
      <c r="J2157" s="59"/>
      <c r="K2157" s="61">
        <f>IF(OR(J2157="",I2157=""),"",J2157-I2157)</f>
        <v/>
      </c>
      <c r="L2157" s="61">
        <f>IF(OR(J2157="",G2157=""),"",J2157-G2157)</f>
        <v/>
      </c>
      <c r="M2157" s="59"/>
      <c r="N2157" s="59"/>
      <c r="O2157" s="59"/>
      <c r="P2157" s="59"/>
      <c r="Q2157" s="59"/>
      <c r="R2157" s="60">
        <f>IF(AND(P2157="",Q2157=""),"",N(P2157)+N(Q2157))</f>
        <v/>
      </c>
      <c r="S2157" s="59"/>
      <c r="T2157" s="59"/>
      <c r="U2157" s="62">
        <f>IF(OR(R2157="",S2157="",T2157=""),"",IF(S2157+T2157=0,"",R2157/(S2157+T2157)))</f>
        <v/>
      </c>
      <c r="V2157" s="63"/>
      <c r="W2157" s="64"/>
      <c r="X2157" s="63"/>
    </row>
    <row r="2158" spans="2:24">
      <c r="B2158" s="58"/>
      <c r="C2158" s="59"/>
      <c r="D2158" s="59"/>
      <c r="E2158" s="59"/>
      <c r="F2158" s="59"/>
      <c r="G2158" s="60">
        <f>IF(OR(E2158="",F2158="",C2158="",D2158=""),"",IF(C2158+D2158=0,"",(E2158*C2158+F2158*D2158)/(C2158+D2158)))</f>
        <v/>
      </c>
      <c r="H2158" s="59"/>
      <c r="I2158" s="60">
        <f>IF(OR(H2158="",E2158="",C2158="",D2158=""),"",IF(C2158+D2158=0,"",(H2158*D2158+E2158*C2158)/(C2158+D2158)))</f>
        <v/>
      </c>
      <c r="J2158" s="59"/>
      <c r="K2158" s="61">
        <f>IF(OR(J2158="",I2158=""),"",J2158-I2158)</f>
        <v/>
      </c>
      <c r="L2158" s="61">
        <f>IF(OR(J2158="",G2158=""),"",J2158-G2158)</f>
        <v/>
      </c>
      <c r="M2158" s="59"/>
      <c r="N2158" s="59"/>
      <c r="O2158" s="59"/>
      <c r="P2158" s="59"/>
      <c r="Q2158" s="59"/>
      <c r="R2158" s="60">
        <f>IF(AND(P2158="",Q2158=""),"",N(P2158)+N(Q2158))</f>
        <v/>
      </c>
      <c r="S2158" s="59"/>
      <c r="T2158" s="59"/>
      <c r="U2158" s="62">
        <f>IF(OR(R2158="",S2158="",T2158=""),"",IF(S2158+T2158=0,"",R2158/(S2158+T2158)))</f>
        <v/>
      </c>
      <c r="V2158" s="63"/>
      <c r="W2158" s="64"/>
      <c r="X2158" s="63"/>
    </row>
    <row r="2159" spans="2:24">
      <c r="B2159" s="58"/>
      <c r="C2159" s="59"/>
      <c r="D2159" s="59"/>
      <c r="E2159" s="59"/>
      <c r="F2159" s="59"/>
      <c r="G2159" s="60">
        <f>IF(OR(E2159="",F2159="",C2159="",D2159=""),"",IF(C2159+D2159=0,"",(E2159*C2159+F2159*D2159)/(C2159+D2159)))</f>
        <v/>
      </c>
      <c r="H2159" s="59"/>
      <c r="I2159" s="60">
        <f>IF(OR(H2159="",E2159="",C2159="",D2159=""),"",IF(C2159+D2159=0,"",(H2159*D2159+E2159*C2159)/(C2159+D2159)))</f>
        <v/>
      </c>
      <c r="J2159" s="59"/>
      <c r="K2159" s="61">
        <f>IF(OR(J2159="",I2159=""),"",J2159-I2159)</f>
        <v/>
      </c>
      <c r="L2159" s="61">
        <f>IF(OR(J2159="",G2159=""),"",J2159-G2159)</f>
        <v/>
      </c>
      <c r="M2159" s="59"/>
      <c r="N2159" s="59"/>
      <c r="O2159" s="59"/>
      <c r="P2159" s="59"/>
      <c r="Q2159" s="59"/>
      <c r="R2159" s="60">
        <f>IF(AND(P2159="",Q2159=""),"",N(P2159)+N(Q2159))</f>
        <v/>
      </c>
      <c r="S2159" s="59"/>
      <c r="T2159" s="59"/>
      <c r="U2159" s="62">
        <f>IF(OR(R2159="",S2159="",T2159=""),"",IF(S2159+T2159=0,"",R2159/(S2159+T2159)))</f>
        <v/>
      </c>
      <c r="V2159" s="63"/>
      <c r="W2159" s="64"/>
      <c r="X2159" s="63"/>
    </row>
    <row r="2160" spans="2:24">
      <c r="B2160" s="58"/>
      <c r="C2160" s="59"/>
      <c r="D2160" s="59"/>
      <c r="E2160" s="59"/>
      <c r="F2160" s="59"/>
      <c r="G2160" s="60">
        <f>IF(OR(E2160="",F2160="",C2160="",D2160=""),"",IF(C2160+D2160=0,"",(E2160*C2160+F2160*D2160)/(C2160+D2160)))</f>
        <v/>
      </c>
      <c r="H2160" s="59"/>
      <c r="I2160" s="60">
        <f>IF(OR(H2160="",E2160="",C2160="",D2160=""),"",IF(C2160+D2160=0,"",(H2160*D2160+E2160*C2160)/(C2160+D2160)))</f>
        <v/>
      </c>
      <c r="J2160" s="59"/>
      <c r="K2160" s="61">
        <f>IF(OR(J2160="",I2160=""),"",J2160-I2160)</f>
        <v/>
      </c>
      <c r="L2160" s="61">
        <f>IF(OR(J2160="",G2160=""),"",J2160-G2160)</f>
        <v/>
      </c>
      <c r="M2160" s="59"/>
      <c r="N2160" s="59"/>
      <c r="O2160" s="59"/>
      <c r="P2160" s="59"/>
      <c r="Q2160" s="59"/>
      <c r="R2160" s="60">
        <f>IF(AND(P2160="",Q2160=""),"",N(P2160)+N(Q2160))</f>
        <v/>
      </c>
      <c r="S2160" s="59"/>
      <c r="T2160" s="59"/>
      <c r="U2160" s="62">
        <f>IF(OR(R2160="",S2160="",T2160=""),"",IF(S2160+T2160=0,"",R2160/(S2160+T2160)))</f>
        <v/>
      </c>
      <c r="V2160" s="63"/>
      <c r="W2160" s="64"/>
      <c r="X2160" s="63"/>
    </row>
    <row r="2161" spans="2:24">
      <c r="B2161" s="58"/>
      <c r="C2161" s="59"/>
      <c r="D2161" s="59"/>
      <c r="E2161" s="59"/>
      <c r="F2161" s="59"/>
      <c r="G2161" s="60">
        <f>IF(OR(E2161="",F2161="",C2161="",D2161=""),"",IF(C2161+D2161=0,"",(E2161*C2161+F2161*D2161)/(C2161+D2161)))</f>
        <v/>
      </c>
      <c r="H2161" s="59"/>
      <c r="I2161" s="60">
        <f>IF(OR(H2161="",E2161="",C2161="",D2161=""),"",IF(C2161+D2161=0,"",(H2161*D2161+E2161*C2161)/(C2161+D2161)))</f>
        <v/>
      </c>
      <c r="J2161" s="59"/>
      <c r="K2161" s="61">
        <f>IF(OR(J2161="",I2161=""),"",J2161-I2161)</f>
        <v/>
      </c>
      <c r="L2161" s="61">
        <f>IF(OR(J2161="",G2161=""),"",J2161-G2161)</f>
        <v/>
      </c>
      <c r="M2161" s="59"/>
      <c r="N2161" s="59"/>
      <c r="O2161" s="59"/>
      <c r="P2161" s="59"/>
      <c r="Q2161" s="59"/>
      <c r="R2161" s="60">
        <f>IF(AND(P2161="",Q2161=""),"",N(P2161)+N(Q2161))</f>
        <v/>
      </c>
      <c r="S2161" s="59"/>
      <c r="T2161" s="59"/>
      <c r="U2161" s="62">
        <f>IF(OR(R2161="",S2161="",T2161=""),"",IF(S2161+T2161=0,"",R2161/(S2161+T2161)))</f>
        <v/>
      </c>
      <c r="V2161" s="63"/>
      <c r="W2161" s="64"/>
      <c r="X2161" s="63"/>
    </row>
    <row r="2162" spans="2:24">
      <c r="B2162" s="58"/>
      <c r="C2162" s="59"/>
      <c r="D2162" s="59"/>
      <c r="E2162" s="59"/>
      <c r="F2162" s="59"/>
      <c r="G2162" s="60">
        <f>IF(OR(E2162="",F2162="",C2162="",D2162=""),"",IF(C2162+D2162=0,"",(E2162*C2162+F2162*D2162)/(C2162+D2162)))</f>
        <v/>
      </c>
      <c r="H2162" s="59"/>
      <c r="I2162" s="60">
        <f>IF(OR(H2162="",E2162="",C2162="",D2162=""),"",IF(C2162+D2162=0,"",(H2162*D2162+E2162*C2162)/(C2162+D2162)))</f>
        <v/>
      </c>
      <c r="J2162" s="59"/>
      <c r="K2162" s="61">
        <f>IF(OR(J2162="",I2162=""),"",J2162-I2162)</f>
        <v/>
      </c>
      <c r="L2162" s="61">
        <f>IF(OR(J2162="",G2162=""),"",J2162-G2162)</f>
        <v/>
      </c>
      <c r="M2162" s="59"/>
      <c r="N2162" s="59"/>
      <c r="O2162" s="59"/>
      <c r="P2162" s="59"/>
      <c r="Q2162" s="59"/>
      <c r="R2162" s="60">
        <f>IF(AND(P2162="",Q2162=""),"",N(P2162)+N(Q2162))</f>
        <v/>
      </c>
      <c r="S2162" s="59"/>
      <c r="T2162" s="59"/>
      <c r="U2162" s="62">
        <f>IF(OR(R2162="",S2162="",T2162=""),"",IF(S2162+T2162=0,"",R2162/(S2162+T2162)))</f>
        <v/>
      </c>
      <c r="V2162" s="63"/>
      <c r="W2162" s="64"/>
      <c r="X2162" s="63"/>
    </row>
    <row r="2163" spans="2:24">
      <c r="B2163" s="58"/>
      <c r="C2163" s="59"/>
      <c r="D2163" s="59"/>
      <c r="E2163" s="59"/>
      <c r="F2163" s="59"/>
      <c r="G2163" s="60">
        <f>IF(OR(E2163="",F2163="",C2163="",D2163=""),"",IF(C2163+D2163=0,"",(E2163*C2163+F2163*D2163)/(C2163+D2163)))</f>
        <v/>
      </c>
      <c r="H2163" s="59"/>
      <c r="I2163" s="60">
        <f>IF(OR(H2163="",E2163="",C2163="",D2163=""),"",IF(C2163+D2163=0,"",(H2163*D2163+E2163*C2163)/(C2163+D2163)))</f>
        <v/>
      </c>
      <c r="J2163" s="59"/>
      <c r="K2163" s="61">
        <f>IF(OR(J2163="",I2163=""),"",J2163-I2163)</f>
        <v/>
      </c>
      <c r="L2163" s="61">
        <f>IF(OR(J2163="",G2163=""),"",J2163-G2163)</f>
        <v/>
      </c>
      <c r="M2163" s="59"/>
      <c r="N2163" s="59"/>
      <c r="O2163" s="59"/>
      <c r="P2163" s="59"/>
      <c r="Q2163" s="59"/>
      <c r="R2163" s="60">
        <f>IF(AND(P2163="",Q2163=""),"",N(P2163)+N(Q2163))</f>
        <v/>
      </c>
      <c r="S2163" s="59"/>
      <c r="T2163" s="59"/>
      <c r="U2163" s="62">
        <f>IF(OR(R2163="",S2163="",T2163=""),"",IF(S2163+T2163=0,"",R2163/(S2163+T2163)))</f>
        <v/>
      </c>
      <c r="V2163" s="63"/>
      <c r="W2163" s="64"/>
      <c r="X2163" s="63"/>
    </row>
    <row r="2164" spans="2:24">
      <c r="B2164" s="58"/>
      <c r="C2164" s="59"/>
      <c r="D2164" s="59"/>
      <c r="E2164" s="59"/>
      <c r="F2164" s="59"/>
      <c r="G2164" s="60">
        <f>IF(OR(E2164="",F2164="",C2164="",D2164=""),"",IF(C2164+D2164=0,"",(E2164*C2164+F2164*D2164)/(C2164+D2164)))</f>
        <v/>
      </c>
      <c r="H2164" s="59"/>
      <c r="I2164" s="60">
        <f>IF(OR(H2164="",E2164="",C2164="",D2164=""),"",IF(C2164+D2164=0,"",(H2164*D2164+E2164*C2164)/(C2164+D2164)))</f>
        <v/>
      </c>
      <c r="J2164" s="59"/>
      <c r="K2164" s="61">
        <f>IF(OR(J2164="",I2164=""),"",J2164-I2164)</f>
        <v/>
      </c>
      <c r="L2164" s="61">
        <f>IF(OR(J2164="",G2164=""),"",J2164-G2164)</f>
        <v/>
      </c>
      <c r="M2164" s="59"/>
      <c r="N2164" s="59"/>
      <c r="O2164" s="59"/>
      <c r="P2164" s="59"/>
      <c r="Q2164" s="59"/>
      <c r="R2164" s="60">
        <f>IF(AND(P2164="",Q2164=""),"",N(P2164)+N(Q2164))</f>
        <v/>
      </c>
      <c r="S2164" s="59"/>
      <c r="T2164" s="59"/>
      <c r="U2164" s="62">
        <f>IF(OR(R2164="",S2164="",T2164=""),"",IF(S2164+T2164=0,"",R2164/(S2164+T2164)))</f>
        <v/>
      </c>
      <c r="V2164" s="63"/>
      <c r="W2164" s="64"/>
      <c r="X2164" s="63"/>
    </row>
    <row r="2165" spans="2:24">
      <c r="B2165" s="58"/>
      <c r="C2165" s="59"/>
      <c r="D2165" s="59"/>
      <c r="E2165" s="59"/>
      <c r="F2165" s="59"/>
      <c r="G2165" s="60">
        <f>IF(OR(E2165="",F2165="",C2165="",D2165=""),"",IF(C2165+D2165=0,"",(E2165*C2165+F2165*D2165)/(C2165+D2165)))</f>
        <v/>
      </c>
      <c r="H2165" s="59"/>
      <c r="I2165" s="60">
        <f>IF(OR(H2165="",E2165="",C2165="",D2165=""),"",IF(C2165+D2165=0,"",(H2165*D2165+E2165*C2165)/(C2165+D2165)))</f>
        <v/>
      </c>
      <c r="J2165" s="59"/>
      <c r="K2165" s="61">
        <f>IF(OR(J2165="",I2165=""),"",J2165-I2165)</f>
        <v/>
      </c>
      <c r="L2165" s="61">
        <f>IF(OR(J2165="",G2165=""),"",J2165-G2165)</f>
        <v/>
      </c>
      <c r="M2165" s="59"/>
      <c r="N2165" s="59"/>
      <c r="O2165" s="59"/>
      <c r="P2165" s="59"/>
      <c r="Q2165" s="59"/>
      <c r="R2165" s="60">
        <f>IF(AND(P2165="",Q2165=""),"",N(P2165)+N(Q2165))</f>
        <v/>
      </c>
      <c r="S2165" s="59"/>
      <c r="T2165" s="59"/>
      <c r="U2165" s="62">
        <f>IF(OR(R2165="",S2165="",T2165=""),"",IF(S2165+T2165=0,"",R2165/(S2165+T2165)))</f>
        <v/>
      </c>
      <c r="V2165" s="63"/>
      <c r="W2165" s="64"/>
      <c r="X2165" s="63"/>
    </row>
    <row r="2166" spans="2:24">
      <c r="B2166" s="58"/>
      <c r="C2166" s="59"/>
      <c r="D2166" s="59"/>
      <c r="E2166" s="59"/>
      <c r="F2166" s="59"/>
      <c r="G2166" s="60">
        <f>IF(OR(E2166="",F2166="",C2166="",D2166=""),"",IF(C2166+D2166=0,"",(E2166*C2166+F2166*D2166)/(C2166+D2166)))</f>
        <v/>
      </c>
      <c r="H2166" s="59"/>
      <c r="I2166" s="60">
        <f>IF(OR(H2166="",E2166="",C2166="",D2166=""),"",IF(C2166+D2166=0,"",(H2166*D2166+E2166*C2166)/(C2166+D2166)))</f>
        <v/>
      </c>
      <c r="J2166" s="59"/>
      <c r="K2166" s="61">
        <f>IF(OR(J2166="",I2166=""),"",J2166-I2166)</f>
        <v/>
      </c>
      <c r="L2166" s="61">
        <f>IF(OR(J2166="",G2166=""),"",J2166-G2166)</f>
        <v/>
      </c>
      <c r="M2166" s="59"/>
      <c r="N2166" s="59"/>
      <c r="O2166" s="59"/>
      <c r="P2166" s="59"/>
      <c r="Q2166" s="59"/>
      <c r="R2166" s="60">
        <f>IF(AND(P2166="",Q2166=""),"",N(P2166)+N(Q2166))</f>
        <v/>
      </c>
      <c r="S2166" s="59"/>
      <c r="T2166" s="59"/>
      <c r="U2166" s="62">
        <f>IF(OR(R2166="",S2166="",T2166=""),"",IF(S2166+T2166=0,"",R2166/(S2166+T2166)))</f>
        <v/>
      </c>
      <c r="V2166" s="63"/>
      <c r="W2166" s="64"/>
      <c r="X2166" s="63"/>
    </row>
    <row r="2167" spans="2:24">
      <c r="B2167" s="58"/>
      <c r="C2167" s="59"/>
      <c r="D2167" s="59"/>
      <c r="E2167" s="59"/>
      <c r="F2167" s="59"/>
      <c r="G2167" s="60">
        <f>IF(OR(E2167="",F2167="",C2167="",D2167=""),"",IF(C2167+D2167=0,"",(E2167*C2167+F2167*D2167)/(C2167+D2167)))</f>
        <v/>
      </c>
      <c r="H2167" s="59"/>
      <c r="I2167" s="60">
        <f>IF(OR(H2167="",E2167="",C2167="",D2167=""),"",IF(C2167+D2167=0,"",(H2167*D2167+E2167*C2167)/(C2167+D2167)))</f>
        <v/>
      </c>
      <c r="J2167" s="59"/>
      <c r="K2167" s="61">
        <f>IF(OR(J2167="",I2167=""),"",J2167-I2167)</f>
        <v/>
      </c>
      <c r="L2167" s="61">
        <f>IF(OR(J2167="",G2167=""),"",J2167-G2167)</f>
        <v/>
      </c>
      <c r="M2167" s="59"/>
      <c r="N2167" s="59"/>
      <c r="O2167" s="59"/>
      <c r="P2167" s="59"/>
      <c r="Q2167" s="59"/>
      <c r="R2167" s="60">
        <f>IF(AND(P2167="",Q2167=""),"",N(P2167)+N(Q2167))</f>
        <v/>
      </c>
      <c r="S2167" s="59"/>
      <c r="T2167" s="59"/>
      <c r="U2167" s="62">
        <f>IF(OR(R2167="",S2167="",T2167=""),"",IF(S2167+T2167=0,"",R2167/(S2167+T2167)))</f>
        <v/>
      </c>
      <c r="V2167" s="63"/>
      <c r="W2167" s="64"/>
      <c r="X2167" s="63"/>
    </row>
    <row r="2168" spans="2:24">
      <c r="B2168" s="58"/>
      <c r="C2168" s="59"/>
      <c r="D2168" s="59"/>
      <c r="E2168" s="59"/>
      <c r="F2168" s="59"/>
      <c r="G2168" s="60">
        <f>IF(OR(E2168="",F2168="",C2168="",D2168=""),"",IF(C2168+D2168=0,"",(E2168*C2168+F2168*D2168)/(C2168+D2168)))</f>
        <v/>
      </c>
      <c r="H2168" s="59"/>
      <c r="I2168" s="60">
        <f>IF(OR(H2168="",E2168="",C2168="",D2168=""),"",IF(C2168+D2168=0,"",(H2168*D2168+E2168*C2168)/(C2168+D2168)))</f>
        <v/>
      </c>
      <c r="J2168" s="59"/>
      <c r="K2168" s="61">
        <f>IF(OR(J2168="",I2168=""),"",J2168-I2168)</f>
        <v/>
      </c>
      <c r="L2168" s="61">
        <f>IF(OR(J2168="",G2168=""),"",J2168-G2168)</f>
        <v/>
      </c>
      <c r="M2168" s="59"/>
      <c r="N2168" s="59"/>
      <c r="O2168" s="59"/>
      <c r="P2168" s="59"/>
      <c r="Q2168" s="59"/>
      <c r="R2168" s="60">
        <f>IF(AND(P2168="",Q2168=""),"",N(P2168)+N(Q2168))</f>
        <v/>
      </c>
      <c r="S2168" s="59"/>
      <c r="T2168" s="59"/>
      <c r="U2168" s="62">
        <f>IF(OR(R2168="",S2168="",T2168=""),"",IF(S2168+T2168=0,"",R2168/(S2168+T2168)))</f>
        <v/>
      </c>
      <c r="V2168" s="63"/>
      <c r="W2168" s="64"/>
      <c r="X2168" s="63"/>
    </row>
    <row r="2169" spans="2:24">
      <c r="B2169" s="58"/>
      <c r="C2169" s="59"/>
      <c r="D2169" s="59"/>
      <c r="E2169" s="59"/>
      <c r="F2169" s="59"/>
      <c r="G2169" s="60">
        <f>IF(OR(E2169="",F2169="",C2169="",D2169=""),"",IF(C2169+D2169=0,"",(E2169*C2169+F2169*D2169)/(C2169+D2169)))</f>
        <v/>
      </c>
      <c r="H2169" s="59"/>
      <c r="I2169" s="60">
        <f>IF(OR(H2169="",E2169="",C2169="",D2169=""),"",IF(C2169+D2169=0,"",(H2169*D2169+E2169*C2169)/(C2169+D2169)))</f>
        <v/>
      </c>
      <c r="J2169" s="59"/>
      <c r="K2169" s="61">
        <f>IF(OR(J2169="",I2169=""),"",J2169-I2169)</f>
        <v/>
      </c>
      <c r="L2169" s="61">
        <f>IF(OR(J2169="",G2169=""),"",J2169-G2169)</f>
        <v/>
      </c>
      <c r="M2169" s="59"/>
      <c r="N2169" s="59"/>
      <c r="O2169" s="59"/>
      <c r="P2169" s="59"/>
      <c r="Q2169" s="59"/>
      <c r="R2169" s="60">
        <f>IF(AND(P2169="",Q2169=""),"",N(P2169)+N(Q2169))</f>
        <v/>
      </c>
      <c r="S2169" s="59"/>
      <c r="T2169" s="59"/>
      <c r="U2169" s="62">
        <f>IF(OR(R2169="",S2169="",T2169=""),"",IF(S2169+T2169=0,"",R2169/(S2169+T2169)))</f>
        <v/>
      </c>
      <c r="V2169" s="63"/>
      <c r="W2169" s="64"/>
      <c r="X2169" s="63"/>
    </row>
    <row r="2170" spans="2:24">
      <c r="B2170" s="58"/>
      <c r="C2170" s="59"/>
      <c r="D2170" s="59"/>
      <c r="E2170" s="59"/>
      <c r="F2170" s="59"/>
      <c r="G2170" s="60">
        <f>IF(OR(E2170="",F2170="",C2170="",D2170=""),"",IF(C2170+D2170=0,"",(E2170*C2170+F2170*D2170)/(C2170+D2170)))</f>
        <v/>
      </c>
      <c r="H2170" s="59"/>
      <c r="I2170" s="60">
        <f>IF(OR(H2170="",E2170="",C2170="",D2170=""),"",IF(C2170+D2170=0,"",(H2170*D2170+E2170*C2170)/(C2170+D2170)))</f>
        <v/>
      </c>
      <c r="J2170" s="59"/>
      <c r="K2170" s="61">
        <f>IF(OR(J2170="",I2170=""),"",J2170-I2170)</f>
        <v/>
      </c>
      <c r="L2170" s="61">
        <f>IF(OR(J2170="",G2170=""),"",J2170-G2170)</f>
        <v/>
      </c>
      <c r="M2170" s="59"/>
      <c r="N2170" s="59"/>
      <c r="O2170" s="59"/>
      <c r="P2170" s="59"/>
      <c r="Q2170" s="59"/>
      <c r="R2170" s="60">
        <f>IF(AND(P2170="",Q2170=""),"",N(P2170)+N(Q2170))</f>
        <v/>
      </c>
      <c r="S2170" s="59"/>
      <c r="T2170" s="59"/>
      <c r="U2170" s="62">
        <f>IF(OR(R2170="",S2170="",T2170=""),"",IF(S2170+T2170=0,"",R2170/(S2170+T2170)))</f>
        <v/>
      </c>
      <c r="V2170" s="63"/>
      <c r="W2170" s="64"/>
      <c r="X2170" s="63"/>
    </row>
    <row r="2171" spans="2:24">
      <c r="B2171" s="58"/>
      <c r="C2171" s="59"/>
      <c r="D2171" s="59"/>
      <c r="E2171" s="59"/>
      <c r="F2171" s="59"/>
      <c r="G2171" s="60">
        <f>IF(OR(E2171="",F2171="",C2171="",D2171=""),"",IF(C2171+D2171=0,"",(E2171*C2171+F2171*D2171)/(C2171+D2171)))</f>
        <v/>
      </c>
      <c r="H2171" s="59"/>
      <c r="I2171" s="60">
        <f>IF(OR(H2171="",E2171="",C2171="",D2171=""),"",IF(C2171+D2171=0,"",(H2171*D2171+E2171*C2171)/(C2171+D2171)))</f>
        <v/>
      </c>
      <c r="J2171" s="59"/>
      <c r="K2171" s="61">
        <f>IF(OR(J2171="",I2171=""),"",J2171-I2171)</f>
        <v/>
      </c>
      <c r="L2171" s="61">
        <f>IF(OR(J2171="",G2171=""),"",J2171-G2171)</f>
        <v/>
      </c>
      <c r="M2171" s="59"/>
      <c r="N2171" s="59"/>
      <c r="O2171" s="59"/>
      <c r="P2171" s="59"/>
      <c r="Q2171" s="59"/>
      <c r="R2171" s="60">
        <f>IF(AND(P2171="",Q2171=""),"",N(P2171)+N(Q2171))</f>
        <v/>
      </c>
      <c r="S2171" s="59"/>
      <c r="T2171" s="59"/>
      <c r="U2171" s="62">
        <f>IF(OR(R2171="",S2171="",T2171=""),"",IF(S2171+T2171=0,"",R2171/(S2171+T2171)))</f>
        <v/>
      </c>
      <c r="V2171" s="63"/>
      <c r="W2171" s="64"/>
      <c r="X2171" s="63"/>
    </row>
    <row r="2172" spans="2:24">
      <c r="B2172" s="58"/>
      <c r="C2172" s="59"/>
      <c r="D2172" s="59"/>
      <c r="E2172" s="59"/>
      <c r="F2172" s="59"/>
      <c r="G2172" s="60">
        <f>IF(OR(E2172="",F2172="",C2172="",D2172=""),"",IF(C2172+D2172=0,"",(E2172*C2172+F2172*D2172)/(C2172+D2172)))</f>
        <v/>
      </c>
      <c r="H2172" s="59"/>
      <c r="I2172" s="60">
        <f>IF(OR(H2172="",E2172="",C2172="",D2172=""),"",IF(C2172+D2172=0,"",(H2172*D2172+E2172*C2172)/(C2172+D2172)))</f>
        <v/>
      </c>
      <c r="J2172" s="59"/>
      <c r="K2172" s="61">
        <f>IF(OR(J2172="",I2172=""),"",J2172-I2172)</f>
        <v/>
      </c>
      <c r="L2172" s="61">
        <f>IF(OR(J2172="",G2172=""),"",J2172-G2172)</f>
        <v/>
      </c>
      <c r="M2172" s="59"/>
      <c r="N2172" s="59"/>
      <c r="O2172" s="59"/>
      <c r="P2172" s="59"/>
      <c r="Q2172" s="59"/>
      <c r="R2172" s="60">
        <f>IF(AND(P2172="",Q2172=""),"",N(P2172)+N(Q2172))</f>
        <v/>
      </c>
      <c r="S2172" s="59"/>
      <c r="T2172" s="59"/>
      <c r="U2172" s="62">
        <f>IF(OR(R2172="",S2172="",T2172=""),"",IF(S2172+T2172=0,"",R2172/(S2172+T2172)))</f>
        <v/>
      </c>
      <c r="V2172" s="63"/>
      <c r="W2172" s="64"/>
      <c r="X2172" s="63"/>
    </row>
    <row r="2173" spans="2:24">
      <c r="B2173" s="58"/>
      <c r="C2173" s="59"/>
      <c r="D2173" s="59"/>
      <c r="E2173" s="59"/>
      <c r="F2173" s="59"/>
      <c r="G2173" s="60">
        <f>IF(OR(E2173="",F2173="",C2173="",D2173=""),"",IF(C2173+D2173=0,"",(E2173*C2173+F2173*D2173)/(C2173+D2173)))</f>
        <v/>
      </c>
      <c r="H2173" s="59"/>
      <c r="I2173" s="60">
        <f>IF(OR(H2173="",E2173="",C2173="",D2173=""),"",IF(C2173+D2173=0,"",(H2173*D2173+E2173*C2173)/(C2173+D2173)))</f>
        <v/>
      </c>
      <c r="J2173" s="59"/>
      <c r="K2173" s="61">
        <f>IF(OR(J2173="",I2173=""),"",J2173-I2173)</f>
        <v/>
      </c>
      <c r="L2173" s="61">
        <f>IF(OR(J2173="",G2173=""),"",J2173-G2173)</f>
        <v/>
      </c>
      <c r="M2173" s="59"/>
      <c r="N2173" s="59"/>
      <c r="O2173" s="59"/>
      <c r="P2173" s="59"/>
      <c r="Q2173" s="59"/>
      <c r="R2173" s="60">
        <f>IF(AND(P2173="",Q2173=""),"",N(P2173)+N(Q2173))</f>
        <v/>
      </c>
      <c r="S2173" s="59"/>
      <c r="T2173" s="59"/>
      <c r="U2173" s="62">
        <f>IF(OR(R2173="",S2173="",T2173=""),"",IF(S2173+T2173=0,"",R2173/(S2173+T2173)))</f>
        <v/>
      </c>
      <c r="V2173" s="63"/>
      <c r="W2173" s="64"/>
      <c r="X2173" s="63"/>
    </row>
    <row r="2174" spans="2:24">
      <c r="B2174" s="58"/>
      <c r="C2174" s="59"/>
      <c r="D2174" s="59"/>
      <c r="E2174" s="59"/>
      <c r="F2174" s="59"/>
      <c r="G2174" s="60">
        <f>IF(OR(E2174="",F2174="",C2174="",D2174=""),"",IF(C2174+D2174=0,"",(E2174*C2174+F2174*D2174)/(C2174+D2174)))</f>
        <v/>
      </c>
      <c r="H2174" s="59"/>
      <c r="I2174" s="60">
        <f>IF(OR(H2174="",E2174="",C2174="",D2174=""),"",IF(C2174+D2174=0,"",(H2174*D2174+E2174*C2174)/(C2174+D2174)))</f>
        <v/>
      </c>
      <c r="J2174" s="59"/>
      <c r="K2174" s="61">
        <f>IF(OR(J2174="",I2174=""),"",J2174-I2174)</f>
        <v/>
      </c>
      <c r="L2174" s="61">
        <f>IF(OR(J2174="",G2174=""),"",J2174-G2174)</f>
        <v/>
      </c>
      <c r="M2174" s="59"/>
      <c r="N2174" s="59"/>
      <c r="O2174" s="59"/>
      <c r="P2174" s="59"/>
      <c r="Q2174" s="59"/>
      <c r="R2174" s="60">
        <f>IF(AND(P2174="",Q2174=""),"",N(P2174)+N(Q2174))</f>
        <v/>
      </c>
      <c r="S2174" s="59"/>
      <c r="T2174" s="59"/>
      <c r="U2174" s="62">
        <f>IF(OR(R2174="",S2174="",T2174=""),"",IF(S2174+T2174=0,"",R2174/(S2174+T2174)))</f>
        <v/>
      </c>
      <c r="V2174" s="63"/>
      <c r="W2174" s="64"/>
      <c r="X2174" s="63"/>
    </row>
    <row r="2175" spans="2:24">
      <c r="B2175" s="58"/>
      <c r="C2175" s="59"/>
      <c r="D2175" s="59"/>
      <c r="E2175" s="59"/>
      <c r="F2175" s="59"/>
      <c r="G2175" s="60">
        <f>IF(OR(E2175="",F2175="",C2175="",D2175=""),"",IF(C2175+D2175=0,"",(E2175*C2175+F2175*D2175)/(C2175+D2175)))</f>
        <v/>
      </c>
      <c r="H2175" s="59"/>
      <c r="I2175" s="60">
        <f>IF(OR(H2175="",E2175="",C2175="",D2175=""),"",IF(C2175+D2175=0,"",(H2175*D2175+E2175*C2175)/(C2175+D2175)))</f>
        <v/>
      </c>
      <c r="J2175" s="59"/>
      <c r="K2175" s="61">
        <f>IF(OR(J2175="",I2175=""),"",J2175-I2175)</f>
        <v/>
      </c>
      <c r="L2175" s="61">
        <f>IF(OR(J2175="",G2175=""),"",J2175-G2175)</f>
        <v/>
      </c>
      <c r="M2175" s="59"/>
      <c r="N2175" s="59"/>
      <c r="O2175" s="59"/>
      <c r="P2175" s="59"/>
      <c r="Q2175" s="59"/>
      <c r="R2175" s="60">
        <f>IF(AND(P2175="",Q2175=""),"",N(P2175)+N(Q2175))</f>
        <v/>
      </c>
      <c r="S2175" s="59"/>
      <c r="T2175" s="59"/>
      <c r="U2175" s="62">
        <f>IF(OR(R2175="",S2175="",T2175=""),"",IF(S2175+T2175=0,"",R2175/(S2175+T2175)))</f>
        <v/>
      </c>
      <c r="V2175" s="63"/>
      <c r="W2175" s="64"/>
      <c r="X2175" s="63"/>
    </row>
    <row r="2176" spans="2:24">
      <c r="B2176" s="58"/>
      <c r="C2176" s="59"/>
      <c r="D2176" s="59"/>
      <c r="E2176" s="59"/>
      <c r="F2176" s="59"/>
      <c r="G2176" s="60">
        <f>IF(OR(E2176="",F2176="",C2176="",D2176=""),"",IF(C2176+D2176=0,"",(E2176*C2176+F2176*D2176)/(C2176+D2176)))</f>
        <v/>
      </c>
      <c r="H2176" s="59"/>
      <c r="I2176" s="60">
        <f>IF(OR(H2176="",E2176="",C2176="",D2176=""),"",IF(C2176+D2176=0,"",(H2176*D2176+E2176*C2176)/(C2176+D2176)))</f>
        <v/>
      </c>
      <c r="J2176" s="59"/>
      <c r="K2176" s="61">
        <f>IF(OR(J2176="",I2176=""),"",J2176-I2176)</f>
        <v/>
      </c>
      <c r="L2176" s="61">
        <f>IF(OR(J2176="",G2176=""),"",J2176-G2176)</f>
        <v/>
      </c>
      <c r="M2176" s="59"/>
      <c r="N2176" s="59"/>
      <c r="O2176" s="59"/>
      <c r="P2176" s="59"/>
      <c r="Q2176" s="59"/>
      <c r="R2176" s="60">
        <f>IF(AND(P2176="",Q2176=""),"",N(P2176)+N(Q2176))</f>
        <v/>
      </c>
      <c r="S2176" s="59"/>
      <c r="T2176" s="59"/>
      <c r="U2176" s="62">
        <f>IF(OR(R2176="",S2176="",T2176=""),"",IF(S2176+T2176=0,"",R2176/(S2176+T2176)))</f>
        <v/>
      </c>
      <c r="V2176" s="63"/>
      <c r="W2176" s="64"/>
      <c r="X2176" s="63"/>
    </row>
    <row r="2177" spans="2:24">
      <c r="B2177" s="58"/>
      <c r="C2177" s="59"/>
      <c r="D2177" s="59"/>
      <c r="E2177" s="59"/>
      <c r="F2177" s="59"/>
      <c r="G2177" s="60">
        <f>IF(OR(E2177="",F2177="",C2177="",D2177=""),"",IF(C2177+D2177=0,"",(E2177*C2177+F2177*D2177)/(C2177+D2177)))</f>
        <v/>
      </c>
      <c r="H2177" s="59"/>
      <c r="I2177" s="60">
        <f>IF(OR(H2177="",E2177="",C2177="",D2177=""),"",IF(C2177+D2177=0,"",(H2177*D2177+E2177*C2177)/(C2177+D2177)))</f>
        <v/>
      </c>
      <c r="J2177" s="59"/>
      <c r="K2177" s="61">
        <f>IF(OR(J2177="",I2177=""),"",J2177-I2177)</f>
        <v/>
      </c>
      <c r="L2177" s="61">
        <f>IF(OR(J2177="",G2177=""),"",J2177-G2177)</f>
        <v/>
      </c>
      <c r="M2177" s="59"/>
      <c r="N2177" s="59"/>
      <c r="O2177" s="59"/>
      <c r="P2177" s="59"/>
      <c r="Q2177" s="59"/>
      <c r="R2177" s="60">
        <f>IF(AND(P2177="",Q2177=""),"",N(P2177)+N(Q2177))</f>
        <v/>
      </c>
      <c r="S2177" s="59"/>
      <c r="T2177" s="59"/>
      <c r="U2177" s="62">
        <f>IF(OR(R2177="",S2177="",T2177=""),"",IF(S2177+T2177=0,"",R2177/(S2177+T2177)))</f>
        <v/>
      </c>
      <c r="V2177" s="63"/>
      <c r="W2177" s="64"/>
      <c r="X2177" s="63"/>
    </row>
    <row r="2178" spans="2:24">
      <c r="B2178" s="58"/>
      <c r="C2178" s="59"/>
      <c r="D2178" s="59"/>
      <c r="E2178" s="59"/>
      <c r="F2178" s="59"/>
      <c r="G2178" s="60">
        <f>IF(OR(E2178="",F2178="",C2178="",D2178=""),"",IF(C2178+D2178=0,"",(E2178*C2178+F2178*D2178)/(C2178+D2178)))</f>
        <v/>
      </c>
      <c r="H2178" s="59"/>
      <c r="I2178" s="60">
        <f>IF(OR(H2178="",E2178="",C2178="",D2178=""),"",IF(C2178+D2178=0,"",(H2178*D2178+E2178*C2178)/(C2178+D2178)))</f>
        <v/>
      </c>
      <c r="J2178" s="59"/>
      <c r="K2178" s="61">
        <f>IF(OR(J2178="",I2178=""),"",J2178-I2178)</f>
        <v/>
      </c>
      <c r="L2178" s="61">
        <f>IF(OR(J2178="",G2178=""),"",J2178-G2178)</f>
        <v/>
      </c>
      <c r="M2178" s="59"/>
      <c r="N2178" s="59"/>
      <c r="O2178" s="59"/>
      <c r="P2178" s="59"/>
      <c r="Q2178" s="59"/>
      <c r="R2178" s="60">
        <f>IF(AND(P2178="",Q2178=""),"",N(P2178)+N(Q2178))</f>
        <v/>
      </c>
      <c r="S2178" s="59"/>
      <c r="T2178" s="59"/>
      <c r="U2178" s="62">
        <f>IF(OR(R2178="",S2178="",T2178=""),"",IF(S2178+T2178=0,"",R2178/(S2178+T2178)))</f>
        <v/>
      </c>
      <c r="V2178" s="63"/>
      <c r="W2178" s="64"/>
      <c r="X2178" s="63"/>
    </row>
    <row r="2179" spans="2:24">
      <c r="B2179" s="58"/>
      <c r="C2179" s="59"/>
      <c r="D2179" s="59"/>
      <c r="E2179" s="59"/>
      <c r="F2179" s="59"/>
      <c r="G2179" s="60">
        <f>IF(OR(E2179="",F2179="",C2179="",D2179=""),"",IF(C2179+D2179=0,"",(E2179*C2179+F2179*D2179)/(C2179+D2179)))</f>
        <v/>
      </c>
      <c r="H2179" s="59"/>
      <c r="I2179" s="60">
        <f>IF(OR(H2179="",E2179="",C2179="",D2179=""),"",IF(C2179+D2179=0,"",(H2179*D2179+E2179*C2179)/(C2179+D2179)))</f>
        <v/>
      </c>
      <c r="J2179" s="59"/>
      <c r="K2179" s="61">
        <f>IF(OR(J2179="",I2179=""),"",J2179-I2179)</f>
        <v/>
      </c>
      <c r="L2179" s="61">
        <f>IF(OR(J2179="",G2179=""),"",J2179-G2179)</f>
        <v/>
      </c>
      <c r="M2179" s="59"/>
      <c r="N2179" s="59"/>
      <c r="O2179" s="59"/>
      <c r="P2179" s="59"/>
      <c r="Q2179" s="59"/>
      <c r="R2179" s="60">
        <f>IF(AND(P2179="",Q2179=""),"",N(P2179)+N(Q2179))</f>
        <v/>
      </c>
      <c r="S2179" s="59"/>
      <c r="T2179" s="59"/>
      <c r="U2179" s="62">
        <f>IF(OR(R2179="",S2179="",T2179=""),"",IF(S2179+T2179=0,"",R2179/(S2179+T2179)))</f>
        <v/>
      </c>
      <c r="V2179" s="63"/>
      <c r="W2179" s="64"/>
      <c r="X2179" s="63"/>
    </row>
    <row r="2180" spans="2:24">
      <c r="B2180" s="58"/>
      <c r="C2180" s="59"/>
      <c r="D2180" s="59"/>
      <c r="E2180" s="59"/>
      <c r="F2180" s="59"/>
      <c r="G2180" s="60">
        <f>IF(OR(E2180="",F2180="",C2180="",D2180=""),"",IF(C2180+D2180=0,"",(E2180*C2180+F2180*D2180)/(C2180+D2180)))</f>
        <v/>
      </c>
      <c r="H2180" s="59"/>
      <c r="I2180" s="60">
        <f>IF(OR(H2180="",E2180="",C2180="",D2180=""),"",IF(C2180+D2180=0,"",(H2180*D2180+E2180*C2180)/(C2180+D2180)))</f>
        <v/>
      </c>
      <c r="J2180" s="59"/>
      <c r="K2180" s="61">
        <f>IF(OR(J2180="",I2180=""),"",J2180-I2180)</f>
        <v/>
      </c>
      <c r="L2180" s="61">
        <f>IF(OR(J2180="",G2180=""),"",J2180-G2180)</f>
        <v/>
      </c>
      <c r="M2180" s="59"/>
      <c r="N2180" s="59"/>
      <c r="O2180" s="59"/>
      <c r="P2180" s="59"/>
      <c r="Q2180" s="59"/>
      <c r="R2180" s="60">
        <f>IF(AND(P2180="",Q2180=""),"",N(P2180)+N(Q2180))</f>
        <v/>
      </c>
      <c r="S2180" s="59"/>
      <c r="T2180" s="59"/>
      <c r="U2180" s="62">
        <f>IF(OR(R2180="",S2180="",T2180=""),"",IF(S2180+T2180=0,"",R2180/(S2180+T2180)))</f>
        <v/>
      </c>
      <c r="V2180" s="63"/>
      <c r="W2180" s="64"/>
      <c r="X2180" s="63"/>
    </row>
    <row r="2181" spans="2:24">
      <c r="B2181" s="58"/>
      <c r="C2181" s="59"/>
      <c r="D2181" s="59"/>
      <c r="E2181" s="59"/>
      <c r="F2181" s="59"/>
      <c r="G2181" s="60">
        <f>IF(OR(E2181="",F2181="",C2181="",D2181=""),"",IF(C2181+D2181=0,"",(E2181*C2181+F2181*D2181)/(C2181+D2181)))</f>
        <v/>
      </c>
      <c r="H2181" s="59"/>
      <c r="I2181" s="60">
        <f>IF(OR(H2181="",E2181="",C2181="",D2181=""),"",IF(C2181+D2181=0,"",(H2181*D2181+E2181*C2181)/(C2181+D2181)))</f>
        <v/>
      </c>
      <c r="J2181" s="59"/>
      <c r="K2181" s="61">
        <f>IF(OR(J2181="",I2181=""),"",J2181-I2181)</f>
        <v/>
      </c>
      <c r="L2181" s="61">
        <f>IF(OR(J2181="",G2181=""),"",J2181-G2181)</f>
        <v/>
      </c>
      <c r="M2181" s="59"/>
      <c r="N2181" s="59"/>
      <c r="O2181" s="59"/>
      <c r="P2181" s="59"/>
      <c r="Q2181" s="59"/>
      <c r="R2181" s="60">
        <f>IF(AND(P2181="",Q2181=""),"",N(P2181)+N(Q2181))</f>
        <v/>
      </c>
      <c r="S2181" s="59"/>
      <c r="T2181" s="59"/>
      <c r="U2181" s="62">
        <f>IF(OR(R2181="",S2181="",T2181=""),"",IF(S2181+T2181=0,"",R2181/(S2181+T2181)))</f>
        <v/>
      </c>
      <c r="V2181" s="63"/>
      <c r="W2181" s="64"/>
      <c r="X2181" s="63"/>
    </row>
    <row r="2182" spans="2:24">
      <c r="B2182" s="58"/>
      <c r="C2182" s="59"/>
      <c r="D2182" s="59"/>
      <c r="E2182" s="59"/>
      <c r="F2182" s="59"/>
      <c r="G2182" s="60">
        <f>IF(OR(E2182="",F2182="",C2182="",D2182=""),"",IF(C2182+D2182=0,"",(E2182*C2182+F2182*D2182)/(C2182+D2182)))</f>
        <v/>
      </c>
      <c r="H2182" s="59"/>
      <c r="I2182" s="60">
        <f>IF(OR(H2182="",E2182="",C2182="",D2182=""),"",IF(C2182+D2182=0,"",(H2182*D2182+E2182*C2182)/(C2182+D2182)))</f>
        <v/>
      </c>
      <c r="J2182" s="59"/>
      <c r="K2182" s="61">
        <f>IF(OR(J2182="",I2182=""),"",J2182-I2182)</f>
        <v/>
      </c>
      <c r="L2182" s="61">
        <f>IF(OR(J2182="",G2182=""),"",J2182-G2182)</f>
        <v/>
      </c>
      <c r="M2182" s="59"/>
      <c r="N2182" s="59"/>
      <c r="O2182" s="59"/>
      <c r="P2182" s="59"/>
      <c r="Q2182" s="59"/>
      <c r="R2182" s="60">
        <f>IF(AND(P2182="",Q2182=""),"",N(P2182)+N(Q2182))</f>
        <v/>
      </c>
      <c r="S2182" s="59"/>
      <c r="T2182" s="59"/>
      <c r="U2182" s="62">
        <f>IF(OR(R2182="",S2182="",T2182=""),"",IF(S2182+T2182=0,"",R2182/(S2182+T2182)))</f>
        <v/>
      </c>
      <c r="V2182" s="63"/>
      <c r="W2182" s="64"/>
      <c r="X2182" s="63"/>
    </row>
    <row r="2183" spans="2:24">
      <c r="B2183" s="58"/>
      <c r="C2183" s="59"/>
      <c r="D2183" s="59"/>
      <c r="E2183" s="59"/>
      <c r="F2183" s="59"/>
      <c r="G2183" s="60">
        <f>IF(OR(E2183="",F2183="",C2183="",D2183=""),"",IF(C2183+D2183=0,"",(E2183*C2183+F2183*D2183)/(C2183+D2183)))</f>
        <v/>
      </c>
      <c r="H2183" s="59"/>
      <c r="I2183" s="60">
        <f>IF(OR(H2183="",E2183="",C2183="",D2183=""),"",IF(C2183+D2183=0,"",(H2183*D2183+E2183*C2183)/(C2183+D2183)))</f>
        <v/>
      </c>
      <c r="J2183" s="59"/>
      <c r="K2183" s="61">
        <f>IF(OR(J2183="",I2183=""),"",J2183-I2183)</f>
        <v/>
      </c>
      <c r="L2183" s="61">
        <f>IF(OR(J2183="",G2183=""),"",J2183-G2183)</f>
        <v/>
      </c>
      <c r="M2183" s="59"/>
      <c r="N2183" s="59"/>
      <c r="O2183" s="59"/>
      <c r="P2183" s="59"/>
      <c r="Q2183" s="59"/>
      <c r="R2183" s="60">
        <f>IF(AND(P2183="",Q2183=""),"",N(P2183)+N(Q2183))</f>
        <v/>
      </c>
      <c r="S2183" s="59"/>
      <c r="T2183" s="59"/>
      <c r="U2183" s="62">
        <f>IF(OR(R2183="",S2183="",T2183=""),"",IF(S2183+T2183=0,"",R2183/(S2183+T2183)))</f>
        <v/>
      </c>
      <c r="V2183" s="63"/>
      <c r="W2183" s="64"/>
      <c r="X2183" s="63"/>
    </row>
    <row r="2184" spans="2:24">
      <c r="B2184" s="58"/>
      <c r="C2184" s="59"/>
      <c r="D2184" s="59"/>
      <c r="E2184" s="59"/>
      <c r="F2184" s="59"/>
      <c r="G2184" s="60">
        <f>IF(OR(E2184="",F2184="",C2184="",D2184=""),"",IF(C2184+D2184=0,"",(E2184*C2184+F2184*D2184)/(C2184+D2184)))</f>
        <v/>
      </c>
      <c r="H2184" s="59"/>
      <c r="I2184" s="60">
        <f>IF(OR(H2184="",E2184="",C2184="",D2184=""),"",IF(C2184+D2184=0,"",(H2184*D2184+E2184*C2184)/(C2184+D2184)))</f>
        <v/>
      </c>
      <c r="J2184" s="59"/>
      <c r="K2184" s="61">
        <f>IF(OR(J2184="",I2184=""),"",J2184-I2184)</f>
        <v/>
      </c>
      <c r="L2184" s="61">
        <f>IF(OR(J2184="",G2184=""),"",J2184-G2184)</f>
        <v/>
      </c>
      <c r="M2184" s="59"/>
      <c r="N2184" s="59"/>
      <c r="O2184" s="59"/>
      <c r="P2184" s="59"/>
      <c r="Q2184" s="59"/>
      <c r="R2184" s="60">
        <f>IF(AND(P2184="",Q2184=""),"",N(P2184)+N(Q2184))</f>
        <v/>
      </c>
      <c r="S2184" s="59"/>
      <c r="T2184" s="59"/>
      <c r="U2184" s="62">
        <f>IF(OR(R2184="",S2184="",T2184=""),"",IF(S2184+T2184=0,"",R2184/(S2184+T2184)))</f>
        <v/>
      </c>
      <c r="V2184" s="63"/>
      <c r="W2184" s="64"/>
      <c r="X2184" s="63"/>
    </row>
    <row r="2185" spans="2:24">
      <c r="B2185" s="58"/>
      <c r="C2185" s="59"/>
      <c r="D2185" s="59"/>
      <c r="E2185" s="59"/>
      <c r="F2185" s="59"/>
      <c r="G2185" s="60">
        <f>IF(OR(E2185="",F2185="",C2185="",D2185=""),"",IF(C2185+D2185=0,"",(E2185*C2185+F2185*D2185)/(C2185+D2185)))</f>
        <v/>
      </c>
      <c r="H2185" s="59"/>
      <c r="I2185" s="60">
        <f>IF(OR(H2185="",E2185="",C2185="",D2185=""),"",IF(C2185+D2185=0,"",(H2185*D2185+E2185*C2185)/(C2185+D2185)))</f>
        <v/>
      </c>
      <c r="J2185" s="59"/>
      <c r="K2185" s="61">
        <f>IF(OR(J2185="",I2185=""),"",J2185-I2185)</f>
        <v/>
      </c>
      <c r="L2185" s="61">
        <f>IF(OR(J2185="",G2185=""),"",J2185-G2185)</f>
        <v/>
      </c>
      <c r="M2185" s="59"/>
      <c r="N2185" s="59"/>
      <c r="O2185" s="59"/>
      <c r="P2185" s="59"/>
      <c r="Q2185" s="59"/>
      <c r="R2185" s="60">
        <f>IF(AND(P2185="",Q2185=""),"",N(P2185)+N(Q2185))</f>
        <v/>
      </c>
      <c r="S2185" s="59"/>
      <c r="T2185" s="59"/>
      <c r="U2185" s="62">
        <f>IF(OR(R2185="",S2185="",T2185=""),"",IF(S2185+T2185=0,"",R2185/(S2185+T2185)))</f>
        <v/>
      </c>
      <c r="V2185" s="63"/>
      <c r="W2185" s="64"/>
      <c r="X2185" s="63"/>
    </row>
    <row r="2186" spans="2:24">
      <c r="B2186" s="58"/>
      <c r="C2186" s="59"/>
      <c r="D2186" s="59"/>
      <c r="E2186" s="59"/>
      <c r="F2186" s="59"/>
      <c r="G2186" s="60">
        <f>IF(OR(E2186="",F2186="",C2186="",D2186=""),"",IF(C2186+D2186=0,"",(E2186*C2186+F2186*D2186)/(C2186+D2186)))</f>
        <v/>
      </c>
      <c r="H2186" s="59"/>
      <c r="I2186" s="60">
        <f>IF(OR(H2186="",E2186="",C2186="",D2186=""),"",IF(C2186+D2186=0,"",(H2186*D2186+E2186*C2186)/(C2186+D2186)))</f>
        <v/>
      </c>
      <c r="J2186" s="59"/>
      <c r="K2186" s="61">
        <f>IF(OR(J2186="",I2186=""),"",J2186-I2186)</f>
        <v/>
      </c>
      <c r="L2186" s="61">
        <f>IF(OR(J2186="",G2186=""),"",J2186-G2186)</f>
        <v/>
      </c>
      <c r="M2186" s="59"/>
      <c r="N2186" s="59"/>
      <c r="O2186" s="59"/>
      <c r="P2186" s="59"/>
      <c r="Q2186" s="59"/>
      <c r="R2186" s="60">
        <f>IF(AND(P2186="",Q2186=""),"",N(P2186)+N(Q2186))</f>
        <v/>
      </c>
      <c r="S2186" s="59"/>
      <c r="T2186" s="59"/>
      <c r="U2186" s="62">
        <f>IF(OR(R2186="",S2186="",T2186=""),"",IF(S2186+T2186=0,"",R2186/(S2186+T2186)))</f>
        <v/>
      </c>
      <c r="V2186" s="63"/>
      <c r="W2186" s="64"/>
      <c r="X2186" s="63"/>
    </row>
    <row r="2187" spans="2:24">
      <c r="B2187" s="58"/>
      <c r="C2187" s="59"/>
      <c r="D2187" s="59"/>
      <c r="E2187" s="59"/>
      <c r="F2187" s="59"/>
      <c r="G2187" s="60">
        <f>IF(OR(E2187="",F2187="",C2187="",D2187=""),"",IF(C2187+D2187=0,"",(E2187*C2187+F2187*D2187)/(C2187+D2187)))</f>
        <v/>
      </c>
      <c r="H2187" s="59"/>
      <c r="I2187" s="60">
        <f>IF(OR(H2187="",E2187="",C2187="",D2187=""),"",IF(C2187+D2187=0,"",(H2187*D2187+E2187*C2187)/(C2187+D2187)))</f>
        <v/>
      </c>
      <c r="J2187" s="59"/>
      <c r="K2187" s="61">
        <f>IF(OR(J2187="",I2187=""),"",J2187-I2187)</f>
        <v/>
      </c>
      <c r="L2187" s="61">
        <f>IF(OR(J2187="",G2187=""),"",J2187-G2187)</f>
        <v/>
      </c>
      <c r="M2187" s="59"/>
      <c r="N2187" s="59"/>
      <c r="O2187" s="59"/>
      <c r="P2187" s="59"/>
      <c r="Q2187" s="59"/>
      <c r="R2187" s="60">
        <f>IF(AND(P2187="",Q2187=""),"",N(P2187)+N(Q2187))</f>
        <v/>
      </c>
      <c r="S2187" s="59"/>
      <c r="T2187" s="59"/>
      <c r="U2187" s="62">
        <f>IF(OR(R2187="",S2187="",T2187=""),"",IF(S2187+T2187=0,"",R2187/(S2187+T2187)))</f>
        <v/>
      </c>
      <c r="V2187" s="63"/>
      <c r="W2187" s="64"/>
      <c r="X2187" s="63"/>
    </row>
    <row r="2188" spans="2:24">
      <c r="B2188" s="58"/>
      <c r="C2188" s="59"/>
      <c r="D2188" s="59"/>
      <c r="E2188" s="59"/>
      <c r="F2188" s="59"/>
      <c r="G2188" s="60">
        <f>IF(OR(E2188="",F2188="",C2188="",D2188=""),"",IF(C2188+D2188=0,"",(E2188*C2188+F2188*D2188)/(C2188+D2188)))</f>
        <v/>
      </c>
      <c r="H2188" s="59"/>
      <c r="I2188" s="60">
        <f>IF(OR(H2188="",E2188="",C2188="",D2188=""),"",IF(C2188+D2188=0,"",(H2188*D2188+E2188*C2188)/(C2188+D2188)))</f>
        <v/>
      </c>
      <c r="J2188" s="59"/>
      <c r="K2188" s="61">
        <f>IF(OR(J2188="",I2188=""),"",J2188-I2188)</f>
        <v/>
      </c>
      <c r="L2188" s="61">
        <f>IF(OR(J2188="",G2188=""),"",J2188-G2188)</f>
        <v/>
      </c>
      <c r="M2188" s="59"/>
      <c r="N2188" s="59"/>
      <c r="O2188" s="59"/>
      <c r="P2188" s="59"/>
      <c r="Q2188" s="59"/>
      <c r="R2188" s="60">
        <f>IF(AND(P2188="",Q2188=""),"",N(P2188)+N(Q2188))</f>
        <v/>
      </c>
      <c r="S2188" s="59"/>
      <c r="T2188" s="59"/>
      <c r="U2188" s="62">
        <f>IF(OR(R2188="",S2188="",T2188=""),"",IF(S2188+T2188=0,"",R2188/(S2188+T2188)))</f>
        <v/>
      </c>
      <c r="V2188" s="63"/>
      <c r="W2188" s="64"/>
      <c r="X2188" s="63"/>
    </row>
    <row r="2189" spans="2:24">
      <c r="B2189" s="58"/>
      <c r="C2189" s="59"/>
      <c r="D2189" s="59"/>
      <c r="E2189" s="59"/>
      <c r="F2189" s="59"/>
      <c r="G2189" s="60">
        <f>IF(OR(E2189="",F2189="",C2189="",D2189=""),"",IF(C2189+D2189=0,"",(E2189*C2189+F2189*D2189)/(C2189+D2189)))</f>
        <v/>
      </c>
      <c r="H2189" s="59"/>
      <c r="I2189" s="60">
        <f>IF(OR(H2189="",E2189="",C2189="",D2189=""),"",IF(C2189+D2189=0,"",(H2189*D2189+E2189*C2189)/(C2189+D2189)))</f>
        <v/>
      </c>
      <c r="J2189" s="59"/>
      <c r="K2189" s="61">
        <f>IF(OR(J2189="",I2189=""),"",J2189-I2189)</f>
        <v/>
      </c>
      <c r="L2189" s="61">
        <f>IF(OR(J2189="",G2189=""),"",J2189-G2189)</f>
        <v/>
      </c>
      <c r="M2189" s="59"/>
      <c r="N2189" s="59"/>
      <c r="O2189" s="59"/>
      <c r="P2189" s="59"/>
      <c r="Q2189" s="59"/>
      <c r="R2189" s="60">
        <f>IF(AND(P2189="",Q2189=""),"",N(P2189)+N(Q2189))</f>
        <v/>
      </c>
      <c r="S2189" s="59"/>
      <c r="T2189" s="59"/>
      <c r="U2189" s="62">
        <f>IF(OR(R2189="",S2189="",T2189=""),"",IF(S2189+T2189=0,"",R2189/(S2189+T2189)))</f>
        <v/>
      </c>
      <c r="V2189" s="63"/>
      <c r="W2189" s="64"/>
      <c r="X2189" s="63"/>
    </row>
    <row r="2190" spans="2:24">
      <c r="B2190" s="58"/>
      <c r="C2190" s="59"/>
      <c r="D2190" s="59"/>
      <c r="E2190" s="59"/>
      <c r="F2190" s="59"/>
      <c r="G2190" s="60">
        <f>IF(OR(E2190="",F2190="",C2190="",D2190=""),"",IF(C2190+D2190=0,"",(E2190*C2190+F2190*D2190)/(C2190+D2190)))</f>
        <v/>
      </c>
      <c r="H2190" s="59"/>
      <c r="I2190" s="60">
        <f>IF(OR(H2190="",E2190="",C2190="",D2190=""),"",IF(C2190+D2190=0,"",(H2190*D2190+E2190*C2190)/(C2190+D2190)))</f>
        <v/>
      </c>
      <c r="J2190" s="59"/>
      <c r="K2190" s="61">
        <f>IF(OR(J2190="",I2190=""),"",J2190-I2190)</f>
        <v/>
      </c>
      <c r="L2190" s="61">
        <f>IF(OR(J2190="",G2190=""),"",J2190-G2190)</f>
        <v/>
      </c>
      <c r="M2190" s="59"/>
      <c r="N2190" s="59"/>
      <c r="O2190" s="59"/>
      <c r="P2190" s="59"/>
      <c r="Q2190" s="59"/>
      <c r="R2190" s="60">
        <f>IF(AND(P2190="",Q2190=""),"",N(P2190)+N(Q2190))</f>
        <v/>
      </c>
      <c r="S2190" s="59"/>
      <c r="T2190" s="59"/>
      <c r="U2190" s="62">
        <f>IF(OR(R2190="",S2190="",T2190=""),"",IF(S2190+T2190=0,"",R2190/(S2190+T2190)))</f>
        <v/>
      </c>
      <c r="V2190" s="63"/>
      <c r="W2190" s="64"/>
      <c r="X2190" s="63"/>
    </row>
    <row r="2191" spans="2:24">
      <c r="B2191" s="58"/>
      <c r="C2191" s="59"/>
      <c r="D2191" s="59"/>
      <c r="E2191" s="59"/>
      <c r="F2191" s="59"/>
      <c r="G2191" s="60">
        <f>IF(OR(E2191="",F2191="",C2191="",D2191=""),"",IF(C2191+D2191=0,"",(E2191*C2191+F2191*D2191)/(C2191+D2191)))</f>
        <v/>
      </c>
      <c r="H2191" s="59"/>
      <c r="I2191" s="60">
        <f>IF(OR(H2191="",E2191="",C2191="",D2191=""),"",IF(C2191+D2191=0,"",(H2191*D2191+E2191*C2191)/(C2191+D2191)))</f>
        <v/>
      </c>
      <c r="J2191" s="59"/>
      <c r="K2191" s="61">
        <f>IF(OR(J2191="",I2191=""),"",J2191-I2191)</f>
        <v/>
      </c>
      <c r="L2191" s="61">
        <f>IF(OR(J2191="",G2191=""),"",J2191-G2191)</f>
        <v/>
      </c>
      <c r="M2191" s="59"/>
      <c r="N2191" s="59"/>
      <c r="O2191" s="59"/>
      <c r="P2191" s="59"/>
      <c r="Q2191" s="59"/>
      <c r="R2191" s="60">
        <f>IF(AND(P2191="",Q2191=""),"",N(P2191)+N(Q2191))</f>
        <v/>
      </c>
      <c r="S2191" s="59"/>
      <c r="T2191" s="59"/>
      <c r="U2191" s="62">
        <f>IF(OR(R2191="",S2191="",T2191=""),"",IF(S2191+T2191=0,"",R2191/(S2191+T2191)))</f>
        <v/>
      </c>
      <c r="V2191" s="63"/>
      <c r="W2191" s="64"/>
      <c r="X2191" s="63"/>
    </row>
    <row r="2192" spans="2:24">
      <c r="B2192" s="58"/>
      <c r="C2192" s="59"/>
      <c r="D2192" s="59"/>
      <c r="E2192" s="59"/>
      <c r="F2192" s="59"/>
      <c r="G2192" s="60">
        <f>IF(OR(E2192="",F2192="",C2192="",D2192=""),"",IF(C2192+D2192=0,"",(E2192*C2192+F2192*D2192)/(C2192+D2192)))</f>
        <v/>
      </c>
      <c r="H2192" s="59"/>
      <c r="I2192" s="60">
        <f>IF(OR(H2192="",E2192="",C2192="",D2192=""),"",IF(C2192+D2192=0,"",(H2192*D2192+E2192*C2192)/(C2192+D2192)))</f>
        <v/>
      </c>
      <c r="J2192" s="59"/>
      <c r="K2192" s="61">
        <f>IF(OR(J2192="",I2192=""),"",J2192-I2192)</f>
        <v/>
      </c>
      <c r="L2192" s="61">
        <f>IF(OR(J2192="",G2192=""),"",J2192-G2192)</f>
        <v/>
      </c>
      <c r="M2192" s="59"/>
      <c r="N2192" s="59"/>
      <c r="O2192" s="59"/>
      <c r="P2192" s="59"/>
      <c r="Q2192" s="59"/>
      <c r="R2192" s="60">
        <f>IF(AND(P2192="",Q2192=""),"",N(P2192)+N(Q2192))</f>
        <v/>
      </c>
      <c r="S2192" s="59"/>
      <c r="T2192" s="59"/>
      <c r="U2192" s="62">
        <f>IF(OR(R2192="",S2192="",T2192=""),"",IF(S2192+T2192=0,"",R2192/(S2192+T2192)))</f>
        <v/>
      </c>
      <c r="V2192" s="63"/>
      <c r="W2192" s="64"/>
      <c r="X2192" s="63"/>
    </row>
    <row r="2193" spans="2:24">
      <c r="B2193" s="58"/>
      <c r="C2193" s="59"/>
      <c r="D2193" s="59"/>
      <c r="E2193" s="59"/>
      <c r="F2193" s="59"/>
      <c r="G2193" s="60">
        <f>IF(OR(E2193="",F2193="",C2193="",D2193=""),"",IF(C2193+D2193=0,"",(E2193*C2193+F2193*D2193)/(C2193+D2193)))</f>
        <v/>
      </c>
      <c r="H2193" s="59"/>
      <c r="I2193" s="60">
        <f>IF(OR(H2193="",E2193="",C2193="",D2193=""),"",IF(C2193+D2193=0,"",(H2193*D2193+E2193*C2193)/(C2193+D2193)))</f>
        <v/>
      </c>
      <c r="J2193" s="59"/>
      <c r="K2193" s="61">
        <f>IF(OR(J2193="",I2193=""),"",J2193-I2193)</f>
        <v/>
      </c>
      <c r="L2193" s="61">
        <f>IF(OR(J2193="",G2193=""),"",J2193-G2193)</f>
        <v/>
      </c>
      <c r="M2193" s="59"/>
      <c r="N2193" s="59"/>
      <c r="O2193" s="59"/>
      <c r="P2193" s="59"/>
      <c r="Q2193" s="59"/>
      <c r="R2193" s="60">
        <f>IF(AND(P2193="",Q2193=""),"",N(P2193)+N(Q2193))</f>
        <v/>
      </c>
      <c r="S2193" s="59"/>
      <c r="T2193" s="59"/>
      <c r="U2193" s="62">
        <f>IF(OR(R2193="",S2193="",T2193=""),"",IF(S2193+T2193=0,"",R2193/(S2193+T2193)))</f>
        <v/>
      </c>
      <c r="V2193" s="63"/>
      <c r="W2193" s="64"/>
      <c r="X2193" s="63"/>
    </row>
    <row r="2194" spans="2:24">
      <c r="B2194" s="58"/>
      <c r="C2194" s="59"/>
      <c r="D2194" s="59"/>
      <c r="E2194" s="59"/>
      <c r="F2194" s="59"/>
      <c r="G2194" s="60">
        <f>IF(OR(E2194="",F2194="",C2194="",D2194=""),"",IF(C2194+D2194=0,"",(E2194*C2194+F2194*D2194)/(C2194+D2194)))</f>
        <v/>
      </c>
      <c r="H2194" s="59"/>
      <c r="I2194" s="60">
        <f>IF(OR(H2194="",E2194="",C2194="",D2194=""),"",IF(C2194+D2194=0,"",(H2194*D2194+E2194*C2194)/(C2194+D2194)))</f>
        <v/>
      </c>
      <c r="J2194" s="59"/>
      <c r="K2194" s="61">
        <f>IF(OR(J2194="",I2194=""),"",J2194-I2194)</f>
        <v/>
      </c>
      <c r="L2194" s="61">
        <f>IF(OR(J2194="",G2194=""),"",J2194-G2194)</f>
        <v/>
      </c>
      <c r="M2194" s="59"/>
      <c r="N2194" s="59"/>
      <c r="O2194" s="59"/>
      <c r="P2194" s="59"/>
      <c r="Q2194" s="59"/>
      <c r="R2194" s="60">
        <f>IF(AND(P2194="",Q2194=""),"",N(P2194)+N(Q2194))</f>
        <v/>
      </c>
      <c r="S2194" s="59"/>
      <c r="T2194" s="59"/>
      <c r="U2194" s="62">
        <f>IF(OR(R2194="",S2194="",T2194=""),"",IF(S2194+T2194=0,"",R2194/(S2194+T2194)))</f>
        <v/>
      </c>
      <c r="V2194" s="63"/>
      <c r="W2194" s="64"/>
      <c r="X2194" s="63"/>
    </row>
    <row r="2195" spans="2:24">
      <c r="B2195" s="58"/>
      <c r="C2195" s="59"/>
      <c r="D2195" s="59"/>
      <c r="E2195" s="59"/>
      <c r="F2195" s="59"/>
      <c r="G2195" s="60">
        <f>IF(OR(E2195="",F2195="",C2195="",D2195=""),"",IF(C2195+D2195=0,"",(E2195*C2195+F2195*D2195)/(C2195+D2195)))</f>
        <v/>
      </c>
      <c r="H2195" s="59"/>
      <c r="I2195" s="60">
        <f>IF(OR(H2195="",E2195="",C2195="",D2195=""),"",IF(C2195+D2195=0,"",(H2195*D2195+E2195*C2195)/(C2195+D2195)))</f>
        <v/>
      </c>
      <c r="J2195" s="59"/>
      <c r="K2195" s="61">
        <f>IF(OR(J2195="",I2195=""),"",J2195-I2195)</f>
        <v/>
      </c>
      <c r="L2195" s="61">
        <f>IF(OR(J2195="",G2195=""),"",J2195-G2195)</f>
        <v/>
      </c>
      <c r="M2195" s="59"/>
      <c r="N2195" s="59"/>
      <c r="O2195" s="59"/>
      <c r="P2195" s="59"/>
      <c r="Q2195" s="59"/>
      <c r="R2195" s="60">
        <f>IF(AND(P2195="",Q2195=""),"",N(P2195)+N(Q2195))</f>
        <v/>
      </c>
      <c r="S2195" s="59"/>
      <c r="T2195" s="59"/>
      <c r="U2195" s="62">
        <f>IF(OR(R2195="",S2195="",T2195=""),"",IF(S2195+T2195=0,"",R2195/(S2195+T2195)))</f>
        <v/>
      </c>
      <c r="V2195" s="63"/>
      <c r="W2195" s="64"/>
      <c r="X2195" s="63"/>
    </row>
    <row r="2196" spans="2:24">
      <c r="B2196" s="58"/>
      <c r="C2196" s="59"/>
      <c r="D2196" s="59"/>
      <c r="E2196" s="59"/>
      <c r="F2196" s="59"/>
      <c r="G2196" s="60">
        <f>IF(OR(E2196="",F2196="",C2196="",D2196=""),"",IF(C2196+D2196=0,"",(E2196*C2196+F2196*D2196)/(C2196+D2196)))</f>
        <v/>
      </c>
      <c r="H2196" s="59"/>
      <c r="I2196" s="60">
        <f>IF(OR(H2196="",E2196="",C2196="",D2196=""),"",IF(C2196+D2196=0,"",(H2196*D2196+E2196*C2196)/(C2196+D2196)))</f>
        <v/>
      </c>
      <c r="J2196" s="59"/>
      <c r="K2196" s="61">
        <f>IF(OR(J2196="",I2196=""),"",J2196-I2196)</f>
        <v/>
      </c>
      <c r="L2196" s="61">
        <f>IF(OR(J2196="",G2196=""),"",J2196-G2196)</f>
        <v/>
      </c>
      <c r="M2196" s="59"/>
      <c r="N2196" s="59"/>
      <c r="O2196" s="59"/>
      <c r="P2196" s="59"/>
      <c r="Q2196" s="59"/>
      <c r="R2196" s="60">
        <f>IF(AND(P2196="",Q2196=""),"",N(P2196)+N(Q2196))</f>
        <v/>
      </c>
      <c r="S2196" s="59"/>
      <c r="T2196" s="59"/>
      <c r="U2196" s="62">
        <f>IF(OR(R2196="",S2196="",T2196=""),"",IF(S2196+T2196=0,"",R2196/(S2196+T2196)))</f>
        <v/>
      </c>
      <c r="V2196" s="63"/>
      <c r="W2196" s="64"/>
      <c r="X2196" s="63"/>
    </row>
    <row r="2197" spans="2:24">
      <c r="B2197" s="58"/>
      <c r="C2197" s="59"/>
      <c r="D2197" s="59"/>
      <c r="E2197" s="59"/>
      <c r="F2197" s="59"/>
      <c r="G2197" s="60">
        <f>IF(OR(E2197="",F2197="",C2197="",D2197=""),"",IF(C2197+D2197=0,"",(E2197*C2197+F2197*D2197)/(C2197+D2197)))</f>
        <v/>
      </c>
      <c r="H2197" s="59"/>
      <c r="I2197" s="60">
        <f>IF(OR(H2197="",E2197="",C2197="",D2197=""),"",IF(C2197+D2197=0,"",(H2197*D2197+E2197*C2197)/(C2197+D2197)))</f>
        <v/>
      </c>
      <c r="J2197" s="59"/>
      <c r="K2197" s="61">
        <f>IF(OR(J2197="",I2197=""),"",J2197-I2197)</f>
        <v/>
      </c>
      <c r="L2197" s="61">
        <f>IF(OR(J2197="",G2197=""),"",J2197-G2197)</f>
        <v/>
      </c>
      <c r="M2197" s="59"/>
      <c r="N2197" s="59"/>
      <c r="O2197" s="59"/>
      <c r="P2197" s="59"/>
      <c r="Q2197" s="59"/>
      <c r="R2197" s="60">
        <f>IF(AND(P2197="",Q2197=""),"",N(P2197)+N(Q2197))</f>
        <v/>
      </c>
      <c r="S2197" s="59"/>
      <c r="T2197" s="59"/>
      <c r="U2197" s="62">
        <f>IF(OR(R2197="",S2197="",T2197=""),"",IF(S2197+T2197=0,"",R2197/(S2197+T2197)))</f>
        <v/>
      </c>
      <c r="V2197" s="63"/>
      <c r="W2197" s="64"/>
      <c r="X2197" s="63"/>
    </row>
    <row r="2198" spans="2:24">
      <c r="B2198" s="58"/>
      <c r="C2198" s="59"/>
      <c r="D2198" s="59"/>
      <c r="E2198" s="59"/>
      <c r="F2198" s="59"/>
      <c r="G2198" s="60">
        <f>IF(OR(E2198="",F2198="",C2198="",D2198=""),"",IF(C2198+D2198=0,"",(E2198*C2198+F2198*D2198)/(C2198+D2198)))</f>
        <v/>
      </c>
      <c r="H2198" s="59"/>
      <c r="I2198" s="60">
        <f>IF(OR(H2198="",E2198="",C2198="",D2198=""),"",IF(C2198+D2198=0,"",(H2198*D2198+E2198*C2198)/(C2198+D2198)))</f>
        <v/>
      </c>
      <c r="J2198" s="59"/>
      <c r="K2198" s="61">
        <f>IF(OR(J2198="",I2198=""),"",J2198-I2198)</f>
        <v/>
      </c>
      <c r="L2198" s="61">
        <f>IF(OR(J2198="",G2198=""),"",J2198-G2198)</f>
        <v/>
      </c>
      <c r="M2198" s="59"/>
      <c r="N2198" s="59"/>
      <c r="O2198" s="59"/>
      <c r="P2198" s="59"/>
      <c r="Q2198" s="59"/>
      <c r="R2198" s="60">
        <f>IF(AND(P2198="",Q2198=""),"",N(P2198)+N(Q2198))</f>
        <v/>
      </c>
      <c r="S2198" s="59"/>
      <c r="T2198" s="59"/>
      <c r="U2198" s="62">
        <f>IF(OR(R2198="",S2198="",T2198=""),"",IF(S2198+T2198=0,"",R2198/(S2198+T2198)))</f>
        <v/>
      </c>
      <c r="V2198" s="63"/>
      <c r="W2198" s="64"/>
      <c r="X2198" s="63"/>
    </row>
    <row r="2199" spans="2:24">
      <c r="B2199" s="58"/>
      <c r="C2199" s="59"/>
      <c r="D2199" s="59"/>
      <c r="E2199" s="59"/>
      <c r="F2199" s="59"/>
      <c r="G2199" s="60">
        <f>IF(OR(E2199="",F2199="",C2199="",D2199=""),"",IF(C2199+D2199=0,"",(E2199*C2199+F2199*D2199)/(C2199+D2199)))</f>
        <v/>
      </c>
      <c r="H2199" s="59"/>
      <c r="I2199" s="60">
        <f>IF(OR(H2199="",E2199="",C2199="",D2199=""),"",IF(C2199+D2199=0,"",(H2199*D2199+E2199*C2199)/(C2199+D2199)))</f>
        <v/>
      </c>
      <c r="J2199" s="59"/>
      <c r="K2199" s="61">
        <f>IF(OR(J2199="",I2199=""),"",J2199-I2199)</f>
        <v/>
      </c>
      <c r="L2199" s="61">
        <f>IF(OR(J2199="",G2199=""),"",J2199-G2199)</f>
        <v/>
      </c>
      <c r="M2199" s="59"/>
      <c r="N2199" s="59"/>
      <c r="O2199" s="59"/>
      <c r="P2199" s="59"/>
      <c r="Q2199" s="59"/>
      <c r="R2199" s="60">
        <f>IF(AND(P2199="",Q2199=""),"",N(P2199)+N(Q2199))</f>
        <v/>
      </c>
      <c r="S2199" s="59"/>
      <c r="T2199" s="59"/>
      <c r="U2199" s="62">
        <f>IF(OR(R2199="",S2199="",T2199=""),"",IF(S2199+T2199=0,"",R2199/(S2199+T2199)))</f>
        <v/>
      </c>
      <c r="V2199" s="63"/>
      <c r="W2199" s="64"/>
      <c r="X2199" s="63"/>
    </row>
    <row r="2200" spans="2:24">
      <c r="B2200" s="58"/>
      <c r="C2200" s="59"/>
      <c r="D2200" s="59"/>
      <c r="E2200" s="59"/>
      <c r="F2200" s="59"/>
      <c r="G2200" s="60">
        <f>IF(OR(E2200="",F2200="",C2200="",D2200=""),"",IF(C2200+D2200=0,"",(E2200*C2200+F2200*D2200)/(C2200+D2200)))</f>
        <v/>
      </c>
      <c r="H2200" s="59"/>
      <c r="I2200" s="60">
        <f>IF(OR(H2200="",E2200="",C2200="",D2200=""),"",IF(C2200+D2200=0,"",(H2200*D2200+E2200*C2200)/(C2200+D2200)))</f>
        <v/>
      </c>
      <c r="J2200" s="59"/>
      <c r="K2200" s="61">
        <f>IF(OR(J2200="",I2200=""),"",J2200-I2200)</f>
        <v/>
      </c>
      <c r="L2200" s="61">
        <f>IF(OR(J2200="",G2200=""),"",J2200-G2200)</f>
        <v/>
      </c>
      <c r="M2200" s="59"/>
      <c r="N2200" s="59"/>
      <c r="O2200" s="59"/>
      <c r="P2200" s="59"/>
      <c r="Q2200" s="59"/>
      <c r="R2200" s="60">
        <f>IF(AND(P2200="",Q2200=""),"",N(P2200)+N(Q2200))</f>
        <v/>
      </c>
      <c r="S2200" s="59"/>
      <c r="T2200" s="59"/>
      <c r="U2200" s="62">
        <f>IF(OR(R2200="",S2200="",T2200=""),"",IF(S2200+T2200=0,"",R2200/(S2200+T2200)))</f>
        <v/>
      </c>
      <c r="V2200" s="63"/>
      <c r="W2200" s="64"/>
      <c r="X2200" s="63"/>
    </row>
    <row r="2201" spans="2:24">
      <c r="B2201" s="58"/>
      <c r="C2201" s="59"/>
      <c r="D2201" s="59"/>
      <c r="E2201" s="59"/>
      <c r="F2201" s="59"/>
      <c r="G2201" s="60">
        <f>IF(OR(E2201="",F2201="",C2201="",D2201=""),"",IF(C2201+D2201=0,"",(E2201*C2201+F2201*D2201)/(C2201+D2201)))</f>
        <v/>
      </c>
      <c r="H2201" s="59"/>
      <c r="I2201" s="60">
        <f>IF(OR(H2201="",E2201="",C2201="",D2201=""),"",IF(C2201+D2201=0,"",(H2201*D2201+E2201*C2201)/(C2201+D2201)))</f>
        <v/>
      </c>
      <c r="J2201" s="59"/>
      <c r="K2201" s="61">
        <f>IF(OR(J2201="",I2201=""),"",J2201-I2201)</f>
        <v/>
      </c>
      <c r="L2201" s="61">
        <f>IF(OR(J2201="",G2201=""),"",J2201-G2201)</f>
        <v/>
      </c>
      <c r="M2201" s="59"/>
      <c r="N2201" s="59"/>
      <c r="O2201" s="59"/>
      <c r="P2201" s="59"/>
      <c r="Q2201" s="59"/>
      <c r="R2201" s="60">
        <f>IF(AND(P2201="",Q2201=""),"",N(P2201)+N(Q2201))</f>
        <v/>
      </c>
      <c r="S2201" s="59"/>
      <c r="T2201" s="59"/>
      <c r="U2201" s="62">
        <f>IF(OR(R2201="",S2201="",T2201=""),"",IF(S2201+T2201=0,"",R2201/(S2201+T2201)))</f>
        <v/>
      </c>
      <c r="V2201" s="63"/>
      <c r="W2201" s="64"/>
      <c r="X2201" s="63"/>
    </row>
    <row r="2202" spans="2:24">
      <c r="B2202" s="58"/>
      <c r="C2202" s="59"/>
      <c r="D2202" s="59"/>
      <c r="E2202" s="59"/>
      <c r="F2202" s="59"/>
      <c r="G2202" s="60">
        <f>IF(OR(E2202="",F2202="",C2202="",D2202=""),"",IF(C2202+D2202=0,"",(E2202*C2202+F2202*D2202)/(C2202+D2202)))</f>
        <v/>
      </c>
      <c r="H2202" s="59"/>
      <c r="I2202" s="60">
        <f>IF(OR(H2202="",E2202="",C2202="",D2202=""),"",IF(C2202+D2202=0,"",(H2202*D2202+E2202*C2202)/(C2202+D2202)))</f>
        <v/>
      </c>
      <c r="J2202" s="59"/>
      <c r="K2202" s="61">
        <f>IF(OR(J2202="",I2202=""),"",J2202-I2202)</f>
        <v/>
      </c>
      <c r="L2202" s="61">
        <f>IF(OR(J2202="",G2202=""),"",J2202-G2202)</f>
        <v/>
      </c>
      <c r="M2202" s="59"/>
      <c r="N2202" s="59"/>
      <c r="O2202" s="59"/>
      <c r="P2202" s="59"/>
      <c r="Q2202" s="59"/>
      <c r="R2202" s="60">
        <f>IF(AND(P2202="",Q2202=""),"",N(P2202)+N(Q2202))</f>
        <v/>
      </c>
      <c r="S2202" s="59"/>
      <c r="T2202" s="59"/>
      <c r="U2202" s="62">
        <f>IF(OR(R2202="",S2202="",T2202=""),"",IF(S2202+T2202=0,"",R2202/(S2202+T2202)))</f>
        <v/>
      </c>
      <c r="V2202" s="63"/>
      <c r="W2202" s="64"/>
      <c r="X2202" s="63"/>
    </row>
    <row r="2203" spans="2:24">
      <c r="B2203" s="58"/>
      <c r="C2203" s="59"/>
      <c r="D2203" s="59"/>
      <c r="E2203" s="59"/>
      <c r="F2203" s="59"/>
      <c r="G2203" s="60">
        <f>IF(OR(E2203="",F2203="",C2203="",D2203=""),"",IF(C2203+D2203=0,"",(E2203*C2203+F2203*D2203)/(C2203+D2203)))</f>
        <v/>
      </c>
      <c r="H2203" s="59"/>
      <c r="I2203" s="60">
        <f>IF(OR(H2203="",E2203="",C2203="",D2203=""),"",IF(C2203+D2203=0,"",(H2203*D2203+E2203*C2203)/(C2203+D2203)))</f>
        <v/>
      </c>
      <c r="J2203" s="59"/>
      <c r="K2203" s="61">
        <f>IF(OR(J2203="",I2203=""),"",J2203-I2203)</f>
        <v/>
      </c>
      <c r="L2203" s="61">
        <f>IF(OR(J2203="",G2203=""),"",J2203-G2203)</f>
        <v/>
      </c>
      <c r="M2203" s="59"/>
      <c r="N2203" s="59"/>
      <c r="O2203" s="59"/>
      <c r="P2203" s="59"/>
      <c r="Q2203" s="59"/>
      <c r="R2203" s="60">
        <f>IF(AND(P2203="",Q2203=""),"",N(P2203)+N(Q2203))</f>
        <v/>
      </c>
      <c r="S2203" s="59"/>
      <c r="T2203" s="59"/>
      <c r="U2203" s="62">
        <f>IF(OR(R2203="",S2203="",T2203=""),"",IF(S2203+T2203=0,"",R2203/(S2203+T2203)))</f>
        <v/>
      </c>
      <c r="V2203" s="63"/>
      <c r="W2203" s="64"/>
      <c r="X2203" s="63"/>
    </row>
    <row r="2204" spans="2:24">
      <c r="B2204" s="58"/>
      <c r="C2204" s="59"/>
      <c r="D2204" s="59"/>
      <c r="E2204" s="59"/>
      <c r="F2204" s="59"/>
      <c r="G2204" s="60">
        <f>IF(OR(E2204="",F2204="",C2204="",D2204=""),"",IF(C2204+D2204=0,"",(E2204*C2204+F2204*D2204)/(C2204+D2204)))</f>
        <v/>
      </c>
      <c r="H2204" s="59"/>
      <c r="I2204" s="60">
        <f>IF(OR(H2204="",E2204="",C2204="",D2204=""),"",IF(C2204+D2204=0,"",(H2204*D2204+E2204*C2204)/(C2204+D2204)))</f>
        <v/>
      </c>
      <c r="J2204" s="59"/>
      <c r="K2204" s="61">
        <f>IF(OR(J2204="",I2204=""),"",J2204-I2204)</f>
        <v/>
      </c>
      <c r="L2204" s="61">
        <f>IF(OR(J2204="",G2204=""),"",J2204-G2204)</f>
        <v/>
      </c>
      <c r="M2204" s="59"/>
      <c r="N2204" s="59"/>
      <c r="O2204" s="59"/>
      <c r="P2204" s="59"/>
      <c r="Q2204" s="59"/>
      <c r="R2204" s="60">
        <f>IF(AND(P2204="",Q2204=""),"",N(P2204)+N(Q2204))</f>
        <v/>
      </c>
      <c r="S2204" s="59"/>
      <c r="T2204" s="59"/>
      <c r="U2204" s="62">
        <f>IF(OR(R2204="",S2204="",T2204=""),"",IF(S2204+T2204=0,"",R2204/(S2204+T2204)))</f>
        <v/>
      </c>
      <c r="V2204" s="63"/>
      <c r="W2204" s="64"/>
      <c r="X2204" s="63"/>
    </row>
    <row r="2205" spans="2:24">
      <c r="B2205" s="58"/>
      <c r="C2205" s="59"/>
      <c r="D2205" s="59"/>
      <c r="E2205" s="59"/>
      <c r="F2205" s="59"/>
      <c r="G2205" s="60">
        <f>IF(OR(E2205="",F2205="",C2205="",D2205=""),"",IF(C2205+D2205=0,"",(E2205*C2205+F2205*D2205)/(C2205+D2205)))</f>
        <v/>
      </c>
      <c r="H2205" s="59"/>
      <c r="I2205" s="60">
        <f>IF(OR(H2205="",E2205="",C2205="",D2205=""),"",IF(C2205+D2205=0,"",(H2205*D2205+E2205*C2205)/(C2205+D2205)))</f>
        <v/>
      </c>
      <c r="J2205" s="59"/>
      <c r="K2205" s="61">
        <f>IF(OR(J2205="",I2205=""),"",J2205-I2205)</f>
        <v/>
      </c>
      <c r="L2205" s="61">
        <f>IF(OR(J2205="",G2205=""),"",J2205-G2205)</f>
        <v/>
      </c>
      <c r="M2205" s="59"/>
      <c r="N2205" s="59"/>
      <c r="O2205" s="59"/>
      <c r="P2205" s="59"/>
      <c r="Q2205" s="59"/>
      <c r="R2205" s="60">
        <f>IF(AND(P2205="",Q2205=""),"",N(P2205)+N(Q2205))</f>
        <v/>
      </c>
      <c r="S2205" s="59"/>
      <c r="T2205" s="59"/>
      <c r="U2205" s="62">
        <f>IF(OR(R2205="",S2205="",T2205=""),"",IF(S2205+T2205=0,"",R2205/(S2205+T2205)))</f>
        <v/>
      </c>
      <c r="V2205" s="63"/>
      <c r="W2205" s="64"/>
      <c r="X2205" s="63"/>
    </row>
    <row r="2206" spans="2:24">
      <c r="B2206" s="58"/>
      <c r="C2206" s="59"/>
      <c r="D2206" s="59"/>
      <c r="E2206" s="59"/>
      <c r="F2206" s="59"/>
      <c r="G2206" s="60">
        <f>IF(OR(E2206="",F2206="",C2206="",D2206=""),"",IF(C2206+D2206=0,"",(E2206*C2206+F2206*D2206)/(C2206+D2206)))</f>
        <v/>
      </c>
      <c r="H2206" s="59"/>
      <c r="I2206" s="60">
        <f>IF(OR(H2206="",E2206="",C2206="",D2206=""),"",IF(C2206+D2206=0,"",(H2206*D2206+E2206*C2206)/(C2206+D2206)))</f>
        <v/>
      </c>
      <c r="J2206" s="59"/>
      <c r="K2206" s="61">
        <f>IF(OR(J2206="",I2206=""),"",J2206-I2206)</f>
        <v/>
      </c>
      <c r="L2206" s="61">
        <f>IF(OR(J2206="",G2206=""),"",J2206-G2206)</f>
        <v/>
      </c>
      <c r="M2206" s="59"/>
      <c r="N2206" s="59"/>
      <c r="O2206" s="59"/>
      <c r="P2206" s="59"/>
      <c r="Q2206" s="59"/>
      <c r="R2206" s="60">
        <f>IF(AND(P2206="",Q2206=""),"",N(P2206)+N(Q2206))</f>
        <v/>
      </c>
      <c r="S2206" s="59"/>
      <c r="T2206" s="59"/>
      <c r="U2206" s="62">
        <f>IF(OR(R2206="",S2206="",T2206=""),"",IF(S2206+T2206=0,"",R2206/(S2206+T2206)))</f>
        <v/>
      </c>
      <c r="V2206" s="63"/>
      <c r="W2206" s="64"/>
      <c r="X2206" s="63"/>
    </row>
    <row r="2207" spans="2:24">
      <c r="B2207" s="58"/>
      <c r="C2207" s="59"/>
      <c r="D2207" s="59"/>
      <c r="E2207" s="59"/>
      <c r="F2207" s="59"/>
      <c r="G2207" s="60">
        <f>IF(OR(E2207="",F2207="",C2207="",D2207=""),"",IF(C2207+D2207=0,"",(E2207*C2207+F2207*D2207)/(C2207+D2207)))</f>
        <v/>
      </c>
      <c r="H2207" s="59"/>
      <c r="I2207" s="60">
        <f>IF(OR(H2207="",E2207="",C2207="",D2207=""),"",IF(C2207+D2207=0,"",(H2207*D2207+E2207*C2207)/(C2207+D2207)))</f>
        <v/>
      </c>
      <c r="J2207" s="59"/>
      <c r="K2207" s="61">
        <f>IF(OR(J2207="",I2207=""),"",J2207-I2207)</f>
        <v/>
      </c>
      <c r="L2207" s="61">
        <f>IF(OR(J2207="",G2207=""),"",J2207-G2207)</f>
        <v/>
      </c>
      <c r="M2207" s="59"/>
      <c r="N2207" s="59"/>
      <c r="O2207" s="59"/>
      <c r="P2207" s="59"/>
      <c r="Q2207" s="59"/>
      <c r="R2207" s="60">
        <f>IF(AND(P2207="",Q2207=""),"",N(P2207)+N(Q2207))</f>
        <v/>
      </c>
      <c r="S2207" s="59"/>
      <c r="T2207" s="59"/>
      <c r="U2207" s="62">
        <f>IF(OR(R2207="",S2207="",T2207=""),"",IF(S2207+T2207=0,"",R2207/(S2207+T2207)))</f>
        <v/>
      </c>
      <c r="V2207" s="63"/>
      <c r="W2207" s="64"/>
      <c r="X2207" s="63"/>
    </row>
    <row r="2208" spans="2:24">
      <c r="B2208" s="58"/>
      <c r="C2208" s="59"/>
      <c r="D2208" s="59"/>
      <c r="E2208" s="59"/>
      <c r="F2208" s="59"/>
      <c r="G2208" s="60">
        <f>IF(OR(E2208="",F2208="",C2208="",D2208=""),"",IF(C2208+D2208=0,"",(E2208*C2208+F2208*D2208)/(C2208+D2208)))</f>
        <v/>
      </c>
      <c r="H2208" s="59"/>
      <c r="I2208" s="60">
        <f>IF(OR(H2208="",E2208="",C2208="",D2208=""),"",IF(C2208+D2208=0,"",(H2208*D2208+E2208*C2208)/(C2208+D2208)))</f>
        <v/>
      </c>
      <c r="J2208" s="59"/>
      <c r="K2208" s="61">
        <f>IF(OR(J2208="",I2208=""),"",J2208-I2208)</f>
        <v/>
      </c>
      <c r="L2208" s="61">
        <f>IF(OR(J2208="",G2208=""),"",J2208-G2208)</f>
        <v/>
      </c>
      <c r="M2208" s="59"/>
      <c r="N2208" s="59"/>
      <c r="O2208" s="59"/>
      <c r="P2208" s="59"/>
      <c r="Q2208" s="59"/>
      <c r="R2208" s="60">
        <f>IF(AND(P2208="",Q2208=""),"",N(P2208)+N(Q2208))</f>
        <v/>
      </c>
      <c r="S2208" s="59"/>
      <c r="T2208" s="59"/>
      <c r="U2208" s="62">
        <f>IF(OR(R2208="",S2208="",T2208=""),"",IF(S2208+T2208=0,"",R2208/(S2208+T2208)))</f>
        <v/>
      </c>
      <c r="V2208" s="63"/>
      <c r="W2208" s="64"/>
      <c r="X2208" s="63"/>
    </row>
    <row r="2209" spans="2:24">
      <c r="B2209" s="58"/>
      <c r="C2209" s="59"/>
      <c r="D2209" s="59"/>
      <c r="E2209" s="59"/>
      <c r="F2209" s="59"/>
      <c r="G2209" s="60">
        <f>IF(OR(E2209="",F2209="",C2209="",D2209=""),"",IF(C2209+D2209=0,"",(E2209*C2209+F2209*D2209)/(C2209+D2209)))</f>
        <v/>
      </c>
      <c r="H2209" s="59"/>
      <c r="I2209" s="60">
        <f>IF(OR(H2209="",E2209="",C2209="",D2209=""),"",IF(C2209+D2209=0,"",(H2209*D2209+E2209*C2209)/(C2209+D2209)))</f>
        <v/>
      </c>
      <c r="J2209" s="59"/>
      <c r="K2209" s="61">
        <f>IF(OR(J2209="",I2209=""),"",J2209-I2209)</f>
        <v/>
      </c>
      <c r="L2209" s="61">
        <f>IF(OR(J2209="",G2209=""),"",J2209-G2209)</f>
        <v/>
      </c>
      <c r="M2209" s="59"/>
      <c r="N2209" s="59"/>
      <c r="O2209" s="59"/>
      <c r="P2209" s="59"/>
      <c r="Q2209" s="59"/>
      <c r="R2209" s="60">
        <f>IF(AND(P2209="",Q2209=""),"",N(P2209)+N(Q2209))</f>
        <v/>
      </c>
      <c r="S2209" s="59"/>
      <c r="T2209" s="59"/>
      <c r="U2209" s="62">
        <f>IF(OR(R2209="",S2209="",T2209=""),"",IF(S2209+T2209=0,"",R2209/(S2209+T2209)))</f>
        <v/>
      </c>
      <c r="V2209" s="63"/>
      <c r="W2209" s="64"/>
      <c r="X2209" s="63"/>
    </row>
    <row r="2210" spans="2:24">
      <c r="B2210" s="58"/>
      <c r="C2210" s="59"/>
      <c r="D2210" s="59"/>
      <c r="E2210" s="59"/>
      <c r="F2210" s="59"/>
      <c r="G2210" s="60">
        <f>IF(OR(E2210="",F2210="",C2210="",D2210=""),"",IF(C2210+D2210=0,"",(E2210*C2210+F2210*D2210)/(C2210+D2210)))</f>
        <v/>
      </c>
      <c r="H2210" s="59"/>
      <c r="I2210" s="60">
        <f>IF(OR(H2210="",E2210="",C2210="",D2210=""),"",IF(C2210+D2210=0,"",(H2210*D2210+E2210*C2210)/(C2210+D2210)))</f>
        <v/>
      </c>
      <c r="J2210" s="59"/>
      <c r="K2210" s="61">
        <f>IF(OR(J2210="",I2210=""),"",J2210-I2210)</f>
        <v/>
      </c>
      <c r="L2210" s="61">
        <f>IF(OR(J2210="",G2210=""),"",J2210-G2210)</f>
        <v/>
      </c>
      <c r="M2210" s="59"/>
      <c r="N2210" s="59"/>
      <c r="O2210" s="59"/>
      <c r="P2210" s="59"/>
      <c r="Q2210" s="59"/>
      <c r="R2210" s="60">
        <f>IF(AND(P2210="",Q2210=""),"",N(P2210)+N(Q2210))</f>
        <v/>
      </c>
      <c r="S2210" s="59"/>
      <c r="T2210" s="59"/>
      <c r="U2210" s="62">
        <f>IF(OR(R2210="",S2210="",T2210=""),"",IF(S2210+T2210=0,"",R2210/(S2210+T2210)))</f>
        <v/>
      </c>
      <c r="V2210" s="63"/>
      <c r="W2210" s="64"/>
      <c r="X2210" s="63"/>
    </row>
    <row r="2211" spans="2:24">
      <c r="B2211" s="58"/>
      <c r="C2211" s="59"/>
      <c r="D2211" s="59"/>
      <c r="E2211" s="59"/>
      <c r="F2211" s="59"/>
      <c r="G2211" s="60">
        <f>IF(OR(E2211="",F2211="",C2211="",D2211=""),"",IF(C2211+D2211=0,"",(E2211*C2211+F2211*D2211)/(C2211+D2211)))</f>
        <v/>
      </c>
      <c r="H2211" s="59"/>
      <c r="I2211" s="60">
        <f>IF(OR(H2211="",E2211="",C2211="",D2211=""),"",IF(C2211+D2211=0,"",(H2211*D2211+E2211*C2211)/(C2211+D2211)))</f>
        <v/>
      </c>
      <c r="J2211" s="59"/>
      <c r="K2211" s="61">
        <f>IF(OR(J2211="",I2211=""),"",J2211-I2211)</f>
        <v/>
      </c>
      <c r="L2211" s="61">
        <f>IF(OR(J2211="",G2211=""),"",J2211-G2211)</f>
        <v/>
      </c>
      <c r="M2211" s="59"/>
      <c r="N2211" s="59"/>
      <c r="O2211" s="59"/>
      <c r="P2211" s="59"/>
      <c r="Q2211" s="59"/>
      <c r="R2211" s="60">
        <f>IF(AND(P2211="",Q2211=""),"",N(P2211)+N(Q2211))</f>
        <v/>
      </c>
      <c r="S2211" s="59"/>
      <c r="T2211" s="59"/>
      <c r="U2211" s="62">
        <f>IF(OR(R2211="",S2211="",T2211=""),"",IF(S2211+T2211=0,"",R2211/(S2211+T2211)))</f>
        <v/>
      </c>
      <c r="V2211" s="63"/>
      <c r="W2211" s="64"/>
      <c r="X2211" s="63"/>
    </row>
    <row r="2212" spans="2:24">
      <c r="B2212" s="58"/>
      <c r="C2212" s="59"/>
      <c r="D2212" s="59"/>
      <c r="E2212" s="59"/>
      <c r="F2212" s="59"/>
      <c r="G2212" s="60">
        <f>IF(OR(E2212="",F2212="",C2212="",D2212=""),"",IF(C2212+D2212=0,"",(E2212*C2212+F2212*D2212)/(C2212+D2212)))</f>
        <v/>
      </c>
      <c r="H2212" s="59"/>
      <c r="I2212" s="60">
        <f>IF(OR(H2212="",E2212="",C2212="",D2212=""),"",IF(C2212+D2212=0,"",(H2212*D2212+E2212*C2212)/(C2212+D2212)))</f>
        <v/>
      </c>
      <c r="J2212" s="59"/>
      <c r="K2212" s="61">
        <f>IF(OR(J2212="",I2212=""),"",J2212-I2212)</f>
        <v/>
      </c>
      <c r="L2212" s="61">
        <f>IF(OR(J2212="",G2212=""),"",J2212-G2212)</f>
        <v/>
      </c>
      <c r="M2212" s="59"/>
      <c r="N2212" s="59"/>
      <c r="O2212" s="59"/>
      <c r="P2212" s="59"/>
      <c r="Q2212" s="59"/>
      <c r="R2212" s="60">
        <f>IF(AND(P2212="",Q2212=""),"",N(P2212)+N(Q2212))</f>
        <v/>
      </c>
      <c r="S2212" s="59"/>
      <c r="T2212" s="59"/>
      <c r="U2212" s="62">
        <f>IF(OR(R2212="",S2212="",T2212=""),"",IF(S2212+T2212=0,"",R2212/(S2212+T2212)))</f>
        <v/>
      </c>
      <c r="V2212" s="63"/>
      <c r="W2212" s="64"/>
      <c r="X2212" s="63"/>
    </row>
    <row r="2213" spans="2:24">
      <c r="B2213" s="58"/>
      <c r="C2213" s="59"/>
      <c r="D2213" s="59"/>
      <c r="E2213" s="59"/>
      <c r="F2213" s="59"/>
      <c r="G2213" s="60">
        <f>IF(OR(E2213="",F2213="",C2213="",D2213=""),"",IF(C2213+D2213=0,"",(E2213*C2213+F2213*D2213)/(C2213+D2213)))</f>
        <v/>
      </c>
      <c r="H2213" s="59"/>
      <c r="I2213" s="60">
        <f>IF(OR(H2213="",E2213="",C2213="",D2213=""),"",IF(C2213+D2213=0,"",(H2213*D2213+E2213*C2213)/(C2213+D2213)))</f>
        <v/>
      </c>
      <c r="J2213" s="59"/>
      <c r="K2213" s="61">
        <f>IF(OR(J2213="",I2213=""),"",J2213-I2213)</f>
        <v/>
      </c>
      <c r="L2213" s="61">
        <f>IF(OR(J2213="",G2213=""),"",J2213-G2213)</f>
        <v/>
      </c>
      <c r="M2213" s="59"/>
      <c r="N2213" s="59"/>
      <c r="O2213" s="59"/>
      <c r="P2213" s="59"/>
      <c r="Q2213" s="59"/>
      <c r="R2213" s="60">
        <f>IF(AND(P2213="",Q2213=""),"",N(P2213)+N(Q2213))</f>
        <v/>
      </c>
      <c r="S2213" s="59"/>
      <c r="T2213" s="59"/>
      <c r="U2213" s="62">
        <f>IF(OR(R2213="",S2213="",T2213=""),"",IF(S2213+T2213=0,"",R2213/(S2213+T2213)))</f>
        <v/>
      </c>
      <c r="V2213" s="63"/>
      <c r="W2213" s="64"/>
      <c r="X2213" s="63"/>
    </row>
    <row r="2214" spans="2:24">
      <c r="B2214" s="58"/>
      <c r="C2214" s="59"/>
      <c r="D2214" s="59"/>
      <c r="E2214" s="59"/>
      <c r="F2214" s="59"/>
      <c r="G2214" s="60">
        <f>IF(OR(E2214="",F2214="",C2214="",D2214=""),"",IF(C2214+D2214=0,"",(E2214*C2214+F2214*D2214)/(C2214+D2214)))</f>
        <v/>
      </c>
      <c r="H2214" s="59"/>
      <c r="I2214" s="60">
        <f>IF(OR(H2214="",E2214="",C2214="",D2214=""),"",IF(C2214+D2214=0,"",(H2214*D2214+E2214*C2214)/(C2214+D2214)))</f>
        <v/>
      </c>
      <c r="J2214" s="59"/>
      <c r="K2214" s="61">
        <f>IF(OR(J2214="",I2214=""),"",J2214-I2214)</f>
        <v/>
      </c>
      <c r="L2214" s="61">
        <f>IF(OR(J2214="",G2214=""),"",J2214-G2214)</f>
        <v/>
      </c>
      <c r="M2214" s="59"/>
      <c r="N2214" s="59"/>
      <c r="O2214" s="59"/>
      <c r="P2214" s="59"/>
      <c r="Q2214" s="59"/>
      <c r="R2214" s="60">
        <f>IF(AND(P2214="",Q2214=""),"",N(P2214)+N(Q2214))</f>
        <v/>
      </c>
      <c r="S2214" s="59"/>
      <c r="T2214" s="59"/>
      <c r="U2214" s="62">
        <f>IF(OR(R2214="",S2214="",T2214=""),"",IF(S2214+T2214=0,"",R2214/(S2214+T2214)))</f>
        <v/>
      </c>
      <c r="V2214" s="63"/>
      <c r="W2214" s="64"/>
      <c r="X2214" s="63"/>
    </row>
    <row r="2215" spans="2:24">
      <c r="B2215" s="58"/>
      <c r="C2215" s="59"/>
      <c r="D2215" s="59"/>
      <c r="E2215" s="59"/>
      <c r="F2215" s="59"/>
      <c r="G2215" s="60">
        <f>IF(OR(E2215="",F2215="",C2215="",D2215=""),"",IF(C2215+D2215=0,"",(E2215*C2215+F2215*D2215)/(C2215+D2215)))</f>
        <v/>
      </c>
      <c r="H2215" s="59"/>
      <c r="I2215" s="60">
        <f>IF(OR(H2215="",E2215="",C2215="",D2215=""),"",IF(C2215+D2215=0,"",(H2215*D2215+E2215*C2215)/(C2215+D2215)))</f>
        <v/>
      </c>
      <c r="J2215" s="59"/>
      <c r="K2215" s="61">
        <f>IF(OR(J2215="",I2215=""),"",J2215-I2215)</f>
        <v/>
      </c>
      <c r="L2215" s="61">
        <f>IF(OR(J2215="",G2215=""),"",J2215-G2215)</f>
        <v/>
      </c>
      <c r="M2215" s="59"/>
      <c r="N2215" s="59"/>
      <c r="O2215" s="59"/>
      <c r="P2215" s="59"/>
      <c r="Q2215" s="59"/>
      <c r="R2215" s="60">
        <f>IF(AND(P2215="",Q2215=""),"",N(P2215)+N(Q2215))</f>
        <v/>
      </c>
      <c r="S2215" s="59"/>
      <c r="T2215" s="59"/>
      <c r="U2215" s="62">
        <f>IF(OR(R2215="",S2215="",T2215=""),"",IF(S2215+T2215=0,"",R2215/(S2215+T2215)))</f>
        <v/>
      </c>
      <c r="V2215" s="63"/>
      <c r="W2215" s="64"/>
      <c r="X2215" s="63"/>
    </row>
    <row r="2216" spans="2:24">
      <c r="B2216" s="58"/>
      <c r="C2216" s="59"/>
      <c r="D2216" s="59"/>
      <c r="E2216" s="59"/>
      <c r="F2216" s="59"/>
      <c r="G2216" s="60">
        <f>IF(OR(E2216="",F2216="",C2216="",D2216=""),"",IF(C2216+D2216=0,"",(E2216*C2216+F2216*D2216)/(C2216+D2216)))</f>
        <v/>
      </c>
      <c r="H2216" s="59"/>
      <c r="I2216" s="60">
        <f>IF(OR(H2216="",E2216="",C2216="",D2216=""),"",IF(C2216+D2216=0,"",(H2216*D2216+E2216*C2216)/(C2216+D2216)))</f>
        <v/>
      </c>
      <c r="J2216" s="59"/>
      <c r="K2216" s="61">
        <f>IF(OR(J2216="",I2216=""),"",J2216-I2216)</f>
        <v/>
      </c>
      <c r="L2216" s="61">
        <f>IF(OR(J2216="",G2216=""),"",J2216-G2216)</f>
        <v/>
      </c>
      <c r="M2216" s="59"/>
      <c r="N2216" s="59"/>
      <c r="O2216" s="59"/>
      <c r="P2216" s="59"/>
      <c r="Q2216" s="59"/>
      <c r="R2216" s="60">
        <f>IF(AND(P2216="",Q2216=""),"",N(P2216)+N(Q2216))</f>
        <v/>
      </c>
      <c r="S2216" s="59"/>
      <c r="T2216" s="59"/>
      <c r="U2216" s="62">
        <f>IF(OR(R2216="",S2216="",T2216=""),"",IF(S2216+T2216=0,"",R2216/(S2216+T2216)))</f>
        <v/>
      </c>
      <c r="V2216" s="63"/>
      <c r="W2216" s="64"/>
      <c r="X2216" s="63"/>
    </row>
    <row r="2217" spans="2:24">
      <c r="B2217" s="58"/>
      <c r="C2217" s="59"/>
      <c r="D2217" s="59"/>
      <c r="E2217" s="59"/>
      <c r="F2217" s="59"/>
      <c r="G2217" s="60">
        <f>IF(OR(E2217="",F2217="",C2217="",D2217=""),"",IF(C2217+D2217=0,"",(E2217*C2217+F2217*D2217)/(C2217+D2217)))</f>
        <v/>
      </c>
      <c r="H2217" s="59"/>
      <c r="I2217" s="60">
        <f>IF(OR(H2217="",E2217="",C2217="",D2217=""),"",IF(C2217+D2217=0,"",(H2217*D2217+E2217*C2217)/(C2217+D2217)))</f>
        <v/>
      </c>
      <c r="J2217" s="59"/>
      <c r="K2217" s="61">
        <f>IF(OR(J2217="",I2217=""),"",J2217-I2217)</f>
        <v/>
      </c>
      <c r="L2217" s="61">
        <f>IF(OR(J2217="",G2217=""),"",J2217-G2217)</f>
        <v/>
      </c>
      <c r="M2217" s="59"/>
      <c r="N2217" s="59"/>
      <c r="O2217" s="59"/>
      <c r="P2217" s="59"/>
      <c r="Q2217" s="59"/>
      <c r="R2217" s="60">
        <f>IF(AND(P2217="",Q2217=""),"",N(P2217)+N(Q2217))</f>
        <v/>
      </c>
      <c r="S2217" s="59"/>
      <c r="T2217" s="59"/>
      <c r="U2217" s="62">
        <f>IF(OR(R2217="",S2217="",T2217=""),"",IF(S2217+T2217=0,"",R2217/(S2217+T2217)))</f>
        <v/>
      </c>
      <c r="V2217" s="63"/>
      <c r="W2217" s="64"/>
      <c r="X2217" s="63"/>
    </row>
    <row r="2218" spans="2:24">
      <c r="B2218" s="58"/>
      <c r="C2218" s="59"/>
      <c r="D2218" s="59"/>
      <c r="E2218" s="59"/>
      <c r="F2218" s="59"/>
      <c r="G2218" s="60">
        <f>IF(OR(E2218="",F2218="",C2218="",D2218=""),"",IF(C2218+D2218=0,"",(E2218*C2218+F2218*D2218)/(C2218+D2218)))</f>
        <v/>
      </c>
      <c r="H2218" s="59"/>
      <c r="I2218" s="60">
        <f>IF(OR(H2218="",E2218="",C2218="",D2218=""),"",IF(C2218+D2218=0,"",(H2218*D2218+E2218*C2218)/(C2218+D2218)))</f>
        <v/>
      </c>
      <c r="J2218" s="59"/>
      <c r="K2218" s="61">
        <f>IF(OR(J2218="",I2218=""),"",J2218-I2218)</f>
        <v/>
      </c>
      <c r="L2218" s="61">
        <f>IF(OR(J2218="",G2218=""),"",J2218-G2218)</f>
        <v/>
      </c>
      <c r="M2218" s="59"/>
      <c r="N2218" s="59"/>
      <c r="O2218" s="59"/>
      <c r="P2218" s="59"/>
      <c r="Q2218" s="59"/>
      <c r="R2218" s="60">
        <f>IF(AND(P2218="",Q2218=""),"",N(P2218)+N(Q2218))</f>
        <v/>
      </c>
      <c r="S2218" s="59"/>
      <c r="T2218" s="59"/>
      <c r="U2218" s="62">
        <f>IF(OR(R2218="",S2218="",T2218=""),"",IF(S2218+T2218=0,"",R2218/(S2218+T2218)))</f>
        <v/>
      </c>
      <c r="V2218" s="63"/>
      <c r="W2218" s="64"/>
      <c r="X2218" s="63"/>
    </row>
    <row r="2219" spans="2:24">
      <c r="B2219" s="58"/>
      <c r="C2219" s="59"/>
      <c r="D2219" s="59"/>
      <c r="E2219" s="59"/>
      <c r="F2219" s="59"/>
      <c r="G2219" s="60">
        <f>IF(OR(E2219="",F2219="",C2219="",D2219=""),"",IF(C2219+D2219=0,"",(E2219*C2219+F2219*D2219)/(C2219+D2219)))</f>
        <v/>
      </c>
      <c r="H2219" s="59"/>
      <c r="I2219" s="60">
        <f>IF(OR(H2219="",E2219="",C2219="",D2219=""),"",IF(C2219+D2219=0,"",(H2219*D2219+E2219*C2219)/(C2219+D2219)))</f>
        <v/>
      </c>
      <c r="J2219" s="59"/>
      <c r="K2219" s="61">
        <f>IF(OR(J2219="",I2219=""),"",J2219-I2219)</f>
        <v/>
      </c>
      <c r="L2219" s="61">
        <f>IF(OR(J2219="",G2219=""),"",J2219-G2219)</f>
        <v/>
      </c>
      <c r="M2219" s="59"/>
      <c r="N2219" s="59"/>
      <c r="O2219" s="59"/>
      <c r="P2219" s="59"/>
      <c r="Q2219" s="59"/>
      <c r="R2219" s="60">
        <f>IF(AND(P2219="",Q2219=""),"",N(P2219)+N(Q2219))</f>
        <v/>
      </c>
      <c r="S2219" s="59"/>
      <c r="T2219" s="59"/>
      <c r="U2219" s="62">
        <f>IF(OR(R2219="",S2219="",T2219=""),"",IF(S2219+T2219=0,"",R2219/(S2219+T2219)))</f>
        <v/>
      </c>
      <c r="V2219" s="63"/>
      <c r="W2219" s="64"/>
      <c r="X2219" s="63"/>
    </row>
    <row r="2220" spans="2:24">
      <c r="B2220" s="58"/>
      <c r="C2220" s="59"/>
      <c r="D2220" s="59"/>
      <c r="E2220" s="59"/>
      <c r="F2220" s="59"/>
      <c r="G2220" s="60">
        <f>IF(OR(E2220="",F2220="",C2220="",D2220=""),"",IF(C2220+D2220=0,"",(E2220*C2220+F2220*D2220)/(C2220+D2220)))</f>
        <v/>
      </c>
      <c r="H2220" s="59"/>
      <c r="I2220" s="60">
        <f>IF(OR(H2220="",E2220="",C2220="",D2220=""),"",IF(C2220+D2220=0,"",(H2220*D2220+E2220*C2220)/(C2220+D2220)))</f>
        <v/>
      </c>
      <c r="J2220" s="59"/>
      <c r="K2220" s="61">
        <f>IF(OR(J2220="",I2220=""),"",J2220-I2220)</f>
        <v/>
      </c>
      <c r="L2220" s="61">
        <f>IF(OR(J2220="",G2220=""),"",J2220-G2220)</f>
        <v/>
      </c>
      <c r="M2220" s="59"/>
      <c r="N2220" s="59"/>
      <c r="O2220" s="59"/>
      <c r="P2220" s="59"/>
      <c r="Q2220" s="59"/>
      <c r="R2220" s="60">
        <f>IF(AND(P2220="",Q2220=""),"",N(P2220)+N(Q2220))</f>
        <v/>
      </c>
      <c r="S2220" s="59"/>
      <c r="T2220" s="59"/>
      <c r="U2220" s="62">
        <f>IF(OR(R2220="",S2220="",T2220=""),"",IF(S2220+T2220=0,"",R2220/(S2220+T2220)))</f>
        <v/>
      </c>
      <c r="V2220" s="63"/>
      <c r="W2220" s="64"/>
      <c r="X2220" s="63"/>
    </row>
    <row r="2221" spans="2:24">
      <c r="B2221" s="58"/>
      <c r="C2221" s="59"/>
      <c r="D2221" s="59"/>
      <c r="E2221" s="59"/>
      <c r="F2221" s="59"/>
      <c r="G2221" s="60">
        <f>IF(OR(E2221="",F2221="",C2221="",D2221=""),"",IF(C2221+D2221=0,"",(E2221*C2221+F2221*D2221)/(C2221+D2221)))</f>
        <v/>
      </c>
      <c r="H2221" s="59"/>
      <c r="I2221" s="60">
        <f>IF(OR(H2221="",E2221="",C2221="",D2221=""),"",IF(C2221+D2221=0,"",(H2221*D2221+E2221*C2221)/(C2221+D2221)))</f>
        <v/>
      </c>
      <c r="J2221" s="59"/>
      <c r="K2221" s="61">
        <f>IF(OR(J2221="",I2221=""),"",J2221-I2221)</f>
        <v/>
      </c>
      <c r="L2221" s="61">
        <f>IF(OR(J2221="",G2221=""),"",J2221-G2221)</f>
        <v/>
      </c>
      <c r="M2221" s="59"/>
      <c r="N2221" s="59"/>
      <c r="O2221" s="59"/>
      <c r="P2221" s="59"/>
      <c r="Q2221" s="59"/>
      <c r="R2221" s="60">
        <f>IF(AND(P2221="",Q2221=""),"",N(P2221)+N(Q2221))</f>
        <v/>
      </c>
      <c r="S2221" s="59"/>
      <c r="T2221" s="59"/>
      <c r="U2221" s="62">
        <f>IF(OR(R2221="",S2221="",T2221=""),"",IF(S2221+T2221=0,"",R2221/(S2221+T2221)))</f>
        <v/>
      </c>
      <c r="V2221" s="63"/>
      <c r="W2221" s="64"/>
      <c r="X2221" s="63"/>
    </row>
    <row r="2222" spans="2:24">
      <c r="B2222" s="58"/>
      <c r="C2222" s="59"/>
      <c r="D2222" s="59"/>
      <c r="E2222" s="59"/>
      <c r="F2222" s="59"/>
      <c r="G2222" s="60">
        <f>IF(OR(E2222="",F2222="",C2222="",D2222=""),"",IF(C2222+D2222=0,"",(E2222*C2222+F2222*D2222)/(C2222+D2222)))</f>
        <v/>
      </c>
      <c r="H2222" s="59"/>
      <c r="I2222" s="60">
        <f>IF(OR(H2222="",E2222="",C2222="",D2222=""),"",IF(C2222+D2222=0,"",(H2222*D2222+E2222*C2222)/(C2222+D2222)))</f>
        <v/>
      </c>
      <c r="J2222" s="59"/>
      <c r="K2222" s="61">
        <f>IF(OR(J2222="",I2222=""),"",J2222-I2222)</f>
        <v/>
      </c>
      <c r="L2222" s="61">
        <f>IF(OR(J2222="",G2222=""),"",J2222-G2222)</f>
        <v/>
      </c>
      <c r="M2222" s="59"/>
      <c r="N2222" s="59"/>
      <c r="O2222" s="59"/>
      <c r="P2222" s="59"/>
      <c r="Q2222" s="59"/>
      <c r="R2222" s="60">
        <f>IF(AND(P2222="",Q2222=""),"",N(P2222)+N(Q2222))</f>
        <v/>
      </c>
      <c r="S2222" s="59"/>
      <c r="T2222" s="59"/>
      <c r="U2222" s="62">
        <f>IF(OR(R2222="",S2222="",T2222=""),"",IF(S2222+T2222=0,"",R2222/(S2222+T2222)))</f>
        <v/>
      </c>
      <c r="V2222" s="63"/>
      <c r="W2222" s="64"/>
      <c r="X2222" s="63"/>
    </row>
    <row r="2223" spans="2:24">
      <c r="B2223" s="58"/>
      <c r="C2223" s="59"/>
      <c r="D2223" s="59"/>
      <c r="E2223" s="59"/>
      <c r="F2223" s="59"/>
      <c r="G2223" s="60">
        <f>IF(OR(E2223="",F2223="",C2223="",D2223=""),"",IF(C2223+D2223=0,"",(E2223*C2223+F2223*D2223)/(C2223+D2223)))</f>
        <v/>
      </c>
      <c r="H2223" s="59"/>
      <c r="I2223" s="60">
        <f>IF(OR(H2223="",E2223="",C2223="",D2223=""),"",IF(C2223+D2223=0,"",(H2223*D2223+E2223*C2223)/(C2223+D2223)))</f>
        <v/>
      </c>
      <c r="J2223" s="59"/>
      <c r="K2223" s="61">
        <f>IF(OR(J2223="",I2223=""),"",J2223-I2223)</f>
        <v/>
      </c>
      <c r="L2223" s="61">
        <f>IF(OR(J2223="",G2223=""),"",J2223-G2223)</f>
        <v/>
      </c>
      <c r="M2223" s="59"/>
      <c r="N2223" s="59"/>
      <c r="O2223" s="59"/>
      <c r="P2223" s="59"/>
      <c r="Q2223" s="59"/>
      <c r="R2223" s="60">
        <f>IF(AND(P2223="",Q2223=""),"",N(P2223)+N(Q2223))</f>
        <v/>
      </c>
      <c r="S2223" s="59"/>
      <c r="T2223" s="59"/>
      <c r="U2223" s="62">
        <f>IF(OR(R2223="",S2223="",T2223=""),"",IF(S2223+T2223=0,"",R2223/(S2223+T2223)))</f>
        <v/>
      </c>
      <c r="V2223" s="63"/>
      <c r="W2223" s="64"/>
      <c r="X2223" s="63"/>
    </row>
    <row r="2224" spans="2:24">
      <c r="B2224" s="58"/>
      <c r="C2224" s="59"/>
      <c r="D2224" s="59"/>
      <c r="E2224" s="59"/>
      <c r="F2224" s="59"/>
      <c r="G2224" s="60">
        <f>IF(OR(E2224="",F2224="",C2224="",D2224=""),"",IF(C2224+D2224=0,"",(E2224*C2224+F2224*D2224)/(C2224+D2224)))</f>
        <v/>
      </c>
      <c r="H2224" s="59"/>
      <c r="I2224" s="60">
        <f>IF(OR(H2224="",E2224="",C2224="",D2224=""),"",IF(C2224+D2224=0,"",(H2224*D2224+E2224*C2224)/(C2224+D2224)))</f>
        <v/>
      </c>
      <c r="J2224" s="59"/>
      <c r="K2224" s="61">
        <f>IF(OR(J2224="",I2224=""),"",J2224-I2224)</f>
        <v/>
      </c>
      <c r="L2224" s="61">
        <f>IF(OR(J2224="",G2224=""),"",J2224-G2224)</f>
        <v/>
      </c>
      <c r="M2224" s="59"/>
      <c r="N2224" s="59"/>
      <c r="O2224" s="59"/>
      <c r="P2224" s="59"/>
      <c r="Q2224" s="59"/>
      <c r="R2224" s="60">
        <f>IF(AND(P2224="",Q2224=""),"",N(P2224)+N(Q2224))</f>
        <v/>
      </c>
      <c r="S2224" s="59"/>
      <c r="T2224" s="59"/>
      <c r="U2224" s="62">
        <f>IF(OR(R2224="",S2224="",T2224=""),"",IF(S2224+T2224=0,"",R2224/(S2224+T2224)))</f>
        <v/>
      </c>
      <c r="V2224" s="63"/>
      <c r="W2224" s="64"/>
      <c r="X2224" s="63"/>
    </row>
    <row r="2225" spans="2:24">
      <c r="B2225" s="58"/>
      <c r="C2225" s="59"/>
      <c r="D2225" s="59"/>
      <c r="E2225" s="59"/>
      <c r="F2225" s="59"/>
      <c r="G2225" s="60">
        <f>IF(OR(E2225="",F2225="",C2225="",D2225=""),"",IF(C2225+D2225=0,"",(E2225*C2225+F2225*D2225)/(C2225+D2225)))</f>
        <v/>
      </c>
      <c r="H2225" s="59"/>
      <c r="I2225" s="60">
        <f>IF(OR(H2225="",E2225="",C2225="",D2225=""),"",IF(C2225+D2225=0,"",(H2225*D2225+E2225*C2225)/(C2225+D2225)))</f>
        <v/>
      </c>
      <c r="J2225" s="59"/>
      <c r="K2225" s="61">
        <f>IF(OR(J2225="",I2225=""),"",J2225-I2225)</f>
        <v/>
      </c>
      <c r="L2225" s="61">
        <f>IF(OR(J2225="",G2225=""),"",J2225-G2225)</f>
        <v/>
      </c>
      <c r="M2225" s="59"/>
      <c r="N2225" s="59"/>
      <c r="O2225" s="59"/>
      <c r="P2225" s="59"/>
      <c r="Q2225" s="59"/>
      <c r="R2225" s="60">
        <f>IF(AND(P2225="",Q2225=""),"",N(P2225)+N(Q2225))</f>
        <v/>
      </c>
      <c r="S2225" s="59"/>
      <c r="T2225" s="59"/>
      <c r="U2225" s="62">
        <f>IF(OR(R2225="",S2225="",T2225=""),"",IF(S2225+T2225=0,"",R2225/(S2225+T2225)))</f>
        <v/>
      </c>
      <c r="V2225" s="63"/>
      <c r="W2225" s="64"/>
      <c r="X2225" s="63"/>
    </row>
    <row r="2226" spans="2:24">
      <c r="B2226" s="58"/>
      <c r="C2226" s="59"/>
      <c r="D2226" s="59"/>
      <c r="E2226" s="59"/>
      <c r="F2226" s="59"/>
      <c r="G2226" s="60">
        <f>IF(OR(E2226="",F2226="",C2226="",D2226=""),"",IF(C2226+D2226=0,"",(E2226*C2226+F2226*D2226)/(C2226+D2226)))</f>
        <v/>
      </c>
      <c r="H2226" s="59"/>
      <c r="I2226" s="60">
        <f>IF(OR(H2226="",E2226="",C2226="",D2226=""),"",IF(C2226+D2226=0,"",(H2226*D2226+E2226*C2226)/(C2226+D2226)))</f>
        <v/>
      </c>
      <c r="J2226" s="59"/>
      <c r="K2226" s="61">
        <f>IF(OR(J2226="",I2226=""),"",J2226-I2226)</f>
        <v/>
      </c>
      <c r="L2226" s="61">
        <f>IF(OR(J2226="",G2226=""),"",J2226-G2226)</f>
        <v/>
      </c>
      <c r="M2226" s="59"/>
      <c r="N2226" s="59"/>
      <c r="O2226" s="59"/>
      <c r="P2226" s="59"/>
      <c r="Q2226" s="59"/>
      <c r="R2226" s="60">
        <f>IF(AND(P2226="",Q2226=""),"",N(P2226)+N(Q2226))</f>
        <v/>
      </c>
      <c r="S2226" s="59"/>
      <c r="T2226" s="59"/>
      <c r="U2226" s="62">
        <f>IF(OR(R2226="",S2226="",T2226=""),"",IF(S2226+T2226=0,"",R2226/(S2226+T2226)))</f>
        <v/>
      </c>
      <c r="V2226" s="63"/>
      <c r="W2226" s="64"/>
      <c r="X2226" s="63"/>
    </row>
    <row r="2227" spans="2:24">
      <c r="B2227" s="58"/>
      <c r="C2227" s="59"/>
      <c r="D2227" s="59"/>
      <c r="E2227" s="59"/>
      <c r="F2227" s="59"/>
      <c r="G2227" s="60">
        <f>IF(OR(E2227="",F2227="",C2227="",D2227=""),"",IF(C2227+D2227=0,"",(E2227*C2227+F2227*D2227)/(C2227+D2227)))</f>
        <v/>
      </c>
      <c r="H2227" s="59"/>
      <c r="I2227" s="60">
        <f>IF(OR(H2227="",E2227="",C2227="",D2227=""),"",IF(C2227+D2227=0,"",(H2227*D2227+E2227*C2227)/(C2227+D2227)))</f>
        <v/>
      </c>
      <c r="J2227" s="59"/>
      <c r="K2227" s="61">
        <f>IF(OR(J2227="",I2227=""),"",J2227-I2227)</f>
        <v/>
      </c>
      <c r="L2227" s="61">
        <f>IF(OR(J2227="",G2227=""),"",J2227-G2227)</f>
        <v/>
      </c>
      <c r="M2227" s="59"/>
      <c r="N2227" s="59"/>
      <c r="O2227" s="59"/>
      <c r="P2227" s="59"/>
      <c r="Q2227" s="59"/>
      <c r="R2227" s="60">
        <f>IF(AND(P2227="",Q2227=""),"",N(P2227)+N(Q2227))</f>
        <v/>
      </c>
      <c r="S2227" s="59"/>
      <c r="T2227" s="59"/>
      <c r="U2227" s="62">
        <f>IF(OR(R2227="",S2227="",T2227=""),"",IF(S2227+T2227=0,"",R2227/(S2227+T2227)))</f>
        <v/>
      </c>
      <c r="V2227" s="63"/>
      <c r="W2227" s="64"/>
      <c r="X2227" s="63"/>
    </row>
    <row r="2228" spans="2:24">
      <c r="B2228" s="58"/>
      <c r="C2228" s="59"/>
      <c r="D2228" s="59"/>
      <c r="E2228" s="59"/>
      <c r="F2228" s="59"/>
      <c r="G2228" s="60">
        <f>IF(OR(E2228="",F2228="",C2228="",D2228=""),"",IF(C2228+D2228=0,"",(E2228*C2228+F2228*D2228)/(C2228+D2228)))</f>
        <v/>
      </c>
      <c r="H2228" s="59"/>
      <c r="I2228" s="60">
        <f>IF(OR(H2228="",E2228="",C2228="",D2228=""),"",IF(C2228+D2228=0,"",(H2228*D2228+E2228*C2228)/(C2228+D2228)))</f>
        <v/>
      </c>
      <c r="J2228" s="59"/>
      <c r="K2228" s="61">
        <f>IF(OR(J2228="",I2228=""),"",J2228-I2228)</f>
        <v/>
      </c>
      <c r="L2228" s="61">
        <f>IF(OR(J2228="",G2228=""),"",J2228-G2228)</f>
        <v/>
      </c>
      <c r="M2228" s="59"/>
      <c r="N2228" s="59"/>
      <c r="O2228" s="59"/>
      <c r="P2228" s="59"/>
      <c r="Q2228" s="59"/>
      <c r="R2228" s="60">
        <f>IF(AND(P2228="",Q2228=""),"",N(P2228)+N(Q2228))</f>
        <v/>
      </c>
      <c r="S2228" s="59"/>
      <c r="T2228" s="59"/>
      <c r="U2228" s="62">
        <f>IF(OR(R2228="",S2228="",T2228=""),"",IF(S2228+T2228=0,"",R2228/(S2228+T2228)))</f>
        <v/>
      </c>
      <c r="V2228" s="63"/>
      <c r="W2228" s="64"/>
      <c r="X2228" s="63"/>
    </row>
    <row r="2229" spans="2:24">
      <c r="B2229" s="58"/>
      <c r="C2229" s="59"/>
      <c r="D2229" s="59"/>
      <c r="E2229" s="59"/>
      <c r="F2229" s="59"/>
      <c r="G2229" s="60">
        <f>IF(OR(E2229="",F2229="",C2229="",D2229=""),"",IF(C2229+D2229=0,"",(E2229*C2229+F2229*D2229)/(C2229+D2229)))</f>
        <v/>
      </c>
      <c r="H2229" s="59"/>
      <c r="I2229" s="60">
        <f>IF(OR(H2229="",E2229="",C2229="",D2229=""),"",IF(C2229+D2229=0,"",(H2229*D2229+E2229*C2229)/(C2229+D2229)))</f>
        <v/>
      </c>
      <c r="J2229" s="59"/>
      <c r="K2229" s="61">
        <f>IF(OR(J2229="",I2229=""),"",J2229-I2229)</f>
        <v/>
      </c>
      <c r="L2229" s="61">
        <f>IF(OR(J2229="",G2229=""),"",J2229-G2229)</f>
        <v/>
      </c>
      <c r="M2229" s="59"/>
      <c r="N2229" s="59"/>
      <c r="O2229" s="59"/>
      <c r="P2229" s="59"/>
      <c r="Q2229" s="59"/>
      <c r="R2229" s="60">
        <f>IF(AND(P2229="",Q2229=""),"",N(P2229)+N(Q2229))</f>
        <v/>
      </c>
      <c r="S2229" s="59"/>
      <c r="T2229" s="59"/>
      <c r="U2229" s="62">
        <f>IF(OR(R2229="",S2229="",T2229=""),"",IF(S2229+T2229=0,"",R2229/(S2229+T2229)))</f>
        <v/>
      </c>
      <c r="V2229" s="63"/>
      <c r="W2229" s="64"/>
      <c r="X2229" s="63"/>
    </row>
    <row r="2230" spans="2:24">
      <c r="B2230" s="58"/>
      <c r="C2230" s="59"/>
      <c r="D2230" s="59"/>
      <c r="E2230" s="59"/>
      <c r="F2230" s="59"/>
      <c r="G2230" s="60">
        <f>IF(OR(E2230="",F2230="",C2230="",D2230=""),"",IF(C2230+D2230=0,"",(E2230*C2230+F2230*D2230)/(C2230+D2230)))</f>
        <v/>
      </c>
      <c r="H2230" s="59"/>
      <c r="I2230" s="60">
        <f>IF(OR(H2230="",E2230="",C2230="",D2230=""),"",IF(C2230+D2230=0,"",(H2230*D2230+E2230*C2230)/(C2230+D2230)))</f>
        <v/>
      </c>
      <c r="J2230" s="59"/>
      <c r="K2230" s="61">
        <f>IF(OR(J2230="",I2230=""),"",J2230-I2230)</f>
        <v/>
      </c>
      <c r="L2230" s="61">
        <f>IF(OR(J2230="",G2230=""),"",J2230-G2230)</f>
        <v/>
      </c>
      <c r="M2230" s="59"/>
      <c r="N2230" s="59"/>
      <c r="O2230" s="59"/>
      <c r="P2230" s="59"/>
      <c r="Q2230" s="59"/>
      <c r="R2230" s="60">
        <f>IF(AND(P2230="",Q2230=""),"",N(P2230)+N(Q2230))</f>
        <v/>
      </c>
      <c r="S2230" s="59"/>
      <c r="T2230" s="59"/>
      <c r="U2230" s="62">
        <f>IF(OR(R2230="",S2230="",T2230=""),"",IF(S2230+T2230=0,"",R2230/(S2230+T2230)))</f>
        <v/>
      </c>
      <c r="V2230" s="63"/>
      <c r="W2230" s="64"/>
      <c r="X2230" s="63"/>
    </row>
    <row r="2231" spans="2:24">
      <c r="B2231" s="58"/>
      <c r="C2231" s="59"/>
      <c r="D2231" s="59"/>
      <c r="E2231" s="59"/>
      <c r="F2231" s="59"/>
      <c r="G2231" s="60">
        <f>IF(OR(E2231="",F2231="",C2231="",D2231=""),"",IF(C2231+D2231=0,"",(E2231*C2231+F2231*D2231)/(C2231+D2231)))</f>
        <v/>
      </c>
      <c r="H2231" s="59"/>
      <c r="I2231" s="60">
        <f>IF(OR(H2231="",E2231="",C2231="",D2231=""),"",IF(C2231+D2231=0,"",(H2231*D2231+E2231*C2231)/(C2231+D2231)))</f>
        <v/>
      </c>
      <c r="J2231" s="59"/>
      <c r="K2231" s="61">
        <f>IF(OR(J2231="",I2231=""),"",J2231-I2231)</f>
        <v/>
      </c>
      <c r="L2231" s="61">
        <f>IF(OR(J2231="",G2231=""),"",J2231-G2231)</f>
        <v/>
      </c>
      <c r="M2231" s="59"/>
      <c r="N2231" s="59"/>
      <c r="O2231" s="59"/>
      <c r="P2231" s="59"/>
      <c r="Q2231" s="59"/>
      <c r="R2231" s="60">
        <f>IF(AND(P2231="",Q2231=""),"",N(P2231)+N(Q2231))</f>
        <v/>
      </c>
      <c r="S2231" s="59"/>
      <c r="T2231" s="59"/>
      <c r="U2231" s="62">
        <f>IF(OR(R2231="",S2231="",T2231=""),"",IF(S2231+T2231=0,"",R2231/(S2231+T2231)))</f>
        <v/>
      </c>
      <c r="V2231" s="63"/>
      <c r="W2231" s="64"/>
      <c r="X2231" s="63"/>
    </row>
    <row r="2232" spans="2:24">
      <c r="B2232" s="58"/>
      <c r="C2232" s="59"/>
      <c r="D2232" s="59"/>
      <c r="E2232" s="59"/>
      <c r="F2232" s="59"/>
      <c r="G2232" s="60">
        <f>IF(OR(E2232="",F2232="",C2232="",D2232=""),"",IF(C2232+D2232=0,"",(E2232*C2232+F2232*D2232)/(C2232+D2232)))</f>
        <v/>
      </c>
      <c r="H2232" s="59"/>
      <c r="I2232" s="60">
        <f>IF(OR(H2232="",E2232="",C2232="",D2232=""),"",IF(C2232+D2232=0,"",(H2232*D2232+E2232*C2232)/(C2232+D2232)))</f>
        <v/>
      </c>
      <c r="J2232" s="59"/>
      <c r="K2232" s="61">
        <f>IF(OR(J2232="",I2232=""),"",J2232-I2232)</f>
        <v/>
      </c>
      <c r="L2232" s="61">
        <f>IF(OR(J2232="",G2232=""),"",J2232-G2232)</f>
        <v/>
      </c>
      <c r="M2232" s="59"/>
      <c r="N2232" s="59"/>
      <c r="O2232" s="59"/>
      <c r="P2232" s="59"/>
      <c r="Q2232" s="59"/>
      <c r="R2232" s="60">
        <f>IF(AND(P2232="",Q2232=""),"",N(P2232)+N(Q2232))</f>
        <v/>
      </c>
      <c r="S2232" s="59"/>
      <c r="T2232" s="59"/>
      <c r="U2232" s="62">
        <f>IF(OR(R2232="",S2232="",T2232=""),"",IF(S2232+T2232=0,"",R2232/(S2232+T2232)))</f>
        <v/>
      </c>
      <c r="V2232" s="63"/>
      <c r="W2232" s="64"/>
      <c r="X2232" s="63"/>
    </row>
    <row r="2233" spans="2:24">
      <c r="B2233" s="58"/>
      <c r="C2233" s="59"/>
      <c r="D2233" s="59"/>
      <c r="E2233" s="59"/>
      <c r="F2233" s="59"/>
      <c r="G2233" s="60">
        <f>IF(OR(E2233="",F2233="",C2233="",D2233=""),"",IF(C2233+D2233=0,"",(E2233*C2233+F2233*D2233)/(C2233+D2233)))</f>
        <v/>
      </c>
      <c r="H2233" s="59"/>
      <c r="I2233" s="60">
        <f>IF(OR(H2233="",E2233="",C2233="",D2233=""),"",IF(C2233+D2233=0,"",(H2233*D2233+E2233*C2233)/(C2233+D2233)))</f>
        <v/>
      </c>
      <c r="J2233" s="59"/>
      <c r="K2233" s="61">
        <f>IF(OR(J2233="",I2233=""),"",J2233-I2233)</f>
        <v/>
      </c>
      <c r="L2233" s="61">
        <f>IF(OR(J2233="",G2233=""),"",J2233-G2233)</f>
        <v/>
      </c>
      <c r="M2233" s="59"/>
      <c r="N2233" s="59"/>
      <c r="O2233" s="59"/>
      <c r="P2233" s="59"/>
      <c r="Q2233" s="59"/>
      <c r="R2233" s="60">
        <f>IF(AND(P2233="",Q2233=""),"",N(P2233)+N(Q2233))</f>
        <v/>
      </c>
      <c r="S2233" s="59"/>
      <c r="T2233" s="59"/>
      <c r="U2233" s="62">
        <f>IF(OR(R2233="",S2233="",T2233=""),"",IF(S2233+T2233=0,"",R2233/(S2233+T2233)))</f>
        <v/>
      </c>
      <c r="V2233" s="63"/>
      <c r="W2233" s="64"/>
      <c r="X2233" s="63"/>
    </row>
    <row r="2234" spans="2:24">
      <c r="B2234" s="58"/>
      <c r="C2234" s="59"/>
      <c r="D2234" s="59"/>
      <c r="E2234" s="59"/>
      <c r="F2234" s="59"/>
      <c r="G2234" s="60">
        <f>IF(OR(E2234="",F2234="",C2234="",D2234=""),"",IF(C2234+D2234=0,"",(E2234*C2234+F2234*D2234)/(C2234+D2234)))</f>
        <v/>
      </c>
      <c r="H2234" s="59"/>
      <c r="I2234" s="60">
        <f>IF(OR(H2234="",E2234="",C2234="",D2234=""),"",IF(C2234+D2234=0,"",(H2234*D2234+E2234*C2234)/(C2234+D2234)))</f>
        <v/>
      </c>
      <c r="J2234" s="59"/>
      <c r="K2234" s="61">
        <f>IF(OR(J2234="",I2234=""),"",J2234-I2234)</f>
        <v/>
      </c>
      <c r="L2234" s="61">
        <f>IF(OR(J2234="",G2234=""),"",J2234-G2234)</f>
        <v/>
      </c>
      <c r="M2234" s="59"/>
      <c r="N2234" s="59"/>
      <c r="O2234" s="59"/>
      <c r="P2234" s="59"/>
      <c r="Q2234" s="59"/>
      <c r="R2234" s="60">
        <f>IF(AND(P2234="",Q2234=""),"",N(P2234)+N(Q2234))</f>
        <v/>
      </c>
      <c r="S2234" s="59"/>
      <c r="T2234" s="59"/>
      <c r="U2234" s="62">
        <f>IF(OR(R2234="",S2234="",T2234=""),"",IF(S2234+T2234=0,"",R2234/(S2234+T2234)))</f>
        <v/>
      </c>
      <c r="V2234" s="63"/>
      <c r="W2234" s="64"/>
      <c r="X2234" s="63"/>
    </row>
    <row r="2235" spans="2:24">
      <c r="B2235" s="58"/>
      <c r="C2235" s="59"/>
      <c r="D2235" s="59"/>
      <c r="E2235" s="59"/>
      <c r="F2235" s="59"/>
      <c r="G2235" s="60">
        <f>IF(OR(E2235="",F2235="",C2235="",D2235=""),"",IF(C2235+D2235=0,"",(E2235*C2235+F2235*D2235)/(C2235+D2235)))</f>
        <v/>
      </c>
      <c r="H2235" s="59"/>
      <c r="I2235" s="60">
        <f>IF(OR(H2235="",E2235="",C2235="",D2235=""),"",IF(C2235+D2235=0,"",(H2235*D2235+E2235*C2235)/(C2235+D2235)))</f>
        <v/>
      </c>
      <c r="J2235" s="59"/>
      <c r="K2235" s="61">
        <f>IF(OR(J2235="",I2235=""),"",J2235-I2235)</f>
        <v/>
      </c>
      <c r="L2235" s="61">
        <f>IF(OR(J2235="",G2235=""),"",J2235-G2235)</f>
        <v/>
      </c>
      <c r="M2235" s="59"/>
      <c r="N2235" s="59"/>
      <c r="O2235" s="59"/>
      <c r="P2235" s="59"/>
      <c r="Q2235" s="59"/>
      <c r="R2235" s="60">
        <f>IF(AND(P2235="",Q2235=""),"",N(P2235)+N(Q2235))</f>
        <v/>
      </c>
      <c r="S2235" s="59"/>
      <c r="T2235" s="59"/>
      <c r="U2235" s="62">
        <f>IF(OR(R2235="",S2235="",T2235=""),"",IF(S2235+T2235=0,"",R2235/(S2235+T2235)))</f>
        <v/>
      </c>
      <c r="V2235" s="63"/>
      <c r="W2235" s="64"/>
      <c r="X2235" s="63"/>
    </row>
    <row r="2236" spans="2:24">
      <c r="B2236" s="58"/>
      <c r="C2236" s="59"/>
      <c r="D2236" s="59"/>
      <c r="E2236" s="59"/>
      <c r="F2236" s="59"/>
      <c r="G2236" s="60">
        <f>IF(OR(E2236="",F2236="",C2236="",D2236=""),"",IF(C2236+D2236=0,"",(E2236*C2236+F2236*D2236)/(C2236+D2236)))</f>
        <v/>
      </c>
      <c r="H2236" s="59"/>
      <c r="I2236" s="60">
        <f>IF(OR(H2236="",E2236="",C2236="",D2236=""),"",IF(C2236+D2236=0,"",(H2236*D2236+E2236*C2236)/(C2236+D2236)))</f>
        <v/>
      </c>
      <c r="J2236" s="59"/>
      <c r="K2236" s="61">
        <f>IF(OR(J2236="",I2236=""),"",J2236-I2236)</f>
        <v/>
      </c>
      <c r="L2236" s="61">
        <f>IF(OR(J2236="",G2236=""),"",J2236-G2236)</f>
        <v/>
      </c>
      <c r="M2236" s="59"/>
      <c r="N2236" s="59"/>
      <c r="O2236" s="59"/>
      <c r="P2236" s="59"/>
      <c r="Q2236" s="59"/>
      <c r="R2236" s="60">
        <f>IF(AND(P2236="",Q2236=""),"",N(P2236)+N(Q2236))</f>
        <v/>
      </c>
      <c r="S2236" s="59"/>
      <c r="T2236" s="59"/>
      <c r="U2236" s="62">
        <f>IF(OR(R2236="",S2236="",T2236=""),"",IF(S2236+T2236=0,"",R2236/(S2236+T2236)))</f>
        <v/>
      </c>
      <c r="V2236" s="63"/>
      <c r="W2236" s="64"/>
      <c r="X2236" s="63"/>
    </row>
    <row r="2237" spans="2:24">
      <c r="B2237" s="58"/>
      <c r="C2237" s="59"/>
      <c r="D2237" s="59"/>
      <c r="E2237" s="59"/>
      <c r="F2237" s="59"/>
      <c r="G2237" s="60">
        <f>IF(OR(E2237="",F2237="",C2237="",D2237=""),"",IF(C2237+D2237=0,"",(E2237*C2237+F2237*D2237)/(C2237+D2237)))</f>
        <v/>
      </c>
      <c r="H2237" s="59"/>
      <c r="I2237" s="60">
        <f>IF(OR(H2237="",E2237="",C2237="",D2237=""),"",IF(C2237+D2237=0,"",(H2237*D2237+E2237*C2237)/(C2237+D2237)))</f>
        <v/>
      </c>
      <c r="J2237" s="59"/>
      <c r="K2237" s="61">
        <f>IF(OR(J2237="",I2237=""),"",J2237-I2237)</f>
        <v/>
      </c>
      <c r="L2237" s="61">
        <f>IF(OR(J2237="",G2237=""),"",J2237-G2237)</f>
        <v/>
      </c>
      <c r="M2237" s="59"/>
      <c r="N2237" s="59"/>
      <c r="O2237" s="59"/>
      <c r="P2237" s="59"/>
      <c r="Q2237" s="59"/>
      <c r="R2237" s="60">
        <f>IF(AND(P2237="",Q2237=""),"",N(P2237)+N(Q2237))</f>
        <v/>
      </c>
      <c r="S2237" s="59"/>
      <c r="T2237" s="59"/>
      <c r="U2237" s="62">
        <f>IF(OR(R2237="",S2237="",T2237=""),"",IF(S2237+T2237=0,"",R2237/(S2237+T2237)))</f>
        <v/>
      </c>
      <c r="V2237" s="63"/>
      <c r="W2237" s="64"/>
      <c r="X2237" s="63"/>
    </row>
    <row r="2238" spans="2:24">
      <c r="B2238" s="58"/>
      <c r="C2238" s="59"/>
      <c r="D2238" s="59"/>
      <c r="E2238" s="59"/>
      <c r="F2238" s="59"/>
      <c r="G2238" s="60">
        <f>IF(OR(E2238="",F2238="",C2238="",D2238=""),"",IF(C2238+D2238=0,"",(E2238*C2238+F2238*D2238)/(C2238+D2238)))</f>
        <v/>
      </c>
      <c r="H2238" s="59"/>
      <c r="I2238" s="60">
        <f>IF(OR(H2238="",E2238="",C2238="",D2238=""),"",IF(C2238+D2238=0,"",(H2238*D2238+E2238*C2238)/(C2238+D2238)))</f>
        <v/>
      </c>
      <c r="J2238" s="59"/>
      <c r="K2238" s="61">
        <f>IF(OR(J2238="",I2238=""),"",J2238-I2238)</f>
        <v/>
      </c>
      <c r="L2238" s="61">
        <f>IF(OR(J2238="",G2238=""),"",J2238-G2238)</f>
        <v/>
      </c>
      <c r="M2238" s="59"/>
      <c r="N2238" s="59"/>
      <c r="O2238" s="59"/>
      <c r="P2238" s="59"/>
      <c r="Q2238" s="59"/>
      <c r="R2238" s="60">
        <f>IF(AND(P2238="",Q2238=""),"",N(P2238)+N(Q2238))</f>
        <v/>
      </c>
      <c r="S2238" s="59"/>
      <c r="T2238" s="59"/>
      <c r="U2238" s="62">
        <f>IF(OR(R2238="",S2238="",T2238=""),"",IF(S2238+T2238=0,"",R2238/(S2238+T2238)))</f>
        <v/>
      </c>
      <c r="V2238" s="63"/>
      <c r="W2238" s="64"/>
      <c r="X2238" s="63"/>
    </row>
    <row r="2239" spans="2:24">
      <c r="B2239" s="58"/>
      <c r="C2239" s="59"/>
      <c r="D2239" s="59"/>
      <c r="E2239" s="59"/>
      <c r="F2239" s="59"/>
      <c r="G2239" s="60">
        <f>IF(OR(E2239="",F2239="",C2239="",D2239=""),"",IF(C2239+D2239=0,"",(E2239*C2239+F2239*D2239)/(C2239+D2239)))</f>
        <v/>
      </c>
      <c r="H2239" s="59"/>
      <c r="I2239" s="60">
        <f>IF(OR(H2239="",E2239="",C2239="",D2239=""),"",IF(C2239+D2239=0,"",(H2239*D2239+E2239*C2239)/(C2239+D2239)))</f>
        <v/>
      </c>
      <c r="J2239" s="59"/>
      <c r="K2239" s="61">
        <f>IF(OR(J2239="",I2239=""),"",J2239-I2239)</f>
        <v/>
      </c>
      <c r="L2239" s="61">
        <f>IF(OR(J2239="",G2239=""),"",J2239-G2239)</f>
        <v/>
      </c>
      <c r="M2239" s="59"/>
      <c r="N2239" s="59"/>
      <c r="O2239" s="59"/>
      <c r="P2239" s="59"/>
      <c r="Q2239" s="59"/>
      <c r="R2239" s="60">
        <f>IF(AND(P2239="",Q2239=""),"",N(P2239)+N(Q2239))</f>
        <v/>
      </c>
      <c r="S2239" s="59"/>
      <c r="T2239" s="59"/>
      <c r="U2239" s="62">
        <f>IF(OR(R2239="",S2239="",T2239=""),"",IF(S2239+T2239=0,"",R2239/(S2239+T2239)))</f>
        <v/>
      </c>
      <c r="V2239" s="63"/>
      <c r="W2239" s="64"/>
      <c r="X2239" s="63"/>
    </row>
    <row r="2240" spans="2:24">
      <c r="B2240" s="58"/>
      <c r="C2240" s="59"/>
      <c r="D2240" s="59"/>
      <c r="E2240" s="59"/>
      <c r="F2240" s="59"/>
      <c r="G2240" s="60">
        <f>IF(OR(E2240="",F2240="",C2240="",D2240=""),"",IF(C2240+D2240=0,"",(E2240*C2240+F2240*D2240)/(C2240+D2240)))</f>
        <v/>
      </c>
      <c r="H2240" s="59"/>
      <c r="I2240" s="60">
        <f>IF(OR(H2240="",E2240="",C2240="",D2240=""),"",IF(C2240+D2240=0,"",(H2240*D2240+E2240*C2240)/(C2240+D2240)))</f>
        <v/>
      </c>
      <c r="J2240" s="59"/>
      <c r="K2240" s="61">
        <f>IF(OR(J2240="",I2240=""),"",J2240-I2240)</f>
        <v/>
      </c>
      <c r="L2240" s="61">
        <f>IF(OR(J2240="",G2240=""),"",J2240-G2240)</f>
        <v/>
      </c>
      <c r="M2240" s="59"/>
      <c r="N2240" s="59"/>
      <c r="O2240" s="59"/>
      <c r="P2240" s="59"/>
      <c r="Q2240" s="59"/>
      <c r="R2240" s="60">
        <f>IF(AND(P2240="",Q2240=""),"",N(P2240)+N(Q2240))</f>
        <v/>
      </c>
      <c r="S2240" s="59"/>
      <c r="T2240" s="59"/>
      <c r="U2240" s="62">
        <f>IF(OR(R2240="",S2240="",T2240=""),"",IF(S2240+T2240=0,"",R2240/(S2240+T2240)))</f>
        <v/>
      </c>
      <c r="V2240" s="63"/>
      <c r="W2240" s="64"/>
      <c r="X2240" s="63"/>
    </row>
    <row r="2241" spans="2:24">
      <c r="B2241" s="58"/>
      <c r="C2241" s="59"/>
      <c r="D2241" s="59"/>
      <c r="E2241" s="59"/>
      <c r="F2241" s="59"/>
      <c r="G2241" s="60">
        <f>IF(OR(E2241="",F2241="",C2241="",D2241=""),"",IF(C2241+D2241=0,"",(E2241*C2241+F2241*D2241)/(C2241+D2241)))</f>
        <v/>
      </c>
      <c r="H2241" s="59"/>
      <c r="I2241" s="60">
        <f>IF(OR(H2241="",E2241="",C2241="",D2241=""),"",IF(C2241+D2241=0,"",(H2241*D2241+E2241*C2241)/(C2241+D2241)))</f>
        <v/>
      </c>
      <c r="J2241" s="59"/>
      <c r="K2241" s="61">
        <f>IF(OR(J2241="",I2241=""),"",J2241-I2241)</f>
        <v/>
      </c>
      <c r="L2241" s="61">
        <f>IF(OR(J2241="",G2241=""),"",J2241-G2241)</f>
        <v/>
      </c>
      <c r="M2241" s="59"/>
      <c r="N2241" s="59"/>
      <c r="O2241" s="59"/>
      <c r="P2241" s="59"/>
      <c r="Q2241" s="59"/>
      <c r="R2241" s="60">
        <f>IF(AND(P2241="",Q2241=""),"",N(P2241)+N(Q2241))</f>
        <v/>
      </c>
      <c r="S2241" s="59"/>
      <c r="T2241" s="59"/>
      <c r="U2241" s="62">
        <f>IF(OR(R2241="",S2241="",T2241=""),"",IF(S2241+T2241=0,"",R2241/(S2241+T2241)))</f>
        <v/>
      </c>
      <c r="V2241" s="63"/>
      <c r="W2241" s="64"/>
      <c r="X2241" s="63"/>
    </row>
    <row r="2242" spans="2:24">
      <c r="B2242" s="58"/>
      <c r="C2242" s="59"/>
      <c r="D2242" s="59"/>
      <c r="E2242" s="59"/>
      <c r="F2242" s="59"/>
      <c r="G2242" s="60">
        <f>IF(OR(E2242="",F2242="",C2242="",D2242=""),"",IF(C2242+D2242=0,"",(E2242*C2242+F2242*D2242)/(C2242+D2242)))</f>
        <v/>
      </c>
      <c r="H2242" s="59"/>
      <c r="I2242" s="60">
        <f>IF(OR(H2242="",E2242="",C2242="",D2242=""),"",IF(C2242+D2242=0,"",(H2242*D2242+E2242*C2242)/(C2242+D2242)))</f>
        <v/>
      </c>
      <c r="J2242" s="59"/>
      <c r="K2242" s="61">
        <f>IF(OR(J2242="",I2242=""),"",J2242-I2242)</f>
        <v/>
      </c>
      <c r="L2242" s="61">
        <f>IF(OR(J2242="",G2242=""),"",J2242-G2242)</f>
        <v/>
      </c>
      <c r="M2242" s="59"/>
      <c r="N2242" s="59"/>
      <c r="O2242" s="59"/>
      <c r="P2242" s="59"/>
      <c r="Q2242" s="59"/>
      <c r="R2242" s="60">
        <f>IF(AND(P2242="",Q2242=""),"",N(P2242)+N(Q2242))</f>
        <v/>
      </c>
      <c r="S2242" s="59"/>
      <c r="T2242" s="59"/>
      <c r="U2242" s="62">
        <f>IF(OR(R2242="",S2242="",T2242=""),"",IF(S2242+T2242=0,"",R2242/(S2242+T2242)))</f>
        <v/>
      </c>
      <c r="V2242" s="63"/>
      <c r="W2242" s="64"/>
      <c r="X2242" s="63"/>
    </row>
    <row r="2243" spans="2:24">
      <c r="B2243" s="58"/>
      <c r="C2243" s="59"/>
      <c r="D2243" s="59"/>
      <c r="E2243" s="59"/>
      <c r="F2243" s="59"/>
      <c r="G2243" s="60">
        <f>IF(OR(E2243="",F2243="",C2243="",D2243=""),"",IF(C2243+D2243=0,"",(E2243*C2243+F2243*D2243)/(C2243+D2243)))</f>
        <v/>
      </c>
      <c r="H2243" s="59"/>
      <c r="I2243" s="60">
        <f>IF(OR(H2243="",E2243="",C2243="",D2243=""),"",IF(C2243+D2243=0,"",(H2243*D2243+E2243*C2243)/(C2243+D2243)))</f>
        <v/>
      </c>
      <c r="J2243" s="59"/>
      <c r="K2243" s="61">
        <f>IF(OR(J2243="",I2243=""),"",J2243-I2243)</f>
        <v/>
      </c>
      <c r="L2243" s="61">
        <f>IF(OR(J2243="",G2243=""),"",J2243-G2243)</f>
        <v/>
      </c>
      <c r="M2243" s="59"/>
      <c r="N2243" s="59"/>
      <c r="O2243" s="59"/>
      <c r="P2243" s="59"/>
      <c r="Q2243" s="59"/>
      <c r="R2243" s="60">
        <f>IF(AND(P2243="",Q2243=""),"",N(P2243)+N(Q2243))</f>
        <v/>
      </c>
      <c r="S2243" s="59"/>
      <c r="T2243" s="59"/>
      <c r="U2243" s="62">
        <f>IF(OR(R2243="",S2243="",T2243=""),"",IF(S2243+T2243=0,"",R2243/(S2243+T2243)))</f>
        <v/>
      </c>
      <c r="V2243" s="63"/>
      <c r="W2243" s="64"/>
      <c r="X2243" s="63"/>
    </row>
    <row r="2244" spans="2:24">
      <c r="B2244" s="58"/>
      <c r="C2244" s="59"/>
      <c r="D2244" s="59"/>
      <c r="E2244" s="59"/>
      <c r="F2244" s="59"/>
      <c r="G2244" s="60">
        <f>IF(OR(E2244="",F2244="",C2244="",D2244=""),"",IF(C2244+D2244=0,"",(E2244*C2244+F2244*D2244)/(C2244+D2244)))</f>
        <v/>
      </c>
      <c r="H2244" s="59"/>
      <c r="I2244" s="60">
        <f>IF(OR(H2244="",E2244="",C2244="",D2244=""),"",IF(C2244+D2244=0,"",(H2244*D2244+E2244*C2244)/(C2244+D2244)))</f>
        <v/>
      </c>
      <c r="J2244" s="59"/>
      <c r="K2244" s="61">
        <f>IF(OR(J2244="",I2244=""),"",J2244-I2244)</f>
        <v/>
      </c>
      <c r="L2244" s="61">
        <f>IF(OR(J2244="",G2244=""),"",J2244-G2244)</f>
        <v/>
      </c>
      <c r="M2244" s="59"/>
      <c r="N2244" s="59"/>
      <c r="O2244" s="59"/>
      <c r="P2244" s="59"/>
      <c r="Q2244" s="59"/>
      <c r="R2244" s="60">
        <f>IF(AND(P2244="",Q2244=""),"",N(P2244)+N(Q2244))</f>
        <v/>
      </c>
      <c r="S2244" s="59"/>
      <c r="T2244" s="59"/>
      <c r="U2244" s="62">
        <f>IF(OR(R2244="",S2244="",T2244=""),"",IF(S2244+T2244=0,"",R2244/(S2244+T2244)))</f>
        <v/>
      </c>
      <c r="V2244" s="63"/>
      <c r="W2244" s="64"/>
      <c r="X2244" s="63"/>
    </row>
    <row r="2245" spans="2:24">
      <c r="B2245" s="58"/>
      <c r="C2245" s="59"/>
      <c r="D2245" s="59"/>
      <c r="E2245" s="59"/>
      <c r="F2245" s="59"/>
      <c r="G2245" s="60">
        <f>IF(OR(E2245="",F2245="",C2245="",D2245=""),"",IF(C2245+D2245=0,"",(E2245*C2245+F2245*D2245)/(C2245+D2245)))</f>
        <v/>
      </c>
      <c r="H2245" s="59"/>
      <c r="I2245" s="60">
        <f>IF(OR(H2245="",E2245="",C2245="",D2245=""),"",IF(C2245+D2245=0,"",(H2245*D2245+E2245*C2245)/(C2245+D2245)))</f>
        <v/>
      </c>
      <c r="J2245" s="59"/>
      <c r="K2245" s="61">
        <f>IF(OR(J2245="",I2245=""),"",J2245-I2245)</f>
        <v/>
      </c>
      <c r="L2245" s="61">
        <f>IF(OR(J2245="",G2245=""),"",J2245-G2245)</f>
        <v/>
      </c>
      <c r="M2245" s="59"/>
      <c r="N2245" s="59"/>
      <c r="O2245" s="59"/>
      <c r="P2245" s="59"/>
      <c r="Q2245" s="59"/>
      <c r="R2245" s="60">
        <f>IF(AND(P2245="",Q2245=""),"",N(P2245)+N(Q2245))</f>
        <v/>
      </c>
      <c r="S2245" s="59"/>
      <c r="T2245" s="59"/>
      <c r="U2245" s="62">
        <f>IF(OR(R2245="",S2245="",T2245=""),"",IF(S2245+T2245=0,"",R2245/(S2245+T2245)))</f>
        <v/>
      </c>
      <c r="V2245" s="63"/>
      <c r="W2245" s="64"/>
      <c r="X2245" s="63"/>
    </row>
    <row r="2246" spans="2:24">
      <c r="B2246" s="58"/>
      <c r="C2246" s="59"/>
      <c r="D2246" s="59"/>
      <c r="E2246" s="59"/>
      <c r="F2246" s="59"/>
      <c r="G2246" s="60">
        <f>IF(OR(E2246="",F2246="",C2246="",D2246=""),"",IF(C2246+D2246=0,"",(E2246*C2246+F2246*D2246)/(C2246+D2246)))</f>
        <v/>
      </c>
      <c r="H2246" s="59"/>
      <c r="I2246" s="60">
        <f>IF(OR(H2246="",E2246="",C2246="",D2246=""),"",IF(C2246+D2246=0,"",(H2246*D2246+E2246*C2246)/(C2246+D2246)))</f>
        <v/>
      </c>
      <c r="J2246" s="59"/>
      <c r="K2246" s="61">
        <f>IF(OR(J2246="",I2246=""),"",J2246-I2246)</f>
        <v/>
      </c>
      <c r="L2246" s="61">
        <f>IF(OR(J2246="",G2246=""),"",J2246-G2246)</f>
        <v/>
      </c>
      <c r="M2246" s="59"/>
      <c r="N2246" s="59"/>
      <c r="O2246" s="59"/>
      <c r="P2246" s="59"/>
      <c r="Q2246" s="59"/>
      <c r="R2246" s="60">
        <f>IF(AND(P2246="",Q2246=""),"",N(P2246)+N(Q2246))</f>
        <v/>
      </c>
      <c r="S2246" s="59"/>
      <c r="T2246" s="59"/>
      <c r="U2246" s="62">
        <f>IF(OR(R2246="",S2246="",T2246=""),"",IF(S2246+T2246=0,"",R2246/(S2246+T2246)))</f>
        <v/>
      </c>
      <c r="V2246" s="63"/>
      <c r="W2246" s="64"/>
      <c r="X2246" s="63"/>
    </row>
    <row r="2247" spans="2:24">
      <c r="B2247" s="58"/>
      <c r="C2247" s="59"/>
      <c r="D2247" s="59"/>
      <c r="E2247" s="59"/>
      <c r="F2247" s="59"/>
      <c r="G2247" s="60">
        <f>IF(OR(E2247="",F2247="",C2247="",D2247=""),"",IF(C2247+D2247=0,"",(E2247*C2247+F2247*D2247)/(C2247+D2247)))</f>
        <v/>
      </c>
      <c r="H2247" s="59"/>
      <c r="I2247" s="60">
        <f>IF(OR(H2247="",E2247="",C2247="",D2247=""),"",IF(C2247+D2247=0,"",(H2247*D2247+E2247*C2247)/(C2247+D2247)))</f>
        <v/>
      </c>
      <c r="J2247" s="59"/>
      <c r="K2247" s="61">
        <f>IF(OR(J2247="",I2247=""),"",J2247-I2247)</f>
        <v/>
      </c>
      <c r="L2247" s="61">
        <f>IF(OR(J2247="",G2247=""),"",J2247-G2247)</f>
        <v/>
      </c>
      <c r="M2247" s="59"/>
      <c r="N2247" s="59"/>
      <c r="O2247" s="59"/>
      <c r="P2247" s="59"/>
      <c r="Q2247" s="59"/>
      <c r="R2247" s="60">
        <f>IF(AND(P2247="",Q2247=""),"",N(P2247)+N(Q2247))</f>
        <v/>
      </c>
      <c r="S2247" s="59"/>
      <c r="T2247" s="59"/>
      <c r="U2247" s="62">
        <f>IF(OR(R2247="",S2247="",T2247=""),"",IF(S2247+T2247=0,"",R2247/(S2247+T2247)))</f>
        <v/>
      </c>
      <c r="V2247" s="63"/>
      <c r="W2247" s="64"/>
      <c r="X2247" s="63"/>
    </row>
    <row r="2248" spans="2:24">
      <c r="B2248" s="58"/>
      <c r="C2248" s="59"/>
      <c r="D2248" s="59"/>
      <c r="E2248" s="59"/>
      <c r="F2248" s="59"/>
      <c r="G2248" s="60">
        <f>IF(OR(E2248="",F2248="",C2248="",D2248=""),"",IF(C2248+D2248=0,"",(E2248*C2248+F2248*D2248)/(C2248+D2248)))</f>
        <v/>
      </c>
      <c r="H2248" s="59"/>
      <c r="I2248" s="60">
        <f>IF(OR(H2248="",E2248="",C2248="",D2248=""),"",IF(C2248+D2248=0,"",(H2248*D2248+E2248*C2248)/(C2248+D2248)))</f>
        <v/>
      </c>
      <c r="J2248" s="59"/>
      <c r="K2248" s="61">
        <f>IF(OR(J2248="",I2248=""),"",J2248-I2248)</f>
        <v/>
      </c>
      <c r="L2248" s="61">
        <f>IF(OR(J2248="",G2248=""),"",J2248-G2248)</f>
        <v/>
      </c>
      <c r="M2248" s="59"/>
      <c r="N2248" s="59"/>
      <c r="O2248" s="59"/>
      <c r="P2248" s="59"/>
      <c r="Q2248" s="59"/>
      <c r="R2248" s="60">
        <f>IF(AND(P2248="",Q2248=""),"",N(P2248)+N(Q2248))</f>
        <v/>
      </c>
      <c r="S2248" s="59"/>
      <c r="T2248" s="59"/>
      <c r="U2248" s="62">
        <f>IF(OR(R2248="",S2248="",T2248=""),"",IF(S2248+T2248=0,"",R2248/(S2248+T2248)))</f>
        <v/>
      </c>
      <c r="V2248" s="63"/>
      <c r="W2248" s="64"/>
      <c r="X2248" s="63"/>
    </row>
    <row r="2249" spans="2:24">
      <c r="B2249" s="58"/>
      <c r="C2249" s="59"/>
      <c r="D2249" s="59"/>
      <c r="E2249" s="59"/>
      <c r="F2249" s="59"/>
      <c r="G2249" s="60">
        <f>IF(OR(E2249="",F2249="",C2249="",D2249=""),"",IF(C2249+D2249=0,"",(E2249*C2249+F2249*D2249)/(C2249+D2249)))</f>
        <v/>
      </c>
      <c r="H2249" s="59"/>
      <c r="I2249" s="60">
        <f>IF(OR(H2249="",E2249="",C2249="",D2249=""),"",IF(C2249+D2249=0,"",(H2249*D2249+E2249*C2249)/(C2249+D2249)))</f>
        <v/>
      </c>
      <c r="J2249" s="59"/>
      <c r="K2249" s="61">
        <f>IF(OR(J2249="",I2249=""),"",J2249-I2249)</f>
        <v/>
      </c>
      <c r="L2249" s="61">
        <f>IF(OR(J2249="",G2249=""),"",J2249-G2249)</f>
        <v/>
      </c>
      <c r="M2249" s="59"/>
      <c r="N2249" s="59"/>
      <c r="O2249" s="59"/>
      <c r="P2249" s="59"/>
      <c r="Q2249" s="59"/>
      <c r="R2249" s="60">
        <f>IF(AND(P2249="",Q2249=""),"",N(P2249)+N(Q2249))</f>
        <v/>
      </c>
      <c r="S2249" s="59"/>
      <c r="T2249" s="59"/>
      <c r="U2249" s="62">
        <f>IF(OR(R2249="",S2249="",T2249=""),"",IF(S2249+T2249=0,"",R2249/(S2249+T2249)))</f>
        <v/>
      </c>
      <c r="V2249" s="63"/>
      <c r="W2249" s="64"/>
      <c r="X2249" s="63"/>
    </row>
    <row r="2250" spans="2:24">
      <c r="B2250" s="58"/>
      <c r="C2250" s="59"/>
      <c r="D2250" s="59"/>
      <c r="E2250" s="59"/>
      <c r="F2250" s="59"/>
      <c r="G2250" s="60">
        <f>IF(OR(E2250="",F2250="",C2250="",D2250=""),"",IF(C2250+D2250=0,"",(E2250*C2250+F2250*D2250)/(C2250+D2250)))</f>
        <v/>
      </c>
      <c r="H2250" s="59"/>
      <c r="I2250" s="60">
        <f>IF(OR(H2250="",E2250="",C2250="",D2250=""),"",IF(C2250+D2250=0,"",(H2250*D2250+E2250*C2250)/(C2250+D2250)))</f>
        <v/>
      </c>
      <c r="J2250" s="59"/>
      <c r="K2250" s="61">
        <f>IF(OR(J2250="",I2250=""),"",J2250-I2250)</f>
        <v/>
      </c>
      <c r="L2250" s="61">
        <f>IF(OR(J2250="",G2250=""),"",J2250-G2250)</f>
        <v/>
      </c>
      <c r="M2250" s="59"/>
      <c r="N2250" s="59"/>
      <c r="O2250" s="59"/>
      <c r="P2250" s="59"/>
      <c r="Q2250" s="59"/>
      <c r="R2250" s="60">
        <f>IF(AND(P2250="",Q2250=""),"",N(P2250)+N(Q2250))</f>
        <v/>
      </c>
      <c r="S2250" s="59"/>
      <c r="T2250" s="59"/>
      <c r="U2250" s="62">
        <f>IF(OR(R2250="",S2250="",T2250=""),"",IF(S2250+T2250=0,"",R2250/(S2250+T2250)))</f>
        <v/>
      </c>
      <c r="V2250" s="63"/>
      <c r="W2250" s="64"/>
      <c r="X2250" s="63"/>
    </row>
    <row r="2251" spans="2:24">
      <c r="B2251" s="58"/>
      <c r="C2251" s="59"/>
      <c r="D2251" s="59"/>
      <c r="E2251" s="59"/>
      <c r="F2251" s="59"/>
      <c r="G2251" s="60">
        <f>IF(OR(E2251="",F2251="",C2251="",D2251=""),"",IF(C2251+D2251=0,"",(E2251*C2251+F2251*D2251)/(C2251+D2251)))</f>
        <v/>
      </c>
      <c r="H2251" s="59"/>
      <c r="I2251" s="60">
        <f>IF(OR(H2251="",E2251="",C2251="",D2251=""),"",IF(C2251+D2251=0,"",(H2251*D2251+E2251*C2251)/(C2251+D2251)))</f>
        <v/>
      </c>
      <c r="J2251" s="59"/>
      <c r="K2251" s="61">
        <f>IF(OR(J2251="",I2251=""),"",J2251-I2251)</f>
        <v/>
      </c>
      <c r="L2251" s="61">
        <f>IF(OR(J2251="",G2251=""),"",J2251-G2251)</f>
        <v/>
      </c>
      <c r="M2251" s="59"/>
      <c r="N2251" s="59"/>
      <c r="O2251" s="59"/>
      <c r="P2251" s="59"/>
      <c r="Q2251" s="59"/>
      <c r="R2251" s="60">
        <f>IF(AND(P2251="",Q2251=""),"",N(P2251)+N(Q2251))</f>
        <v/>
      </c>
      <c r="S2251" s="59"/>
      <c r="T2251" s="59"/>
      <c r="U2251" s="62">
        <f>IF(OR(R2251="",S2251="",T2251=""),"",IF(S2251+T2251=0,"",R2251/(S2251+T2251)))</f>
        <v/>
      </c>
      <c r="V2251" s="63"/>
      <c r="W2251" s="64"/>
      <c r="X2251" s="63"/>
    </row>
    <row r="2252" spans="2:24">
      <c r="B2252" s="58"/>
      <c r="C2252" s="59"/>
      <c r="D2252" s="59"/>
      <c r="E2252" s="59"/>
      <c r="F2252" s="59"/>
      <c r="G2252" s="60">
        <f>IF(OR(E2252="",F2252="",C2252="",D2252=""),"",IF(C2252+D2252=0,"",(E2252*C2252+F2252*D2252)/(C2252+D2252)))</f>
        <v/>
      </c>
      <c r="H2252" s="59"/>
      <c r="I2252" s="60">
        <f>IF(OR(H2252="",E2252="",C2252="",D2252=""),"",IF(C2252+D2252=0,"",(H2252*D2252+E2252*C2252)/(C2252+D2252)))</f>
        <v/>
      </c>
      <c r="J2252" s="59"/>
      <c r="K2252" s="61">
        <f>IF(OR(J2252="",I2252=""),"",J2252-I2252)</f>
        <v/>
      </c>
      <c r="L2252" s="61">
        <f>IF(OR(J2252="",G2252=""),"",J2252-G2252)</f>
        <v/>
      </c>
      <c r="M2252" s="59"/>
      <c r="N2252" s="59"/>
      <c r="O2252" s="59"/>
      <c r="P2252" s="59"/>
      <c r="Q2252" s="59"/>
      <c r="R2252" s="60">
        <f>IF(AND(P2252="",Q2252=""),"",N(P2252)+N(Q2252))</f>
        <v/>
      </c>
      <c r="S2252" s="59"/>
      <c r="T2252" s="59"/>
      <c r="U2252" s="62">
        <f>IF(OR(R2252="",S2252="",T2252=""),"",IF(S2252+T2252=0,"",R2252/(S2252+T2252)))</f>
        <v/>
      </c>
      <c r="V2252" s="63"/>
      <c r="W2252" s="64"/>
      <c r="X2252" s="63"/>
    </row>
    <row r="2253" spans="2:24">
      <c r="B2253" s="58"/>
      <c r="C2253" s="59"/>
      <c r="D2253" s="59"/>
      <c r="E2253" s="59"/>
      <c r="F2253" s="59"/>
      <c r="G2253" s="60">
        <f>IF(OR(E2253="",F2253="",C2253="",D2253=""),"",IF(C2253+D2253=0,"",(E2253*C2253+F2253*D2253)/(C2253+D2253)))</f>
        <v/>
      </c>
      <c r="H2253" s="59"/>
      <c r="I2253" s="60">
        <f>IF(OR(H2253="",E2253="",C2253="",D2253=""),"",IF(C2253+D2253=0,"",(H2253*D2253+E2253*C2253)/(C2253+D2253)))</f>
        <v/>
      </c>
      <c r="J2253" s="59"/>
      <c r="K2253" s="61">
        <f>IF(OR(J2253="",I2253=""),"",J2253-I2253)</f>
        <v/>
      </c>
      <c r="L2253" s="61">
        <f>IF(OR(J2253="",G2253=""),"",J2253-G2253)</f>
        <v/>
      </c>
      <c r="M2253" s="59"/>
      <c r="N2253" s="59"/>
      <c r="O2253" s="59"/>
      <c r="P2253" s="59"/>
      <c r="Q2253" s="59"/>
      <c r="R2253" s="60">
        <f>IF(AND(P2253="",Q2253=""),"",N(P2253)+N(Q2253))</f>
        <v/>
      </c>
      <c r="S2253" s="59"/>
      <c r="T2253" s="59"/>
      <c r="U2253" s="62">
        <f>IF(OR(R2253="",S2253="",T2253=""),"",IF(S2253+T2253=0,"",R2253/(S2253+T2253)))</f>
        <v/>
      </c>
      <c r="V2253" s="63"/>
      <c r="W2253" s="64"/>
      <c r="X2253" s="63"/>
    </row>
    <row r="2254" spans="2:24">
      <c r="B2254" s="58"/>
      <c r="C2254" s="59"/>
      <c r="D2254" s="59"/>
      <c r="E2254" s="59"/>
      <c r="F2254" s="59"/>
      <c r="G2254" s="60">
        <f>IF(OR(E2254="",F2254="",C2254="",D2254=""),"",IF(C2254+D2254=0,"",(E2254*C2254+F2254*D2254)/(C2254+D2254)))</f>
        <v/>
      </c>
      <c r="H2254" s="59"/>
      <c r="I2254" s="60">
        <f>IF(OR(H2254="",E2254="",C2254="",D2254=""),"",IF(C2254+D2254=0,"",(H2254*D2254+E2254*C2254)/(C2254+D2254)))</f>
        <v/>
      </c>
      <c r="J2254" s="59"/>
      <c r="K2254" s="61">
        <f>IF(OR(J2254="",I2254=""),"",J2254-I2254)</f>
        <v/>
      </c>
      <c r="L2254" s="61">
        <f>IF(OR(J2254="",G2254=""),"",J2254-G2254)</f>
        <v/>
      </c>
      <c r="M2254" s="59"/>
      <c r="N2254" s="59"/>
      <c r="O2254" s="59"/>
      <c r="P2254" s="59"/>
      <c r="Q2254" s="59"/>
      <c r="R2254" s="60">
        <f>IF(AND(P2254="",Q2254=""),"",N(P2254)+N(Q2254))</f>
        <v/>
      </c>
      <c r="S2254" s="59"/>
      <c r="T2254" s="59"/>
      <c r="U2254" s="62">
        <f>IF(OR(R2254="",S2254="",T2254=""),"",IF(S2254+T2254=0,"",R2254/(S2254+T2254)))</f>
        <v/>
      </c>
      <c r="V2254" s="63"/>
      <c r="W2254" s="64"/>
      <c r="X2254" s="63"/>
    </row>
    <row r="2255" spans="2:24">
      <c r="B2255" s="58"/>
      <c r="C2255" s="59"/>
      <c r="D2255" s="59"/>
      <c r="E2255" s="59"/>
      <c r="F2255" s="59"/>
      <c r="G2255" s="60">
        <f>IF(OR(E2255="",F2255="",C2255="",D2255=""),"",IF(C2255+D2255=0,"",(E2255*C2255+F2255*D2255)/(C2255+D2255)))</f>
        <v/>
      </c>
      <c r="H2255" s="59"/>
      <c r="I2255" s="60">
        <f>IF(OR(H2255="",E2255="",C2255="",D2255=""),"",IF(C2255+D2255=0,"",(H2255*D2255+E2255*C2255)/(C2255+D2255)))</f>
        <v/>
      </c>
      <c r="J2255" s="59"/>
      <c r="K2255" s="61">
        <f>IF(OR(J2255="",I2255=""),"",J2255-I2255)</f>
        <v/>
      </c>
      <c r="L2255" s="61">
        <f>IF(OR(J2255="",G2255=""),"",J2255-G2255)</f>
        <v/>
      </c>
      <c r="M2255" s="59"/>
      <c r="N2255" s="59"/>
      <c r="O2255" s="59"/>
      <c r="P2255" s="59"/>
      <c r="Q2255" s="59"/>
      <c r="R2255" s="60">
        <f>IF(AND(P2255="",Q2255=""),"",N(P2255)+N(Q2255))</f>
        <v/>
      </c>
      <c r="S2255" s="59"/>
      <c r="T2255" s="59"/>
      <c r="U2255" s="62">
        <f>IF(OR(R2255="",S2255="",T2255=""),"",IF(S2255+T2255=0,"",R2255/(S2255+T2255)))</f>
        <v/>
      </c>
      <c r="V2255" s="63"/>
      <c r="W2255" s="64"/>
      <c r="X2255" s="63"/>
    </row>
    <row r="2256" spans="2:24">
      <c r="B2256" s="58"/>
      <c r="C2256" s="59"/>
      <c r="D2256" s="59"/>
      <c r="E2256" s="59"/>
      <c r="F2256" s="59"/>
      <c r="G2256" s="60">
        <f>IF(OR(E2256="",F2256="",C2256="",D2256=""),"",IF(C2256+D2256=0,"",(E2256*C2256+F2256*D2256)/(C2256+D2256)))</f>
        <v/>
      </c>
      <c r="H2256" s="59"/>
      <c r="I2256" s="60">
        <f>IF(OR(H2256="",E2256="",C2256="",D2256=""),"",IF(C2256+D2256=0,"",(H2256*D2256+E2256*C2256)/(C2256+D2256)))</f>
        <v/>
      </c>
      <c r="J2256" s="59"/>
      <c r="K2256" s="61">
        <f>IF(OR(J2256="",I2256=""),"",J2256-I2256)</f>
        <v/>
      </c>
      <c r="L2256" s="61">
        <f>IF(OR(J2256="",G2256=""),"",J2256-G2256)</f>
        <v/>
      </c>
      <c r="M2256" s="59"/>
      <c r="N2256" s="59"/>
      <c r="O2256" s="59"/>
      <c r="P2256" s="59"/>
      <c r="Q2256" s="59"/>
      <c r="R2256" s="60">
        <f>IF(AND(P2256="",Q2256=""),"",N(P2256)+N(Q2256))</f>
        <v/>
      </c>
      <c r="S2256" s="59"/>
      <c r="T2256" s="59"/>
      <c r="U2256" s="62">
        <f>IF(OR(R2256="",S2256="",T2256=""),"",IF(S2256+T2256=0,"",R2256/(S2256+T2256)))</f>
        <v/>
      </c>
      <c r="V2256" s="63"/>
      <c r="W2256" s="64"/>
      <c r="X2256" s="63"/>
    </row>
    <row r="2257" spans="2:24">
      <c r="B2257" s="58"/>
      <c r="C2257" s="59"/>
      <c r="D2257" s="59"/>
      <c r="E2257" s="59"/>
      <c r="F2257" s="59"/>
      <c r="G2257" s="60">
        <f>IF(OR(E2257="",F2257="",C2257="",D2257=""),"",IF(C2257+D2257=0,"",(E2257*C2257+F2257*D2257)/(C2257+D2257)))</f>
        <v/>
      </c>
      <c r="H2257" s="59"/>
      <c r="I2257" s="60">
        <f>IF(OR(H2257="",E2257="",C2257="",D2257=""),"",IF(C2257+D2257=0,"",(H2257*D2257+E2257*C2257)/(C2257+D2257)))</f>
        <v/>
      </c>
      <c r="J2257" s="59"/>
      <c r="K2257" s="61">
        <f>IF(OR(J2257="",I2257=""),"",J2257-I2257)</f>
        <v/>
      </c>
      <c r="L2257" s="61">
        <f>IF(OR(J2257="",G2257=""),"",J2257-G2257)</f>
        <v/>
      </c>
      <c r="M2257" s="59"/>
      <c r="N2257" s="59"/>
      <c r="O2257" s="59"/>
      <c r="P2257" s="59"/>
      <c r="Q2257" s="59"/>
      <c r="R2257" s="60">
        <f>IF(AND(P2257="",Q2257=""),"",N(P2257)+N(Q2257))</f>
        <v/>
      </c>
      <c r="S2257" s="59"/>
      <c r="T2257" s="59"/>
      <c r="U2257" s="62">
        <f>IF(OR(R2257="",S2257="",T2257=""),"",IF(S2257+T2257=0,"",R2257/(S2257+T2257)))</f>
        <v/>
      </c>
      <c r="V2257" s="63"/>
      <c r="W2257" s="64"/>
      <c r="X2257" s="63"/>
    </row>
    <row r="2258" spans="2:24">
      <c r="B2258" s="58"/>
      <c r="C2258" s="59"/>
      <c r="D2258" s="59"/>
      <c r="E2258" s="59"/>
      <c r="F2258" s="59"/>
      <c r="G2258" s="60">
        <f>IF(OR(E2258="",F2258="",C2258="",D2258=""),"",IF(C2258+D2258=0,"",(E2258*C2258+F2258*D2258)/(C2258+D2258)))</f>
        <v/>
      </c>
      <c r="H2258" s="59"/>
      <c r="I2258" s="60">
        <f>IF(OR(H2258="",E2258="",C2258="",D2258=""),"",IF(C2258+D2258=0,"",(H2258*D2258+E2258*C2258)/(C2258+D2258)))</f>
        <v/>
      </c>
      <c r="J2258" s="59"/>
      <c r="K2258" s="61">
        <f>IF(OR(J2258="",I2258=""),"",J2258-I2258)</f>
        <v/>
      </c>
      <c r="L2258" s="61">
        <f>IF(OR(J2258="",G2258=""),"",J2258-G2258)</f>
        <v/>
      </c>
      <c r="M2258" s="59"/>
      <c r="N2258" s="59"/>
      <c r="O2258" s="59"/>
      <c r="P2258" s="59"/>
      <c r="Q2258" s="59"/>
      <c r="R2258" s="60">
        <f>IF(AND(P2258="",Q2258=""),"",N(P2258)+N(Q2258))</f>
        <v/>
      </c>
      <c r="S2258" s="59"/>
      <c r="T2258" s="59"/>
      <c r="U2258" s="62">
        <f>IF(OR(R2258="",S2258="",T2258=""),"",IF(S2258+T2258=0,"",R2258/(S2258+T2258)))</f>
        <v/>
      </c>
      <c r="V2258" s="63"/>
      <c r="W2258" s="64"/>
      <c r="X2258" s="63"/>
    </row>
    <row r="2259" spans="2:24">
      <c r="B2259" s="58"/>
      <c r="C2259" s="59"/>
      <c r="D2259" s="59"/>
      <c r="E2259" s="59"/>
      <c r="F2259" s="59"/>
      <c r="G2259" s="60">
        <f>IF(OR(E2259="",F2259="",C2259="",D2259=""),"",IF(C2259+D2259=0,"",(E2259*C2259+F2259*D2259)/(C2259+D2259)))</f>
        <v/>
      </c>
      <c r="H2259" s="59"/>
      <c r="I2259" s="60">
        <f>IF(OR(H2259="",E2259="",C2259="",D2259=""),"",IF(C2259+D2259=0,"",(H2259*D2259+E2259*C2259)/(C2259+D2259)))</f>
        <v/>
      </c>
      <c r="J2259" s="59"/>
      <c r="K2259" s="61">
        <f>IF(OR(J2259="",I2259=""),"",J2259-I2259)</f>
        <v/>
      </c>
      <c r="L2259" s="61">
        <f>IF(OR(J2259="",G2259=""),"",J2259-G2259)</f>
        <v/>
      </c>
      <c r="M2259" s="59"/>
      <c r="N2259" s="59"/>
      <c r="O2259" s="59"/>
      <c r="P2259" s="59"/>
      <c r="Q2259" s="59"/>
      <c r="R2259" s="60">
        <f>IF(AND(P2259="",Q2259=""),"",N(P2259)+N(Q2259))</f>
        <v/>
      </c>
      <c r="S2259" s="59"/>
      <c r="T2259" s="59"/>
      <c r="U2259" s="62">
        <f>IF(OR(R2259="",S2259="",T2259=""),"",IF(S2259+T2259=0,"",R2259/(S2259+T2259)))</f>
        <v/>
      </c>
      <c r="V2259" s="63"/>
      <c r="W2259" s="64"/>
      <c r="X2259" s="63"/>
    </row>
    <row r="2260" spans="2:24">
      <c r="B2260" s="58"/>
      <c r="C2260" s="59"/>
      <c r="D2260" s="59"/>
      <c r="E2260" s="59"/>
      <c r="F2260" s="59"/>
      <c r="G2260" s="60">
        <f>IF(OR(E2260="",F2260="",C2260="",D2260=""),"",IF(C2260+D2260=0,"",(E2260*C2260+F2260*D2260)/(C2260+D2260)))</f>
        <v/>
      </c>
      <c r="H2260" s="59"/>
      <c r="I2260" s="60">
        <f>IF(OR(H2260="",E2260="",C2260="",D2260=""),"",IF(C2260+D2260=0,"",(H2260*D2260+E2260*C2260)/(C2260+D2260)))</f>
        <v/>
      </c>
      <c r="J2260" s="59"/>
      <c r="K2260" s="61">
        <f>IF(OR(J2260="",I2260=""),"",J2260-I2260)</f>
        <v/>
      </c>
      <c r="L2260" s="61">
        <f>IF(OR(J2260="",G2260=""),"",J2260-G2260)</f>
        <v/>
      </c>
      <c r="M2260" s="59"/>
      <c r="N2260" s="59"/>
      <c r="O2260" s="59"/>
      <c r="P2260" s="59"/>
      <c r="Q2260" s="59"/>
      <c r="R2260" s="60">
        <f>IF(AND(P2260="",Q2260=""),"",N(P2260)+N(Q2260))</f>
        <v/>
      </c>
      <c r="S2260" s="59"/>
      <c r="T2260" s="59"/>
      <c r="U2260" s="62">
        <f>IF(OR(R2260="",S2260="",T2260=""),"",IF(S2260+T2260=0,"",R2260/(S2260+T2260)))</f>
        <v/>
      </c>
      <c r="V2260" s="63"/>
      <c r="W2260" s="64"/>
      <c r="X2260" s="63"/>
    </row>
    <row r="2261" spans="2:24">
      <c r="B2261" s="58"/>
      <c r="C2261" s="59"/>
      <c r="D2261" s="59"/>
      <c r="E2261" s="59"/>
      <c r="F2261" s="59"/>
      <c r="G2261" s="60">
        <f>IF(OR(E2261="",F2261="",C2261="",D2261=""),"",IF(C2261+D2261=0,"",(E2261*C2261+F2261*D2261)/(C2261+D2261)))</f>
        <v/>
      </c>
      <c r="H2261" s="59"/>
      <c r="I2261" s="60">
        <f>IF(OR(H2261="",E2261="",C2261="",D2261=""),"",IF(C2261+D2261=0,"",(H2261*D2261+E2261*C2261)/(C2261+D2261)))</f>
        <v/>
      </c>
      <c r="J2261" s="59"/>
      <c r="K2261" s="61">
        <f>IF(OR(J2261="",I2261=""),"",J2261-I2261)</f>
        <v/>
      </c>
      <c r="L2261" s="61">
        <f>IF(OR(J2261="",G2261=""),"",J2261-G2261)</f>
        <v/>
      </c>
      <c r="M2261" s="59"/>
      <c r="N2261" s="59"/>
      <c r="O2261" s="59"/>
      <c r="P2261" s="59"/>
      <c r="Q2261" s="59"/>
      <c r="R2261" s="60">
        <f>IF(AND(P2261="",Q2261=""),"",N(P2261)+N(Q2261))</f>
        <v/>
      </c>
      <c r="S2261" s="59"/>
      <c r="T2261" s="59"/>
      <c r="U2261" s="62">
        <f>IF(OR(R2261="",S2261="",T2261=""),"",IF(S2261+T2261=0,"",R2261/(S2261+T2261)))</f>
        <v/>
      </c>
      <c r="V2261" s="63"/>
      <c r="W2261" s="64"/>
      <c r="X2261" s="63"/>
    </row>
    <row r="2262" spans="2:24">
      <c r="B2262" s="58"/>
      <c r="C2262" s="59"/>
      <c r="D2262" s="59"/>
      <c r="E2262" s="59"/>
      <c r="F2262" s="59"/>
      <c r="G2262" s="60">
        <f>IF(OR(E2262="",F2262="",C2262="",D2262=""),"",IF(C2262+D2262=0,"",(E2262*C2262+F2262*D2262)/(C2262+D2262)))</f>
        <v/>
      </c>
      <c r="H2262" s="59"/>
      <c r="I2262" s="60">
        <f>IF(OR(H2262="",E2262="",C2262="",D2262=""),"",IF(C2262+D2262=0,"",(H2262*D2262+E2262*C2262)/(C2262+D2262)))</f>
        <v/>
      </c>
      <c r="J2262" s="59"/>
      <c r="K2262" s="61">
        <f>IF(OR(J2262="",I2262=""),"",J2262-I2262)</f>
        <v/>
      </c>
      <c r="L2262" s="61">
        <f>IF(OR(J2262="",G2262=""),"",J2262-G2262)</f>
        <v/>
      </c>
      <c r="M2262" s="59"/>
      <c r="N2262" s="59"/>
      <c r="O2262" s="59"/>
      <c r="P2262" s="59"/>
      <c r="Q2262" s="59"/>
      <c r="R2262" s="60">
        <f>IF(AND(P2262="",Q2262=""),"",N(P2262)+N(Q2262))</f>
        <v/>
      </c>
      <c r="S2262" s="59"/>
      <c r="T2262" s="59"/>
      <c r="U2262" s="62">
        <f>IF(OR(R2262="",S2262="",T2262=""),"",IF(S2262+T2262=0,"",R2262/(S2262+T2262)))</f>
        <v/>
      </c>
      <c r="V2262" s="63"/>
      <c r="W2262" s="64"/>
      <c r="X2262" s="63"/>
    </row>
    <row r="2263" spans="2:24">
      <c r="B2263" s="58"/>
      <c r="C2263" s="59"/>
      <c r="D2263" s="59"/>
      <c r="E2263" s="59"/>
      <c r="F2263" s="59"/>
      <c r="G2263" s="60">
        <f>IF(OR(E2263="",F2263="",C2263="",D2263=""),"",IF(C2263+D2263=0,"",(E2263*C2263+F2263*D2263)/(C2263+D2263)))</f>
        <v/>
      </c>
      <c r="H2263" s="59"/>
      <c r="I2263" s="60">
        <f>IF(OR(H2263="",E2263="",C2263="",D2263=""),"",IF(C2263+D2263=0,"",(H2263*D2263+E2263*C2263)/(C2263+D2263)))</f>
        <v/>
      </c>
      <c r="J2263" s="59"/>
      <c r="K2263" s="61">
        <f>IF(OR(J2263="",I2263=""),"",J2263-I2263)</f>
        <v/>
      </c>
      <c r="L2263" s="61">
        <f>IF(OR(J2263="",G2263=""),"",J2263-G2263)</f>
        <v/>
      </c>
      <c r="M2263" s="59"/>
      <c r="N2263" s="59"/>
      <c r="O2263" s="59"/>
      <c r="P2263" s="59"/>
      <c r="Q2263" s="59"/>
      <c r="R2263" s="60">
        <f>IF(AND(P2263="",Q2263=""),"",N(P2263)+N(Q2263))</f>
        <v/>
      </c>
      <c r="S2263" s="59"/>
      <c r="T2263" s="59"/>
      <c r="U2263" s="62">
        <f>IF(OR(R2263="",S2263="",T2263=""),"",IF(S2263+T2263=0,"",R2263/(S2263+T2263)))</f>
        <v/>
      </c>
      <c r="V2263" s="63"/>
      <c r="W2263" s="64"/>
      <c r="X2263" s="63"/>
    </row>
    <row r="2264" spans="2:24">
      <c r="B2264" s="58"/>
      <c r="C2264" s="59"/>
      <c r="D2264" s="59"/>
      <c r="E2264" s="59"/>
      <c r="F2264" s="59"/>
      <c r="G2264" s="60">
        <f>IF(OR(E2264="",F2264="",C2264="",D2264=""),"",IF(C2264+D2264=0,"",(E2264*C2264+F2264*D2264)/(C2264+D2264)))</f>
        <v/>
      </c>
      <c r="H2264" s="59"/>
      <c r="I2264" s="60">
        <f>IF(OR(H2264="",E2264="",C2264="",D2264=""),"",IF(C2264+D2264=0,"",(H2264*D2264+E2264*C2264)/(C2264+D2264)))</f>
        <v/>
      </c>
      <c r="J2264" s="59"/>
      <c r="K2264" s="61">
        <f>IF(OR(J2264="",I2264=""),"",J2264-I2264)</f>
        <v/>
      </c>
      <c r="L2264" s="61">
        <f>IF(OR(J2264="",G2264=""),"",J2264-G2264)</f>
        <v/>
      </c>
      <c r="M2264" s="59"/>
      <c r="N2264" s="59"/>
      <c r="O2264" s="59"/>
      <c r="P2264" s="59"/>
      <c r="Q2264" s="59"/>
      <c r="R2264" s="60">
        <f>IF(AND(P2264="",Q2264=""),"",N(P2264)+N(Q2264))</f>
        <v/>
      </c>
      <c r="S2264" s="59"/>
      <c r="T2264" s="59"/>
      <c r="U2264" s="62">
        <f>IF(OR(R2264="",S2264="",T2264=""),"",IF(S2264+T2264=0,"",R2264/(S2264+T2264)))</f>
        <v/>
      </c>
      <c r="V2264" s="63"/>
      <c r="W2264" s="64"/>
      <c r="X2264" s="63"/>
    </row>
    <row r="2265" spans="2:24">
      <c r="B2265" s="58"/>
      <c r="C2265" s="59"/>
      <c r="D2265" s="59"/>
      <c r="E2265" s="59"/>
      <c r="F2265" s="59"/>
      <c r="G2265" s="60">
        <f>IF(OR(E2265="",F2265="",C2265="",D2265=""),"",IF(C2265+D2265=0,"",(E2265*C2265+F2265*D2265)/(C2265+D2265)))</f>
        <v/>
      </c>
      <c r="H2265" s="59"/>
      <c r="I2265" s="60">
        <f>IF(OR(H2265="",E2265="",C2265="",D2265=""),"",IF(C2265+D2265=0,"",(H2265*D2265+E2265*C2265)/(C2265+D2265)))</f>
        <v/>
      </c>
      <c r="J2265" s="59"/>
      <c r="K2265" s="61">
        <f>IF(OR(J2265="",I2265=""),"",J2265-I2265)</f>
        <v/>
      </c>
      <c r="L2265" s="61">
        <f>IF(OR(J2265="",G2265=""),"",J2265-G2265)</f>
        <v/>
      </c>
      <c r="M2265" s="59"/>
      <c r="N2265" s="59"/>
      <c r="O2265" s="59"/>
      <c r="P2265" s="59"/>
      <c r="Q2265" s="59"/>
      <c r="R2265" s="60">
        <f>IF(AND(P2265="",Q2265=""),"",N(P2265)+N(Q2265))</f>
        <v/>
      </c>
      <c r="S2265" s="59"/>
      <c r="T2265" s="59"/>
      <c r="U2265" s="62">
        <f>IF(OR(R2265="",S2265="",T2265=""),"",IF(S2265+T2265=0,"",R2265/(S2265+T2265)))</f>
        <v/>
      </c>
      <c r="V2265" s="63"/>
      <c r="W2265" s="64"/>
      <c r="X2265" s="63"/>
    </row>
    <row r="2266" spans="2:24">
      <c r="B2266" s="58"/>
      <c r="C2266" s="59"/>
      <c r="D2266" s="59"/>
      <c r="E2266" s="59"/>
      <c r="F2266" s="59"/>
      <c r="G2266" s="60">
        <f>IF(OR(E2266="",F2266="",C2266="",D2266=""),"",IF(C2266+D2266=0,"",(E2266*C2266+F2266*D2266)/(C2266+D2266)))</f>
        <v/>
      </c>
      <c r="H2266" s="59"/>
      <c r="I2266" s="60">
        <f>IF(OR(H2266="",E2266="",C2266="",D2266=""),"",IF(C2266+D2266=0,"",(H2266*D2266+E2266*C2266)/(C2266+D2266)))</f>
        <v/>
      </c>
      <c r="J2266" s="59"/>
      <c r="K2266" s="61">
        <f>IF(OR(J2266="",I2266=""),"",J2266-I2266)</f>
        <v/>
      </c>
      <c r="L2266" s="61">
        <f>IF(OR(J2266="",G2266=""),"",J2266-G2266)</f>
        <v/>
      </c>
      <c r="M2266" s="59"/>
      <c r="N2266" s="59"/>
      <c r="O2266" s="59"/>
      <c r="P2266" s="59"/>
      <c r="Q2266" s="59"/>
      <c r="R2266" s="60">
        <f>IF(AND(P2266="",Q2266=""),"",N(P2266)+N(Q2266))</f>
        <v/>
      </c>
      <c r="S2266" s="59"/>
      <c r="T2266" s="59"/>
      <c r="U2266" s="62">
        <f>IF(OR(R2266="",S2266="",T2266=""),"",IF(S2266+T2266=0,"",R2266/(S2266+T2266)))</f>
        <v/>
      </c>
      <c r="V2266" s="63"/>
      <c r="W2266" s="64"/>
      <c r="X2266" s="63"/>
    </row>
    <row r="2267" spans="2:24">
      <c r="B2267" s="58"/>
      <c r="C2267" s="59"/>
      <c r="D2267" s="59"/>
      <c r="E2267" s="59"/>
      <c r="F2267" s="59"/>
      <c r="G2267" s="60">
        <f>IF(OR(E2267="",F2267="",C2267="",D2267=""),"",IF(C2267+D2267=0,"",(E2267*C2267+F2267*D2267)/(C2267+D2267)))</f>
        <v/>
      </c>
      <c r="H2267" s="59"/>
      <c r="I2267" s="60">
        <f>IF(OR(H2267="",E2267="",C2267="",D2267=""),"",IF(C2267+D2267=0,"",(H2267*D2267+E2267*C2267)/(C2267+D2267)))</f>
        <v/>
      </c>
      <c r="J2267" s="59"/>
      <c r="K2267" s="61">
        <f>IF(OR(J2267="",I2267=""),"",J2267-I2267)</f>
        <v/>
      </c>
      <c r="L2267" s="61">
        <f>IF(OR(J2267="",G2267=""),"",J2267-G2267)</f>
        <v/>
      </c>
      <c r="M2267" s="59"/>
      <c r="N2267" s="59"/>
      <c r="O2267" s="59"/>
      <c r="P2267" s="59"/>
      <c r="Q2267" s="59"/>
      <c r="R2267" s="60">
        <f>IF(AND(P2267="",Q2267=""),"",N(P2267)+N(Q2267))</f>
        <v/>
      </c>
      <c r="S2267" s="59"/>
      <c r="T2267" s="59"/>
      <c r="U2267" s="62">
        <f>IF(OR(R2267="",S2267="",T2267=""),"",IF(S2267+T2267=0,"",R2267/(S2267+T2267)))</f>
        <v/>
      </c>
      <c r="V2267" s="63"/>
      <c r="W2267" s="64"/>
      <c r="X2267" s="63"/>
    </row>
    <row r="2268" spans="2:24">
      <c r="B2268" s="58"/>
      <c r="C2268" s="59"/>
      <c r="D2268" s="59"/>
      <c r="E2268" s="59"/>
      <c r="F2268" s="59"/>
      <c r="G2268" s="60">
        <f>IF(OR(E2268="",F2268="",C2268="",D2268=""),"",IF(C2268+D2268=0,"",(E2268*C2268+F2268*D2268)/(C2268+D2268)))</f>
        <v/>
      </c>
      <c r="H2268" s="59"/>
      <c r="I2268" s="60">
        <f>IF(OR(H2268="",E2268="",C2268="",D2268=""),"",IF(C2268+D2268=0,"",(H2268*D2268+E2268*C2268)/(C2268+D2268)))</f>
        <v/>
      </c>
      <c r="J2268" s="59"/>
      <c r="K2268" s="61">
        <f>IF(OR(J2268="",I2268=""),"",J2268-I2268)</f>
        <v/>
      </c>
      <c r="L2268" s="61">
        <f>IF(OR(J2268="",G2268=""),"",J2268-G2268)</f>
        <v/>
      </c>
      <c r="M2268" s="59"/>
      <c r="N2268" s="59"/>
      <c r="O2268" s="59"/>
      <c r="P2268" s="59"/>
      <c r="Q2268" s="59"/>
      <c r="R2268" s="60">
        <f>IF(AND(P2268="",Q2268=""),"",N(P2268)+N(Q2268))</f>
        <v/>
      </c>
      <c r="S2268" s="59"/>
      <c r="T2268" s="59"/>
      <c r="U2268" s="62">
        <f>IF(OR(R2268="",S2268="",T2268=""),"",IF(S2268+T2268=0,"",R2268/(S2268+T2268)))</f>
        <v/>
      </c>
      <c r="V2268" s="63"/>
      <c r="W2268" s="64"/>
      <c r="X2268" s="63"/>
    </row>
    <row r="2269" spans="2:24">
      <c r="B2269" s="58"/>
      <c r="C2269" s="59"/>
      <c r="D2269" s="59"/>
      <c r="E2269" s="59"/>
      <c r="F2269" s="59"/>
      <c r="G2269" s="60">
        <f>IF(OR(E2269="",F2269="",C2269="",D2269=""),"",IF(C2269+D2269=0,"",(E2269*C2269+F2269*D2269)/(C2269+D2269)))</f>
        <v/>
      </c>
      <c r="H2269" s="59"/>
      <c r="I2269" s="60">
        <f>IF(OR(H2269="",E2269="",C2269="",D2269=""),"",IF(C2269+D2269=0,"",(H2269*D2269+E2269*C2269)/(C2269+D2269)))</f>
        <v/>
      </c>
      <c r="J2269" s="59"/>
      <c r="K2269" s="61">
        <f>IF(OR(J2269="",I2269=""),"",J2269-I2269)</f>
        <v/>
      </c>
      <c r="L2269" s="61">
        <f>IF(OR(J2269="",G2269=""),"",J2269-G2269)</f>
        <v/>
      </c>
      <c r="M2269" s="59"/>
      <c r="N2269" s="59"/>
      <c r="O2269" s="59"/>
      <c r="P2269" s="59"/>
      <c r="Q2269" s="59"/>
      <c r="R2269" s="60">
        <f>IF(AND(P2269="",Q2269=""),"",N(P2269)+N(Q2269))</f>
        <v/>
      </c>
      <c r="S2269" s="59"/>
      <c r="T2269" s="59"/>
      <c r="U2269" s="62">
        <f>IF(OR(R2269="",S2269="",T2269=""),"",IF(S2269+T2269=0,"",R2269/(S2269+T2269)))</f>
        <v/>
      </c>
      <c r="V2269" s="63"/>
      <c r="W2269" s="64"/>
      <c r="X2269" s="63"/>
    </row>
    <row r="2270" spans="2:24">
      <c r="B2270" s="58"/>
      <c r="C2270" s="59"/>
      <c r="D2270" s="59"/>
      <c r="E2270" s="59"/>
      <c r="F2270" s="59"/>
      <c r="G2270" s="60">
        <f>IF(OR(E2270="",F2270="",C2270="",D2270=""),"",IF(C2270+D2270=0,"",(E2270*C2270+F2270*D2270)/(C2270+D2270)))</f>
        <v/>
      </c>
      <c r="H2270" s="59"/>
      <c r="I2270" s="60">
        <f>IF(OR(H2270="",E2270="",C2270="",D2270=""),"",IF(C2270+D2270=0,"",(H2270*D2270+E2270*C2270)/(C2270+D2270)))</f>
        <v/>
      </c>
      <c r="J2270" s="59"/>
      <c r="K2270" s="61">
        <f>IF(OR(J2270="",I2270=""),"",J2270-I2270)</f>
        <v/>
      </c>
      <c r="L2270" s="61">
        <f>IF(OR(J2270="",G2270=""),"",J2270-G2270)</f>
        <v/>
      </c>
      <c r="M2270" s="59"/>
      <c r="N2270" s="59"/>
      <c r="O2270" s="59"/>
      <c r="P2270" s="59"/>
      <c r="Q2270" s="59"/>
      <c r="R2270" s="60">
        <f>IF(AND(P2270="",Q2270=""),"",N(P2270)+N(Q2270))</f>
        <v/>
      </c>
      <c r="S2270" s="59"/>
      <c r="T2270" s="59"/>
      <c r="U2270" s="62">
        <f>IF(OR(R2270="",S2270="",T2270=""),"",IF(S2270+T2270=0,"",R2270/(S2270+T2270)))</f>
        <v/>
      </c>
      <c r="V2270" s="63"/>
      <c r="W2270" s="64"/>
      <c r="X2270" s="63"/>
    </row>
    <row r="2271" spans="2:24">
      <c r="B2271" s="58"/>
      <c r="C2271" s="59"/>
      <c r="D2271" s="59"/>
      <c r="E2271" s="59"/>
      <c r="F2271" s="59"/>
      <c r="G2271" s="60">
        <f>IF(OR(E2271="",F2271="",C2271="",D2271=""),"",IF(C2271+D2271=0,"",(E2271*C2271+F2271*D2271)/(C2271+D2271)))</f>
        <v/>
      </c>
      <c r="H2271" s="59"/>
      <c r="I2271" s="60">
        <f>IF(OR(H2271="",E2271="",C2271="",D2271=""),"",IF(C2271+D2271=0,"",(H2271*D2271+E2271*C2271)/(C2271+D2271)))</f>
        <v/>
      </c>
      <c r="J2271" s="59"/>
      <c r="K2271" s="61">
        <f>IF(OR(J2271="",I2271=""),"",J2271-I2271)</f>
        <v/>
      </c>
      <c r="L2271" s="61">
        <f>IF(OR(J2271="",G2271=""),"",J2271-G2271)</f>
        <v/>
      </c>
      <c r="M2271" s="59"/>
      <c r="N2271" s="59"/>
      <c r="O2271" s="59"/>
      <c r="P2271" s="59"/>
      <c r="Q2271" s="59"/>
      <c r="R2271" s="60">
        <f>IF(AND(P2271="",Q2271=""),"",N(P2271)+N(Q2271))</f>
        <v/>
      </c>
      <c r="S2271" s="59"/>
      <c r="T2271" s="59"/>
      <c r="U2271" s="62">
        <f>IF(OR(R2271="",S2271="",T2271=""),"",IF(S2271+T2271=0,"",R2271/(S2271+T2271)))</f>
        <v/>
      </c>
      <c r="V2271" s="63"/>
      <c r="W2271" s="64"/>
      <c r="X2271" s="63"/>
    </row>
    <row r="2272" spans="2:24">
      <c r="B2272" s="58"/>
      <c r="C2272" s="59"/>
      <c r="D2272" s="59"/>
      <c r="E2272" s="59"/>
      <c r="F2272" s="59"/>
      <c r="G2272" s="60">
        <f>IF(OR(E2272="",F2272="",C2272="",D2272=""),"",IF(C2272+D2272=0,"",(E2272*C2272+F2272*D2272)/(C2272+D2272)))</f>
        <v/>
      </c>
      <c r="H2272" s="59"/>
      <c r="I2272" s="60">
        <f>IF(OR(H2272="",E2272="",C2272="",D2272=""),"",IF(C2272+D2272=0,"",(H2272*D2272+E2272*C2272)/(C2272+D2272)))</f>
        <v/>
      </c>
      <c r="J2272" s="59"/>
      <c r="K2272" s="61">
        <f>IF(OR(J2272="",I2272=""),"",J2272-I2272)</f>
        <v/>
      </c>
      <c r="L2272" s="61">
        <f>IF(OR(J2272="",G2272=""),"",J2272-G2272)</f>
        <v/>
      </c>
      <c r="M2272" s="59"/>
      <c r="N2272" s="59"/>
      <c r="O2272" s="59"/>
      <c r="P2272" s="59"/>
      <c r="Q2272" s="59"/>
      <c r="R2272" s="60">
        <f>IF(AND(P2272="",Q2272=""),"",N(P2272)+N(Q2272))</f>
        <v/>
      </c>
      <c r="S2272" s="59"/>
      <c r="T2272" s="59"/>
      <c r="U2272" s="62">
        <f>IF(OR(R2272="",S2272="",T2272=""),"",IF(S2272+T2272=0,"",R2272/(S2272+T2272)))</f>
        <v/>
      </c>
      <c r="V2272" s="63"/>
      <c r="W2272" s="64"/>
      <c r="X2272" s="63"/>
    </row>
    <row r="2273" spans="2:24">
      <c r="B2273" s="58"/>
      <c r="C2273" s="59"/>
      <c r="D2273" s="59"/>
      <c r="E2273" s="59"/>
      <c r="F2273" s="59"/>
      <c r="G2273" s="60">
        <f>IF(OR(E2273="",F2273="",C2273="",D2273=""),"",IF(C2273+D2273=0,"",(E2273*C2273+F2273*D2273)/(C2273+D2273)))</f>
        <v/>
      </c>
      <c r="H2273" s="59"/>
      <c r="I2273" s="60">
        <f>IF(OR(H2273="",E2273="",C2273="",D2273=""),"",IF(C2273+D2273=0,"",(H2273*D2273+E2273*C2273)/(C2273+D2273)))</f>
        <v/>
      </c>
      <c r="J2273" s="59"/>
      <c r="K2273" s="61">
        <f>IF(OR(J2273="",I2273=""),"",J2273-I2273)</f>
        <v/>
      </c>
      <c r="L2273" s="61">
        <f>IF(OR(J2273="",G2273=""),"",J2273-G2273)</f>
        <v/>
      </c>
      <c r="M2273" s="59"/>
      <c r="N2273" s="59"/>
      <c r="O2273" s="59"/>
      <c r="P2273" s="59"/>
      <c r="Q2273" s="59"/>
      <c r="R2273" s="60">
        <f>IF(AND(P2273="",Q2273=""),"",N(P2273)+N(Q2273))</f>
        <v/>
      </c>
      <c r="S2273" s="59"/>
      <c r="T2273" s="59"/>
      <c r="U2273" s="62">
        <f>IF(OR(R2273="",S2273="",T2273=""),"",IF(S2273+T2273=0,"",R2273/(S2273+T2273)))</f>
        <v/>
      </c>
      <c r="V2273" s="63"/>
      <c r="W2273" s="64"/>
      <c r="X2273" s="63"/>
    </row>
    <row r="2274" spans="2:24">
      <c r="B2274" s="58"/>
      <c r="C2274" s="59"/>
      <c r="D2274" s="59"/>
      <c r="E2274" s="59"/>
      <c r="F2274" s="59"/>
      <c r="G2274" s="60">
        <f>IF(OR(E2274="",F2274="",C2274="",D2274=""),"",IF(C2274+D2274=0,"",(E2274*C2274+F2274*D2274)/(C2274+D2274)))</f>
        <v/>
      </c>
      <c r="H2274" s="59"/>
      <c r="I2274" s="60">
        <f>IF(OR(H2274="",E2274="",C2274="",D2274=""),"",IF(C2274+D2274=0,"",(H2274*D2274+E2274*C2274)/(C2274+D2274)))</f>
        <v/>
      </c>
      <c r="J2274" s="59"/>
      <c r="K2274" s="61">
        <f>IF(OR(J2274="",I2274=""),"",J2274-I2274)</f>
        <v/>
      </c>
      <c r="L2274" s="61">
        <f>IF(OR(J2274="",G2274=""),"",J2274-G2274)</f>
        <v/>
      </c>
      <c r="M2274" s="59"/>
      <c r="N2274" s="59"/>
      <c r="O2274" s="59"/>
      <c r="P2274" s="59"/>
      <c r="Q2274" s="59"/>
      <c r="R2274" s="60">
        <f>IF(AND(P2274="",Q2274=""),"",N(P2274)+N(Q2274))</f>
        <v/>
      </c>
      <c r="S2274" s="59"/>
      <c r="T2274" s="59"/>
      <c r="U2274" s="62">
        <f>IF(OR(R2274="",S2274="",T2274=""),"",IF(S2274+T2274=0,"",R2274/(S2274+T2274)))</f>
        <v/>
      </c>
      <c r="V2274" s="63"/>
      <c r="W2274" s="64"/>
      <c r="X2274" s="63"/>
    </row>
    <row r="2275" spans="2:24">
      <c r="B2275" s="58"/>
      <c r="C2275" s="59"/>
      <c r="D2275" s="59"/>
      <c r="E2275" s="59"/>
      <c r="F2275" s="59"/>
      <c r="G2275" s="60">
        <f>IF(OR(E2275="",F2275="",C2275="",D2275=""),"",IF(C2275+D2275=0,"",(E2275*C2275+F2275*D2275)/(C2275+D2275)))</f>
        <v/>
      </c>
      <c r="H2275" s="59"/>
      <c r="I2275" s="60">
        <f>IF(OR(H2275="",E2275="",C2275="",D2275=""),"",IF(C2275+D2275=0,"",(H2275*D2275+E2275*C2275)/(C2275+D2275)))</f>
        <v/>
      </c>
      <c r="J2275" s="59"/>
      <c r="K2275" s="61">
        <f>IF(OR(J2275="",I2275=""),"",J2275-I2275)</f>
        <v/>
      </c>
      <c r="L2275" s="61">
        <f>IF(OR(J2275="",G2275=""),"",J2275-G2275)</f>
        <v/>
      </c>
      <c r="M2275" s="59"/>
      <c r="N2275" s="59"/>
      <c r="O2275" s="59"/>
      <c r="P2275" s="59"/>
      <c r="Q2275" s="59"/>
      <c r="R2275" s="60">
        <f>IF(AND(P2275="",Q2275=""),"",N(P2275)+N(Q2275))</f>
        <v/>
      </c>
      <c r="S2275" s="59"/>
      <c r="T2275" s="59"/>
      <c r="U2275" s="62">
        <f>IF(OR(R2275="",S2275="",T2275=""),"",IF(S2275+T2275=0,"",R2275/(S2275+T2275)))</f>
        <v/>
      </c>
      <c r="V2275" s="63"/>
      <c r="W2275" s="64"/>
      <c r="X2275" s="63"/>
    </row>
    <row r="2276" spans="2:24">
      <c r="B2276" s="58"/>
      <c r="C2276" s="59"/>
      <c r="D2276" s="59"/>
      <c r="E2276" s="59"/>
      <c r="F2276" s="59"/>
      <c r="G2276" s="60">
        <f>IF(OR(E2276="",F2276="",C2276="",D2276=""),"",IF(C2276+D2276=0,"",(E2276*C2276+F2276*D2276)/(C2276+D2276)))</f>
        <v/>
      </c>
      <c r="H2276" s="59"/>
      <c r="I2276" s="60">
        <f>IF(OR(H2276="",E2276="",C2276="",D2276=""),"",IF(C2276+D2276=0,"",(H2276*D2276+E2276*C2276)/(C2276+D2276)))</f>
        <v/>
      </c>
      <c r="J2276" s="59"/>
      <c r="K2276" s="61">
        <f>IF(OR(J2276="",I2276=""),"",J2276-I2276)</f>
        <v/>
      </c>
      <c r="L2276" s="61">
        <f>IF(OR(J2276="",G2276=""),"",J2276-G2276)</f>
        <v/>
      </c>
      <c r="M2276" s="59"/>
      <c r="N2276" s="59"/>
      <c r="O2276" s="59"/>
      <c r="P2276" s="59"/>
      <c r="Q2276" s="59"/>
      <c r="R2276" s="60">
        <f>IF(AND(P2276="",Q2276=""),"",N(P2276)+N(Q2276))</f>
        <v/>
      </c>
      <c r="S2276" s="59"/>
      <c r="T2276" s="59"/>
      <c r="U2276" s="62">
        <f>IF(OR(R2276="",S2276="",T2276=""),"",IF(S2276+T2276=0,"",R2276/(S2276+T2276)))</f>
        <v/>
      </c>
      <c r="V2276" s="63"/>
      <c r="W2276" s="64"/>
      <c r="X2276" s="63"/>
    </row>
    <row r="2277" spans="2:24">
      <c r="B2277" s="58"/>
      <c r="C2277" s="59"/>
      <c r="D2277" s="59"/>
      <c r="E2277" s="59"/>
      <c r="F2277" s="59"/>
      <c r="G2277" s="60">
        <f>IF(OR(E2277="",F2277="",C2277="",D2277=""),"",IF(C2277+D2277=0,"",(E2277*C2277+F2277*D2277)/(C2277+D2277)))</f>
        <v/>
      </c>
      <c r="H2277" s="59"/>
      <c r="I2277" s="60">
        <f>IF(OR(H2277="",E2277="",C2277="",D2277=""),"",IF(C2277+D2277=0,"",(H2277*D2277+E2277*C2277)/(C2277+D2277)))</f>
        <v/>
      </c>
      <c r="J2277" s="59"/>
      <c r="K2277" s="61">
        <f>IF(OR(J2277="",I2277=""),"",J2277-I2277)</f>
        <v/>
      </c>
      <c r="L2277" s="61">
        <f>IF(OR(J2277="",G2277=""),"",J2277-G2277)</f>
        <v/>
      </c>
      <c r="M2277" s="59"/>
      <c r="N2277" s="59"/>
      <c r="O2277" s="59"/>
      <c r="P2277" s="59"/>
      <c r="Q2277" s="59"/>
      <c r="R2277" s="60">
        <f>IF(AND(P2277="",Q2277=""),"",N(P2277)+N(Q2277))</f>
        <v/>
      </c>
      <c r="S2277" s="59"/>
      <c r="T2277" s="59"/>
      <c r="U2277" s="62">
        <f>IF(OR(R2277="",S2277="",T2277=""),"",IF(S2277+T2277=0,"",R2277/(S2277+T2277)))</f>
        <v/>
      </c>
      <c r="V2277" s="63"/>
      <c r="W2277" s="64"/>
      <c r="X2277" s="63"/>
    </row>
    <row r="2278" spans="2:24">
      <c r="B2278" s="58"/>
      <c r="C2278" s="59"/>
      <c r="D2278" s="59"/>
      <c r="E2278" s="59"/>
      <c r="F2278" s="59"/>
      <c r="G2278" s="60">
        <f>IF(OR(E2278="",F2278="",C2278="",D2278=""),"",IF(C2278+D2278=0,"",(E2278*C2278+F2278*D2278)/(C2278+D2278)))</f>
        <v/>
      </c>
      <c r="H2278" s="59"/>
      <c r="I2278" s="60">
        <f>IF(OR(H2278="",E2278="",C2278="",D2278=""),"",IF(C2278+D2278=0,"",(H2278*D2278+E2278*C2278)/(C2278+D2278)))</f>
        <v/>
      </c>
      <c r="J2278" s="59"/>
      <c r="K2278" s="61">
        <f>IF(OR(J2278="",I2278=""),"",J2278-I2278)</f>
        <v/>
      </c>
      <c r="L2278" s="61">
        <f>IF(OR(J2278="",G2278=""),"",J2278-G2278)</f>
        <v/>
      </c>
      <c r="M2278" s="59"/>
      <c r="N2278" s="59"/>
      <c r="O2278" s="59"/>
      <c r="P2278" s="59"/>
      <c r="Q2278" s="59"/>
      <c r="R2278" s="60">
        <f>IF(AND(P2278="",Q2278=""),"",N(P2278)+N(Q2278))</f>
        <v/>
      </c>
      <c r="S2278" s="59"/>
      <c r="T2278" s="59"/>
      <c r="U2278" s="62">
        <f>IF(OR(R2278="",S2278="",T2278=""),"",IF(S2278+T2278=0,"",R2278/(S2278+T2278)))</f>
        <v/>
      </c>
      <c r="V2278" s="63"/>
      <c r="W2278" s="64"/>
      <c r="X2278" s="63"/>
    </row>
    <row r="2279" spans="2:24">
      <c r="B2279" s="58"/>
      <c r="C2279" s="59"/>
      <c r="D2279" s="59"/>
      <c r="E2279" s="59"/>
      <c r="F2279" s="59"/>
      <c r="G2279" s="60">
        <f>IF(OR(E2279="",F2279="",C2279="",D2279=""),"",IF(C2279+D2279=0,"",(E2279*C2279+F2279*D2279)/(C2279+D2279)))</f>
        <v/>
      </c>
      <c r="H2279" s="59"/>
      <c r="I2279" s="60">
        <f>IF(OR(H2279="",E2279="",C2279="",D2279=""),"",IF(C2279+D2279=0,"",(H2279*D2279+E2279*C2279)/(C2279+D2279)))</f>
        <v/>
      </c>
      <c r="J2279" s="59"/>
      <c r="K2279" s="61">
        <f>IF(OR(J2279="",I2279=""),"",J2279-I2279)</f>
        <v/>
      </c>
      <c r="L2279" s="61">
        <f>IF(OR(J2279="",G2279=""),"",J2279-G2279)</f>
        <v/>
      </c>
      <c r="M2279" s="59"/>
      <c r="N2279" s="59"/>
      <c r="O2279" s="59"/>
      <c r="P2279" s="59"/>
      <c r="Q2279" s="59"/>
      <c r="R2279" s="60">
        <f>IF(AND(P2279="",Q2279=""),"",N(P2279)+N(Q2279))</f>
        <v/>
      </c>
      <c r="S2279" s="59"/>
      <c r="T2279" s="59"/>
      <c r="U2279" s="62">
        <f>IF(OR(R2279="",S2279="",T2279=""),"",IF(S2279+T2279=0,"",R2279/(S2279+T2279)))</f>
        <v/>
      </c>
      <c r="V2279" s="63"/>
      <c r="W2279" s="64"/>
      <c r="X2279" s="63"/>
    </row>
    <row r="2280" spans="2:24">
      <c r="B2280" s="58"/>
      <c r="C2280" s="59"/>
      <c r="D2280" s="59"/>
      <c r="E2280" s="59"/>
      <c r="F2280" s="59"/>
      <c r="G2280" s="60">
        <f>IF(OR(E2280="",F2280="",C2280="",D2280=""),"",IF(C2280+D2280=0,"",(E2280*C2280+F2280*D2280)/(C2280+D2280)))</f>
        <v/>
      </c>
      <c r="H2280" s="59"/>
      <c r="I2280" s="60">
        <f>IF(OR(H2280="",E2280="",C2280="",D2280=""),"",IF(C2280+D2280=0,"",(H2280*D2280+E2280*C2280)/(C2280+D2280)))</f>
        <v/>
      </c>
      <c r="J2280" s="59"/>
      <c r="K2280" s="61">
        <f>IF(OR(J2280="",I2280=""),"",J2280-I2280)</f>
        <v/>
      </c>
      <c r="L2280" s="61">
        <f>IF(OR(J2280="",G2280=""),"",J2280-G2280)</f>
        <v/>
      </c>
      <c r="M2280" s="59"/>
      <c r="N2280" s="59"/>
      <c r="O2280" s="59"/>
      <c r="P2280" s="59"/>
      <c r="Q2280" s="59"/>
      <c r="R2280" s="60">
        <f>IF(AND(P2280="",Q2280=""),"",N(P2280)+N(Q2280))</f>
        <v/>
      </c>
      <c r="S2280" s="59"/>
      <c r="T2280" s="59"/>
      <c r="U2280" s="62">
        <f>IF(OR(R2280="",S2280="",T2280=""),"",IF(S2280+T2280=0,"",R2280/(S2280+T2280)))</f>
        <v/>
      </c>
      <c r="V2280" s="63"/>
      <c r="W2280" s="64"/>
      <c r="X2280" s="63"/>
    </row>
    <row r="2281" spans="2:24">
      <c r="B2281" s="58"/>
      <c r="C2281" s="59"/>
      <c r="D2281" s="59"/>
      <c r="E2281" s="59"/>
      <c r="F2281" s="59"/>
      <c r="G2281" s="60">
        <f>IF(OR(E2281="",F2281="",C2281="",D2281=""),"",IF(C2281+D2281=0,"",(E2281*C2281+F2281*D2281)/(C2281+D2281)))</f>
        <v/>
      </c>
      <c r="H2281" s="59"/>
      <c r="I2281" s="60">
        <f>IF(OR(H2281="",E2281="",C2281="",D2281=""),"",IF(C2281+D2281=0,"",(H2281*D2281+E2281*C2281)/(C2281+D2281)))</f>
        <v/>
      </c>
      <c r="J2281" s="59"/>
      <c r="K2281" s="61">
        <f>IF(OR(J2281="",I2281=""),"",J2281-I2281)</f>
        <v/>
      </c>
      <c r="L2281" s="61">
        <f>IF(OR(J2281="",G2281=""),"",J2281-G2281)</f>
        <v/>
      </c>
      <c r="M2281" s="59"/>
      <c r="N2281" s="59"/>
      <c r="O2281" s="59"/>
      <c r="P2281" s="59"/>
      <c r="Q2281" s="59"/>
      <c r="R2281" s="60">
        <f>IF(AND(P2281="",Q2281=""),"",N(P2281)+N(Q2281))</f>
        <v/>
      </c>
      <c r="S2281" s="59"/>
      <c r="T2281" s="59"/>
      <c r="U2281" s="62">
        <f>IF(OR(R2281="",S2281="",T2281=""),"",IF(S2281+T2281=0,"",R2281/(S2281+T2281)))</f>
        <v/>
      </c>
      <c r="V2281" s="63"/>
      <c r="W2281" s="64"/>
      <c r="X2281" s="63"/>
    </row>
    <row r="2282" spans="2:24">
      <c r="B2282" s="58"/>
      <c r="C2282" s="59"/>
      <c r="D2282" s="59"/>
      <c r="E2282" s="59"/>
      <c r="F2282" s="59"/>
      <c r="G2282" s="60">
        <f>IF(OR(E2282="",F2282="",C2282="",D2282=""),"",IF(C2282+D2282=0,"",(E2282*C2282+F2282*D2282)/(C2282+D2282)))</f>
        <v/>
      </c>
      <c r="H2282" s="59"/>
      <c r="I2282" s="60">
        <f>IF(OR(H2282="",E2282="",C2282="",D2282=""),"",IF(C2282+D2282=0,"",(H2282*D2282+E2282*C2282)/(C2282+D2282)))</f>
        <v/>
      </c>
      <c r="J2282" s="59"/>
      <c r="K2282" s="61">
        <f>IF(OR(J2282="",I2282=""),"",J2282-I2282)</f>
        <v/>
      </c>
      <c r="L2282" s="61">
        <f>IF(OR(J2282="",G2282=""),"",J2282-G2282)</f>
        <v/>
      </c>
      <c r="M2282" s="59"/>
      <c r="N2282" s="59"/>
      <c r="O2282" s="59"/>
      <c r="P2282" s="59"/>
      <c r="Q2282" s="59"/>
      <c r="R2282" s="60">
        <f>IF(AND(P2282="",Q2282=""),"",N(P2282)+N(Q2282))</f>
        <v/>
      </c>
      <c r="S2282" s="59"/>
      <c r="T2282" s="59"/>
      <c r="U2282" s="62">
        <f>IF(OR(R2282="",S2282="",T2282=""),"",IF(S2282+T2282=0,"",R2282/(S2282+T2282)))</f>
        <v/>
      </c>
      <c r="V2282" s="63"/>
      <c r="W2282" s="64"/>
      <c r="X2282" s="63"/>
    </row>
    <row r="2283" spans="2:24">
      <c r="B2283" s="58"/>
      <c r="C2283" s="59"/>
      <c r="D2283" s="59"/>
      <c r="E2283" s="59"/>
      <c r="F2283" s="59"/>
      <c r="G2283" s="60">
        <f>IF(OR(E2283="",F2283="",C2283="",D2283=""),"",IF(C2283+D2283=0,"",(E2283*C2283+F2283*D2283)/(C2283+D2283)))</f>
        <v/>
      </c>
      <c r="H2283" s="59"/>
      <c r="I2283" s="60">
        <f>IF(OR(H2283="",E2283="",C2283="",D2283=""),"",IF(C2283+D2283=0,"",(H2283*D2283+E2283*C2283)/(C2283+D2283)))</f>
        <v/>
      </c>
      <c r="J2283" s="59"/>
      <c r="K2283" s="61">
        <f>IF(OR(J2283="",I2283=""),"",J2283-I2283)</f>
        <v/>
      </c>
      <c r="L2283" s="61">
        <f>IF(OR(J2283="",G2283=""),"",J2283-G2283)</f>
        <v/>
      </c>
      <c r="M2283" s="59"/>
      <c r="N2283" s="59"/>
      <c r="O2283" s="59"/>
      <c r="P2283" s="59"/>
      <c r="Q2283" s="59"/>
      <c r="R2283" s="60">
        <f>IF(AND(P2283="",Q2283=""),"",N(P2283)+N(Q2283))</f>
        <v/>
      </c>
      <c r="S2283" s="59"/>
      <c r="T2283" s="59"/>
      <c r="U2283" s="62">
        <f>IF(OR(R2283="",S2283="",T2283=""),"",IF(S2283+T2283=0,"",R2283/(S2283+T2283)))</f>
        <v/>
      </c>
      <c r="V2283" s="63"/>
      <c r="W2283" s="64"/>
      <c r="X2283" s="63"/>
    </row>
    <row r="2284" spans="2:24">
      <c r="B2284" s="58"/>
      <c r="C2284" s="59"/>
      <c r="D2284" s="59"/>
      <c r="E2284" s="59"/>
      <c r="F2284" s="59"/>
      <c r="G2284" s="60">
        <f>IF(OR(E2284="",F2284="",C2284="",D2284=""),"",IF(C2284+D2284=0,"",(E2284*C2284+F2284*D2284)/(C2284+D2284)))</f>
        <v/>
      </c>
      <c r="H2284" s="59"/>
      <c r="I2284" s="60">
        <f>IF(OR(H2284="",E2284="",C2284="",D2284=""),"",IF(C2284+D2284=0,"",(H2284*D2284+E2284*C2284)/(C2284+D2284)))</f>
        <v/>
      </c>
      <c r="J2284" s="59"/>
      <c r="K2284" s="61">
        <f>IF(OR(J2284="",I2284=""),"",J2284-I2284)</f>
        <v/>
      </c>
      <c r="L2284" s="61">
        <f>IF(OR(J2284="",G2284=""),"",J2284-G2284)</f>
        <v/>
      </c>
      <c r="M2284" s="59"/>
      <c r="N2284" s="59"/>
      <c r="O2284" s="59"/>
      <c r="P2284" s="59"/>
      <c r="Q2284" s="59"/>
      <c r="R2284" s="60">
        <f>IF(AND(P2284="",Q2284=""),"",N(P2284)+N(Q2284))</f>
        <v/>
      </c>
      <c r="S2284" s="59"/>
      <c r="T2284" s="59"/>
      <c r="U2284" s="62">
        <f>IF(OR(R2284="",S2284="",T2284=""),"",IF(S2284+T2284=0,"",R2284/(S2284+T2284)))</f>
        <v/>
      </c>
      <c r="V2284" s="63"/>
      <c r="W2284" s="64"/>
      <c r="X2284" s="63"/>
    </row>
    <row r="2285" spans="2:24">
      <c r="B2285" s="58"/>
      <c r="C2285" s="59"/>
      <c r="D2285" s="59"/>
      <c r="E2285" s="59"/>
      <c r="F2285" s="59"/>
      <c r="G2285" s="60">
        <f>IF(OR(E2285="",F2285="",C2285="",D2285=""),"",IF(C2285+D2285=0,"",(E2285*C2285+F2285*D2285)/(C2285+D2285)))</f>
        <v/>
      </c>
      <c r="H2285" s="59"/>
      <c r="I2285" s="60">
        <f>IF(OR(H2285="",E2285="",C2285="",D2285=""),"",IF(C2285+D2285=0,"",(H2285*D2285+E2285*C2285)/(C2285+D2285)))</f>
        <v/>
      </c>
      <c r="J2285" s="59"/>
      <c r="K2285" s="61">
        <f>IF(OR(J2285="",I2285=""),"",J2285-I2285)</f>
        <v/>
      </c>
      <c r="L2285" s="61">
        <f>IF(OR(J2285="",G2285=""),"",J2285-G2285)</f>
        <v/>
      </c>
      <c r="M2285" s="59"/>
      <c r="N2285" s="59"/>
      <c r="O2285" s="59"/>
      <c r="P2285" s="59"/>
      <c r="Q2285" s="59"/>
      <c r="R2285" s="60">
        <f>IF(AND(P2285="",Q2285=""),"",N(P2285)+N(Q2285))</f>
        <v/>
      </c>
      <c r="S2285" s="59"/>
      <c r="T2285" s="59"/>
      <c r="U2285" s="62">
        <f>IF(OR(R2285="",S2285="",T2285=""),"",IF(S2285+T2285=0,"",R2285/(S2285+T2285)))</f>
        <v/>
      </c>
      <c r="V2285" s="63"/>
      <c r="W2285" s="64"/>
      <c r="X2285" s="63"/>
    </row>
    <row r="2286" spans="2:24">
      <c r="B2286" s="58"/>
      <c r="C2286" s="59"/>
      <c r="D2286" s="59"/>
      <c r="E2286" s="59"/>
      <c r="F2286" s="59"/>
      <c r="G2286" s="60">
        <f>IF(OR(E2286="",F2286="",C2286="",D2286=""),"",IF(C2286+D2286=0,"",(E2286*C2286+F2286*D2286)/(C2286+D2286)))</f>
        <v/>
      </c>
      <c r="H2286" s="59"/>
      <c r="I2286" s="60">
        <f>IF(OR(H2286="",E2286="",C2286="",D2286=""),"",IF(C2286+D2286=0,"",(H2286*D2286+E2286*C2286)/(C2286+D2286)))</f>
        <v/>
      </c>
      <c r="J2286" s="59"/>
      <c r="K2286" s="61">
        <f>IF(OR(J2286="",I2286=""),"",J2286-I2286)</f>
        <v/>
      </c>
      <c r="L2286" s="61">
        <f>IF(OR(J2286="",G2286=""),"",J2286-G2286)</f>
        <v/>
      </c>
      <c r="M2286" s="59"/>
      <c r="N2286" s="59"/>
      <c r="O2286" s="59"/>
      <c r="P2286" s="59"/>
      <c r="Q2286" s="59"/>
      <c r="R2286" s="60">
        <f>IF(AND(P2286="",Q2286=""),"",N(P2286)+N(Q2286))</f>
        <v/>
      </c>
      <c r="S2286" s="59"/>
      <c r="T2286" s="59"/>
      <c r="U2286" s="62">
        <f>IF(OR(R2286="",S2286="",T2286=""),"",IF(S2286+T2286=0,"",R2286/(S2286+T2286)))</f>
        <v/>
      </c>
      <c r="V2286" s="63"/>
      <c r="W2286" s="64"/>
      <c r="X2286" s="63"/>
    </row>
    <row r="2287" spans="2:24">
      <c r="B2287" s="58"/>
      <c r="C2287" s="59"/>
      <c r="D2287" s="59"/>
      <c r="E2287" s="59"/>
      <c r="F2287" s="59"/>
      <c r="G2287" s="60">
        <f>IF(OR(E2287="",F2287="",C2287="",D2287=""),"",IF(C2287+D2287=0,"",(E2287*C2287+F2287*D2287)/(C2287+D2287)))</f>
        <v/>
      </c>
      <c r="H2287" s="59"/>
      <c r="I2287" s="60">
        <f>IF(OR(H2287="",E2287="",C2287="",D2287=""),"",IF(C2287+D2287=0,"",(H2287*D2287+E2287*C2287)/(C2287+D2287)))</f>
        <v/>
      </c>
      <c r="J2287" s="59"/>
      <c r="K2287" s="61">
        <f>IF(OR(J2287="",I2287=""),"",J2287-I2287)</f>
        <v/>
      </c>
      <c r="L2287" s="61">
        <f>IF(OR(J2287="",G2287=""),"",J2287-G2287)</f>
        <v/>
      </c>
      <c r="M2287" s="59"/>
      <c r="N2287" s="59"/>
      <c r="O2287" s="59"/>
      <c r="P2287" s="59"/>
      <c r="Q2287" s="59"/>
      <c r="R2287" s="60">
        <f>IF(AND(P2287="",Q2287=""),"",N(P2287)+N(Q2287))</f>
        <v/>
      </c>
      <c r="S2287" s="59"/>
      <c r="T2287" s="59"/>
      <c r="U2287" s="62">
        <f>IF(OR(R2287="",S2287="",T2287=""),"",IF(S2287+T2287=0,"",R2287/(S2287+T2287)))</f>
        <v/>
      </c>
      <c r="V2287" s="63"/>
      <c r="W2287" s="64"/>
      <c r="X2287" s="63"/>
    </row>
    <row r="2288" spans="2:24">
      <c r="B2288" s="58"/>
      <c r="C2288" s="59"/>
      <c r="D2288" s="59"/>
      <c r="E2288" s="59"/>
      <c r="F2288" s="59"/>
      <c r="G2288" s="60">
        <f>IF(OR(E2288="",F2288="",C2288="",D2288=""),"",IF(C2288+D2288=0,"",(E2288*C2288+F2288*D2288)/(C2288+D2288)))</f>
        <v/>
      </c>
      <c r="H2288" s="59"/>
      <c r="I2288" s="60">
        <f>IF(OR(H2288="",E2288="",C2288="",D2288=""),"",IF(C2288+D2288=0,"",(H2288*D2288+E2288*C2288)/(C2288+D2288)))</f>
        <v/>
      </c>
      <c r="J2288" s="59"/>
      <c r="K2288" s="61">
        <f>IF(OR(J2288="",I2288=""),"",J2288-I2288)</f>
        <v/>
      </c>
      <c r="L2288" s="61">
        <f>IF(OR(J2288="",G2288=""),"",J2288-G2288)</f>
        <v/>
      </c>
      <c r="M2288" s="59"/>
      <c r="N2288" s="59"/>
      <c r="O2288" s="59"/>
      <c r="P2288" s="59"/>
      <c r="Q2288" s="59"/>
      <c r="R2288" s="60">
        <f>IF(AND(P2288="",Q2288=""),"",N(P2288)+N(Q2288))</f>
        <v/>
      </c>
      <c r="S2288" s="59"/>
      <c r="T2288" s="59"/>
      <c r="U2288" s="62">
        <f>IF(OR(R2288="",S2288="",T2288=""),"",IF(S2288+T2288=0,"",R2288/(S2288+T2288)))</f>
        <v/>
      </c>
      <c r="V2288" s="63"/>
      <c r="W2288" s="64"/>
      <c r="X2288" s="63"/>
    </row>
    <row r="2289" spans="2:24">
      <c r="B2289" s="58"/>
      <c r="C2289" s="59"/>
      <c r="D2289" s="59"/>
      <c r="E2289" s="59"/>
      <c r="F2289" s="59"/>
      <c r="G2289" s="60">
        <f>IF(OR(E2289="",F2289="",C2289="",D2289=""),"",IF(C2289+D2289=0,"",(E2289*C2289+F2289*D2289)/(C2289+D2289)))</f>
        <v/>
      </c>
      <c r="H2289" s="59"/>
      <c r="I2289" s="60">
        <f>IF(OR(H2289="",E2289="",C2289="",D2289=""),"",IF(C2289+D2289=0,"",(H2289*D2289+E2289*C2289)/(C2289+D2289)))</f>
        <v/>
      </c>
      <c r="J2289" s="59"/>
      <c r="K2289" s="61">
        <f>IF(OR(J2289="",I2289=""),"",J2289-I2289)</f>
        <v/>
      </c>
      <c r="L2289" s="61">
        <f>IF(OR(J2289="",G2289=""),"",J2289-G2289)</f>
        <v/>
      </c>
      <c r="M2289" s="59"/>
      <c r="N2289" s="59"/>
      <c r="O2289" s="59"/>
      <c r="P2289" s="59"/>
      <c r="Q2289" s="59"/>
      <c r="R2289" s="60">
        <f>IF(AND(P2289="",Q2289=""),"",N(P2289)+N(Q2289))</f>
        <v/>
      </c>
      <c r="S2289" s="59"/>
      <c r="T2289" s="59"/>
      <c r="U2289" s="62">
        <f>IF(OR(R2289="",S2289="",T2289=""),"",IF(S2289+T2289=0,"",R2289/(S2289+T2289)))</f>
        <v/>
      </c>
      <c r="V2289" s="63"/>
      <c r="W2289" s="64"/>
      <c r="X2289" s="63"/>
    </row>
    <row r="2290" spans="2:24">
      <c r="B2290" s="58"/>
      <c r="C2290" s="59"/>
      <c r="D2290" s="59"/>
      <c r="E2290" s="59"/>
      <c r="F2290" s="59"/>
      <c r="G2290" s="60">
        <f>IF(OR(E2290="",F2290="",C2290="",D2290=""),"",IF(C2290+D2290=0,"",(E2290*C2290+F2290*D2290)/(C2290+D2290)))</f>
        <v/>
      </c>
      <c r="H2290" s="59"/>
      <c r="I2290" s="60">
        <f>IF(OR(H2290="",E2290="",C2290="",D2290=""),"",IF(C2290+D2290=0,"",(H2290*D2290+E2290*C2290)/(C2290+D2290)))</f>
        <v/>
      </c>
      <c r="J2290" s="59"/>
      <c r="K2290" s="61">
        <f>IF(OR(J2290="",I2290=""),"",J2290-I2290)</f>
        <v/>
      </c>
      <c r="L2290" s="61">
        <f>IF(OR(J2290="",G2290=""),"",J2290-G2290)</f>
        <v/>
      </c>
      <c r="M2290" s="59"/>
      <c r="N2290" s="59"/>
      <c r="O2290" s="59"/>
      <c r="P2290" s="59"/>
      <c r="Q2290" s="59"/>
      <c r="R2290" s="60">
        <f>IF(AND(P2290="",Q2290=""),"",N(P2290)+N(Q2290))</f>
        <v/>
      </c>
      <c r="S2290" s="59"/>
      <c r="T2290" s="59"/>
      <c r="U2290" s="62">
        <f>IF(OR(R2290="",S2290="",T2290=""),"",IF(S2290+T2290=0,"",R2290/(S2290+T2290)))</f>
        <v/>
      </c>
      <c r="V2290" s="63"/>
      <c r="W2290" s="64"/>
      <c r="X2290" s="63"/>
    </row>
    <row r="2291" spans="2:24">
      <c r="B2291" s="58"/>
      <c r="C2291" s="59"/>
      <c r="D2291" s="59"/>
      <c r="E2291" s="59"/>
      <c r="F2291" s="59"/>
      <c r="G2291" s="60">
        <f>IF(OR(E2291="",F2291="",C2291="",D2291=""),"",IF(C2291+D2291=0,"",(E2291*C2291+F2291*D2291)/(C2291+D2291)))</f>
        <v/>
      </c>
      <c r="H2291" s="59"/>
      <c r="I2291" s="60">
        <f>IF(OR(H2291="",E2291="",C2291="",D2291=""),"",IF(C2291+D2291=0,"",(H2291*D2291+E2291*C2291)/(C2291+D2291)))</f>
        <v/>
      </c>
      <c r="J2291" s="59"/>
      <c r="K2291" s="61">
        <f>IF(OR(J2291="",I2291=""),"",J2291-I2291)</f>
        <v/>
      </c>
      <c r="L2291" s="61">
        <f>IF(OR(J2291="",G2291=""),"",J2291-G2291)</f>
        <v/>
      </c>
      <c r="M2291" s="59"/>
      <c r="N2291" s="59"/>
      <c r="O2291" s="59"/>
      <c r="P2291" s="59"/>
      <c r="Q2291" s="59"/>
      <c r="R2291" s="60">
        <f>IF(AND(P2291="",Q2291=""),"",N(P2291)+N(Q2291))</f>
        <v/>
      </c>
      <c r="S2291" s="59"/>
      <c r="T2291" s="59"/>
      <c r="U2291" s="62">
        <f>IF(OR(R2291="",S2291="",T2291=""),"",IF(S2291+T2291=0,"",R2291/(S2291+T2291)))</f>
        <v/>
      </c>
      <c r="V2291" s="63"/>
      <c r="W2291" s="64"/>
      <c r="X2291" s="63"/>
    </row>
    <row r="2292" spans="2:24">
      <c r="B2292" s="58"/>
      <c r="C2292" s="59"/>
      <c r="D2292" s="59"/>
      <c r="E2292" s="59"/>
      <c r="F2292" s="59"/>
      <c r="G2292" s="60">
        <f>IF(OR(E2292="",F2292="",C2292="",D2292=""),"",IF(C2292+D2292=0,"",(E2292*C2292+F2292*D2292)/(C2292+D2292)))</f>
        <v/>
      </c>
      <c r="H2292" s="59"/>
      <c r="I2292" s="60">
        <f>IF(OR(H2292="",E2292="",C2292="",D2292=""),"",IF(C2292+D2292=0,"",(H2292*D2292+E2292*C2292)/(C2292+D2292)))</f>
        <v/>
      </c>
      <c r="J2292" s="59"/>
      <c r="K2292" s="61">
        <f>IF(OR(J2292="",I2292=""),"",J2292-I2292)</f>
        <v/>
      </c>
      <c r="L2292" s="61">
        <f>IF(OR(J2292="",G2292=""),"",J2292-G2292)</f>
        <v/>
      </c>
      <c r="M2292" s="59"/>
      <c r="N2292" s="59"/>
      <c r="O2292" s="59"/>
      <c r="P2292" s="59"/>
      <c r="Q2292" s="59"/>
      <c r="R2292" s="60">
        <f>IF(AND(P2292="",Q2292=""),"",N(P2292)+N(Q2292))</f>
        <v/>
      </c>
      <c r="S2292" s="59"/>
      <c r="T2292" s="59"/>
      <c r="U2292" s="62">
        <f>IF(OR(R2292="",S2292="",T2292=""),"",IF(S2292+T2292=0,"",R2292/(S2292+T2292)))</f>
        <v/>
      </c>
      <c r="V2292" s="63"/>
      <c r="W2292" s="64"/>
      <c r="X2292" s="63"/>
    </row>
    <row r="2293" spans="2:24">
      <c r="B2293" s="58"/>
      <c r="C2293" s="59"/>
      <c r="D2293" s="59"/>
      <c r="E2293" s="59"/>
      <c r="F2293" s="59"/>
      <c r="G2293" s="60">
        <f>IF(OR(E2293="",F2293="",C2293="",D2293=""),"",IF(C2293+D2293=0,"",(E2293*C2293+F2293*D2293)/(C2293+D2293)))</f>
        <v/>
      </c>
      <c r="H2293" s="59"/>
      <c r="I2293" s="60">
        <f>IF(OR(H2293="",E2293="",C2293="",D2293=""),"",IF(C2293+D2293=0,"",(H2293*D2293+E2293*C2293)/(C2293+D2293)))</f>
        <v/>
      </c>
      <c r="J2293" s="59"/>
      <c r="K2293" s="61">
        <f>IF(OR(J2293="",I2293=""),"",J2293-I2293)</f>
        <v/>
      </c>
      <c r="L2293" s="61">
        <f>IF(OR(J2293="",G2293=""),"",J2293-G2293)</f>
        <v/>
      </c>
      <c r="M2293" s="59"/>
      <c r="N2293" s="59"/>
      <c r="O2293" s="59"/>
      <c r="P2293" s="59"/>
      <c r="Q2293" s="59"/>
      <c r="R2293" s="60">
        <f>IF(AND(P2293="",Q2293=""),"",N(P2293)+N(Q2293))</f>
        <v/>
      </c>
      <c r="S2293" s="59"/>
      <c r="T2293" s="59"/>
      <c r="U2293" s="62">
        <f>IF(OR(R2293="",S2293="",T2293=""),"",IF(S2293+T2293=0,"",R2293/(S2293+T2293)))</f>
        <v/>
      </c>
      <c r="V2293" s="63"/>
      <c r="W2293" s="64"/>
      <c r="X2293" s="63"/>
    </row>
    <row r="2294" spans="2:24">
      <c r="B2294" s="58"/>
      <c r="C2294" s="59"/>
      <c r="D2294" s="59"/>
      <c r="E2294" s="59"/>
      <c r="F2294" s="59"/>
      <c r="G2294" s="60">
        <f>IF(OR(E2294="",F2294="",C2294="",D2294=""),"",IF(C2294+D2294=0,"",(E2294*C2294+F2294*D2294)/(C2294+D2294)))</f>
        <v/>
      </c>
      <c r="H2294" s="59"/>
      <c r="I2294" s="60">
        <f>IF(OR(H2294="",E2294="",C2294="",D2294=""),"",IF(C2294+D2294=0,"",(H2294*D2294+E2294*C2294)/(C2294+D2294)))</f>
        <v/>
      </c>
      <c r="J2294" s="59"/>
      <c r="K2294" s="61">
        <f>IF(OR(J2294="",I2294=""),"",J2294-I2294)</f>
        <v/>
      </c>
      <c r="L2294" s="61">
        <f>IF(OR(J2294="",G2294=""),"",J2294-G2294)</f>
        <v/>
      </c>
      <c r="M2294" s="59"/>
      <c r="N2294" s="59"/>
      <c r="O2294" s="59"/>
      <c r="P2294" s="59"/>
      <c r="Q2294" s="59"/>
      <c r="R2294" s="60">
        <f>IF(AND(P2294="",Q2294=""),"",N(P2294)+N(Q2294))</f>
        <v/>
      </c>
      <c r="S2294" s="59"/>
      <c r="T2294" s="59"/>
      <c r="U2294" s="62">
        <f>IF(OR(R2294="",S2294="",T2294=""),"",IF(S2294+T2294=0,"",R2294/(S2294+T2294)))</f>
        <v/>
      </c>
      <c r="V2294" s="63"/>
      <c r="W2294" s="64"/>
      <c r="X2294" s="63"/>
    </row>
    <row r="2295" spans="2:24">
      <c r="B2295" s="58"/>
      <c r="C2295" s="59"/>
      <c r="D2295" s="59"/>
      <c r="E2295" s="59"/>
      <c r="F2295" s="59"/>
      <c r="G2295" s="60">
        <f>IF(OR(E2295="",F2295="",C2295="",D2295=""),"",IF(C2295+D2295=0,"",(E2295*C2295+F2295*D2295)/(C2295+D2295)))</f>
        <v/>
      </c>
      <c r="H2295" s="59"/>
      <c r="I2295" s="60">
        <f>IF(OR(H2295="",E2295="",C2295="",D2295=""),"",IF(C2295+D2295=0,"",(H2295*D2295+E2295*C2295)/(C2295+D2295)))</f>
        <v/>
      </c>
      <c r="J2295" s="59"/>
      <c r="K2295" s="61">
        <f>IF(OR(J2295="",I2295=""),"",J2295-I2295)</f>
        <v/>
      </c>
      <c r="L2295" s="61">
        <f>IF(OR(J2295="",G2295=""),"",J2295-G2295)</f>
        <v/>
      </c>
      <c r="M2295" s="59"/>
      <c r="N2295" s="59"/>
      <c r="O2295" s="59"/>
      <c r="P2295" s="59"/>
      <c r="Q2295" s="59"/>
      <c r="R2295" s="60">
        <f>IF(AND(P2295="",Q2295=""),"",N(P2295)+N(Q2295))</f>
        <v/>
      </c>
      <c r="S2295" s="59"/>
      <c r="T2295" s="59"/>
      <c r="U2295" s="62">
        <f>IF(OR(R2295="",S2295="",T2295=""),"",IF(S2295+T2295=0,"",R2295/(S2295+T2295)))</f>
        <v/>
      </c>
      <c r="V2295" s="63"/>
      <c r="W2295" s="64"/>
      <c r="X2295" s="63"/>
    </row>
    <row r="2296" spans="2:24">
      <c r="B2296" s="58"/>
      <c r="C2296" s="59"/>
      <c r="D2296" s="59"/>
      <c r="E2296" s="59"/>
      <c r="F2296" s="59"/>
      <c r="G2296" s="60">
        <f>IF(OR(E2296="",F2296="",C2296="",D2296=""),"",IF(C2296+D2296=0,"",(E2296*C2296+F2296*D2296)/(C2296+D2296)))</f>
        <v/>
      </c>
      <c r="H2296" s="59"/>
      <c r="I2296" s="60">
        <f>IF(OR(H2296="",E2296="",C2296="",D2296=""),"",IF(C2296+D2296=0,"",(H2296*D2296+E2296*C2296)/(C2296+D2296)))</f>
        <v/>
      </c>
      <c r="J2296" s="59"/>
      <c r="K2296" s="61">
        <f>IF(OR(J2296="",I2296=""),"",J2296-I2296)</f>
        <v/>
      </c>
      <c r="L2296" s="61">
        <f>IF(OR(J2296="",G2296=""),"",J2296-G2296)</f>
        <v/>
      </c>
      <c r="M2296" s="59"/>
      <c r="N2296" s="59"/>
      <c r="O2296" s="59"/>
      <c r="P2296" s="59"/>
      <c r="Q2296" s="59"/>
      <c r="R2296" s="60">
        <f>IF(AND(P2296="",Q2296=""),"",N(P2296)+N(Q2296))</f>
        <v/>
      </c>
      <c r="S2296" s="59"/>
      <c r="T2296" s="59"/>
      <c r="U2296" s="62">
        <f>IF(OR(R2296="",S2296="",T2296=""),"",IF(S2296+T2296=0,"",R2296/(S2296+T2296)))</f>
        <v/>
      </c>
      <c r="V2296" s="63"/>
      <c r="W2296" s="64"/>
      <c r="X2296" s="63"/>
    </row>
    <row r="2297" spans="2:24">
      <c r="B2297" s="58"/>
      <c r="C2297" s="59"/>
      <c r="D2297" s="59"/>
      <c r="E2297" s="59"/>
      <c r="F2297" s="59"/>
      <c r="G2297" s="60">
        <f>IF(OR(E2297="",F2297="",C2297="",D2297=""),"",IF(C2297+D2297=0,"",(E2297*C2297+F2297*D2297)/(C2297+D2297)))</f>
        <v/>
      </c>
      <c r="H2297" s="59"/>
      <c r="I2297" s="60">
        <f>IF(OR(H2297="",E2297="",C2297="",D2297=""),"",IF(C2297+D2297=0,"",(H2297*D2297+E2297*C2297)/(C2297+D2297)))</f>
        <v/>
      </c>
      <c r="J2297" s="59"/>
      <c r="K2297" s="61">
        <f>IF(OR(J2297="",I2297=""),"",J2297-I2297)</f>
        <v/>
      </c>
      <c r="L2297" s="61">
        <f>IF(OR(J2297="",G2297=""),"",J2297-G2297)</f>
        <v/>
      </c>
      <c r="M2297" s="59"/>
      <c r="N2297" s="59"/>
      <c r="O2297" s="59"/>
      <c r="P2297" s="59"/>
      <c r="Q2297" s="59"/>
      <c r="R2297" s="60">
        <f>IF(AND(P2297="",Q2297=""),"",N(P2297)+N(Q2297))</f>
        <v/>
      </c>
      <c r="S2297" s="59"/>
      <c r="T2297" s="59"/>
      <c r="U2297" s="62">
        <f>IF(OR(R2297="",S2297="",T2297=""),"",IF(S2297+T2297=0,"",R2297/(S2297+T2297)))</f>
        <v/>
      </c>
      <c r="V2297" s="63"/>
      <c r="W2297" s="64"/>
      <c r="X2297" s="63"/>
    </row>
    <row r="2298" spans="2:24">
      <c r="B2298" s="58"/>
      <c r="C2298" s="59"/>
      <c r="D2298" s="59"/>
      <c r="E2298" s="59"/>
      <c r="F2298" s="59"/>
      <c r="G2298" s="60">
        <f>IF(OR(E2298="",F2298="",C2298="",D2298=""),"",IF(C2298+D2298=0,"",(E2298*C2298+F2298*D2298)/(C2298+D2298)))</f>
        <v/>
      </c>
      <c r="H2298" s="59"/>
      <c r="I2298" s="60">
        <f>IF(OR(H2298="",E2298="",C2298="",D2298=""),"",IF(C2298+D2298=0,"",(H2298*D2298+E2298*C2298)/(C2298+D2298)))</f>
        <v/>
      </c>
      <c r="J2298" s="59"/>
      <c r="K2298" s="61">
        <f>IF(OR(J2298="",I2298=""),"",J2298-I2298)</f>
        <v/>
      </c>
      <c r="L2298" s="61">
        <f>IF(OR(J2298="",G2298=""),"",J2298-G2298)</f>
        <v/>
      </c>
      <c r="M2298" s="59"/>
      <c r="N2298" s="59"/>
      <c r="O2298" s="59"/>
      <c r="P2298" s="59"/>
      <c r="Q2298" s="59"/>
      <c r="R2298" s="60">
        <f>IF(AND(P2298="",Q2298=""),"",N(P2298)+N(Q2298))</f>
        <v/>
      </c>
      <c r="S2298" s="59"/>
      <c r="T2298" s="59"/>
      <c r="U2298" s="62">
        <f>IF(OR(R2298="",S2298="",T2298=""),"",IF(S2298+T2298=0,"",R2298/(S2298+T2298)))</f>
        <v/>
      </c>
      <c r="V2298" s="63"/>
      <c r="W2298" s="64"/>
      <c r="X2298" s="63"/>
    </row>
    <row r="2299" spans="2:24">
      <c r="B2299" s="58"/>
      <c r="C2299" s="59"/>
      <c r="D2299" s="59"/>
      <c r="E2299" s="59"/>
      <c r="F2299" s="59"/>
      <c r="G2299" s="60">
        <f>IF(OR(E2299="",F2299="",C2299="",D2299=""),"",IF(C2299+D2299=0,"",(E2299*C2299+F2299*D2299)/(C2299+D2299)))</f>
        <v/>
      </c>
      <c r="H2299" s="59"/>
      <c r="I2299" s="60">
        <f>IF(OR(H2299="",E2299="",C2299="",D2299=""),"",IF(C2299+D2299=0,"",(H2299*D2299+E2299*C2299)/(C2299+D2299)))</f>
        <v/>
      </c>
      <c r="J2299" s="59"/>
      <c r="K2299" s="61">
        <f>IF(OR(J2299="",I2299=""),"",J2299-I2299)</f>
        <v/>
      </c>
      <c r="L2299" s="61">
        <f>IF(OR(J2299="",G2299=""),"",J2299-G2299)</f>
        <v/>
      </c>
      <c r="M2299" s="59"/>
      <c r="N2299" s="59"/>
      <c r="O2299" s="59"/>
      <c r="P2299" s="59"/>
      <c r="Q2299" s="59"/>
      <c r="R2299" s="60">
        <f>IF(AND(P2299="",Q2299=""),"",N(P2299)+N(Q2299))</f>
        <v/>
      </c>
      <c r="S2299" s="59"/>
      <c r="T2299" s="59"/>
      <c r="U2299" s="62">
        <f>IF(OR(R2299="",S2299="",T2299=""),"",IF(S2299+T2299=0,"",R2299/(S2299+T2299)))</f>
        <v/>
      </c>
      <c r="V2299" s="63"/>
      <c r="W2299" s="64"/>
      <c r="X2299" s="63"/>
    </row>
    <row r="2300" spans="2:24">
      <c r="B2300" s="58"/>
      <c r="C2300" s="59"/>
      <c r="D2300" s="59"/>
      <c r="E2300" s="59"/>
      <c r="F2300" s="59"/>
      <c r="G2300" s="60">
        <f>IF(OR(E2300="",F2300="",C2300="",D2300=""),"",IF(C2300+D2300=0,"",(E2300*C2300+F2300*D2300)/(C2300+D2300)))</f>
        <v/>
      </c>
      <c r="H2300" s="59"/>
      <c r="I2300" s="60">
        <f>IF(OR(H2300="",E2300="",C2300="",D2300=""),"",IF(C2300+D2300=0,"",(H2300*D2300+E2300*C2300)/(C2300+D2300)))</f>
        <v/>
      </c>
      <c r="J2300" s="59"/>
      <c r="K2300" s="61">
        <f>IF(OR(J2300="",I2300=""),"",J2300-I2300)</f>
        <v/>
      </c>
      <c r="L2300" s="61">
        <f>IF(OR(J2300="",G2300=""),"",J2300-G2300)</f>
        <v/>
      </c>
      <c r="M2300" s="59"/>
      <c r="N2300" s="59"/>
      <c r="O2300" s="59"/>
      <c r="P2300" s="59"/>
      <c r="Q2300" s="59"/>
      <c r="R2300" s="60">
        <f>IF(AND(P2300="",Q2300=""),"",N(P2300)+N(Q2300))</f>
        <v/>
      </c>
      <c r="S2300" s="59"/>
      <c r="T2300" s="59"/>
      <c r="U2300" s="62">
        <f>IF(OR(R2300="",S2300="",T2300=""),"",IF(S2300+T2300=0,"",R2300/(S2300+T2300)))</f>
        <v/>
      </c>
      <c r="V2300" s="63"/>
      <c r="W2300" s="64"/>
      <c r="X2300" s="63"/>
    </row>
    <row r="2301" spans="2:24">
      <c r="B2301" s="58"/>
      <c r="C2301" s="59"/>
      <c r="D2301" s="59"/>
      <c r="E2301" s="59"/>
      <c r="F2301" s="59"/>
      <c r="G2301" s="60">
        <f>IF(OR(E2301="",F2301="",C2301="",D2301=""),"",IF(C2301+D2301=0,"",(E2301*C2301+F2301*D2301)/(C2301+D2301)))</f>
        <v/>
      </c>
      <c r="H2301" s="59"/>
      <c r="I2301" s="60">
        <f>IF(OR(H2301="",E2301="",C2301="",D2301=""),"",IF(C2301+D2301=0,"",(H2301*D2301+E2301*C2301)/(C2301+D2301)))</f>
        <v/>
      </c>
      <c r="J2301" s="59"/>
      <c r="K2301" s="61">
        <f>IF(OR(J2301="",I2301=""),"",J2301-I2301)</f>
        <v/>
      </c>
      <c r="L2301" s="61">
        <f>IF(OR(J2301="",G2301=""),"",J2301-G2301)</f>
        <v/>
      </c>
      <c r="M2301" s="59"/>
      <c r="N2301" s="59"/>
      <c r="O2301" s="59"/>
      <c r="P2301" s="59"/>
      <c r="Q2301" s="59"/>
      <c r="R2301" s="60">
        <f>IF(AND(P2301="",Q2301=""),"",N(P2301)+N(Q2301))</f>
        <v/>
      </c>
      <c r="S2301" s="59"/>
      <c r="T2301" s="59"/>
      <c r="U2301" s="62">
        <f>IF(OR(R2301="",S2301="",T2301=""),"",IF(S2301+T2301=0,"",R2301/(S2301+T2301)))</f>
        <v/>
      </c>
      <c r="V2301" s="63"/>
      <c r="W2301" s="64"/>
      <c r="X2301" s="63"/>
    </row>
    <row r="2302" spans="2:24">
      <c r="B2302" s="58"/>
      <c r="C2302" s="59"/>
      <c r="D2302" s="59"/>
      <c r="E2302" s="59"/>
      <c r="F2302" s="59"/>
      <c r="G2302" s="60">
        <f>IF(OR(E2302="",F2302="",C2302="",D2302=""),"",IF(C2302+D2302=0,"",(E2302*C2302+F2302*D2302)/(C2302+D2302)))</f>
        <v/>
      </c>
      <c r="H2302" s="59"/>
      <c r="I2302" s="60">
        <f>IF(OR(H2302="",E2302="",C2302="",D2302=""),"",IF(C2302+D2302=0,"",(H2302*D2302+E2302*C2302)/(C2302+D2302)))</f>
        <v/>
      </c>
      <c r="J2302" s="59"/>
      <c r="K2302" s="61">
        <f>IF(OR(J2302="",I2302=""),"",J2302-I2302)</f>
        <v/>
      </c>
      <c r="L2302" s="61">
        <f>IF(OR(J2302="",G2302=""),"",J2302-G2302)</f>
        <v/>
      </c>
      <c r="M2302" s="59"/>
      <c r="N2302" s="59"/>
      <c r="O2302" s="59"/>
      <c r="P2302" s="59"/>
      <c r="Q2302" s="59"/>
      <c r="R2302" s="60">
        <f>IF(AND(P2302="",Q2302=""),"",N(P2302)+N(Q2302))</f>
        <v/>
      </c>
      <c r="S2302" s="59"/>
      <c r="T2302" s="59"/>
      <c r="U2302" s="62">
        <f>IF(OR(R2302="",S2302="",T2302=""),"",IF(S2302+T2302=0,"",R2302/(S2302+T2302)))</f>
        <v/>
      </c>
      <c r="V2302" s="63"/>
      <c r="W2302" s="64"/>
      <c r="X2302" s="63"/>
    </row>
    <row r="2303" spans="2:24">
      <c r="B2303" s="58"/>
      <c r="C2303" s="59"/>
      <c r="D2303" s="59"/>
      <c r="E2303" s="59"/>
      <c r="F2303" s="59"/>
      <c r="G2303" s="60">
        <f>IF(OR(E2303="",F2303="",C2303="",D2303=""),"",IF(C2303+D2303=0,"",(E2303*C2303+F2303*D2303)/(C2303+D2303)))</f>
        <v/>
      </c>
      <c r="H2303" s="59"/>
      <c r="I2303" s="60">
        <f>IF(OR(H2303="",E2303="",C2303="",D2303=""),"",IF(C2303+D2303=0,"",(H2303*D2303+E2303*C2303)/(C2303+D2303)))</f>
        <v/>
      </c>
      <c r="J2303" s="59"/>
      <c r="K2303" s="61">
        <f>IF(OR(J2303="",I2303=""),"",J2303-I2303)</f>
        <v/>
      </c>
      <c r="L2303" s="61">
        <f>IF(OR(J2303="",G2303=""),"",J2303-G2303)</f>
        <v/>
      </c>
      <c r="M2303" s="59"/>
      <c r="N2303" s="59"/>
      <c r="O2303" s="59"/>
      <c r="P2303" s="59"/>
      <c r="Q2303" s="59"/>
      <c r="R2303" s="60">
        <f>IF(AND(P2303="",Q2303=""),"",N(P2303)+N(Q2303))</f>
        <v/>
      </c>
      <c r="S2303" s="59"/>
      <c r="T2303" s="59"/>
      <c r="U2303" s="62">
        <f>IF(OR(R2303="",S2303="",T2303=""),"",IF(S2303+T2303=0,"",R2303/(S2303+T2303)))</f>
        <v/>
      </c>
      <c r="V2303" s="63"/>
      <c r="W2303" s="64"/>
      <c r="X2303" s="63"/>
    </row>
    <row r="2304" spans="2:24">
      <c r="B2304" s="58"/>
      <c r="C2304" s="59"/>
      <c r="D2304" s="59"/>
      <c r="E2304" s="59"/>
      <c r="F2304" s="59"/>
      <c r="G2304" s="60">
        <f>IF(OR(E2304="",F2304="",C2304="",D2304=""),"",IF(C2304+D2304=0,"",(E2304*C2304+F2304*D2304)/(C2304+D2304)))</f>
        <v/>
      </c>
      <c r="H2304" s="59"/>
      <c r="I2304" s="60">
        <f>IF(OR(H2304="",E2304="",C2304="",D2304=""),"",IF(C2304+D2304=0,"",(H2304*D2304+E2304*C2304)/(C2304+D2304)))</f>
        <v/>
      </c>
      <c r="J2304" s="59"/>
      <c r="K2304" s="61">
        <f>IF(OR(J2304="",I2304=""),"",J2304-I2304)</f>
        <v/>
      </c>
      <c r="L2304" s="61">
        <f>IF(OR(J2304="",G2304=""),"",J2304-G2304)</f>
        <v/>
      </c>
      <c r="M2304" s="59"/>
      <c r="N2304" s="59"/>
      <c r="O2304" s="59"/>
      <c r="P2304" s="59"/>
      <c r="Q2304" s="59"/>
      <c r="R2304" s="60">
        <f>IF(AND(P2304="",Q2304=""),"",N(P2304)+N(Q2304))</f>
        <v/>
      </c>
      <c r="S2304" s="59"/>
      <c r="T2304" s="59"/>
      <c r="U2304" s="62">
        <f>IF(OR(R2304="",S2304="",T2304=""),"",IF(S2304+T2304=0,"",R2304/(S2304+T2304)))</f>
        <v/>
      </c>
      <c r="V2304" s="63"/>
      <c r="W2304" s="64"/>
      <c r="X2304" s="63"/>
    </row>
    <row r="2305" spans="2:24">
      <c r="B2305" s="58"/>
      <c r="C2305" s="59"/>
      <c r="D2305" s="59"/>
      <c r="E2305" s="59"/>
      <c r="F2305" s="59"/>
      <c r="G2305" s="60">
        <f>IF(OR(E2305="",F2305="",C2305="",D2305=""),"",IF(C2305+D2305=0,"",(E2305*C2305+F2305*D2305)/(C2305+D2305)))</f>
        <v/>
      </c>
      <c r="H2305" s="59"/>
      <c r="I2305" s="60">
        <f>IF(OR(H2305="",E2305="",C2305="",D2305=""),"",IF(C2305+D2305=0,"",(H2305*D2305+E2305*C2305)/(C2305+D2305)))</f>
        <v/>
      </c>
      <c r="J2305" s="59"/>
      <c r="K2305" s="61">
        <f>IF(OR(J2305="",I2305=""),"",J2305-I2305)</f>
        <v/>
      </c>
      <c r="L2305" s="61">
        <f>IF(OR(J2305="",G2305=""),"",J2305-G2305)</f>
        <v/>
      </c>
      <c r="M2305" s="59"/>
      <c r="N2305" s="59"/>
      <c r="O2305" s="59"/>
      <c r="P2305" s="59"/>
      <c r="Q2305" s="59"/>
      <c r="R2305" s="60">
        <f>IF(AND(P2305="",Q2305=""),"",N(P2305)+N(Q2305))</f>
        <v/>
      </c>
      <c r="S2305" s="59"/>
      <c r="T2305" s="59"/>
      <c r="U2305" s="62">
        <f>IF(OR(R2305="",S2305="",T2305=""),"",IF(S2305+T2305=0,"",R2305/(S2305+T2305)))</f>
        <v/>
      </c>
      <c r="V2305" s="63"/>
      <c r="W2305" s="64"/>
      <c r="X2305" s="63"/>
    </row>
    <row r="2306" spans="2:24">
      <c r="B2306" s="58"/>
      <c r="C2306" s="59"/>
      <c r="D2306" s="59"/>
      <c r="E2306" s="59"/>
      <c r="F2306" s="59"/>
      <c r="G2306" s="60">
        <f>IF(OR(E2306="",F2306="",C2306="",D2306=""),"",IF(C2306+D2306=0,"",(E2306*C2306+F2306*D2306)/(C2306+D2306)))</f>
        <v/>
      </c>
      <c r="H2306" s="59"/>
      <c r="I2306" s="60">
        <f>IF(OR(H2306="",E2306="",C2306="",D2306=""),"",IF(C2306+D2306=0,"",(H2306*D2306+E2306*C2306)/(C2306+D2306)))</f>
        <v/>
      </c>
      <c r="J2306" s="59"/>
      <c r="K2306" s="61">
        <f>IF(OR(J2306="",I2306=""),"",J2306-I2306)</f>
        <v/>
      </c>
      <c r="L2306" s="61">
        <f>IF(OR(J2306="",G2306=""),"",J2306-G2306)</f>
        <v/>
      </c>
      <c r="M2306" s="59"/>
      <c r="N2306" s="59"/>
      <c r="O2306" s="59"/>
      <c r="P2306" s="59"/>
      <c r="Q2306" s="59"/>
      <c r="R2306" s="60">
        <f>IF(AND(P2306="",Q2306=""),"",N(P2306)+N(Q2306))</f>
        <v/>
      </c>
      <c r="S2306" s="59"/>
      <c r="T2306" s="59"/>
      <c r="U2306" s="62">
        <f>IF(OR(R2306="",S2306="",T2306=""),"",IF(S2306+T2306=0,"",R2306/(S2306+T2306)))</f>
        <v/>
      </c>
      <c r="V2306" s="63"/>
      <c r="W2306" s="64"/>
      <c r="X2306" s="63"/>
    </row>
    <row r="2307" spans="2:24">
      <c r="B2307" s="58"/>
      <c r="C2307" s="59"/>
      <c r="D2307" s="59"/>
      <c r="E2307" s="59"/>
      <c r="F2307" s="59"/>
      <c r="G2307" s="60">
        <f>IF(OR(E2307="",F2307="",C2307="",D2307=""),"",IF(C2307+D2307=0,"",(E2307*C2307+F2307*D2307)/(C2307+D2307)))</f>
        <v/>
      </c>
      <c r="H2307" s="59"/>
      <c r="I2307" s="60">
        <f>IF(OR(H2307="",E2307="",C2307="",D2307=""),"",IF(C2307+D2307=0,"",(H2307*D2307+E2307*C2307)/(C2307+D2307)))</f>
        <v/>
      </c>
      <c r="J2307" s="59"/>
      <c r="K2307" s="61">
        <f>IF(OR(J2307="",I2307=""),"",J2307-I2307)</f>
        <v/>
      </c>
      <c r="L2307" s="61">
        <f>IF(OR(J2307="",G2307=""),"",J2307-G2307)</f>
        <v/>
      </c>
      <c r="M2307" s="59"/>
      <c r="N2307" s="59"/>
      <c r="O2307" s="59"/>
      <c r="P2307" s="59"/>
      <c r="Q2307" s="59"/>
      <c r="R2307" s="60">
        <f>IF(AND(P2307="",Q2307=""),"",N(P2307)+N(Q2307))</f>
        <v/>
      </c>
      <c r="S2307" s="59"/>
      <c r="T2307" s="59"/>
      <c r="U2307" s="62">
        <f>IF(OR(R2307="",S2307="",T2307=""),"",IF(S2307+T2307=0,"",R2307/(S2307+T2307)))</f>
        <v/>
      </c>
      <c r="V2307" s="63"/>
      <c r="W2307" s="64"/>
      <c r="X2307" s="63"/>
    </row>
    <row r="2308" spans="2:24">
      <c r="B2308" s="58"/>
      <c r="C2308" s="59"/>
      <c r="D2308" s="59"/>
      <c r="E2308" s="59"/>
      <c r="F2308" s="59"/>
      <c r="G2308" s="60">
        <f>IF(OR(E2308="",F2308="",C2308="",D2308=""),"",IF(C2308+D2308=0,"",(E2308*C2308+F2308*D2308)/(C2308+D2308)))</f>
        <v/>
      </c>
      <c r="H2308" s="59"/>
      <c r="I2308" s="60">
        <f>IF(OR(H2308="",E2308="",C2308="",D2308=""),"",IF(C2308+D2308=0,"",(H2308*D2308+E2308*C2308)/(C2308+D2308)))</f>
        <v/>
      </c>
      <c r="J2308" s="59"/>
      <c r="K2308" s="61">
        <f>IF(OR(J2308="",I2308=""),"",J2308-I2308)</f>
        <v/>
      </c>
      <c r="L2308" s="61">
        <f>IF(OR(J2308="",G2308=""),"",J2308-G2308)</f>
        <v/>
      </c>
      <c r="M2308" s="59"/>
      <c r="N2308" s="59"/>
      <c r="O2308" s="59"/>
      <c r="P2308" s="59"/>
      <c r="Q2308" s="59"/>
      <c r="R2308" s="60">
        <f>IF(AND(P2308="",Q2308=""),"",N(P2308)+N(Q2308))</f>
        <v/>
      </c>
      <c r="S2308" s="59"/>
      <c r="T2308" s="59"/>
      <c r="U2308" s="62">
        <f>IF(OR(R2308="",S2308="",T2308=""),"",IF(S2308+T2308=0,"",R2308/(S2308+T2308)))</f>
        <v/>
      </c>
      <c r="V2308" s="63"/>
      <c r="W2308" s="64"/>
      <c r="X2308" s="63"/>
    </row>
    <row r="2309" spans="2:24">
      <c r="B2309" s="58"/>
      <c r="C2309" s="59"/>
      <c r="D2309" s="59"/>
      <c r="E2309" s="59"/>
      <c r="F2309" s="59"/>
      <c r="G2309" s="60">
        <f>IF(OR(E2309="",F2309="",C2309="",D2309=""),"",IF(C2309+D2309=0,"",(E2309*C2309+F2309*D2309)/(C2309+D2309)))</f>
        <v/>
      </c>
      <c r="H2309" s="59"/>
      <c r="I2309" s="60">
        <f>IF(OR(H2309="",E2309="",C2309="",D2309=""),"",IF(C2309+D2309=0,"",(H2309*D2309+E2309*C2309)/(C2309+D2309)))</f>
        <v/>
      </c>
      <c r="J2309" s="59"/>
      <c r="K2309" s="61">
        <f>IF(OR(J2309="",I2309=""),"",J2309-I2309)</f>
        <v/>
      </c>
      <c r="L2309" s="61">
        <f>IF(OR(J2309="",G2309=""),"",J2309-G2309)</f>
        <v/>
      </c>
      <c r="M2309" s="59"/>
      <c r="N2309" s="59"/>
      <c r="O2309" s="59"/>
      <c r="P2309" s="59"/>
      <c r="Q2309" s="59"/>
      <c r="R2309" s="60">
        <f>IF(AND(P2309="",Q2309=""),"",N(P2309)+N(Q2309))</f>
        <v/>
      </c>
      <c r="S2309" s="59"/>
      <c r="T2309" s="59"/>
      <c r="U2309" s="62">
        <f>IF(OR(R2309="",S2309="",T2309=""),"",IF(S2309+T2309=0,"",R2309/(S2309+T2309)))</f>
        <v/>
      </c>
      <c r="V2309" s="63"/>
      <c r="W2309" s="64"/>
      <c r="X2309" s="63"/>
    </row>
    <row r="2310" spans="2:24">
      <c r="B2310" s="58"/>
      <c r="C2310" s="59"/>
      <c r="D2310" s="59"/>
      <c r="E2310" s="59"/>
      <c r="F2310" s="59"/>
      <c r="G2310" s="60">
        <f>IF(OR(E2310="",F2310="",C2310="",D2310=""),"",IF(C2310+D2310=0,"",(E2310*C2310+F2310*D2310)/(C2310+D2310)))</f>
        <v/>
      </c>
      <c r="H2310" s="59"/>
      <c r="I2310" s="60">
        <f>IF(OR(H2310="",E2310="",C2310="",D2310=""),"",IF(C2310+D2310=0,"",(H2310*D2310+E2310*C2310)/(C2310+D2310)))</f>
        <v/>
      </c>
      <c r="J2310" s="59"/>
      <c r="K2310" s="61">
        <f>IF(OR(J2310="",I2310=""),"",J2310-I2310)</f>
        <v/>
      </c>
      <c r="L2310" s="61">
        <f>IF(OR(J2310="",G2310=""),"",J2310-G2310)</f>
        <v/>
      </c>
      <c r="M2310" s="59"/>
      <c r="N2310" s="59"/>
      <c r="O2310" s="59"/>
      <c r="P2310" s="59"/>
      <c r="Q2310" s="59"/>
      <c r="R2310" s="60">
        <f>IF(AND(P2310="",Q2310=""),"",N(P2310)+N(Q2310))</f>
        <v/>
      </c>
      <c r="S2310" s="59"/>
      <c r="T2310" s="59"/>
      <c r="U2310" s="62">
        <f>IF(OR(R2310="",S2310="",T2310=""),"",IF(S2310+T2310=0,"",R2310/(S2310+T2310)))</f>
        <v/>
      </c>
      <c r="V2310" s="63"/>
      <c r="W2310" s="64"/>
      <c r="X2310" s="63"/>
    </row>
    <row r="2311" spans="2:24">
      <c r="B2311" s="58"/>
      <c r="C2311" s="59"/>
      <c r="D2311" s="59"/>
      <c r="E2311" s="59"/>
      <c r="F2311" s="59"/>
      <c r="G2311" s="60">
        <f>IF(OR(E2311="",F2311="",C2311="",D2311=""),"",IF(C2311+D2311=0,"",(E2311*C2311+F2311*D2311)/(C2311+D2311)))</f>
        <v/>
      </c>
      <c r="H2311" s="59"/>
      <c r="I2311" s="60">
        <f>IF(OR(H2311="",E2311="",C2311="",D2311=""),"",IF(C2311+D2311=0,"",(H2311*D2311+E2311*C2311)/(C2311+D2311)))</f>
        <v/>
      </c>
      <c r="J2311" s="59"/>
      <c r="K2311" s="61">
        <f>IF(OR(J2311="",I2311=""),"",J2311-I2311)</f>
        <v/>
      </c>
      <c r="L2311" s="61">
        <f>IF(OR(J2311="",G2311=""),"",J2311-G2311)</f>
        <v/>
      </c>
      <c r="M2311" s="59"/>
      <c r="N2311" s="59"/>
      <c r="O2311" s="59"/>
      <c r="P2311" s="59"/>
      <c r="Q2311" s="59"/>
      <c r="R2311" s="60">
        <f>IF(AND(P2311="",Q2311=""),"",N(P2311)+N(Q2311))</f>
        <v/>
      </c>
      <c r="S2311" s="59"/>
      <c r="T2311" s="59"/>
      <c r="U2311" s="62">
        <f>IF(OR(R2311="",S2311="",T2311=""),"",IF(S2311+T2311=0,"",R2311/(S2311+T2311)))</f>
        <v/>
      </c>
      <c r="V2311" s="63"/>
      <c r="W2311" s="64"/>
      <c r="X2311" s="63"/>
    </row>
    <row r="2312" spans="2:24">
      <c r="B2312" s="58"/>
      <c r="C2312" s="59"/>
      <c r="D2312" s="59"/>
      <c r="E2312" s="59"/>
      <c r="F2312" s="59"/>
      <c r="G2312" s="60">
        <f>IF(OR(E2312="",F2312="",C2312="",D2312=""),"",IF(C2312+D2312=0,"",(E2312*C2312+F2312*D2312)/(C2312+D2312)))</f>
        <v/>
      </c>
      <c r="H2312" s="59"/>
      <c r="I2312" s="60">
        <f>IF(OR(H2312="",E2312="",C2312="",D2312=""),"",IF(C2312+D2312=0,"",(H2312*D2312+E2312*C2312)/(C2312+D2312)))</f>
        <v/>
      </c>
      <c r="J2312" s="59"/>
      <c r="K2312" s="61">
        <f>IF(OR(J2312="",I2312=""),"",J2312-I2312)</f>
        <v/>
      </c>
      <c r="L2312" s="61">
        <f>IF(OR(J2312="",G2312=""),"",J2312-G2312)</f>
        <v/>
      </c>
      <c r="M2312" s="59"/>
      <c r="N2312" s="59"/>
      <c r="O2312" s="59"/>
      <c r="P2312" s="59"/>
      <c r="Q2312" s="59"/>
      <c r="R2312" s="60">
        <f>IF(AND(P2312="",Q2312=""),"",N(P2312)+N(Q2312))</f>
        <v/>
      </c>
      <c r="S2312" s="59"/>
      <c r="T2312" s="59"/>
      <c r="U2312" s="62">
        <f>IF(OR(R2312="",S2312="",T2312=""),"",IF(S2312+T2312=0,"",R2312/(S2312+T2312)))</f>
        <v/>
      </c>
      <c r="V2312" s="63"/>
      <c r="W2312" s="64"/>
      <c r="X2312" s="63"/>
    </row>
    <row r="2313" spans="2:24">
      <c r="B2313" s="58"/>
      <c r="C2313" s="59"/>
      <c r="D2313" s="59"/>
      <c r="E2313" s="59"/>
      <c r="F2313" s="59"/>
      <c r="G2313" s="60">
        <f>IF(OR(E2313="",F2313="",C2313="",D2313=""),"",IF(C2313+D2313=0,"",(E2313*C2313+F2313*D2313)/(C2313+D2313)))</f>
        <v/>
      </c>
      <c r="H2313" s="59"/>
      <c r="I2313" s="60">
        <f>IF(OR(H2313="",E2313="",C2313="",D2313=""),"",IF(C2313+D2313=0,"",(H2313*D2313+E2313*C2313)/(C2313+D2313)))</f>
        <v/>
      </c>
      <c r="J2313" s="59"/>
      <c r="K2313" s="61">
        <f>IF(OR(J2313="",I2313=""),"",J2313-I2313)</f>
        <v/>
      </c>
      <c r="L2313" s="61">
        <f>IF(OR(J2313="",G2313=""),"",J2313-G2313)</f>
        <v/>
      </c>
      <c r="M2313" s="59"/>
      <c r="N2313" s="59"/>
      <c r="O2313" s="59"/>
      <c r="P2313" s="59"/>
      <c r="Q2313" s="59"/>
      <c r="R2313" s="60">
        <f>IF(AND(P2313="",Q2313=""),"",N(P2313)+N(Q2313))</f>
        <v/>
      </c>
      <c r="S2313" s="59"/>
      <c r="T2313" s="59"/>
      <c r="U2313" s="62">
        <f>IF(OR(R2313="",S2313="",T2313=""),"",IF(S2313+T2313=0,"",R2313/(S2313+T2313)))</f>
        <v/>
      </c>
      <c r="V2313" s="63"/>
      <c r="W2313" s="64"/>
      <c r="X2313" s="63"/>
    </row>
    <row r="2314" spans="2:24">
      <c r="B2314" s="58"/>
      <c r="C2314" s="59"/>
      <c r="D2314" s="59"/>
      <c r="E2314" s="59"/>
      <c r="F2314" s="59"/>
      <c r="G2314" s="60">
        <f>IF(OR(E2314="",F2314="",C2314="",D2314=""),"",IF(C2314+D2314=0,"",(E2314*C2314+F2314*D2314)/(C2314+D2314)))</f>
        <v/>
      </c>
      <c r="H2314" s="59"/>
      <c r="I2314" s="60">
        <f>IF(OR(H2314="",E2314="",C2314="",D2314=""),"",IF(C2314+D2314=0,"",(H2314*D2314+E2314*C2314)/(C2314+D2314)))</f>
        <v/>
      </c>
      <c r="J2314" s="59"/>
      <c r="K2314" s="61">
        <f>IF(OR(J2314="",I2314=""),"",J2314-I2314)</f>
        <v/>
      </c>
      <c r="L2314" s="61">
        <f>IF(OR(J2314="",G2314=""),"",J2314-G2314)</f>
        <v/>
      </c>
      <c r="M2314" s="59"/>
      <c r="N2314" s="59"/>
      <c r="O2314" s="59"/>
      <c r="P2314" s="59"/>
      <c r="Q2314" s="59"/>
      <c r="R2314" s="60">
        <f>IF(AND(P2314="",Q2314=""),"",N(P2314)+N(Q2314))</f>
        <v/>
      </c>
      <c r="S2314" s="59"/>
      <c r="T2314" s="59"/>
      <c r="U2314" s="62">
        <f>IF(OR(R2314="",S2314="",T2314=""),"",IF(S2314+T2314=0,"",R2314/(S2314+T2314)))</f>
        <v/>
      </c>
      <c r="V2314" s="63"/>
      <c r="W2314" s="64"/>
      <c r="X2314" s="63"/>
    </row>
    <row r="2315" spans="2:24">
      <c r="B2315" s="58"/>
      <c r="C2315" s="59"/>
      <c r="D2315" s="59"/>
      <c r="E2315" s="59"/>
      <c r="F2315" s="59"/>
      <c r="G2315" s="60">
        <f>IF(OR(E2315="",F2315="",C2315="",D2315=""),"",IF(C2315+D2315=0,"",(E2315*C2315+F2315*D2315)/(C2315+D2315)))</f>
        <v/>
      </c>
      <c r="H2315" s="59"/>
      <c r="I2315" s="60">
        <f>IF(OR(H2315="",E2315="",C2315="",D2315=""),"",IF(C2315+D2315=0,"",(H2315*D2315+E2315*C2315)/(C2315+D2315)))</f>
        <v/>
      </c>
      <c r="J2315" s="59"/>
      <c r="K2315" s="61">
        <f>IF(OR(J2315="",I2315=""),"",J2315-I2315)</f>
        <v/>
      </c>
      <c r="L2315" s="61">
        <f>IF(OR(J2315="",G2315=""),"",J2315-G2315)</f>
        <v/>
      </c>
      <c r="M2315" s="59"/>
      <c r="N2315" s="59"/>
      <c r="O2315" s="59"/>
      <c r="P2315" s="59"/>
      <c r="Q2315" s="59"/>
      <c r="R2315" s="60">
        <f>IF(AND(P2315="",Q2315=""),"",N(P2315)+N(Q2315))</f>
        <v/>
      </c>
      <c r="S2315" s="59"/>
      <c r="T2315" s="59"/>
      <c r="U2315" s="62">
        <f>IF(OR(R2315="",S2315="",T2315=""),"",IF(S2315+T2315=0,"",R2315/(S2315+T2315)))</f>
        <v/>
      </c>
      <c r="V2315" s="63"/>
      <c r="W2315" s="64"/>
      <c r="X2315" s="63"/>
    </row>
    <row r="2316" spans="2:24">
      <c r="B2316" s="58"/>
      <c r="C2316" s="59"/>
      <c r="D2316" s="59"/>
      <c r="E2316" s="59"/>
      <c r="F2316" s="59"/>
      <c r="G2316" s="60">
        <f>IF(OR(E2316="",F2316="",C2316="",D2316=""),"",IF(C2316+D2316=0,"",(E2316*C2316+F2316*D2316)/(C2316+D2316)))</f>
        <v/>
      </c>
      <c r="H2316" s="59"/>
      <c r="I2316" s="60">
        <f>IF(OR(H2316="",E2316="",C2316="",D2316=""),"",IF(C2316+D2316=0,"",(H2316*D2316+E2316*C2316)/(C2316+D2316)))</f>
        <v/>
      </c>
      <c r="J2316" s="59"/>
      <c r="K2316" s="61">
        <f>IF(OR(J2316="",I2316=""),"",J2316-I2316)</f>
        <v/>
      </c>
      <c r="L2316" s="61">
        <f>IF(OR(J2316="",G2316=""),"",J2316-G2316)</f>
        <v/>
      </c>
      <c r="M2316" s="59"/>
      <c r="N2316" s="59"/>
      <c r="O2316" s="59"/>
      <c r="P2316" s="59"/>
      <c r="Q2316" s="59"/>
      <c r="R2316" s="60">
        <f>IF(AND(P2316="",Q2316=""),"",N(P2316)+N(Q2316))</f>
        <v/>
      </c>
      <c r="S2316" s="59"/>
      <c r="T2316" s="59"/>
      <c r="U2316" s="62">
        <f>IF(OR(R2316="",S2316="",T2316=""),"",IF(S2316+T2316=0,"",R2316/(S2316+T2316)))</f>
        <v/>
      </c>
      <c r="V2316" s="63"/>
      <c r="W2316" s="64"/>
      <c r="X2316" s="63"/>
    </row>
    <row r="2317" spans="2:24">
      <c r="B2317" s="58"/>
      <c r="C2317" s="59"/>
      <c r="D2317" s="59"/>
      <c r="E2317" s="59"/>
      <c r="F2317" s="59"/>
      <c r="G2317" s="60">
        <f>IF(OR(E2317="",F2317="",C2317="",D2317=""),"",IF(C2317+D2317=0,"",(E2317*C2317+F2317*D2317)/(C2317+D2317)))</f>
        <v/>
      </c>
      <c r="H2317" s="59"/>
      <c r="I2317" s="60">
        <f>IF(OR(H2317="",E2317="",C2317="",D2317=""),"",IF(C2317+D2317=0,"",(H2317*D2317+E2317*C2317)/(C2317+D2317)))</f>
        <v/>
      </c>
      <c r="J2317" s="59"/>
      <c r="K2317" s="61">
        <f>IF(OR(J2317="",I2317=""),"",J2317-I2317)</f>
        <v/>
      </c>
      <c r="L2317" s="61">
        <f>IF(OR(J2317="",G2317=""),"",J2317-G2317)</f>
        <v/>
      </c>
      <c r="M2317" s="59"/>
      <c r="N2317" s="59"/>
      <c r="O2317" s="59"/>
      <c r="P2317" s="59"/>
      <c r="Q2317" s="59"/>
      <c r="R2317" s="60">
        <f>IF(AND(P2317="",Q2317=""),"",N(P2317)+N(Q2317))</f>
        <v/>
      </c>
      <c r="S2317" s="59"/>
      <c r="T2317" s="59"/>
      <c r="U2317" s="62">
        <f>IF(OR(R2317="",S2317="",T2317=""),"",IF(S2317+T2317=0,"",R2317/(S2317+T2317)))</f>
        <v/>
      </c>
      <c r="V2317" s="63"/>
      <c r="W2317" s="64"/>
      <c r="X2317" s="63"/>
    </row>
    <row r="2318" spans="2:24">
      <c r="B2318" s="58"/>
      <c r="C2318" s="59"/>
      <c r="D2318" s="59"/>
      <c r="E2318" s="59"/>
      <c r="F2318" s="59"/>
      <c r="G2318" s="60">
        <f>IF(OR(E2318="",F2318="",C2318="",D2318=""),"",IF(C2318+D2318=0,"",(E2318*C2318+F2318*D2318)/(C2318+D2318)))</f>
        <v/>
      </c>
      <c r="H2318" s="59"/>
      <c r="I2318" s="60">
        <f>IF(OR(H2318="",E2318="",C2318="",D2318=""),"",IF(C2318+D2318=0,"",(H2318*D2318+E2318*C2318)/(C2318+D2318)))</f>
        <v/>
      </c>
      <c r="J2318" s="59"/>
      <c r="K2318" s="61">
        <f>IF(OR(J2318="",I2318=""),"",J2318-I2318)</f>
        <v/>
      </c>
      <c r="L2318" s="61">
        <f>IF(OR(J2318="",G2318=""),"",J2318-G2318)</f>
        <v/>
      </c>
      <c r="M2318" s="59"/>
      <c r="N2318" s="59"/>
      <c r="O2318" s="59"/>
      <c r="P2318" s="59"/>
      <c r="Q2318" s="59"/>
      <c r="R2318" s="60">
        <f>IF(AND(P2318="",Q2318=""),"",N(P2318)+N(Q2318))</f>
        <v/>
      </c>
      <c r="S2318" s="59"/>
      <c r="T2318" s="59"/>
      <c r="U2318" s="62">
        <f>IF(OR(R2318="",S2318="",T2318=""),"",IF(S2318+T2318=0,"",R2318/(S2318+T2318)))</f>
        <v/>
      </c>
      <c r="V2318" s="63"/>
      <c r="W2318" s="64"/>
      <c r="X2318" s="63"/>
    </row>
    <row r="2319" spans="2:24">
      <c r="B2319" s="58"/>
      <c r="C2319" s="59"/>
      <c r="D2319" s="59"/>
      <c r="E2319" s="59"/>
      <c r="F2319" s="59"/>
      <c r="G2319" s="60">
        <f>IF(OR(E2319="",F2319="",C2319="",D2319=""),"",IF(C2319+D2319=0,"",(E2319*C2319+F2319*D2319)/(C2319+D2319)))</f>
        <v/>
      </c>
      <c r="H2319" s="59"/>
      <c r="I2319" s="60">
        <f>IF(OR(H2319="",E2319="",C2319="",D2319=""),"",IF(C2319+D2319=0,"",(H2319*D2319+E2319*C2319)/(C2319+D2319)))</f>
        <v/>
      </c>
      <c r="J2319" s="59"/>
      <c r="K2319" s="61">
        <f>IF(OR(J2319="",I2319=""),"",J2319-I2319)</f>
        <v/>
      </c>
      <c r="L2319" s="61">
        <f>IF(OR(J2319="",G2319=""),"",J2319-G2319)</f>
        <v/>
      </c>
      <c r="M2319" s="59"/>
      <c r="N2319" s="59"/>
      <c r="O2319" s="59"/>
      <c r="P2319" s="59"/>
      <c r="Q2319" s="59"/>
      <c r="R2319" s="60">
        <f>IF(AND(P2319="",Q2319=""),"",N(P2319)+N(Q2319))</f>
        <v/>
      </c>
      <c r="S2319" s="59"/>
      <c r="T2319" s="59"/>
      <c r="U2319" s="62">
        <f>IF(OR(R2319="",S2319="",T2319=""),"",IF(S2319+T2319=0,"",R2319/(S2319+T2319)))</f>
        <v/>
      </c>
      <c r="V2319" s="63"/>
      <c r="W2319" s="64"/>
      <c r="X2319" s="63"/>
    </row>
    <row r="2320" spans="2:24">
      <c r="B2320" s="58"/>
      <c r="C2320" s="59"/>
      <c r="D2320" s="59"/>
      <c r="E2320" s="59"/>
      <c r="F2320" s="59"/>
      <c r="G2320" s="60">
        <f>IF(OR(E2320="",F2320="",C2320="",D2320=""),"",IF(C2320+D2320=0,"",(E2320*C2320+F2320*D2320)/(C2320+D2320)))</f>
        <v/>
      </c>
      <c r="H2320" s="59"/>
      <c r="I2320" s="60">
        <f>IF(OR(H2320="",E2320="",C2320="",D2320=""),"",IF(C2320+D2320=0,"",(H2320*D2320+E2320*C2320)/(C2320+D2320)))</f>
        <v/>
      </c>
      <c r="J2320" s="59"/>
      <c r="K2320" s="61">
        <f>IF(OR(J2320="",I2320=""),"",J2320-I2320)</f>
        <v/>
      </c>
      <c r="L2320" s="61">
        <f>IF(OR(J2320="",G2320=""),"",J2320-G2320)</f>
        <v/>
      </c>
      <c r="M2320" s="59"/>
      <c r="N2320" s="59"/>
      <c r="O2320" s="59"/>
      <c r="P2320" s="59"/>
      <c r="Q2320" s="59"/>
      <c r="R2320" s="60">
        <f>IF(AND(P2320="",Q2320=""),"",N(P2320)+N(Q2320))</f>
        <v/>
      </c>
      <c r="S2320" s="59"/>
      <c r="T2320" s="59"/>
      <c r="U2320" s="62">
        <f>IF(OR(R2320="",S2320="",T2320=""),"",IF(S2320+T2320=0,"",R2320/(S2320+T2320)))</f>
        <v/>
      </c>
      <c r="V2320" s="63"/>
      <c r="W2320" s="64"/>
      <c r="X2320" s="63"/>
    </row>
    <row r="2321" spans="2:24">
      <c r="B2321" s="58"/>
      <c r="C2321" s="59"/>
      <c r="D2321" s="59"/>
      <c r="E2321" s="59"/>
      <c r="F2321" s="59"/>
      <c r="G2321" s="60">
        <f>IF(OR(E2321="",F2321="",C2321="",D2321=""),"",IF(C2321+D2321=0,"",(E2321*C2321+F2321*D2321)/(C2321+D2321)))</f>
        <v/>
      </c>
      <c r="H2321" s="59"/>
      <c r="I2321" s="60">
        <f>IF(OR(H2321="",E2321="",C2321="",D2321=""),"",IF(C2321+D2321=0,"",(H2321*D2321+E2321*C2321)/(C2321+D2321)))</f>
        <v/>
      </c>
      <c r="J2321" s="59"/>
      <c r="K2321" s="61">
        <f>IF(OR(J2321="",I2321=""),"",J2321-I2321)</f>
        <v/>
      </c>
      <c r="L2321" s="61">
        <f>IF(OR(J2321="",G2321=""),"",J2321-G2321)</f>
        <v/>
      </c>
      <c r="M2321" s="59"/>
      <c r="N2321" s="59"/>
      <c r="O2321" s="59"/>
      <c r="P2321" s="59"/>
      <c r="Q2321" s="59"/>
      <c r="R2321" s="60">
        <f>IF(AND(P2321="",Q2321=""),"",N(P2321)+N(Q2321))</f>
        <v/>
      </c>
      <c r="S2321" s="59"/>
      <c r="T2321" s="59"/>
      <c r="U2321" s="62">
        <f>IF(OR(R2321="",S2321="",T2321=""),"",IF(S2321+T2321=0,"",R2321/(S2321+T2321)))</f>
        <v/>
      </c>
      <c r="V2321" s="63"/>
      <c r="W2321" s="64"/>
      <c r="X2321" s="63"/>
    </row>
    <row r="2322" spans="2:24">
      <c r="B2322" s="58"/>
      <c r="C2322" s="59"/>
      <c r="D2322" s="59"/>
      <c r="E2322" s="59"/>
      <c r="F2322" s="59"/>
      <c r="G2322" s="60">
        <f>IF(OR(E2322="",F2322="",C2322="",D2322=""),"",IF(C2322+D2322=0,"",(E2322*C2322+F2322*D2322)/(C2322+D2322)))</f>
        <v/>
      </c>
      <c r="H2322" s="59"/>
      <c r="I2322" s="60">
        <f>IF(OR(H2322="",E2322="",C2322="",D2322=""),"",IF(C2322+D2322=0,"",(H2322*D2322+E2322*C2322)/(C2322+D2322)))</f>
        <v/>
      </c>
      <c r="J2322" s="59"/>
      <c r="K2322" s="61">
        <f>IF(OR(J2322="",I2322=""),"",J2322-I2322)</f>
        <v/>
      </c>
      <c r="L2322" s="61">
        <f>IF(OR(J2322="",G2322=""),"",J2322-G2322)</f>
        <v/>
      </c>
      <c r="M2322" s="59"/>
      <c r="N2322" s="59"/>
      <c r="O2322" s="59"/>
      <c r="P2322" s="59"/>
      <c r="Q2322" s="59"/>
      <c r="R2322" s="60">
        <f>IF(AND(P2322="",Q2322=""),"",N(P2322)+N(Q2322))</f>
        <v/>
      </c>
      <c r="S2322" s="59"/>
      <c r="T2322" s="59"/>
      <c r="U2322" s="62">
        <f>IF(OR(R2322="",S2322="",T2322=""),"",IF(S2322+T2322=0,"",R2322/(S2322+T2322)))</f>
        <v/>
      </c>
      <c r="V2322" s="63"/>
      <c r="W2322" s="64"/>
      <c r="X2322" s="63"/>
    </row>
    <row r="2323" spans="2:24">
      <c r="B2323" s="58"/>
      <c r="C2323" s="59"/>
      <c r="D2323" s="59"/>
      <c r="E2323" s="59"/>
      <c r="F2323" s="59"/>
      <c r="G2323" s="60">
        <f>IF(OR(E2323="",F2323="",C2323="",D2323=""),"",IF(C2323+D2323=0,"",(E2323*C2323+F2323*D2323)/(C2323+D2323)))</f>
        <v/>
      </c>
      <c r="H2323" s="59"/>
      <c r="I2323" s="60">
        <f>IF(OR(H2323="",E2323="",C2323="",D2323=""),"",IF(C2323+D2323=0,"",(H2323*D2323+E2323*C2323)/(C2323+D2323)))</f>
        <v/>
      </c>
      <c r="J2323" s="59"/>
      <c r="K2323" s="61">
        <f>IF(OR(J2323="",I2323=""),"",J2323-I2323)</f>
        <v/>
      </c>
      <c r="L2323" s="61">
        <f>IF(OR(J2323="",G2323=""),"",J2323-G2323)</f>
        <v/>
      </c>
      <c r="M2323" s="59"/>
      <c r="N2323" s="59"/>
      <c r="O2323" s="59"/>
      <c r="P2323" s="59"/>
      <c r="Q2323" s="59"/>
      <c r="R2323" s="60">
        <f>IF(AND(P2323="",Q2323=""),"",N(P2323)+N(Q2323))</f>
        <v/>
      </c>
      <c r="S2323" s="59"/>
      <c r="T2323" s="59"/>
      <c r="U2323" s="62">
        <f>IF(OR(R2323="",S2323="",T2323=""),"",IF(S2323+T2323=0,"",R2323/(S2323+T2323)))</f>
        <v/>
      </c>
      <c r="V2323" s="63"/>
      <c r="W2323" s="64"/>
      <c r="X2323" s="63"/>
    </row>
    <row r="2324" spans="2:24">
      <c r="B2324" s="58"/>
      <c r="C2324" s="59"/>
      <c r="D2324" s="59"/>
      <c r="E2324" s="59"/>
      <c r="F2324" s="59"/>
      <c r="G2324" s="60">
        <f>IF(OR(E2324="",F2324="",C2324="",D2324=""),"",IF(C2324+D2324=0,"",(E2324*C2324+F2324*D2324)/(C2324+D2324)))</f>
        <v/>
      </c>
      <c r="H2324" s="59"/>
      <c r="I2324" s="60">
        <f>IF(OR(H2324="",E2324="",C2324="",D2324=""),"",IF(C2324+D2324=0,"",(H2324*D2324+E2324*C2324)/(C2324+D2324)))</f>
        <v/>
      </c>
      <c r="J2324" s="59"/>
      <c r="K2324" s="61">
        <f>IF(OR(J2324="",I2324=""),"",J2324-I2324)</f>
        <v/>
      </c>
      <c r="L2324" s="61">
        <f>IF(OR(J2324="",G2324=""),"",J2324-G2324)</f>
        <v/>
      </c>
      <c r="M2324" s="59"/>
      <c r="N2324" s="59"/>
      <c r="O2324" s="59"/>
      <c r="P2324" s="59"/>
      <c r="Q2324" s="59"/>
      <c r="R2324" s="60">
        <f>IF(AND(P2324="",Q2324=""),"",N(P2324)+N(Q2324))</f>
        <v/>
      </c>
      <c r="S2324" s="59"/>
      <c r="T2324" s="59"/>
      <c r="U2324" s="62">
        <f>IF(OR(R2324="",S2324="",T2324=""),"",IF(S2324+T2324=0,"",R2324/(S2324+T2324)))</f>
        <v/>
      </c>
      <c r="V2324" s="63"/>
      <c r="W2324" s="64"/>
      <c r="X2324" s="63"/>
    </row>
    <row r="2325" spans="2:24">
      <c r="B2325" s="58"/>
      <c r="C2325" s="59"/>
      <c r="D2325" s="59"/>
      <c r="E2325" s="59"/>
      <c r="F2325" s="59"/>
      <c r="G2325" s="60">
        <f>IF(OR(E2325="",F2325="",C2325="",D2325=""),"",IF(C2325+D2325=0,"",(E2325*C2325+F2325*D2325)/(C2325+D2325)))</f>
        <v/>
      </c>
      <c r="H2325" s="59"/>
      <c r="I2325" s="60">
        <f>IF(OR(H2325="",E2325="",C2325="",D2325=""),"",IF(C2325+D2325=0,"",(H2325*D2325+E2325*C2325)/(C2325+D2325)))</f>
        <v/>
      </c>
      <c r="J2325" s="59"/>
      <c r="K2325" s="61">
        <f>IF(OR(J2325="",I2325=""),"",J2325-I2325)</f>
        <v/>
      </c>
      <c r="L2325" s="61">
        <f>IF(OR(J2325="",G2325=""),"",J2325-G2325)</f>
        <v/>
      </c>
      <c r="M2325" s="59"/>
      <c r="N2325" s="59"/>
      <c r="O2325" s="59"/>
      <c r="P2325" s="59"/>
      <c r="Q2325" s="59"/>
      <c r="R2325" s="60">
        <f>IF(AND(P2325="",Q2325=""),"",N(P2325)+N(Q2325))</f>
        <v/>
      </c>
      <c r="S2325" s="59"/>
      <c r="T2325" s="59"/>
      <c r="U2325" s="62">
        <f>IF(OR(R2325="",S2325="",T2325=""),"",IF(S2325+T2325=0,"",R2325/(S2325+T2325)))</f>
        <v/>
      </c>
      <c r="V2325" s="63"/>
      <c r="W2325" s="64"/>
      <c r="X2325" s="63"/>
    </row>
    <row r="2326" spans="2:24">
      <c r="B2326" s="58"/>
      <c r="C2326" s="59"/>
      <c r="D2326" s="59"/>
      <c r="E2326" s="59"/>
      <c r="F2326" s="59"/>
      <c r="G2326" s="60">
        <f>IF(OR(E2326="",F2326="",C2326="",D2326=""),"",IF(C2326+D2326=0,"",(E2326*C2326+F2326*D2326)/(C2326+D2326)))</f>
        <v/>
      </c>
      <c r="H2326" s="59"/>
      <c r="I2326" s="60">
        <f>IF(OR(H2326="",E2326="",C2326="",D2326=""),"",IF(C2326+D2326=0,"",(H2326*D2326+E2326*C2326)/(C2326+D2326)))</f>
        <v/>
      </c>
      <c r="J2326" s="59"/>
      <c r="K2326" s="61">
        <f>IF(OR(J2326="",I2326=""),"",J2326-I2326)</f>
        <v/>
      </c>
      <c r="L2326" s="61">
        <f>IF(OR(J2326="",G2326=""),"",J2326-G2326)</f>
        <v/>
      </c>
      <c r="M2326" s="59"/>
      <c r="N2326" s="59"/>
      <c r="O2326" s="59"/>
      <c r="P2326" s="59"/>
      <c r="Q2326" s="59"/>
      <c r="R2326" s="60">
        <f>IF(AND(P2326="",Q2326=""),"",N(P2326)+N(Q2326))</f>
        <v/>
      </c>
      <c r="S2326" s="59"/>
      <c r="T2326" s="59"/>
      <c r="U2326" s="62">
        <f>IF(OR(R2326="",S2326="",T2326=""),"",IF(S2326+T2326=0,"",R2326/(S2326+T2326)))</f>
        <v/>
      </c>
      <c r="V2326" s="63"/>
      <c r="W2326" s="64"/>
      <c r="X2326" s="63"/>
    </row>
    <row r="2327" spans="2:24">
      <c r="B2327" s="58"/>
      <c r="C2327" s="59"/>
      <c r="D2327" s="59"/>
      <c r="E2327" s="59"/>
      <c r="F2327" s="59"/>
      <c r="G2327" s="60">
        <f>IF(OR(E2327="",F2327="",C2327="",D2327=""),"",IF(C2327+D2327=0,"",(E2327*C2327+F2327*D2327)/(C2327+D2327)))</f>
        <v/>
      </c>
      <c r="H2327" s="59"/>
      <c r="I2327" s="60">
        <f>IF(OR(H2327="",E2327="",C2327="",D2327=""),"",IF(C2327+D2327=0,"",(H2327*D2327+E2327*C2327)/(C2327+D2327)))</f>
        <v/>
      </c>
      <c r="J2327" s="59"/>
      <c r="K2327" s="61">
        <f>IF(OR(J2327="",I2327=""),"",J2327-I2327)</f>
        <v/>
      </c>
      <c r="L2327" s="61">
        <f>IF(OR(J2327="",G2327=""),"",J2327-G2327)</f>
        <v/>
      </c>
      <c r="M2327" s="59"/>
      <c r="N2327" s="59"/>
      <c r="O2327" s="59"/>
      <c r="P2327" s="59"/>
      <c r="Q2327" s="59"/>
      <c r="R2327" s="60">
        <f>IF(AND(P2327="",Q2327=""),"",N(P2327)+N(Q2327))</f>
        <v/>
      </c>
      <c r="S2327" s="59"/>
      <c r="T2327" s="59"/>
      <c r="U2327" s="62">
        <f>IF(OR(R2327="",S2327="",T2327=""),"",IF(S2327+T2327=0,"",R2327/(S2327+T2327)))</f>
        <v/>
      </c>
      <c r="V2327" s="63"/>
      <c r="W2327" s="64"/>
      <c r="X2327" s="63"/>
    </row>
    <row r="2328" spans="2:24">
      <c r="B2328" s="58"/>
      <c r="C2328" s="59"/>
      <c r="D2328" s="59"/>
      <c r="E2328" s="59"/>
      <c r="F2328" s="59"/>
      <c r="G2328" s="60">
        <f>IF(OR(E2328="",F2328="",C2328="",D2328=""),"",IF(C2328+D2328=0,"",(E2328*C2328+F2328*D2328)/(C2328+D2328)))</f>
        <v/>
      </c>
      <c r="H2328" s="59"/>
      <c r="I2328" s="60">
        <f>IF(OR(H2328="",E2328="",C2328="",D2328=""),"",IF(C2328+D2328=0,"",(H2328*D2328+E2328*C2328)/(C2328+D2328)))</f>
        <v/>
      </c>
      <c r="J2328" s="59"/>
      <c r="K2328" s="61">
        <f>IF(OR(J2328="",I2328=""),"",J2328-I2328)</f>
        <v/>
      </c>
      <c r="L2328" s="61">
        <f>IF(OR(J2328="",G2328=""),"",J2328-G2328)</f>
        <v/>
      </c>
      <c r="M2328" s="59"/>
      <c r="N2328" s="59"/>
      <c r="O2328" s="59"/>
      <c r="P2328" s="59"/>
      <c r="Q2328" s="59"/>
      <c r="R2328" s="60">
        <f>IF(AND(P2328="",Q2328=""),"",N(P2328)+N(Q2328))</f>
        <v/>
      </c>
      <c r="S2328" s="59"/>
      <c r="T2328" s="59"/>
      <c r="U2328" s="62">
        <f>IF(OR(R2328="",S2328="",T2328=""),"",IF(S2328+T2328=0,"",R2328/(S2328+T2328)))</f>
        <v/>
      </c>
      <c r="V2328" s="63"/>
      <c r="W2328" s="64"/>
      <c r="X2328" s="63"/>
    </row>
    <row r="2329" spans="2:24">
      <c r="B2329" s="58"/>
      <c r="C2329" s="59"/>
      <c r="D2329" s="59"/>
      <c r="E2329" s="59"/>
      <c r="F2329" s="59"/>
      <c r="G2329" s="60">
        <f>IF(OR(E2329="",F2329="",C2329="",D2329=""),"",IF(C2329+D2329=0,"",(E2329*C2329+F2329*D2329)/(C2329+D2329)))</f>
        <v/>
      </c>
      <c r="H2329" s="59"/>
      <c r="I2329" s="60">
        <f>IF(OR(H2329="",E2329="",C2329="",D2329=""),"",IF(C2329+D2329=0,"",(H2329*D2329+E2329*C2329)/(C2329+D2329)))</f>
        <v/>
      </c>
      <c r="J2329" s="59"/>
      <c r="K2329" s="61">
        <f>IF(OR(J2329="",I2329=""),"",J2329-I2329)</f>
        <v/>
      </c>
      <c r="L2329" s="61">
        <f>IF(OR(J2329="",G2329=""),"",J2329-G2329)</f>
        <v/>
      </c>
      <c r="M2329" s="59"/>
      <c r="N2329" s="59"/>
      <c r="O2329" s="59"/>
      <c r="P2329" s="59"/>
      <c r="Q2329" s="59"/>
      <c r="R2329" s="60">
        <f>IF(AND(P2329="",Q2329=""),"",N(P2329)+N(Q2329))</f>
        <v/>
      </c>
      <c r="S2329" s="59"/>
      <c r="T2329" s="59"/>
      <c r="U2329" s="62">
        <f>IF(OR(R2329="",S2329="",T2329=""),"",IF(S2329+T2329=0,"",R2329/(S2329+T2329)))</f>
        <v/>
      </c>
      <c r="V2329" s="63"/>
      <c r="W2329" s="64"/>
      <c r="X2329" s="63"/>
    </row>
    <row r="2330" spans="2:24">
      <c r="B2330" s="58"/>
      <c r="C2330" s="59"/>
      <c r="D2330" s="59"/>
      <c r="E2330" s="59"/>
      <c r="F2330" s="59"/>
      <c r="G2330" s="60">
        <f>IF(OR(E2330="",F2330="",C2330="",D2330=""),"",IF(C2330+D2330=0,"",(E2330*C2330+F2330*D2330)/(C2330+D2330)))</f>
        <v/>
      </c>
      <c r="H2330" s="59"/>
      <c r="I2330" s="60">
        <f>IF(OR(H2330="",E2330="",C2330="",D2330=""),"",IF(C2330+D2330=0,"",(H2330*D2330+E2330*C2330)/(C2330+D2330)))</f>
        <v/>
      </c>
      <c r="J2330" s="59"/>
      <c r="K2330" s="61">
        <f>IF(OR(J2330="",I2330=""),"",J2330-I2330)</f>
        <v/>
      </c>
      <c r="L2330" s="61">
        <f>IF(OR(J2330="",G2330=""),"",J2330-G2330)</f>
        <v/>
      </c>
      <c r="M2330" s="59"/>
      <c r="N2330" s="59"/>
      <c r="O2330" s="59"/>
      <c r="P2330" s="59"/>
      <c r="Q2330" s="59"/>
      <c r="R2330" s="60">
        <f>IF(AND(P2330="",Q2330=""),"",N(P2330)+N(Q2330))</f>
        <v/>
      </c>
      <c r="S2330" s="59"/>
      <c r="T2330" s="59"/>
      <c r="U2330" s="62">
        <f>IF(OR(R2330="",S2330="",T2330=""),"",IF(S2330+T2330=0,"",R2330/(S2330+T2330)))</f>
        <v/>
      </c>
      <c r="V2330" s="63"/>
      <c r="W2330" s="64"/>
      <c r="X2330" s="63"/>
    </row>
    <row r="2331" spans="2:24">
      <c r="B2331" s="58"/>
      <c r="C2331" s="59"/>
      <c r="D2331" s="59"/>
      <c r="E2331" s="59"/>
      <c r="F2331" s="59"/>
      <c r="G2331" s="60">
        <f>IF(OR(E2331="",F2331="",C2331="",D2331=""),"",IF(C2331+D2331=0,"",(E2331*C2331+F2331*D2331)/(C2331+D2331)))</f>
        <v/>
      </c>
      <c r="H2331" s="59"/>
      <c r="I2331" s="60">
        <f>IF(OR(H2331="",E2331="",C2331="",D2331=""),"",IF(C2331+D2331=0,"",(H2331*D2331+E2331*C2331)/(C2331+D2331)))</f>
        <v/>
      </c>
      <c r="J2331" s="59"/>
      <c r="K2331" s="61">
        <f>IF(OR(J2331="",I2331=""),"",J2331-I2331)</f>
        <v/>
      </c>
      <c r="L2331" s="61">
        <f>IF(OR(J2331="",G2331=""),"",J2331-G2331)</f>
        <v/>
      </c>
      <c r="M2331" s="59"/>
      <c r="N2331" s="59"/>
      <c r="O2331" s="59"/>
      <c r="P2331" s="59"/>
      <c r="Q2331" s="59"/>
      <c r="R2331" s="60">
        <f>IF(AND(P2331="",Q2331=""),"",N(P2331)+N(Q2331))</f>
        <v/>
      </c>
      <c r="S2331" s="59"/>
      <c r="T2331" s="59"/>
      <c r="U2331" s="62">
        <f>IF(OR(R2331="",S2331="",T2331=""),"",IF(S2331+T2331=0,"",R2331/(S2331+T2331)))</f>
        <v/>
      </c>
      <c r="V2331" s="63"/>
      <c r="W2331" s="64"/>
      <c r="X2331" s="63"/>
    </row>
    <row r="2332" spans="2:24">
      <c r="B2332" s="58"/>
      <c r="C2332" s="59"/>
      <c r="D2332" s="59"/>
      <c r="E2332" s="59"/>
      <c r="F2332" s="59"/>
      <c r="G2332" s="60">
        <f>IF(OR(E2332="",F2332="",C2332="",D2332=""),"",IF(C2332+D2332=0,"",(E2332*C2332+F2332*D2332)/(C2332+D2332)))</f>
        <v/>
      </c>
      <c r="H2332" s="59"/>
      <c r="I2332" s="60">
        <f>IF(OR(H2332="",E2332="",C2332="",D2332=""),"",IF(C2332+D2332=0,"",(H2332*D2332+E2332*C2332)/(C2332+D2332)))</f>
        <v/>
      </c>
      <c r="J2332" s="59"/>
      <c r="K2332" s="61">
        <f>IF(OR(J2332="",I2332=""),"",J2332-I2332)</f>
        <v/>
      </c>
      <c r="L2332" s="61">
        <f>IF(OR(J2332="",G2332=""),"",J2332-G2332)</f>
        <v/>
      </c>
      <c r="M2332" s="59"/>
      <c r="N2332" s="59"/>
      <c r="O2332" s="59"/>
      <c r="P2332" s="59"/>
      <c r="Q2332" s="59"/>
      <c r="R2332" s="60">
        <f>IF(AND(P2332="",Q2332=""),"",N(P2332)+N(Q2332))</f>
        <v/>
      </c>
      <c r="S2332" s="59"/>
      <c r="T2332" s="59"/>
      <c r="U2332" s="62">
        <f>IF(OR(R2332="",S2332="",T2332=""),"",IF(S2332+T2332=0,"",R2332/(S2332+T2332)))</f>
        <v/>
      </c>
      <c r="V2332" s="63"/>
      <c r="W2332" s="64"/>
      <c r="X2332" s="63"/>
    </row>
    <row r="2333" spans="2:24">
      <c r="B2333" s="58"/>
      <c r="C2333" s="59"/>
      <c r="D2333" s="59"/>
      <c r="E2333" s="59"/>
      <c r="F2333" s="59"/>
      <c r="G2333" s="60">
        <f>IF(OR(E2333="",F2333="",C2333="",D2333=""),"",IF(C2333+D2333=0,"",(E2333*C2333+F2333*D2333)/(C2333+D2333)))</f>
        <v/>
      </c>
      <c r="H2333" s="59"/>
      <c r="I2333" s="60">
        <f>IF(OR(H2333="",E2333="",C2333="",D2333=""),"",IF(C2333+D2333=0,"",(H2333*D2333+E2333*C2333)/(C2333+D2333)))</f>
        <v/>
      </c>
      <c r="J2333" s="59"/>
      <c r="K2333" s="61">
        <f>IF(OR(J2333="",I2333=""),"",J2333-I2333)</f>
        <v/>
      </c>
      <c r="L2333" s="61">
        <f>IF(OR(J2333="",G2333=""),"",J2333-G2333)</f>
        <v/>
      </c>
      <c r="M2333" s="59"/>
      <c r="N2333" s="59"/>
      <c r="O2333" s="59"/>
      <c r="P2333" s="59"/>
      <c r="Q2333" s="59"/>
      <c r="R2333" s="60">
        <f>IF(AND(P2333="",Q2333=""),"",N(P2333)+N(Q2333))</f>
        <v/>
      </c>
      <c r="S2333" s="59"/>
      <c r="T2333" s="59"/>
      <c r="U2333" s="62">
        <f>IF(OR(R2333="",S2333="",T2333=""),"",IF(S2333+T2333=0,"",R2333/(S2333+T2333)))</f>
        <v/>
      </c>
      <c r="V2333" s="63"/>
      <c r="W2333" s="64"/>
      <c r="X2333" s="63"/>
    </row>
    <row r="2334" spans="2:24">
      <c r="B2334" s="58"/>
      <c r="C2334" s="59"/>
      <c r="D2334" s="59"/>
      <c r="E2334" s="59"/>
      <c r="F2334" s="59"/>
      <c r="G2334" s="60">
        <f>IF(OR(E2334="",F2334="",C2334="",D2334=""),"",IF(C2334+D2334=0,"",(E2334*C2334+F2334*D2334)/(C2334+D2334)))</f>
        <v/>
      </c>
      <c r="H2334" s="59"/>
      <c r="I2334" s="60">
        <f>IF(OR(H2334="",E2334="",C2334="",D2334=""),"",IF(C2334+D2334=0,"",(H2334*D2334+E2334*C2334)/(C2334+D2334)))</f>
        <v/>
      </c>
      <c r="J2334" s="59"/>
      <c r="K2334" s="61">
        <f>IF(OR(J2334="",I2334=""),"",J2334-I2334)</f>
        <v/>
      </c>
      <c r="L2334" s="61">
        <f>IF(OR(J2334="",G2334=""),"",J2334-G2334)</f>
        <v/>
      </c>
      <c r="M2334" s="59"/>
      <c r="N2334" s="59"/>
      <c r="O2334" s="59"/>
      <c r="P2334" s="59"/>
      <c r="Q2334" s="59"/>
      <c r="R2334" s="60">
        <f>IF(AND(P2334="",Q2334=""),"",N(P2334)+N(Q2334))</f>
        <v/>
      </c>
      <c r="S2334" s="59"/>
      <c r="T2334" s="59"/>
      <c r="U2334" s="62">
        <f>IF(OR(R2334="",S2334="",T2334=""),"",IF(S2334+T2334=0,"",R2334/(S2334+T2334)))</f>
        <v/>
      </c>
      <c r="V2334" s="63"/>
      <c r="W2334" s="64"/>
      <c r="X2334" s="63"/>
    </row>
    <row r="2335" spans="2:24">
      <c r="B2335" s="58"/>
      <c r="C2335" s="59"/>
      <c r="D2335" s="59"/>
      <c r="E2335" s="59"/>
      <c r="F2335" s="59"/>
      <c r="G2335" s="60">
        <f>IF(OR(E2335="",F2335="",C2335="",D2335=""),"",IF(C2335+D2335=0,"",(E2335*C2335+F2335*D2335)/(C2335+D2335)))</f>
        <v/>
      </c>
      <c r="H2335" s="59"/>
      <c r="I2335" s="60">
        <f>IF(OR(H2335="",E2335="",C2335="",D2335=""),"",IF(C2335+D2335=0,"",(H2335*D2335+E2335*C2335)/(C2335+D2335)))</f>
        <v/>
      </c>
      <c r="J2335" s="59"/>
      <c r="K2335" s="61">
        <f>IF(OR(J2335="",I2335=""),"",J2335-I2335)</f>
        <v/>
      </c>
      <c r="L2335" s="61">
        <f>IF(OR(J2335="",G2335=""),"",J2335-G2335)</f>
        <v/>
      </c>
      <c r="M2335" s="59"/>
      <c r="N2335" s="59"/>
      <c r="O2335" s="59"/>
      <c r="P2335" s="59"/>
      <c r="Q2335" s="59"/>
      <c r="R2335" s="60">
        <f>IF(AND(P2335="",Q2335=""),"",N(P2335)+N(Q2335))</f>
        <v/>
      </c>
      <c r="S2335" s="59"/>
      <c r="T2335" s="59"/>
      <c r="U2335" s="62">
        <f>IF(OR(R2335="",S2335="",T2335=""),"",IF(S2335+T2335=0,"",R2335/(S2335+T2335)))</f>
        <v/>
      </c>
      <c r="V2335" s="63"/>
      <c r="W2335" s="64"/>
      <c r="X2335" s="63"/>
    </row>
    <row r="2336" spans="2:24">
      <c r="B2336" s="58"/>
      <c r="C2336" s="59"/>
      <c r="D2336" s="59"/>
      <c r="E2336" s="59"/>
      <c r="F2336" s="59"/>
      <c r="G2336" s="60">
        <f>IF(OR(E2336="",F2336="",C2336="",D2336=""),"",IF(C2336+D2336=0,"",(E2336*C2336+F2336*D2336)/(C2336+D2336)))</f>
        <v/>
      </c>
      <c r="H2336" s="59"/>
      <c r="I2336" s="60">
        <f>IF(OR(H2336="",E2336="",C2336="",D2336=""),"",IF(C2336+D2336=0,"",(H2336*D2336+E2336*C2336)/(C2336+D2336)))</f>
        <v/>
      </c>
      <c r="J2336" s="59"/>
      <c r="K2336" s="61">
        <f>IF(OR(J2336="",I2336=""),"",J2336-I2336)</f>
        <v/>
      </c>
      <c r="L2336" s="61">
        <f>IF(OR(J2336="",G2336=""),"",J2336-G2336)</f>
        <v/>
      </c>
      <c r="M2336" s="59"/>
      <c r="N2336" s="59"/>
      <c r="O2336" s="59"/>
      <c r="P2336" s="59"/>
      <c r="Q2336" s="59"/>
      <c r="R2336" s="60">
        <f>IF(AND(P2336="",Q2336=""),"",N(P2336)+N(Q2336))</f>
        <v/>
      </c>
      <c r="S2336" s="59"/>
      <c r="T2336" s="59"/>
      <c r="U2336" s="62">
        <f>IF(OR(R2336="",S2336="",T2336=""),"",IF(S2336+T2336=0,"",R2336/(S2336+T2336)))</f>
        <v/>
      </c>
      <c r="V2336" s="63"/>
      <c r="W2336" s="64"/>
      <c r="X2336" s="63"/>
    </row>
    <row r="2337" spans="2:24">
      <c r="B2337" s="58"/>
      <c r="C2337" s="59"/>
      <c r="D2337" s="59"/>
      <c r="E2337" s="59"/>
      <c r="F2337" s="59"/>
      <c r="G2337" s="60">
        <f>IF(OR(E2337="",F2337="",C2337="",D2337=""),"",IF(C2337+D2337=0,"",(E2337*C2337+F2337*D2337)/(C2337+D2337)))</f>
        <v/>
      </c>
      <c r="H2337" s="59"/>
      <c r="I2337" s="60">
        <f>IF(OR(H2337="",E2337="",C2337="",D2337=""),"",IF(C2337+D2337=0,"",(H2337*D2337+E2337*C2337)/(C2337+D2337)))</f>
        <v/>
      </c>
      <c r="J2337" s="59"/>
      <c r="K2337" s="61">
        <f>IF(OR(J2337="",I2337=""),"",J2337-I2337)</f>
        <v/>
      </c>
      <c r="L2337" s="61">
        <f>IF(OR(J2337="",G2337=""),"",J2337-G2337)</f>
        <v/>
      </c>
      <c r="M2337" s="59"/>
      <c r="N2337" s="59"/>
      <c r="O2337" s="59"/>
      <c r="P2337" s="59"/>
      <c r="Q2337" s="59"/>
      <c r="R2337" s="60">
        <f>IF(AND(P2337="",Q2337=""),"",N(P2337)+N(Q2337))</f>
        <v/>
      </c>
      <c r="S2337" s="59"/>
      <c r="T2337" s="59"/>
      <c r="U2337" s="62">
        <f>IF(OR(R2337="",S2337="",T2337=""),"",IF(S2337+T2337=0,"",R2337/(S2337+T2337)))</f>
        <v/>
      </c>
      <c r="V2337" s="63"/>
      <c r="W2337" s="64"/>
      <c r="X2337" s="63"/>
    </row>
    <row r="2338" spans="2:24">
      <c r="B2338" s="58"/>
      <c r="C2338" s="59"/>
      <c r="D2338" s="59"/>
      <c r="E2338" s="59"/>
      <c r="F2338" s="59"/>
      <c r="G2338" s="60">
        <f>IF(OR(E2338="",F2338="",C2338="",D2338=""),"",IF(C2338+D2338=0,"",(E2338*C2338+F2338*D2338)/(C2338+D2338)))</f>
        <v/>
      </c>
      <c r="H2338" s="59"/>
      <c r="I2338" s="60">
        <f>IF(OR(H2338="",E2338="",C2338="",D2338=""),"",IF(C2338+D2338=0,"",(H2338*D2338+E2338*C2338)/(C2338+D2338)))</f>
        <v/>
      </c>
      <c r="J2338" s="59"/>
      <c r="K2338" s="61">
        <f>IF(OR(J2338="",I2338=""),"",J2338-I2338)</f>
        <v/>
      </c>
      <c r="L2338" s="61">
        <f>IF(OR(J2338="",G2338=""),"",J2338-G2338)</f>
        <v/>
      </c>
      <c r="M2338" s="59"/>
      <c r="N2338" s="59"/>
      <c r="O2338" s="59"/>
      <c r="P2338" s="59"/>
      <c r="Q2338" s="59"/>
      <c r="R2338" s="60">
        <f>IF(AND(P2338="",Q2338=""),"",N(P2338)+N(Q2338))</f>
        <v/>
      </c>
      <c r="S2338" s="59"/>
      <c r="T2338" s="59"/>
      <c r="U2338" s="62">
        <f>IF(OR(R2338="",S2338="",T2338=""),"",IF(S2338+T2338=0,"",R2338/(S2338+T2338)))</f>
        <v/>
      </c>
      <c r="V2338" s="63"/>
      <c r="W2338" s="64"/>
      <c r="X2338" s="63"/>
    </row>
    <row r="2339" spans="2:24">
      <c r="B2339" s="58"/>
      <c r="C2339" s="59"/>
      <c r="D2339" s="59"/>
      <c r="E2339" s="59"/>
      <c r="F2339" s="59"/>
      <c r="G2339" s="60">
        <f>IF(OR(E2339="",F2339="",C2339="",D2339=""),"",IF(C2339+D2339=0,"",(E2339*C2339+F2339*D2339)/(C2339+D2339)))</f>
        <v/>
      </c>
      <c r="H2339" s="59"/>
      <c r="I2339" s="60">
        <f>IF(OR(H2339="",E2339="",C2339="",D2339=""),"",IF(C2339+D2339=0,"",(H2339*D2339+E2339*C2339)/(C2339+D2339)))</f>
        <v/>
      </c>
      <c r="J2339" s="59"/>
      <c r="K2339" s="61">
        <f>IF(OR(J2339="",I2339=""),"",J2339-I2339)</f>
        <v/>
      </c>
      <c r="L2339" s="61">
        <f>IF(OR(J2339="",G2339=""),"",J2339-G2339)</f>
        <v/>
      </c>
      <c r="M2339" s="59"/>
      <c r="N2339" s="59"/>
      <c r="O2339" s="59"/>
      <c r="P2339" s="59"/>
      <c r="Q2339" s="59"/>
      <c r="R2339" s="60">
        <f>IF(AND(P2339="",Q2339=""),"",N(P2339)+N(Q2339))</f>
        <v/>
      </c>
      <c r="S2339" s="59"/>
      <c r="T2339" s="59"/>
      <c r="U2339" s="62">
        <f>IF(OR(R2339="",S2339="",T2339=""),"",IF(S2339+T2339=0,"",R2339/(S2339+T2339)))</f>
        <v/>
      </c>
      <c r="V2339" s="63"/>
      <c r="W2339" s="64"/>
      <c r="X2339" s="63"/>
    </row>
    <row r="2340" spans="2:24">
      <c r="B2340" s="58"/>
      <c r="C2340" s="59"/>
      <c r="D2340" s="59"/>
      <c r="E2340" s="59"/>
      <c r="F2340" s="59"/>
      <c r="G2340" s="60">
        <f>IF(OR(E2340="",F2340="",C2340="",D2340=""),"",IF(C2340+D2340=0,"",(E2340*C2340+F2340*D2340)/(C2340+D2340)))</f>
        <v/>
      </c>
      <c r="H2340" s="59"/>
      <c r="I2340" s="60">
        <f>IF(OR(H2340="",E2340="",C2340="",D2340=""),"",IF(C2340+D2340=0,"",(H2340*D2340+E2340*C2340)/(C2340+D2340)))</f>
        <v/>
      </c>
      <c r="J2340" s="59"/>
      <c r="K2340" s="61">
        <f>IF(OR(J2340="",I2340=""),"",J2340-I2340)</f>
        <v/>
      </c>
      <c r="L2340" s="61">
        <f>IF(OR(J2340="",G2340=""),"",J2340-G2340)</f>
        <v/>
      </c>
      <c r="M2340" s="59"/>
      <c r="N2340" s="59"/>
      <c r="O2340" s="59"/>
      <c r="P2340" s="59"/>
      <c r="Q2340" s="59"/>
      <c r="R2340" s="60">
        <f>IF(AND(P2340="",Q2340=""),"",N(P2340)+N(Q2340))</f>
        <v/>
      </c>
      <c r="S2340" s="59"/>
      <c r="T2340" s="59"/>
      <c r="U2340" s="62">
        <f>IF(OR(R2340="",S2340="",T2340=""),"",IF(S2340+T2340=0,"",R2340/(S2340+T2340)))</f>
        <v/>
      </c>
      <c r="V2340" s="63"/>
      <c r="W2340" s="64"/>
      <c r="X2340" s="63"/>
    </row>
    <row r="2341" spans="2:24">
      <c r="B2341" s="58"/>
      <c r="C2341" s="59"/>
      <c r="D2341" s="59"/>
      <c r="E2341" s="59"/>
      <c r="F2341" s="59"/>
      <c r="G2341" s="60">
        <f>IF(OR(E2341="",F2341="",C2341="",D2341=""),"",IF(C2341+D2341=0,"",(E2341*C2341+F2341*D2341)/(C2341+D2341)))</f>
        <v/>
      </c>
      <c r="H2341" s="59"/>
      <c r="I2341" s="60">
        <f>IF(OR(H2341="",E2341="",C2341="",D2341=""),"",IF(C2341+D2341=0,"",(H2341*D2341+E2341*C2341)/(C2341+D2341)))</f>
        <v/>
      </c>
      <c r="J2341" s="59"/>
      <c r="K2341" s="61">
        <f>IF(OR(J2341="",I2341=""),"",J2341-I2341)</f>
        <v/>
      </c>
      <c r="L2341" s="61">
        <f>IF(OR(J2341="",G2341=""),"",J2341-G2341)</f>
        <v/>
      </c>
      <c r="M2341" s="59"/>
      <c r="N2341" s="59"/>
      <c r="O2341" s="59"/>
      <c r="P2341" s="59"/>
      <c r="Q2341" s="59"/>
      <c r="R2341" s="60">
        <f>IF(AND(P2341="",Q2341=""),"",N(P2341)+N(Q2341))</f>
        <v/>
      </c>
      <c r="S2341" s="59"/>
      <c r="T2341" s="59"/>
      <c r="U2341" s="62">
        <f>IF(OR(R2341="",S2341="",T2341=""),"",IF(S2341+T2341=0,"",R2341/(S2341+T2341)))</f>
        <v/>
      </c>
      <c r="V2341" s="63"/>
      <c r="W2341" s="64"/>
      <c r="X2341" s="63"/>
    </row>
    <row r="2342" spans="2:24">
      <c r="B2342" s="58"/>
      <c r="C2342" s="59"/>
      <c r="D2342" s="59"/>
      <c r="E2342" s="59"/>
      <c r="F2342" s="59"/>
      <c r="G2342" s="60">
        <f>IF(OR(E2342="",F2342="",C2342="",D2342=""),"",IF(C2342+D2342=0,"",(E2342*C2342+F2342*D2342)/(C2342+D2342)))</f>
        <v/>
      </c>
      <c r="H2342" s="59"/>
      <c r="I2342" s="60">
        <f>IF(OR(H2342="",E2342="",C2342="",D2342=""),"",IF(C2342+D2342=0,"",(H2342*D2342+E2342*C2342)/(C2342+D2342)))</f>
        <v/>
      </c>
      <c r="J2342" s="59"/>
      <c r="K2342" s="61">
        <f>IF(OR(J2342="",I2342=""),"",J2342-I2342)</f>
        <v/>
      </c>
      <c r="L2342" s="61">
        <f>IF(OR(J2342="",G2342=""),"",J2342-G2342)</f>
        <v/>
      </c>
      <c r="M2342" s="59"/>
      <c r="N2342" s="59"/>
      <c r="O2342" s="59"/>
      <c r="P2342" s="59"/>
      <c r="Q2342" s="59"/>
      <c r="R2342" s="60">
        <f>IF(AND(P2342="",Q2342=""),"",N(P2342)+N(Q2342))</f>
        <v/>
      </c>
      <c r="S2342" s="59"/>
      <c r="T2342" s="59"/>
      <c r="U2342" s="62">
        <f>IF(OR(R2342="",S2342="",T2342=""),"",IF(S2342+T2342=0,"",R2342/(S2342+T2342)))</f>
        <v/>
      </c>
      <c r="V2342" s="63"/>
      <c r="W2342" s="64"/>
      <c r="X2342" s="63"/>
    </row>
    <row r="2343" spans="2:24">
      <c r="B2343" s="58"/>
      <c r="C2343" s="59"/>
      <c r="D2343" s="59"/>
      <c r="E2343" s="59"/>
      <c r="F2343" s="59"/>
      <c r="G2343" s="60">
        <f>IF(OR(E2343="",F2343="",C2343="",D2343=""),"",IF(C2343+D2343=0,"",(E2343*C2343+F2343*D2343)/(C2343+D2343)))</f>
        <v/>
      </c>
      <c r="H2343" s="59"/>
      <c r="I2343" s="60">
        <f>IF(OR(H2343="",E2343="",C2343="",D2343=""),"",IF(C2343+D2343=0,"",(H2343*D2343+E2343*C2343)/(C2343+D2343)))</f>
        <v/>
      </c>
      <c r="J2343" s="59"/>
      <c r="K2343" s="61">
        <f>IF(OR(J2343="",I2343=""),"",J2343-I2343)</f>
        <v/>
      </c>
      <c r="L2343" s="61">
        <f>IF(OR(J2343="",G2343=""),"",J2343-G2343)</f>
        <v/>
      </c>
      <c r="M2343" s="59"/>
      <c r="N2343" s="59"/>
      <c r="O2343" s="59"/>
      <c r="P2343" s="59"/>
      <c r="Q2343" s="59"/>
      <c r="R2343" s="60">
        <f>IF(AND(P2343="",Q2343=""),"",N(P2343)+N(Q2343))</f>
        <v/>
      </c>
      <c r="S2343" s="59"/>
      <c r="T2343" s="59"/>
      <c r="U2343" s="62">
        <f>IF(OR(R2343="",S2343="",T2343=""),"",IF(S2343+T2343=0,"",R2343/(S2343+T2343)))</f>
        <v/>
      </c>
      <c r="V2343" s="63"/>
      <c r="W2343" s="64"/>
      <c r="X2343" s="63"/>
    </row>
    <row r="2344" spans="2:24">
      <c r="B2344" s="58"/>
      <c r="C2344" s="59"/>
      <c r="D2344" s="59"/>
      <c r="E2344" s="59"/>
      <c r="F2344" s="59"/>
      <c r="G2344" s="60">
        <f>IF(OR(E2344="",F2344="",C2344="",D2344=""),"",IF(C2344+D2344=0,"",(E2344*C2344+F2344*D2344)/(C2344+D2344)))</f>
        <v/>
      </c>
      <c r="H2344" s="59"/>
      <c r="I2344" s="60">
        <f>IF(OR(H2344="",E2344="",C2344="",D2344=""),"",IF(C2344+D2344=0,"",(H2344*D2344+E2344*C2344)/(C2344+D2344)))</f>
        <v/>
      </c>
      <c r="J2344" s="59"/>
      <c r="K2344" s="61">
        <f>IF(OR(J2344="",I2344=""),"",J2344-I2344)</f>
        <v/>
      </c>
      <c r="L2344" s="61">
        <f>IF(OR(J2344="",G2344=""),"",J2344-G2344)</f>
        <v/>
      </c>
      <c r="M2344" s="59"/>
      <c r="N2344" s="59"/>
      <c r="O2344" s="59"/>
      <c r="P2344" s="59"/>
      <c r="Q2344" s="59"/>
      <c r="R2344" s="60">
        <f>IF(AND(P2344="",Q2344=""),"",N(P2344)+N(Q2344))</f>
        <v/>
      </c>
      <c r="S2344" s="59"/>
      <c r="T2344" s="59"/>
      <c r="U2344" s="62">
        <f>IF(OR(R2344="",S2344="",T2344=""),"",IF(S2344+T2344=0,"",R2344/(S2344+T2344)))</f>
        <v/>
      </c>
      <c r="V2344" s="63"/>
      <c r="W2344" s="64"/>
      <c r="X2344" s="63"/>
    </row>
    <row r="2345" spans="2:24">
      <c r="B2345" s="58"/>
      <c r="C2345" s="59"/>
      <c r="D2345" s="59"/>
      <c r="E2345" s="59"/>
      <c r="F2345" s="59"/>
      <c r="G2345" s="60">
        <f>IF(OR(E2345="",F2345="",C2345="",D2345=""),"",IF(C2345+D2345=0,"",(E2345*C2345+F2345*D2345)/(C2345+D2345)))</f>
        <v/>
      </c>
      <c r="H2345" s="59"/>
      <c r="I2345" s="60">
        <f>IF(OR(H2345="",E2345="",C2345="",D2345=""),"",IF(C2345+D2345=0,"",(H2345*D2345+E2345*C2345)/(C2345+D2345)))</f>
        <v/>
      </c>
      <c r="J2345" s="59"/>
      <c r="K2345" s="61">
        <f>IF(OR(J2345="",I2345=""),"",J2345-I2345)</f>
        <v/>
      </c>
      <c r="L2345" s="61">
        <f>IF(OR(J2345="",G2345=""),"",J2345-G2345)</f>
        <v/>
      </c>
      <c r="M2345" s="59"/>
      <c r="N2345" s="59"/>
      <c r="O2345" s="59"/>
      <c r="P2345" s="59"/>
      <c r="Q2345" s="59"/>
      <c r="R2345" s="60">
        <f>IF(AND(P2345="",Q2345=""),"",N(P2345)+N(Q2345))</f>
        <v/>
      </c>
      <c r="S2345" s="59"/>
      <c r="T2345" s="59"/>
      <c r="U2345" s="62">
        <f>IF(OR(R2345="",S2345="",T2345=""),"",IF(S2345+T2345=0,"",R2345/(S2345+T2345)))</f>
        <v/>
      </c>
      <c r="V2345" s="63"/>
      <c r="W2345" s="64"/>
      <c r="X2345" s="63"/>
    </row>
    <row r="2346" spans="2:24">
      <c r="B2346" s="58"/>
      <c r="C2346" s="59"/>
      <c r="D2346" s="59"/>
      <c r="E2346" s="59"/>
      <c r="F2346" s="59"/>
      <c r="G2346" s="60">
        <f>IF(OR(E2346="",F2346="",C2346="",D2346=""),"",IF(C2346+D2346=0,"",(E2346*C2346+F2346*D2346)/(C2346+D2346)))</f>
        <v/>
      </c>
      <c r="H2346" s="59"/>
      <c r="I2346" s="60">
        <f>IF(OR(H2346="",E2346="",C2346="",D2346=""),"",IF(C2346+D2346=0,"",(H2346*D2346+E2346*C2346)/(C2346+D2346)))</f>
        <v/>
      </c>
      <c r="J2346" s="59"/>
      <c r="K2346" s="61">
        <f>IF(OR(J2346="",I2346=""),"",J2346-I2346)</f>
        <v/>
      </c>
      <c r="L2346" s="61">
        <f>IF(OR(J2346="",G2346=""),"",J2346-G2346)</f>
        <v/>
      </c>
      <c r="M2346" s="59"/>
      <c r="N2346" s="59"/>
      <c r="O2346" s="59"/>
      <c r="P2346" s="59"/>
      <c r="Q2346" s="59"/>
      <c r="R2346" s="60">
        <f>IF(AND(P2346="",Q2346=""),"",N(P2346)+N(Q2346))</f>
        <v/>
      </c>
      <c r="S2346" s="59"/>
      <c r="T2346" s="59"/>
      <c r="U2346" s="62">
        <f>IF(OR(R2346="",S2346="",T2346=""),"",IF(S2346+T2346=0,"",R2346/(S2346+T2346)))</f>
        <v/>
      </c>
      <c r="V2346" s="63"/>
      <c r="W2346" s="64"/>
      <c r="X2346" s="63"/>
    </row>
    <row r="2347" spans="2:24">
      <c r="B2347" s="58"/>
      <c r="C2347" s="59"/>
      <c r="D2347" s="59"/>
      <c r="E2347" s="59"/>
      <c r="F2347" s="59"/>
      <c r="G2347" s="60">
        <f>IF(OR(E2347="",F2347="",C2347="",D2347=""),"",IF(C2347+D2347=0,"",(E2347*C2347+F2347*D2347)/(C2347+D2347)))</f>
        <v/>
      </c>
      <c r="H2347" s="59"/>
      <c r="I2347" s="60">
        <f>IF(OR(H2347="",E2347="",C2347="",D2347=""),"",IF(C2347+D2347=0,"",(H2347*D2347+E2347*C2347)/(C2347+D2347)))</f>
        <v/>
      </c>
      <c r="J2347" s="59"/>
      <c r="K2347" s="61">
        <f>IF(OR(J2347="",I2347=""),"",J2347-I2347)</f>
        <v/>
      </c>
      <c r="L2347" s="61">
        <f>IF(OR(J2347="",G2347=""),"",J2347-G2347)</f>
        <v/>
      </c>
      <c r="M2347" s="59"/>
      <c r="N2347" s="59"/>
      <c r="O2347" s="59"/>
      <c r="P2347" s="59"/>
      <c r="Q2347" s="59"/>
      <c r="R2347" s="60">
        <f>IF(AND(P2347="",Q2347=""),"",N(P2347)+N(Q2347))</f>
        <v/>
      </c>
      <c r="S2347" s="59"/>
      <c r="T2347" s="59"/>
      <c r="U2347" s="62">
        <f>IF(OR(R2347="",S2347="",T2347=""),"",IF(S2347+T2347=0,"",R2347/(S2347+T2347)))</f>
        <v/>
      </c>
      <c r="V2347" s="63"/>
      <c r="W2347" s="64"/>
      <c r="X2347" s="63"/>
    </row>
    <row r="2348" spans="2:24">
      <c r="B2348" s="58"/>
      <c r="C2348" s="59"/>
      <c r="D2348" s="59"/>
      <c r="E2348" s="59"/>
      <c r="F2348" s="59"/>
      <c r="G2348" s="60">
        <f>IF(OR(E2348="",F2348="",C2348="",D2348=""),"",IF(C2348+D2348=0,"",(E2348*C2348+F2348*D2348)/(C2348+D2348)))</f>
        <v/>
      </c>
      <c r="H2348" s="59"/>
      <c r="I2348" s="60">
        <f>IF(OR(H2348="",E2348="",C2348="",D2348=""),"",IF(C2348+D2348=0,"",(H2348*D2348+E2348*C2348)/(C2348+D2348)))</f>
        <v/>
      </c>
      <c r="J2348" s="59"/>
      <c r="K2348" s="61">
        <f>IF(OR(J2348="",I2348=""),"",J2348-I2348)</f>
        <v/>
      </c>
      <c r="L2348" s="61">
        <f>IF(OR(J2348="",G2348=""),"",J2348-G2348)</f>
        <v/>
      </c>
      <c r="M2348" s="59"/>
      <c r="N2348" s="59"/>
      <c r="O2348" s="59"/>
      <c r="P2348" s="59"/>
      <c r="Q2348" s="59"/>
      <c r="R2348" s="60">
        <f>IF(AND(P2348="",Q2348=""),"",N(P2348)+N(Q2348))</f>
        <v/>
      </c>
      <c r="S2348" s="59"/>
      <c r="T2348" s="59"/>
      <c r="U2348" s="62">
        <f>IF(OR(R2348="",S2348="",T2348=""),"",IF(S2348+T2348=0,"",R2348/(S2348+T2348)))</f>
        <v/>
      </c>
      <c r="V2348" s="63"/>
      <c r="W2348" s="64"/>
      <c r="X2348" s="63"/>
    </row>
    <row r="2349" spans="2:24">
      <c r="B2349" s="58"/>
      <c r="C2349" s="59"/>
      <c r="D2349" s="59"/>
      <c r="E2349" s="59"/>
      <c r="F2349" s="59"/>
      <c r="G2349" s="60">
        <f>IF(OR(E2349="",F2349="",C2349="",D2349=""),"",IF(C2349+D2349=0,"",(E2349*C2349+F2349*D2349)/(C2349+D2349)))</f>
        <v/>
      </c>
      <c r="H2349" s="59"/>
      <c r="I2349" s="60">
        <f>IF(OR(H2349="",E2349="",C2349="",D2349=""),"",IF(C2349+D2349=0,"",(H2349*D2349+E2349*C2349)/(C2349+D2349)))</f>
        <v/>
      </c>
      <c r="J2349" s="59"/>
      <c r="K2349" s="61">
        <f>IF(OR(J2349="",I2349=""),"",J2349-I2349)</f>
        <v/>
      </c>
      <c r="L2349" s="61">
        <f>IF(OR(J2349="",G2349=""),"",J2349-G2349)</f>
        <v/>
      </c>
      <c r="M2349" s="59"/>
      <c r="N2349" s="59"/>
      <c r="O2349" s="59"/>
      <c r="P2349" s="59"/>
      <c r="Q2349" s="59"/>
      <c r="R2349" s="60">
        <f>IF(AND(P2349="",Q2349=""),"",N(P2349)+N(Q2349))</f>
        <v/>
      </c>
      <c r="S2349" s="59"/>
      <c r="T2349" s="59"/>
      <c r="U2349" s="62">
        <f>IF(OR(R2349="",S2349="",T2349=""),"",IF(S2349+T2349=0,"",R2349/(S2349+T2349)))</f>
        <v/>
      </c>
      <c r="V2349" s="63"/>
      <c r="W2349" s="64"/>
      <c r="X2349" s="63"/>
    </row>
    <row r="2350" spans="2:24">
      <c r="B2350" s="58"/>
      <c r="C2350" s="59"/>
      <c r="D2350" s="59"/>
      <c r="E2350" s="59"/>
      <c r="F2350" s="59"/>
      <c r="G2350" s="60">
        <f>IF(OR(E2350="",F2350="",C2350="",D2350=""),"",IF(C2350+D2350=0,"",(E2350*C2350+F2350*D2350)/(C2350+D2350)))</f>
        <v/>
      </c>
      <c r="H2350" s="59"/>
      <c r="I2350" s="60">
        <f>IF(OR(H2350="",E2350="",C2350="",D2350=""),"",IF(C2350+D2350=0,"",(H2350*D2350+E2350*C2350)/(C2350+D2350)))</f>
        <v/>
      </c>
      <c r="J2350" s="59"/>
      <c r="K2350" s="61">
        <f>IF(OR(J2350="",I2350=""),"",J2350-I2350)</f>
        <v/>
      </c>
      <c r="L2350" s="61">
        <f>IF(OR(J2350="",G2350=""),"",J2350-G2350)</f>
        <v/>
      </c>
      <c r="M2350" s="59"/>
      <c r="N2350" s="59"/>
      <c r="O2350" s="59"/>
      <c r="P2350" s="59"/>
      <c r="Q2350" s="59"/>
      <c r="R2350" s="60">
        <f>IF(AND(P2350="",Q2350=""),"",N(P2350)+N(Q2350))</f>
        <v/>
      </c>
      <c r="S2350" s="59"/>
      <c r="T2350" s="59"/>
      <c r="U2350" s="62">
        <f>IF(OR(R2350="",S2350="",T2350=""),"",IF(S2350+T2350=0,"",R2350/(S2350+T2350)))</f>
        <v/>
      </c>
      <c r="V2350" s="63"/>
      <c r="W2350" s="64"/>
      <c r="X2350" s="63"/>
    </row>
    <row r="2351" spans="2:24">
      <c r="B2351" s="58"/>
      <c r="C2351" s="59"/>
      <c r="D2351" s="59"/>
      <c r="E2351" s="59"/>
      <c r="F2351" s="59"/>
      <c r="G2351" s="60">
        <f>IF(OR(E2351="",F2351="",C2351="",D2351=""),"",IF(C2351+D2351=0,"",(E2351*C2351+F2351*D2351)/(C2351+D2351)))</f>
        <v/>
      </c>
      <c r="H2351" s="59"/>
      <c r="I2351" s="60">
        <f>IF(OR(H2351="",E2351="",C2351="",D2351=""),"",IF(C2351+D2351=0,"",(H2351*D2351+E2351*C2351)/(C2351+D2351)))</f>
        <v/>
      </c>
      <c r="J2351" s="59"/>
      <c r="K2351" s="61">
        <f>IF(OR(J2351="",I2351=""),"",J2351-I2351)</f>
        <v/>
      </c>
      <c r="L2351" s="61">
        <f>IF(OR(J2351="",G2351=""),"",J2351-G2351)</f>
        <v/>
      </c>
      <c r="M2351" s="59"/>
      <c r="N2351" s="59"/>
      <c r="O2351" s="59"/>
      <c r="P2351" s="59"/>
      <c r="Q2351" s="59"/>
      <c r="R2351" s="60">
        <f>IF(AND(P2351="",Q2351=""),"",N(P2351)+N(Q2351))</f>
        <v/>
      </c>
      <c r="S2351" s="59"/>
      <c r="T2351" s="59"/>
      <c r="U2351" s="62">
        <f>IF(OR(R2351="",S2351="",T2351=""),"",IF(S2351+T2351=0,"",R2351/(S2351+T2351)))</f>
        <v/>
      </c>
      <c r="V2351" s="63"/>
      <c r="W2351" s="64"/>
      <c r="X2351" s="63"/>
    </row>
    <row r="2352" spans="2:24">
      <c r="B2352" s="58"/>
      <c r="C2352" s="59"/>
      <c r="D2352" s="59"/>
      <c r="E2352" s="59"/>
      <c r="F2352" s="59"/>
      <c r="G2352" s="60">
        <f>IF(OR(E2352="",F2352="",C2352="",D2352=""),"",IF(C2352+D2352=0,"",(E2352*C2352+F2352*D2352)/(C2352+D2352)))</f>
        <v/>
      </c>
      <c r="H2352" s="59"/>
      <c r="I2352" s="60">
        <f>IF(OR(H2352="",E2352="",C2352="",D2352=""),"",IF(C2352+D2352=0,"",(H2352*D2352+E2352*C2352)/(C2352+D2352)))</f>
        <v/>
      </c>
      <c r="J2352" s="59"/>
      <c r="K2352" s="61">
        <f>IF(OR(J2352="",I2352=""),"",J2352-I2352)</f>
        <v/>
      </c>
      <c r="L2352" s="61">
        <f>IF(OR(J2352="",G2352=""),"",J2352-G2352)</f>
        <v/>
      </c>
      <c r="M2352" s="59"/>
      <c r="N2352" s="59"/>
      <c r="O2352" s="59"/>
      <c r="P2352" s="59"/>
      <c r="Q2352" s="59"/>
      <c r="R2352" s="60">
        <f>IF(AND(P2352="",Q2352=""),"",N(P2352)+N(Q2352))</f>
        <v/>
      </c>
      <c r="S2352" s="59"/>
      <c r="T2352" s="59"/>
      <c r="U2352" s="62">
        <f>IF(OR(R2352="",S2352="",T2352=""),"",IF(S2352+T2352=0,"",R2352/(S2352+T2352)))</f>
        <v/>
      </c>
      <c r="V2352" s="63"/>
      <c r="W2352" s="64"/>
      <c r="X2352" s="63"/>
    </row>
    <row r="2353" spans="2:24">
      <c r="B2353" s="58"/>
      <c r="C2353" s="59"/>
      <c r="D2353" s="59"/>
      <c r="E2353" s="59"/>
      <c r="F2353" s="59"/>
      <c r="G2353" s="60">
        <f>IF(OR(E2353="",F2353="",C2353="",D2353=""),"",IF(C2353+D2353=0,"",(E2353*C2353+F2353*D2353)/(C2353+D2353)))</f>
        <v/>
      </c>
      <c r="H2353" s="59"/>
      <c r="I2353" s="60">
        <f>IF(OR(H2353="",E2353="",C2353="",D2353=""),"",IF(C2353+D2353=0,"",(H2353*D2353+E2353*C2353)/(C2353+D2353)))</f>
        <v/>
      </c>
      <c r="J2353" s="59"/>
      <c r="K2353" s="61">
        <f>IF(OR(J2353="",I2353=""),"",J2353-I2353)</f>
        <v/>
      </c>
      <c r="L2353" s="61">
        <f>IF(OR(J2353="",G2353=""),"",J2353-G2353)</f>
        <v/>
      </c>
      <c r="M2353" s="59"/>
      <c r="N2353" s="59"/>
      <c r="O2353" s="59"/>
      <c r="P2353" s="59"/>
      <c r="Q2353" s="59"/>
      <c r="R2353" s="60">
        <f>IF(AND(P2353="",Q2353=""),"",N(P2353)+N(Q2353))</f>
        <v/>
      </c>
      <c r="S2353" s="59"/>
      <c r="T2353" s="59"/>
      <c r="U2353" s="62">
        <f>IF(OR(R2353="",S2353="",T2353=""),"",IF(S2353+T2353=0,"",R2353/(S2353+T2353)))</f>
        <v/>
      </c>
      <c r="V2353" s="63"/>
      <c r="W2353" s="64"/>
      <c r="X2353" s="63"/>
    </row>
    <row r="2354" spans="2:24">
      <c r="B2354" s="58"/>
      <c r="C2354" s="59"/>
      <c r="D2354" s="59"/>
      <c r="E2354" s="59"/>
      <c r="F2354" s="59"/>
      <c r="G2354" s="60">
        <f>IF(OR(E2354="",F2354="",C2354="",D2354=""),"",IF(C2354+D2354=0,"",(E2354*C2354+F2354*D2354)/(C2354+D2354)))</f>
        <v/>
      </c>
      <c r="H2354" s="59"/>
      <c r="I2354" s="60">
        <f>IF(OR(H2354="",E2354="",C2354="",D2354=""),"",IF(C2354+D2354=0,"",(H2354*D2354+E2354*C2354)/(C2354+D2354)))</f>
        <v/>
      </c>
      <c r="J2354" s="59"/>
      <c r="K2354" s="61">
        <f>IF(OR(J2354="",I2354=""),"",J2354-I2354)</f>
        <v/>
      </c>
      <c r="L2354" s="61">
        <f>IF(OR(J2354="",G2354=""),"",J2354-G2354)</f>
        <v/>
      </c>
      <c r="M2354" s="59"/>
      <c r="N2354" s="59"/>
      <c r="O2354" s="59"/>
      <c r="P2354" s="59"/>
      <c r="Q2354" s="59"/>
      <c r="R2354" s="60">
        <f>IF(AND(P2354="",Q2354=""),"",N(P2354)+N(Q2354))</f>
        <v/>
      </c>
      <c r="S2354" s="59"/>
      <c r="T2354" s="59"/>
      <c r="U2354" s="62">
        <f>IF(OR(R2354="",S2354="",T2354=""),"",IF(S2354+T2354=0,"",R2354/(S2354+T2354)))</f>
        <v/>
      </c>
      <c r="V2354" s="63"/>
      <c r="W2354" s="64"/>
      <c r="X2354" s="63"/>
    </row>
    <row r="2355" spans="2:24">
      <c r="B2355" s="58"/>
      <c r="C2355" s="59"/>
      <c r="D2355" s="59"/>
      <c r="E2355" s="59"/>
      <c r="F2355" s="59"/>
      <c r="G2355" s="60">
        <f>IF(OR(E2355="",F2355="",C2355="",D2355=""),"",IF(C2355+D2355=0,"",(E2355*C2355+F2355*D2355)/(C2355+D2355)))</f>
        <v/>
      </c>
      <c r="H2355" s="59"/>
      <c r="I2355" s="60">
        <f>IF(OR(H2355="",E2355="",C2355="",D2355=""),"",IF(C2355+D2355=0,"",(H2355*D2355+E2355*C2355)/(C2355+D2355)))</f>
        <v/>
      </c>
      <c r="J2355" s="59"/>
      <c r="K2355" s="61">
        <f>IF(OR(J2355="",I2355=""),"",J2355-I2355)</f>
        <v/>
      </c>
      <c r="L2355" s="61">
        <f>IF(OR(J2355="",G2355=""),"",J2355-G2355)</f>
        <v/>
      </c>
      <c r="M2355" s="59"/>
      <c r="N2355" s="59"/>
      <c r="O2355" s="59"/>
      <c r="P2355" s="59"/>
      <c r="Q2355" s="59"/>
      <c r="R2355" s="60">
        <f>IF(AND(P2355="",Q2355=""),"",N(P2355)+N(Q2355))</f>
        <v/>
      </c>
      <c r="S2355" s="59"/>
      <c r="T2355" s="59"/>
      <c r="U2355" s="62">
        <f>IF(OR(R2355="",S2355="",T2355=""),"",IF(S2355+T2355=0,"",R2355/(S2355+T2355)))</f>
        <v/>
      </c>
      <c r="V2355" s="63"/>
      <c r="W2355" s="64"/>
      <c r="X2355" s="63"/>
    </row>
    <row r="2356" spans="2:24">
      <c r="B2356" s="58"/>
      <c r="C2356" s="59"/>
      <c r="D2356" s="59"/>
      <c r="E2356" s="59"/>
      <c r="F2356" s="59"/>
      <c r="G2356" s="60">
        <f>IF(OR(E2356="",F2356="",C2356="",D2356=""),"",IF(C2356+D2356=0,"",(E2356*C2356+F2356*D2356)/(C2356+D2356)))</f>
        <v/>
      </c>
      <c r="H2356" s="59"/>
      <c r="I2356" s="60">
        <f>IF(OR(H2356="",E2356="",C2356="",D2356=""),"",IF(C2356+D2356=0,"",(H2356*D2356+E2356*C2356)/(C2356+D2356)))</f>
        <v/>
      </c>
      <c r="J2356" s="59"/>
      <c r="K2356" s="61">
        <f>IF(OR(J2356="",I2356=""),"",J2356-I2356)</f>
        <v/>
      </c>
      <c r="L2356" s="61">
        <f>IF(OR(J2356="",G2356=""),"",J2356-G2356)</f>
        <v/>
      </c>
      <c r="M2356" s="59"/>
      <c r="N2356" s="59"/>
      <c r="O2356" s="59"/>
      <c r="P2356" s="59"/>
      <c r="Q2356" s="59"/>
      <c r="R2356" s="60">
        <f>IF(AND(P2356="",Q2356=""),"",N(P2356)+N(Q2356))</f>
        <v/>
      </c>
      <c r="S2356" s="59"/>
      <c r="T2356" s="59"/>
      <c r="U2356" s="62">
        <f>IF(OR(R2356="",S2356="",T2356=""),"",IF(S2356+T2356=0,"",R2356/(S2356+T2356)))</f>
        <v/>
      </c>
      <c r="V2356" s="63"/>
      <c r="W2356" s="64"/>
      <c r="X2356" s="63"/>
    </row>
    <row r="2357" spans="2:24">
      <c r="B2357" s="58"/>
      <c r="C2357" s="59"/>
      <c r="D2357" s="59"/>
      <c r="E2357" s="59"/>
      <c r="F2357" s="59"/>
      <c r="G2357" s="60">
        <f>IF(OR(E2357="",F2357="",C2357="",D2357=""),"",IF(C2357+D2357=0,"",(E2357*C2357+F2357*D2357)/(C2357+D2357)))</f>
        <v/>
      </c>
      <c r="H2357" s="59"/>
      <c r="I2357" s="60">
        <f>IF(OR(H2357="",E2357="",C2357="",D2357=""),"",IF(C2357+D2357=0,"",(H2357*D2357+E2357*C2357)/(C2357+D2357)))</f>
        <v/>
      </c>
      <c r="J2357" s="59"/>
      <c r="K2357" s="61">
        <f>IF(OR(J2357="",I2357=""),"",J2357-I2357)</f>
        <v/>
      </c>
      <c r="L2357" s="61">
        <f>IF(OR(J2357="",G2357=""),"",J2357-G2357)</f>
        <v/>
      </c>
      <c r="M2357" s="59"/>
      <c r="N2357" s="59"/>
      <c r="O2357" s="59"/>
      <c r="P2357" s="59"/>
      <c r="Q2357" s="59"/>
      <c r="R2357" s="60">
        <f>IF(AND(P2357="",Q2357=""),"",N(P2357)+N(Q2357))</f>
        <v/>
      </c>
      <c r="S2357" s="59"/>
      <c r="T2357" s="59"/>
      <c r="U2357" s="62">
        <f>IF(OR(R2357="",S2357="",T2357=""),"",IF(S2357+T2357=0,"",R2357/(S2357+T2357)))</f>
        <v/>
      </c>
      <c r="V2357" s="63"/>
      <c r="W2357" s="64"/>
      <c r="X2357" s="63"/>
    </row>
    <row r="2358" spans="2:24">
      <c r="B2358" s="58"/>
      <c r="C2358" s="59"/>
      <c r="D2358" s="59"/>
      <c r="E2358" s="59"/>
      <c r="F2358" s="59"/>
      <c r="G2358" s="60">
        <f>IF(OR(E2358="",F2358="",C2358="",D2358=""),"",IF(C2358+D2358=0,"",(E2358*C2358+F2358*D2358)/(C2358+D2358)))</f>
        <v/>
      </c>
      <c r="H2358" s="59"/>
      <c r="I2358" s="60">
        <f>IF(OR(H2358="",E2358="",C2358="",D2358=""),"",IF(C2358+D2358=0,"",(H2358*D2358+E2358*C2358)/(C2358+D2358)))</f>
        <v/>
      </c>
      <c r="J2358" s="59"/>
      <c r="K2358" s="61">
        <f>IF(OR(J2358="",I2358=""),"",J2358-I2358)</f>
        <v/>
      </c>
      <c r="L2358" s="61">
        <f>IF(OR(J2358="",G2358=""),"",J2358-G2358)</f>
        <v/>
      </c>
      <c r="M2358" s="59"/>
      <c r="N2358" s="59"/>
      <c r="O2358" s="59"/>
      <c r="P2358" s="59"/>
      <c r="Q2358" s="59"/>
      <c r="R2358" s="60">
        <f>IF(AND(P2358="",Q2358=""),"",N(P2358)+N(Q2358))</f>
        <v/>
      </c>
      <c r="S2358" s="59"/>
      <c r="T2358" s="59"/>
      <c r="U2358" s="62">
        <f>IF(OR(R2358="",S2358="",T2358=""),"",IF(S2358+T2358=0,"",R2358/(S2358+T2358)))</f>
        <v/>
      </c>
      <c r="V2358" s="63"/>
      <c r="W2358" s="64"/>
      <c r="X2358" s="63"/>
    </row>
    <row r="2359" spans="2:24">
      <c r="B2359" s="58"/>
      <c r="C2359" s="59"/>
      <c r="D2359" s="59"/>
      <c r="E2359" s="59"/>
      <c r="F2359" s="59"/>
      <c r="G2359" s="60">
        <f>IF(OR(E2359="",F2359="",C2359="",D2359=""),"",IF(C2359+D2359=0,"",(E2359*C2359+F2359*D2359)/(C2359+D2359)))</f>
        <v/>
      </c>
      <c r="H2359" s="59"/>
      <c r="I2359" s="60">
        <f>IF(OR(H2359="",E2359="",C2359="",D2359=""),"",IF(C2359+D2359=0,"",(H2359*D2359+E2359*C2359)/(C2359+D2359)))</f>
        <v/>
      </c>
      <c r="J2359" s="59"/>
      <c r="K2359" s="61">
        <f>IF(OR(J2359="",I2359=""),"",J2359-I2359)</f>
        <v/>
      </c>
      <c r="L2359" s="61">
        <f>IF(OR(J2359="",G2359=""),"",J2359-G2359)</f>
        <v/>
      </c>
      <c r="M2359" s="59"/>
      <c r="N2359" s="59"/>
      <c r="O2359" s="59"/>
      <c r="P2359" s="59"/>
      <c r="Q2359" s="59"/>
      <c r="R2359" s="60">
        <f>IF(AND(P2359="",Q2359=""),"",N(P2359)+N(Q2359))</f>
        <v/>
      </c>
      <c r="S2359" s="59"/>
      <c r="T2359" s="59"/>
      <c r="U2359" s="62">
        <f>IF(OR(R2359="",S2359="",T2359=""),"",IF(S2359+T2359=0,"",R2359/(S2359+T2359)))</f>
        <v/>
      </c>
      <c r="V2359" s="63"/>
      <c r="W2359" s="64"/>
      <c r="X2359" s="63"/>
    </row>
    <row r="2360" spans="2:24">
      <c r="B2360" s="58"/>
      <c r="C2360" s="59"/>
      <c r="D2360" s="59"/>
      <c r="E2360" s="59"/>
      <c r="F2360" s="59"/>
      <c r="G2360" s="60">
        <f>IF(OR(E2360="",F2360="",C2360="",D2360=""),"",IF(C2360+D2360=0,"",(E2360*C2360+F2360*D2360)/(C2360+D2360)))</f>
        <v/>
      </c>
      <c r="H2360" s="59"/>
      <c r="I2360" s="60">
        <f>IF(OR(H2360="",E2360="",C2360="",D2360=""),"",IF(C2360+D2360=0,"",(H2360*D2360+E2360*C2360)/(C2360+D2360)))</f>
        <v/>
      </c>
      <c r="J2360" s="59"/>
      <c r="K2360" s="61">
        <f>IF(OR(J2360="",I2360=""),"",J2360-I2360)</f>
        <v/>
      </c>
      <c r="L2360" s="61">
        <f>IF(OR(J2360="",G2360=""),"",J2360-G2360)</f>
        <v/>
      </c>
      <c r="M2360" s="59"/>
      <c r="N2360" s="59"/>
      <c r="O2360" s="59"/>
      <c r="P2360" s="59"/>
      <c r="Q2360" s="59"/>
      <c r="R2360" s="60">
        <f>IF(AND(P2360="",Q2360=""),"",N(P2360)+N(Q2360))</f>
        <v/>
      </c>
      <c r="S2360" s="59"/>
      <c r="T2360" s="59"/>
      <c r="U2360" s="62">
        <f>IF(OR(R2360="",S2360="",T2360=""),"",IF(S2360+T2360=0,"",R2360/(S2360+T2360)))</f>
        <v/>
      </c>
      <c r="V2360" s="63"/>
      <c r="W2360" s="64"/>
      <c r="X2360" s="63"/>
    </row>
    <row r="2361" spans="2:24">
      <c r="B2361" s="58"/>
      <c r="C2361" s="59"/>
      <c r="D2361" s="59"/>
      <c r="E2361" s="59"/>
      <c r="F2361" s="59"/>
      <c r="G2361" s="60">
        <f>IF(OR(E2361="",F2361="",C2361="",D2361=""),"",IF(C2361+D2361=0,"",(E2361*C2361+F2361*D2361)/(C2361+D2361)))</f>
        <v/>
      </c>
      <c r="H2361" s="59"/>
      <c r="I2361" s="60">
        <f>IF(OR(H2361="",E2361="",C2361="",D2361=""),"",IF(C2361+D2361=0,"",(H2361*D2361+E2361*C2361)/(C2361+D2361)))</f>
        <v/>
      </c>
      <c r="J2361" s="59"/>
      <c r="K2361" s="61">
        <f>IF(OR(J2361="",I2361=""),"",J2361-I2361)</f>
        <v/>
      </c>
      <c r="L2361" s="61">
        <f>IF(OR(J2361="",G2361=""),"",J2361-G2361)</f>
        <v/>
      </c>
      <c r="M2361" s="59"/>
      <c r="N2361" s="59"/>
      <c r="O2361" s="59"/>
      <c r="P2361" s="59"/>
      <c r="Q2361" s="59"/>
      <c r="R2361" s="60">
        <f>IF(AND(P2361="",Q2361=""),"",N(P2361)+N(Q2361))</f>
        <v/>
      </c>
      <c r="S2361" s="59"/>
      <c r="T2361" s="59"/>
      <c r="U2361" s="62">
        <f>IF(OR(R2361="",S2361="",T2361=""),"",IF(S2361+T2361=0,"",R2361/(S2361+T2361)))</f>
        <v/>
      </c>
      <c r="V2361" s="63"/>
      <c r="W2361" s="64"/>
      <c r="X2361" s="63"/>
    </row>
    <row r="2362" spans="2:24">
      <c r="B2362" s="58"/>
      <c r="C2362" s="59"/>
      <c r="D2362" s="59"/>
      <c r="E2362" s="59"/>
      <c r="F2362" s="59"/>
      <c r="G2362" s="60">
        <f>IF(OR(E2362="",F2362="",C2362="",D2362=""),"",IF(C2362+D2362=0,"",(E2362*C2362+F2362*D2362)/(C2362+D2362)))</f>
        <v/>
      </c>
      <c r="H2362" s="59"/>
      <c r="I2362" s="60">
        <f>IF(OR(H2362="",E2362="",C2362="",D2362=""),"",IF(C2362+D2362=0,"",(H2362*D2362+E2362*C2362)/(C2362+D2362)))</f>
        <v/>
      </c>
      <c r="J2362" s="59"/>
      <c r="K2362" s="61">
        <f>IF(OR(J2362="",I2362=""),"",J2362-I2362)</f>
        <v/>
      </c>
      <c r="L2362" s="61">
        <f>IF(OR(J2362="",G2362=""),"",J2362-G2362)</f>
        <v/>
      </c>
      <c r="M2362" s="59"/>
      <c r="N2362" s="59"/>
      <c r="O2362" s="59"/>
      <c r="P2362" s="59"/>
      <c r="Q2362" s="59"/>
      <c r="R2362" s="60">
        <f>IF(AND(P2362="",Q2362=""),"",N(P2362)+N(Q2362))</f>
        <v/>
      </c>
      <c r="S2362" s="59"/>
      <c r="T2362" s="59"/>
      <c r="U2362" s="62">
        <f>IF(OR(R2362="",S2362="",T2362=""),"",IF(S2362+T2362=0,"",R2362/(S2362+T2362)))</f>
        <v/>
      </c>
      <c r="V2362" s="63"/>
      <c r="W2362" s="64"/>
      <c r="X2362" s="63"/>
    </row>
    <row r="2363" spans="2:24">
      <c r="B2363" s="58"/>
      <c r="C2363" s="59"/>
      <c r="D2363" s="59"/>
      <c r="E2363" s="59"/>
      <c r="F2363" s="59"/>
      <c r="G2363" s="60">
        <f>IF(OR(E2363="",F2363="",C2363="",D2363=""),"",IF(C2363+D2363=0,"",(E2363*C2363+F2363*D2363)/(C2363+D2363)))</f>
        <v/>
      </c>
      <c r="H2363" s="59"/>
      <c r="I2363" s="60">
        <f>IF(OR(H2363="",E2363="",C2363="",D2363=""),"",IF(C2363+D2363=0,"",(H2363*D2363+E2363*C2363)/(C2363+D2363)))</f>
        <v/>
      </c>
      <c r="J2363" s="59"/>
      <c r="K2363" s="61">
        <f>IF(OR(J2363="",I2363=""),"",J2363-I2363)</f>
        <v/>
      </c>
      <c r="L2363" s="61">
        <f>IF(OR(J2363="",G2363=""),"",J2363-G2363)</f>
        <v/>
      </c>
      <c r="M2363" s="59"/>
      <c r="N2363" s="59"/>
      <c r="O2363" s="59"/>
      <c r="P2363" s="59"/>
      <c r="Q2363" s="59"/>
      <c r="R2363" s="60">
        <f>IF(AND(P2363="",Q2363=""),"",N(P2363)+N(Q2363))</f>
        <v/>
      </c>
      <c r="S2363" s="59"/>
      <c r="T2363" s="59"/>
      <c r="U2363" s="62">
        <f>IF(OR(R2363="",S2363="",T2363=""),"",IF(S2363+T2363=0,"",R2363/(S2363+T2363)))</f>
        <v/>
      </c>
      <c r="V2363" s="63"/>
      <c r="W2363" s="64"/>
      <c r="X2363" s="63"/>
    </row>
    <row r="2364" spans="2:24">
      <c r="B2364" s="58"/>
      <c r="C2364" s="59"/>
      <c r="D2364" s="59"/>
      <c r="E2364" s="59"/>
      <c r="F2364" s="59"/>
      <c r="G2364" s="60">
        <f>IF(OR(E2364="",F2364="",C2364="",D2364=""),"",IF(C2364+D2364=0,"",(E2364*C2364+F2364*D2364)/(C2364+D2364)))</f>
        <v/>
      </c>
      <c r="H2364" s="59"/>
      <c r="I2364" s="60">
        <f>IF(OR(H2364="",E2364="",C2364="",D2364=""),"",IF(C2364+D2364=0,"",(H2364*D2364+E2364*C2364)/(C2364+D2364)))</f>
        <v/>
      </c>
      <c r="J2364" s="59"/>
      <c r="K2364" s="61">
        <f>IF(OR(J2364="",I2364=""),"",J2364-I2364)</f>
        <v/>
      </c>
      <c r="L2364" s="61">
        <f>IF(OR(J2364="",G2364=""),"",J2364-G2364)</f>
        <v/>
      </c>
      <c r="M2364" s="59"/>
      <c r="N2364" s="59"/>
      <c r="O2364" s="59"/>
      <c r="P2364" s="59"/>
      <c r="Q2364" s="59"/>
      <c r="R2364" s="60">
        <f>IF(AND(P2364="",Q2364=""),"",N(P2364)+N(Q2364))</f>
        <v/>
      </c>
      <c r="S2364" s="59"/>
      <c r="T2364" s="59"/>
      <c r="U2364" s="62">
        <f>IF(OR(R2364="",S2364="",T2364=""),"",IF(S2364+T2364=0,"",R2364/(S2364+T2364)))</f>
        <v/>
      </c>
      <c r="V2364" s="63"/>
      <c r="W2364" s="64"/>
      <c r="X2364" s="63"/>
    </row>
    <row r="2365" spans="2:24">
      <c r="B2365" s="58"/>
      <c r="C2365" s="59"/>
      <c r="D2365" s="59"/>
      <c r="E2365" s="59"/>
      <c r="F2365" s="59"/>
      <c r="G2365" s="60">
        <f>IF(OR(E2365="",F2365="",C2365="",D2365=""),"",IF(C2365+D2365=0,"",(E2365*C2365+F2365*D2365)/(C2365+D2365)))</f>
        <v/>
      </c>
      <c r="H2365" s="59"/>
      <c r="I2365" s="60">
        <f>IF(OR(H2365="",E2365="",C2365="",D2365=""),"",IF(C2365+D2365=0,"",(H2365*D2365+E2365*C2365)/(C2365+D2365)))</f>
        <v/>
      </c>
      <c r="J2365" s="59"/>
      <c r="K2365" s="61">
        <f>IF(OR(J2365="",I2365=""),"",J2365-I2365)</f>
        <v/>
      </c>
      <c r="L2365" s="61">
        <f>IF(OR(J2365="",G2365=""),"",J2365-G2365)</f>
        <v/>
      </c>
      <c r="M2365" s="59"/>
      <c r="N2365" s="59"/>
      <c r="O2365" s="59"/>
      <c r="P2365" s="59"/>
      <c r="Q2365" s="59"/>
      <c r="R2365" s="60">
        <f>IF(AND(P2365="",Q2365=""),"",N(P2365)+N(Q2365))</f>
        <v/>
      </c>
      <c r="S2365" s="59"/>
      <c r="T2365" s="59"/>
      <c r="U2365" s="62">
        <f>IF(OR(R2365="",S2365="",T2365=""),"",IF(S2365+T2365=0,"",R2365/(S2365+T2365)))</f>
        <v/>
      </c>
      <c r="V2365" s="63"/>
      <c r="W2365" s="64"/>
      <c r="X2365" s="63"/>
    </row>
    <row r="2366" spans="2:24">
      <c r="B2366" s="58"/>
      <c r="C2366" s="59"/>
      <c r="D2366" s="59"/>
      <c r="E2366" s="59"/>
      <c r="F2366" s="59"/>
      <c r="G2366" s="60">
        <f>IF(OR(E2366="",F2366="",C2366="",D2366=""),"",IF(C2366+D2366=0,"",(E2366*C2366+F2366*D2366)/(C2366+D2366)))</f>
        <v/>
      </c>
      <c r="H2366" s="59"/>
      <c r="I2366" s="60">
        <f>IF(OR(H2366="",E2366="",C2366="",D2366=""),"",IF(C2366+D2366=0,"",(H2366*D2366+E2366*C2366)/(C2366+D2366)))</f>
        <v/>
      </c>
      <c r="J2366" s="59"/>
      <c r="K2366" s="61">
        <f>IF(OR(J2366="",I2366=""),"",J2366-I2366)</f>
        <v/>
      </c>
      <c r="L2366" s="61">
        <f>IF(OR(J2366="",G2366=""),"",J2366-G2366)</f>
        <v/>
      </c>
      <c r="M2366" s="59"/>
      <c r="N2366" s="59"/>
      <c r="O2366" s="59"/>
      <c r="P2366" s="59"/>
      <c r="Q2366" s="59"/>
      <c r="R2366" s="60">
        <f>IF(AND(P2366="",Q2366=""),"",N(P2366)+N(Q2366))</f>
        <v/>
      </c>
      <c r="S2366" s="59"/>
      <c r="T2366" s="59"/>
      <c r="U2366" s="62">
        <f>IF(OR(R2366="",S2366="",T2366=""),"",IF(S2366+T2366=0,"",R2366/(S2366+T2366)))</f>
        <v/>
      </c>
      <c r="V2366" s="63"/>
      <c r="W2366" s="64"/>
      <c r="X2366" s="63"/>
    </row>
    <row r="2367" spans="2:24">
      <c r="B2367" s="58"/>
      <c r="C2367" s="59"/>
      <c r="D2367" s="59"/>
      <c r="E2367" s="59"/>
      <c r="F2367" s="59"/>
      <c r="G2367" s="60">
        <f>IF(OR(E2367="",F2367="",C2367="",D2367=""),"",IF(C2367+D2367=0,"",(E2367*C2367+F2367*D2367)/(C2367+D2367)))</f>
        <v/>
      </c>
      <c r="H2367" s="59"/>
      <c r="I2367" s="60">
        <f>IF(OR(H2367="",E2367="",C2367="",D2367=""),"",IF(C2367+D2367=0,"",(H2367*D2367+E2367*C2367)/(C2367+D2367)))</f>
        <v/>
      </c>
      <c r="J2367" s="59"/>
      <c r="K2367" s="61">
        <f>IF(OR(J2367="",I2367=""),"",J2367-I2367)</f>
        <v/>
      </c>
      <c r="L2367" s="61">
        <f>IF(OR(J2367="",G2367=""),"",J2367-G2367)</f>
        <v/>
      </c>
      <c r="M2367" s="59"/>
      <c r="N2367" s="59"/>
      <c r="O2367" s="59"/>
      <c r="P2367" s="59"/>
      <c r="Q2367" s="59"/>
      <c r="R2367" s="60">
        <f>IF(AND(P2367="",Q2367=""),"",N(P2367)+N(Q2367))</f>
        <v/>
      </c>
      <c r="S2367" s="59"/>
      <c r="T2367" s="59"/>
      <c r="U2367" s="62">
        <f>IF(OR(R2367="",S2367="",T2367=""),"",IF(S2367+T2367=0,"",R2367/(S2367+T2367)))</f>
        <v/>
      </c>
      <c r="V2367" s="63"/>
      <c r="W2367" s="64"/>
      <c r="X2367" s="63"/>
    </row>
    <row r="2368" spans="2:24">
      <c r="B2368" s="58"/>
      <c r="C2368" s="59"/>
      <c r="D2368" s="59"/>
      <c r="E2368" s="59"/>
      <c r="F2368" s="59"/>
      <c r="G2368" s="60">
        <f>IF(OR(E2368="",F2368="",C2368="",D2368=""),"",IF(C2368+D2368=0,"",(E2368*C2368+F2368*D2368)/(C2368+D2368)))</f>
        <v/>
      </c>
      <c r="H2368" s="59"/>
      <c r="I2368" s="60">
        <f>IF(OR(H2368="",E2368="",C2368="",D2368=""),"",IF(C2368+D2368=0,"",(H2368*D2368+E2368*C2368)/(C2368+D2368)))</f>
        <v/>
      </c>
      <c r="J2368" s="59"/>
      <c r="K2368" s="61">
        <f>IF(OR(J2368="",I2368=""),"",J2368-I2368)</f>
        <v/>
      </c>
      <c r="L2368" s="61">
        <f>IF(OR(J2368="",G2368=""),"",J2368-G2368)</f>
        <v/>
      </c>
      <c r="M2368" s="59"/>
      <c r="N2368" s="59"/>
      <c r="O2368" s="59"/>
      <c r="P2368" s="59"/>
      <c r="Q2368" s="59"/>
      <c r="R2368" s="60">
        <f>IF(AND(P2368="",Q2368=""),"",N(P2368)+N(Q2368))</f>
        <v/>
      </c>
      <c r="S2368" s="59"/>
      <c r="T2368" s="59"/>
      <c r="U2368" s="62">
        <f>IF(OR(R2368="",S2368="",T2368=""),"",IF(S2368+T2368=0,"",R2368/(S2368+T2368)))</f>
        <v/>
      </c>
      <c r="V2368" s="63"/>
      <c r="W2368" s="64"/>
      <c r="X2368" s="63"/>
    </row>
    <row r="2369" spans="2:24">
      <c r="B2369" s="58"/>
      <c r="C2369" s="59"/>
      <c r="D2369" s="59"/>
      <c r="E2369" s="59"/>
      <c r="F2369" s="59"/>
      <c r="G2369" s="60">
        <f>IF(OR(E2369="",F2369="",C2369="",D2369=""),"",IF(C2369+D2369=0,"",(E2369*C2369+F2369*D2369)/(C2369+D2369)))</f>
        <v/>
      </c>
      <c r="H2369" s="59"/>
      <c r="I2369" s="60">
        <f>IF(OR(H2369="",E2369="",C2369="",D2369=""),"",IF(C2369+D2369=0,"",(H2369*D2369+E2369*C2369)/(C2369+D2369)))</f>
        <v/>
      </c>
      <c r="J2369" s="59"/>
      <c r="K2369" s="61">
        <f>IF(OR(J2369="",I2369=""),"",J2369-I2369)</f>
        <v/>
      </c>
      <c r="L2369" s="61">
        <f>IF(OR(J2369="",G2369=""),"",J2369-G2369)</f>
        <v/>
      </c>
      <c r="M2369" s="59"/>
      <c r="N2369" s="59"/>
      <c r="O2369" s="59"/>
      <c r="P2369" s="59"/>
      <c r="Q2369" s="59"/>
      <c r="R2369" s="60">
        <f>IF(AND(P2369="",Q2369=""),"",N(P2369)+N(Q2369))</f>
        <v/>
      </c>
      <c r="S2369" s="59"/>
      <c r="T2369" s="59"/>
      <c r="U2369" s="62">
        <f>IF(OR(R2369="",S2369="",T2369=""),"",IF(S2369+T2369=0,"",R2369/(S2369+T2369)))</f>
        <v/>
      </c>
      <c r="V2369" s="63"/>
      <c r="W2369" s="64"/>
      <c r="X2369" s="63"/>
    </row>
    <row r="2370" spans="2:24">
      <c r="B2370" s="58"/>
      <c r="C2370" s="59"/>
      <c r="D2370" s="59"/>
      <c r="E2370" s="59"/>
      <c r="F2370" s="59"/>
      <c r="G2370" s="60">
        <f>IF(OR(E2370="",F2370="",C2370="",D2370=""),"",IF(C2370+D2370=0,"",(E2370*C2370+F2370*D2370)/(C2370+D2370)))</f>
        <v/>
      </c>
      <c r="H2370" s="59"/>
      <c r="I2370" s="60">
        <f>IF(OR(H2370="",E2370="",C2370="",D2370=""),"",IF(C2370+D2370=0,"",(H2370*D2370+E2370*C2370)/(C2370+D2370)))</f>
        <v/>
      </c>
      <c r="J2370" s="59"/>
      <c r="K2370" s="61">
        <f>IF(OR(J2370="",I2370=""),"",J2370-I2370)</f>
        <v/>
      </c>
      <c r="L2370" s="61">
        <f>IF(OR(J2370="",G2370=""),"",J2370-G2370)</f>
        <v/>
      </c>
      <c r="M2370" s="59"/>
      <c r="N2370" s="59"/>
      <c r="O2370" s="59"/>
      <c r="P2370" s="59"/>
      <c r="Q2370" s="59"/>
      <c r="R2370" s="60">
        <f>IF(AND(P2370="",Q2370=""),"",N(P2370)+N(Q2370))</f>
        <v/>
      </c>
      <c r="S2370" s="59"/>
      <c r="T2370" s="59"/>
      <c r="U2370" s="62">
        <f>IF(OR(R2370="",S2370="",T2370=""),"",IF(S2370+T2370=0,"",R2370/(S2370+T2370)))</f>
        <v/>
      </c>
      <c r="V2370" s="63"/>
      <c r="W2370" s="64"/>
      <c r="X2370" s="63"/>
    </row>
    <row r="2371" spans="2:24">
      <c r="B2371" s="58"/>
      <c r="C2371" s="59"/>
      <c r="D2371" s="59"/>
      <c r="E2371" s="59"/>
      <c r="F2371" s="59"/>
      <c r="G2371" s="60">
        <f>IF(OR(E2371="",F2371="",C2371="",D2371=""),"",IF(C2371+D2371=0,"",(E2371*C2371+F2371*D2371)/(C2371+D2371)))</f>
        <v/>
      </c>
      <c r="H2371" s="59"/>
      <c r="I2371" s="60">
        <f>IF(OR(H2371="",E2371="",C2371="",D2371=""),"",IF(C2371+D2371=0,"",(H2371*D2371+E2371*C2371)/(C2371+D2371)))</f>
        <v/>
      </c>
      <c r="J2371" s="59"/>
      <c r="K2371" s="61">
        <f>IF(OR(J2371="",I2371=""),"",J2371-I2371)</f>
        <v/>
      </c>
      <c r="L2371" s="61">
        <f>IF(OR(J2371="",G2371=""),"",J2371-G2371)</f>
        <v/>
      </c>
      <c r="M2371" s="59"/>
      <c r="N2371" s="59"/>
      <c r="O2371" s="59"/>
      <c r="P2371" s="59"/>
      <c r="Q2371" s="59"/>
      <c r="R2371" s="60">
        <f>IF(AND(P2371="",Q2371=""),"",N(P2371)+N(Q2371))</f>
        <v/>
      </c>
      <c r="S2371" s="59"/>
      <c r="T2371" s="59"/>
      <c r="U2371" s="62">
        <f>IF(OR(R2371="",S2371="",T2371=""),"",IF(S2371+T2371=0,"",R2371/(S2371+T2371)))</f>
        <v/>
      </c>
      <c r="V2371" s="63"/>
      <c r="W2371" s="64"/>
      <c r="X2371" s="63"/>
    </row>
    <row r="2372" spans="2:24">
      <c r="B2372" s="58"/>
      <c r="C2372" s="59"/>
      <c r="D2372" s="59"/>
      <c r="E2372" s="59"/>
      <c r="F2372" s="59"/>
      <c r="G2372" s="60">
        <f>IF(OR(E2372="",F2372="",C2372="",D2372=""),"",IF(C2372+D2372=0,"",(E2372*C2372+F2372*D2372)/(C2372+D2372)))</f>
        <v/>
      </c>
      <c r="H2372" s="59"/>
      <c r="I2372" s="60">
        <f>IF(OR(H2372="",E2372="",C2372="",D2372=""),"",IF(C2372+D2372=0,"",(H2372*D2372+E2372*C2372)/(C2372+D2372)))</f>
        <v/>
      </c>
      <c r="J2372" s="59"/>
      <c r="K2372" s="61">
        <f>IF(OR(J2372="",I2372=""),"",J2372-I2372)</f>
        <v/>
      </c>
      <c r="L2372" s="61">
        <f>IF(OR(J2372="",G2372=""),"",J2372-G2372)</f>
        <v/>
      </c>
      <c r="M2372" s="59"/>
      <c r="N2372" s="59"/>
      <c r="O2372" s="59"/>
      <c r="P2372" s="59"/>
      <c r="Q2372" s="59"/>
      <c r="R2372" s="60">
        <f>IF(AND(P2372="",Q2372=""),"",N(P2372)+N(Q2372))</f>
        <v/>
      </c>
      <c r="S2372" s="59"/>
      <c r="T2372" s="59"/>
      <c r="U2372" s="62">
        <f>IF(OR(R2372="",S2372="",T2372=""),"",IF(S2372+T2372=0,"",R2372/(S2372+T2372)))</f>
        <v/>
      </c>
      <c r="V2372" s="63"/>
      <c r="W2372" s="64"/>
      <c r="X2372" s="63"/>
    </row>
    <row r="2373" spans="2:24">
      <c r="B2373" s="58"/>
      <c r="C2373" s="59"/>
      <c r="D2373" s="59"/>
      <c r="E2373" s="59"/>
      <c r="F2373" s="59"/>
      <c r="G2373" s="60">
        <f>IF(OR(E2373="",F2373="",C2373="",D2373=""),"",IF(C2373+D2373=0,"",(E2373*C2373+F2373*D2373)/(C2373+D2373)))</f>
        <v/>
      </c>
      <c r="H2373" s="59"/>
      <c r="I2373" s="60">
        <f>IF(OR(H2373="",E2373="",C2373="",D2373=""),"",IF(C2373+D2373=0,"",(H2373*D2373+E2373*C2373)/(C2373+D2373)))</f>
        <v/>
      </c>
      <c r="J2373" s="59"/>
      <c r="K2373" s="61">
        <f>IF(OR(J2373="",I2373=""),"",J2373-I2373)</f>
        <v/>
      </c>
      <c r="L2373" s="61">
        <f>IF(OR(J2373="",G2373=""),"",J2373-G2373)</f>
        <v/>
      </c>
      <c r="M2373" s="59"/>
      <c r="N2373" s="59"/>
      <c r="O2373" s="59"/>
      <c r="P2373" s="59"/>
      <c r="Q2373" s="59"/>
      <c r="R2373" s="60">
        <f>IF(AND(P2373="",Q2373=""),"",N(P2373)+N(Q2373))</f>
        <v/>
      </c>
      <c r="S2373" s="59"/>
      <c r="T2373" s="59"/>
      <c r="U2373" s="62">
        <f>IF(OR(R2373="",S2373="",T2373=""),"",IF(S2373+T2373=0,"",R2373/(S2373+T2373)))</f>
        <v/>
      </c>
      <c r="V2373" s="63"/>
      <c r="W2373" s="64"/>
      <c r="X2373" s="63"/>
    </row>
    <row r="2374" spans="2:24">
      <c r="B2374" s="58"/>
      <c r="C2374" s="59"/>
      <c r="D2374" s="59"/>
      <c r="E2374" s="59"/>
      <c r="F2374" s="59"/>
      <c r="G2374" s="60">
        <f>IF(OR(E2374="",F2374="",C2374="",D2374=""),"",IF(C2374+D2374=0,"",(E2374*C2374+F2374*D2374)/(C2374+D2374)))</f>
        <v/>
      </c>
      <c r="H2374" s="59"/>
      <c r="I2374" s="60">
        <f>IF(OR(H2374="",E2374="",C2374="",D2374=""),"",IF(C2374+D2374=0,"",(H2374*D2374+E2374*C2374)/(C2374+D2374)))</f>
        <v/>
      </c>
      <c r="J2374" s="59"/>
      <c r="K2374" s="61">
        <f>IF(OR(J2374="",I2374=""),"",J2374-I2374)</f>
        <v/>
      </c>
      <c r="L2374" s="61">
        <f>IF(OR(J2374="",G2374=""),"",J2374-G2374)</f>
        <v/>
      </c>
      <c r="M2374" s="59"/>
      <c r="N2374" s="59"/>
      <c r="O2374" s="59"/>
      <c r="P2374" s="59"/>
      <c r="Q2374" s="59"/>
      <c r="R2374" s="60">
        <f>IF(AND(P2374="",Q2374=""),"",N(P2374)+N(Q2374))</f>
        <v/>
      </c>
      <c r="S2374" s="59"/>
      <c r="T2374" s="59"/>
      <c r="U2374" s="62">
        <f>IF(OR(R2374="",S2374="",T2374=""),"",IF(S2374+T2374=0,"",R2374/(S2374+T2374)))</f>
        <v/>
      </c>
      <c r="V2374" s="63"/>
      <c r="W2374" s="64"/>
      <c r="X2374" s="63"/>
    </row>
    <row r="2375" spans="2:24">
      <c r="B2375" s="58"/>
      <c r="C2375" s="59"/>
      <c r="D2375" s="59"/>
      <c r="E2375" s="59"/>
      <c r="F2375" s="59"/>
      <c r="G2375" s="60">
        <f>IF(OR(E2375="",F2375="",C2375="",D2375=""),"",IF(C2375+D2375=0,"",(E2375*C2375+F2375*D2375)/(C2375+D2375)))</f>
        <v/>
      </c>
      <c r="H2375" s="59"/>
      <c r="I2375" s="60">
        <f>IF(OR(H2375="",E2375="",C2375="",D2375=""),"",IF(C2375+D2375=0,"",(H2375*D2375+E2375*C2375)/(C2375+D2375)))</f>
        <v/>
      </c>
      <c r="J2375" s="59"/>
      <c r="K2375" s="61">
        <f>IF(OR(J2375="",I2375=""),"",J2375-I2375)</f>
        <v/>
      </c>
      <c r="L2375" s="61">
        <f>IF(OR(J2375="",G2375=""),"",J2375-G2375)</f>
        <v/>
      </c>
      <c r="M2375" s="59"/>
      <c r="N2375" s="59"/>
      <c r="O2375" s="59"/>
      <c r="P2375" s="59"/>
      <c r="Q2375" s="59"/>
      <c r="R2375" s="60">
        <f>IF(AND(P2375="",Q2375=""),"",N(P2375)+N(Q2375))</f>
        <v/>
      </c>
      <c r="S2375" s="59"/>
      <c r="T2375" s="59"/>
      <c r="U2375" s="62">
        <f>IF(OR(R2375="",S2375="",T2375=""),"",IF(S2375+T2375=0,"",R2375/(S2375+T2375)))</f>
        <v/>
      </c>
      <c r="V2375" s="63"/>
      <c r="W2375" s="64"/>
      <c r="X2375" s="63"/>
    </row>
    <row r="2376" spans="2:24">
      <c r="B2376" s="58"/>
      <c r="C2376" s="59"/>
      <c r="D2376" s="59"/>
      <c r="E2376" s="59"/>
      <c r="F2376" s="59"/>
      <c r="G2376" s="60">
        <f>IF(OR(E2376="",F2376="",C2376="",D2376=""),"",IF(C2376+D2376=0,"",(E2376*C2376+F2376*D2376)/(C2376+D2376)))</f>
        <v/>
      </c>
      <c r="H2376" s="59"/>
      <c r="I2376" s="60">
        <f>IF(OR(H2376="",E2376="",C2376="",D2376=""),"",IF(C2376+D2376=0,"",(H2376*D2376+E2376*C2376)/(C2376+D2376)))</f>
        <v/>
      </c>
      <c r="J2376" s="59"/>
      <c r="K2376" s="61">
        <f>IF(OR(J2376="",I2376=""),"",J2376-I2376)</f>
        <v/>
      </c>
      <c r="L2376" s="61">
        <f>IF(OR(J2376="",G2376=""),"",J2376-G2376)</f>
        <v/>
      </c>
      <c r="M2376" s="59"/>
      <c r="N2376" s="59"/>
      <c r="O2376" s="59"/>
      <c r="P2376" s="59"/>
      <c r="Q2376" s="59"/>
      <c r="R2376" s="60">
        <f>IF(AND(P2376="",Q2376=""),"",N(P2376)+N(Q2376))</f>
        <v/>
      </c>
      <c r="S2376" s="59"/>
      <c r="T2376" s="59"/>
      <c r="U2376" s="62">
        <f>IF(OR(R2376="",S2376="",T2376=""),"",IF(S2376+T2376=0,"",R2376/(S2376+T2376)))</f>
        <v/>
      </c>
      <c r="V2376" s="63"/>
      <c r="W2376" s="64"/>
      <c r="X2376" s="63"/>
    </row>
    <row r="2377" spans="2:24">
      <c r="B2377" s="58"/>
      <c r="C2377" s="59"/>
      <c r="D2377" s="59"/>
      <c r="E2377" s="59"/>
      <c r="F2377" s="59"/>
      <c r="G2377" s="60">
        <f>IF(OR(E2377="",F2377="",C2377="",D2377=""),"",IF(C2377+D2377=0,"",(E2377*C2377+F2377*D2377)/(C2377+D2377)))</f>
        <v/>
      </c>
      <c r="H2377" s="59"/>
      <c r="I2377" s="60">
        <f>IF(OR(H2377="",E2377="",C2377="",D2377=""),"",IF(C2377+D2377=0,"",(H2377*D2377+E2377*C2377)/(C2377+D2377)))</f>
        <v/>
      </c>
      <c r="J2377" s="59"/>
      <c r="K2377" s="61">
        <f>IF(OR(J2377="",I2377=""),"",J2377-I2377)</f>
        <v/>
      </c>
      <c r="L2377" s="61">
        <f>IF(OR(J2377="",G2377=""),"",J2377-G2377)</f>
        <v/>
      </c>
      <c r="M2377" s="59"/>
      <c r="N2377" s="59"/>
      <c r="O2377" s="59"/>
      <c r="P2377" s="59"/>
      <c r="Q2377" s="59"/>
      <c r="R2377" s="60">
        <f>IF(AND(P2377="",Q2377=""),"",N(P2377)+N(Q2377))</f>
        <v/>
      </c>
      <c r="S2377" s="59"/>
      <c r="T2377" s="59"/>
      <c r="U2377" s="62">
        <f>IF(OR(R2377="",S2377="",T2377=""),"",IF(S2377+T2377=0,"",R2377/(S2377+T2377)))</f>
        <v/>
      </c>
      <c r="V2377" s="63"/>
      <c r="W2377" s="64"/>
      <c r="X2377" s="63"/>
    </row>
    <row r="2378" spans="2:24">
      <c r="B2378" s="58"/>
      <c r="C2378" s="59"/>
      <c r="D2378" s="59"/>
      <c r="E2378" s="59"/>
      <c r="F2378" s="59"/>
      <c r="G2378" s="60">
        <f>IF(OR(E2378="",F2378="",C2378="",D2378=""),"",IF(C2378+D2378=0,"",(E2378*C2378+F2378*D2378)/(C2378+D2378)))</f>
        <v/>
      </c>
      <c r="H2378" s="59"/>
      <c r="I2378" s="60">
        <f>IF(OR(H2378="",E2378="",C2378="",D2378=""),"",IF(C2378+D2378=0,"",(H2378*D2378+E2378*C2378)/(C2378+D2378)))</f>
        <v/>
      </c>
      <c r="J2378" s="59"/>
      <c r="K2378" s="61">
        <f>IF(OR(J2378="",I2378=""),"",J2378-I2378)</f>
        <v/>
      </c>
      <c r="L2378" s="61">
        <f>IF(OR(J2378="",G2378=""),"",J2378-G2378)</f>
        <v/>
      </c>
      <c r="M2378" s="59"/>
      <c r="N2378" s="59"/>
      <c r="O2378" s="59"/>
      <c r="P2378" s="59"/>
      <c r="Q2378" s="59"/>
      <c r="R2378" s="60">
        <f>IF(AND(P2378="",Q2378=""),"",N(P2378)+N(Q2378))</f>
        <v/>
      </c>
      <c r="S2378" s="59"/>
      <c r="T2378" s="59"/>
      <c r="U2378" s="62">
        <f>IF(OR(R2378="",S2378="",T2378=""),"",IF(S2378+T2378=0,"",R2378/(S2378+T2378)))</f>
        <v/>
      </c>
      <c r="V2378" s="63"/>
      <c r="W2378" s="64"/>
      <c r="X2378" s="63"/>
    </row>
    <row r="2379" spans="2:24">
      <c r="B2379" s="58"/>
      <c r="C2379" s="59"/>
      <c r="D2379" s="59"/>
      <c r="E2379" s="59"/>
      <c r="F2379" s="59"/>
      <c r="G2379" s="60">
        <f>IF(OR(E2379="",F2379="",C2379="",D2379=""),"",IF(C2379+D2379=0,"",(E2379*C2379+F2379*D2379)/(C2379+D2379)))</f>
        <v/>
      </c>
      <c r="H2379" s="59"/>
      <c r="I2379" s="60">
        <f>IF(OR(H2379="",E2379="",C2379="",D2379=""),"",IF(C2379+D2379=0,"",(H2379*D2379+E2379*C2379)/(C2379+D2379)))</f>
        <v/>
      </c>
      <c r="J2379" s="59"/>
      <c r="K2379" s="61">
        <f>IF(OR(J2379="",I2379=""),"",J2379-I2379)</f>
        <v/>
      </c>
      <c r="L2379" s="61">
        <f>IF(OR(J2379="",G2379=""),"",J2379-G2379)</f>
        <v/>
      </c>
      <c r="M2379" s="59"/>
      <c r="N2379" s="59"/>
      <c r="O2379" s="59"/>
      <c r="P2379" s="59"/>
      <c r="Q2379" s="59"/>
      <c r="R2379" s="60">
        <f>IF(AND(P2379="",Q2379=""),"",N(P2379)+N(Q2379))</f>
        <v/>
      </c>
      <c r="S2379" s="59"/>
      <c r="T2379" s="59"/>
      <c r="U2379" s="62">
        <f>IF(OR(R2379="",S2379="",T2379=""),"",IF(S2379+T2379=0,"",R2379/(S2379+T2379)))</f>
        <v/>
      </c>
      <c r="V2379" s="63"/>
      <c r="W2379" s="64"/>
      <c r="X2379" s="63"/>
    </row>
    <row r="2380" spans="2:24">
      <c r="B2380" s="58"/>
      <c r="C2380" s="59"/>
      <c r="D2380" s="59"/>
      <c r="E2380" s="59"/>
      <c r="F2380" s="59"/>
      <c r="G2380" s="60">
        <f>IF(OR(E2380="",F2380="",C2380="",D2380=""),"",IF(C2380+D2380=0,"",(E2380*C2380+F2380*D2380)/(C2380+D2380)))</f>
        <v/>
      </c>
      <c r="H2380" s="59"/>
      <c r="I2380" s="60">
        <f>IF(OR(H2380="",E2380="",C2380="",D2380=""),"",IF(C2380+D2380=0,"",(H2380*D2380+E2380*C2380)/(C2380+D2380)))</f>
        <v/>
      </c>
      <c r="J2380" s="59"/>
      <c r="K2380" s="61">
        <f>IF(OR(J2380="",I2380=""),"",J2380-I2380)</f>
        <v/>
      </c>
      <c r="L2380" s="61">
        <f>IF(OR(J2380="",G2380=""),"",J2380-G2380)</f>
        <v/>
      </c>
      <c r="M2380" s="59"/>
      <c r="N2380" s="59"/>
      <c r="O2380" s="59"/>
      <c r="P2380" s="59"/>
      <c r="Q2380" s="59"/>
      <c r="R2380" s="60">
        <f>IF(AND(P2380="",Q2380=""),"",N(P2380)+N(Q2380))</f>
        <v/>
      </c>
      <c r="S2380" s="59"/>
      <c r="T2380" s="59"/>
      <c r="U2380" s="62">
        <f>IF(OR(R2380="",S2380="",T2380=""),"",IF(S2380+T2380=0,"",R2380/(S2380+T2380)))</f>
        <v/>
      </c>
      <c r="V2380" s="63"/>
      <c r="W2380" s="64"/>
      <c r="X2380" s="63"/>
    </row>
    <row r="2381" spans="2:24">
      <c r="B2381" s="58"/>
      <c r="C2381" s="59"/>
      <c r="D2381" s="59"/>
      <c r="E2381" s="59"/>
      <c r="F2381" s="59"/>
      <c r="G2381" s="60">
        <f>IF(OR(E2381="",F2381="",C2381="",D2381=""),"",IF(C2381+D2381=0,"",(E2381*C2381+F2381*D2381)/(C2381+D2381)))</f>
        <v/>
      </c>
      <c r="H2381" s="59"/>
      <c r="I2381" s="60">
        <f>IF(OR(H2381="",E2381="",C2381="",D2381=""),"",IF(C2381+D2381=0,"",(H2381*D2381+E2381*C2381)/(C2381+D2381)))</f>
        <v/>
      </c>
      <c r="J2381" s="59"/>
      <c r="K2381" s="61">
        <f>IF(OR(J2381="",I2381=""),"",J2381-I2381)</f>
        <v/>
      </c>
      <c r="L2381" s="61">
        <f>IF(OR(J2381="",G2381=""),"",J2381-G2381)</f>
        <v/>
      </c>
      <c r="M2381" s="59"/>
      <c r="N2381" s="59"/>
      <c r="O2381" s="59"/>
      <c r="P2381" s="59"/>
      <c r="Q2381" s="59"/>
      <c r="R2381" s="60">
        <f>IF(AND(P2381="",Q2381=""),"",N(P2381)+N(Q2381))</f>
        <v/>
      </c>
      <c r="S2381" s="59"/>
      <c r="T2381" s="59"/>
      <c r="U2381" s="62">
        <f>IF(OR(R2381="",S2381="",T2381=""),"",IF(S2381+T2381=0,"",R2381/(S2381+T2381)))</f>
        <v/>
      </c>
      <c r="V2381" s="63"/>
      <c r="W2381" s="64"/>
      <c r="X2381" s="63"/>
    </row>
    <row r="2382" spans="2:24">
      <c r="B2382" s="58"/>
      <c r="C2382" s="59"/>
      <c r="D2382" s="59"/>
      <c r="E2382" s="59"/>
      <c r="F2382" s="59"/>
      <c r="G2382" s="60">
        <f>IF(OR(E2382="",F2382="",C2382="",D2382=""),"",IF(C2382+D2382=0,"",(E2382*C2382+F2382*D2382)/(C2382+D2382)))</f>
        <v/>
      </c>
      <c r="H2382" s="59"/>
      <c r="I2382" s="60">
        <f>IF(OR(H2382="",E2382="",C2382="",D2382=""),"",IF(C2382+D2382=0,"",(H2382*D2382+E2382*C2382)/(C2382+D2382)))</f>
        <v/>
      </c>
      <c r="J2382" s="59"/>
      <c r="K2382" s="61">
        <f>IF(OR(J2382="",I2382=""),"",J2382-I2382)</f>
        <v/>
      </c>
      <c r="L2382" s="61">
        <f>IF(OR(J2382="",G2382=""),"",J2382-G2382)</f>
        <v/>
      </c>
      <c r="M2382" s="59"/>
      <c r="N2382" s="59"/>
      <c r="O2382" s="59"/>
      <c r="P2382" s="59"/>
      <c r="Q2382" s="59"/>
      <c r="R2382" s="60">
        <f>IF(AND(P2382="",Q2382=""),"",N(P2382)+N(Q2382))</f>
        <v/>
      </c>
      <c r="S2382" s="59"/>
      <c r="T2382" s="59"/>
      <c r="U2382" s="62">
        <f>IF(OR(R2382="",S2382="",T2382=""),"",IF(S2382+T2382=0,"",R2382/(S2382+T2382)))</f>
        <v/>
      </c>
      <c r="V2382" s="63"/>
      <c r="W2382" s="64"/>
      <c r="X2382" s="63"/>
    </row>
    <row r="2383" spans="2:24">
      <c r="B2383" s="58"/>
      <c r="C2383" s="59"/>
      <c r="D2383" s="59"/>
      <c r="E2383" s="59"/>
      <c r="F2383" s="59"/>
      <c r="G2383" s="60">
        <f>IF(OR(E2383="",F2383="",C2383="",D2383=""),"",IF(C2383+D2383=0,"",(E2383*C2383+F2383*D2383)/(C2383+D2383)))</f>
        <v/>
      </c>
      <c r="H2383" s="59"/>
      <c r="I2383" s="60">
        <f>IF(OR(H2383="",E2383="",C2383="",D2383=""),"",IF(C2383+D2383=0,"",(H2383*D2383+E2383*C2383)/(C2383+D2383)))</f>
        <v/>
      </c>
      <c r="J2383" s="59"/>
      <c r="K2383" s="61">
        <f>IF(OR(J2383="",I2383=""),"",J2383-I2383)</f>
        <v/>
      </c>
      <c r="L2383" s="61">
        <f>IF(OR(J2383="",G2383=""),"",J2383-G2383)</f>
        <v/>
      </c>
      <c r="M2383" s="59"/>
      <c r="N2383" s="59"/>
      <c r="O2383" s="59"/>
      <c r="P2383" s="59"/>
      <c r="Q2383" s="59"/>
      <c r="R2383" s="60">
        <f>IF(AND(P2383="",Q2383=""),"",N(P2383)+N(Q2383))</f>
        <v/>
      </c>
      <c r="S2383" s="59"/>
      <c r="T2383" s="59"/>
      <c r="U2383" s="62">
        <f>IF(OR(R2383="",S2383="",T2383=""),"",IF(S2383+T2383=0,"",R2383/(S2383+T2383)))</f>
        <v/>
      </c>
      <c r="V2383" s="63"/>
      <c r="W2383" s="64"/>
      <c r="X2383" s="63"/>
    </row>
    <row r="2384" spans="2:24">
      <c r="B2384" s="58"/>
      <c r="C2384" s="59"/>
      <c r="D2384" s="59"/>
      <c r="E2384" s="59"/>
      <c r="F2384" s="59"/>
      <c r="G2384" s="60">
        <f>IF(OR(E2384="",F2384="",C2384="",D2384=""),"",IF(C2384+D2384=0,"",(E2384*C2384+F2384*D2384)/(C2384+D2384)))</f>
        <v/>
      </c>
      <c r="H2384" s="59"/>
      <c r="I2384" s="60">
        <f>IF(OR(H2384="",E2384="",C2384="",D2384=""),"",IF(C2384+D2384=0,"",(H2384*D2384+E2384*C2384)/(C2384+D2384)))</f>
        <v/>
      </c>
      <c r="J2384" s="59"/>
      <c r="K2384" s="61">
        <f>IF(OR(J2384="",I2384=""),"",J2384-I2384)</f>
        <v/>
      </c>
      <c r="L2384" s="61">
        <f>IF(OR(J2384="",G2384=""),"",J2384-G2384)</f>
        <v/>
      </c>
      <c r="M2384" s="59"/>
      <c r="N2384" s="59"/>
      <c r="O2384" s="59"/>
      <c r="P2384" s="59"/>
      <c r="Q2384" s="59"/>
      <c r="R2384" s="60">
        <f>IF(AND(P2384="",Q2384=""),"",N(P2384)+N(Q2384))</f>
        <v/>
      </c>
      <c r="S2384" s="59"/>
      <c r="T2384" s="59"/>
      <c r="U2384" s="62">
        <f>IF(OR(R2384="",S2384="",T2384=""),"",IF(S2384+T2384=0,"",R2384/(S2384+T2384)))</f>
        <v/>
      </c>
      <c r="V2384" s="63"/>
      <c r="W2384" s="64"/>
      <c r="X2384" s="63"/>
    </row>
    <row r="2385" spans="2:24">
      <c r="B2385" s="58"/>
      <c r="C2385" s="59"/>
      <c r="D2385" s="59"/>
      <c r="E2385" s="59"/>
      <c r="F2385" s="59"/>
      <c r="G2385" s="60">
        <f>IF(OR(E2385="",F2385="",C2385="",D2385=""),"",IF(C2385+D2385=0,"",(E2385*C2385+F2385*D2385)/(C2385+D2385)))</f>
        <v/>
      </c>
      <c r="H2385" s="59"/>
      <c r="I2385" s="60">
        <f>IF(OR(H2385="",E2385="",C2385="",D2385=""),"",IF(C2385+D2385=0,"",(H2385*D2385+E2385*C2385)/(C2385+D2385)))</f>
        <v/>
      </c>
      <c r="J2385" s="59"/>
      <c r="K2385" s="61">
        <f>IF(OR(J2385="",I2385=""),"",J2385-I2385)</f>
        <v/>
      </c>
      <c r="L2385" s="61">
        <f>IF(OR(J2385="",G2385=""),"",J2385-G2385)</f>
        <v/>
      </c>
      <c r="M2385" s="59"/>
      <c r="N2385" s="59"/>
      <c r="O2385" s="59"/>
      <c r="P2385" s="59"/>
      <c r="Q2385" s="59"/>
      <c r="R2385" s="60">
        <f>IF(AND(P2385="",Q2385=""),"",N(P2385)+N(Q2385))</f>
        <v/>
      </c>
      <c r="S2385" s="59"/>
      <c r="T2385" s="59"/>
      <c r="U2385" s="62">
        <f>IF(OR(R2385="",S2385="",T2385=""),"",IF(S2385+T2385=0,"",R2385/(S2385+T2385)))</f>
        <v/>
      </c>
      <c r="V2385" s="63"/>
      <c r="W2385" s="64"/>
      <c r="X2385" s="63"/>
    </row>
    <row r="2386" spans="2:24">
      <c r="B2386" s="58"/>
      <c r="C2386" s="59"/>
      <c r="D2386" s="59"/>
      <c r="E2386" s="59"/>
      <c r="F2386" s="59"/>
      <c r="G2386" s="60">
        <f>IF(OR(E2386="",F2386="",C2386="",D2386=""),"",IF(C2386+D2386=0,"",(E2386*C2386+F2386*D2386)/(C2386+D2386)))</f>
        <v/>
      </c>
      <c r="H2386" s="59"/>
      <c r="I2386" s="60">
        <f>IF(OR(H2386="",E2386="",C2386="",D2386=""),"",IF(C2386+D2386=0,"",(H2386*D2386+E2386*C2386)/(C2386+D2386)))</f>
        <v/>
      </c>
      <c r="J2386" s="59"/>
      <c r="K2386" s="61">
        <f>IF(OR(J2386="",I2386=""),"",J2386-I2386)</f>
        <v/>
      </c>
      <c r="L2386" s="61">
        <f>IF(OR(J2386="",G2386=""),"",J2386-G2386)</f>
        <v/>
      </c>
      <c r="M2386" s="59"/>
      <c r="N2386" s="59"/>
      <c r="O2386" s="59"/>
      <c r="P2386" s="59"/>
      <c r="Q2386" s="59"/>
      <c r="R2386" s="60">
        <f>IF(AND(P2386="",Q2386=""),"",N(P2386)+N(Q2386))</f>
        <v/>
      </c>
      <c r="S2386" s="59"/>
      <c r="T2386" s="59"/>
      <c r="U2386" s="62">
        <f>IF(OR(R2386="",S2386="",T2386=""),"",IF(S2386+T2386=0,"",R2386/(S2386+T2386)))</f>
        <v/>
      </c>
      <c r="V2386" s="63"/>
      <c r="W2386" s="64"/>
      <c r="X2386" s="63"/>
    </row>
    <row r="2387" spans="2:24">
      <c r="B2387" s="58"/>
      <c r="C2387" s="59"/>
      <c r="D2387" s="59"/>
      <c r="E2387" s="59"/>
      <c r="F2387" s="59"/>
      <c r="G2387" s="60">
        <f>IF(OR(E2387="",F2387="",C2387="",D2387=""),"",IF(C2387+D2387=0,"",(E2387*C2387+F2387*D2387)/(C2387+D2387)))</f>
        <v/>
      </c>
      <c r="H2387" s="59"/>
      <c r="I2387" s="60">
        <f>IF(OR(H2387="",E2387="",C2387="",D2387=""),"",IF(C2387+D2387=0,"",(H2387*D2387+E2387*C2387)/(C2387+D2387)))</f>
        <v/>
      </c>
      <c r="J2387" s="59"/>
      <c r="K2387" s="61">
        <f>IF(OR(J2387="",I2387=""),"",J2387-I2387)</f>
        <v/>
      </c>
      <c r="L2387" s="61">
        <f>IF(OR(J2387="",G2387=""),"",J2387-G2387)</f>
        <v/>
      </c>
      <c r="M2387" s="59"/>
      <c r="N2387" s="59"/>
      <c r="O2387" s="59"/>
      <c r="P2387" s="59"/>
      <c r="Q2387" s="59"/>
      <c r="R2387" s="60">
        <f>IF(AND(P2387="",Q2387=""),"",N(P2387)+N(Q2387))</f>
        <v/>
      </c>
      <c r="S2387" s="59"/>
      <c r="T2387" s="59"/>
      <c r="U2387" s="62">
        <f>IF(OR(R2387="",S2387="",T2387=""),"",IF(S2387+T2387=0,"",R2387/(S2387+T2387)))</f>
        <v/>
      </c>
      <c r="V2387" s="63"/>
      <c r="W2387" s="64"/>
      <c r="X2387" s="63"/>
    </row>
    <row r="2388" spans="2:24">
      <c r="B2388" s="58"/>
      <c r="C2388" s="59"/>
      <c r="D2388" s="59"/>
      <c r="E2388" s="59"/>
      <c r="F2388" s="59"/>
      <c r="G2388" s="60">
        <f>IF(OR(E2388="",F2388="",C2388="",D2388=""),"",IF(C2388+D2388=0,"",(E2388*C2388+F2388*D2388)/(C2388+D2388)))</f>
        <v/>
      </c>
      <c r="H2388" s="59"/>
      <c r="I2388" s="60">
        <f>IF(OR(H2388="",E2388="",C2388="",D2388=""),"",IF(C2388+D2388=0,"",(H2388*D2388+E2388*C2388)/(C2388+D2388)))</f>
        <v/>
      </c>
      <c r="J2388" s="59"/>
      <c r="K2388" s="61">
        <f>IF(OR(J2388="",I2388=""),"",J2388-I2388)</f>
        <v/>
      </c>
      <c r="L2388" s="61">
        <f>IF(OR(J2388="",G2388=""),"",J2388-G2388)</f>
        <v/>
      </c>
      <c r="M2388" s="59"/>
      <c r="N2388" s="59"/>
      <c r="O2388" s="59"/>
      <c r="P2388" s="59"/>
      <c r="Q2388" s="59"/>
      <c r="R2388" s="60">
        <f>IF(AND(P2388="",Q2388=""),"",N(P2388)+N(Q2388))</f>
        <v/>
      </c>
      <c r="S2388" s="59"/>
      <c r="T2388" s="59"/>
      <c r="U2388" s="62">
        <f>IF(OR(R2388="",S2388="",T2388=""),"",IF(S2388+T2388=0,"",R2388/(S2388+T2388)))</f>
        <v/>
      </c>
      <c r="V2388" s="63"/>
      <c r="W2388" s="64"/>
      <c r="X2388" s="63"/>
    </row>
    <row r="2389" spans="2:24">
      <c r="B2389" s="58"/>
      <c r="C2389" s="59"/>
      <c r="D2389" s="59"/>
      <c r="E2389" s="59"/>
      <c r="F2389" s="59"/>
      <c r="G2389" s="60">
        <f>IF(OR(E2389="",F2389="",C2389="",D2389=""),"",IF(C2389+D2389=0,"",(E2389*C2389+F2389*D2389)/(C2389+D2389)))</f>
        <v/>
      </c>
      <c r="H2389" s="59"/>
      <c r="I2389" s="60">
        <f>IF(OR(H2389="",E2389="",C2389="",D2389=""),"",IF(C2389+D2389=0,"",(H2389*D2389+E2389*C2389)/(C2389+D2389)))</f>
        <v/>
      </c>
      <c r="J2389" s="59"/>
      <c r="K2389" s="61">
        <f>IF(OR(J2389="",I2389=""),"",J2389-I2389)</f>
        <v/>
      </c>
      <c r="L2389" s="61">
        <f>IF(OR(J2389="",G2389=""),"",J2389-G2389)</f>
        <v/>
      </c>
      <c r="M2389" s="59"/>
      <c r="N2389" s="59"/>
      <c r="O2389" s="59"/>
      <c r="P2389" s="59"/>
      <c r="Q2389" s="59"/>
      <c r="R2389" s="60">
        <f>IF(AND(P2389="",Q2389=""),"",N(P2389)+N(Q2389))</f>
        <v/>
      </c>
      <c r="S2389" s="59"/>
      <c r="T2389" s="59"/>
      <c r="U2389" s="62">
        <f>IF(OR(R2389="",S2389="",T2389=""),"",IF(S2389+T2389=0,"",R2389/(S2389+T2389)))</f>
        <v/>
      </c>
      <c r="V2389" s="63"/>
      <c r="W2389" s="64"/>
      <c r="X2389" s="63"/>
    </row>
    <row r="2390" spans="2:24">
      <c r="B2390" s="58"/>
      <c r="C2390" s="59"/>
      <c r="D2390" s="59"/>
      <c r="E2390" s="59"/>
      <c r="F2390" s="59"/>
      <c r="G2390" s="60">
        <f>IF(OR(E2390="",F2390="",C2390="",D2390=""),"",IF(C2390+D2390=0,"",(E2390*C2390+F2390*D2390)/(C2390+D2390)))</f>
        <v/>
      </c>
      <c r="H2390" s="59"/>
      <c r="I2390" s="60">
        <f>IF(OR(H2390="",E2390="",C2390="",D2390=""),"",IF(C2390+D2390=0,"",(H2390*D2390+E2390*C2390)/(C2390+D2390)))</f>
        <v/>
      </c>
      <c r="J2390" s="59"/>
      <c r="K2390" s="61">
        <f>IF(OR(J2390="",I2390=""),"",J2390-I2390)</f>
        <v/>
      </c>
      <c r="L2390" s="61">
        <f>IF(OR(J2390="",G2390=""),"",J2390-G2390)</f>
        <v/>
      </c>
      <c r="M2390" s="59"/>
      <c r="N2390" s="59"/>
      <c r="O2390" s="59"/>
      <c r="P2390" s="59"/>
      <c r="Q2390" s="59"/>
      <c r="R2390" s="60">
        <f>IF(AND(P2390="",Q2390=""),"",N(P2390)+N(Q2390))</f>
        <v/>
      </c>
      <c r="S2390" s="59"/>
      <c r="T2390" s="59"/>
      <c r="U2390" s="62">
        <f>IF(OR(R2390="",S2390="",T2390=""),"",IF(S2390+T2390=0,"",R2390/(S2390+T2390)))</f>
        <v/>
      </c>
      <c r="V2390" s="63"/>
      <c r="W2390" s="64"/>
      <c r="X2390" s="63"/>
    </row>
    <row r="2391" spans="2:24">
      <c r="B2391" s="58"/>
      <c r="C2391" s="59"/>
      <c r="D2391" s="59"/>
      <c r="E2391" s="59"/>
      <c r="F2391" s="59"/>
      <c r="G2391" s="60">
        <f>IF(OR(E2391="",F2391="",C2391="",D2391=""),"",IF(C2391+D2391=0,"",(E2391*C2391+F2391*D2391)/(C2391+D2391)))</f>
        <v/>
      </c>
      <c r="H2391" s="59"/>
      <c r="I2391" s="60">
        <f>IF(OR(H2391="",E2391="",C2391="",D2391=""),"",IF(C2391+D2391=0,"",(H2391*D2391+E2391*C2391)/(C2391+D2391)))</f>
        <v/>
      </c>
      <c r="J2391" s="59"/>
      <c r="K2391" s="61">
        <f>IF(OR(J2391="",I2391=""),"",J2391-I2391)</f>
        <v/>
      </c>
      <c r="L2391" s="61">
        <f>IF(OR(J2391="",G2391=""),"",J2391-G2391)</f>
        <v/>
      </c>
      <c r="M2391" s="59"/>
      <c r="N2391" s="59"/>
      <c r="O2391" s="59"/>
      <c r="P2391" s="59"/>
      <c r="Q2391" s="59"/>
      <c r="R2391" s="60">
        <f>IF(AND(P2391="",Q2391=""),"",N(P2391)+N(Q2391))</f>
        <v/>
      </c>
      <c r="S2391" s="59"/>
      <c r="T2391" s="59"/>
      <c r="U2391" s="62">
        <f>IF(OR(R2391="",S2391="",T2391=""),"",IF(S2391+T2391=0,"",R2391/(S2391+T2391)))</f>
        <v/>
      </c>
      <c r="V2391" s="63"/>
      <c r="W2391" s="64"/>
      <c r="X2391" s="63"/>
    </row>
    <row r="2392" spans="2:24">
      <c r="B2392" s="58"/>
      <c r="C2392" s="59"/>
      <c r="D2392" s="59"/>
      <c r="E2392" s="59"/>
      <c r="F2392" s="59"/>
      <c r="G2392" s="60">
        <f>IF(OR(E2392="",F2392="",C2392="",D2392=""),"",IF(C2392+D2392=0,"",(E2392*C2392+F2392*D2392)/(C2392+D2392)))</f>
        <v/>
      </c>
      <c r="H2392" s="59"/>
      <c r="I2392" s="60">
        <f>IF(OR(H2392="",E2392="",C2392="",D2392=""),"",IF(C2392+D2392=0,"",(H2392*D2392+E2392*C2392)/(C2392+D2392)))</f>
        <v/>
      </c>
      <c r="J2392" s="59"/>
      <c r="K2392" s="61">
        <f>IF(OR(J2392="",I2392=""),"",J2392-I2392)</f>
        <v/>
      </c>
      <c r="L2392" s="61">
        <f>IF(OR(J2392="",G2392=""),"",J2392-G2392)</f>
        <v/>
      </c>
      <c r="M2392" s="59"/>
      <c r="N2392" s="59"/>
      <c r="O2392" s="59"/>
      <c r="P2392" s="59"/>
      <c r="Q2392" s="59"/>
      <c r="R2392" s="60">
        <f>IF(AND(P2392="",Q2392=""),"",N(P2392)+N(Q2392))</f>
        <v/>
      </c>
      <c r="S2392" s="59"/>
      <c r="T2392" s="59"/>
      <c r="U2392" s="62">
        <f>IF(OR(R2392="",S2392="",T2392=""),"",IF(S2392+T2392=0,"",R2392/(S2392+T2392)))</f>
        <v/>
      </c>
      <c r="V2392" s="63"/>
      <c r="W2392" s="64"/>
      <c r="X2392" s="63"/>
    </row>
    <row r="2393" spans="2:24">
      <c r="B2393" s="58"/>
      <c r="C2393" s="59"/>
      <c r="D2393" s="59"/>
      <c r="E2393" s="59"/>
      <c r="F2393" s="59"/>
      <c r="G2393" s="60">
        <f>IF(OR(E2393="",F2393="",C2393="",D2393=""),"",IF(C2393+D2393=0,"",(E2393*C2393+F2393*D2393)/(C2393+D2393)))</f>
        <v/>
      </c>
      <c r="H2393" s="59"/>
      <c r="I2393" s="60">
        <f>IF(OR(H2393="",E2393="",C2393="",D2393=""),"",IF(C2393+D2393=0,"",(H2393*D2393+E2393*C2393)/(C2393+D2393)))</f>
        <v/>
      </c>
      <c r="J2393" s="59"/>
      <c r="K2393" s="61">
        <f>IF(OR(J2393="",I2393=""),"",J2393-I2393)</f>
        <v/>
      </c>
      <c r="L2393" s="61">
        <f>IF(OR(J2393="",G2393=""),"",J2393-G2393)</f>
        <v/>
      </c>
      <c r="M2393" s="59"/>
      <c r="N2393" s="59"/>
      <c r="O2393" s="59"/>
      <c r="P2393" s="59"/>
      <c r="Q2393" s="59"/>
      <c r="R2393" s="60">
        <f>IF(AND(P2393="",Q2393=""),"",N(P2393)+N(Q2393))</f>
        <v/>
      </c>
      <c r="S2393" s="59"/>
      <c r="T2393" s="59"/>
      <c r="U2393" s="62">
        <f>IF(OR(R2393="",S2393="",T2393=""),"",IF(S2393+T2393=0,"",R2393/(S2393+T2393)))</f>
        <v/>
      </c>
      <c r="V2393" s="63"/>
      <c r="W2393" s="64"/>
      <c r="X2393" s="63"/>
    </row>
    <row r="2394" spans="2:24">
      <c r="B2394" s="58"/>
      <c r="C2394" s="59"/>
      <c r="D2394" s="59"/>
      <c r="E2394" s="59"/>
      <c r="F2394" s="59"/>
      <c r="G2394" s="60">
        <f>IF(OR(E2394="",F2394="",C2394="",D2394=""),"",IF(C2394+D2394=0,"",(E2394*C2394+F2394*D2394)/(C2394+D2394)))</f>
        <v/>
      </c>
      <c r="H2394" s="59"/>
      <c r="I2394" s="60">
        <f>IF(OR(H2394="",E2394="",C2394="",D2394=""),"",IF(C2394+D2394=0,"",(H2394*D2394+E2394*C2394)/(C2394+D2394)))</f>
        <v/>
      </c>
      <c r="J2394" s="59"/>
      <c r="K2394" s="61">
        <f>IF(OR(J2394="",I2394=""),"",J2394-I2394)</f>
        <v/>
      </c>
      <c r="L2394" s="61">
        <f>IF(OR(J2394="",G2394=""),"",J2394-G2394)</f>
        <v/>
      </c>
      <c r="M2394" s="59"/>
      <c r="N2394" s="59"/>
      <c r="O2394" s="59"/>
      <c r="P2394" s="59"/>
      <c r="Q2394" s="59"/>
      <c r="R2394" s="60">
        <f>IF(AND(P2394="",Q2394=""),"",N(P2394)+N(Q2394))</f>
        <v/>
      </c>
      <c r="S2394" s="59"/>
      <c r="T2394" s="59"/>
      <c r="U2394" s="62">
        <f>IF(OR(R2394="",S2394="",T2394=""),"",IF(S2394+T2394=0,"",R2394/(S2394+T2394)))</f>
        <v/>
      </c>
      <c r="V2394" s="63"/>
      <c r="W2394" s="64"/>
      <c r="X2394" s="63"/>
    </row>
    <row r="2395" spans="2:24">
      <c r="B2395" s="58"/>
      <c r="C2395" s="59"/>
      <c r="D2395" s="59"/>
      <c r="E2395" s="59"/>
      <c r="F2395" s="59"/>
      <c r="G2395" s="60">
        <f>IF(OR(E2395="",F2395="",C2395="",D2395=""),"",IF(C2395+D2395=0,"",(E2395*C2395+F2395*D2395)/(C2395+D2395)))</f>
        <v/>
      </c>
      <c r="H2395" s="59"/>
      <c r="I2395" s="60">
        <f>IF(OR(H2395="",E2395="",C2395="",D2395=""),"",IF(C2395+D2395=0,"",(H2395*D2395+E2395*C2395)/(C2395+D2395)))</f>
        <v/>
      </c>
      <c r="J2395" s="59"/>
      <c r="K2395" s="61">
        <f>IF(OR(J2395="",I2395=""),"",J2395-I2395)</f>
        <v/>
      </c>
      <c r="L2395" s="61">
        <f>IF(OR(J2395="",G2395=""),"",J2395-G2395)</f>
        <v/>
      </c>
      <c r="M2395" s="59"/>
      <c r="N2395" s="59"/>
      <c r="O2395" s="59"/>
      <c r="P2395" s="59"/>
      <c r="Q2395" s="59"/>
      <c r="R2395" s="60">
        <f>IF(AND(P2395="",Q2395=""),"",N(P2395)+N(Q2395))</f>
        <v/>
      </c>
      <c r="S2395" s="59"/>
      <c r="T2395" s="59"/>
      <c r="U2395" s="62">
        <f>IF(OR(R2395="",S2395="",T2395=""),"",IF(S2395+T2395=0,"",R2395/(S2395+T2395)))</f>
        <v/>
      </c>
      <c r="V2395" s="63"/>
      <c r="W2395" s="64"/>
      <c r="X2395" s="63"/>
    </row>
    <row r="2396" spans="2:24">
      <c r="B2396" s="58"/>
      <c r="C2396" s="59"/>
      <c r="D2396" s="59"/>
      <c r="E2396" s="59"/>
      <c r="F2396" s="59"/>
      <c r="G2396" s="60">
        <f>IF(OR(E2396="",F2396="",C2396="",D2396=""),"",IF(C2396+D2396=0,"",(E2396*C2396+F2396*D2396)/(C2396+D2396)))</f>
        <v/>
      </c>
      <c r="H2396" s="59"/>
      <c r="I2396" s="60">
        <f>IF(OR(H2396="",E2396="",C2396="",D2396=""),"",IF(C2396+D2396=0,"",(H2396*D2396+E2396*C2396)/(C2396+D2396)))</f>
        <v/>
      </c>
      <c r="J2396" s="59"/>
      <c r="K2396" s="61">
        <f>IF(OR(J2396="",I2396=""),"",J2396-I2396)</f>
        <v/>
      </c>
      <c r="L2396" s="61">
        <f>IF(OR(J2396="",G2396=""),"",J2396-G2396)</f>
        <v/>
      </c>
      <c r="M2396" s="59"/>
      <c r="N2396" s="59"/>
      <c r="O2396" s="59"/>
      <c r="P2396" s="59"/>
      <c r="Q2396" s="59"/>
      <c r="R2396" s="60">
        <f>IF(AND(P2396="",Q2396=""),"",N(P2396)+N(Q2396))</f>
        <v/>
      </c>
      <c r="S2396" s="59"/>
      <c r="T2396" s="59"/>
      <c r="U2396" s="62">
        <f>IF(OR(R2396="",S2396="",T2396=""),"",IF(S2396+T2396=0,"",R2396/(S2396+T2396)))</f>
        <v/>
      </c>
      <c r="V2396" s="63"/>
      <c r="W2396" s="64"/>
      <c r="X2396" s="63"/>
    </row>
    <row r="2397" spans="2:24">
      <c r="B2397" s="58"/>
      <c r="C2397" s="59"/>
      <c r="D2397" s="59"/>
      <c r="E2397" s="59"/>
      <c r="F2397" s="59"/>
      <c r="G2397" s="60">
        <f>IF(OR(E2397="",F2397="",C2397="",D2397=""),"",IF(C2397+D2397=0,"",(E2397*C2397+F2397*D2397)/(C2397+D2397)))</f>
        <v/>
      </c>
      <c r="H2397" s="59"/>
      <c r="I2397" s="60">
        <f>IF(OR(H2397="",E2397="",C2397="",D2397=""),"",IF(C2397+D2397=0,"",(H2397*D2397+E2397*C2397)/(C2397+D2397)))</f>
        <v/>
      </c>
      <c r="J2397" s="59"/>
      <c r="K2397" s="61">
        <f>IF(OR(J2397="",I2397=""),"",J2397-I2397)</f>
        <v/>
      </c>
      <c r="L2397" s="61">
        <f>IF(OR(J2397="",G2397=""),"",J2397-G2397)</f>
        <v/>
      </c>
      <c r="M2397" s="59"/>
      <c r="N2397" s="59"/>
      <c r="O2397" s="59"/>
      <c r="P2397" s="59"/>
      <c r="Q2397" s="59"/>
      <c r="R2397" s="60">
        <f>IF(AND(P2397="",Q2397=""),"",N(P2397)+N(Q2397))</f>
        <v/>
      </c>
      <c r="S2397" s="59"/>
      <c r="T2397" s="59"/>
      <c r="U2397" s="62">
        <f>IF(OR(R2397="",S2397="",T2397=""),"",IF(S2397+T2397=0,"",R2397/(S2397+T2397)))</f>
        <v/>
      </c>
      <c r="V2397" s="63"/>
      <c r="W2397" s="64"/>
      <c r="X2397" s="63"/>
    </row>
    <row r="2398" spans="2:24">
      <c r="B2398" s="58"/>
      <c r="C2398" s="59"/>
      <c r="D2398" s="59"/>
      <c r="E2398" s="59"/>
      <c r="F2398" s="59"/>
      <c r="G2398" s="60">
        <f>IF(OR(E2398="",F2398="",C2398="",D2398=""),"",IF(C2398+D2398=0,"",(E2398*C2398+F2398*D2398)/(C2398+D2398)))</f>
        <v/>
      </c>
      <c r="H2398" s="59"/>
      <c r="I2398" s="60">
        <f>IF(OR(H2398="",E2398="",C2398="",D2398=""),"",IF(C2398+D2398=0,"",(H2398*D2398+E2398*C2398)/(C2398+D2398)))</f>
        <v/>
      </c>
      <c r="J2398" s="59"/>
      <c r="K2398" s="61">
        <f>IF(OR(J2398="",I2398=""),"",J2398-I2398)</f>
        <v/>
      </c>
      <c r="L2398" s="61">
        <f>IF(OR(J2398="",G2398=""),"",J2398-G2398)</f>
        <v/>
      </c>
      <c r="M2398" s="59"/>
      <c r="N2398" s="59"/>
      <c r="O2398" s="59"/>
      <c r="P2398" s="59"/>
      <c r="Q2398" s="59"/>
      <c r="R2398" s="60">
        <f>IF(AND(P2398="",Q2398=""),"",N(P2398)+N(Q2398))</f>
        <v/>
      </c>
      <c r="S2398" s="59"/>
      <c r="T2398" s="59"/>
      <c r="U2398" s="62">
        <f>IF(OR(R2398="",S2398="",T2398=""),"",IF(S2398+T2398=0,"",R2398/(S2398+T2398)))</f>
        <v/>
      </c>
      <c r="V2398" s="63"/>
      <c r="W2398" s="64"/>
      <c r="X2398" s="63"/>
    </row>
    <row r="2399" spans="2:24">
      <c r="B2399" s="58"/>
      <c r="C2399" s="59"/>
      <c r="D2399" s="59"/>
      <c r="E2399" s="59"/>
      <c r="F2399" s="59"/>
      <c r="G2399" s="60">
        <f>IF(OR(E2399="",F2399="",C2399="",D2399=""),"",IF(C2399+D2399=0,"",(E2399*C2399+F2399*D2399)/(C2399+D2399)))</f>
        <v/>
      </c>
      <c r="H2399" s="59"/>
      <c r="I2399" s="60">
        <f>IF(OR(H2399="",E2399="",C2399="",D2399=""),"",IF(C2399+D2399=0,"",(H2399*D2399+E2399*C2399)/(C2399+D2399)))</f>
        <v/>
      </c>
      <c r="J2399" s="59"/>
      <c r="K2399" s="61">
        <f>IF(OR(J2399="",I2399=""),"",J2399-I2399)</f>
        <v/>
      </c>
      <c r="L2399" s="61">
        <f>IF(OR(J2399="",G2399=""),"",J2399-G2399)</f>
        <v/>
      </c>
      <c r="M2399" s="59"/>
      <c r="N2399" s="59"/>
      <c r="O2399" s="59"/>
      <c r="P2399" s="59"/>
      <c r="Q2399" s="59"/>
      <c r="R2399" s="60">
        <f>IF(AND(P2399="",Q2399=""),"",N(P2399)+N(Q2399))</f>
        <v/>
      </c>
      <c r="S2399" s="59"/>
      <c r="T2399" s="59"/>
      <c r="U2399" s="62">
        <f>IF(OR(R2399="",S2399="",T2399=""),"",IF(S2399+T2399=0,"",R2399/(S2399+T2399)))</f>
        <v/>
      </c>
      <c r="V2399" s="63"/>
      <c r="W2399" s="64"/>
      <c r="X2399" s="63"/>
    </row>
    <row r="2400" spans="2:24">
      <c r="B2400" s="58"/>
      <c r="C2400" s="59"/>
      <c r="D2400" s="59"/>
      <c r="E2400" s="59"/>
      <c r="F2400" s="59"/>
      <c r="G2400" s="60">
        <f>IF(OR(E2400="",F2400="",C2400="",D2400=""),"",IF(C2400+D2400=0,"",(E2400*C2400+F2400*D2400)/(C2400+D2400)))</f>
        <v/>
      </c>
      <c r="H2400" s="59"/>
      <c r="I2400" s="60">
        <f>IF(OR(H2400="",E2400="",C2400="",D2400=""),"",IF(C2400+D2400=0,"",(H2400*D2400+E2400*C2400)/(C2400+D2400)))</f>
        <v/>
      </c>
      <c r="J2400" s="59"/>
      <c r="K2400" s="61">
        <f>IF(OR(J2400="",I2400=""),"",J2400-I2400)</f>
        <v/>
      </c>
      <c r="L2400" s="61">
        <f>IF(OR(J2400="",G2400=""),"",J2400-G2400)</f>
        <v/>
      </c>
      <c r="M2400" s="59"/>
      <c r="N2400" s="59"/>
      <c r="O2400" s="59"/>
      <c r="P2400" s="59"/>
      <c r="Q2400" s="59"/>
      <c r="R2400" s="60">
        <f>IF(AND(P2400="",Q2400=""),"",N(P2400)+N(Q2400))</f>
        <v/>
      </c>
      <c r="S2400" s="59"/>
      <c r="T2400" s="59"/>
      <c r="U2400" s="62">
        <f>IF(OR(R2400="",S2400="",T2400=""),"",IF(S2400+T2400=0,"",R2400/(S2400+T2400)))</f>
        <v/>
      </c>
      <c r="V2400" s="63"/>
      <c r="W2400" s="64"/>
      <c r="X2400" s="63"/>
    </row>
    <row r="2401" spans="2:24">
      <c r="B2401" s="58"/>
      <c r="C2401" s="59"/>
      <c r="D2401" s="59"/>
      <c r="E2401" s="59"/>
      <c r="F2401" s="59"/>
      <c r="G2401" s="60">
        <f>IF(OR(E2401="",F2401="",C2401="",D2401=""),"",IF(C2401+D2401=0,"",(E2401*C2401+F2401*D2401)/(C2401+D2401)))</f>
        <v/>
      </c>
      <c r="H2401" s="59"/>
      <c r="I2401" s="60">
        <f>IF(OR(H2401="",E2401="",C2401="",D2401=""),"",IF(C2401+D2401=0,"",(H2401*D2401+E2401*C2401)/(C2401+D2401)))</f>
        <v/>
      </c>
      <c r="J2401" s="59"/>
      <c r="K2401" s="61">
        <f>IF(OR(J2401="",I2401=""),"",J2401-I2401)</f>
        <v/>
      </c>
      <c r="L2401" s="61">
        <f>IF(OR(J2401="",G2401=""),"",J2401-G2401)</f>
        <v/>
      </c>
      <c r="M2401" s="59"/>
      <c r="N2401" s="59"/>
      <c r="O2401" s="59"/>
      <c r="P2401" s="59"/>
      <c r="Q2401" s="59"/>
      <c r="R2401" s="60">
        <f>IF(AND(P2401="",Q2401=""),"",N(P2401)+N(Q2401))</f>
        <v/>
      </c>
      <c r="S2401" s="59"/>
      <c r="T2401" s="59"/>
      <c r="U2401" s="62">
        <f>IF(OR(R2401="",S2401="",T2401=""),"",IF(S2401+T2401=0,"",R2401/(S2401+T2401)))</f>
        <v/>
      </c>
      <c r="V2401" s="63"/>
      <c r="W2401" s="64"/>
      <c r="X2401" s="63"/>
    </row>
    <row r="2402" spans="2:24">
      <c r="B2402" s="58"/>
      <c r="C2402" s="59"/>
      <c r="D2402" s="59"/>
      <c r="E2402" s="59"/>
      <c r="F2402" s="59"/>
      <c r="G2402" s="60">
        <f>IF(OR(E2402="",F2402="",C2402="",D2402=""),"",IF(C2402+D2402=0,"",(E2402*C2402+F2402*D2402)/(C2402+D2402)))</f>
        <v/>
      </c>
      <c r="H2402" s="59"/>
      <c r="I2402" s="60">
        <f>IF(OR(H2402="",E2402="",C2402="",D2402=""),"",IF(C2402+D2402=0,"",(H2402*D2402+E2402*C2402)/(C2402+D2402)))</f>
        <v/>
      </c>
      <c r="J2402" s="59"/>
      <c r="K2402" s="61">
        <f>IF(OR(J2402="",I2402=""),"",J2402-I2402)</f>
        <v/>
      </c>
      <c r="L2402" s="61">
        <f>IF(OR(J2402="",G2402=""),"",J2402-G2402)</f>
        <v/>
      </c>
      <c r="M2402" s="59"/>
      <c r="N2402" s="59"/>
      <c r="O2402" s="59"/>
      <c r="P2402" s="59"/>
      <c r="Q2402" s="59"/>
      <c r="R2402" s="60">
        <f>IF(AND(P2402="",Q2402=""),"",N(P2402)+N(Q2402))</f>
        <v/>
      </c>
      <c r="S2402" s="59"/>
      <c r="T2402" s="59"/>
      <c r="U2402" s="62">
        <f>IF(OR(R2402="",S2402="",T2402=""),"",IF(S2402+T2402=0,"",R2402/(S2402+T2402)))</f>
        <v/>
      </c>
      <c r="V2402" s="63"/>
      <c r="W2402" s="64"/>
      <c r="X2402" s="63"/>
    </row>
    <row r="2403" spans="2:24">
      <c r="B2403" s="58"/>
      <c r="C2403" s="59"/>
      <c r="D2403" s="59"/>
      <c r="E2403" s="59"/>
      <c r="F2403" s="59"/>
      <c r="G2403" s="60">
        <f>IF(OR(E2403="",F2403="",C2403="",D2403=""),"",IF(C2403+D2403=0,"",(E2403*C2403+F2403*D2403)/(C2403+D2403)))</f>
        <v/>
      </c>
      <c r="H2403" s="59"/>
      <c r="I2403" s="60">
        <f>IF(OR(H2403="",E2403="",C2403="",D2403=""),"",IF(C2403+D2403=0,"",(H2403*D2403+E2403*C2403)/(C2403+D2403)))</f>
        <v/>
      </c>
      <c r="J2403" s="59"/>
      <c r="K2403" s="61">
        <f>IF(OR(J2403="",I2403=""),"",J2403-I2403)</f>
        <v/>
      </c>
      <c r="L2403" s="61">
        <f>IF(OR(J2403="",G2403=""),"",J2403-G2403)</f>
        <v/>
      </c>
      <c r="M2403" s="59"/>
      <c r="N2403" s="59"/>
      <c r="O2403" s="59"/>
      <c r="P2403" s="59"/>
      <c r="Q2403" s="59"/>
      <c r="R2403" s="60">
        <f>IF(AND(P2403="",Q2403=""),"",N(P2403)+N(Q2403))</f>
        <v/>
      </c>
      <c r="S2403" s="59"/>
      <c r="T2403" s="59"/>
      <c r="U2403" s="62">
        <f>IF(OR(R2403="",S2403="",T2403=""),"",IF(S2403+T2403=0,"",R2403/(S2403+T2403)))</f>
        <v/>
      </c>
      <c r="V2403" s="63"/>
      <c r="W2403" s="64"/>
      <c r="X2403" s="63"/>
    </row>
    <row r="2404" spans="2:24">
      <c r="B2404" s="58"/>
      <c r="C2404" s="59"/>
      <c r="D2404" s="59"/>
      <c r="E2404" s="59"/>
      <c r="F2404" s="59"/>
      <c r="G2404" s="60">
        <f>IF(OR(E2404="",F2404="",C2404="",D2404=""),"",IF(C2404+D2404=0,"",(E2404*C2404+F2404*D2404)/(C2404+D2404)))</f>
        <v/>
      </c>
      <c r="H2404" s="59"/>
      <c r="I2404" s="60">
        <f>IF(OR(H2404="",E2404="",C2404="",D2404=""),"",IF(C2404+D2404=0,"",(H2404*D2404+E2404*C2404)/(C2404+D2404)))</f>
        <v/>
      </c>
      <c r="J2404" s="59"/>
      <c r="K2404" s="61">
        <f>IF(OR(J2404="",I2404=""),"",J2404-I2404)</f>
        <v/>
      </c>
      <c r="L2404" s="61">
        <f>IF(OR(J2404="",G2404=""),"",J2404-G2404)</f>
        <v/>
      </c>
      <c r="M2404" s="59"/>
      <c r="N2404" s="59"/>
      <c r="O2404" s="59"/>
      <c r="P2404" s="59"/>
      <c r="Q2404" s="59"/>
      <c r="R2404" s="60">
        <f>IF(AND(P2404="",Q2404=""),"",N(P2404)+N(Q2404))</f>
        <v/>
      </c>
      <c r="S2404" s="59"/>
      <c r="T2404" s="59"/>
      <c r="U2404" s="62">
        <f>IF(OR(R2404="",S2404="",T2404=""),"",IF(S2404+T2404=0,"",R2404/(S2404+T2404)))</f>
        <v/>
      </c>
      <c r="V2404" s="63"/>
      <c r="W2404" s="64"/>
      <c r="X2404" s="63"/>
    </row>
    <row r="2405" spans="2:24">
      <c r="B2405" s="58"/>
      <c r="C2405" s="59"/>
      <c r="D2405" s="59"/>
      <c r="E2405" s="59"/>
      <c r="F2405" s="59"/>
      <c r="G2405" s="60">
        <f>IF(OR(E2405="",F2405="",C2405="",D2405=""),"",IF(C2405+D2405=0,"",(E2405*C2405+F2405*D2405)/(C2405+D2405)))</f>
        <v/>
      </c>
      <c r="H2405" s="59"/>
      <c r="I2405" s="60">
        <f>IF(OR(H2405="",E2405="",C2405="",D2405=""),"",IF(C2405+D2405=0,"",(H2405*D2405+E2405*C2405)/(C2405+D2405)))</f>
        <v/>
      </c>
      <c r="J2405" s="59"/>
      <c r="K2405" s="61">
        <f>IF(OR(J2405="",I2405=""),"",J2405-I2405)</f>
        <v/>
      </c>
      <c r="L2405" s="61">
        <f>IF(OR(J2405="",G2405=""),"",J2405-G2405)</f>
        <v/>
      </c>
      <c r="M2405" s="59"/>
      <c r="N2405" s="59"/>
      <c r="O2405" s="59"/>
      <c r="P2405" s="59"/>
      <c r="Q2405" s="59"/>
      <c r="R2405" s="60">
        <f>IF(AND(P2405="",Q2405=""),"",N(P2405)+N(Q2405))</f>
        <v/>
      </c>
      <c r="S2405" s="59"/>
      <c r="T2405" s="59"/>
      <c r="U2405" s="62">
        <f>IF(OR(R2405="",S2405="",T2405=""),"",IF(S2405+T2405=0,"",R2405/(S2405+T2405)))</f>
        <v/>
      </c>
      <c r="V2405" s="63"/>
      <c r="W2405" s="64"/>
      <c r="X2405" s="63"/>
    </row>
    <row r="2406" spans="2:24">
      <c r="B2406" s="58"/>
      <c r="C2406" s="59"/>
      <c r="D2406" s="59"/>
      <c r="E2406" s="59"/>
      <c r="F2406" s="59"/>
      <c r="G2406" s="60">
        <f>IF(OR(E2406="",F2406="",C2406="",D2406=""),"",IF(C2406+D2406=0,"",(E2406*C2406+F2406*D2406)/(C2406+D2406)))</f>
        <v/>
      </c>
      <c r="H2406" s="59"/>
      <c r="I2406" s="60">
        <f>IF(OR(H2406="",E2406="",C2406="",D2406=""),"",IF(C2406+D2406=0,"",(H2406*D2406+E2406*C2406)/(C2406+D2406)))</f>
        <v/>
      </c>
      <c r="J2406" s="59"/>
      <c r="K2406" s="61">
        <f>IF(OR(J2406="",I2406=""),"",J2406-I2406)</f>
        <v/>
      </c>
      <c r="L2406" s="61">
        <f>IF(OR(J2406="",G2406=""),"",J2406-G2406)</f>
        <v/>
      </c>
      <c r="M2406" s="59"/>
      <c r="N2406" s="59"/>
      <c r="O2406" s="59"/>
      <c r="P2406" s="59"/>
      <c r="Q2406" s="59"/>
      <c r="R2406" s="60">
        <f>IF(AND(P2406="",Q2406=""),"",N(P2406)+N(Q2406))</f>
        <v/>
      </c>
      <c r="S2406" s="59"/>
      <c r="T2406" s="59"/>
      <c r="U2406" s="62">
        <f>IF(OR(R2406="",S2406="",T2406=""),"",IF(S2406+T2406=0,"",R2406/(S2406+T2406)))</f>
        <v/>
      </c>
      <c r="V2406" s="63"/>
      <c r="W2406" s="64"/>
      <c r="X2406" s="63"/>
    </row>
    <row r="2407" spans="2:24">
      <c r="B2407" s="58"/>
      <c r="C2407" s="59"/>
      <c r="D2407" s="59"/>
      <c r="E2407" s="59"/>
      <c r="F2407" s="59"/>
      <c r="G2407" s="60">
        <f>IF(OR(E2407="",F2407="",C2407="",D2407=""),"",IF(C2407+D2407=0,"",(E2407*C2407+F2407*D2407)/(C2407+D2407)))</f>
        <v/>
      </c>
      <c r="H2407" s="59"/>
      <c r="I2407" s="60">
        <f>IF(OR(H2407="",E2407="",C2407="",D2407=""),"",IF(C2407+D2407=0,"",(H2407*D2407+E2407*C2407)/(C2407+D2407)))</f>
        <v/>
      </c>
      <c r="J2407" s="59"/>
      <c r="K2407" s="61">
        <f>IF(OR(J2407="",I2407=""),"",J2407-I2407)</f>
        <v/>
      </c>
      <c r="L2407" s="61">
        <f>IF(OR(J2407="",G2407=""),"",J2407-G2407)</f>
        <v/>
      </c>
      <c r="M2407" s="59"/>
      <c r="N2407" s="59"/>
      <c r="O2407" s="59"/>
      <c r="P2407" s="59"/>
      <c r="Q2407" s="59"/>
      <c r="R2407" s="60">
        <f>IF(AND(P2407="",Q2407=""),"",N(P2407)+N(Q2407))</f>
        <v/>
      </c>
      <c r="S2407" s="59"/>
      <c r="T2407" s="59"/>
      <c r="U2407" s="62">
        <f>IF(OR(R2407="",S2407="",T2407=""),"",IF(S2407+T2407=0,"",R2407/(S2407+T2407)))</f>
        <v/>
      </c>
      <c r="V2407" s="63"/>
      <c r="W2407" s="64"/>
      <c r="X2407" s="63"/>
    </row>
    <row r="2408" spans="2:24">
      <c r="B2408" s="58"/>
      <c r="C2408" s="59"/>
      <c r="D2408" s="59"/>
      <c r="E2408" s="59"/>
      <c r="F2408" s="59"/>
      <c r="G2408" s="60">
        <f>IF(OR(E2408="",F2408="",C2408="",D2408=""),"",IF(C2408+D2408=0,"",(E2408*C2408+F2408*D2408)/(C2408+D2408)))</f>
        <v/>
      </c>
      <c r="H2408" s="59"/>
      <c r="I2408" s="60">
        <f>IF(OR(H2408="",E2408="",C2408="",D2408=""),"",IF(C2408+D2408=0,"",(H2408*D2408+E2408*C2408)/(C2408+D2408)))</f>
        <v/>
      </c>
      <c r="J2408" s="59"/>
      <c r="K2408" s="61">
        <f>IF(OR(J2408="",I2408=""),"",J2408-I2408)</f>
        <v/>
      </c>
      <c r="L2408" s="61">
        <f>IF(OR(J2408="",G2408=""),"",J2408-G2408)</f>
        <v/>
      </c>
      <c r="M2408" s="59"/>
      <c r="N2408" s="59"/>
      <c r="O2408" s="59"/>
      <c r="P2408" s="59"/>
      <c r="Q2408" s="59"/>
      <c r="R2408" s="60">
        <f>IF(AND(P2408="",Q2408=""),"",N(P2408)+N(Q2408))</f>
        <v/>
      </c>
      <c r="S2408" s="59"/>
      <c r="T2408" s="59"/>
      <c r="U2408" s="62">
        <f>IF(OR(R2408="",S2408="",T2408=""),"",IF(S2408+T2408=0,"",R2408/(S2408+T2408)))</f>
        <v/>
      </c>
      <c r="V2408" s="63"/>
      <c r="W2408" s="64"/>
      <c r="X2408" s="63"/>
    </row>
    <row r="2409" spans="2:24">
      <c r="B2409" s="58"/>
      <c r="C2409" s="59"/>
      <c r="D2409" s="59"/>
      <c r="E2409" s="59"/>
      <c r="F2409" s="59"/>
      <c r="G2409" s="60">
        <f>IF(OR(E2409="",F2409="",C2409="",D2409=""),"",IF(C2409+D2409=0,"",(E2409*C2409+F2409*D2409)/(C2409+D2409)))</f>
        <v/>
      </c>
      <c r="H2409" s="59"/>
      <c r="I2409" s="60">
        <f>IF(OR(H2409="",E2409="",C2409="",D2409=""),"",IF(C2409+D2409=0,"",(H2409*D2409+E2409*C2409)/(C2409+D2409)))</f>
        <v/>
      </c>
      <c r="J2409" s="59"/>
      <c r="K2409" s="61">
        <f>IF(OR(J2409="",I2409=""),"",J2409-I2409)</f>
        <v/>
      </c>
      <c r="L2409" s="61">
        <f>IF(OR(J2409="",G2409=""),"",J2409-G2409)</f>
        <v/>
      </c>
      <c r="M2409" s="59"/>
      <c r="N2409" s="59"/>
      <c r="O2409" s="59"/>
      <c r="P2409" s="59"/>
      <c r="Q2409" s="59"/>
      <c r="R2409" s="60">
        <f>IF(AND(P2409="",Q2409=""),"",N(P2409)+N(Q2409))</f>
        <v/>
      </c>
      <c r="S2409" s="59"/>
      <c r="T2409" s="59"/>
      <c r="U2409" s="62">
        <f>IF(OR(R2409="",S2409="",T2409=""),"",IF(S2409+T2409=0,"",R2409/(S2409+T2409)))</f>
        <v/>
      </c>
      <c r="V2409" s="63"/>
      <c r="W2409" s="64"/>
      <c r="X2409" s="63"/>
    </row>
    <row r="2410" spans="2:24">
      <c r="B2410" s="58"/>
      <c r="C2410" s="59"/>
      <c r="D2410" s="59"/>
      <c r="E2410" s="59"/>
      <c r="F2410" s="59"/>
      <c r="G2410" s="60">
        <f>IF(OR(E2410="",F2410="",C2410="",D2410=""),"",IF(C2410+D2410=0,"",(E2410*C2410+F2410*D2410)/(C2410+D2410)))</f>
        <v/>
      </c>
      <c r="H2410" s="59"/>
      <c r="I2410" s="60">
        <f>IF(OR(H2410="",E2410="",C2410="",D2410=""),"",IF(C2410+D2410=0,"",(H2410*D2410+E2410*C2410)/(C2410+D2410)))</f>
        <v/>
      </c>
      <c r="J2410" s="59"/>
      <c r="K2410" s="61">
        <f>IF(OR(J2410="",I2410=""),"",J2410-I2410)</f>
        <v/>
      </c>
      <c r="L2410" s="61">
        <f>IF(OR(J2410="",G2410=""),"",J2410-G2410)</f>
        <v/>
      </c>
      <c r="M2410" s="59"/>
      <c r="N2410" s="59"/>
      <c r="O2410" s="59"/>
      <c r="P2410" s="59"/>
      <c r="Q2410" s="59"/>
      <c r="R2410" s="60">
        <f>IF(AND(P2410="",Q2410=""),"",N(P2410)+N(Q2410))</f>
        <v/>
      </c>
      <c r="S2410" s="59"/>
      <c r="T2410" s="59"/>
      <c r="U2410" s="62">
        <f>IF(OR(R2410="",S2410="",T2410=""),"",IF(S2410+T2410=0,"",R2410/(S2410+T2410)))</f>
        <v/>
      </c>
      <c r="V2410" s="63"/>
      <c r="W2410" s="64"/>
      <c r="X2410" s="63"/>
    </row>
    <row r="2411" spans="2:24">
      <c r="B2411" s="58"/>
      <c r="C2411" s="59"/>
      <c r="D2411" s="59"/>
      <c r="E2411" s="59"/>
      <c r="F2411" s="59"/>
      <c r="G2411" s="60">
        <f>IF(OR(E2411="",F2411="",C2411="",D2411=""),"",IF(C2411+D2411=0,"",(E2411*C2411+F2411*D2411)/(C2411+D2411)))</f>
        <v/>
      </c>
      <c r="H2411" s="59"/>
      <c r="I2411" s="60">
        <f>IF(OR(H2411="",E2411="",C2411="",D2411=""),"",IF(C2411+D2411=0,"",(H2411*D2411+E2411*C2411)/(C2411+D2411)))</f>
        <v/>
      </c>
      <c r="J2411" s="59"/>
      <c r="K2411" s="61">
        <f>IF(OR(J2411="",I2411=""),"",J2411-I2411)</f>
        <v/>
      </c>
      <c r="L2411" s="61">
        <f>IF(OR(J2411="",G2411=""),"",J2411-G2411)</f>
        <v/>
      </c>
      <c r="M2411" s="59"/>
      <c r="N2411" s="59"/>
      <c r="O2411" s="59"/>
      <c r="P2411" s="59"/>
      <c r="Q2411" s="59"/>
      <c r="R2411" s="60">
        <f>IF(AND(P2411="",Q2411=""),"",N(P2411)+N(Q2411))</f>
        <v/>
      </c>
      <c r="S2411" s="59"/>
      <c r="T2411" s="59"/>
      <c r="U2411" s="62">
        <f>IF(OR(R2411="",S2411="",T2411=""),"",IF(S2411+T2411=0,"",R2411/(S2411+T2411)))</f>
        <v/>
      </c>
      <c r="V2411" s="63"/>
      <c r="W2411" s="64"/>
      <c r="X2411" s="63"/>
    </row>
    <row r="2412" spans="2:24">
      <c r="B2412" s="58"/>
      <c r="C2412" s="59"/>
      <c r="D2412" s="59"/>
      <c r="E2412" s="59"/>
      <c r="F2412" s="59"/>
      <c r="G2412" s="60">
        <f>IF(OR(E2412="",F2412="",C2412="",D2412=""),"",IF(C2412+D2412=0,"",(E2412*C2412+F2412*D2412)/(C2412+D2412)))</f>
        <v/>
      </c>
      <c r="H2412" s="59"/>
      <c r="I2412" s="60">
        <f>IF(OR(H2412="",E2412="",C2412="",D2412=""),"",IF(C2412+D2412=0,"",(H2412*D2412+E2412*C2412)/(C2412+D2412)))</f>
        <v/>
      </c>
      <c r="J2412" s="59"/>
      <c r="K2412" s="61">
        <f>IF(OR(J2412="",I2412=""),"",J2412-I2412)</f>
        <v/>
      </c>
      <c r="L2412" s="61">
        <f>IF(OR(J2412="",G2412=""),"",J2412-G2412)</f>
        <v/>
      </c>
      <c r="M2412" s="59"/>
      <c r="N2412" s="59"/>
      <c r="O2412" s="59"/>
      <c r="P2412" s="59"/>
      <c r="Q2412" s="59"/>
      <c r="R2412" s="60">
        <f>IF(AND(P2412="",Q2412=""),"",N(P2412)+N(Q2412))</f>
        <v/>
      </c>
      <c r="S2412" s="59"/>
      <c r="T2412" s="59"/>
      <c r="U2412" s="62">
        <f>IF(OR(R2412="",S2412="",T2412=""),"",IF(S2412+T2412=0,"",R2412/(S2412+T2412)))</f>
        <v/>
      </c>
      <c r="V2412" s="63"/>
      <c r="W2412" s="64"/>
      <c r="X2412" s="63"/>
    </row>
    <row r="2413" spans="2:24">
      <c r="B2413" s="58"/>
      <c r="C2413" s="59"/>
      <c r="D2413" s="59"/>
      <c r="E2413" s="59"/>
      <c r="F2413" s="59"/>
      <c r="G2413" s="60">
        <f>IF(OR(E2413="",F2413="",C2413="",D2413=""),"",IF(C2413+D2413=0,"",(E2413*C2413+F2413*D2413)/(C2413+D2413)))</f>
        <v/>
      </c>
      <c r="H2413" s="59"/>
      <c r="I2413" s="60">
        <f>IF(OR(H2413="",E2413="",C2413="",D2413=""),"",IF(C2413+D2413=0,"",(H2413*D2413+E2413*C2413)/(C2413+D2413)))</f>
        <v/>
      </c>
      <c r="J2413" s="59"/>
      <c r="K2413" s="61">
        <f>IF(OR(J2413="",I2413=""),"",J2413-I2413)</f>
        <v/>
      </c>
      <c r="L2413" s="61">
        <f>IF(OR(J2413="",G2413=""),"",J2413-G2413)</f>
        <v/>
      </c>
      <c r="M2413" s="59"/>
      <c r="N2413" s="59"/>
      <c r="O2413" s="59"/>
      <c r="P2413" s="59"/>
      <c r="Q2413" s="59"/>
      <c r="R2413" s="60">
        <f>IF(AND(P2413="",Q2413=""),"",N(P2413)+N(Q2413))</f>
        <v/>
      </c>
      <c r="S2413" s="59"/>
      <c r="T2413" s="59"/>
      <c r="U2413" s="62">
        <f>IF(OR(R2413="",S2413="",T2413=""),"",IF(S2413+T2413=0,"",R2413/(S2413+T2413)))</f>
        <v/>
      </c>
      <c r="V2413" s="63"/>
      <c r="W2413" s="64"/>
      <c r="X2413" s="63"/>
    </row>
    <row r="2414" spans="2:24">
      <c r="B2414" s="58"/>
      <c r="C2414" s="59"/>
      <c r="D2414" s="59"/>
      <c r="E2414" s="59"/>
      <c r="F2414" s="59"/>
      <c r="G2414" s="60">
        <f>IF(OR(E2414="",F2414="",C2414="",D2414=""),"",IF(C2414+D2414=0,"",(E2414*C2414+F2414*D2414)/(C2414+D2414)))</f>
        <v/>
      </c>
      <c r="H2414" s="59"/>
      <c r="I2414" s="60">
        <f>IF(OR(H2414="",E2414="",C2414="",D2414=""),"",IF(C2414+D2414=0,"",(H2414*D2414+E2414*C2414)/(C2414+D2414)))</f>
        <v/>
      </c>
      <c r="J2414" s="59"/>
      <c r="K2414" s="61">
        <f>IF(OR(J2414="",I2414=""),"",J2414-I2414)</f>
        <v/>
      </c>
      <c r="L2414" s="61">
        <f>IF(OR(J2414="",G2414=""),"",J2414-G2414)</f>
        <v/>
      </c>
      <c r="M2414" s="59"/>
      <c r="N2414" s="59"/>
      <c r="O2414" s="59"/>
      <c r="P2414" s="59"/>
      <c r="Q2414" s="59"/>
      <c r="R2414" s="60">
        <f>IF(AND(P2414="",Q2414=""),"",N(P2414)+N(Q2414))</f>
        <v/>
      </c>
      <c r="S2414" s="59"/>
      <c r="T2414" s="59"/>
      <c r="U2414" s="62">
        <f>IF(OR(R2414="",S2414="",T2414=""),"",IF(S2414+T2414=0,"",R2414/(S2414+T2414)))</f>
        <v/>
      </c>
      <c r="V2414" s="63"/>
      <c r="W2414" s="64"/>
      <c r="X2414" s="63"/>
    </row>
    <row r="2415" spans="2:24">
      <c r="B2415" s="58"/>
      <c r="C2415" s="59"/>
      <c r="D2415" s="59"/>
      <c r="E2415" s="59"/>
      <c r="F2415" s="59"/>
      <c r="G2415" s="60">
        <f>IF(OR(E2415="",F2415="",C2415="",D2415=""),"",IF(C2415+D2415=0,"",(E2415*C2415+F2415*D2415)/(C2415+D2415)))</f>
        <v/>
      </c>
      <c r="H2415" s="59"/>
      <c r="I2415" s="60">
        <f>IF(OR(H2415="",E2415="",C2415="",D2415=""),"",IF(C2415+D2415=0,"",(H2415*D2415+E2415*C2415)/(C2415+D2415)))</f>
        <v/>
      </c>
      <c r="J2415" s="59"/>
      <c r="K2415" s="61">
        <f>IF(OR(J2415="",I2415=""),"",J2415-I2415)</f>
        <v/>
      </c>
      <c r="L2415" s="61">
        <f>IF(OR(J2415="",G2415=""),"",J2415-G2415)</f>
        <v/>
      </c>
      <c r="M2415" s="59"/>
      <c r="N2415" s="59"/>
      <c r="O2415" s="59"/>
      <c r="P2415" s="59"/>
      <c r="Q2415" s="59"/>
      <c r="R2415" s="60">
        <f>IF(AND(P2415="",Q2415=""),"",N(P2415)+N(Q2415))</f>
        <v/>
      </c>
      <c r="S2415" s="59"/>
      <c r="T2415" s="59"/>
      <c r="U2415" s="62">
        <f>IF(OR(R2415="",S2415="",T2415=""),"",IF(S2415+T2415=0,"",R2415/(S2415+T2415)))</f>
        <v/>
      </c>
      <c r="V2415" s="63"/>
      <c r="W2415" s="64"/>
      <c r="X2415" s="63"/>
    </row>
    <row r="2416" spans="2:24">
      <c r="B2416" s="58"/>
      <c r="C2416" s="59"/>
      <c r="D2416" s="59"/>
      <c r="E2416" s="59"/>
      <c r="F2416" s="59"/>
      <c r="G2416" s="60">
        <f>IF(OR(E2416="",F2416="",C2416="",D2416=""),"",IF(C2416+D2416=0,"",(E2416*C2416+F2416*D2416)/(C2416+D2416)))</f>
        <v/>
      </c>
      <c r="H2416" s="59"/>
      <c r="I2416" s="60">
        <f>IF(OR(H2416="",E2416="",C2416="",D2416=""),"",IF(C2416+D2416=0,"",(H2416*D2416+E2416*C2416)/(C2416+D2416)))</f>
        <v/>
      </c>
      <c r="J2416" s="59"/>
      <c r="K2416" s="61">
        <f>IF(OR(J2416="",I2416=""),"",J2416-I2416)</f>
        <v/>
      </c>
      <c r="L2416" s="61">
        <f>IF(OR(J2416="",G2416=""),"",J2416-G2416)</f>
        <v/>
      </c>
      <c r="M2416" s="59"/>
      <c r="N2416" s="59"/>
      <c r="O2416" s="59"/>
      <c r="P2416" s="59"/>
      <c r="Q2416" s="59"/>
      <c r="R2416" s="60">
        <f>IF(AND(P2416="",Q2416=""),"",N(P2416)+N(Q2416))</f>
        <v/>
      </c>
      <c r="S2416" s="59"/>
      <c r="T2416" s="59"/>
      <c r="U2416" s="62">
        <f>IF(OR(R2416="",S2416="",T2416=""),"",IF(S2416+T2416=0,"",R2416/(S2416+T2416)))</f>
        <v/>
      </c>
      <c r="V2416" s="63"/>
      <c r="W2416" s="64"/>
      <c r="X2416" s="63"/>
    </row>
    <row r="2417" spans="2:24">
      <c r="B2417" s="58"/>
      <c r="C2417" s="59"/>
      <c r="D2417" s="59"/>
      <c r="E2417" s="59"/>
      <c r="F2417" s="59"/>
      <c r="G2417" s="60">
        <f>IF(OR(E2417="",F2417="",C2417="",D2417=""),"",IF(C2417+D2417=0,"",(E2417*C2417+F2417*D2417)/(C2417+D2417)))</f>
        <v/>
      </c>
      <c r="H2417" s="59"/>
      <c r="I2417" s="60">
        <f>IF(OR(H2417="",E2417="",C2417="",D2417=""),"",IF(C2417+D2417=0,"",(H2417*D2417+E2417*C2417)/(C2417+D2417)))</f>
        <v/>
      </c>
      <c r="J2417" s="59"/>
      <c r="K2417" s="61">
        <f>IF(OR(J2417="",I2417=""),"",J2417-I2417)</f>
        <v/>
      </c>
      <c r="L2417" s="61">
        <f>IF(OR(J2417="",G2417=""),"",J2417-G2417)</f>
        <v/>
      </c>
      <c r="M2417" s="59"/>
      <c r="N2417" s="59"/>
      <c r="O2417" s="59"/>
      <c r="P2417" s="59"/>
      <c r="Q2417" s="59"/>
      <c r="R2417" s="60">
        <f>IF(AND(P2417="",Q2417=""),"",N(P2417)+N(Q2417))</f>
        <v/>
      </c>
      <c r="S2417" s="59"/>
      <c r="T2417" s="59"/>
      <c r="U2417" s="62">
        <f>IF(OR(R2417="",S2417="",T2417=""),"",IF(S2417+T2417=0,"",R2417/(S2417+T2417)))</f>
        <v/>
      </c>
      <c r="V2417" s="63"/>
      <c r="W2417" s="64"/>
      <c r="X2417" s="63"/>
    </row>
    <row r="2418" spans="2:24">
      <c r="B2418" s="58"/>
      <c r="C2418" s="59"/>
      <c r="D2418" s="59"/>
      <c r="E2418" s="59"/>
      <c r="F2418" s="59"/>
      <c r="G2418" s="60">
        <f>IF(OR(E2418="",F2418="",C2418="",D2418=""),"",IF(C2418+D2418=0,"",(E2418*C2418+F2418*D2418)/(C2418+D2418)))</f>
        <v/>
      </c>
      <c r="H2418" s="59"/>
      <c r="I2418" s="60">
        <f>IF(OR(H2418="",E2418="",C2418="",D2418=""),"",IF(C2418+D2418=0,"",(H2418*D2418+E2418*C2418)/(C2418+D2418)))</f>
        <v/>
      </c>
      <c r="J2418" s="59"/>
      <c r="K2418" s="61">
        <f>IF(OR(J2418="",I2418=""),"",J2418-I2418)</f>
        <v/>
      </c>
      <c r="L2418" s="61">
        <f>IF(OR(J2418="",G2418=""),"",J2418-G2418)</f>
        <v/>
      </c>
      <c r="M2418" s="59"/>
      <c r="N2418" s="59"/>
      <c r="O2418" s="59"/>
      <c r="P2418" s="59"/>
      <c r="Q2418" s="59"/>
      <c r="R2418" s="60">
        <f>IF(AND(P2418="",Q2418=""),"",N(P2418)+N(Q2418))</f>
        <v/>
      </c>
      <c r="S2418" s="59"/>
      <c r="T2418" s="59"/>
      <c r="U2418" s="62">
        <f>IF(OR(R2418="",S2418="",T2418=""),"",IF(S2418+T2418=0,"",R2418/(S2418+T2418)))</f>
        <v/>
      </c>
      <c r="V2418" s="63"/>
      <c r="W2418" s="64"/>
      <c r="X2418" s="63"/>
    </row>
    <row r="2419" spans="2:24">
      <c r="B2419" s="58"/>
      <c r="C2419" s="59"/>
      <c r="D2419" s="59"/>
      <c r="E2419" s="59"/>
      <c r="F2419" s="59"/>
      <c r="G2419" s="60">
        <f>IF(OR(E2419="",F2419="",C2419="",D2419=""),"",IF(C2419+D2419=0,"",(E2419*C2419+F2419*D2419)/(C2419+D2419)))</f>
        <v/>
      </c>
      <c r="H2419" s="59"/>
      <c r="I2419" s="60">
        <f>IF(OR(H2419="",E2419="",C2419="",D2419=""),"",IF(C2419+D2419=0,"",(H2419*D2419+E2419*C2419)/(C2419+D2419)))</f>
        <v/>
      </c>
      <c r="J2419" s="59"/>
      <c r="K2419" s="61">
        <f>IF(OR(J2419="",I2419=""),"",J2419-I2419)</f>
        <v/>
      </c>
      <c r="L2419" s="61">
        <f>IF(OR(J2419="",G2419=""),"",J2419-G2419)</f>
        <v/>
      </c>
      <c r="M2419" s="59"/>
      <c r="N2419" s="59"/>
      <c r="O2419" s="59"/>
      <c r="P2419" s="59"/>
      <c r="Q2419" s="59"/>
      <c r="R2419" s="60">
        <f>IF(AND(P2419="",Q2419=""),"",N(P2419)+N(Q2419))</f>
        <v/>
      </c>
      <c r="S2419" s="59"/>
      <c r="T2419" s="59"/>
      <c r="U2419" s="62">
        <f>IF(OR(R2419="",S2419="",T2419=""),"",IF(S2419+T2419=0,"",R2419/(S2419+T2419)))</f>
        <v/>
      </c>
      <c r="V2419" s="63"/>
      <c r="W2419" s="64"/>
      <c r="X2419" s="63"/>
    </row>
    <row r="2420" spans="2:24">
      <c r="B2420" s="58"/>
      <c r="C2420" s="59"/>
      <c r="D2420" s="59"/>
      <c r="E2420" s="59"/>
      <c r="F2420" s="59"/>
      <c r="G2420" s="60">
        <f>IF(OR(E2420="",F2420="",C2420="",D2420=""),"",IF(C2420+D2420=0,"",(E2420*C2420+F2420*D2420)/(C2420+D2420)))</f>
        <v/>
      </c>
      <c r="H2420" s="59"/>
      <c r="I2420" s="60">
        <f>IF(OR(H2420="",E2420="",C2420="",D2420=""),"",IF(C2420+D2420=0,"",(H2420*D2420+E2420*C2420)/(C2420+D2420)))</f>
        <v/>
      </c>
      <c r="J2420" s="59"/>
      <c r="K2420" s="61">
        <f>IF(OR(J2420="",I2420=""),"",J2420-I2420)</f>
        <v/>
      </c>
      <c r="L2420" s="61">
        <f>IF(OR(J2420="",G2420=""),"",J2420-G2420)</f>
        <v/>
      </c>
      <c r="M2420" s="59"/>
      <c r="N2420" s="59"/>
      <c r="O2420" s="59"/>
      <c r="P2420" s="59"/>
      <c r="Q2420" s="59"/>
      <c r="R2420" s="60">
        <f>IF(AND(P2420="",Q2420=""),"",N(P2420)+N(Q2420))</f>
        <v/>
      </c>
      <c r="S2420" s="59"/>
      <c r="T2420" s="59"/>
      <c r="U2420" s="62">
        <f>IF(OR(R2420="",S2420="",T2420=""),"",IF(S2420+T2420=0,"",R2420/(S2420+T2420)))</f>
        <v/>
      </c>
      <c r="V2420" s="63"/>
      <c r="W2420" s="64"/>
      <c r="X2420" s="63"/>
    </row>
    <row r="2421" spans="2:24">
      <c r="B2421" s="58"/>
      <c r="C2421" s="59"/>
      <c r="D2421" s="59"/>
      <c r="E2421" s="59"/>
      <c r="F2421" s="59"/>
      <c r="G2421" s="60">
        <f>IF(OR(E2421="",F2421="",C2421="",D2421=""),"",IF(C2421+D2421=0,"",(E2421*C2421+F2421*D2421)/(C2421+D2421)))</f>
        <v/>
      </c>
      <c r="H2421" s="59"/>
      <c r="I2421" s="60">
        <f>IF(OR(H2421="",E2421="",C2421="",D2421=""),"",IF(C2421+D2421=0,"",(H2421*D2421+E2421*C2421)/(C2421+D2421)))</f>
        <v/>
      </c>
      <c r="J2421" s="59"/>
      <c r="K2421" s="61">
        <f>IF(OR(J2421="",I2421=""),"",J2421-I2421)</f>
        <v/>
      </c>
      <c r="L2421" s="61">
        <f>IF(OR(J2421="",G2421=""),"",J2421-G2421)</f>
        <v/>
      </c>
      <c r="M2421" s="59"/>
      <c r="N2421" s="59"/>
      <c r="O2421" s="59"/>
      <c r="P2421" s="59"/>
      <c r="Q2421" s="59"/>
      <c r="R2421" s="60">
        <f>IF(AND(P2421="",Q2421=""),"",N(P2421)+N(Q2421))</f>
        <v/>
      </c>
      <c r="S2421" s="59"/>
      <c r="T2421" s="59"/>
      <c r="U2421" s="62">
        <f>IF(OR(R2421="",S2421="",T2421=""),"",IF(S2421+T2421=0,"",R2421/(S2421+T2421)))</f>
        <v/>
      </c>
      <c r="V2421" s="63"/>
      <c r="W2421" s="64"/>
      <c r="X2421" s="63"/>
    </row>
    <row r="2422" spans="2:24">
      <c r="B2422" s="58"/>
      <c r="C2422" s="59"/>
      <c r="D2422" s="59"/>
      <c r="E2422" s="59"/>
      <c r="F2422" s="59"/>
      <c r="G2422" s="60">
        <f>IF(OR(E2422="",F2422="",C2422="",D2422=""),"",IF(C2422+D2422=0,"",(E2422*C2422+F2422*D2422)/(C2422+D2422)))</f>
        <v/>
      </c>
      <c r="H2422" s="59"/>
      <c r="I2422" s="60">
        <f>IF(OR(H2422="",E2422="",C2422="",D2422=""),"",IF(C2422+D2422=0,"",(H2422*D2422+E2422*C2422)/(C2422+D2422)))</f>
        <v/>
      </c>
      <c r="J2422" s="59"/>
      <c r="K2422" s="61">
        <f>IF(OR(J2422="",I2422=""),"",J2422-I2422)</f>
        <v/>
      </c>
      <c r="L2422" s="61">
        <f>IF(OR(J2422="",G2422=""),"",J2422-G2422)</f>
        <v/>
      </c>
      <c r="M2422" s="59"/>
      <c r="N2422" s="59"/>
      <c r="O2422" s="59"/>
      <c r="P2422" s="59"/>
      <c r="Q2422" s="59"/>
      <c r="R2422" s="60">
        <f>IF(AND(P2422="",Q2422=""),"",N(P2422)+N(Q2422))</f>
        <v/>
      </c>
      <c r="S2422" s="59"/>
      <c r="T2422" s="59"/>
      <c r="U2422" s="62">
        <f>IF(OR(R2422="",S2422="",T2422=""),"",IF(S2422+T2422=0,"",R2422/(S2422+T2422)))</f>
        <v/>
      </c>
      <c r="V2422" s="63"/>
      <c r="W2422" s="64"/>
      <c r="X2422" s="63"/>
    </row>
    <row r="2423" spans="2:24">
      <c r="B2423" s="58"/>
      <c r="C2423" s="59"/>
      <c r="D2423" s="59"/>
      <c r="E2423" s="59"/>
      <c r="F2423" s="59"/>
      <c r="G2423" s="60">
        <f>IF(OR(E2423="",F2423="",C2423="",D2423=""),"",IF(C2423+D2423=0,"",(E2423*C2423+F2423*D2423)/(C2423+D2423)))</f>
        <v/>
      </c>
      <c r="H2423" s="59"/>
      <c r="I2423" s="60">
        <f>IF(OR(H2423="",E2423="",C2423="",D2423=""),"",IF(C2423+D2423=0,"",(H2423*D2423+E2423*C2423)/(C2423+D2423)))</f>
        <v/>
      </c>
      <c r="J2423" s="59"/>
      <c r="K2423" s="61">
        <f>IF(OR(J2423="",I2423=""),"",J2423-I2423)</f>
        <v/>
      </c>
      <c r="L2423" s="61">
        <f>IF(OR(J2423="",G2423=""),"",J2423-G2423)</f>
        <v/>
      </c>
      <c r="M2423" s="59"/>
      <c r="N2423" s="59"/>
      <c r="O2423" s="59"/>
      <c r="P2423" s="59"/>
      <c r="Q2423" s="59"/>
      <c r="R2423" s="60">
        <f>IF(AND(P2423="",Q2423=""),"",N(P2423)+N(Q2423))</f>
        <v/>
      </c>
      <c r="S2423" s="59"/>
      <c r="T2423" s="59"/>
      <c r="U2423" s="62">
        <f>IF(OR(R2423="",S2423="",T2423=""),"",IF(S2423+T2423=0,"",R2423/(S2423+T2423)))</f>
        <v/>
      </c>
      <c r="V2423" s="63"/>
      <c r="W2423" s="64"/>
      <c r="X2423" s="63"/>
    </row>
    <row r="2424" spans="2:24">
      <c r="B2424" s="58"/>
      <c r="C2424" s="59"/>
      <c r="D2424" s="59"/>
      <c r="E2424" s="59"/>
      <c r="F2424" s="59"/>
      <c r="G2424" s="60">
        <f>IF(OR(E2424="",F2424="",C2424="",D2424=""),"",IF(C2424+D2424=0,"",(E2424*C2424+F2424*D2424)/(C2424+D2424)))</f>
        <v/>
      </c>
      <c r="H2424" s="59"/>
      <c r="I2424" s="60">
        <f>IF(OR(H2424="",E2424="",C2424="",D2424=""),"",IF(C2424+D2424=0,"",(H2424*D2424+E2424*C2424)/(C2424+D2424)))</f>
        <v/>
      </c>
      <c r="J2424" s="59"/>
      <c r="K2424" s="61">
        <f>IF(OR(J2424="",I2424=""),"",J2424-I2424)</f>
        <v/>
      </c>
      <c r="L2424" s="61">
        <f>IF(OR(J2424="",G2424=""),"",J2424-G2424)</f>
        <v/>
      </c>
      <c r="M2424" s="59"/>
      <c r="N2424" s="59"/>
      <c r="O2424" s="59"/>
      <c r="P2424" s="59"/>
      <c r="Q2424" s="59"/>
      <c r="R2424" s="60">
        <f>IF(AND(P2424="",Q2424=""),"",N(P2424)+N(Q2424))</f>
        <v/>
      </c>
      <c r="S2424" s="59"/>
      <c r="T2424" s="59"/>
      <c r="U2424" s="62">
        <f>IF(OR(R2424="",S2424="",T2424=""),"",IF(S2424+T2424=0,"",R2424/(S2424+T2424)))</f>
        <v/>
      </c>
      <c r="V2424" s="63"/>
      <c r="W2424" s="64"/>
      <c r="X2424" s="63"/>
    </row>
    <row r="2425" spans="2:24">
      <c r="B2425" s="58"/>
      <c r="C2425" s="59"/>
      <c r="D2425" s="59"/>
      <c r="E2425" s="59"/>
      <c r="F2425" s="59"/>
      <c r="G2425" s="60">
        <f>IF(OR(E2425="",F2425="",C2425="",D2425=""),"",IF(C2425+D2425=0,"",(E2425*C2425+F2425*D2425)/(C2425+D2425)))</f>
        <v/>
      </c>
      <c r="H2425" s="59"/>
      <c r="I2425" s="60">
        <f>IF(OR(H2425="",E2425="",C2425="",D2425=""),"",IF(C2425+D2425=0,"",(H2425*D2425+E2425*C2425)/(C2425+D2425)))</f>
        <v/>
      </c>
      <c r="J2425" s="59"/>
      <c r="K2425" s="61">
        <f>IF(OR(J2425="",I2425=""),"",J2425-I2425)</f>
        <v/>
      </c>
      <c r="L2425" s="61">
        <f>IF(OR(J2425="",G2425=""),"",J2425-G2425)</f>
        <v/>
      </c>
      <c r="M2425" s="59"/>
      <c r="N2425" s="59"/>
      <c r="O2425" s="59"/>
      <c r="P2425" s="59"/>
      <c r="Q2425" s="59"/>
      <c r="R2425" s="60">
        <f>IF(AND(P2425="",Q2425=""),"",N(P2425)+N(Q2425))</f>
        <v/>
      </c>
      <c r="S2425" s="59"/>
      <c r="T2425" s="59"/>
      <c r="U2425" s="62">
        <f>IF(OR(R2425="",S2425="",T2425=""),"",IF(S2425+T2425=0,"",R2425/(S2425+T2425)))</f>
        <v/>
      </c>
      <c r="V2425" s="63"/>
      <c r="W2425" s="64"/>
      <c r="X2425" s="63"/>
    </row>
    <row r="2426" spans="2:24">
      <c r="B2426" s="58"/>
      <c r="C2426" s="59"/>
      <c r="D2426" s="59"/>
      <c r="E2426" s="59"/>
      <c r="F2426" s="59"/>
      <c r="G2426" s="60">
        <f>IF(OR(E2426="",F2426="",C2426="",D2426=""),"",IF(C2426+D2426=0,"",(E2426*C2426+F2426*D2426)/(C2426+D2426)))</f>
        <v/>
      </c>
      <c r="H2426" s="59"/>
      <c r="I2426" s="60">
        <f>IF(OR(H2426="",E2426="",C2426="",D2426=""),"",IF(C2426+D2426=0,"",(H2426*D2426+E2426*C2426)/(C2426+D2426)))</f>
        <v/>
      </c>
      <c r="J2426" s="59"/>
      <c r="K2426" s="61">
        <f>IF(OR(J2426="",I2426=""),"",J2426-I2426)</f>
        <v/>
      </c>
      <c r="L2426" s="61">
        <f>IF(OR(J2426="",G2426=""),"",J2426-G2426)</f>
        <v/>
      </c>
      <c r="M2426" s="59"/>
      <c r="N2426" s="59"/>
      <c r="O2426" s="59"/>
      <c r="P2426" s="59"/>
      <c r="Q2426" s="59"/>
      <c r="R2426" s="60">
        <f>IF(AND(P2426="",Q2426=""),"",N(P2426)+N(Q2426))</f>
        <v/>
      </c>
      <c r="S2426" s="59"/>
      <c r="T2426" s="59"/>
      <c r="U2426" s="62">
        <f>IF(OR(R2426="",S2426="",T2426=""),"",IF(S2426+T2426=0,"",R2426/(S2426+T2426)))</f>
        <v/>
      </c>
      <c r="V2426" s="63"/>
      <c r="W2426" s="64"/>
      <c r="X2426" s="63"/>
    </row>
    <row r="2427" spans="2:24">
      <c r="B2427" s="58"/>
      <c r="C2427" s="59"/>
      <c r="D2427" s="59"/>
      <c r="E2427" s="59"/>
      <c r="F2427" s="59"/>
      <c r="G2427" s="60">
        <f>IF(OR(E2427="",F2427="",C2427="",D2427=""),"",IF(C2427+D2427=0,"",(E2427*C2427+F2427*D2427)/(C2427+D2427)))</f>
        <v/>
      </c>
      <c r="H2427" s="59"/>
      <c r="I2427" s="60">
        <f>IF(OR(H2427="",E2427="",C2427="",D2427=""),"",IF(C2427+D2427=0,"",(H2427*D2427+E2427*C2427)/(C2427+D2427)))</f>
        <v/>
      </c>
      <c r="J2427" s="59"/>
      <c r="K2427" s="61">
        <f>IF(OR(J2427="",I2427=""),"",J2427-I2427)</f>
        <v/>
      </c>
      <c r="L2427" s="61">
        <f>IF(OR(J2427="",G2427=""),"",J2427-G2427)</f>
        <v/>
      </c>
      <c r="M2427" s="59"/>
      <c r="N2427" s="59"/>
      <c r="O2427" s="59"/>
      <c r="P2427" s="59"/>
      <c r="Q2427" s="59"/>
      <c r="R2427" s="60">
        <f>IF(AND(P2427="",Q2427=""),"",N(P2427)+N(Q2427))</f>
        <v/>
      </c>
      <c r="S2427" s="59"/>
      <c r="T2427" s="59"/>
      <c r="U2427" s="62">
        <f>IF(OR(R2427="",S2427="",T2427=""),"",IF(S2427+T2427=0,"",R2427/(S2427+T2427)))</f>
        <v/>
      </c>
      <c r="V2427" s="63"/>
      <c r="W2427" s="64"/>
      <c r="X2427" s="63"/>
    </row>
    <row r="2428" spans="2:24">
      <c r="B2428" s="58"/>
      <c r="C2428" s="59"/>
      <c r="D2428" s="59"/>
      <c r="E2428" s="59"/>
      <c r="F2428" s="59"/>
      <c r="G2428" s="60">
        <f>IF(OR(E2428="",F2428="",C2428="",D2428=""),"",IF(C2428+D2428=0,"",(E2428*C2428+F2428*D2428)/(C2428+D2428)))</f>
        <v/>
      </c>
      <c r="H2428" s="59"/>
      <c r="I2428" s="60">
        <f>IF(OR(H2428="",E2428="",C2428="",D2428=""),"",IF(C2428+D2428=0,"",(H2428*D2428+E2428*C2428)/(C2428+D2428)))</f>
        <v/>
      </c>
      <c r="J2428" s="59"/>
      <c r="K2428" s="61">
        <f>IF(OR(J2428="",I2428=""),"",J2428-I2428)</f>
        <v/>
      </c>
      <c r="L2428" s="61">
        <f>IF(OR(J2428="",G2428=""),"",J2428-G2428)</f>
        <v/>
      </c>
      <c r="M2428" s="59"/>
      <c r="N2428" s="59"/>
      <c r="O2428" s="59"/>
      <c r="P2428" s="59"/>
      <c r="Q2428" s="59"/>
      <c r="R2428" s="60">
        <f>IF(AND(P2428="",Q2428=""),"",N(P2428)+N(Q2428))</f>
        <v/>
      </c>
      <c r="S2428" s="59"/>
      <c r="T2428" s="59"/>
      <c r="U2428" s="62">
        <f>IF(OR(R2428="",S2428="",T2428=""),"",IF(S2428+T2428=0,"",R2428/(S2428+T2428)))</f>
        <v/>
      </c>
      <c r="V2428" s="63"/>
      <c r="W2428" s="64"/>
      <c r="X2428" s="63"/>
    </row>
    <row r="2429" spans="2:24">
      <c r="B2429" s="58"/>
      <c r="C2429" s="59"/>
      <c r="D2429" s="59"/>
      <c r="E2429" s="59"/>
      <c r="F2429" s="59"/>
      <c r="G2429" s="60">
        <f>IF(OR(E2429="",F2429="",C2429="",D2429=""),"",IF(C2429+D2429=0,"",(E2429*C2429+F2429*D2429)/(C2429+D2429)))</f>
        <v/>
      </c>
      <c r="H2429" s="59"/>
      <c r="I2429" s="60">
        <f>IF(OR(H2429="",E2429="",C2429="",D2429=""),"",IF(C2429+D2429=0,"",(H2429*D2429+E2429*C2429)/(C2429+D2429)))</f>
        <v/>
      </c>
      <c r="J2429" s="59"/>
      <c r="K2429" s="61">
        <f>IF(OR(J2429="",I2429=""),"",J2429-I2429)</f>
        <v/>
      </c>
      <c r="L2429" s="61">
        <f>IF(OR(J2429="",G2429=""),"",J2429-G2429)</f>
        <v/>
      </c>
      <c r="M2429" s="59"/>
      <c r="N2429" s="59"/>
      <c r="O2429" s="59"/>
      <c r="P2429" s="59"/>
      <c r="Q2429" s="59"/>
      <c r="R2429" s="60">
        <f>IF(AND(P2429="",Q2429=""),"",N(P2429)+N(Q2429))</f>
        <v/>
      </c>
      <c r="S2429" s="59"/>
      <c r="T2429" s="59"/>
      <c r="U2429" s="62">
        <f>IF(OR(R2429="",S2429="",T2429=""),"",IF(S2429+T2429=0,"",R2429/(S2429+T2429)))</f>
        <v/>
      </c>
      <c r="V2429" s="63"/>
      <c r="W2429" s="64"/>
      <c r="X2429" s="63"/>
    </row>
    <row r="2430" spans="2:24">
      <c r="B2430" s="58"/>
      <c r="C2430" s="59"/>
      <c r="D2430" s="59"/>
      <c r="E2430" s="59"/>
      <c r="F2430" s="59"/>
      <c r="G2430" s="60">
        <f>IF(OR(E2430="",F2430="",C2430="",D2430=""),"",IF(C2430+D2430=0,"",(E2430*C2430+F2430*D2430)/(C2430+D2430)))</f>
        <v/>
      </c>
      <c r="H2430" s="59"/>
      <c r="I2430" s="60">
        <f>IF(OR(H2430="",E2430="",C2430="",D2430=""),"",IF(C2430+D2430=0,"",(H2430*D2430+E2430*C2430)/(C2430+D2430)))</f>
        <v/>
      </c>
      <c r="J2430" s="59"/>
      <c r="K2430" s="61">
        <f>IF(OR(J2430="",I2430=""),"",J2430-I2430)</f>
        <v/>
      </c>
      <c r="L2430" s="61">
        <f>IF(OR(J2430="",G2430=""),"",J2430-G2430)</f>
        <v/>
      </c>
      <c r="M2430" s="59"/>
      <c r="N2430" s="59"/>
      <c r="O2430" s="59"/>
      <c r="P2430" s="59"/>
      <c r="Q2430" s="59"/>
      <c r="R2430" s="60">
        <f>IF(AND(P2430="",Q2430=""),"",N(P2430)+N(Q2430))</f>
        <v/>
      </c>
      <c r="S2430" s="59"/>
      <c r="T2430" s="59"/>
      <c r="U2430" s="62">
        <f>IF(OR(R2430="",S2430="",T2430=""),"",IF(S2430+T2430=0,"",R2430/(S2430+T2430)))</f>
        <v/>
      </c>
      <c r="V2430" s="63"/>
      <c r="W2430" s="64"/>
      <c r="X2430" s="63"/>
    </row>
    <row r="2431" spans="2:24">
      <c r="B2431" s="58"/>
      <c r="C2431" s="59"/>
      <c r="D2431" s="59"/>
      <c r="E2431" s="59"/>
      <c r="F2431" s="59"/>
      <c r="G2431" s="60">
        <f>IF(OR(E2431="",F2431="",C2431="",D2431=""),"",IF(C2431+D2431=0,"",(E2431*C2431+F2431*D2431)/(C2431+D2431)))</f>
        <v/>
      </c>
      <c r="H2431" s="59"/>
      <c r="I2431" s="60">
        <f>IF(OR(H2431="",E2431="",C2431="",D2431=""),"",IF(C2431+D2431=0,"",(H2431*D2431+E2431*C2431)/(C2431+D2431)))</f>
        <v/>
      </c>
      <c r="J2431" s="59"/>
      <c r="K2431" s="61">
        <f>IF(OR(J2431="",I2431=""),"",J2431-I2431)</f>
        <v/>
      </c>
      <c r="L2431" s="61">
        <f>IF(OR(J2431="",G2431=""),"",J2431-G2431)</f>
        <v/>
      </c>
      <c r="M2431" s="59"/>
      <c r="N2431" s="59"/>
      <c r="O2431" s="59"/>
      <c r="P2431" s="59"/>
      <c r="Q2431" s="59"/>
      <c r="R2431" s="60">
        <f>IF(AND(P2431="",Q2431=""),"",N(P2431)+N(Q2431))</f>
        <v/>
      </c>
      <c r="S2431" s="59"/>
      <c r="T2431" s="59"/>
      <c r="U2431" s="62">
        <f>IF(OR(R2431="",S2431="",T2431=""),"",IF(S2431+T2431=0,"",R2431/(S2431+T2431)))</f>
        <v/>
      </c>
      <c r="V2431" s="63"/>
      <c r="W2431" s="64"/>
      <c r="X2431" s="63"/>
    </row>
    <row r="2432" spans="2:24">
      <c r="B2432" s="58"/>
      <c r="C2432" s="59"/>
      <c r="D2432" s="59"/>
      <c r="E2432" s="59"/>
      <c r="F2432" s="59"/>
      <c r="G2432" s="60">
        <f>IF(OR(E2432="",F2432="",C2432="",D2432=""),"",IF(C2432+D2432=0,"",(E2432*C2432+F2432*D2432)/(C2432+D2432)))</f>
        <v/>
      </c>
      <c r="H2432" s="59"/>
      <c r="I2432" s="60">
        <f>IF(OR(H2432="",E2432="",C2432="",D2432=""),"",IF(C2432+D2432=0,"",(H2432*D2432+E2432*C2432)/(C2432+D2432)))</f>
        <v/>
      </c>
      <c r="J2432" s="59"/>
      <c r="K2432" s="61">
        <f>IF(OR(J2432="",I2432=""),"",J2432-I2432)</f>
        <v/>
      </c>
      <c r="L2432" s="61">
        <f>IF(OR(J2432="",G2432=""),"",J2432-G2432)</f>
        <v/>
      </c>
      <c r="M2432" s="59"/>
      <c r="N2432" s="59"/>
      <c r="O2432" s="59"/>
      <c r="P2432" s="59"/>
      <c r="Q2432" s="59"/>
      <c r="R2432" s="60">
        <f>IF(AND(P2432="",Q2432=""),"",N(P2432)+N(Q2432))</f>
        <v/>
      </c>
      <c r="S2432" s="59"/>
      <c r="T2432" s="59"/>
      <c r="U2432" s="62">
        <f>IF(OR(R2432="",S2432="",T2432=""),"",IF(S2432+T2432=0,"",R2432/(S2432+T2432)))</f>
        <v/>
      </c>
      <c r="V2432" s="63"/>
      <c r="W2432" s="64"/>
      <c r="X2432" s="63"/>
    </row>
    <row r="2433" spans="2:24">
      <c r="B2433" s="58"/>
      <c r="C2433" s="59"/>
      <c r="D2433" s="59"/>
      <c r="E2433" s="59"/>
      <c r="F2433" s="59"/>
      <c r="G2433" s="60">
        <f>IF(OR(E2433="",F2433="",C2433="",D2433=""),"",IF(C2433+D2433=0,"",(E2433*C2433+F2433*D2433)/(C2433+D2433)))</f>
        <v/>
      </c>
      <c r="H2433" s="59"/>
      <c r="I2433" s="60">
        <f>IF(OR(H2433="",E2433="",C2433="",D2433=""),"",IF(C2433+D2433=0,"",(H2433*D2433+E2433*C2433)/(C2433+D2433)))</f>
        <v/>
      </c>
      <c r="J2433" s="59"/>
      <c r="K2433" s="61">
        <f>IF(OR(J2433="",I2433=""),"",J2433-I2433)</f>
        <v/>
      </c>
      <c r="L2433" s="61">
        <f>IF(OR(J2433="",G2433=""),"",J2433-G2433)</f>
        <v/>
      </c>
      <c r="M2433" s="59"/>
      <c r="N2433" s="59"/>
      <c r="O2433" s="59"/>
      <c r="P2433" s="59"/>
      <c r="Q2433" s="59"/>
      <c r="R2433" s="60">
        <f>IF(AND(P2433="",Q2433=""),"",N(P2433)+N(Q2433))</f>
        <v/>
      </c>
      <c r="S2433" s="59"/>
      <c r="T2433" s="59"/>
      <c r="U2433" s="62">
        <f>IF(OR(R2433="",S2433="",T2433=""),"",IF(S2433+T2433=0,"",R2433/(S2433+T2433)))</f>
        <v/>
      </c>
      <c r="V2433" s="63"/>
      <c r="W2433" s="64"/>
      <c r="X2433" s="63"/>
    </row>
    <row r="2434" spans="2:24">
      <c r="B2434" s="58"/>
      <c r="C2434" s="59"/>
      <c r="D2434" s="59"/>
      <c r="E2434" s="59"/>
      <c r="F2434" s="59"/>
      <c r="G2434" s="60">
        <f>IF(OR(E2434="",F2434="",C2434="",D2434=""),"",IF(C2434+D2434=0,"",(E2434*C2434+F2434*D2434)/(C2434+D2434)))</f>
        <v/>
      </c>
      <c r="H2434" s="59"/>
      <c r="I2434" s="60">
        <f>IF(OR(H2434="",E2434="",C2434="",D2434=""),"",IF(C2434+D2434=0,"",(H2434*D2434+E2434*C2434)/(C2434+D2434)))</f>
        <v/>
      </c>
      <c r="J2434" s="59"/>
      <c r="K2434" s="61">
        <f>IF(OR(J2434="",I2434=""),"",J2434-I2434)</f>
        <v/>
      </c>
      <c r="L2434" s="61">
        <f>IF(OR(J2434="",G2434=""),"",J2434-G2434)</f>
        <v/>
      </c>
      <c r="M2434" s="59"/>
      <c r="N2434" s="59"/>
      <c r="O2434" s="59"/>
      <c r="P2434" s="59"/>
      <c r="Q2434" s="59"/>
      <c r="R2434" s="60">
        <f>IF(AND(P2434="",Q2434=""),"",N(P2434)+N(Q2434))</f>
        <v/>
      </c>
      <c r="S2434" s="59"/>
      <c r="T2434" s="59"/>
      <c r="U2434" s="62">
        <f>IF(OR(R2434="",S2434="",T2434=""),"",IF(S2434+T2434=0,"",R2434/(S2434+T2434)))</f>
        <v/>
      </c>
      <c r="V2434" s="63"/>
      <c r="W2434" s="64"/>
      <c r="X2434" s="63"/>
    </row>
    <row r="2435" spans="2:24">
      <c r="B2435" s="58"/>
      <c r="C2435" s="59"/>
      <c r="D2435" s="59"/>
      <c r="E2435" s="59"/>
      <c r="F2435" s="59"/>
      <c r="G2435" s="60">
        <f>IF(OR(E2435="",F2435="",C2435="",D2435=""),"",IF(C2435+D2435=0,"",(E2435*C2435+F2435*D2435)/(C2435+D2435)))</f>
        <v/>
      </c>
      <c r="H2435" s="59"/>
      <c r="I2435" s="60">
        <f>IF(OR(H2435="",E2435="",C2435="",D2435=""),"",IF(C2435+D2435=0,"",(H2435*D2435+E2435*C2435)/(C2435+D2435)))</f>
        <v/>
      </c>
      <c r="J2435" s="59"/>
      <c r="K2435" s="61">
        <f>IF(OR(J2435="",I2435=""),"",J2435-I2435)</f>
        <v/>
      </c>
      <c r="L2435" s="61">
        <f>IF(OR(J2435="",G2435=""),"",J2435-G2435)</f>
        <v/>
      </c>
      <c r="M2435" s="59"/>
      <c r="N2435" s="59"/>
      <c r="O2435" s="59"/>
      <c r="P2435" s="59"/>
      <c r="Q2435" s="59"/>
      <c r="R2435" s="60">
        <f>IF(AND(P2435="",Q2435=""),"",N(P2435)+N(Q2435))</f>
        <v/>
      </c>
      <c r="S2435" s="59"/>
      <c r="T2435" s="59"/>
      <c r="U2435" s="62">
        <f>IF(OR(R2435="",S2435="",T2435=""),"",IF(S2435+T2435=0,"",R2435/(S2435+T2435)))</f>
        <v/>
      </c>
      <c r="V2435" s="63"/>
      <c r="W2435" s="64"/>
      <c r="X2435" s="63"/>
    </row>
    <row r="2436" spans="2:24">
      <c r="B2436" s="58"/>
      <c r="C2436" s="59"/>
      <c r="D2436" s="59"/>
      <c r="E2436" s="59"/>
      <c r="F2436" s="59"/>
      <c r="G2436" s="60">
        <f>IF(OR(E2436="",F2436="",C2436="",D2436=""),"",IF(C2436+D2436=0,"",(E2436*C2436+F2436*D2436)/(C2436+D2436)))</f>
        <v/>
      </c>
      <c r="H2436" s="59"/>
      <c r="I2436" s="60">
        <f>IF(OR(H2436="",E2436="",C2436="",D2436=""),"",IF(C2436+D2436=0,"",(H2436*D2436+E2436*C2436)/(C2436+D2436)))</f>
        <v/>
      </c>
      <c r="J2436" s="59"/>
      <c r="K2436" s="61">
        <f>IF(OR(J2436="",I2436=""),"",J2436-I2436)</f>
        <v/>
      </c>
      <c r="L2436" s="61">
        <f>IF(OR(J2436="",G2436=""),"",J2436-G2436)</f>
        <v/>
      </c>
      <c r="M2436" s="59"/>
      <c r="N2436" s="59"/>
      <c r="O2436" s="59"/>
      <c r="P2436" s="59"/>
      <c r="Q2436" s="59"/>
      <c r="R2436" s="60">
        <f>IF(AND(P2436="",Q2436=""),"",N(P2436)+N(Q2436))</f>
        <v/>
      </c>
      <c r="S2436" s="59"/>
      <c r="T2436" s="59"/>
      <c r="U2436" s="62">
        <f>IF(OR(R2436="",S2436="",T2436=""),"",IF(S2436+T2436=0,"",R2436/(S2436+T2436)))</f>
        <v/>
      </c>
      <c r="V2436" s="63"/>
      <c r="W2436" s="64"/>
      <c r="X2436" s="63"/>
    </row>
    <row r="2437" spans="2:24">
      <c r="B2437" s="58"/>
      <c r="C2437" s="59"/>
      <c r="D2437" s="59"/>
      <c r="E2437" s="59"/>
      <c r="F2437" s="59"/>
      <c r="G2437" s="60">
        <f>IF(OR(E2437="",F2437="",C2437="",D2437=""),"",IF(C2437+D2437=0,"",(E2437*C2437+F2437*D2437)/(C2437+D2437)))</f>
        <v/>
      </c>
      <c r="H2437" s="59"/>
      <c r="I2437" s="60">
        <f>IF(OR(H2437="",E2437="",C2437="",D2437=""),"",IF(C2437+D2437=0,"",(H2437*D2437+E2437*C2437)/(C2437+D2437)))</f>
        <v/>
      </c>
      <c r="J2437" s="59"/>
      <c r="K2437" s="61">
        <f>IF(OR(J2437="",I2437=""),"",J2437-I2437)</f>
        <v/>
      </c>
      <c r="L2437" s="61">
        <f>IF(OR(J2437="",G2437=""),"",J2437-G2437)</f>
        <v/>
      </c>
      <c r="M2437" s="59"/>
      <c r="N2437" s="59"/>
      <c r="O2437" s="59"/>
      <c r="P2437" s="59"/>
      <c r="Q2437" s="59"/>
      <c r="R2437" s="60">
        <f>IF(AND(P2437="",Q2437=""),"",N(P2437)+N(Q2437))</f>
        <v/>
      </c>
      <c r="S2437" s="59"/>
      <c r="T2437" s="59"/>
      <c r="U2437" s="62">
        <f>IF(OR(R2437="",S2437="",T2437=""),"",IF(S2437+T2437=0,"",R2437/(S2437+T2437)))</f>
        <v/>
      </c>
      <c r="V2437" s="63"/>
      <c r="W2437" s="64"/>
      <c r="X2437" s="63"/>
    </row>
    <row r="2438" spans="2:24">
      <c r="B2438" s="58"/>
      <c r="C2438" s="59"/>
      <c r="D2438" s="59"/>
      <c r="E2438" s="59"/>
      <c r="F2438" s="59"/>
      <c r="G2438" s="60">
        <f>IF(OR(E2438="",F2438="",C2438="",D2438=""),"",IF(C2438+D2438=0,"",(E2438*C2438+F2438*D2438)/(C2438+D2438)))</f>
        <v/>
      </c>
      <c r="H2438" s="59"/>
      <c r="I2438" s="60">
        <f>IF(OR(H2438="",E2438="",C2438="",D2438=""),"",IF(C2438+D2438=0,"",(H2438*D2438+E2438*C2438)/(C2438+D2438)))</f>
        <v/>
      </c>
      <c r="J2438" s="59"/>
      <c r="K2438" s="61">
        <f>IF(OR(J2438="",I2438=""),"",J2438-I2438)</f>
        <v/>
      </c>
      <c r="L2438" s="61">
        <f>IF(OR(J2438="",G2438=""),"",J2438-G2438)</f>
        <v/>
      </c>
      <c r="M2438" s="59"/>
      <c r="N2438" s="59"/>
      <c r="O2438" s="59"/>
      <c r="P2438" s="59"/>
      <c r="Q2438" s="59"/>
      <c r="R2438" s="60">
        <f>IF(AND(P2438="",Q2438=""),"",N(P2438)+N(Q2438))</f>
        <v/>
      </c>
      <c r="S2438" s="59"/>
      <c r="T2438" s="59"/>
      <c r="U2438" s="62">
        <f>IF(OR(R2438="",S2438="",T2438=""),"",IF(S2438+T2438=0,"",R2438/(S2438+T2438)))</f>
        <v/>
      </c>
      <c r="V2438" s="63"/>
      <c r="W2438" s="64"/>
      <c r="X2438" s="63"/>
    </row>
    <row r="2439" spans="2:24">
      <c r="B2439" s="58"/>
      <c r="C2439" s="59"/>
      <c r="D2439" s="59"/>
      <c r="E2439" s="59"/>
      <c r="F2439" s="59"/>
      <c r="G2439" s="60">
        <f>IF(OR(E2439="",F2439="",C2439="",D2439=""),"",IF(C2439+D2439=0,"",(E2439*C2439+F2439*D2439)/(C2439+D2439)))</f>
        <v/>
      </c>
      <c r="H2439" s="59"/>
      <c r="I2439" s="60">
        <f>IF(OR(H2439="",E2439="",C2439="",D2439=""),"",IF(C2439+D2439=0,"",(H2439*D2439+E2439*C2439)/(C2439+D2439)))</f>
        <v/>
      </c>
      <c r="J2439" s="59"/>
      <c r="K2439" s="61">
        <f>IF(OR(J2439="",I2439=""),"",J2439-I2439)</f>
        <v/>
      </c>
      <c r="L2439" s="61">
        <f>IF(OR(J2439="",G2439=""),"",J2439-G2439)</f>
        <v/>
      </c>
      <c r="M2439" s="59"/>
      <c r="N2439" s="59"/>
      <c r="O2439" s="59"/>
      <c r="P2439" s="59"/>
      <c r="Q2439" s="59"/>
      <c r="R2439" s="60">
        <f>IF(AND(P2439="",Q2439=""),"",N(P2439)+N(Q2439))</f>
        <v/>
      </c>
      <c r="S2439" s="59"/>
      <c r="T2439" s="59"/>
      <c r="U2439" s="62">
        <f>IF(OR(R2439="",S2439="",T2439=""),"",IF(S2439+T2439=0,"",R2439/(S2439+T2439)))</f>
        <v/>
      </c>
      <c r="V2439" s="63"/>
      <c r="W2439" s="64"/>
      <c r="X2439" s="63"/>
    </row>
    <row r="2440" spans="2:24">
      <c r="B2440" s="58"/>
      <c r="C2440" s="59"/>
      <c r="D2440" s="59"/>
      <c r="E2440" s="59"/>
      <c r="F2440" s="59"/>
      <c r="G2440" s="60">
        <f>IF(OR(E2440="",F2440="",C2440="",D2440=""),"",IF(C2440+D2440=0,"",(E2440*C2440+F2440*D2440)/(C2440+D2440)))</f>
        <v/>
      </c>
      <c r="H2440" s="59"/>
      <c r="I2440" s="60">
        <f>IF(OR(H2440="",E2440="",C2440="",D2440=""),"",IF(C2440+D2440=0,"",(H2440*D2440+E2440*C2440)/(C2440+D2440)))</f>
        <v/>
      </c>
      <c r="J2440" s="59"/>
      <c r="K2440" s="61">
        <f>IF(OR(J2440="",I2440=""),"",J2440-I2440)</f>
        <v/>
      </c>
      <c r="L2440" s="61">
        <f>IF(OR(J2440="",G2440=""),"",J2440-G2440)</f>
        <v/>
      </c>
      <c r="M2440" s="59"/>
      <c r="N2440" s="59"/>
      <c r="O2440" s="59"/>
      <c r="P2440" s="59"/>
      <c r="Q2440" s="59"/>
      <c r="R2440" s="60">
        <f>IF(AND(P2440="",Q2440=""),"",N(P2440)+N(Q2440))</f>
        <v/>
      </c>
      <c r="S2440" s="59"/>
      <c r="T2440" s="59"/>
      <c r="U2440" s="62">
        <f>IF(OR(R2440="",S2440="",T2440=""),"",IF(S2440+T2440=0,"",R2440/(S2440+T2440)))</f>
        <v/>
      </c>
      <c r="V2440" s="63"/>
      <c r="W2440" s="64"/>
      <c r="X2440" s="63"/>
    </row>
    <row r="2441" spans="2:24">
      <c r="B2441" s="58"/>
      <c r="C2441" s="59"/>
      <c r="D2441" s="59"/>
      <c r="E2441" s="59"/>
      <c r="F2441" s="59"/>
      <c r="G2441" s="60">
        <f>IF(OR(E2441="",F2441="",C2441="",D2441=""),"",IF(C2441+D2441=0,"",(E2441*C2441+F2441*D2441)/(C2441+D2441)))</f>
        <v/>
      </c>
      <c r="H2441" s="59"/>
      <c r="I2441" s="60">
        <f>IF(OR(H2441="",E2441="",C2441="",D2441=""),"",IF(C2441+D2441=0,"",(H2441*D2441+E2441*C2441)/(C2441+D2441)))</f>
        <v/>
      </c>
      <c r="J2441" s="59"/>
      <c r="K2441" s="61">
        <f>IF(OR(J2441="",I2441=""),"",J2441-I2441)</f>
        <v/>
      </c>
      <c r="L2441" s="61">
        <f>IF(OR(J2441="",G2441=""),"",J2441-G2441)</f>
        <v/>
      </c>
      <c r="M2441" s="59"/>
      <c r="N2441" s="59"/>
      <c r="O2441" s="59"/>
      <c r="P2441" s="59"/>
      <c r="Q2441" s="59"/>
      <c r="R2441" s="60">
        <f>IF(AND(P2441="",Q2441=""),"",N(P2441)+N(Q2441))</f>
        <v/>
      </c>
      <c r="S2441" s="59"/>
      <c r="T2441" s="59"/>
      <c r="U2441" s="62">
        <f>IF(OR(R2441="",S2441="",T2441=""),"",IF(S2441+T2441=0,"",R2441/(S2441+T2441)))</f>
        <v/>
      </c>
      <c r="V2441" s="63"/>
      <c r="W2441" s="64"/>
      <c r="X2441" s="63"/>
    </row>
    <row r="2442" spans="2:24">
      <c r="B2442" s="58"/>
      <c r="C2442" s="59"/>
      <c r="D2442" s="59"/>
      <c r="E2442" s="59"/>
      <c r="F2442" s="59"/>
      <c r="G2442" s="60">
        <f>IF(OR(E2442="",F2442="",C2442="",D2442=""),"",IF(C2442+D2442=0,"",(E2442*C2442+F2442*D2442)/(C2442+D2442)))</f>
        <v/>
      </c>
      <c r="H2442" s="59"/>
      <c r="I2442" s="60">
        <f>IF(OR(H2442="",E2442="",C2442="",D2442=""),"",IF(C2442+D2442=0,"",(H2442*D2442+E2442*C2442)/(C2442+D2442)))</f>
        <v/>
      </c>
      <c r="J2442" s="59"/>
      <c r="K2442" s="61">
        <f>IF(OR(J2442="",I2442=""),"",J2442-I2442)</f>
        <v/>
      </c>
      <c r="L2442" s="61">
        <f>IF(OR(J2442="",G2442=""),"",J2442-G2442)</f>
        <v/>
      </c>
      <c r="M2442" s="59"/>
      <c r="N2442" s="59"/>
      <c r="O2442" s="59"/>
      <c r="P2442" s="59"/>
      <c r="Q2442" s="59"/>
      <c r="R2442" s="60">
        <f>IF(AND(P2442="",Q2442=""),"",N(P2442)+N(Q2442))</f>
        <v/>
      </c>
      <c r="S2442" s="59"/>
      <c r="T2442" s="59"/>
      <c r="U2442" s="62">
        <f>IF(OR(R2442="",S2442="",T2442=""),"",IF(S2442+T2442=0,"",R2442/(S2442+T2442)))</f>
        <v/>
      </c>
      <c r="V2442" s="63"/>
      <c r="W2442" s="64"/>
      <c r="X2442" s="63"/>
    </row>
    <row r="2443" spans="2:24">
      <c r="B2443" s="58"/>
      <c r="C2443" s="59"/>
      <c r="D2443" s="59"/>
      <c r="E2443" s="59"/>
      <c r="F2443" s="59"/>
      <c r="G2443" s="60">
        <f>IF(OR(E2443="",F2443="",C2443="",D2443=""),"",IF(C2443+D2443=0,"",(E2443*C2443+F2443*D2443)/(C2443+D2443)))</f>
        <v/>
      </c>
      <c r="H2443" s="59"/>
      <c r="I2443" s="60">
        <f>IF(OR(H2443="",E2443="",C2443="",D2443=""),"",IF(C2443+D2443=0,"",(H2443*D2443+E2443*C2443)/(C2443+D2443)))</f>
        <v/>
      </c>
      <c r="J2443" s="59"/>
      <c r="K2443" s="61">
        <f>IF(OR(J2443="",I2443=""),"",J2443-I2443)</f>
        <v/>
      </c>
      <c r="L2443" s="61">
        <f>IF(OR(J2443="",G2443=""),"",J2443-G2443)</f>
        <v/>
      </c>
      <c r="M2443" s="59"/>
      <c r="N2443" s="59"/>
      <c r="O2443" s="59"/>
      <c r="P2443" s="59"/>
      <c r="Q2443" s="59"/>
      <c r="R2443" s="60">
        <f>IF(AND(P2443="",Q2443=""),"",N(P2443)+N(Q2443))</f>
        <v/>
      </c>
      <c r="S2443" s="59"/>
      <c r="T2443" s="59"/>
      <c r="U2443" s="62">
        <f>IF(OR(R2443="",S2443="",T2443=""),"",IF(S2443+T2443=0,"",R2443/(S2443+T2443)))</f>
        <v/>
      </c>
      <c r="V2443" s="63"/>
      <c r="W2443" s="64"/>
      <c r="X2443" s="63"/>
    </row>
    <row r="2444" spans="2:24">
      <c r="B2444" s="58"/>
      <c r="C2444" s="59"/>
      <c r="D2444" s="59"/>
      <c r="E2444" s="59"/>
      <c r="F2444" s="59"/>
      <c r="G2444" s="60">
        <f>IF(OR(E2444="",F2444="",C2444="",D2444=""),"",IF(C2444+D2444=0,"",(E2444*C2444+F2444*D2444)/(C2444+D2444)))</f>
        <v/>
      </c>
      <c r="H2444" s="59"/>
      <c r="I2444" s="60">
        <f>IF(OR(H2444="",E2444="",C2444="",D2444=""),"",IF(C2444+D2444=0,"",(H2444*D2444+E2444*C2444)/(C2444+D2444)))</f>
        <v/>
      </c>
      <c r="J2444" s="59"/>
      <c r="K2444" s="61">
        <f>IF(OR(J2444="",I2444=""),"",J2444-I2444)</f>
        <v/>
      </c>
      <c r="L2444" s="61">
        <f>IF(OR(J2444="",G2444=""),"",J2444-G2444)</f>
        <v/>
      </c>
      <c r="M2444" s="59"/>
      <c r="N2444" s="59"/>
      <c r="O2444" s="59"/>
      <c r="P2444" s="59"/>
      <c r="Q2444" s="59"/>
      <c r="R2444" s="60">
        <f>IF(AND(P2444="",Q2444=""),"",N(P2444)+N(Q2444))</f>
        <v/>
      </c>
      <c r="S2444" s="59"/>
      <c r="T2444" s="59"/>
      <c r="U2444" s="62">
        <f>IF(OR(R2444="",S2444="",T2444=""),"",IF(S2444+T2444=0,"",R2444/(S2444+T2444)))</f>
        <v/>
      </c>
      <c r="V2444" s="63"/>
      <c r="W2444" s="64"/>
      <c r="X2444" s="63"/>
    </row>
    <row r="2445" spans="2:24">
      <c r="B2445" s="58"/>
      <c r="C2445" s="59"/>
      <c r="D2445" s="59"/>
      <c r="E2445" s="59"/>
      <c r="F2445" s="59"/>
      <c r="G2445" s="60">
        <f>IF(OR(E2445="",F2445="",C2445="",D2445=""),"",IF(C2445+D2445=0,"",(E2445*C2445+F2445*D2445)/(C2445+D2445)))</f>
        <v/>
      </c>
      <c r="H2445" s="59"/>
      <c r="I2445" s="60">
        <f>IF(OR(H2445="",E2445="",C2445="",D2445=""),"",IF(C2445+D2445=0,"",(H2445*D2445+E2445*C2445)/(C2445+D2445)))</f>
        <v/>
      </c>
      <c r="J2445" s="59"/>
      <c r="K2445" s="61">
        <f>IF(OR(J2445="",I2445=""),"",J2445-I2445)</f>
        <v/>
      </c>
      <c r="L2445" s="61">
        <f>IF(OR(J2445="",G2445=""),"",J2445-G2445)</f>
        <v/>
      </c>
      <c r="M2445" s="59"/>
      <c r="N2445" s="59"/>
      <c r="O2445" s="59"/>
      <c r="P2445" s="59"/>
      <c r="Q2445" s="59"/>
      <c r="R2445" s="60">
        <f>IF(AND(P2445="",Q2445=""),"",N(P2445)+N(Q2445))</f>
        <v/>
      </c>
      <c r="S2445" s="59"/>
      <c r="T2445" s="59"/>
      <c r="U2445" s="62">
        <f>IF(OR(R2445="",S2445="",T2445=""),"",IF(S2445+T2445=0,"",R2445/(S2445+T2445)))</f>
        <v/>
      </c>
      <c r="V2445" s="63"/>
      <c r="W2445" s="64"/>
      <c r="X2445" s="63"/>
    </row>
    <row r="2446" spans="2:24">
      <c r="B2446" s="58"/>
      <c r="C2446" s="59"/>
      <c r="D2446" s="59"/>
      <c r="E2446" s="59"/>
      <c r="F2446" s="59"/>
      <c r="G2446" s="60">
        <f>IF(OR(E2446="",F2446="",C2446="",D2446=""),"",IF(C2446+D2446=0,"",(E2446*C2446+F2446*D2446)/(C2446+D2446)))</f>
        <v/>
      </c>
      <c r="H2446" s="59"/>
      <c r="I2446" s="60">
        <f>IF(OR(H2446="",E2446="",C2446="",D2446=""),"",IF(C2446+D2446=0,"",(H2446*D2446+E2446*C2446)/(C2446+D2446)))</f>
        <v/>
      </c>
      <c r="J2446" s="59"/>
      <c r="K2446" s="61">
        <f>IF(OR(J2446="",I2446=""),"",J2446-I2446)</f>
        <v/>
      </c>
      <c r="L2446" s="61">
        <f>IF(OR(J2446="",G2446=""),"",J2446-G2446)</f>
        <v/>
      </c>
      <c r="M2446" s="59"/>
      <c r="N2446" s="59"/>
      <c r="O2446" s="59"/>
      <c r="P2446" s="59"/>
      <c r="Q2446" s="59"/>
      <c r="R2446" s="60">
        <f>IF(AND(P2446="",Q2446=""),"",N(P2446)+N(Q2446))</f>
        <v/>
      </c>
      <c r="S2446" s="59"/>
      <c r="T2446" s="59"/>
      <c r="U2446" s="62">
        <f>IF(OR(R2446="",S2446="",T2446=""),"",IF(S2446+T2446=0,"",R2446/(S2446+T2446)))</f>
        <v/>
      </c>
      <c r="V2446" s="63"/>
      <c r="W2446" s="64"/>
      <c r="X2446" s="63"/>
    </row>
    <row r="2447" spans="2:24">
      <c r="B2447" s="58"/>
      <c r="C2447" s="59"/>
      <c r="D2447" s="59"/>
      <c r="E2447" s="59"/>
      <c r="F2447" s="59"/>
      <c r="G2447" s="60">
        <f>IF(OR(E2447="",F2447="",C2447="",D2447=""),"",IF(C2447+D2447=0,"",(E2447*C2447+F2447*D2447)/(C2447+D2447)))</f>
        <v/>
      </c>
      <c r="H2447" s="59"/>
      <c r="I2447" s="60">
        <f>IF(OR(H2447="",E2447="",C2447="",D2447=""),"",IF(C2447+D2447=0,"",(H2447*D2447+E2447*C2447)/(C2447+D2447)))</f>
        <v/>
      </c>
      <c r="J2447" s="59"/>
      <c r="K2447" s="61">
        <f>IF(OR(J2447="",I2447=""),"",J2447-I2447)</f>
        <v/>
      </c>
      <c r="L2447" s="61">
        <f>IF(OR(J2447="",G2447=""),"",J2447-G2447)</f>
        <v/>
      </c>
      <c r="M2447" s="59"/>
      <c r="N2447" s="59"/>
      <c r="O2447" s="59"/>
      <c r="P2447" s="59"/>
      <c r="Q2447" s="59"/>
      <c r="R2447" s="60">
        <f>IF(AND(P2447="",Q2447=""),"",N(P2447)+N(Q2447))</f>
        <v/>
      </c>
      <c r="S2447" s="59"/>
      <c r="T2447" s="59"/>
      <c r="U2447" s="62">
        <f>IF(OR(R2447="",S2447="",T2447=""),"",IF(S2447+T2447=0,"",R2447/(S2447+T2447)))</f>
        <v/>
      </c>
      <c r="V2447" s="63"/>
      <c r="W2447" s="64"/>
      <c r="X2447" s="63"/>
    </row>
    <row r="2448" spans="2:24">
      <c r="B2448" s="58"/>
      <c r="C2448" s="59"/>
      <c r="D2448" s="59"/>
      <c r="E2448" s="59"/>
      <c r="F2448" s="59"/>
      <c r="G2448" s="60">
        <f>IF(OR(E2448="",F2448="",C2448="",D2448=""),"",IF(C2448+D2448=0,"",(E2448*C2448+F2448*D2448)/(C2448+D2448)))</f>
        <v/>
      </c>
      <c r="H2448" s="59"/>
      <c r="I2448" s="60">
        <f>IF(OR(H2448="",E2448="",C2448="",D2448=""),"",IF(C2448+D2448=0,"",(H2448*D2448+E2448*C2448)/(C2448+D2448)))</f>
        <v/>
      </c>
      <c r="J2448" s="59"/>
      <c r="K2448" s="61">
        <f>IF(OR(J2448="",I2448=""),"",J2448-I2448)</f>
        <v/>
      </c>
      <c r="L2448" s="61">
        <f>IF(OR(J2448="",G2448=""),"",J2448-G2448)</f>
        <v/>
      </c>
      <c r="M2448" s="59"/>
      <c r="N2448" s="59"/>
      <c r="O2448" s="59"/>
      <c r="P2448" s="59"/>
      <c r="Q2448" s="59"/>
      <c r="R2448" s="60">
        <f>IF(AND(P2448="",Q2448=""),"",N(P2448)+N(Q2448))</f>
        <v/>
      </c>
      <c r="S2448" s="59"/>
      <c r="T2448" s="59"/>
      <c r="U2448" s="62">
        <f>IF(OR(R2448="",S2448="",T2448=""),"",IF(S2448+T2448=0,"",R2448/(S2448+T2448)))</f>
        <v/>
      </c>
      <c r="V2448" s="63"/>
      <c r="W2448" s="64"/>
      <c r="X2448" s="63"/>
    </row>
    <row r="2449" spans="2:24">
      <c r="B2449" s="58"/>
      <c r="C2449" s="59"/>
      <c r="D2449" s="59"/>
      <c r="E2449" s="59"/>
      <c r="F2449" s="59"/>
      <c r="G2449" s="60">
        <f>IF(OR(E2449="",F2449="",C2449="",D2449=""),"",IF(C2449+D2449=0,"",(E2449*C2449+F2449*D2449)/(C2449+D2449)))</f>
        <v/>
      </c>
      <c r="H2449" s="59"/>
      <c r="I2449" s="60">
        <f>IF(OR(H2449="",E2449="",C2449="",D2449=""),"",IF(C2449+D2449=0,"",(H2449*D2449+E2449*C2449)/(C2449+D2449)))</f>
        <v/>
      </c>
      <c r="J2449" s="59"/>
      <c r="K2449" s="61">
        <f>IF(OR(J2449="",I2449=""),"",J2449-I2449)</f>
        <v/>
      </c>
      <c r="L2449" s="61">
        <f>IF(OR(J2449="",G2449=""),"",J2449-G2449)</f>
        <v/>
      </c>
      <c r="M2449" s="59"/>
      <c r="N2449" s="59"/>
      <c r="O2449" s="59"/>
      <c r="P2449" s="59"/>
      <c r="Q2449" s="59"/>
      <c r="R2449" s="60">
        <f>IF(AND(P2449="",Q2449=""),"",N(P2449)+N(Q2449))</f>
        <v/>
      </c>
      <c r="S2449" s="59"/>
      <c r="T2449" s="59"/>
      <c r="U2449" s="62">
        <f>IF(OR(R2449="",S2449="",T2449=""),"",IF(S2449+T2449=0,"",R2449/(S2449+T2449)))</f>
        <v/>
      </c>
      <c r="V2449" s="63"/>
      <c r="W2449" s="64"/>
      <c r="X2449" s="63"/>
    </row>
    <row r="2450" spans="2:24">
      <c r="B2450" s="58"/>
      <c r="C2450" s="59"/>
      <c r="D2450" s="59"/>
      <c r="E2450" s="59"/>
      <c r="F2450" s="59"/>
      <c r="G2450" s="60">
        <f>IF(OR(E2450="",F2450="",C2450="",D2450=""),"",IF(C2450+D2450=0,"",(E2450*C2450+F2450*D2450)/(C2450+D2450)))</f>
        <v/>
      </c>
      <c r="H2450" s="59"/>
      <c r="I2450" s="60">
        <f>IF(OR(H2450="",E2450="",C2450="",D2450=""),"",IF(C2450+D2450=0,"",(H2450*D2450+E2450*C2450)/(C2450+D2450)))</f>
        <v/>
      </c>
      <c r="J2450" s="59"/>
      <c r="K2450" s="61">
        <f>IF(OR(J2450="",I2450=""),"",J2450-I2450)</f>
        <v/>
      </c>
      <c r="L2450" s="61">
        <f>IF(OR(J2450="",G2450=""),"",J2450-G2450)</f>
        <v/>
      </c>
      <c r="M2450" s="59"/>
      <c r="N2450" s="59"/>
      <c r="O2450" s="59"/>
      <c r="P2450" s="59"/>
      <c r="Q2450" s="59"/>
      <c r="R2450" s="60">
        <f>IF(AND(P2450="",Q2450=""),"",N(P2450)+N(Q2450))</f>
        <v/>
      </c>
      <c r="S2450" s="59"/>
      <c r="T2450" s="59"/>
      <c r="U2450" s="62">
        <f>IF(OR(R2450="",S2450="",T2450=""),"",IF(S2450+T2450=0,"",R2450/(S2450+T2450)))</f>
        <v/>
      </c>
      <c r="V2450" s="63"/>
      <c r="W2450" s="64"/>
      <c r="X2450" s="63"/>
    </row>
    <row r="2451" spans="2:24">
      <c r="B2451" s="58"/>
      <c r="C2451" s="59"/>
      <c r="D2451" s="59"/>
      <c r="E2451" s="59"/>
      <c r="F2451" s="59"/>
      <c r="G2451" s="60">
        <f>IF(OR(E2451="",F2451="",C2451="",D2451=""),"",IF(C2451+D2451=0,"",(E2451*C2451+F2451*D2451)/(C2451+D2451)))</f>
        <v/>
      </c>
      <c r="H2451" s="59"/>
      <c r="I2451" s="60">
        <f>IF(OR(H2451="",E2451="",C2451="",D2451=""),"",IF(C2451+D2451=0,"",(H2451*D2451+E2451*C2451)/(C2451+D2451)))</f>
        <v/>
      </c>
      <c r="J2451" s="59"/>
      <c r="K2451" s="61">
        <f>IF(OR(J2451="",I2451=""),"",J2451-I2451)</f>
        <v/>
      </c>
      <c r="L2451" s="61">
        <f>IF(OR(J2451="",G2451=""),"",J2451-G2451)</f>
        <v/>
      </c>
      <c r="M2451" s="59"/>
      <c r="N2451" s="59"/>
      <c r="O2451" s="59"/>
      <c r="P2451" s="59"/>
      <c r="Q2451" s="59"/>
      <c r="R2451" s="60">
        <f>IF(AND(P2451="",Q2451=""),"",N(P2451)+N(Q2451))</f>
        <v/>
      </c>
      <c r="S2451" s="59"/>
      <c r="T2451" s="59"/>
      <c r="U2451" s="62">
        <f>IF(OR(R2451="",S2451="",T2451=""),"",IF(S2451+T2451=0,"",R2451/(S2451+T2451)))</f>
        <v/>
      </c>
      <c r="V2451" s="63"/>
      <c r="W2451" s="64"/>
      <c r="X2451" s="63"/>
    </row>
    <row r="2452" spans="2:24">
      <c r="B2452" s="58"/>
      <c r="C2452" s="59"/>
      <c r="D2452" s="59"/>
      <c r="E2452" s="59"/>
      <c r="F2452" s="59"/>
      <c r="G2452" s="60">
        <f>IF(OR(E2452="",F2452="",C2452="",D2452=""),"",IF(C2452+D2452=0,"",(E2452*C2452+F2452*D2452)/(C2452+D2452)))</f>
        <v/>
      </c>
      <c r="H2452" s="59"/>
      <c r="I2452" s="60">
        <f>IF(OR(H2452="",E2452="",C2452="",D2452=""),"",IF(C2452+D2452=0,"",(H2452*D2452+E2452*C2452)/(C2452+D2452)))</f>
        <v/>
      </c>
      <c r="J2452" s="59"/>
      <c r="K2452" s="61">
        <f>IF(OR(J2452="",I2452=""),"",J2452-I2452)</f>
        <v/>
      </c>
      <c r="L2452" s="61">
        <f>IF(OR(J2452="",G2452=""),"",J2452-G2452)</f>
        <v/>
      </c>
      <c r="M2452" s="59"/>
      <c r="N2452" s="59"/>
      <c r="O2452" s="59"/>
      <c r="P2452" s="59"/>
      <c r="Q2452" s="59"/>
      <c r="R2452" s="60">
        <f>IF(AND(P2452="",Q2452=""),"",N(P2452)+N(Q2452))</f>
        <v/>
      </c>
      <c r="S2452" s="59"/>
      <c r="T2452" s="59"/>
      <c r="U2452" s="62">
        <f>IF(OR(R2452="",S2452="",T2452=""),"",IF(S2452+T2452=0,"",R2452/(S2452+T2452)))</f>
        <v/>
      </c>
      <c r="V2452" s="63"/>
      <c r="W2452" s="64"/>
      <c r="X2452" s="63"/>
    </row>
    <row r="2453" spans="2:24">
      <c r="B2453" s="58"/>
      <c r="C2453" s="59"/>
      <c r="D2453" s="59"/>
      <c r="E2453" s="59"/>
      <c r="F2453" s="59"/>
      <c r="G2453" s="60">
        <f>IF(OR(E2453="",F2453="",C2453="",D2453=""),"",IF(C2453+D2453=0,"",(E2453*C2453+F2453*D2453)/(C2453+D2453)))</f>
        <v/>
      </c>
      <c r="H2453" s="59"/>
      <c r="I2453" s="60">
        <f>IF(OR(H2453="",E2453="",C2453="",D2453=""),"",IF(C2453+D2453=0,"",(H2453*D2453+E2453*C2453)/(C2453+D2453)))</f>
        <v/>
      </c>
      <c r="J2453" s="59"/>
      <c r="K2453" s="61">
        <f>IF(OR(J2453="",I2453=""),"",J2453-I2453)</f>
        <v/>
      </c>
      <c r="L2453" s="61">
        <f>IF(OR(J2453="",G2453=""),"",J2453-G2453)</f>
        <v/>
      </c>
      <c r="M2453" s="59"/>
      <c r="N2453" s="59"/>
      <c r="O2453" s="59"/>
      <c r="P2453" s="59"/>
      <c r="Q2453" s="59"/>
      <c r="R2453" s="60">
        <f>IF(AND(P2453="",Q2453=""),"",N(P2453)+N(Q2453))</f>
        <v/>
      </c>
      <c r="S2453" s="59"/>
      <c r="T2453" s="59"/>
      <c r="U2453" s="62">
        <f>IF(OR(R2453="",S2453="",T2453=""),"",IF(S2453+T2453=0,"",R2453/(S2453+T2453)))</f>
        <v/>
      </c>
      <c r="V2453" s="63"/>
      <c r="W2453" s="64"/>
      <c r="X2453" s="63"/>
    </row>
    <row r="2454" spans="2:24">
      <c r="B2454" s="58"/>
      <c r="C2454" s="59"/>
      <c r="D2454" s="59"/>
      <c r="E2454" s="59"/>
      <c r="F2454" s="59"/>
      <c r="G2454" s="60">
        <f>IF(OR(E2454="",F2454="",C2454="",D2454=""),"",IF(C2454+D2454=0,"",(E2454*C2454+F2454*D2454)/(C2454+D2454)))</f>
        <v/>
      </c>
      <c r="H2454" s="59"/>
      <c r="I2454" s="60">
        <f>IF(OR(H2454="",E2454="",C2454="",D2454=""),"",IF(C2454+D2454=0,"",(H2454*D2454+E2454*C2454)/(C2454+D2454)))</f>
        <v/>
      </c>
      <c r="J2454" s="59"/>
      <c r="K2454" s="61">
        <f>IF(OR(J2454="",I2454=""),"",J2454-I2454)</f>
        <v/>
      </c>
      <c r="L2454" s="61">
        <f>IF(OR(J2454="",G2454=""),"",J2454-G2454)</f>
        <v/>
      </c>
      <c r="M2454" s="59"/>
      <c r="N2454" s="59"/>
      <c r="O2454" s="59"/>
      <c r="P2454" s="59"/>
      <c r="Q2454" s="59"/>
      <c r="R2454" s="60">
        <f>IF(AND(P2454="",Q2454=""),"",N(P2454)+N(Q2454))</f>
        <v/>
      </c>
      <c r="S2454" s="59"/>
      <c r="T2454" s="59"/>
      <c r="U2454" s="62">
        <f>IF(OR(R2454="",S2454="",T2454=""),"",IF(S2454+T2454=0,"",R2454/(S2454+T2454)))</f>
        <v/>
      </c>
      <c r="V2454" s="63"/>
      <c r="W2454" s="64"/>
      <c r="X2454" s="63"/>
    </row>
    <row r="2455" spans="2:24">
      <c r="B2455" s="58"/>
      <c r="C2455" s="59"/>
      <c r="D2455" s="59"/>
      <c r="E2455" s="59"/>
      <c r="F2455" s="59"/>
      <c r="G2455" s="60">
        <f>IF(OR(E2455="",F2455="",C2455="",D2455=""),"",IF(C2455+D2455=0,"",(E2455*C2455+F2455*D2455)/(C2455+D2455)))</f>
        <v/>
      </c>
      <c r="H2455" s="59"/>
      <c r="I2455" s="60">
        <f>IF(OR(H2455="",E2455="",C2455="",D2455=""),"",IF(C2455+D2455=0,"",(H2455*D2455+E2455*C2455)/(C2455+D2455)))</f>
        <v/>
      </c>
      <c r="J2455" s="59"/>
      <c r="K2455" s="61">
        <f>IF(OR(J2455="",I2455=""),"",J2455-I2455)</f>
        <v/>
      </c>
      <c r="L2455" s="61">
        <f>IF(OR(J2455="",G2455=""),"",J2455-G2455)</f>
        <v/>
      </c>
      <c r="M2455" s="59"/>
      <c r="N2455" s="59"/>
      <c r="O2455" s="59"/>
      <c r="P2455" s="59"/>
      <c r="Q2455" s="59"/>
      <c r="R2455" s="60">
        <f>IF(AND(P2455="",Q2455=""),"",N(P2455)+N(Q2455))</f>
        <v/>
      </c>
      <c r="S2455" s="59"/>
      <c r="T2455" s="59"/>
      <c r="U2455" s="62">
        <f>IF(OR(R2455="",S2455="",T2455=""),"",IF(S2455+T2455=0,"",R2455/(S2455+T2455)))</f>
        <v/>
      </c>
      <c r="V2455" s="63"/>
      <c r="W2455" s="64"/>
      <c r="X2455" s="63"/>
    </row>
    <row r="2456" spans="2:24">
      <c r="B2456" s="58"/>
      <c r="C2456" s="59"/>
      <c r="D2456" s="59"/>
      <c r="E2456" s="59"/>
      <c r="F2456" s="59"/>
      <c r="G2456" s="60">
        <f>IF(OR(E2456="",F2456="",C2456="",D2456=""),"",IF(C2456+D2456=0,"",(E2456*C2456+F2456*D2456)/(C2456+D2456)))</f>
        <v/>
      </c>
      <c r="H2456" s="59"/>
      <c r="I2456" s="60">
        <f>IF(OR(H2456="",E2456="",C2456="",D2456=""),"",IF(C2456+D2456=0,"",(H2456*D2456+E2456*C2456)/(C2456+D2456)))</f>
        <v/>
      </c>
      <c r="J2456" s="59"/>
      <c r="K2456" s="61">
        <f>IF(OR(J2456="",I2456=""),"",J2456-I2456)</f>
        <v/>
      </c>
      <c r="L2456" s="61">
        <f>IF(OR(J2456="",G2456=""),"",J2456-G2456)</f>
        <v/>
      </c>
      <c r="M2456" s="59"/>
      <c r="N2456" s="59"/>
      <c r="O2456" s="59"/>
      <c r="P2456" s="59"/>
      <c r="Q2456" s="59"/>
      <c r="R2456" s="60">
        <f>IF(AND(P2456="",Q2456=""),"",N(P2456)+N(Q2456))</f>
        <v/>
      </c>
      <c r="S2456" s="59"/>
      <c r="T2456" s="59"/>
      <c r="U2456" s="62">
        <f>IF(OR(R2456="",S2456="",T2456=""),"",IF(S2456+T2456=0,"",R2456/(S2456+T2456)))</f>
        <v/>
      </c>
      <c r="V2456" s="63"/>
      <c r="W2456" s="64"/>
      <c r="X2456" s="63"/>
    </row>
    <row r="2457" spans="2:24">
      <c r="B2457" s="58"/>
      <c r="C2457" s="59"/>
      <c r="D2457" s="59"/>
      <c r="E2457" s="59"/>
      <c r="F2457" s="59"/>
      <c r="G2457" s="60">
        <f>IF(OR(E2457="",F2457="",C2457="",D2457=""),"",IF(C2457+D2457=0,"",(E2457*C2457+F2457*D2457)/(C2457+D2457)))</f>
        <v/>
      </c>
      <c r="H2457" s="59"/>
      <c r="I2457" s="60">
        <f>IF(OR(H2457="",E2457="",C2457="",D2457=""),"",IF(C2457+D2457=0,"",(H2457*D2457+E2457*C2457)/(C2457+D2457)))</f>
        <v/>
      </c>
      <c r="J2457" s="59"/>
      <c r="K2457" s="61">
        <f>IF(OR(J2457="",I2457=""),"",J2457-I2457)</f>
        <v/>
      </c>
      <c r="L2457" s="61">
        <f>IF(OR(J2457="",G2457=""),"",J2457-G2457)</f>
        <v/>
      </c>
      <c r="M2457" s="59"/>
      <c r="N2457" s="59"/>
      <c r="O2457" s="59"/>
      <c r="P2457" s="59"/>
      <c r="Q2457" s="59"/>
      <c r="R2457" s="60">
        <f>IF(AND(P2457="",Q2457=""),"",N(P2457)+N(Q2457))</f>
        <v/>
      </c>
      <c r="S2457" s="59"/>
      <c r="T2457" s="59"/>
      <c r="U2457" s="62">
        <f>IF(OR(R2457="",S2457="",T2457=""),"",IF(S2457+T2457=0,"",R2457/(S2457+T2457)))</f>
        <v/>
      </c>
      <c r="V2457" s="63"/>
      <c r="W2457" s="64"/>
      <c r="X2457" s="63"/>
    </row>
    <row r="2458" spans="2:24">
      <c r="B2458" s="58"/>
      <c r="C2458" s="59"/>
      <c r="D2458" s="59"/>
      <c r="E2458" s="59"/>
      <c r="F2458" s="59"/>
      <c r="G2458" s="60">
        <f>IF(OR(E2458="",F2458="",C2458="",D2458=""),"",IF(C2458+D2458=0,"",(E2458*C2458+F2458*D2458)/(C2458+D2458)))</f>
        <v/>
      </c>
      <c r="H2458" s="59"/>
      <c r="I2458" s="60">
        <f>IF(OR(H2458="",E2458="",C2458="",D2458=""),"",IF(C2458+D2458=0,"",(H2458*D2458+E2458*C2458)/(C2458+D2458)))</f>
        <v/>
      </c>
      <c r="J2458" s="59"/>
      <c r="K2458" s="61">
        <f>IF(OR(J2458="",I2458=""),"",J2458-I2458)</f>
        <v/>
      </c>
      <c r="L2458" s="61">
        <f>IF(OR(J2458="",G2458=""),"",J2458-G2458)</f>
        <v/>
      </c>
      <c r="M2458" s="59"/>
      <c r="N2458" s="59"/>
      <c r="O2458" s="59"/>
      <c r="P2458" s="59"/>
      <c r="Q2458" s="59"/>
      <c r="R2458" s="60">
        <f>IF(AND(P2458="",Q2458=""),"",N(P2458)+N(Q2458))</f>
        <v/>
      </c>
      <c r="S2458" s="59"/>
      <c r="T2458" s="59"/>
      <c r="U2458" s="62">
        <f>IF(OR(R2458="",S2458="",T2458=""),"",IF(S2458+T2458=0,"",R2458/(S2458+T2458)))</f>
        <v/>
      </c>
      <c r="V2458" s="63"/>
      <c r="W2458" s="64"/>
      <c r="X2458" s="63"/>
    </row>
    <row r="2459" spans="2:24">
      <c r="B2459" s="58"/>
      <c r="C2459" s="59"/>
      <c r="D2459" s="59"/>
      <c r="E2459" s="59"/>
      <c r="F2459" s="59"/>
      <c r="G2459" s="60">
        <f>IF(OR(E2459="",F2459="",C2459="",D2459=""),"",IF(C2459+D2459=0,"",(E2459*C2459+F2459*D2459)/(C2459+D2459)))</f>
        <v/>
      </c>
      <c r="H2459" s="59"/>
      <c r="I2459" s="60">
        <f>IF(OR(H2459="",E2459="",C2459="",D2459=""),"",IF(C2459+D2459=0,"",(H2459*D2459+E2459*C2459)/(C2459+D2459)))</f>
        <v/>
      </c>
      <c r="J2459" s="59"/>
      <c r="K2459" s="61">
        <f>IF(OR(J2459="",I2459=""),"",J2459-I2459)</f>
        <v/>
      </c>
      <c r="L2459" s="61">
        <f>IF(OR(J2459="",G2459=""),"",J2459-G2459)</f>
        <v/>
      </c>
      <c r="M2459" s="59"/>
      <c r="N2459" s="59"/>
      <c r="O2459" s="59"/>
      <c r="P2459" s="59"/>
      <c r="Q2459" s="59"/>
      <c r="R2459" s="60">
        <f>IF(AND(P2459="",Q2459=""),"",N(P2459)+N(Q2459))</f>
        <v/>
      </c>
      <c r="S2459" s="59"/>
      <c r="T2459" s="59"/>
      <c r="U2459" s="62">
        <f>IF(OR(R2459="",S2459="",T2459=""),"",IF(S2459+T2459=0,"",R2459/(S2459+T2459)))</f>
        <v/>
      </c>
      <c r="V2459" s="63"/>
      <c r="W2459" s="64"/>
      <c r="X2459" s="63"/>
    </row>
    <row r="2460" spans="2:24">
      <c r="B2460" s="58"/>
      <c r="C2460" s="59"/>
      <c r="D2460" s="59"/>
      <c r="E2460" s="59"/>
      <c r="F2460" s="59"/>
      <c r="G2460" s="60">
        <f>IF(OR(E2460="",F2460="",C2460="",D2460=""),"",IF(C2460+D2460=0,"",(E2460*C2460+F2460*D2460)/(C2460+D2460)))</f>
        <v/>
      </c>
      <c r="H2460" s="59"/>
      <c r="I2460" s="60">
        <f>IF(OR(H2460="",E2460="",C2460="",D2460=""),"",IF(C2460+D2460=0,"",(H2460*D2460+E2460*C2460)/(C2460+D2460)))</f>
        <v/>
      </c>
      <c r="J2460" s="59"/>
      <c r="K2460" s="61">
        <f>IF(OR(J2460="",I2460=""),"",J2460-I2460)</f>
        <v/>
      </c>
      <c r="L2460" s="61">
        <f>IF(OR(J2460="",G2460=""),"",J2460-G2460)</f>
        <v/>
      </c>
      <c r="M2460" s="59"/>
      <c r="N2460" s="59"/>
      <c r="O2460" s="59"/>
      <c r="P2460" s="59"/>
      <c r="Q2460" s="59"/>
      <c r="R2460" s="60">
        <f>IF(AND(P2460="",Q2460=""),"",N(P2460)+N(Q2460))</f>
        <v/>
      </c>
      <c r="S2460" s="59"/>
      <c r="T2460" s="59"/>
      <c r="U2460" s="62">
        <f>IF(OR(R2460="",S2460="",T2460=""),"",IF(S2460+T2460=0,"",R2460/(S2460+T2460)))</f>
        <v/>
      </c>
      <c r="V2460" s="63"/>
      <c r="W2460" s="64"/>
      <c r="X2460" s="63"/>
    </row>
    <row r="2461" spans="2:24">
      <c r="B2461" s="58"/>
      <c r="C2461" s="59"/>
      <c r="D2461" s="59"/>
      <c r="E2461" s="59"/>
      <c r="F2461" s="59"/>
      <c r="G2461" s="60">
        <f>IF(OR(E2461="",F2461="",C2461="",D2461=""),"",IF(C2461+D2461=0,"",(E2461*C2461+F2461*D2461)/(C2461+D2461)))</f>
        <v/>
      </c>
      <c r="H2461" s="59"/>
      <c r="I2461" s="60">
        <f>IF(OR(H2461="",E2461="",C2461="",D2461=""),"",IF(C2461+D2461=0,"",(H2461*D2461+E2461*C2461)/(C2461+D2461)))</f>
        <v/>
      </c>
      <c r="J2461" s="59"/>
      <c r="K2461" s="61">
        <f>IF(OR(J2461="",I2461=""),"",J2461-I2461)</f>
        <v/>
      </c>
      <c r="L2461" s="61">
        <f>IF(OR(J2461="",G2461=""),"",J2461-G2461)</f>
        <v/>
      </c>
      <c r="M2461" s="59"/>
      <c r="N2461" s="59"/>
      <c r="O2461" s="59"/>
      <c r="P2461" s="59"/>
      <c r="Q2461" s="59"/>
      <c r="R2461" s="60">
        <f>IF(AND(P2461="",Q2461=""),"",N(P2461)+N(Q2461))</f>
        <v/>
      </c>
      <c r="S2461" s="59"/>
      <c r="T2461" s="59"/>
      <c r="U2461" s="62">
        <f>IF(OR(R2461="",S2461="",T2461=""),"",IF(S2461+T2461=0,"",R2461/(S2461+T2461)))</f>
        <v/>
      </c>
      <c r="V2461" s="63"/>
      <c r="W2461" s="64"/>
      <c r="X2461" s="63"/>
    </row>
    <row r="2462" spans="2:24">
      <c r="B2462" s="58"/>
      <c r="C2462" s="59"/>
      <c r="D2462" s="59"/>
      <c r="E2462" s="59"/>
      <c r="F2462" s="59"/>
      <c r="G2462" s="60">
        <f>IF(OR(E2462="",F2462="",C2462="",D2462=""),"",IF(C2462+D2462=0,"",(E2462*C2462+F2462*D2462)/(C2462+D2462)))</f>
        <v/>
      </c>
      <c r="H2462" s="59"/>
      <c r="I2462" s="60">
        <f>IF(OR(H2462="",E2462="",C2462="",D2462=""),"",IF(C2462+D2462=0,"",(H2462*D2462+E2462*C2462)/(C2462+D2462)))</f>
        <v/>
      </c>
      <c r="J2462" s="59"/>
      <c r="K2462" s="61">
        <f>IF(OR(J2462="",I2462=""),"",J2462-I2462)</f>
        <v/>
      </c>
      <c r="L2462" s="61">
        <f>IF(OR(J2462="",G2462=""),"",J2462-G2462)</f>
        <v/>
      </c>
      <c r="M2462" s="59"/>
      <c r="N2462" s="59"/>
      <c r="O2462" s="59"/>
      <c r="P2462" s="59"/>
      <c r="Q2462" s="59"/>
      <c r="R2462" s="60">
        <f>IF(AND(P2462="",Q2462=""),"",N(P2462)+N(Q2462))</f>
        <v/>
      </c>
      <c r="S2462" s="59"/>
      <c r="T2462" s="59"/>
      <c r="U2462" s="62">
        <f>IF(OR(R2462="",S2462="",T2462=""),"",IF(S2462+T2462=0,"",R2462/(S2462+T2462)))</f>
        <v/>
      </c>
      <c r="V2462" s="63"/>
      <c r="W2462" s="64"/>
      <c r="X2462" s="63"/>
    </row>
    <row r="2463" spans="2:24">
      <c r="B2463" s="58"/>
      <c r="C2463" s="59"/>
      <c r="D2463" s="59"/>
      <c r="E2463" s="59"/>
      <c r="F2463" s="59"/>
      <c r="G2463" s="60">
        <f>IF(OR(E2463="",F2463="",C2463="",D2463=""),"",IF(C2463+D2463=0,"",(E2463*C2463+F2463*D2463)/(C2463+D2463)))</f>
        <v/>
      </c>
      <c r="H2463" s="59"/>
      <c r="I2463" s="60">
        <f>IF(OR(H2463="",E2463="",C2463="",D2463=""),"",IF(C2463+D2463=0,"",(H2463*D2463+E2463*C2463)/(C2463+D2463)))</f>
        <v/>
      </c>
      <c r="J2463" s="59"/>
      <c r="K2463" s="61">
        <f>IF(OR(J2463="",I2463=""),"",J2463-I2463)</f>
        <v/>
      </c>
      <c r="L2463" s="61">
        <f>IF(OR(J2463="",G2463=""),"",J2463-G2463)</f>
        <v/>
      </c>
      <c r="M2463" s="59"/>
      <c r="N2463" s="59"/>
      <c r="O2463" s="59"/>
      <c r="P2463" s="59"/>
      <c r="Q2463" s="59"/>
      <c r="R2463" s="60">
        <f>IF(AND(P2463="",Q2463=""),"",N(P2463)+N(Q2463))</f>
        <v/>
      </c>
      <c r="S2463" s="59"/>
      <c r="T2463" s="59"/>
      <c r="U2463" s="62">
        <f>IF(OR(R2463="",S2463="",T2463=""),"",IF(S2463+T2463=0,"",R2463/(S2463+T2463)))</f>
        <v/>
      </c>
      <c r="V2463" s="63"/>
      <c r="W2463" s="64"/>
      <c r="X2463" s="63"/>
    </row>
    <row r="2464" spans="2:24">
      <c r="B2464" s="58"/>
      <c r="C2464" s="59"/>
      <c r="D2464" s="59"/>
      <c r="E2464" s="59"/>
      <c r="F2464" s="59"/>
      <c r="G2464" s="60">
        <f>IF(OR(E2464="",F2464="",C2464="",D2464=""),"",IF(C2464+D2464=0,"",(E2464*C2464+F2464*D2464)/(C2464+D2464)))</f>
        <v/>
      </c>
      <c r="H2464" s="59"/>
      <c r="I2464" s="60">
        <f>IF(OR(H2464="",E2464="",C2464="",D2464=""),"",IF(C2464+D2464=0,"",(H2464*D2464+E2464*C2464)/(C2464+D2464)))</f>
        <v/>
      </c>
      <c r="J2464" s="59"/>
      <c r="K2464" s="61">
        <f>IF(OR(J2464="",I2464=""),"",J2464-I2464)</f>
        <v/>
      </c>
      <c r="L2464" s="61">
        <f>IF(OR(J2464="",G2464=""),"",J2464-G2464)</f>
        <v/>
      </c>
      <c r="M2464" s="59"/>
      <c r="N2464" s="59"/>
      <c r="O2464" s="59"/>
      <c r="P2464" s="59"/>
      <c r="Q2464" s="59"/>
      <c r="R2464" s="60">
        <f>IF(AND(P2464="",Q2464=""),"",N(P2464)+N(Q2464))</f>
        <v/>
      </c>
      <c r="S2464" s="59"/>
      <c r="T2464" s="59"/>
      <c r="U2464" s="62">
        <f>IF(OR(R2464="",S2464="",T2464=""),"",IF(S2464+T2464=0,"",R2464/(S2464+T2464)))</f>
        <v/>
      </c>
      <c r="V2464" s="63"/>
      <c r="W2464" s="64"/>
      <c r="X2464" s="63"/>
    </row>
    <row r="2465" spans="2:24">
      <c r="B2465" s="58"/>
      <c r="C2465" s="59"/>
      <c r="D2465" s="59"/>
      <c r="E2465" s="59"/>
      <c r="F2465" s="59"/>
      <c r="G2465" s="60">
        <f>IF(OR(E2465="",F2465="",C2465="",D2465=""),"",IF(C2465+D2465=0,"",(E2465*C2465+F2465*D2465)/(C2465+D2465)))</f>
        <v/>
      </c>
      <c r="H2465" s="59"/>
      <c r="I2465" s="60">
        <f>IF(OR(H2465="",E2465="",C2465="",D2465=""),"",IF(C2465+D2465=0,"",(H2465*D2465+E2465*C2465)/(C2465+D2465)))</f>
        <v/>
      </c>
      <c r="J2465" s="59"/>
      <c r="K2465" s="61">
        <f>IF(OR(J2465="",I2465=""),"",J2465-I2465)</f>
        <v/>
      </c>
      <c r="L2465" s="61">
        <f>IF(OR(J2465="",G2465=""),"",J2465-G2465)</f>
        <v/>
      </c>
      <c r="M2465" s="59"/>
      <c r="N2465" s="59"/>
      <c r="O2465" s="59"/>
      <c r="P2465" s="59"/>
      <c r="Q2465" s="59"/>
      <c r="R2465" s="60">
        <f>IF(AND(P2465="",Q2465=""),"",N(P2465)+N(Q2465))</f>
        <v/>
      </c>
      <c r="S2465" s="59"/>
      <c r="T2465" s="59"/>
      <c r="U2465" s="62">
        <f>IF(OR(R2465="",S2465="",T2465=""),"",IF(S2465+T2465=0,"",R2465/(S2465+T2465)))</f>
        <v/>
      </c>
      <c r="V2465" s="63"/>
      <c r="W2465" s="64"/>
      <c r="X2465" s="63"/>
    </row>
    <row r="2466" spans="2:24">
      <c r="B2466" s="58"/>
      <c r="C2466" s="59"/>
      <c r="D2466" s="59"/>
      <c r="E2466" s="59"/>
      <c r="F2466" s="59"/>
      <c r="G2466" s="60">
        <f>IF(OR(E2466="",F2466="",C2466="",D2466=""),"",IF(C2466+D2466=0,"",(E2466*C2466+F2466*D2466)/(C2466+D2466)))</f>
        <v/>
      </c>
      <c r="H2466" s="59"/>
      <c r="I2466" s="60">
        <f>IF(OR(H2466="",E2466="",C2466="",D2466=""),"",IF(C2466+D2466=0,"",(H2466*D2466+E2466*C2466)/(C2466+D2466)))</f>
        <v/>
      </c>
      <c r="J2466" s="59"/>
      <c r="K2466" s="61">
        <f>IF(OR(J2466="",I2466=""),"",J2466-I2466)</f>
        <v/>
      </c>
      <c r="L2466" s="61">
        <f>IF(OR(J2466="",G2466=""),"",J2466-G2466)</f>
        <v/>
      </c>
      <c r="M2466" s="59"/>
      <c r="N2466" s="59"/>
      <c r="O2466" s="59"/>
      <c r="P2466" s="59"/>
      <c r="Q2466" s="59"/>
      <c r="R2466" s="60">
        <f>IF(AND(P2466="",Q2466=""),"",N(P2466)+N(Q2466))</f>
        <v/>
      </c>
      <c r="S2466" s="59"/>
      <c r="T2466" s="59"/>
      <c r="U2466" s="62">
        <f>IF(OR(R2466="",S2466="",T2466=""),"",IF(S2466+T2466=0,"",R2466/(S2466+T2466)))</f>
        <v/>
      </c>
      <c r="V2466" s="63"/>
      <c r="W2466" s="64"/>
      <c r="X2466" s="63"/>
    </row>
    <row r="2467" spans="2:24">
      <c r="B2467" s="58"/>
      <c r="C2467" s="59"/>
      <c r="D2467" s="59"/>
      <c r="E2467" s="59"/>
      <c r="F2467" s="59"/>
      <c r="G2467" s="60">
        <f>IF(OR(E2467="",F2467="",C2467="",D2467=""),"",IF(C2467+D2467=0,"",(E2467*C2467+F2467*D2467)/(C2467+D2467)))</f>
        <v/>
      </c>
      <c r="H2467" s="59"/>
      <c r="I2467" s="60">
        <f>IF(OR(H2467="",E2467="",C2467="",D2467=""),"",IF(C2467+D2467=0,"",(H2467*D2467+E2467*C2467)/(C2467+D2467)))</f>
        <v/>
      </c>
      <c r="J2467" s="59"/>
      <c r="K2467" s="61">
        <f>IF(OR(J2467="",I2467=""),"",J2467-I2467)</f>
        <v/>
      </c>
      <c r="L2467" s="61">
        <f>IF(OR(J2467="",G2467=""),"",J2467-G2467)</f>
        <v/>
      </c>
      <c r="M2467" s="59"/>
      <c r="N2467" s="59"/>
      <c r="O2467" s="59"/>
      <c r="P2467" s="59"/>
      <c r="Q2467" s="59"/>
      <c r="R2467" s="60">
        <f>IF(AND(P2467="",Q2467=""),"",N(P2467)+N(Q2467))</f>
        <v/>
      </c>
      <c r="S2467" s="59"/>
      <c r="T2467" s="59"/>
      <c r="U2467" s="62">
        <f>IF(OR(R2467="",S2467="",T2467=""),"",IF(S2467+T2467=0,"",R2467/(S2467+T2467)))</f>
        <v/>
      </c>
      <c r="V2467" s="63"/>
      <c r="W2467" s="64"/>
      <c r="X2467" s="63"/>
    </row>
    <row r="2468" spans="2:24">
      <c r="B2468" s="58"/>
      <c r="C2468" s="59"/>
      <c r="D2468" s="59"/>
      <c r="E2468" s="59"/>
      <c r="F2468" s="59"/>
      <c r="G2468" s="60">
        <f>IF(OR(E2468="",F2468="",C2468="",D2468=""),"",IF(C2468+D2468=0,"",(E2468*C2468+F2468*D2468)/(C2468+D2468)))</f>
        <v/>
      </c>
      <c r="H2468" s="59"/>
      <c r="I2468" s="60">
        <f>IF(OR(H2468="",E2468="",C2468="",D2468=""),"",IF(C2468+D2468=0,"",(H2468*D2468+E2468*C2468)/(C2468+D2468)))</f>
        <v/>
      </c>
      <c r="J2468" s="59"/>
      <c r="K2468" s="61">
        <f>IF(OR(J2468="",I2468=""),"",J2468-I2468)</f>
        <v/>
      </c>
      <c r="L2468" s="61">
        <f>IF(OR(J2468="",G2468=""),"",J2468-G2468)</f>
        <v/>
      </c>
      <c r="M2468" s="59"/>
      <c r="N2468" s="59"/>
      <c r="O2468" s="59"/>
      <c r="P2468" s="59"/>
      <c r="Q2468" s="59"/>
      <c r="R2468" s="60">
        <f>IF(AND(P2468="",Q2468=""),"",N(P2468)+N(Q2468))</f>
        <v/>
      </c>
      <c r="S2468" s="59"/>
      <c r="T2468" s="59"/>
      <c r="U2468" s="62">
        <f>IF(OR(R2468="",S2468="",T2468=""),"",IF(S2468+T2468=0,"",R2468/(S2468+T2468)))</f>
        <v/>
      </c>
      <c r="V2468" s="63"/>
      <c r="W2468" s="64"/>
      <c r="X2468" s="63"/>
    </row>
    <row r="2469" spans="2:24">
      <c r="B2469" s="58"/>
      <c r="C2469" s="59"/>
      <c r="D2469" s="59"/>
      <c r="E2469" s="59"/>
      <c r="F2469" s="59"/>
      <c r="G2469" s="60">
        <f>IF(OR(E2469="",F2469="",C2469="",D2469=""),"",IF(C2469+D2469=0,"",(E2469*C2469+F2469*D2469)/(C2469+D2469)))</f>
        <v/>
      </c>
      <c r="H2469" s="59"/>
      <c r="I2469" s="60">
        <f>IF(OR(H2469="",E2469="",C2469="",D2469=""),"",IF(C2469+D2469=0,"",(H2469*D2469+E2469*C2469)/(C2469+D2469)))</f>
        <v/>
      </c>
      <c r="J2469" s="59"/>
      <c r="K2469" s="61">
        <f>IF(OR(J2469="",I2469=""),"",J2469-I2469)</f>
        <v/>
      </c>
      <c r="L2469" s="61">
        <f>IF(OR(J2469="",G2469=""),"",J2469-G2469)</f>
        <v/>
      </c>
      <c r="M2469" s="59"/>
      <c r="N2469" s="59"/>
      <c r="O2469" s="59"/>
      <c r="P2469" s="59"/>
      <c r="Q2469" s="59"/>
      <c r="R2469" s="60">
        <f>IF(AND(P2469="",Q2469=""),"",N(P2469)+N(Q2469))</f>
        <v/>
      </c>
      <c r="S2469" s="59"/>
      <c r="T2469" s="59"/>
      <c r="U2469" s="62">
        <f>IF(OR(R2469="",S2469="",T2469=""),"",IF(S2469+T2469=0,"",R2469/(S2469+T2469)))</f>
        <v/>
      </c>
      <c r="V2469" s="63"/>
      <c r="W2469" s="64"/>
      <c r="X2469" s="63"/>
    </row>
    <row r="2470" spans="2:24">
      <c r="B2470" s="58"/>
      <c r="C2470" s="59"/>
      <c r="D2470" s="59"/>
      <c r="E2470" s="59"/>
      <c r="F2470" s="59"/>
      <c r="G2470" s="60">
        <f>IF(OR(E2470="",F2470="",C2470="",D2470=""),"",IF(C2470+D2470=0,"",(E2470*C2470+F2470*D2470)/(C2470+D2470)))</f>
        <v/>
      </c>
      <c r="H2470" s="59"/>
      <c r="I2470" s="60">
        <f>IF(OR(H2470="",E2470="",C2470="",D2470=""),"",IF(C2470+D2470=0,"",(H2470*D2470+E2470*C2470)/(C2470+D2470)))</f>
        <v/>
      </c>
      <c r="J2470" s="59"/>
      <c r="K2470" s="61">
        <f>IF(OR(J2470="",I2470=""),"",J2470-I2470)</f>
        <v/>
      </c>
      <c r="L2470" s="61">
        <f>IF(OR(J2470="",G2470=""),"",J2470-G2470)</f>
        <v/>
      </c>
      <c r="M2470" s="59"/>
      <c r="N2470" s="59"/>
      <c r="O2470" s="59"/>
      <c r="P2470" s="59"/>
      <c r="Q2470" s="59"/>
      <c r="R2470" s="60">
        <f>IF(AND(P2470="",Q2470=""),"",N(P2470)+N(Q2470))</f>
        <v/>
      </c>
      <c r="S2470" s="59"/>
      <c r="T2470" s="59"/>
      <c r="U2470" s="62">
        <f>IF(OR(R2470="",S2470="",T2470=""),"",IF(S2470+T2470=0,"",R2470/(S2470+T2470)))</f>
        <v/>
      </c>
      <c r="V2470" s="63"/>
      <c r="W2470" s="64"/>
      <c r="X2470" s="63"/>
    </row>
    <row r="2471" spans="2:24">
      <c r="B2471" s="58"/>
      <c r="C2471" s="59"/>
      <c r="D2471" s="59"/>
      <c r="E2471" s="59"/>
      <c r="F2471" s="59"/>
      <c r="G2471" s="60">
        <f>IF(OR(E2471="",F2471="",C2471="",D2471=""),"",IF(C2471+D2471=0,"",(E2471*C2471+F2471*D2471)/(C2471+D2471)))</f>
        <v/>
      </c>
      <c r="H2471" s="59"/>
      <c r="I2471" s="60">
        <f>IF(OR(H2471="",E2471="",C2471="",D2471=""),"",IF(C2471+D2471=0,"",(H2471*D2471+E2471*C2471)/(C2471+D2471)))</f>
        <v/>
      </c>
      <c r="J2471" s="59"/>
      <c r="K2471" s="61">
        <f>IF(OR(J2471="",I2471=""),"",J2471-I2471)</f>
        <v/>
      </c>
      <c r="L2471" s="61">
        <f>IF(OR(J2471="",G2471=""),"",J2471-G2471)</f>
        <v/>
      </c>
      <c r="M2471" s="59"/>
      <c r="N2471" s="59"/>
      <c r="O2471" s="59"/>
      <c r="P2471" s="59"/>
      <c r="Q2471" s="59"/>
      <c r="R2471" s="60">
        <f>IF(AND(P2471="",Q2471=""),"",N(P2471)+N(Q2471))</f>
        <v/>
      </c>
      <c r="S2471" s="59"/>
      <c r="T2471" s="59"/>
      <c r="U2471" s="62">
        <f>IF(OR(R2471="",S2471="",T2471=""),"",IF(S2471+T2471=0,"",R2471/(S2471+T2471)))</f>
        <v/>
      </c>
      <c r="V2471" s="63"/>
      <c r="W2471" s="64"/>
      <c r="X2471" s="63"/>
    </row>
    <row r="2472" spans="2:24">
      <c r="B2472" s="58"/>
      <c r="C2472" s="59"/>
      <c r="D2472" s="59"/>
      <c r="E2472" s="59"/>
      <c r="F2472" s="59"/>
      <c r="G2472" s="60">
        <f>IF(OR(E2472="",F2472="",C2472="",D2472=""),"",IF(C2472+D2472=0,"",(E2472*C2472+F2472*D2472)/(C2472+D2472)))</f>
        <v/>
      </c>
      <c r="H2472" s="59"/>
      <c r="I2472" s="60">
        <f>IF(OR(H2472="",E2472="",C2472="",D2472=""),"",IF(C2472+D2472=0,"",(H2472*D2472+E2472*C2472)/(C2472+D2472)))</f>
        <v/>
      </c>
      <c r="J2472" s="59"/>
      <c r="K2472" s="61">
        <f>IF(OR(J2472="",I2472=""),"",J2472-I2472)</f>
        <v/>
      </c>
      <c r="L2472" s="61">
        <f>IF(OR(J2472="",G2472=""),"",J2472-G2472)</f>
        <v/>
      </c>
      <c r="M2472" s="59"/>
      <c r="N2472" s="59"/>
      <c r="O2472" s="59"/>
      <c r="P2472" s="59"/>
      <c r="Q2472" s="59"/>
      <c r="R2472" s="60">
        <f>IF(AND(P2472="",Q2472=""),"",N(P2472)+N(Q2472))</f>
        <v/>
      </c>
      <c r="S2472" s="59"/>
      <c r="T2472" s="59"/>
      <c r="U2472" s="62">
        <f>IF(OR(R2472="",S2472="",T2472=""),"",IF(S2472+T2472=0,"",R2472/(S2472+T2472)))</f>
        <v/>
      </c>
      <c r="V2472" s="63"/>
      <c r="W2472" s="64"/>
      <c r="X2472" s="63"/>
    </row>
    <row r="2473" spans="2:24">
      <c r="B2473" s="58"/>
      <c r="C2473" s="59"/>
      <c r="D2473" s="59"/>
      <c r="E2473" s="59"/>
      <c r="F2473" s="59"/>
      <c r="G2473" s="60">
        <f>IF(OR(E2473="",F2473="",C2473="",D2473=""),"",IF(C2473+D2473=0,"",(E2473*C2473+F2473*D2473)/(C2473+D2473)))</f>
        <v/>
      </c>
      <c r="H2473" s="59"/>
      <c r="I2473" s="60">
        <f>IF(OR(H2473="",E2473="",C2473="",D2473=""),"",IF(C2473+D2473=0,"",(H2473*D2473+E2473*C2473)/(C2473+D2473)))</f>
        <v/>
      </c>
      <c r="J2473" s="59"/>
      <c r="K2473" s="61">
        <f>IF(OR(J2473="",I2473=""),"",J2473-I2473)</f>
        <v/>
      </c>
      <c r="L2473" s="61">
        <f>IF(OR(J2473="",G2473=""),"",J2473-G2473)</f>
        <v/>
      </c>
      <c r="M2473" s="59"/>
      <c r="N2473" s="59"/>
      <c r="O2473" s="59"/>
      <c r="P2473" s="59"/>
      <c r="Q2473" s="59"/>
      <c r="R2473" s="60">
        <f>IF(AND(P2473="",Q2473=""),"",N(P2473)+N(Q2473))</f>
        <v/>
      </c>
      <c r="S2473" s="59"/>
      <c r="T2473" s="59"/>
      <c r="U2473" s="62">
        <f>IF(OR(R2473="",S2473="",T2473=""),"",IF(S2473+T2473=0,"",R2473/(S2473+T2473)))</f>
        <v/>
      </c>
      <c r="V2473" s="63"/>
      <c r="W2473" s="64"/>
      <c r="X2473" s="63"/>
    </row>
    <row r="2474" spans="2:24">
      <c r="B2474" s="58"/>
      <c r="C2474" s="59"/>
      <c r="D2474" s="59"/>
      <c r="E2474" s="59"/>
      <c r="F2474" s="59"/>
      <c r="G2474" s="60">
        <f>IF(OR(E2474="",F2474="",C2474="",D2474=""),"",IF(C2474+D2474=0,"",(E2474*C2474+F2474*D2474)/(C2474+D2474)))</f>
        <v/>
      </c>
      <c r="H2474" s="59"/>
      <c r="I2474" s="60">
        <f>IF(OR(H2474="",E2474="",C2474="",D2474=""),"",IF(C2474+D2474=0,"",(H2474*D2474+E2474*C2474)/(C2474+D2474)))</f>
        <v/>
      </c>
      <c r="J2474" s="59"/>
      <c r="K2474" s="61">
        <f>IF(OR(J2474="",I2474=""),"",J2474-I2474)</f>
        <v/>
      </c>
      <c r="L2474" s="61">
        <f>IF(OR(J2474="",G2474=""),"",J2474-G2474)</f>
        <v/>
      </c>
      <c r="M2474" s="59"/>
      <c r="N2474" s="59"/>
      <c r="O2474" s="59"/>
      <c r="P2474" s="59"/>
      <c r="Q2474" s="59"/>
      <c r="R2474" s="60">
        <f>IF(AND(P2474="",Q2474=""),"",N(P2474)+N(Q2474))</f>
        <v/>
      </c>
      <c r="S2474" s="59"/>
      <c r="T2474" s="59"/>
      <c r="U2474" s="62">
        <f>IF(OR(R2474="",S2474="",T2474=""),"",IF(S2474+T2474=0,"",R2474/(S2474+T2474)))</f>
        <v/>
      </c>
      <c r="V2474" s="63"/>
      <c r="W2474" s="64"/>
      <c r="X2474" s="63"/>
    </row>
    <row r="2475" spans="2:24">
      <c r="B2475" s="58"/>
      <c r="C2475" s="59"/>
      <c r="D2475" s="59"/>
      <c r="E2475" s="59"/>
      <c r="F2475" s="59"/>
      <c r="G2475" s="60">
        <f>IF(OR(E2475="",F2475="",C2475="",D2475=""),"",IF(C2475+D2475=0,"",(E2475*C2475+F2475*D2475)/(C2475+D2475)))</f>
        <v/>
      </c>
      <c r="H2475" s="59"/>
      <c r="I2475" s="60">
        <f>IF(OR(H2475="",E2475="",C2475="",D2475=""),"",IF(C2475+D2475=0,"",(H2475*D2475+E2475*C2475)/(C2475+D2475)))</f>
        <v/>
      </c>
      <c r="J2475" s="59"/>
      <c r="K2475" s="61">
        <f>IF(OR(J2475="",I2475=""),"",J2475-I2475)</f>
        <v/>
      </c>
      <c r="L2475" s="61">
        <f>IF(OR(J2475="",G2475=""),"",J2475-G2475)</f>
        <v/>
      </c>
      <c r="M2475" s="59"/>
      <c r="N2475" s="59"/>
      <c r="O2475" s="59"/>
      <c r="P2475" s="59"/>
      <c r="Q2475" s="59"/>
      <c r="R2475" s="60">
        <f>IF(AND(P2475="",Q2475=""),"",N(P2475)+N(Q2475))</f>
        <v/>
      </c>
      <c r="S2475" s="59"/>
      <c r="T2475" s="59"/>
      <c r="U2475" s="62">
        <f>IF(OR(R2475="",S2475="",T2475=""),"",IF(S2475+T2475=0,"",R2475/(S2475+T2475)))</f>
        <v/>
      </c>
      <c r="V2475" s="63"/>
      <c r="W2475" s="64"/>
      <c r="X2475" s="63"/>
    </row>
    <row r="2476" spans="2:24">
      <c r="B2476" s="58"/>
      <c r="C2476" s="59"/>
      <c r="D2476" s="59"/>
      <c r="E2476" s="59"/>
      <c r="F2476" s="59"/>
      <c r="G2476" s="60">
        <f>IF(OR(E2476="",F2476="",C2476="",D2476=""),"",IF(C2476+D2476=0,"",(E2476*C2476+F2476*D2476)/(C2476+D2476)))</f>
        <v/>
      </c>
      <c r="H2476" s="59"/>
      <c r="I2476" s="60">
        <f>IF(OR(H2476="",E2476="",C2476="",D2476=""),"",IF(C2476+D2476=0,"",(H2476*D2476+E2476*C2476)/(C2476+D2476)))</f>
        <v/>
      </c>
      <c r="J2476" s="59"/>
      <c r="K2476" s="61">
        <f>IF(OR(J2476="",I2476=""),"",J2476-I2476)</f>
        <v/>
      </c>
      <c r="L2476" s="61">
        <f>IF(OR(J2476="",G2476=""),"",J2476-G2476)</f>
        <v/>
      </c>
      <c r="M2476" s="59"/>
      <c r="N2476" s="59"/>
      <c r="O2476" s="59"/>
      <c r="P2476" s="59"/>
      <c r="Q2476" s="59"/>
      <c r="R2476" s="60">
        <f>IF(AND(P2476="",Q2476=""),"",N(P2476)+N(Q2476))</f>
        <v/>
      </c>
      <c r="S2476" s="59"/>
      <c r="T2476" s="59"/>
      <c r="U2476" s="62">
        <f>IF(OR(R2476="",S2476="",T2476=""),"",IF(S2476+T2476=0,"",R2476/(S2476+T2476)))</f>
        <v/>
      </c>
      <c r="V2476" s="63"/>
      <c r="W2476" s="64"/>
      <c r="X2476" s="63"/>
    </row>
    <row r="2477" spans="2:24">
      <c r="B2477" s="58"/>
      <c r="C2477" s="59"/>
      <c r="D2477" s="59"/>
      <c r="E2477" s="59"/>
      <c r="F2477" s="59"/>
      <c r="G2477" s="60">
        <f>IF(OR(E2477="",F2477="",C2477="",D2477=""),"",IF(C2477+D2477=0,"",(E2477*C2477+F2477*D2477)/(C2477+D2477)))</f>
        <v/>
      </c>
      <c r="H2477" s="59"/>
      <c r="I2477" s="60">
        <f>IF(OR(H2477="",E2477="",C2477="",D2477=""),"",IF(C2477+D2477=0,"",(H2477*D2477+E2477*C2477)/(C2477+D2477)))</f>
        <v/>
      </c>
      <c r="J2477" s="59"/>
      <c r="K2477" s="61">
        <f>IF(OR(J2477="",I2477=""),"",J2477-I2477)</f>
        <v/>
      </c>
      <c r="L2477" s="61">
        <f>IF(OR(J2477="",G2477=""),"",J2477-G2477)</f>
        <v/>
      </c>
      <c r="M2477" s="59"/>
      <c r="N2477" s="59"/>
      <c r="O2477" s="59"/>
      <c r="P2477" s="59"/>
      <c r="Q2477" s="59"/>
      <c r="R2477" s="60">
        <f>IF(AND(P2477="",Q2477=""),"",N(P2477)+N(Q2477))</f>
        <v/>
      </c>
      <c r="S2477" s="59"/>
      <c r="T2477" s="59"/>
      <c r="U2477" s="62">
        <f>IF(OR(R2477="",S2477="",T2477=""),"",IF(S2477+T2477=0,"",R2477/(S2477+T2477)))</f>
        <v/>
      </c>
      <c r="V2477" s="63"/>
      <c r="W2477" s="64"/>
      <c r="X2477" s="63"/>
    </row>
    <row r="2478" spans="2:24">
      <c r="B2478" s="58"/>
      <c r="C2478" s="59"/>
      <c r="D2478" s="59"/>
      <c r="E2478" s="59"/>
      <c r="F2478" s="59"/>
      <c r="G2478" s="60">
        <f>IF(OR(E2478="",F2478="",C2478="",D2478=""),"",IF(C2478+D2478=0,"",(E2478*C2478+F2478*D2478)/(C2478+D2478)))</f>
        <v/>
      </c>
      <c r="H2478" s="59"/>
      <c r="I2478" s="60">
        <f>IF(OR(H2478="",E2478="",C2478="",D2478=""),"",IF(C2478+D2478=0,"",(H2478*D2478+E2478*C2478)/(C2478+D2478)))</f>
        <v/>
      </c>
      <c r="J2478" s="59"/>
      <c r="K2478" s="61">
        <f>IF(OR(J2478="",I2478=""),"",J2478-I2478)</f>
        <v/>
      </c>
      <c r="L2478" s="61">
        <f>IF(OR(J2478="",G2478=""),"",J2478-G2478)</f>
        <v/>
      </c>
      <c r="M2478" s="59"/>
      <c r="N2478" s="59"/>
      <c r="O2478" s="59"/>
      <c r="P2478" s="59"/>
      <c r="Q2478" s="59"/>
      <c r="R2478" s="60">
        <f>IF(AND(P2478="",Q2478=""),"",N(P2478)+N(Q2478))</f>
        <v/>
      </c>
      <c r="S2478" s="59"/>
      <c r="T2478" s="59"/>
      <c r="U2478" s="62">
        <f>IF(OR(R2478="",S2478="",T2478=""),"",IF(S2478+T2478=0,"",R2478/(S2478+T2478)))</f>
        <v/>
      </c>
      <c r="V2478" s="63"/>
      <c r="W2478" s="64"/>
      <c r="X2478" s="63"/>
    </row>
    <row r="2479" spans="2:24">
      <c r="B2479" s="58"/>
      <c r="C2479" s="59"/>
      <c r="D2479" s="59"/>
      <c r="E2479" s="59"/>
      <c r="F2479" s="59"/>
      <c r="G2479" s="60">
        <f>IF(OR(E2479="",F2479="",C2479="",D2479=""),"",IF(C2479+D2479=0,"",(E2479*C2479+F2479*D2479)/(C2479+D2479)))</f>
        <v/>
      </c>
      <c r="H2479" s="59"/>
      <c r="I2479" s="60">
        <f>IF(OR(H2479="",E2479="",C2479="",D2479=""),"",IF(C2479+D2479=0,"",(H2479*D2479+E2479*C2479)/(C2479+D2479)))</f>
        <v/>
      </c>
      <c r="J2479" s="59"/>
      <c r="K2479" s="61">
        <f>IF(OR(J2479="",I2479=""),"",J2479-I2479)</f>
        <v/>
      </c>
      <c r="L2479" s="61">
        <f>IF(OR(J2479="",G2479=""),"",J2479-G2479)</f>
        <v/>
      </c>
      <c r="M2479" s="59"/>
      <c r="N2479" s="59"/>
      <c r="O2479" s="59"/>
      <c r="P2479" s="59"/>
      <c r="Q2479" s="59"/>
      <c r="R2479" s="60">
        <f>IF(AND(P2479="",Q2479=""),"",N(P2479)+N(Q2479))</f>
        <v/>
      </c>
      <c r="S2479" s="59"/>
      <c r="T2479" s="59"/>
      <c r="U2479" s="62">
        <f>IF(OR(R2479="",S2479="",T2479=""),"",IF(S2479+T2479=0,"",R2479/(S2479+T2479)))</f>
        <v/>
      </c>
      <c r="V2479" s="63"/>
      <c r="W2479" s="64"/>
      <c r="X2479" s="63"/>
    </row>
    <row r="2480" spans="2:24">
      <c r="B2480" s="58"/>
      <c r="C2480" s="59"/>
      <c r="D2480" s="59"/>
      <c r="E2480" s="59"/>
      <c r="F2480" s="59"/>
      <c r="G2480" s="60">
        <f>IF(OR(E2480="",F2480="",C2480="",D2480=""),"",IF(C2480+D2480=0,"",(E2480*C2480+F2480*D2480)/(C2480+D2480)))</f>
        <v/>
      </c>
      <c r="H2480" s="59"/>
      <c r="I2480" s="60">
        <f>IF(OR(H2480="",E2480="",C2480="",D2480=""),"",IF(C2480+D2480=0,"",(H2480*D2480+E2480*C2480)/(C2480+D2480)))</f>
        <v/>
      </c>
      <c r="J2480" s="59"/>
      <c r="K2480" s="61">
        <f>IF(OR(J2480="",I2480=""),"",J2480-I2480)</f>
        <v/>
      </c>
      <c r="L2480" s="61">
        <f>IF(OR(J2480="",G2480=""),"",J2480-G2480)</f>
        <v/>
      </c>
      <c r="M2480" s="59"/>
      <c r="N2480" s="59"/>
      <c r="O2480" s="59"/>
      <c r="P2480" s="59"/>
      <c r="Q2480" s="59"/>
      <c r="R2480" s="60">
        <f>IF(AND(P2480="",Q2480=""),"",N(P2480)+N(Q2480))</f>
        <v/>
      </c>
      <c r="S2480" s="59"/>
      <c r="T2480" s="59"/>
      <c r="U2480" s="62">
        <f>IF(OR(R2480="",S2480="",T2480=""),"",IF(S2480+T2480=0,"",R2480/(S2480+T2480)))</f>
        <v/>
      </c>
      <c r="V2480" s="63"/>
      <c r="W2480" s="64"/>
      <c r="X2480" s="63"/>
    </row>
    <row r="2481" spans="2:24">
      <c r="B2481" s="58"/>
      <c r="C2481" s="59"/>
      <c r="D2481" s="59"/>
      <c r="E2481" s="59"/>
      <c r="F2481" s="59"/>
      <c r="G2481" s="60">
        <f>IF(OR(E2481="",F2481="",C2481="",D2481=""),"",IF(C2481+D2481=0,"",(E2481*C2481+F2481*D2481)/(C2481+D2481)))</f>
        <v/>
      </c>
      <c r="H2481" s="59"/>
      <c r="I2481" s="60">
        <f>IF(OR(H2481="",E2481="",C2481="",D2481=""),"",IF(C2481+D2481=0,"",(H2481*D2481+E2481*C2481)/(C2481+D2481)))</f>
        <v/>
      </c>
      <c r="J2481" s="59"/>
      <c r="K2481" s="61">
        <f>IF(OR(J2481="",I2481=""),"",J2481-I2481)</f>
        <v/>
      </c>
      <c r="L2481" s="61">
        <f>IF(OR(J2481="",G2481=""),"",J2481-G2481)</f>
        <v/>
      </c>
      <c r="M2481" s="59"/>
      <c r="N2481" s="59"/>
      <c r="O2481" s="59"/>
      <c r="P2481" s="59"/>
      <c r="Q2481" s="59"/>
      <c r="R2481" s="60">
        <f>IF(AND(P2481="",Q2481=""),"",N(P2481)+N(Q2481))</f>
        <v/>
      </c>
      <c r="S2481" s="59"/>
      <c r="T2481" s="59"/>
      <c r="U2481" s="62">
        <f>IF(OR(R2481="",S2481="",T2481=""),"",IF(S2481+T2481=0,"",R2481/(S2481+T2481)))</f>
        <v/>
      </c>
      <c r="V2481" s="63"/>
      <c r="W2481" s="64"/>
      <c r="X2481" s="63"/>
    </row>
    <row r="2482" spans="2:24">
      <c r="B2482" s="58"/>
      <c r="C2482" s="59"/>
      <c r="D2482" s="59"/>
      <c r="E2482" s="59"/>
      <c r="F2482" s="59"/>
      <c r="G2482" s="60">
        <f>IF(OR(E2482="",F2482="",C2482="",D2482=""),"",IF(C2482+D2482=0,"",(E2482*C2482+F2482*D2482)/(C2482+D2482)))</f>
        <v/>
      </c>
      <c r="H2482" s="59"/>
      <c r="I2482" s="60">
        <f>IF(OR(H2482="",E2482="",C2482="",D2482=""),"",IF(C2482+D2482=0,"",(H2482*D2482+E2482*C2482)/(C2482+D2482)))</f>
        <v/>
      </c>
      <c r="J2482" s="59"/>
      <c r="K2482" s="61">
        <f>IF(OR(J2482="",I2482=""),"",J2482-I2482)</f>
        <v/>
      </c>
      <c r="L2482" s="61">
        <f>IF(OR(J2482="",G2482=""),"",J2482-G2482)</f>
        <v/>
      </c>
      <c r="M2482" s="59"/>
      <c r="N2482" s="59"/>
      <c r="O2482" s="59"/>
      <c r="P2482" s="59"/>
      <c r="Q2482" s="59"/>
      <c r="R2482" s="60">
        <f>IF(AND(P2482="",Q2482=""),"",N(P2482)+N(Q2482))</f>
        <v/>
      </c>
      <c r="S2482" s="59"/>
      <c r="T2482" s="59"/>
      <c r="U2482" s="62">
        <f>IF(OR(R2482="",S2482="",T2482=""),"",IF(S2482+T2482=0,"",R2482/(S2482+T2482)))</f>
        <v/>
      </c>
      <c r="V2482" s="63"/>
      <c r="W2482" s="64"/>
      <c r="X2482" s="63"/>
    </row>
    <row r="2483" spans="2:24">
      <c r="B2483" s="58"/>
      <c r="C2483" s="59"/>
      <c r="D2483" s="59"/>
      <c r="E2483" s="59"/>
      <c r="F2483" s="59"/>
      <c r="G2483" s="60">
        <f>IF(OR(E2483="",F2483="",C2483="",D2483=""),"",IF(C2483+D2483=0,"",(E2483*C2483+F2483*D2483)/(C2483+D2483)))</f>
        <v/>
      </c>
      <c r="H2483" s="59"/>
      <c r="I2483" s="60">
        <f>IF(OR(H2483="",E2483="",C2483="",D2483=""),"",IF(C2483+D2483=0,"",(H2483*D2483+E2483*C2483)/(C2483+D2483)))</f>
        <v/>
      </c>
      <c r="J2483" s="59"/>
      <c r="K2483" s="61">
        <f>IF(OR(J2483="",I2483=""),"",J2483-I2483)</f>
        <v/>
      </c>
      <c r="L2483" s="61">
        <f>IF(OR(J2483="",G2483=""),"",J2483-G2483)</f>
        <v/>
      </c>
      <c r="M2483" s="59"/>
      <c r="N2483" s="59"/>
      <c r="O2483" s="59"/>
      <c r="P2483" s="59"/>
      <c r="Q2483" s="59"/>
      <c r="R2483" s="60">
        <f>IF(AND(P2483="",Q2483=""),"",N(P2483)+N(Q2483))</f>
        <v/>
      </c>
      <c r="S2483" s="59"/>
      <c r="T2483" s="59"/>
      <c r="U2483" s="62">
        <f>IF(OR(R2483="",S2483="",T2483=""),"",IF(S2483+T2483=0,"",R2483/(S2483+T2483)))</f>
        <v/>
      </c>
      <c r="V2483" s="63"/>
      <c r="W2483" s="64"/>
      <c r="X2483" s="63"/>
    </row>
    <row r="2484" spans="2:24">
      <c r="B2484" s="58"/>
      <c r="C2484" s="59"/>
      <c r="D2484" s="59"/>
      <c r="E2484" s="59"/>
      <c r="F2484" s="59"/>
      <c r="G2484" s="60">
        <f>IF(OR(E2484="",F2484="",C2484="",D2484=""),"",IF(C2484+D2484=0,"",(E2484*C2484+F2484*D2484)/(C2484+D2484)))</f>
        <v/>
      </c>
      <c r="H2484" s="59"/>
      <c r="I2484" s="60">
        <f>IF(OR(H2484="",E2484="",C2484="",D2484=""),"",IF(C2484+D2484=0,"",(H2484*D2484+E2484*C2484)/(C2484+D2484)))</f>
        <v/>
      </c>
      <c r="J2484" s="59"/>
      <c r="K2484" s="61">
        <f>IF(OR(J2484="",I2484=""),"",J2484-I2484)</f>
        <v/>
      </c>
      <c r="L2484" s="61">
        <f>IF(OR(J2484="",G2484=""),"",J2484-G2484)</f>
        <v/>
      </c>
      <c r="M2484" s="59"/>
      <c r="N2484" s="59"/>
      <c r="O2484" s="59"/>
      <c r="P2484" s="59"/>
      <c r="Q2484" s="59"/>
      <c r="R2484" s="60">
        <f>IF(AND(P2484="",Q2484=""),"",N(P2484)+N(Q2484))</f>
        <v/>
      </c>
      <c r="S2484" s="59"/>
      <c r="T2484" s="59"/>
      <c r="U2484" s="62">
        <f>IF(OR(R2484="",S2484="",T2484=""),"",IF(S2484+T2484=0,"",R2484/(S2484+T2484)))</f>
        <v/>
      </c>
      <c r="V2484" s="63"/>
      <c r="W2484" s="64"/>
      <c r="X2484" s="63"/>
    </row>
    <row r="2485" spans="2:24">
      <c r="B2485" s="58"/>
      <c r="C2485" s="59"/>
      <c r="D2485" s="59"/>
      <c r="E2485" s="59"/>
      <c r="F2485" s="59"/>
      <c r="G2485" s="60">
        <f>IF(OR(E2485="",F2485="",C2485="",D2485=""),"",IF(C2485+D2485=0,"",(E2485*C2485+F2485*D2485)/(C2485+D2485)))</f>
        <v/>
      </c>
      <c r="H2485" s="59"/>
      <c r="I2485" s="60">
        <f>IF(OR(H2485="",E2485="",C2485="",D2485=""),"",IF(C2485+D2485=0,"",(H2485*D2485+E2485*C2485)/(C2485+D2485)))</f>
        <v/>
      </c>
      <c r="J2485" s="59"/>
      <c r="K2485" s="61">
        <f>IF(OR(J2485="",I2485=""),"",J2485-I2485)</f>
        <v/>
      </c>
      <c r="L2485" s="61">
        <f>IF(OR(J2485="",G2485=""),"",J2485-G2485)</f>
        <v/>
      </c>
      <c r="M2485" s="59"/>
      <c r="N2485" s="59"/>
      <c r="O2485" s="59"/>
      <c r="P2485" s="59"/>
      <c r="Q2485" s="59"/>
      <c r="R2485" s="60">
        <f>IF(AND(P2485="",Q2485=""),"",N(P2485)+N(Q2485))</f>
        <v/>
      </c>
      <c r="S2485" s="59"/>
      <c r="T2485" s="59"/>
      <c r="U2485" s="62">
        <f>IF(OR(R2485="",S2485="",T2485=""),"",IF(S2485+T2485=0,"",R2485/(S2485+T2485)))</f>
        <v/>
      </c>
      <c r="V2485" s="63"/>
      <c r="W2485" s="64"/>
      <c r="X2485" s="63"/>
    </row>
    <row r="2486" spans="2:24">
      <c r="B2486" s="58"/>
      <c r="C2486" s="59"/>
      <c r="D2486" s="59"/>
      <c r="E2486" s="59"/>
      <c r="F2486" s="59"/>
      <c r="G2486" s="60">
        <f>IF(OR(E2486="",F2486="",C2486="",D2486=""),"",IF(C2486+D2486=0,"",(E2486*C2486+F2486*D2486)/(C2486+D2486)))</f>
        <v/>
      </c>
      <c r="H2486" s="59"/>
      <c r="I2486" s="60">
        <f>IF(OR(H2486="",E2486="",C2486="",D2486=""),"",IF(C2486+D2486=0,"",(H2486*D2486+E2486*C2486)/(C2486+D2486)))</f>
        <v/>
      </c>
      <c r="J2486" s="59"/>
      <c r="K2486" s="61">
        <f>IF(OR(J2486="",I2486=""),"",J2486-I2486)</f>
        <v/>
      </c>
      <c r="L2486" s="61">
        <f>IF(OR(J2486="",G2486=""),"",J2486-G2486)</f>
        <v/>
      </c>
      <c r="M2486" s="59"/>
      <c r="N2486" s="59"/>
      <c r="O2486" s="59"/>
      <c r="P2486" s="59"/>
      <c r="Q2486" s="59"/>
      <c r="R2486" s="60">
        <f>IF(AND(P2486="",Q2486=""),"",N(P2486)+N(Q2486))</f>
        <v/>
      </c>
      <c r="S2486" s="59"/>
      <c r="T2486" s="59"/>
      <c r="U2486" s="62">
        <f>IF(OR(R2486="",S2486="",T2486=""),"",IF(S2486+T2486=0,"",R2486/(S2486+T2486)))</f>
        <v/>
      </c>
      <c r="V2486" s="63"/>
      <c r="W2486" s="64"/>
      <c r="X2486" s="63"/>
    </row>
    <row r="2487" spans="2:24">
      <c r="B2487" s="58"/>
      <c r="C2487" s="59"/>
      <c r="D2487" s="59"/>
      <c r="E2487" s="59"/>
      <c r="F2487" s="59"/>
      <c r="G2487" s="60">
        <f>IF(OR(E2487="",F2487="",C2487="",D2487=""),"",IF(C2487+D2487=0,"",(E2487*C2487+F2487*D2487)/(C2487+D2487)))</f>
        <v/>
      </c>
      <c r="H2487" s="59"/>
      <c r="I2487" s="60">
        <f>IF(OR(H2487="",E2487="",C2487="",D2487=""),"",IF(C2487+D2487=0,"",(H2487*D2487+E2487*C2487)/(C2487+D2487)))</f>
        <v/>
      </c>
      <c r="J2487" s="59"/>
      <c r="K2487" s="61">
        <f>IF(OR(J2487="",I2487=""),"",J2487-I2487)</f>
        <v/>
      </c>
      <c r="L2487" s="61">
        <f>IF(OR(J2487="",G2487=""),"",J2487-G2487)</f>
        <v/>
      </c>
      <c r="M2487" s="59"/>
      <c r="N2487" s="59"/>
      <c r="O2487" s="59"/>
      <c r="P2487" s="59"/>
      <c r="Q2487" s="59"/>
      <c r="R2487" s="60">
        <f>IF(AND(P2487="",Q2487=""),"",N(P2487)+N(Q2487))</f>
        <v/>
      </c>
      <c r="S2487" s="59"/>
      <c r="T2487" s="59"/>
      <c r="U2487" s="62">
        <f>IF(OR(R2487="",S2487="",T2487=""),"",IF(S2487+T2487=0,"",R2487/(S2487+T2487)))</f>
        <v/>
      </c>
      <c r="V2487" s="63"/>
      <c r="W2487" s="64"/>
      <c r="X2487" s="63"/>
    </row>
    <row r="2488" spans="2:24">
      <c r="B2488" s="58"/>
      <c r="C2488" s="59"/>
      <c r="D2488" s="59"/>
      <c r="E2488" s="59"/>
      <c r="F2488" s="59"/>
      <c r="G2488" s="60">
        <f>IF(OR(E2488="",F2488="",C2488="",D2488=""),"",IF(C2488+D2488=0,"",(E2488*C2488+F2488*D2488)/(C2488+D2488)))</f>
        <v/>
      </c>
      <c r="H2488" s="59"/>
      <c r="I2488" s="60">
        <f>IF(OR(H2488="",E2488="",C2488="",D2488=""),"",IF(C2488+D2488=0,"",(H2488*D2488+E2488*C2488)/(C2488+D2488)))</f>
        <v/>
      </c>
      <c r="J2488" s="59"/>
      <c r="K2488" s="61">
        <f>IF(OR(J2488="",I2488=""),"",J2488-I2488)</f>
        <v/>
      </c>
      <c r="L2488" s="61">
        <f>IF(OR(J2488="",G2488=""),"",J2488-G2488)</f>
        <v/>
      </c>
      <c r="M2488" s="59"/>
      <c r="N2488" s="59"/>
      <c r="O2488" s="59"/>
      <c r="P2488" s="59"/>
      <c r="Q2488" s="59"/>
      <c r="R2488" s="60">
        <f>IF(AND(P2488="",Q2488=""),"",N(P2488)+N(Q2488))</f>
        <v/>
      </c>
      <c r="S2488" s="59"/>
      <c r="T2488" s="59"/>
      <c r="U2488" s="62">
        <f>IF(OR(R2488="",S2488="",T2488=""),"",IF(S2488+T2488=0,"",R2488/(S2488+T2488)))</f>
        <v/>
      </c>
      <c r="V2488" s="63"/>
      <c r="W2488" s="64"/>
      <c r="X2488" s="63"/>
    </row>
    <row r="2489" spans="2:24">
      <c r="B2489" s="58"/>
      <c r="C2489" s="59"/>
      <c r="D2489" s="59"/>
      <c r="E2489" s="59"/>
      <c r="F2489" s="59"/>
      <c r="G2489" s="60">
        <f>IF(OR(E2489="",F2489="",C2489="",D2489=""),"",IF(C2489+D2489=0,"",(E2489*C2489+F2489*D2489)/(C2489+D2489)))</f>
        <v/>
      </c>
      <c r="H2489" s="59"/>
      <c r="I2489" s="60">
        <f>IF(OR(H2489="",E2489="",C2489="",D2489=""),"",IF(C2489+D2489=0,"",(H2489*D2489+E2489*C2489)/(C2489+D2489)))</f>
        <v/>
      </c>
      <c r="J2489" s="59"/>
      <c r="K2489" s="61">
        <f>IF(OR(J2489="",I2489=""),"",J2489-I2489)</f>
        <v/>
      </c>
      <c r="L2489" s="61">
        <f>IF(OR(J2489="",G2489=""),"",J2489-G2489)</f>
        <v/>
      </c>
      <c r="M2489" s="59"/>
      <c r="N2489" s="59"/>
      <c r="O2489" s="59"/>
      <c r="P2489" s="59"/>
      <c r="Q2489" s="59"/>
      <c r="R2489" s="60">
        <f>IF(AND(P2489="",Q2489=""),"",N(P2489)+N(Q2489))</f>
        <v/>
      </c>
      <c r="S2489" s="59"/>
      <c r="T2489" s="59"/>
      <c r="U2489" s="62">
        <f>IF(OR(R2489="",S2489="",T2489=""),"",IF(S2489+T2489=0,"",R2489/(S2489+T2489)))</f>
        <v/>
      </c>
      <c r="V2489" s="63"/>
      <c r="W2489" s="64"/>
      <c r="X2489" s="63"/>
    </row>
    <row r="2490" spans="2:24">
      <c r="B2490" s="58"/>
      <c r="C2490" s="59"/>
      <c r="D2490" s="59"/>
      <c r="E2490" s="59"/>
      <c r="F2490" s="59"/>
      <c r="G2490" s="60">
        <f>IF(OR(E2490="",F2490="",C2490="",D2490=""),"",IF(C2490+D2490=0,"",(E2490*C2490+F2490*D2490)/(C2490+D2490)))</f>
        <v/>
      </c>
      <c r="H2490" s="59"/>
      <c r="I2490" s="60">
        <f>IF(OR(H2490="",E2490="",C2490="",D2490=""),"",IF(C2490+D2490=0,"",(H2490*D2490+E2490*C2490)/(C2490+D2490)))</f>
        <v/>
      </c>
      <c r="J2490" s="59"/>
      <c r="K2490" s="61">
        <f>IF(OR(J2490="",I2490=""),"",J2490-I2490)</f>
        <v/>
      </c>
      <c r="L2490" s="61">
        <f>IF(OR(J2490="",G2490=""),"",J2490-G2490)</f>
        <v/>
      </c>
      <c r="M2490" s="59"/>
      <c r="N2490" s="59"/>
      <c r="O2490" s="59"/>
      <c r="P2490" s="59"/>
      <c r="Q2490" s="59"/>
      <c r="R2490" s="60">
        <f>IF(AND(P2490="",Q2490=""),"",N(P2490)+N(Q2490))</f>
        <v/>
      </c>
      <c r="S2490" s="59"/>
      <c r="T2490" s="59"/>
      <c r="U2490" s="62">
        <f>IF(OR(R2490="",S2490="",T2490=""),"",IF(S2490+T2490=0,"",R2490/(S2490+T2490)))</f>
        <v/>
      </c>
      <c r="V2490" s="63"/>
      <c r="W2490" s="64"/>
      <c r="X2490" s="63"/>
    </row>
    <row r="2491" spans="2:24">
      <c r="B2491" s="58"/>
      <c r="C2491" s="59"/>
      <c r="D2491" s="59"/>
      <c r="E2491" s="59"/>
      <c r="F2491" s="59"/>
      <c r="G2491" s="60">
        <f>IF(OR(E2491="",F2491="",C2491="",D2491=""),"",IF(C2491+D2491=0,"",(E2491*C2491+F2491*D2491)/(C2491+D2491)))</f>
        <v/>
      </c>
      <c r="H2491" s="59"/>
      <c r="I2491" s="60">
        <f>IF(OR(H2491="",E2491="",C2491="",D2491=""),"",IF(C2491+D2491=0,"",(H2491*D2491+E2491*C2491)/(C2491+D2491)))</f>
        <v/>
      </c>
      <c r="J2491" s="59"/>
      <c r="K2491" s="61">
        <f>IF(OR(J2491="",I2491=""),"",J2491-I2491)</f>
        <v/>
      </c>
      <c r="L2491" s="61">
        <f>IF(OR(J2491="",G2491=""),"",J2491-G2491)</f>
        <v/>
      </c>
      <c r="M2491" s="59"/>
      <c r="N2491" s="59"/>
      <c r="O2491" s="59"/>
      <c r="P2491" s="59"/>
      <c r="Q2491" s="59"/>
      <c r="R2491" s="60">
        <f>IF(AND(P2491="",Q2491=""),"",N(P2491)+N(Q2491))</f>
        <v/>
      </c>
      <c r="S2491" s="59"/>
      <c r="T2491" s="59"/>
      <c r="U2491" s="62">
        <f>IF(OR(R2491="",S2491="",T2491=""),"",IF(S2491+T2491=0,"",R2491/(S2491+T2491)))</f>
        <v/>
      </c>
      <c r="V2491" s="63"/>
      <c r="W2491" s="64"/>
      <c r="X2491" s="63"/>
    </row>
    <row r="2492" spans="2:24">
      <c r="B2492" s="58"/>
      <c r="C2492" s="59"/>
      <c r="D2492" s="59"/>
      <c r="E2492" s="59"/>
      <c r="F2492" s="59"/>
      <c r="G2492" s="60">
        <f>IF(OR(E2492="",F2492="",C2492="",D2492=""),"",IF(C2492+D2492=0,"",(E2492*C2492+F2492*D2492)/(C2492+D2492)))</f>
        <v/>
      </c>
      <c r="H2492" s="59"/>
      <c r="I2492" s="60">
        <f>IF(OR(H2492="",E2492="",C2492="",D2492=""),"",IF(C2492+D2492=0,"",(H2492*D2492+E2492*C2492)/(C2492+D2492)))</f>
        <v/>
      </c>
      <c r="J2492" s="59"/>
      <c r="K2492" s="61">
        <f>IF(OR(J2492="",I2492=""),"",J2492-I2492)</f>
        <v/>
      </c>
      <c r="L2492" s="61">
        <f>IF(OR(J2492="",G2492=""),"",J2492-G2492)</f>
        <v/>
      </c>
      <c r="M2492" s="59"/>
      <c r="N2492" s="59"/>
      <c r="O2492" s="59"/>
      <c r="P2492" s="59"/>
      <c r="Q2492" s="59"/>
      <c r="R2492" s="60">
        <f>IF(AND(P2492="",Q2492=""),"",N(P2492)+N(Q2492))</f>
        <v/>
      </c>
      <c r="S2492" s="59"/>
      <c r="T2492" s="59"/>
      <c r="U2492" s="62">
        <f>IF(OR(R2492="",S2492="",T2492=""),"",IF(S2492+T2492=0,"",R2492/(S2492+T2492)))</f>
        <v/>
      </c>
      <c r="V2492" s="63"/>
      <c r="W2492" s="64"/>
      <c r="X2492" s="63"/>
    </row>
    <row r="2493" spans="2:24">
      <c r="B2493" s="58"/>
      <c r="C2493" s="59"/>
      <c r="D2493" s="59"/>
      <c r="E2493" s="59"/>
      <c r="F2493" s="59"/>
      <c r="G2493" s="60">
        <f>IF(OR(E2493="",F2493="",C2493="",D2493=""),"",IF(C2493+D2493=0,"",(E2493*C2493+F2493*D2493)/(C2493+D2493)))</f>
        <v/>
      </c>
      <c r="H2493" s="59"/>
      <c r="I2493" s="60">
        <f>IF(OR(H2493="",E2493="",C2493="",D2493=""),"",IF(C2493+D2493=0,"",(H2493*D2493+E2493*C2493)/(C2493+D2493)))</f>
        <v/>
      </c>
      <c r="J2493" s="59"/>
      <c r="K2493" s="61">
        <f>IF(OR(J2493="",I2493=""),"",J2493-I2493)</f>
        <v/>
      </c>
      <c r="L2493" s="61">
        <f>IF(OR(J2493="",G2493=""),"",J2493-G2493)</f>
        <v/>
      </c>
      <c r="M2493" s="59"/>
      <c r="N2493" s="59"/>
      <c r="O2493" s="59"/>
      <c r="P2493" s="59"/>
      <c r="Q2493" s="59"/>
      <c r="R2493" s="60">
        <f>IF(AND(P2493="",Q2493=""),"",N(P2493)+N(Q2493))</f>
        <v/>
      </c>
      <c r="S2493" s="59"/>
      <c r="T2493" s="59"/>
      <c r="U2493" s="62">
        <f>IF(OR(R2493="",S2493="",T2493=""),"",IF(S2493+T2493=0,"",R2493/(S2493+T2493)))</f>
        <v/>
      </c>
      <c r="V2493" s="63"/>
      <c r="W2493" s="64"/>
      <c r="X2493" s="63"/>
    </row>
    <row r="2494" spans="2:24">
      <c r="B2494" s="58"/>
      <c r="C2494" s="59"/>
      <c r="D2494" s="59"/>
      <c r="E2494" s="59"/>
      <c r="F2494" s="59"/>
      <c r="G2494" s="60">
        <f>IF(OR(E2494="",F2494="",C2494="",D2494=""),"",IF(C2494+D2494=0,"",(E2494*C2494+F2494*D2494)/(C2494+D2494)))</f>
        <v/>
      </c>
      <c r="H2494" s="59"/>
      <c r="I2494" s="60">
        <f>IF(OR(H2494="",E2494="",C2494="",D2494=""),"",IF(C2494+D2494=0,"",(H2494*D2494+E2494*C2494)/(C2494+D2494)))</f>
        <v/>
      </c>
      <c r="J2494" s="59"/>
      <c r="K2494" s="61">
        <f>IF(OR(J2494="",I2494=""),"",J2494-I2494)</f>
        <v/>
      </c>
      <c r="L2494" s="61">
        <f>IF(OR(J2494="",G2494=""),"",J2494-G2494)</f>
        <v/>
      </c>
      <c r="M2494" s="59"/>
      <c r="N2494" s="59"/>
      <c r="O2494" s="59"/>
      <c r="P2494" s="59"/>
      <c r="Q2494" s="59"/>
      <c r="R2494" s="60">
        <f>IF(AND(P2494="",Q2494=""),"",N(P2494)+N(Q2494))</f>
        <v/>
      </c>
      <c r="S2494" s="59"/>
      <c r="T2494" s="59"/>
      <c r="U2494" s="62">
        <f>IF(OR(R2494="",S2494="",T2494=""),"",IF(S2494+T2494=0,"",R2494/(S2494+T2494)))</f>
        <v/>
      </c>
      <c r="V2494" s="63"/>
      <c r="W2494" s="64"/>
      <c r="X2494" s="63"/>
    </row>
    <row r="2495" spans="2:24">
      <c r="B2495" s="58"/>
      <c r="C2495" s="59"/>
      <c r="D2495" s="59"/>
      <c r="E2495" s="59"/>
      <c r="F2495" s="59"/>
      <c r="G2495" s="60">
        <f>IF(OR(E2495="",F2495="",C2495="",D2495=""),"",IF(C2495+D2495=0,"",(E2495*C2495+F2495*D2495)/(C2495+D2495)))</f>
        <v/>
      </c>
      <c r="H2495" s="59"/>
      <c r="I2495" s="60">
        <f>IF(OR(H2495="",E2495="",C2495="",D2495=""),"",IF(C2495+D2495=0,"",(H2495*D2495+E2495*C2495)/(C2495+D2495)))</f>
        <v/>
      </c>
      <c r="J2495" s="59"/>
      <c r="K2495" s="61">
        <f>IF(OR(J2495="",I2495=""),"",J2495-I2495)</f>
        <v/>
      </c>
      <c r="L2495" s="61">
        <f>IF(OR(J2495="",G2495=""),"",J2495-G2495)</f>
        <v/>
      </c>
      <c r="M2495" s="59"/>
      <c r="N2495" s="59"/>
      <c r="O2495" s="59"/>
      <c r="P2495" s="59"/>
      <c r="Q2495" s="59"/>
      <c r="R2495" s="60">
        <f>IF(AND(P2495="",Q2495=""),"",N(P2495)+N(Q2495))</f>
        <v/>
      </c>
      <c r="S2495" s="59"/>
      <c r="T2495" s="59"/>
      <c r="U2495" s="62">
        <f>IF(OR(R2495="",S2495="",T2495=""),"",IF(S2495+T2495=0,"",R2495/(S2495+T2495)))</f>
        <v/>
      </c>
      <c r="V2495" s="63"/>
      <c r="W2495" s="64"/>
      <c r="X2495" s="63"/>
    </row>
    <row r="2496" spans="2:24">
      <c r="B2496" s="58"/>
      <c r="C2496" s="59"/>
      <c r="D2496" s="59"/>
      <c r="E2496" s="59"/>
      <c r="F2496" s="59"/>
      <c r="G2496" s="60">
        <f>IF(OR(E2496="",F2496="",C2496="",D2496=""),"",IF(C2496+D2496=0,"",(E2496*C2496+F2496*D2496)/(C2496+D2496)))</f>
        <v/>
      </c>
      <c r="H2496" s="59"/>
      <c r="I2496" s="60">
        <f>IF(OR(H2496="",E2496="",C2496="",D2496=""),"",IF(C2496+D2496=0,"",(H2496*D2496+E2496*C2496)/(C2496+D2496)))</f>
        <v/>
      </c>
      <c r="J2496" s="59"/>
      <c r="K2496" s="61">
        <f>IF(OR(J2496="",I2496=""),"",J2496-I2496)</f>
        <v/>
      </c>
      <c r="L2496" s="61">
        <f>IF(OR(J2496="",G2496=""),"",J2496-G2496)</f>
        <v/>
      </c>
      <c r="M2496" s="59"/>
      <c r="N2496" s="59"/>
      <c r="O2496" s="59"/>
      <c r="P2496" s="59"/>
      <c r="Q2496" s="59"/>
      <c r="R2496" s="60">
        <f>IF(AND(P2496="",Q2496=""),"",N(P2496)+N(Q2496))</f>
        <v/>
      </c>
      <c r="S2496" s="59"/>
      <c r="T2496" s="59"/>
      <c r="U2496" s="62">
        <f>IF(OR(R2496="",S2496="",T2496=""),"",IF(S2496+T2496=0,"",R2496/(S2496+T2496)))</f>
        <v/>
      </c>
      <c r="V2496" s="63"/>
      <c r="W2496" s="64"/>
      <c r="X2496" s="63"/>
    </row>
    <row r="2497" spans="2:24">
      <c r="B2497" s="58"/>
      <c r="C2497" s="59"/>
      <c r="D2497" s="59"/>
      <c r="E2497" s="59"/>
      <c r="F2497" s="59"/>
      <c r="G2497" s="60">
        <f>IF(OR(E2497="",F2497="",C2497="",D2497=""),"",IF(C2497+D2497=0,"",(E2497*C2497+F2497*D2497)/(C2497+D2497)))</f>
        <v/>
      </c>
      <c r="H2497" s="59"/>
      <c r="I2497" s="60">
        <f>IF(OR(H2497="",E2497="",C2497="",D2497=""),"",IF(C2497+D2497=0,"",(H2497*D2497+E2497*C2497)/(C2497+D2497)))</f>
        <v/>
      </c>
      <c r="J2497" s="59"/>
      <c r="K2497" s="61">
        <f>IF(OR(J2497="",I2497=""),"",J2497-I2497)</f>
        <v/>
      </c>
      <c r="L2497" s="61">
        <f>IF(OR(J2497="",G2497=""),"",J2497-G2497)</f>
        <v/>
      </c>
      <c r="M2497" s="59"/>
      <c r="N2497" s="59"/>
      <c r="O2497" s="59"/>
      <c r="P2497" s="59"/>
      <c r="Q2497" s="59"/>
      <c r="R2497" s="60">
        <f>IF(AND(P2497="",Q2497=""),"",N(P2497)+N(Q2497))</f>
        <v/>
      </c>
      <c r="S2497" s="59"/>
      <c r="T2497" s="59"/>
      <c r="U2497" s="62">
        <f>IF(OR(R2497="",S2497="",T2497=""),"",IF(S2497+T2497=0,"",R2497/(S2497+T2497)))</f>
        <v/>
      </c>
      <c r="V2497" s="63"/>
      <c r="W2497" s="64"/>
      <c r="X2497" s="63"/>
    </row>
    <row r="2498" spans="2:24">
      <c r="B2498" s="58"/>
      <c r="C2498" s="59"/>
      <c r="D2498" s="59"/>
      <c r="E2498" s="59"/>
      <c r="F2498" s="59"/>
      <c r="G2498" s="60">
        <f>IF(OR(E2498="",F2498="",C2498="",D2498=""),"",IF(C2498+D2498=0,"",(E2498*C2498+F2498*D2498)/(C2498+D2498)))</f>
        <v/>
      </c>
      <c r="H2498" s="59"/>
      <c r="I2498" s="60">
        <f>IF(OR(H2498="",E2498="",C2498="",D2498=""),"",IF(C2498+D2498=0,"",(H2498*D2498+E2498*C2498)/(C2498+D2498)))</f>
        <v/>
      </c>
      <c r="J2498" s="59"/>
      <c r="K2498" s="61">
        <f>IF(OR(J2498="",I2498=""),"",J2498-I2498)</f>
        <v/>
      </c>
      <c r="L2498" s="61">
        <f>IF(OR(J2498="",G2498=""),"",J2498-G2498)</f>
        <v/>
      </c>
      <c r="M2498" s="59"/>
      <c r="N2498" s="59"/>
      <c r="O2498" s="59"/>
      <c r="P2498" s="59"/>
      <c r="Q2498" s="59"/>
      <c r="R2498" s="60">
        <f>IF(AND(P2498="",Q2498=""),"",N(P2498)+N(Q2498))</f>
        <v/>
      </c>
      <c r="S2498" s="59"/>
      <c r="T2498" s="59"/>
      <c r="U2498" s="62">
        <f>IF(OR(R2498="",S2498="",T2498=""),"",IF(S2498+T2498=0,"",R2498/(S2498+T2498)))</f>
        <v/>
      </c>
      <c r="V2498" s="63"/>
      <c r="W2498" s="64"/>
      <c r="X2498" s="63"/>
    </row>
    <row r="2499" spans="2:24">
      <c r="B2499" s="58"/>
      <c r="C2499" s="59"/>
      <c r="D2499" s="59"/>
      <c r="E2499" s="59"/>
      <c r="F2499" s="59"/>
      <c r="G2499" s="60">
        <f>IF(OR(E2499="",F2499="",C2499="",D2499=""),"",IF(C2499+D2499=0,"",(E2499*C2499+F2499*D2499)/(C2499+D2499)))</f>
        <v/>
      </c>
      <c r="H2499" s="59"/>
      <c r="I2499" s="60">
        <f>IF(OR(H2499="",E2499="",C2499="",D2499=""),"",IF(C2499+D2499=0,"",(H2499*D2499+E2499*C2499)/(C2499+D2499)))</f>
        <v/>
      </c>
      <c r="J2499" s="59"/>
      <c r="K2499" s="61">
        <f>IF(OR(J2499="",I2499=""),"",J2499-I2499)</f>
        <v/>
      </c>
      <c r="L2499" s="61">
        <f>IF(OR(J2499="",G2499=""),"",J2499-G2499)</f>
        <v/>
      </c>
      <c r="M2499" s="59"/>
      <c r="N2499" s="59"/>
      <c r="O2499" s="59"/>
      <c r="P2499" s="59"/>
      <c r="Q2499" s="59"/>
      <c r="R2499" s="60">
        <f>IF(AND(P2499="",Q2499=""),"",N(P2499)+N(Q2499))</f>
        <v/>
      </c>
      <c r="S2499" s="59"/>
      <c r="T2499" s="59"/>
      <c r="U2499" s="62">
        <f>IF(OR(R2499="",S2499="",T2499=""),"",IF(S2499+T2499=0,"",R2499/(S2499+T2499)))</f>
        <v/>
      </c>
      <c r="V2499" s="63"/>
      <c r="W2499" s="64"/>
      <c r="X2499" s="63"/>
    </row>
    <row r="2500" spans="2:24">
      <c r="B2500" s="58"/>
      <c r="C2500" s="59"/>
      <c r="D2500" s="59"/>
      <c r="E2500" s="59"/>
      <c r="F2500" s="59"/>
      <c r="G2500" s="60">
        <f>IF(OR(E2500="",F2500="",C2500="",D2500=""),"",IF(C2500+D2500=0,"",(E2500*C2500+F2500*D2500)/(C2500+D2500)))</f>
        <v/>
      </c>
      <c r="H2500" s="59"/>
      <c r="I2500" s="60">
        <f>IF(OR(H2500="",E2500="",C2500="",D2500=""),"",IF(C2500+D2500=0,"",(H2500*D2500+E2500*C2500)/(C2500+D2500)))</f>
        <v/>
      </c>
      <c r="J2500" s="59"/>
      <c r="K2500" s="61">
        <f>IF(OR(J2500="",I2500=""),"",J2500-I2500)</f>
        <v/>
      </c>
      <c r="L2500" s="61">
        <f>IF(OR(J2500="",G2500=""),"",J2500-G2500)</f>
        <v/>
      </c>
      <c r="M2500" s="59"/>
      <c r="N2500" s="59"/>
      <c r="O2500" s="59"/>
      <c r="P2500" s="59"/>
      <c r="Q2500" s="59"/>
      <c r="R2500" s="60">
        <f>IF(AND(P2500="",Q2500=""),"",N(P2500)+N(Q2500))</f>
        <v/>
      </c>
      <c r="S2500" s="59"/>
      <c r="T2500" s="59"/>
      <c r="U2500" s="62">
        <f>IF(OR(R2500="",S2500="",T2500=""),"",IF(S2500+T2500=0,"",R2500/(S2500+T2500)))</f>
        <v/>
      </c>
      <c r="V2500" s="63"/>
      <c r="W2500" s="64"/>
      <c r="X2500" s="63"/>
    </row>
    <row r="2501" spans="2:24">
      <c r="B2501" s="58"/>
      <c r="C2501" s="59"/>
      <c r="D2501" s="59"/>
      <c r="E2501" s="59"/>
      <c r="F2501" s="59"/>
      <c r="G2501" s="60">
        <f>IF(OR(E2501="",F2501="",C2501="",D2501=""),"",IF(C2501+D2501=0,"",(E2501*C2501+F2501*D2501)/(C2501+D2501)))</f>
        <v/>
      </c>
      <c r="H2501" s="59"/>
      <c r="I2501" s="60">
        <f>IF(OR(H2501="",E2501="",C2501="",D2501=""),"",IF(C2501+D2501=0,"",(H2501*D2501+E2501*C2501)/(C2501+D2501)))</f>
        <v/>
      </c>
      <c r="J2501" s="59"/>
      <c r="K2501" s="61">
        <f>IF(OR(J2501="",I2501=""),"",J2501-I2501)</f>
        <v/>
      </c>
      <c r="L2501" s="61">
        <f>IF(OR(J2501="",G2501=""),"",J2501-G2501)</f>
        <v/>
      </c>
      <c r="M2501" s="59"/>
      <c r="N2501" s="59"/>
      <c r="O2501" s="59"/>
      <c r="P2501" s="59"/>
      <c r="Q2501" s="59"/>
      <c r="R2501" s="60">
        <f>IF(AND(P2501="",Q2501=""),"",N(P2501)+N(Q2501))</f>
        <v/>
      </c>
      <c r="S2501" s="59"/>
      <c r="T2501" s="59"/>
      <c r="U2501" s="62">
        <f>IF(OR(R2501="",S2501="",T2501=""),"",IF(S2501+T2501=0,"",R2501/(S2501+T2501)))</f>
        <v/>
      </c>
      <c r="V2501" s="63"/>
      <c r="W2501" s="64"/>
      <c r="X2501" s="63"/>
    </row>
    <row r="2502" spans="2:24">
      <c r="B2502" s="58"/>
      <c r="C2502" s="59"/>
      <c r="D2502" s="59"/>
      <c r="E2502" s="59"/>
      <c r="F2502" s="59"/>
      <c r="G2502" s="60">
        <f>IF(OR(E2502="",F2502="",C2502="",D2502=""),"",IF(C2502+D2502=0,"",(E2502*C2502+F2502*D2502)/(C2502+D2502)))</f>
        <v/>
      </c>
      <c r="H2502" s="59"/>
      <c r="I2502" s="60">
        <f>IF(OR(H2502="",E2502="",C2502="",D2502=""),"",IF(C2502+D2502=0,"",(H2502*D2502+E2502*C2502)/(C2502+D2502)))</f>
        <v/>
      </c>
      <c r="J2502" s="59"/>
      <c r="K2502" s="61">
        <f>IF(OR(J2502="",I2502=""),"",J2502-I2502)</f>
        <v/>
      </c>
      <c r="L2502" s="61">
        <f>IF(OR(J2502="",G2502=""),"",J2502-G2502)</f>
        <v/>
      </c>
      <c r="M2502" s="59"/>
      <c r="N2502" s="59"/>
      <c r="O2502" s="59"/>
      <c r="P2502" s="59"/>
      <c r="Q2502" s="59"/>
      <c r="R2502" s="60">
        <f>IF(AND(P2502="",Q2502=""),"",N(P2502)+N(Q2502))</f>
        <v/>
      </c>
      <c r="S2502" s="59"/>
      <c r="T2502" s="59"/>
      <c r="U2502" s="62">
        <f>IF(OR(R2502="",S2502="",T2502=""),"",IF(S2502+T2502=0,"",R2502/(S2502+T2502)))</f>
        <v/>
      </c>
      <c r="V2502" s="63"/>
      <c r="W2502" s="64"/>
      <c r="X2502" s="63"/>
    </row>
    <row r="2503" spans="2:24">
      <c r="B2503" s="58"/>
      <c r="C2503" s="59"/>
      <c r="D2503" s="59"/>
      <c r="E2503" s="59"/>
      <c r="F2503" s="59"/>
      <c r="G2503" s="60">
        <f>IF(OR(E2503="",F2503="",C2503="",D2503=""),"",IF(C2503+D2503=0,"",(E2503*C2503+F2503*D2503)/(C2503+D2503)))</f>
        <v/>
      </c>
      <c r="H2503" s="59"/>
      <c r="I2503" s="60">
        <f>IF(OR(H2503="",E2503="",C2503="",D2503=""),"",IF(C2503+D2503=0,"",(H2503*D2503+E2503*C2503)/(C2503+D2503)))</f>
        <v/>
      </c>
      <c r="J2503" s="59"/>
      <c r="K2503" s="61">
        <f>IF(OR(J2503="",I2503=""),"",J2503-I2503)</f>
        <v/>
      </c>
      <c r="L2503" s="61">
        <f>IF(OR(J2503="",G2503=""),"",J2503-G2503)</f>
        <v/>
      </c>
      <c r="M2503" s="59"/>
      <c r="N2503" s="59"/>
      <c r="O2503" s="59"/>
      <c r="P2503" s="59"/>
      <c r="Q2503" s="59"/>
      <c r="R2503" s="60">
        <f>IF(AND(P2503="",Q2503=""),"",N(P2503)+N(Q2503))</f>
        <v/>
      </c>
      <c r="S2503" s="59"/>
      <c r="T2503" s="59"/>
      <c r="U2503" s="62">
        <f>IF(OR(R2503="",S2503="",T2503=""),"",IF(S2503+T2503=0,"",R2503/(S2503+T2503)))</f>
        <v/>
      </c>
      <c r="V2503" s="63"/>
      <c r="W2503" s="64"/>
      <c r="X2503" s="63"/>
    </row>
    <row r="2504" spans="2:24">
      <c r="B2504" s="58"/>
      <c r="C2504" s="59"/>
      <c r="D2504" s="59"/>
      <c r="E2504" s="59"/>
      <c r="F2504" s="59"/>
      <c r="G2504" s="60">
        <f>IF(OR(E2504="",F2504="",C2504="",D2504=""),"",IF(C2504+D2504=0,"",(E2504*C2504+F2504*D2504)/(C2504+D2504)))</f>
        <v/>
      </c>
      <c r="H2504" s="59"/>
      <c r="I2504" s="60">
        <f>IF(OR(H2504="",E2504="",C2504="",D2504=""),"",IF(C2504+D2504=0,"",(H2504*D2504+E2504*C2504)/(C2504+D2504)))</f>
        <v/>
      </c>
      <c r="J2504" s="59"/>
      <c r="K2504" s="61">
        <f>IF(OR(J2504="",I2504=""),"",J2504-I2504)</f>
        <v/>
      </c>
      <c r="L2504" s="61">
        <f>IF(OR(J2504="",G2504=""),"",J2504-G2504)</f>
        <v/>
      </c>
      <c r="M2504" s="59"/>
      <c r="N2504" s="59"/>
      <c r="O2504" s="59"/>
      <c r="P2504" s="59"/>
      <c r="Q2504" s="59"/>
      <c r="R2504" s="60">
        <f>IF(AND(P2504="",Q2504=""),"",N(P2504)+N(Q2504))</f>
        <v/>
      </c>
      <c r="S2504" s="59"/>
      <c r="T2504" s="59"/>
      <c r="U2504" s="62">
        <f>IF(OR(R2504="",S2504="",T2504=""),"",IF(S2504+T2504=0,"",R2504/(S2504+T2504)))</f>
        <v/>
      </c>
      <c r="V2504" s="63"/>
      <c r="W2504" s="64"/>
      <c r="X2504" s="63"/>
    </row>
    <row r="2505" spans="2:24">
      <c r="B2505" s="58"/>
      <c r="C2505" s="59"/>
      <c r="D2505" s="59"/>
      <c r="E2505" s="59"/>
      <c r="F2505" s="59"/>
      <c r="G2505" s="60">
        <f>IF(OR(E2505="",F2505="",C2505="",D2505=""),"",IF(C2505+D2505=0,"",(E2505*C2505+F2505*D2505)/(C2505+D2505)))</f>
        <v/>
      </c>
      <c r="H2505" s="59"/>
      <c r="I2505" s="60">
        <f>IF(OR(H2505="",E2505="",C2505="",D2505=""),"",IF(C2505+D2505=0,"",(H2505*D2505+E2505*C2505)/(C2505+D2505)))</f>
        <v/>
      </c>
      <c r="J2505" s="59"/>
      <c r="K2505" s="61">
        <f>IF(OR(J2505="",I2505=""),"",J2505-I2505)</f>
        <v/>
      </c>
      <c r="L2505" s="61">
        <f>IF(OR(J2505="",G2505=""),"",J2505-G2505)</f>
        <v/>
      </c>
      <c r="M2505" s="59"/>
      <c r="N2505" s="59"/>
      <c r="O2505" s="59"/>
      <c r="P2505" s="59"/>
      <c r="Q2505" s="59"/>
      <c r="R2505" s="60">
        <f>IF(AND(P2505="",Q2505=""),"",N(P2505)+N(Q2505))</f>
        <v/>
      </c>
      <c r="S2505" s="59"/>
      <c r="T2505" s="59"/>
      <c r="U2505" s="62">
        <f>IF(OR(R2505="",S2505="",T2505=""),"",IF(S2505+T2505=0,"",R2505/(S2505+T2505)))</f>
        <v/>
      </c>
      <c r="V2505" s="63"/>
      <c r="W2505" s="64"/>
      <c r="X2505" s="63"/>
    </row>
    <row r="2506" spans="2:24">
      <c r="B2506" s="58"/>
      <c r="C2506" s="59"/>
      <c r="D2506" s="59"/>
      <c r="E2506" s="59"/>
      <c r="F2506" s="59"/>
      <c r="G2506" s="60">
        <f>IF(OR(E2506="",F2506="",C2506="",D2506=""),"",IF(C2506+D2506=0,"",(E2506*C2506+F2506*D2506)/(C2506+D2506)))</f>
        <v/>
      </c>
      <c r="H2506" s="59"/>
      <c r="I2506" s="60">
        <f>IF(OR(H2506="",E2506="",C2506="",D2506=""),"",IF(C2506+D2506=0,"",(H2506*D2506+E2506*C2506)/(C2506+D2506)))</f>
        <v/>
      </c>
      <c r="J2506" s="59"/>
      <c r="K2506" s="61">
        <f>IF(OR(J2506="",I2506=""),"",J2506-I2506)</f>
        <v/>
      </c>
      <c r="L2506" s="61">
        <f>IF(OR(J2506="",G2506=""),"",J2506-G2506)</f>
        <v/>
      </c>
      <c r="M2506" s="59"/>
      <c r="N2506" s="59"/>
      <c r="O2506" s="59"/>
      <c r="P2506" s="59"/>
      <c r="Q2506" s="59"/>
      <c r="R2506" s="60">
        <f>IF(AND(P2506="",Q2506=""),"",N(P2506)+N(Q2506))</f>
        <v/>
      </c>
      <c r="S2506" s="59"/>
      <c r="T2506" s="59"/>
      <c r="U2506" s="62">
        <f>IF(OR(R2506="",S2506="",T2506=""),"",IF(S2506+T2506=0,"",R2506/(S2506+T2506)))</f>
        <v/>
      </c>
      <c r="V2506" s="63"/>
      <c r="W2506" s="64"/>
      <c r="X2506" s="63"/>
    </row>
    <row r="2507" spans="2:24">
      <c r="B2507" s="58"/>
      <c r="C2507" s="59"/>
      <c r="D2507" s="59"/>
      <c r="E2507" s="59"/>
      <c r="F2507" s="59"/>
      <c r="G2507" s="60">
        <f>IF(OR(E2507="",F2507="",C2507="",D2507=""),"",IF(C2507+D2507=0,"",(E2507*C2507+F2507*D2507)/(C2507+D2507)))</f>
        <v/>
      </c>
      <c r="H2507" s="59"/>
      <c r="I2507" s="60">
        <f>IF(OR(H2507="",E2507="",C2507="",D2507=""),"",IF(C2507+D2507=0,"",(H2507*D2507+E2507*C2507)/(C2507+D2507)))</f>
        <v/>
      </c>
      <c r="J2507" s="59"/>
      <c r="K2507" s="61">
        <f>IF(OR(J2507="",I2507=""),"",J2507-I2507)</f>
        <v/>
      </c>
      <c r="L2507" s="61">
        <f>IF(OR(J2507="",G2507=""),"",J2507-G2507)</f>
        <v/>
      </c>
      <c r="M2507" s="59"/>
      <c r="N2507" s="59"/>
      <c r="O2507" s="59"/>
      <c r="P2507" s="59"/>
      <c r="Q2507" s="59"/>
      <c r="R2507" s="60">
        <f>IF(AND(P2507="",Q2507=""),"",N(P2507)+N(Q2507))</f>
        <v/>
      </c>
      <c r="S2507" s="59"/>
      <c r="T2507" s="59"/>
      <c r="U2507" s="62">
        <f>IF(OR(R2507="",S2507="",T2507=""),"",IF(S2507+T2507=0,"",R2507/(S2507+T2507)))</f>
        <v/>
      </c>
      <c r="V2507" s="63"/>
      <c r="W2507" s="64"/>
      <c r="X2507" s="63"/>
    </row>
    <row r="2508" spans="2:24">
      <c r="B2508" s="58"/>
      <c r="C2508" s="59"/>
      <c r="D2508" s="59"/>
      <c r="E2508" s="59"/>
      <c r="F2508" s="59"/>
      <c r="G2508" s="60">
        <f>IF(OR(E2508="",F2508="",C2508="",D2508=""),"",IF(C2508+D2508=0,"",(E2508*C2508+F2508*D2508)/(C2508+D2508)))</f>
        <v/>
      </c>
      <c r="H2508" s="59"/>
      <c r="I2508" s="60">
        <f>IF(OR(H2508="",E2508="",C2508="",D2508=""),"",IF(C2508+D2508=0,"",(H2508*D2508+E2508*C2508)/(C2508+D2508)))</f>
        <v/>
      </c>
      <c r="J2508" s="59"/>
      <c r="K2508" s="61">
        <f>IF(OR(J2508="",I2508=""),"",J2508-I2508)</f>
        <v/>
      </c>
      <c r="L2508" s="61">
        <f>IF(OR(J2508="",G2508=""),"",J2508-G2508)</f>
        <v/>
      </c>
      <c r="M2508" s="59"/>
      <c r="N2508" s="59"/>
      <c r="O2508" s="59"/>
      <c r="P2508" s="59"/>
      <c r="Q2508" s="59"/>
      <c r="R2508" s="60">
        <f>IF(AND(P2508="",Q2508=""),"",N(P2508)+N(Q2508))</f>
        <v/>
      </c>
      <c r="S2508" s="59"/>
      <c r="T2508" s="59"/>
      <c r="U2508" s="62">
        <f>IF(OR(R2508="",S2508="",T2508=""),"",IF(S2508+T2508=0,"",R2508/(S2508+T2508)))</f>
        <v/>
      </c>
      <c r="V2508" s="63"/>
      <c r="W2508" s="64"/>
      <c r="X2508" s="63"/>
    </row>
    <row r="2509" spans="2:24">
      <c r="B2509" s="58"/>
      <c r="C2509" s="59"/>
      <c r="D2509" s="59"/>
      <c r="E2509" s="59"/>
      <c r="F2509" s="59"/>
      <c r="G2509" s="60">
        <f>IF(OR(E2509="",F2509="",C2509="",D2509=""),"",IF(C2509+D2509=0,"",(E2509*C2509+F2509*D2509)/(C2509+D2509)))</f>
        <v/>
      </c>
      <c r="H2509" s="59"/>
      <c r="I2509" s="60">
        <f>IF(OR(H2509="",E2509="",C2509="",D2509=""),"",IF(C2509+D2509=0,"",(H2509*D2509+E2509*C2509)/(C2509+D2509)))</f>
        <v/>
      </c>
      <c r="J2509" s="59"/>
      <c r="K2509" s="61">
        <f>IF(OR(J2509="",I2509=""),"",J2509-I2509)</f>
        <v/>
      </c>
      <c r="L2509" s="61">
        <f>IF(OR(J2509="",G2509=""),"",J2509-G2509)</f>
        <v/>
      </c>
      <c r="M2509" s="59"/>
      <c r="N2509" s="59"/>
      <c r="O2509" s="59"/>
      <c r="P2509" s="59"/>
      <c r="Q2509" s="59"/>
      <c r="R2509" s="60">
        <f>IF(AND(P2509="",Q2509=""),"",N(P2509)+N(Q2509))</f>
        <v/>
      </c>
      <c r="S2509" s="59"/>
      <c r="T2509" s="59"/>
      <c r="U2509" s="62">
        <f>IF(OR(R2509="",S2509="",T2509=""),"",IF(S2509+T2509=0,"",R2509/(S2509+T2509)))</f>
        <v/>
      </c>
      <c r="V2509" s="63"/>
      <c r="W2509" s="64"/>
      <c r="X2509" s="63"/>
    </row>
    <row r="2510" spans="2:24">
      <c r="B2510" s="58"/>
      <c r="C2510" s="59"/>
      <c r="D2510" s="59"/>
      <c r="E2510" s="59"/>
      <c r="F2510" s="59"/>
      <c r="G2510" s="60">
        <f>IF(OR(E2510="",F2510="",C2510="",D2510=""),"",IF(C2510+D2510=0,"",(E2510*C2510+F2510*D2510)/(C2510+D2510)))</f>
        <v/>
      </c>
      <c r="H2510" s="59"/>
      <c r="I2510" s="60">
        <f>IF(OR(H2510="",E2510="",C2510="",D2510=""),"",IF(C2510+D2510=0,"",(H2510*D2510+E2510*C2510)/(C2510+D2510)))</f>
        <v/>
      </c>
      <c r="J2510" s="59"/>
      <c r="K2510" s="61">
        <f>IF(OR(J2510="",I2510=""),"",J2510-I2510)</f>
        <v/>
      </c>
      <c r="L2510" s="61">
        <f>IF(OR(J2510="",G2510=""),"",J2510-G2510)</f>
        <v/>
      </c>
      <c r="M2510" s="59"/>
      <c r="N2510" s="59"/>
      <c r="O2510" s="59"/>
      <c r="P2510" s="59"/>
      <c r="Q2510" s="59"/>
      <c r="R2510" s="60">
        <f>IF(AND(P2510="",Q2510=""),"",N(P2510)+N(Q2510))</f>
        <v/>
      </c>
      <c r="S2510" s="59"/>
      <c r="T2510" s="59"/>
      <c r="U2510" s="62">
        <f>IF(OR(R2510="",S2510="",T2510=""),"",IF(S2510+T2510=0,"",R2510/(S2510+T2510)))</f>
        <v/>
      </c>
      <c r="V2510" s="63"/>
      <c r="W2510" s="64"/>
      <c r="X2510" s="63"/>
    </row>
    <row r="2511" spans="2:24">
      <c r="B2511" s="58"/>
      <c r="C2511" s="59"/>
      <c r="D2511" s="59"/>
      <c r="E2511" s="59"/>
      <c r="F2511" s="59"/>
      <c r="G2511" s="60">
        <f>IF(OR(E2511="",F2511="",C2511="",D2511=""),"",IF(C2511+D2511=0,"",(E2511*C2511+F2511*D2511)/(C2511+D2511)))</f>
        <v/>
      </c>
      <c r="H2511" s="59"/>
      <c r="I2511" s="60">
        <f>IF(OR(H2511="",E2511="",C2511="",D2511=""),"",IF(C2511+D2511=0,"",(H2511*D2511+E2511*C2511)/(C2511+D2511)))</f>
        <v/>
      </c>
      <c r="J2511" s="59"/>
      <c r="K2511" s="61">
        <f>IF(OR(J2511="",I2511=""),"",J2511-I2511)</f>
        <v/>
      </c>
      <c r="L2511" s="61">
        <f>IF(OR(J2511="",G2511=""),"",J2511-G2511)</f>
        <v/>
      </c>
      <c r="M2511" s="59"/>
      <c r="N2511" s="59"/>
      <c r="O2511" s="59"/>
      <c r="P2511" s="59"/>
      <c r="Q2511" s="59"/>
      <c r="R2511" s="60">
        <f>IF(AND(P2511="",Q2511=""),"",N(P2511)+N(Q2511))</f>
        <v/>
      </c>
      <c r="S2511" s="59"/>
      <c r="T2511" s="59"/>
      <c r="U2511" s="62">
        <f>IF(OR(R2511="",S2511="",T2511=""),"",IF(S2511+T2511=0,"",R2511/(S2511+T2511)))</f>
        <v/>
      </c>
      <c r="V2511" s="63"/>
      <c r="W2511" s="64"/>
      <c r="X2511" s="63"/>
    </row>
    <row r="2512" spans="2:24">
      <c r="B2512" s="58"/>
      <c r="C2512" s="59"/>
      <c r="D2512" s="59"/>
      <c r="E2512" s="59"/>
      <c r="F2512" s="59"/>
      <c r="G2512" s="60">
        <f>IF(OR(E2512="",F2512="",C2512="",D2512=""),"",IF(C2512+D2512=0,"",(E2512*C2512+F2512*D2512)/(C2512+D2512)))</f>
        <v/>
      </c>
      <c r="H2512" s="59"/>
      <c r="I2512" s="60">
        <f>IF(OR(H2512="",E2512="",C2512="",D2512=""),"",IF(C2512+D2512=0,"",(H2512*D2512+E2512*C2512)/(C2512+D2512)))</f>
        <v/>
      </c>
      <c r="J2512" s="59"/>
      <c r="K2512" s="61">
        <f>IF(OR(J2512="",I2512=""),"",J2512-I2512)</f>
        <v/>
      </c>
      <c r="L2512" s="61">
        <f>IF(OR(J2512="",G2512=""),"",J2512-G2512)</f>
        <v/>
      </c>
      <c r="M2512" s="59"/>
      <c r="N2512" s="59"/>
      <c r="O2512" s="59"/>
      <c r="P2512" s="59"/>
      <c r="Q2512" s="59"/>
      <c r="R2512" s="60">
        <f>IF(AND(P2512="",Q2512=""),"",N(P2512)+N(Q2512))</f>
        <v/>
      </c>
      <c r="S2512" s="59"/>
      <c r="T2512" s="59"/>
      <c r="U2512" s="62">
        <f>IF(OR(R2512="",S2512="",T2512=""),"",IF(S2512+T2512=0,"",R2512/(S2512+T2512)))</f>
        <v/>
      </c>
      <c r="V2512" s="63"/>
      <c r="W2512" s="64"/>
      <c r="X2512" s="63"/>
    </row>
    <row r="2513" spans="2:24">
      <c r="B2513" s="58"/>
      <c r="C2513" s="59"/>
      <c r="D2513" s="59"/>
      <c r="E2513" s="59"/>
      <c r="F2513" s="59"/>
      <c r="G2513" s="60">
        <f>IF(OR(E2513="",F2513="",C2513="",D2513=""),"",IF(C2513+D2513=0,"",(E2513*C2513+F2513*D2513)/(C2513+D2513)))</f>
        <v/>
      </c>
      <c r="H2513" s="59"/>
      <c r="I2513" s="60">
        <f>IF(OR(H2513="",E2513="",C2513="",D2513=""),"",IF(C2513+D2513=0,"",(H2513*D2513+E2513*C2513)/(C2513+D2513)))</f>
        <v/>
      </c>
      <c r="J2513" s="59"/>
      <c r="K2513" s="61">
        <f>IF(OR(J2513="",I2513=""),"",J2513-I2513)</f>
        <v/>
      </c>
      <c r="L2513" s="61">
        <f>IF(OR(J2513="",G2513=""),"",J2513-G2513)</f>
        <v/>
      </c>
      <c r="M2513" s="59"/>
      <c r="N2513" s="59"/>
      <c r="O2513" s="59"/>
      <c r="P2513" s="59"/>
      <c r="Q2513" s="59"/>
      <c r="R2513" s="60">
        <f>IF(AND(P2513="",Q2513=""),"",N(P2513)+N(Q2513))</f>
        <v/>
      </c>
      <c r="S2513" s="59"/>
      <c r="T2513" s="59"/>
      <c r="U2513" s="62">
        <f>IF(OR(R2513="",S2513="",T2513=""),"",IF(S2513+T2513=0,"",R2513/(S2513+T2513)))</f>
        <v/>
      </c>
      <c r="V2513" s="63"/>
      <c r="W2513" s="64"/>
      <c r="X2513" s="63"/>
    </row>
    <row r="2514" spans="2:24">
      <c r="B2514" s="58"/>
      <c r="C2514" s="59"/>
      <c r="D2514" s="59"/>
      <c r="E2514" s="59"/>
      <c r="F2514" s="59"/>
      <c r="G2514" s="60">
        <f>IF(OR(E2514="",F2514="",C2514="",D2514=""),"",IF(C2514+D2514=0,"",(E2514*C2514+F2514*D2514)/(C2514+D2514)))</f>
        <v/>
      </c>
      <c r="H2514" s="59"/>
      <c r="I2514" s="60">
        <f>IF(OR(H2514="",E2514="",C2514="",D2514=""),"",IF(C2514+D2514=0,"",(H2514*D2514+E2514*C2514)/(C2514+D2514)))</f>
        <v/>
      </c>
      <c r="J2514" s="59"/>
      <c r="K2514" s="61">
        <f>IF(OR(J2514="",I2514=""),"",J2514-I2514)</f>
        <v/>
      </c>
      <c r="L2514" s="61">
        <f>IF(OR(J2514="",G2514=""),"",J2514-G2514)</f>
        <v/>
      </c>
      <c r="M2514" s="59"/>
      <c r="N2514" s="59"/>
      <c r="O2514" s="59"/>
      <c r="P2514" s="59"/>
      <c r="Q2514" s="59"/>
      <c r="R2514" s="60">
        <f>IF(AND(P2514="",Q2514=""),"",N(P2514)+N(Q2514))</f>
        <v/>
      </c>
      <c r="S2514" s="59"/>
      <c r="T2514" s="59"/>
      <c r="U2514" s="62">
        <f>IF(OR(R2514="",S2514="",T2514=""),"",IF(S2514+T2514=0,"",R2514/(S2514+T2514)))</f>
        <v/>
      </c>
      <c r="V2514" s="63"/>
      <c r="W2514" s="64"/>
      <c r="X2514" s="63"/>
    </row>
    <row r="2515" spans="2:24">
      <c r="B2515" s="58"/>
      <c r="C2515" s="59"/>
      <c r="D2515" s="59"/>
      <c r="E2515" s="59"/>
      <c r="F2515" s="59"/>
      <c r="G2515" s="60">
        <f>IF(OR(E2515="",F2515="",C2515="",D2515=""),"",IF(C2515+D2515=0,"",(E2515*C2515+F2515*D2515)/(C2515+D2515)))</f>
        <v/>
      </c>
      <c r="H2515" s="59"/>
      <c r="I2515" s="60">
        <f>IF(OR(H2515="",E2515="",C2515="",D2515=""),"",IF(C2515+D2515=0,"",(H2515*D2515+E2515*C2515)/(C2515+D2515)))</f>
        <v/>
      </c>
      <c r="J2515" s="59"/>
      <c r="K2515" s="61">
        <f>IF(OR(J2515="",I2515=""),"",J2515-I2515)</f>
        <v/>
      </c>
      <c r="L2515" s="61">
        <f>IF(OR(J2515="",G2515=""),"",J2515-G2515)</f>
        <v/>
      </c>
      <c r="M2515" s="59"/>
      <c r="N2515" s="59"/>
      <c r="O2515" s="59"/>
      <c r="P2515" s="59"/>
      <c r="Q2515" s="59"/>
      <c r="R2515" s="60">
        <f>IF(AND(P2515="",Q2515=""),"",N(P2515)+N(Q2515))</f>
        <v/>
      </c>
      <c r="S2515" s="59"/>
      <c r="T2515" s="59"/>
      <c r="U2515" s="62">
        <f>IF(OR(R2515="",S2515="",T2515=""),"",IF(S2515+T2515=0,"",R2515/(S2515+T2515)))</f>
        <v/>
      </c>
      <c r="V2515" s="63"/>
      <c r="W2515" s="64"/>
      <c r="X2515" s="63"/>
    </row>
    <row r="2516" spans="2:24">
      <c r="B2516" s="58"/>
      <c r="C2516" s="59"/>
      <c r="D2516" s="59"/>
      <c r="E2516" s="59"/>
      <c r="F2516" s="59"/>
      <c r="G2516" s="60">
        <f>IF(OR(E2516="",F2516="",C2516="",D2516=""),"",IF(C2516+D2516=0,"",(E2516*C2516+F2516*D2516)/(C2516+D2516)))</f>
        <v/>
      </c>
      <c r="H2516" s="59"/>
      <c r="I2516" s="60">
        <f>IF(OR(H2516="",E2516="",C2516="",D2516=""),"",IF(C2516+D2516=0,"",(H2516*D2516+E2516*C2516)/(C2516+D2516)))</f>
        <v/>
      </c>
      <c r="J2516" s="59"/>
      <c r="K2516" s="61">
        <f>IF(OR(J2516="",I2516=""),"",J2516-I2516)</f>
        <v/>
      </c>
      <c r="L2516" s="61">
        <f>IF(OR(J2516="",G2516=""),"",J2516-G2516)</f>
        <v/>
      </c>
      <c r="M2516" s="59"/>
      <c r="N2516" s="59"/>
      <c r="O2516" s="59"/>
      <c r="P2516" s="59"/>
      <c r="Q2516" s="59"/>
      <c r="R2516" s="60">
        <f>IF(AND(P2516="",Q2516=""),"",N(P2516)+N(Q2516))</f>
        <v/>
      </c>
      <c r="S2516" s="59"/>
      <c r="T2516" s="59"/>
      <c r="U2516" s="62">
        <f>IF(OR(R2516="",S2516="",T2516=""),"",IF(S2516+T2516=0,"",R2516/(S2516+T2516)))</f>
        <v/>
      </c>
      <c r="V2516" s="63"/>
      <c r="W2516" s="64"/>
      <c r="X2516" s="63"/>
    </row>
    <row r="2517" spans="2:24">
      <c r="B2517" s="58"/>
      <c r="C2517" s="59"/>
      <c r="D2517" s="59"/>
      <c r="E2517" s="59"/>
      <c r="F2517" s="59"/>
      <c r="G2517" s="60">
        <f>IF(OR(E2517="",F2517="",C2517="",D2517=""),"",IF(C2517+D2517=0,"",(E2517*C2517+F2517*D2517)/(C2517+D2517)))</f>
        <v/>
      </c>
      <c r="H2517" s="59"/>
      <c r="I2517" s="60">
        <f>IF(OR(H2517="",E2517="",C2517="",D2517=""),"",IF(C2517+D2517=0,"",(H2517*D2517+E2517*C2517)/(C2517+D2517)))</f>
        <v/>
      </c>
      <c r="J2517" s="59"/>
      <c r="K2517" s="61">
        <f>IF(OR(J2517="",I2517=""),"",J2517-I2517)</f>
        <v/>
      </c>
      <c r="L2517" s="61">
        <f>IF(OR(J2517="",G2517=""),"",J2517-G2517)</f>
        <v/>
      </c>
      <c r="M2517" s="59"/>
      <c r="N2517" s="59"/>
      <c r="O2517" s="59"/>
      <c r="P2517" s="59"/>
      <c r="Q2517" s="59"/>
      <c r="R2517" s="60">
        <f>IF(AND(P2517="",Q2517=""),"",N(P2517)+N(Q2517))</f>
        <v/>
      </c>
      <c r="S2517" s="59"/>
      <c r="T2517" s="59"/>
      <c r="U2517" s="62">
        <f>IF(OR(R2517="",S2517="",T2517=""),"",IF(S2517+T2517=0,"",R2517/(S2517+T2517)))</f>
        <v/>
      </c>
      <c r="V2517" s="63"/>
      <c r="W2517" s="64"/>
      <c r="X2517" s="63"/>
    </row>
    <row r="2518" spans="2:24">
      <c r="B2518" s="58"/>
      <c r="C2518" s="59"/>
      <c r="D2518" s="59"/>
      <c r="E2518" s="59"/>
      <c r="F2518" s="59"/>
      <c r="G2518" s="60">
        <f>IF(OR(E2518="",F2518="",C2518="",D2518=""),"",IF(C2518+D2518=0,"",(E2518*C2518+F2518*D2518)/(C2518+D2518)))</f>
        <v/>
      </c>
      <c r="H2518" s="59"/>
      <c r="I2518" s="60">
        <f>IF(OR(H2518="",E2518="",C2518="",D2518=""),"",IF(C2518+D2518=0,"",(H2518*D2518+E2518*C2518)/(C2518+D2518)))</f>
        <v/>
      </c>
      <c r="J2518" s="59"/>
      <c r="K2518" s="61">
        <f>IF(OR(J2518="",I2518=""),"",J2518-I2518)</f>
        <v/>
      </c>
      <c r="L2518" s="61">
        <f>IF(OR(J2518="",G2518=""),"",J2518-G2518)</f>
        <v/>
      </c>
      <c r="M2518" s="59"/>
      <c r="N2518" s="59"/>
      <c r="O2518" s="59"/>
      <c r="P2518" s="59"/>
      <c r="Q2518" s="59"/>
      <c r="R2518" s="60">
        <f>IF(AND(P2518="",Q2518=""),"",N(P2518)+N(Q2518))</f>
        <v/>
      </c>
      <c r="S2518" s="59"/>
      <c r="T2518" s="59"/>
      <c r="U2518" s="62">
        <f>IF(OR(R2518="",S2518="",T2518=""),"",IF(S2518+T2518=0,"",R2518/(S2518+T2518)))</f>
        <v/>
      </c>
      <c r="V2518" s="63"/>
      <c r="W2518" s="64"/>
      <c r="X2518" s="63"/>
    </row>
    <row r="2519" spans="2:24">
      <c r="B2519" s="58"/>
      <c r="C2519" s="59"/>
      <c r="D2519" s="59"/>
      <c r="E2519" s="59"/>
      <c r="F2519" s="59"/>
      <c r="G2519" s="60">
        <f>IF(OR(E2519="",F2519="",C2519="",D2519=""),"",IF(C2519+D2519=0,"",(E2519*C2519+F2519*D2519)/(C2519+D2519)))</f>
        <v/>
      </c>
      <c r="H2519" s="59"/>
      <c r="I2519" s="60">
        <f>IF(OR(H2519="",E2519="",C2519="",D2519=""),"",IF(C2519+D2519=0,"",(H2519*D2519+E2519*C2519)/(C2519+D2519)))</f>
        <v/>
      </c>
      <c r="J2519" s="59"/>
      <c r="K2519" s="61">
        <f>IF(OR(J2519="",I2519=""),"",J2519-I2519)</f>
        <v/>
      </c>
      <c r="L2519" s="61">
        <f>IF(OR(J2519="",G2519=""),"",J2519-G2519)</f>
        <v/>
      </c>
      <c r="M2519" s="59"/>
      <c r="N2519" s="59"/>
      <c r="O2519" s="59"/>
      <c r="P2519" s="59"/>
      <c r="Q2519" s="59"/>
      <c r="R2519" s="60">
        <f>IF(AND(P2519="",Q2519=""),"",N(P2519)+N(Q2519))</f>
        <v/>
      </c>
      <c r="S2519" s="59"/>
      <c r="T2519" s="59"/>
      <c r="U2519" s="62">
        <f>IF(OR(R2519="",S2519="",T2519=""),"",IF(S2519+T2519=0,"",R2519/(S2519+T2519)))</f>
        <v/>
      </c>
      <c r="V2519" s="63"/>
      <c r="W2519" s="64"/>
      <c r="X2519" s="63"/>
    </row>
    <row r="2520" spans="2:24">
      <c r="B2520" s="58"/>
      <c r="C2520" s="59"/>
      <c r="D2520" s="59"/>
      <c r="E2520" s="59"/>
      <c r="F2520" s="59"/>
      <c r="G2520" s="60">
        <f>IF(OR(E2520="",F2520="",C2520="",D2520=""),"",IF(C2520+D2520=0,"",(E2520*C2520+F2520*D2520)/(C2520+D2520)))</f>
        <v/>
      </c>
      <c r="H2520" s="59"/>
      <c r="I2520" s="60">
        <f>IF(OR(H2520="",E2520="",C2520="",D2520=""),"",IF(C2520+D2520=0,"",(H2520*D2520+E2520*C2520)/(C2520+D2520)))</f>
        <v/>
      </c>
      <c r="J2520" s="59"/>
      <c r="K2520" s="61">
        <f>IF(OR(J2520="",I2520=""),"",J2520-I2520)</f>
        <v/>
      </c>
      <c r="L2520" s="61">
        <f>IF(OR(J2520="",G2520=""),"",J2520-G2520)</f>
        <v/>
      </c>
      <c r="M2520" s="59"/>
      <c r="N2520" s="59"/>
      <c r="O2520" s="59"/>
      <c r="P2520" s="59"/>
      <c r="Q2520" s="59"/>
      <c r="R2520" s="60">
        <f>IF(AND(P2520="",Q2520=""),"",N(P2520)+N(Q2520))</f>
        <v/>
      </c>
      <c r="S2520" s="59"/>
      <c r="T2520" s="59"/>
      <c r="U2520" s="62">
        <f>IF(OR(R2520="",S2520="",T2520=""),"",IF(S2520+T2520=0,"",R2520/(S2520+T2520)))</f>
        <v/>
      </c>
      <c r="V2520" s="63"/>
      <c r="W2520" s="64"/>
      <c r="X2520" s="63"/>
    </row>
    <row r="2521" spans="2:24">
      <c r="B2521" s="58"/>
      <c r="C2521" s="59"/>
      <c r="D2521" s="59"/>
      <c r="E2521" s="59"/>
      <c r="F2521" s="59"/>
      <c r="G2521" s="60">
        <f>IF(OR(E2521="",F2521="",C2521="",D2521=""),"",IF(C2521+D2521=0,"",(E2521*C2521+F2521*D2521)/(C2521+D2521)))</f>
        <v/>
      </c>
      <c r="H2521" s="59"/>
      <c r="I2521" s="60">
        <f>IF(OR(H2521="",E2521="",C2521="",D2521=""),"",IF(C2521+D2521=0,"",(H2521*D2521+E2521*C2521)/(C2521+D2521)))</f>
        <v/>
      </c>
      <c r="J2521" s="59"/>
      <c r="K2521" s="61">
        <f>IF(OR(J2521="",I2521=""),"",J2521-I2521)</f>
        <v/>
      </c>
      <c r="L2521" s="61">
        <f>IF(OR(J2521="",G2521=""),"",J2521-G2521)</f>
        <v/>
      </c>
      <c r="M2521" s="59"/>
      <c r="N2521" s="59"/>
      <c r="O2521" s="59"/>
      <c r="P2521" s="59"/>
      <c r="Q2521" s="59"/>
      <c r="R2521" s="60">
        <f>IF(AND(P2521="",Q2521=""),"",N(P2521)+N(Q2521))</f>
        <v/>
      </c>
      <c r="S2521" s="59"/>
      <c r="T2521" s="59"/>
      <c r="U2521" s="62">
        <f>IF(OR(R2521="",S2521="",T2521=""),"",IF(S2521+T2521=0,"",R2521/(S2521+T2521)))</f>
        <v/>
      </c>
      <c r="V2521" s="63"/>
      <c r="W2521" s="64"/>
      <c r="X2521" s="63"/>
    </row>
    <row r="2522" spans="2:24">
      <c r="B2522" s="58"/>
      <c r="C2522" s="59"/>
      <c r="D2522" s="59"/>
      <c r="E2522" s="59"/>
      <c r="F2522" s="59"/>
      <c r="G2522" s="60">
        <f>IF(OR(E2522="",F2522="",C2522="",D2522=""),"",IF(C2522+D2522=0,"",(E2522*C2522+F2522*D2522)/(C2522+D2522)))</f>
        <v/>
      </c>
      <c r="H2522" s="59"/>
      <c r="I2522" s="60">
        <f>IF(OR(H2522="",E2522="",C2522="",D2522=""),"",IF(C2522+D2522=0,"",(H2522*D2522+E2522*C2522)/(C2522+D2522)))</f>
        <v/>
      </c>
      <c r="J2522" s="59"/>
      <c r="K2522" s="61">
        <f>IF(OR(J2522="",I2522=""),"",J2522-I2522)</f>
        <v/>
      </c>
      <c r="L2522" s="61">
        <f>IF(OR(J2522="",G2522=""),"",J2522-G2522)</f>
        <v/>
      </c>
      <c r="M2522" s="59"/>
      <c r="N2522" s="59"/>
      <c r="O2522" s="59"/>
      <c r="P2522" s="59"/>
      <c r="Q2522" s="59"/>
      <c r="R2522" s="60">
        <f>IF(AND(P2522="",Q2522=""),"",N(P2522)+N(Q2522))</f>
        <v/>
      </c>
      <c r="S2522" s="59"/>
      <c r="T2522" s="59"/>
      <c r="U2522" s="62">
        <f>IF(OR(R2522="",S2522="",T2522=""),"",IF(S2522+T2522=0,"",R2522/(S2522+T2522)))</f>
        <v/>
      </c>
      <c r="V2522" s="63"/>
      <c r="W2522" s="64"/>
      <c r="X2522" s="63"/>
    </row>
    <row r="2523" spans="2:24">
      <c r="B2523" s="58"/>
      <c r="C2523" s="59"/>
      <c r="D2523" s="59"/>
      <c r="E2523" s="59"/>
      <c r="F2523" s="59"/>
      <c r="G2523" s="60">
        <f>IF(OR(E2523="",F2523="",C2523="",D2523=""),"",IF(C2523+D2523=0,"",(E2523*C2523+F2523*D2523)/(C2523+D2523)))</f>
        <v/>
      </c>
      <c r="H2523" s="59"/>
      <c r="I2523" s="60">
        <f>IF(OR(H2523="",E2523="",C2523="",D2523=""),"",IF(C2523+D2523=0,"",(H2523*D2523+E2523*C2523)/(C2523+D2523)))</f>
        <v/>
      </c>
      <c r="J2523" s="59"/>
      <c r="K2523" s="61">
        <f>IF(OR(J2523="",I2523=""),"",J2523-I2523)</f>
        <v/>
      </c>
      <c r="L2523" s="61">
        <f>IF(OR(J2523="",G2523=""),"",J2523-G2523)</f>
        <v/>
      </c>
      <c r="M2523" s="59"/>
      <c r="N2523" s="59"/>
      <c r="O2523" s="59"/>
      <c r="P2523" s="59"/>
      <c r="Q2523" s="59"/>
      <c r="R2523" s="60">
        <f>IF(AND(P2523="",Q2523=""),"",N(P2523)+N(Q2523))</f>
        <v/>
      </c>
      <c r="S2523" s="59"/>
      <c r="T2523" s="59"/>
      <c r="U2523" s="62">
        <f>IF(OR(R2523="",S2523="",T2523=""),"",IF(S2523+T2523=0,"",R2523/(S2523+T2523)))</f>
        <v/>
      </c>
      <c r="V2523" s="63"/>
      <c r="W2523" s="64"/>
      <c r="X2523" s="63"/>
    </row>
    <row r="2524" spans="2:24">
      <c r="B2524" s="58"/>
      <c r="C2524" s="59"/>
      <c r="D2524" s="59"/>
      <c r="E2524" s="59"/>
      <c r="F2524" s="59"/>
      <c r="G2524" s="60">
        <f>IF(OR(E2524="",F2524="",C2524="",D2524=""),"",IF(C2524+D2524=0,"",(E2524*C2524+F2524*D2524)/(C2524+D2524)))</f>
        <v/>
      </c>
      <c r="H2524" s="59"/>
      <c r="I2524" s="60">
        <f>IF(OR(H2524="",E2524="",C2524="",D2524=""),"",IF(C2524+D2524=0,"",(H2524*D2524+E2524*C2524)/(C2524+D2524)))</f>
        <v/>
      </c>
      <c r="J2524" s="59"/>
      <c r="K2524" s="61">
        <f>IF(OR(J2524="",I2524=""),"",J2524-I2524)</f>
        <v/>
      </c>
      <c r="L2524" s="61">
        <f>IF(OR(J2524="",G2524=""),"",J2524-G2524)</f>
        <v/>
      </c>
      <c r="M2524" s="59"/>
      <c r="N2524" s="59"/>
      <c r="O2524" s="59"/>
      <c r="P2524" s="59"/>
      <c r="Q2524" s="59"/>
      <c r="R2524" s="60">
        <f>IF(AND(P2524="",Q2524=""),"",N(P2524)+N(Q2524))</f>
        <v/>
      </c>
      <c r="S2524" s="59"/>
      <c r="T2524" s="59"/>
      <c r="U2524" s="62">
        <f>IF(OR(R2524="",S2524="",T2524=""),"",IF(S2524+T2524=0,"",R2524/(S2524+T2524)))</f>
        <v/>
      </c>
      <c r="V2524" s="63"/>
      <c r="W2524" s="64"/>
      <c r="X2524" s="63"/>
    </row>
    <row r="2525" spans="2:24">
      <c r="B2525" s="58"/>
      <c r="C2525" s="59"/>
      <c r="D2525" s="59"/>
      <c r="E2525" s="59"/>
      <c r="F2525" s="59"/>
      <c r="G2525" s="60">
        <f>IF(OR(E2525="",F2525="",C2525="",D2525=""),"",IF(C2525+D2525=0,"",(E2525*C2525+F2525*D2525)/(C2525+D2525)))</f>
        <v/>
      </c>
      <c r="H2525" s="59"/>
      <c r="I2525" s="60">
        <f>IF(OR(H2525="",E2525="",C2525="",D2525=""),"",IF(C2525+D2525=0,"",(H2525*D2525+E2525*C2525)/(C2525+D2525)))</f>
        <v/>
      </c>
      <c r="J2525" s="59"/>
      <c r="K2525" s="61">
        <f>IF(OR(J2525="",I2525=""),"",J2525-I2525)</f>
        <v/>
      </c>
      <c r="L2525" s="61">
        <f>IF(OR(J2525="",G2525=""),"",J2525-G2525)</f>
        <v/>
      </c>
      <c r="M2525" s="59"/>
      <c r="N2525" s="59"/>
      <c r="O2525" s="59"/>
      <c r="P2525" s="59"/>
      <c r="Q2525" s="59"/>
      <c r="R2525" s="60">
        <f>IF(AND(P2525="",Q2525=""),"",N(P2525)+N(Q2525))</f>
        <v/>
      </c>
      <c r="S2525" s="59"/>
      <c r="T2525" s="59"/>
      <c r="U2525" s="62">
        <f>IF(OR(R2525="",S2525="",T2525=""),"",IF(S2525+T2525=0,"",R2525/(S2525+T2525)))</f>
        <v/>
      </c>
      <c r="V2525" s="63"/>
      <c r="W2525" s="64"/>
      <c r="X2525" s="63"/>
    </row>
    <row r="2526" spans="2:24">
      <c r="B2526" s="58"/>
      <c r="C2526" s="59"/>
      <c r="D2526" s="59"/>
      <c r="E2526" s="59"/>
      <c r="F2526" s="59"/>
      <c r="G2526" s="60">
        <f>IF(OR(E2526="",F2526="",C2526="",D2526=""),"",IF(C2526+D2526=0,"",(E2526*C2526+F2526*D2526)/(C2526+D2526)))</f>
        <v/>
      </c>
      <c r="H2526" s="59"/>
      <c r="I2526" s="60">
        <f>IF(OR(H2526="",E2526="",C2526="",D2526=""),"",IF(C2526+D2526=0,"",(H2526*D2526+E2526*C2526)/(C2526+D2526)))</f>
        <v/>
      </c>
      <c r="J2526" s="59"/>
      <c r="K2526" s="61">
        <f>IF(OR(J2526="",I2526=""),"",J2526-I2526)</f>
        <v/>
      </c>
      <c r="L2526" s="61">
        <f>IF(OR(J2526="",G2526=""),"",J2526-G2526)</f>
        <v/>
      </c>
      <c r="M2526" s="59"/>
      <c r="N2526" s="59"/>
      <c r="O2526" s="59"/>
      <c r="P2526" s="59"/>
      <c r="Q2526" s="59"/>
      <c r="R2526" s="60">
        <f>IF(AND(P2526="",Q2526=""),"",N(P2526)+N(Q2526))</f>
        <v/>
      </c>
      <c r="S2526" s="59"/>
      <c r="T2526" s="59"/>
      <c r="U2526" s="62">
        <f>IF(OR(R2526="",S2526="",T2526=""),"",IF(S2526+T2526=0,"",R2526/(S2526+T2526)))</f>
        <v/>
      </c>
      <c r="V2526" s="63"/>
      <c r="W2526" s="64"/>
      <c r="X2526" s="63"/>
    </row>
    <row r="2527" spans="2:24">
      <c r="B2527" s="58"/>
      <c r="C2527" s="59"/>
      <c r="D2527" s="59"/>
      <c r="E2527" s="59"/>
      <c r="F2527" s="59"/>
      <c r="G2527" s="60">
        <f>IF(OR(E2527="",F2527="",C2527="",D2527=""),"",IF(C2527+D2527=0,"",(E2527*C2527+F2527*D2527)/(C2527+D2527)))</f>
        <v/>
      </c>
      <c r="H2527" s="59"/>
      <c r="I2527" s="60">
        <f>IF(OR(H2527="",E2527="",C2527="",D2527=""),"",IF(C2527+D2527=0,"",(H2527*D2527+E2527*C2527)/(C2527+D2527)))</f>
        <v/>
      </c>
      <c r="J2527" s="59"/>
      <c r="K2527" s="61">
        <f>IF(OR(J2527="",I2527=""),"",J2527-I2527)</f>
        <v/>
      </c>
      <c r="L2527" s="61">
        <f>IF(OR(J2527="",G2527=""),"",J2527-G2527)</f>
        <v/>
      </c>
      <c r="M2527" s="59"/>
      <c r="N2527" s="59"/>
      <c r="O2527" s="59"/>
      <c r="P2527" s="59"/>
      <c r="Q2527" s="59"/>
      <c r="R2527" s="60">
        <f>IF(AND(P2527="",Q2527=""),"",N(P2527)+N(Q2527))</f>
        <v/>
      </c>
      <c r="S2527" s="59"/>
      <c r="T2527" s="59"/>
      <c r="U2527" s="62">
        <f>IF(OR(R2527="",S2527="",T2527=""),"",IF(S2527+T2527=0,"",R2527/(S2527+T2527)))</f>
        <v/>
      </c>
      <c r="V2527" s="63"/>
      <c r="W2527" s="64"/>
      <c r="X2527" s="63"/>
    </row>
    <row r="2528" spans="2:24">
      <c r="B2528" s="58"/>
      <c r="C2528" s="59"/>
      <c r="D2528" s="59"/>
      <c r="E2528" s="59"/>
      <c r="F2528" s="59"/>
      <c r="G2528" s="60">
        <f>IF(OR(E2528="",F2528="",C2528="",D2528=""),"",IF(C2528+D2528=0,"",(E2528*C2528+F2528*D2528)/(C2528+D2528)))</f>
        <v/>
      </c>
      <c r="H2528" s="59"/>
      <c r="I2528" s="60">
        <f>IF(OR(H2528="",E2528="",C2528="",D2528=""),"",IF(C2528+D2528=0,"",(H2528*D2528+E2528*C2528)/(C2528+D2528)))</f>
        <v/>
      </c>
      <c r="J2528" s="59"/>
      <c r="K2528" s="61">
        <f>IF(OR(J2528="",I2528=""),"",J2528-I2528)</f>
        <v/>
      </c>
      <c r="L2528" s="61">
        <f>IF(OR(J2528="",G2528=""),"",J2528-G2528)</f>
        <v/>
      </c>
      <c r="M2528" s="59"/>
      <c r="N2528" s="59"/>
      <c r="O2528" s="59"/>
      <c r="P2528" s="59"/>
      <c r="Q2528" s="59"/>
      <c r="R2528" s="60">
        <f>IF(AND(P2528="",Q2528=""),"",N(P2528)+N(Q2528))</f>
        <v/>
      </c>
      <c r="S2528" s="59"/>
      <c r="T2528" s="59"/>
      <c r="U2528" s="62">
        <f>IF(OR(R2528="",S2528="",T2528=""),"",IF(S2528+T2528=0,"",R2528/(S2528+T2528)))</f>
        <v/>
      </c>
      <c r="V2528" s="63"/>
      <c r="W2528" s="64"/>
      <c r="X2528" s="63"/>
    </row>
    <row r="2529" spans="2:24">
      <c r="B2529" s="58"/>
      <c r="C2529" s="59"/>
      <c r="D2529" s="59"/>
      <c r="E2529" s="59"/>
      <c r="F2529" s="59"/>
      <c r="G2529" s="60">
        <f>IF(OR(E2529="",F2529="",C2529="",D2529=""),"",IF(C2529+D2529=0,"",(E2529*C2529+F2529*D2529)/(C2529+D2529)))</f>
        <v/>
      </c>
      <c r="H2529" s="59"/>
      <c r="I2529" s="60">
        <f>IF(OR(H2529="",E2529="",C2529="",D2529=""),"",IF(C2529+D2529=0,"",(H2529*D2529+E2529*C2529)/(C2529+D2529)))</f>
        <v/>
      </c>
      <c r="J2529" s="59"/>
      <c r="K2529" s="61">
        <f>IF(OR(J2529="",I2529=""),"",J2529-I2529)</f>
        <v/>
      </c>
      <c r="L2529" s="61">
        <f>IF(OR(J2529="",G2529=""),"",J2529-G2529)</f>
        <v/>
      </c>
      <c r="M2529" s="59"/>
      <c r="N2529" s="59"/>
      <c r="O2529" s="59"/>
      <c r="P2529" s="59"/>
      <c r="Q2529" s="59"/>
      <c r="R2529" s="60">
        <f>IF(AND(P2529="",Q2529=""),"",N(P2529)+N(Q2529))</f>
        <v/>
      </c>
      <c r="S2529" s="59"/>
      <c r="T2529" s="59"/>
      <c r="U2529" s="62">
        <f>IF(OR(R2529="",S2529="",T2529=""),"",IF(S2529+T2529=0,"",R2529/(S2529+T2529)))</f>
        <v/>
      </c>
      <c r="V2529" s="63"/>
      <c r="W2529" s="64"/>
      <c r="X2529" s="63"/>
    </row>
    <row r="2530" spans="2:24">
      <c r="B2530" s="58"/>
      <c r="C2530" s="59"/>
      <c r="D2530" s="59"/>
      <c r="E2530" s="59"/>
      <c r="F2530" s="59"/>
      <c r="G2530" s="60">
        <f>IF(OR(E2530="",F2530="",C2530="",D2530=""),"",IF(C2530+D2530=0,"",(E2530*C2530+F2530*D2530)/(C2530+D2530)))</f>
        <v/>
      </c>
      <c r="H2530" s="59"/>
      <c r="I2530" s="60">
        <f>IF(OR(H2530="",E2530="",C2530="",D2530=""),"",IF(C2530+D2530=0,"",(H2530*D2530+E2530*C2530)/(C2530+D2530)))</f>
        <v/>
      </c>
      <c r="J2530" s="59"/>
      <c r="K2530" s="61">
        <f>IF(OR(J2530="",I2530=""),"",J2530-I2530)</f>
        <v/>
      </c>
      <c r="L2530" s="61">
        <f>IF(OR(J2530="",G2530=""),"",J2530-G2530)</f>
        <v/>
      </c>
      <c r="M2530" s="59"/>
      <c r="N2530" s="59"/>
      <c r="O2530" s="59"/>
      <c r="P2530" s="59"/>
      <c r="Q2530" s="59"/>
      <c r="R2530" s="60">
        <f>IF(AND(P2530="",Q2530=""),"",N(P2530)+N(Q2530))</f>
        <v/>
      </c>
      <c r="S2530" s="59"/>
      <c r="T2530" s="59"/>
      <c r="U2530" s="62">
        <f>IF(OR(R2530="",S2530="",T2530=""),"",IF(S2530+T2530=0,"",R2530/(S2530+T2530)))</f>
        <v/>
      </c>
      <c r="V2530" s="63"/>
      <c r="W2530" s="64"/>
      <c r="X2530" s="63"/>
    </row>
    <row r="2531" spans="2:24">
      <c r="B2531" s="58"/>
      <c r="C2531" s="59"/>
      <c r="D2531" s="59"/>
      <c r="E2531" s="59"/>
      <c r="F2531" s="59"/>
      <c r="G2531" s="60">
        <f>IF(OR(E2531="",F2531="",C2531="",D2531=""),"",IF(C2531+D2531=0,"",(E2531*C2531+F2531*D2531)/(C2531+D2531)))</f>
        <v/>
      </c>
      <c r="H2531" s="59"/>
      <c r="I2531" s="60">
        <f>IF(OR(H2531="",E2531="",C2531="",D2531=""),"",IF(C2531+D2531=0,"",(H2531*D2531+E2531*C2531)/(C2531+D2531)))</f>
        <v/>
      </c>
      <c r="J2531" s="59"/>
      <c r="K2531" s="61">
        <f>IF(OR(J2531="",I2531=""),"",J2531-I2531)</f>
        <v/>
      </c>
      <c r="L2531" s="61">
        <f>IF(OR(J2531="",G2531=""),"",J2531-G2531)</f>
        <v/>
      </c>
      <c r="M2531" s="59"/>
      <c r="N2531" s="59"/>
      <c r="O2531" s="59"/>
      <c r="P2531" s="59"/>
      <c r="Q2531" s="59"/>
      <c r="R2531" s="60">
        <f>IF(AND(P2531="",Q2531=""),"",N(P2531)+N(Q2531))</f>
        <v/>
      </c>
      <c r="S2531" s="59"/>
      <c r="T2531" s="59"/>
      <c r="U2531" s="62">
        <f>IF(OR(R2531="",S2531="",T2531=""),"",IF(S2531+T2531=0,"",R2531/(S2531+T2531)))</f>
        <v/>
      </c>
      <c r="V2531" s="63"/>
      <c r="W2531" s="64"/>
      <c r="X2531" s="63"/>
    </row>
    <row r="2532" spans="2:24">
      <c r="B2532" s="58"/>
      <c r="C2532" s="59"/>
      <c r="D2532" s="59"/>
      <c r="E2532" s="59"/>
      <c r="F2532" s="59"/>
      <c r="G2532" s="60">
        <f>IF(OR(E2532="",F2532="",C2532="",D2532=""),"",IF(C2532+D2532=0,"",(E2532*C2532+F2532*D2532)/(C2532+D2532)))</f>
        <v/>
      </c>
      <c r="H2532" s="59"/>
      <c r="I2532" s="60">
        <f>IF(OR(H2532="",E2532="",C2532="",D2532=""),"",IF(C2532+D2532=0,"",(H2532*D2532+E2532*C2532)/(C2532+D2532)))</f>
        <v/>
      </c>
      <c r="J2532" s="59"/>
      <c r="K2532" s="61">
        <f>IF(OR(J2532="",I2532=""),"",J2532-I2532)</f>
        <v/>
      </c>
      <c r="L2532" s="61">
        <f>IF(OR(J2532="",G2532=""),"",J2532-G2532)</f>
        <v/>
      </c>
      <c r="M2532" s="59"/>
      <c r="N2532" s="59"/>
      <c r="O2532" s="59"/>
      <c r="P2532" s="59"/>
      <c r="Q2532" s="59"/>
      <c r="R2532" s="60">
        <f>IF(AND(P2532="",Q2532=""),"",N(P2532)+N(Q2532))</f>
        <v/>
      </c>
      <c r="S2532" s="59"/>
      <c r="T2532" s="59"/>
      <c r="U2532" s="62">
        <f>IF(OR(R2532="",S2532="",T2532=""),"",IF(S2532+T2532=0,"",R2532/(S2532+T2532)))</f>
        <v/>
      </c>
      <c r="V2532" s="63"/>
      <c r="W2532" s="64"/>
      <c r="X2532" s="63"/>
    </row>
    <row r="2533" spans="2:24">
      <c r="B2533" s="58"/>
      <c r="C2533" s="59"/>
      <c r="D2533" s="59"/>
      <c r="E2533" s="59"/>
      <c r="F2533" s="59"/>
      <c r="G2533" s="60">
        <f>IF(OR(E2533="",F2533="",C2533="",D2533=""),"",IF(C2533+D2533=0,"",(E2533*C2533+F2533*D2533)/(C2533+D2533)))</f>
        <v/>
      </c>
      <c r="H2533" s="59"/>
      <c r="I2533" s="60">
        <f>IF(OR(H2533="",E2533="",C2533="",D2533=""),"",IF(C2533+D2533=0,"",(H2533*D2533+E2533*C2533)/(C2533+D2533)))</f>
        <v/>
      </c>
      <c r="J2533" s="59"/>
      <c r="K2533" s="61">
        <f>IF(OR(J2533="",I2533=""),"",J2533-I2533)</f>
        <v/>
      </c>
      <c r="L2533" s="61">
        <f>IF(OR(J2533="",G2533=""),"",J2533-G2533)</f>
        <v/>
      </c>
      <c r="M2533" s="59"/>
      <c r="N2533" s="59"/>
      <c r="O2533" s="59"/>
      <c r="P2533" s="59"/>
      <c r="Q2533" s="59"/>
      <c r="R2533" s="60">
        <f>IF(AND(P2533="",Q2533=""),"",N(P2533)+N(Q2533))</f>
        <v/>
      </c>
      <c r="S2533" s="59"/>
      <c r="T2533" s="59"/>
      <c r="U2533" s="62">
        <f>IF(OR(R2533="",S2533="",T2533=""),"",IF(S2533+T2533=0,"",R2533/(S2533+T2533)))</f>
        <v/>
      </c>
      <c r="V2533" s="63"/>
      <c r="W2533" s="64"/>
      <c r="X2533" s="63"/>
    </row>
    <row r="2534" spans="2:24">
      <c r="B2534" s="58"/>
      <c r="C2534" s="59"/>
      <c r="D2534" s="59"/>
      <c r="E2534" s="59"/>
      <c r="F2534" s="59"/>
      <c r="G2534" s="60">
        <f>IF(OR(E2534="",F2534="",C2534="",D2534=""),"",IF(C2534+D2534=0,"",(E2534*C2534+F2534*D2534)/(C2534+D2534)))</f>
        <v/>
      </c>
      <c r="H2534" s="59"/>
      <c r="I2534" s="60">
        <f>IF(OR(H2534="",E2534="",C2534="",D2534=""),"",IF(C2534+D2534=0,"",(H2534*D2534+E2534*C2534)/(C2534+D2534)))</f>
        <v/>
      </c>
      <c r="J2534" s="59"/>
      <c r="K2534" s="61">
        <f>IF(OR(J2534="",I2534=""),"",J2534-I2534)</f>
        <v/>
      </c>
      <c r="L2534" s="61">
        <f>IF(OR(J2534="",G2534=""),"",J2534-G2534)</f>
        <v/>
      </c>
      <c r="M2534" s="59"/>
      <c r="N2534" s="59"/>
      <c r="O2534" s="59"/>
      <c r="P2534" s="59"/>
      <c r="Q2534" s="59"/>
      <c r="R2534" s="60">
        <f>IF(AND(P2534="",Q2534=""),"",N(P2534)+N(Q2534))</f>
        <v/>
      </c>
      <c r="S2534" s="59"/>
      <c r="T2534" s="59"/>
      <c r="U2534" s="62">
        <f>IF(OR(R2534="",S2534="",T2534=""),"",IF(S2534+T2534=0,"",R2534/(S2534+T2534)))</f>
        <v/>
      </c>
      <c r="V2534" s="63"/>
      <c r="W2534" s="64"/>
      <c r="X2534" s="63"/>
    </row>
    <row r="2535" spans="2:24">
      <c r="B2535" s="58"/>
      <c r="C2535" s="59"/>
      <c r="D2535" s="59"/>
      <c r="E2535" s="59"/>
      <c r="F2535" s="59"/>
      <c r="G2535" s="60">
        <f>IF(OR(E2535="",F2535="",C2535="",D2535=""),"",IF(C2535+D2535=0,"",(E2535*C2535+F2535*D2535)/(C2535+D2535)))</f>
        <v/>
      </c>
      <c r="H2535" s="59"/>
      <c r="I2535" s="60">
        <f>IF(OR(H2535="",E2535="",C2535="",D2535=""),"",IF(C2535+D2535=0,"",(H2535*D2535+E2535*C2535)/(C2535+D2535)))</f>
        <v/>
      </c>
      <c r="J2535" s="59"/>
      <c r="K2535" s="61">
        <f>IF(OR(J2535="",I2535=""),"",J2535-I2535)</f>
        <v/>
      </c>
      <c r="L2535" s="61">
        <f>IF(OR(J2535="",G2535=""),"",J2535-G2535)</f>
        <v/>
      </c>
      <c r="M2535" s="59"/>
      <c r="N2535" s="59"/>
      <c r="O2535" s="59"/>
      <c r="P2535" s="59"/>
      <c r="Q2535" s="59"/>
      <c r="R2535" s="60">
        <f>IF(AND(P2535="",Q2535=""),"",N(P2535)+N(Q2535))</f>
        <v/>
      </c>
      <c r="S2535" s="59"/>
      <c r="T2535" s="59"/>
      <c r="U2535" s="62">
        <f>IF(OR(R2535="",S2535="",T2535=""),"",IF(S2535+T2535=0,"",R2535/(S2535+T2535)))</f>
        <v/>
      </c>
      <c r="V2535" s="63"/>
      <c r="W2535" s="64"/>
      <c r="X2535" s="63"/>
    </row>
    <row r="2536" spans="2:24">
      <c r="B2536" s="58"/>
      <c r="C2536" s="59"/>
      <c r="D2536" s="59"/>
      <c r="E2536" s="59"/>
      <c r="F2536" s="59"/>
      <c r="G2536" s="60">
        <f>IF(OR(E2536="",F2536="",C2536="",D2536=""),"",IF(C2536+D2536=0,"",(E2536*C2536+F2536*D2536)/(C2536+D2536)))</f>
        <v/>
      </c>
      <c r="H2536" s="59"/>
      <c r="I2536" s="60">
        <f>IF(OR(H2536="",E2536="",C2536="",D2536=""),"",IF(C2536+D2536=0,"",(H2536*D2536+E2536*C2536)/(C2536+D2536)))</f>
        <v/>
      </c>
      <c r="J2536" s="59"/>
      <c r="K2536" s="61">
        <f>IF(OR(J2536="",I2536=""),"",J2536-I2536)</f>
        <v/>
      </c>
      <c r="L2536" s="61">
        <f>IF(OR(J2536="",G2536=""),"",J2536-G2536)</f>
        <v/>
      </c>
      <c r="M2536" s="59"/>
      <c r="N2536" s="59"/>
      <c r="O2536" s="59"/>
      <c r="P2536" s="59"/>
      <c r="Q2536" s="59"/>
      <c r="R2536" s="60">
        <f>IF(AND(P2536="",Q2536=""),"",N(P2536)+N(Q2536))</f>
        <v/>
      </c>
      <c r="S2536" s="59"/>
      <c r="T2536" s="59"/>
      <c r="U2536" s="62">
        <f>IF(OR(R2536="",S2536="",T2536=""),"",IF(S2536+T2536=0,"",R2536/(S2536+T2536)))</f>
        <v/>
      </c>
      <c r="V2536" s="63"/>
      <c r="W2536" s="64"/>
      <c r="X2536" s="63"/>
    </row>
    <row r="2537" spans="2:24">
      <c r="B2537" s="58"/>
      <c r="C2537" s="59"/>
      <c r="D2537" s="59"/>
      <c r="E2537" s="59"/>
      <c r="F2537" s="59"/>
      <c r="G2537" s="60">
        <f>IF(OR(E2537="",F2537="",C2537="",D2537=""),"",IF(C2537+D2537=0,"",(E2537*C2537+F2537*D2537)/(C2537+D2537)))</f>
        <v/>
      </c>
      <c r="H2537" s="59"/>
      <c r="I2537" s="60">
        <f>IF(OR(H2537="",E2537="",C2537="",D2537=""),"",IF(C2537+D2537=0,"",(H2537*D2537+E2537*C2537)/(C2537+D2537)))</f>
        <v/>
      </c>
      <c r="J2537" s="59"/>
      <c r="K2537" s="61">
        <f>IF(OR(J2537="",I2537=""),"",J2537-I2537)</f>
        <v/>
      </c>
      <c r="L2537" s="61">
        <f>IF(OR(J2537="",G2537=""),"",J2537-G2537)</f>
        <v/>
      </c>
      <c r="M2537" s="59"/>
      <c r="N2537" s="59"/>
      <c r="O2537" s="59"/>
      <c r="P2537" s="59"/>
      <c r="Q2537" s="59"/>
      <c r="R2537" s="60">
        <f>IF(AND(P2537="",Q2537=""),"",N(P2537)+N(Q2537))</f>
        <v/>
      </c>
      <c r="S2537" s="59"/>
      <c r="T2537" s="59"/>
      <c r="U2537" s="62">
        <f>IF(OR(R2537="",S2537="",T2537=""),"",IF(S2537+T2537=0,"",R2537/(S2537+T2537)))</f>
        <v/>
      </c>
      <c r="V2537" s="63"/>
      <c r="W2537" s="64"/>
      <c r="X2537" s="63"/>
    </row>
    <row r="2538" spans="2:24">
      <c r="B2538" s="58"/>
      <c r="C2538" s="59"/>
      <c r="D2538" s="59"/>
      <c r="E2538" s="59"/>
      <c r="F2538" s="59"/>
      <c r="G2538" s="60">
        <f>IF(OR(E2538="",F2538="",C2538="",D2538=""),"",IF(C2538+D2538=0,"",(E2538*C2538+F2538*D2538)/(C2538+D2538)))</f>
        <v/>
      </c>
      <c r="H2538" s="59"/>
      <c r="I2538" s="60">
        <f>IF(OR(H2538="",E2538="",C2538="",D2538=""),"",IF(C2538+D2538=0,"",(H2538*D2538+E2538*C2538)/(C2538+D2538)))</f>
        <v/>
      </c>
      <c r="J2538" s="59"/>
      <c r="K2538" s="61">
        <f>IF(OR(J2538="",I2538=""),"",J2538-I2538)</f>
        <v/>
      </c>
      <c r="L2538" s="61">
        <f>IF(OR(J2538="",G2538=""),"",J2538-G2538)</f>
        <v/>
      </c>
      <c r="M2538" s="59"/>
      <c r="N2538" s="59"/>
      <c r="O2538" s="59"/>
      <c r="P2538" s="59"/>
      <c r="Q2538" s="59"/>
      <c r="R2538" s="60">
        <f>IF(AND(P2538="",Q2538=""),"",N(P2538)+N(Q2538))</f>
        <v/>
      </c>
      <c r="S2538" s="59"/>
      <c r="T2538" s="59"/>
      <c r="U2538" s="62">
        <f>IF(OR(R2538="",S2538="",T2538=""),"",IF(S2538+T2538=0,"",R2538/(S2538+T2538)))</f>
        <v/>
      </c>
      <c r="V2538" s="63"/>
      <c r="W2538" s="64"/>
      <c r="X2538" s="63"/>
    </row>
    <row r="2539" spans="2:24">
      <c r="B2539" s="58"/>
      <c r="C2539" s="59"/>
      <c r="D2539" s="59"/>
      <c r="E2539" s="59"/>
      <c r="F2539" s="59"/>
      <c r="G2539" s="60">
        <f>IF(OR(E2539="",F2539="",C2539="",D2539=""),"",IF(C2539+D2539=0,"",(E2539*C2539+F2539*D2539)/(C2539+D2539)))</f>
        <v/>
      </c>
      <c r="H2539" s="59"/>
      <c r="I2539" s="60">
        <f>IF(OR(H2539="",E2539="",C2539="",D2539=""),"",IF(C2539+D2539=0,"",(H2539*D2539+E2539*C2539)/(C2539+D2539)))</f>
        <v/>
      </c>
      <c r="J2539" s="59"/>
      <c r="K2539" s="61">
        <f>IF(OR(J2539="",I2539=""),"",J2539-I2539)</f>
        <v/>
      </c>
      <c r="L2539" s="61">
        <f>IF(OR(J2539="",G2539=""),"",J2539-G2539)</f>
        <v/>
      </c>
      <c r="M2539" s="59"/>
      <c r="N2539" s="59"/>
      <c r="O2539" s="59"/>
      <c r="P2539" s="59"/>
      <c r="Q2539" s="59"/>
      <c r="R2539" s="60">
        <f>IF(AND(P2539="",Q2539=""),"",N(P2539)+N(Q2539))</f>
        <v/>
      </c>
      <c r="S2539" s="59"/>
      <c r="T2539" s="59"/>
      <c r="U2539" s="62">
        <f>IF(OR(R2539="",S2539="",T2539=""),"",IF(S2539+T2539=0,"",R2539/(S2539+T2539)))</f>
        <v/>
      </c>
      <c r="V2539" s="63"/>
      <c r="W2539" s="64"/>
      <c r="X2539" s="63"/>
    </row>
    <row r="2540" spans="2:24">
      <c r="B2540" s="58"/>
      <c r="C2540" s="59"/>
      <c r="D2540" s="59"/>
      <c r="E2540" s="59"/>
      <c r="F2540" s="59"/>
      <c r="G2540" s="60">
        <f>IF(OR(E2540="",F2540="",C2540="",D2540=""),"",IF(C2540+D2540=0,"",(E2540*C2540+F2540*D2540)/(C2540+D2540)))</f>
        <v/>
      </c>
      <c r="H2540" s="59"/>
      <c r="I2540" s="60">
        <f>IF(OR(H2540="",E2540="",C2540="",D2540=""),"",IF(C2540+D2540=0,"",(H2540*D2540+E2540*C2540)/(C2540+D2540)))</f>
        <v/>
      </c>
      <c r="J2540" s="59"/>
      <c r="K2540" s="61">
        <f>IF(OR(J2540="",I2540=""),"",J2540-I2540)</f>
        <v/>
      </c>
      <c r="L2540" s="61">
        <f>IF(OR(J2540="",G2540=""),"",J2540-G2540)</f>
        <v/>
      </c>
      <c r="M2540" s="59"/>
      <c r="N2540" s="59"/>
      <c r="O2540" s="59"/>
      <c r="P2540" s="59"/>
      <c r="Q2540" s="59"/>
      <c r="R2540" s="60">
        <f>IF(AND(P2540="",Q2540=""),"",N(P2540)+N(Q2540))</f>
        <v/>
      </c>
      <c r="S2540" s="59"/>
      <c r="T2540" s="59"/>
      <c r="U2540" s="62">
        <f>IF(OR(R2540="",S2540="",T2540=""),"",IF(S2540+T2540=0,"",R2540/(S2540+T2540)))</f>
        <v/>
      </c>
      <c r="V2540" s="63"/>
      <c r="W2540" s="64"/>
      <c r="X2540" s="63"/>
    </row>
    <row r="2541" spans="2:24">
      <c r="B2541" s="58"/>
      <c r="C2541" s="59"/>
      <c r="D2541" s="59"/>
      <c r="E2541" s="59"/>
      <c r="F2541" s="59"/>
      <c r="G2541" s="60">
        <f>IF(OR(E2541="",F2541="",C2541="",D2541=""),"",IF(C2541+D2541=0,"",(E2541*C2541+F2541*D2541)/(C2541+D2541)))</f>
        <v/>
      </c>
      <c r="H2541" s="59"/>
      <c r="I2541" s="60">
        <f>IF(OR(H2541="",E2541="",C2541="",D2541=""),"",IF(C2541+D2541=0,"",(H2541*D2541+E2541*C2541)/(C2541+D2541)))</f>
        <v/>
      </c>
      <c r="J2541" s="59"/>
      <c r="K2541" s="61">
        <f>IF(OR(J2541="",I2541=""),"",J2541-I2541)</f>
        <v/>
      </c>
      <c r="L2541" s="61">
        <f>IF(OR(J2541="",G2541=""),"",J2541-G2541)</f>
        <v/>
      </c>
      <c r="M2541" s="59"/>
      <c r="N2541" s="59"/>
      <c r="O2541" s="59"/>
      <c r="P2541" s="59"/>
      <c r="Q2541" s="59"/>
      <c r="R2541" s="60">
        <f>IF(AND(P2541="",Q2541=""),"",N(P2541)+N(Q2541))</f>
        <v/>
      </c>
      <c r="S2541" s="59"/>
      <c r="T2541" s="59"/>
      <c r="U2541" s="62">
        <f>IF(OR(R2541="",S2541="",T2541=""),"",IF(S2541+T2541=0,"",R2541/(S2541+T2541)))</f>
        <v/>
      </c>
      <c r="V2541" s="63"/>
      <c r="W2541" s="64"/>
      <c r="X2541" s="63"/>
    </row>
    <row r="2542" spans="2:24">
      <c r="B2542" s="58"/>
      <c r="C2542" s="59"/>
      <c r="D2542" s="59"/>
      <c r="E2542" s="59"/>
      <c r="F2542" s="59"/>
      <c r="G2542" s="60">
        <f>IF(OR(E2542="",F2542="",C2542="",D2542=""),"",IF(C2542+D2542=0,"",(E2542*C2542+F2542*D2542)/(C2542+D2542)))</f>
        <v/>
      </c>
      <c r="H2542" s="59"/>
      <c r="I2542" s="60">
        <f>IF(OR(H2542="",E2542="",C2542="",D2542=""),"",IF(C2542+D2542=0,"",(H2542*D2542+E2542*C2542)/(C2542+D2542)))</f>
        <v/>
      </c>
      <c r="J2542" s="59"/>
      <c r="K2542" s="61">
        <f>IF(OR(J2542="",I2542=""),"",J2542-I2542)</f>
        <v/>
      </c>
      <c r="L2542" s="61">
        <f>IF(OR(J2542="",G2542=""),"",J2542-G2542)</f>
        <v/>
      </c>
      <c r="M2542" s="59"/>
      <c r="N2542" s="59"/>
      <c r="O2542" s="59"/>
      <c r="P2542" s="59"/>
      <c r="Q2542" s="59"/>
      <c r="R2542" s="60">
        <f>IF(AND(P2542="",Q2542=""),"",N(P2542)+N(Q2542))</f>
        <v/>
      </c>
      <c r="S2542" s="59"/>
      <c r="T2542" s="59"/>
      <c r="U2542" s="62">
        <f>IF(OR(R2542="",S2542="",T2542=""),"",IF(S2542+T2542=0,"",R2542/(S2542+T2542)))</f>
        <v/>
      </c>
      <c r="V2542" s="63"/>
      <c r="W2542" s="64"/>
      <c r="X2542" s="63"/>
    </row>
    <row r="2543" spans="2:24">
      <c r="B2543" s="58"/>
      <c r="C2543" s="59"/>
      <c r="D2543" s="59"/>
      <c r="E2543" s="59"/>
      <c r="F2543" s="59"/>
      <c r="G2543" s="60">
        <f>IF(OR(E2543="",F2543="",C2543="",D2543=""),"",IF(C2543+D2543=0,"",(E2543*C2543+F2543*D2543)/(C2543+D2543)))</f>
        <v/>
      </c>
      <c r="H2543" s="59"/>
      <c r="I2543" s="60">
        <f>IF(OR(H2543="",E2543="",C2543="",D2543=""),"",IF(C2543+D2543=0,"",(H2543*D2543+E2543*C2543)/(C2543+D2543)))</f>
        <v/>
      </c>
      <c r="J2543" s="59"/>
      <c r="K2543" s="61">
        <f>IF(OR(J2543="",I2543=""),"",J2543-I2543)</f>
        <v/>
      </c>
      <c r="L2543" s="61">
        <f>IF(OR(J2543="",G2543=""),"",J2543-G2543)</f>
        <v/>
      </c>
      <c r="M2543" s="59"/>
      <c r="N2543" s="59"/>
      <c r="O2543" s="59"/>
      <c r="P2543" s="59"/>
      <c r="Q2543" s="59"/>
      <c r="R2543" s="60">
        <f>IF(AND(P2543="",Q2543=""),"",N(P2543)+N(Q2543))</f>
        <v/>
      </c>
      <c r="S2543" s="59"/>
      <c r="T2543" s="59"/>
      <c r="U2543" s="62">
        <f>IF(OR(R2543="",S2543="",T2543=""),"",IF(S2543+T2543=0,"",R2543/(S2543+T2543)))</f>
        <v/>
      </c>
      <c r="V2543" s="63"/>
      <c r="W2543" s="64"/>
      <c r="X2543" s="63"/>
    </row>
    <row r="2544" spans="2:24">
      <c r="B2544" s="58"/>
      <c r="C2544" s="59"/>
      <c r="D2544" s="59"/>
      <c r="E2544" s="59"/>
      <c r="F2544" s="59"/>
      <c r="G2544" s="60">
        <f>IF(OR(E2544="",F2544="",C2544="",D2544=""),"",IF(C2544+D2544=0,"",(E2544*C2544+F2544*D2544)/(C2544+D2544)))</f>
        <v/>
      </c>
      <c r="H2544" s="59"/>
      <c r="I2544" s="60">
        <f>IF(OR(H2544="",E2544="",C2544="",D2544=""),"",IF(C2544+D2544=0,"",(H2544*D2544+E2544*C2544)/(C2544+D2544)))</f>
        <v/>
      </c>
      <c r="J2544" s="59"/>
      <c r="K2544" s="61">
        <f>IF(OR(J2544="",I2544=""),"",J2544-I2544)</f>
        <v/>
      </c>
      <c r="L2544" s="61">
        <f>IF(OR(J2544="",G2544=""),"",J2544-G2544)</f>
        <v/>
      </c>
      <c r="M2544" s="59"/>
      <c r="N2544" s="59"/>
      <c r="O2544" s="59"/>
      <c r="P2544" s="59"/>
      <c r="Q2544" s="59"/>
      <c r="R2544" s="60">
        <f>IF(AND(P2544="",Q2544=""),"",N(P2544)+N(Q2544))</f>
        <v/>
      </c>
      <c r="S2544" s="59"/>
      <c r="T2544" s="59"/>
      <c r="U2544" s="62">
        <f>IF(OR(R2544="",S2544="",T2544=""),"",IF(S2544+T2544=0,"",R2544/(S2544+T2544)))</f>
        <v/>
      </c>
      <c r="V2544" s="63"/>
      <c r="W2544" s="64"/>
      <c r="X2544" s="63"/>
    </row>
    <row r="2545" spans="2:24">
      <c r="B2545" s="58"/>
      <c r="C2545" s="59"/>
      <c r="D2545" s="59"/>
      <c r="E2545" s="59"/>
      <c r="F2545" s="59"/>
      <c r="G2545" s="60">
        <f>IF(OR(E2545="",F2545="",C2545="",D2545=""),"",IF(C2545+D2545=0,"",(E2545*C2545+F2545*D2545)/(C2545+D2545)))</f>
        <v/>
      </c>
      <c r="H2545" s="59"/>
      <c r="I2545" s="60">
        <f>IF(OR(H2545="",E2545="",C2545="",D2545=""),"",IF(C2545+D2545=0,"",(H2545*D2545+E2545*C2545)/(C2545+D2545)))</f>
        <v/>
      </c>
      <c r="J2545" s="59"/>
      <c r="K2545" s="61">
        <f>IF(OR(J2545="",I2545=""),"",J2545-I2545)</f>
        <v/>
      </c>
      <c r="L2545" s="61">
        <f>IF(OR(J2545="",G2545=""),"",J2545-G2545)</f>
        <v/>
      </c>
      <c r="M2545" s="59"/>
      <c r="N2545" s="59"/>
      <c r="O2545" s="59"/>
      <c r="P2545" s="59"/>
      <c r="Q2545" s="59"/>
      <c r="R2545" s="60">
        <f>IF(AND(P2545="",Q2545=""),"",N(P2545)+N(Q2545))</f>
        <v/>
      </c>
      <c r="S2545" s="59"/>
      <c r="T2545" s="59"/>
      <c r="U2545" s="62">
        <f>IF(OR(R2545="",S2545="",T2545=""),"",IF(S2545+T2545=0,"",R2545/(S2545+T2545)))</f>
        <v/>
      </c>
      <c r="V2545" s="63"/>
      <c r="W2545" s="64"/>
      <c r="X2545" s="63"/>
    </row>
    <row r="2546" spans="2:24">
      <c r="B2546" s="58"/>
      <c r="C2546" s="59"/>
      <c r="D2546" s="59"/>
      <c r="E2546" s="59"/>
      <c r="F2546" s="59"/>
      <c r="G2546" s="60">
        <f>IF(OR(E2546="",F2546="",C2546="",D2546=""),"",IF(C2546+D2546=0,"",(E2546*C2546+F2546*D2546)/(C2546+D2546)))</f>
        <v/>
      </c>
      <c r="H2546" s="59"/>
      <c r="I2546" s="60">
        <f>IF(OR(H2546="",E2546="",C2546="",D2546=""),"",IF(C2546+D2546=0,"",(H2546*D2546+E2546*C2546)/(C2546+D2546)))</f>
        <v/>
      </c>
      <c r="J2546" s="59"/>
      <c r="K2546" s="61">
        <f>IF(OR(J2546="",I2546=""),"",J2546-I2546)</f>
        <v/>
      </c>
      <c r="L2546" s="61">
        <f>IF(OR(J2546="",G2546=""),"",J2546-G2546)</f>
        <v/>
      </c>
      <c r="M2546" s="59"/>
      <c r="N2546" s="59"/>
      <c r="O2546" s="59"/>
      <c r="P2546" s="59"/>
      <c r="Q2546" s="59"/>
      <c r="R2546" s="60">
        <f>IF(AND(P2546="",Q2546=""),"",N(P2546)+N(Q2546))</f>
        <v/>
      </c>
      <c r="S2546" s="59"/>
      <c r="T2546" s="59"/>
      <c r="U2546" s="62">
        <f>IF(OR(R2546="",S2546="",T2546=""),"",IF(S2546+T2546=0,"",R2546/(S2546+T2546)))</f>
        <v/>
      </c>
      <c r="V2546" s="63"/>
      <c r="W2546" s="64"/>
      <c r="X2546" s="63"/>
    </row>
    <row r="2547" spans="2:24">
      <c r="B2547" s="58"/>
      <c r="C2547" s="59"/>
      <c r="D2547" s="59"/>
      <c r="E2547" s="59"/>
      <c r="F2547" s="59"/>
      <c r="G2547" s="60">
        <f>IF(OR(E2547="",F2547="",C2547="",D2547=""),"",IF(C2547+D2547=0,"",(E2547*C2547+F2547*D2547)/(C2547+D2547)))</f>
        <v/>
      </c>
      <c r="H2547" s="59"/>
      <c r="I2547" s="60">
        <f>IF(OR(H2547="",E2547="",C2547="",D2547=""),"",IF(C2547+D2547=0,"",(H2547*D2547+E2547*C2547)/(C2547+D2547)))</f>
        <v/>
      </c>
      <c r="J2547" s="59"/>
      <c r="K2547" s="61">
        <f>IF(OR(J2547="",I2547=""),"",J2547-I2547)</f>
        <v/>
      </c>
      <c r="L2547" s="61">
        <f>IF(OR(J2547="",G2547=""),"",J2547-G2547)</f>
        <v/>
      </c>
      <c r="M2547" s="59"/>
      <c r="N2547" s="59"/>
      <c r="O2547" s="59"/>
      <c r="P2547" s="59"/>
      <c r="Q2547" s="59"/>
      <c r="R2547" s="60">
        <f>IF(AND(P2547="",Q2547=""),"",N(P2547)+N(Q2547))</f>
        <v/>
      </c>
      <c r="S2547" s="59"/>
      <c r="T2547" s="59"/>
      <c r="U2547" s="62">
        <f>IF(OR(R2547="",S2547="",T2547=""),"",IF(S2547+T2547=0,"",R2547/(S2547+T2547)))</f>
        <v/>
      </c>
      <c r="V2547" s="63"/>
      <c r="W2547" s="64"/>
      <c r="X2547" s="63"/>
    </row>
    <row r="2548" spans="2:24">
      <c r="B2548" s="58"/>
      <c r="C2548" s="59"/>
      <c r="D2548" s="59"/>
      <c r="E2548" s="59"/>
      <c r="F2548" s="59"/>
      <c r="G2548" s="60">
        <f>IF(OR(E2548="",F2548="",C2548="",D2548=""),"",IF(C2548+D2548=0,"",(E2548*C2548+F2548*D2548)/(C2548+D2548)))</f>
        <v/>
      </c>
      <c r="H2548" s="59"/>
      <c r="I2548" s="60">
        <f>IF(OR(H2548="",E2548="",C2548="",D2548=""),"",IF(C2548+D2548=0,"",(H2548*D2548+E2548*C2548)/(C2548+D2548)))</f>
        <v/>
      </c>
      <c r="J2548" s="59"/>
      <c r="K2548" s="61">
        <f>IF(OR(J2548="",I2548=""),"",J2548-I2548)</f>
        <v/>
      </c>
      <c r="L2548" s="61">
        <f>IF(OR(J2548="",G2548=""),"",J2548-G2548)</f>
        <v/>
      </c>
      <c r="M2548" s="59"/>
      <c r="N2548" s="59"/>
      <c r="O2548" s="59"/>
      <c r="P2548" s="59"/>
      <c r="Q2548" s="59"/>
      <c r="R2548" s="60">
        <f>IF(AND(P2548="",Q2548=""),"",N(P2548)+N(Q2548))</f>
        <v/>
      </c>
      <c r="S2548" s="59"/>
      <c r="T2548" s="59"/>
      <c r="U2548" s="62">
        <f>IF(OR(R2548="",S2548="",T2548=""),"",IF(S2548+T2548=0,"",R2548/(S2548+T2548)))</f>
        <v/>
      </c>
      <c r="V2548" s="63"/>
      <c r="W2548" s="64"/>
      <c r="X2548" s="63"/>
    </row>
    <row r="2549" spans="2:24">
      <c r="B2549" s="58"/>
      <c r="C2549" s="59"/>
      <c r="D2549" s="59"/>
      <c r="E2549" s="59"/>
      <c r="F2549" s="59"/>
      <c r="G2549" s="60">
        <f>IF(OR(E2549="",F2549="",C2549="",D2549=""),"",IF(C2549+D2549=0,"",(E2549*C2549+F2549*D2549)/(C2549+D2549)))</f>
        <v/>
      </c>
      <c r="H2549" s="59"/>
      <c r="I2549" s="60">
        <f>IF(OR(H2549="",E2549="",C2549="",D2549=""),"",IF(C2549+D2549=0,"",(H2549*D2549+E2549*C2549)/(C2549+D2549)))</f>
        <v/>
      </c>
      <c r="J2549" s="59"/>
      <c r="K2549" s="61">
        <f>IF(OR(J2549="",I2549=""),"",J2549-I2549)</f>
        <v/>
      </c>
      <c r="L2549" s="61">
        <f>IF(OR(J2549="",G2549=""),"",J2549-G2549)</f>
        <v/>
      </c>
      <c r="M2549" s="59"/>
      <c r="N2549" s="59"/>
      <c r="O2549" s="59"/>
      <c r="P2549" s="59"/>
      <c r="Q2549" s="59"/>
      <c r="R2549" s="60">
        <f>IF(AND(P2549="",Q2549=""),"",N(P2549)+N(Q2549))</f>
        <v/>
      </c>
      <c r="S2549" s="59"/>
      <c r="T2549" s="59"/>
      <c r="U2549" s="62">
        <f>IF(OR(R2549="",S2549="",T2549=""),"",IF(S2549+T2549=0,"",R2549/(S2549+T2549)))</f>
        <v/>
      </c>
      <c r="V2549" s="63"/>
      <c r="W2549" s="64"/>
      <c r="X2549" s="63"/>
    </row>
    <row r="2550" spans="2:24">
      <c r="B2550" s="58"/>
      <c r="C2550" s="59"/>
      <c r="D2550" s="59"/>
      <c r="E2550" s="59"/>
      <c r="F2550" s="59"/>
      <c r="G2550" s="60">
        <f>IF(OR(E2550="",F2550="",C2550="",D2550=""),"",IF(C2550+D2550=0,"",(E2550*C2550+F2550*D2550)/(C2550+D2550)))</f>
        <v/>
      </c>
      <c r="H2550" s="59"/>
      <c r="I2550" s="60">
        <f>IF(OR(H2550="",E2550="",C2550="",D2550=""),"",IF(C2550+D2550=0,"",(H2550*D2550+E2550*C2550)/(C2550+D2550)))</f>
        <v/>
      </c>
      <c r="J2550" s="59"/>
      <c r="K2550" s="61">
        <f>IF(OR(J2550="",I2550=""),"",J2550-I2550)</f>
        <v/>
      </c>
      <c r="L2550" s="61">
        <f>IF(OR(J2550="",G2550=""),"",J2550-G2550)</f>
        <v/>
      </c>
      <c r="M2550" s="59"/>
      <c r="N2550" s="59"/>
      <c r="O2550" s="59"/>
      <c r="P2550" s="59"/>
      <c r="Q2550" s="59"/>
      <c r="R2550" s="60">
        <f>IF(AND(P2550="",Q2550=""),"",N(P2550)+N(Q2550))</f>
        <v/>
      </c>
      <c r="S2550" s="59"/>
      <c r="T2550" s="59"/>
      <c r="U2550" s="62">
        <f>IF(OR(R2550="",S2550="",T2550=""),"",IF(S2550+T2550=0,"",R2550/(S2550+T2550)))</f>
        <v/>
      </c>
      <c r="V2550" s="63"/>
      <c r="W2550" s="64"/>
      <c r="X2550" s="63"/>
    </row>
    <row r="2551" spans="2:24">
      <c r="B2551" s="58"/>
      <c r="C2551" s="59"/>
      <c r="D2551" s="59"/>
      <c r="E2551" s="59"/>
      <c r="F2551" s="59"/>
      <c r="G2551" s="60">
        <f>IF(OR(E2551="",F2551="",C2551="",D2551=""),"",IF(C2551+D2551=0,"",(E2551*C2551+F2551*D2551)/(C2551+D2551)))</f>
        <v/>
      </c>
      <c r="H2551" s="59"/>
      <c r="I2551" s="60">
        <f>IF(OR(H2551="",E2551="",C2551="",D2551=""),"",IF(C2551+D2551=0,"",(H2551*D2551+E2551*C2551)/(C2551+D2551)))</f>
        <v/>
      </c>
      <c r="J2551" s="59"/>
      <c r="K2551" s="61">
        <f>IF(OR(J2551="",I2551=""),"",J2551-I2551)</f>
        <v/>
      </c>
      <c r="L2551" s="61">
        <f>IF(OR(J2551="",G2551=""),"",J2551-G2551)</f>
        <v/>
      </c>
      <c r="M2551" s="59"/>
      <c r="N2551" s="59"/>
      <c r="O2551" s="59"/>
      <c r="P2551" s="59"/>
      <c r="Q2551" s="59"/>
      <c r="R2551" s="60">
        <f>IF(AND(P2551="",Q2551=""),"",N(P2551)+N(Q2551))</f>
        <v/>
      </c>
      <c r="S2551" s="59"/>
      <c r="T2551" s="59"/>
      <c r="U2551" s="62">
        <f>IF(OR(R2551="",S2551="",T2551=""),"",IF(S2551+T2551=0,"",R2551/(S2551+T2551)))</f>
        <v/>
      </c>
      <c r="V2551" s="63"/>
      <c r="W2551" s="64"/>
      <c r="X2551" s="63"/>
    </row>
    <row r="2552" spans="2:24">
      <c r="B2552" s="58"/>
      <c r="C2552" s="59"/>
      <c r="D2552" s="59"/>
      <c r="E2552" s="59"/>
      <c r="F2552" s="59"/>
      <c r="G2552" s="60">
        <f>IF(OR(E2552="",F2552="",C2552="",D2552=""),"",IF(C2552+D2552=0,"",(E2552*C2552+F2552*D2552)/(C2552+D2552)))</f>
        <v/>
      </c>
      <c r="H2552" s="59"/>
      <c r="I2552" s="60">
        <f>IF(OR(H2552="",E2552="",C2552="",D2552=""),"",IF(C2552+D2552=0,"",(H2552*D2552+E2552*C2552)/(C2552+D2552)))</f>
        <v/>
      </c>
      <c r="J2552" s="59"/>
      <c r="K2552" s="61">
        <f>IF(OR(J2552="",I2552=""),"",J2552-I2552)</f>
        <v/>
      </c>
      <c r="L2552" s="61">
        <f>IF(OR(J2552="",G2552=""),"",J2552-G2552)</f>
        <v/>
      </c>
      <c r="M2552" s="59"/>
      <c r="N2552" s="59"/>
      <c r="O2552" s="59"/>
      <c r="P2552" s="59"/>
      <c r="Q2552" s="59"/>
      <c r="R2552" s="60">
        <f>IF(AND(P2552="",Q2552=""),"",N(P2552)+N(Q2552))</f>
        <v/>
      </c>
      <c r="S2552" s="59"/>
      <c r="T2552" s="59"/>
      <c r="U2552" s="62">
        <f>IF(OR(R2552="",S2552="",T2552=""),"",IF(S2552+T2552=0,"",R2552/(S2552+T2552)))</f>
        <v/>
      </c>
      <c r="V2552" s="63"/>
      <c r="W2552" s="64"/>
      <c r="X2552" s="63"/>
    </row>
    <row r="2553" spans="2:24">
      <c r="B2553" s="58"/>
      <c r="C2553" s="59"/>
      <c r="D2553" s="59"/>
      <c r="E2553" s="59"/>
      <c r="F2553" s="59"/>
      <c r="G2553" s="60">
        <f>IF(OR(E2553="",F2553="",C2553="",D2553=""),"",IF(C2553+D2553=0,"",(E2553*C2553+F2553*D2553)/(C2553+D2553)))</f>
        <v/>
      </c>
      <c r="H2553" s="59"/>
      <c r="I2553" s="60">
        <f>IF(OR(H2553="",E2553="",C2553="",D2553=""),"",IF(C2553+D2553=0,"",(H2553*D2553+E2553*C2553)/(C2553+D2553)))</f>
        <v/>
      </c>
      <c r="J2553" s="59"/>
      <c r="K2553" s="61">
        <f>IF(OR(J2553="",I2553=""),"",J2553-I2553)</f>
        <v/>
      </c>
      <c r="L2553" s="61">
        <f>IF(OR(J2553="",G2553=""),"",J2553-G2553)</f>
        <v/>
      </c>
      <c r="M2553" s="59"/>
      <c r="N2553" s="59"/>
      <c r="O2553" s="59"/>
      <c r="P2553" s="59"/>
      <c r="Q2553" s="59"/>
      <c r="R2553" s="60">
        <f>IF(AND(P2553="",Q2553=""),"",N(P2553)+N(Q2553))</f>
        <v/>
      </c>
      <c r="S2553" s="59"/>
      <c r="T2553" s="59"/>
      <c r="U2553" s="62">
        <f>IF(OR(R2553="",S2553="",T2553=""),"",IF(S2553+T2553=0,"",R2553/(S2553+T2553)))</f>
        <v/>
      </c>
      <c r="V2553" s="63"/>
      <c r="W2553" s="64"/>
      <c r="X2553" s="63"/>
    </row>
    <row r="2554" spans="2:24">
      <c r="B2554" s="58"/>
      <c r="C2554" s="59"/>
      <c r="D2554" s="59"/>
      <c r="E2554" s="59"/>
      <c r="F2554" s="59"/>
      <c r="G2554" s="60">
        <f>IF(OR(E2554="",F2554="",C2554="",D2554=""),"",IF(C2554+D2554=0,"",(E2554*C2554+F2554*D2554)/(C2554+D2554)))</f>
        <v/>
      </c>
      <c r="H2554" s="59"/>
      <c r="I2554" s="60">
        <f>IF(OR(H2554="",E2554="",C2554="",D2554=""),"",IF(C2554+D2554=0,"",(H2554*D2554+E2554*C2554)/(C2554+D2554)))</f>
        <v/>
      </c>
      <c r="J2554" s="59"/>
      <c r="K2554" s="61">
        <f>IF(OR(J2554="",I2554=""),"",J2554-I2554)</f>
        <v/>
      </c>
      <c r="L2554" s="61">
        <f>IF(OR(J2554="",G2554=""),"",J2554-G2554)</f>
        <v/>
      </c>
      <c r="M2554" s="59"/>
      <c r="N2554" s="59"/>
      <c r="O2554" s="59"/>
      <c r="P2554" s="59"/>
      <c r="Q2554" s="59"/>
      <c r="R2554" s="60">
        <f>IF(AND(P2554="",Q2554=""),"",N(P2554)+N(Q2554))</f>
        <v/>
      </c>
      <c r="S2554" s="59"/>
      <c r="T2554" s="59"/>
      <c r="U2554" s="62">
        <f>IF(OR(R2554="",S2554="",T2554=""),"",IF(S2554+T2554=0,"",R2554/(S2554+T2554)))</f>
        <v/>
      </c>
      <c r="V2554" s="63"/>
      <c r="W2554" s="64"/>
      <c r="X2554" s="63"/>
    </row>
    <row r="2555" spans="2:24">
      <c r="B2555" s="58"/>
      <c r="C2555" s="59"/>
      <c r="D2555" s="59"/>
      <c r="E2555" s="59"/>
      <c r="F2555" s="59"/>
      <c r="G2555" s="60">
        <f>IF(OR(E2555="",F2555="",C2555="",D2555=""),"",IF(C2555+D2555=0,"",(E2555*C2555+F2555*D2555)/(C2555+D2555)))</f>
        <v/>
      </c>
      <c r="H2555" s="59"/>
      <c r="I2555" s="60">
        <f>IF(OR(H2555="",E2555="",C2555="",D2555=""),"",IF(C2555+D2555=0,"",(H2555*D2555+E2555*C2555)/(C2555+D2555)))</f>
        <v/>
      </c>
      <c r="J2555" s="59"/>
      <c r="K2555" s="61">
        <f>IF(OR(J2555="",I2555=""),"",J2555-I2555)</f>
        <v/>
      </c>
      <c r="L2555" s="61">
        <f>IF(OR(J2555="",G2555=""),"",J2555-G2555)</f>
        <v/>
      </c>
      <c r="M2555" s="59"/>
      <c r="N2555" s="59"/>
      <c r="O2555" s="59"/>
      <c r="P2555" s="59"/>
      <c r="Q2555" s="59"/>
      <c r="R2555" s="60">
        <f>IF(AND(P2555="",Q2555=""),"",N(P2555)+N(Q2555))</f>
        <v/>
      </c>
      <c r="S2555" s="59"/>
      <c r="T2555" s="59"/>
      <c r="U2555" s="62">
        <f>IF(OR(R2555="",S2555="",T2555=""),"",IF(S2555+T2555=0,"",R2555/(S2555+T2555)))</f>
        <v/>
      </c>
      <c r="V2555" s="63"/>
      <c r="W2555" s="64"/>
      <c r="X2555" s="63"/>
    </row>
    <row r="2556" spans="2:24">
      <c r="B2556" s="58"/>
      <c r="C2556" s="59"/>
      <c r="D2556" s="59"/>
      <c r="E2556" s="59"/>
      <c r="F2556" s="59"/>
      <c r="G2556" s="60">
        <f>IF(OR(E2556="",F2556="",C2556="",D2556=""),"",IF(C2556+D2556=0,"",(E2556*C2556+F2556*D2556)/(C2556+D2556)))</f>
        <v/>
      </c>
      <c r="H2556" s="59"/>
      <c r="I2556" s="60">
        <f>IF(OR(H2556="",E2556="",C2556="",D2556=""),"",IF(C2556+D2556=0,"",(H2556*D2556+E2556*C2556)/(C2556+D2556)))</f>
        <v/>
      </c>
      <c r="J2556" s="59"/>
      <c r="K2556" s="61">
        <f>IF(OR(J2556="",I2556=""),"",J2556-I2556)</f>
        <v/>
      </c>
      <c r="L2556" s="61">
        <f>IF(OR(J2556="",G2556=""),"",J2556-G2556)</f>
        <v/>
      </c>
      <c r="M2556" s="59"/>
      <c r="N2556" s="59"/>
      <c r="O2556" s="59"/>
      <c r="P2556" s="59"/>
      <c r="Q2556" s="59"/>
      <c r="R2556" s="60">
        <f>IF(AND(P2556="",Q2556=""),"",N(P2556)+N(Q2556))</f>
        <v/>
      </c>
      <c r="S2556" s="59"/>
      <c r="T2556" s="59"/>
      <c r="U2556" s="62">
        <f>IF(OR(R2556="",S2556="",T2556=""),"",IF(S2556+T2556=0,"",R2556/(S2556+T2556)))</f>
        <v/>
      </c>
      <c r="V2556" s="63"/>
      <c r="W2556" s="64"/>
      <c r="X2556" s="63"/>
    </row>
    <row r="2557" spans="2:24">
      <c r="B2557" s="58"/>
      <c r="C2557" s="59"/>
      <c r="D2557" s="59"/>
      <c r="E2557" s="59"/>
      <c r="F2557" s="59"/>
      <c r="G2557" s="60">
        <f>IF(OR(E2557="",F2557="",C2557="",D2557=""),"",IF(C2557+D2557=0,"",(E2557*C2557+F2557*D2557)/(C2557+D2557)))</f>
        <v/>
      </c>
      <c r="H2557" s="59"/>
      <c r="I2557" s="60">
        <f>IF(OR(H2557="",E2557="",C2557="",D2557=""),"",IF(C2557+D2557=0,"",(H2557*D2557+E2557*C2557)/(C2557+D2557)))</f>
        <v/>
      </c>
      <c r="J2557" s="59"/>
      <c r="K2557" s="61">
        <f>IF(OR(J2557="",I2557=""),"",J2557-I2557)</f>
        <v/>
      </c>
      <c r="L2557" s="61">
        <f>IF(OR(J2557="",G2557=""),"",J2557-G2557)</f>
        <v/>
      </c>
      <c r="M2557" s="59"/>
      <c r="N2557" s="59"/>
      <c r="O2557" s="59"/>
      <c r="P2557" s="59"/>
      <c r="Q2557" s="59"/>
      <c r="R2557" s="60">
        <f>IF(AND(P2557="",Q2557=""),"",N(P2557)+N(Q2557))</f>
        <v/>
      </c>
      <c r="S2557" s="59"/>
      <c r="T2557" s="59"/>
      <c r="U2557" s="62">
        <f>IF(OR(R2557="",S2557="",T2557=""),"",IF(S2557+T2557=0,"",R2557/(S2557+T2557)))</f>
        <v/>
      </c>
      <c r="V2557" s="63"/>
      <c r="W2557" s="64"/>
      <c r="X2557" s="63"/>
    </row>
    <row r="2558" spans="2:24">
      <c r="B2558" s="58"/>
      <c r="C2558" s="59"/>
      <c r="D2558" s="59"/>
      <c r="E2558" s="59"/>
      <c r="F2558" s="59"/>
      <c r="G2558" s="60">
        <f>IF(OR(E2558="",F2558="",C2558="",D2558=""),"",IF(C2558+D2558=0,"",(E2558*C2558+F2558*D2558)/(C2558+D2558)))</f>
        <v/>
      </c>
      <c r="H2558" s="59"/>
      <c r="I2558" s="60">
        <f>IF(OR(H2558="",E2558="",C2558="",D2558=""),"",IF(C2558+D2558=0,"",(H2558*D2558+E2558*C2558)/(C2558+D2558)))</f>
        <v/>
      </c>
      <c r="J2558" s="59"/>
      <c r="K2558" s="61">
        <f>IF(OR(J2558="",I2558=""),"",J2558-I2558)</f>
        <v/>
      </c>
      <c r="L2558" s="61">
        <f>IF(OR(J2558="",G2558=""),"",J2558-G2558)</f>
        <v/>
      </c>
      <c r="M2558" s="59"/>
      <c r="N2558" s="59"/>
      <c r="O2558" s="59"/>
      <c r="P2558" s="59"/>
      <c r="Q2558" s="59"/>
      <c r="R2558" s="60">
        <f>IF(AND(P2558="",Q2558=""),"",N(P2558)+N(Q2558))</f>
        <v/>
      </c>
      <c r="S2558" s="59"/>
      <c r="T2558" s="59"/>
      <c r="U2558" s="62">
        <f>IF(OR(R2558="",S2558="",T2558=""),"",IF(S2558+T2558=0,"",R2558/(S2558+T2558)))</f>
        <v/>
      </c>
      <c r="V2558" s="63"/>
      <c r="W2558" s="64"/>
      <c r="X2558" s="63"/>
    </row>
    <row r="2559" spans="2:24">
      <c r="B2559" s="58"/>
      <c r="C2559" s="59"/>
      <c r="D2559" s="59"/>
      <c r="E2559" s="59"/>
      <c r="F2559" s="59"/>
      <c r="G2559" s="60">
        <f>IF(OR(E2559="",F2559="",C2559="",D2559=""),"",IF(C2559+D2559=0,"",(E2559*C2559+F2559*D2559)/(C2559+D2559)))</f>
        <v/>
      </c>
      <c r="H2559" s="59"/>
      <c r="I2559" s="60">
        <f>IF(OR(H2559="",E2559="",C2559="",D2559=""),"",IF(C2559+D2559=0,"",(H2559*D2559+E2559*C2559)/(C2559+D2559)))</f>
        <v/>
      </c>
      <c r="J2559" s="59"/>
      <c r="K2559" s="61">
        <f>IF(OR(J2559="",I2559=""),"",J2559-I2559)</f>
        <v/>
      </c>
      <c r="L2559" s="61">
        <f>IF(OR(J2559="",G2559=""),"",J2559-G2559)</f>
        <v/>
      </c>
      <c r="M2559" s="59"/>
      <c r="N2559" s="59"/>
      <c r="O2559" s="59"/>
      <c r="P2559" s="59"/>
      <c r="Q2559" s="59"/>
      <c r="R2559" s="60">
        <f>IF(AND(P2559="",Q2559=""),"",N(P2559)+N(Q2559))</f>
        <v/>
      </c>
      <c r="S2559" s="59"/>
      <c r="T2559" s="59"/>
      <c r="U2559" s="62">
        <f>IF(OR(R2559="",S2559="",T2559=""),"",IF(S2559+T2559=0,"",R2559/(S2559+T2559)))</f>
        <v/>
      </c>
      <c r="V2559" s="63"/>
      <c r="W2559" s="64"/>
      <c r="X2559" s="63"/>
    </row>
    <row r="2560" spans="2:24">
      <c r="B2560" s="58"/>
      <c r="C2560" s="59"/>
      <c r="D2560" s="59"/>
      <c r="E2560" s="59"/>
      <c r="F2560" s="59"/>
      <c r="G2560" s="60">
        <f>IF(OR(E2560="",F2560="",C2560="",D2560=""),"",IF(C2560+D2560=0,"",(E2560*C2560+F2560*D2560)/(C2560+D2560)))</f>
        <v/>
      </c>
      <c r="H2560" s="59"/>
      <c r="I2560" s="60">
        <f>IF(OR(H2560="",E2560="",C2560="",D2560=""),"",IF(C2560+D2560=0,"",(H2560*D2560+E2560*C2560)/(C2560+D2560)))</f>
        <v/>
      </c>
      <c r="J2560" s="59"/>
      <c r="K2560" s="61">
        <f>IF(OR(J2560="",I2560=""),"",J2560-I2560)</f>
        <v/>
      </c>
      <c r="L2560" s="61">
        <f>IF(OR(J2560="",G2560=""),"",J2560-G2560)</f>
        <v/>
      </c>
      <c r="M2560" s="59"/>
      <c r="N2560" s="59"/>
      <c r="O2560" s="59"/>
      <c r="P2560" s="59"/>
      <c r="Q2560" s="59"/>
      <c r="R2560" s="60">
        <f>IF(AND(P2560="",Q2560=""),"",N(P2560)+N(Q2560))</f>
        <v/>
      </c>
      <c r="S2560" s="59"/>
      <c r="T2560" s="59"/>
      <c r="U2560" s="62">
        <f>IF(OR(R2560="",S2560="",T2560=""),"",IF(S2560+T2560=0,"",R2560/(S2560+T2560)))</f>
        <v/>
      </c>
      <c r="V2560" s="63"/>
      <c r="W2560" s="64"/>
      <c r="X2560" s="63"/>
    </row>
    <row r="2561" spans="2:24">
      <c r="B2561" s="58"/>
      <c r="C2561" s="59"/>
      <c r="D2561" s="59"/>
      <c r="E2561" s="59"/>
      <c r="F2561" s="59"/>
      <c r="G2561" s="60">
        <f>IF(OR(E2561="",F2561="",C2561="",D2561=""),"",IF(C2561+D2561=0,"",(E2561*C2561+F2561*D2561)/(C2561+D2561)))</f>
        <v/>
      </c>
      <c r="H2561" s="59"/>
      <c r="I2561" s="60">
        <f>IF(OR(H2561="",E2561="",C2561="",D2561=""),"",IF(C2561+D2561=0,"",(H2561*D2561+E2561*C2561)/(C2561+D2561)))</f>
        <v/>
      </c>
      <c r="J2561" s="59"/>
      <c r="K2561" s="61">
        <f>IF(OR(J2561="",I2561=""),"",J2561-I2561)</f>
        <v/>
      </c>
      <c r="L2561" s="61">
        <f>IF(OR(J2561="",G2561=""),"",J2561-G2561)</f>
        <v/>
      </c>
      <c r="M2561" s="59"/>
      <c r="N2561" s="59"/>
      <c r="O2561" s="59"/>
      <c r="P2561" s="59"/>
      <c r="Q2561" s="59"/>
      <c r="R2561" s="60">
        <f>IF(AND(P2561="",Q2561=""),"",N(P2561)+N(Q2561))</f>
        <v/>
      </c>
      <c r="S2561" s="59"/>
      <c r="T2561" s="59"/>
      <c r="U2561" s="62">
        <f>IF(OR(R2561="",S2561="",T2561=""),"",IF(S2561+T2561=0,"",R2561/(S2561+T2561)))</f>
        <v/>
      </c>
      <c r="V2561" s="63"/>
      <c r="W2561" s="64"/>
      <c r="X2561" s="63"/>
    </row>
    <row r="2562" spans="2:24">
      <c r="B2562" s="58"/>
      <c r="C2562" s="59"/>
      <c r="D2562" s="59"/>
      <c r="E2562" s="59"/>
      <c r="F2562" s="59"/>
      <c r="G2562" s="60">
        <f>IF(OR(E2562="",F2562="",C2562="",D2562=""),"",IF(C2562+D2562=0,"",(E2562*C2562+F2562*D2562)/(C2562+D2562)))</f>
        <v/>
      </c>
      <c r="H2562" s="59"/>
      <c r="I2562" s="60">
        <f>IF(OR(H2562="",E2562="",C2562="",D2562=""),"",IF(C2562+D2562=0,"",(H2562*D2562+E2562*C2562)/(C2562+D2562)))</f>
        <v/>
      </c>
      <c r="J2562" s="59"/>
      <c r="K2562" s="61">
        <f>IF(OR(J2562="",I2562=""),"",J2562-I2562)</f>
        <v/>
      </c>
      <c r="L2562" s="61">
        <f>IF(OR(J2562="",G2562=""),"",J2562-G2562)</f>
        <v/>
      </c>
      <c r="M2562" s="59"/>
      <c r="N2562" s="59"/>
      <c r="O2562" s="59"/>
      <c r="P2562" s="59"/>
      <c r="Q2562" s="59"/>
      <c r="R2562" s="60">
        <f>IF(AND(P2562="",Q2562=""),"",N(P2562)+N(Q2562))</f>
        <v/>
      </c>
      <c r="S2562" s="59"/>
      <c r="T2562" s="59"/>
      <c r="U2562" s="62">
        <f>IF(OR(R2562="",S2562="",T2562=""),"",IF(S2562+T2562=0,"",R2562/(S2562+T2562)))</f>
        <v/>
      </c>
      <c r="V2562" s="63"/>
      <c r="W2562" s="64"/>
      <c r="X2562" s="63"/>
    </row>
    <row r="2563" spans="2:24">
      <c r="B2563" s="58"/>
      <c r="C2563" s="59"/>
      <c r="D2563" s="59"/>
      <c r="E2563" s="59"/>
      <c r="F2563" s="59"/>
      <c r="G2563" s="60">
        <f>IF(OR(E2563="",F2563="",C2563="",D2563=""),"",IF(C2563+D2563=0,"",(E2563*C2563+F2563*D2563)/(C2563+D2563)))</f>
        <v/>
      </c>
      <c r="H2563" s="59"/>
      <c r="I2563" s="60">
        <f>IF(OR(H2563="",E2563="",C2563="",D2563=""),"",IF(C2563+D2563=0,"",(H2563*D2563+E2563*C2563)/(C2563+D2563)))</f>
        <v/>
      </c>
      <c r="J2563" s="59"/>
      <c r="K2563" s="61">
        <f>IF(OR(J2563="",I2563=""),"",J2563-I2563)</f>
        <v/>
      </c>
      <c r="L2563" s="61">
        <f>IF(OR(J2563="",G2563=""),"",J2563-G2563)</f>
        <v/>
      </c>
      <c r="M2563" s="59"/>
      <c r="N2563" s="59"/>
      <c r="O2563" s="59"/>
      <c r="P2563" s="59"/>
      <c r="Q2563" s="59"/>
      <c r="R2563" s="60">
        <f>IF(AND(P2563="",Q2563=""),"",N(P2563)+N(Q2563))</f>
        <v/>
      </c>
      <c r="S2563" s="59"/>
      <c r="T2563" s="59"/>
      <c r="U2563" s="62">
        <f>IF(OR(R2563="",S2563="",T2563=""),"",IF(S2563+T2563=0,"",R2563/(S2563+T2563)))</f>
        <v/>
      </c>
      <c r="V2563" s="63"/>
      <c r="W2563" s="64"/>
      <c r="X2563" s="63"/>
    </row>
    <row r="2564" spans="2:24">
      <c r="B2564" s="58"/>
      <c r="C2564" s="59"/>
      <c r="D2564" s="59"/>
      <c r="E2564" s="59"/>
      <c r="F2564" s="59"/>
      <c r="G2564" s="60">
        <f>IF(OR(E2564="",F2564="",C2564="",D2564=""),"",IF(C2564+D2564=0,"",(E2564*C2564+F2564*D2564)/(C2564+D2564)))</f>
        <v/>
      </c>
      <c r="H2564" s="59"/>
      <c r="I2564" s="60">
        <f>IF(OR(H2564="",E2564="",C2564="",D2564=""),"",IF(C2564+D2564=0,"",(H2564*D2564+E2564*C2564)/(C2564+D2564)))</f>
        <v/>
      </c>
      <c r="J2564" s="59"/>
      <c r="K2564" s="61">
        <f>IF(OR(J2564="",I2564=""),"",J2564-I2564)</f>
        <v/>
      </c>
      <c r="L2564" s="61">
        <f>IF(OR(J2564="",G2564=""),"",J2564-G2564)</f>
        <v/>
      </c>
      <c r="M2564" s="59"/>
      <c r="N2564" s="59"/>
      <c r="O2564" s="59"/>
      <c r="P2564" s="59"/>
      <c r="Q2564" s="59"/>
      <c r="R2564" s="60">
        <f>IF(AND(P2564="",Q2564=""),"",N(P2564)+N(Q2564))</f>
        <v/>
      </c>
      <c r="S2564" s="59"/>
      <c r="T2564" s="59"/>
      <c r="U2564" s="62">
        <f>IF(OR(R2564="",S2564="",T2564=""),"",IF(S2564+T2564=0,"",R2564/(S2564+T2564)))</f>
        <v/>
      </c>
      <c r="V2564" s="63"/>
      <c r="W2564" s="64"/>
      <c r="X2564" s="63"/>
    </row>
    <row r="2565" spans="2:24">
      <c r="B2565" s="58"/>
      <c r="C2565" s="59"/>
      <c r="D2565" s="59"/>
      <c r="E2565" s="59"/>
      <c r="F2565" s="59"/>
      <c r="G2565" s="60">
        <f>IF(OR(E2565="",F2565="",C2565="",D2565=""),"",IF(C2565+D2565=0,"",(E2565*C2565+F2565*D2565)/(C2565+D2565)))</f>
        <v/>
      </c>
      <c r="H2565" s="59"/>
      <c r="I2565" s="60">
        <f>IF(OR(H2565="",E2565="",C2565="",D2565=""),"",IF(C2565+D2565=0,"",(H2565*D2565+E2565*C2565)/(C2565+D2565)))</f>
        <v/>
      </c>
      <c r="J2565" s="59"/>
      <c r="K2565" s="61">
        <f>IF(OR(J2565="",I2565=""),"",J2565-I2565)</f>
        <v/>
      </c>
      <c r="L2565" s="61">
        <f>IF(OR(J2565="",G2565=""),"",J2565-G2565)</f>
        <v/>
      </c>
      <c r="M2565" s="59"/>
      <c r="N2565" s="59"/>
      <c r="O2565" s="59"/>
      <c r="P2565" s="59"/>
      <c r="Q2565" s="59"/>
      <c r="R2565" s="60">
        <f>IF(AND(P2565="",Q2565=""),"",N(P2565)+N(Q2565))</f>
        <v/>
      </c>
      <c r="S2565" s="59"/>
      <c r="T2565" s="59"/>
      <c r="U2565" s="62">
        <f>IF(OR(R2565="",S2565="",T2565=""),"",IF(S2565+T2565=0,"",R2565/(S2565+T2565)))</f>
        <v/>
      </c>
      <c r="V2565" s="63"/>
      <c r="W2565" s="64"/>
      <c r="X2565" s="63"/>
    </row>
    <row r="2566" spans="2:24">
      <c r="B2566" s="58"/>
      <c r="C2566" s="59"/>
      <c r="D2566" s="59"/>
      <c r="E2566" s="59"/>
      <c r="F2566" s="59"/>
      <c r="G2566" s="60">
        <f>IF(OR(E2566="",F2566="",C2566="",D2566=""),"",IF(C2566+D2566=0,"",(E2566*C2566+F2566*D2566)/(C2566+D2566)))</f>
        <v/>
      </c>
      <c r="H2566" s="59"/>
      <c r="I2566" s="60">
        <f>IF(OR(H2566="",E2566="",C2566="",D2566=""),"",IF(C2566+D2566=0,"",(H2566*D2566+E2566*C2566)/(C2566+D2566)))</f>
        <v/>
      </c>
      <c r="J2566" s="59"/>
      <c r="K2566" s="61">
        <f>IF(OR(J2566="",I2566=""),"",J2566-I2566)</f>
        <v/>
      </c>
      <c r="L2566" s="61">
        <f>IF(OR(J2566="",G2566=""),"",J2566-G2566)</f>
        <v/>
      </c>
      <c r="M2566" s="59"/>
      <c r="N2566" s="59"/>
      <c r="O2566" s="59"/>
      <c r="P2566" s="59"/>
      <c r="Q2566" s="59"/>
      <c r="R2566" s="60">
        <f>IF(AND(P2566="",Q2566=""),"",N(P2566)+N(Q2566))</f>
        <v/>
      </c>
      <c r="S2566" s="59"/>
      <c r="T2566" s="59"/>
      <c r="U2566" s="62">
        <f>IF(OR(R2566="",S2566="",T2566=""),"",IF(S2566+T2566=0,"",R2566/(S2566+T2566)))</f>
        <v/>
      </c>
      <c r="V2566" s="63"/>
      <c r="W2566" s="64"/>
      <c r="X2566" s="63"/>
    </row>
    <row r="2567" spans="2:24">
      <c r="B2567" s="58"/>
      <c r="C2567" s="59"/>
      <c r="D2567" s="59"/>
      <c r="E2567" s="59"/>
      <c r="F2567" s="59"/>
      <c r="G2567" s="60">
        <f>IF(OR(E2567="",F2567="",C2567="",D2567=""),"",IF(C2567+D2567=0,"",(E2567*C2567+F2567*D2567)/(C2567+D2567)))</f>
        <v/>
      </c>
      <c r="H2567" s="59"/>
      <c r="I2567" s="60">
        <f>IF(OR(H2567="",E2567="",C2567="",D2567=""),"",IF(C2567+D2567=0,"",(H2567*D2567+E2567*C2567)/(C2567+D2567)))</f>
        <v/>
      </c>
      <c r="J2567" s="59"/>
      <c r="K2567" s="61">
        <f>IF(OR(J2567="",I2567=""),"",J2567-I2567)</f>
        <v/>
      </c>
      <c r="L2567" s="61">
        <f>IF(OR(J2567="",G2567=""),"",J2567-G2567)</f>
        <v/>
      </c>
      <c r="M2567" s="59"/>
      <c r="N2567" s="59"/>
      <c r="O2567" s="59"/>
      <c r="P2567" s="59"/>
      <c r="Q2567" s="59"/>
      <c r="R2567" s="60">
        <f>IF(AND(P2567="",Q2567=""),"",N(P2567)+N(Q2567))</f>
        <v/>
      </c>
      <c r="S2567" s="59"/>
      <c r="T2567" s="59"/>
      <c r="U2567" s="62">
        <f>IF(OR(R2567="",S2567="",T2567=""),"",IF(S2567+T2567=0,"",R2567/(S2567+T2567)))</f>
        <v/>
      </c>
      <c r="V2567" s="63"/>
      <c r="W2567" s="64"/>
      <c r="X2567" s="63"/>
    </row>
    <row r="2568" spans="2:24">
      <c r="B2568" s="58"/>
      <c r="C2568" s="59"/>
      <c r="D2568" s="59"/>
      <c r="E2568" s="59"/>
      <c r="F2568" s="59"/>
      <c r="G2568" s="60">
        <f>IF(OR(E2568="",F2568="",C2568="",D2568=""),"",IF(C2568+D2568=0,"",(E2568*C2568+F2568*D2568)/(C2568+D2568)))</f>
        <v/>
      </c>
      <c r="H2568" s="59"/>
      <c r="I2568" s="60">
        <f>IF(OR(H2568="",E2568="",C2568="",D2568=""),"",IF(C2568+D2568=0,"",(H2568*D2568+E2568*C2568)/(C2568+D2568)))</f>
        <v/>
      </c>
      <c r="J2568" s="59"/>
      <c r="K2568" s="61">
        <f>IF(OR(J2568="",I2568=""),"",J2568-I2568)</f>
        <v/>
      </c>
      <c r="L2568" s="61">
        <f>IF(OR(J2568="",G2568=""),"",J2568-G2568)</f>
        <v/>
      </c>
      <c r="M2568" s="59"/>
      <c r="N2568" s="59"/>
      <c r="O2568" s="59"/>
      <c r="P2568" s="59"/>
      <c r="Q2568" s="59"/>
      <c r="R2568" s="60">
        <f>IF(AND(P2568="",Q2568=""),"",N(P2568)+N(Q2568))</f>
        <v/>
      </c>
      <c r="S2568" s="59"/>
      <c r="T2568" s="59"/>
      <c r="U2568" s="62">
        <f>IF(OR(R2568="",S2568="",T2568=""),"",IF(S2568+T2568=0,"",R2568/(S2568+T2568)))</f>
        <v/>
      </c>
      <c r="V2568" s="63"/>
      <c r="W2568" s="64"/>
      <c r="X2568" s="63"/>
    </row>
    <row r="2569" spans="2:24">
      <c r="B2569" s="58"/>
      <c r="C2569" s="59"/>
      <c r="D2569" s="59"/>
      <c r="E2569" s="59"/>
      <c r="F2569" s="59"/>
      <c r="G2569" s="60">
        <f>IF(OR(E2569="",F2569="",C2569="",D2569=""),"",IF(C2569+D2569=0,"",(E2569*C2569+F2569*D2569)/(C2569+D2569)))</f>
        <v/>
      </c>
      <c r="H2569" s="59"/>
      <c r="I2569" s="60">
        <f>IF(OR(H2569="",E2569="",C2569="",D2569=""),"",IF(C2569+D2569=0,"",(H2569*D2569+E2569*C2569)/(C2569+D2569)))</f>
        <v/>
      </c>
      <c r="J2569" s="59"/>
      <c r="K2569" s="61">
        <f>IF(OR(J2569="",I2569=""),"",J2569-I2569)</f>
        <v/>
      </c>
      <c r="L2569" s="61">
        <f>IF(OR(J2569="",G2569=""),"",J2569-G2569)</f>
        <v/>
      </c>
      <c r="M2569" s="59"/>
      <c r="N2569" s="59"/>
      <c r="O2569" s="59"/>
      <c r="P2569" s="59"/>
      <c r="Q2569" s="59"/>
      <c r="R2569" s="60">
        <f>IF(AND(P2569="",Q2569=""),"",N(P2569)+N(Q2569))</f>
        <v/>
      </c>
      <c r="S2569" s="59"/>
      <c r="T2569" s="59"/>
      <c r="U2569" s="62">
        <f>IF(OR(R2569="",S2569="",T2569=""),"",IF(S2569+T2569=0,"",R2569/(S2569+T2569)))</f>
        <v/>
      </c>
      <c r="V2569" s="63"/>
      <c r="W2569" s="64"/>
      <c r="X2569" s="63"/>
    </row>
    <row r="2570" spans="2:24">
      <c r="B2570" s="58"/>
      <c r="C2570" s="59"/>
      <c r="D2570" s="59"/>
      <c r="E2570" s="59"/>
      <c r="F2570" s="59"/>
      <c r="G2570" s="60">
        <f>IF(OR(E2570="",F2570="",C2570="",D2570=""),"",IF(C2570+D2570=0,"",(E2570*C2570+F2570*D2570)/(C2570+D2570)))</f>
        <v/>
      </c>
      <c r="H2570" s="59"/>
      <c r="I2570" s="60">
        <f>IF(OR(H2570="",E2570="",C2570="",D2570=""),"",IF(C2570+D2570=0,"",(H2570*D2570+E2570*C2570)/(C2570+D2570)))</f>
        <v/>
      </c>
      <c r="J2570" s="59"/>
      <c r="K2570" s="61">
        <f>IF(OR(J2570="",I2570=""),"",J2570-I2570)</f>
        <v/>
      </c>
      <c r="L2570" s="61">
        <f>IF(OR(J2570="",G2570=""),"",J2570-G2570)</f>
        <v/>
      </c>
      <c r="M2570" s="59"/>
      <c r="N2570" s="59"/>
      <c r="O2570" s="59"/>
      <c r="P2570" s="59"/>
      <c r="Q2570" s="59"/>
      <c r="R2570" s="60">
        <f>IF(AND(P2570="",Q2570=""),"",N(P2570)+N(Q2570))</f>
        <v/>
      </c>
      <c r="S2570" s="59"/>
      <c r="T2570" s="59"/>
      <c r="U2570" s="62">
        <f>IF(OR(R2570="",S2570="",T2570=""),"",IF(S2570+T2570=0,"",R2570/(S2570+T2570)))</f>
        <v/>
      </c>
      <c r="V2570" s="63"/>
      <c r="W2570" s="64"/>
      <c r="X2570" s="63"/>
    </row>
    <row r="2571" spans="2:24">
      <c r="B2571" s="58"/>
      <c r="C2571" s="59"/>
      <c r="D2571" s="59"/>
      <c r="E2571" s="59"/>
      <c r="F2571" s="59"/>
      <c r="G2571" s="60">
        <f>IF(OR(E2571="",F2571="",C2571="",D2571=""),"",IF(C2571+D2571=0,"",(E2571*C2571+F2571*D2571)/(C2571+D2571)))</f>
        <v/>
      </c>
      <c r="H2571" s="59"/>
      <c r="I2571" s="60">
        <f>IF(OR(H2571="",E2571="",C2571="",D2571=""),"",IF(C2571+D2571=0,"",(H2571*D2571+E2571*C2571)/(C2571+D2571)))</f>
        <v/>
      </c>
      <c r="J2571" s="59"/>
      <c r="K2571" s="61">
        <f>IF(OR(J2571="",I2571=""),"",J2571-I2571)</f>
        <v/>
      </c>
      <c r="L2571" s="61">
        <f>IF(OR(J2571="",G2571=""),"",J2571-G2571)</f>
        <v/>
      </c>
      <c r="M2571" s="59"/>
      <c r="N2571" s="59"/>
      <c r="O2571" s="59"/>
      <c r="P2571" s="59"/>
      <c r="Q2571" s="59"/>
      <c r="R2571" s="60">
        <f>IF(AND(P2571="",Q2571=""),"",N(P2571)+N(Q2571))</f>
        <v/>
      </c>
      <c r="S2571" s="59"/>
      <c r="T2571" s="59"/>
      <c r="U2571" s="62">
        <f>IF(OR(R2571="",S2571="",T2571=""),"",IF(S2571+T2571=0,"",R2571/(S2571+T2571)))</f>
        <v/>
      </c>
      <c r="V2571" s="63"/>
      <c r="W2571" s="64"/>
      <c r="X2571" s="63"/>
    </row>
    <row r="2572" spans="2:24">
      <c r="B2572" s="58"/>
      <c r="C2572" s="59"/>
      <c r="D2572" s="59"/>
      <c r="E2572" s="59"/>
      <c r="F2572" s="59"/>
      <c r="G2572" s="60">
        <f>IF(OR(E2572="",F2572="",C2572="",D2572=""),"",IF(C2572+D2572=0,"",(E2572*C2572+F2572*D2572)/(C2572+D2572)))</f>
        <v/>
      </c>
      <c r="H2572" s="59"/>
      <c r="I2572" s="60">
        <f>IF(OR(H2572="",E2572="",C2572="",D2572=""),"",IF(C2572+D2572=0,"",(H2572*D2572+E2572*C2572)/(C2572+D2572)))</f>
        <v/>
      </c>
      <c r="J2572" s="59"/>
      <c r="K2572" s="61">
        <f>IF(OR(J2572="",I2572=""),"",J2572-I2572)</f>
        <v/>
      </c>
      <c r="L2572" s="61">
        <f>IF(OR(J2572="",G2572=""),"",J2572-G2572)</f>
        <v/>
      </c>
      <c r="M2572" s="59"/>
      <c r="N2572" s="59"/>
      <c r="O2572" s="59"/>
      <c r="P2572" s="59"/>
      <c r="Q2572" s="59"/>
      <c r="R2572" s="60">
        <f>IF(AND(P2572="",Q2572=""),"",N(P2572)+N(Q2572))</f>
        <v/>
      </c>
      <c r="S2572" s="59"/>
      <c r="T2572" s="59"/>
      <c r="U2572" s="62">
        <f>IF(OR(R2572="",S2572="",T2572=""),"",IF(S2572+T2572=0,"",R2572/(S2572+T2572)))</f>
        <v/>
      </c>
      <c r="V2572" s="63"/>
      <c r="W2572" s="64"/>
      <c r="X2572" s="63"/>
    </row>
    <row r="2573" spans="2:24">
      <c r="B2573" s="58"/>
      <c r="C2573" s="59"/>
      <c r="D2573" s="59"/>
      <c r="E2573" s="59"/>
      <c r="F2573" s="59"/>
      <c r="G2573" s="60">
        <f>IF(OR(E2573="",F2573="",C2573="",D2573=""),"",IF(C2573+D2573=0,"",(E2573*C2573+F2573*D2573)/(C2573+D2573)))</f>
        <v/>
      </c>
      <c r="H2573" s="59"/>
      <c r="I2573" s="60">
        <f>IF(OR(H2573="",E2573="",C2573="",D2573=""),"",IF(C2573+D2573=0,"",(H2573*D2573+E2573*C2573)/(C2573+D2573)))</f>
        <v/>
      </c>
      <c r="J2573" s="59"/>
      <c r="K2573" s="61">
        <f>IF(OR(J2573="",I2573=""),"",J2573-I2573)</f>
        <v/>
      </c>
      <c r="L2573" s="61">
        <f>IF(OR(J2573="",G2573=""),"",J2573-G2573)</f>
        <v/>
      </c>
      <c r="M2573" s="59"/>
      <c r="N2573" s="59"/>
      <c r="O2573" s="59"/>
      <c r="P2573" s="59"/>
      <c r="Q2573" s="59"/>
      <c r="R2573" s="60">
        <f>IF(AND(P2573="",Q2573=""),"",N(P2573)+N(Q2573))</f>
        <v/>
      </c>
      <c r="S2573" s="59"/>
      <c r="T2573" s="59"/>
      <c r="U2573" s="62">
        <f>IF(OR(R2573="",S2573="",T2573=""),"",IF(S2573+T2573=0,"",R2573/(S2573+T2573)))</f>
        <v/>
      </c>
      <c r="V2573" s="63"/>
      <c r="W2573" s="64"/>
      <c r="X2573" s="63"/>
    </row>
    <row r="2574" spans="2:24">
      <c r="B2574" s="58"/>
      <c r="C2574" s="59"/>
      <c r="D2574" s="59"/>
      <c r="E2574" s="59"/>
      <c r="F2574" s="59"/>
      <c r="G2574" s="60">
        <f>IF(OR(E2574="",F2574="",C2574="",D2574=""),"",IF(C2574+D2574=0,"",(E2574*C2574+F2574*D2574)/(C2574+D2574)))</f>
        <v/>
      </c>
      <c r="H2574" s="59"/>
      <c r="I2574" s="60">
        <f>IF(OR(H2574="",E2574="",C2574="",D2574=""),"",IF(C2574+D2574=0,"",(H2574*D2574+E2574*C2574)/(C2574+D2574)))</f>
        <v/>
      </c>
      <c r="J2574" s="59"/>
      <c r="K2574" s="61">
        <f>IF(OR(J2574="",I2574=""),"",J2574-I2574)</f>
        <v/>
      </c>
      <c r="L2574" s="61">
        <f>IF(OR(J2574="",G2574=""),"",J2574-G2574)</f>
        <v/>
      </c>
      <c r="M2574" s="59"/>
      <c r="N2574" s="59"/>
      <c r="O2574" s="59"/>
      <c r="P2574" s="59"/>
      <c r="Q2574" s="59"/>
      <c r="R2574" s="60">
        <f>IF(AND(P2574="",Q2574=""),"",N(P2574)+N(Q2574))</f>
        <v/>
      </c>
      <c r="S2574" s="59"/>
      <c r="T2574" s="59"/>
      <c r="U2574" s="62">
        <f>IF(OR(R2574="",S2574="",T2574=""),"",IF(S2574+T2574=0,"",R2574/(S2574+T2574)))</f>
        <v/>
      </c>
      <c r="V2574" s="63"/>
      <c r="W2574" s="64"/>
      <c r="X2574" s="63"/>
    </row>
    <row r="2575" spans="2:24">
      <c r="B2575" s="58"/>
      <c r="C2575" s="59"/>
      <c r="D2575" s="59"/>
      <c r="E2575" s="59"/>
      <c r="F2575" s="59"/>
      <c r="G2575" s="60">
        <f>IF(OR(E2575="",F2575="",C2575="",D2575=""),"",IF(C2575+D2575=0,"",(E2575*C2575+F2575*D2575)/(C2575+D2575)))</f>
        <v/>
      </c>
      <c r="H2575" s="59"/>
      <c r="I2575" s="60">
        <f>IF(OR(H2575="",E2575="",C2575="",D2575=""),"",IF(C2575+D2575=0,"",(H2575*D2575+E2575*C2575)/(C2575+D2575)))</f>
        <v/>
      </c>
      <c r="J2575" s="59"/>
      <c r="K2575" s="61">
        <f>IF(OR(J2575="",I2575=""),"",J2575-I2575)</f>
        <v/>
      </c>
      <c r="L2575" s="61">
        <f>IF(OR(J2575="",G2575=""),"",J2575-G2575)</f>
        <v/>
      </c>
      <c r="M2575" s="59"/>
      <c r="N2575" s="59"/>
      <c r="O2575" s="59"/>
      <c r="P2575" s="59"/>
      <c r="Q2575" s="59"/>
      <c r="R2575" s="60">
        <f>IF(AND(P2575="",Q2575=""),"",N(P2575)+N(Q2575))</f>
        <v/>
      </c>
      <c r="S2575" s="59"/>
      <c r="T2575" s="59"/>
      <c r="U2575" s="62">
        <f>IF(OR(R2575="",S2575="",T2575=""),"",IF(S2575+T2575=0,"",R2575/(S2575+T2575)))</f>
        <v/>
      </c>
      <c r="V2575" s="63"/>
      <c r="W2575" s="64"/>
      <c r="X2575" s="63"/>
    </row>
    <row r="2576" spans="2:24">
      <c r="B2576" s="58"/>
      <c r="C2576" s="59"/>
      <c r="D2576" s="59"/>
      <c r="E2576" s="59"/>
      <c r="F2576" s="59"/>
      <c r="G2576" s="60">
        <f>IF(OR(E2576="",F2576="",C2576="",D2576=""),"",IF(C2576+D2576=0,"",(E2576*C2576+F2576*D2576)/(C2576+D2576)))</f>
        <v/>
      </c>
      <c r="H2576" s="59"/>
      <c r="I2576" s="60">
        <f>IF(OR(H2576="",E2576="",C2576="",D2576=""),"",IF(C2576+D2576=0,"",(H2576*D2576+E2576*C2576)/(C2576+D2576)))</f>
        <v/>
      </c>
      <c r="J2576" s="59"/>
      <c r="K2576" s="61">
        <f>IF(OR(J2576="",I2576=""),"",J2576-I2576)</f>
        <v/>
      </c>
      <c r="L2576" s="61">
        <f>IF(OR(J2576="",G2576=""),"",J2576-G2576)</f>
        <v/>
      </c>
      <c r="M2576" s="59"/>
      <c r="N2576" s="59"/>
      <c r="O2576" s="59"/>
      <c r="P2576" s="59"/>
      <c r="Q2576" s="59"/>
      <c r="R2576" s="60">
        <f>IF(AND(P2576="",Q2576=""),"",N(P2576)+N(Q2576))</f>
        <v/>
      </c>
      <c r="S2576" s="59"/>
      <c r="T2576" s="59"/>
      <c r="U2576" s="62">
        <f>IF(OR(R2576="",S2576="",T2576=""),"",IF(S2576+T2576=0,"",R2576/(S2576+T2576)))</f>
        <v/>
      </c>
      <c r="V2576" s="63"/>
      <c r="W2576" s="64"/>
      <c r="X2576" s="63"/>
    </row>
    <row r="2577" spans="2:24">
      <c r="B2577" s="58"/>
      <c r="C2577" s="59"/>
      <c r="D2577" s="59"/>
      <c r="E2577" s="59"/>
      <c r="F2577" s="59"/>
      <c r="G2577" s="60">
        <f>IF(OR(E2577="",F2577="",C2577="",D2577=""),"",IF(C2577+D2577=0,"",(E2577*C2577+F2577*D2577)/(C2577+D2577)))</f>
        <v/>
      </c>
      <c r="H2577" s="59"/>
      <c r="I2577" s="60">
        <f>IF(OR(H2577="",E2577="",C2577="",D2577=""),"",IF(C2577+D2577=0,"",(H2577*D2577+E2577*C2577)/(C2577+D2577)))</f>
        <v/>
      </c>
      <c r="J2577" s="59"/>
      <c r="K2577" s="61">
        <f>IF(OR(J2577="",I2577=""),"",J2577-I2577)</f>
        <v/>
      </c>
      <c r="L2577" s="61">
        <f>IF(OR(J2577="",G2577=""),"",J2577-G2577)</f>
        <v/>
      </c>
      <c r="M2577" s="59"/>
      <c r="N2577" s="59"/>
      <c r="O2577" s="59"/>
      <c r="P2577" s="59"/>
      <c r="Q2577" s="59"/>
      <c r="R2577" s="60">
        <f>IF(AND(P2577="",Q2577=""),"",N(P2577)+N(Q2577))</f>
        <v/>
      </c>
      <c r="S2577" s="59"/>
      <c r="T2577" s="59"/>
      <c r="U2577" s="62">
        <f>IF(OR(R2577="",S2577="",T2577=""),"",IF(S2577+T2577=0,"",R2577/(S2577+T2577)))</f>
        <v/>
      </c>
      <c r="V2577" s="63"/>
      <c r="W2577" s="64"/>
      <c r="X2577" s="63"/>
    </row>
    <row r="2578" spans="2:24">
      <c r="B2578" s="58"/>
      <c r="C2578" s="59"/>
      <c r="D2578" s="59"/>
      <c r="E2578" s="59"/>
      <c r="F2578" s="59"/>
      <c r="G2578" s="60">
        <f>IF(OR(E2578="",F2578="",C2578="",D2578=""),"",IF(C2578+D2578=0,"",(E2578*C2578+F2578*D2578)/(C2578+D2578)))</f>
        <v/>
      </c>
      <c r="H2578" s="59"/>
      <c r="I2578" s="60">
        <f>IF(OR(H2578="",E2578="",C2578="",D2578=""),"",IF(C2578+D2578=0,"",(H2578*D2578+E2578*C2578)/(C2578+D2578)))</f>
        <v/>
      </c>
      <c r="J2578" s="59"/>
      <c r="K2578" s="61">
        <f>IF(OR(J2578="",I2578=""),"",J2578-I2578)</f>
        <v/>
      </c>
      <c r="L2578" s="61">
        <f>IF(OR(J2578="",G2578=""),"",J2578-G2578)</f>
        <v/>
      </c>
      <c r="M2578" s="59"/>
      <c r="N2578" s="59"/>
      <c r="O2578" s="59"/>
      <c r="P2578" s="59"/>
      <c r="Q2578" s="59"/>
      <c r="R2578" s="60">
        <f>IF(AND(P2578="",Q2578=""),"",N(P2578)+N(Q2578))</f>
        <v/>
      </c>
      <c r="S2578" s="59"/>
      <c r="T2578" s="59"/>
      <c r="U2578" s="62">
        <f>IF(OR(R2578="",S2578="",T2578=""),"",IF(S2578+T2578=0,"",R2578/(S2578+T2578)))</f>
        <v/>
      </c>
      <c r="V2578" s="63"/>
      <c r="W2578" s="64"/>
      <c r="X2578" s="63"/>
    </row>
    <row r="2579" spans="2:24">
      <c r="B2579" s="58"/>
      <c r="C2579" s="59"/>
      <c r="D2579" s="59"/>
      <c r="E2579" s="59"/>
      <c r="F2579" s="59"/>
      <c r="G2579" s="60">
        <f>IF(OR(E2579="",F2579="",C2579="",D2579=""),"",IF(C2579+D2579=0,"",(E2579*C2579+F2579*D2579)/(C2579+D2579)))</f>
        <v/>
      </c>
      <c r="H2579" s="59"/>
      <c r="I2579" s="60">
        <f>IF(OR(H2579="",E2579="",C2579="",D2579=""),"",IF(C2579+D2579=0,"",(H2579*D2579+E2579*C2579)/(C2579+D2579)))</f>
        <v/>
      </c>
      <c r="J2579" s="59"/>
      <c r="K2579" s="61">
        <f>IF(OR(J2579="",I2579=""),"",J2579-I2579)</f>
        <v/>
      </c>
      <c r="L2579" s="61">
        <f>IF(OR(J2579="",G2579=""),"",J2579-G2579)</f>
        <v/>
      </c>
      <c r="M2579" s="59"/>
      <c r="N2579" s="59"/>
      <c r="O2579" s="59"/>
      <c r="P2579" s="59"/>
      <c r="Q2579" s="59"/>
      <c r="R2579" s="60">
        <f>IF(AND(P2579="",Q2579=""),"",N(P2579)+N(Q2579))</f>
        <v/>
      </c>
      <c r="S2579" s="59"/>
      <c r="T2579" s="59"/>
      <c r="U2579" s="62">
        <f>IF(OR(R2579="",S2579="",T2579=""),"",IF(S2579+T2579=0,"",R2579/(S2579+T2579)))</f>
        <v/>
      </c>
      <c r="V2579" s="63"/>
      <c r="W2579" s="64"/>
      <c r="X2579" s="63"/>
    </row>
    <row r="2580" spans="2:24">
      <c r="B2580" s="58"/>
      <c r="C2580" s="59"/>
      <c r="D2580" s="59"/>
      <c r="E2580" s="59"/>
      <c r="F2580" s="59"/>
      <c r="G2580" s="60">
        <f>IF(OR(E2580="",F2580="",C2580="",D2580=""),"",IF(C2580+D2580=0,"",(E2580*C2580+F2580*D2580)/(C2580+D2580)))</f>
        <v/>
      </c>
      <c r="H2580" s="59"/>
      <c r="I2580" s="60">
        <f>IF(OR(H2580="",E2580="",C2580="",D2580=""),"",IF(C2580+D2580=0,"",(H2580*D2580+E2580*C2580)/(C2580+D2580)))</f>
        <v/>
      </c>
      <c r="J2580" s="59"/>
      <c r="K2580" s="61">
        <f>IF(OR(J2580="",I2580=""),"",J2580-I2580)</f>
        <v/>
      </c>
      <c r="L2580" s="61">
        <f>IF(OR(J2580="",G2580=""),"",J2580-G2580)</f>
        <v/>
      </c>
      <c r="M2580" s="59"/>
      <c r="N2580" s="59"/>
      <c r="O2580" s="59"/>
      <c r="P2580" s="59"/>
      <c r="Q2580" s="59"/>
      <c r="R2580" s="60">
        <f>IF(AND(P2580="",Q2580=""),"",N(P2580)+N(Q2580))</f>
        <v/>
      </c>
      <c r="S2580" s="59"/>
      <c r="T2580" s="59"/>
      <c r="U2580" s="62">
        <f>IF(OR(R2580="",S2580="",T2580=""),"",IF(S2580+T2580=0,"",R2580/(S2580+T2580)))</f>
        <v/>
      </c>
      <c r="V2580" s="63"/>
      <c r="W2580" s="64"/>
      <c r="X2580" s="63"/>
    </row>
    <row r="2581" spans="2:24">
      <c r="B2581" s="58"/>
      <c r="C2581" s="59"/>
      <c r="D2581" s="59"/>
      <c r="E2581" s="59"/>
      <c r="F2581" s="59"/>
      <c r="G2581" s="60">
        <f>IF(OR(E2581="",F2581="",C2581="",D2581=""),"",IF(C2581+D2581=0,"",(E2581*C2581+F2581*D2581)/(C2581+D2581)))</f>
        <v/>
      </c>
      <c r="H2581" s="59"/>
      <c r="I2581" s="60">
        <f>IF(OR(H2581="",E2581="",C2581="",D2581=""),"",IF(C2581+D2581=0,"",(H2581*D2581+E2581*C2581)/(C2581+D2581)))</f>
        <v/>
      </c>
      <c r="J2581" s="59"/>
      <c r="K2581" s="61">
        <f>IF(OR(J2581="",I2581=""),"",J2581-I2581)</f>
        <v/>
      </c>
      <c r="L2581" s="61">
        <f>IF(OR(J2581="",G2581=""),"",J2581-G2581)</f>
        <v/>
      </c>
      <c r="M2581" s="59"/>
      <c r="N2581" s="59"/>
      <c r="O2581" s="59"/>
      <c r="P2581" s="59"/>
      <c r="Q2581" s="59"/>
      <c r="R2581" s="60">
        <f>IF(AND(P2581="",Q2581=""),"",N(P2581)+N(Q2581))</f>
        <v/>
      </c>
      <c r="S2581" s="59"/>
      <c r="T2581" s="59"/>
      <c r="U2581" s="62">
        <f>IF(OR(R2581="",S2581="",T2581=""),"",IF(S2581+T2581=0,"",R2581/(S2581+T2581)))</f>
        <v/>
      </c>
      <c r="V2581" s="63"/>
      <c r="W2581" s="64"/>
      <c r="X2581" s="63"/>
    </row>
    <row r="2582" spans="2:24">
      <c r="B2582" s="58"/>
      <c r="C2582" s="59"/>
      <c r="D2582" s="59"/>
      <c r="E2582" s="59"/>
      <c r="F2582" s="59"/>
      <c r="G2582" s="60">
        <f>IF(OR(E2582="",F2582="",C2582="",D2582=""),"",IF(C2582+D2582=0,"",(E2582*C2582+F2582*D2582)/(C2582+D2582)))</f>
        <v/>
      </c>
      <c r="H2582" s="59"/>
      <c r="I2582" s="60">
        <f>IF(OR(H2582="",E2582="",C2582="",D2582=""),"",IF(C2582+D2582=0,"",(H2582*D2582+E2582*C2582)/(C2582+D2582)))</f>
        <v/>
      </c>
      <c r="J2582" s="59"/>
      <c r="K2582" s="61">
        <f>IF(OR(J2582="",I2582=""),"",J2582-I2582)</f>
        <v/>
      </c>
      <c r="L2582" s="61">
        <f>IF(OR(J2582="",G2582=""),"",J2582-G2582)</f>
        <v/>
      </c>
      <c r="M2582" s="59"/>
      <c r="N2582" s="59"/>
      <c r="O2582" s="59"/>
      <c r="P2582" s="59"/>
      <c r="Q2582" s="59"/>
      <c r="R2582" s="60">
        <f>IF(AND(P2582="",Q2582=""),"",N(P2582)+N(Q2582))</f>
        <v/>
      </c>
      <c r="S2582" s="59"/>
      <c r="T2582" s="59"/>
      <c r="U2582" s="62">
        <f>IF(OR(R2582="",S2582="",T2582=""),"",IF(S2582+T2582=0,"",R2582/(S2582+T2582)))</f>
        <v/>
      </c>
      <c r="V2582" s="63"/>
      <c r="W2582" s="64"/>
      <c r="X2582" s="63"/>
    </row>
    <row r="2583" spans="2:24">
      <c r="B2583" s="58"/>
      <c r="C2583" s="59"/>
      <c r="D2583" s="59"/>
      <c r="E2583" s="59"/>
      <c r="F2583" s="59"/>
      <c r="G2583" s="60">
        <f>IF(OR(E2583="",F2583="",C2583="",D2583=""),"",IF(C2583+D2583=0,"",(E2583*C2583+F2583*D2583)/(C2583+D2583)))</f>
        <v/>
      </c>
      <c r="H2583" s="59"/>
      <c r="I2583" s="60">
        <f>IF(OR(H2583="",E2583="",C2583="",D2583=""),"",IF(C2583+D2583=0,"",(H2583*D2583+E2583*C2583)/(C2583+D2583)))</f>
        <v/>
      </c>
      <c r="J2583" s="59"/>
      <c r="K2583" s="61">
        <f>IF(OR(J2583="",I2583=""),"",J2583-I2583)</f>
        <v/>
      </c>
      <c r="L2583" s="61">
        <f>IF(OR(J2583="",G2583=""),"",J2583-G2583)</f>
        <v/>
      </c>
      <c r="M2583" s="59"/>
      <c r="N2583" s="59"/>
      <c r="O2583" s="59"/>
      <c r="P2583" s="59"/>
      <c r="Q2583" s="59"/>
      <c r="R2583" s="60">
        <f>IF(AND(P2583="",Q2583=""),"",N(P2583)+N(Q2583))</f>
        <v/>
      </c>
      <c r="S2583" s="59"/>
      <c r="T2583" s="59"/>
      <c r="U2583" s="62">
        <f>IF(OR(R2583="",S2583="",T2583=""),"",IF(S2583+T2583=0,"",R2583/(S2583+T2583)))</f>
        <v/>
      </c>
      <c r="V2583" s="63"/>
      <c r="W2583" s="64"/>
      <c r="X2583" s="63"/>
    </row>
    <row r="2584" spans="2:24">
      <c r="B2584" s="58"/>
      <c r="C2584" s="59"/>
      <c r="D2584" s="59"/>
      <c r="E2584" s="59"/>
      <c r="F2584" s="59"/>
      <c r="G2584" s="60">
        <f>IF(OR(E2584="",F2584="",C2584="",D2584=""),"",IF(C2584+D2584=0,"",(E2584*C2584+F2584*D2584)/(C2584+D2584)))</f>
        <v/>
      </c>
      <c r="H2584" s="59"/>
      <c r="I2584" s="60">
        <f>IF(OR(H2584="",E2584="",C2584="",D2584=""),"",IF(C2584+D2584=0,"",(H2584*D2584+E2584*C2584)/(C2584+D2584)))</f>
        <v/>
      </c>
      <c r="J2584" s="59"/>
      <c r="K2584" s="61">
        <f>IF(OR(J2584="",I2584=""),"",J2584-I2584)</f>
        <v/>
      </c>
      <c r="L2584" s="61">
        <f>IF(OR(J2584="",G2584=""),"",J2584-G2584)</f>
        <v/>
      </c>
      <c r="M2584" s="59"/>
      <c r="N2584" s="59"/>
      <c r="O2584" s="59"/>
      <c r="P2584" s="59"/>
      <c r="Q2584" s="59"/>
      <c r="R2584" s="60">
        <f>IF(AND(P2584="",Q2584=""),"",N(P2584)+N(Q2584))</f>
        <v/>
      </c>
      <c r="S2584" s="59"/>
      <c r="T2584" s="59"/>
      <c r="U2584" s="62">
        <f>IF(OR(R2584="",S2584="",T2584=""),"",IF(S2584+T2584=0,"",R2584/(S2584+T2584)))</f>
        <v/>
      </c>
      <c r="V2584" s="63"/>
      <c r="W2584" s="64"/>
      <c r="X2584" s="63"/>
    </row>
    <row r="2585" spans="2:24">
      <c r="B2585" s="58"/>
      <c r="C2585" s="59"/>
      <c r="D2585" s="59"/>
      <c r="E2585" s="59"/>
      <c r="F2585" s="59"/>
      <c r="G2585" s="60">
        <f>IF(OR(E2585="",F2585="",C2585="",D2585=""),"",IF(C2585+D2585=0,"",(E2585*C2585+F2585*D2585)/(C2585+D2585)))</f>
        <v/>
      </c>
      <c r="H2585" s="59"/>
      <c r="I2585" s="60">
        <f>IF(OR(H2585="",E2585="",C2585="",D2585=""),"",IF(C2585+D2585=0,"",(H2585*D2585+E2585*C2585)/(C2585+D2585)))</f>
        <v/>
      </c>
      <c r="J2585" s="59"/>
      <c r="K2585" s="61">
        <f>IF(OR(J2585="",I2585=""),"",J2585-I2585)</f>
        <v/>
      </c>
      <c r="L2585" s="61">
        <f>IF(OR(J2585="",G2585=""),"",J2585-G2585)</f>
        <v/>
      </c>
      <c r="M2585" s="59"/>
      <c r="N2585" s="59"/>
      <c r="O2585" s="59"/>
      <c r="P2585" s="59"/>
      <c r="Q2585" s="59"/>
      <c r="R2585" s="60">
        <f>IF(AND(P2585="",Q2585=""),"",N(P2585)+N(Q2585))</f>
        <v/>
      </c>
      <c r="S2585" s="59"/>
      <c r="T2585" s="59"/>
      <c r="U2585" s="62">
        <f>IF(OR(R2585="",S2585="",T2585=""),"",IF(S2585+T2585=0,"",R2585/(S2585+T2585)))</f>
        <v/>
      </c>
      <c r="V2585" s="63"/>
      <c r="W2585" s="64"/>
      <c r="X2585" s="63"/>
    </row>
    <row r="2586" spans="2:24">
      <c r="B2586" s="58"/>
      <c r="C2586" s="59"/>
      <c r="D2586" s="59"/>
      <c r="E2586" s="59"/>
      <c r="F2586" s="59"/>
      <c r="G2586" s="60">
        <f>IF(OR(E2586="",F2586="",C2586="",D2586=""),"",IF(C2586+D2586=0,"",(E2586*C2586+F2586*D2586)/(C2586+D2586)))</f>
        <v/>
      </c>
      <c r="H2586" s="59"/>
      <c r="I2586" s="60">
        <f>IF(OR(H2586="",E2586="",C2586="",D2586=""),"",IF(C2586+D2586=0,"",(H2586*D2586+E2586*C2586)/(C2586+D2586)))</f>
        <v/>
      </c>
      <c r="J2586" s="59"/>
      <c r="K2586" s="61">
        <f>IF(OR(J2586="",I2586=""),"",J2586-I2586)</f>
        <v/>
      </c>
      <c r="L2586" s="61">
        <f>IF(OR(J2586="",G2586=""),"",J2586-G2586)</f>
        <v/>
      </c>
      <c r="M2586" s="59"/>
      <c r="N2586" s="59"/>
      <c r="O2586" s="59"/>
      <c r="P2586" s="59"/>
      <c r="Q2586" s="59"/>
      <c r="R2586" s="60">
        <f>IF(AND(P2586="",Q2586=""),"",N(P2586)+N(Q2586))</f>
        <v/>
      </c>
      <c r="S2586" s="59"/>
      <c r="T2586" s="59"/>
      <c r="U2586" s="62">
        <f>IF(OR(R2586="",S2586="",T2586=""),"",IF(S2586+T2586=0,"",R2586/(S2586+T2586)))</f>
        <v/>
      </c>
      <c r="V2586" s="63"/>
      <c r="W2586" s="64"/>
      <c r="X2586" s="63"/>
    </row>
    <row r="2587" spans="2:24">
      <c r="B2587" s="58"/>
      <c r="C2587" s="59"/>
      <c r="D2587" s="59"/>
      <c r="E2587" s="59"/>
      <c r="F2587" s="59"/>
      <c r="G2587" s="60">
        <f>IF(OR(E2587="",F2587="",C2587="",D2587=""),"",IF(C2587+D2587=0,"",(E2587*C2587+F2587*D2587)/(C2587+D2587)))</f>
        <v/>
      </c>
      <c r="H2587" s="59"/>
      <c r="I2587" s="60">
        <f>IF(OR(H2587="",E2587="",C2587="",D2587=""),"",IF(C2587+D2587=0,"",(H2587*D2587+E2587*C2587)/(C2587+D2587)))</f>
        <v/>
      </c>
      <c r="J2587" s="59"/>
      <c r="K2587" s="61">
        <f>IF(OR(J2587="",I2587=""),"",J2587-I2587)</f>
        <v/>
      </c>
      <c r="L2587" s="61">
        <f>IF(OR(J2587="",G2587=""),"",J2587-G2587)</f>
        <v/>
      </c>
      <c r="M2587" s="59"/>
      <c r="N2587" s="59"/>
      <c r="O2587" s="59"/>
      <c r="P2587" s="59"/>
      <c r="Q2587" s="59"/>
      <c r="R2587" s="60">
        <f>IF(AND(P2587="",Q2587=""),"",N(P2587)+N(Q2587))</f>
        <v/>
      </c>
      <c r="S2587" s="59"/>
      <c r="T2587" s="59"/>
      <c r="U2587" s="62">
        <f>IF(OR(R2587="",S2587="",T2587=""),"",IF(S2587+T2587=0,"",R2587/(S2587+T2587)))</f>
        <v/>
      </c>
      <c r="V2587" s="63"/>
      <c r="W2587" s="64"/>
      <c r="X2587" s="63"/>
    </row>
    <row r="2588" spans="2:24">
      <c r="B2588" s="58"/>
      <c r="C2588" s="59"/>
      <c r="D2588" s="59"/>
      <c r="E2588" s="59"/>
      <c r="F2588" s="59"/>
      <c r="G2588" s="60">
        <f>IF(OR(E2588="",F2588="",C2588="",D2588=""),"",IF(C2588+D2588=0,"",(E2588*C2588+F2588*D2588)/(C2588+D2588)))</f>
        <v/>
      </c>
      <c r="H2588" s="59"/>
      <c r="I2588" s="60">
        <f>IF(OR(H2588="",E2588="",C2588="",D2588=""),"",IF(C2588+D2588=0,"",(H2588*D2588+E2588*C2588)/(C2588+D2588)))</f>
        <v/>
      </c>
      <c r="J2588" s="59"/>
      <c r="K2588" s="61">
        <f>IF(OR(J2588="",I2588=""),"",J2588-I2588)</f>
        <v/>
      </c>
      <c r="L2588" s="61">
        <f>IF(OR(J2588="",G2588=""),"",J2588-G2588)</f>
        <v/>
      </c>
      <c r="M2588" s="59"/>
      <c r="N2588" s="59"/>
      <c r="O2588" s="59"/>
      <c r="P2588" s="59"/>
      <c r="Q2588" s="59"/>
      <c r="R2588" s="60">
        <f>IF(AND(P2588="",Q2588=""),"",N(P2588)+N(Q2588))</f>
        <v/>
      </c>
      <c r="S2588" s="59"/>
      <c r="T2588" s="59"/>
      <c r="U2588" s="62">
        <f>IF(OR(R2588="",S2588="",T2588=""),"",IF(S2588+T2588=0,"",R2588/(S2588+T2588)))</f>
        <v/>
      </c>
      <c r="V2588" s="63"/>
      <c r="W2588" s="64"/>
      <c r="X2588" s="63"/>
    </row>
    <row r="2589" spans="2:24">
      <c r="B2589" s="58"/>
      <c r="C2589" s="59"/>
      <c r="D2589" s="59"/>
      <c r="E2589" s="59"/>
      <c r="F2589" s="59"/>
      <c r="G2589" s="60">
        <f>IF(OR(E2589="",F2589="",C2589="",D2589=""),"",IF(C2589+D2589=0,"",(E2589*C2589+F2589*D2589)/(C2589+D2589)))</f>
        <v/>
      </c>
      <c r="H2589" s="59"/>
      <c r="I2589" s="60">
        <f>IF(OR(H2589="",E2589="",C2589="",D2589=""),"",IF(C2589+D2589=0,"",(H2589*D2589+E2589*C2589)/(C2589+D2589)))</f>
        <v/>
      </c>
      <c r="J2589" s="59"/>
      <c r="K2589" s="61">
        <f>IF(OR(J2589="",I2589=""),"",J2589-I2589)</f>
        <v/>
      </c>
      <c r="L2589" s="61">
        <f>IF(OR(J2589="",G2589=""),"",J2589-G2589)</f>
        <v/>
      </c>
      <c r="M2589" s="59"/>
      <c r="N2589" s="59"/>
      <c r="O2589" s="59"/>
      <c r="P2589" s="59"/>
      <c r="Q2589" s="59"/>
      <c r="R2589" s="60">
        <f>IF(AND(P2589="",Q2589=""),"",N(P2589)+N(Q2589))</f>
        <v/>
      </c>
      <c r="S2589" s="59"/>
      <c r="T2589" s="59"/>
      <c r="U2589" s="62">
        <f>IF(OR(R2589="",S2589="",T2589=""),"",IF(S2589+T2589=0,"",R2589/(S2589+T2589)))</f>
        <v/>
      </c>
      <c r="V2589" s="63"/>
      <c r="W2589" s="64"/>
      <c r="X2589" s="63"/>
    </row>
    <row r="2590" spans="2:24">
      <c r="B2590" s="58"/>
      <c r="C2590" s="59"/>
      <c r="D2590" s="59"/>
      <c r="E2590" s="59"/>
      <c r="F2590" s="59"/>
      <c r="G2590" s="60">
        <f>IF(OR(E2590="",F2590="",C2590="",D2590=""),"",IF(C2590+D2590=0,"",(E2590*C2590+F2590*D2590)/(C2590+D2590)))</f>
        <v/>
      </c>
      <c r="H2590" s="59"/>
      <c r="I2590" s="60">
        <f>IF(OR(H2590="",E2590="",C2590="",D2590=""),"",IF(C2590+D2590=0,"",(H2590*D2590+E2590*C2590)/(C2590+D2590)))</f>
        <v/>
      </c>
      <c r="J2590" s="59"/>
      <c r="K2590" s="61">
        <f>IF(OR(J2590="",I2590=""),"",J2590-I2590)</f>
        <v/>
      </c>
      <c r="L2590" s="61">
        <f>IF(OR(J2590="",G2590=""),"",J2590-G2590)</f>
        <v/>
      </c>
      <c r="M2590" s="59"/>
      <c r="N2590" s="59"/>
      <c r="O2590" s="59"/>
      <c r="P2590" s="59"/>
      <c r="Q2590" s="59"/>
      <c r="R2590" s="60">
        <f>IF(AND(P2590="",Q2590=""),"",N(P2590)+N(Q2590))</f>
        <v/>
      </c>
      <c r="S2590" s="59"/>
      <c r="T2590" s="59"/>
      <c r="U2590" s="62">
        <f>IF(OR(R2590="",S2590="",T2590=""),"",IF(S2590+T2590=0,"",R2590/(S2590+T2590)))</f>
        <v/>
      </c>
      <c r="V2590" s="63"/>
      <c r="W2590" s="64"/>
      <c r="X2590" s="63"/>
    </row>
    <row r="2591" spans="2:24">
      <c r="B2591" s="58"/>
      <c r="C2591" s="59"/>
      <c r="D2591" s="59"/>
      <c r="E2591" s="59"/>
      <c r="F2591" s="59"/>
      <c r="G2591" s="60">
        <f>IF(OR(E2591="",F2591="",C2591="",D2591=""),"",IF(C2591+D2591=0,"",(E2591*C2591+F2591*D2591)/(C2591+D2591)))</f>
        <v/>
      </c>
      <c r="H2591" s="59"/>
      <c r="I2591" s="60">
        <f>IF(OR(H2591="",E2591="",C2591="",D2591=""),"",IF(C2591+D2591=0,"",(H2591*D2591+E2591*C2591)/(C2591+D2591)))</f>
        <v/>
      </c>
      <c r="J2591" s="59"/>
      <c r="K2591" s="61">
        <f>IF(OR(J2591="",I2591=""),"",J2591-I2591)</f>
        <v/>
      </c>
      <c r="L2591" s="61">
        <f>IF(OR(J2591="",G2591=""),"",J2591-G2591)</f>
        <v/>
      </c>
      <c r="M2591" s="59"/>
      <c r="N2591" s="59"/>
      <c r="O2591" s="59"/>
      <c r="P2591" s="59"/>
      <c r="Q2591" s="59"/>
      <c r="R2591" s="60">
        <f>IF(AND(P2591="",Q2591=""),"",N(P2591)+N(Q2591))</f>
        <v/>
      </c>
      <c r="S2591" s="59"/>
      <c r="T2591" s="59"/>
      <c r="U2591" s="62">
        <f>IF(OR(R2591="",S2591="",T2591=""),"",IF(S2591+T2591=0,"",R2591/(S2591+T2591)))</f>
        <v/>
      </c>
      <c r="V2591" s="63"/>
      <c r="W2591" s="64"/>
      <c r="X2591" s="63"/>
    </row>
    <row r="2592" spans="2:24">
      <c r="B2592" s="58"/>
      <c r="C2592" s="59"/>
      <c r="D2592" s="59"/>
      <c r="E2592" s="59"/>
      <c r="F2592" s="59"/>
      <c r="G2592" s="60">
        <f>IF(OR(E2592="",F2592="",C2592="",D2592=""),"",IF(C2592+D2592=0,"",(E2592*C2592+F2592*D2592)/(C2592+D2592)))</f>
        <v/>
      </c>
      <c r="H2592" s="59"/>
      <c r="I2592" s="60">
        <f>IF(OR(H2592="",E2592="",C2592="",D2592=""),"",IF(C2592+D2592=0,"",(H2592*D2592+E2592*C2592)/(C2592+D2592)))</f>
        <v/>
      </c>
      <c r="J2592" s="59"/>
      <c r="K2592" s="61">
        <f>IF(OR(J2592="",I2592=""),"",J2592-I2592)</f>
        <v/>
      </c>
      <c r="L2592" s="61">
        <f>IF(OR(J2592="",G2592=""),"",J2592-G2592)</f>
        <v/>
      </c>
      <c r="M2592" s="59"/>
      <c r="N2592" s="59"/>
      <c r="O2592" s="59"/>
      <c r="P2592" s="59"/>
      <c r="Q2592" s="59"/>
      <c r="R2592" s="60">
        <f>IF(AND(P2592="",Q2592=""),"",N(P2592)+N(Q2592))</f>
        <v/>
      </c>
      <c r="S2592" s="59"/>
      <c r="T2592" s="59"/>
      <c r="U2592" s="62">
        <f>IF(OR(R2592="",S2592="",T2592=""),"",IF(S2592+T2592=0,"",R2592/(S2592+T2592)))</f>
        <v/>
      </c>
      <c r="V2592" s="63"/>
      <c r="W2592" s="64"/>
      <c r="X2592" s="63"/>
    </row>
    <row r="2593" spans="2:24">
      <c r="B2593" s="58"/>
      <c r="C2593" s="59"/>
      <c r="D2593" s="59"/>
      <c r="E2593" s="59"/>
      <c r="F2593" s="59"/>
      <c r="G2593" s="60">
        <f>IF(OR(E2593="",F2593="",C2593="",D2593=""),"",IF(C2593+D2593=0,"",(E2593*C2593+F2593*D2593)/(C2593+D2593)))</f>
        <v/>
      </c>
      <c r="H2593" s="59"/>
      <c r="I2593" s="60">
        <f>IF(OR(H2593="",E2593="",C2593="",D2593=""),"",IF(C2593+D2593=0,"",(H2593*D2593+E2593*C2593)/(C2593+D2593)))</f>
        <v/>
      </c>
      <c r="J2593" s="59"/>
      <c r="K2593" s="61">
        <f>IF(OR(J2593="",I2593=""),"",J2593-I2593)</f>
        <v/>
      </c>
      <c r="L2593" s="61">
        <f>IF(OR(J2593="",G2593=""),"",J2593-G2593)</f>
        <v/>
      </c>
      <c r="M2593" s="59"/>
      <c r="N2593" s="59"/>
      <c r="O2593" s="59"/>
      <c r="P2593" s="59"/>
      <c r="Q2593" s="59"/>
      <c r="R2593" s="60">
        <f>IF(AND(P2593="",Q2593=""),"",N(P2593)+N(Q2593))</f>
        <v/>
      </c>
      <c r="S2593" s="59"/>
      <c r="T2593" s="59"/>
      <c r="U2593" s="62">
        <f>IF(OR(R2593="",S2593="",T2593=""),"",IF(S2593+T2593=0,"",R2593/(S2593+T2593)))</f>
        <v/>
      </c>
      <c r="V2593" s="63"/>
      <c r="W2593" s="64"/>
      <c r="X2593" s="63"/>
    </row>
    <row r="2594" spans="2:24">
      <c r="B2594" s="58"/>
      <c r="C2594" s="59"/>
      <c r="D2594" s="59"/>
      <c r="E2594" s="59"/>
      <c r="F2594" s="59"/>
      <c r="G2594" s="60">
        <f>IF(OR(E2594="",F2594="",C2594="",D2594=""),"",IF(C2594+D2594=0,"",(E2594*C2594+F2594*D2594)/(C2594+D2594)))</f>
        <v/>
      </c>
      <c r="H2594" s="59"/>
      <c r="I2594" s="60">
        <f>IF(OR(H2594="",E2594="",C2594="",D2594=""),"",IF(C2594+D2594=0,"",(H2594*D2594+E2594*C2594)/(C2594+D2594)))</f>
        <v/>
      </c>
      <c r="J2594" s="59"/>
      <c r="K2594" s="61">
        <f>IF(OR(J2594="",I2594=""),"",J2594-I2594)</f>
        <v/>
      </c>
      <c r="L2594" s="61">
        <f>IF(OR(J2594="",G2594=""),"",J2594-G2594)</f>
        <v/>
      </c>
      <c r="M2594" s="59"/>
      <c r="N2594" s="59"/>
      <c r="O2594" s="59"/>
      <c r="P2594" s="59"/>
      <c r="Q2594" s="59"/>
      <c r="R2594" s="60">
        <f>IF(AND(P2594="",Q2594=""),"",N(P2594)+N(Q2594))</f>
        <v/>
      </c>
      <c r="S2594" s="59"/>
      <c r="T2594" s="59"/>
      <c r="U2594" s="62">
        <f>IF(OR(R2594="",S2594="",T2594=""),"",IF(S2594+T2594=0,"",R2594/(S2594+T2594)))</f>
        <v/>
      </c>
      <c r="V2594" s="63"/>
      <c r="W2594" s="64"/>
      <c r="X2594" s="63"/>
    </row>
    <row r="2595" spans="2:24">
      <c r="B2595" s="58"/>
      <c r="C2595" s="59"/>
      <c r="D2595" s="59"/>
      <c r="E2595" s="59"/>
      <c r="F2595" s="59"/>
      <c r="G2595" s="60">
        <f>IF(OR(E2595="",F2595="",C2595="",D2595=""),"",IF(C2595+D2595=0,"",(E2595*C2595+F2595*D2595)/(C2595+D2595)))</f>
        <v/>
      </c>
      <c r="H2595" s="59"/>
      <c r="I2595" s="60">
        <f>IF(OR(H2595="",E2595="",C2595="",D2595=""),"",IF(C2595+D2595=0,"",(H2595*D2595+E2595*C2595)/(C2595+D2595)))</f>
        <v/>
      </c>
      <c r="J2595" s="59"/>
      <c r="K2595" s="61">
        <f>IF(OR(J2595="",I2595=""),"",J2595-I2595)</f>
        <v/>
      </c>
      <c r="L2595" s="61">
        <f>IF(OR(J2595="",G2595=""),"",J2595-G2595)</f>
        <v/>
      </c>
      <c r="M2595" s="59"/>
      <c r="N2595" s="59"/>
      <c r="O2595" s="59"/>
      <c r="P2595" s="59"/>
      <c r="Q2595" s="59"/>
      <c r="R2595" s="60">
        <f>IF(AND(P2595="",Q2595=""),"",N(P2595)+N(Q2595))</f>
        <v/>
      </c>
      <c r="S2595" s="59"/>
      <c r="T2595" s="59"/>
      <c r="U2595" s="62">
        <f>IF(OR(R2595="",S2595="",T2595=""),"",IF(S2595+T2595=0,"",R2595/(S2595+T2595)))</f>
        <v/>
      </c>
      <c r="V2595" s="63"/>
      <c r="W2595" s="64"/>
      <c r="X2595" s="63"/>
    </row>
    <row r="2596" spans="2:24">
      <c r="B2596" s="58"/>
      <c r="C2596" s="59"/>
      <c r="D2596" s="59"/>
      <c r="E2596" s="59"/>
      <c r="F2596" s="59"/>
      <c r="G2596" s="60">
        <f>IF(OR(E2596="",F2596="",C2596="",D2596=""),"",IF(C2596+D2596=0,"",(E2596*C2596+F2596*D2596)/(C2596+D2596)))</f>
        <v/>
      </c>
      <c r="H2596" s="59"/>
      <c r="I2596" s="60">
        <f>IF(OR(H2596="",E2596="",C2596="",D2596=""),"",IF(C2596+D2596=0,"",(H2596*D2596+E2596*C2596)/(C2596+D2596)))</f>
        <v/>
      </c>
      <c r="J2596" s="59"/>
      <c r="K2596" s="61">
        <f>IF(OR(J2596="",I2596=""),"",J2596-I2596)</f>
        <v/>
      </c>
      <c r="L2596" s="61">
        <f>IF(OR(J2596="",G2596=""),"",J2596-G2596)</f>
        <v/>
      </c>
      <c r="M2596" s="59"/>
      <c r="N2596" s="59"/>
      <c r="O2596" s="59"/>
      <c r="P2596" s="59"/>
      <c r="Q2596" s="59"/>
      <c r="R2596" s="60">
        <f>IF(AND(P2596="",Q2596=""),"",N(P2596)+N(Q2596))</f>
        <v/>
      </c>
      <c r="S2596" s="59"/>
      <c r="T2596" s="59"/>
      <c r="U2596" s="62">
        <f>IF(OR(R2596="",S2596="",T2596=""),"",IF(S2596+T2596=0,"",R2596/(S2596+T2596)))</f>
        <v/>
      </c>
      <c r="V2596" s="63"/>
      <c r="W2596" s="64"/>
      <c r="X2596" s="63"/>
    </row>
    <row r="2597" spans="2:24">
      <c r="B2597" s="58"/>
      <c r="C2597" s="59"/>
      <c r="D2597" s="59"/>
      <c r="E2597" s="59"/>
      <c r="F2597" s="59"/>
      <c r="G2597" s="60">
        <f>IF(OR(E2597="",F2597="",C2597="",D2597=""),"",IF(C2597+D2597=0,"",(E2597*C2597+F2597*D2597)/(C2597+D2597)))</f>
        <v/>
      </c>
      <c r="H2597" s="59"/>
      <c r="I2597" s="60">
        <f>IF(OR(H2597="",E2597="",C2597="",D2597=""),"",IF(C2597+D2597=0,"",(H2597*D2597+E2597*C2597)/(C2597+D2597)))</f>
        <v/>
      </c>
      <c r="J2597" s="59"/>
      <c r="K2597" s="61">
        <f>IF(OR(J2597="",I2597=""),"",J2597-I2597)</f>
        <v/>
      </c>
      <c r="L2597" s="61">
        <f>IF(OR(J2597="",G2597=""),"",J2597-G2597)</f>
        <v/>
      </c>
      <c r="M2597" s="59"/>
      <c r="N2597" s="59"/>
      <c r="O2597" s="59"/>
      <c r="P2597" s="59"/>
      <c r="Q2597" s="59"/>
      <c r="R2597" s="60">
        <f>IF(AND(P2597="",Q2597=""),"",N(P2597)+N(Q2597))</f>
        <v/>
      </c>
      <c r="S2597" s="59"/>
      <c r="T2597" s="59"/>
      <c r="U2597" s="62">
        <f>IF(OR(R2597="",S2597="",T2597=""),"",IF(S2597+T2597=0,"",R2597/(S2597+T2597)))</f>
        <v/>
      </c>
      <c r="V2597" s="63"/>
      <c r="W2597" s="64"/>
      <c r="X2597" s="63"/>
    </row>
    <row r="2598" spans="2:24">
      <c r="B2598" s="58"/>
      <c r="C2598" s="59"/>
      <c r="D2598" s="59"/>
      <c r="E2598" s="59"/>
      <c r="F2598" s="59"/>
      <c r="G2598" s="60">
        <f>IF(OR(E2598="",F2598="",C2598="",D2598=""),"",IF(C2598+D2598=0,"",(E2598*C2598+F2598*D2598)/(C2598+D2598)))</f>
        <v/>
      </c>
      <c r="H2598" s="59"/>
      <c r="I2598" s="60">
        <f>IF(OR(H2598="",E2598="",C2598="",D2598=""),"",IF(C2598+D2598=0,"",(H2598*D2598+E2598*C2598)/(C2598+D2598)))</f>
        <v/>
      </c>
      <c r="J2598" s="59"/>
      <c r="K2598" s="61">
        <f>IF(OR(J2598="",I2598=""),"",J2598-I2598)</f>
        <v/>
      </c>
      <c r="L2598" s="61">
        <f>IF(OR(J2598="",G2598=""),"",J2598-G2598)</f>
        <v/>
      </c>
      <c r="M2598" s="59"/>
      <c r="N2598" s="59"/>
      <c r="O2598" s="59"/>
      <c r="P2598" s="59"/>
      <c r="Q2598" s="59"/>
      <c r="R2598" s="60">
        <f>IF(AND(P2598="",Q2598=""),"",N(P2598)+N(Q2598))</f>
        <v/>
      </c>
      <c r="S2598" s="59"/>
      <c r="T2598" s="59"/>
      <c r="U2598" s="62">
        <f>IF(OR(R2598="",S2598="",T2598=""),"",IF(S2598+T2598=0,"",R2598/(S2598+T2598)))</f>
        <v/>
      </c>
      <c r="V2598" s="63"/>
      <c r="W2598" s="64"/>
      <c r="X2598" s="63"/>
    </row>
    <row r="2599" spans="2:24">
      <c r="B2599" s="58"/>
      <c r="C2599" s="59"/>
      <c r="D2599" s="59"/>
      <c r="E2599" s="59"/>
      <c r="F2599" s="59"/>
      <c r="G2599" s="60">
        <f>IF(OR(E2599="",F2599="",C2599="",D2599=""),"",IF(C2599+D2599=0,"",(E2599*C2599+F2599*D2599)/(C2599+D2599)))</f>
        <v/>
      </c>
      <c r="H2599" s="59"/>
      <c r="I2599" s="60">
        <f>IF(OR(H2599="",E2599="",C2599="",D2599=""),"",IF(C2599+D2599=0,"",(H2599*D2599+E2599*C2599)/(C2599+D2599)))</f>
        <v/>
      </c>
      <c r="J2599" s="59"/>
      <c r="K2599" s="61">
        <f>IF(OR(J2599="",I2599=""),"",J2599-I2599)</f>
        <v/>
      </c>
      <c r="L2599" s="61">
        <f>IF(OR(J2599="",G2599=""),"",J2599-G2599)</f>
        <v/>
      </c>
      <c r="M2599" s="59"/>
      <c r="N2599" s="59"/>
      <c r="O2599" s="59"/>
      <c r="P2599" s="59"/>
      <c r="Q2599" s="59"/>
      <c r="R2599" s="60">
        <f>IF(AND(P2599="",Q2599=""),"",N(P2599)+N(Q2599))</f>
        <v/>
      </c>
      <c r="S2599" s="59"/>
      <c r="T2599" s="59"/>
      <c r="U2599" s="62">
        <f>IF(OR(R2599="",S2599="",T2599=""),"",IF(S2599+T2599=0,"",R2599/(S2599+T2599)))</f>
        <v/>
      </c>
      <c r="V2599" s="63"/>
      <c r="W2599" s="64"/>
      <c r="X2599" s="63"/>
    </row>
    <row r="2600" spans="2:24">
      <c r="B2600" s="58"/>
      <c r="C2600" s="59"/>
      <c r="D2600" s="59"/>
      <c r="E2600" s="59"/>
      <c r="F2600" s="59"/>
      <c r="G2600" s="60">
        <f>IF(OR(E2600="",F2600="",C2600="",D2600=""),"",IF(C2600+D2600=0,"",(E2600*C2600+F2600*D2600)/(C2600+D2600)))</f>
        <v/>
      </c>
      <c r="H2600" s="59"/>
      <c r="I2600" s="60">
        <f>IF(OR(H2600="",E2600="",C2600="",D2600=""),"",IF(C2600+D2600=0,"",(H2600*D2600+E2600*C2600)/(C2600+D2600)))</f>
        <v/>
      </c>
      <c r="J2600" s="59"/>
      <c r="K2600" s="61">
        <f>IF(OR(J2600="",I2600=""),"",J2600-I2600)</f>
        <v/>
      </c>
      <c r="L2600" s="61">
        <f>IF(OR(J2600="",G2600=""),"",J2600-G2600)</f>
        <v/>
      </c>
      <c r="M2600" s="59"/>
      <c r="N2600" s="59"/>
      <c r="O2600" s="59"/>
      <c r="P2600" s="59"/>
      <c r="Q2600" s="59"/>
      <c r="R2600" s="60">
        <f>IF(AND(P2600="",Q2600=""),"",N(P2600)+N(Q2600))</f>
        <v/>
      </c>
      <c r="S2600" s="59"/>
      <c r="T2600" s="59"/>
      <c r="U2600" s="62">
        <f>IF(OR(R2600="",S2600="",T2600=""),"",IF(S2600+T2600=0,"",R2600/(S2600+T2600)))</f>
        <v/>
      </c>
      <c r="V2600" s="63"/>
      <c r="W2600" s="64"/>
      <c r="X2600" s="63"/>
    </row>
    <row r="2601" spans="2:24">
      <c r="B2601" s="58"/>
      <c r="C2601" s="59"/>
      <c r="D2601" s="59"/>
      <c r="E2601" s="59"/>
      <c r="F2601" s="59"/>
      <c r="G2601" s="60">
        <f>IF(OR(E2601="",F2601="",C2601="",D2601=""),"",IF(C2601+D2601=0,"",(E2601*C2601+F2601*D2601)/(C2601+D2601)))</f>
        <v/>
      </c>
      <c r="H2601" s="59"/>
      <c r="I2601" s="60">
        <f>IF(OR(H2601="",E2601="",C2601="",D2601=""),"",IF(C2601+D2601=0,"",(H2601*D2601+E2601*C2601)/(C2601+D2601)))</f>
        <v/>
      </c>
      <c r="J2601" s="59"/>
      <c r="K2601" s="61">
        <f>IF(OR(J2601="",I2601=""),"",J2601-I2601)</f>
        <v/>
      </c>
      <c r="L2601" s="61">
        <f>IF(OR(J2601="",G2601=""),"",J2601-G2601)</f>
        <v/>
      </c>
      <c r="M2601" s="59"/>
      <c r="N2601" s="59"/>
      <c r="O2601" s="59"/>
      <c r="P2601" s="59"/>
      <c r="Q2601" s="59"/>
      <c r="R2601" s="60">
        <f>IF(AND(P2601="",Q2601=""),"",N(P2601)+N(Q2601))</f>
        <v/>
      </c>
      <c r="S2601" s="59"/>
      <c r="T2601" s="59"/>
      <c r="U2601" s="62">
        <f>IF(OR(R2601="",S2601="",T2601=""),"",IF(S2601+T2601=0,"",R2601/(S2601+T2601)))</f>
        <v/>
      </c>
      <c r="V2601" s="63"/>
      <c r="W2601" s="64"/>
      <c r="X2601" s="63"/>
    </row>
    <row r="2602" spans="2:24">
      <c r="B2602" s="58"/>
      <c r="C2602" s="59"/>
      <c r="D2602" s="59"/>
      <c r="E2602" s="59"/>
      <c r="F2602" s="59"/>
      <c r="G2602" s="60">
        <f>IF(OR(E2602="",F2602="",C2602="",D2602=""),"",IF(C2602+D2602=0,"",(E2602*C2602+F2602*D2602)/(C2602+D2602)))</f>
        <v/>
      </c>
      <c r="H2602" s="59"/>
      <c r="I2602" s="60">
        <f>IF(OR(H2602="",E2602="",C2602="",D2602=""),"",IF(C2602+D2602=0,"",(H2602*D2602+E2602*C2602)/(C2602+D2602)))</f>
        <v/>
      </c>
      <c r="J2602" s="59"/>
      <c r="K2602" s="61">
        <f>IF(OR(J2602="",I2602=""),"",J2602-I2602)</f>
        <v/>
      </c>
      <c r="L2602" s="61">
        <f>IF(OR(J2602="",G2602=""),"",J2602-G2602)</f>
        <v/>
      </c>
      <c r="M2602" s="59"/>
      <c r="N2602" s="59"/>
      <c r="O2602" s="59"/>
      <c r="P2602" s="59"/>
      <c r="Q2602" s="59"/>
      <c r="R2602" s="60">
        <f>IF(AND(P2602="",Q2602=""),"",N(P2602)+N(Q2602))</f>
        <v/>
      </c>
      <c r="S2602" s="59"/>
      <c r="T2602" s="59"/>
      <c r="U2602" s="62">
        <f>IF(OR(R2602="",S2602="",T2602=""),"",IF(S2602+T2602=0,"",R2602/(S2602+T2602)))</f>
        <v/>
      </c>
      <c r="V2602" s="63"/>
      <c r="W2602" s="64"/>
      <c r="X2602" s="63"/>
    </row>
    <row r="2603" spans="2:24">
      <c r="B2603" s="58"/>
      <c r="C2603" s="59"/>
      <c r="D2603" s="59"/>
      <c r="E2603" s="59"/>
      <c r="F2603" s="59"/>
      <c r="G2603" s="60">
        <f>IF(OR(E2603="",F2603="",C2603="",D2603=""),"",IF(C2603+D2603=0,"",(E2603*C2603+F2603*D2603)/(C2603+D2603)))</f>
        <v/>
      </c>
      <c r="H2603" s="59"/>
      <c r="I2603" s="60">
        <f>IF(OR(H2603="",E2603="",C2603="",D2603=""),"",IF(C2603+D2603=0,"",(H2603*D2603+E2603*C2603)/(C2603+D2603)))</f>
        <v/>
      </c>
      <c r="J2603" s="59"/>
      <c r="K2603" s="61">
        <f>IF(OR(J2603="",I2603=""),"",J2603-I2603)</f>
        <v/>
      </c>
      <c r="L2603" s="61">
        <f>IF(OR(J2603="",G2603=""),"",J2603-G2603)</f>
        <v/>
      </c>
      <c r="M2603" s="59"/>
      <c r="N2603" s="59"/>
      <c r="O2603" s="59"/>
      <c r="P2603" s="59"/>
      <c r="Q2603" s="59"/>
      <c r="R2603" s="60">
        <f>IF(AND(P2603="",Q2603=""),"",N(P2603)+N(Q2603))</f>
        <v/>
      </c>
      <c r="S2603" s="59"/>
      <c r="T2603" s="59"/>
      <c r="U2603" s="62">
        <f>IF(OR(R2603="",S2603="",T2603=""),"",IF(S2603+T2603=0,"",R2603/(S2603+T2603)))</f>
        <v/>
      </c>
      <c r="V2603" s="63"/>
      <c r="W2603" s="64"/>
      <c r="X2603" s="63"/>
    </row>
    <row r="2604" spans="2:24">
      <c r="B2604" s="58"/>
      <c r="C2604" s="59"/>
      <c r="D2604" s="59"/>
      <c r="E2604" s="59"/>
      <c r="F2604" s="59"/>
      <c r="G2604" s="60">
        <f>IF(OR(E2604="",F2604="",C2604="",D2604=""),"",IF(C2604+D2604=0,"",(E2604*C2604+F2604*D2604)/(C2604+D2604)))</f>
        <v/>
      </c>
      <c r="H2604" s="59"/>
      <c r="I2604" s="60">
        <f>IF(OR(H2604="",E2604="",C2604="",D2604=""),"",IF(C2604+D2604=0,"",(H2604*D2604+E2604*C2604)/(C2604+D2604)))</f>
        <v/>
      </c>
      <c r="J2604" s="59"/>
      <c r="K2604" s="61">
        <f>IF(OR(J2604="",I2604=""),"",J2604-I2604)</f>
        <v/>
      </c>
      <c r="L2604" s="61">
        <f>IF(OR(J2604="",G2604=""),"",J2604-G2604)</f>
        <v/>
      </c>
      <c r="M2604" s="59"/>
      <c r="N2604" s="59"/>
      <c r="O2604" s="59"/>
      <c r="P2604" s="59"/>
      <c r="Q2604" s="59"/>
      <c r="R2604" s="60">
        <f>IF(AND(P2604="",Q2604=""),"",N(P2604)+N(Q2604))</f>
        <v/>
      </c>
      <c r="S2604" s="59"/>
      <c r="T2604" s="59"/>
      <c r="U2604" s="62">
        <f>IF(OR(R2604="",S2604="",T2604=""),"",IF(S2604+T2604=0,"",R2604/(S2604+T2604)))</f>
        <v/>
      </c>
      <c r="V2604" s="63"/>
      <c r="W2604" s="64"/>
      <c r="X2604" s="63"/>
    </row>
    <row r="2605" spans="2:24">
      <c r="B2605" s="58"/>
      <c r="C2605" s="59"/>
      <c r="D2605" s="59"/>
      <c r="E2605" s="59"/>
      <c r="F2605" s="59"/>
      <c r="G2605" s="60">
        <f>IF(OR(E2605="",F2605="",C2605="",D2605=""),"",IF(C2605+D2605=0,"",(E2605*C2605+F2605*D2605)/(C2605+D2605)))</f>
        <v/>
      </c>
      <c r="H2605" s="59"/>
      <c r="I2605" s="60">
        <f>IF(OR(H2605="",E2605="",C2605="",D2605=""),"",IF(C2605+D2605=0,"",(H2605*D2605+E2605*C2605)/(C2605+D2605)))</f>
        <v/>
      </c>
      <c r="J2605" s="59"/>
      <c r="K2605" s="61">
        <f>IF(OR(J2605="",I2605=""),"",J2605-I2605)</f>
        <v/>
      </c>
      <c r="L2605" s="61">
        <f>IF(OR(J2605="",G2605=""),"",J2605-G2605)</f>
        <v/>
      </c>
      <c r="M2605" s="59"/>
      <c r="N2605" s="59"/>
      <c r="O2605" s="59"/>
      <c r="P2605" s="59"/>
      <c r="Q2605" s="59"/>
      <c r="R2605" s="60">
        <f>IF(AND(P2605="",Q2605=""),"",N(P2605)+N(Q2605))</f>
        <v/>
      </c>
      <c r="S2605" s="59"/>
      <c r="T2605" s="59"/>
      <c r="U2605" s="62">
        <f>IF(OR(R2605="",S2605="",T2605=""),"",IF(S2605+T2605=0,"",R2605/(S2605+T2605)))</f>
        <v/>
      </c>
      <c r="V2605" s="63"/>
      <c r="W2605" s="64"/>
      <c r="X2605" s="63"/>
    </row>
    <row r="2606" spans="2:24">
      <c r="B2606" s="58"/>
      <c r="C2606" s="59"/>
      <c r="D2606" s="59"/>
      <c r="E2606" s="59"/>
      <c r="F2606" s="59"/>
      <c r="G2606" s="60">
        <f>IF(OR(E2606="",F2606="",C2606="",D2606=""),"",IF(C2606+D2606=0,"",(E2606*C2606+F2606*D2606)/(C2606+D2606)))</f>
        <v/>
      </c>
      <c r="H2606" s="59"/>
      <c r="I2606" s="60">
        <f>IF(OR(H2606="",E2606="",C2606="",D2606=""),"",IF(C2606+D2606=0,"",(H2606*D2606+E2606*C2606)/(C2606+D2606)))</f>
        <v/>
      </c>
      <c r="J2606" s="59"/>
      <c r="K2606" s="61">
        <f>IF(OR(J2606="",I2606=""),"",J2606-I2606)</f>
        <v/>
      </c>
      <c r="L2606" s="61">
        <f>IF(OR(J2606="",G2606=""),"",J2606-G2606)</f>
        <v/>
      </c>
      <c r="M2606" s="59"/>
      <c r="N2606" s="59"/>
      <c r="O2606" s="59"/>
      <c r="P2606" s="59"/>
      <c r="Q2606" s="59"/>
      <c r="R2606" s="60">
        <f>IF(AND(P2606="",Q2606=""),"",N(P2606)+N(Q2606))</f>
        <v/>
      </c>
      <c r="S2606" s="59"/>
      <c r="T2606" s="59"/>
      <c r="U2606" s="62">
        <f>IF(OR(R2606="",S2606="",T2606=""),"",IF(S2606+T2606=0,"",R2606/(S2606+T2606)))</f>
        <v/>
      </c>
      <c r="V2606" s="63"/>
      <c r="W2606" s="64"/>
      <c r="X2606" s="63"/>
    </row>
    <row r="2607" spans="2:24">
      <c r="B2607" s="58"/>
      <c r="C2607" s="59"/>
      <c r="D2607" s="59"/>
      <c r="E2607" s="59"/>
      <c r="F2607" s="59"/>
      <c r="G2607" s="60">
        <f>IF(OR(E2607="",F2607="",C2607="",D2607=""),"",IF(C2607+D2607=0,"",(E2607*C2607+F2607*D2607)/(C2607+D2607)))</f>
        <v/>
      </c>
      <c r="H2607" s="59"/>
      <c r="I2607" s="60">
        <f>IF(OR(H2607="",E2607="",C2607="",D2607=""),"",IF(C2607+D2607=0,"",(H2607*D2607+E2607*C2607)/(C2607+D2607)))</f>
        <v/>
      </c>
      <c r="J2607" s="59"/>
      <c r="K2607" s="61">
        <f>IF(OR(J2607="",I2607=""),"",J2607-I2607)</f>
        <v/>
      </c>
      <c r="L2607" s="61">
        <f>IF(OR(J2607="",G2607=""),"",J2607-G2607)</f>
        <v/>
      </c>
      <c r="M2607" s="59"/>
      <c r="N2607" s="59"/>
      <c r="O2607" s="59"/>
      <c r="P2607" s="59"/>
      <c r="Q2607" s="59"/>
      <c r="R2607" s="60">
        <f>IF(AND(P2607="",Q2607=""),"",N(P2607)+N(Q2607))</f>
        <v/>
      </c>
      <c r="S2607" s="59"/>
      <c r="T2607" s="59"/>
      <c r="U2607" s="62">
        <f>IF(OR(R2607="",S2607="",T2607=""),"",IF(S2607+T2607=0,"",R2607/(S2607+T2607)))</f>
        <v/>
      </c>
      <c r="V2607" s="63"/>
      <c r="W2607" s="64"/>
      <c r="X2607" s="63"/>
    </row>
    <row r="2608" spans="2:24">
      <c r="B2608" s="58"/>
      <c r="C2608" s="59"/>
      <c r="D2608" s="59"/>
      <c r="E2608" s="59"/>
      <c r="F2608" s="59"/>
      <c r="G2608" s="60">
        <f>IF(OR(E2608="",F2608="",C2608="",D2608=""),"",IF(C2608+D2608=0,"",(E2608*C2608+F2608*D2608)/(C2608+D2608)))</f>
        <v/>
      </c>
      <c r="H2608" s="59"/>
      <c r="I2608" s="60">
        <f>IF(OR(H2608="",E2608="",C2608="",D2608=""),"",IF(C2608+D2608=0,"",(H2608*D2608+E2608*C2608)/(C2608+D2608)))</f>
        <v/>
      </c>
      <c r="J2608" s="59"/>
      <c r="K2608" s="61">
        <f>IF(OR(J2608="",I2608=""),"",J2608-I2608)</f>
        <v/>
      </c>
      <c r="L2608" s="61">
        <f>IF(OR(J2608="",G2608=""),"",J2608-G2608)</f>
        <v/>
      </c>
      <c r="M2608" s="59"/>
      <c r="N2608" s="59"/>
      <c r="O2608" s="59"/>
      <c r="P2608" s="59"/>
      <c r="Q2608" s="59"/>
      <c r="R2608" s="60">
        <f>IF(AND(P2608="",Q2608=""),"",N(P2608)+N(Q2608))</f>
        <v/>
      </c>
      <c r="S2608" s="59"/>
      <c r="T2608" s="59"/>
      <c r="U2608" s="62">
        <f>IF(OR(R2608="",S2608="",T2608=""),"",IF(S2608+T2608=0,"",R2608/(S2608+T2608)))</f>
        <v/>
      </c>
      <c r="V2608" s="63"/>
      <c r="W2608" s="64"/>
      <c r="X2608" s="63"/>
    </row>
    <row r="2609" spans="2:24">
      <c r="B2609" s="58"/>
      <c r="C2609" s="59"/>
      <c r="D2609" s="59"/>
      <c r="E2609" s="59"/>
      <c r="F2609" s="59"/>
      <c r="G2609" s="60">
        <f>IF(OR(E2609="",F2609="",C2609="",D2609=""),"",IF(C2609+D2609=0,"",(E2609*C2609+F2609*D2609)/(C2609+D2609)))</f>
        <v/>
      </c>
      <c r="H2609" s="59"/>
      <c r="I2609" s="60">
        <f>IF(OR(H2609="",E2609="",C2609="",D2609=""),"",IF(C2609+D2609=0,"",(H2609*D2609+E2609*C2609)/(C2609+D2609)))</f>
        <v/>
      </c>
      <c r="J2609" s="59"/>
      <c r="K2609" s="61">
        <f>IF(OR(J2609="",I2609=""),"",J2609-I2609)</f>
        <v/>
      </c>
      <c r="L2609" s="61">
        <f>IF(OR(J2609="",G2609=""),"",J2609-G2609)</f>
        <v/>
      </c>
      <c r="M2609" s="59"/>
      <c r="N2609" s="59"/>
      <c r="O2609" s="59"/>
      <c r="P2609" s="59"/>
      <c r="Q2609" s="59"/>
      <c r="R2609" s="60">
        <f>IF(AND(P2609="",Q2609=""),"",N(P2609)+N(Q2609))</f>
        <v/>
      </c>
      <c r="S2609" s="59"/>
      <c r="T2609" s="59"/>
      <c r="U2609" s="62">
        <f>IF(OR(R2609="",S2609="",T2609=""),"",IF(S2609+T2609=0,"",R2609/(S2609+T2609)))</f>
        <v/>
      </c>
      <c r="V2609" s="63"/>
      <c r="W2609" s="64"/>
      <c r="X2609" s="63"/>
    </row>
    <row r="2610" spans="2:24">
      <c r="B2610" s="58"/>
      <c r="C2610" s="59"/>
      <c r="D2610" s="59"/>
      <c r="E2610" s="59"/>
      <c r="F2610" s="59"/>
      <c r="G2610" s="60">
        <f>IF(OR(E2610="",F2610="",C2610="",D2610=""),"",IF(C2610+D2610=0,"",(E2610*C2610+F2610*D2610)/(C2610+D2610)))</f>
        <v/>
      </c>
      <c r="H2610" s="59"/>
      <c r="I2610" s="60">
        <f>IF(OR(H2610="",E2610="",C2610="",D2610=""),"",IF(C2610+D2610=0,"",(H2610*D2610+E2610*C2610)/(C2610+D2610)))</f>
        <v/>
      </c>
      <c r="J2610" s="59"/>
      <c r="K2610" s="61">
        <f>IF(OR(J2610="",I2610=""),"",J2610-I2610)</f>
        <v/>
      </c>
      <c r="L2610" s="61">
        <f>IF(OR(J2610="",G2610=""),"",J2610-G2610)</f>
        <v/>
      </c>
      <c r="M2610" s="59"/>
      <c r="N2610" s="59"/>
      <c r="O2610" s="59"/>
      <c r="P2610" s="59"/>
      <c r="Q2610" s="59"/>
      <c r="R2610" s="60">
        <f>IF(AND(P2610="",Q2610=""),"",N(P2610)+N(Q2610))</f>
        <v/>
      </c>
      <c r="S2610" s="59"/>
      <c r="T2610" s="59"/>
      <c r="U2610" s="62">
        <f>IF(OR(R2610="",S2610="",T2610=""),"",IF(S2610+T2610=0,"",R2610/(S2610+T2610)))</f>
        <v/>
      </c>
      <c r="V2610" s="63"/>
      <c r="W2610" s="64"/>
      <c r="X2610" s="63"/>
    </row>
    <row r="2611" spans="2:24">
      <c r="B2611" s="58"/>
      <c r="C2611" s="59"/>
      <c r="D2611" s="59"/>
      <c r="E2611" s="59"/>
      <c r="F2611" s="59"/>
      <c r="G2611" s="60">
        <f>IF(OR(E2611="",F2611="",C2611="",D2611=""),"",IF(C2611+D2611=0,"",(E2611*C2611+F2611*D2611)/(C2611+D2611)))</f>
        <v/>
      </c>
      <c r="H2611" s="59"/>
      <c r="I2611" s="60">
        <f>IF(OR(H2611="",E2611="",C2611="",D2611=""),"",IF(C2611+D2611=0,"",(H2611*D2611+E2611*C2611)/(C2611+D2611)))</f>
        <v/>
      </c>
      <c r="J2611" s="59"/>
      <c r="K2611" s="61">
        <f>IF(OR(J2611="",I2611=""),"",J2611-I2611)</f>
        <v/>
      </c>
      <c r="L2611" s="61">
        <f>IF(OR(J2611="",G2611=""),"",J2611-G2611)</f>
        <v/>
      </c>
      <c r="M2611" s="59"/>
      <c r="N2611" s="59"/>
      <c r="O2611" s="59"/>
      <c r="P2611" s="59"/>
      <c r="Q2611" s="59"/>
      <c r="R2611" s="60">
        <f>IF(AND(P2611="",Q2611=""),"",N(P2611)+N(Q2611))</f>
        <v/>
      </c>
      <c r="S2611" s="59"/>
      <c r="T2611" s="59"/>
      <c r="U2611" s="62">
        <f>IF(OR(R2611="",S2611="",T2611=""),"",IF(S2611+T2611=0,"",R2611/(S2611+T2611)))</f>
        <v/>
      </c>
      <c r="V2611" s="63"/>
      <c r="W2611" s="64"/>
      <c r="X2611" s="63"/>
    </row>
    <row r="2612" spans="2:24">
      <c r="B2612" s="58"/>
      <c r="C2612" s="59"/>
      <c r="D2612" s="59"/>
      <c r="E2612" s="59"/>
      <c r="F2612" s="59"/>
      <c r="G2612" s="60">
        <f>IF(OR(E2612="",F2612="",C2612="",D2612=""),"",IF(C2612+D2612=0,"",(E2612*C2612+F2612*D2612)/(C2612+D2612)))</f>
        <v/>
      </c>
      <c r="H2612" s="59"/>
      <c r="I2612" s="60">
        <f>IF(OR(H2612="",E2612="",C2612="",D2612=""),"",IF(C2612+D2612=0,"",(H2612*D2612+E2612*C2612)/(C2612+D2612)))</f>
        <v/>
      </c>
      <c r="J2612" s="59"/>
      <c r="K2612" s="61">
        <f>IF(OR(J2612="",I2612=""),"",J2612-I2612)</f>
        <v/>
      </c>
      <c r="L2612" s="61">
        <f>IF(OR(J2612="",G2612=""),"",J2612-G2612)</f>
        <v/>
      </c>
      <c r="M2612" s="59"/>
      <c r="N2612" s="59"/>
      <c r="O2612" s="59"/>
      <c r="P2612" s="59"/>
      <c r="Q2612" s="59"/>
      <c r="R2612" s="60">
        <f>IF(AND(P2612="",Q2612=""),"",N(P2612)+N(Q2612))</f>
        <v/>
      </c>
      <c r="S2612" s="59"/>
      <c r="T2612" s="59"/>
      <c r="U2612" s="62">
        <f>IF(OR(R2612="",S2612="",T2612=""),"",IF(S2612+T2612=0,"",R2612/(S2612+T2612)))</f>
        <v/>
      </c>
      <c r="V2612" s="63"/>
      <c r="W2612" s="64"/>
      <c r="X2612" s="63"/>
    </row>
    <row r="2613" spans="2:24">
      <c r="B2613" s="58"/>
      <c r="C2613" s="59"/>
      <c r="D2613" s="59"/>
      <c r="E2613" s="59"/>
      <c r="F2613" s="59"/>
      <c r="G2613" s="60">
        <f>IF(OR(E2613="",F2613="",C2613="",D2613=""),"",IF(C2613+D2613=0,"",(E2613*C2613+F2613*D2613)/(C2613+D2613)))</f>
        <v/>
      </c>
      <c r="H2613" s="59"/>
      <c r="I2613" s="60">
        <f>IF(OR(H2613="",E2613="",C2613="",D2613=""),"",IF(C2613+D2613=0,"",(H2613*D2613+E2613*C2613)/(C2613+D2613)))</f>
        <v/>
      </c>
      <c r="J2613" s="59"/>
      <c r="K2613" s="61">
        <f>IF(OR(J2613="",I2613=""),"",J2613-I2613)</f>
        <v/>
      </c>
      <c r="L2613" s="61">
        <f>IF(OR(J2613="",G2613=""),"",J2613-G2613)</f>
        <v/>
      </c>
      <c r="M2613" s="59"/>
      <c r="N2613" s="59"/>
      <c r="O2613" s="59"/>
      <c r="P2613" s="59"/>
      <c r="Q2613" s="59"/>
      <c r="R2613" s="60">
        <f>IF(AND(P2613="",Q2613=""),"",N(P2613)+N(Q2613))</f>
        <v/>
      </c>
      <c r="S2613" s="59"/>
      <c r="T2613" s="59"/>
      <c r="U2613" s="62">
        <f>IF(OR(R2613="",S2613="",T2613=""),"",IF(S2613+T2613=0,"",R2613/(S2613+T2613)))</f>
        <v/>
      </c>
      <c r="V2613" s="63"/>
      <c r="W2613" s="64"/>
      <c r="X2613" s="63"/>
    </row>
    <row r="2614" spans="2:24">
      <c r="B2614" s="58"/>
      <c r="C2614" s="59"/>
      <c r="D2614" s="59"/>
      <c r="E2614" s="59"/>
      <c r="F2614" s="59"/>
      <c r="G2614" s="60">
        <f>IF(OR(E2614="",F2614="",C2614="",D2614=""),"",IF(C2614+D2614=0,"",(E2614*C2614+F2614*D2614)/(C2614+D2614)))</f>
        <v/>
      </c>
      <c r="H2614" s="59"/>
      <c r="I2614" s="60">
        <f>IF(OR(H2614="",E2614="",C2614="",D2614=""),"",IF(C2614+D2614=0,"",(H2614*D2614+E2614*C2614)/(C2614+D2614)))</f>
        <v/>
      </c>
      <c r="J2614" s="59"/>
      <c r="K2614" s="61">
        <f>IF(OR(J2614="",I2614=""),"",J2614-I2614)</f>
        <v/>
      </c>
      <c r="L2614" s="61">
        <f>IF(OR(J2614="",G2614=""),"",J2614-G2614)</f>
        <v/>
      </c>
      <c r="M2614" s="59"/>
      <c r="N2614" s="59"/>
      <c r="O2614" s="59"/>
      <c r="P2614" s="59"/>
      <c r="Q2614" s="59"/>
      <c r="R2614" s="60">
        <f>IF(AND(P2614="",Q2614=""),"",N(P2614)+N(Q2614))</f>
        <v/>
      </c>
      <c r="S2614" s="59"/>
      <c r="T2614" s="59"/>
      <c r="U2614" s="62">
        <f>IF(OR(R2614="",S2614="",T2614=""),"",IF(S2614+T2614=0,"",R2614/(S2614+T2614)))</f>
        <v/>
      </c>
      <c r="V2614" s="63"/>
      <c r="W2614" s="64"/>
      <c r="X2614" s="63"/>
    </row>
    <row r="2615" spans="2:24">
      <c r="B2615" s="58"/>
      <c r="C2615" s="59"/>
      <c r="D2615" s="59"/>
      <c r="E2615" s="59"/>
      <c r="F2615" s="59"/>
      <c r="G2615" s="60">
        <f>IF(OR(E2615="",F2615="",C2615="",D2615=""),"",IF(C2615+D2615=0,"",(E2615*C2615+F2615*D2615)/(C2615+D2615)))</f>
        <v/>
      </c>
      <c r="H2615" s="59"/>
      <c r="I2615" s="60">
        <f>IF(OR(H2615="",E2615="",C2615="",D2615=""),"",IF(C2615+D2615=0,"",(H2615*D2615+E2615*C2615)/(C2615+D2615)))</f>
        <v/>
      </c>
      <c r="J2615" s="59"/>
      <c r="K2615" s="61">
        <f>IF(OR(J2615="",I2615=""),"",J2615-I2615)</f>
        <v/>
      </c>
      <c r="L2615" s="61">
        <f>IF(OR(J2615="",G2615=""),"",J2615-G2615)</f>
        <v/>
      </c>
      <c r="M2615" s="59"/>
      <c r="N2615" s="59"/>
      <c r="O2615" s="59"/>
      <c r="P2615" s="59"/>
      <c r="Q2615" s="59"/>
      <c r="R2615" s="60">
        <f>IF(AND(P2615="",Q2615=""),"",N(P2615)+N(Q2615))</f>
        <v/>
      </c>
      <c r="S2615" s="59"/>
      <c r="T2615" s="59"/>
      <c r="U2615" s="62">
        <f>IF(OR(R2615="",S2615="",T2615=""),"",IF(S2615+T2615=0,"",R2615/(S2615+T2615)))</f>
        <v/>
      </c>
      <c r="V2615" s="63"/>
      <c r="W2615" s="64"/>
      <c r="X2615" s="63"/>
    </row>
    <row r="2616" spans="2:24">
      <c r="B2616" s="58"/>
      <c r="C2616" s="59"/>
      <c r="D2616" s="59"/>
      <c r="E2616" s="59"/>
      <c r="F2616" s="59"/>
      <c r="G2616" s="60">
        <f>IF(OR(E2616="",F2616="",C2616="",D2616=""),"",IF(C2616+D2616=0,"",(E2616*C2616+F2616*D2616)/(C2616+D2616)))</f>
        <v/>
      </c>
      <c r="H2616" s="59"/>
      <c r="I2616" s="60">
        <f>IF(OR(H2616="",E2616="",C2616="",D2616=""),"",IF(C2616+D2616=0,"",(H2616*D2616+E2616*C2616)/(C2616+D2616)))</f>
        <v/>
      </c>
      <c r="J2616" s="59"/>
      <c r="K2616" s="61">
        <f>IF(OR(J2616="",I2616=""),"",J2616-I2616)</f>
        <v/>
      </c>
      <c r="L2616" s="61">
        <f>IF(OR(J2616="",G2616=""),"",J2616-G2616)</f>
        <v/>
      </c>
      <c r="M2616" s="59"/>
      <c r="N2616" s="59"/>
      <c r="O2616" s="59"/>
      <c r="P2616" s="59"/>
      <c r="Q2616" s="59"/>
      <c r="R2616" s="60">
        <f>IF(AND(P2616="",Q2616=""),"",N(P2616)+N(Q2616))</f>
        <v/>
      </c>
      <c r="S2616" s="59"/>
      <c r="T2616" s="59"/>
      <c r="U2616" s="62">
        <f>IF(OR(R2616="",S2616="",T2616=""),"",IF(S2616+T2616=0,"",R2616/(S2616+T2616)))</f>
        <v/>
      </c>
      <c r="V2616" s="63"/>
      <c r="W2616" s="64"/>
      <c r="X2616" s="63"/>
    </row>
    <row r="2617" spans="2:24">
      <c r="B2617" s="58"/>
      <c r="C2617" s="59"/>
      <c r="D2617" s="59"/>
      <c r="E2617" s="59"/>
      <c r="F2617" s="59"/>
      <c r="G2617" s="60">
        <f>IF(OR(E2617="",F2617="",C2617="",D2617=""),"",IF(C2617+D2617=0,"",(E2617*C2617+F2617*D2617)/(C2617+D2617)))</f>
        <v/>
      </c>
      <c r="H2617" s="59"/>
      <c r="I2617" s="60">
        <f>IF(OR(H2617="",E2617="",C2617="",D2617=""),"",IF(C2617+D2617=0,"",(H2617*D2617+E2617*C2617)/(C2617+D2617)))</f>
        <v/>
      </c>
      <c r="J2617" s="59"/>
      <c r="K2617" s="61">
        <f>IF(OR(J2617="",I2617=""),"",J2617-I2617)</f>
        <v/>
      </c>
      <c r="L2617" s="61">
        <f>IF(OR(J2617="",G2617=""),"",J2617-G2617)</f>
        <v/>
      </c>
      <c r="M2617" s="59"/>
      <c r="N2617" s="59"/>
      <c r="O2617" s="59"/>
      <c r="P2617" s="59"/>
      <c r="Q2617" s="59"/>
      <c r="R2617" s="60">
        <f>IF(AND(P2617="",Q2617=""),"",N(P2617)+N(Q2617))</f>
        <v/>
      </c>
      <c r="S2617" s="59"/>
      <c r="T2617" s="59"/>
      <c r="U2617" s="62">
        <f>IF(OR(R2617="",S2617="",T2617=""),"",IF(S2617+T2617=0,"",R2617/(S2617+T2617)))</f>
        <v/>
      </c>
      <c r="V2617" s="63"/>
      <c r="W2617" s="64"/>
      <c r="X2617" s="63"/>
    </row>
    <row r="2618" spans="2:24">
      <c r="B2618" s="58"/>
      <c r="C2618" s="59"/>
      <c r="D2618" s="59"/>
      <c r="E2618" s="59"/>
      <c r="F2618" s="59"/>
      <c r="G2618" s="60">
        <f>IF(OR(E2618="",F2618="",C2618="",D2618=""),"",IF(C2618+D2618=0,"",(E2618*C2618+F2618*D2618)/(C2618+D2618)))</f>
        <v/>
      </c>
      <c r="H2618" s="59"/>
      <c r="I2618" s="60">
        <f>IF(OR(H2618="",E2618="",C2618="",D2618=""),"",IF(C2618+D2618=0,"",(H2618*D2618+E2618*C2618)/(C2618+D2618)))</f>
        <v/>
      </c>
      <c r="J2618" s="59"/>
      <c r="K2618" s="61">
        <f>IF(OR(J2618="",I2618=""),"",J2618-I2618)</f>
        <v/>
      </c>
      <c r="L2618" s="61">
        <f>IF(OR(J2618="",G2618=""),"",J2618-G2618)</f>
        <v/>
      </c>
      <c r="M2618" s="59"/>
      <c r="N2618" s="59"/>
      <c r="O2618" s="59"/>
      <c r="P2618" s="59"/>
      <c r="Q2618" s="59"/>
      <c r="R2618" s="60">
        <f>IF(AND(P2618="",Q2618=""),"",N(P2618)+N(Q2618))</f>
        <v/>
      </c>
      <c r="S2618" s="59"/>
      <c r="T2618" s="59"/>
      <c r="U2618" s="62">
        <f>IF(OR(R2618="",S2618="",T2618=""),"",IF(S2618+T2618=0,"",R2618/(S2618+T2618)))</f>
        <v/>
      </c>
      <c r="V2618" s="63"/>
      <c r="W2618" s="64"/>
      <c r="X2618" s="63"/>
    </row>
    <row r="2619" spans="2:24">
      <c r="B2619" s="58"/>
      <c r="C2619" s="59"/>
      <c r="D2619" s="59"/>
      <c r="E2619" s="59"/>
      <c r="F2619" s="59"/>
      <c r="G2619" s="60">
        <f>IF(OR(E2619="",F2619="",C2619="",D2619=""),"",IF(C2619+D2619=0,"",(E2619*C2619+F2619*D2619)/(C2619+D2619)))</f>
        <v/>
      </c>
      <c r="H2619" s="59"/>
      <c r="I2619" s="60">
        <f>IF(OR(H2619="",E2619="",C2619="",D2619=""),"",IF(C2619+D2619=0,"",(H2619*D2619+E2619*C2619)/(C2619+D2619)))</f>
        <v/>
      </c>
      <c r="J2619" s="59"/>
      <c r="K2619" s="61">
        <f>IF(OR(J2619="",I2619=""),"",J2619-I2619)</f>
        <v/>
      </c>
      <c r="L2619" s="61">
        <f>IF(OR(J2619="",G2619=""),"",J2619-G2619)</f>
        <v/>
      </c>
      <c r="M2619" s="59"/>
      <c r="N2619" s="59"/>
      <c r="O2619" s="59"/>
      <c r="P2619" s="59"/>
      <c r="Q2619" s="59"/>
      <c r="R2619" s="60">
        <f>IF(AND(P2619="",Q2619=""),"",N(P2619)+N(Q2619))</f>
        <v/>
      </c>
      <c r="S2619" s="59"/>
      <c r="T2619" s="59"/>
      <c r="U2619" s="62">
        <f>IF(OR(R2619="",S2619="",T2619=""),"",IF(S2619+T2619=0,"",R2619/(S2619+T2619)))</f>
        <v/>
      </c>
      <c r="V2619" s="63"/>
      <c r="W2619" s="64"/>
      <c r="X2619" s="63"/>
    </row>
    <row r="2620" spans="2:24">
      <c r="B2620" s="58"/>
      <c r="C2620" s="59"/>
      <c r="D2620" s="59"/>
      <c r="E2620" s="59"/>
      <c r="F2620" s="59"/>
      <c r="G2620" s="60">
        <f>IF(OR(E2620="",F2620="",C2620="",D2620=""),"",IF(C2620+D2620=0,"",(E2620*C2620+F2620*D2620)/(C2620+D2620)))</f>
        <v/>
      </c>
      <c r="H2620" s="59"/>
      <c r="I2620" s="60">
        <f>IF(OR(H2620="",E2620="",C2620="",D2620=""),"",IF(C2620+D2620=0,"",(H2620*D2620+E2620*C2620)/(C2620+D2620)))</f>
        <v/>
      </c>
      <c r="J2620" s="59"/>
      <c r="K2620" s="61">
        <f>IF(OR(J2620="",I2620=""),"",J2620-I2620)</f>
        <v/>
      </c>
      <c r="L2620" s="61">
        <f>IF(OR(J2620="",G2620=""),"",J2620-G2620)</f>
        <v/>
      </c>
      <c r="M2620" s="59"/>
      <c r="N2620" s="59"/>
      <c r="O2620" s="59"/>
      <c r="P2620" s="59"/>
      <c r="Q2620" s="59"/>
      <c r="R2620" s="60">
        <f>IF(AND(P2620="",Q2620=""),"",N(P2620)+N(Q2620))</f>
        <v/>
      </c>
      <c r="S2620" s="59"/>
      <c r="T2620" s="59"/>
      <c r="U2620" s="62">
        <f>IF(OR(R2620="",S2620="",T2620=""),"",IF(S2620+T2620=0,"",R2620/(S2620+T2620)))</f>
        <v/>
      </c>
      <c r="V2620" s="63"/>
      <c r="W2620" s="64"/>
      <c r="X2620" s="63"/>
    </row>
    <row r="2621" spans="2:24">
      <c r="B2621" s="58"/>
      <c r="C2621" s="59"/>
      <c r="D2621" s="59"/>
      <c r="E2621" s="59"/>
      <c r="F2621" s="59"/>
      <c r="G2621" s="60">
        <f>IF(OR(E2621="",F2621="",C2621="",D2621=""),"",IF(C2621+D2621=0,"",(E2621*C2621+F2621*D2621)/(C2621+D2621)))</f>
        <v/>
      </c>
      <c r="H2621" s="59"/>
      <c r="I2621" s="60">
        <f>IF(OR(H2621="",E2621="",C2621="",D2621=""),"",IF(C2621+D2621=0,"",(H2621*D2621+E2621*C2621)/(C2621+D2621)))</f>
        <v/>
      </c>
      <c r="J2621" s="59"/>
      <c r="K2621" s="61">
        <f>IF(OR(J2621="",I2621=""),"",J2621-I2621)</f>
        <v/>
      </c>
      <c r="L2621" s="61">
        <f>IF(OR(J2621="",G2621=""),"",J2621-G2621)</f>
        <v/>
      </c>
      <c r="M2621" s="59"/>
      <c r="N2621" s="59"/>
      <c r="O2621" s="59"/>
      <c r="P2621" s="59"/>
      <c r="Q2621" s="59"/>
      <c r="R2621" s="60">
        <f>IF(AND(P2621="",Q2621=""),"",N(P2621)+N(Q2621))</f>
        <v/>
      </c>
      <c r="S2621" s="59"/>
      <c r="T2621" s="59"/>
      <c r="U2621" s="62">
        <f>IF(OR(R2621="",S2621="",T2621=""),"",IF(S2621+T2621=0,"",R2621/(S2621+T2621)))</f>
        <v/>
      </c>
      <c r="V2621" s="63"/>
      <c r="W2621" s="64"/>
      <c r="X2621" s="63"/>
    </row>
    <row r="2622" spans="2:24">
      <c r="B2622" s="58"/>
      <c r="C2622" s="59"/>
      <c r="D2622" s="59"/>
      <c r="E2622" s="59"/>
      <c r="F2622" s="59"/>
      <c r="G2622" s="60">
        <f>IF(OR(E2622="",F2622="",C2622="",D2622=""),"",IF(C2622+D2622=0,"",(E2622*C2622+F2622*D2622)/(C2622+D2622)))</f>
        <v/>
      </c>
      <c r="H2622" s="59"/>
      <c r="I2622" s="60">
        <f>IF(OR(H2622="",E2622="",C2622="",D2622=""),"",IF(C2622+D2622=0,"",(H2622*D2622+E2622*C2622)/(C2622+D2622)))</f>
        <v/>
      </c>
      <c r="J2622" s="59"/>
      <c r="K2622" s="61">
        <f>IF(OR(J2622="",I2622=""),"",J2622-I2622)</f>
        <v/>
      </c>
      <c r="L2622" s="61">
        <f>IF(OR(J2622="",G2622=""),"",J2622-G2622)</f>
        <v/>
      </c>
      <c r="M2622" s="59"/>
      <c r="N2622" s="59"/>
      <c r="O2622" s="59"/>
      <c r="P2622" s="59"/>
      <c r="Q2622" s="59"/>
      <c r="R2622" s="60">
        <f>IF(AND(P2622="",Q2622=""),"",N(P2622)+N(Q2622))</f>
        <v/>
      </c>
      <c r="S2622" s="59"/>
      <c r="T2622" s="59"/>
      <c r="U2622" s="62">
        <f>IF(OR(R2622="",S2622="",T2622=""),"",IF(S2622+T2622=0,"",R2622/(S2622+T2622)))</f>
        <v/>
      </c>
      <c r="V2622" s="63"/>
      <c r="W2622" s="64"/>
      <c r="X2622" s="63"/>
    </row>
    <row r="2623" spans="2:24">
      <c r="B2623" s="58"/>
      <c r="C2623" s="59"/>
      <c r="D2623" s="59"/>
      <c r="E2623" s="59"/>
      <c r="F2623" s="59"/>
      <c r="G2623" s="60">
        <f>IF(OR(E2623="",F2623="",C2623="",D2623=""),"",IF(C2623+D2623=0,"",(E2623*C2623+F2623*D2623)/(C2623+D2623)))</f>
        <v/>
      </c>
      <c r="H2623" s="59"/>
      <c r="I2623" s="60">
        <f>IF(OR(H2623="",E2623="",C2623="",D2623=""),"",IF(C2623+D2623=0,"",(H2623*D2623+E2623*C2623)/(C2623+D2623)))</f>
        <v/>
      </c>
      <c r="J2623" s="59"/>
      <c r="K2623" s="61">
        <f>IF(OR(J2623="",I2623=""),"",J2623-I2623)</f>
        <v/>
      </c>
      <c r="L2623" s="61">
        <f>IF(OR(J2623="",G2623=""),"",J2623-G2623)</f>
        <v/>
      </c>
      <c r="M2623" s="59"/>
      <c r="N2623" s="59"/>
      <c r="O2623" s="59"/>
      <c r="P2623" s="59"/>
      <c r="Q2623" s="59"/>
      <c r="R2623" s="60">
        <f>IF(AND(P2623="",Q2623=""),"",N(P2623)+N(Q2623))</f>
        <v/>
      </c>
      <c r="S2623" s="59"/>
      <c r="T2623" s="59"/>
      <c r="U2623" s="62">
        <f>IF(OR(R2623="",S2623="",T2623=""),"",IF(S2623+T2623=0,"",R2623/(S2623+T2623)))</f>
        <v/>
      </c>
      <c r="V2623" s="63"/>
      <c r="W2623" s="64"/>
      <c r="X2623" s="63"/>
    </row>
    <row r="2624" spans="2:24">
      <c r="B2624" s="58"/>
      <c r="C2624" s="59"/>
      <c r="D2624" s="59"/>
      <c r="E2624" s="59"/>
      <c r="F2624" s="59"/>
      <c r="G2624" s="60">
        <f>IF(OR(E2624="",F2624="",C2624="",D2624=""),"",IF(C2624+D2624=0,"",(E2624*C2624+F2624*D2624)/(C2624+D2624)))</f>
        <v/>
      </c>
      <c r="H2624" s="59"/>
      <c r="I2624" s="60">
        <f>IF(OR(H2624="",E2624="",C2624="",D2624=""),"",IF(C2624+D2624=0,"",(H2624*D2624+E2624*C2624)/(C2624+D2624)))</f>
        <v/>
      </c>
      <c r="J2624" s="59"/>
      <c r="K2624" s="61">
        <f>IF(OR(J2624="",I2624=""),"",J2624-I2624)</f>
        <v/>
      </c>
      <c r="L2624" s="61">
        <f>IF(OR(J2624="",G2624=""),"",J2624-G2624)</f>
        <v/>
      </c>
      <c r="M2624" s="59"/>
      <c r="N2624" s="59"/>
      <c r="O2624" s="59"/>
      <c r="P2624" s="59"/>
      <c r="Q2624" s="59"/>
      <c r="R2624" s="60">
        <f>IF(AND(P2624="",Q2624=""),"",N(P2624)+N(Q2624))</f>
        <v/>
      </c>
      <c r="S2624" s="59"/>
      <c r="T2624" s="59"/>
      <c r="U2624" s="62">
        <f>IF(OR(R2624="",S2624="",T2624=""),"",IF(S2624+T2624=0,"",R2624/(S2624+T2624)))</f>
        <v/>
      </c>
      <c r="V2624" s="63"/>
      <c r="W2624" s="64"/>
      <c r="X2624" s="63"/>
    </row>
    <row r="2625" spans="2:24">
      <c r="B2625" s="58"/>
      <c r="C2625" s="59"/>
      <c r="D2625" s="59"/>
      <c r="E2625" s="59"/>
      <c r="F2625" s="59"/>
      <c r="G2625" s="60">
        <f>IF(OR(E2625="",F2625="",C2625="",D2625=""),"",IF(C2625+D2625=0,"",(E2625*C2625+F2625*D2625)/(C2625+D2625)))</f>
        <v/>
      </c>
      <c r="H2625" s="59"/>
      <c r="I2625" s="60">
        <f>IF(OR(H2625="",E2625="",C2625="",D2625=""),"",IF(C2625+D2625=0,"",(H2625*D2625+E2625*C2625)/(C2625+D2625)))</f>
        <v/>
      </c>
      <c r="J2625" s="59"/>
      <c r="K2625" s="61">
        <f>IF(OR(J2625="",I2625=""),"",J2625-I2625)</f>
        <v/>
      </c>
      <c r="L2625" s="61">
        <f>IF(OR(J2625="",G2625=""),"",J2625-G2625)</f>
        <v/>
      </c>
      <c r="M2625" s="59"/>
      <c r="N2625" s="59"/>
      <c r="O2625" s="59"/>
      <c r="P2625" s="59"/>
      <c r="Q2625" s="59"/>
      <c r="R2625" s="60">
        <f>IF(AND(P2625="",Q2625=""),"",N(P2625)+N(Q2625))</f>
        <v/>
      </c>
      <c r="S2625" s="59"/>
      <c r="T2625" s="59"/>
      <c r="U2625" s="62">
        <f>IF(OR(R2625="",S2625="",T2625=""),"",IF(S2625+T2625=0,"",R2625/(S2625+T2625)))</f>
        <v/>
      </c>
      <c r="V2625" s="63"/>
      <c r="W2625" s="64"/>
      <c r="X2625" s="63"/>
    </row>
    <row r="2626" spans="2:24">
      <c r="B2626" s="58"/>
      <c r="C2626" s="59"/>
      <c r="D2626" s="59"/>
      <c r="E2626" s="59"/>
      <c r="F2626" s="59"/>
      <c r="G2626" s="60">
        <f>IF(OR(E2626="",F2626="",C2626="",D2626=""),"",IF(C2626+D2626=0,"",(E2626*C2626+F2626*D2626)/(C2626+D2626)))</f>
        <v/>
      </c>
      <c r="H2626" s="59"/>
      <c r="I2626" s="60">
        <f>IF(OR(H2626="",E2626="",C2626="",D2626=""),"",IF(C2626+D2626=0,"",(H2626*D2626+E2626*C2626)/(C2626+D2626)))</f>
        <v/>
      </c>
      <c r="J2626" s="59"/>
      <c r="K2626" s="61">
        <f>IF(OR(J2626="",I2626=""),"",J2626-I2626)</f>
        <v/>
      </c>
      <c r="L2626" s="61">
        <f>IF(OR(J2626="",G2626=""),"",J2626-G2626)</f>
        <v/>
      </c>
      <c r="M2626" s="59"/>
      <c r="N2626" s="59"/>
      <c r="O2626" s="59"/>
      <c r="P2626" s="59"/>
      <c r="Q2626" s="59"/>
      <c r="R2626" s="60">
        <f>IF(AND(P2626="",Q2626=""),"",N(P2626)+N(Q2626))</f>
        <v/>
      </c>
      <c r="S2626" s="59"/>
      <c r="T2626" s="59"/>
      <c r="U2626" s="62">
        <f>IF(OR(R2626="",S2626="",T2626=""),"",IF(S2626+T2626=0,"",R2626/(S2626+T2626)))</f>
        <v/>
      </c>
      <c r="V2626" s="63"/>
      <c r="W2626" s="64"/>
      <c r="X2626" s="63"/>
    </row>
    <row r="2627" spans="2:24">
      <c r="B2627" s="58"/>
      <c r="C2627" s="59"/>
      <c r="D2627" s="59"/>
      <c r="E2627" s="59"/>
      <c r="F2627" s="59"/>
      <c r="G2627" s="60">
        <f>IF(OR(E2627="",F2627="",C2627="",D2627=""),"",IF(C2627+D2627=0,"",(E2627*C2627+F2627*D2627)/(C2627+D2627)))</f>
        <v/>
      </c>
      <c r="H2627" s="59"/>
      <c r="I2627" s="60">
        <f>IF(OR(H2627="",E2627="",C2627="",D2627=""),"",IF(C2627+D2627=0,"",(H2627*D2627+E2627*C2627)/(C2627+D2627)))</f>
        <v/>
      </c>
      <c r="J2627" s="59"/>
      <c r="K2627" s="61">
        <f>IF(OR(J2627="",I2627=""),"",J2627-I2627)</f>
        <v/>
      </c>
      <c r="L2627" s="61">
        <f>IF(OR(J2627="",G2627=""),"",J2627-G2627)</f>
        <v/>
      </c>
      <c r="M2627" s="59"/>
      <c r="N2627" s="59"/>
      <c r="O2627" s="59"/>
      <c r="P2627" s="59"/>
      <c r="Q2627" s="59"/>
      <c r="R2627" s="60">
        <f>IF(AND(P2627="",Q2627=""),"",N(P2627)+N(Q2627))</f>
        <v/>
      </c>
      <c r="S2627" s="59"/>
      <c r="T2627" s="59"/>
      <c r="U2627" s="62">
        <f>IF(OR(R2627="",S2627="",T2627=""),"",IF(S2627+T2627=0,"",R2627/(S2627+T2627)))</f>
        <v/>
      </c>
      <c r="V2627" s="63"/>
      <c r="W2627" s="64"/>
      <c r="X2627" s="63"/>
    </row>
    <row r="2628" spans="2:24">
      <c r="B2628" s="58"/>
      <c r="C2628" s="59"/>
      <c r="D2628" s="59"/>
      <c r="E2628" s="59"/>
      <c r="F2628" s="59"/>
      <c r="G2628" s="60">
        <f>IF(OR(E2628="",F2628="",C2628="",D2628=""),"",IF(C2628+D2628=0,"",(E2628*C2628+F2628*D2628)/(C2628+D2628)))</f>
        <v/>
      </c>
      <c r="H2628" s="59"/>
      <c r="I2628" s="60">
        <f>IF(OR(H2628="",E2628="",C2628="",D2628=""),"",IF(C2628+D2628=0,"",(H2628*D2628+E2628*C2628)/(C2628+D2628)))</f>
        <v/>
      </c>
      <c r="J2628" s="59"/>
      <c r="K2628" s="61">
        <f>IF(OR(J2628="",I2628=""),"",J2628-I2628)</f>
        <v/>
      </c>
      <c r="L2628" s="61">
        <f>IF(OR(J2628="",G2628=""),"",J2628-G2628)</f>
        <v/>
      </c>
      <c r="M2628" s="59"/>
      <c r="N2628" s="59"/>
      <c r="O2628" s="59"/>
      <c r="P2628" s="59"/>
      <c r="Q2628" s="59"/>
      <c r="R2628" s="60">
        <f>IF(AND(P2628="",Q2628=""),"",N(P2628)+N(Q2628))</f>
        <v/>
      </c>
      <c r="S2628" s="59"/>
      <c r="T2628" s="59"/>
      <c r="U2628" s="62">
        <f>IF(OR(R2628="",S2628="",T2628=""),"",IF(S2628+T2628=0,"",R2628/(S2628+T2628)))</f>
        <v/>
      </c>
      <c r="V2628" s="63"/>
      <c r="W2628" s="64"/>
      <c r="X2628" s="63"/>
    </row>
    <row r="2629" spans="2:24">
      <c r="B2629" s="58"/>
      <c r="C2629" s="59"/>
      <c r="D2629" s="59"/>
      <c r="E2629" s="59"/>
      <c r="F2629" s="59"/>
      <c r="G2629" s="60">
        <f>IF(OR(E2629="",F2629="",C2629="",D2629=""),"",IF(C2629+D2629=0,"",(E2629*C2629+F2629*D2629)/(C2629+D2629)))</f>
        <v/>
      </c>
      <c r="H2629" s="59"/>
      <c r="I2629" s="60">
        <f>IF(OR(H2629="",E2629="",C2629="",D2629=""),"",IF(C2629+D2629=0,"",(H2629*D2629+E2629*C2629)/(C2629+D2629)))</f>
        <v/>
      </c>
      <c r="J2629" s="59"/>
      <c r="K2629" s="61">
        <f>IF(OR(J2629="",I2629=""),"",J2629-I2629)</f>
        <v/>
      </c>
      <c r="L2629" s="61">
        <f>IF(OR(J2629="",G2629=""),"",J2629-G2629)</f>
        <v/>
      </c>
      <c r="M2629" s="59"/>
      <c r="N2629" s="59"/>
      <c r="O2629" s="59"/>
      <c r="P2629" s="59"/>
      <c r="Q2629" s="59"/>
      <c r="R2629" s="60">
        <f>IF(AND(P2629="",Q2629=""),"",N(P2629)+N(Q2629))</f>
        <v/>
      </c>
      <c r="S2629" s="59"/>
      <c r="T2629" s="59"/>
      <c r="U2629" s="62">
        <f>IF(OR(R2629="",S2629="",T2629=""),"",IF(S2629+T2629=0,"",R2629/(S2629+T2629)))</f>
        <v/>
      </c>
      <c r="V2629" s="63"/>
      <c r="W2629" s="64"/>
      <c r="X2629" s="63"/>
    </row>
    <row r="2630" spans="2:24">
      <c r="B2630" s="58"/>
      <c r="C2630" s="59"/>
      <c r="D2630" s="59"/>
      <c r="E2630" s="59"/>
      <c r="F2630" s="59"/>
      <c r="G2630" s="60">
        <f>IF(OR(E2630="",F2630="",C2630="",D2630=""),"",IF(C2630+D2630=0,"",(E2630*C2630+F2630*D2630)/(C2630+D2630)))</f>
        <v/>
      </c>
      <c r="H2630" s="59"/>
      <c r="I2630" s="60">
        <f>IF(OR(H2630="",E2630="",C2630="",D2630=""),"",IF(C2630+D2630=0,"",(H2630*D2630+E2630*C2630)/(C2630+D2630)))</f>
        <v/>
      </c>
      <c r="J2630" s="59"/>
      <c r="K2630" s="61">
        <f>IF(OR(J2630="",I2630=""),"",J2630-I2630)</f>
        <v/>
      </c>
      <c r="L2630" s="61">
        <f>IF(OR(J2630="",G2630=""),"",J2630-G2630)</f>
        <v/>
      </c>
      <c r="M2630" s="59"/>
      <c r="N2630" s="59"/>
      <c r="O2630" s="59"/>
      <c r="P2630" s="59"/>
      <c r="Q2630" s="59"/>
      <c r="R2630" s="60">
        <f>IF(AND(P2630="",Q2630=""),"",N(P2630)+N(Q2630))</f>
        <v/>
      </c>
      <c r="S2630" s="59"/>
      <c r="T2630" s="59"/>
      <c r="U2630" s="62">
        <f>IF(OR(R2630="",S2630="",T2630=""),"",IF(S2630+T2630=0,"",R2630/(S2630+T2630)))</f>
        <v/>
      </c>
      <c r="V2630" s="63"/>
      <c r="W2630" s="64"/>
      <c r="X2630" s="63"/>
    </row>
    <row r="2631" spans="2:24">
      <c r="B2631" s="58"/>
      <c r="C2631" s="59"/>
      <c r="D2631" s="59"/>
      <c r="E2631" s="59"/>
      <c r="F2631" s="59"/>
      <c r="G2631" s="60">
        <f>IF(OR(E2631="",F2631="",C2631="",D2631=""),"",IF(C2631+D2631=0,"",(E2631*C2631+F2631*D2631)/(C2631+D2631)))</f>
        <v/>
      </c>
      <c r="H2631" s="59"/>
      <c r="I2631" s="60">
        <f>IF(OR(H2631="",E2631="",C2631="",D2631=""),"",IF(C2631+D2631=0,"",(H2631*D2631+E2631*C2631)/(C2631+D2631)))</f>
        <v/>
      </c>
      <c r="J2631" s="59"/>
      <c r="K2631" s="61">
        <f>IF(OR(J2631="",I2631=""),"",J2631-I2631)</f>
        <v/>
      </c>
      <c r="L2631" s="61">
        <f>IF(OR(J2631="",G2631=""),"",J2631-G2631)</f>
        <v/>
      </c>
      <c r="M2631" s="59"/>
      <c r="N2631" s="59"/>
      <c r="O2631" s="59"/>
      <c r="P2631" s="59"/>
      <c r="Q2631" s="59"/>
      <c r="R2631" s="60">
        <f>IF(AND(P2631="",Q2631=""),"",N(P2631)+N(Q2631))</f>
        <v/>
      </c>
      <c r="S2631" s="59"/>
      <c r="T2631" s="59"/>
      <c r="U2631" s="62">
        <f>IF(OR(R2631="",S2631="",T2631=""),"",IF(S2631+T2631=0,"",R2631/(S2631+T2631)))</f>
        <v/>
      </c>
      <c r="V2631" s="63"/>
      <c r="W2631" s="64"/>
      <c r="X2631" s="63"/>
    </row>
    <row r="2632" spans="2:24">
      <c r="B2632" s="58"/>
      <c r="C2632" s="59"/>
      <c r="D2632" s="59"/>
      <c r="E2632" s="59"/>
      <c r="F2632" s="59"/>
      <c r="G2632" s="60">
        <f>IF(OR(E2632="",F2632="",C2632="",D2632=""),"",IF(C2632+D2632=0,"",(E2632*C2632+F2632*D2632)/(C2632+D2632)))</f>
        <v/>
      </c>
      <c r="H2632" s="59"/>
      <c r="I2632" s="60">
        <f>IF(OR(H2632="",E2632="",C2632="",D2632=""),"",IF(C2632+D2632=0,"",(H2632*D2632+E2632*C2632)/(C2632+D2632)))</f>
        <v/>
      </c>
      <c r="J2632" s="59"/>
      <c r="K2632" s="61">
        <f>IF(OR(J2632="",I2632=""),"",J2632-I2632)</f>
        <v/>
      </c>
      <c r="L2632" s="61">
        <f>IF(OR(J2632="",G2632=""),"",J2632-G2632)</f>
        <v/>
      </c>
      <c r="M2632" s="59"/>
      <c r="N2632" s="59"/>
      <c r="O2632" s="59"/>
      <c r="P2632" s="59"/>
      <c r="Q2632" s="59"/>
      <c r="R2632" s="60">
        <f>IF(AND(P2632="",Q2632=""),"",N(P2632)+N(Q2632))</f>
        <v/>
      </c>
      <c r="S2632" s="59"/>
      <c r="T2632" s="59"/>
      <c r="U2632" s="62">
        <f>IF(OR(R2632="",S2632="",T2632=""),"",IF(S2632+T2632=0,"",R2632/(S2632+T2632)))</f>
        <v/>
      </c>
      <c r="V2632" s="63"/>
      <c r="W2632" s="64"/>
      <c r="X2632" s="63"/>
    </row>
    <row r="2633" spans="2:24">
      <c r="B2633" s="58"/>
      <c r="C2633" s="59"/>
      <c r="D2633" s="59"/>
      <c r="E2633" s="59"/>
      <c r="F2633" s="59"/>
      <c r="G2633" s="60">
        <f>IF(OR(E2633="",F2633="",C2633="",D2633=""),"",IF(C2633+D2633=0,"",(E2633*C2633+F2633*D2633)/(C2633+D2633)))</f>
        <v/>
      </c>
      <c r="H2633" s="59"/>
      <c r="I2633" s="60">
        <f>IF(OR(H2633="",E2633="",C2633="",D2633=""),"",IF(C2633+D2633=0,"",(H2633*D2633+E2633*C2633)/(C2633+D2633)))</f>
        <v/>
      </c>
      <c r="J2633" s="59"/>
      <c r="K2633" s="61">
        <f>IF(OR(J2633="",I2633=""),"",J2633-I2633)</f>
        <v/>
      </c>
      <c r="L2633" s="61">
        <f>IF(OR(J2633="",G2633=""),"",J2633-G2633)</f>
        <v/>
      </c>
      <c r="M2633" s="59"/>
      <c r="N2633" s="59"/>
      <c r="O2633" s="59"/>
      <c r="P2633" s="59"/>
      <c r="Q2633" s="59"/>
      <c r="R2633" s="60">
        <f>IF(AND(P2633="",Q2633=""),"",N(P2633)+N(Q2633))</f>
        <v/>
      </c>
      <c r="S2633" s="59"/>
      <c r="T2633" s="59"/>
      <c r="U2633" s="62">
        <f>IF(OR(R2633="",S2633="",T2633=""),"",IF(S2633+T2633=0,"",R2633/(S2633+T2633)))</f>
        <v/>
      </c>
      <c r="V2633" s="63"/>
      <c r="W2633" s="64"/>
      <c r="X2633" s="63"/>
    </row>
    <row r="2634" spans="2:24">
      <c r="B2634" s="58"/>
      <c r="C2634" s="59"/>
      <c r="D2634" s="59"/>
      <c r="E2634" s="59"/>
      <c r="F2634" s="59"/>
      <c r="G2634" s="60">
        <f>IF(OR(E2634="",F2634="",C2634="",D2634=""),"",IF(C2634+D2634=0,"",(E2634*C2634+F2634*D2634)/(C2634+D2634)))</f>
        <v/>
      </c>
      <c r="H2634" s="59"/>
      <c r="I2634" s="60">
        <f>IF(OR(H2634="",E2634="",C2634="",D2634=""),"",IF(C2634+D2634=0,"",(H2634*D2634+E2634*C2634)/(C2634+D2634)))</f>
        <v/>
      </c>
      <c r="J2634" s="59"/>
      <c r="K2634" s="61">
        <f>IF(OR(J2634="",I2634=""),"",J2634-I2634)</f>
        <v/>
      </c>
      <c r="L2634" s="61">
        <f>IF(OR(J2634="",G2634=""),"",J2634-G2634)</f>
        <v/>
      </c>
      <c r="M2634" s="59"/>
      <c r="N2634" s="59"/>
      <c r="O2634" s="59"/>
      <c r="P2634" s="59"/>
      <c r="Q2634" s="59"/>
      <c r="R2634" s="60">
        <f>IF(AND(P2634="",Q2634=""),"",N(P2634)+N(Q2634))</f>
        <v/>
      </c>
      <c r="S2634" s="59"/>
      <c r="T2634" s="59"/>
      <c r="U2634" s="62">
        <f>IF(OR(R2634="",S2634="",T2634=""),"",IF(S2634+T2634=0,"",R2634/(S2634+T2634)))</f>
        <v/>
      </c>
      <c r="V2634" s="63"/>
      <c r="W2634" s="64"/>
      <c r="X2634" s="63"/>
    </row>
    <row r="2635" spans="2:24">
      <c r="B2635" s="58"/>
      <c r="C2635" s="59"/>
      <c r="D2635" s="59"/>
      <c r="E2635" s="59"/>
      <c r="F2635" s="59"/>
      <c r="G2635" s="60">
        <f>IF(OR(E2635="",F2635="",C2635="",D2635=""),"",IF(C2635+D2635=0,"",(E2635*C2635+F2635*D2635)/(C2635+D2635)))</f>
        <v/>
      </c>
      <c r="H2635" s="59"/>
      <c r="I2635" s="60">
        <f>IF(OR(H2635="",E2635="",C2635="",D2635=""),"",IF(C2635+D2635=0,"",(H2635*D2635+E2635*C2635)/(C2635+D2635)))</f>
        <v/>
      </c>
      <c r="J2635" s="59"/>
      <c r="K2635" s="61">
        <f>IF(OR(J2635="",I2635=""),"",J2635-I2635)</f>
        <v/>
      </c>
      <c r="L2635" s="61">
        <f>IF(OR(J2635="",G2635=""),"",J2635-G2635)</f>
        <v/>
      </c>
      <c r="M2635" s="59"/>
      <c r="N2635" s="59"/>
      <c r="O2635" s="59"/>
      <c r="P2635" s="59"/>
      <c r="Q2635" s="59"/>
      <c r="R2635" s="60">
        <f>IF(AND(P2635="",Q2635=""),"",N(P2635)+N(Q2635))</f>
        <v/>
      </c>
      <c r="S2635" s="59"/>
      <c r="T2635" s="59"/>
      <c r="U2635" s="62">
        <f>IF(OR(R2635="",S2635="",T2635=""),"",IF(S2635+T2635=0,"",R2635/(S2635+T2635)))</f>
        <v/>
      </c>
      <c r="V2635" s="63"/>
      <c r="W2635" s="64"/>
      <c r="X2635" s="63"/>
    </row>
    <row r="2636" spans="2:24">
      <c r="B2636" s="58"/>
      <c r="C2636" s="59"/>
      <c r="D2636" s="59"/>
      <c r="E2636" s="59"/>
      <c r="F2636" s="59"/>
      <c r="G2636" s="60">
        <f>IF(OR(E2636="",F2636="",C2636="",D2636=""),"",IF(C2636+D2636=0,"",(E2636*C2636+F2636*D2636)/(C2636+D2636)))</f>
        <v/>
      </c>
      <c r="H2636" s="59"/>
      <c r="I2636" s="60">
        <f>IF(OR(H2636="",E2636="",C2636="",D2636=""),"",IF(C2636+D2636=0,"",(H2636*D2636+E2636*C2636)/(C2636+D2636)))</f>
        <v/>
      </c>
      <c r="J2636" s="59"/>
      <c r="K2636" s="61">
        <f>IF(OR(J2636="",I2636=""),"",J2636-I2636)</f>
        <v/>
      </c>
      <c r="L2636" s="61">
        <f>IF(OR(J2636="",G2636=""),"",J2636-G2636)</f>
        <v/>
      </c>
      <c r="M2636" s="59"/>
      <c r="N2636" s="59"/>
      <c r="O2636" s="59"/>
      <c r="P2636" s="59"/>
      <c r="Q2636" s="59"/>
      <c r="R2636" s="60">
        <f>IF(AND(P2636="",Q2636=""),"",N(P2636)+N(Q2636))</f>
        <v/>
      </c>
      <c r="S2636" s="59"/>
      <c r="T2636" s="59"/>
      <c r="U2636" s="62">
        <f>IF(OR(R2636="",S2636="",T2636=""),"",IF(S2636+T2636=0,"",R2636/(S2636+T2636)))</f>
        <v/>
      </c>
      <c r="V2636" s="63"/>
      <c r="W2636" s="64"/>
      <c r="X2636" s="63"/>
    </row>
    <row r="2637" spans="2:24">
      <c r="B2637" s="58"/>
      <c r="C2637" s="59"/>
      <c r="D2637" s="59"/>
      <c r="E2637" s="59"/>
      <c r="F2637" s="59"/>
      <c r="G2637" s="60">
        <f>IF(OR(E2637="",F2637="",C2637="",D2637=""),"",IF(C2637+D2637=0,"",(E2637*C2637+F2637*D2637)/(C2637+D2637)))</f>
        <v/>
      </c>
      <c r="H2637" s="59"/>
      <c r="I2637" s="60">
        <f>IF(OR(H2637="",E2637="",C2637="",D2637=""),"",IF(C2637+D2637=0,"",(H2637*D2637+E2637*C2637)/(C2637+D2637)))</f>
        <v/>
      </c>
      <c r="J2637" s="59"/>
      <c r="K2637" s="61">
        <f>IF(OR(J2637="",I2637=""),"",J2637-I2637)</f>
        <v/>
      </c>
      <c r="L2637" s="61">
        <f>IF(OR(J2637="",G2637=""),"",J2637-G2637)</f>
        <v/>
      </c>
      <c r="M2637" s="59"/>
      <c r="N2637" s="59"/>
      <c r="O2637" s="59"/>
      <c r="P2637" s="59"/>
      <c r="Q2637" s="59"/>
      <c r="R2637" s="60">
        <f>IF(AND(P2637="",Q2637=""),"",N(P2637)+N(Q2637))</f>
        <v/>
      </c>
      <c r="S2637" s="59"/>
      <c r="T2637" s="59"/>
      <c r="U2637" s="62">
        <f>IF(OR(R2637="",S2637="",T2637=""),"",IF(S2637+T2637=0,"",R2637/(S2637+T2637)))</f>
        <v/>
      </c>
      <c r="V2637" s="63"/>
      <c r="W2637" s="64"/>
      <c r="X2637" s="63"/>
    </row>
    <row r="2638" spans="2:24">
      <c r="B2638" s="58"/>
      <c r="C2638" s="59"/>
      <c r="D2638" s="59"/>
      <c r="E2638" s="59"/>
      <c r="F2638" s="59"/>
      <c r="G2638" s="60">
        <f>IF(OR(E2638="",F2638="",C2638="",D2638=""),"",IF(C2638+D2638=0,"",(E2638*C2638+F2638*D2638)/(C2638+D2638)))</f>
        <v/>
      </c>
      <c r="H2638" s="59"/>
      <c r="I2638" s="60">
        <f>IF(OR(H2638="",E2638="",C2638="",D2638=""),"",IF(C2638+D2638=0,"",(H2638*D2638+E2638*C2638)/(C2638+D2638)))</f>
        <v/>
      </c>
      <c r="J2638" s="59"/>
      <c r="K2638" s="61">
        <f>IF(OR(J2638="",I2638=""),"",J2638-I2638)</f>
        <v/>
      </c>
      <c r="L2638" s="61">
        <f>IF(OR(J2638="",G2638=""),"",J2638-G2638)</f>
        <v/>
      </c>
      <c r="M2638" s="59"/>
      <c r="N2638" s="59"/>
      <c r="O2638" s="59"/>
      <c r="P2638" s="59"/>
      <c r="Q2638" s="59"/>
      <c r="R2638" s="60">
        <f>IF(AND(P2638="",Q2638=""),"",N(P2638)+N(Q2638))</f>
        <v/>
      </c>
      <c r="S2638" s="59"/>
      <c r="T2638" s="59"/>
      <c r="U2638" s="62">
        <f>IF(OR(R2638="",S2638="",T2638=""),"",IF(S2638+T2638=0,"",R2638/(S2638+T2638)))</f>
        <v/>
      </c>
      <c r="V2638" s="63"/>
      <c r="W2638" s="64"/>
      <c r="X2638" s="63"/>
    </row>
    <row r="2639" spans="2:24">
      <c r="B2639" s="58"/>
      <c r="C2639" s="59"/>
      <c r="D2639" s="59"/>
      <c r="E2639" s="59"/>
      <c r="F2639" s="59"/>
      <c r="G2639" s="60">
        <f>IF(OR(E2639="",F2639="",C2639="",D2639=""),"",IF(C2639+D2639=0,"",(E2639*C2639+F2639*D2639)/(C2639+D2639)))</f>
        <v/>
      </c>
      <c r="H2639" s="59"/>
      <c r="I2639" s="60">
        <f>IF(OR(H2639="",E2639="",C2639="",D2639=""),"",IF(C2639+D2639=0,"",(H2639*D2639+E2639*C2639)/(C2639+D2639)))</f>
        <v/>
      </c>
      <c r="J2639" s="59"/>
      <c r="K2639" s="61">
        <f>IF(OR(J2639="",I2639=""),"",J2639-I2639)</f>
        <v/>
      </c>
      <c r="L2639" s="61">
        <f>IF(OR(J2639="",G2639=""),"",J2639-G2639)</f>
        <v/>
      </c>
      <c r="M2639" s="59"/>
      <c r="N2639" s="59"/>
      <c r="O2639" s="59"/>
      <c r="P2639" s="59"/>
      <c r="Q2639" s="59"/>
      <c r="R2639" s="60">
        <f>IF(AND(P2639="",Q2639=""),"",N(P2639)+N(Q2639))</f>
        <v/>
      </c>
      <c r="S2639" s="59"/>
      <c r="T2639" s="59"/>
      <c r="U2639" s="62">
        <f>IF(OR(R2639="",S2639="",T2639=""),"",IF(S2639+T2639=0,"",R2639/(S2639+T2639)))</f>
        <v/>
      </c>
      <c r="V2639" s="63"/>
      <c r="W2639" s="64"/>
      <c r="X2639" s="63"/>
    </row>
    <row r="2640" spans="2:24">
      <c r="B2640" s="58"/>
      <c r="C2640" s="59"/>
      <c r="D2640" s="59"/>
      <c r="E2640" s="59"/>
      <c r="F2640" s="59"/>
      <c r="G2640" s="60">
        <f>IF(OR(E2640="",F2640="",C2640="",D2640=""),"",IF(C2640+D2640=0,"",(E2640*C2640+F2640*D2640)/(C2640+D2640)))</f>
        <v/>
      </c>
      <c r="H2640" s="59"/>
      <c r="I2640" s="60">
        <f>IF(OR(H2640="",E2640="",C2640="",D2640=""),"",IF(C2640+D2640=0,"",(H2640*D2640+E2640*C2640)/(C2640+D2640)))</f>
        <v/>
      </c>
      <c r="J2640" s="59"/>
      <c r="K2640" s="61">
        <f>IF(OR(J2640="",I2640=""),"",J2640-I2640)</f>
        <v/>
      </c>
      <c r="L2640" s="61">
        <f>IF(OR(J2640="",G2640=""),"",J2640-G2640)</f>
        <v/>
      </c>
      <c r="M2640" s="59"/>
      <c r="N2640" s="59"/>
      <c r="O2640" s="59"/>
      <c r="P2640" s="59"/>
      <c r="Q2640" s="59"/>
      <c r="R2640" s="60">
        <f>IF(AND(P2640="",Q2640=""),"",N(P2640)+N(Q2640))</f>
        <v/>
      </c>
      <c r="S2640" s="59"/>
      <c r="T2640" s="59"/>
      <c r="U2640" s="62">
        <f>IF(OR(R2640="",S2640="",T2640=""),"",IF(S2640+T2640=0,"",R2640/(S2640+T2640)))</f>
        <v/>
      </c>
      <c r="V2640" s="63"/>
      <c r="W2640" s="64"/>
      <c r="X2640" s="63"/>
    </row>
    <row r="2641" spans="2:24">
      <c r="B2641" s="58"/>
      <c r="C2641" s="59"/>
      <c r="D2641" s="59"/>
      <c r="E2641" s="59"/>
      <c r="F2641" s="59"/>
      <c r="G2641" s="60">
        <f>IF(OR(E2641="",F2641="",C2641="",D2641=""),"",IF(C2641+D2641=0,"",(E2641*C2641+F2641*D2641)/(C2641+D2641)))</f>
        <v/>
      </c>
      <c r="H2641" s="59"/>
      <c r="I2641" s="60">
        <f>IF(OR(H2641="",E2641="",C2641="",D2641=""),"",IF(C2641+D2641=0,"",(H2641*D2641+E2641*C2641)/(C2641+D2641)))</f>
        <v/>
      </c>
      <c r="J2641" s="59"/>
      <c r="K2641" s="61">
        <f>IF(OR(J2641="",I2641=""),"",J2641-I2641)</f>
        <v/>
      </c>
      <c r="L2641" s="61">
        <f>IF(OR(J2641="",G2641=""),"",J2641-G2641)</f>
        <v/>
      </c>
      <c r="M2641" s="59"/>
      <c r="N2641" s="59"/>
      <c r="O2641" s="59"/>
      <c r="P2641" s="59"/>
      <c r="Q2641" s="59"/>
      <c r="R2641" s="60">
        <f>IF(AND(P2641="",Q2641=""),"",N(P2641)+N(Q2641))</f>
        <v/>
      </c>
      <c r="S2641" s="59"/>
      <c r="T2641" s="59"/>
      <c r="U2641" s="62">
        <f>IF(OR(R2641="",S2641="",T2641=""),"",IF(S2641+T2641=0,"",R2641/(S2641+T2641)))</f>
        <v/>
      </c>
      <c r="V2641" s="63"/>
      <c r="W2641" s="64"/>
      <c r="X2641" s="63"/>
    </row>
    <row r="2642" spans="2:24">
      <c r="B2642" s="58"/>
      <c r="C2642" s="59"/>
      <c r="D2642" s="59"/>
      <c r="E2642" s="59"/>
      <c r="F2642" s="59"/>
      <c r="G2642" s="60">
        <f>IF(OR(E2642="",F2642="",C2642="",D2642=""),"",IF(C2642+D2642=0,"",(E2642*C2642+F2642*D2642)/(C2642+D2642)))</f>
        <v/>
      </c>
      <c r="H2642" s="59"/>
      <c r="I2642" s="60">
        <f>IF(OR(H2642="",E2642="",C2642="",D2642=""),"",IF(C2642+D2642=0,"",(H2642*D2642+E2642*C2642)/(C2642+D2642)))</f>
        <v/>
      </c>
      <c r="J2642" s="59"/>
      <c r="K2642" s="61">
        <f>IF(OR(J2642="",I2642=""),"",J2642-I2642)</f>
        <v/>
      </c>
      <c r="L2642" s="61">
        <f>IF(OR(J2642="",G2642=""),"",J2642-G2642)</f>
        <v/>
      </c>
      <c r="M2642" s="59"/>
      <c r="N2642" s="59"/>
      <c r="O2642" s="59"/>
      <c r="P2642" s="59"/>
      <c r="Q2642" s="59"/>
      <c r="R2642" s="60">
        <f>IF(AND(P2642="",Q2642=""),"",N(P2642)+N(Q2642))</f>
        <v/>
      </c>
      <c r="S2642" s="59"/>
      <c r="T2642" s="59"/>
      <c r="U2642" s="62">
        <f>IF(OR(R2642="",S2642="",T2642=""),"",IF(S2642+T2642=0,"",R2642/(S2642+T2642)))</f>
        <v/>
      </c>
      <c r="V2642" s="63"/>
      <c r="W2642" s="64"/>
      <c r="X2642" s="63"/>
    </row>
    <row r="2643" spans="2:24">
      <c r="B2643" s="58"/>
      <c r="C2643" s="59"/>
      <c r="D2643" s="59"/>
      <c r="E2643" s="59"/>
      <c r="F2643" s="59"/>
      <c r="G2643" s="60">
        <f>IF(OR(E2643="",F2643="",C2643="",D2643=""),"",IF(C2643+D2643=0,"",(E2643*C2643+F2643*D2643)/(C2643+D2643)))</f>
        <v/>
      </c>
      <c r="H2643" s="59"/>
      <c r="I2643" s="60">
        <f>IF(OR(H2643="",E2643="",C2643="",D2643=""),"",IF(C2643+D2643=0,"",(H2643*D2643+E2643*C2643)/(C2643+D2643)))</f>
        <v/>
      </c>
      <c r="J2643" s="59"/>
      <c r="K2643" s="61">
        <f>IF(OR(J2643="",I2643=""),"",J2643-I2643)</f>
        <v/>
      </c>
      <c r="L2643" s="61">
        <f>IF(OR(J2643="",G2643=""),"",J2643-G2643)</f>
        <v/>
      </c>
      <c r="M2643" s="59"/>
      <c r="N2643" s="59"/>
      <c r="O2643" s="59"/>
      <c r="P2643" s="59"/>
      <c r="Q2643" s="59"/>
      <c r="R2643" s="60">
        <f>IF(AND(P2643="",Q2643=""),"",N(P2643)+N(Q2643))</f>
        <v/>
      </c>
      <c r="S2643" s="59"/>
      <c r="T2643" s="59"/>
      <c r="U2643" s="62">
        <f>IF(OR(R2643="",S2643="",T2643=""),"",IF(S2643+T2643=0,"",R2643/(S2643+T2643)))</f>
        <v/>
      </c>
      <c r="V2643" s="63"/>
      <c r="W2643" s="64"/>
      <c r="X2643" s="63"/>
    </row>
    <row r="2644" spans="2:24">
      <c r="B2644" s="58"/>
      <c r="C2644" s="59"/>
      <c r="D2644" s="59"/>
      <c r="E2644" s="59"/>
      <c r="F2644" s="59"/>
      <c r="G2644" s="60">
        <f>IF(OR(E2644="",F2644="",C2644="",D2644=""),"",IF(C2644+D2644=0,"",(E2644*C2644+F2644*D2644)/(C2644+D2644)))</f>
        <v/>
      </c>
      <c r="H2644" s="59"/>
      <c r="I2644" s="60">
        <f>IF(OR(H2644="",E2644="",C2644="",D2644=""),"",IF(C2644+D2644=0,"",(H2644*D2644+E2644*C2644)/(C2644+D2644)))</f>
        <v/>
      </c>
      <c r="J2644" s="59"/>
      <c r="K2644" s="61">
        <f>IF(OR(J2644="",I2644=""),"",J2644-I2644)</f>
        <v/>
      </c>
      <c r="L2644" s="61">
        <f>IF(OR(J2644="",G2644=""),"",J2644-G2644)</f>
        <v/>
      </c>
      <c r="M2644" s="59"/>
      <c r="N2644" s="59"/>
      <c r="O2644" s="59"/>
      <c r="P2644" s="59"/>
      <c r="Q2644" s="59"/>
      <c r="R2644" s="60">
        <f>IF(AND(P2644="",Q2644=""),"",N(P2644)+N(Q2644))</f>
        <v/>
      </c>
      <c r="S2644" s="59"/>
      <c r="T2644" s="59"/>
      <c r="U2644" s="62">
        <f>IF(OR(R2644="",S2644="",T2644=""),"",IF(S2644+T2644=0,"",R2644/(S2644+T2644)))</f>
        <v/>
      </c>
      <c r="V2644" s="63"/>
      <c r="W2644" s="64"/>
      <c r="X2644" s="63"/>
    </row>
    <row r="2645" spans="2:24">
      <c r="B2645" s="58"/>
      <c r="C2645" s="59"/>
      <c r="D2645" s="59"/>
      <c r="E2645" s="59"/>
      <c r="F2645" s="59"/>
      <c r="G2645" s="60">
        <f>IF(OR(E2645="",F2645="",C2645="",D2645=""),"",IF(C2645+D2645=0,"",(E2645*C2645+F2645*D2645)/(C2645+D2645)))</f>
        <v/>
      </c>
      <c r="H2645" s="59"/>
      <c r="I2645" s="60">
        <f>IF(OR(H2645="",E2645="",C2645="",D2645=""),"",IF(C2645+D2645=0,"",(H2645*D2645+E2645*C2645)/(C2645+D2645)))</f>
        <v/>
      </c>
      <c r="J2645" s="59"/>
      <c r="K2645" s="61">
        <f>IF(OR(J2645="",I2645=""),"",J2645-I2645)</f>
        <v/>
      </c>
      <c r="L2645" s="61">
        <f>IF(OR(J2645="",G2645=""),"",J2645-G2645)</f>
        <v/>
      </c>
      <c r="M2645" s="59"/>
      <c r="N2645" s="59"/>
      <c r="O2645" s="59"/>
      <c r="P2645" s="59"/>
      <c r="Q2645" s="59"/>
      <c r="R2645" s="60">
        <f>IF(AND(P2645="",Q2645=""),"",N(P2645)+N(Q2645))</f>
        <v/>
      </c>
      <c r="S2645" s="59"/>
      <c r="T2645" s="59"/>
      <c r="U2645" s="62">
        <f>IF(OR(R2645="",S2645="",T2645=""),"",IF(S2645+T2645=0,"",R2645/(S2645+T2645)))</f>
        <v/>
      </c>
      <c r="V2645" s="63"/>
      <c r="W2645" s="64"/>
      <c r="X2645" s="63"/>
    </row>
    <row r="2646" spans="2:24">
      <c r="B2646" s="58"/>
      <c r="C2646" s="59"/>
      <c r="D2646" s="59"/>
      <c r="E2646" s="59"/>
      <c r="F2646" s="59"/>
      <c r="G2646" s="60">
        <f>IF(OR(E2646="",F2646="",C2646="",D2646=""),"",IF(C2646+D2646=0,"",(E2646*C2646+F2646*D2646)/(C2646+D2646)))</f>
        <v/>
      </c>
      <c r="H2646" s="59"/>
      <c r="I2646" s="60">
        <f>IF(OR(H2646="",E2646="",C2646="",D2646=""),"",IF(C2646+D2646=0,"",(H2646*D2646+E2646*C2646)/(C2646+D2646)))</f>
        <v/>
      </c>
      <c r="J2646" s="59"/>
      <c r="K2646" s="61">
        <f>IF(OR(J2646="",I2646=""),"",J2646-I2646)</f>
        <v/>
      </c>
      <c r="L2646" s="61">
        <f>IF(OR(J2646="",G2646=""),"",J2646-G2646)</f>
        <v/>
      </c>
      <c r="M2646" s="59"/>
      <c r="N2646" s="59"/>
      <c r="O2646" s="59"/>
      <c r="P2646" s="59"/>
      <c r="Q2646" s="59"/>
      <c r="R2646" s="60">
        <f>IF(AND(P2646="",Q2646=""),"",N(P2646)+N(Q2646))</f>
        <v/>
      </c>
      <c r="S2646" s="59"/>
      <c r="T2646" s="59"/>
      <c r="U2646" s="62">
        <f>IF(OR(R2646="",S2646="",T2646=""),"",IF(S2646+T2646=0,"",R2646/(S2646+T2646)))</f>
        <v/>
      </c>
      <c r="V2646" s="63"/>
      <c r="W2646" s="64"/>
      <c r="X2646" s="63"/>
    </row>
    <row r="2647" spans="2:24">
      <c r="B2647" s="58"/>
      <c r="C2647" s="59"/>
      <c r="D2647" s="59"/>
      <c r="E2647" s="59"/>
      <c r="F2647" s="59"/>
      <c r="G2647" s="60">
        <f>IF(OR(E2647="",F2647="",C2647="",D2647=""),"",IF(C2647+D2647=0,"",(E2647*C2647+F2647*D2647)/(C2647+D2647)))</f>
        <v/>
      </c>
      <c r="H2647" s="59"/>
      <c r="I2647" s="60">
        <f>IF(OR(H2647="",E2647="",C2647="",D2647=""),"",IF(C2647+D2647=0,"",(H2647*D2647+E2647*C2647)/(C2647+D2647)))</f>
        <v/>
      </c>
      <c r="J2647" s="59"/>
      <c r="K2647" s="61">
        <f>IF(OR(J2647="",I2647=""),"",J2647-I2647)</f>
        <v/>
      </c>
      <c r="L2647" s="61">
        <f>IF(OR(J2647="",G2647=""),"",J2647-G2647)</f>
        <v/>
      </c>
      <c r="M2647" s="59"/>
      <c r="N2647" s="59"/>
      <c r="O2647" s="59"/>
      <c r="P2647" s="59"/>
      <c r="Q2647" s="59"/>
      <c r="R2647" s="60">
        <f>IF(AND(P2647="",Q2647=""),"",N(P2647)+N(Q2647))</f>
        <v/>
      </c>
      <c r="S2647" s="59"/>
      <c r="T2647" s="59"/>
      <c r="U2647" s="62">
        <f>IF(OR(R2647="",S2647="",T2647=""),"",IF(S2647+T2647=0,"",R2647/(S2647+T2647)))</f>
        <v/>
      </c>
      <c r="V2647" s="63"/>
      <c r="W2647" s="64"/>
      <c r="X2647" s="63"/>
    </row>
    <row r="2648" spans="2:24">
      <c r="B2648" s="58"/>
      <c r="C2648" s="59"/>
      <c r="D2648" s="59"/>
      <c r="E2648" s="59"/>
      <c r="F2648" s="59"/>
      <c r="G2648" s="60">
        <f>IF(OR(E2648="",F2648="",C2648="",D2648=""),"",IF(C2648+D2648=0,"",(E2648*C2648+F2648*D2648)/(C2648+D2648)))</f>
        <v/>
      </c>
      <c r="H2648" s="59"/>
      <c r="I2648" s="60">
        <f>IF(OR(H2648="",E2648="",C2648="",D2648=""),"",IF(C2648+D2648=0,"",(H2648*D2648+E2648*C2648)/(C2648+D2648)))</f>
        <v/>
      </c>
      <c r="J2648" s="59"/>
      <c r="K2648" s="61">
        <f>IF(OR(J2648="",I2648=""),"",J2648-I2648)</f>
        <v/>
      </c>
      <c r="L2648" s="61">
        <f>IF(OR(J2648="",G2648=""),"",J2648-G2648)</f>
        <v/>
      </c>
      <c r="M2648" s="59"/>
      <c r="N2648" s="59"/>
      <c r="O2648" s="59"/>
      <c r="P2648" s="59"/>
      <c r="Q2648" s="59"/>
      <c r="R2648" s="60">
        <f>IF(AND(P2648="",Q2648=""),"",N(P2648)+N(Q2648))</f>
        <v/>
      </c>
      <c r="S2648" s="59"/>
      <c r="T2648" s="59"/>
      <c r="U2648" s="62">
        <f>IF(OR(R2648="",S2648="",T2648=""),"",IF(S2648+T2648=0,"",R2648/(S2648+T2648)))</f>
        <v/>
      </c>
      <c r="V2648" s="63"/>
      <c r="W2648" s="64"/>
      <c r="X2648" s="63"/>
    </row>
    <row r="2649" spans="2:24">
      <c r="B2649" s="58"/>
      <c r="C2649" s="59"/>
      <c r="D2649" s="59"/>
      <c r="E2649" s="59"/>
      <c r="F2649" s="59"/>
      <c r="G2649" s="60">
        <f>IF(OR(E2649="",F2649="",C2649="",D2649=""),"",IF(C2649+D2649=0,"",(E2649*C2649+F2649*D2649)/(C2649+D2649)))</f>
        <v/>
      </c>
      <c r="H2649" s="59"/>
      <c r="I2649" s="60">
        <f>IF(OR(H2649="",E2649="",C2649="",D2649=""),"",IF(C2649+D2649=0,"",(H2649*D2649+E2649*C2649)/(C2649+D2649)))</f>
        <v/>
      </c>
      <c r="J2649" s="59"/>
      <c r="K2649" s="61">
        <f>IF(OR(J2649="",I2649=""),"",J2649-I2649)</f>
        <v/>
      </c>
      <c r="L2649" s="61">
        <f>IF(OR(J2649="",G2649=""),"",J2649-G2649)</f>
        <v/>
      </c>
      <c r="M2649" s="59"/>
      <c r="N2649" s="59"/>
      <c r="O2649" s="59"/>
      <c r="P2649" s="59"/>
      <c r="Q2649" s="59"/>
      <c r="R2649" s="60">
        <f>IF(AND(P2649="",Q2649=""),"",N(P2649)+N(Q2649))</f>
        <v/>
      </c>
      <c r="S2649" s="59"/>
      <c r="T2649" s="59"/>
      <c r="U2649" s="62">
        <f>IF(OR(R2649="",S2649="",T2649=""),"",IF(S2649+T2649=0,"",R2649/(S2649+T2649)))</f>
        <v/>
      </c>
      <c r="V2649" s="63"/>
      <c r="W2649" s="64"/>
      <c r="X2649" s="63"/>
    </row>
    <row r="2650" spans="2:24">
      <c r="B2650" s="58"/>
      <c r="C2650" s="59"/>
      <c r="D2650" s="59"/>
      <c r="E2650" s="59"/>
      <c r="F2650" s="59"/>
      <c r="G2650" s="60">
        <f>IF(OR(E2650="",F2650="",C2650="",D2650=""),"",IF(C2650+D2650=0,"",(E2650*C2650+F2650*D2650)/(C2650+D2650)))</f>
        <v/>
      </c>
      <c r="H2650" s="59"/>
      <c r="I2650" s="60">
        <f>IF(OR(H2650="",E2650="",C2650="",D2650=""),"",IF(C2650+D2650=0,"",(H2650*D2650+E2650*C2650)/(C2650+D2650)))</f>
        <v/>
      </c>
      <c r="J2650" s="59"/>
      <c r="K2650" s="61">
        <f>IF(OR(J2650="",I2650=""),"",J2650-I2650)</f>
        <v/>
      </c>
      <c r="L2650" s="61">
        <f>IF(OR(J2650="",G2650=""),"",J2650-G2650)</f>
        <v/>
      </c>
      <c r="M2650" s="59"/>
      <c r="N2650" s="59"/>
      <c r="O2650" s="59"/>
      <c r="P2650" s="59"/>
      <c r="Q2650" s="59"/>
      <c r="R2650" s="60">
        <f>IF(AND(P2650="",Q2650=""),"",N(P2650)+N(Q2650))</f>
        <v/>
      </c>
      <c r="S2650" s="59"/>
      <c r="T2650" s="59"/>
      <c r="U2650" s="62">
        <f>IF(OR(R2650="",S2650="",T2650=""),"",IF(S2650+T2650=0,"",R2650/(S2650+T2650)))</f>
        <v/>
      </c>
      <c r="V2650" s="63"/>
      <c r="W2650" s="64"/>
      <c r="X2650" s="63"/>
    </row>
    <row r="2651" spans="2:24">
      <c r="B2651" s="58"/>
      <c r="C2651" s="59"/>
      <c r="D2651" s="59"/>
      <c r="E2651" s="59"/>
      <c r="F2651" s="59"/>
      <c r="G2651" s="60">
        <f>IF(OR(E2651="",F2651="",C2651="",D2651=""),"",IF(C2651+D2651=0,"",(E2651*C2651+F2651*D2651)/(C2651+D2651)))</f>
        <v/>
      </c>
      <c r="H2651" s="59"/>
      <c r="I2651" s="60">
        <f>IF(OR(H2651="",E2651="",C2651="",D2651=""),"",IF(C2651+D2651=0,"",(H2651*D2651+E2651*C2651)/(C2651+D2651)))</f>
        <v/>
      </c>
      <c r="J2651" s="59"/>
      <c r="K2651" s="61">
        <f>IF(OR(J2651="",I2651=""),"",J2651-I2651)</f>
        <v/>
      </c>
      <c r="L2651" s="61">
        <f>IF(OR(J2651="",G2651=""),"",J2651-G2651)</f>
        <v/>
      </c>
      <c r="M2651" s="59"/>
      <c r="N2651" s="59"/>
      <c r="O2651" s="59"/>
      <c r="P2651" s="59"/>
      <c r="Q2651" s="59"/>
      <c r="R2651" s="60">
        <f>IF(AND(P2651="",Q2651=""),"",N(P2651)+N(Q2651))</f>
        <v/>
      </c>
      <c r="S2651" s="59"/>
      <c r="T2651" s="59"/>
      <c r="U2651" s="62">
        <f>IF(OR(R2651="",S2651="",T2651=""),"",IF(S2651+T2651=0,"",R2651/(S2651+T2651)))</f>
        <v/>
      </c>
      <c r="V2651" s="63"/>
      <c r="W2651" s="64"/>
      <c r="X2651" s="63"/>
    </row>
    <row r="2652" spans="2:24">
      <c r="B2652" s="58"/>
      <c r="C2652" s="59"/>
      <c r="D2652" s="59"/>
      <c r="E2652" s="59"/>
      <c r="F2652" s="59"/>
      <c r="G2652" s="60">
        <f>IF(OR(E2652="",F2652="",C2652="",D2652=""),"",IF(C2652+D2652=0,"",(E2652*C2652+F2652*D2652)/(C2652+D2652)))</f>
        <v/>
      </c>
      <c r="H2652" s="59"/>
      <c r="I2652" s="60">
        <f>IF(OR(H2652="",E2652="",C2652="",D2652=""),"",IF(C2652+D2652=0,"",(H2652*D2652+E2652*C2652)/(C2652+D2652)))</f>
        <v/>
      </c>
      <c r="J2652" s="59"/>
      <c r="K2652" s="61">
        <f>IF(OR(J2652="",I2652=""),"",J2652-I2652)</f>
        <v/>
      </c>
      <c r="L2652" s="61">
        <f>IF(OR(J2652="",G2652=""),"",J2652-G2652)</f>
        <v/>
      </c>
      <c r="M2652" s="59"/>
      <c r="N2652" s="59"/>
      <c r="O2652" s="59"/>
      <c r="P2652" s="59"/>
      <c r="Q2652" s="59"/>
      <c r="R2652" s="60">
        <f>IF(AND(P2652="",Q2652=""),"",N(P2652)+N(Q2652))</f>
        <v/>
      </c>
      <c r="S2652" s="59"/>
      <c r="T2652" s="59"/>
      <c r="U2652" s="62">
        <f>IF(OR(R2652="",S2652="",T2652=""),"",IF(S2652+T2652=0,"",R2652/(S2652+T2652)))</f>
        <v/>
      </c>
      <c r="V2652" s="63"/>
      <c r="W2652" s="64"/>
      <c r="X2652" s="63"/>
    </row>
    <row r="2653" spans="2:24">
      <c r="B2653" s="58"/>
      <c r="C2653" s="59"/>
      <c r="D2653" s="59"/>
      <c r="E2653" s="59"/>
      <c r="F2653" s="59"/>
      <c r="G2653" s="60">
        <f>IF(OR(E2653="",F2653="",C2653="",D2653=""),"",IF(C2653+D2653=0,"",(E2653*C2653+F2653*D2653)/(C2653+D2653)))</f>
        <v/>
      </c>
      <c r="H2653" s="59"/>
      <c r="I2653" s="60">
        <f>IF(OR(H2653="",E2653="",C2653="",D2653=""),"",IF(C2653+D2653=0,"",(H2653*D2653+E2653*C2653)/(C2653+D2653)))</f>
        <v/>
      </c>
      <c r="J2653" s="59"/>
      <c r="K2653" s="61">
        <f>IF(OR(J2653="",I2653=""),"",J2653-I2653)</f>
        <v/>
      </c>
      <c r="L2653" s="61">
        <f>IF(OR(J2653="",G2653=""),"",J2653-G2653)</f>
        <v/>
      </c>
      <c r="M2653" s="59"/>
      <c r="N2653" s="59"/>
      <c r="O2653" s="59"/>
      <c r="P2653" s="59"/>
      <c r="Q2653" s="59"/>
      <c r="R2653" s="60">
        <f>IF(AND(P2653="",Q2653=""),"",N(P2653)+N(Q2653))</f>
        <v/>
      </c>
      <c r="S2653" s="59"/>
      <c r="T2653" s="59"/>
      <c r="U2653" s="62">
        <f>IF(OR(R2653="",S2653="",T2653=""),"",IF(S2653+T2653=0,"",R2653/(S2653+T2653)))</f>
        <v/>
      </c>
      <c r="V2653" s="63"/>
      <c r="W2653" s="64"/>
      <c r="X2653" s="63"/>
    </row>
    <row r="2654" spans="2:24">
      <c r="B2654" s="58"/>
      <c r="C2654" s="59"/>
      <c r="D2654" s="59"/>
      <c r="E2654" s="59"/>
      <c r="F2654" s="59"/>
      <c r="G2654" s="60">
        <f>IF(OR(E2654="",F2654="",C2654="",D2654=""),"",IF(C2654+D2654=0,"",(E2654*C2654+F2654*D2654)/(C2654+D2654)))</f>
        <v/>
      </c>
      <c r="H2654" s="59"/>
      <c r="I2654" s="60">
        <f>IF(OR(H2654="",E2654="",C2654="",D2654=""),"",IF(C2654+D2654=0,"",(H2654*D2654+E2654*C2654)/(C2654+D2654)))</f>
        <v/>
      </c>
      <c r="J2654" s="59"/>
      <c r="K2654" s="61">
        <f>IF(OR(J2654="",I2654=""),"",J2654-I2654)</f>
        <v/>
      </c>
      <c r="L2654" s="61">
        <f>IF(OR(J2654="",G2654=""),"",J2654-G2654)</f>
        <v/>
      </c>
      <c r="M2654" s="59"/>
      <c r="N2654" s="59"/>
      <c r="O2654" s="59"/>
      <c r="P2654" s="59"/>
      <c r="Q2654" s="59"/>
      <c r="R2654" s="60">
        <f>IF(AND(P2654="",Q2654=""),"",N(P2654)+N(Q2654))</f>
        <v/>
      </c>
      <c r="S2654" s="59"/>
      <c r="T2654" s="59"/>
      <c r="U2654" s="62">
        <f>IF(OR(R2654="",S2654="",T2654=""),"",IF(S2654+T2654=0,"",R2654/(S2654+T2654)))</f>
        <v/>
      </c>
      <c r="V2654" s="63"/>
      <c r="W2654" s="64"/>
      <c r="X2654" s="63"/>
    </row>
    <row r="2655" spans="2:24">
      <c r="B2655" s="58"/>
      <c r="C2655" s="59"/>
      <c r="D2655" s="59"/>
      <c r="E2655" s="59"/>
      <c r="F2655" s="59"/>
      <c r="G2655" s="60">
        <f>IF(OR(E2655="",F2655="",C2655="",D2655=""),"",IF(C2655+D2655=0,"",(E2655*C2655+F2655*D2655)/(C2655+D2655)))</f>
        <v/>
      </c>
      <c r="H2655" s="59"/>
      <c r="I2655" s="60">
        <f>IF(OR(H2655="",E2655="",C2655="",D2655=""),"",IF(C2655+D2655=0,"",(H2655*D2655+E2655*C2655)/(C2655+D2655)))</f>
        <v/>
      </c>
      <c r="J2655" s="59"/>
      <c r="K2655" s="61">
        <f>IF(OR(J2655="",I2655=""),"",J2655-I2655)</f>
        <v/>
      </c>
      <c r="L2655" s="61">
        <f>IF(OR(J2655="",G2655=""),"",J2655-G2655)</f>
        <v/>
      </c>
      <c r="M2655" s="59"/>
      <c r="N2655" s="59"/>
      <c r="O2655" s="59"/>
      <c r="P2655" s="59"/>
      <c r="Q2655" s="59"/>
      <c r="R2655" s="60">
        <f>IF(AND(P2655="",Q2655=""),"",N(P2655)+N(Q2655))</f>
        <v/>
      </c>
      <c r="S2655" s="59"/>
      <c r="T2655" s="59"/>
      <c r="U2655" s="62">
        <f>IF(OR(R2655="",S2655="",T2655=""),"",IF(S2655+T2655=0,"",R2655/(S2655+T2655)))</f>
        <v/>
      </c>
      <c r="V2655" s="63"/>
      <c r="W2655" s="64"/>
      <c r="X2655" s="63"/>
    </row>
    <row r="2656" spans="2:24">
      <c r="B2656" s="58"/>
      <c r="C2656" s="59"/>
      <c r="D2656" s="59"/>
      <c r="E2656" s="59"/>
      <c r="F2656" s="59"/>
      <c r="G2656" s="60">
        <f>IF(OR(E2656="",F2656="",C2656="",D2656=""),"",IF(C2656+D2656=0,"",(E2656*C2656+F2656*D2656)/(C2656+D2656)))</f>
        <v/>
      </c>
      <c r="H2656" s="59"/>
      <c r="I2656" s="60">
        <f>IF(OR(H2656="",E2656="",C2656="",D2656=""),"",IF(C2656+D2656=0,"",(H2656*D2656+E2656*C2656)/(C2656+D2656)))</f>
        <v/>
      </c>
      <c r="J2656" s="59"/>
      <c r="K2656" s="61">
        <f>IF(OR(J2656="",I2656=""),"",J2656-I2656)</f>
        <v/>
      </c>
      <c r="L2656" s="61">
        <f>IF(OR(J2656="",G2656=""),"",J2656-G2656)</f>
        <v/>
      </c>
      <c r="M2656" s="59"/>
      <c r="N2656" s="59"/>
      <c r="O2656" s="59"/>
      <c r="P2656" s="59"/>
      <c r="Q2656" s="59"/>
      <c r="R2656" s="60">
        <f>IF(AND(P2656="",Q2656=""),"",N(P2656)+N(Q2656))</f>
        <v/>
      </c>
      <c r="S2656" s="59"/>
      <c r="T2656" s="59"/>
      <c r="U2656" s="62">
        <f>IF(OR(R2656="",S2656="",T2656=""),"",IF(S2656+T2656=0,"",R2656/(S2656+T2656)))</f>
        <v/>
      </c>
      <c r="V2656" s="63"/>
      <c r="W2656" s="64"/>
      <c r="X2656" s="63"/>
    </row>
    <row r="2657" spans="2:24">
      <c r="B2657" s="58"/>
      <c r="C2657" s="59"/>
      <c r="D2657" s="59"/>
      <c r="E2657" s="59"/>
      <c r="F2657" s="59"/>
      <c r="G2657" s="60">
        <f>IF(OR(E2657="",F2657="",C2657="",D2657=""),"",IF(C2657+D2657=0,"",(E2657*C2657+F2657*D2657)/(C2657+D2657)))</f>
        <v/>
      </c>
      <c r="H2657" s="59"/>
      <c r="I2657" s="60">
        <f>IF(OR(H2657="",E2657="",C2657="",D2657=""),"",IF(C2657+D2657=0,"",(H2657*D2657+E2657*C2657)/(C2657+D2657)))</f>
        <v/>
      </c>
      <c r="J2657" s="59"/>
      <c r="K2657" s="61">
        <f>IF(OR(J2657="",I2657=""),"",J2657-I2657)</f>
        <v/>
      </c>
      <c r="L2657" s="61">
        <f>IF(OR(J2657="",G2657=""),"",J2657-G2657)</f>
        <v/>
      </c>
      <c r="M2657" s="59"/>
      <c r="N2657" s="59"/>
      <c r="O2657" s="59"/>
      <c r="P2657" s="59"/>
      <c r="Q2657" s="59"/>
      <c r="R2657" s="60">
        <f>IF(AND(P2657="",Q2657=""),"",N(P2657)+N(Q2657))</f>
        <v/>
      </c>
      <c r="S2657" s="59"/>
      <c r="T2657" s="59"/>
      <c r="U2657" s="62">
        <f>IF(OR(R2657="",S2657="",T2657=""),"",IF(S2657+T2657=0,"",R2657/(S2657+T2657)))</f>
        <v/>
      </c>
      <c r="V2657" s="63"/>
      <c r="W2657" s="64"/>
      <c r="X2657" s="63"/>
    </row>
    <row r="2658" spans="2:24">
      <c r="B2658" s="58"/>
      <c r="C2658" s="59"/>
      <c r="D2658" s="59"/>
      <c r="E2658" s="59"/>
      <c r="F2658" s="59"/>
      <c r="G2658" s="60">
        <f>IF(OR(E2658="",F2658="",C2658="",D2658=""),"",IF(C2658+D2658=0,"",(E2658*C2658+F2658*D2658)/(C2658+D2658)))</f>
        <v/>
      </c>
      <c r="H2658" s="59"/>
      <c r="I2658" s="60">
        <f>IF(OR(H2658="",E2658="",C2658="",D2658=""),"",IF(C2658+D2658=0,"",(H2658*D2658+E2658*C2658)/(C2658+D2658)))</f>
        <v/>
      </c>
      <c r="J2658" s="59"/>
      <c r="K2658" s="61">
        <f>IF(OR(J2658="",I2658=""),"",J2658-I2658)</f>
        <v/>
      </c>
      <c r="L2658" s="61">
        <f>IF(OR(J2658="",G2658=""),"",J2658-G2658)</f>
        <v/>
      </c>
      <c r="M2658" s="59"/>
      <c r="N2658" s="59"/>
      <c r="O2658" s="59"/>
      <c r="P2658" s="59"/>
      <c r="Q2658" s="59"/>
      <c r="R2658" s="60">
        <f>IF(AND(P2658="",Q2658=""),"",N(P2658)+N(Q2658))</f>
        <v/>
      </c>
      <c r="S2658" s="59"/>
      <c r="T2658" s="59"/>
      <c r="U2658" s="62">
        <f>IF(OR(R2658="",S2658="",T2658=""),"",IF(S2658+T2658=0,"",R2658/(S2658+T2658)))</f>
        <v/>
      </c>
      <c r="V2658" s="63"/>
      <c r="W2658" s="64"/>
      <c r="X2658" s="63"/>
    </row>
    <row r="2659" spans="2:24">
      <c r="B2659" s="58"/>
      <c r="C2659" s="59"/>
      <c r="D2659" s="59"/>
      <c r="E2659" s="59"/>
      <c r="F2659" s="59"/>
      <c r="G2659" s="60">
        <f>IF(OR(E2659="",F2659="",C2659="",D2659=""),"",IF(C2659+D2659=0,"",(E2659*C2659+F2659*D2659)/(C2659+D2659)))</f>
        <v/>
      </c>
      <c r="H2659" s="59"/>
      <c r="I2659" s="60">
        <f>IF(OR(H2659="",E2659="",C2659="",D2659=""),"",IF(C2659+D2659=0,"",(H2659*D2659+E2659*C2659)/(C2659+D2659)))</f>
        <v/>
      </c>
      <c r="J2659" s="59"/>
      <c r="K2659" s="61">
        <f>IF(OR(J2659="",I2659=""),"",J2659-I2659)</f>
        <v/>
      </c>
      <c r="L2659" s="61">
        <f>IF(OR(J2659="",G2659=""),"",J2659-G2659)</f>
        <v/>
      </c>
      <c r="M2659" s="59"/>
      <c r="N2659" s="59"/>
      <c r="O2659" s="59"/>
      <c r="P2659" s="59"/>
      <c r="Q2659" s="59"/>
      <c r="R2659" s="60">
        <f>IF(AND(P2659="",Q2659=""),"",N(P2659)+N(Q2659))</f>
        <v/>
      </c>
      <c r="S2659" s="59"/>
      <c r="T2659" s="59"/>
      <c r="U2659" s="62">
        <f>IF(OR(R2659="",S2659="",T2659=""),"",IF(S2659+T2659=0,"",R2659/(S2659+T2659)))</f>
        <v/>
      </c>
      <c r="V2659" s="63"/>
      <c r="W2659" s="64"/>
      <c r="X2659" s="63"/>
    </row>
    <row r="2660" spans="2:24">
      <c r="B2660" s="58"/>
      <c r="C2660" s="59"/>
      <c r="D2660" s="59"/>
      <c r="E2660" s="59"/>
      <c r="F2660" s="59"/>
      <c r="G2660" s="60">
        <f>IF(OR(E2660="",F2660="",C2660="",D2660=""),"",IF(C2660+D2660=0,"",(E2660*C2660+F2660*D2660)/(C2660+D2660)))</f>
        <v/>
      </c>
      <c r="H2660" s="59"/>
      <c r="I2660" s="60">
        <f>IF(OR(H2660="",E2660="",C2660="",D2660=""),"",IF(C2660+D2660=0,"",(H2660*D2660+E2660*C2660)/(C2660+D2660)))</f>
        <v/>
      </c>
      <c r="J2660" s="59"/>
      <c r="K2660" s="61">
        <f>IF(OR(J2660="",I2660=""),"",J2660-I2660)</f>
        <v/>
      </c>
      <c r="L2660" s="61">
        <f>IF(OR(J2660="",G2660=""),"",J2660-G2660)</f>
        <v/>
      </c>
      <c r="M2660" s="59"/>
      <c r="N2660" s="59"/>
      <c r="O2660" s="59"/>
      <c r="P2660" s="59"/>
      <c r="Q2660" s="59"/>
      <c r="R2660" s="60">
        <f>IF(AND(P2660="",Q2660=""),"",N(P2660)+N(Q2660))</f>
        <v/>
      </c>
      <c r="S2660" s="59"/>
      <c r="T2660" s="59"/>
      <c r="U2660" s="62">
        <f>IF(OR(R2660="",S2660="",T2660=""),"",IF(S2660+T2660=0,"",R2660/(S2660+T2660)))</f>
        <v/>
      </c>
      <c r="V2660" s="63"/>
      <c r="W2660" s="64"/>
      <c r="X2660" s="63"/>
    </row>
    <row r="2661" spans="2:24">
      <c r="B2661" s="58"/>
      <c r="C2661" s="59"/>
      <c r="D2661" s="59"/>
      <c r="E2661" s="59"/>
      <c r="F2661" s="59"/>
      <c r="G2661" s="60">
        <f>IF(OR(E2661="",F2661="",C2661="",D2661=""),"",IF(C2661+D2661=0,"",(E2661*C2661+F2661*D2661)/(C2661+D2661)))</f>
        <v/>
      </c>
      <c r="H2661" s="59"/>
      <c r="I2661" s="60">
        <f>IF(OR(H2661="",E2661="",C2661="",D2661=""),"",IF(C2661+D2661=0,"",(H2661*D2661+E2661*C2661)/(C2661+D2661)))</f>
        <v/>
      </c>
      <c r="J2661" s="59"/>
      <c r="K2661" s="61">
        <f>IF(OR(J2661="",I2661=""),"",J2661-I2661)</f>
        <v/>
      </c>
      <c r="L2661" s="61">
        <f>IF(OR(J2661="",G2661=""),"",J2661-G2661)</f>
        <v/>
      </c>
      <c r="M2661" s="59"/>
      <c r="N2661" s="59"/>
      <c r="O2661" s="59"/>
      <c r="P2661" s="59"/>
      <c r="Q2661" s="59"/>
      <c r="R2661" s="60">
        <f>IF(AND(P2661="",Q2661=""),"",N(P2661)+N(Q2661))</f>
        <v/>
      </c>
      <c r="S2661" s="59"/>
      <c r="T2661" s="59"/>
      <c r="U2661" s="62">
        <f>IF(OR(R2661="",S2661="",T2661=""),"",IF(S2661+T2661=0,"",R2661/(S2661+T2661)))</f>
        <v/>
      </c>
      <c r="V2661" s="63"/>
      <c r="W2661" s="64"/>
      <c r="X2661" s="63"/>
    </row>
    <row r="2662" spans="2:24">
      <c r="B2662" s="58"/>
      <c r="C2662" s="59"/>
      <c r="D2662" s="59"/>
      <c r="E2662" s="59"/>
      <c r="F2662" s="59"/>
      <c r="G2662" s="60">
        <f>IF(OR(E2662="",F2662="",C2662="",D2662=""),"",IF(C2662+D2662=0,"",(E2662*C2662+F2662*D2662)/(C2662+D2662)))</f>
        <v/>
      </c>
      <c r="H2662" s="59"/>
      <c r="I2662" s="60">
        <f>IF(OR(H2662="",E2662="",C2662="",D2662=""),"",IF(C2662+D2662=0,"",(H2662*D2662+E2662*C2662)/(C2662+D2662)))</f>
        <v/>
      </c>
      <c r="J2662" s="59"/>
      <c r="K2662" s="61">
        <f>IF(OR(J2662="",I2662=""),"",J2662-I2662)</f>
        <v/>
      </c>
      <c r="L2662" s="61">
        <f>IF(OR(J2662="",G2662=""),"",J2662-G2662)</f>
        <v/>
      </c>
      <c r="M2662" s="59"/>
      <c r="N2662" s="59"/>
      <c r="O2662" s="59"/>
      <c r="P2662" s="59"/>
      <c r="Q2662" s="59"/>
      <c r="R2662" s="60">
        <f>IF(AND(P2662="",Q2662=""),"",N(P2662)+N(Q2662))</f>
        <v/>
      </c>
      <c r="S2662" s="59"/>
      <c r="T2662" s="59"/>
      <c r="U2662" s="62">
        <f>IF(OR(R2662="",S2662="",T2662=""),"",IF(S2662+T2662=0,"",R2662/(S2662+T2662)))</f>
        <v/>
      </c>
      <c r="V2662" s="63"/>
      <c r="W2662" s="64"/>
      <c r="X2662" s="63"/>
    </row>
    <row r="2663" spans="2:24">
      <c r="B2663" s="58"/>
      <c r="C2663" s="59"/>
      <c r="D2663" s="59"/>
      <c r="E2663" s="59"/>
      <c r="F2663" s="59"/>
      <c r="G2663" s="60">
        <f>IF(OR(E2663="",F2663="",C2663="",D2663=""),"",IF(C2663+D2663=0,"",(E2663*C2663+F2663*D2663)/(C2663+D2663)))</f>
        <v/>
      </c>
      <c r="H2663" s="59"/>
      <c r="I2663" s="60">
        <f>IF(OR(H2663="",E2663="",C2663="",D2663=""),"",IF(C2663+D2663=0,"",(H2663*D2663+E2663*C2663)/(C2663+D2663)))</f>
        <v/>
      </c>
      <c r="J2663" s="59"/>
      <c r="K2663" s="61">
        <f>IF(OR(J2663="",I2663=""),"",J2663-I2663)</f>
        <v/>
      </c>
      <c r="L2663" s="61">
        <f>IF(OR(J2663="",G2663=""),"",J2663-G2663)</f>
        <v/>
      </c>
      <c r="M2663" s="59"/>
      <c r="N2663" s="59"/>
      <c r="O2663" s="59"/>
      <c r="P2663" s="59"/>
      <c r="Q2663" s="59"/>
      <c r="R2663" s="60">
        <f>IF(AND(P2663="",Q2663=""),"",N(P2663)+N(Q2663))</f>
        <v/>
      </c>
      <c r="S2663" s="59"/>
      <c r="T2663" s="59"/>
      <c r="U2663" s="62">
        <f>IF(OR(R2663="",S2663="",T2663=""),"",IF(S2663+T2663=0,"",R2663/(S2663+T2663)))</f>
        <v/>
      </c>
      <c r="V2663" s="63"/>
      <c r="W2663" s="64"/>
      <c r="X2663" s="63"/>
    </row>
    <row r="2664" spans="2:24">
      <c r="B2664" s="58"/>
      <c r="C2664" s="59"/>
      <c r="D2664" s="59"/>
      <c r="E2664" s="59"/>
      <c r="F2664" s="59"/>
      <c r="G2664" s="60">
        <f>IF(OR(E2664="",F2664="",C2664="",D2664=""),"",IF(C2664+D2664=0,"",(E2664*C2664+F2664*D2664)/(C2664+D2664)))</f>
        <v/>
      </c>
      <c r="H2664" s="59"/>
      <c r="I2664" s="60">
        <f>IF(OR(H2664="",E2664="",C2664="",D2664=""),"",IF(C2664+D2664=0,"",(H2664*D2664+E2664*C2664)/(C2664+D2664)))</f>
        <v/>
      </c>
      <c r="J2664" s="59"/>
      <c r="K2664" s="61">
        <f>IF(OR(J2664="",I2664=""),"",J2664-I2664)</f>
        <v/>
      </c>
      <c r="L2664" s="61">
        <f>IF(OR(J2664="",G2664=""),"",J2664-G2664)</f>
        <v/>
      </c>
      <c r="M2664" s="59"/>
      <c r="N2664" s="59"/>
      <c r="O2664" s="59"/>
      <c r="P2664" s="59"/>
      <c r="Q2664" s="59"/>
      <c r="R2664" s="60">
        <f>IF(AND(P2664="",Q2664=""),"",N(P2664)+N(Q2664))</f>
        <v/>
      </c>
      <c r="S2664" s="59"/>
      <c r="T2664" s="59"/>
      <c r="U2664" s="62">
        <f>IF(OR(R2664="",S2664="",T2664=""),"",IF(S2664+T2664=0,"",R2664/(S2664+T2664)))</f>
        <v/>
      </c>
      <c r="V2664" s="63"/>
      <c r="W2664" s="64"/>
      <c r="X2664" s="63"/>
    </row>
    <row r="2665" spans="2:24">
      <c r="B2665" s="58"/>
      <c r="C2665" s="59"/>
      <c r="D2665" s="59"/>
      <c r="E2665" s="59"/>
      <c r="F2665" s="59"/>
      <c r="G2665" s="60">
        <f>IF(OR(E2665="",F2665="",C2665="",D2665=""),"",IF(C2665+D2665=0,"",(E2665*C2665+F2665*D2665)/(C2665+D2665)))</f>
        <v/>
      </c>
      <c r="H2665" s="59"/>
      <c r="I2665" s="60">
        <f>IF(OR(H2665="",E2665="",C2665="",D2665=""),"",IF(C2665+D2665=0,"",(H2665*D2665+E2665*C2665)/(C2665+D2665)))</f>
        <v/>
      </c>
      <c r="J2665" s="59"/>
      <c r="K2665" s="61">
        <f>IF(OR(J2665="",I2665=""),"",J2665-I2665)</f>
        <v/>
      </c>
      <c r="L2665" s="61">
        <f>IF(OR(J2665="",G2665=""),"",J2665-G2665)</f>
        <v/>
      </c>
      <c r="M2665" s="59"/>
      <c r="N2665" s="59"/>
      <c r="O2665" s="59"/>
      <c r="P2665" s="59"/>
      <c r="Q2665" s="59"/>
      <c r="R2665" s="60">
        <f>IF(AND(P2665="",Q2665=""),"",N(P2665)+N(Q2665))</f>
        <v/>
      </c>
      <c r="S2665" s="59"/>
      <c r="T2665" s="59"/>
      <c r="U2665" s="62">
        <f>IF(OR(R2665="",S2665="",T2665=""),"",IF(S2665+T2665=0,"",R2665/(S2665+T2665)))</f>
        <v/>
      </c>
      <c r="V2665" s="63"/>
      <c r="W2665" s="64"/>
      <c r="X2665" s="63"/>
    </row>
    <row r="2666" spans="2:24">
      <c r="B2666" s="58"/>
      <c r="C2666" s="59"/>
      <c r="D2666" s="59"/>
      <c r="E2666" s="59"/>
      <c r="F2666" s="59"/>
      <c r="G2666" s="60">
        <f>IF(OR(E2666="",F2666="",C2666="",D2666=""),"",IF(C2666+D2666=0,"",(E2666*C2666+F2666*D2666)/(C2666+D2666)))</f>
        <v/>
      </c>
      <c r="H2666" s="59"/>
      <c r="I2666" s="60">
        <f>IF(OR(H2666="",E2666="",C2666="",D2666=""),"",IF(C2666+D2666=0,"",(H2666*D2666+E2666*C2666)/(C2666+D2666)))</f>
        <v/>
      </c>
      <c r="J2666" s="59"/>
      <c r="K2666" s="61">
        <f>IF(OR(J2666="",I2666=""),"",J2666-I2666)</f>
        <v/>
      </c>
      <c r="L2666" s="61">
        <f>IF(OR(J2666="",G2666=""),"",J2666-G2666)</f>
        <v/>
      </c>
      <c r="M2666" s="59"/>
      <c r="N2666" s="59"/>
      <c r="O2666" s="59"/>
      <c r="P2666" s="59"/>
      <c r="Q2666" s="59"/>
      <c r="R2666" s="60">
        <f>IF(AND(P2666="",Q2666=""),"",N(P2666)+N(Q2666))</f>
        <v/>
      </c>
      <c r="S2666" s="59"/>
      <c r="T2666" s="59"/>
      <c r="U2666" s="62">
        <f>IF(OR(R2666="",S2666="",T2666=""),"",IF(S2666+T2666=0,"",R2666/(S2666+T2666)))</f>
        <v/>
      </c>
      <c r="V2666" s="63"/>
      <c r="W2666" s="64"/>
      <c r="X2666" s="63"/>
    </row>
    <row r="2667" spans="2:24">
      <c r="B2667" s="58"/>
      <c r="C2667" s="59"/>
      <c r="D2667" s="59"/>
      <c r="E2667" s="59"/>
      <c r="F2667" s="59"/>
      <c r="G2667" s="60">
        <f>IF(OR(E2667="",F2667="",C2667="",D2667=""),"",IF(C2667+D2667=0,"",(E2667*C2667+F2667*D2667)/(C2667+D2667)))</f>
        <v/>
      </c>
      <c r="H2667" s="59"/>
      <c r="I2667" s="60">
        <f>IF(OR(H2667="",E2667="",C2667="",D2667=""),"",IF(C2667+D2667=0,"",(H2667*D2667+E2667*C2667)/(C2667+D2667)))</f>
        <v/>
      </c>
      <c r="J2667" s="59"/>
      <c r="K2667" s="61">
        <f>IF(OR(J2667="",I2667=""),"",J2667-I2667)</f>
        <v/>
      </c>
      <c r="L2667" s="61">
        <f>IF(OR(J2667="",G2667=""),"",J2667-G2667)</f>
        <v/>
      </c>
      <c r="M2667" s="59"/>
      <c r="N2667" s="59"/>
      <c r="O2667" s="59"/>
      <c r="P2667" s="59"/>
      <c r="Q2667" s="59"/>
      <c r="R2667" s="60">
        <f>IF(AND(P2667="",Q2667=""),"",N(P2667)+N(Q2667))</f>
        <v/>
      </c>
      <c r="S2667" s="59"/>
      <c r="T2667" s="59"/>
      <c r="U2667" s="62">
        <f>IF(OR(R2667="",S2667="",T2667=""),"",IF(S2667+T2667=0,"",R2667/(S2667+T2667)))</f>
        <v/>
      </c>
      <c r="V2667" s="63"/>
      <c r="W2667" s="64"/>
      <c r="X2667" s="63"/>
    </row>
    <row r="2668" spans="2:24">
      <c r="B2668" s="58"/>
      <c r="C2668" s="59"/>
      <c r="D2668" s="59"/>
      <c r="E2668" s="59"/>
      <c r="F2668" s="59"/>
      <c r="G2668" s="60">
        <f>IF(OR(E2668="",F2668="",C2668="",D2668=""),"",IF(C2668+D2668=0,"",(E2668*C2668+F2668*D2668)/(C2668+D2668)))</f>
        <v/>
      </c>
      <c r="H2668" s="59"/>
      <c r="I2668" s="60">
        <f>IF(OR(H2668="",E2668="",C2668="",D2668=""),"",IF(C2668+D2668=0,"",(H2668*D2668+E2668*C2668)/(C2668+D2668)))</f>
        <v/>
      </c>
      <c r="J2668" s="59"/>
      <c r="K2668" s="61">
        <f>IF(OR(J2668="",I2668=""),"",J2668-I2668)</f>
        <v/>
      </c>
      <c r="L2668" s="61">
        <f>IF(OR(J2668="",G2668=""),"",J2668-G2668)</f>
        <v/>
      </c>
      <c r="M2668" s="59"/>
      <c r="N2668" s="59"/>
      <c r="O2668" s="59"/>
      <c r="P2668" s="59"/>
      <c r="Q2668" s="59"/>
      <c r="R2668" s="60">
        <f>IF(AND(P2668="",Q2668=""),"",N(P2668)+N(Q2668))</f>
        <v/>
      </c>
      <c r="S2668" s="59"/>
      <c r="T2668" s="59"/>
      <c r="U2668" s="62">
        <f>IF(OR(R2668="",S2668="",T2668=""),"",IF(S2668+T2668=0,"",R2668/(S2668+T2668)))</f>
        <v/>
      </c>
      <c r="V2668" s="63"/>
      <c r="W2668" s="64"/>
      <c r="X2668" s="63"/>
    </row>
    <row r="2669" spans="2:24">
      <c r="B2669" s="58"/>
      <c r="C2669" s="59"/>
      <c r="D2669" s="59"/>
      <c r="E2669" s="59"/>
      <c r="F2669" s="59"/>
      <c r="G2669" s="60">
        <f>IF(OR(E2669="",F2669="",C2669="",D2669=""),"",IF(C2669+D2669=0,"",(E2669*C2669+F2669*D2669)/(C2669+D2669)))</f>
        <v/>
      </c>
      <c r="H2669" s="59"/>
      <c r="I2669" s="60">
        <f>IF(OR(H2669="",E2669="",C2669="",D2669=""),"",IF(C2669+D2669=0,"",(H2669*D2669+E2669*C2669)/(C2669+D2669)))</f>
        <v/>
      </c>
      <c r="J2669" s="59"/>
      <c r="K2669" s="61">
        <f>IF(OR(J2669="",I2669=""),"",J2669-I2669)</f>
        <v/>
      </c>
      <c r="L2669" s="61">
        <f>IF(OR(J2669="",G2669=""),"",J2669-G2669)</f>
        <v/>
      </c>
      <c r="M2669" s="59"/>
      <c r="N2669" s="59"/>
      <c r="O2669" s="59"/>
      <c r="P2669" s="59"/>
      <c r="Q2669" s="59"/>
      <c r="R2669" s="60">
        <f>IF(AND(P2669="",Q2669=""),"",N(P2669)+N(Q2669))</f>
        <v/>
      </c>
      <c r="S2669" s="59"/>
      <c r="T2669" s="59"/>
      <c r="U2669" s="62">
        <f>IF(OR(R2669="",S2669="",T2669=""),"",IF(S2669+T2669=0,"",R2669/(S2669+T2669)))</f>
        <v/>
      </c>
      <c r="V2669" s="63"/>
      <c r="W2669" s="64"/>
      <c r="X2669" s="63"/>
    </row>
    <row r="2670" spans="2:24">
      <c r="B2670" s="58"/>
      <c r="C2670" s="59"/>
      <c r="D2670" s="59"/>
      <c r="E2670" s="59"/>
      <c r="F2670" s="59"/>
      <c r="G2670" s="60">
        <f>IF(OR(E2670="",F2670="",C2670="",D2670=""),"",IF(C2670+D2670=0,"",(E2670*C2670+F2670*D2670)/(C2670+D2670)))</f>
        <v/>
      </c>
      <c r="H2670" s="59"/>
      <c r="I2670" s="60">
        <f>IF(OR(H2670="",E2670="",C2670="",D2670=""),"",IF(C2670+D2670=0,"",(H2670*D2670+E2670*C2670)/(C2670+D2670)))</f>
        <v/>
      </c>
      <c r="J2670" s="59"/>
      <c r="K2670" s="61">
        <f>IF(OR(J2670="",I2670=""),"",J2670-I2670)</f>
        <v/>
      </c>
      <c r="L2670" s="61">
        <f>IF(OR(J2670="",G2670=""),"",J2670-G2670)</f>
        <v/>
      </c>
      <c r="M2670" s="59"/>
      <c r="N2670" s="59"/>
      <c r="O2670" s="59"/>
      <c r="P2670" s="59"/>
      <c r="Q2670" s="59"/>
      <c r="R2670" s="60">
        <f>IF(AND(P2670="",Q2670=""),"",N(P2670)+N(Q2670))</f>
        <v/>
      </c>
      <c r="S2670" s="59"/>
      <c r="T2670" s="59"/>
      <c r="U2670" s="62">
        <f>IF(OR(R2670="",S2670="",T2670=""),"",IF(S2670+T2670=0,"",R2670/(S2670+T2670)))</f>
        <v/>
      </c>
      <c r="V2670" s="63"/>
      <c r="W2670" s="64"/>
      <c r="X2670" s="63"/>
    </row>
    <row r="2671" spans="2:24">
      <c r="B2671" s="58"/>
      <c r="C2671" s="59"/>
      <c r="D2671" s="59"/>
      <c r="E2671" s="59"/>
      <c r="F2671" s="59"/>
      <c r="G2671" s="60">
        <f>IF(OR(E2671="",F2671="",C2671="",D2671=""),"",IF(C2671+D2671=0,"",(E2671*C2671+F2671*D2671)/(C2671+D2671)))</f>
        <v/>
      </c>
      <c r="H2671" s="59"/>
      <c r="I2671" s="60">
        <f>IF(OR(H2671="",E2671="",C2671="",D2671=""),"",IF(C2671+D2671=0,"",(H2671*D2671+E2671*C2671)/(C2671+D2671)))</f>
        <v/>
      </c>
      <c r="J2671" s="59"/>
      <c r="K2671" s="61">
        <f>IF(OR(J2671="",I2671=""),"",J2671-I2671)</f>
        <v/>
      </c>
      <c r="L2671" s="61">
        <f>IF(OR(J2671="",G2671=""),"",J2671-G2671)</f>
        <v/>
      </c>
      <c r="M2671" s="59"/>
      <c r="N2671" s="59"/>
      <c r="O2671" s="59"/>
      <c r="P2671" s="59"/>
      <c r="Q2671" s="59"/>
      <c r="R2671" s="60">
        <f>IF(AND(P2671="",Q2671=""),"",N(P2671)+N(Q2671))</f>
        <v/>
      </c>
      <c r="S2671" s="59"/>
      <c r="T2671" s="59"/>
      <c r="U2671" s="62">
        <f>IF(OR(R2671="",S2671="",T2671=""),"",IF(S2671+T2671=0,"",R2671/(S2671+T2671)))</f>
        <v/>
      </c>
      <c r="V2671" s="63"/>
      <c r="W2671" s="64"/>
      <c r="X2671" s="63"/>
    </row>
    <row r="2672" spans="2:24">
      <c r="B2672" s="58"/>
      <c r="C2672" s="59"/>
      <c r="D2672" s="59"/>
      <c r="E2672" s="59"/>
      <c r="F2672" s="59"/>
      <c r="G2672" s="60">
        <f>IF(OR(E2672="",F2672="",C2672="",D2672=""),"",IF(C2672+D2672=0,"",(E2672*C2672+F2672*D2672)/(C2672+D2672)))</f>
        <v/>
      </c>
      <c r="H2672" s="59"/>
      <c r="I2672" s="60">
        <f>IF(OR(H2672="",E2672="",C2672="",D2672=""),"",IF(C2672+D2672=0,"",(H2672*D2672+E2672*C2672)/(C2672+D2672)))</f>
        <v/>
      </c>
      <c r="J2672" s="59"/>
      <c r="K2672" s="61">
        <f>IF(OR(J2672="",I2672=""),"",J2672-I2672)</f>
        <v/>
      </c>
      <c r="L2672" s="61">
        <f>IF(OR(J2672="",G2672=""),"",J2672-G2672)</f>
        <v/>
      </c>
      <c r="M2672" s="59"/>
      <c r="N2672" s="59"/>
      <c r="O2672" s="59"/>
      <c r="P2672" s="59"/>
      <c r="Q2672" s="59"/>
      <c r="R2672" s="60">
        <f>IF(AND(P2672="",Q2672=""),"",N(P2672)+N(Q2672))</f>
        <v/>
      </c>
      <c r="S2672" s="59"/>
      <c r="T2672" s="59"/>
      <c r="U2672" s="62">
        <f>IF(OR(R2672="",S2672="",T2672=""),"",IF(S2672+T2672=0,"",R2672/(S2672+T2672)))</f>
        <v/>
      </c>
      <c r="V2672" s="63"/>
      <c r="W2672" s="64"/>
      <c r="X2672" s="63"/>
    </row>
    <row r="2673" spans="2:24">
      <c r="B2673" s="58"/>
      <c r="C2673" s="59"/>
      <c r="D2673" s="59"/>
      <c r="E2673" s="59"/>
      <c r="F2673" s="59"/>
      <c r="G2673" s="60">
        <f>IF(OR(E2673="",F2673="",C2673="",D2673=""),"",IF(C2673+D2673=0,"",(E2673*C2673+F2673*D2673)/(C2673+D2673)))</f>
        <v/>
      </c>
      <c r="H2673" s="59"/>
      <c r="I2673" s="60">
        <f>IF(OR(H2673="",E2673="",C2673="",D2673=""),"",IF(C2673+D2673=0,"",(H2673*D2673+E2673*C2673)/(C2673+D2673)))</f>
        <v/>
      </c>
      <c r="J2673" s="59"/>
      <c r="K2673" s="61">
        <f>IF(OR(J2673="",I2673=""),"",J2673-I2673)</f>
        <v/>
      </c>
      <c r="L2673" s="61">
        <f>IF(OR(J2673="",G2673=""),"",J2673-G2673)</f>
        <v/>
      </c>
      <c r="M2673" s="59"/>
      <c r="N2673" s="59"/>
      <c r="O2673" s="59"/>
      <c r="P2673" s="59"/>
      <c r="Q2673" s="59"/>
      <c r="R2673" s="60">
        <f>IF(AND(P2673="",Q2673=""),"",N(P2673)+N(Q2673))</f>
        <v/>
      </c>
      <c r="S2673" s="59"/>
      <c r="T2673" s="59"/>
      <c r="U2673" s="62">
        <f>IF(OR(R2673="",S2673="",T2673=""),"",IF(S2673+T2673=0,"",R2673/(S2673+T2673)))</f>
        <v/>
      </c>
      <c r="V2673" s="63"/>
      <c r="W2673" s="64"/>
      <c r="X2673" s="63"/>
    </row>
    <row r="2674" spans="2:24">
      <c r="B2674" s="58"/>
      <c r="C2674" s="59"/>
      <c r="D2674" s="59"/>
      <c r="E2674" s="59"/>
      <c r="F2674" s="59"/>
      <c r="G2674" s="60">
        <f>IF(OR(E2674="",F2674="",C2674="",D2674=""),"",IF(C2674+D2674=0,"",(E2674*C2674+F2674*D2674)/(C2674+D2674)))</f>
        <v/>
      </c>
      <c r="H2674" s="59"/>
      <c r="I2674" s="60">
        <f>IF(OR(H2674="",E2674="",C2674="",D2674=""),"",IF(C2674+D2674=0,"",(H2674*D2674+E2674*C2674)/(C2674+D2674)))</f>
        <v/>
      </c>
      <c r="J2674" s="59"/>
      <c r="K2674" s="61">
        <f>IF(OR(J2674="",I2674=""),"",J2674-I2674)</f>
        <v/>
      </c>
      <c r="L2674" s="61">
        <f>IF(OR(J2674="",G2674=""),"",J2674-G2674)</f>
        <v/>
      </c>
      <c r="M2674" s="59"/>
      <c r="N2674" s="59"/>
      <c r="O2674" s="59"/>
      <c r="P2674" s="59"/>
      <c r="Q2674" s="59"/>
      <c r="R2674" s="60">
        <f>IF(AND(P2674="",Q2674=""),"",N(P2674)+N(Q2674))</f>
        <v/>
      </c>
      <c r="S2674" s="59"/>
      <c r="T2674" s="59"/>
      <c r="U2674" s="62">
        <f>IF(OR(R2674="",S2674="",T2674=""),"",IF(S2674+T2674=0,"",R2674/(S2674+T2674)))</f>
        <v/>
      </c>
      <c r="V2674" s="63"/>
      <c r="W2674" s="64"/>
      <c r="X2674" s="63"/>
    </row>
    <row r="2675" spans="2:24">
      <c r="B2675" s="58"/>
      <c r="C2675" s="59"/>
      <c r="D2675" s="59"/>
      <c r="E2675" s="59"/>
      <c r="F2675" s="59"/>
      <c r="G2675" s="60">
        <f>IF(OR(E2675="",F2675="",C2675="",D2675=""),"",IF(C2675+D2675=0,"",(E2675*C2675+F2675*D2675)/(C2675+D2675)))</f>
        <v/>
      </c>
      <c r="H2675" s="59"/>
      <c r="I2675" s="60">
        <f>IF(OR(H2675="",E2675="",C2675="",D2675=""),"",IF(C2675+D2675=0,"",(H2675*D2675+E2675*C2675)/(C2675+D2675)))</f>
        <v/>
      </c>
      <c r="J2675" s="59"/>
      <c r="K2675" s="61">
        <f>IF(OR(J2675="",I2675=""),"",J2675-I2675)</f>
        <v/>
      </c>
      <c r="L2675" s="61">
        <f>IF(OR(J2675="",G2675=""),"",J2675-G2675)</f>
        <v/>
      </c>
      <c r="M2675" s="59"/>
      <c r="N2675" s="59"/>
      <c r="O2675" s="59"/>
      <c r="P2675" s="59"/>
      <c r="Q2675" s="59"/>
      <c r="R2675" s="60">
        <f>IF(AND(P2675="",Q2675=""),"",N(P2675)+N(Q2675))</f>
        <v/>
      </c>
      <c r="S2675" s="59"/>
      <c r="T2675" s="59"/>
      <c r="U2675" s="62">
        <f>IF(OR(R2675="",S2675="",T2675=""),"",IF(S2675+T2675=0,"",R2675/(S2675+T2675)))</f>
        <v/>
      </c>
      <c r="V2675" s="63"/>
      <c r="W2675" s="64"/>
      <c r="X2675" s="63"/>
    </row>
    <row r="2676" spans="2:24">
      <c r="B2676" s="58"/>
      <c r="C2676" s="59"/>
      <c r="D2676" s="59"/>
      <c r="E2676" s="59"/>
      <c r="F2676" s="59"/>
      <c r="G2676" s="60">
        <f>IF(OR(E2676="",F2676="",C2676="",D2676=""),"",IF(C2676+D2676=0,"",(E2676*C2676+F2676*D2676)/(C2676+D2676)))</f>
        <v/>
      </c>
      <c r="H2676" s="59"/>
      <c r="I2676" s="60">
        <f>IF(OR(H2676="",E2676="",C2676="",D2676=""),"",IF(C2676+D2676=0,"",(H2676*D2676+E2676*C2676)/(C2676+D2676)))</f>
        <v/>
      </c>
      <c r="J2676" s="59"/>
      <c r="K2676" s="61">
        <f>IF(OR(J2676="",I2676=""),"",J2676-I2676)</f>
        <v/>
      </c>
      <c r="L2676" s="61">
        <f>IF(OR(J2676="",G2676=""),"",J2676-G2676)</f>
        <v/>
      </c>
      <c r="M2676" s="59"/>
      <c r="N2676" s="59"/>
      <c r="O2676" s="59"/>
      <c r="P2676" s="59"/>
      <c r="Q2676" s="59"/>
      <c r="R2676" s="60">
        <f>IF(AND(P2676="",Q2676=""),"",N(P2676)+N(Q2676))</f>
        <v/>
      </c>
      <c r="S2676" s="59"/>
      <c r="T2676" s="59"/>
      <c r="U2676" s="62">
        <f>IF(OR(R2676="",S2676="",T2676=""),"",IF(S2676+T2676=0,"",R2676/(S2676+T2676)))</f>
        <v/>
      </c>
      <c r="V2676" s="63"/>
      <c r="W2676" s="64"/>
      <c r="X2676" s="63"/>
    </row>
    <row r="2677" spans="2:24">
      <c r="B2677" s="58"/>
      <c r="C2677" s="59"/>
      <c r="D2677" s="59"/>
      <c r="E2677" s="59"/>
      <c r="F2677" s="59"/>
      <c r="G2677" s="60">
        <f>IF(OR(E2677="",F2677="",C2677="",D2677=""),"",IF(C2677+D2677=0,"",(E2677*C2677+F2677*D2677)/(C2677+D2677)))</f>
        <v/>
      </c>
      <c r="H2677" s="59"/>
      <c r="I2677" s="60">
        <f>IF(OR(H2677="",E2677="",C2677="",D2677=""),"",IF(C2677+D2677=0,"",(H2677*D2677+E2677*C2677)/(C2677+D2677)))</f>
        <v/>
      </c>
      <c r="J2677" s="59"/>
      <c r="K2677" s="61">
        <f>IF(OR(J2677="",I2677=""),"",J2677-I2677)</f>
        <v/>
      </c>
      <c r="L2677" s="61">
        <f>IF(OR(J2677="",G2677=""),"",J2677-G2677)</f>
        <v/>
      </c>
      <c r="M2677" s="59"/>
      <c r="N2677" s="59"/>
      <c r="O2677" s="59"/>
      <c r="P2677" s="59"/>
      <c r="Q2677" s="59"/>
      <c r="R2677" s="60">
        <f>IF(AND(P2677="",Q2677=""),"",N(P2677)+N(Q2677))</f>
        <v/>
      </c>
      <c r="S2677" s="59"/>
      <c r="T2677" s="59"/>
      <c r="U2677" s="62">
        <f>IF(OR(R2677="",S2677="",T2677=""),"",IF(S2677+T2677=0,"",R2677/(S2677+T2677)))</f>
        <v/>
      </c>
      <c r="V2677" s="63"/>
      <c r="W2677" s="64"/>
      <c r="X2677" s="63"/>
    </row>
    <row r="2678" spans="2:24">
      <c r="B2678" s="58"/>
      <c r="C2678" s="59"/>
      <c r="D2678" s="59"/>
      <c r="E2678" s="59"/>
      <c r="F2678" s="59"/>
      <c r="G2678" s="60">
        <f>IF(OR(E2678="",F2678="",C2678="",D2678=""),"",IF(C2678+D2678=0,"",(E2678*C2678+F2678*D2678)/(C2678+D2678)))</f>
        <v/>
      </c>
      <c r="H2678" s="59"/>
      <c r="I2678" s="60">
        <f>IF(OR(H2678="",E2678="",C2678="",D2678=""),"",IF(C2678+D2678=0,"",(H2678*D2678+E2678*C2678)/(C2678+D2678)))</f>
        <v/>
      </c>
      <c r="J2678" s="59"/>
      <c r="K2678" s="61">
        <f>IF(OR(J2678="",I2678=""),"",J2678-I2678)</f>
        <v/>
      </c>
      <c r="L2678" s="61">
        <f>IF(OR(J2678="",G2678=""),"",J2678-G2678)</f>
        <v/>
      </c>
      <c r="M2678" s="59"/>
      <c r="N2678" s="59"/>
      <c r="O2678" s="59"/>
      <c r="P2678" s="59"/>
      <c r="Q2678" s="59"/>
      <c r="R2678" s="60">
        <f>IF(AND(P2678="",Q2678=""),"",N(P2678)+N(Q2678))</f>
        <v/>
      </c>
      <c r="S2678" s="59"/>
      <c r="T2678" s="59"/>
      <c r="U2678" s="62">
        <f>IF(OR(R2678="",S2678="",T2678=""),"",IF(S2678+T2678=0,"",R2678/(S2678+T2678)))</f>
        <v/>
      </c>
      <c r="V2678" s="63"/>
      <c r="W2678" s="64"/>
      <c r="X2678" s="63"/>
    </row>
    <row r="2679" spans="2:24">
      <c r="B2679" s="58"/>
      <c r="C2679" s="59"/>
      <c r="D2679" s="59"/>
      <c r="E2679" s="59"/>
      <c r="F2679" s="59"/>
      <c r="G2679" s="60">
        <f>IF(OR(E2679="",F2679="",C2679="",D2679=""),"",IF(C2679+D2679=0,"",(E2679*C2679+F2679*D2679)/(C2679+D2679)))</f>
        <v/>
      </c>
      <c r="H2679" s="59"/>
      <c r="I2679" s="60">
        <f>IF(OR(H2679="",E2679="",C2679="",D2679=""),"",IF(C2679+D2679=0,"",(H2679*D2679+E2679*C2679)/(C2679+D2679)))</f>
        <v/>
      </c>
      <c r="J2679" s="59"/>
      <c r="K2679" s="61">
        <f>IF(OR(J2679="",I2679=""),"",J2679-I2679)</f>
        <v/>
      </c>
      <c r="L2679" s="61">
        <f>IF(OR(J2679="",G2679=""),"",J2679-G2679)</f>
        <v/>
      </c>
      <c r="M2679" s="59"/>
      <c r="N2679" s="59"/>
      <c r="O2679" s="59"/>
      <c r="P2679" s="59"/>
      <c r="Q2679" s="59"/>
      <c r="R2679" s="60">
        <f>IF(AND(P2679="",Q2679=""),"",N(P2679)+N(Q2679))</f>
        <v/>
      </c>
      <c r="S2679" s="59"/>
      <c r="T2679" s="59"/>
      <c r="U2679" s="62">
        <f>IF(OR(R2679="",S2679="",T2679=""),"",IF(S2679+T2679=0,"",R2679/(S2679+T2679)))</f>
        <v/>
      </c>
      <c r="V2679" s="63"/>
      <c r="W2679" s="64"/>
      <c r="X2679" s="63"/>
    </row>
    <row r="2680" spans="2:24">
      <c r="B2680" s="58"/>
      <c r="C2680" s="59"/>
      <c r="D2680" s="59"/>
      <c r="E2680" s="59"/>
      <c r="F2680" s="59"/>
      <c r="G2680" s="60">
        <f>IF(OR(E2680="",F2680="",C2680="",D2680=""),"",IF(C2680+D2680=0,"",(E2680*C2680+F2680*D2680)/(C2680+D2680)))</f>
        <v/>
      </c>
      <c r="H2680" s="59"/>
      <c r="I2680" s="60">
        <f>IF(OR(H2680="",E2680="",C2680="",D2680=""),"",IF(C2680+D2680=0,"",(H2680*D2680+E2680*C2680)/(C2680+D2680)))</f>
        <v/>
      </c>
      <c r="J2680" s="59"/>
      <c r="K2680" s="61">
        <f>IF(OR(J2680="",I2680=""),"",J2680-I2680)</f>
        <v/>
      </c>
      <c r="L2680" s="61">
        <f>IF(OR(J2680="",G2680=""),"",J2680-G2680)</f>
        <v/>
      </c>
      <c r="M2680" s="59"/>
      <c r="N2680" s="59"/>
      <c r="O2680" s="59"/>
      <c r="P2680" s="59"/>
      <c r="Q2680" s="59"/>
      <c r="R2680" s="60">
        <f>IF(AND(P2680="",Q2680=""),"",N(P2680)+N(Q2680))</f>
        <v/>
      </c>
      <c r="S2680" s="59"/>
      <c r="T2680" s="59"/>
      <c r="U2680" s="62">
        <f>IF(OR(R2680="",S2680="",T2680=""),"",IF(S2680+T2680=0,"",R2680/(S2680+T2680)))</f>
        <v/>
      </c>
      <c r="V2680" s="63"/>
      <c r="W2680" s="64"/>
      <c r="X2680" s="63"/>
    </row>
    <row r="2681" spans="2:24">
      <c r="B2681" s="58"/>
      <c r="C2681" s="59"/>
      <c r="D2681" s="59"/>
      <c r="E2681" s="59"/>
      <c r="F2681" s="59"/>
      <c r="G2681" s="60">
        <f>IF(OR(E2681="",F2681="",C2681="",D2681=""),"",IF(C2681+D2681=0,"",(E2681*C2681+F2681*D2681)/(C2681+D2681)))</f>
        <v/>
      </c>
      <c r="H2681" s="59"/>
      <c r="I2681" s="60">
        <f>IF(OR(H2681="",E2681="",C2681="",D2681=""),"",IF(C2681+D2681=0,"",(H2681*D2681+E2681*C2681)/(C2681+D2681)))</f>
        <v/>
      </c>
      <c r="J2681" s="59"/>
      <c r="K2681" s="61">
        <f>IF(OR(J2681="",I2681=""),"",J2681-I2681)</f>
        <v/>
      </c>
      <c r="L2681" s="61">
        <f>IF(OR(J2681="",G2681=""),"",J2681-G2681)</f>
        <v/>
      </c>
      <c r="M2681" s="59"/>
      <c r="N2681" s="59"/>
      <c r="O2681" s="59"/>
      <c r="P2681" s="59"/>
      <c r="Q2681" s="59"/>
      <c r="R2681" s="60">
        <f>IF(AND(P2681="",Q2681=""),"",N(P2681)+N(Q2681))</f>
        <v/>
      </c>
      <c r="S2681" s="59"/>
      <c r="T2681" s="59"/>
      <c r="U2681" s="62">
        <f>IF(OR(R2681="",S2681="",T2681=""),"",IF(S2681+T2681=0,"",R2681/(S2681+T2681)))</f>
        <v/>
      </c>
      <c r="V2681" s="63"/>
      <c r="W2681" s="64"/>
      <c r="X2681" s="63"/>
    </row>
    <row r="2682" spans="2:24">
      <c r="B2682" s="58"/>
      <c r="C2682" s="59"/>
      <c r="D2682" s="59"/>
      <c r="E2682" s="59"/>
      <c r="F2682" s="59"/>
      <c r="G2682" s="60">
        <f>IF(OR(E2682="",F2682="",C2682="",D2682=""),"",IF(C2682+D2682=0,"",(E2682*C2682+F2682*D2682)/(C2682+D2682)))</f>
        <v/>
      </c>
      <c r="H2682" s="59"/>
      <c r="I2682" s="60">
        <f>IF(OR(H2682="",E2682="",C2682="",D2682=""),"",IF(C2682+D2682=0,"",(H2682*D2682+E2682*C2682)/(C2682+D2682)))</f>
        <v/>
      </c>
      <c r="J2682" s="59"/>
      <c r="K2682" s="61">
        <f>IF(OR(J2682="",I2682=""),"",J2682-I2682)</f>
        <v/>
      </c>
      <c r="L2682" s="61">
        <f>IF(OR(J2682="",G2682=""),"",J2682-G2682)</f>
        <v/>
      </c>
      <c r="M2682" s="59"/>
      <c r="N2682" s="59"/>
      <c r="O2682" s="59"/>
      <c r="P2682" s="59"/>
      <c r="Q2682" s="59"/>
      <c r="R2682" s="60">
        <f>IF(AND(P2682="",Q2682=""),"",N(P2682)+N(Q2682))</f>
        <v/>
      </c>
      <c r="S2682" s="59"/>
      <c r="T2682" s="59"/>
      <c r="U2682" s="62">
        <f>IF(OR(R2682="",S2682="",T2682=""),"",IF(S2682+T2682=0,"",R2682/(S2682+T2682)))</f>
        <v/>
      </c>
      <c r="V2682" s="63"/>
      <c r="W2682" s="64"/>
      <c r="X2682" s="63"/>
    </row>
    <row r="2683" spans="2:24">
      <c r="B2683" s="58"/>
      <c r="C2683" s="59"/>
      <c r="D2683" s="59"/>
      <c r="E2683" s="59"/>
      <c r="F2683" s="59"/>
      <c r="G2683" s="60">
        <f>IF(OR(E2683="",F2683="",C2683="",D2683=""),"",IF(C2683+D2683=0,"",(E2683*C2683+F2683*D2683)/(C2683+D2683)))</f>
        <v/>
      </c>
      <c r="H2683" s="59"/>
      <c r="I2683" s="60">
        <f>IF(OR(H2683="",E2683="",C2683="",D2683=""),"",IF(C2683+D2683=0,"",(H2683*D2683+E2683*C2683)/(C2683+D2683)))</f>
        <v/>
      </c>
      <c r="J2683" s="59"/>
      <c r="K2683" s="61">
        <f>IF(OR(J2683="",I2683=""),"",J2683-I2683)</f>
        <v/>
      </c>
      <c r="L2683" s="61">
        <f>IF(OR(J2683="",G2683=""),"",J2683-G2683)</f>
        <v/>
      </c>
      <c r="M2683" s="59"/>
      <c r="N2683" s="59"/>
      <c r="O2683" s="59"/>
      <c r="P2683" s="59"/>
      <c r="Q2683" s="59"/>
      <c r="R2683" s="60">
        <f>IF(AND(P2683="",Q2683=""),"",N(P2683)+N(Q2683))</f>
        <v/>
      </c>
      <c r="S2683" s="59"/>
      <c r="T2683" s="59"/>
      <c r="U2683" s="62">
        <f>IF(OR(R2683="",S2683="",T2683=""),"",IF(S2683+T2683=0,"",R2683/(S2683+T2683)))</f>
        <v/>
      </c>
      <c r="V2683" s="63"/>
      <c r="W2683" s="64"/>
      <c r="X2683" s="63"/>
    </row>
    <row r="2684" spans="2:24">
      <c r="B2684" s="58"/>
      <c r="C2684" s="59"/>
      <c r="D2684" s="59"/>
      <c r="E2684" s="59"/>
      <c r="F2684" s="59"/>
      <c r="G2684" s="60">
        <f>IF(OR(E2684="",F2684="",C2684="",D2684=""),"",IF(C2684+D2684=0,"",(E2684*C2684+F2684*D2684)/(C2684+D2684)))</f>
        <v/>
      </c>
      <c r="H2684" s="59"/>
      <c r="I2684" s="60">
        <f>IF(OR(H2684="",E2684="",C2684="",D2684=""),"",IF(C2684+D2684=0,"",(H2684*D2684+E2684*C2684)/(C2684+D2684)))</f>
        <v/>
      </c>
      <c r="J2684" s="59"/>
      <c r="K2684" s="61">
        <f>IF(OR(J2684="",I2684=""),"",J2684-I2684)</f>
        <v/>
      </c>
      <c r="L2684" s="61">
        <f>IF(OR(J2684="",G2684=""),"",J2684-G2684)</f>
        <v/>
      </c>
      <c r="M2684" s="59"/>
      <c r="N2684" s="59"/>
      <c r="O2684" s="59"/>
      <c r="P2684" s="59"/>
      <c r="Q2684" s="59"/>
      <c r="R2684" s="60">
        <f>IF(AND(P2684="",Q2684=""),"",N(P2684)+N(Q2684))</f>
        <v/>
      </c>
      <c r="S2684" s="59"/>
      <c r="T2684" s="59"/>
      <c r="U2684" s="62">
        <f>IF(OR(R2684="",S2684="",T2684=""),"",IF(S2684+T2684=0,"",R2684/(S2684+T2684)))</f>
        <v/>
      </c>
      <c r="V2684" s="63"/>
      <c r="W2684" s="64"/>
      <c r="X2684" s="63"/>
    </row>
    <row r="2685" spans="2:24">
      <c r="B2685" s="58"/>
      <c r="C2685" s="59"/>
      <c r="D2685" s="59"/>
      <c r="E2685" s="59"/>
      <c r="F2685" s="59"/>
      <c r="G2685" s="60">
        <f>IF(OR(E2685="",F2685="",C2685="",D2685=""),"",IF(C2685+D2685=0,"",(E2685*C2685+F2685*D2685)/(C2685+D2685)))</f>
        <v/>
      </c>
      <c r="H2685" s="59"/>
      <c r="I2685" s="60">
        <f>IF(OR(H2685="",E2685="",C2685="",D2685=""),"",IF(C2685+D2685=0,"",(H2685*D2685+E2685*C2685)/(C2685+D2685)))</f>
        <v/>
      </c>
      <c r="J2685" s="59"/>
      <c r="K2685" s="61">
        <f>IF(OR(J2685="",I2685=""),"",J2685-I2685)</f>
        <v/>
      </c>
      <c r="L2685" s="61">
        <f>IF(OR(J2685="",G2685=""),"",J2685-G2685)</f>
        <v/>
      </c>
      <c r="M2685" s="59"/>
      <c r="N2685" s="59"/>
      <c r="O2685" s="59"/>
      <c r="P2685" s="59"/>
      <c r="Q2685" s="59"/>
      <c r="R2685" s="60">
        <f>IF(AND(P2685="",Q2685=""),"",N(P2685)+N(Q2685))</f>
        <v/>
      </c>
      <c r="S2685" s="59"/>
      <c r="T2685" s="59"/>
      <c r="U2685" s="62">
        <f>IF(OR(R2685="",S2685="",T2685=""),"",IF(S2685+T2685=0,"",R2685/(S2685+T2685)))</f>
        <v/>
      </c>
      <c r="V2685" s="63"/>
      <c r="W2685" s="64"/>
      <c r="X2685" s="63"/>
    </row>
    <row r="2686" spans="2:24">
      <c r="B2686" s="58"/>
      <c r="C2686" s="59"/>
      <c r="D2686" s="59"/>
      <c r="E2686" s="59"/>
      <c r="F2686" s="59"/>
      <c r="G2686" s="60">
        <f>IF(OR(E2686="",F2686="",C2686="",D2686=""),"",IF(C2686+D2686=0,"",(E2686*C2686+F2686*D2686)/(C2686+D2686)))</f>
        <v/>
      </c>
      <c r="H2686" s="59"/>
      <c r="I2686" s="60">
        <f>IF(OR(H2686="",E2686="",C2686="",D2686=""),"",IF(C2686+D2686=0,"",(H2686*D2686+E2686*C2686)/(C2686+D2686)))</f>
        <v/>
      </c>
      <c r="J2686" s="59"/>
      <c r="K2686" s="61">
        <f>IF(OR(J2686="",I2686=""),"",J2686-I2686)</f>
        <v/>
      </c>
      <c r="L2686" s="61">
        <f>IF(OR(J2686="",G2686=""),"",J2686-G2686)</f>
        <v/>
      </c>
      <c r="M2686" s="59"/>
      <c r="N2686" s="59"/>
      <c r="O2686" s="59"/>
      <c r="P2686" s="59"/>
      <c r="Q2686" s="59"/>
      <c r="R2686" s="60">
        <f>IF(AND(P2686="",Q2686=""),"",N(P2686)+N(Q2686))</f>
        <v/>
      </c>
      <c r="S2686" s="59"/>
      <c r="T2686" s="59"/>
      <c r="U2686" s="62">
        <f>IF(OR(R2686="",S2686="",T2686=""),"",IF(S2686+T2686=0,"",R2686/(S2686+T2686)))</f>
        <v/>
      </c>
      <c r="V2686" s="63"/>
      <c r="W2686" s="64"/>
      <c r="X2686" s="63"/>
    </row>
    <row r="2687" spans="2:24">
      <c r="B2687" s="58"/>
      <c r="C2687" s="59"/>
      <c r="D2687" s="59"/>
      <c r="E2687" s="59"/>
      <c r="F2687" s="59"/>
      <c r="G2687" s="60">
        <f>IF(OR(E2687="",F2687="",C2687="",D2687=""),"",IF(C2687+D2687=0,"",(E2687*C2687+F2687*D2687)/(C2687+D2687)))</f>
        <v/>
      </c>
      <c r="H2687" s="59"/>
      <c r="I2687" s="60">
        <f>IF(OR(H2687="",E2687="",C2687="",D2687=""),"",IF(C2687+D2687=0,"",(H2687*D2687+E2687*C2687)/(C2687+D2687)))</f>
        <v/>
      </c>
      <c r="J2687" s="59"/>
      <c r="K2687" s="61">
        <f>IF(OR(J2687="",I2687=""),"",J2687-I2687)</f>
        <v/>
      </c>
      <c r="L2687" s="61">
        <f>IF(OR(J2687="",G2687=""),"",J2687-G2687)</f>
        <v/>
      </c>
      <c r="M2687" s="59"/>
      <c r="N2687" s="59"/>
      <c r="O2687" s="59"/>
      <c r="P2687" s="59"/>
      <c r="Q2687" s="59"/>
      <c r="R2687" s="60">
        <f>IF(AND(P2687="",Q2687=""),"",N(P2687)+N(Q2687))</f>
        <v/>
      </c>
      <c r="S2687" s="59"/>
      <c r="T2687" s="59"/>
      <c r="U2687" s="62">
        <f>IF(OR(R2687="",S2687="",T2687=""),"",IF(S2687+T2687=0,"",R2687/(S2687+T2687)))</f>
        <v/>
      </c>
      <c r="V2687" s="63"/>
      <c r="W2687" s="64"/>
      <c r="X2687" s="63"/>
    </row>
    <row r="2688" spans="2:24">
      <c r="B2688" s="58"/>
      <c r="C2688" s="59"/>
      <c r="D2688" s="59"/>
      <c r="E2688" s="59"/>
      <c r="F2688" s="59"/>
      <c r="G2688" s="60">
        <f>IF(OR(E2688="",F2688="",C2688="",D2688=""),"",IF(C2688+D2688=0,"",(E2688*C2688+F2688*D2688)/(C2688+D2688)))</f>
        <v/>
      </c>
      <c r="H2688" s="59"/>
      <c r="I2688" s="60">
        <f>IF(OR(H2688="",E2688="",C2688="",D2688=""),"",IF(C2688+D2688=0,"",(H2688*D2688+E2688*C2688)/(C2688+D2688)))</f>
        <v/>
      </c>
      <c r="J2688" s="59"/>
      <c r="K2688" s="61">
        <f>IF(OR(J2688="",I2688=""),"",J2688-I2688)</f>
        <v/>
      </c>
      <c r="L2688" s="61">
        <f>IF(OR(J2688="",G2688=""),"",J2688-G2688)</f>
        <v/>
      </c>
      <c r="M2688" s="59"/>
      <c r="N2688" s="59"/>
      <c r="O2688" s="59"/>
      <c r="P2688" s="59"/>
      <c r="Q2688" s="59"/>
      <c r="R2688" s="60">
        <f>IF(AND(P2688="",Q2688=""),"",N(P2688)+N(Q2688))</f>
        <v/>
      </c>
      <c r="S2688" s="59"/>
      <c r="T2688" s="59"/>
      <c r="U2688" s="62">
        <f>IF(OR(R2688="",S2688="",T2688=""),"",IF(S2688+T2688=0,"",R2688/(S2688+T2688)))</f>
        <v/>
      </c>
      <c r="V2688" s="63"/>
      <c r="W2688" s="64"/>
      <c r="X2688" s="63"/>
    </row>
    <row r="2689" spans="2:24">
      <c r="B2689" s="58"/>
      <c r="C2689" s="59"/>
      <c r="D2689" s="59"/>
      <c r="E2689" s="59"/>
      <c r="F2689" s="59"/>
      <c r="G2689" s="60">
        <f>IF(OR(E2689="",F2689="",C2689="",D2689=""),"",IF(C2689+D2689=0,"",(E2689*C2689+F2689*D2689)/(C2689+D2689)))</f>
        <v/>
      </c>
      <c r="H2689" s="59"/>
      <c r="I2689" s="60">
        <f>IF(OR(H2689="",E2689="",C2689="",D2689=""),"",IF(C2689+D2689=0,"",(H2689*D2689+E2689*C2689)/(C2689+D2689)))</f>
        <v/>
      </c>
      <c r="J2689" s="59"/>
      <c r="K2689" s="61">
        <f>IF(OR(J2689="",I2689=""),"",J2689-I2689)</f>
        <v/>
      </c>
      <c r="L2689" s="61">
        <f>IF(OR(J2689="",G2689=""),"",J2689-G2689)</f>
        <v/>
      </c>
      <c r="M2689" s="59"/>
      <c r="N2689" s="59"/>
      <c r="O2689" s="59"/>
      <c r="P2689" s="59"/>
      <c r="Q2689" s="59"/>
      <c r="R2689" s="60">
        <f>IF(AND(P2689="",Q2689=""),"",N(P2689)+N(Q2689))</f>
        <v/>
      </c>
      <c r="S2689" s="59"/>
      <c r="T2689" s="59"/>
      <c r="U2689" s="62">
        <f>IF(OR(R2689="",S2689="",T2689=""),"",IF(S2689+T2689=0,"",R2689/(S2689+T2689)))</f>
        <v/>
      </c>
      <c r="V2689" s="63"/>
      <c r="W2689" s="64"/>
      <c r="X2689" s="63"/>
    </row>
    <row r="2690" spans="2:24">
      <c r="B2690" s="58"/>
      <c r="C2690" s="59"/>
      <c r="D2690" s="59"/>
      <c r="E2690" s="59"/>
      <c r="F2690" s="59"/>
      <c r="G2690" s="60">
        <f>IF(OR(E2690="",F2690="",C2690="",D2690=""),"",IF(C2690+D2690=0,"",(E2690*C2690+F2690*D2690)/(C2690+D2690)))</f>
        <v/>
      </c>
      <c r="H2690" s="59"/>
      <c r="I2690" s="60">
        <f>IF(OR(H2690="",E2690="",C2690="",D2690=""),"",IF(C2690+D2690=0,"",(H2690*D2690+E2690*C2690)/(C2690+D2690)))</f>
        <v/>
      </c>
      <c r="J2690" s="59"/>
      <c r="K2690" s="61">
        <f>IF(OR(J2690="",I2690=""),"",J2690-I2690)</f>
        <v/>
      </c>
      <c r="L2690" s="61">
        <f>IF(OR(J2690="",G2690=""),"",J2690-G2690)</f>
        <v/>
      </c>
      <c r="M2690" s="59"/>
      <c r="N2690" s="59"/>
      <c r="O2690" s="59"/>
      <c r="P2690" s="59"/>
      <c r="Q2690" s="59"/>
      <c r="R2690" s="60">
        <f>IF(AND(P2690="",Q2690=""),"",N(P2690)+N(Q2690))</f>
        <v/>
      </c>
      <c r="S2690" s="59"/>
      <c r="T2690" s="59"/>
      <c r="U2690" s="62">
        <f>IF(OR(R2690="",S2690="",T2690=""),"",IF(S2690+T2690=0,"",R2690/(S2690+T2690)))</f>
        <v/>
      </c>
      <c r="V2690" s="63"/>
      <c r="W2690" s="64"/>
      <c r="X2690" s="63"/>
    </row>
    <row r="2691" spans="2:24">
      <c r="B2691" s="58"/>
      <c r="C2691" s="59"/>
      <c r="D2691" s="59"/>
      <c r="E2691" s="59"/>
      <c r="F2691" s="59"/>
      <c r="G2691" s="60">
        <f>IF(OR(E2691="",F2691="",C2691="",D2691=""),"",IF(C2691+D2691=0,"",(E2691*C2691+F2691*D2691)/(C2691+D2691)))</f>
        <v/>
      </c>
      <c r="H2691" s="59"/>
      <c r="I2691" s="60">
        <f>IF(OR(H2691="",E2691="",C2691="",D2691=""),"",IF(C2691+D2691=0,"",(H2691*D2691+E2691*C2691)/(C2691+D2691)))</f>
        <v/>
      </c>
      <c r="J2691" s="59"/>
      <c r="K2691" s="61">
        <f>IF(OR(J2691="",I2691=""),"",J2691-I2691)</f>
        <v/>
      </c>
      <c r="L2691" s="61">
        <f>IF(OR(J2691="",G2691=""),"",J2691-G2691)</f>
        <v/>
      </c>
      <c r="M2691" s="59"/>
      <c r="N2691" s="59"/>
      <c r="O2691" s="59"/>
      <c r="P2691" s="59"/>
      <c r="Q2691" s="59"/>
      <c r="R2691" s="60">
        <f>IF(AND(P2691="",Q2691=""),"",N(P2691)+N(Q2691))</f>
        <v/>
      </c>
      <c r="S2691" s="59"/>
      <c r="T2691" s="59"/>
      <c r="U2691" s="62">
        <f>IF(OR(R2691="",S2691="",T2691=""),"",IF(S2691+T2691=0,"",R2691/(S2691+T2691)))</f>
        <v/>
      </c>
      <c r="V2691" s="63"/>
      <c r="W2691" s="64"/>
      <c r="X2691" s="63"/>
    </row>
    <row r="2692" spans="2:24">
      <c r="B2692" s="58"/>
      <c r="C2692" s="59"/>
      <c r="D2692" s="59"/>
      <c r="E2692" s="59"/>
      <c r="F2692" s="59"/>
      <c r="G2692" s="60">
        <f>IF(OR(E2692="",F2692="",C2692="",D2692=""),"",IF(C2692+D2692=0,"",(E2692*C2692+F2692*D2692)/(C2692+D2692)))</f>
        <v/>
      </c>
      <c r="H2692" s="59"/>
      <c r="I2692" s="60">
        <f>IF(OR(H2692="",E2692="",C2692="",D2692=""),"",IF(C2692+D2692=0,"",(H2692*D2692+E2692*C2692)/(C2692+D2692)))</f>
        <v/>
      </c>
      <c r="J2692" s="59"/>
      <c r="K2692" s="61">
        <f>IF(OR(J2692="",I2692=""),"",J2692-I2692)</f>
        <v/>
      </c>
      <c r="L2692" s="61">
        <f>IF(OR(J2692="",G2692=""),"",J2692-G2692)</f>
        <v/>
      </c>
      <c r="M2692" s="59"/>
      <c r="N2692" s="59"/>
      <c r="O2692" s="59"/>
      <c r="P2692" s="59"/>
      <c r="Q2692" s="59"/>
      <c r="R2692" s="60">
        <f>IF(AND(P2692="",Q2692=""),"",N(P2692)+N(Q2692))</f>
        <v/>
      </c>
      <c r="S2692" s="59"/>
      <c r="T2692" s="59"/>
      <c r="U2692" s="62">
        <f>IF(OR(R2692="",S2692="",T2692=""),"",IF(S2692+T2692=0,"",R2692/(S2692+T2692)))</f>
        <v/>
      </c>
      <c r="V2692" s="63"/>
      <c r="W2692" s="64"/>
      <c r="X2692" s="63"/>
    </row>
    <row r="2693" spans="2:24">
      <c r="B2693" s="58"/>
      <c r="C2693" s="59"/>
      <c r="D2693" s="59"/>
      <c r="E2693" s="59"/>
      <c r="F2693" s="59"/>
      <c r="G2693" s="60">
        <f>IF(OR(E2693="",F2693="",C2693="",D2693=""),"",IF(C2693+D2693=0,"",(E2693*C2693+F2693*D2693)/(C2693+D2693)))</f>
        <v/>
      </c>
      <c r="H2693" s="59"/>
      <c r="I2693" s="60">
        <f>IF(OR(H2693="",E2693="",C2693="",D2693=""),"",IF(C2693+D2693=0,"",(H2693*D2693+E2693*C2693)/(C2693+D2693)))</f>
        <v/>
      </c>
      <c r="J2693" s="59"/>
      <c r="K2693" s="61">
        <f>IF(OR(J2693="",I2693=""),"",J2693-I2693)</f>
        <v/>
      </c>
      <c r="L2693" s="61">
        <f>IF(OR(J2693="",G2693=""),"",J2693-G2693)</f>
        <v/>
      </c>
      <c r="M2693" s="59"/>
      <c r="N2693" s="59"/>
      <c r="O2693" s="59"/>
      <c r="P2693" s="59"/>
      <c r="Q2693" s="59"/>
      <c r="R2693" s="60">
        <f>IF(AND(P2693="",Q2693=""),"",N(P2693)+N(Q2693))</f>
        <v/>
      </c>
      <c r="S2693" s="59"/>
      <c r="T2693" s="59"/>
      <c r="U2693" s="62">
        <f>IF(OR(R2693="",S2693="",T2693=""),"",IF(S2693+T2693=0,"",R2693/(S2693+T2693)))</f>
        <v/>
      </c>
      <c r="V2693" s="63"/>
      <c r="W2693" s="64"/>
      <c r="X2693" s="63"/>
    </row>
    <row r="2694" spans="2:24">
      <c r="B2694" s="58"/>
      <c r="C2694" s="59"/>
      <c r="D2694" s="59"/>
      <c r="E2694" s="59"/>
      <c r="F2694" s="59"/>
      <c r="G2694" s="60">
        <f>IF(OR(E2694="",F2694="",C2694="",D2694=""),"",IF(C2694+D2694=0,"",(E2694*C2694+F2694*D2694)/(C2694+D2694)))</f>
        <v/>
      </c>
      <c r="H2694" s="59"/>
      <c r="I2694" s="60">
        <f>IF(OR(H2694="",E2694="",C2694="",D2694=""),"",IF(C2694+D2694=0,"",(H2694*D2694+E2694*C2694)/(C2694+D2694)))</f>
        <v/>
      </c>
      <c r="J2694" s="59"/>
      <c r="K2694" s="61">
        <f>IF(OR(J2694="",I2694=""),"",J2694-I2694)</f>
        <v/>
      </c>
      <c r="L2694" s="61">
        <f>IF(OR(J2694="",G2694=""),"",J2694-G2694)</f>
        <v/>
      </c>
      <c r="M2694" s="59"/>
      <c r="N2694" s="59"/>
      <c r="O2694" s="59"/>
      <c r="P2694" s="59"/>
      <c r="Q2694" s="59"/>
      <c r="R2694" s="60">
        <f>IF(AND(P2694="",Q2694=""),"",N(P2694)+N(Q2694))</f>
        <v/>
      </c>
      <c r="S2694" s="59"/>
      <c r="T2694" s="59"/>
      <c r="U2694" s="62">
        <f>IF(OR(R2694="",S2694="",T2694=""),"",IF(S2694+T2694=0,"",R2694/(S2694+T2694)))</f>
        <v/>
      </c>
      <c r="V2694" s="63"/>
      <c r="W2694" s="64"/>
      <c r="X2694" s="63"/>
    </row>
    <row r="2695" spans="2:24">
      <c r="B2695" s="58"/>
      <c r="C2695" s="59"/>
      <c r="D2695" s="59"/>
      <c r="E2695" s="59"/>
      <c r="F2695" s="59"/>
      <c r="G2695" s="60">
        <f>IF(OR(E2695="",F2695="",C2695="",D2695=""),"",IF(C2695+D2695=0,"",(E2695*C2695+F2695*D2695)/(C2695+D2695)))</f>
        <v/>
      </c>
      <c r="H2695" s="59"/>
      <c r="I2695" s="60">
        <f>IF(OR(H2695="",E2695="",C2695="",D2695=""),"",IF(C2695+D2695=0,"",(H2695*D2695+E2695*C2695)/(C2695+D2695)))</f>
        <v/>
      </c>
      <c r="J2695" s="59"/>
      <c r="K2695" s="61">
        <f>IF(OR(J2695="",I2695=""),"",J2695-I2695)</f>
        <v/>
      </c>
      <c r="L2695" s="61">
        <f>IF(OR(J2695="",G2695=""),"",J2695-G2695)</f>
        <v/>
      </c>
      <c r="M2695" s="59"/>
      <c r="N2695" s="59"/>
      <c r="O2695" s="59"/>
      <c r="P2695" s="59"/>
      <c r="Q2695" s="59"/>
      <c r="R2695" s="60">
        <f>IF(AND(P2695="",Q2695=""),"",N(P2695)+N(Q2695))</f>
        <v/>
      </c>
      <c r="S2695" s="59"/>
      <c r="T2695" s="59"/>
      <c r="U2695" s="62">
        <f>IF(OR(R2695="",S2695="",T2695=""),"",IF(S2695+T2695=0,"",R2695/(S2695+T2695)))</f>
        <v/>
      </c>
      <c r="V2695" s="63"/>
      <c r="W2695" s="64"/>
      <c r="X2695" s="63"/>
    </row>
    <row r="2696" spans="2:24">
      <c r="B2696" s="58"/>
      <c r="C2696" s="59"/>
      <c r="D2696" s="59"/>
      <c r="E2696" s="59"/>
      <c r="F2696" s="59"/>
      <c r="G2696" s="60">
        <f>IF(OR(E2696="",F2696="",C2696="",D2696=""),"",IF(C2696+D2696=0,"",(E2696*C2696+F2696*D2696)/(C2696+D2696)))</f>
        <v/>
      </c>
      <c r="H2696" s="59"/>
      <c r="I2696" s="60">
        <f>IF(OR(H2696="",E2696="",C2696="",D2696=""),"",IF(C2696+D2696=0,"",(H2696*D2696+E2696*C2696)/(C2696+D2696)))</f>
        <v/>
      </c>
      <c r="J2696" s="59"/>
      <c r="K2696" s="61">
        <f>IF(OR(J2696="",I2696=""),"",J2696-I2696)</f>
        <v/>
      </c>
      <c r="L2696" s="61">
        <f>IF(OR(J2696="",G2696=""),"",J2696-G2696)</f>
        <v/>
      </c>
      <c r="M2696" s="59"/>
      <c r="N2696" s="59"/>
      <c r="O2696" s="59"/>
      <c r="P2696" s="59"/>
      <c r="Q2696" s="59"/>
      <c r="R2696" s="60">
        <f>IF(AND(P2696="",Q2696=""),"",N(P2696)+N(Q2696))</f>
        <v/>
      </c>
      <c r="S2696" s="59"/>
      <c r="T2696" s="59"/>
      <c r="U2696" s="62">
        <f>IF(OR(R2696="",S2696="",T2696=""),"",IF(S2696+T2696=0,"",R2696/(S2696+T2696)))</f>
        <v/>
      </c>
      <c r="V2696" s="63"/>
      <c r="W2696" s="64"/>
      <c r="X2696" s="63"/>
    </row>
    <row r="2697" spans="2:24">
      <c r="B2697" s="58"/>
      <c r="C2697" s="59"/>
      <c r="D2697" s="59"/>
      <c r="E2697" s="59"/>
      <c r="F2697" s="59"/>
      <c r="G2697" s="60">
        <f>IF(OR(E2697="",F2697="",C2697="",D2697=""),"",IF(C2697+D2697=0,"",(E2697*C2697+F2697*D2697)/(C2697+D2697)))</f>
        <v/>
      </c>
      <c r="H2697" s="59"/>
      <c r="I2697" s="60">
        <f>IF(OR(H2697="",E2697="",C2697="",D2697=""),"",IF(C2697+D2697=0,"",(H2697*D2697+E2697*C2697)/(C2697+D2697)))</f>
        <v/>
      </c>
      <c r="J2697" s="59"/>
      <c r="K2697" s="61">
        <f>IF(OR(J2697="",I2697=""),"",J2697-I2697)</f>
        <v/>
      </c>
      <c r="L2697" s="61">
        <f>IF(OR(J2697="",G2697=""),"",J2697-G2697)</f>
        <v/>
      </c>
      <c r="M2697" s="59"/>
      <c r="N2697" s="59"/>
      <c r="O2697" s="59"/>
      <c r="P2697" s="59"/>
      <c r="Q2697" s="59"/>
      <c r="R2697" s="60">
        <f>IF(AND(P2697="",Q2697=""),"",N(P2697)+N(Q2697))</f>
        <v/>
      </c>
      <c r="S2697" s="59"/>
      <c r="T2697" s="59"/>
      <c r="U2697" s="62">
        <f>IF(OR(R2697="",S2697="",T2697=""),"",IF(S2697+T2697=0,"",R2697/(S2697+T2697)))</f>
        <v/>
      </c>
      <c r="V2697" s="63"/>
      <c r="W2697" s="64"/>
      <c r="X2697" s="63"/>
    </row>
    <row r="2698" spans="2:24">
      <c r="B2698" s="58"/>
      <c r="C2698" s="59"/>
      <c r="D2698" s="59"/>
      <c r="E2698" s="59"/>
      <c r="F2698" s="59"/>
      <c r="G2698" s="60">
        <f>IF(OR(E2698="",F2698="",C2698="",D2698=""),"",IF(C2698+D2698=0,"",(E2698*C2698+F2698*D2698)/(C2698+D2698)))</f>
        <v/>
      </c>
      <c r="H2698" s="59"/>
      <c r="I2698" s="60">
        <f>IF(OR(H2698="",E2698="",C2698="",D2698=""),"",IF(C2698+D2698=0,"",(H2698*D2698+E2698*C2698)/(C2698+D2698)))</f>
        <v/>
      </c>
      <c r="J2698" s="59"/>
      <c r="K2698" s="61">
        <f>IF(OR(J2698="",I2698=""),"",J2698-I2698)</f>
        <v/>
      </c>
      <c r="L2698" s="61">
        <f>IF(OR(J2698="",G2698=""),"",J2698-G2698)</f>
        <v/>
      </c>
      <c r="M2698" s="59"/>
      <c r="N2698" s="59"/>
      <c r="O2698" s="59"/>
      <c r="P2698" s="59"/>
      <c r="Q2698" s="59"/>
      <c r="R2698" s="60">
        <f>IF(AND(P2698="",Q2698=""),"",N(P2698)+N(Q2698))</f>
        <v/>
      </c>
      <c r="S2698" s="59"/>
      <c r="T2698" s="59"/>
      <c r="U2698" s="62">
        <f>IF(OR(R2698="",S2698="",T2698=""),"",IF(S2698+T2698=0,"",R2698/(S2698+T2698)))</f>
        <v/>
      </c>
      <c r="V2698" s="63"/>
      <c r="W2698" s="64"/>
      <c r="X2698" s="63"/>
    </row>
    <row r="2699" spans="2:24">
      <c r="B2699" s="58"/>
      <c r="C2699" s="59"/>
      <c r="D2699" s="59"/>
      <c r="E2699" s="59"/>
      <c r="F2699" s="59"/>
      <c r="G2699" s="60">
        <f>IF(OR(E2699="",F2699="",C2699="",D2699=""),"",IF(C2699+D2699=0,"",(E2699*C2699+F2699*D2699)/(C2699+D2699)))</f>
        <v/>
      </c>
      <c r="H2699" s="59"/>
      <c r="I2699" s="60">
        <f>IF(OR(H2699="",E2699="",C2699="",D2699=""),"",IF(C2699+D2699=0,"",(H2699*D2699+E2699*C2699)/(C2699+D2699)))</f>
        <v/>
      </c>
      <c r="J2699" s="59"/>
      <c r="K2699" s="61">
        <f>IF(OR(J2699="",I2699=""),"",J2699-I2699)</f>
        <v/>
      </c>
      <c r="L2699" s="61">
        <f>IF(OR(J2699="",G2699=""),"",J2699-G2699)</f>
        <v/>
      </c>
      <c r="M2699" s="59"/>
      <c r="N2699" s="59"/>
      <c r="O2699" s="59"/>
      <c r="P2699" s="59"/>
      <c r="Q2699" s="59"/>
      <c r="R2699" s="60">
        <f>IF(AND(P2699="",Q2699=""),"",N(P2699)+N(Q2699))</f>
        <v/>
      </c>
      <c r="S2699" s="59"/>
      <c r="T2699" s="59"/>
      <c r="U2699" s="62">
        <f>IF(OR(R2699="",S2699="",T2699=""),"",IF(S2699+T2699=0,"",R2699/(S2699+T2699)))</f>
        <v/>
      </c>
      <c r="V2699" s="63"/>
      <c r="W2699" s="64"/>
      <c r="X2699" s="63"/>
    </row>
    <row r="2700" spans="2:24">
      <c r="B2700" s="58"/>
      <c r="C2700" s="59"/>
      <c r="D2700" s="59"/>
      <c r="E2700" s="59"/>
      <c r="F2700" s="59"/>
      <c r="G2700" s="60">
        <f>IF(OR(E2700="",F2700="",C2700="",D2700=""),"",IF(C2700+D2700=0,"",(E2700*C2700+F2700*D2700)/(C2700+D2700)))</f>
        <v/>
      </c>
      <c r="H2700" s="59"/>
      <c r="I2700" s="60">
        <f>IF(OR(H2700="",E2700="",C2700="",D2700=""),"",IF(C2700+D2700=0,"",(H2700*D2700+E2700*C2700)/(C2700+D2700)))</f>
        <v/>
      </c>
      <c r="J2700" s="59"/>
      <c r="K2700" s="61">
        <f>IF(OR(J2700="",I2700=""),"",J2700-I2700)</f>
        <v/>
      </c>
      <c r="L2700" s="61">
        <f>IF(OR(J2700="",G2700=""),"",J2700-G2700)</f>
        <v/>
      </c>
      <c r="M2700" s="59"/>
      <c r="N2700" s="59"/>
      <c r="O2700" s="59"/>
      <c r="P2700" s="59"/>
      <c r="Q2700" s="59"/>
      <c r="R2700" s="60">
        <f>IF(AND(P2700="",Q2700=""),"",N(P2700)+N(Q2700))</f>
        <v/>
      </c>
      <c r="S2700" s="59"/>
      <c r="T2700" s="59"/>
      <c r="U2700" s="62">
        <f>IF(OR(R2700="",S2700="",T2700=""),"",IF(S2700+T2700=0,"",R2700/(S2700+T2700)))</f>
        <v/>
      </c>
      <c r="V2700" s="63"/>
      <c r="W2700" s="64"/>
      <c r="X2700" s="63"/>
    </row>
    <row r="2701" spans="2:24">
      <c r="B2701" s="58"/>
      <c r="C2701" s="59"/>
      <c r="D2701" s="59"/>
      <c r="E2701" s="59"/>
      <c r="F2701" s="59"/>
      <c r="G2701" s="60">
        <f>IF(OR(E2701="",F2701="",C2701="",D2701=""),"",IF(C2701+D2701=0,"",(E2701*C2701+F2701*D2701)/(C2701+D2701)))</f>
        <v/>
      </c>
      <c r="H2701" s="59"/>
      <c r="I2701" s="60">
        <f>IF(OR(H2701="",E2701="",C2701="",D2701=""),"",IF(C2701+D2701=0,"",(H2701*D2701+E2701*C2701)/(C2701+D2701)))</f>
        <v/>
      </c>
      <c r="J2701" s="59"/>
      <c r="K2701" s="61">
        <f>IF(OR(J2701="",I2701=""),"",J2701-I2701)</f>
        <v/>
      </c>
      <c r="L2701" s="61">
        <f>IF(OR(J2701="",G2701=""),"",J2701-G2701)</f>
        <v/>
      </c>
      <c r="M2701" s="59"/>
      <c r="N2701" s="59"/>
      <c r="O2701" s="59"/>
      <c r="P2701" s="59"/>
      <c r="Q2701" s="59"/>
      <c r="R2701" s="60">
        <f>IF(AND(P2701="",Q2701=""),"",N(P2701)+N(Q2701))</f>
        <v/>
      </c>
      <c r="S2701" s="59"/>
      <c r="T2701" s="59"/>
      <c r="U2701" s="62">
        <f>IF(OR(R2701="",S2701="",T2701=""),"",IF(S2701+T2701=0,"",R2701/(S2701+T2701)))</f>
        <v/>
      </c>
      <c r="V2701" s="63"/>
      <c r="W2701" s="64"/>
      <c r="X2701" s="63"/>
    </row>
    <row r="2702" spans="2:24">
      <c r="B2702" s="58"/>
      <c r="C2702" s="59"/>
      <c r="D2702" s="59"/>
      <c r="E2702" s="59"/>
      <c r="F2702" s="59"/>
      <c r="G2702" s="60">
        <f>IF(OR(E2702="",F2702="",C2702="",D2702=""),"",IF(C2702+D2702=0,"",(E2702*C2702+F2702*D2702)/(C2702+D2702)))</f>
        <v/>
      </c>
      <c r="H2702" s="59"/>
      <c r="I2702" s="60">
        <f>IF(OR(H2702="",E2702="",C2702="",D2702=""),"",IF(C2702+D2702=0,"",(H2702*D2702+E2702*C2702)/(C2702+D2702)))</f>
        <v/>
      </c>
      <c r="J2702" s="59"/>
      <c r="K2702" s="61">
        <f>IF(OR(J2702="",I2702=""),"",J2702-I2702)</f>
        <v/>
      </c>
      <c r="L2702" s="61">
        <f>IF(OR(J2702="",G2702=""),"",J2702-G2702)</f>
        <v/>
      </c>
      <c r="M2702" s="59"/>
      <c r="N2702" s="59"/>
      <c r="O2702" s="59"/>
      <c r="P2702" s="59"/>
      <c r="Q2702" s="59"/>
      <c r="R2702" s="60">
        <f>IF(AND(P2702="",Q2702=""),"",N(P2702)+N(Q2702))</f>
        <v/>
      </c>
      <c r="S2702" s="59"/>
      <c r="T2702" s="59"/>
      <c r="U2702" s="62">
        <f>IF(OR(R2702="",S2702="",T2702=""),"",IF(S2702+T2702=0,"",R2702/(S2702+T2702)))</f>
        <v/>
      </c>
      <c r="V2702" s="63"/>
      <c r="W2702" s="64"/>
      <c r="X2702" s="63"/>
    </row>
    <row r="2703" spans="2:24">
      <c r="B2703" s="58"/>
      <c r="C2703" s="59"/>
      <c r="D2703" s="59"/>
      <c r="E2703" s="59"/>
      <c r="F2703" s="59"/>
      <c r="G2703" s="60">
        <f>IF(OR(E2703="",F2703="",C2703="",D2703=""),"",IF(C2703+D2703=0,"",(E2703*C2703+F2703*D2703)/(C2703+D2703)))</f>
        <v/>
      </c>
      <c r="H2703" s="59"/>
      <c r="I2703" s="60">
        <f>IF(OR(H2703="",E2703="",C2703="",D2703=""),"",IF(C2703+D2703=0,"",(H2703*D2703+E2703*C2703)/(C2703+D2703)))</f>
        <v/>
      </c>
      <c r="J2703" s="59"/>
      <c r="K2703" s="61">
        <f>IF(OR(J2703="",I2703=""),"",J2703-I2703)</f>
        <v/>
      </c>
      <c r="L2703" s="61">
        <f>IF(OR(J2703="",G2703=""),"",J2703-G2703)</f>
        <v/>
      </c>
      <c r="M2703" s="59"/>
      <c r="N2703" s="59"/>
      <c r="O2703" s="59"/>
      <c r="P2703" s="59"/>
      <c r="Q2703" s="59"/>
      <c r="R2703" s="60">
        <f>IF(AND(P2703="",Q2703=""),"",N(P2703)+N(Q2703))</f>
        <v/>
      </c>
      <c r="S2703" s="59"/>
      <c r="T2703" s="59"/>
      <c r="U2703" s="62">
        <f>IF(OR(R2703="",S2703="",T2703=""),"",IF(S2703+T2703=0,"",R2703/(S2703+T2703)))</f>
        <v/>
      </c>
      <c r="V2703" s="63"/>
      <c r="W2703" s="64"/>
      <c r="X2703" s="63"/>
    </row>
    <row r="2704" spans="2:24">
      <c r="B2704" s="58"/>
      <c r="C2704" s="59"/>
      <c r="D2704" s="59"/>
      <c r="E2704" s="59"/>
      <c r="F2704" s="59"/>
      <c r="G2704" s="60">
        <f>IF(OR(E2704="",F2704="",C2704="",D2704=""),"",IF(C2704+D2704=0,"",(E2704*C2704+F2704*D2704)/(C2704+D2704)))</f>
        <v/>
      </c>
      <c r="H2704" s="59"/>
      <c r="I2704" s="60">
        <f>IF(OR(H2704="",E2704="",C2704="",D2704=""),"",IF(C2704+D2704=0,"",(H2704*D2704+E2704*C2704)/(C2704+D2704)))</f>
        <v/>
      </c>
      <c r="J2704" s="59"/>
      <c r="K2704" s="61">
        <f>IF(OR(J2704="",I2704=""),"",J2704-I2704)</f>
        <v/>
      </c>
      <c r="L2704" s="61">
        <f>IF(OR(J2704="",G2704=""),"",J2704-G2704)</f>
        <v/>
      </c>
      <c r="M2704" s="59"/>
      <c r="N2704" s="59"/>
      <c r="O2704" s="59"/>
      <c r="P2704" s="59"/>
      <c r="Q2704" s="59"/>
      <c r="R2704" s="60">
        <f>IF(AND(P2704="",Q2704=""),"",N(P2704)+N(Q2704))</f>
        <v/>
      </c>
      <c r="S2704" s="59"/>
      <c r="T2704" s="59"/>
      <c r="U2704" s="62">
        <f>IF(OR(R2704="",S2704="",T2704=""),"",IF(S2704+T2704=0,"",R2704/(S2704+T2704)))</f>
        <v/>
      </c>
      <c r="V2704" s="63"/>
      <c r="W2704" s="64"/>
      <c r="X2704" s="63"/>
    </row>
    <row r="2705" spans="2:24">
      <c r="B2705" s="58"/>
      <c r="C2705" s="59"/>
      <c r="D2705" s="59"/>
      <c r="E2705" s="59"/>
      <c r="F2705" s="59"/>
      <c r="G2705" s="60">
        <f>IF(OR(E2705="",F2705="",C2705="",D2705=""),"",IF(C2705+D2705=0,"",(E2705*C2705+F2705*D2705)/(C2705+D2705)))</f>
        <v/>
      </c>
      <c r="H2705" s="59"/>
      <c r="I2705" s="60">
        <f>IF(OR(H2705="",E2705="",C2705="",D2705=""),"",IF(C2705+D2705=0,"",(H2705*D2705+E2705*C2705)/(C2705+D2705)))</f>
        <v/>
      </c>
      <c r="J2705" s="59"/>
      <c r="K2705" s="61">
        <f>IF(OR(J2705="",I2705=""),"",J2705-I2705)</f>
        <v/>
      </c>
      <c r="L2705" s="61">
        <f>IF(OR(J2705="",G2705=""),"",J2705-G2705)</f>
        <v/>
      </c>
      <c r="M2705" s="59"/>
      <c r="N2705" s="59"/>
      <c r="O2705" s="59"/>
      <c r="P2705" s="59"/>
      <c r="Q2705" s="59"/>
      <c r="R2705" s="60">
        <f>IF(AND(P2705="",Q2705=""),"",N(P2705)+N(Q2705))</f>
        <v/>
      </c>
      <c r="S2705" s="59"/>
      <c r="T2705" s="59"/>
      <c r="U2705" s="62">
        <f>IF(OR(R2705="",S2705="",T2705=""),"",IF(S2705+T2705=0,"",R2705/(S2705+T2705)))</f>
        <v/>
      </c>
      <c r="V2705" s="63"/>
      <c r="W2705" s="64"/>
      <c r="X2705" s="63"/>
    </row>
    <row r="2706" spans="2:24">
      <c r="B2706" s="58"/>
      <c r="C2706" s="59"/>
      <c r="D2706" s="59"/>
      <c r="E2706" s="59"/>
      <c r="F2706" s="59"/>
      <c r="G2706" s="60">
        <f>IF(OR(E2706="",F2706="",C2706="",D2706=""),"",IF(C2706+D2706=0,"",(E2706*C2706+F2706*D2706)/(C2706+D2706)))</f>
        <v/>
      </c>
      <c r="H2706" s="59"/>
      <c r="I2706" s="60">
        <f>IF(OR(H2706="",E2706="",C2706="",D2706=""),"",IF(C2706+D2706=0,"",(H2706*D2706+E2706*C2706)/(C2706+D2706)))</f>
        <v/>
      </c>
      <c r="J2706" s="59"/>
      <c r="K2706" s="61">
        <f>IF(OR(J2706="",I2706=""),"",J2706-I2706)</f>
        <v/>
      </c>
      <c r="L2706" s="61">
        <f>IF(OR(J2706="",G2706=""),"",J2706-G2706)</f>
        <v/>
      </c>
      <c r="M2706" s="59"/>
      <c r="N2706" s="59"/>
      <c r="O2706" s="59"/>
      <c r="P2706" s="59"/>
      <c r="Q2706" s="59"/>
      <c r="R2706" s="60">
        <f>IF(AND(P2706="",Q2706=""),"",N(P2706)+N(Q2706))</f>
        <v/>
      </c>
      <c r="S2706" s="59"/>
      <c r="T2706" s="59"/>
      <c r="U2706" s="62">
        <f>IF(OR(R2706="",S2706="",T2706=""),"",IF(S2706+T2706=0,"",R2706/(S2706+T2706)))</f>
        <v/>
      </c>
      <c r="V2706" s="63"/>
      <c r="W2706" s="64"/>
      <c r="X2706" s="63"/>
    </row>
    <row r="2707" spans="2:24">
      <c r="B2707" s="58"/>
      <c r="C2707" s="59"/>
      <c r="D2707" s="59"/>
      <c r="E2707" s="59"/>
      <c r="F2707" s="59"/>
      <c r="G2707" s="60">
        <f>IF(OR(E2707="",F2707="",C2707="",D2707=""),"",IF(C2707+D2707=0,"",(E2707*C2707+F2707*D2707)/(C2707+D2707)))</f>
        <v/>
      </c>
      <c r="H2707" s="59"/>
      <c r="I2707" s="60">
        <f>IF(OR(H2707="",E2707="",C2707="",D2707=""),"",IF(C2707+D2707=0,"",(H2707*D2707+E2707*C2707)/(C2707+D2707)))</f>
        <v/>
      </c>
      <c r="J2707" s="59"/>
      <c r="K2707" s="61">
        <f>IF(OR(J2707="",I2707=""),"",J2707-I2707)</f>
        <v/>
      </c>
      <c r="L2707" s="61">
        <f>IF(OR(J2707="",G2707=""),"",J2707-G2707)</f>
        <v/>
      </c>
      <c r="M2707" s="59"/>
      <c r="N2707" s="59"/>
      <c r="O2707" s="59"/>
      <c r="P2707" s="59"/>
      <c r="Q2707" s="59"/>
      <c r="R2707" s="60">
        <f>IF(AND(P2707="",Q2707=""),"",N(P2707)+N(Q2707))</f>
        <v/>
      </c>
      <c r="S2707" s="59"/>
      <c r="T2707" s="59"/>
      <c r="U2707" s="62">
        <f>IF(OR(R2707="",S2707="",T2707=""),"",IF(S2707+T2707=0,"",R2707/(S2707+T2707)))</f>
        <v/>
      </c>
      <c r="V2707" s="63"/>
      <c r="W2707" s="64"/>
      <c r="X2707" s="63"/>
    </row>
    <row r="2708" spans="2:24">
      <c r="B2708" s="58"/>
      <c r="C2708" s="59"/>
      <c r="D2708" s="59"/>
      <c r="E2708" s="59"/>
      <c r="F2708" s="59"/>
      <c r="G2708" s="60">
        <f>IF(OR(E2708="",F2708="",C2708="",D2708=""),"",IF(C2708+D2708=0,"",(E2708*C2708+F2708*D2708)/(C2708+D2708)))</f>
        <v/>
      </c>
      <c r="H2708" s="59"/>
      <c r="I2708" s="60">
        <f>IF(OR(H2708="",E2708="",C2708="",D2708=""),"",IF(C2708+D2708=0,"",(H2708*D2708+E2708*C2708)/(C2708+D2708)))</f>
        <v/>
      </c>
      <c r="J2708" s="59"/>
      <c r="K2708" s="61">
        <f>IF(OR(J2708="",I2708=""),"",J2708-I2708)</f>
        <v/>
      </c>
      <c r="L2708" s="61">
        <f>IF(OR(J2708="",G2708=""),"",J2708-G2708)</f>
        <v/>
      </c>
      <c r="M2708" s="59"/>
      <c r="N2708" s="59"/>
      <c r="O2708" s="59"/>
      <c r="P2708" s="59"/>
      <c r="Q2708" s="59"/>
      <c r="R2708" s="60">
        <f>IF(AND(P2708="",Q2708=""),"",N(P2708)+N(Q2708))</f>
        <v/>
      </c>
      <c r="S2708" s="59"/>
      <c r="T2708" s="59"/>
      <c r="U2708" s="62">
        <f>IF(OR(R2708="",S2708="",T2708=""),"",IF(S2708+T2708=0,"",R2708/(S2708+T2708)))</f>
        <v/>
      </c>
      <c r="V2708" s="63"/>
      <c r="W2708" s="64"/>
      <c r="X2708" s="63"/>
    </row>
    <row r="2709" spans="2:24">
      <c r="B2709" s="58"/>
      <c r="C2709" s="59"/>
      <c r="D2709" s="59"/>
      <c r="E2709" s="59"/>
      <c r="F2709" s="59"/>
      <c r="G2709" s="60">
        <f>IF(OR(E2709="",F2709="",C2709="",D2709=""),"",IF(C2709+D2709=0,"",(E2709*C2709+F2709*D2709)/(C2709+D2709)))</f>
        <v/>
      </c>
      <c r="H2709" s="59"/>
      <c r="I2709" s="60">
        <f>IF(OR(H2709="",E2709="",C2709="",D2709=""),"",IF(C2709+D2709=0,"",(H2709*D2709+E2709*C2709)/(C2709+D2709)))</f>
        <v/>
      </c>
      <c r="J2709" s="59"/>
      <c r="K2709" s="61">
        <f>IF(OR(J2709="",I2709=""),"",J2709-I2709)</f>
        <v/>
      </c>
      <c r="L2709" s="61">
        <f>IF(OR(J2709="",G2709=""),"",J2709-G2709)</f>
        <v/>
      </c>
      <c r="M2709" s="59"/>
      <c r="N2709" s="59"/>
      <c r="O2709" s="59"/>
      <c r="P2709" s="59"/>
      <c r="Q2709" s="59"/>
      <c r="R2709" s="60">
        <f>IF(AND(P2709="",Q2709=""),"",N(P2709)+N(Q2709))</f>
        <v/>
      </c>
      <c r="S2709" s="59"/>
      <c r="T2709" s="59"/>
      <c r="U2709" s="62">
        <f>IF(OR(R2709="",S2709="",T2709=""),"",IF(S2709+T2709=0,"",R2709/(S2709+T2709)))</f>
        <v/>
      </c>
      <c r="V2709" s="63"/>
      <c r="W2709" s="64"/>
      <c r="X2709" s="63"/>
    </row>
    <row r="2710" spans="2:24">
      <c r="B2710" s="58"/>
      <c r="C2710" s="59"/>
      <c r="D2710" s="59"/>
      <c r="E2710" s="59"/>
      <c r="F2710" s="59"/>
      <c r="G2710" s="60">
        <f>IF(OR(E2710="",F2710="",C2710="",D2710=""),"",IF(C2710+D2710=0,"",(E2710*C2710+F2710*D2710)/(C2710+D2710)))</f>
        <v/>
      </c>
      <c r="H2710" s="59"/>
      <c r="I2710" s="60">
        <f>IF(OR(H2710="",E2710="",C2710="",D2710=""),"",IF(C2710+D2710=0,"",(H2710*D2710+E2710*C2710)/(C2710+D2710)))</f>
        <v/>
      </c>
      <c r="J2710" s="59"/>
      <c r="K2710" s="61">
        <f>IF(OR(J2710="",I2710=""),"",J2710-I2710)</f>
        <v/>
      </c>
      <c r="L2710" s="61">
        <f>IF(OR(J2710="",G2710=""),"",J2710-G2710)</f>
        <v/>
      </c>
      <c r="M2710" s="59"/>
      <c r="N2710" s="59"/>
      <c r="O2710" s="59"/>
      <c r="P2710" s="59"/>
      <c r="Q2710" s="59"/>
      <c r="R2710" s="60">
        <f>IF(AND(P2710="",Q2710=""),"",N(P2710)+N(Q2710))</f>
        <v/>
      </c>
      <c r="S2710" s="59"/>
      <c r="T2710" s="59"/>
      <c r="U2710" s="62">
        <f>IF(OR(R2710="",S2710="",T2710=""),"",IF(S2710+T2710=0,"",R2710/(S2710+T2710)))</f>
        <v/>
      </c>
      <c r="V2710" s="63"/>
      <c r="W2710" s="64"/>
      <c r="X2710" s="63"/>
    </row>
    <row r="2711" spans="2:24">
      <c r="B2711" s="58"/>
      <c r="C2711" s="59"/>
      <c r="D2711" s="59"/>
      <c r="E2711" s="59"/>
      <c r="F2711" s="59"/>
      <c r="G2711" s="60">
        <f>IF(OR(E2711="",F2711="",C2711="",D2711=""),"",IF(C2711+D2711=0,"",(E2711*C2711+F2711*D2711)/(C2711+D2711)))</f>
        <v/>
      </c>
      <c r="H2711" s="59"/>
      <c r="I2711" s="60">
        <f>IF(OR(H2711="",E2711="",C2711="",D2711=""),"",IF(C2711+D2711=0,"",(H2711*D2711+E2711*C2711)/(C2711+D2711)))</f>
        <v/>
      </c>
      <c r="J2711" s="59"/>
      <c r="K2711" s="61">
        <f>IF(OR(J2711="",I2711=""),"",J2711-I2711)</f>
        <v/>
      </c>
      <c r="L2711" s="61">
        <f>IF(OR(J2711="",G2711=""),"",J2711-G2711)</f>
        <v/>
      </c>
      <c r="M2711" s="59"/>
      <c r="N2711" s="59"/>
      <c r="O2711" s="59"/>
      <c r="P2711" s="59"/>
      <c r="Q2711" s="59"/>
      <c r="R2711" s="60">
        <f>IF(AND(P2711="",Q2711=""),"",N(P2711)+N(Q2711))</f>
        <v/>
      </c>
      <c r="S2711" s="59"/>
      <c r="T2711" s="59"/>
      <c r="U2711" s="62">
        <f>IF(OR(R2711="",S2711="",T2711=""),"",IF(S2711+T2711=0,"",R2711/(S2711+T2711)))</f>
        <v/>
      </c>
      <c r="V2711" s="63"/>
      <c r="W2711" s="64"/>
      <c r="X2711" s="63"/>
    </row>
    <row r="2712" spans="2:24">
      <c r="B2712" s="58"/>
      <c r="C2712" s="59"/>
      <c r="D2712" s="59"/>
      <c r="E2712" s="59"/>
      <c r="F2712" s="59"/>
      <c r="G2712" s="60">
        <f>IF(OR(E2712="",F2712="",C2712="",D2712=""),"",IF(C2712+D2712=0,"",(E2712*C2712+F2712*D2712)/(C2712+D2712)))</f>
        <v/>
      </c>
      <c r="H2712" s="59"/>
      <c r="I2712" s="60">
        <f>IF(OR(H2712="",E2712="",C2712="",D2712=""),"",IF(C2712+D2712=0,"",(H2712*D2712+E2712*C2712)/(C2712+D2712)))</f>
        <v/>
      </c>
      <c r="J2712" s="59"/>
      <c r="K2712" s="61">
        <f>IF(OR(J2712="",I2712=""),"",J2712-I2712)</f>
        <v/>
      </c>
      <c r="L2712" s="61">
        <f>IF(OR(J2712="",G2712=""),"",J2712-G2712)</f>
        <v/>
      </c>
      <c r="M2712" s="59"/>
      <c r="N2712" s="59"/>
      <c r="O2712" s="59"/>
      <c r="P2712" s="59"/>
      <c r="Q2712" s="59"/>
      <c r="R2712" s="60">
        <f>IF(AND(P2712="",Q2712=""),"",N(P2712)+N(Q2712))</f>
        <v/>
      </c>
      <c r="S2712" s="59"/>
      <c r="T2712" s="59"/>
      <c r="U2712" s="62">
        <f>IF(OR(R2712="",S2712="",T2712=""),"",IF(S2712+T2712=0,"",R2712/(S2712+T2712)))</f>
        <v/>
      </c>
      <c r="V2712" s="63"/>
      <c r="W2712" s="64"/>
      <c r="X2712" s="63"/>
    </row>
    <row r="2713" spans="2:24">
      <c r="B2713" s="58"/>
      <c r="C2713" s="59"/>
      <c r="D2713" s="59"/>
      <c r="E2713" s="59"/>
      <c r="F2713" s="59"/>
      <c r="G2713" s="60">
        <f>IF(OR(E2713="",F2713="",C2713="",D2713=""),"",IF(C2713+D2713=0,"",(E2713*C2713+F2713*D2713)/(C2713+D2713)))</f>
        <v/>
      </c>
      <c r="H2713" s="59"/>
      <c r="I2713" s="60">
        <f>IF(OR(H2713="",E2713="",C2713="",D2713=""),"",IF(C2713+D2713=0,"",(H2713*D2713+E2713*C2713)/(C2713+D2713)))</f>
        <v/>
      </c>
      <c r="J2713" s="59"/>
      <c r="K2713" s="61">
        <f>IF(OR(J2713="",I2713=""),"",J2713-I2713)</f>
        <v/>
      </c>
      <c r="L2713" s="61">
        <f>IF(OR(J2713="",G2713=""),"",J2713-G2713)</f>
        <v/>
      </c>
      <c r="M2713" s="59"/>
      <c r="N2713" s="59"/>
      <c r="O2713" s="59"/>
      <c r="P2713" s="59"/>
      <c r="Q2713" s="59"/>
      <c r="R2713" s="60">
        <f>IF(AND(P2713="",Q2713=""),"",N(P2713)+N(Q2713))</f>
        <v/>
      </c>
      <c r="S2713" s="59"/>
      <c r="T2713" s="59"/>
      <c r="U2713" s="62">
        <f>IF(OR(R2713="",S2713="",T2713=""),"",IF(S2713+T2713=0,"",R2713/(S2713+T2713)))</f>
        <v/>
      </c>
      <c r="V2713" s="63"/>
      <c r="W2713" s="64"/>
      <c r="X2713" s="63"/>
    </row>
    <row r="2714" spans="2:24">
      <c r="B2714" s="58"/>
      <c r="C2714" s="59"/>
      <c r="D2714" s="59"/>
      <c r="E2714" s="59"/>
      <c r="F2714" s="59"/>
      <c r="G2714" s="60">
        <f>IF(OR(E2714="",F2714="",C2714="",D2714=""),"",IF(C2714+D2714=0,"",(E2714*C2714+F2714*D2714)/(C2714+D2714)))</f>
        <v/>
      </c>
      <c r="H2714" s="59"/>
      <c r="I2714" s="60">
        <f>IF(OR(H2714="",E2714="",C2714="",D2714=""),"",IF(C2714+D2714=0,"",(H2714*D2714+E2714*C2714)/(C2714+D2714)))</f>
        <v/>
      </c>
      <c r="J2714" s="59"/>
      <c r="K2714" s="61">
        <f>IF(OR(J2714="",I2714=""),"",J2714-I2714)</f>
        <v/>
      </c>
      <c r="L2714" s="61">
        <f>IF(OR(J2714="",G2714=""),"",J2714-G2714)</f>
        <v/>
      </c>
      <c r="M2714" s="59"/>
      <c r="N2714" s="59"/>
      <c r="O2714" s="59"/>
      <c r="P2714" s="59"/>
      <c r="Q2714" s="59"/>
      <c r="R2714" s="60">
        <f>IF(AND(P2714="",Q2714=""),"",N(P2714)+N(Q2714))</f>
        <v/>
      </c>
      <c r="S2714" s="59"/>
      <c r="T2714" s="59"/>
      <c r="U2714" s="62">
        <f>IF(OR(R2714="",S2714="",T2714=""),"",IF(S2714+T2714=0,"",R2714/(S2714+T2714)))</f>
        <v/>
      </c>
      <c r="V2714" s="63"/>
      <c r="W2714" s="64"/>
      <c r="X2714" s="63"/>
    </row>
    <row r="2715" spans="2:24">
      <c r="B2715" s="58"/>
      <c r="C2715" s="59"/>
      <c r="D2715" s="59"/>
      <c r="E2715" s="59"/>
      <c r="F2715" s="59"/>
      <c r="G2715" s="60">
        <f>IF(OR(E2715="",F2715="",C2715="",D2715=""),"",IF(C2715+D2715=0,"",(E2715*C2715+F2715*D2715)/(C2715+D2715)))</f>
        <v/>
      </c>
      <c r="H2715" s="59"/>
      <c r="I2715" s="60">
        <f>IF(OR(H2715="",E2715="",C2715="",D2715=""),"",IF(C2715+D2715=0,"",(H2715*D2715+E2715*C2715)/(C2715+D2715)))</f>
        <v/>
      </c>
      <c r="J2715" s="59"/>
      <c r="K2715" s="61">
        <f>IF(OR(J2715="",I2715=""),"",J2715-I2715)</f>
        <v/>
      </c>
      <c r="L2715" s="61">
        <f>IF(OR(J2715="",G2715=""),"",J2715-G2715)</f>
        <v/>
      </c>
      <c r="M2715" s="59"/>
      <c r="N2715" s="59"/>
      <c r="O2715" s="59"/>
      <c r="P2715" s="59"/>
      <c r="Q2715" s="59"/>
      <c r="R2715" s="60">
        <f>IF(AND(P2715="",Q2715=""),"",N(P2715)+N(Q2715))</f>
        <v/>
      </c>
      <c r="S2715" s="59"/>
      <c r="T2715" s="59"/>
      <c r="U2715" s="62">
        <f>IF(OR(R2715="",S2715="",T2715=""),"",IF(S2715+T2715=0,"",R2715/(S2715+T2715)))</f>
        <v/>
      </c>
      <c r="V2715" s="63"/>
      <c r="W2715" s="64"/>
      <c r="X2715" s="63"/>
    </row>
    <row r="2716" spans="2:24">
      <c r="B2716" s="58"/>
      <c r="C2716" s="59"/>
      <c r="D2716" s="59"/>
      <c r="E2716" s="59"/>
      <c r="F2716" s="59"/>
      <c r="G2716" s="60">
        <f>IF(OR(E2716="",F2716="",C2716="",D2716=""),"",IF(C2716+D2716=0,"",(E2716*C2716+F2716*D2716)/(C2716+D2716)))</f>
        <v/>
      </c>
      <c r="H2716" s="59"/>
      <c r="I2716" s="60">
        <f>IF(OR(H2716="",E2716="",C2716="",D2716=""),"",IF(C2716+D2716=0,"",(H2716*D2716+E2716*C2716)/(C2716+D2716)))</f>
        <v/>
      </c>
      <c r="J2716" s="59"/>
      <c r="K2716" s="61">
        <f>IF(OR(J2716="",I2716=""),"",J2716-I2716)</f>
        <v/>
      </c>
      <c r="L2716" s="61">
        <f>IF(OR(J2716="",G2716=""),"",J2716-G2716)</f>
        <v/>
      </c>
      <c r="M2716" s="59"/>
      <c r="N2716" s="59"/>
      <c r="O2716" s="59"/>
      <c r="P2716" s="59"/>
      <c r="Q2716" s="59"/>
      <c r="R2716" s="60">
        <f>IF(AND(P2716="",Q2716=""),"",N(P2716)+N(Q2716))</f>
        <v/>
      </c>
      <c r="S2716" s="59"/>
      <c r="T2716" s="59"/>
      <c r="U2716" s="62">
        <f>IF(OR(R2716="",S2716="",T2716=""),"",IF(S2716+T2716=0,"",R2716/(S2716+T2716)))</f>
        <v/>
      </c>
      <c r="V2716" s="63"/>
      <c r="W2716" s="64"/>
      <c r="X2716" s="63"/>
    </row>
    <row r="2717" spans="2:24">
      <c r="B2717" s="58"/>
      <c r="C2717" s="59"/>
      <c r="D2717" s="59"/>
      <c r="E2717" s="59"/>
      <c r="F2717" s="59"/>
      <c r="G2717" s="60">
        <f>IF(OR(E2717="",F2717="",C2717="",D2717=""),"",IF(C2717+D2717=0,"",(E2717*C2717+F2717*D2717)/(C2717+D2717)))</f>
        <v/>
      </c>
      <c r="H2717" s="59"/>
      <c r="I2717" s="60">
        <f>IF(OR(H2717="",E2717="",C2717="",D2717=""),"",IF(C2717+D2717=0,"",(H2717*D2717+E2717*C2717)/(C2717+D2717)))</f>
        <v/>
      </c>
      <c r="J2717" s="59"/>
      <c r="K2717" s="61">
        <f>IF(OR(J2717="",I2717=""),"",J2717-I2717)</f>
        <v/>
      </c>
      <c r="L2717" s="61">
        <f>IF(OR(J2717="",G2717=""),"",J2717-G2717)</f>
        <v/>
      </c>
      <c r="M2717" s="59"/>
      <c r="N2717" s="59"/>
      <c r="O2717" s="59"/>
      <c r="P2717" s="59"/>
      <c r="Q2717" s="59"/>
      <c r="R2717" s="60">
        <f>IF(AND(P2717="",Q2717=""),"",N(P2717)+N(Q2717))</f>
        <v/>
      </c>
      <c r="S2717" s="59"/>
      <c r="T2717" s="59"/>
      <c r="U2717" s="62">
        <f>IF(OR(R2717="",S2717="",T2717=""),"",IF(S2717+T2717=0,"",R2717/(S2717+T2717)))</f>
        <v/>
      </c>
      <c r="V2717" s="63"/>
      <c r="W2717" s="64"/>
      <c r="X2717" s="63"/>
    </row>
    <row r="2718" spans="2:24">
      <c r="B2718" s="58"/>
      <c r="C2718" s="59"/>
      <c r="D2718" s="59"/>
      <c r="E2718" s="59"/>
      <c r="F2718" s="59"/>
      <c r="G2718" s="60">
        <f>IF(OR(E2718="",F2718="",C2718="",D2718=""),"",IF(C2718+D2718=0,"",(E2718*C2718+F2718*D2718)/(C2718+D2718)))</f>
        <v/>
      </c>
      <c r="H2718" s="59"/>
      <c r="I2718" s="60">
        <f>IF(OR(H2718="",E2718="",C2718="",D2718=""),"",IF(C2718+D2718=0,"",(H2718*D2718+E2718*C2718)/(C2718+D2718)))</f>
        <v/>
      </c>
      <c r="J2718" s="59"/>
      <c r="K2718" s="61">
        <f>IF(OR(J2718="",I2718=""),"",J2718-I2718)</f>
        <v/>
      </c>
      <c r="L2718" s="61">
        <f>IF(OR(J2718="",G2718=""),"",J2718-G2718)</f>
        <v/>
      </c>
      <c r="M2718" s="59"/>
      <c r="N2718" s="59"/>
      <c r="O2718" s="59"/>
      <c r="P2718" s="59"/>
      <c r="Q2718" s="59"/>
      <c r="R2718" s="60">
        <f>IF(AND(P2718="",Q2718=""),"",N(P2718)+N(Q2718))</f>
        <v/>
      </c>
      <c r="S2718" s="59"/>
      <c r="T2718" s="59"/>
      <c r="U2718" s="62">
        <f>IF(OR(R2718="",S2718="",T2718=""),"",IF(S2718+T2718=0,"",R2718/(S2718+T2718)))</f>
        <v/>
      </c>
      <c r="V2718" s="63"/>
      <c r="W2718" s="64"/>
      <c r="X2718" s="63"/>
    </row>
    <row r="2719" spans="2:24">
      <c r="B2719" s="58"/>
      <c r="C2719" s="59"/>
      <c r="D2719" s="59"/>
      <c r="E2719" s="59"/>
      <c r="F2719" s="59"/>
      <c r="G2719" s="60">
        <f>IF(OR(E2719="",F2719="",C2719="",D2719=""),"",IF(C2719+D2719=0,"",(E2719*C2719+F2719*D2719)/(C2719+D2719)))</f>
        <v/>
      </c>
      <c r="H2719" s="59"/>
      <c r="I2719" s="60">
        <f>IF(OR(H2719="",E2719="",C2719="",D2719=""),"",IF(C2719+D2719=0,"",(H2719*D2719+E2719*C2719)/(C2719+D2719)))</f>
        <v/>
      </c>
      <c r="J2719" s="59"/>
      <c r="K2719" s="61">
        <f>IF(OR(J2719="",I2719=""),"",J2719-I2719)</f>
        <v/>
      </c>
      <c r="L2719" s="61">
        <f>IF(OR(J2719="",G2719=""),"",J2719-G2719)</f>
        <v/>
      </c>
      <c r="M2719" s="59"/>
      <c r="N2719" s="59"/>
      <c r="O2719" s="59"/>
      <c r="P2719" s="59"/>
      <c r="Q2719" s="59"/>
      <c r="R2719" s="60">
        <f>IF(AND(P2719="",Q2719=""),"",N(P2719)+N(Q2719))</f>
        <v/>
      </c>
      <c r="S2719" s="59"/>
      <c r="T2719" s="59"/>
      <c r="U2719" s="62">
        <f>IF(OR(R2719="",S2719="",T2719=""),"",IF(S2719+T2719=0,"",R2719/(S2719+T2719)))</f>
        <v/>
      </c>
      <c r="V2719" s="63"/>
      <c r="W2719" s="64"/>
      <c r="X2719" s="63"/>
    </row>
    <row r="2720" spans="2:24">
      <c r="B2720" s="58"/>
      <c r="C2720" s="59"/>
      <c r="D2720" s="59"/>
      <c r="E2720" s="59"/>
      <c r="F2720" s="59"/>
      <c r="G2720" s="60">
        <f>IF(OR(E2720="",F2720="",C2720="",D2720=""),"",IF(C2720+D2720=0,"",(E2720*C2720+F2720*D2720)/(C2720+D2720)))</f>
        <v/>
      </c>
      <c r="H2720" s="59"/>
      <c r="I2720" s="60">
        <f>IF(OR(H2720="",E2720="",C2720="",D2720=""),"",IF(C2720+D2720=0,"",(H2720*D2720+E2720*C2720)/(C2720+D2720)))</f>
        <v/>
      </c>
      <c r="J2720" s="59"/>
      <c r="K2720" s="61">
        <f>IF(OR(J2720="",I2720=""),"",J2720-I2720)</f>
        <v/>
      </c>
      <c r="L2720" s="61">
        <f>IF(OR(J2720="",G2720=""),"",J2720-G2720)</f>
        <v/>
      </c>
      <c r="M2720" s="59"/>
      <c r="N2720" s="59"/>
      <c r="O2720" s="59"/>
      <c r="P2720" s="59"/>
      <c r="Q2720" s="59"/>
      <c r="R2720" s="60">
        <f>IF(AND(P2720="",Q2720=""),"",N(P2720)+N(Q2720))</f>
        <v/>
      </c>
      <c r="S2720" s="59"/>
      <c r="T2720" s="59"/>
      <c r="U2720" s="62">
        <f>IF(OR(R2720="",S2720="",T2720=""),"",IF(S2720+T2720=0,"",R2720/(S2720+T2720)))</f>
        <v/>
      </c>
      <c r="V2720" s="63"/>
      <c r="W2720" s="64"/>
      <c r="X2720" s="63"/>
    </row>
    <row r="2721" spans="2:24">
      <c r="B2721" s="58"/>
      <c r="C2721" s="59"/>
      <c r="D2721" s="59"/>
      <c r="E2721" s="59"/>
      <c r="F2721" s="59"/>
      <c r="G2721" s="60">
        <f>IF(OR(E2721="",F2721="",C2721="",D2721=""),"",IF(C2721+D2721=0,"",(E2721*C2721+F2721*D2721)/(C2721+D2721)))</f>
        <v/>
      </c>
      <c r="H2721" s="59"/>
      <c r="I2721" s="60">
        <f>IF(OR(H2721="",E2721="",C2721="",D2721=""),"",IF(C2721+D2721=0,"",(H2721*D2721+E2721*C2721)/(C2721+D2721)))</f>
        <v/>
      </c>
      <c r="J2721" s="59"/>
      <c r="K2721" s="61">
        <f>IF(OR(J2721="",I2721=""),"",J2721-I2721)</f>
        <v/>
      </c>
      <c r="L2721" s="61">
        <f>IF(OR(J2721="",G2721=""),"",J2721-G2721)</f>
        <v/>
      </c>
      <c r="M2721" s="59"/>
      <c r="N2721" s="59"/>
      <c r="O2721" s="59"/>
      <c r="P2721" s="59"/>
      <c r="Q2721" s="59"/>
      <c r="R2721" s="60">
        <f>IF(AND(P2721="",Q2721=""),"",N(P2721)+N(Q2721))</f>
        <v/>
      </c>
      <c r="S2721" s="59"/>
      <c r="T2721" s="59"/>
      <c r="U2721" s="62">
        <f>IF(OR(R2721="",S2721="",T2721=""),"",IF(S2721+T2721=0,"",R2721/(S2721+T2721)))</f>
        <v/>
      </c>
      <c r="V2721" s="63"/>
      <c r="W2721" s="64"/>
      <c r="X2721" s="63"/>
    </row>
    <row r="2722" spans="2:24">
      <c r="B2722" s="58"/>
      <c r="C2722" s="59"/>
      <c r="D2722" s="59"/>
      <c r="E2722" s="59"/>
      <c r="F2722" s="59"/>
      <c r="G2722" s="60">
        <f>IF(OR(E2722="",F2722="",C2722="",D2722=""),"",IF(C2722+D2722=0,"",(E2722*C2722+F2722*D2722)/(C2722+D2722)))</f>
        <v/>
      </c>
      <c r="H2722" s="59"/>
      <c r="I2722" s="60">
        <f>IF(OR(H2722="",E2722="",C2722="",D2722=""),"",IF(C2722+D2722=0,"",(H2722*D2722+E2722*C2722)/(C2722+D2722)))</f>
        <v/>
      </c>
      <c r="J2722" s="59"/>
      <c r="K2722" s="61">
        <f>IF(OR(J2722="",I2722=""),"",J2722-I2722)</f>
        <v/>
      </c>
      <c r="L2722" s="61">
        <f>IF(OR(J2722="",G2722=""),"",J2722-G2722)</f>
        <v/>
      </c>
      <c r="M2722" s="59"/>
      <c r="N2722" s="59"/>
      <c r="O2722" s="59"/>
      <c r="P2722" s="59"/>
      <c r="Q2722" s="59"/>
      <c r="R2722" s="60">
        <f>IF(AND(P2722="",Q2722=""),"",N(P2722)+N(Q2722))</f>
        <v/>
      </c>
      <c r="S2722" s="59"/>
      <c r="T2722" s="59"/>
      <c r="U2722" s="62">
        <f>IF(OR(R2722="",S2722="",T2722=""),"",IF(S2722+T2722=0,"",R2722/(S2722+T2722)))</f>
        <v/>
      </c>
      <c r="V2722" s="63"/>
      <c r="W2722" s="64"/>
      <c r="X2722" s="63"/>
    </row>
    <row r="2723" spans="2:24">
      <c r="B2723" s="58"/>
      <c r="C2723" s="59"/>
      <c r="D2723" s="59"/>
      <c r="E2723" s="59"/>
      <c r="F2723" s="59"/>
      <c r="G2723" s="60">
        <f>IF(OR(E2723="",F2723="",C2723="",D2723=""),"",IF(C2723+D2723=0,"",(E2723*C2723+F2723*D2723)/(C2723+D2723)))</f>
        <v/>
      </c>
      <c r="H2723" s="59"/>
      <c r="I2723" s="60">
        <f>IF(OR(H2723="",E2723="",C2723="",D2723=""),"",IF(C2723+D2723=0,"",(H2723*D2723+E2723*C2723)/(C2723+D2723)))</f>
        <v/>
      </c>
      <c r="J2723" s="59"/>
      <c r="K2723" s="61">
        <f>IF(OR(J2723="",I2723=""),"",J2723-I2723)</f>
        <v/>
      </c>
      <c r="L2723" s="61">
        <f>IF(OR(J2723="",G2723=""),"",J2723-G2723)</f>
        <v/>
      </c>
      <c r="M2723" s="59"/>
      <c r="N2723" s="59"/>
      <c r="O2723" s="59"/>
      <c r="P2723" s="59"/>
      <c r="Q2723" s="59"/>
      <c r="R2723" s="60">
        <f>IF(AND(P2723="",Q2723=""),"",N(P2723)+N(Q2723))</f>
        <v/>
      </c>
      <c r="S2723" s="59"/>
      <c r="T2723" s="59"/>
      <c r="U2723" s="62">
        <f>IF(OR(R2723="",S2723="",T2723=""),"",IF(S2723+T2723=0,"",R2723/(S2723+T2723)))</f>
        <v/>
      </c>
      <c r="V2723" s="63"/>
      <c r="W2723" s="64"/>
      <c r="X2723" s="63"/>
    </row>
    <row r="2724" spans="2:24">
      <c r="B2724" s="58"/>
      <c r="C2724" s="59"/>
      <c r="D2724" s="59"/>
      <c r="E2724" s="59"/>
      <c r="F2724" s="59"/>
      <c r="G2724" s="60">
        <f>IF(OR(E2724="",F2724="",C2724="",D2724=""),"",IF(C2724+D2724=0,"",(E2724*C2724+F2724*D2724)/(C2724+D2724)))</f>
        <v/>
      </c>
      <c r="H2724" s="59"/>
      <c r="I2724" s="60">
        <f>IF(OR(H2724="",E2724="",C2724="",D2724=""),"",IF(C2724+D2724=0,"",(H2724*D2724+E2724*C2724)/(C2724+D2724)))</f>
        <v/>
      </c>
      <c r="J2724" s="59"/>
      <c r="K2724" s="61">
        <f>IF(OR(J2724="",I2724=""),"",J2724-I2724)</f>
        <v/>
      </c>
      <c r="L2724" s="61">
        <f>IF(OR(J2724="",G2724=""),"",J2724-G2724)</f>
        <v/>
      </c>
      <c r="M2724" s="59"/>
      <c r="N2724" s="59"/>
      <c r="O2724" s="59"/>
      <c r="P2724" s="59"/>
      <c r="Q2724" s="59"/>
      <c r="R2724" s="60">
        <f>IF(AND(P2724="",Q2724=""),"",N(P2724)+N(Q2724))</f>
        <v/>
      </c>
      <c r="S2724" s="59"/>
      <c r="T2724" s="59"/>
      <c r="U2724" s="62">
        <f>IF(OR(R2724="",S2724="",T2724=""),"",IF(S2724+T2724=0,"",R2724/(S2724+T2724)))</f>
        <v/>
      </c>
      <c r="V2724" s="63"/>
      <c r="W2724" s="64"/>
      <c r="X2724" s="63"/>
    </row>
    <row r="2725" spans="2:24">
      <c r="B2725" s="58"/>
      <c r="C2725" s="59"/>
      <c r="D2725" s="59"/>
      <c r="E2725" s="59"/>
      <c r="F2725" s="59"/>
      <c r="G2725" s="60">
        <f>IF(OR(E2725="",F2725="",C2725="",D2725=""),"",IF(C2725+D2725=0,"",(E2725*C2725+F2725*D2725)/(C2725+D2725)))</f>
        <v/>
      </c>
      <c r="H2725" s="59"/>
      <c r="I2725" s="60">
        <f>IF(OR(H2725="",E2725="",C2725="",D2725=""),"",IF(C2725+D2725=0,"",(H2725*D2725+E2725*C2725)/(C2725+D2725)))</f>
        <v/>
      </c>
      <c r="J2725" s="59"/>
      <c r="K2725" s="61">
        <f>IF(OR(J2725="",I2725=""),"",J2725-I2725)</f>
        <v/>
      </c>
      <c r="L2725" s="61">
        <f>IF(OR(J2725="",G2725=""),"",J2725-G2725)</f>
        <v/>
      </c>
      <c r="M2725" s="59"/>
      <c r="N2725" s="59"/>
      <c r="O2725" s="59"/>
      <c r="P2725" s="59"/>
      <c r="Q2725" s="59"/>
      <c r="R2725" s="60">
        <f>IF(AND(P2725="",Q2725=""),"",N(P2725)+N(Q2725))</f>
        <v/>
      </c>
      <c r="S2725" s="59"/>
      <c r="T2725" s="59"/>
      <c r="U2725" s="62">
        <f>IF(OR(R2725="",S2725="",T2725=""),"",IF(S2725+T2725=0,"",R2725/(S2725+T2725)))</f>
        <v/>
      </c>
      <c r="V2725" s="63"/>
      <c r="W2725" s="64"/>
      <c r="X2725" s="63"/>
    </row>
    <row r="2726" spans="2:24">
      <c r="B2726" s="58"/>
      <c r="C2726" s="59"/>
      <c r="D2726" s="59"/>
      <c r="E2726" s="59"/>
      <c r="F2726" s="59"/>
      <c r="G2726" s="60">
        <f>IF(OR(E2726="",F2726="",C2726="",D2726=""),"",IF(C2726+D2726=0,"",(E2726*C2726+F2726*D2726)/(C2726+D2726)))</f>
        <v/>
      </c>
      <c r="H2726" s="59"/>
      <c r="I2726" s="60">
        <f>IF(OR(H2726="",E2726="",C2726="",D2726=""),"",IF(C2726+D2726=0,"",(H2726*D2726+E2726*C2726)/(C2726+D2726)))</f>
        <v/>
      </c>
      <c r="J2726" s="59"/>
      <c r="K2726" s="61">
        <f>IF(OR(J2726="",I2726=""),"",J2726-I2726)</f>
        <v/>
      </c>
      <c r="L2726" s="61">
        <f>IF(OR(J2726="",G2726=""),"",J2726-G2726)</f>
        <v/>
      </c>
      <c r="M2726" s="59"/>
      <c r="N2726" s="59"/>
      <c r="O2726" s="59"/>
      <c r="P2726" s="59"/>
      <c r="Q2726" s="59"/>
      <c r="R2726" s="60">
        <f>IF(AND(P2726="",Q2726=""),"",N(P2726)+N(Q2726))</f>
        <v/>
      </c>
      <c r="S2726" s="59"/>
      <c r="T2726" s="59"/>
      <c r="U2726" s="62">
        <f>IF(OR(R2726="",S2726="",T2726=""),"",IF(S2726+T2726=0,"",R2726/(S2726+T2726)))</f>
        <v/>
      </c>
      <c r="V2726" s="63"/>
      <c r="W2726" s="64"/>
      <c r="X2726" s="63"/>
    </row>
    <row r="2727" spans="2:24">
      <c r="B2727" s="58"/>
      <c r="C2727" s="59"/>
      <c r="D2727" s="59"/>
      <c r="E2727" s="59"/>
      <c r="F2727" s="59"/>
      <c r="G2727" s="60">
        <f>IF(OR(E2727="",F2727="",C2727="",D2727=""),"",IF(C2727+D2727=0,"",(E2727*C2727+F2727*D2727)/(C2727+D2727)))</f>
        <v/>
      </c>
      <c r="H2727" s="59"/>
      <c r="I2727" s="60">
        <f>IF(OR(H2727="",E2727="",C2727="",D2727=""),"",IF(C2727+D2727=0,"",(H2727*D2727+E2727*C2727)/(C2727+D2727)))</f>
        <v/>
      </c>
      <c r="J2727" s="59"/>
      <c r="K2727" s="61">
        <f>IF(OR(J2727="",I2727=""),"",J2727-I2727)</f>
        <v/>
      </c>
      <c r="L2727" s="61">
        <f>IF(OR(J2727="",G2727=""),"",J2727-G2727)</f>
        <v/>
      </c>
      <c r="M2727" s="59"/>
      <c r="N2727" s="59"/>
      <c r="O2727" s="59"/>
      <c r="P2727" s="59"/>
      <c r="Q2727" s="59"/>
      <c r="R2727" s="60">
        <f>IF(AND(P2727="",Q2727=""),"",N(P2727)+N(Q2727))</f>
        <v/>
      </c>
      <c r="S2727" s="59"/>
      <c r="T2727" s="59"/>
      <c r="U2727" s="62">
        <f>IF(OR(R2727="",S2727="",T2727=""),"",IF(S2727+T2727=0,"",R2727/(S2727+T2727)))</f>
        <v/>
      </c>
      <c r="V2727" s="63"/>
      <c r="W2727" s="64"/>
      <c r="X2727" s="63"/>
    </row>
    <row r="2728" spans="2:24">
      <c r="B2728" s="58"/>
      <c r="C2728" s="59"/>
      <c r="D2728" s="59"/>
      <c r="E2728" s="59"/>
      <c r="F2728" s="59"/>
      <c r="G2728" s="60">
        <f>IF(OR(E2728="",F2728="",C2728="",D2728=""),"",IF(C2728+D2728=0,"",(E2728*C2728+F2728*D2728)/(C2728+D2728)))</f>
        <v/>
      </c>
      <c r="H2728" s="59"/>
      <c r="I2728" s="60">
        <f>IF(OR(H2728="",E2728="",C2728="",D2728=""),"",IF(C2728+D2728=0,"",(H2728*D2728+E2728*C2728)/(C2728+D2728)))</f>
        <v/>
      </c>
      <c r="J2728" s="59"/>
      <c r="K2728" s="61">
        <f>IF(OR(J2728="",I2728=""),"",J2728-I2728)</f>
        <v/>
      </c>
      <c r="L2728" s="61">
        <f>IF(OR(J2728="",G2728=""),"",J2728-G2728)</f>
        <v/>
      </c>
      <c r="M2728" s="59"/>
      <c r="N2728" s="59"/>
      <c r="O2728" s="59"/>
      <c r="P2728" s="59"/>
      <c r="Q2728" s="59"/>
      <c r="R2728" s="60">
        <f>IF(AND(P2728="",Q2728=""),"",N(P2728)+N(Q2728))</f>
        <v/>
      </c>
      <c r="S2728" s="59"/>
      <c r="T2728" s="59"/>
      <c r="U2728" s="62">
        <f>IF(OR(R2728="",S2728="",T2728=""),"",IF(S2728+T2728=0,"",R2728/(S2728+T2728)))</f>
        <v/>
      </c>
      <c r="V2728" s="63"/>
      <c r="W2728" s="64"/>
      <c r="X2728" s="63"/>
    </row>
    <row r="2729" spans="2:24">
      <c r="B2729" s="58"/>
      <c r="C2729" s="59"/>
      <c r="D2729" s="59"/>
      <c r="E2729" s="59"/>
      <c r="F2729" s="59"/>
      <c r="G2729" s="60">
        <f>IF(OR(E2729="",F2729="",C2729="",D2729=""),"",IF(C2729+D2729=0,"",(E2729*C2729+F2729*D2729)/(C2729+D2729)))</f>
        <v/>
      </c>
      <c r="H2729" s="59"/>
      <c r="I2729" s="60">
        <f>IF(OR(H2729="",E2729="",C2729="",D2729=""),"",IF(C2729+D2729=0,"",(H2729*D2729+E2729*C2729)/(C2729+D2729)))</f>
        <v/>
      </c>
      <c r="J2729" s="59"/>
      <c r="K2729" s="61">
        <f>IF(OR(J2729="",I2729=""),"",J2729-I2729)</f>
        <v/>
      </c>
      <c r="L2729" s="61">
        <f>IF(OR(J2729="",G2729=""),"",J2729-G2729)</f>
        <v/>
      </c>
      <c r="M2729" s="59"/>
      <c r="N2729" s="59"/>
      <c r="O2729" s="59"/>
      <c r="P2729" s="59"/>
      <c r="Q2729" s="59"/>
      <c r="R2729" s="60">
        <f>IF(AND(P2729="",Q2729=""),"",N(P2729)+N(Q2729))</f>
        <v/>
      </c>
      <c r="S2729" s="59"/>
      <c r="T2729" s="59"/>
      <c r="U2729" s="62">
        <f>IF(OR(R2729="",S2729="",T2729=""),"",IF(S2729+T2729=0,"",R2729/(S2729+T2729)))</f>
        <v/>
      </c>
      <c r="V2729" s="63"/>
      <c r="W2729" s="64"/>
      <c r="X2729" s="63"/>
    </row>
    <row r="2730" spans="2:24">
      <c r="B2730" s="58"/>
      <c r="C2730" s="59"/>
      <c r="D2730" s="59"/>
      <c r="E2730" s="59"/>
      <c r="F2730" s="59"/>
      <c r="G2730" s="60">
        <f>IF(OR(E2730="",F2730="",C2730="",D2730=""),"",IF(C2730+D2730=0,"",(E2730*C2730+F2730*D2730)/(C2730+D2730)))</f>
        <v/>
      </c>
      <c r="H2730" s="59"/>
      <c r="I2730" s="60">
        <f>IF(OR(H2730="",E2730="",C2730="",D2730=""),"",IF(C2730+D2730=0,"",(H2730*D2730+E2730*C2730)/(C2730+D2730)))</f>
        <v/>
      </c>
      <c r="J2730" s="59"/>
      <c r="K2730" s="61">
        <f>IF(OR(J2730="",I2730=""),"",J2730-I2730)</f>
        <v/>
      </c>
      <c r="L2730" s="61">
        <f>IF(OR(J2730="",G2730=""),"",J2730-G2730)</f>
        <v/>
      </c>
      <c r="M2730" s="59"/>
      <c r="N2730" s="59"/>
      <c r="O2730" s="59"/>
      <c r="P2730" s="59"/>
      <c r="Q2730" s="59"/>
      <c r="R2730" s="60">
        <f>IF(AND(P2730="",Q2730=""),"",N(P2730)+N(Q2730))</f>
        <v/>
      </c>
      <c r="S2730" s="59"/>
      <c r="T2730" s="59"/>
      <c r="U2730" s="62">
        <f>IF(OR(R2730="",S2730="",T2730=""),"",IF(S2730+T2730=0,"",R2730/(S2730+T2730)))</f>
        <v/>
      </c>
      <c r="V2730" s="63"/>
      <c r="W2730" s="64"/>
      <c r="X2730" s="63"/>
    </row>
    <row r="2731" spans="2:24">
      <c r="B2731" s="58"/>
      <c r="C2731" s="59"/>
      <c r="D2731" s="59"/>
      <c r="E2731" s="59"/>
      <c r="F2731" s="59"/>
      <c r="G2731" s="60">
        <f>IF(OR(E2731="",F2731="",C2731="",D2731=""),"",IF(C2731+D2731=0,"",(E2731*C2731+F2731*D2731)/(C2731+D2731)))</f>
        <v/>
      </c>
      <c r="H2731" s="59"/>
      <c r="I2731" s="60">
        <f>IF(OR(H2731="",E2731="",C2731="",D2731=""),"",IF(C2731+D2731=0,"",(H2731*D2731+E2731*C2731)/(C2731+D2731)))</f>
        <v/>
      </c>
      <c r="J2731" s="59"/>
      <c r="K2731" s="61">
        <f>IF(OR(J2731="",I2731=""),"",J2731-I2731)</f>
        <v/>
      </c>
      <c r="L2731" s="61">
        <f>IF(OR(J2731="",G2731=""),"",J2731-G2731)</f>
        <v/>
      </c>
      <c r="M2731" s="59"/>
      <c r="N2731" s="59"/>
      <c r="O2731" s="59"/>
      <c r="P2731" s="59"/>
      <c r="Q2731" s="59"/>
      <c r="R2731" s="60">
        <f>IF(AND(P2731="",Q2731=""),"",N(P2731)+N(Q2731))</f>
        <v/>
      </c>
      <c r="S2731" s="59"/>
      <c r="T2731" s="59"/>
      <c r="U2731" s="62">
        <f>IF(OR(R2731="",S2731="",T2731=""),"",IF(S2731+T2731=0,"",R2731/(S2731+T2731)))</f>
        <v/>
      </c>
      <c r="V2731" s="63"/>
      <c r="W2731" s="64"/>
      <c r="X2731" s="63"/>
    </row>
    <row r="2732" spans="2:24">
      <c r="B2732" s="58"/>
      <c r="C2732" s="59"/>
      <c r="D2732" s="59"/>
      <c r="E2732" s="59"/>
      <c r="F2732" s="59"/>
      <c r="G2732" s="60">
        <f>IF(OR(E2732="",F2732="",C2732="",D2732=""),"",IF(C2732+D2732=0,"",(E2732*C2732+F2732*D2732)/(C2732+D2732)))</f>
        <v/>
      </c>
      <c r="H2732" s="59"/>
      <c r="I2732" s="60">
        <f>IF(OR(H2732="",E2732="",C2732="",D2732=""),"",IF(C2732+D2732=0,"",(H2732*D2732+E2732*C2732)/(C2732+D2732)))</f>
        <v/>
      </c>
      <c r="J2732" s="59"/>
      <c r="K2732" s="61">
        <f>IF(OR(J2732="",I2732=""),"",J2732-I2732)</f>
        <v/>
      </c>
      <c r="L2732" s="61">
        <f>IF(OR(J2732="",G2732=""),"",J2732-G2732)</f>
        <v/>
      </c>
      <c r="M2732" s="59"/>
      <c r="N2732" s="59"/>
      <c r="O2732" s="59"/>
      <c r="P2732" s="59"/>
      <c r="Q2732" s="59"/>
      <c r="R2732" s="60">
        <f>IF(AND(P2732="",Q2732=""),"",N(P2732)+N(Q2732))</f>
        <v/>
      </c>
      <c r="S2732" s="59"/>
      <c r="T2732" s="59"/>
      <c r="U2732" s="62">
        <f>IF(OR(R2732="",S2732="",T2732=""),"",IF(S2732+T2732=0,"",R2732/(S2732+T2732)))</f>
        <v/>
      </c>
      <c r="V2732" s="63"/>
      <c r="W2732" s="64"/>
      <c r="X2732" s="63"/>
    </row>
    <row r="2733" spans="2:24">
      <c r="B2733" s="58"/>
      <c r="C2733" s="59"/>
      <c r="D2733" s="59"/>
      <c r="E2733" s="59"/>
      <c r="F2733" s="59"/>
      <c r="G2733" s="60">
        <f>IF(OR(E2733="",F2733="",C2733="",D2733=""),"",IF(C2733+D2733=0,"",(E2733*C2733+F2733*D2733)/(C2733+D2733)))</f>
        <v/>
      </c>
      <c r="H2733" s="59"/>
      <c r="I2733" s="60">
        <f>IF(OR(H2733="",E2733="",C2733="",D2733=""),"",IF(C2733+D2733=0,"",(H2733*D2733+E2733*C2733)/(C2733+D2733)))</f>
        <v/>
      </c>
      <c r="J2733" s="59"/>
      <c r="K2733" s="61">
        <f>IF(OR(J2733="",I2733=""),"",J2733-I2733)</f>
        <v/>
      </c>
      <c r="L2733" s="61">
        <f>IF(OR(J2733="",G2733=""),"",J2733-G2733)</f>
        <v/>
      </c>
      <c r="M2733" s="59"/>
      <c r="N2733" s="59"/>
      <c r="O2733" s="59"/>
      <c r="P2733" s="59"/>
      <c r="Q2733" s="59"/>
      <c r="R2733" s="60">
        <f>IF(AND(P2733="",Q2733=""),"",N(P2733)+N(Q2733))</f>
        <v/>
      </c>
      <c r="S2733" s="59"/>
      <c r="T2733" s="59"/>
      <c r="U2733" s="62">
        <f>IF(OR(R2733="",S2733="",T2733=""),"",IF(S2733+T2733=0,"",R2733/(S2733+T2733)))</f>
        <v/>
      </c>
      <c r="V2733" s="63"/>
      <c r="W2733" s="64"/>
      <c r="X2733" s="63"/>
    </row>
    <row r="2734" spans="2:24">
      <c r="B2734" s="58"/>
      <c r="C2734" s="59"/>
      <c r="D2734" s="59"/>
      <c r="E2734" s="59"/>
      <c r="F2734" s="59"/>
      <c r="G2734" s="60">
        <f>IF(OR(E2734="",F2734="",C2734="",D2734=""),"",IF(C2734+D2734=0,"",(E2734*C2734+F2734*D2734)/(C2734+D2734)))</f>
        <v/>
      </c>
      <c r="H2734" s="59"/>
      <c r="I2734" s="60">
        <f>IF(OR(H2734="",E2734="",C2734="",D2734=""),"",IF(C2734+D2734=0,"",(H2734*D2734+E2734*C2734)/(C2734+D2734)))</f>
        <v/>
      </c>
      <c r="J2734" s="59"/>
      <c r="K2734" s="61">
        <f>IF(OR(J2734="",I2734=""),"",J2734-I2734)</f>
        <v/>
      </c>
      <c r="L2734" s="61">
        <f>IF(OR(J2734="",G2734=""),"",J2734-G2734)</f>
        <v/>
      </c>
      <c r="M2734" s="59"/>
      <c r="N2734" s="59"/>
      <c r="O2734" s="59"/>
      <c r="P2734" s="59"/>
      <c r="Q2734" s="59"/>
      <c r="R2734" s="60">
        <f>IF(AND(P2734="",Q2734=""),"",N(P2734)+N(Q2734))</f>
        <v/>
      </c>
      <c r="S2734" s="59"/>
      <c r="T2734" s="59"/>
      <c r="U2734" s="62">
        <f>IF(OR(R2734="",S2734="",T2734=""),"",IF(S2734+T2734=0,"",R2734/(S2734+T2734)))</f>
        <v/>
      </c>
      <c r="V2734" s="63"/>
      <c r="W2734" s="64"/>
      <c r="X2734" s="63"/>
    </row>
    <row r="2735" spans="2:24">
      <c r="B2735" s="58"/>
      <c r="C2735" s="59"/>
      <c r="D2735" s="59"/>
      <c r="E2735" s="59"/>
      <c r="F2735" s="59"/>
      <c r="G2735" s="60">
        <f>IF(OR(E2735="",F2735="",C2735="",D2735=""),"",IF(C2735+D2735=0,"",(E2735*C2735+F2735*D2735)/(C2735+D2735)))</f>
        <v/>
      </c>
      <c r="H2735" s="59"/>
      <c r="I2735" s="60">
        <f>IF(OR(H2735="",E2735="",C2735="",D2735=""),"",IF(C2735+D2735=0,"",(H2735*D2735+E2735*C2735)/(C2735+D2735)))</f>
        <v/>
      </c>
      <c r="J2735" s="59"/>
      <c r="K2735" s="61">
        <f>IF(OR(J2735="",I2735=""),"",J2735-I2735)</f>
        <v/>
      </c>
      <c r="L2735" s="61">
        <f>IF(OR(J2735="",G2735=""),"",J2735-G2735)</f>
        <v/>
      </c>
      <c r="M2735" s="59"/>
      <c r="N2735" s="59"/>
      <c r="O2735" s="59"/>
      <c r="P2735" s="59"/>
      <c r="Q2735" s="59"/>
      <c r="R2735" s="60">
        <f>IF(AND(P2735="",Q2735=""),"",N(P2735)+N(Q2735))</f>
        <v/>
      </c>
      <c r="S2735" s="59"/>
      <c r="T2735" s="59"/>
      <c r="U2735" s="62">
        <f>IF(OR(R2735="",S2735="",T2735=""),"",IF(S2735+T2735=0,"",R2735/(S2735+T2735)))</f>
        <v/>
      </c>
      <c r="V2735" s="63"/>
      <c r="W2735" s="64"/>
      <c r="X2735" s="63"/>
    </row>
    <row r="2736" spans="2:24">
      <c r="B2736" s="58"/>
      <c r="C2736" s="59"/>
      <c r="D2736" s="59"/>
      <c r="E2736" s="59"/>
      <c r="F2736" s="59"/>
      <c r="G2736" s="60">
        <f>IF(OR(E2736="",F2736="",C2736="",D2736=""),"",IF(C2736+D2736=0,"",(E2736*C2736+F2736*D2736)/(C2736+D2736)))</f>
        <v/>
      </c>
      <c r="H2736" s="59"/>
      <c r="I2736" s="60">
        <f>IF(OR(H2736="",E2736="",C2736="",D2736=""),"",IF(C2736+D2736=0,"",(H2736*D2736+E2736*C2736)/(C2736+D2736)))</f>
        <v/>
      </c>
      <c r="J2736" s="59"/>
      <c r="K2736" s="61">
        <f>IF(OR(J2736="",I2736=""),"",J2736-I2736)</f>
        <v/>
      </c>
      <c r="L2736" s="61">
        <f>IF(OR(J2736="",G2736=""),"",J2736-G2736)</f>
        <v/>
      </c>
      <c r="M2736" s="59"/>
      <c r="N2736" s="59"/>
      <c r="O2736" s="59"/>
      <c r="P2736" s="59"/>
      <c r="Q2736" s="59"/>
      <c r="R2736" s="60">
        <f>IF(AND(P2736="",Q2736=""),"",N(P2736)+N(Q2736))</f>
        <v/>
      </c>
      <c r="S2736" s="59"/>
      <c r="T2736" s="59"/>
      <c r="U2736" s="62">
        <f>IF(OR(R2736="",S2736="",T2736=""),"",IF(S2736+T2736=0,"",R2736/(S2736+T2736)))</f>
        <v/>
      </c>
      <c r="V2736" s="63"/>
      <c r="W2736" s="64"/>
      <c r="X2736" s="63"/>
    </row>
    <row r="2737" spans="2:24">
      <c r="B2737" s="58"/>
      <c r="C2737" s="59"/>
      <c r="D2737" s="59"/>
      <c r="E2737" s="59"/>
      <c r="F2737" s="59"/>
      <c r="G2737" s="60">
        <f>IF(OR(E2737="",F2737="",C2737="",D2737=""),"",IF(C2737+D2737=0,"",(E2737*C2737+F2737*D2737)/(C2737+D2737)))</f>
        <v/>
      </c>
      <c r="H2737" s="59"/>
      <c r="I2737" s="60">
        <f>IF(OR(H2737="",E2737="",C2737="",D2737=""),"",IF(C2737+D2737=0,"",(H2737*D2737+E2737*C2737)/(C2737+D2737)))</f>
        <v/>
      </c>
      <c r="J2737" s="59"/>
      <c r="K2737" s="61">
        <f>IF(OR(J2737="",I2737=""),"",J2737-I2737)</f>
        <v/>
      </c>
      <c r="L2737" s="61">
        <f>IF(OR(J2737="",G2737=""),"",J2737-G2737)</f>
        <v/>
      </c>
      <c r="M2737" s="59"/>
      <c r="N2737" s="59"/>
      <c r="O2737" s="59"/>
      <c r="P2737" s="59"/>
      <c r="Q2737" s="59"/>
      <c r="R2737" s="60">
        <f>IF(AND(P2737="",Q2737=""),"",N(P2737)+N(Q2737))</f>
        <v/>
      </c>
      <c r="S2737" s="59"/>
      <c r="T2737" s="59"/>
      <c r="U2737" s="62">
        <f>IF(OR(R2737="",S2737="",T2737=""),"",IF(S2737+T2737=0,"",R2737/(S2737+T2737)))</f>
        <v/>
      </c>
      <c r="V2737" s="63"/>
      <c r="W2737" s="64"/>
      <c r="X2737" s="63"/>
    </row>
    <row r="2738" spans="2:24">
      <c r="B2738" s="58"/>
      <c r="C2738" s="59"/>
      <c r="D2738" s="59"/>
      <c r="E2738" s="59"/>
      <c r="F2738" s="59"/>
      <c r="G2738" s="60">
        <f>IF(OR(E2738="",F2738="",C2738="",D2738=""),"",IF(C2738+D2738=0,"",(E2738*C2738+F2738*D2738)/(C2738+D2738)))</f>
        <v/>
      </c>
      <c r="H2738" s="59"/>
      <c r="I2738" s="60">
        <f>IF(OR(H2738="",E2738="",C2738="",D2738=""),"",IF(C2738+D2738=0,"",(H2738*D2738+E2738*C2738)/(C2738+D2738)))</f>
        <v/>
      </c>
      <c r="J2738" s="59"/>
      <c r="K2738" s="61">
        <f>IF(OR(J2738="",I2738=""),"",J2738-I2738)</f>
        <v/>
      </c>
      <c r="L2738" s="61">
        <f>IF(OR(J2738="",G2738=""),"",J2738-G2738)</f>
        <v/>
      </c>
      <c r="M2738" s="59"/>
      <c r="N2738" s="59"/>
      <c r="O2738" s="59"/>
      <c r="P2738" s="59"/>
      <c r="Q2738" s="59"/>
      <c r="R2738" s="60">
        <f>IF(AND(P2738="",Q2738=""),"",N(P2738)+N(Q2738))</f>
        <v/>
      </c>
      <c r="S2738" s="59"/>
      <c r="T2738" s="59"/>
      <c r="U2738" s="62">
        <f>IF(OR(R2738="",S2738="",T2738=""),"",IF(S2738+T2738=0,"",R2738/(S2738+T2738)))</f>
        <v/>
      </c>
      <c r="V2738" s="63"/>
      <c r="W2738" s="64"/>
      <c r="X2738" s="63"/>
    </row>
    <row r="2739" spans="2:24">
      <c r="B2739" s="58"/>
      <c r="C2739" s="59"/>
      <c r="D2739" s="59"/>
      <c r="E2739" s="59"/>
      <c r="F2739" s="59"/>
      <c r="G2739" s="60">
        <f>IF(OR(E2739="",F2739="",C2739="",D2739=""),"",IF(C2739+D2739=0,"",(E2739*C2739+F2739*D2739)/(C2739+D2739)))</f>
        <v/>
      </c>
      <c r="H2739" s="59"/>
      <c r="I2739" s="60">
        <f>IF(OR(H2739="",E2739="",C2739="",D2739=""),"",IF(C2739+D2739=0,"",(H2739*D2739+E2739*C2739)/(C2739+D2739)))</f>
        <v/>
      </c>
      <c r="J2739" s="59"/>
      <c r="K2739" s="61">
        <f>IF(OR(J2739="",I2739=""),"",J2739-I2739)</f>
        <v/>
      </c>
      <c r="L2739" s="61">
        <f>IF(OR(J2739="",G2739=""),"",J2739-G2739)</f>
        <v/>
      </c>
      <c r="M2739" s="59"/>
      <c r="N2739" s="59"/>
      <c r="O2739" s="59"/>
      <c r="P2739" s="59"/>
      <c r="Q2739" s="59"/>
      <c r="R2739" s="60">
        <f>IF(AND(P2739="",Q2739=""),"",N(P2739)+N(Q2739))</f>
        <v/>
      </c>
      <c r="S2739" s="59"/>
      <c r="T2739" s="59"/>
      <c r="U2739" s="62">
        <f>IF(OR(R2739="",S2739="",T2739=""),"",IF(S2739+T2739=0,"",R2739/(S2739+T2739)))</f>
        <v/>
      </c>
      <c r="V2739" s="63"/>
      <c r="W2739" s="64"/>
      <c r="X2739" s="63"/>
    </row>
    <row r="2740" spans="2:24">
      <c r="B2740" s="58"/>
      <c r="C2740" s="59"/>
      <c r="D2740" s="59"/>
      <c r="E2740" s="59"/>
      <c r="F2740" s="59"/>
      <c r="G2740" s="60">
        <f>IF(OR(E2740="",F2740="",C2740="",D2740=""),"",IF(C2740+D2740=0,"",(E2740*C2740+F2740*D2740)/(C2740+D2740)))</f>
        <v/>
      </c>
      <c r="H2740" s="59"/>
      <c r="I2740" s="60">
        <f>IF(OR(H2740="",E2740="",C2740="",D2740=""),"",IF(C2740+D2740=0,"",(H2740*D2740+E2740*C2740)/(C2740+D2740)))</f>
        <v/>
      </c>
      <c r="J2740" s="59"/>
      <c r="K2740" s="61">
        <f>IF(OR(J2740="",I2740=""),"",J2740-I2740)</f>
        <v/>
      </c>
      <c r="L2740" s="61">
        <f>IF(OR(J2740="",G2740=""),"",J2740-G2740)</f>
        <v/>
      </c>
      <c r="M2740" s="59"/>
      <c r="N2740" s="59"/>
      <c r="O2740" s="59"/>
      <c r="P2740" s="59"/>
      <c r="Q2740" s="59"/>
      <c r="R2740" s="60">
        <f>IF(AND(P2740="",Q2740=""),"",N(P2740)+N(Q2740))</f>
        <v/>
      </c>
      <c r="S2740" s="59"/>
      <c r="T2740" s="59"/>
      <c r="U2740" s="62">
        <f>IF(OR(R2740="",S2740="",T2740=""),"",IF(S2740+T2740=0,"",R2740/(S2740+T2740)))</f>
        <v/>
      </c>
      <c r="V2740" s="63"/>
      <c r="W2740" s="64"/>
      <c r="X2740" s="63"/>
    </row>
    <row r="2741" spans="2:24">
      <c r="B2741" s="58"/>
      <c r="C2741" s="59"/>
      <c r="D2741" s="59"/>
      <c r="E2741" s="59"/>
      <c r="F2741" s="59"/>
      <c r="G2741" s="60">
        <f>IF(OR(E2741="",F2741="",C2741="",D2741=""),"",IF(C2741+D2741=0,"",(E2741*C2741+F2741*D2741)/(C2741+D2741)))</f>
        <v/>
      </c>
      <c r="H2741" s="59"/>
      <c r="I2741" s="60">
        <f>IF(OR(H2741="",E2741="",C2741="",D2741=""),"",IF(C2741+D2741=0,"",(H2741*D2741+E2741*C2741)/(C2741+D2741)))</f>
        <v/>
      </c>
      <c r="J2741" s="59"/>
      <c r="K2741" s="61">
        <f>IF(OR(J2741="",I2741=""),"",J2741-I2741)</f>
        <v/>
      </c>
      <c r="L2741" s="61">
        <f>IF(OR(J2741="",G2741=""),"",J2741-G2741)</f>
        <v/>
      </c>
      <c r="M2741" s="59"/>
      <c r="N2741" s="59"/>
      <c r="O2741" s="59"/>
      <c r="P2741" s="59"/>
      <c r="Q2741" s="59"/>
      <c r="R2741" s="60">
        <f>IF(AND(P2741="",Q2741=""),"",N(P2741)+N(Q2741))</f>
        <v/>
      </c>
      <c r="S2741" s="59"/>
      <c r="T2741" s="59"/>
      <c r="U2741" s="62">
        <f>IF(OR(R2741="",S2741="",T2741=""),"",IF(S2741+T2741=0,"",R2741/(S2741+T2741)))</f>
        <v/>
      </c>
      <c r="V2741" s="63"/>
      <c r="W2741" s="64"/>
      <c r="X2741" s="63"/>
    </row>
    <row r="2742" spans="2:24">
      <c r="B2742" s="58"/>
      <c r="C2742" s="59"/>
      <c r="D2742" s="59"/>
      <c r="E2742" s="59"/>
      <c r="F2742" s="59"/>
      <c r="G2742" s="60">
        <f>IF(OR(E2742="",F2742="",C2742="",D2742=""),"",IF(C2742+D2742=0,"",(E2742*C2742+F2742*D2742)/(C2742+D2742)))</f>
        <v/>
      </c>
      <c r="H2742" s="59"/>
      <c r="I2742" s="60">
        <f>IF(OR(H2742="",E2742="",C2742="",D2742=""),"",IF(C2742+D2742=0,"",(H2742*D2742+E2742*C2742)/(C2742+D2742)))</f>
        <v/>
      </c>
      <c r="J2742" s="59"/>
      <c r="K2742" s="61">
        <f>IF(OR(J2742="",I2742=""),"",J2742-I2742)</f>
        <v/>
      </c>
      <c r="L2742" s="61">
        <f>IF(OR(J2742="",G2742=""),"",J2742-G2742)</f>
        <v/>
      </c>
      <c r="M2742" s="59"/>
      <c r="N2742" s="59"/>
      <c r="O2742" s="59"/>
      <c r="P2742" s="59"/>
      <c r="Q2742" s="59"/>
      <c r="R2742" s="60">
        <f>IF(AND(P2742="",Q2742=""),"",N(P2742)+N(Q2742))</f>
        <v/>
      </c>
      <c r="S2742" s="59"/>
      <c r="T2742" s="59"/>
      <c r="U2742" s="62">
        <f>IF(OR(R2742="",S2742="",T2742=""),"",IF(S2742+T2742=0,"",R2742/(S2742+T2742)))</f>
        <v/>
      </c>
      <c r="V2742" s="63"/>
      <c r="W2742" s="64"/>
      <c r="X2742" s="63"/>
    </row>
    <row r="2743" spans="2:24">
      <c r="B2743" s="58"/>
      <c r="C2743" s="59"/>
      <c r="D2743" s="59"/>
      <c r="E2743" s="59"/>
      <c r="F2743" s="59"/>
      <c r="G2743" s="60">
        <f>IF(OR(E2743="",F2743="",C2743="",D2743=""),"",IF(C2743+D2743=0,"",(E2743*C2743+F2743*D2743)/(C2743+D2743)))</f>
        <v/>
      </c>
      <c r="H2743" s="59"/>
      <c r="I2743" s="60">
        <f>IF(OR(H2743="",E2743="",C2743="",D2743=""),"",IF(C2743+D2743=0,"",(H2743*D2743+E2743*C2743)/(C2743+D2743)))</f>
        <v/>
      </c>
      <c r="J2743" s="59"/>
      <c r="K2743" s="61">
        <f>IF(OR(J2743="",I2743=""),"",J2743-I2743)</f>
        <v/>
      </c>
      <c r="L2743" s="61">
        <f>IF(OR(J2743="",G2743=""),"",J2743-G2743)</f>
        <v/>
      </c>
      <c r="M2743" s="59"/>
      <c r="N2743" s="59"/>
      <c r="O2743" s="59"/>
      <c r="P2743" s="59"/>
      <c r="Q2743" s="59"/>
      <c r="R2743" s="60">
        <f>IF(AND(P2743="",Q2743=""),"",N(P2743)+N(Q2743))</f>
        <v/>
      </c>
      <c r="S2743" s="59"/>
      <c r="T2743" s="59"/>
      <c r="U2743" s="62">
        <f>IF(OR(R2743="",S2743="",T2743=""),"",IF(S2743+T2743=0,"",R2743/(S2743+T2743)))</f>
        <v/>
      </c>
      <c r="V2743" s="63"/>
      <c r="W2743" s="64"/>
      <c r="X2743" s="63"/>
    </row>
    <row r="2744" spans="2:24">
      <c r="B2744" s="58"/>
      <c r="C2744" s="59"/>
      <c r="D2744" s="59"/>
      <c r="E2744" s="59"/>
      <c r="F2744" s="59"/>
      <c r="G2744" s="60">
        <f>IF(OR(E2744="",F2744="",C2744="",D2744=""),"",IF(C2744+D2744=0,"",(E2744*C2744+F2744*D2744)/(C2744+D2744)))</f>
        <v/>
      </c>
      <c r="H2744" s="59"/>
      <c r="I2744" s="60">
        <f>IF(OR(H2744="",E2744="",C2744="",D2744=""),"",IF(C2744+D2744=0,"",(H2744*D2744+E2744*C2744)/(C2744+D2744)))</f>
        <v/>
      </c>
      <c r="J2744" s="59"/>
      <c r="K2744" s="61">
        <f>IF(OR(J2744="",I2744=""),"",J2744-I2744)</f>
        <v/>
      </c>
      <c r="L2744" s="61">
        <f>IF(OR(J2744="",G2744=""),"",J2744-G2744)</f>
        <v/>
      </c>
      <c r="M2744" s="59"/>
      <c r="N2744" s="59"/>
      <c r="O2744" s="59"/>
      <c r="P2744" s="59"/>
      <c r="Q2744" s="59"/>
      <c r="R2744" s="60">
        <f>IF(AND(P2744="",Q2744=""),"",N(P2744)+N(Q2744))</f>
        <v/>
      </c>
      <c r="S2744" s="59"/>
      <c r="T2744" s="59"/>
      <c r="U2744" s="62">
        <f>IF(OR(R2744="",S2744="",T2744=""),"",IF(S2744+T2744=0,"",R2744/(S2744+T2744)))</f>
        <v/>
      </c>
      <c r="V2744" s="63"/>
      <c r="W2744" s="64"/>
      <c r="X2744" s="63"/>
    </row>
    <row r="2745" spans="2:24">
      <c r="B2745" s="58"/>
      <c r="C2745" s="59"/>
      <c r="D2745" s="59"/>
      <c r="E2745" s="59"/>
      <c r="F2745" s="59"/>
      <c r="G2745" s="60">
        <f>IF(OR(E2745="",F2745="",C2745="",D2745=""),"",IF(C2745+D2745=0,"",(E2745*C2745+F2745*D2745)/(C2745+D2745)))</f>
        <v/>
      </c>
      <c r="H2745" s="59"/>
      <c r="I2745" s="60">
        <f>IF(OR(H2745="",E2745="",C2745="",D2745=""),"",IF(C2745+D2745=0,"",(H2745*D2745+E2745*C2745)/(C2745+D2745)))</f>
        <v/>
      </c>
      <c r="J2745" s="59"/>
      <c r="K2745" s="61">
        <f>IF(OR(J2745="",I2745=""),"",J2745-I2745)</f>
        <v/>
      </c>
      <c r="L2745" s="61">
        <f>IF(OR(J2745="",G2745=""),"",J2745-G2745)</f>
        <v/>
      </c>
      <c r="M2745" s="59"/>
      <c r="N2745" s="59"/>
      <c r="O2745" s="59"/>
      <c r="P2745" s="59"/>
      <c r="Q2745" s="59"/>
      <c r="R2745" s="60">
        <f>IF(AND(P2745="",Q2745=""),"",N(P2745)+N(Q2745))</f>
        <v/>
      </c>
      <c r="S2745" s="59"/>
      <c r="T2745" s="59"/>
      <c r="U2745" s="62">
        <f>IF(OR(R2745="",S2745="",T2745=""),"",IF(S2745+T2745=0,"",R2745/(S2745+T2745)))</f>
        <v/>
      </c>
      <c r="V2745" s="63"/>
      <c r="W2745" s="64"/>
      <c r="X2745" s="63"/>
    </row>
    <row r="2746" spans="2:24">
      <c r="B2746" s="58"/>
      <c r="C2746" s="59"/>
      <c r="D2746" s="59"/>
      <c r="E2746" s="59"/>
      <c r="F2746" s="59"/>
      <c r="G2746" s="60">
        <f>IF(OR(E2746="",F2746="",C2746="",D2746=""),"",IF(C2746+D2746=0,"",(E2746*C2746+F2746*D2746)/(C2746+D2746)))</f>
        <v/>
      </c>
      <c r="H2746" s="59"/>
      <c r="I2746" s="60">
        <f>IF(OR(H2746="",E2746="",C2746="",D2746=""),"",IF(C2746+D2746=0,"",(H2746*D2746+E2746*C2746)/(C2746+D2746)))</f>
        <v/>
      </c>
      <c r="J2746" s="59"/>
      <c r="K2746" s="61">
        <f>IF(OR(J2746="",I2746=""),"",J2746-I2746)</f>
        <v/>
      </c>
      <c r="L2746" s="61">
        <f>IF(OR(J2746="",G2746=""),"",J2746-G2746)</f>
        <v/>
      </c>
      <c r="M2746" s="59"/>
      <c r="N2746" s="59"/>
      <c r="O2746" s="59"/>
      <c r="P2746" s="59"/>
      <c r="Q2746" s="59"/>
      <c r="R2746" s="60">
        <f>IF(AND(P2746="",Q2746=""),"",N(P2746)+N(Q2746))</f>
        <v/>
      </c>
      <c r="S2746" s="59"/>
      <c r="T2746" s="59"/>
      <c r="U2746" s="62">
        <f>IF(OR(R2746="",S2746="",T2746=""),"",IF(S2746+T2746=0,"",R2746/(S2746+T2746)))</f>
        <v/>
      </c>
      <c r="V2746" s="63"/>
      <c r="W2746" s="64"/>
      <c r="X2746" s="63"/>
    </row>
    <row r="2747" spans="2:24">
      <c r="B2747" s="58"/>
      <c r="C2747" s="59"/>
      <c r="D2747" s="59"/>
      <c r="E2747" s="59"/>
      <c r="F2747" s="59"/>
      <c r="G2747" s="60">
        <f>IF(OR(E2747="",F2747="",C2747="",D2747=""),"",IF(C2747+D2747=0,"",(E2747*C2747+F2747*D2747)/(C2747+D2747)))</f>
        <v/>
      </c>
      <c r="H2747" s="59"/>
      <c r="I2747" s="60">
        <f>IF(OR(H2747="",E2747="",C2747="",D2747=""),"",IF(C2747+D2747=0,"",(H2747*D2747+E2747*C2747)/(C2747+D2747)))</f>
        <v/>
      </c>
      <c r="J2747" s="59"/>
      <c r="K2747" s="61">
        <f>IF(OR(J2747="",I2747=""),"",J2747-I2747)</f>
        <v/>
      </c>
      <c r="L2747" s="61">
        <f>IF(OR(J2747="",G2747=""),"",J2747-G2747)</f>
        <v/>
      </c>
      <c r="M2747" s="59"/>
      <c r="N2747" s="59"/>
      <c r="O2747" s="59"/>
      <c r="P2747" s="59"/>
      <c r="Q2747" s="59"/>
      <c r="R2747" s="60">
        <f>IF(AND(P2747="",Q2747=""),"",N(P2747)+N(Q2747))</f>
        <v/>
      </c>
      <c r="S2747" s="59"/>
      <c r="T2747" s="59"/>
      <c r="U2747" s="62">
        <f>IF(OR(R2747="",S2747="",T2747=""),"",IF(S2747+T2747=0,"",R2747/(S2747+T2747)))</f>
        <v/>
      </c>
      <c r="V2747" s="63"/>
      <c r="W2747" s="64"/>
      <c r="X2747" s="63"/>
    </row>
    <row r="2748" spans="2:24">
      <c r="B2748" s="58"/>
      <c r="C2748" s="59"/>
      <c r="D2748" s="59"/>
      <c r="E2748" s="59"/>
      <c r="F2748" s="59"/>
      <c r="G2748" s="60">
        <f>IF(OR(E2748="",F2748="",C2748="",D2748=""),"",IF(C2748+D2748=0,"",(E2748*C2748+F2748*D2748)/(C2748+D2748)))</f>
        <v/>
      </c>
      <c r="H2748" s="59"/>
      <c r="I2748" s="60">
        <f>IF(OR(H2748="",E2748="",C2748="",D2748=""),"",IF(C2748+D2748=0,"",(H2748*D2748+E2748*C2748)/(C2748+D2748)))</f>
        <v/>
      </c>
      <c r="J2748" s="59"/>
      <c r="K2748" s="61">
        <f>IF(OR(J2748="",I2748=""),"",J2748-I2748)</f>
        <v/>
      </c>
      <c r="L2748" s="61">
        <f>IF(OR(J2748="",G2748=""),"",J2748-G2748)</f>
        <v/>
      </c>
      <c r="M2748" s="59"/>
      <c r="N2748" s="59"/>
      <c r="O2748" s="59"/>
      <c r="P2748" s="59"/>
      <c r="Q2748" s="59"/>
      <c r="R2748" s="60">
        <f>IF(AND(P2748="",Q2748=""),"",N(P2748)+N(Q2748))</f>
        <v/>
      </c>
      <c r="S2748" s="59"/>
      <c r="T2748" s="59"/>
      <c r="U2748" s="62">
        <f>IF(OR(R2748="",S2748="",T2748=""),"",IF(S2748+T2748=0,"",R2748/(S2748+T2748)))</f>
        <v/>
      </c>
      <c r="V2748" s="63"/>
      <c r="W2748" s="64"/>
      <c r="X2748" s="63"/>
    </row>
    <row r="2749" spans="2:24">
      <c r="B2749" s="58"/>
      <c r="C2749" s="59"/>
      <c r="D2749" s="59"/>
      <c r="E2749" s="59"/>
      <c r="F2749" s="59"/>
      <c r="G2749" s="60">
        <f>IF(OR(E2749="",F2749="",C2749="",D2749=""),"",IF(C2749+D2749=0,"",(E2749*C2749+F2749*D2749)/(C2749+D2749)))</f>
        <v/>
      </c>
      <c r="H2749" s="59"/>
      <c r="I2749" s="60">
        <f>IF(OR(H2749="",E2749="",C2749="",D2749=""),"",IF(C2749+D2749=0,"",(H2749*D2749+E2749*C2749)/(C2749+D2749)))</f>
        <v/>
      </c>
      <c r="J2749" s="59"/>
      <c r="K2749" s="61">
        <f>IF(OR(J2749="",I2749=""),"",J2749-I2749)</f>
        <v/>
      </c>
      <c r="L2749" s="61">
        <f>IF(OR(J2749="",G2749=""),"",J2749-G2749)</f>
        <v/>
      </c>
      <c r="M2749" s="59"/>
      <c r="N2749" s="59"/>
      <c r="O2749" s="59"/>
      <c r="P2749" s="59"/>
      <c r="Q2749" s="59"/>
      <c r="R2749" s="60">
        <f>IF(AND(P2749="",Q2749=""),"",N(P2749)+N(Q2749))</f>
        <v/>
      </c>
      <c r="S2749" s="59"/>
      <c r="T2749" s="59"/>
      <c r="U2749" s="62">
        <f>IF(OR(R2749="",S2749="",T2749=""),"",IF(S2749+T2749=0,"",R2749/(S2749+T2749)))</f>
        <v/>
      </c>
      <c r="V2749" s="63"/>
      <c r="W2749" s="64"/>
      <c r="X2749" s="63"/>
    </row>
    <row r="2750" spans="2:24">
      <c r="B2750" s="58"/>
      <c r="C2750" s="59"/>
      <c r="D2750" s="59"/>
      <c r="E2750" s="59"/>
      <c r="F2750" s="59"/>
      <c r="G2750" s="60">
        <f>IF(OR(E2750="",F2750="",C2750="",D2750=""),"",IF(C2750+D2750=0,"",(E2750*C2750+F2750*D2750)/(C2750+D2750)))</f>
        <v/>
      </c>
      <c r="H2750" s="59"/>
      <c r="I2750" s="60">
        <f>IF(OR(H2750="",E2750="",C2750="",D2750=""),"",IF(C2750+D2750=0,"",(H2750*D2750+E2750*C2750)/(C2750+D2750)))</f>
        <v/>
      </c>
      <c r="J2750" s="59"/>
      <c r="K2750" s="61">
        <f>IF(OR(J2750="",I2750=""),"",J2750-I2750)</f>
        <v/>
      </c>
      <c r="L2750" s="61">
        <f>IF(OR(J2750="",G2750=""),"",J2750-G2750)</f>
        <v/>
      </c>
      <c r="M2750" s="59"/>
      <c r="N2750" s="59"/>
      <c r="O2750" s="59"/>
      <c r="P2750" s="59"/>
      <c r="Q2750" s="59"/>
      <c r="R2750" s="60">
        <f>IF(AND(P2750="",Q2750=""),"",N(P2750)+N(Q2750))</f>
        <v/>
      </c>
      <c r="S2750" s="59"/>
      <c r="T2750" s="59"/>
      <c r="U2750" s="62">
        <f>IF(OR(R2750="",S2750="",T2750=""),"",IF(S2750+T2750=0,"",R2750/(S2750+T2750)))</f>
        <v/>
      </c>
      <c r="V2750" s="63"/>
      <c r="W2750" s="64"/>
      <c r="X2750" s="63"/>
    </row>
    <row r="2751" spans="2:24">
      <c r="B2751" s="58"/>
      <c r="C2751" s="59"/>
      <c r="D2751" s="59"/>
      <c r="E2751" s="59"/>
      <c r="F2751" s="59"/>
      <c r="G2751" s="60">
        <f>IF(OR(E2751="",F2751="",C2751="",D2751=""),"",IF(C2751+D2751=0,"",(E2751*C2751+F2751*D2751)/(C2751+D2751)))</f>
        <v/>
      </c>
      <c r="H2751" s="59"/>
      <c r="I2751" s="60">
        <f>IF(OR(H2751="",E2751="",C2751="",D2751=""),"",IF(C2751+D2751=0,"",(H2751*D2751+E2751*C2751)/(C2751+D2751)))</f>
        <v/>
      </c>
      <c r="J2751" s="59"/>
      <c r="K2751" s="61">
        <f>IF(OR(J2751="",I2751=""),"",J2751-I2751)</f>
        <v/>
      </c>
      <c r="L2751" s="61">
        <f>IF(OR(J2751="",G2751=""),"",J2751-G2751)</f>
        <v/>
      </c>
      <c r="M2751" s="59"/>
      <c r="N2751" s="59"/>
      <c r="O2751" s="59"/>
      <c r="P2751" s="59"/>
      <c r="Q2751" s="59"/>
      <c r="R2751" s="60">
        <f>IF(AND(P2751="",Q2751=""),"",N(P2751)+N(Q2751))</f>
        <v/>
      </c>
      <c r="S2751" s="59"/>
      <c r="T2751" s="59"/>
      <c r="U2751" s="62">
        <f>IF(OR(R2751="",S2751="",T2751=""),"",IF(S2751+T2751=0,"",R2751/(S2751+T2751)))</f>
        <v/>
      </c>
      <c r="V2751" s="63"/>
      <c r="W2751" s="64"/>
      <c r="X2751" s="63"/>
    </row>
    <row r="2752" spans="2:24">
      <c r="B2752" s="58"/>
      <c r="C2752" s="59"/>
      <c r="D2752" s="59"/>
      <c r="E2752" s="59"/>
      <c r="F2752" s="59"/>
      <c r="G2752" s="60">
        <f>IF(OR(E2752="",F2752="",C2752="",D2752=""),"",IF(C2752+D2752=0,"",(E2752*C2752+F2752*D2752)/(C2752+D2752)))</f>
        <v/>
      </c>
      <c r="H2752" s="59"/>
      <c r="I2752" s="60">
        <f>IF(OR(H2752="",E2752="",C2752="",D2752=""),"",IF(C2752+D2752=0,"",(H2752*D2752+E2752*C2752)/(C2752+D2752)))</f>
        <v/>
      </c>
      <c r="J2752" s="59"/>
      <c r="K2752" s="61">
        <f>IF(OR(J2752="",I2752=""),"",J2752-I2752)</f>
        <v/>
      </c>
      <c r="L2752" s="61">
        <f>IF(OR(J2752="",G2752=""),"",J2752-G2752)</f>
        <v/>
      </c>
      <c r="M2752" s="59"/>
      <c r="N2752" s="59"/>
      <c r="O2752" s="59"/>
      <c r="P2752" s="59"/>
      <c r="Q2752" s="59"/>
      <c r="R2752" s="60">
        <f>IF(AND(P2752="",Q2752=""),"",N(P2752)+N(Q2752))</f>
        <v/>
      </c>
      <c r="S2752" s="59"/>
      <c r="T2752" s="59"/>
      <c r="U2752" s="62">
        <f>IF(OR(R2752="",S2752="",T2752=""),"",IF(S2752+T2752=0,"",R2752/(S2752+T2752)))</f>
        <v/>
      </c>
      <c r="V2752" s="63"/>
      <c r="W2752" s="64"/>
      <c r="X2752" s="63"/>
    </row>
    <row r="2753" spans="2:24">
      <c r="B2753" s="58"/>
      <c r="C2753" s="59"/>
      <c r="D2753" s="59"/>
      <c r="E2753" s="59"/>
      <c r="F2753" s="59"/>
      <c r="G2753" s="60">
        <f>IF(OR(E2753="",F2753="",C2753="",D2753=""),"",IF(C2753+D2753=0,"",(E2753*C2753+F2753*D2753)/(C2753+D2753)))</f>
        <v/>
      </c>
      <c r="H2753" s="59"/>
      <c r="I2753" s="60">
        <f>IF(OR(H2753="",E2753="",C2753="",D2753=""),"",IF(C2753+D2753=0,"",(H2753*D2753+E2753*C2753)/(C2753+D2753)))</f>
        <v/>
      </c>
      <c r="J2753" s="59"/>
      <c r="K2753" s="61">
        <f>IF(OR(J2753="",I2753=""),"",J2753-I2753)</f>
        <v/>
      </c>
      <c r="L2753" s="61">
        <f>IF(OR(J2753="",G2753=""),"",J2753-G2753)</f>
        <v/>
      </c>
      <c r="M2753" s="59"/>
      <c r="N2753" s="59"/>
      <c r="O2753" s="59"/>
      <c r="P2753" s="59"/>
      <c r="Q2753" s="59"/>
      <c r="R2753" s="60">
        <f>IF(AND(P2753="",Q2753=""),"",N(P2753)+N(Q2753))</f>
        <v/>
      </c>
      <c r="S2753" s="59"/>
      <c r="T2753" s="59"/>
      <c r="U2753" s="62">
        <f>IF(OR(R2753="",S2753="",T2753=""),"",IF(S2753+T2753=0,"",R2753/(S2753+T2753)))</f>
        <v/>
      </c>
      <c r="V2753" s="63"/>
      <c r="W2753" s="64"/>
      <c r="X2753" s="63"/>
    </row>
    <row r="2754" spans="2:24">
      <c r="B2754" s="58"/>
      <c r="C2754" s="59"/>
      <c r="D2754" s="59"/>
      <c r="E2754" s="59"/>
      <c r="F2754" s="59"/>
      <c r="G2754" s="60">
        <f>IF(OR(E2754="",F2754="",C2754="",D2754=""),"",IF(C2754+D2754=0,"",(E2754*C2754+F2754*D2754)/(C2754+D2754)))</f>
        <v/>
      </c>
      <c r="H2754" s="59"/>
      <c r="I2754" s="60">
        <f>IF(OR(H2754="",E2754="",C2754="",D2754=""),"",IF(C2754+D2754=0,"",(H2754*D2754+E2754*C2754)/(C2754+D2754)))</f>
        <v/>
      </c>
      <c r="J2754" s="59"/>
      <c r="K2754" s="61">
        <f>IF(OR(J2754="",I2754=""),"",J2754-I2754)</f>
        <v/>
      </c>
      <c r="L2754" s="61">
        <f>IF(OR(J2754="",G2754=""),"",J2754-G2754)</f>
        <v/>
      </c>
      <c r="M2754" s="59"/>
      <c r="N2754" s="59"/>
      <c r="O2754" s="59"/>
      <c r="P2754" s="59"/>
      <c r="Q2754" s="59"/>
      <c r="R2754" s="60">
        <f>IF(AND(P2754="",Q2754=""),"",N(P2754)+N(Q2754))</f>
        <v/>
      </c>
      <c r="S2754" s="59"/>
      <c r="T2754" s="59"/>
      <c r="U2754" s="62">
        <f>IF(OR(R2754="",S2754="",T2754=""),"",IF(S2754+T2754=0,"",R2754/(S2754+T2754)))</f>
        <v/>
      </c>
      <c r="V2754" s="63"/>
      <c r="W2754" s="64"/>
      <c r="X2754" s="63"/>
    </row>
    <row r="2755" spans="2:24">
      <c r="B2755" s="58"/>
      <c r="C2755" s="59"/>
      <c r="D2755" s="59"/>
      <c r="E2755" s="59"/>
      <c r="F2755" s="59"/>
      <c r="G2755" s="60">
        <f>IF(OR(E2755="",F2755="",C2755="",D2755=""),"",IF(C2755+D2755=0,"",(E2755*C2755+F2755*D2755)/(C2755+D2755)))</f>
        <v/>
      </c>
      <c r="H2755" s="59"/>
      <c r="I2755" s="60">
        <f>IF(OR(H2755="",E2755="",C2755="",D2755=""),"",IF(C2755+D2755=0,"",(H2755*D2755+E2755*C2755)/(C2755+D2755)))</f>
        <v/>
      </c>
      <c r="J2755" s="59"/>
      <c r="K2755" s="61">
        <f>IF(OR(J2755="",I2755=""),"",J2755-I2755)</f>
        <v/>
      </c>
      <c r="L2755" s="61">
        <f>IF(OR(J2755="",G2755=""),"",J2755-G2755)</f>
        <v/>
      </c>
      <c r="M2755" s="59"/>
      <c r="N2755" s="59"/>
      <c r="O2755" s="59"/>
      <c r="P2755" s="59"/>
      <c r="Q2755" s="59"/>
      <c r="R2755" s="60">
        <f>IF(AND(P2755="",Q2755=""),"",N(P2755)+N(Q2755))</f>
        <v/>
      </c>
      <c r="S2755" s="59"/>
      <c r="T2755" s="59"/>
      <c r="U2755" s="62">
        <f>IF(OR(R2755="",S2755="",T2755=""),"",IF(S2755+T2755=0,"",R2755/(S2755+T2755)))</f>
        <v/>
      </c>
      <c r="V2755" s="63"/>
      <c r="W2755" s="64"/>
      <c r="X2755" s="63"/>
    </row>
    <row r="2756" spans="2:24">
      <c r="B2756" s="58"/>
      <c r="C2756" s="59"/>
      <c r="D2756" s="59"/>
      <c r="E2756" s="59"/>
      <c r="F2756" s="59"/>
      <c r="G2756" s="60">
        <f>IF(OR(E2756="",F2756="",C2756="",D2756=""),"",IF(C2756+D2756=0,"",(E2756*C2756+F2756*D2756)/(C2756+D2756)))</f>
        <v/>
      </c>
      <c r="H2756" s="59"/>
      <c r="I2756" s="60">
        <f>IF(OR(H2756="",E2756="",C2756="",D2756=""),"",IF(C2756+D2756=0,"",(H2756*D2756+E2756*C2756)/(C2756+D2756)))</f>
        <v/>
      </c>
      <c r="J2756" s="59"/>
      <c r="K2756" s="61">
        <f>IF(OR(J2756="",I2756=""),"",J2756-I2756)</f>
        <v/>
      </c>
      <c r="L2756" s="61">
        <f>IF(OR(J2756="",G2756=""),"",J2756-G2756)</f>
        <v/>
      </c>
      <c r="M2756" s="59"/>
      <c r="N2756" s="59"/>
      <c r="O2756" s="59"/>
      <c r="P2756" s="59"/>
      <c r="Q2756" s="59"/>
      <c r="R2756" s="60">
        <f>IF(AND(P2756="",Q2756=""),"",N(P2756)+N(Q2756))</f>
        <v/>
      </c>
      <c r="S2756" s="59"/>
      <c r="T2756" s="59"/>
      <c r="U2756" s="62">
        <f>IF(OR(R2756="",S2756="",T2756=""),"",IF(S2756+T2756=0,"",R2756/(S2756+T2756)))</f>
        <v/>
      </c>
      <c r="V2756" s="63"/>
      <c r="W2756" s="64"/>
      <c r="X2756" s="63"/>
    </row>
    <row r="2757" spans="2:24">
      <c r="B2757" s="58"/>
      <c r="C2757" s="59"/>
      <c r="D2757" s="59"/>
      <c r="E2757" s="59"/>
      <c r="F2757" s="59"/>
      <c r="G2757" s="60">
        <f>IF(OR(E2757="",F2757="",C2757="",D2757=""),"",IF(C2757+D2757=0,"",(E2757*C2757+F2757*D2757)/(C2757+D2757)))</f>
        <v/>
      </c>
      <c r="H2757" s="59"/>
      <c r="I2757" s="60">
        <f>IF(OR(H2757="",E2757="",C2757="",D2757=""),"",IF(C2757+D2757=0,"",(H2757*D2757+E2757*C2757)/(C2757+D2757)))</f>
        <v/>
      </c>
      <c r="J2757" s="59"/>
      <c r="K2757" s="61">
        <f>IF(OR(J2757="",I2757=""),"",J2757-I2757)</f>
        <v/>
      </c>
      <c r="L2757" s="61">
        <f>IF(OR(J2757="",G2757=""),"",J2757-G2757)</f>
        <v/>
      </c>
      <c r="M2757" s="59"/>
      <c r="N2757" s="59"/>
      <c r="O2757" s="59"/>
      <c r="P2757" s="59"/>
      <c r="Q2757" s="59"/>
      <c r="R2757" s="60">
        <f>IF(AND(P2757="",Q2757=""),"",N(P2757)+N(Q2757))</f>
        <v/>
      </c>
      <c r="S2757" s="59"/>
      <c r="T2757" s="59"/>
      <c r="U2757" s="62">
        <f>IF(OR(R2757="",S2757="",T2757=""),"",IF(S2757+T2757=0,"",R2757/(S2757+T2757)))</f>
        <v/>
      </c>
      <c r="V2757" s="63"/>
      <c r="W2757" s="64"/>
      <c r="X2757" s="63"/>
    </row>
    <row r="2758" spans="2:24">
      <c r="B2758" s="58"/>
      <c r="C2758" s="59"/>
      <c r="D2758" s="59"/>
      <c r="E2758" s="59"/>
      <c r="F2758" s="59"/>
      <c r="G2758" s="60">
        <f>IF(OR(E2758="",F2758="",C2758="",D2758=""),"",IF(C2758+D2758=0,"",(E2758*C2758+F2758*D2758)/(C2758+D2758)))</f>
        <v/>
      </c>
      <c r="H2758" s="59"/>
      <c r="I2758" s="60">
        <f>IF(OR(H2758="",E2758="",C2758="",D2758=""),"",IF(C2758+D2758=0,"",(H2758*D2758+E2758*C2758)/(C2758+D2758)))</f>
        <v/>
      </c>
      <c r="J2758" s="59"/>
      <c r="K2758" s="61">
        <f>IF(OR(J2758="",I2758=""),"",J2758-I2758)</f>
        <v/>
      </c>
      <c r="L2758" s="61">
        <f>IF(OR(J2758="",G2758=""),"",J2758-G2758)</f>
        <v/>
      </c>
      <c r="M2758" s="59"/>
      <c r="N2758" s="59"/>
      <c r="O2758" s="59"/>
      <c r="P2758" s="59"/>
      <c r="Q2758" s="59"/>
      <c r="R2758" s="60">
        <f>IF(AND(P2758="",Q2758=""),"",N(P2758)+N(Q2758))</f>
        <v/>
      </c>
      <c r="S2758" s="59"/>
      <c r="T2758" s="59"/>
      <c r="U2758" s="62">
        <f>IF(OR(R2758="",S2758="",T2758=""),"",IF(S2758+T2758=0,"",R2758/(S2758+T2758)))</f>
        <v/>
      </c>
      <c r="V2758" s="63"/>
      <c r="W2758" s="64"/>
      <c r="X2758" s="63"/>
    </row>
    <row r="2759" spans="2:24">
      <c r="B2759" s="58"/>
      <c r="C2759" s="59"/>
      <c r="D2759" s="59"/>
      <c r="E2759" s="59"/>
      <c r="F2759" s="59"/>
      <c r="G2759" s="60">
        <f>IF(OR(E2759="",F2759="",C2759="",D2759=""),"",IF(C2759+D2759=0,"",(E2759*C2759+F2759*D2759)/(C2759+D2759)))</f>
        <v/>
      </c>
      <c r="H2759" s="59"/>
      <c r="I2759" s="60">
        <f>IF(OR(H2759="",E2759="",C2759="",D2759=""),"",IF(C2759+D2759=0,"",(H2759*D2759+E2759*C2759)/(C2759+D2759)))</f>
        <v/>
      </c>
      <c r="J2759" s="59"/>
      <c r="K2759" s="61">
        <f>IF(OR(J2759="",I2759=""),"",J2759-I2759)</f>
        <v/>
      </c>
      <c r="L2759" s="61">
        <f>IF(OR(J2759="",G2759=""),"",J2759-G2759)</f>
        <v/>
      </c>
      <c r="M2759" s="59"/>
      <c r="N2759" s="59"/>
      <c r="O2759" s="59"/>
      <c r="P2759" s="59"/>
      <c r="Q2759" s="59"/>
      <c r="R2759" s="60">
        <f>IF(AND(P2759="",Q2759=""),"",N(P2759)+N(Q2759))</f>
        <v/>
      </c>
      <c r="S2759" s="59"/>
      <c r="T2759" s="59"/>
      <c r="U2759" s="62">
        <f>IF(OR(R2759="",S2759="",T2759=""),"",IF(S2759+T2759=0,"",R2759/(S2759+T2759)))</f>
        <v/>
      </c>
      <c r="V2759" s="63"/>
      <c r="W2759" s="64"/>
      <c r="X2759" s="63"/>
    </row>
    <row r="2760" spans="2:24">
      <c r="B2760" s="58"/>
      <c r="C2760" s="59"/>
      <c r="D2760" s="59"/>
      <c r="E2760" s="59"/>
      <c r="F2760" s="59"/>
      <c r="G2760" s="60">
        <f>IF(OR(E2760="",F2760="",C2760="",D2760=""),"",IF(C2760+D2760=0,"",(E2760*C2760+F2760*D2760)/(C2760+D2760)))</f>
        <v/>
      </c>
      <c r="H2760" s="59"/>
      <c r="I2760" s="60">
        <f>IF(OR(H2760="",E2760="",C2760="",D2760=""),"",IF(C2760+D2760=0,"",(H2760*D2760+E2760*C2760)/(C2760+D2760)))</f>
        <v/>
      </c>
      <c r="J2760" s="59"/>
      <c r="K2760" s="61">
        <f>IF(OR(J2760="",I2760=""),"",J2760-I2760)</f>
        <v/>
      </c>
      <c r="L2760" s="61">
        <f>IF(OR(J2760="",G2760=""),"",J2760-G2760)</f>
        <v/>
      </c>
      <c r="M2760" s="59"/>
      <c r="N2760" s="59"/>
      <c r="O2760" s="59"/>
      <c r="P2760" s="59"/>
      <c r="Q2760" s="59"/>
      <c r="R2760" s="60">
        <f>IF(AND(P2760="",Q2760=""),"",N(P2760)+N(Q2760))</f>
        <v/>
      </c>
      <c r="S2760" s="59"/>
      <c r="T2760" s="59"/>
      <c r="U2760" s="62">
        <f>IF(OR(R2760="",S2760="",T2760=""),"",IF(S2760+T2760=0,"",R2760/(S2760+T2760)))</f>
        <v/>
      </c>
      <c r="V2760" s="63"/>
      <c r="W2760" s="64"/>
      <c r="X2760" s="63"/>
    </row>
    <row r="2761" spans="2:24">
      <c r="B2761" s="58"/>
      <c r="C2761" s="59"/>
      <c r="D2761" s="59"/>
      <c r="E2761" s="59"/>
      <c r="F2761" s="59"/>
      <c r="G2761" s="60">
        <f>IF(OR(E2761="",F2761="",C2761="",D2761=""),"",IF(C2761+D2761=0,"",(E2761*C2761+F2761*D2761)/(C2761+D2761)))</f>
        <v/>
      </c>
      <c r="H2761" s="59"/>
      <c r="I2761" s="60">
        <f>IF(OR(H2761="",E2761="",C2761="",D2761=""),"",IF(C2761+D2761=0,"",(H2761*D2761+E2761*C2761)/(C2761+D2761)))</f>
        <v/>
      </c>
      <c r="J2761" s="59"/>
      <c r="K2761" s="61">
        <f>IF(OR(J2761="",I2761=""),"",J2761-I2761)</f>
        <v/>
      </c>
      <c r="L2761" s="61">
        <f>IF(OR(J2761="",G2761=""),"",J2761-G2761)</f>
        <v/>
      </c>
      <c r="M2761" s="59"/>
      <c r="N2761" s="59"/>
      <c r="O2761" s="59"/>
      <c r="P2761" s="59"/>
      <c r="Q2761" s="59"/>
      <c r="R2761" s="60">
        <f>IF(AND(P2761="",Q2761=""),"",N(P2761)+N(Q2761))</f>
        <v/>
      </c>
      <c r="S2761" s="59"/>
      <c r="T2761" s="59"/>
      <c r="U2761" s="62">
        <f>IF(OR(R2761="",S2761="",T2761=""),"",IF(S2761+T2761=0,"",R2761/(S2761+T2761)))</f>
        <v/>
      </c>
      <c r="V2761" s="63"/>
      <c r="W2761" s="64"/>
      <c r="X2761" s="63"/>
    </row>
    <row r="2762" spans="2:24">
      <c r="B2762" s="58"/>
      <c r="C2762" s="59"/>
      <c r="D2762" s="59"/>
      <c r="E2762" s="59"/>
      <c r="F2762" s="59"/>
      <c r="G2762" s="60">
        <f>IF(OR(E2762="",F2762="",C2762="",D2762=""),"",IF(C2762+D2762=0,"",(E2762*C2762+F2762*D2762)/(C2762+D2762)))</f>
        <v/>
      </c>
      <c r="H2762" s="59"/>
      <c r="I2762" s="60">
        <f>IF(OR(H2762="",E2762="",C2762="",D2762=""),"",IF(C2762+D2762=0,"",(H2762*D2762+E2762*C2762)/(C2762+D2762)))</f>
        <v/>
      </c>
      <c r="J2762" s="59"/>
      <c r="K2762" s="61">
        <f>IF(OR(J2762="",I2762=""),"",J2762-I2762)</f>
        <v/>
      </c>
      <c r="L2762" s="61">
        <f>IF(OR(J2762="",G2762=""),"",J2762-G2762)</f>
        <v/>
      </c>
      <c r="M2762" s="59"/>
      <c r="N2762" s="59"/>
      <c r="O2762" s="59"/>
      <c r="P2762" s="59"/>
      <c r="Q2762" s="59"/>
      <c r="R2762" s="60">
        <f>IF(AND(P2762="",Q2762=""),"",N(P2762)+N(Q2762))</f>
        <v/>
      </c>
      <c r="S2762" s="59"/>
      <c r="T2762" s="59"/>
      <c r="U2762" s="62">
        <f>IF(OR(R2762="",S2762="",T2762=""),"",IF(S2762+T2762=0,"",R2762/(S2762+T2762)))</f>
        <v/>
      </c>
      <c r="V2762" s="63"/>
      <c r="W2762" s="64"/>
      <c r="X2762" s="63"/>
    </row>
    <row r="2763" spans="2:24">
      <c r="B2763" s="58"/>
      <c r="C2763" s="59"/>
      <c r="D2763" s="59"/>
      <c r="E2763" s="59"/>
      <c r="F2763" s="59"/>
      <c r="G2763" s="60">
        <f>IF(OR(E2763="",F2763="",C2763="",D2763=""),"",IF(C2763+D2763=0,"",(E2763*C2763+F2763*D2763)/(C2763+D2763)))</f>
        <v/>
      </c>
      <c r="H2763" s="59"/>
      <c r="I2763" s="60">
        <f>IF(OR(H2763="",E2763="",C2763="",D2763=""),"",IF(C2763+D2763=0,"",(H2763*D2763+E2763*C2763)/(C2763+D2763)))</f>
        <v/>
      </c>
      <c r="J2763" s="59"/>
      <c r="K2763" s="61">
        <f>IF(OR(J2763="",I2763=""),"",J2763-I2763)</f>
        <v/>
      </c>
      <c r="L2763" s="61">
        <f>IF(OR(J2763="",G2763=""),"",J2763-G2763)</f>
        <v/>
      </c>
      <c r="M2763" s="59"/>
      <c r="N2763" s="59"/>
      <c r="O2763" s="59"/>
      <c r="P2763" s="59"/>
      <c r="Q2763" s="59"/>
      <c r="R2763" s="60">
        <f>IF(AND(P2763="",Q2763=""),"",N(P2763)+N(Q2763))</f>
        <v/>
      </c>
      <c r="S2763" s="59"/>
      <c r="T2763" s="59"/>
      <c r="U2763" s="62">
        <f>IF(OR(R2763="",S2763="",T2763=""),"",IF(S2763+T2763=0,"",R2763/(S2763+T2763)))</f>
        <v/>
      </c>
      <c r="V2763" s="63"/>
      <c r="W2763" s="64"/>
      <c r="X2763" s="63"/>
    </row>
    <row r="2764" spans="2:24">
      <c r="B2764" s="58"/>
      <c r="C2764" s="59"/>
      <c r="D2764" s="59"/>
      <c r="E2764" s="59"/>
      <c r="F2764" s="59"/>
      <c r="G2764" s="60">
        <f>IF(OR(E2764="",F2764="",C2764="",D2764=""),"",IF(C2764+D2764=0,"",(E2764*C2764+F2764*D2764)/(C2764+D2764)))</f>
        <v/>
      </c>
      <c r="H2764" s="59"/>
      <c r="I2764" s="60">
        <f>IF(OR(H2764="",E2764="",C2764="",D2764=""),"",IF(C2764+D2764=0,"",(H2764*D2764+E2764*C2764)/(C2764+D2764)))</f>
        <v/>
      </c>
      <c r="J2764" s="59"/>
      <c r="K2764" s="61">
        <f>IF(OR(J2764="",I2764=""),"",J2764-I2764)</f>
        <v/>
      </c>
      <c r="L2764" s="61">
        <f>IF(OR(J2764="",G2764=""),"",J2764-G2764)</f>
        <v/>
      </c>
      <c r="M2764" s="59"/>
      <c r="N2764" s="59"/>
      <c r="O2764" s="59"/>
      <c r="P2764" s="59"/>
      <c r="Q2764" s="59"/>
      <c r="R2764" s="60">
        <f>IF(AND(P2764="",Q2764=""),"",N(P2764)+N(Q2764))</f>
        <v/>
      </c>
      <c r="S2764" s="59"/>
      <c r="T2764" s="59"/>
      <c r="U2764" s="62">
        <f>IF(OR(R2764="",S2764="",T2764=""),"",IF(S2764+T2764=0,"",R2764/(S2764+T2764)))</f>
        <v/>
      </c>
      <c r="V2764" s="63"/>
      <c r="W2764" s="64"/>
      <c r="X2764" s="63"/>
    </row>
    <row r="2765" spans="2:24">
      <c r="B2765" s="58"/>
      <c r="C2765" s="59"/>
      <c r="D2765" s="59"/>
      <c r="E2765" s="59"/>
      <c r="F2765" s="59"/>
      <c r="G2765" s="60">
        <f>IF(OR(E2765="",F2765="",C2765="",D2765=""),"",IF(C2765+D2765=0,"",(E2765*C2765+F2765*D2765)/(C2765+D2765)))</f>
        <v/>
      </c>
      <c r="H2765" s="59"/>
      <c r="I2765" s="60">
        <f>IF(OR(H2765="",E2765="",C2765="",D2765=""),"",IF(C2765+D2765=0,"",(H2765*D2765+E2765*C2765)/(C2765+D2765)))</f>
        <v/>
      </c>
      <c r="J2765" s="59"/>
      <c r="K2765" s="61">
        <f>IF(OR(J2765="",I2765=""),"",J2765-I2765)</f>
        <v/>
      </c>
      <c r="L2765" s="61">
        <f>IF(OR(J2765="",G2765=""),"",J2765-G2765)</f>
        <v/>
      </c>
      <c r="M2765" s="59"/>
      <c r="N2765" s="59"/>
      <c r="O2765" s="59"/>
      <c r="P2765" s="59"/>
      <c r="Q2765" s="59"/>
      <c r="R2765" s="60">
        <f>IF(AND(P2765="",Q2765=""),"",N(P2765)+N(Q2765))</f>
        <v/>
      </c>
      <c r="S2765" s="59"/>
      <c r="T2765" s="59"/>
      <c r="U2765" s="62">
        <f>IF(OR(R2765="",S2765="",T2765=""),"",IF(S2765+T2765=0,"",R2765/(S2765+T2765)))</f>
        <v/>
      </c>
      <c r="V2765" s="63"/>
      <c r="W2765" s="64"/>
      <c r="X2765" s="63"/>
    </row>
    <row r="2766" spans="2:24">
      <c r="B2766" s="58"/>
      <c r="C2766" s="59"/>
      <c r="D2766" s="59"/>
      <c r="E2766" s="59"/>
      <c r="F2766" s="59"/>
      <c r="G2766" s="60">
        <f>IF(OR(E2766="",F2766="",C2766="",D2766=""),"",IF(C2766+D2766=0,"",(E2766*C2766+F2766*D2766)/(C2766+D2766)))</f>
        <v/>
      </c>
      <c r="H2766" s="59"/>
      <c r="I2766" s="60">
        <f>IF(OR(H2766="",E2766="",C2766="",D2766=""),"",IF(C2766+D2766=0,"",(H2766*D2766+E2766*C2766)/(C2766+D2766)))</f>
        <v/>
      </c>
      <c r="J2766" s="59"/>
      <c r="K2766" s="61">
        <f>IF(OR(J2766="",I2766=""),"",J2766-I2766)</f>
        <v/>
      </c>
      <c r="L2766" s="61">
        <f>IF(OR(J2766="",G2766=""),"",J2766-G2766)</f>
        <v/>
      </c>
      <c r="M2766" s="59"/>
      <c r="N2766" s="59"/>
      <c r="O2766" s="59"/>
      <c r="P2766" s="59"/>
      <c r="Q2766" s="59"/>
      <c r="R2766" s="60">
        <f>IF(AND(P2766="",Q2766=""),"",N(P2766)+N(Q2766))</f>
        <v/>
      </c>
      <c r="S2766" s="59"/>
      <c r="T2766" s="59"/>
      <c r="U2766" s="62">
        <f>IF(OR(R2766="",S2766="",T2766=""),"",IF(S2766+T2766=0,"",R2766/(S2766+T2766)))</f>
        <v/>
      </c>
      <c r="V2766" s="63"/>
      <c r="W2766" s="64"/>
      <c r="X2766" s="63"/>
    </row>
    <row r="2767" spans="2:24">
      <c r="B2767" s="58"/>
      <c r="C2767" s="59"/>
      <c r="D2767" s="59"/>
      <c r="E2767" s="59"/>
      <c r="F2767" s="59"/>
      <c r="G2767" s="60">
        <f>IF(OR(E2767="",F2767="",C2767="",D2767=""),"",IF(C2767+D2767=0,"",(E2767*C2767+F2767*D2767)/(C2767+D2767)))</f>
        <v/>
      </c>
      <c r="H2767" s="59"/>
      <c r="I2767" s="60">
        <f>IF(OR(H2767="",E2767="",C2767="",D2767=""),"",IF(C2767+D2767=0,"",(H2767*D2767+E2767*C2767)/(C2767+D2767)))</f>
        <v/>
      </c>
      <c r="J2767" s="59"/>
      <c r="K2767" s="61">
        <f>IF(OR(J2767="",I2767=""),"",J2767-I2767)</f>
        <v/>
      </c>
      <c r="L2767" s="61">
        <f>IF(OR(J2767="",G2767=""),"",J2767-G2767)</f>
        <v/>
      </c>
      <c r="M2767" s="59"/>
      <c r="N2767" s="59"/>
      <c r="O2767" s="59"/>
      <c r="P2767" s="59"/>
      <c r="Q2767" s="59"/>
      <c r="R2767" s="60">
        <f>IF(AND(P2767="",Q2767=""),"",N(P2767)+N(Q2767))</f>
        <v/>
      </c>
      <c r="S2767" s="59"/>
      <c r="T2767" s="59"/>
      <c r="U2767" s="62">
        <f>IF(OR(R2767="",S2767="",T2767=""),"",IF(S2767+T2767=0,"",R2767/(S2767+T2767)))</f>
        <v/>
      </c>
      <c r="V2767" s="63"/>
      <c r="W2767" s="64"/>
      <c r="X2767" s="63"/>
    </row>
    <row r="2768" spans="2:24">
      <c r="B2768" s="58"/>
      <c r="C2768" s="59"/>
      <c r="D2768" s="59"/>
      <c r="E2768" s="59"/>
      <c r="F2768" s="59"/>
      <c r="G2768" s="60">
        <f>IF(OR(E2768="",F2768="",C2768="",D2768=""),"",IF(C2768+D2768=0,"",(E2768*C2768+F2768*D2768)/(C2768+D2768)))</f>
        <v/>
      </c>
      <c r="H2768" s="59"/>
      <c r="I2768" s="60">
        <f>IF(OR(H2768="",E2768="",C2768="",D2768=""),"",IF(C2768+D2768=0,"",(H2768*D2768+E2768*C2768)/(C2768+D2768)))</f>
        <v/>
      </c>
      <c r="J2768" s="59"/>
      <c r="K2768" s="61">
        <f>IF(OR(J2768="",I2768=""),"",J2768-I2768)</f>
        <v/>
      </c>
      <c r="L2768" s="61">
        <f>IF(OR(J2768="",G2768=""),"",J2768-G2768)</f>
        <v/>
      </c>
      <c r="M2768" s="59"/>
      <c r="N2768" s="59"/>
      <c r="O2768" s="59"/>
      <c r="P2768" s="59"/>
      <c r="Q2768" s="59"/>
      <c r="R2768" s="60">
        <f>IF(AND(P2768="",Q2768=""),"",N(P2768)+N(Q2768))</f>
        <v/>
      </c>
      <c r="S2768" s="59"/>
      <c r="T2768" s="59"/>
      <c r="U2768" s="62">
        <f>IF(OR(R2768="",S2768="",T2768=""),"",IF(S2768+T2768=0,"",R2768/(S2768+T2768)))</f>
        <v/>
      </c>
      <c r="V2768" s="63"/>
      <c r="W2768" s="64"/>
      <c r="X2768" s="63"/>
    </row>
    <row r="2769" spans="2:24">
      <c r="B2769" s="58"/>
      <c r="C2769" s="59"/>
      <c r="D2769" s="59"/>
      <c r="E2769" s="59"/>
      <c r="F2769" s="59"/>
      <c r="G2769" s="60">
        <f>IF(OR(E2769="",F2769="",C2769="",D2769=""),"",IF(C2769+D2769=0,"",(E2769*C2769+F2769*D2769)/(C2769+D2769)))</f>
        <v/>
      </c>
      <c r="H2769" s="59"/>
      <c r="I2769" s="60">
        <f>IF(OR(H2769="",E2769="",C2769="",D2769=""),"",IF(C2769+D2769=0,"",(H2769*D2769+E2769*C2769)/(C2769+D2769)))</f>
        <v/>
      </c>
      <c r="J2769" s="59"/>
      <c r="K2769" s="61">
        <f>IF(OR(J2769="",I2769=""),"",J2769-I2769)</f>
        <v/>
      </c>
      <c r="L2769" s="61">
        <f>IF(OR(J2769="",G2769=""),"",J2769-G2769)</f>
        <v/>
      </c>
      <c r="M2769" s="59"/>
      <c r="N2769" s="59"/>
      <c r="O2769" s="59"/>
      <c r="P2769" s="59"/>
      <c r="Q2769" s="59"/>
      <c r="R2769" s="60">
        <f>IF(AND(P2769="",Q2769=""),"",N(P2769)+N(Q2769))</f>
        <v/>
      </c>
      <c r="S2769" s="59"/>
      <c r="T2769" s="59"/>
      <c r="U2769" s="62">
        <f>IF(OR(R2769="",S2769="",T2769=""),"",IF(S2769+T2769=0,"",R2769/(S2769+T2769)))</f>
        <v/>
      </c>
      <c r="V2769" s="63"/>
      <c r="W2769" s="64"/>
      <c r="X2769" s="63"/>
    </row>
    <row r="2770" spans="2:24">
      <c r="B2770" s="58"/>
      <c r="C2770" s="59"/>
      <c r="D2770" s="59"/>
      <c r="E2770" s="59"/>
      <c r="F2770" s="59"/>
      <c r="G2770" s="60">
        <f>IF(OR(E2770="",F2770="",C2770="",D2770=""),"",IF(C2770+D2770=0,"",(E2770*C2770+F2770*D2770)/(C2770+D2770)))</f>
        <v/>
      </c>
      <c r="H2770" s="59"/>
      <c r="I2770" s="60">
        <f>IF(OR(H2770="",E2770="",C2770="",D2770=""),"",IF(C2770+D2770=0,"",(H2770*D2770+E2770*C2770)/(C2770+D2770)))</f>
        <v/>
      </c>
      <c r="J2770" s="59"/>
      <c r="K2770" s="61">
        <f>IF(OR(J2770="",I2770=""),"",J2770-I2770)</f>
        <v/>
      </c>
      <c r="L2770" s="61">
        <f>IF(OR(J2770="",G2770=""),"",J2770-G2770)</f>
        <v/>
      </c>
      <c r="M2770" s="59"/>
      <c r="N2770" s="59"/>
      <c r="O2770" s="59"/>
      <c r="P2770" s="59"/>
      <c r="Q2770" s="59"/>
      <c r="R2770" s="60">
        <f>IF(AND(P2770="",Q2770=""),"",N(P2770)+N(Q2770))</f>
        <v/>
      </c>
      <c r="S2770" s="59"/>
      <c r="T2770" s="59"/>
      <c r="U2770" s="62">
        <f>IF(OR(R2770="",S2770="",T2770=""),"",IF(S2770+T2770=0,"",R2770/(S2770+T2770)))</f>
        <v/>
      </c>
      <c r="V2770" s="63"/>
      <c r="W2770" s="64"/>
      <c r="X2770" s="63"/>
    </row>
    <row r="2771" spans="2:24">
      <c r="B2771" s="58"/>
      <c r="C2771" s="59"/>
      <c r="D2771" s="59"/>
      <c r="E2771" s="59"/>
      <c r="F2771" s="59"/>
      <c r="G2771" s="60">
        <f>IF(OR(E2771="",F2771="",C2771="",D2771=""),"",IF(C2771+D2771=0,"",(E2771*C2771+F2771*D2771)/(C2771+D2771)))</f>
        <v/>
      </c>
      <c r="H2771" s="59"/>
      <c r="I2771" s="60">
        <f>IF(OR(H2771="",E2771="",C2771="",D2771=""),"",IF(C2771+D2771=0,"",(H2771*D2771+E2771*C2771)/(C2771+D2771)))</f>
        <v/>
      </c>
      <c r="J2771" s="59"/>
      <c r="K2771" s="61">
        <f>IF(OR(J2771="",I2771=""),"",J2771-I2771)</f>
        <v/>
      </c>
      <c r="L2771" s="61">
        <f>IF(OR(J2771="",G2771=""),"",J2771-G2771)</f>
        <v/>
      </c>
      <c r="M2771" s="59"/>
      <c r="N2771" s="59"/>
      <c r="O2771" s="59"/>
      <c r="P2771" s="59"/>
      <c r="Q2771" s="59"/>
      <c r="R2771" s="60">
        <f>IF(AND(P2771="",Q2771=""),"",N(P2771)+N(Q2771))</f>
        <v/>
      </c>
      <c r="S2771" s="59"/>
      <c r="T2771" s="59"/>
      <c r="U2771" s="62">
        <f>IF(OR(R2771="",S2771="",T2771=""),"",IF(S2771+T2771=0,"",R2771/(S2771+T2771)))</f>
        <v/>
      </c>
      <c r="V2771" s="63"/>
      <c r="W2771" s="64"/>
      <c r="X2771" s="63"/>
    </row>
    <row r="2772" spans="2:24">
      <c r="B2772" s="58"/>
      <c r="C2772" s="59"/>
      <c r="D2772" s="59"/>
      <c r="E2772" s="59"/>
      <c r="F2772" s="59"/>
      <c r="G2772" s="60">
        <f>IF(OR(E2772="",F2772="",C2772="",D2772=""),"",IF(C2772+D2772=0,"",(E2772*C2772+F2772*D2772)/(C2772+D2772)))</f>
        <v/>
      </c>
      <c r="H2772" s="59"/>
      <c r="I2772" s="60">
        <f>IF(OR(H2772="",E2772="",C2772="",D2772=""),"",IF(C2772+D2772=0,"",(H2772*D2772+E2772*C2772)/(C2772+D2772)))</f>
        <v/>
      </c>
      <c r="J2772" s="59"/>
      <c r="K2772" s="61">
        <f>IF(OR(J2772="",I2772=""),"",J2772-I2772)</f>
        <v/>
      </c>
      <c r="L2772" s="61">
        <f>IF(OR(J2772="",G2772=""),"",J2772-G2772)</f>
        <v/>
      </c>
      <c r="M2772" s="59"/>
      <c r="N2772" s="59"/>
      <c r="O2772" s="59"/>
      <c r="P2772" s="59"/>
      <c r="Q2772" s="59"/>
      <c r="R2772" s="60">
        <f>IF(AND(P2772="",Q2772=""),"",N(P2772)+N(Q2772))</f>
        <v/>
      </c>
      <c r="S2772" s="59"/>
      <c r="T2772" s="59"/>
      <c r="U2772" s="62">
        <f>IF(OR(R2772="",S2772="",T2772=""),"",IF(S2772+T2772=0,"",R2772/(S2772+T2772)))</f>
        <v/>
      </c>
      <c r="V2772" s="63"/>
      <c r="W2772" s="64"/>
      <c r="X2772" s="63"/>
    </row>
    <row r="2773" spans="2:24">
      <c r="B2773" s="58"/>
      <c r="C2773" s="59"/>
      <c r="D2773" s="59"/>
      <c r="E2773" s="59"/>
      <c r="F2773" s="59"/>
      <c r="G2773" s="60">
        <f>IF(OR(E2773="",F2773="",C2773="",D2773=""),"",IF(C2773+D2773=0,"",(E2773*C2773+F2773*D2773)/(C2773+D2773)))</f>
        <v/>
      </c>
      <c r="H2773" s="59"/>
      <c r="I2773" s="60">
        <f>IF(OR(H2773="",E2773="",C2773="",D2773=""),"",IF(C2773+D2773=0,"",(H2773*D2773+E2773*C2773)/(C2773+D2773)))</f>
        <v/>
      </c>
      <c r="J2773" s="59"/>
      <c r="K2773" s="61">
        <f>IF(OR(J2773="",I2773=""),"",J2773-I2773)</f>
        <v/>
      </c>
      <c r="L2773" s="61">
        <f>IF(OR(J2773="",G2773=""),"",J2773-G2773)</f>
        <v/>
      </c>
      <c r="M2773" s="59"/>
      <c r="N2773" s="59"/>
      <c r="O2773" s="59"/>
      <c r="P2773" s="59"/>
      <c r="Q2773" s="59"/>
      <c r="R2773" s="60">
        <f>IF(AND(P2773="",Q2773=""),"",N(P2773)+N(Q2773))</f>
        <v/>
      </c>
      <c r="S2773" s="59"/>
      <c r="T2773" s="59"/>
      <c r="U2773" s="62">
        <f>IF(OR(R2773="",S2773="",T2773=""),"",IF(S2773+T2773=0,"",R2773/(S2773+T2773)))</f>
        <v/>
      </c>
      <c r="V2773" s="63"/>
      <c r="W2773" s="64"/>
      <c r="X2773" s="63"/>
    </row>
    <row r="2774" spans="2:24">
      <c r="B2774" s="58"/>
      <c r="C2774" s="59"/>
      <c r="D2774" s="59"/>
      <c r="E2774" s="59"/>
      <c r="F2774" s="59"/>
      <c r="G2774" s="60">
        <f>IF(OR(E2774="",F2774="",C2774="",D2774=""),"",IF(C2774+D2774=0,"",(E2774*C2774+F2774*D2774)/(C2774+D2774)))</f>
        <v/>
      </c>
      <c r="H2774" s="59"/>
      <c r="I2774" s="60">
        <f>IF(OR(H2774="",E2774="",C2774="",D2774=""),"",IF(C2774+D2774=0,"",(H2774*D2774+E2774*C2774)/(C2774+D2774)))</f>
        <v/>
      </c>
      <c r="J2774" s="59"/>
      <c r="K2774" s="61">
        <f>IF(OR(J2774="",I2774=""),"",J2774-I2774)</f>
        <v/>
      </c>
      <c r="L2774" s="61">
        <f>IF(OR(J2774="",G2774=""),"",J2774-G2774)</f>
        <v/>
      </c>
      <c r="M2774" s="59"/>
      <c r="N2774" s="59"/>
      <c r="O2774" s="59"/>
      <c r="P2774" s="59"/>
      <c r="Q2774" s="59"/>
      <c r="R2774" s="60">
        <f>IF(AND(P2774="",Q2774=""),"",N(P2774)+N(Q2774))</f>
        <v/>
      </c>
      <c r="S2774" s="59"/>
      <c r="T2774" s="59"/>
      <c r="U2774" s="62">
        <f>IF(OR(R2774="",S2774="",T2774=""),"",IF(S2774+T2774=0,"",R2774/(S2774+T2774)))</f>
        <v/>
      </c>
      <c r="V2774" s="63"/>
      <c r="W2774" s="64"/>
      <c r="X2774" s="63"/>
    </row>
    <row r="2775" spans="2:24">
      <c r="B2775" s="58"/>
      <c r="C2775" s="59"/>
      <c r="D2775" s="59"/>
      <c r="E2775" s="59"/>
      <c r="F2775" s="59"/>
      <c r="G2775" s="60">
        <f>IF(OR(E2775="",F2775="",C2775="",D2775=""),"",IF(C2775+D2775=0,"",(E2775*C2775+F2775*D2775)/(C2775+D2775)))</f>
        <v/>
      </c>
      <c r="H2775" s="59"/>
      <c r="I2775" s="60">
        <f>IF(OR(H2775="",E2775="",C2775="",D2775=""),"",IF(C2775+D2775=0,"",(H2775*D2775+E2775*C2775)/(C2775+D2775)))</f>
        <v/>
      </c>
      <c r="J2775" s="59"/>
      <c r="K2775" s="61">
        <f>IF(OR(J2775="",I2775=""),"",J2775-I2775)</f>
        <v/>
      </c>
      <c r="L2775" s="61">
        <f>IF(OR(J2775="",G2775=""),"",J2775-G2775)</f>
        <v/>
      </c>
      <c r="M2775" s="59"/>
      <c r="N2775" s="59"/>
      <c r="O2775" s="59"/>
      <c r="P2775" s="59"/>
      <c r="Q2775" s="59"/>
      <c r="R2775" s="60">
        <f>IF(AND(P2775="",Q2775=""),"",N(P2775)+N(Q2775))</f>
        <v/>
      </c>
      <c r="S2775" s="59"/>
      <c r="T2775" s="59"/>
      <c r="U2775" s="62">
        <f>IF(OR(R2775="",S2775="",T2775=""),"",IF(S2775+T2775=0,"",R2775/(S2775+T2775)))</f>
        <v/>
      </c>
      <c r="V2775" s="63"/>
      <c r="W2775" s="64"/>
      <c r="X2775" s="63"/>
    </row>
    <row r="2776" spans="2:24">
      <c r="B2776" s="58"/>
      <c r="C2776" s="59"/>
      <c r="D2776" s="59"/>
      <c r="E2776" s="59"/>
      <c r="F2776" s="59"/>
      <c r="G2776" s="60">
        <f>IF(OR(E2776="",F2776="",C2776="",D2776=""),"",IF(C2776+D2776=0,"",(E2776*C2776+F2776*D2776)/(C2776+D2776)))</f>
        <v/>
      </c>
      <c r="H2776" s="59"/>
      <c r="I2776" s="60">
        <f>IF(OR(H2776="",E2776="",C2776="",D2776=""),"",IF(C2776+D2776=0,"",(H2776*D2776+E2776*C2776)/(C2776+D2776)))</f>
        <v/>
      </c>
      <c r="J2776" s="59"/>
      <c r="K2776" s="61">
        <f>IF(OR(J2776="",I2776=""),"",J2776-I2776)</f>
        <v/>
      </c>
      <c r="L2776" s="61">
        <f>IF(OR(J2776="",G2776=""),"",J2776-G2776)</f>
        <v/>
      </c>
      <c r="M2776" s="59"/>
      <c r="N2776" s="59"/>
      <c r="O2776" s="59"/>
      <c r="P2776" s="59"/>
      <c r="Q2776" s="59"/>
      <c r="R2776" s="60">
        <f>IF(AND(P2776="",Q2776=""),"",N(P2776)+N(Q2776))</f>
        <v/>
      </c>
      <c r="S2776" s="59"/>
      <c r="T2776" s="59"/>
      <c r="U2776" s="62">
        <f>IF(OR(R2776="",S2776="",T2776=""),"",IF(S2776+T2776=0,"",R2776/(S2776+T2776)))</f>
        <v/>
      </c>
      <c r="V2776" s="63"/>
      <c r="W2776" s="64"/>
      <c r="X2776" s="63"/>
    </row>
    <row r="2777" spans="2:24">
      <c r="B2777" s="58"/>
      <c r="C2777" s="59"/>
      <c r="D2777" s="59"/>
      <c r="E2777" s="59"/>
      <c r="F2777" s="59"/>
      <c r="G2777" s="60">
        <f>IF(OR(E2777="",F2777="",C2777="",D2777=""),"",IF(C2777+D2777=0,"",(E2777*C2777+F2777*D2777)/(C2777+D2777)))</f>
        <v/>
      </c>
      <c r="H2777" s="59"/>
      <c r="I2777" s="60">
        <f>IF(OR(H2777="",E2777="",C2777="",D2777=""),"",IF(C2777+D2777=0,"",(H2777*D2777+E2777*C2777)/(C2777+D2777)))</f>
        <v/>
      </c>
      <c r="J2777" s="59"/>
      <c r="K2777" s="61">
        <f>IF(OR(J2777="",I2777=""),"",J2777-I2777)</f>
        <v/>
      </c>
      <c r="L2777" s="61">
        <f>IF(OR(J2777="",G2777=""),"",J2777-G2777)</f>
        <v/>
      </c>
      <c r="M2777" s="59"/>
      <c r="N2777" s="59"/>
      <c r="O2777" s="59"/>
      <c r="P2777" s="59"/>
      <c r="Q2777" s="59"/>
      <c r="R2777" s="60">
        <f>IF(AND(P2777="",Q2777=""),"",N(P2777)+N(Q2777))</f>
        <v/>
      </c>
      <c r="S2777" s="59"/>
      <c r="T2777" s="59"/>
      <c r="U2777" s="62">
        <f>IF(OR(R2777="",S2777="",T2777=""),"",IF(S2777+T2777=0,"",R2777/(S2777+T2777)))</f>
        <v/>
      </c>
      <c r="V2777" s="63"/>
      <c r="W2777" s="64"/>
      <c r="X2777" s="63"/>
    </row>
    <row r="2778" spans="2:24">
      <c r="B2778" s="58"/>
      <c r="C2778" s="59"/>
      <c r="D2778" s="59"/>
      <c r="E2778" s="59"/>
      <c r="F2778" s="59"/>
      <c r="G2778" s="60">
        <f>IF(OR(E2778="",F2778="",C2778="",D2778=""),"",IF(C2778+D2778=0,"",(E2778*C2778+F2778*D2778)/(C2778+D2778)))</f>
        <v/>
      </c>
      <c r="H2778" s="59"/>
      <c r="I2778" s="60">
        <f>IF(OR(H2778="",E2778="",C2778="",D2778=""),"",IF(C2778+D2778=0,"",(H2778*D2778+E2778*C2778)/(C2778+D2778)))</f>
        <v/>
      </c>
      <c r="J2778" s="59"/>
      <c r="K2778" s="61">
        <f>IF(OR(J2778="",I2778=""),"",J2778-I2778)</f>
        <v/>
      </c>
      <c r="L2778" s="61">
        <f>IF(OR(J2778="",G2778=""),"",J2778-G2778)</f>
        <v/>
      </c>
      <c r="M2778" s="59"/>
      <c r="N2778" s="59"/>
      <c r="O2778" s="59"/>
      <c r="P2778" s="59"/>
      <c r="Q2778" s="59"/>
      <c r="R2778" s="60">
        <f>IF(AND(P2778="",Q2778=""),"",N(P2778)+N(Q2778))</f>
        <v/>
      </c>
      <c r="S2778" s="59"/>
      <c r="T2778" s="59"/>
      <c r="U2778" s="62">
        <f>IF(OR(R2778="",S2778="",T2778=""),"",IF(S2778+T2778=0,"",R2778/(S2778+T2778)))</f>
        <v/>
      </c>
      <c r="V2778" s="63"/>
      <c r="W2778" s="64"/>
      <c r="X2778" s="63"/>
    </row>
    <row r="2779" spans="2:24">
      <c r="B2779" s="58"/>
      <c r="C2779" s="59"/>
      <c r="D2779" s="59"/>
      <c r="E2779" s="59"/>
      <c r="F2779" s="59"/>
      <c r="G2779" s="60">
        <f>IF(OR(E2779="",F2779="",C2779="",D2779=""),"",IF(C2779+D2779=0,"",(E2779*C2779+F2779*D2779)/(C2779+D2779)))</f>
        <v/>
      </c>
      <c r="H2779" s="59"/>
      <c r="I2779" s="60">
        <f>IF(OR(H2779="",E2779="",C2779="",D2779=""),"",IF(C2779+D2779=0,"",(H2779*D2779+E2779*C2779)/(C2779+D2779)))</f>
        <v/>
      </c>
      <c r="J2779" s="59"/>
      <c r="K2779" s="61">
        <f>IF(OR(J2779="",I2779=""),"",J2779-I2779)</f>
        <v/>
      </c>
      <c r="L2779" s="61">
        <f>IF(OR(J2779="",G2779=""),"",J2779-G2779)</f>
        <v/>
      </c>
      <c r="M2779" s="59"/>
      <c r="N2779" s="59"/>
      <c r="O2779" s="59"/>
      <c r="P2779" s="59"/>
      <c r="Q2779" s="59"/>
      <c r="R2779" s="60">
        <f>IF(AND(P2779="",Q2779=""),"",N(P2779)+N(Q2779))</f>
        <v/>
      </c>
      <c r="S2779" s="59"/>
      <c r="T2779" s="59"/>
      <c r="U2779" s="62">
        <f>IF(OR(R2779="",S2779="",T2779=""),"",IF(S2779+T2779=0,"",R2779/(S2779+T2779)))</f>
        <v/>
      </c>
      <c r="V2779" s="63"/>
      <c r="W2779" s="64"/>
      <c r="X2779" s="63"/>
    </row>
    <row r="2780" spans="2:24">
      <c r="B2780" s="58"/>
      <c r="C2780" s="59"/>
      <c r="D2780" s="59"/>
      <c r="E2780" s="59"/>
      <c r="F2780" s="59"/>
      <c r="G2780" s="60">
        <f>IF(OR(E2780="",F2780="",C2780="",D2780=""),"",IF(C2780+D2780=0,"",(E2780*C2780+F2780*D2780)/(C2780+D2780)))</f>
        <v/>
      </c>
      <c r="H2780" s="59"/>
      <c r="I2780" s="60">
        <f>IF(OR(H2780="",E2780="",C2780="",D2780=""),"",IF(C2780+D2780=0,"",(H2780*D2780+E2780*C2780)/(C2780+D2780)))</f>
        <v/>
      </c>
      <c r="J2780" s="59"/>
      <c r="K2780" s="61">
        <f>IF(OR(J2780="",I2780=""),"",J2780-I2780)</f>
        <v/>
      </c>
      <c r="L2780" s="61">
        <f>IF(OR(J2780="",G2780=""),"",J2780-G2780)</f>
        <v/>
      </c>
      <c r="M2780" s="59"/>
      <c r="N2780" s="59"/>
      <c r="O2780" s="59"/>
      <c r="P2780" s="59"/>
      <c r="Q2780" s="59"/>
      <c r="R2780" s="60">
        <f>IF(AND(P2780="",Q2780=""),"",N(P2780)+N(Q2780))</f>
        <v/>
      </c>
      <c r="S2780" s="59"/>
      <c r="T2780" s="59"/>
      <c r="U2780" s="62">
        <f>IF(OR(R2780="",S2780="",T2780=""),"",IF(S2780+T2780=0,"",R2780/(S2780+T2780)))</f>
        <v/>
      </c>
      <c r="V2780" s="63"/>
      <c r="W2780" s="64"/>
      <c r="X2780" s="63"/>
    </row>
    <row r="2781" spans="2:24">
      <c r="B2781" s="58"/>
      <c r="C2781" s="59"/>
      <c r="D2781" s="59"/>
      <c r="E2781" s="59"/>
      <c r="F2781" s="59"/>
      <c r="G2781" s="60">
        <f>IF(OR(E2781="",F2781="",C2781="",D2781=""),"",IF(C2781+D2781=0,"",(E2781*C2781+F2781*D2781)/(C2781+D2781)))</f>
        <v/>
      </c>
      <c r="H2781" s="59"/>
      <c r="I2781" s="60">
        <f>IF(OR(H2781="",E2781="",C2781="",D2781=""),"",IF(C2781+D2781=0,"",(H2781*D2781+E2781*C2781)/(C2781+D2781)))</f>
        <v/>
      </c>
      <c r="J2781" s="59"/>
      <c r="K2781" s="61">
        <f>IF(OR(J2781="",I2781=""),"",J2781-I2781)</f>
        <v/>
      </c>
      <c r="L2781" s="61">
        <f>IF(OR(J2781="",G2781=""),"",J2781-G2781)</f>
        <v/>
      </c>
      <c r="M2781" s="59"/>
      <c r="N2781" s="59"/>
      <c r="O2781" s="59"/>
      <c r="P2781" s="59"/>
      <c r="Q2781" s="59"/>
      <c r="R2781" s="60">
        <f>IF(AND(P2781="",Q2781=""),"",N(P2781)+N(Q2781))</f>
        <v/>
      </c>
      <c r="S2781" s="59"/>
      <c r="T2781" s="59"/>
      <c r="U2781" s="62">
        <f>IF(OR(R2781="",S2781="",T2781=""),"",IF(S2781+T2781=0,"",R2781/(S2781+T2781)))</f>
        <v/>
      </c>
      <c r="V2781" s="63"/>
      <c r="W2781" s="64"/>
      <c r="X2781" s="63"/>
    </row>
    <row r="2782" spans="2:24">
      <c r="B2782" s="58"/>
      <c r="C2782" s="59"/>
      <c r="D2782" s="59"/>
      <c r="E2782" s="59"/>
      <c r="F2782" s="59"/>
      <c r="G2782" s="60">
        <f>IF(OR(E2782="",F2782="",C2782="",D2782=""),"",IF(C2782+D2782=0,"",(E2782*C2782+F2782*D2782)/(C2782+D2782)))</f>
        <v/>
      </c>
      <c r="H2782" s="59"/>
      <c r="I2782" s="60">
        <f>IF(OR(H2782="",E2782="",C2782="",D2782=""),"",IF(C2782+D2782=0,"",(H2782*D2782+E2782*C2782)/(C2782+D2782)))</f>
        <v/>
      </c>
      <c r="J2782" s="59"/>
      <c r="K2782" s="61">
        <f>IF(OR(J2782="",I2782=""),"",J2782-I2782)</f>
        <v/>
      </c>
      <c r="L2782" s="61">
        <f>IF(OR(J2782="",G2782=""),"",J2782-G2782)</f>
        <v/>
      </c>
      <c r="M2782" s="59"/>
      <c r="N2782" s="59"/>
      <c r="O2782" s="59"/>
      <c r="P2782" s="59"/>
      <c r="Q2782" s="59"/>
      <c r="R2782" s="60">
        <f>IF(AND(P2782="",Q2782=""),"",N(P2782)+N(Q2782))</f>
        <v/>
      </c>
      <c r="S2782" s="59"/>
      <c r="T2782" s="59"/>
      <c r="U2782" s="62">
        <f>IF(OR(R2782="",S2782="",T2782=""),"",IF(S2782+T2782=0,"",R2782/(S2782+T2782)))</f>
        <v/>
      </c>
      <c r="V2782" s="63"/>
      <c r="W2782" s="64"/>
      <c r="X2782" s="63"/>
    </row>
    <row r="2783" spans="2:24">
      <c r="B2783" s="58"/>
      <c r="C2783" s="59"/>
      <c r="D2783" s="59"/>
      <c r="E2783" s="59"/>
      <c r="F2783" s="59"/>
      <c r="G2783" s="60">
        <f>IF(OR(E2783="",F2783="",C2783="",D2783=""),"",IF(C2783+D2783=0,"",(E2783*C2783+F2783*D2783)/(C2783+D2783)))</f>
        <v/>
      </c>
      <c r="H2783" s="59"/>
      <c r="I2783" s="60">
        <f>IF(OR(H2783="",E2783="",C2783="",D2783=""),"",IF(C2783+D2783=0,"",(H2783*D2783+E2783*C2783)/(C2783+D2783)))</f>
        <v/>
      </c>
      <c r="J2783" s="59"/>
      <c r="K2783" s="61">
        <f>IF(OR(J2783="",I2783=""),"",J2783-I2783)</f>
        <v/>
      </c>
      <c r="L2783" s="61">
        <f>IF(OR(J2783="",G2783=""),"",J2783-G2783)</f>
        <v/>
      </c>
      <c r="M2783" s="59"/>
      <c r="N2783" s="59"/>
      <c r="O2783" s="59"/>
      <c r="P2783" s="59"/>
      <c r="Q2783" s="59"/>
      <c r="R2783" s="60">
        <f>IF(AND(P2783="",Q2783=""),"",N(P2783)+N(Q2783))</f>
        <v/>
      </c>
      <c r="S2783" s="59"/>
      <c r="T2783" s="59"/>
      <c r="U2783" s="62">
        <f>IF(OR(R2783="",S2783="",T2783=""),"",IF(S2783+T2783=0,"",R2783/(S2783+T2783)))</f>
        <v/>
      </c>
      <c r="V2783" s="63"/>
      <c r="W2783" s="64"/>
      <c r="X2783" s="63"/>
    </row>
    <row r="2784" spans="2:24">
      <c r="B2784" s="58"/>
      <c r="C2784" s="59"/>
      <c r="D2784" s="59"/>
      <c r="E2784" s="59"/>
      <c r="F2784" s="59"/>
      <c r="G2784" s="60">
        <f>IF(OR(E2784="",F2784="",C2784="",D2784=""),"",IF(C2784+D2784=0,"",(E2784*C2784+F2784*D2784)/(C2784+D2784)))</f>
        <v/>
      </c>
      <c r="H2784" s="59"/>
      <c r="I2784" s="60">
        <f>IF(OR(H2784="",E2784="",C2784="",D2784=""),"",IF(C2784+D2784=0,"",(H2784*D2784+E2784*C2784)/(C2784+D2784)))</f>
        <v/>
      </c>
      <c r="J2784" s="59"/>
      <c r="K2784" s="61">
        <f>IF(OR(J2784="",I2784=""),"",J2784-I2784)</f>
        <v/>
      </c>
      <c r="L2784" s="61">
        <f>IF(OR(J2784="",G2784=""),"",J2784-G2784)</f>
        <v/>
      </c>
      <c r="M2784" s="59"/>
      <c r="N2784" s="59"/>
      <c r="O2784" s="59"/>
      <c r="P2784" s="59"/>
      <c r="Q2784" s="59"/>
      <c r="R2784" s="60">
        <f>IF(AND(P2784="",Q2784=""),"",N(P2784)+N(Q2784))</f>
        <v/>
      </c>
      <c r="S2784" s="59"/>
      <c r="T2784" s="59"/>
      <c r="U2784" s="62">
        <f>IF(OR(R2784="",S2784="",T2784=""),"",IF(S2784+T2784=0,"",R2784/(S2784+T2784)))</f>
        <v/>
      </c>
      <c r="V2784" s="63"/>
      <c r="W2784" s="64"/>
      <c r="X2784" s="63"/>
    </row>
    <row r="2785" spans="2:24">
      <c r="B2785" s="58"/>
      <c r="C2785" s="59"/>
      <c r="D2785" s="59"/>
      <c r="E2785" s="59"/>
      <c r="F2785" s="59"/>
      <c r="G2785" s="60">
        <f>IF(OR(E2785="",F2785="",C2785="",D2785=""),"",IF(C2785+D2785=0,"",(E2785*C2785+F2785*D2785)/(C2785+D2785)))</f>
        <v/>
      </c>
      <c r="H2785" s="59"/>
      <c r="I2785" s="60">
        <f>IF(OR(H2785="",E2785="",C2785="",D2785=""),"",IF(C2785+D2785=0,"",(H2785*D2785+E2785*C2785)/(C2785+D2785)))</f>
        <v/>
      </c>
      <c r="J2785" s="59"/>
      <c r="K2785" s="61">
        <f>IF(OR(J2785="",I2785=""),"",J2785-I2785)</f>
        <v/>
      </c>
      <c r="L2785" s="61">
        <f>IF(OR(J2785="",G2785=""),"",J2785-G2785)</f>
        <v/>
      </c>
      <c r="M2785" s="59"/>
      <c r="N2785" s="59"/>
      <c r="O2785" s="59"/>
      <c r="P2785" s="59"/>
      <c r="Q2785" s="59"/>
      <c r="R2785" s="60">
        <f>IF(AND(P2785="",Q2785=""),"",N(P2785)+N(Q2785))</f>
        <v/>
      </c>
      <c r="S2785" s="59"/>
      <c r="T2785" s="59"/>
      <c r="U2785" s="62">
        <f>IF(OR(R2785="",S2785="",T2785=""),"",IF(S2785+T2785=0,"",R2785/(S2785+T2785)))</f>
        <v/>
      </c>
      <c r="V2785" s="63"/>
      <c r="W2785" s="64"/>
      <c r="X2785" s="63"/>
    </row>
    <row r="2786" spans="2:24">
      <c r="B2786" s="58"/>
      <c r="C2786" s="59"/>
      <c r="D2786" s="59"/>
      <c r="E2786" s="59"/>
      <c r="F2786" s="59"/>
      <c r="G2786" s="60">
        <f>IF(OR(E2786="",F2786="",C2786="",D2786=""),"",IF(C2786+D2786=0,"",(E2786*C2786+F2786*D2786)/(C2786+D2786)))</f>
        <v/>
      </c>
      <c r="H2786" s="59"/>
      <c r="I2786" s="60">
        <f>IF(OR(H2786="",E2786="",C2786="",D2786=""),"",IF(C2786+D2786=0,"",(H2786*D2786+E2786*C2786)/(C2786+D2786)))</f>
        <v/>
      </c>
      <c r="J2786" s="59"/>
      <c r="K2786" s="61">
        <f>IF(OR(J2786="",I2786=""),"",J2786-I2786)</f>
        <v/>
      </c>
      <c r="L2786" s="61">
        <f>IF(OR(J2786="",G2786=""),"",J2786-G2786)</f>
        <v/>
      </c>
      <c r="M2786" s="59"/>
      <c r="N2786" s="59"/>
      <c r="O2786" s="59"/>
      <c r="P2786" s="59"/>
      <c r="Q2786" s="59"/>
      <c r="R2786" s="60">
        <f>IF(AND(P2786="",Q2786=""),"",N(P2786)+N(Q2786))</f>
        <v/>
      </c>
      <c r="S2786" s="59"/>
      <c r="T2786" s="59"/>
      <c r="U2786" s="62">
        <f>IF(OR(R2786="",S2786="",T2786=""),"",IF(S2786+T2786=0,"",R2786/(S2786+T2786)))</f>
        <v/>
      </c>
      <c r="V2786" s="63"/>
      <c r="W2786" s="64"/>
      <c r="X2786" s="63"/>
    </row>
    <row r="2787" spans="2:24">
      <c r="B2787" s="58"/>
      <c r="C2787" s="59"/>
      <c r="D2787" s="59"/>
      <c r="E2787" s="59"/>
      <c r="F2787" s="59"/>
      <c r="G2787" s="60">
        <f>IF(OR(E2787="",F2787="",C2787="",D2787=""),"",IF(C2787+D2787=0,"",(E2787*C2787+F2787*D2787)/(C2787+D2787)))</f>
        <v/>
      </c>
      <c r="H2787" s="59"/>
      <c r="I2787" s="60">
        <f>IF(OR(H2787="",E2787="",C2787="",D2787=""),"",IF(C2787+D2787=0,"",(H2787*D2787+E2787*C2787)/(C2787+D2787)))</f>
        <v/>
      </c>
      <c r="J2787" s="59"/>
      <c r="K2787" s="61">
        <f>IF(OR(J2787="",I2787=""),"",J2787-I2787)</f>
        <v/>
      </c>
      <c r="L2787" s="61">
        <f>IF(OR(J2787="",G2787=""),"",J2787-G2787)</f>
        <v/>
      </c>
      <c r="M2787" s="59"/>
      <c r="N2787" s="59"/>
      <c r="O2787" s="59"/>
      <c r="P2787" s="59"/>
      <c r="Q2787" s="59"/>
      <c r="R2787" s="60">
        <f>IF(AND(P2787="",Q2787=""),"",N(P2787)+N(Q2787))</f>
        <v/>
      </c>
      <c r="S2787" s="59"/>
      <c r="T2787" s="59"/>
      <c r="U2787" s="62">
        <f>IF(OR(R2787="",S2787="",T2787=""),"",IF(S2787+T2787=0,"",R2787/(S2787+T2787)))</f>
        <v/>
      </c>
      <c r="V2787" s="63"/>
      <c r="W2787" s="64"/>
      <c r="X2787" s="63"/>
    </row>
    <row r="2788" spans="2:24">
      <c r="B2788" s="58"/>
      <c r="C2788" s="59"/>
      <c r="D2788" s="59"/>
      <c r="E2788" s="59"/>
      <c r="F2788" s="59"/>
      <c r="G2788" s="60">
        <f>IF(OR(E2788="",F2788="",C2788="",D2788=""),"",IF(C2788+D2788=0,"",(E2788*C2788+F2788*D2788)/(C2788+D2788)))</f>
        <v/>
      </c>
      <c r="H2788" s="59"/>
      <c r="I2788" s="60">
        <f>IF(OR(H2788="",E2788="",C2788="",D2788=""),"",IF(C2788+D2788=0,"",(H2788*D2788+E2788*C2788)/(C2788+D2788)))</f>
        <v/>
      </c>
      <c r="J2788" s="59"/>
      <c r="K2788" s="61">
        <f>IF(OR(J2788="",I2788=""),"",J2788-I2788)</f>
        <v/>
      </c>
      <c r="L2788" s="61">
        <f>IF(OR(J2788="",G2788=""),"",J2788-G2788)</f>
        <v/>
      </c>
      <c r="M2788" s="59"/>
      <c r="N2788" s="59"/>
      <c r="O2788" s="59"/>
      <c r="P2788" s="59"/>
      <c r="Q2788" s="59"/>
      <c r="R2788" s="60">
        <f>IF(AND(P2788="",Q2788=""),"",N(P2788)+N(Q2788))</f>
        <v/>
      </c>
      <c r="S2788" s="59"/>
      <c r="T2788" s="59"/>
      <c r="U2788" s="62">
        <f>IF(OR(R2788="",S2788="",T2788=""),"",IF(S2788+T2788=0,"",R2788/(S2788+T2788)))</f>
        <v/>
      </c>
      <c r="V2788" s="63"/>
      <c r="W2788" s="64"/>
      <c r="X2788" s="63"/>
    </row>
    <row r="2789" spans="2:24">
      <c r="B2789" s="58"/>
      <c r="C2789" s="59"/>
      <c r="D2789" s="59"/>
      <c r="E2789" s="59"/>
      <c r="F2789" s="59"/>
      <c r="G2789" s="60">
        <f>IF(OR(E2789="",F2789="",C2789="",D2789=""),"",IF(C2789+D2789=0,"",(E2789*C2789+F2789*D2789)/(C2789+D2789)))</f>
        <v/>
      </c>
      <c r="H2789" s="59"/>
      <c r="I2789" s="60">
        <f>IF(OR(H2789="",E2789="",C2789="",D2789=""),"",IF(C2789+D2789=0,"",(H2789*D2789+E2789*C2789)/(C2789+D2789)))</f>
        <v/>
      </c>
      <c r="J2789" s="59"/>
      <c r="K2789" s="61">
        <f>IF(OR(J2789="",I2789=""),"",J2789-I2789)</f>
        <v/>
      </c>
      <c r="L2789" s="61">
        <f>IF(OR(J2789="",G2789=""),"",J2789-G2789)</f>
        <v/>
      </c>
      <c r="M2789" s="59"/>
      <c r="N2789" s="59"/>
      <c r="O2789" s="59"/>
      <c r="P2789" s="59"/>
      <c r="Q2789" s="59"/>
      <c r="R2789" s="60">
        <f>IF(AND(P2789="",Q2789=""),"",N(P2789)+N(Q2789))</f>
        <v/>
      </c>
      <c r="S2789" s="59"/>
      <c r="T2789" s="59"/>
      <c r="U2789" s="62">
        <f>IF(OR(R2789="",S2789="",T2789=""),"",IF(S2789+T2789=0,"",R2789/(S2789+T2789)))</f>
        <v/>
      </c>
      <c r="V2789" s="63"/>
      <c r="W2789" s="64"/>
      <c r="X2789" s="63"/>
    </row>
    <row r="2790" spans="2:24">
      <c r="B2790" s="58"/>
      <c r="C2790" s="59"/>
      <c r="D2790" s="59"/>
      <c r="E2790" s="59"/>
      <c r="F2790" s="59"/>
      <c r="G2790" s="60">
        <f>IF(OR(E2790="",F2790="",C2790="",D2790=""),"",IF(C2790+D2790=0,"",(E2790*C2790+F2790*D2790)/(C2790+D2790)))</f>
        <v/>
      </c>
      <c r="H2790" s="59"/>
      <c r="I2790" s="60">
        <f>IF(OR(H2790="",E2790="",C2790="",D2790=""),"",IF(C2790+D2790=0,"",(H2790*D2790+E2790*C2790)/(C2790+D2790)))</f>
        <v/>
      </c>
      <c r="J2790" s="59"/>
      <c r="K2790" s="61">
        <f>IF(OR(J2790="",I2790=""),"",J2790-I2790)</f>
        <v/>
      </c>
      <c r="L2790" s="61">
        <f>IF(OR(J2790="",G2790=""),"",J2790-G2790)</f>
        <v/>
      </c>
      <c r="M2790" s="59"/>
      <c r="N2790" s="59"/>
      <c r="O2790" s="59"/>
      <c r="P2790" s="59"/>
      <c r="Q2790" s="59"/>
      <c r="R2790" s="60">
        <f>IF(AND(P2790="",Q2790=""),"",N(P2790)+N(Q2790))</f>
        <v/>
      </c>
      <c r="S2790" s="59"/>
      <c r="T2790" s="59"/>
      <c r="U2790" s="62">
        <f>IF(OR(R2790="",S2790="",T2790=""),"",IF(S2790+T2790=0,"",R2790/(S2790+T2790)))</f>
        <v/>
      </c>
      <c r="V2790" s="63"/>
      <c r="W2790" s="64"/>
      <c r="X2790" s="63"/>
    </row>
    <row r="2791" spans="2:24">
      <c r="B2791" s="58"/>
      <c r="C2791" s="59"/>
      <c r="D2791" s="59"/>
      <c r="E2791" s="59"/>
      <c r="F2791" s="59"/>
      <c r="G2791" s="60">
        <f>IF(OR(E2791="",F2791="",C2791="",D2791=""),"",IF(C2791+D2791=0,"",(E2791*C2791+F2791*D2791)/(C2791+D2791)))</f>
        <v/>
      </c>
      <c r="H2791" s="59"/>
      <c r="I2791" s="60">
        <f>IF(OR(H2791="",E2791="",C2791="",D2791=""),"",IF(C2791+D2791=0,"",(H2791*D2791+E2791*C2791)/(C2791+D2791)))</f>
        <v/>
      </c>
      <c r="J2791" s="59"/>
      <c r="K2791" s="61">
        <f>IF(OR(J2791="",I2791=""),"",J2791-I2791)</f>
        <v/>
      </c>
      <c r="L2791" s="61">
        <f>IF(OR(J2791="",G2791=""),"",J2791-G2791)</f>
        <v/>
      </c>
      <c r="M2791" s="59"/>
      <c r="N2791" s="59"/>
      <c r="O2791" s="59"/>
      <c r="P2791" s="59"/>
      <c r="Q2791" s="59"/>
      <c r="R2791" s="60">
        <f>IF(AND(P2791="",Q2791=""),"",N(P2791)+N(Q2791))</f>
        <v/>
      </c>
      <c r="S2791" s="59"/>
      <c r="T2791" s="59"/>
      <c r="U2791" s="62">
        <f>IF(OR(R2791="",S2791="",T2791=""),"",IF(S2791+T2791=0,"",R2791/(S2791+T2791)))</f>
        <v/>
      </c>
      <c r="V2791" s="63"/>
      <c r="W2791" s="64"/>
      <c r="X2791" s="63"/>
    </row>
    <row r="2792" spans="2:24">
      <c r="B2792" s="58"/>
      <c r="C2792" s="59"/>
      <c r="D2792" s="59"/>
      <c r="E2792" s="59"/>
      <c r="F2792" s="59"/>
      <c r="G2792" s="60">
        <f>IF(OR(E2792="",F2792="",C2792="",D2792=""),"",IF(C2792+D2792=0,"",(E2792*C2792+F2792*D2792)/(C2792+D2792)))</f>
        <v/>
      </c>
      <c r="H2792" s="59"/>
      <c r="I2792" s="60">
        <f>IF(OR(H2792="",E2792="",C2792="",D2792=""),"",IF(C2792+D2792=0,"",(H2792*D2792+E2792*C2792)/(C2792+D2792)))</f>
        <v/>
      </c>
      <c r="J2792" s="59"/>
      <c r="K2792" s="61">
        <f>IF(OR(J2792="",I2792=""),"",J2792-I2792)</f>
        <v/>
      </c>
      <c r="L2792" s="61">
        <f>IF(OR(J2792="",G2792=""),"",J2792-G2792)</f>
        <v/>
      </c>
      <c r="M2792" s="59"/>
      <c r="N2792" s="59"/>
      <c r="O2792" s="59"/>
      <c r="P2792" s="59"/>
      <c r="Q2792" s="59"/>
      <c r="R2792" s="60">
        <f>IF(AND(P2792="",Q2792=""),"",N(P2792)+N(Q2792))</f>
        <v/>
      </c>
      <c r="S2792" s="59"/>
      <c r="T2792" s="59"/>
      <c r="U2792" s="62">
        <f>IF(OR(R2792="",S2792="",T2792=""),"",IF(S2792+T2792=0,"",R2792/(S2792+T2792)))</f>
        <v/>
      </c>
      <c r="V2792" s="63"/>
      <c r="W2792" s="64"/>
      <c r="X2792" s="63"/>
    </row>
    <row r="2793" spans="2:24">
      <c r="B2793" s="58"/>
      <c r="C2793" s="59"/>
      <c r="D2793" s="59"/>
      <c r="E2793" s="59"/>
      <c r="F2793" s="59"/>
      <c r="G2793" s="60">
        <f>IF(OR(E2793="",F2793="",C2793="",D2793=""),"",IF(C2793+D2793=0,"",(E2793*C2793+F2793*D2793)/(C2793+D2793)))</f>
        <v/>
      </c>
      <c r="H2793" s="59"/>
      <c r="I2793" s="60">
        <f>IF(OR(H2793="",E2793="",C2793="",D2793=""),"",IF(C2793+D2793=0,"",(H2793*D2793+E2793*C2793)/(C2793+D2793)))</f>
        <v/>
      </c>
      <c r="J2793" s="59"/>
      <c r="K2793" s="61">
        <f>IF(OR(J2793="",I2793=""),"",J2793-I2793)</f>
        <v/>
      </c>
      <c r="L2793" s="61">
        <f>IF(OR(J2793="",G2793=""),"",J2793-G2793)</f>
        <v/>
      </c>
      <c r="M2793" s="59"/>
      <c r="N2793" s="59"/>
      <c r="O2793" s="59"/>
      <c r="P2793" s="59"/>
      <c r="Q2793" s="59"/>
      <c r="R2793" s="60">
        <f>IF(AND(P2793="",Q2793=""),"",N(P2793)+N(Q2793))</f>
        <v/>
      </c>
      <c r="S2793" s="59"/>
      <c r="T2793" s="59"/>
      <c r="U2793" s="62">
        <f>IF(OR(R2793="",S2793="",T2793=""),"",IF(S2793+T2793=0,"",R2793/(S2793+T2793)))</f>
        <v/>
      </c>
      <c r="V2793" s="63"/>
      <c r="W2793" s="64"/>
      <c r="X2793" s="63"/>
    </row>
    <row r="2794" spans="2:24">
      <c r="B2794" s="58"/>
      <c r="C2794" s="59"/>
      <c r="D2794" s="59"/>
      <c r="E2794" s="59"/>
      <c r="F2794" s="59"/>
      <c r="G2794" s="60">
        <f>IF(OR(E2794="",F2794="",C2794="",D2794=""),"",IF(C2794+D2794=0,"",(E2794*C2794+F2794*D2794)/(C2794+D2794)))</f>
        <v/>
      </c>
      <c r="H2794" s="59"/>
      <c r="I2794" s="60">
        <f>IF(OR(H2794="",E2794="",C2794="",D2794=""),"",IF(C2794+D2794=0,"",(H2794*D2794+E2794*C2794)/(C2794+D2794)))</f>
        <v/>
      </c>
      <c r="J2794" s="59"/>
      <c r="K2794" s="61">
        <f>IF(OR(J2794="",I2794=""),"",J2794-I2794)</f>
        <v/>
      </c>
      <c r="L2794" s="61">
        <f>IF(OR(J2794="",G2794=""),"",J2794-G2794)</f>
        <v/>
      </c>
      <c r="M2794" s="59"/>
      <c r="N2794" s="59"/>
      <c r="O2794" s="59"/>
      <c r="P2794" s="59"/>
      <c r="Q2794" s="59"/>
      <c r="R2794" s="60">
        <f>IF(AND(P2794="",Q2794=""),"",N(P2794)+N(Q2794))</f>
        <v/>
      </c>
      <c r="S2794" s="59"/>
      <c r="T2794" s="59"/>
      <c r="U2794" s="62">
        <f>IF(OR(R2794="",S2794="",T2794=""),"",IF(S2794+T2794=0,"",R2794/(S2794+T2794)))</f>
        <v/>
      </c>
      <c r="V2794" s="63"/>
      <c r="W2794" s="64"/>
      <c r="X2794" s="63"/>
    </row>
    <row r="2795" spans="2:24">
      <c r="B2795" s="58"/>
      <c r="C2795" s="59"/>
      <c r="D2795" s="59"/>
      <c r="E2795" s="59"/>
      <c r="F2795" s="59"/>
      <c r="G2795" s="60">
        <f>IF(OR(E2795="",F2795="",C2795="",D2795=""),"",IF(C2795+D2795=0,"",(E2795*C2795+F2795*D2795)/(C2795+D2795)))</f>
        <v/>
      </c>
      <c r="H2795" s="59"/>
      <c r="I2795" s="60">
        <f>IF(OR(H2795="",E2795="",C2795="",D2795=""),"",IF(C2795+D2795=0,"",(H2795*D2795+E2795*C2795)/(C2795+D2795)))</f>
        <v/>
      </c>
      <c r="J2795" s="59"/>
      <c r="K2795" s="61">
        <f>IF(OR(J2795="",I2795=""),"",J2795-I2795)</f>
        <v/>
      </c>
      <c r="L2795" s="61">
        <f>IF(OR(J2795="",G2795=""),"",J2795-G2795)</f>
        <v/>
      </c>
      <c r="M2795" s="59"/>
      <c r="N2795" s="59"/>
      <c r="O2795" s="59"/>
      <c r="P2795" s="59"/>
      <c r="Q2795" s="59"/>
      <c r="R2795" s="60">
        <f>IF(AND(P2795="",Q2795=""),"",N(P2795)+N(Q2795))</f>
        <v/>
      </c>
      <c r="S2795" s="59"/>
      <c r="T2795" s="59"/>
      <c r="U2795" s="62">
        <f>IF(OR(R2795="",S2795="",T2795=""),"",IF(S2795+T2795=0,"",R2795/(S2795+T2795)))</f>
        <v/>
      </c>
      <c r="V2795" s="63"/>
      <c r="W2795" s="64"/>
      <c r="X2795" s="63"/>
    </row>
    <row r="2796" spans="2:24">
      <c r="B2796" s="58"/>
      <c r="C2796" s="59"/>
      <c r="D2796" s="59"/>
      <c r="E2796" s="59"/>
      <c r="F2796" s="59"/>
      <c r="G2796" s="60">
        <f>IF(OR(E2796="",F2796="",C2796="",D2796=""),"",IF(C2796+D2796=0,"",(E2796*C2796+F2796*D2796)/(C2796+D2796)))</f>
        <v/>
      </c>
      <c r="H2796" s="59"/>
      <c r="I2796" s="60">
        <f>IF(OR(H2796="",E2796="",C2796="",D2796=""),"",IF(C2796+D2796=0,"",(H2796*D2796+E2796*C2796)/(C2796+D2796)))</f>
        <v/>
      </c>
      <c r="J2796" s="59"/>
      <c r="K2796" s="61">
        <f>IF(OR(J2796="",I2796=""),"",J2796-I2796)</f>
        <v/>
      </c>
      <c r="L2796" s="61">
        <f>IF(OR(J2796="",G2796=""),"",J2796-G2796)</f>
        <v/>
      </c>
      <c r="M2796" s="59"/>
      <c r="N2796" s="59"/>
      <c r="O2796" s="59"/>
      <c r="P2796" s="59"/>
      <c r="Q2796" s="59"/>
      <c r="R2796" s="60">
        <f>IF(AND(P2796="",Q2796=""),"",N(P2796)+N(Q2796))</f>
        <v/>
      </c>
      <c r="S2796" s="59"/>
      <c r="T2796" s="59"/>
      <c r="U2796" s="62">
        <f>IF(OR(R2796="",S2796="",T2796=""),"",IF(S2796+T2796=0,"",R2796/(S2796+T2796)))</f>
        <v/>
      </c>
      <c r="V2796" s="63"/>
      <c r="W2796" s="64"/>
      <c r="X2796" s="63"/>
    </row>
    <row r="2797" spans="2:24">
      <c r="B2797" s="58"/>
      <c r="C2797" s="59"/>
      <c r="D2797" s="59"/>
      <c r="E2797" s="59"/>
      <c r="F2797" s="59"/>
      <c r="G2797" s="60">
        <f>IF(OR(E2797="",F2797="",C2797="",D2797=""),"",IF(C2797+D2797=0,"",(E2797*C2797+F2797*D2797)/(C2797+D2797)))</f>
        <v/>
      </c>
      <c r="H2797" s="59"/>
      <c r="I2797" s="60">
        <f>IF(OR(H2797="",E2797="",C2797="",D2797=""),"",IF(C2797+D2797=0,"",(H2797*D2797+E2797*C2797)/(C2797+D2797)))</f>
        <v/>
      </c>
      <c r="J2797" s="59"/>
      <c r="K2797" s="61">
        <f>IF(OR(J2797="",I2797=""),"",J2797-I2797)</f>
        <v/>
      </c>
      <c r="L2797" s="61">
        <f>IF(OR(J2797="",G2797=""),"",J2797-G2797)</f>
        <v/>
      </c>
      <c r="M2797" s="59"/>
      <c r="N2797" s="59"/>
      <c r="O2797" s="59"/>
      <c r="P2797" s="59"/>
      <c r="Q2797" s="59"/>
      <c r="R2797" s="60">
        <f>IF(AND(P2797="",Q2797=""),"",N(P2797)+N(Q2797))</f>
        <v/>
      </c>
      <c r="S2797" s="59"/>
      <c r="T2797" s="59"/>
      <c r="U2797" s="62">
        <f>IF(OR(R2797="",S2797="",T2797=""),"",IF(S2797+T2797=0,"",R2797/(S2797+T2797)))</f>
        <v/>
      </c>
      <c r="V2797" s="63"/>
      <c r="W2797" s="64"/>
      <c r="X2797" s="63"/>
    </row>
    <row r="2798" spans="2:24">
      <c r="B2798" s="58"/>
      <c r="C2798" s="59"/>
      <c r="D2798" s="59"/>
      <c r="E2798" s="59"/>
      <c r="F2798" s="59"/>
      <c r="G2798" s="60">
        <f>IF(OR(E2798="",F2798="",C2798="",D2798=""),"",IF(C2798+D2798=0,"",(E2798*C2798+F2798*D2798)/(C2798+D2798)))</f>
        <v/>
      </c>
      <c r="H2798" s="59"/>
      <c r="I2798" s="60">
        <f>IF(OR(H2798="",E2798="",C2798="",D2798=""),"",IF(C2798+D2798=0,"",(H2798*D2798+E2798*C2798)/(C2798+D2798)))</f>
        <v/>
      </c>
      <c r="J2798" s="59"/>
      <c r="K2798" s="61">
        <f>IF(OR(J2798="",I2798=""),"",J2798-I2798)</f>
        <v/>
      </c>
      <c r="L2798" s="61">
        <f>IF(OR(J2798="",G2798=""),"",J2798-G2798)</f>
        <v/>
      </c>
      <c r="M2798" s="59"/>
      <c r="N2798" s="59"/>
      <c r="O2798" s="59"/>
      <c r="P2798" s="59"/>
      <c r="Q2798" s="59"/>
      <c r="R2798" s="60">
        <f>IF(AND(P2798="",Q2798=""),"",N(P2798)+N(Q2798))</f>
        <v/>
      </c>
      <c r="S2798" s="59"/>
      <c r="T2798" s="59"/>
      <c r="U2798" s="62">
        <f>IF(OR(R2798="",S2798="",T2798=""),"",IF(S2798+T2798=0,"",R2798/(S2798+T2798)))</f>
        <v/>
      </c>
      <c r="V2798" s="63"/>
      <c r="W2798" s="64"/>
      <c r="X2798" s="63"/>
    </row>
    <row r="2799" spans="2:24">
      <c r="B2799" s="58"/>
      <c r="C2799" s="59"/>
      <c r="D2799" s="59"/>
      <c r="E2799" s="59"/>
      <c r="F2799" s="59"/>
      <c r="G2799" s="60">
        <f>IF(OR(E2799="",F2799="",C2799="",D2799=""),"",IF(C2799+D2799=0,"",(E2799*C2799+F2799*D2799)/(C2799+D2799)))</f>
        <v/>
      </c>
      <c r="H2799" s="59"/>
      <c r="I2799" s="60">
        <f>IF(OR(H2799="",E2799="",C2799="",D2799=""),"",IF(C2799+D2799=0,"",(H2799*D2799+E2799*C2799)/(C2799+D2799)))</f>
        <v/>
      </c>
      <c r="J2799" s="59"/>
      <c r="K2799" s="61">
        <f>IF(OR(J2799="",I2799=""),"",J2799-I2799)</f>
        <v/>
      </c>
      <c r="L2799" s="61">
        <f>IF(OR(J2799="",G2799=""),"",J2799-G2799)</f>
        <v/>
      </c>
      <c r="M2799" s="59"/>
      <c r="N2799" s="59"/>
      <c r="O2799" s="59"/>
      <c r="P2799" s="59"/>
      <c r="Q2799" s="59"/>
      <c r="R2799" s="60">
        <f>IF(AND(P2799="",Q2799=""),"",N(P2799)+N(Q2799))</f>
        <v/>
      </c>
      <c r="S2799" s="59"/>
      <c r="T2799" s="59"/>
      <c r="U2799" s="62">
        <f>IF(OR(R2799="",S2799="",T2799=""),"",IF(S2799+T2799=0,"",R2799/(S2799+T2799)))</f>
        <v/>
      </c>
      <c r="V2799" s="63"/>
      <c r="W2799" s="64"/>
      <c r="X2799" s="63"/>
    </row>
    <row r="2800" spans="2:24">
      <c r="B2800" s="58"/>
      <c r="C2800" s="59"/>
      <c r="D2800" s="59"/>
      <c r="E2800" s="59"/>
      <c r="F2800" s="59"/>
      <c r="G2800" s="60">
        <f>IF(OR(E2800="",F2800="",C2800="",D2800=""),"",IF(C2800+D2800=0,"",(E2800*C2800+F2800*D2800)/(C2800+D2800)))</f>
        <v/>
      </c>
      <c r="H2800" s="59"/>
      <c r="I2800" s="60">
        <f>IF(OR(H2800="",E2800="",C2800="",D2800=""),"",IF(C2800+D2800=0,"",(H2800*D2800+E2800*C2800)/(C2800+D2800)))</f>
        <v/>
      </c>
      <c r="J2800" s="59"/>
      <c r="K2800" s="61">
        <f>IF(OR(J2800="",I2800=""),"",J2800-I2800)</f>
        <v/>
      </c>
      <c r="L2800" s="61">
        <f>IF(OR(J2800="",G2800=""),"",J2800-G2800)</f>
        <v/>
      </c>
      <c r="M2800" s="59"/>
      <c r="N2800" s="59"/>
      <c r="O2800" s="59"/>
      <c r="P2800" s="59"/>
      <c r="Q2800" s="59"/>
      <c r="R2800" s="60">
        <f>IF(AND(P2800="",Q2800=""),"",N(P2800)+N(Q2800))</f>
        <v/>
      </c>
      <c r="S2800" s="59"/>
      <c r="T2800" s="59"/>
      <c r="U2800" s="62">
        <f>IF(OR(R2800="",S2800="",T2800=""),"",IF(S2800+T2800=0,"",R2800/(S2800+T2800)))</f>
        <v/>
      </c>
      <c r="V2800" s="63"/>
      <c r="W2800" s="64"/>
      <c r="X2800" s="63"/>
    </row>
    <row r="2801" spans="2:24">
      <c r="B2801" s="58"/>
      <c r="C2801" s="59"/>
      <c r="D2801" s="59"/>
      <c r="E2801" s="59"/>
      <c r="F2801" s="59"/>
      <c r="G2801" s="60">
        <f>IF(OR(E2801="",F2801="",C2801="",D2801=""),"",IF(C2801+D2801=0,"",(E2801*C2801+F2801*D2801)/(C2801+D2801)))</f>
        <v/>
      </c>
      <c r="H2801" s="59"/>
      <c r="I2801" s="60">
        <f>IF(OR(H2801="",E2801="",C2801="",D2801=""),"",IF(C2801+D2801=0,"",(H2801*D2801+E2801*C2801)/(C2801+D2801)))</f>
        <v/>
      </c>
      <c r="J2801" s="59"/>
      <c r="K2801" s="61">
        <f>IF(OR(J2801="",I2801=""),"",J2801-I2801)</f>
        <v/>
      </c>
      <c r="L2801" s="61">
        <f>IF(OR(J2801="",G2801=""),"",J2801-G2801)</f>
        <v/>
      </c>
      <c r="M2801" s="59"/>
      <c r="N2801" s="59"/>
      <c r="O2801" s="59"/>
      <c r="P2801" s="59"/>
      <c r="Q2801" s="59"/>
      <c r="R2801" s="60">
        <f>IF(AND(P2801="",Q2801=""),"",N(P2801)+N(Q2801))</f>
        <v/>
      </c>
      <c r="S2801" s="59"/>
      <c r="T2801" s="59"/>
      <c r="U2801" s="62">
        <f>IF(OR(R2801="",S2801="",T2801=""),"",IF(S2801+T2801=0,"",R2801/(S2801+T2801)))</f>
        <v/>
      </c>
      <c r="V2801" s="63"/>
      <c r="W2801" s="64"/>
      <c r="X2801" s="63"/>
    </row>
    <row r="2802" spans="2:24">
      <c r="B2802" s="58"/>
      <c r="C2802" s="59"/>
      <c r="D2802" s="59"/>
      <c r="E2802" s="59"/>
      <c r="F2802" s="59"/>
      <c r="G2802" s="60">
        <f>IF(OR(E2802="",F2802="",C2802="",D2802=""),"",IF(C2802+D2802=0,"",(E2802*C2802+F2802*D2802)/(C2802+D2802)))</f>
        <v/>
      </c>
      <c r="H2802" s="59"/>
      <c r="I2802" s="60">
        <f>IF(OR(H2802="",E2802="",C2802="",D2802=""),"",IF(C2802+D2802=0,"",(H2802*D2802+E2802*C2802)/(C2802+D2802)))</f>
        <v/>
      </c>
      <c r="J2802" s="59"/>
      <c r="K2802" s="61">
        <f>IF(OR(J2802="",I2802=""),"",J2802-I2802)</f>
        <v/>
      </c>
      <c r="L2802" s="61">
        <f>IF(OR(J2802="",G2802=""),"",J2802-G2802)</f>
        <v/>
      </c>
      <c r="M2802" s="59"/>
      <c r="N2802" s="59"/>
      <c r="O2802" s="59"/>
      <c r="P2802" s="59"/>
      <c r="Q2802" s="59"/>
      <c r="R2802" s="60">
        <f>IF(AND(P2802="",Q2802=""),"",N(P2802)+N(Q2802))</f>
        <v/>
      </c>
      <c r="S2802" s="59"/>
      <c r="T2802" s="59"/>
      <c r="U2802" s="62">
        <f>IF(OR(R2802="",S2802="",T2802=""),"",IF(S2802+T2802=0,"",R2802/(S2802+T2802)))</f>
        <v/>
      </c>
      <c r="V2802" s="63"/>
      <c r="W2802" s="64"/>
      <c r="X2802" s="63"/>
    </row>
    <row r="2803" spans="2:24">
      <c r="B2803" s="58"/>
      <c r="C2803" s="59"/>
      <c r="D2803" s="59"/>
      <c r="E2803" s="59"/>
      <c r="F2803" s="59"/>
      <c r="G2803" s="60">
        <f>IF(OR(E2803="",F2803="",C2803="",D2803=""),"",IF(C2803+D2803=0,"",(E2803*C2803+F2803*D2803)/(C2803+D2803)))</f>
        <v/>
      </c>
      <c r="H2803" s="59"/>
      <c r="I2803" s="60">
        <f>IF(OR(H2803="",E2803="",C2803="",D2803=""),"",IF(C2803+D2803=0,"",(H2803*D2803+E2803*C2803)/(C2803+D2803)))</f>
        <v/>
      </c>
      <c r="J2803" s="59"/>
      <c r="K2803" s="61">
        <f>IF(OR(J2803="",I2803=""),"",J2803-I2803)</f>
        <v/>
      </c>
      <c r="L2803" s="61">
        <f>IF(OR(J2803="",G2803=""),"",J2803-G2803)</f>
        <v/>
      </c>
      <c r="M2803" s="59"/>
      <c r="N2803" s="59"/>
      <c r="O2803" s="59"/>
      <c r="P2803" s="59"/>
      <c r="Q2803" s="59"/>
      <c r="R2803" s="60">
        <f>IF(AND(P2803="",Q2803=""),"",N(P2803)+N(Q2803))</f>
        <v/>
      </c>
      <c r="S2803" s="59"/>
      <c r="T2803" s="59"/>
      <c r="U2803" s="62">
        <f>IF(OR(R2803="",S2803="",T2803=""),"",IF(S2803+T2803=0,"",R2803/(S2803+T2803)))</f>
        <v/>
      </c>
      <c r="V2803" s="63"/>
      <c r="W2803" s="64"/>
      <c r="X2803" s="63"/>
    </row>
    <row r="2804" spans="2:24">
      <c r="B2804" s="58"/>
      <c r="C2804" s="59"/>
      <c r="D2804" s="59"/>
      <c r="E2804" s="59"/>
      <c r="F2804" s="59"/>
      <c r="G2804" s="60">
        <f>IF(OR(E2804="",F2804="",C2804="",D2804=""),"",IF(C2804+D2804=0,"",(E2804*C2804+F2804*D2804)/(C2804+D2804)))</f>
        <v/>
      </c>
      <c r="H2804" s="59"/>
      <c r="I2804" s="60">
        <f>IF(OR(H2804="",E2804="",C2804="",D2804=""),"",IF(C2804+D2804=0,"",(H2804*D2804+E2804*C2804)/(C2804+D2804)))</f>
        <v/>
      </c>
      <c r="J2804" s="59"/>
      <c r="K2804" s="61">
        <f>IF(OR(J2804="",I2804=""),"",J2804-I2804)</f>
        <v/>
      </c>
      <c r="L2804" s="61">
        <f>IF(OR(J2804="",G2804=""),"",J2804-G2804)</f>
        <v/>
      </c>
      <c r="M2804" s="59"/>
      <c r="N2804" s="59"/>
      <c r="O2804" s="59"/>
      <c r="P2804" s="59"/>
      <c r="Q2804" s="59"/>
      <c r="R2804" s="60">
        <f>IF(AND(P2804="",Q2804=""),"",N(P2804)+N(Q2804))</f>
        <v/>
      </c>
      <c r="S2804" s="59"/>
      <c r="T2804" s="59"/>
      <c r="U2804" s="62">
        <f>IF(OR(R2804="",S2804="",T2804=""),"",IF(S2804+T2804=0,"",R2804/(S2804+T2804)))</f>
        <v/>
      </c>
      <c r="V2804" s="63"/>
      <c r="W2804" s="64"/>
      <c r="X2804" s="63"/>
    </row>
    <row r="2805" spans="2:24">
      <c r="B2805" s="58"/>
      <c r="C2805" s="59"/>
      <c r="D2805" s="59"/>
      <c r="E2805" s="59"/>
      <c r="F2805" s="59"/>
      <c r="G2805" s="60">
        <f>IF(OR(E2805="",F2805="",C2805="",D2805=""),"",IF(C2805+D2805=0,"",(E2805*C2805+F2805*D2805)/(C2805+D2805)))</f>
        <v/>
      </c>
      <c r="H2805" s="59"/>
      <c r="I2805" s="60">
        <f>IF(OR(H2805="",E2805="",C2805="",D2805=""),"",IF(C2805+D2805=0,"",(H2805*D2805+E2805*C2805)/(C2805+D2805)))</f>
        <v/>
      </c>
      <c r="J2805" s="59"/>
      <c r="K2805" s="61">
        <f>IF(OR(J2805="",I2805=""),"",J2805-I2805)</f>
        <v/>
      </c>
      <c r="L2805" s="61">
        <f>IF(OR(J2805="",G2805=""),"",J2805-G2805)</f>
        <v/>
      </c>
      <c r="M2805" s="59"/>
      <c r="N2805" s="59"/>
      <c r="O2805" s="59"/>
      <c r="P2805" s="59"/>
      <c r="Q2805" s="59"/>
      <c r="R2805" s="60">
        <f>IF(AND(P2805="",Q2805=""),"",N(P2805)+N(Q2805))</f>
        <v/>
      </c>
      <c r="S2805" s="59"/>
      <c r="T2805" s="59"/>
      <c r="U2805" s="62">
        <f>IF(OR(R2805="",S2805="",T2805=""),"",IF(S2805+T2805=0,"",R2805/(S2805+T2805)))</f>
        <v/>
      </c>
      <c r="V2805" s="63"/>
      <c r="W2805" s="64"/>
      <c r="X2805" s="63"/>
    </row>
    <row r="2806" spans="2:24">
      <c r="B2806" s="58"/>
      <c r="C2806" s="59"/>
      <c r="D2806" s="59"/>
      <c r="E2806" s="59"/>
      <c r="F2806" s="59"/>
      <c r="G2806" s="60">
        <f>IF(OR(E2806="",F2806="",C2806="",D2806=""),"",IF(C2806+D2806=0,"",(E2806*C2806+F2806*D2806)/(C2806+D2806)))</f>
        <v/>
      </c>
      <c r="H2806" s="59"/>
      <c r="I2806" s="60">
        <f>IF(OR(H2806="",E2806="",C2806="",D2806=""),"",IF(C2806+D2806=0,"",(H2806*D2806+E2806*C2806)/(C2806+D2806)))</f>
        <v/>
      </c>
      <c r="J2806" s="59"/>
      <c r="K2806" s="61">
        <f>IF(OR(J2806="",I2806=""),"",J2806-I2806)</f>
        <v/>
      </c>
      <c r="L2806" s="61">
        <f>IF(OR(J2806="",G2806=""),"",J2806-G2806)</f>
        <v/>
      </c>
      <c r="M2806" s="59"/>
      <c r="N2806" s="59"/>
      <c r="O2806" s="59"/>
      <c r="P2806" s="59"/>
      <c r="Q2806" s="59"/>
      <c r="R2806" s="60">
        <f>IF(AND(P2806="",Q2806=""),"",N(P2806)+N(Q2806))</f>
        <v/>
      </c>
      <c r="S2806" s="59"/>
      <c r="T2806" s="59"/>
      <c r="U2806" s="62">
        <f>IF(OR(R2806="",S2806="",T2806=""),"",IF(S2806+T2806=0,"",R2806/(S2806+T2806)))</f>
        <v/>
      </c>
      <c r="V2806" s="63"/>
      <c r="W2806" s="64"/>
      <c r="X2806" s="63"/>
    </row>
    <row r="2807" spans="2:24">
      <c r="B2807" s="58"/>
      <c r="C2807" s="59"/>
      <c r="D2807" s="59"/>
      <c r="E2807" s="59"/>
      <c r="F2807" s="59"/>
      <c r="G2807" s="60">
        <f>IF(OR(E2807="",F2807="",C2807="",D2807=""),"",IF(C2807+D2807=0,"",(E2807*C2807+F2807*D2807)/(C2807+D2807)))</f>
        <v/>
      </c>
      <c r="H2807" s="59"/>
      <c r="I2807" s="60">
        <f>IF(OR(H2807="",E2807="",C2807="",D2807=""),"",IF(C2807+D2807=0,"",(H2807*D2807+E2807*C2807)/(C2807+D2807)))</f>
        <v/>
      </c>
      <c r="J2807" s="59"/>
      <c r="K2807" s="61">
        <f>IF(OR(J2807="",I2807=""),"",J2807-I2807)</f>
        <v/>
      </c>
      <c r="L2807" s="61">
        <f>IF(OR(J2807="",G2807=""),"",J2807-G2807)</f>
        <v/>
      </c>
      <c r="M2807" s="59"/>
      <c r="N2807" s="59"/>
      <c r="O2807" s="59"/>
      <c r="P2807" s="59"/>
      <c r="Q2807" s="59"/>
      <c r="R2807" s="60">
        <f>IF(AND(P2807="",Q2807=""),"",N(P2807)+N(Q2807))</f>
        <v/>
      </c>
      <c r="S2807" s="59"/>
      <c r="T2807" s="59"/>
      <c r="U2807" s="62">
        <f>IF(OR(R2807="",S2807="",T2807=""),"",IF(S2807+T2807=0,"",R2807/(S2807+T2807)))</f>
        <v/>
      </c>
      <c r="V2807" s="63"/>
      <c r="W2807" s="64"/>
      <c r="X2807" s="63"/>
    </row>
    <row r="2808" spans="2:24">
      <c r="B2808" s="58"/>
      <c r="C2808" s="59"/>
      <c r="D2808" s="59"/>
      <c r="E2808" s="59"/>
      <c r="F2808" s="59"/>
      <c r="G2808" s="60">
        <f>IF(OR(E2808="",F2808="",C2808="",D2808=""),"",IF(C2808+D2808=0,"",(E2808*C2808+F2808*D2808)/(C2808+D2808)))</f>
        <v/>
      </c>
      <c r="H2808" s="59"/>
      <c r="I2808" s="60">
        <f>IF(OR(H2808="",E2808="",C2808="",D2808=""),"",IF(C2808+D2808=0,"",(H2808*D2808+E2808*C2808)/(C2808+D2808)))</f>
        <v/>
      </c>
      <c r="J2808" s="59"/>
      <c r="K2808" s="61">
        <f>IF(OR(J2808="",I2808=""),"",J2808-I2808)</f>
        <v/>
      </c>
      <c r="L2808" s="61">
        <f>IF(OR(J2808="",G2808=""),"",J2808-G2808)</f>
        <v/>
      </c>
      <c r="M2808" s="59"/>
      <c r="N2808" s="59"/>
      <c r="O2808" s="59"/>
      <c r="P2808" s="59"/>
      <c r="Q2808" s="59"/>
      <c r="R2808" s="60">
        <f>IF(AND(P2808="",Q2808=""),"",N(P2808)+N(Q2808))</f>
        <v/>
      </c>
      <c r="S2808" s="59"/>
      <c r="T2808" s="59"/>
      <c r="U2808" s="62">
        <f>IF(OR(R2808="",S2808="",T2808=""),"",IF(S2808+T2808=0,"",R2808/(S2808+T2808)))</f>
        <v/>
      </c>
      <c r="V2808" s="63"/>
      <c r="W2808" s="64"/>
      <c r="X2808" s="63"/>
    </row>
    <row r="2809" spans="2:24">
      <c r="B2809" s="58"/>
      <c r="C2809" s="59"/>
      <c r="D2809" s="59"/>
      <c r="E2809" s="59"/>
      <c r="F2809" s="59"/>
      <c r="G2809" s="60">
        <f>IF(OR(E2809="",F2809="",C2809="",D2809=""),"",IF(C2809+D2809=0,"",(E2809*C2809+F2809*D2809)/(C2809+D2809)))</f>
        <v/>
      </c>
      <c r="H2809" s="59"/>
      <c r="I2809" s="60">
        <f>IF(OR(H2809="",E2809="",C2809="",D2809=""),"",IF(C2809+D2809=0,"",(H2809*D2809+E2809*C2809)/(C2809+D2809)))</f>
        <v/>
      </c>
      <c r="J2809" s="59"/>
      <c r="K2809" s="61">
        <f>IF(OR(J2809="",I2809=""),"",J2809-I2809)</f>
        <v/>
      </c>
      <c r="L2809" s="61">
        <f>IF(OR(J2809="",G2809=""),"",J2809-G2809)</f>
        <v/>
      </c>
      <c r="M2809" s="59"/>
      <c r="N2809" s="59"/>
      <c r="O2809" s="59"/>
      <c r="P2809" s="59"/>
      <c r="Q2809" s="59"/>
      <c r="R2809" s="60">
        <f>IF(AND(P2809="",Q2809=""),"",N(P2809)+N(Q2809))</f>
        <v/>
      </c>
      <c r="S2809" s="59"/>
      <c r="T2809" s="59"/>
      <c r="U2809" s="62">
        <f>IF(OR(R2809="",S2809="",T2809=""),"",IF(S2809+T2809=0,"",R2809/(S2809+T2809)))</f>
        <v/>
      </c>
      <c r="V2809" s="63"/>
      <c r="W2809" s="64"/>
      <c r="X2809" s="63"/>
    </row>
    <row r="2810" spans="2:24">
      <c r="B2810" s="58"/>
      <c r="C2810" s="59"/>
      <c r="D2810" s="59"/>
      <c r="E2810" s="59"/>
      <c r="F2810" s="59"/>
      <c r="G2810" s="60">
        <f>IF(OR(E2810="",F2810="",C2810="",D2810=""),"",IF(C2810+D2810=0,"",(E2810*C2810+F2810*D2810)/(C2810+D2810)))</f>
        <v/>
      </c>
      <c r="H2810" s="59"/>
      <c r="I2810" s="60">
        <f>IF(OR(H2810="",E2810="",C2810="",D2810=""),"",IF(C2810+D2810=0,"",(H2810*D2810+E2810*C2810)/(C2810+D2810)))</f>
        <v/>
      </c>
      <c r="J2810" s="59"/>
      <c r="K2810" s="61">
        <f>IF(OR(J2810="",I2810=""),"",J2810-I2810)</f>
        <v/>
      </c>
      <c r="L2810" s="61">
        <f>IF(OR(J2810="",G2810=""),"",J2810-G2810)</f>
        <v/>
      </c>
      <c r="M2810" s="59"/>
      <c r="N2810" s="59"/>
      <c r="O2810" s="59"/>
      <c r="P2810" s="59"/>
      <c r="Q2810" s="59"/>
      <c r="R2810" s="60">
        <f>IF(AND(P2810="",Q2810=""),"",N(P2810)+N(Q2810))</f>
        <v/>
      </c>
      <c r="S2810" s="59"/>
      <c r="T2810" s="59"/>
      <c r="U2810" s="62">
        <f>IF(OR(R2810="",S2810="",T2810=""),"",IF(S2810+T2810=0,"",R2810/(S2810+T2810)))</f>
        <v/>
      </c>
      <c r="V2810" s="63"/>
      <c r="W2810" s="64"/>
      <c r="X2810" s="63"/>
    </row>
    <row r="2811" spans="2:24">
      <c r="B2811" s="58"/>
      <c r="C2811" s="59"/>
      <c r="D2811" s="59"/>
      <c r="E2811" s="59"/>
      <c r="F2811" s="59"/>
      <c r="G2811" s="60">
        <f>IF(OR(E2811="",F2811="",C2811="",D2811=""),"",IF(C2811+D2811=0,"",(E2811*C2811+F2811*D2811)/(C2811+D2811)))</f>
        <v/>
      </c>
      <c r="H2811" s="59"/>
      <c r="I2811" s="60">
        <f>IF(OR(H2811="",E2811="",C2811="",D2811=""),"",IF(C2811+D2811=0,"",(H2811*D2811+E2811*C2811)/(C2811+D2811)))</f>
        <v/>
      </c>
      <c r="J2811" s="59"/>
      <c r="K2811" s="61">
        <f>IF(OR(J2811="",I2811=""),"",J2811-I2811)</f>
        <v/>
      </c>
      <c r="L2811" s="61">
        <f>IF(OR(J2811="",G2811=""),"",J2811-G2811)</f>
        <v/>
      </c>
      <c r="M2811" s="59"/>
      <c r="N2811" s="59"/>
      <c r="O2811" s="59"/>
      <c r="P2811" s="59"/>
      <c r="Q2811" s="59"/>
      <c r="R2811" s="60">
        <f>IF(AND(P2811="",Q2811=""),"",N(P2811)+N(Q2811))</f>
        <v/>
      </c>
      <c r="S2811" s="59"/>
      <c r="T2811" s="59"/>
      <c r="U2811" s="62">
        <f>IF(OR(R2811="",S2811="",T2811=""),"",IF(S2811+T2811=0,"",R2811/(S2811+T2811)))</f>
        <v/>
      </c>
      <c r="V2811" s="63"/>
      <c r="W2811" s="64"/>
      <c r="X2811" s="63"/>
    </row>
    <row r="2812" spans="2:24">
      <c r="B2812" s="58"/>
      <c r="C2812" s="59"/>
      <c r="D2812" s="59"/>
      <c r="E2812" s="59"/>
      <c r="F2812" s="59"/>
      <c r="G2812" s="60">
        <f>IF(OR(E2812="",F2812="",C2812="",D2812=""),"",IF(C2812+D2812=0,"",(E2812*C2812+F2812*D2812)/(C2812+D2812)))</f>
        <v/>
      </c>
      <c r="H2812" s="59"/>
      <c r="I2812" s="60">
        <f>IF(OR(H2812="",E2812="",C2812="",D2812=""),"",IF(C2812+D2812=0,"",(H2812*D2812+E2812*C2812)/(C2812+D2812)))</f>
        <v/>
      </c>
      <c r="J2812" s="59"/>
      <c r="K2812" s="61">
        <f>IF(OR(J2812="",I2812=""),"",J2812-I2812)</f>
        <v/>
      </c>
      <c r="L2812" s="61">
        <f>IF(OR(J2812="",G2812=""),"",J2812-G2812)</f>
        <v/>
      </c>
      <c r="M2812" s="59"/>
      <c r="N2812" s="59"/>
      <c r="O2812" s="59"/>
      <c r="P2812" s="59"/>
      <c r="Q2812" s="59"/>
      <c r="R2812" s="60">
        <f>IF(AND(P2812="",Q2812=""),"",N(P2812)+N(Q2812))</f>
        <v/>
      </c>
      <c r="S2812" s="59"/>
      <c r="T2812" s="59"/>
      <c r="U2812" s="62">
        <f>IF(OR(R2812="",S2812="",T2812=""),"",IF(S2812+T2812=0,"",R2812/(S2812+T2812)))</f>
        <v/>
      </c>
      <c r="V2812" s="63"/>
      <c r="W2812" s="64"/>
      <c r="X2812" s="63"/>
    </row>
    <row r="2813" spans="2:24">
      <c r="B2813" s="58"/>
      <c r="C2813" s="59"/>
      <c r="D2813" s="59"/>
      <c r="E2813" s="59"/>
      <c r="F2813" s="59"/>
      <c r="G2813" s="60">
        <f>IF(OR(E2813="",F2813="",C2813="",D2813=""),"",IF(C2813+D2813=0,"",(E2813*C2813+F2813*D2813)/(C2813+D2813)))</f>
        <v/>
      </c>
      <c r="H2813" s="59"/>
      <c r="I2813" s="60">
        <f>IF(OR(H2813="",E2813="",C2813="",D2813=""),"",IF(C2813+D2813=0,"",(H2813*D2813+E2813*C2813)/(C2813+D2813)))</f>
        <v/>
      </c>
      <c r="J2813" s="59"/>
      <c r="K2813" s="61">
        <f>IF(OR(J2813="",I2813=""),"",J2813-I2813)</f>
        <v/>
      </c>
      <c r="L2813" s="61">
        <f>IF(OR(J2813="",G2813=""),"",J2813-G2813)</f>
        <v/>
      </c>
      <c r="M2813" s="59"/>
      <c r="N2813" s="59"/>
      <c r="O2813" s="59"/>
      <c r="P2813" s="59"/>
      <c r="Q2813" s="59"/>
      <c r="R2813" s="60">
        <f>IF(AND(P2813="",Q2813=""),"",N(P2813)+N(Q2813))</f>
        <v/>
      </c>
      <c r="S2813" s="59"/>
      <c r="T2813" s="59"/>
      <c r="U2813" s="62">
        <f>IF(OR(R2813="",S2813="",T2813=""),"",IF(S2813+T2813=0,"",R2813/(S2813+T2813)))</f>
        <v/>
      </c>
      <c r="V2813" s="63"/>
      <c r="W2813" s="64"/>
      <c r="X2813" s="63"/>
    </row>
    <row r="2814" spans="2:24">
      <c r="B2814" s="58"/>
      <c r="C2814" s="59"/>
      <c r="D2814" s="59"/>
      <c r="E2814" s="59"/>
      <c r="F2814" s="59"/>
      <c r="G2814" s="60">
        <f>IF(OR(E2814="",F2814="",C2814="",D2814=""),"",IF(C2814+D2814=0,"",(E2814*C2814+F2814*D2814)/(C2814+D2814)))</f>
        <v/>
      </c>
      <c r="H2814" s="59"/>
      <c r="I2814" s="60">
        <f>IF(OR(H2814="",E2814="",C2814="",D2814=""),"",IF(C2814+D2814=0,"",(H2814*D2814+E2814*C2814)/(C2814+D2814)))</f>
        <v/>
      </c>
      <c r="J2814" s="59"/>
      <c r="K2814" s="61">
        <f>IF(OR(J2814="",I2814=""),"",J2814-I2814)</f>
        <v/>
      </c>
      <c r="L2814" s="61">
        <f>IF(OR(J2814="",G2814=""),"",J2814-G2814)</f>
        <v/>
      </c>
      <c r="M2814" s="59"/>
      <c r="N2814" s="59"/>
      <c r="O2814" s="59"/>
      <c r="P2814" s="59"/>
      <c r="Q2814" s="59"/>
      <c r="R2814" s="60">
        <f>IF(AND(P2814="",Q2814=""),"",N(P2814)+N(Q2814))</f>
        <v/>
      </c>
      <c r="S2814" s="59"/>
      <c r="T2814" s="59"/>
      <c r="U2814" s="62">
        <f>IF(OR(R2814="",S2814="",T2814=""),"",IF(S2814+T2814=0,"",R2814/(S2814+T2814)))</f>
        <v/>
      </c>
      <c r="V2814" s="63"/>
      <c r="W2814" s="64"/>
      <c r="X2814" s="63"/>
    </row>
    <row r="2815" spans="2:24">
      <c r="B2815" s="58"/>
      <c r="C2815" s="59"/>
      <c r="D2815" s="59"/>
      <c r="E2815" s="59"/>
      <c r="F2815" s="59"/>
      <c r="G2815" s="60">
        <f>IF(OR(E2815="",F2815="",C2815="",D2815=""),"",IF(C2815+D2815=0,"",(E2815*C2815+F2815*D2815)/(C2815+D2815)))</f>
        <v/>
      </c>
      <c r="H2815" s="59"/>
      <c r="I2815" s="60">
        <f>IF(OR(H2815="",E2815="",C2815="",D2815=""),"",IF(C2815+D2815=0,"",(H2815*D2815+E2815*C2815)/(C2815+D2815)))</f>
        <v/>
      </c>
      <c r="J2815" s="59"/>
      <c r="K2815" s="61">
        <f>IF(OR(J2815="",I2815=""),"",J2815-I2815)</f>
        <v/>
      </c>
      <c r="L2815" s="61">
        <f>IF(OR(J2815="",G2815=""),"",J2815-G2815)</f>
        <v/>
      </c>
      <c r="M2815" s="59"/>
      <c r="N2815" s="59"/>
      <c r="O2815" s="59"/>
      <c r="P2815" s="59"/>
      <c r="Q2815" s="59"/>
      <c r="R2815" s="60">
        <f>IF(AND(P2815="",Q2815=""),"",N(P2815)+N(Q2815))</f>
        <v/>
      </c>
      <c r="S2815" s="59"/>
      <c r="T2815" s="59"/>
      <c r="U2815" s="62">
        <f>IF(OR(R2815="",S2815="",T2815=""),"",IF(S2815+T2815=0,"",R2815/(S2815+T2815)))</f>
        <v/>
      </c>
      <c r="V2815" s="63"/>
      <c r="W2815" s="64"/>
      <c r="X2815" s="63"/>
    </row>
    <row r="2816" spans="2:24">
      <c r="B2816" s="58"/>
      <c r="C2816" s="59"/>
      <c r="D2816" s="59"/>
      <c r="E2816" s="59"/>
      <c r="F2816" s="59"/>
      <c r="G2816" s="60">
        <f>IF(OR(E2816="",F2816="",C2816="",D2816=""),"",IF(C2816+D2816=0,"",(E2816*C2816+F2816*D2816)/(C2816+D2816)))</f>
        <v/>
      </c>
      <c r="H2816" s="59"/>
      <c r="I2816" s="60">
        <f>IF(OR(H2816="",E2816="",C2816="",D2816=""),"",IF(C2816+D2816=0,"",(H2816*D2816+E2816*C2816)/(C2816+D2816)))</f>
        <v/>
      </c>
      <c r="J2816" s="59"/>
      <c r="K2816" s="61">
        <f>IF(OR(J2816="",I2816=""),"",J2816-I2816)</f>
        <v/>
      </c>
      <c r="L2816" s="61">
        <f>IF(OR(J2816="",G2816=""),"",J2816-G2816)</f>
        <v/>
      </c>
      <c r="M2816" s="59"/>
      <c r="N2816" s="59"/>
      <c r="O2816" s="59"/>
      <c r="P2816" s="59"/>
      <c r="Q2816" s="59"/>
      <c r="R2816" s="60">
        <f>IF(AND(P2816="",Q2816=""),"",N(P2816)+N(Q2816))</f>
        <v/>
      </c>
      <c r="S2816" s="59"/>
      <c r="T2816" s="59"/>
      <c r="U2816" s="62">
        <f>IF(OR(R2816="",S2816="",T2816=""),"",IF(S2816+T2816=0,"",R2816/(S2816+T2816)))</f>
        <v/>
      </c>
      <c r="V2816" s="63"/>
      <c r="W2816" s="64"/>
      <c r="X2816" s="63"/>
    </row>
    <row r="2817" spans="2:24">
      <c r="B2817" s="58"/>
      <c r="C2817" s="59"/>
      <c r="D2817" s="59"/>
      <c r="E2817" s="59"/>
      <c r="F2817" s="59"/>
      <c r="G2817" s="60">
        <f>IF(OR(E2817="",F2817="",C2817="",D2817=""),"",IF(C2817+D2817=0,"",(E2817*C2817+F2817*D2817)/(C2817+D2817)))</f>
        <v/>
      </c>
      <c r="H2817" s="59"/>
      <c r="I2817" s="60">
        <f>IF(OR(H2817="",E2817="",C2817="",D2817=""),"",IF(C2817+D2817=0,"",(H2817*D2817+E2817*C2817)/(C2817+D2817)))</f>
        <v/>
      </c>
      <c r="J2817" s="59"/>
      <c r="K2817" s="61">
        <f>IF(OR(J2817="",I2817=""),"",J2817-I2817)</f>
        <v/>
      </c>
      <c r="L2817" s="61">
        <f>IF(OR(J2817="",G2817=""),"",J2817-G2817)</f>
        <v/>
      </c>
      <c r="M2817" s="59"/>
      <c r="N2817" s="59"/>
      <c r="O2817" s="59"/>
      <c r="P2817" s="59"/>
      <c r="Q2817" s="59"/>
      <c r="R2817" s="60">
        <f>IF(AND(P2817="",Q2817=""),"",N(P2817)+N(Q2817))</f>
        <v/>
      </c>
      <c r="S2817" s="59"/>
      <c r="T2817" s="59"/>
      <c r="U2817" s="62">
        <f>IF(OR(R2817="",S2817="",T2817=""),"",IF(S2817+T2817=0,"",R2817/(S2817+T2817)))</f>
        <v/>
      </c>
      <c r="V2817" s="63"/>
      <c r="W2817" s="64"/>
      <c r="X2817" s="63"/>
    </row>
    <row r="2818" spans="2:24">
      <c r="B2818" s="58"/>
      <c r="C2818" s="59"/>
      <c r="D2818" s="59"/>
      <c r="E2818" s="59"/>
      <c r="F2818" s="59"/>
      <c r="G2818" s="60">
        <f>IF(OR(E2818="",F2818="",C2818="",D2818=""),"",IF(C2818+D2818=0,"",(E2818*C2818+F2818*D2818)/(C2818+D2818)))</f>
        <v/>
      </c>
      <c r="H2818" s="59"/>
      <c r="I2818" s="60">
        <f>IF(OR(H2818="",E2818="",C2818="",D2818=""),"",IF(C2818+D2818=0,"",(H2818*D2818+E2818*C2818)/(C2818+D2818)))</f>
        <v/>
      </c>
      <c r="J2818" s="59"/>
      <c r="K2818" s="61">
        <f>IF(OR(J2818="",I2818=""),"",J2818-I2818)</f>
        <v/>
      </c>
      <c r="L2818" s="61">
        <f>IF(OR(J2818="",G2818=""),"",J2818-G2818)</f>
        <v/>
      </c>
      <c r="M2818" s="59"/>
      <c r="N2818" s="59"/>
      <c r="O2818" s="59"/>
      <c r="P2818" s="59"/>
      <c r="Q2818" s="59"/>
      <c r="R2818" s="60">
        <f>IF(AND(P2818="",Q2818=""),"",N(P2818)+N(Q2818))</f>
        <v/>
      </c>
      <c r="S2818" s="59"/>
      <c r="T2818" s="59"/>
      <c r="U2818" s="62">
        <f>IF(OR(R2818="",S2818="",T2818=""),"",IF(S2818+T2818=0,"",R2818/(S2818+T2818)))</f>
        <v/>
      </c>
      <c r="V2818" s="63"/>
      <c r="W2818" s="64"/>
      <c r="X2818" s="63"/>
    </row>
    <row r="2819" spans="2:24">
      <c r="B2819" s="58"/>
      <c r="C2819" s="59"/>
      <c r="D2819" s="59"/>
      <c r="E2819" s="59"/>
      <c r="F2819" s="59"/>
      <c r="G2819" s="60">
        <f>IF(OR(E2819="",F2819="",C2819="",D2819=""),"",IF(C2819+D2819=0,"",(E2819*C2819+F2819*D2819)/(C2819+D2819)))</f>
        <v/>
      </c>
      <c r="H2819" s="59"/>
      <c r="I2819" s="60">
        <f>IF(OR(H2819="",E2819="",C2819="",D2819=""),"",IF(C2819+D2819=0,"",(H2819*D2819+E2819*C2819)/(C2819+D2819)))</f>
        <v/>
      </c>
      <c r="J2819" s="59"/>
      <c r="K2819" s="61">
        <f>IF(OR(J2819="",I2819=""),"",J2819-I2819)</f>
        <v/>
      </c>
      <c r="L2819" s="61">
        <f>IF(OR(J2819="",G2819=""),"",J2819-G2819)</f>
        <v/>
      </c>
      <c r="M2819" s="59"/>
      <c r="N2819" s="59"/>
      <c r="O2819" s="59"/>
      <c r="P2819" s="59"/>
      <c r="Q2819" s="59"/>
      <c r="R2819" s="60">
        <f>IF(AND(P2819="",Q2819=""),"",N(P2819)+N(Q2819))</f>
        <v/>
      </c>
      <c r="S2819" s="59"/>
      <c r="T2819" s="59"/>
      <c r="U2819" s="62">
        <f>IF(OR(R2819="",S2819="",T2819=""),"",IF(S2819+T2819=0,"",R2819/(S2819+T2819)))</f>
        <v/>
      </c>
      <c r="V2819" s="63"/>
      <c r="W2819" s="64"/>
      <c r="X2819" s="63"/>
    </row>
    <row r="2820" spans="2:24">
      <c r="B2820" s="58"/>
      <c r="C2820" s="59"/>
      <c r="D2820" s="59"/>
      <c r="E2820" s="59"/>
      <c r="F2820" s="59"/>
      <c r="G2820" s="60">
        <f>IF(OR(E2820="",F2820="",C2820="",D2820=""),"",IF(C2820+D2820=0,"",(E2820*C2820+F2820*D2820)/(C2820+D2820)))</f>
        <v/>
      </c>
      <c r="H2820" s="59"/>
      <c r="I2820" s="60">
        <f>IF(OR(H2820="",E2820="",C2820="",D2820=""),"",IF(C2820+D2820=0,"",(H2820*D2820+E2820*C2820)/(C2820+D2820)))</f>
        <v/>
      </c>
      <c r="J2820" s="59"/>
      <c r="K2820" s="61">
        <f>IF(OR(J2820="",I2820=""),"",J2820-I2820)</f>
        <v/>
      </c>
      <c r="L2820" s="61">
        <f>IF(OR(J2820="",G2820=""),"",J2820-G2820)</f>
        <v/>
      </c>
      <c r="M2820" s="59"/>
      <c r="N2820" s="59"/>
      <c r="O2820" s="59"/>
      <c r="P2820" s="59"/>
      <c r="Q2820" s="59"/>
      <c r="R2820" s="60">
        <f>IF(AND(P2820="",Q2820=""),"",N(P2820)+N(Q2820))</f>
        <v/>
      </c>
      <c r="S2820" s="59"/>
      <c r="T2820" s="59"/>
      <c r="U2820" s="62">
        <f>IF(OR(R2820="",S2820="",T2820=""),"",IF(S2820+T2820=0,"",R2820/(S2820+T2820)))</f>
        <v/>
      </c>
      <c r="V2820" s="63"/>
      <c r="W2820" s="64"/>
      <c r="X2820" s="63"/>
    </row>
    <row r="2821" spans="2:24">
      <c r="B2821" s="58"/>
      <c r="C2821" s="59"/>
      <c r="D2821" s="59"/>
      <c r="E2821" s="59"/>
      <c r="F2821" s="59"/>
      <c r="G2821" s="60">
        <f>IF(OR(E2821="",F2821="",C2821="",D2821=""),"",IF(C2821+D2821=0,"",(E2821*C2821+F2821*D2821)/(C2821+D2821)))</f>
        <v/>
      </c>
      <c r="H2821" s="59"/>
      <c r="I2821" s="60">
        <f>IF(OR(H2821="",E2821="",C2821="",D2821=""),"",IF(C2821+D2821=0,"",(H2821*D2821+E2821*C2821)/(C2821+D2821)))</f>
        <v/>
      </c>
      <c r="J2821" s="59"/>
      <c r="K2821" s="61">
        <f>IF(OR(J2821="",I2821=""),"",J2821-I2821)</f>
        <v/>
      </c>
      <c r="L2821" s="61">
        <f>IF(OR(J2821="",G2821=""),"",J2821-G2821)</f>
        <v/>
      </c>
      <c r="M2821" s="59"/>
      <c r="N2821" s="59"/>
      <c r="O2821" s="59"/>
      <c r="P2821" s="59"/>
      <c r="Q2821" s="59"/>
      <c r="R2821" s="60">
        <f>IF(AND(P2821="",Q2821=""),"",N(P2821)+N(Q2821))</f>
        <v/>
      </c>
      <c r="S2821" s="59"/>
      <c r="T2821" s="59"/>
      <c r="U2821" s="62">
        <f>IF(OR(R2821="",S2821="",T2821=""),"",IF(S2821+T2821=0,"",R2821/(S2821+T2821)))</f>
        <v/>
      </c>
      <c r="V2821" s="63"/>
      <c r="W2821" s="64"/>
      <c r="X2821" s="63"/>
    </row>
    <row r="2822" spans="2:24">
      <c r="B2822" s="58"/>
      <c r="C2822" s="59"/>
      <c r="D2822" s="59"/>
      <c r="E2822" s="59"/>
      <c r="F2822" s="59"/>
      <c r="G2822" s="60">
        <f>IF(OR(E2822="",F2822="",C2822="",D2822=""),"",IF(C2822+D2822=0,"",(E2822*C2822+F2822*D2822)/(C2822+D2822)))</f>
        <v/>
      </c>
      <c r="H2822" s="59"/>
      <c r="I2822" s="60">
        <f>IF(OR(H2822="",E2822="",C2822="",D2822=""),"",IF(C2822+D2822=0,"",(H2822*D2822+E2822*C2822)/(C2822+D2822)))</f>
        <v/>
      </c>
      <c r="J2822" s="59"/>
      <c r="K2822" s="61">
        <f>IF(OR(J2822="",I2822=""),"",J2822-I2822)</f>
        <v/>
      </c>
      <c r="L2822" s="61">
        <f>IF(OR(J2822="",G2822=""),"",J2822-G2822)</f>
        <v/>
      </c>
      <c r="M2822" s="59"/>
      <c r="N2822" s="59"/>
      <c r="O2822" s="59"/>
      <c r="P2822" s="59"/>
      <c r="Q2822" s="59"/>
      <c r="R2822" s="60">
        <f>IF(AND(P2822="",Q2822=""),"",N(P2822)+N(Q2822))</f>
        <v/>
      </c>
      <c r="S2822" s="59"/>
      <c r="T2822" s="59"/>
      <c r="U2822" s="62">
        <f>IF(OR(R2822="",S2822="",T2822=""),"",IF(S2822+T2822=0,"",R2822/(S2822+T2822)))</f>
        <v/>
      </c>
      <c r="V2822" s="63"/>
      <c r="W2822" s="64"/>
      <c r="X2822" s="63"/>
    </row>
    <row r="2823" spans="2:24">
      <c r="B2823" s="58"/>
      <c r="C2823" s="59"/>
      <c r="D2823" s="59"/>
      <c r="E2823" s="59"/>
      <c r="F2823" s="59"/>
      <c r="G2823" s="60">
        <f>IF(OR(E2823="",F2823="",C2823="",D2823=""),"",IF(C2823+D2823=0,"",(E2823*C2823+F2823*D2823)/(C2823+D2823)))</f>
        <v/>
      </c>
      <c r="H2823" s="59"/>
      <c r="I2823" s="60">
        <f>IF(OR(H2823="",E2823="",C2823="",D2823=""),"",IF(C2823+D2823=0,"",(H2823*D2823+E2823*C2823)/(C2823+D2823)))</f>
        <v/>
      </c>
      <c r="J2823" s="59"/>
      <c r="K2823" s="61">
        <f>IF(OR(J2823="",I2823=""),"",J2823-I2823)</f>
        <v/>
      </c>
      <c r="L2823" s="61">
        <f>IF(OR(J2823="",G2823=""),"",J2823-G2823)</f>
        <v/>
      </c>
      <c r="M2823" s="59"/>
      <c r="N2823" s="59"/>
      <c r="O2823" s="59"/>
      <c r="P2823" s="59"/>
      <c r="Q2823" s="59"/>
      <c r="R2823" s="60">
        <f>IF(AND(P2823="",Q2823=""),"",N(P2823)+N(Q2823))</f>
        <v/>
      </c>
      <c r="S2823" s="59"/>
      <c r="T2823" s="59"/>
      <c r="U2823" s="62">
        <f>IF(OR(R2823="",S2823="",T2823=""),"",IF(S2823+T2823=0,"",R2823/(S2823+T2823)))</f>
        <v/>
      </c>
      <c r="V2823" s="63"/>
      <c r="W2823" s="64"/>
      <c r="X2823" s="63"/>
    </row>
    <row r="2824" spans="2:24">
      <c r="B2824" s="58"/>
      <c r="C2824" s="59"/>
      <c r="D2824" s="59"/>
      <c r="E2824" s="59"/>
      <c r="F2824" s="59"/>
      <c r="G2824" s="60">
        <f>IF(OR(E2824="",F2824="",C2824="",D2824=""),"",IF(C2824+D2824=0,"",(E2824*C2824+F2824*D2824)/(C2824+D2824)))</f>
        <v/>
      </c>
      <c r="H2824" s="59"/>
      <c r="I2824" s="60">
        <f>IF(OR(H2824="",E2824="",C2824="",D2824=""),"",IF(C2824+D2824=0,"",(H2824*D2824+E2824*C2824)/(C2824+D2824)))</f>
        <v/>
      </c>
      <c r="J2824" s="59"/>
      <c r="K2824" s="61">
        <f>IF(OR(J2824="",I2824=""),"",J2824-I2824)</f>
        <v/>
      </c>
      <c r="L2824" s="61">
        <f>IF(OR(J2824="",G2824=""),"",J2824-G2824)</f>
        <v/>
      </c>
      <c r="M2824" s="59"/>
      <c r="N2824" s="59"/>
      <c r="O2824" s="59"/>
      <c r="P2824" s="59"/>
      <c r="Q2824" s="59"/>
      <c r="R2824" s="60">
        <f>IF(AND(P2824="",Q2824=""),"",N(P2824)+N(Q2824))</f>
        <v/>
      </c>
      <c r="S2824" s="59"/>
      <c r="T2824" s="59"/>
      <c r="U2824" s="62">
        <f>IF(OR(R2824="",S2824="",T2824=""),"",IF(S2824+T2824=0,"",R2824/(S2824+T2824)))</f>
        <v/>
      </c>
      <c r="V2824" s="63"/>
      <c r="W2824" s="64"/>
      <c r="X2824" s="63"/>
    </row>
    <row r="2825" spans="2:24">
      <c r="B2825" s="58"/>
      <c r="C2825" s="59"/>
      <c r="D2825" s="59"/>
      <c r="E2825" s="59"/>
      <c r="F2825" s="59"/>
      <c r="G2825" s="60">
        <f>IF(OR(E2825="",F2825="",C2825="",D2825=""),"",IF(C2825+D2825=0,"",(E2825*C2825+F2825*D2825)/(C2825+D2825)))</f>
        <v/>
      </c>
      <c r="H2825" s="59"/>
      <c r="I2825" s="60">
        <f>IF(OR(H2825="",E2825="",C2825="",D2825=""),"",IF(C2825+D2825=0,"",(H2825*D2825+E2825*C2825)/(C2825+D2825)))</f>
        <v/>
      </c>
      <c r="J2825" s="59"/>
      <c r="K2825" s="61">
        <f>IF(OR(J2825="",I2825=""),"",J2825-I2825)</f>
        <v/>
      </c>
      <c r="L2825" s="61">
        <f>IF(OR(J2825="",G2825=""),"",J2825-G2825)</f>
        <v/>
      </c>
      <c r="M2825" s="59"/>
      <c r="N2825" s="59"/>
      <c r="O2825" s="59"/>
      <c r="P2825" s="59"/>
      <c r="Q2825" s="59"/>
      <c r="R2825" s="60">
        <f>IF(AND(P2825="",Q2825=""),"",N(P2825)+N(Q2825))</f>
        <v/>
      </c>
      <c r="S2825" s="59"/>
      <c r="T2825" s="59"/>
      <c r="U2825" s="62">
        <f>IF(OR(R2825="",S2825="",T2825=""),"",IF(S2825+T2825=0,"",R2825/(S2825+T2825)))</f>
        <v/>
      </c>
      <c r="V2825" s="63"/>
      <c r="W2825" s="64"/>
      <c r="X2825" s="63"/>
    </row>
    <row r="2826" spans="2:24">
      <c r="B2826" s="58"/>
      <c r="C2826" s="59"/>
      <c r="D2826" s="59"/>
      <c r="E2826" s="59"/>
      <c r="F2826" s="59"/>
      <c r="G2826" s="60">
        <f>IF(OR(E2826="",F2826="",C2826="",D2826=""),"",IF(C2826+D2826=0,"",(E2826*C2826+F2826*D2826)/(C2826+D2826)))</f>
        <v/>
      </c>
      <c r="H2826" s="59"/>
      <c r="I2826" s="60">
        <f>IF(OR(H2826="",E2826="",C2826="",D2826=""),"",IF(C2826+D2826=0,"",(H2826*D2826+E2826*C2826)/(C2826+D2826)))</f>
        <v/>
      </c>
      <c r="J2826" s="59"/>
      <c r="K2826" s="61">
        <f>IF(OR(J2826="",I2826=""),"",J2826-I2826)</f>
        <v/>
      </c>
      <c r="L2826" s="61">
        <f>IF(OR(J2826="",G2826=""),"",J2826-G2826)</f>
        <v/>
      </c>
      <c r="M2826" s="59"/>
      <c r="N2826" s="59"/>
      <c r="O2826" s="59"/>
      <c r="P2826" s="59"/>
      <c r="Q2826" s="59"/>
      <c r="R2826" s="60">
        <f>IF(AND(P2826="",Q2826=""),"",N(P2826)+N(Q2826))</f>
        <v/>
      </c>
      <c r="S2826" s="59"/>
      <c r="T2826" s="59"/>
      <c r="U2826" s="62">
        <f>IF(OR(R2826="",S2826="",T2826=""),"",IF(S2826+T2826=0,"",R2826/(S2826+T2826)))</f>
        <v/>
      </c>
      <c r="V2826" s="63"/>
      <c r="W2826" s="64"/>
      <c r="X2826" s="63"/>
    </row>
    <row r="2827" spans="2:24">
      <c r="B2827" s="58"/>
      <c r="C2827" s="59"/>
      <c r="D2827" s="59"/>
      <c r="E2827" s="59"/>
      <c r="F2827" s="59"/>
      <c r="G2827" s="60">
        <f>IF(OR(E2827="",F2827="",C2827="",D2827=""),"",IF(C2827+D2827=0,"",(E2827*C2827+F2827*D2827)/(C2827+D2827)))</f>
        <v/>
      </c>
      <c r="H2827" s="59"/>
      <c r="I2827" s="60">
        <f>IF(OR(H2827="",E2827="",C2827="",D2827=""),"",IF(C2827+D2827=0,"",(H2827*D2827+E2827*C2827)/(C2827+D2827)))</f>
        <v/>
      </c>
      <c r="J2827" s="59"/>
      <c r="K2827" s="61">
        <f>IF(OR(J2827="",I2827=""),"",J2827-I2827)</f>
        <v/>
      </c>
      <c r="L2827" s="61">
        <f>IF(OR(J2827="",G2827=""),"",J2827-G2827)</f>
        <v/>
      </c>
      <c r="M2827" s="59"/>
      <c r="N2827" s="59"/>
      <c r="O2827" s="59"/>
      <c r="P2827" s="59"/>
      <c r="Q2827" s="59"/>
      <c r="R2827" s="60">
        <f>IF(AND(P2827="",Q2827=""),"",N(P2827)+N(Q2827))</f>
        <v/>
      </c>
      <c r="S2827" s="59"/>
      <c r="T2827" s="59"/>
      <c r="U2827" s="62">
        <f>IF(OR(R2827="",S2827="",T2827=""),"",IF(S2827+T2827=0,"",R2827/(S2827+T2827)))</f>
        <v/>
      </c>
      <c r="V2827" s="63"/>
      <c r="W2827" s="64"/>
      <c r="X2827" s="63"/>
    </row>
    <row r="2828" spans="2:24">
      <c r="B2828" s="58"/>
      <c r="C2828" s="59"/>
      <c r="D2828" s="59"/>
      <c r="E2828" s="59"/>
      <c r="F2828" s="59"/>
      <c r="G2828" s="60">
        <f>IF(OR(E2828="",F2828="",C2828="",D2828=""),"",IF(C2828+D2828=0,"",(E2828*C2828+F2828*D2828)/(C2828+D2828)))</f>
        <v/>
      </c>
      <c r="H2828" s="59"/>
      <c r="I2828" s="60">
        <f>IF(OR(H2828="",E2828="",C2828="",D2828=""),"",IF(C2828+D2828=0,"",(H2828*D2828+E2828*C2828)/(C2828+D2828)))</f>
        <v/>
      </c>
      <c r="J2828" s="59"/>
      <c r="K2828" s="61">
        <f>IF(OR(J2828="",I2828=""),"",J2828-I2828)</f>
        <v/>
      </c>
      <c r="L2828" s="61">
        <f>IF(OR(J2828="",G2828=""),"",J2828-G2828)</f>
        <v/>
      </c>
      <c r="M2828" s="59"/>
      <c r="N2828" s="59"/>
      <c r="O2828" s="59"/>
      <c r="P2828" s="59"/>
      <c r="Q2828" s="59"/>
      <c r="R2828" s="60">
        <f>IF(AND(P2828="",Q2828=""),"",N(P2828)+N(Q2828))</f>
        <v/>
      </c>
      <c r="S2828" s="59"/>
      <c r="T2828" s="59"/>
      <c r="U2828" s="62">
        <f>IF(OR(R2828="",S2828="",T2828=""),"",IF(S2828+T2828=0,"",R2828/(S2828+T2828)))</f>
        <v/>
      </c>
      <c r="V2828" s="63"/>
      <c r="W2828" s="64"/>
      <c r="X2828" s="63"/>
    </row>
    <row r="2829" spans="2:24">
      <c r="B2829" s="58"/>
      <c r="C2829" s="59"/>
      <c r="D2829" s="59"/>
      <c r="E2829" s="59"/>
      <c r="F2829" s="59"/>
      <c r="G2829" s="60">
        <f>IF(OR(E2829="",F2829="",C2829="",D2829=""),"",IF(C2829+D2829=0,"",(E2829*C2829+F2829*D2829)/(C2829+D2829)))</f>
        <v/>
      </c>
      <c r="H2829" s="59"/>
      <c r="I2829" s="60">
        <f>IF(OR(H2829="",E2829="",C2829="",D2829=""),"",IF(C2829+D2829=0,"",(H2829*D2829+E2829*C2829)/(C2829+D2829)))</f>
        <v/>
      </c>
      <c r="J2829" s="59"/>
      <c r="K2829" s="61">
        <f>IF(OR(J2829="",I2829=""),"",J2829-I2829)</f>
        <v/>
      </c>
      <c r="L2829" s="61">
        <f>IF(OR(J2829="",G2829=""),"",J2829-G2829)</f>
        <v/>
      </c>
      <c r="M2829" s="59"/>
      <c r="N2829" s="59"/>
      <c r="O2829" s="59"/>
      <c r="P2829" s="59"/>
      <c r="Q2829" s="59"/>
      <c r="R2829" s="60">
        <f>IF(AND(P2829="",Q2829=""),"",N(P2829)+N(Q2829))</f>
        <v/>
      </c>
      <c r="S2829" s="59"/>
      <c r="T2829" s="59"/>
      <c r="U2829" s="62">
        <f>IF(OR(R2829="",S2829="",T2829=""),"",IF(S2829+T2829=0,"",R2829/(S2829+T2829)))</f>
        <v/>
      </c>
      <c r="V2829" s="63"/>
      <c r="W2829" s="64"/>
      <c r="X2829" s="63"/>
    </row>
    <row r="2830" spans="2:24">
      <c r="B2830" s="58"/>
      <c r="C2830" s="59"/>
      <c r="D2830" s="59"/>
      <c r="E2830" s="59"/>
      <c r="F2830" s="59"/>
      <c r="G2830" s="60">
        <f>IF(OR(E2830="",F2830="",C2830="",D2830=""),"",IF(C2830+D2830=0,"",(E2830*C2830+F2830*D2830)/(C2830+D2830)))</f>
        <v/>
      </c>
      <c r="H2830" s="59"/>
      <c r="I2830" s="60">
        <f>IF(OR(H2830="",E2830="",C2830="",D2830=""),"",IF(C2830+D2830=0,"",(H2830*D2830+E2830*C2830)/(C2830+D2830)))</f>
        <v/>
      </c>
      <c r="J2830" s="59"/>
      <c r="K2830" s="61">
        <f>IF(OR(J2830="",I2830=""),"",J2830-I2830)</f>
        <v/>
      </c>
      <c r="L2830" s="61">
        <f>IF(OR(J2830="",G2830=""),"",J2830-G2830)</f>
        <v/>
      </c>
      <c r="M2830" s="59"/>
      <c r="N2830" s="59"/>
      <c r="O2830" s="59"/>
      <c r="P2830" s="59"/>
      <c r="Q2830" s="59"/>
      <c r="R2830" s="60">
        <f>IF(AND(P2830="",Q2830=""),"",N(P2830)+N(Q2830))</f>
        <v/>
      </c>
      <c r="S2830" s="59"/>
      <c r="T2830" s="59"/>
      <c r="U2830" s="62">
        <f>IF(OR(R2830="",S2830="",T2830=""),"",IF(S2830+T2830=0,"",R2830/(S2830+T2830)))</f>
        <v/>
      </c>
      <c r="V2830" s="63"/>
      <c r="W2830" s="64"/>
      <c r="X2830" s="63"/>
    </row>
    <row r="2831" spans="2:24">
      <c r="B2831" s="58"/>
      <c r="C2831" s="59"/>
      <c r="D2831" s="59"/>
      <c r="E2831" s="59"/>
      <c r="F2831" s="59"/>
      <c r="G2831" s="60">
        <f>IF(OR(E2831="",F2831="",C2831="",D2831=""),"",IF(C2831+D2831=0,"",(E2831*C2831+F2831*D2831)/(C2831+D2831)))</f>
        <v/>
      </c>
      <c r="H2831" s="59"/>
      <c r="I2831" s="60">
        <f>IF(OR(H2831="",E2831="",C2831="",D2831=""),"",IF(C2831+D2831=0,"",(H2831*D2831+E2831*C2831)/(C2831+D2831)))</f>
        <v/>
      </c>
      <c r="J2831" s="59"/>
      <c r="K2831" s="61">
        <f>IF(OR(J2831="",I2831=""),"",J2831-I2831)</f>
        <v/>
      </c>
      <c r="L2831" s="61">
        <f>IF(OR(J2831="",G2831=""),"",J2831-G2831)</f>
        <v/>
      </c>
      <c r="M2831" s="59"/>
      <c r="N2831" s="59"/>
      <c r="O2831" s="59"/>
      <c r="P2831" s="59"/>
      <c r="Q2831" s="59"/>
      <c r="R2831" s="60">
        <f>IF(AND(P2831="",Q2831=""),"",N(P2831)+N(Q2831))</f>
        <v/>
      </c>
      <c r="S2831" s="59"/>
      <c r="T2831" s="59"/>
      <c r="U2831" s="62">
        <f>IF(OR(R2831="",S2831="",T2831=""),"",IF(S2831+T2831=0,"",R2831/(S2831+T2831)))</f>
        <v/>
      </c>
      <c r="V2831" s="63"/>
      <c r="W2831" s="64"/>
      <c r="X2831" s="63"/>
    </row>
    <row r="2832" spans="2:24">
      <c r="B2832" s="58"/>
      <c r="C2832" s="59"/>
      <c r="D2832" s="59"/>
      <c r="E2832" s="59"/>
      <c r="F2832" s="59"/>
      <c r="G2832" s="60">
        <f>IF(OR(E2832="",F2832="",C2832="",D2832=""),"",IF(C2832+D2832=0,"",(E2832*C2832+F2832*D2832)/(C2832+D2832)))</f>
        <v/>
      </c>
      <c r="H2832" s="59"/>
      <c r="I2832" s="60">
        <f>IF(OR(H2832="",E2832="",C2832="",D2832=""),"",IF(C2832+D2832=0,"",(H2832*D2832+E2832*C2832)/(C2832+D2832)))</f>
        <v/>
      </c>
      <c r="J2832" s="59"/>
      <c r="K2832" s="61">
        <f>IF(OR(J2832="",I2832=""),"",J2832-I2832)</f>
        <v/>
      </c>
      <c r="L2832" s="61">
        <f>IF(OR(J2832="",G2832=""),"",J2832-G2832)</f>
        <v/>
      </c>
      <c r="M2832" s="59"/>
      <c r="N2832" s="59"/>
      <c r="O2832" s="59"/>
      <c r="P2832" s="59"/>
      <c r="Q2832" s="59"/>
      <c r="R2832" s="60">
        <f>IF(AND(P2832="",Q2832=""),"",N(P2832)+N(Q2832))</f>
        <v/>
      </c>
      <c r="S2832" s="59"/>
      <c r="T2832" s="59"/>
      <c r="U2832" s="62">
        <f>IF(OR(R2832="",S2832="",T2832=""),"",IF(S2832+T2832=0,"",R2832/(S2832+T2832)))</f>
        <v/>
      </c>
      <c r="V2832" s="63"/>
      <c r="W2832" s="64"/>
      <c r="X2832" s="63"/>
    </row>
    <row r="2833" spans="2:24">
      <c r="B2833" s="58"/>
      <c r="C2833" s="59"/>
      <c r="D2833" s="59"/>
      <c r="E2833" s="59"/>
      <c r="F2833" s="59"/>
      <c r="G2833" s="60">
        <f>IF(OR(E2833="",F2833="",C2833="",D2833=""),"",IF(C2833+D2833=0,"",(E2833*C2833+F2833*D2833)/(C2833+D2833)))</f>
        <v/>
      </c>
      <c r="H2833" s="59"/>
      <c r="I2833" s="60">
        <f>IF(OR(H2833="",E2833="",C2833="",D2833=""),"",IF(C2833+D2833=0,"",(H2833*D2833+E2833*C2833)/(C2833+D2833)))</f>
        <v/>
      </c>
      <c r="J2833" s="59"/>
      <c r="K2833" s="61">
        <f>IF(OR(J2833="",I2833=""),"",J2833-I2833)</f>
        <v/>
      </c>
      <c r="L2833" s="61">
        <f>IF(OR(J2833="",G2833=""),"",J2833-G2833)</f>
        <v/>
      </c>
      <c r="M2833" s="59"/>
      <c r="N2833" s="59"/>
      <c r="O2833" s="59"/>
      <c r="P2833" s="59"/>
      <c r="Q2833" s="59"/>
      <c r="R2833" s="60">
        <f>IF(AND(P2833="",Q2833=""),"",N(P2833)+N(Q2833))</f>
        <v/>
      </c>
      <c r="S2833" s="59"/>
      <c r="T2833" s="59"/>
      <c r="U2833" s="62">
        <f>IF(OR(R2833="",S2833="",T2833=""),"",IF(S2833+T2833=0,"",R2833/(S2833+T2833)))</f>
        <v/>
      </c>
      <c r="V2833" s="63"/>
      <c r="W2833" s="64"/>
      <c r="X2833" s="63"/>
    </row>
    <row r="2834" spans="2:24">
      <c r="B2834" s="58"/>
      <c r="C2834" s="59"/>
      <c r="D2834" s="59"/>
      <c r="E2834" s="59"/>
      <c r="F2834" s="59"/>
      <c r="G2834" s="60">
        <f>IF(OR(E2834="",F2834="",C2834="",D2834=""),"",IF(C2834+D2834=0,"",(E2834*C2834+F2834*D2834)/(C2834+D2834)))</f>
        <v/>
      </c>
      <c r="H2834" s="59"/>
      <c r="I2834" s="60">
        <f>IF(OR(H2834="",E2834="",C2834="",D2834=""),"",IF(C2834+D2834=0,"",(H2834*D2834+E2834*C2834)/(C2834+D2834)))</f>
        <v/>
      </c>
      <c r="J2834" s="59"/>
      <c r="K2834" s="61">
        <f>IF(OR(J2834="",I2834=""),"",J2834-I2834)</f>
        <v/>
      </c>
      <c r="L2834" s="61">
        <f>IF(OR(J2834="",G2834=""),"",J2834-G2834)</f>
        <v/>
      </c>
      <c r="M2834" s="59"/>
      <c r="N2834" s="59"/>
      <c r="O2834" s="59"/>
      <c r="P2834" s="59"/>
      <c r="Q2834" s="59"/>
      <c r="R2834" s="60">
        <f>IF(AND(P2834="",Q2834=""),"",N(P2834)+N(Q2834))</f>
        <v/>
      </c>
      <c r="S2834" s="59"/>
      <c r="T2834" s="59"/>
      <c r="U2834" s="62">
        <f>IF(OR(R2834="",S2834="",T2834=""),"",IF(S2834+T2834=0,"",R2834/(S2834+T2834)))</f>
        <v/>
      </c>
      <c r="V2834" s="63"/>
      <c r="W2834" s="64"/>
      <c r="X2834" s="63"/>
    </row>
    <row r="2835" spans="2:24">
      <c r="B2835" s="58"/>
      <c r="C2835" s="59"/>
      <c r="D2835" s="59"/>
      <c r="E2835" s="59"/>
      <c r="F2835" s="59"/>
      <c r="G2835" s="60">
        <f>IF(OR(E2835="",F2835="",C2835="",D2835=""),"",IF(C2835+D2835=0,"",(E2835*C2835+F2835*D2835)/(C2835+D2835)))</f>
        <v/>
      </c>
      <c r="H2835" s="59"/>
      <c r="I2835" s="60">
        <f>IF(OR(H2835="",E2835="",C2835="",D2835=""),"",IF(C2835+D2835=0,"",(H2835*D2835+E2835*C2835)/(C2835+D2835)))</f>
        <v/>
      </c>
      <c r="J2835" s="59"/>
      <c r="K2835" s="61">
        <f>IF(OR(J2835="",I2835=""),"",J2835-I2835)</f>
        <v/>
      </c>
      <c r="L2835" s="61">
        <f>IF(OR(J2835="",G2835=""),"",J2835-G2835)</f>
        <v/>
      </c>
      <c r="M2835" s="59"/>
      <c r="N2835" s="59"/>
      <c r="O2835" s="59"/>
      <c r="P2835" s="59"/>
      <c r="Q2835" s="59"/>
      <c r="R2835" s="60">
        <f>IF(AND(P2835="",Q2835=""),"",N(P2835)+N(Q2835))</f>
        <v/>
      </c>
      <c r="S2835" s="59"/>
      <c r="T2835" s="59"/>
      <c r="U2835" s="62">
        <f>IF(OR(R2835="",S2835="",T2835=""),"",IF(S2835+T2835=0,"",R2835/(S2835+T2835)))</f>
        <v/>
      </c>
      <c r="V2835" s="63"/>
      <c r="W2835" s="64"/>
      <c r="X2835" s="63"/>
    </row>
    <row r="2836" spans="2:24">
      <c r="B2836" s="58"/>
      <c r="C2836" s="59"/>
      <c r="D2836" s="59"/>
      <c r="E2836" s="59"/>
      <c r="F2836" s="59"/>
      <c r="G2836" s="60">
        <f>IF(OR(E2836="",F2836="",C2836="",D2836=""),"",IF(C2836+D2836=0,"",(E2836*C2836+F2836*D2836)/(C2836+D2836)))</f>
        <v/>
      </c>
      <c r="H2836" s="59"/>
      <c r="I2836" s="60">
        <f>IF(OR(H2836="",E2836="",C2836="",D2836=""),"",IF(C2836+D2836=0,"",(H2836*D2836+E2836*C2836)/(C2836+D2836)))</f>
        <v/>
      </c>
      <c r="J2836" s="59"/>
      <c r="K2836" s="61">
        <f>IF(OR(J2836="",I2836=""),"",J2836-I2836)</f>
        <v/>
      </c>
      <c r="L2836" s="61">
        <f>IF(OR(J2836="",G2836=""),"",J2836-G2836)</f>
        <v/>
      </c>
      <c r="M2836" s="59"/>
      <c r="N2836" s="59"/>
      <c r="O2836" s="59"/>
      <c r="P2836" s="59"/>
      <c r="Q2836" s="59"/>
      <c r="R2836" s="60">
        <f>IF(AND(P2836="",Q2836=""),"",N(P2836)+N(Q2836))</f>
        <v/>
      </c>
      <c r="S2836" s="59"/>
      <c r="T2836" s="59"/>
      <c r="U2836" s="62">
        <f>IF(OR(R2836="",S2836="",T2836=""),"",IF(S2836+T2836=0,"",R2836/(S2836+T2836)))</f>
        <v/>
      </c>
      <c r="V2836" s="63"/>
      <c r="W2836" s="64"/>
      <c r="X2836" s="63"/>
    </row>
    <row r="2837" spans="2:24">
      <c r="B2837" s="58"/>
      <c r="C2837" s="59"/>
      <c r="D2837" s="59"/>
      <c r="E2837" s="59"/>
      <c r="F2837" s="59"/>
      <c r="G2837" s="60">
        <f>IF(OR(E2837="",F2837="",C2837="",D2837=""),"",IF(C2837+D2837=0,"",(E2837*C2837+F2837*D2837)/(C2837+D2837)))</f>
        <v/>
      </c>
      <c r="H2837" s="59"/>
      <c r="I2837" s="60">
        <f>IF(OR(H2837="",E2837="",C2837="",D2837=""),"",IF(C2837+D2837=0,"",(H2837*D2837+E2837*C2837)/(C2837+D2837)))</f>
        <v/>
      </c>
      <c r="J2837" s="59"/>
      <c r="K2837" s="61">
        <f>IF(OR(J2837="",I2837=""),"",J2837-I2837)</f>
        <v/>
      </c>
      <c r="L2837" s="61">
        <f>IF(OR(J2837="",G2837=""),"",J2837-G2837)</f>
        <v/>
      </c>
      <c r="M2837" s="59"/>
      <c r="N2837" s="59"/>
      <c r="O2837" s="59"/>
      <c r="P2837" s="59"/>
      <c r="Q2837" s="59"/>
      <c r="R2837" s="60">
        <f>IF(AND(P2837="",Q2837=""),"",N(P2837)+N(Q2837))</f>
        <v/>
      </c>
      <c r="S2837" s="59"/>
      <c r="T2837" s="59"/>
      <c r="U2837" s="62">
        <f>IF(OR(R2837="",S2837="",T2837=""),"",IF(S2837+T2837=0,"",R2837/(S2837+T2837)))</f>
        <v/>
      </c>
      <c r="V2837" s="63"/>
      <c r="W2837" s="64"/>
      <c r="X2837" s="63"/>
    </row>
    <row r="2838" spans="2:24">
      <c r="B2838" s="58"/>
      <c r="C2838" s="59"/>
      <c r="D2838" s="59"/>
      <c r="E2838" s="59"/>
      <c r="F2838" s="59"/>
      <c r="G2838" s="60">
        <f>IF(OR(E2838="",F2838="",C2838="",D2838=""),"",IF(C2838+D2838=0,"",(E2838*C2838+F2838*D2838)/(C2838+D2838)))</f>
        <v/>
      </c>
      <c r="H2838" s="59"/>
      <c r="I2838" s="60">
        <f>IF(OR(H2838="",E2838="",C2838="",D2838=""),"",IF(C2838+D2838=0,"",(H2838*D2838+E2838*C2838)/(C2838+D2838)))</f>
        <v/>
      </c>
      <c r="J2838" s="59"/>
      <c r="K2838" s="61">
        <f>IF(OR(J2838="",I2838=""),"",J2838-I2838)</f>
        <v/>
      </c>
      <c r="L2838" s="61">
        <f>IF(OR(J2838="",G2838=""),"",J2838-G2838)</f>
        <v/>
      </c>
      <c r="M2838" s="59"/>
      <c r="N2838" s="59"/>
      <c r="O2838" s="59"/>
      <c r="P2838" s="59"/>
      <c r="Q2838" s="59"/>
      <c r="R2838" s="60">
        <f>IF(AND(P2838="",Q2838=""),"",N(P2838)+N(Q2838))</f>
        <v/>
      </c>
      <c r="S2838" s="59"/>
      <c r="T2838" s="59"/>
      <c r="U2838" s="62">
        <f>IF(OR(R2838="",S2838="",T2838=""),"",IF(S2838+T2838=0,"",R2838/(S2838+T2838)))</f>
        <v/>
      </c>
      <c r="V2838" s="63"/>
      <c r="W2838" s="64"/>
      <c r="X2838" s="63"/>
    </row>
    <row r="2839" spans="2:24">
      <c r="B2839" s="58"/>
      <c r="C2839" s="59"/>
      <c r="D2839" s="59"/>
      <c r="E2839" s="59"/>
      <c r="F2839" s="59"/>
      <c r="G2839" s="60">
        <f>IF(OR(E2839="",F2839="",C2839="",D2839=""),"",IF(C2839+D2839=0,"",(E2839*C2839+F2839*D2839)/(C2839+D2839)))</f>
        <v/>
      </c>
      <c r="H2839" s="59"/>
      <c r="I2839" s="60">
        <f>IF(OR(H2839="",E2839="",C2839="",D2839=""),"",IF(C2839+D2839=0,"",(H2839*D2839+E2839*C2839)/(C2839+D2839)))</f>
        <v/>
      </c>
      <c r="J2839" s="59"/>
      <c r="K2839" s="61">
        <f>IF(OR(J2839="",I2839=""),"",J2839-I2839)</f>
        <v/>
      </c>
      <c r="L2839" s="61">
        <f>IF(OR(J2839="",G2839=""),"",J2839-G2839)</f>
        <v/>
      </c>
      <c r="M2839" s="59"/>
      <c r="N2839" s="59"/>
      <c r="O2839" s="59"/>
      <c r="P2839" s="59"/>
      <c r="Q2839" s="59"/>
      <c r="R2839" s="60">
        <f>IF(AND(P2839="",Q2839=""),"",N(P2839)+N(Q2839))</f>
        <v/>
      </c>
      <c r="S2839" s="59"/>
      <c r="T2839" s="59"/>
      <c r="U2839" s="62">
        <f>IF(OR(R2839="",S2839="",T2839=""),"",IF(S2839+T2839=0,"",R2839/(S2839+T2839)))</f>
        <v/>
      </c>
      <c r="V2839" s="63"/>
      <c r="W2839" s="64"/>
      <c r="X2839" s="63"/>
    </row>
    <row r="2840" spans="2:24">
      <c r="B2840" s="58"/>
      <c r="C2840" s="59"/>
      <c r="D2840" s="59"/>
      <c r="E2840" s="59"/>
      <c r="F2840" s="59"/>
      <c r="G2840" s="60">
        <f>IF(OR(E2840="",F2840="",C2840="",D2840=""),"",IF(C2840+D2840=0,"",(E2840*C2840+F2840*D2840)/(C2840+D2840)))</f>
        <v/>
      </c>
      <c r="H2840" s="59"/>
      <c r="I2840" s="60">
        <f>IF(OR(H2840="",E2840="",C2840="",D2840=""),"",IF(C2840+D2840=0,"",(H2840*D2840+E2840*C2840)/(C2840+D2840)))</f>
        <v/>
      </c>
      <c r="J2840" s="59"/>
      <c r="K2840" s="61">
        <f>IF(OR(J2840="",I2840=""),"",J2840-I2840)</f>
        <v/>
      </c>
      <c r="L2840" s="61">
        <f>IF(OR(J2840="",G2840=""),"",J2840-G2840)</f>
        <v/>
      </c>
      <c r="M2840" s="59"/>
      <c r="N2840" s="59"/>
      <c r="O2840" s="59"/>
      <c r="P2840" s="59"/>
      <c r="Q2840" s="59"/>
      <c r="R2840" s="60">
        <f>IF(AND(P2840="",Q2840=""),"",N(P2840)+N(Q2840))</f>
        <v/>
      </c>
      <c r="S2840" s="59"/>
      <c r="T2840" s="59"/>
      <c r="U2840" s="62">
        <f>IF(OR(R2840="",S2840="",T2840=""),"",IF(S2840+T2840=0,"",R2840/(S2840+T2840)))</f>
        <v/>
      </c>
      <c r="V2840" s="63"/>
      <c r="W2840" s="64"/>
      <c r="X2840" s="63"/>
    </row>
    <row r="2841" spans="2:24">
      <c r="B2841" s="58"/>
      <c r="C2841" s="59"/>
      <c r="D2841" s="59"/>
      <c r="E2841" s="59"/>
      <c r="F2841" s="59"/>
      <c r="G2841" s="60">
        <f>IF(OR(E2841="",F2841="",C2841="",D2841=""),"",IF(C2841+D2841=0,"",(E2841*C2841+F2841*D2841)/(C2841+D2841)))</f>
        <v/>
      </c>
      <c r="H2841" s="59"/>
      <c r="I2841" s="60">
        <f>IF(OR(H2841="",E2841="",C2841="",D2841=""),"",IF(C2841+D2841=0,"",(H2841*D2841+E2841*C2841)/(C2841+D2841)))</f>
        <v/>
      </c>
      <c r="J2841" s="59"/>
      <c r="K2841" s="61">
        <f>IF(OR(J2841="",I2841=""),"",J2841-I2841)</f>
        <v/>
      </c>
      <c r="L2841" s="61">
        <f>IF(OR(J2841="",G2841=""),"",J2841-G2841)</f>
        <v/>
      </c>
      <c r="M2841" s="59"/>
      <c r="N2841" s="59"/>
      <c r="O2841" s="59"/>
      <c r="P2841" s="59"/>
      <c r="Q2841" s="59"/>
      <c r="R2841" s="60">
        <f>IF(AND(P2841="",Q2841=""),"",N(P2841)+N(Q2841))</f>
        <v/>
      </c>
      <c r="S2841" s="59"/>
      <c r="T2841" s="59"/>
      <c r="U2841" s="62">
        <f>IF(OR(R2841="",S2841="",T2841=""),"",IF(S2841+T2841=0,"",R2841/(S2841+T2841)))</f>
        <v/>
      </c>
      <c r="V2841" s="63"/>
      <c r="W2841" s="64"/>
      <c r="X2841" s="63"/>
    </row>
    <row r="2842" spans="2:24">
      <c r="B2842" s="58"/>
      <c r="C2842" s="59"/>
      <c r="D2842" s="59"/>
      <c r="E2842" s="59"/>
      <c r="F2842" s="59"/>
      <c r="G2842" s="60">
        <f>IF(OR(E2842="",F2842="",C2842="",D2842=""),"",IF(C2842+D2842=0,"",(E2842*C2842+F2842*D2842)/(C2842+D2842)))</f>
        <v/>
      </c>
      <c r="H2842" s="59"/>
      <c r="I2842" s="60">
        <f>IF(OR(H2842="",E2842="",C2842="",D2842=""),"",IF(C2842+D2842=0,"",(H2842*D2842+E2842*C2842)/(C2842+D2842)))</f>
        <v/>
      </c>
      <c r="J2842" s="59"/>
      <c r="K2842" s="61">
        <f>IF(OR(J2842="",I2842=""),"",J2842-I2842)</f>
        <v/>
      </c>
      <c r="L2842" s="61">
        <f>IF(OR(J2842="",G2842=""),"",J2842-G2842)</f>
        <v/>
      </c>
      <c r="M2842" s="59"/>
      <c r="N2842" s="59"/>
      <c r="O2842" s="59"/>
      <c r="P2842" s="59"/>
      <c r="Q2842" s="59"/>
      <c r="R2842" s="60">
        <f>IF(AND(P2842="",Q2842=""),"",N(P2842)+N(Q2842))</f>
        <v/>
      </c>
      <c r="S2842" s="59"/>
      <c r="T2842" s="59"/>
      <c r="U2842" s="62">
        <f>IF(OR(R2842="",S2842="",T2842=""),"",IF(S2842+T2842=0,"",R2842/(S2842+T2842)))</f>
        <v/>
      </c>
      <c r="V2842" s="63"/>
      <c r="W2842" s="64"/>
      <c r="X2842" s="63"/>
    </row>
    <row r="2843" spans="2:24">
      <c r="B2843" s="58"/>
      <c r="C2843" s="59"/>
      <c r="D2843" s="59"/>
      <c r="E2843" s="59"/>
      <c r="F2843" s="59"/>
      <c r="G2843" s="60">
        <f>IF(OR(E2843="",F2843="",C2843="",D2843=""),"",IF(C2843+D2843=0,"",(E2843*C2843+F2843*D2843)/(C2843+D2843)))</f>
        <v/>
      </c>
      <c r="H2843" s="59"/>
      <c r="I2843" s="60">
        <f>IF(OR(H2843="",E2843="",C2843="",D2843=""),"",IF(C2843+D2843=0,"",(H2843*D2843+E2843*C2843)/(C2843+D2843)))</f>
        <v/>
      </c>
      <c r="J2843" s="59"/>
      <c r="K2843" s="61">
        <f>IF(OR(J2843="",I2843=""),"",J2843-I2843)</f>
        <v/>
      </c>
      <c r="L2843" s="61">
        <f>IF(OR(J2843="",G2843=""),"",J2843-G2843)</f>
        <v/>
      </c>
      <c r="M2843" s="59"/>
      <c r="N2843" s="59"/>
      <c r="O2843" s="59"/>
      <c r="P2843" s="59"/>
      <c r="Q2843" s="59"/>
      <c r="R2843" s="60">
        <f>IF(AND(P2843="",Q2843=""),"",N(P2843)+N(Q2843))</f>
        <v/>
      </c>
      <c r="S2843" s="59"/>
      <c r="T2843" s="59"/>
      <c r="U2843" s="62">
        <f>IF(OR(R2843="",S2843="",T2843=""),"",IF(S2843+T2843=0,"",R2843/(S2843+T2843)))</f>
        <v/>
      </c>
      <c r="V2843" s="63"/>
      <c r="W2843" s="64"/>
      <c r="X2843" s="63"/>
    </row>
    <row r="2844" spans="2:24">
      <c r="B2844" s="58"/>
      <c r="C2844" s="59"/>
      <c r="D2844" s="59"/>
      <c r="E2844" s="59"/>
      <c r="F2844" s="59"/>
      <c r="G2844" s="60">
        <f>IF(OR(E2844="",F2844="",C2844="",D2844=""),"",IF(C2844+D2844=0,"",(E2844*C2844+F2844*D2844)/(C2844+D2844)))</f>
        <v/>
      </c>
      <c r="H2844" s="59"/>
      <c r="I2844" s="60">
        <f>IF(OR(H2844="",E2844="",C2844="",D2844=""),"",IF(C2844+D2844=0,"",(H2844*D2844+E2844*C2844)/(C2844+D2844)))</f>
        <v/>
      </c>
      <c r="J2844" s="59"/>
      <c r="K2844" s="61">
        <f>IF(OR(J2844="",I2844=""),"",J2844-I2844)</f>
        <v/>
      </c>
      <c r="L2844" s="61">
        <f>IF(OR(J2844="",G2844=""),"",J2844-G2844)</f>
        <v/>
      </c>
      <c r="M2844" s="59"/>
      <c r="N2844" s="59"/>
      <c r="O2844" s="59"/>
      <c r="P2844" s="59"/>
      <c r="Q2844" s="59"/>
      <c r="R2844" s="60">
        <f>IF(AND(P2844="",Q2844=""),"",N(P2844)+N(Q2844))</f>
        <v/>
      </c>
      <c r="S2844" s="59"/>
      <c r="T2844" s="59"/>
      <c r="U2844" s="62">
        <f>IF(OR(R2844="",S2844="",T2844=""),"",IF(S2844+T2844=0,"",R2844/(S2844+T2844)))</f>
        <v/>
      </c>
      <c r="V2844" s="63"/>
      <c r="W2844" s="64"/>
      <c r="X2844" s="63"/>
    </row>
    <row r="2845" spans="2:24">
      <c r="B2845" s="58"/>
      <c r="C2845" s="59"/>
      <c r="D2845" s="59"/>
      <c r="E2845" s="59"/>
      <c r="F2845" s="59"/>
      <c r="G2845" s="60">
        <f>IF(OR(E2845="",F2845="",C2845="",D2845=""),"",IF(C2845+D2845=0,"",(E2845*C2845+F2845*D2845)/(C2845+D2845)))</f>
        <v/>
      </c>
      <c r="H2845" s="59"/>
      <c r="I2845" s="60">
        <f>IF(OR(H2845="",E2845="",C2845="",D2845=""),"",IF(C2845+D2845=0,"",(H2845*D2845+E2845*C2845)/(C2845+D2845)))</f>
        <v/>
      </c>
      <c r="J2845" s="59"/>
      <c r="K2845" s="61">
        <f>IF(OR(J2845="",I2845=""),"",J2845-I2845)</f>
        <v/>
      </c>
      <c r="L2845" s="61">
        <f>IF(OR(J2845="",G2845=""),"",J2845-G2845)</f>
        <v/>
      </c>
      <c r="M2845" s="59"/>
      <c r="N2845" s="59"/>
      <c r="O2845" s="59"/>
      <c r="P2845" s="59"/>
      <c r="Q2845" s="59"/>
      <c r="R2845" s="60">
        <f>IF(AND(P2845="",Q2845=""),"",N(P2845)+N(Q2845))</f>
        <v/>
      </c>
      <c r="S2845" s="59"/>
      <c r="T2845" s="59"/>
      <c r="U2845" s="62">
        <f>IF(OR(R2845="",S2845="",T2845=""),"",IF(S2845+T2845=0,"",R2845/(S2845+T2845)))</f>
        <v/>
      </c>
      <c r="V2845" s="63"/>
      <c r="W2845" s="64"/>
      <c r="X2845" s="63"/>
    </row>
    <row r="2846" spans="2:24">
      <c r="B2846" s="58"/>
      <c r="C2846" s="59"/>
      <c r="D2846" s="59"/>
      <c r="E2846" s="59"/>
      <c r="F2846" s="59"/>
      <c r="G2846" s="60">
        <f>IF(OR(E2846="",F2846="",C2846="",D2846=""),"",IF(C2846+D2846=0,"",(E2846*C2846+F2846*D2846)/(C2846+D2846)))</f>
        <v/>
      </c>
      <c r="H2846" s="59"/>
      <c r="I2846" s="60">
        <f>IF(OR(H2846="",E2846="",C2846="",D2846=""),"",IF(C2846+D2846=0,"",(H2846*D2846+E2846*C2846)/(C2846+D2846)))</f>
        <v/>
      </c>
      <c r="J2846" s="59"/>
      <c r="K2846" s="61">
        <f>IF(OR(J2846="",I2846=""),"",J2846-I2846)</f>
        <v/>
      </c>
      <c r="L2846" s="61">
        <f>IF(OR(J2846="",G2846=""),"",J2846-G2846)</f>
        <v/>
      </c>
      <c r="M2846" s="59"/>
      <c r="N2846" s="59"/>
      <c r="O2846" s="59"/>
      <c r="P2846" s="59"/>
      <c r="Q2846" s="59"/>
      <c r="R2846" s="60">
        <f>IF(AND(P2846="",Q2846=""),"",N(P2846)+N(Q2846))</f>
        <v/>
      </c>
      <c r="S2846" s="59"/>
      <c r="T2846" s="59"/>
      <c r="U2846" s="62">
        <f>IF(OR(R2846="",S2846="",T2846=""),"",IF(S2846+T2846=0,"",R2846/(S2846+T2846)))</f>
        <v/>
      </c>
      <c r="V2846" s="63"/>
      <c r="W2846" s="64"/>
      <c r="X2846" s="63"/>
    </row>
    <row r="2847" spans="2:24">
      <c r="B2847" s="58"/>
      <c r="C2847" s="59"/>
      <c r="D2847" s="59"/>
      <c r="E2847" s="59"/>
      <c r="F2847" s="59"/>
      <c r="G2847" s="60">
        <f>IF(OR(E2847="",F2847="",C2847="",D2847=""),"",IF(C2847+D2847=0,"",(E2847*C2847+F2847*D2847)/(C2847+D2847)))</f>
        <v/>
      </c>
      <c r="H2847" s="59"/>
      <c r="I2847" s="60">
        <f>IF(OR(H2847="",E2847="",C2847="",D2847=""),"",IF(C2847+D2847=0,"",(H2847*D2847+E2847*C2847)/(C2847+D2847)))</f>
        <v/>
      </c>
      <c r="J2847" s="59"/>
      <c r="K2847" s="61">
        <f>IF(OR(J2847="",I2847=""),"",J2847-I2847)</f>
        <v/>
      </c>
      <c r="L2847" s="61">
        <f>IF(OR(J2847="",G2847=""),"",J2847-G2847)</f>
        <v/>
      </c>
      <c r="M2847" s="59"/>
      <c r="N2847" s="59"/>
      <c r="O2847" s="59"/>
      <c r="P2847" s="59"/>
      <c r="Q2847" s="59"/>
      <c r="R2847" s="60">
        <f>IF(AND(P2847="",Q2847=""),"",N(P2847)+N(Q2847))</f>
        <v/>
      </c>
      <c r="S2847" s="59"/>
      <c r="T2847" s="59"/>
      <c r="U2847" s="62">
        <f>IF(OR(R2847="",S2847="",T2847=""),"",IF(S2847+T2847=0,"",R2847/(S2847+T2847)))</f>
        <v/>
      </c>
      <c r="V2847" s="63"/>
      <c r="W2847" s="64"/>
      <c r="X2847" s="63"/>
    </row>
    <row r="2848" spans="2:24">
      <c r="B2848" s="58"/>
      <c r="C2848" s="59"/>
      <c r="D2848" s="59"/>
      <c r="E2848" s="59"/>
      <c r="F2848" s="59"/>
      <c r="G2848" s="60">
        <f>IF(OR(E2848="",F2848="",C2848="",D2848=""),"",IF(C2848+D2848=0,"",(E2848*C2848+F2848*D2848)/(C2848+D2848)))</f>
        <v/>
      </c>
      <c r="H2848" s="59"/>
      <c r="I2848" s="60">
        <f>IF(OR(H2848="",E2848="",C2848="",D2848=""),"",IF(C2848+D2848=0,"",(H2848*D2848+E2848*C2848)/(C2848+D2848)))</f>
        <v/>
      </c>
      <c r="J2848" s="59"/>
      <c r="K2848" s="61">
        <f>IF(OR(J2848="",I2848=""),"",J2848-I2848)</f>
        <v/>
      </c>
      <c r="L2848" s="61">
        <f>IF(OR(J2848="",G2848=""),"",J2848-G2848)</f>
        <v/>
      </c>
      <c r="M2848" s="59"/>
      <c r="N2848" s="59"/>
      <c r="O2848" s="59"/>
      <c r="P2848" s="59"/>
      <c r="Q2848" s="59"/>
      <c r="R2848" s="60">
        <f>IF(AND(P2848="",Q2848=""),"",N(P2848)+N(Q2848))</f>
        <v/>
      </c>
      <c r="S2848" s="59"/>
      <c r="T2848" s="59"/>
      <c r="U2848" s="62">
        <f>IF(OR(R2848="",S2848="",T2848=""),"",IF(S2848+T2848=0,"",R2848/(S2848+T2848)))</f>
        <v/>
      </c>
      <c r="V2848" s="63"/>
      <c r="W2848" s="64"/>
      <c r="X2848" s="63"/>
    </row>
    <row r="2849" spans="2:24">
      <c r="B2849" s="58"/>
      <c r="C2849" s="59"/>
      <c r="D2849" s="59"/>
      <c r="E2849" s="59"/>
      <c r="F2849" s="59"/>
      <c r="G2849" s="60">
        <f>IF(OR(E2849="",F2849="",C2849="",D2849=""),"",IF(C2849+D2849=0,"",(E2849*C2849+F2849*D2849)/(C2849+D2849)))</f>
        <v/>
      </c>
      <c r="H2849" s="59"/>
      <c r="I2849" s="60">
        <f>IF(OR(H2849="",E2849="",C2849="",D2849=""),"",IF(C2849+D2849=0,"",(H2849*D2849+E2849*C2849)/(C2849+D2849)))</f>
        <v/>
      </c>
      <c r="J2849" s="59"/>
      <c r="K2849" s="61">
        <f>IF(OR(J2849="",I2849=""),"",J2849-I2849)</f>
        <v/>
      </c>
      <c r="L2849" s="61">
        <f>IF(OR(J2849="",G2849=""),"",J2849-G2849)</f>
        <v/>
      </c>
      <c r="M2849" s="59"/>
      <c r="N2849" s="59"/>
      <c r="O2849" s="59"/>
      <c r="P2849" s="59"/>
      <c r="Q2849" s="59"/>
      <c r="R2849" s="60">
        <f>IF(AND(P2849="",Q2849=""),"",N(P2849)+N(Q2849))</f>
        <v/>
      </c>
      <c r="S2849" s="59"/>
      <c r="T2849" s="59"/>
      <c r="U2849" s="62">
        <f>IF(OR(R2849="",S2849="",T2849=""),"",IF(S2849+T2849=0,"",R2849/(S2849+T2849)))</f>
        <v/>
      </c>
      <c r="V2849" s="63"/>
      <c r="W2849" s="64"/>
      <c r="X2849" s="63"/>
    </row>
    <row r="2850" spans="2:24">
      <c r="B2850" s="58"/>
      <c r="C2850" s="59"/>
      <c r="D2850" s="59"/>
      <c r="E2850" s="59"/>
      <c r="F2850" s="59"/>
      <c r="G2850" s="60">
        <f>IF(OR(E2850="",F2850="",C2850="",D2850=""),"",IF(C2850+D2850=0,"",(E2850*C2850+F2850*D2850)/(C2850+D2850)))</f>
        <v/>
      </c>
      <c r="H2850" s="59"/>
      <c r="I2850" s="60">
        <f>IF(OR(H2850="",E2850="",C2850="",D2850=""),"",IF(C2850+D2850=0,"",(H2850*D2850+E2850*C2850)/(C2850+D2850)))</f>
        <v/>
      </c>
      <c r="J2850" s="59"/>
      <c r="K2850" s="61">
        <f>IF(OR(J2850="",I2850=""),"",J2850-I2850)</f>
        <v/>
      </c>
      <c r="L2850" s="61">
        <f>IF(OR(J2850="",G2850=""),"",J2850-G2850)</f>
        <v/>
      </c>
      <c r="M2850" s="59"/>
      <c r="N2850" s="59"/>
      <c r="O2850" s="59"/>
      <c r="P2850" s="59"/>
      <c r="Q2850" s="59"/>
      <c r="R2850" s="60">
        <f>IF(AND(P2850="",Q2850=""),"",N(P2850)+N(Q2850))</f>
        <v/>
      </c>
      <c r="S2850" s="59"/>
      <c r="T2850" s="59"/>
      <c r="U2850" s="62">
        <f>IF(OR(R2850="",S2850="",T2850=""),"",IF(S2850+T2850=0,"",R2850/(S2850+T2850)))</f>
        <v/>
      </c>
      <c r="V2850" s="63"/>
      <c r="W2850" s="64"/>
      <c r="X2850" s="63"/>
    </row>
    <row r="2851" spans="2:24">
      <c r="B2851" s="58"/>
      <c r="C2851" s="59"/>
      <c r="D2851" s="59"/>
      <c r="E2851" s="59"/>
      <c r="F2851" s="59"/>
      <c r="G2851" s="60">
        <f>IF(OR(E2851="",F2851="",C2851="",D2851=""),"",IF(C2851+D2851=0,"",(E2851*C2851+F2851*D2851)/(C2851+D2851)))</f>
        <v/>
      </c>
      <c r="H2851" s="59"/>
      <c r="I2851" s="60">
        <f>IF(OR(H2851="",E2851="",C2851="",D2851=""),"",IF(C2851+D2851=0,"",(H2851*D2851+E2851*C2851)/(C2851+D2851)))</f>
        <v/>
      </c>
      <c r="J2851" s="59"/>
      <c r="K2851" s="61">
        <f>IF(OR(J2851="",I2851=""),"",J2851-I2851)</f>
        <v/>
      </c>
      <c r="L2851" s="61">
        <f>IF(OR(J2851="",G2851=""),"",J2851-G2851)</f>
        <v/>
      </c>
      <c r="M2851" s="59"/>
      <c r="N2851" s="59"/>
      <c r="O2851" s="59"/>
      <c r="P2851" s="59"/>
      <c r="Q2851" s="59"/>
      <c r="R2851" s="60">
        <f>IF(AND(P2851="",Q2851=""),"",N(P2851)+N(Q2851))</f>
        <v/>
      </c>
      <c r="S2851" s="59"/>
      <c r="T2851" s="59"/>
      <c r="U2851" s="62">
        <f>IF(OR(R2851="",S2851="",T2851=""),"",IF(S2851+T2851=0,"",R2851/(S2851+T2851)))</f>
        <v/>
      </c>
      <c r="V2851" s="63"/>
      <c r="W2851" s="64"/>
      <c r="X2851" s="63"/>
    </row>
    <row r="2852" spans="2:24">
      <c r="B2852" s="58"/>
      <c r="C2852" s="59"/>
      <c r="D2852" s="59"/>
      <c r="E2852" s="59"/>
      <c r="F2852" s="59"/>
      <c r="G2852" s="60">
        <f>IF(OR(E2852="",F2852="",C2852="",D2852=""),"",IF(C2852+D2852=0,"",(E2852*C2852+F2852*D2852)/(C2852+D2852)))</f>
        <v/>
      </c>
      <c r="H2852" s="59"/>
      <c r="I2852" s="60">
        <f>IF(OR(H2852="",E2852="",C2852="",D2852=""),"",IF(C2852+D2852=0,"",(H2852*D2852+E2852*C2852)/(C2852+D2852)))</f>
        <v/>
      </c>
      <c r="J2852" s="59"/>
      <c r="K2852" s="61">
        <f>IF(OR(J2852="",I2852=""),"",J2852-I2852)</f>
        <v/>
      </c>
      <c r="L2852" s="61">
        <f>IF(OR(J2852="",G2852=""),"",J2852-G2852)</f>
        <v/>
      </c>
      <c r="M2852" s="59"/>
      <c r="N2852" s="59"/>
      <c r="O2852" s="59"/>
      <c r="P2852" s="59"/>
      <c r="Q2852" s="59"/>
      <c r="R2852" s="60">
        <f>IF(AND(P2852="",Q2852=""),"",N(P2852)+N(Q2852))</f>
        <v/>
      </c>
      <c r="S2852" s="59"/>
      <c r="T2852" s="59"/>
      <c r="U2852" s="62">
        <f>IF(OR(R2852="",S2852="",T2852=""),"",IF(S2852+T2852=0,"",R2852/(S2852+T2852)))</f>
        <v/>
      </c>
      <c r="V2852" s="63"/>
      <c r="W2852" s="64"/>
      <c r="X2852" s="63"/>
    </row>
    <row r="2853" spans="2:24">
      <c r="B2853" s="58"/>
      <c r="C2853" s="59"/>
      <c r="D2853" s="59"/>
      <c r="E2853" s="59"/>
      <c r="F2853" s="59"/>
      <c r="G2853" s="60">
        <f>IF(OR(E2853="",F2853="",C2853="",D2853=""),"",IF(C2853+D2853=0,"",(E2853*C2853+F2853*D2853)/(C2853+D2853)))</f>
        <v/>
      </c>
      <c r="H2853" s="59"/>
      <c r="I2853" s="60">
        <f>IF(OR(H2853="",E2853="",C2853="",D2853=""),"",IF(C2853+D2853=0,"",(H2853*D2853+E2853*C2853)/(C2853+D2853)))</f>
        <v/>
      </c>
      <c r="J2853" s="59"/>
      <c r="K2853" s="61">
        <f>IF(OR(J2853="",I2853=""),"",J2853-I2853)</f>
        <v/>
      </c>
      <c r="L2853" s="61">
        <f>IF(OR(J2853="",G2853=""),"",J2853-G2853)</f>
        <v/>
      </c>
      <c r="M2853" s="59"/>
      <c r="N2853" s="59"/>
      <c r="O2853" s="59"/>
      <c r="P2853" s="59"/>
      <c r="Q2853" s="59"/>
      <c r="R2853" s="60">
        <f>IF(AND(P2853="",Q2853=""),"",N(P2853)+N(Q2853))</f>
        <v/>
      </c>
      <c r="S2853" s="59"/>
      <c r="T2853" s="59"/>
      <c r="U2853" s="62">
        <f>IF(OR(R2853="",S2853="",T2853=""),"",IF(S2853+T2853=0,"",R2853/(S2853+T2853)))</f>
        <v/>
      </c>
      <c r="V2853" s="63"/>
      <c r="W2853" s="64"/>
      <c r="X2853" s="63"/>
    </row>
    <row r="2854" spans="2:24">
      <c r="B2854" s="58"/>
      <c r="C2854" s="59"/>
      <c r="D2854" s="59"/>
      <c r="E2854" s="59"/>
      <c r="F2854" s="59"/>
      <c r="G2854" s="60">
        <f>IF(OR(E2854="",F2854="",C2854="",D2854=""),"",IF(C2854+D2854=0,"",(E2854*C2854+F2854*D2854)/(C2854+D2854)))</f>
        <v/>
      </c>
      <c r="H2854" s="59"/>
      <c r="I2854" s="60">
        <f>IF(OR(H2854="",E2854="",C2854="",D2854=""),"",IF(C2854+D2854=0,"",(H2854*D2854+E2854*C2854)/(C2854+D2854)))</f>
        <v/>
      </c>
      <c r="J2854" s="59"/>
      <c r="K2854" s="61">
        <f>IF(OR(J2854="",I2854=""),"",J2854-I2854)</f>
        <v/>
      </c>
      <c r="L2854" s="61">
        <f>IF(OR(J2854="",G2854=""),"",J2854-G2854)</f>
        <v/>
      </c>
      <c r="M2854" s="59"/>
      <c r="N2854" s="59"/>
      <c r="O2854" s="59"/>
      <c r="P2854" s="59"/>
      <c r="Q2854" s="59"/>
      <c r="R2854" s="60">
        <f>IF(AND(P2854="",Q2854=""),"",N(P2854)+N(Q2854))</f>
        <v/>
      </c>
      <c r="S2854" s="59"/>
      <c r="T2854" s="59"/>
      <c r="U2854" s="62">
        <f>IF(OR(R2854="",S2854="",T2854=""),"",IF(S2854+T2854=0,"",R2854/(S2854+T2854)))</f>
        <v/>
      </c>
      <c r="V2854" s="63"/>
      <c r="W2854" s="64"/>
      <c r="X2854" s="63"/>
    </row>
    <row r="2855" spans="2:24">
      <c r="B2855" s="58"/>
      <c r="C2855" s="59"/>
      <c r="D2855" s="59"/>
      <c r="E2855" s="59"/>
      <c r="F2855" s="59"/>
      <c r="G2855" s="60">
        <f>IF(OR(E2855="",F2855="",C2855="",D2855=""),"",IF(C2855+D2855=0,"",(E2855*C2855+F2855*D2855)/(C2855+D2855)))</f>
        <v/>
      </c>
      <c r="H2855" s="59"/>
      <c r="I2855" s="60">
        <f>IF(OR(H2855="",E2855="",C2855="",D2855=""),"",IF(C2855+D2855=0,"",(H2855*D2855+E2855*C2855)/(C2855+D2855)))</f>
        <v/>
      </c>
      <c r="J2855" s="59"/>
      <c r="K2855" s="61">
        <f>IF(OR(J2855="",I2855=""),"",J2855-I2855)</f>
        <v/>
      </c>
      <c r="L2855" s="61">
        <f>IF(OR(J2855="",G2855=""),"",J2855-G2855)</f>
        <v/>
      </c>
      <c r="M2855" s="59"/>
      <c r="N2855" s="59"/>
      <c r="O2855" s="59"/>
      <c r="P2855" s="59"/>
      <c r="Q2855" s="59"/>
      <c r="R2855" s="60">
        <f>IF(AND(P2855="",Q2855=""),"",N(P2855)+N(Q2855))</f>
        <v/>
      </c>
      <c r="S2855" s="59"/>
      <c r="T2855" s="59"/>
      <c r="U2855" s="62">
        <f>IF(OR(R2855="",S2855="",T2855=""),"",IF(S2855+T2855=0,"",R2855/(S2855+T2855)))</f>
        <v/>
      </c>
      <c r="V2855" s="63"/>
      <c r="W2855" s="64"/>
      <c r="X2855" s="63"/>
    </row>
    <row r="2856" spans="2:24">
      <c r="B2856" s="58"/>
      <c r="C2856" s="59"/>
      <c r="D2856" s="59"/>
      <c r="E2856" s="59"/>
      <c r="F2856" s="59"/>
      <c r="G2856" s="60">
        <f>IF(OR(E2856="",F2856="",C2856="",D2856=""),"",IF(C2856+D2856=0,"",(E2856*C2856+F2856*D2856)/(C2856+D2856)))</f>
        <v/>
      </c>
      <c r="H2856" s="59"/>
      <c r="I2856" s="60">
        <f>IF(OR(H2856="",E2856="",C2856="",D2856=""),"",IF(C2856+D2856=0,"",(H2856*D2856+E2856*C2856)/(C2856+D2856)))</f>
        <v/>
      </c>
      <c r="J2856" s="59"/>
      <c r="K2856" s="61">
        <f>IF(OR(J2856="",I2856=""),"",J2856-I2856)</f>
        <v/>
      </c>
      <c r="L2856" s="61">
        <f>IF(OR(J2856="",G2856=""),"",J2856-G2856)</f>
        <v/>
      </c>
      <c r="M2856" s="59"/>
      <c r="N2856" s="59"/>
      <c r="O2856" s="59"/>
      <c r="P2856" s="59"/>
      <c r="Q2856" s="59"/>
      <c r="R2856" s="60">
        <f>IF(AND(P2856="",Q2856=""),"",N(P2856)+N(Q2856))</f>
        <v/>
      </c>
      <c r="S2856" s="59"/>
      <c r="T2856" s="59"/>
      <c r="U2856" s="62">
        <f>IF(OR(R2856="",S2856="",T2856=""),"",IF(S2856+T2856=0,"",R2856/(S2856+T2856)))</f>
        <v/>
      </c>
      <c r="V2856" s="63"/>
      <c r="W2856" s="64"/>
      <c r="X2856" s="63"/>
    </row>
    <row r="2857" spans="2:24">
      <c r="B2857" s="58"/>
      <c r="C2857" s="59"/>
      <c r="D2857" s="59"/>
      <c r="E2857" s="59"/>
      <c r="F2857" s="59"/>
      <c r="G2857" s="60">
        <f>IF(OR(E2857="",F2857="",C2857="",D2857=""),"",IF(C2857+D2857=0,"",(E2857*C2857+F2857*D2857)/(C2857+D2857)))</f>
        <v/>
      </c>
      <c r="H2857" s="59"/>
      <c r="I2857" s="60">
        <f>IF(OR(H2857="",E2857="",C2857="",D2857=""),"",IF(C2857+D2857=0,"",(H2857*D2857+E2857*C2857)/(C2857+D2857)))</f>
        <v/>
      </c>
      <c r="J2857" s="59"/>
      <c r="K2857" s="61">
        <f>IF(OR(J2857="",I2857=""),"",J2857-I2857)</f>
        <v/>
      </c>
      <c r="L2857" s="61">
        <f>IF(OR(J2857="",G2857=""),"",J2857-G2857)</f>
        <v/>
      </c>
      <c r="M2857" s="59"/>
      <c r="N2857" s="59"/>
      <c r="O2857" s="59"/>
      <c r="P2857" s="59"/>
      <c r="Q2857" s="59"/>
      <c r="R2857" s="60">
        <f>IF(AND(P2857="",Q2857=""),"",N(P2857)+N(Q2857))</f>
        <v/>
      </c>
      <c r="S2857" s="59"/>
      <c r="T2857" s="59"/>
      <c r="U2857" s="62">
        <f>IF(OR(R2857="",S2857="",T2857=""),"",IF(S2857+T2857=0,"",R2857/(S2857+T2857)))</f>
        <v/>
      </c>
      <c r="V2857" s="63"/>
      <c r="W2857" s="64"/>
      <c r="X2857" s="63"/>
    </row>
    <row r="2858" spans="2:24">
      <c r="B2858" s="58"/>
      <c r="C2858" s="59"/>
      <c r="D2858" s="59"/>
      <c r="E2858" s="59"/>
      <c r="F2858" s="59"/>
      <c r="G2858" s="60">
        <f>IF(OR(E2858="",F2858="",C2858="",D2858=""),"",IF(C2858+D2858=0,"",(E2858*C2858+F2858*D2858)/(C2858+D2858)))</f>
        <v/>
      </c>
      <c r="H2858" s="59"/>
      <c r="I2858" s="60">
        <f>IF(OR(H2858="",E2858="",C2858="",D2858=""),"",IF(C2858+D2858=0,"",(H2858*D2858+E2858*C2858)/(C2858+D2858)))</f>
        <v/>
      </c>
      <c r="J2858" s="59"/>
      <c r="K2858" s="61">
        <f>IF(OR(J2858="",I2858=""),"",J2858-I2858)</f>
        <v/>
      </c>
      <c r="L2858" s="61">
        <f>IF(OR(J2858="",G2858=""),"",J2858-G2858)</f>
        <v/>
      </c>
      <c r="M2858" s="59"/>
      <c r="N2858" s="59"/>
      <c r="O2858" s="59"/>
      <c r="P2858" s="59"/>
      <c r="Q2858" s="59"/>
      <c r="R2858" s="60">
        <f>IF(AND(P2858="",Q2858=""),"",N(P2858)+N(Q2858))</f>
        <v/>
      </c>
      <c r="S2858" s="59"/>
      <c r="T2858" s="59"/>
      <c r="U2858" s="62">
        <f>IF(OR(R2858="",S2858="",T2858=""),"",IF(S2858+T2858=0,"",R2858/(S2858+T2858)))</f>
        <v/>
      </c>
      <c r="V2858" s="63"/>
      <c r="W2858" s="64"/>
      <c r="X2858" s="63"/>
    </row>
    <row r="2859" spans="2:24">
      <c r="B2859" s="58"/>
      <c r="C2859" s="59"/>
      <c r="D2859" s="59"/>
      <c r="E2859" s="59"/>
      <c r="F2859" s="59"/>
      <c r="G2859" s="60">
        <f>IF(OR(E2859="",F2859="",C2859="",D2859=""),"",IF(C2859+D2859=0,"",(E2859*C2859+F2859*D2859)/(C2859+D2859)))</f>
        <v/>
      </c>
      <c r="H2859" s="59"/>
      <c r="I2859" s="60">
        <f>IF(OR(H2859="",E2859="",C2859="",D2859=""),"",IF(C2859+D2859=0,"",(H2859*D2859+E2859*C2859)/(C2859+D2859)))</f>
        <v/>
      </c>
      <c r="J2859" s="59"/>
      <c r="K2859" s="61">
        <f>IF(OR(J2859="",I2859=""),"",J2859-I2859)</f>
        <v/>
      </c>
      <c r="L2859" s="61">
        <f>IF(OR(J2859="",G2859=""),"",J2859-G2859)</f>
        <v/>
      </c>
      <c r="M2859" s="59"/>
      <c r="N2859" s="59"/>
      <c r="O2859" s="59"/>
      <c r="P2859" s="59"/>
      <c r="Q2859" s="59"/>
      <c r="R2859" s="60">
        <f>IF(AND(P2859="",Q2859=""),"",N(P2859)+N(Q2859))</f>
        <v/>
      </c>
      <c r="S2859" s="59"/>
      <c r="T2859" s="59"/>
      <c r="U2859" s="62">
        <f>IF(OR(R2859="",S2859="",T2859=""),"",IF(S2859+T2859=0,"",R2859/(S2859+T2859)))</f>
        <v/>
      </c>
      <c r="V2859" s="63"/>
      <c r="W2859" s="64"/>
      <c r="X2859" s="63"/>
    </row>
    <row r="2860" spans="2:24">
      <c r="B2860" s="58"/>
      <c r="C2860" s="59"/>
      <c r="D2860" s="59"/>
      <c r="E2860" s="59"/>
      <c r="F2860" s="59"/>
      <c r="G2860" s="60">
        <f>IF(OR(E2860="",F2860="",C2860="",D2860=""),"",IF(C2860+D2860=0,"",(E2860*C2860+F2860*D2860)/(C2860+D2860)))</f>
        <v/>
      </c>
      <c r="H2860" s="59"/>
      <c r="I2860" s="60">
        <f>IF(OR(H2860="",E2860="",C2860="",D2860=""),"",IF(C2860+D2860=0,"",(H2860*D2860+E2860*C2860)/(C2860+D2860)))</f>
        <v/>
      </c>
      <c r="J2860" s="59"/>
      <c r="K2860" s="61">
        <f>IF(OR(J2860="",I2860=""),"",J2860-I2860)</f>
        <v/>
      </c>
      <c r="L2860" s="61">
        <f>IF(OR(J2860="",G2860=""),"",J2860-G2860)</f>
        <v/>
      </c>
      <c r="M2860" s="59"/>
      <c r="N2860" s="59"/>
      <c r="O2860" s="59"/>
      <c r="P2860" s="59"/>
      <c r="Q2860" s="59"/>
      <c r="R2860" s="60">
        <f>IF(AND(P2860="",Q2860=""),"",N(P2860)+N(Q2860))</f>
        <v/>
      </c>
      <c r="S2860" s="59"/>
      <c r="T2860" s="59"/>
      <c r="U2860" s="62">
        <f>IF(OR(R2860="",S2860="",T2860=""),"",IF(S2860+T2860=0,"",R2860/(S2860+T2860)))</f>
        <v/>
      </c>
      <c r="V2860" s="63"/>
      <c r="W2860" s="64"/>
      <c r="X2860" s="63"/>
    </row>
    <row r="2861" spans="2:24">
      <c r="B2861" s="58"/>
      <c r="C2861" s="59"/>
      <c r="D2861" s="59"/>
      <c r="E2861" s="59"/>
      <c r="F2861" s="59"/>
      <c r="G2861" s="60">
        <f>IF(OR(E2861="",F2861="",C2861="",D2861=""),"",IF(C2861+D2861=0,"",(E2861*C2861+F2861*D2861)/(C2861+D2861)))</f>
        <v/>
      </c>
      <c r="H2861" s="59"/>
      <c r="I2861" s="60">
        <f>IF(OR(H2861="",E2861="",C2861="",D2861=""),"",IF(C2861+D2861=0,"",(H2861*D2861+E2861*C2861)/(C2861+D2861)))</f>
        <v/>
      </c>
      <c r="J2861" s="59"/>
      <c r="K2861" s="61">
        <f>IF(OR(J2861="",I2861=""),"",J2861-I2861)</f>
        <v/>
      </c>
      <c r="L2861" s="61">
        <f>IF(OR(J2861="",G2861=""),"",J2861-G2861)</f>
        <v/>
      </c>
      <c r="M2861" s="59"/>
      <c r="N2861" s="59"/>
      <c r="O2861" s="59"/>
      <c r="P2861" s="59"/>
      <c r="Q2861" s="59"/>
      <c r="R2861" s="60">
        <f>IF(AND(P2861="",Q2861=""),"",N(P2861)+N(Q2861))</f>
        <v/>
      </c>
      <c r="S2861" s="59"/>
      <c r="T2861" s="59"/>
      <c r="U2861" s="62">
        <f>IF(OR(R2861="",S2861="",T2861=""),"",IF(S2861+T2861=0,"",R2861/(S2861+T2861)))</f>
        <v/>
      </c>
      <c r="V2861" s="63"/>
      <c r="W2861" s="64"/>
      <c r="X2861" s="63"/>
    </row>
    <row r="2862" spans="2:24">
      <c r="B2862" s="58"/>
      <c r="C2862" s="59"/>
      <c r="D2862" s="59"/>
      <c r="E2862" s="59"/>
      <c r="F2862" s="59"/>
      <c r="G2862" s="60">
        <f>IF(OR(E2862="",F2862="",C2862="",D2862=""),"",IF(C2862+D2862=0,"",(E2862*C2862+F2862*D2862)/(C2862+D2862)))</f>
        <v/>
      </c>
      <c r="H2862" s="59"/>
      <c r="I2862" s="60">
        <f>IF(OR(H2862="",E2862="",C2862="",D2862=""),"",IF(C2862+D2862=0,"",(H2862*D2862+E2862*C2862)/(C2862+D2862)))</f>
        <v/>
      </c>
      <c r="J2862" s="59"/>
      <c r="K2862" s="61">
        <f>IF(OR(J2862="",I2862=""),"",J2862-I2862)</f>
        <v/>
      </c>
      <c r="L2862" s="61">
        <f>IF(OR(J2862="",G2862=""),"",J2862-G2862)</f>
        <v/>
      </c>
      <c r="M2862" s="59"/>
      <c r="N2862" s="59"/>
      <c r="O2862" s="59"/>
      <c r="P2862" s="59"/>
      <c r="Q2862" s="59"/>
      <c r="R2862" s="60">
        <f>IF(AND(P2862="",Q2862=""),"",N(P2862)+N(Q2862))</f>
        <v/>
      </c>
      <c r="S2862" s="59"/>
      <c r="T2862" s="59"/>
      <c r="U2862" s="62">
        <f>IF(OR(R2862="",S2862="",T2862=""),"",IF(S2862+T2862=0,"",R2862/(S2862+T2862)))</f>
        <v/>
      </c>
      <c r="V2862" s="63"/>
      <c r="W2862" s="64"/>
      <c r="X2862" s="63"/>
    </row>
    <row r="2863" spans="2:24">
      <c r="B2863" s="58"/>
      <c r="C2863" s="59"/>
      <c r="D2863" s="59"/>
      <c r="E2863" s="59"/>
      <c r="F2863" s="59"/>
      <c r="G2863" s="60">
        <f>IF(OR(E2863="",F2863="",C2863="",D2863=""),"",IF(C2863+D2863=0,"",(E2863*C2863+F2863*D2863)/(C2863+D2863)))</f>
        <v/>
      </c>
      <c r="H2863" s="59"/>
      <c r="I2863" s="60">
        <f>IF(OR(H2863="",E2863="",C2863="",D2863=""),"",IF(C2863+D2863=0,"",(H2863*D2863+E2863*C2863)/(C2863+D2863)))</f>
        <v/>
      </c>
      <c r="J2863" s="59"/>
      <c r="K2863" s="61">
        <f>IF(OR(J2863="",I2863=""),"",J2863-I2863)</f>
        <v/>
      </c>
      <c r="L2863" s="61">
        <f>IF(OR(J2863="",G2863=""),"",J2863-G2863)</f>
        <v/>
      </c>
      <c r="M2863" s="59"/>
      <c r="N2863" s="59"/>
      <c r="O2863" s="59"/>
      <c r="P2863" s="59"/>
      <c r="Q2863" s="59"/>
      <c r="R2863" s="60">
        <f>IF(AND(P2863="",Q2863=""),"",N(P2863)+N(Q2863))</f>
        <v/>
      </c>
      <c r="S2863" s="59"/>
      <c r="T2863" s="59"/>
      <c r="U2863" s="62">
        <f>IF(OR(R2863="",S2863="",T2863=""),"",IF(S2863+T2863=0,"",R2863/(S2863+T2863)))</f>
        <v/>
      </c>
      <c r="V2863" s="63"/>
      <c r="W2863" s="64"/>
      <c r="X2863" s="63"/>
    </row>
    <row r="2864" spans="2:24">
      <c r="B2864" s="58"/>
      <c r="C2864" s="59"/>
      <c r="D2864" s="59"/>
      <c r="E2864" s="59"/>
      <c r="F2864" s="59"/>
      <c r="G2864" s="60">
        <f>IF(OR(E2864="",F2864="",C2864="",D2864=""),"",IF(C2864+D2864=0,"",(E2864*C2864+F2864*D2864)/(C2864+D2864)))</f>
        <v/>
      </c>
      <c r="H2864" s="59"/>
      <c r="I2864" s="60">
        <f>IF(OR(H2864="",E2864="",C2864="",D2864=""),"",IF(C2864+D2864=0,"",(H2864*D2864+E2864*C2864)/(C2864+D2864)))</f>
        <v/>
      </c>
      <c r="J2864" s="59"/>
      <c r="K2864" s="61">
        <f>IF(OR(J2864="",I2864=""),"",J2864-I2864)</f>
        <v/>
      </c>
      <c r="L2864" s="61">
        <f>IF(OR(J2864="",G2864=""),"",J2864-G2864)</f>
        <v/>
      </c>
      <c r="M2864" s="59"/>
      <c r="N2864" s="59"/>
      <c r="O2864" s="59"/>
      <c r="P2864" s="59"/>
      <c r="Q2864" s="59"/>
      <c r="R2864" s="60">
        <f>IF(AND(P2864="",Q2864=""),"",N(P2864)+N(Q2864))</f>
        <v/>
      </c>
      <c r="S2864" s="59"/>
      <c r="T2864" s="59"/>
      <c r="U2864" s="62">
        <f>IF(OR(R2864="",S2864="",T2864=""),"",IF(S2864+T2864=0,"",R2864/(S2864+T2864)))</f>
        <v/>
      </c>
      <c r="V2864" s="63"/>
      <c r="W2864" s="64"/>
      <c r="X2864" s="63"/>
    </row>
    <row r="2865" spans="2:24">
      <c r="B2865" s="58"/>
      <c r="C2865" s="59"/>
      <c r="D2865" s="59"/>
      <c r="E2865" s="59"/>
      <c r="F2865" s="59"/>
      <c r="G2865" s="60">
        <f>IF(OR(E2865="",F2865="",C2865="",D2865=""),"",IF(C2865+D2865=0,"",(E2865*C2865+F2865*D2865)/(C2865+D2865)))</f>
        <v/>
      </c>
      <c r="H2865" s="59"/>
      <c r="I2865" s="60">
        <f>IF(OR(H2865="",E2865="",C2865="",D2865=""),"",IF(C2865+D2865=0,"",(H2865*D2865+E2865*C2865)/(C2865+D2865)))</f>
        <v/>
      </c>
      <c r="J2865" s="59"/>
      <c r="K2865" s="61">
        <f>IF(OR(J2865="",I2865=""),"",J2865-I2865)</f>
        <v/>
      </c>
      <c r="L2865" s="61">
        <f>IF(OR(J2865="",G2865=""),"",J2865-G2865)</f>
        <v/>
      </c>
      <c r="M2865" s="59"/>
      <c r="N2865" s="59"/>
      <c r="O2865" s="59"/>
      <c r="P2865" s="59"/>
      <c r="Q2865" s="59"/>
      <c r="R2865" s="60">
        <f>IF(AND(P2865="",Q2865=""),"",N(P2865)+N(Q2865))</f>
        <v/>
      </c>
      <c r="S2865" s="59"/>
      <c r="T2865" s="59"/>
      <c r="U2865" s="62">
        <f>IF(OR(R2865="",S2865="",T2865=""),"",IF(S2865+T2865=0,"",R2865/(S2865+T2865)))</f>
        <v/>
      </c>
      <c r="V2865" s="63"/>
      <c r="W2865" s="64"/>
      <c r="X2865" s="63"/>
    </row>
    <row r="2866" spans="2:24">
      <c r="B2866" s="58"/>
      <c r="C2866" s="59"/>
      <c r="D2866" s="59"/>
      <c r="E2866" s="59"/>
      <c r="F2866" s="59"/>
      <c r="G2866" s="60">
        <f>IF(OR(E2866="",F2866="",C2866="",D2866=""),"",IF(C2866+D2866=0,"",(E2866*C2866+F2866*D2866)/(C2866+D2866)))</f>
        <v/>
      </c>
      <c r="H2866" s="59"/>
      <c r="I2866" s="60">
        <f>IF(OR(H2866="",E2866="",C2866="",D2866=""),"",IF(C2866+D2866=0,"",(H2866*D2866+E2866*C2866)/(C2866+D2866)))</f>
        <v/>
      </c>
      <c r="J2866" s="59"/>
      <c r="K2866" s="61">
        <f>IF(OR(J2866="",I2866=""),"",J2866-I2866)</f>
        <v/>
      </c>
      <c r="L2866" s="61">
        <f>IF(OR(J2866="",G2866=""),"",J2866-G2866)</f>
        <v/>
      </c>
      <c r="M2866" s="59"/>
      <c r="N2866" s="59"/>
      <c r="O2866" s="59"/>
      <c r="P2866" s="59"/>
      <c r="Q2866" s="59"/>
      <c r="R2866" s="60">
        <f>IF(AND(P2866="",Q2866=""),"",N(P2866)+N(Q2866))</f>
        <v/>
      </c>
      <c r="S2866" s="59"/>
      <c r="T2866" s="59"/>
      <c r="U2866" s="62">
        <f>IF(OR(R2866="",S2866="",T2866=""),"",IF(S2866+T2866=0,"",R2866/(S2866+T2866)))</f>
        <v/>
      </c>
      <c r="V2866" s="63"/>
      <c r="W2866" s="64"/>
      <c r="X2866" s="63"/>
    </row>
    <row r="2867" spans="2:24">
      <c r="B2867" s="58"/>
      <c r="C2867" s="59"/>
      <c r="D2867" s="59"/>
      <c r="E2867" s="59"/>
      <c r="F2867" s="59"/>
      <c r="G2867" s="60">
        <f>IF(OR(E2867="",F2867="",C2867="",D2867=""),"",IF(C2867+D2867=0,"",(E2867*C2867+F2867*D2867)/(C2867+D2867)))</f>
        <v/>
      </c>
      <c r="H2867" s="59"/>
      <c r="I2867" s="60">
        <f>IF(OR(H2867="",E2867="",C2867="",D2867=""),"",IF(C2867+D2867=0,"",(H2867*D2867+E2867*C2867)/(C2867+D2867)))</f>
        <v/>
      </c>
      <c r="J2867" s="59"/>
      <c r="K2867" s="61">
        <f>IF(OR(J2867="",I2867=""),"",J2867-I2867)</f>
        <v/>
      </c>
      <c r="L2867" s="61">
        <f>IF(OR(J2867="",G2867=""),"",J2867-G2867)</f>
        <v/>
      </c>
      <c r="M2867" s="59"/>
      <c r="N2867" s="59"/>
      <c r="O2867" s="59"/>
      <c r="P2867" s="59"/>
      <c r="Q2867" s="59"/>
      <c r="R2867" s="60">
        <f>IF(AND(P2867="",Q2867=""),"",N(P2867)+N(Q2867))</f>
        <v/>
      </c>
      <c r="S2867" s="59"/>
      <c r="T2867" s="59"/>
      <c r="U2867" s="62">
        <f>IF(OR(R2867="",S2867="",T2867=""),"",IF(S2867+T2867=0,"",R2867/(S2867+T2867)))</f>
        <v/>
      </c>
      <c r="V2867" s="63"/>
      <c r="W2867" s="64"/>
      <c r="X2867" s="63"/>
    </row>
    <row r="2868" spans="2:24">
      <c r="B2868" s="58"/>
      <c r="C2868" s="59"/>
      <c r="D2868" s="59"/>
      <c r="E2868" s="59"/>
      <c r="F2868" s="59"/>
      <c r="G2868" s="60">
        <f>IF(OR(E2868="",F2868="",C2868="",D2868=""),"",IF(C2868+D2868=0,"",(E2868*C2868+F2868*D2868)/(C2868+D2868)))</f>
        <v/>
      </c>
      <c r="H2868" s="59"/>
      <c r="I2868" s="60">
        <f>IF(OR(H2868="",E2868="",C2868="",D2868=""),"",IF(C2868+D2868=0,"",(H2868*D2868+E2868*C2868)/(C2868+D2868)))</f>
        <v/>
      </c>
      <c r="J2868" s="59"/>
      <c r="K2868" s="61">
        <f>IF(OR(J2868="",I2868=""),"",J2868-I2868)</f>
        <v/>
      </c>
      <c r="L2868" s="61">
        <f>IF(OR(J2868="",G2868=""),"",J2868-G2868)</f>
        <v/>
      </c>
      <c r="M2868" s="59"/>
      <c r="N2868" s="59"/>
      <c r="O2868" s="59"/>
      <c r="P2868" s="59"/>
      <c r="Q2868" s="59"/>
      <c r="R2868" s="60">
        <f>IF(AND(P2868="",Q2868=""),"",N(P2868)+N(Q2868))</f>
        <v/>
      </c>
      <c r="S2868" s="59"/>
      <c r="T2868" s="59"/>
      <c r="U2868" s="62">
        <f>IF(OR(R2868="",S2868="",T2868=""),"",IF(S2868+T2868=0,"",R2868/(S2868+T2868)))</f>
        <v/>
      </c>
      <c r="V2868" s="63"/>
      <c r="W2868" s="64"/>
      <c r="X2868" s="63"/>
    </row>
    <row r="2869" spans="2:24">
      <c r="B2869" s="58"/>
      <c r="C2869" s="59"/>
      <c r="D2869" s="59"/>
      <c r="E2869" s="59"/>
      <c r="F2869" s="59"/>
      <c r="G2869" s="60">
        <f>IF(OR(E2869="",F2869="",C2869="",D2869=""),"",IF(C2869+D2869=0,"",(E2869*C2869+F2869*D2869)/(C2869+D2869)))</f>
        <v/>
      </c>
      <c r="H2869" s="59"/>
      <c r="I2869" s="60">
        <f>IF(OR(H2869="",E2869="",C2869="",D2869=""),"",IF(C2869+D2869=0,"",(H2869*D2869+E2869*C2869)/(C2869+D2869)))</f>
        <v/>
      </c>
      <c r="J2869" s="59"/>
      <c r="K2869" s="61">
        <f>IF(OR(J2869="",I2869=""),"",J2869-I2869)</f>
        <v/>
      </c>
      <c r="L2869" s="61">
        <f>IF(OR(J2869="",G2869=""),"",J2869-G2869)</f>
        <v/>
      </c>
      <c r="M2869" s="59"/>
      <c r="N2869" s="59"/>
      <c r="O2869" s="59"/>
      <c r="P2869" s="59"/>
      <c r="Q2869" s="59"/>
      <c r="R2869" s="60">
        <f>IF(AND(P2869="",Q2869=""),"",N(P2869)+N(Q2869))</f>
        <v/>
      </c>
      <c r="S2869" s="59"/>
      <c r="T2869" s="59"/>
      <c r="U2869" s="62">
        <f>IF(OR(R2869="",S2869="",T2869=""),"",IF(S2869+T2869=0,"",R2869/(S2869+T2869)))</f>
        <v/>
      </c>
      <c r="V2869" s="63"/>
      <c r="W2869" s="64"/>
      <c r="X2869" s="63"/>
    </row>
    <row r="2870" spans="2:24">
      <c r="B2870" s="58"/>
      <c r="C2870" s="59"/>
      <c r="D2870" s="59"/>
      <c r="E2870" s="59"/>
      <c r="F2870" s="59"/>
      <c r="G2870" s="60">
        <f>IF(OR(E2870="",F2870="",C2870="",D2870=""),"",IF(C2870+D2870=0,"",(E2870*C2870+F2870*D2870)/(C2870+D2870)))</f>
        <v/>
      </c>
      <c r="H2870" s="59"/>
      <c r="I2870" s="60">
        <f>IF(OR(H2870="",E2870="",C2870="",D2870=""),"",IF(C2870+D2870=0,"",(H2870*D2870+E2870*C2870)/(C2870+D2870)))</f>
        <v/>
      </c>
      <c r="J2870" s="59"/>
      <c r="K2870" s="61">
        <f>IF(OR(J2870="",I2870=""),"",J2870-I2870)</f>
        <v/>
      </c>
      <c r="L2870" s="61">
        <f>IF(OR(J2870="",G2870=""),"",J2870-G2870)</f>
        <v/>
      </c>
      <c r="M2870" s="59"/>
      <c r="N2870" s="59"/>
      <c r="O2870" s="59"/>
      <c r="P2870" s="59"/>
      <c r="Q2870" s="59"/>
      <c r="R2870" s="60">
        <f>IF(AND(P2870="",Q2870=""),"",N(P2870)+N(Q2870))</f>
        <v/>
      </c>
      <c r="S2870" s="59"/>
      <c r="T2870" s="59"/>
      <c r="U2870" s="62">
        <f>IF(OR(R2870="",S2870="",T2870=""),"",IF(S2870+T2870=0,"",R2870/(S2870+T2870)))</f>
        <v/>
      </c>
      <c r="V2870" s="63"/>
      <c r="W2870" s="64"/>
      <c r="X2870" s="63"/>
    </row>
    <row r="2871" spans="2:24">
      <c r="B2871" s="58"/>
      <c r="C2871" s="59"/>
      <c r="D2871" s="59"/>
      <c r="E2871" s="59"/>
      <c r="F2871" s="59"/>
      <c r="G2871" s="60">
        <f>IF(OR(E2871="",F2871="",C2871="",D2871=""),"",IF(C2871+D2871=0,"",(E2871*C2871+F2871*D2871)/(C2871+D2871)))</f>
        <v/>
      </c>
      <c r="H2871" s="59"/>
      <c r="I2871" s="60">
        <f>IF(OR(H2871="",E2871="",C2871="",D2871=""),"",IF(C2871+D2871=0,"",(H2871*D2871+E2871*C2871)/(C2871+D2871)))</f>
        <v/>
      </c>
      <c r="J2871" s="59"/>
      <c r="K2871" s="61">
        <f>IF(OR(J2871="",I2871=""),"",J2871-I2871)</f>
        <v/>
      </c>
      <c r="L2871" s="61">
        <f>IF(OR(J2871="",G2871=""),"",J2871-G2871)</f>
        <v/>
      </c>
      <c r="M2871" s="59"/>
      <c r="N2871" s="59"/>
      <c r="O2871" s="59"/>
      <c r="P2871" s="59"/>
      <c r="Q2871" s="59"/>
      <c r="R2871" s="60">
        <f>IF(AND(P2871="",Q2871=""),"",N(P2871)+N(Q2871))</f>
        <v/>
      </c>
      <c r="S2871" s="59"/>
      <c r="T2871" s="59"/>
      <c r="U2871" s="62">
        <f>IF(OR(R2871="",S2871="",T2871=""),"",IF(S2871+T2871=0,"",R2871/(S2871+T2871)))</f>
        <v/>
      </c>
      <c r="V2871" s="63"/>
      <c r="W2871" s="64"/>
      <c r="X2871" s="63"/>
    </row>
    <row r="2872" spans="2:24">
      <c r="B2872" s="58"/>
      <c r="C2872" s="59"/>
      <c r="D2872" s="59"/>
      <c r="E2872" s="59"/>
      <c r="F2872" s="59"/>
      <c r="G2872" s="60">
        <f>IF(OR(E2872="",F2872="",C2872="",D2872=""),"",IF(C2872+D2872=0,"",(E2872*C2872+F2872*D2872)/(C2872+D2872)))</f>
        <v/>
      </c>
      <c r="H2872" s="59"/>
      <c r="I2872" s="60">
        <f>IF(OR(H2872="",E2872="",C2872="",D2872=""),"",IF(C2872+D2872=0,"",(H2872*D2872+E2872*C2872)/(C2872+D2872)))</f>
        <v/>
      </c>
      <c r="J2872" s="59"/>
      <c r="K2872" s="61">
        <f>IF(OR(J2872="",I2872=""),"",J2872-I2872)</f>
        <v/>
      </c>
      <c r="L2872" s="61">
        <f>IF(OR(J2872="",G2872=""),"",J2872-G2872)</f>
        <v/>
      </c>
      <c r="M2872" s="59"/>
      <c r="N2872" s="59"/>
      <c r="O2872" s="59"/>
      <c r="P2872" s="59"/>
      <c r="Q2872" s="59"/>
      <c r="R2872" s="60">
        <f>IF(AND(P2872="",Q2872=""),"",N(P2872)+N(Q2872))</f>
        <v/>
      </c>
      <c r="S2872" s="59"/>
      <c r="T2872" s="59"/>
      <c r="U2872" s="62">
        <f>IF(OR(R2872="",S2872="",T2872=""),"",IF(S2872+T2872=0,"",R2872/(S2872+T2872)))</f>
        <v/>
      </c>
      <c r="V2872" s="63"/>
      <c r="W2872" s="64"/>
      <c r="X2872" s="63"/>
    </row>
    <row r="2873" spans="2:24">
      <c r="B2873" s="58"/>
      <c r="C2873" s="59"/>
      <c r="D2873" s="59"/>
      <c r="E2873" s="59"/>
      <c r="F2873" s="59"/>
      <c r="G2873" s="60">
        <f>IF(OR(E2873="",F2873="",C2873="",D2873=""),"",IF(C2873+D2873=0,"",(E2873*C2873+F2873*D2873)/(C2873+D2873)))</f>
        <v/>
      </c>
      <c r="H2873" s="59"/>
      <c r="I2873" s="60">
        <f>IF(OR(H2873="",E2873="",C2873="",D2873=""),"",IF(C2873+D2873=0,"",(H2873*D2873+E2873*C2873)/(C2873+D2873)))</f>
        <v/>
      </c>
      <c r="J2873" s="59"/>
      <c r="K2873" s="61">
        <f>IF(OR(J2873="",I2873=""),"",J2873-I2873)</f>
        <v/>
      </c>
      <c r="L2873" s="61">
        <f>IF(OR(J2873="",G2873=""),"",J2873-G2873)</f>
        <v/>
      </c>
      <c r="M2873" s="59"/>
      <c r="N2873" s="59"/>
      <c r="O2873" s="59"/>
      <c r="P2873" s="59"/>
      <c r="Q2873" s="59"/>
      <c r="R2873" s="60">
        <f>IF(AND(P2873="",Q2873=""),"",N(P2873)+N(Q2873))</f>
        <v/>
      </c>
      <c r="S2873" s="59"/>
      <c r="T2873" s="59"/>
      <c r="U2873" s="62">
        <f>IF(OR(R2873="",S2873="",T2873=""),"",IF(S2873+T2873=0,"",R2873/(S2873+T2873)))</f>
        <v/>
      </c>
      <c r="V2873" s="63"/>
      <c r="W2873" s="64"/>
      <c r="X2873" s="63"/>
    </row>
    <row r="2874" spans="2:24">
      <c r="B2874" s="58"/>
      <c r="C2874" s="59"/>
      <c r="D2874" s="59"/>
      <c r="E2874" s="59"/>
      <c r="F2874" s="59"/>
      <c r="G2874" s="60">
        <f>IF(OR(E2874="",F2874="",C2874="",D2874=""),"",IF(C2874+D2874=0,"",(E2874*C2874+F2874*D2874)/(C2874+D2874)))</f>
        <v/>
      </c>
      <c r="H2874" s="59"/>
      <c r="I2874" s="60">
        <f>IF(OR(H2874="",E2874="",C2874="",D2874=""),"",IF(C2874+D2874=0,"",(H2874*D2874+E2874*C2874)/(C2874+D2874)))</f>
        <v/>
      </c>
      <c r="J2874" s="59"/>
      <c r="K2874" s="61">
        <f>IF(OR(J2874="",I2874=""),"",J2874-I2874)</f>
        <v/>
      </c>
      <c r="L2874" s="61">
        <f>IF(OR(J2874="",G2874=""),"",J2874-G2874)</f>
        <v/>
      </c>
      <c r="M2874" s="59"/>
      <c r="N2874" s="59"/>
      <c r="O2874" s="59"/>
      <c r="P2874" s="59"/>
      <c r="Q2874" s="59"/>
      <c r="R2874" s="60">
        <f>IF(AND(P2874="",Q2874=""),"",N(P2874)+N(Q2874))</f>
        <v/>
      </c>
      <c r="S2874" s="59"/>
      <c r="T2874" s="59"/>
      <c r="U2874" s="62">
        <f>IF(OR(R2874="",S2874="",T2874=""),"",IF(S2874+T2874=0,"",R2874/(S2874+T2874)))</f>
        <v/>
      </c>
      <c r="V2874" s="63"/>
      <c r="W2874" s="64"/>
      <c r="X2874" s="63"/>
    </row>
    <row r="2875" spans="2:24">
      <c r="B2875" s="58"/>
      <c r="C2875" s="59"/>
      <c r="D2875" s="59"/>
      <c r="E2875" s="59"/>
      <c r="F2875" s="59"/>
      <c r="G2875" s="60">
        <f>IF(OR(E2875="",F2875="",C2875="",D2875=""),"",IF(C2875+D2875=0,"",(E2875*C2875+F2875*D2875)/(C2875+D2875)))</f>
        <v/>
      </c>
      <c r="H2875" s="59"/>
      <c r="I2875" s="60">
        <f>IF(OR(H2875="",E2875="",C2875="",D2875=""),"",IF(C2875+D2875=0,"",(H2875*D2875+E2875*C2875)/(C2875+D2875)))</f>
        <v/>
      </c>
      <c r="J2875" s="59"/>
      <c r="K2875" s="61">
        <f>IF(OR(J2875="",I2875=""),"",J2875-I2875)</f>
        <v/>
      </c>
      <c r="L2875" s="61">
        <f>IF(OR(J2875="",G2875=""),"",J2875-G2875)</f>
        <v/>
      </c>
      <c r="M2875" s="59"/>
      <c r="N2875" s="59"/>
      <c r="O2875" s="59"/>
      <c r="P2875" s="59"/>
      <c r="Q2875" s="59"/>
      <c r="R2875" s="60">
        <f>IF(AND(P2875="",Q2875=""),"",N(P2875)+N(Q2875))</f>
        <v/>
      </c>
      <c r="S2875" s="59"/>
      <c r="T2875" s="59"/>
      <c r="U2875" s="62">
        <f>IF(OR(R2875="",S2875="",T2875=""),"",IF(S2875+T2875=0,"",R2875/(S2875+T2875)))</f>
        <v/>
      </c>
      <c r="V2875" s="63"/>
      <c r="W2875" s="64"/>
      <c r="X2875" s="63"/>
    </row>
    <row r="2876" spans="2:24">
      <c r="B2876" s="58"/>
      <c r="C2876" s="59"/>
      <c r="D2876" s="59"/>
      <c r="E2876" s="59"/>
      <c r="F2876" s="59"/>
      <c r="G2876" s="60">
        <f>IF(OR(E2876="",F2876="",C2876="",D2876=""),"",IF(C2876+D2876=0,"",(E2876*C2876+F2876*D2876)/(C2876+D2876)))</f>
        <v/>
      </c>
      <c r="H2876" s="59"/>
      <c r="I2876" s="60">
        <f>IF(OR(H2876="",E2876="",C2876="",D2876=""),"",IF(C2876+D2876=0,"",(H2876*D2876+E2876*C2876)/(C2876+D2876)))</f>
        <v/>
      </c>
      <c r="J2876" s="59"/>
      <c r="K2876" s="61">
        <f>IF(OR(J2876="",I2876=""),"",J2876-I2876)</f>
        <v/>
      </c>
      <c r="L2876" s="61">
        <f>IF(OR(J2876="",G2876=""),"",J2876-G2876)</f>
        <v/>
      </c>
      <c r="M2876" s="59"/>
      <c r="N2876" s="59"/>
      <c r="O2876" s="59"/>
      <c r="P2876" s="59"/>
      <c r="Q2876" s="59"/>
      <c r="R2876" s="60">
        <f>IF(AND(P2876="",Q2876=""),"",N(P2876)+N(Q2876))</f>
        <v/>
      </c>
      <c r="S2876" s="59"/>
      <c r="T2876" s="59"/>
      <c r="U2876" s="62">
        <f>IF(OR(R2876="",S2876="",T2876=""),"",IF(S2876+T2876=0,"",R2876/(S2876+T2876)))</f>
        <v/>
      </c>
      <c r="V2876" s="63"/>
      <c r="W2876" s="64"/>
      <c r="X2876" s="63"/>
    </row>
    <row r="2877" spans="2:24">
      <c r="B2877" s="58"/>
      <c r="C2877" s="59"/>
      <c r="D2877" s="59"/>
      <c r="E2877" s="59"/>
      <c r="F2877" s="59"/>
      <c r="G2877" s="60">
        <f>IF(OR(E2877="",F2877="",C2877="",D2877=""),"",IF(C2877+D2877=0,"",(E2877*C2877+F2877*D2877)/(C2877+D2877)))</f>
        <v/>
      </c>
      <c r="H2877" s="59"/>
      <c r="I2877" s="60">
        <f>IF(OR(H2877="",E2877="",C2877="",D2877=""),"",IF(C2877+D2877=0,"",(H2877*D2877+E2877*C2877)/(C2877+D2877)))</f>
        <v/>
      </c>
      <c r="J2877" s="59"/>
      <c r="K2877" s="61">
        <f>IF(OR(J2877="",I2877=""),"",J2877-I2877)</f>
        <v/>
      </c>
      <c r="L2877" s="61">
        <f>IF(OR(J2877="",G2877=""),"",J2877-G2877)</f>
        <v/>
      </c>
      <c r="M2877" s="59"/>
      <c r="N2877" s="59"/>
      <c r="O2877" s="59"/>
      <c r="P2877" s="59"/>
      <c r="Q2877" s="59"/>
      <c r="R2877" s="60">
        <f>IF(AND(P2877="",Q2877=""),"",N(P2877)+N(Q2877))</f>
        <v/>
      </c>
      <c r="S2877" s="59"/>
      <c r="T2877" s="59"/>
      <c r="U2877" s="62">
        <f>IF(OR(R2877="",S2877="",T2877=""),"",IF(S2877+T2877=0,"",R2877/(S2877+T2877)))</f>
        <v/>
      </c>
      <c r="V2877" s="63"/>
      <c r="W2877" s="64"/>
      <c r="X2877" s="63"/>
    </row>
    <row r="2878" spans="2:24">
      <c r="B2878" s="58"/>
      <c r="C2878" s="59"/>
      <c r="D2878" s="59"/>
      <c r="E2878" s="59"/>
      <c r="F2878" s="59"/>
      <c r="G2878" s="60">
        <f>IF(OR(E2878="",F2878="",C2878="",D2878=""),"",IF(C2878+D2878=0,"",(E2878*C2878+F2878*D2878)/(C2878+D2878)))</f>
        <v/>
      </c>
      <c r="H2878" s="59"/>
      <c r="I2878" s="60">
        <f>IF(OR(H2878="",E2878="",C2878="",D2878=""),"",IF(C2878+D2878=0,"",(H2878*D2878+E2878*C2878)/(C2878+D2878)))</f>
        <v/>
      </c>
      <c r="J2878" s="59"/>
      <c r="K2878" s="61">
        <f>IF(OR(J2878="",I2878=""),"",J2878-I2878)</f>
        <v/>
      </c>
      <c r="L2878" s="61">
        <f>IF(OR(J2878="",G2878=""),"",J2878-G2878)</f>
        <v/>
      </c>
      <c r="M2878" s="59"/>
      <c r="N2878" s="59"/>
      <c r="O2878" s="59"/>
      <c r="P2878" s="59"/>
      <c r="Q2878" s="59"/>
      <c r="R2878" s="60">
        <f>IF(AND(P2878="",Q2878=""),"",N(P2878)+N(Q2878))</f>
        <v/>
      </c>
      <c r="S2878" s="59"/>
      <c r="T2878" s="59"/>
      <c r="U2878" s="62">
        <f>IF(OR(R2878="",S2878="",T2878=""),"",IF(S2878+T2878=0,"",R2878/(S2878+T2878)))</f>
        <v/>
      </c>
      <c r="V2878" s="63"/>
      <c r="W2878" s="64"/>
      <c r="X2878" s="63"/>
    </row>
    <row r="2879" spans="2:24">
      <c r="B2879" s="58"/>
      <c r="C2879" s="59"/>
      <c r="D2879" s="59"/>
      <c r="E2879" s="59"/>
      <c r="F2879" s="59"/>
      <c r="G2879" s="60">
        <f>IF(OR(E2879="",F2879="",C2879="",D2879=""),"",IF(C2879+D2879=0,"",(E2879*C2879+F2879*D2879)/(C2879+D2879)))</f>
        <v/>
      </c>
      <c r="H2879" s="59"/>
      <c r="I2879" s="60">
        <f>IF(OR(H2879="",E2879="",C2879="",D2879=""),"",IF(C2879+D2879=0,"",(H2879*D2879+E2879*C2879)/(C2879+D2879)))</f>
        <v/>
      </c>
      <c r="J2879" s="59"/>
      <c r="K2879" s="61">
        <f>IF(OR(J2879="",I2879=""),"",J2879-I2879)</f>
        <v/>
      </c>
      <c r="L2879" s="61">
        <f>IF(OR(J2879="",G2879=""),"",J2879-G2879)</f>
        <v/>
      </c>
      <c r="M2879" s="59"/>
      <c r="N2879" s="59"/>
      <c r="O2879" s="59"/>
      <c r="P2879" s="59"/>
      <c r="Q2879" s="59"/>
      <c r="R2879" s="60">
        <f>IF(AND(P2879="",Q2879=""),"",N(P2879)+N(Q2879))</f>
        <v/>
      </c>
      <c r="S2879" s="59"/>
      <c r="T2879" s="59"/>
      <c r="U2879" s="62">
        <f>IF(OR(R2879="",S2879="",T2879=""),"",IF(S2879+T2879=0,"",R2879/(S2879+T2879)))</f>
        <v/>
      </c>
      <c r="V2879" s="63"/>
      <c r="W2879" s="64"/>
      <c r="X2879" s="63"/>
    </row>
    <row r="2880" spans="2:24">
      <c r="B2880" s="58"/>
      <c r="C2880" s="59"/>
      <c r="D2880" s="59"/>
      <c r="E2880" s="59"/>
      <c r="F2880" s="59"/>
      <c r="G2880" s="60">
        <f>IF(OR(E2880="",F2880="",C2880="",D2880=""),"",IF(C2880+D2880=0,"",(E2880*C2880+F2880*D2880)/(C2880+D2880)))</f>
        <v/>
      </c>
      <c r="H2880" s="59"/>
      <c r="I2880" s="60">
        <f>IF(OR(H2880="",E2880="",C2880="",D2880=""),"",IF(C2880+D2880=0,"",(H2880*D2880+E2880*C2880)/(C2880+D2880)))</f>
        <v/>
      </c>
      <c r="J2880" s="59"/>
      <c r="K2880" s="61">
        <f>IF(OR(J2880="",I2880=""),"",J2880-I2880)</f>
        <v/>
      </c>
      <c r="L2880" s="61">
        <f>IF(OR(J2880="",G2880=""),"",J2880-G2880)</f>
        <v/>
      </c>
      <c r="M2880" s="59"/>
      <c r="N2880" s="59"/>
      <c r="O2880" s="59"/>
      <c r="P2880" s="59"/>
      <c r="Q2880" s="59"/>
      <c r="R2880" s="60">
        <f>IF(AND(P2880="",Q2880=""),"",N(P2880)+N(Q2880))</f>
        <v/>
      </c>
      <c r="S2880" s="59"/>
      <c r="T2880" s="59"/>
      <c r="U2880" s="62">
        <f>IF(OR(R2880="",S2880="",T2880=""),"",IF(S2880+T2880=0,"",R2880/(S2880+T2880)))</f>
        <v/>
      </c>
      <c r="V2880" s="63"/>
      <c r="W2880" s="64"/>
      <c r="X2880" s="63"/>
    </row>
    <row r="2881" spans="2:24">
      <c r="B2881" s="58"/>
      <c r="C2881" s="59"/>
      <c r="D2881" s="59"/>
      <c r="E2881" s="59"/>
      <c r="F2881" s="59"/>
      <c r="G2881" s="60">
        <f>IF(OR(E2881="",F2881="",C2881="",D2881=""),"",IF(C2881+D2881=0,"",(E2881*C2881+F2881*D2881)/(C2881+D2881)))</f>
        <v/>
      </c>
      <c r="H2881" s="59"/>
      <c r="I2881" s="60">
        <f>IF(OR(H2881="",E2881="",C2881="",D2881=""),"",IF(C2881+D2881=0,"",(H2881*D2881+E2881*C2881)/(C2881+D2881)))</f>
        <v/>
      </c>
      <c r="J2881" s="59"/>
      <c r="K2881" s="61">
        <f>IF(OR(J2881="",I2881=""),"",J2881-I2881)</f>
        <v/>
      </c>
      <c r="L2881" s="61">
        <f>IF(OR(J2881="",G2881=""),"",J2881-G2881)</f>
        <v/>
      </c>
      <c r="M2881" s="59"/>
      <c r="N2881" s="59"/>
      <c r="O2881" s="59"/>
      <c r="P2881" s="59"/>
      <c r="Q2881" s="59"/>
      <c r="R2881" s="60">
        <f>IF(AND(P2881="",Q2881=""),"",N(P2881)+N(Q2881))</f>
        <v/>
      </c>
      <c r="S2881" s="59"/>
      <c r="T2881" s="59"/>
      <c r="U2881" s="62">
        <f>IF(OR(R2881="",S2881="",T2881=""),"",IF(S2881+T2881=0,"",R2881/(S2881+T2881)))</f>
        <v/>
      </c>
      <c r="V2881" s="63"/>
      <c r="W2881" s="64"/>
      <c r="X2881" s="63"/>
    </row>
    <row r="2882" spans="2:24">
      <c r="B2882" s="58"/>
      <c r="C2882" s="59"/>
      <c r="D2882" s="59"/>
      <c r="E2882" s="59"/>
      <c r="F2882" s="59"/>
      <c r="G2882" s="60">
        <f>IF(OR(E2882="",F2882="",C2882="",D2882=""),"",IF(C2882+D2882=0,"",(E2882*C2882+F2882*D2882)/(C2882+D2882)))</f>
        <v/>
      </c>
      <c r="H2882" s="59"/>
      <c r="I2882" s="60">
        <f>IF(OR(H2882="",E2882="",C2882="",D2882=""),"",IF(C2882+D2882=0,"",(H2882*D2882+E2882*C2882)/(C2882+D2882)))</f>
        <v/>
      </c>
      <c r="J2882" s="59"/>
      <c r="K2882" s="61">
        <f>IF(OR(J2882="",I2882=""),"",J2882-I2882)</f>
        <v/>
      </c>
      <c r="L2882" s="61">
        <f>IF(OR(J2882="",G2882=""),"",J2882-G2882)</f>
        <v/>
      </c>
      <c r="M2882" s="59"/>
      <c r="N2882" s="59"/>
      <c r="O2882" s="59"/>
      <c r="P2882" s="59"/>
      <c r="Q2882" s="59"/>
      <c r="R2882" s="60">
        <f>IF(AND(P2882="",Q2882=""),"",N(P2882)+N(Q2882))</f>
        <v/>
      </c>
      <c r="S2882" s="59"/>
      <c r="T2882" s="59"/>
      <c r="U2882" s="62">
        <f>IF(OR(R2882="",S2882="",T2882=""),"",IF(S2882+T2882=0,"",R2882/(S2882+T2882)))</f>
        <v/>
      </c>
      <c r="V2882" s="63"/>
      <c r="W2882" s="64"/>
      <c r="X2882" s="63"/>
    </row>
    <row r="2883" spans="2:24">
      <c r="B2883" s="58"/>
      <c r="C2883" s="59"/>
      <c r="D2883" s="59"/>
      <c r="E2883" s="59"/>
      <c r="F2883" s="59"/>
      <c r="G2883" s="60">
        <f>IF(OR(E2883="",F2883="",C2883="",D2883=""),"",IF(C2883+D2883=0,"",(E2883*C2883+F2883*D2883)/(C2883+D2883)))</f>
        <v/>
      </c>
      <c r="H2883" s="59"/>
      <c r="I2883" s="60">
        <f>IF(OR(H2883="",E2883="",C2883="",D2883=""),"",IF(C2883+D2883=0,"",(H2883*D2883+E2883*C2883)/(C2883+D2883)))</f>
        <v/>
      </c>
      <c r="J2883" s="59"/>
      <c r="K2883" s="61">
        <f>IF(OR(J2883="",I2883=""),"",J2883-I2883)</f>
        <v/>
      </c>
      <c r="L2883" s="61">
        <f>IF(OR(J2883="",G2883=""),"",J2883-G2883)</f>
        <v/>
      </c>
      <c r="M2883" s="59"/>
      <c r="N2883" s="59"/>
      <c r="O2883" s="59"/>
      <c r="P2883" s="59"/>
      <c r="Q2883" s="59"/>
      <c r="R2883" s="60">
        <f>IF(AND(P2883="",Q2883=""),"",N(P2883)+N(Q2883))</f>
        <v/>
      </c>
      <c r="S2883" s="59"/>
      <c r="T2883" s="59"/>
      <c r="U2883" s="62">
        <f>IF(OR(R2883="",S2883="",T2883=""),"",IF(S2883+T2883=0,"",R2883/(S2883+T2883)))</f>
        <v/>
      </c>
      <c r="V2883" s="63"/>
      <c r="W2883" s="64"/>
      <c r="X2883" s="63"/>
    </row>
    <row r="2884" spans="2:24">
      <c r="B2884" s="58"/>
      <c r="C2884" s="59"/>
      <c r="D2884" s="59"/>
      <c r="E2884" s="59"/>
      <c r="F2884" s="59"/>
      <c r="G2884" s="60">
        <f>IF(OR(E2884="",F2884="",C2884="",D2884=""),"",IF(C2884+D2884=0,"",(E2884*C2884+F2884*D2884)/(C2884+D2884)))</f>
        <v/>
      </c>
      <c r="H2884" s="59"/>
      <c r="I2884" s="60">
        <f>IF(OR(H2884="",E2884="",C2884="",D2884=""),"",IF(C2884+D2884=0,"",(H2884*D2884+E2884*C2884)/(C2884+D2884)))</f>
        <v/>
      </c>
      <c r="J2884" s="59"/>
      <c r="K2884" s="61">
        <f>IF(OR(J2884="",I2884=""),"",J2884-I2884)</f>
        <v/>
      </c>
      <c r="L2884" s="61">
        <f>IF(OR(J2884="",G2884=""),"",J2884-G2884)</f>
        <v/>
      </c>
      <c r="M2884" s="59"/>
      <c r="N2884" s="59"/>
      <c r="O2884" s="59"/>
      <c r="P2884" s="59"/>
      <c r="Q2884" s="59"/>
      <c r="R2884" s="60">
        <f>IF(AND(P2884="",Q2884=""),"",N(P2884)+N(Q2884))</f>
        <v/>
      </c>
      <c r="S2884" s="59"/>
      <c r="T2884" s="59"/>
      <c r="U2884" s="62">
        <f>IF(OR(R2884="",S2884="",T2884=""),"",IF(S2884+T2884=0,"",R2884/(S2884+T2884)))</f>
        <v/>
      </c>
      <c r="V2884" s="63"/>
      <c r="W2884" s="64"/>
      <c r="X2884" s="63"/>
    </row>
    <row r="2885" spans="2:24">
      <c r="B2885" s="58"/>
      <c r="C2885" s="59"/>
      <c r="D2885" s="59"/>
      <c r="E2885" s="59"/>
      <c r="F2885" s="59"/>
      <c r="G2885" s="60">
        <f>IF(OR(E2885="",F2885="",C2885="",D2885=""),"",IF(C2885+D2885=0,"",(E2885*C2885+F2885*D2885)/(C2885+D2885)))</f>
        <v/>
      </c>
      <c r="H2885" s="59"/>
      <c r="I2885" s="60">
        <f>IF(OR(H2885="",E2885="",C2885="",D2885=""),"",IF(C2885+D2885=0,"",(H2885*D2885+E2885*C2885)/(C2885+D2885)))</f>
        <v/>
      </c>
      <c r="J2885" s="59"/>
      <c r="K2885" s="61">
        <f>IF(OR(J2885="",I2885=""),"",J2885-I2885)</f>
        <v/>
      </c>
      <c r="L2885" s="61">
        <f>IF(OR(J2885="",G2885=""),"",J2885-G2885)</f>
        <v/>
      </c>
      <c r="M2885" s="59"/>
      <c r="N2885" s="59"/>
      <c r="O2885" s="59"/>
      <c r="P2885" s="59"/>
      <c r="Q2885" s="59"/>
      <c r="R2885" s="60">
        <f>IF(AND(P2885="",Q2885=""),"",N(P2885)+N(Q2885))</f>
        <v/>
      </c>
      <c r="S2885" s="59"/>
      <c r="T2885" s="59"/>
      <c r="U2885" s="62">
        <f>IF(OR(R2885="",S2885="",T2885=""),"",IF(S2885+T2885=0,"",R2885/(S2885+T2885)))</f>
        <v/>
      </c>
      <c r="V2885" s="63"/>
      <c r="W2885" s="64"/>
      <c r="X2885" s="63"/>
    </row>
    <row r="2886" spans="2:24">
      <c r="B2886" s="58"/>
      <c r="C2886" s="59"/>
      <c r="D2886" s="59"/>
      <c r="E2886" s="59"/>
      <c r="F2886" s="59"/>
      <c r="G2886" s="60">
        <f>IF(OR(E2886="",F2886="",C2886="",D2886=""),"",IF(C2886+D2886=0,"",(E2886*C2886+F2886*D2886)/(C2886+D2886)))</f>
        <v/>
      </c>
      <c r="H2886" s="59"/>
      <c r="I2886" s="60">
        <f>IF(OR(H2886="",E2886="",C2886="",D2886=""),"",IF(C2886+D2886=0,"",(H2886*D2886+E2886*C2886)/(C2886+D2886)))</f>
        <v/>
      </c>
      <c r="J2886" s="59"/>
      <c r="K2886" s="61">
        <f>IF(OR(J2886="",I2886=""),"",J2886-I2886)</f>
        <v/>
      </c>
      <c r="L2886" s="61">
        <f>IF(OR(J2886="",G2886=""),"",J2886-G2886)</f>
        <v/>
      </c>
      <c r="M2886" s="59"/>
      <c r="N2886" s="59"/>
      <c r="O2886" s="59"/>
      <c r="P2886" s="59"/>
      <c r="Q2886" s="59"/>
      <c r="R2886" s="60">
        <f>IF(AND(P2886="",Q2886=""),"",N(P2886)+N(Q2886))</f>
        <v/>
      </c>
      <c r="S2886" s="59"/>
      <c r="T2886" s="59"/>
      <c r="U2886" s="62">
        <f>IF(OR(R2886="",S2886="",T2886=""),"",IF(S2886+T2886=0,"",R2886/(S2886+T2886)))</f>
        <v/>
      </c>
      <c r="V2886" s="63"/>
      <c r="W2886" s="64"/>
      <c r="X2886" s="63"/>
    </row>
    <row r="2887" spans="2:24">
      <c r="B2887" s="58"/>
      <c r="C2887" s="59"/>
      <c r="D2887" s="59"/>
      <c r="E2887" s="59"/>
      <c r="F2887" s="59"/>
      <c r="G2887" s="60">
        <f>IF(OR(E2887="",F2887="",C2887="",D2887=""),"",IF(C2887+D2887=0,"",(E2887*C2887+F2887*D2887)/(C2887+D2887)))</f>
        <v/>
      </c>
      <c r="H2887" s="59"/>
      <c r="I2887" s="60">
        <f>IF(OR(H2887="",E2887="",C2887="",D2887=""),"",IF(C2887+D2887=0,"",(H2887*D2887+E2887*C2887)/(C2887+D2887)))</f>
        <v/>
      </c>
      <c r="J2887" s="59"/>
      <c r="K2887" s="61">
        <f>IF(OR(J2887="",I2887=""),"",J2887-I2887)</f>
        <v/>
      </c>
      <c r="L2887" s="61">
        <f>IF(OR(J2887="",G2887=""),"",J2887-G2887)</f>
        <v/>
      </c>
      <c r="M2887" s="59"/>
      <c r="N2887" s="59"/>
      <c r="O2887" s="59"/>
      <c r="P2887" s="59"/>
      <c r="Q2887" s="59"/>
      <c r="R2887" s="60">
        <f>IF(AND(P2887="",Q2887=""),"",N(P2887)+N(Q2887))</f>
        <v/>
      </c>
      <c r="S2887" s="59"/>
      <c r="T2887" s="59"/>
      <c r="U2887" s="62">
        <f>IF(OR(R2887="",S2887="",T2887=""),"",IF(S2887+T2887=0,"",R2887/(S2887+T2887)))</f>
        <v/>
      </c>
      <c r="V2887" s="63"/>
      <c r="W2887" s="64"/>
      <c r="X2887" s="63"/>
    </row>
    <row r="2888" spans="2:24">
      <c r="B2888" s="58"/>
      <c r="C2888" s="59"/>
      <c r="D2888" s="59"/>
      <c r="E2888" s="59"/>
      <c r="F2888" s="59"/>
      <c r="G2888" s="60">
        <f>IF(OR(E2888="",F2888="",C2888="",D2888=""),"",IF(C2888+D2888=0,"",(E2888*C2888+F2888*D2888)/(C2888+D2888)))</f>
        <v/>
      </c>
      <c r="H2888" s="59"/>
      <c r="I2888" s="60">
        <f>IF(OR(H2888="",E2888="",C2888="",D2888=""),"",IF(C2888+D2888=0,"",(H2888*D2888+E2888*C2888)/(C2888+D2888)))</f>
        <v/>
      </c>
      <c r="J2888" s="59"/>
      <c r="K2888" s="61">
        <f>IF(OR(J2888="",I2888=""),"",J2888-I2888)</f>
        <v/>
      </c>
      <c r="L2888" s="61">
        <f>IF(OR(J2888="",G2888=""),"",J2888-G2888)</f>
        <v/>
      </c>
      <c r="M2888" s="59"/>
      <c r="N2888" s="59"/>
      <c r="O2888" s="59"/>
      <c r="P2888" s="59"/>
      <c r="Q2888" s="59"/>
      <c r="R2888" s="60">
        <f>IF(AND(P2888="",Q2888=""),"",N(P2888)+N(Q2888))</f>
        <v/>
      </c>
      <c r="S2888" s="59"/>
      <c r="T2888" s="59"/>
      <c r="U2888" s="62">
        <f>IF(OR(R2888="",S2888="",T2888=""),"",IF(S2888+T2888=0,"",R2888/(S2888+T2888)))</f>
        <v/>
      </c>
      <c r="V2888" s="63"/>
      <c r="W2888" s="64"/>
      <c r="X2888" s="63"/>
    </row>
    <row r="2889" spans="2:24">
      <c r="B2889" s="58"/>
      <c r="C2889" s="59"/>
      <c r="D2889" s="59"/>
      <c r="E2889" s="59"/>
      <c r="F2889" s="59"/>
      <c r="G2889" s="60">
        <f>IF(OR(E2889="",F2889="",C2889="",D2889=""),"",IF(C2889+D2889=0,"",(E2889*C2889+F2889*D2889)/(C2889+D2889)))</f>
        <v/>
      </c>
      <c r="H2889" s="59"/>
      <c r="I2889" s="60">
        <f>IF(OR(H2889="",E2889="",C2889="",D2889=""),"",IF(C2889+D2889=0,"",(H2889*D2889+E2889*C2889)/(C2889+D2889)))</f>
        <v/>
      </c>
      <c r="J2889" s="59"/>
      <c r="K2889" s="61">
        <f>IF(OR(J2889="",I2889=""),"",J2889-I2889)</f>
        <v/>
      </c>
      <c r="L2889" s="61">
        <f>IF(OR(J2889="",G2889=""),"",J2889-G2889)</f>
        <v/>
      </c>
      <c r="M2889" s="59"/>
      <c r="N2889" s="59"/>
      <c r="O2889" s="59"/>
      <c r="P2889" s="59"/>
      <c r="Q2889" s="59"/>
      <c r="R2889" s="60">
        <f>IF(AND(P2889="",Q2889=""),"",N(P2889)+N(Q2889))</f>
        <v/>
      </c>
      <c r="S2889" s="59"/>
      <c r="T2889" s="59"/>
      <c r="U2889" s="62">
        <f>IF(OR(R2889="",S2889="",T2889=""),"",IF(S2889+T2889=0,"",R2889/(S2889+T2889)))</f>
        <v/>
      </c>
      <c r="V2889" s="63"/>
      <c r="W2889" s="64"/>
      <c r="X2889" s="63"/>
    </row>
    <row r="2890" spans="2:24">
      <c r="B2890" s="58"/>
      <c r="C2890" s="59"/>
      <c r="D2890" s="59"/>
      <c r="E2890" s="59"/>
      <c r="F2890" s="59"/>
      <c r="G2890" s="60">
        <f>IF(OR(E2890="",F2890="",C2890="",D2890=""),"",IF(C2890+D2890=0,"",(E2890*C2890+F2890*D2890)/(C2890+D2890)))</f>
        <v/>
      </c>
      <c r="H2890" s="59"/>
      <c r="I2890" s="60">
        <f>IF(OR(H2890="",E2890="",C2890="",D2890=""),"",IF(C2890+D2890=0,"",(H2890*D2890+E2890*C2890)/(C2890+D2890)))</f>
        <v/>
      </c>
      <c r="J2890" s="59"/>
      <c r="K2890" s="61">
        <f>IF(OR(J2890="",I2890=""),"",J2890-I2890)</f>
        <v/>
      </c>
      <c r="L2890" s="61">
        <f>IF(OR(J2890="",G2890=""),"",J2890-G2890)</f>
        <v/>
      </c>
      <c r="M2890" s="59"/>
      <c r="N2890" s="59"/>
      <c r="O2890" s="59"/>
      <c r="P2890" s="59"/>
      <c r="Q2890" s="59"/>
      <c r="R2890" s="60">
        <f>IF(AND(P2890="",Q2890=""),"",N(P2890)+N(Q2890))</f>
        <v/>
      </c>
      <c r="S2890" s="59"/>
      <c r="T2890" s="59"/>
      <c r="U2890" s="62">
        <f>IF(OR(R2890="",S2890="",T2890=""),"",IF(S2890+T2890=0,"",R2890/(S2890+T2890)))</f>
        <v/>
      </c>
      <c r="V2890" s="63"/>
      <c r="W2890" s="64"/>
      <c r="X2890" s="63"/>
    </row>
    <row r="2891" spans="2:24">
      <c r="B2891" s="58"/>
      <c r="C2891" s="59"/>
      <c r="D2891" s="59"/>
      <c r="E2891" s="59"/>
      <c r="F2891" s="59"/>
      <c r="G2891" s="60">
        <f>IF(OR(E2891="",F2891="",C2891="",D2891=""),"",IF(C2891+D2891=0,"",(E2891*C2891+F2891*D2891)/(C2891+D2891)))</f>
        <v/>
      </c>
      <c r="H2891" s="59"/>
      <c r="I2891" s="60">
        <f>IF(OR(H2891="",E2891="",C2891="",D2891=""),"",IF(C2891+D2891=0,"",(H2891*D2891+E2891*C2891)/(C2891+D2891)))</f>
        <v/>
      </c>
      <c r="J2891" s="59"/>
      <c r="K2891" s="61">
        <f>IF(OR(J2891="",I2891=""),"",J2891-I2891)</f>
        <v/>
      </c>
      <c r="L2891" s="61">
        <f>IF(OR(J2891="",G2891=""),"",J2891-G2891)</f>
        <v/>
      </c>
      <c r="M2891" s="59"/>
      <c r="N2891" s="59"/>
      <c r="O2891" s="59"/>
      <c r="P2891" s="59"/>
      <c r="Q2891" s="59"/>
      <c r="R2891" s="60">
        <f>IF(AND(P2891="",Q2891=""),"",N(P2891)+N(Q2891))</f>
        <v/>
      </c>
      <c r="S2891" s="59"/>
      <c r="T2891" s="59"/>
      <c r="U2891" s="62">
        <f>IF(OR(R2891="",S2891="",T2891=""),"",IF(S2891+T2891=0,"",R2891/(S2891+T2891)))</f>
        <v/>
      </c>
      <c r="V2891" s="63"/>
      <c r="W2891" s="64"/>
      <c r="X2891" s="63"/>
    </row>
    <row r="2892" spans="2:24">
      <c r="B2892" s="58"/>
      <c r="C2892" s="59"/>
      <c r="D2892" s="59"/>
      <c r="E2892" s="59"/>
      <c r="F2892" s="59"/>
      <c r="G2892" s="60">
        <f>IF(OR(E2892="",F2892="",C2892="",D2892=""),"",IF(C2892+D2892=0,"",(E2892*C2892+F2892*D2892)/(C2892+D2892)))</f>
        <v/>
      </c>
      <c r="H2892" s="59"/>
      <c r="I2892" s="60">
        <f>IF(OR(H2892="",E2892="",C2892="",D2892=""),"",IF(C2892+D2892=0,"",(H2892*D2892+E2892*C2892)/(C2892+D2892)))</f>
        <v/>
      </c>
      <c r="J2892" s="59"/>
      <c r="K2892" s="61">
        <f>IF(OR(J2892="",I2892=""),"",J2892-I2892)</f>
        <v/>
      </c>
      <c r="L2892" s="61">
        <f>IF(OR(J2892="",G2892=""),"",J2892-G2892)</f>
        <v/>
      </c>
      <c r="M2892" s="59"/>
      <c r="N2892" s="59"/>
      <c r="O2892" s="59"/>
      <c r="P2892" s="59"/>
      <c r="Q2892" s="59"/>
      <c r="R2892" s="60">
        <f>IF(AND(P2892="",Q2892=""),"",N(P2892)+N(Q2892))</f>
        <v/>
      </c>
      <c r="S2892" s="59"/>
      <c r="T2892" s="59"/>
      <c r="U2892" s="62">
        <f>IF(OR(R2892="",S2892="",T2892=""),"",IF(S2892+T2892=0,"",R2892/(S2892+T2892)))</f>
        <v/>
      </c>
      <c r="V2892" s="63"/>
      <c r="W2892" s="64"/>
      <c r="X2892" s="63"/>
    </row>
    <row r="2893" spans="2:24">
      <c r="B2893" s="58"/>
      <c r="C2893" s="59"/>
      <c r="D2893" s="59"/>
      <c r="E2893" s="59"/>
      <c r="F2893" s="59"/>
      <c r="G2893" s="60">
        <f>IF(OR(E2893="",F2893="",C2893="",D2893=""),"",IF(C2893+D2893=0,"",(E2893*C2893+F2893*D2893)/(C2893+D2893)))</f>
        <v/>
      </c>
      <c r="H2893" s="59"/>
      <c r="I2893" s="60">
        <f>IF(OR(H2893="",E2893="",C2893="",D2893=""),"",IF(C2893+D2893=0,"",(H2893*D2893+E2893*C2893)/(C2893+D2893)))</f>
        <v/>
      </c>
      <c r="J2893" s="59"/>
      <c r="K2893" s="61">
        <f>IF(OR(J2893="",I2893=""),"",J2893-I2893)</f>
        <v/>
      </c>
      <c r="L2893" s="61">
        <f>IF(OR(J2893="",G2893=""),"",J2893-G2893)</f>
        <v/>
      </c>
      <c r="M2893" s="59"/>
      <c r="N2893" s="59"/>
      <c r="O2893" s="59"/>
      <c r="P2893" s="59"/>
      <c r="Q2893" s="59"/>
      <c r="R2893" s="60">
        <f>IF(AND(P2893="",Q2893=""),"",N(P2893)+N(Q2893))</f>
        <v/>
      </c>
      <c r="S2893" s="59"/>
      <c r="T2893" s="59"/>
      <c r="U2893" s="62">
        <f>IF(OR(R2893="",S2893="",T2893=""),"",IF(S2893+T2893=0,"",R2893/(S2893+T2893)))</f>
        <v/>
      </c>
      <c r="V2893" s="63"/>
      <c r="W2893" s="64"/>
      <c r="X2893" s="63"/>
    </row>
    <row r="2894" spans="2:24">
      <c r="B2894" s="58"/>
      <c r="C2894" s="59"/>
      <c r="D2894" s="59"/>
      <c r="E2894" s="59"/>
      <c r="F2894" s="59"/>
      <c r="G2894" s="60">
        <f>IF(OR(E2894="",F2894="",C2894="",D2894=""),"",IF(C2894+D2894=0,"",(E2894*C2894+F2894*D2894)/(C2894+D2894)))</f>
        <v/>
      </c>
      <c r="H2894" s="59"/>
      <c r="I2894" s="60">
        <f>IF(OR(H2894="",E2894="",C2894="",D2894=""),"",IF(C2894+D2894=0,"",(H2894*D2894+E2894*C2894)/(C2894+D2894)))</f>
        <v/>
      </c>
      <c r="J2894" s="59"/>
      <c r="K2894" s="61">
        <f>IF(OR(J2894="",I2894=""),"",J2894-I2894)</f>
        <v/>
      </c>
      <c r="L2894" s="61">
        <f>IF(OR(J2894="",G2894=""),"",J2894-G2894)</f>
        <v/>
      </c>
      <c r="M2894" s="59"/>
      <c r="N2894" s="59"/>
      <c r="O2894" s="59"/>
      <c r="P2894" s="59"/>
      <c r="Q2894" s="59"/>
      <c r="R2894" s="60">
        <f>IF(AND(P2894="",Q2894=""),"",N(P2894)+N(Q2894))</f>
        <v/>
      </c>
      <c r="S2894" s="59"/>
      <c r="T2894" s="59"/>
      <c r="U2894" s="62">
        <f>IF(OR(R2894="",S2894="",T2894=""),"",IF(S2894+T2894=0,"",R2894/(S2894+T2894)))</f>
        <v/>
      </c>
      <c r="V2894" s="63"/>
      <c r="W2894" s="64"/>
      <c r="X2894" s="63"/>
    </row>
    <row r="2895" spans="2:24">
      <c r="B2895" s="58"/>
      <c r="C2895" s="59"/>
      <c r="D2895" s="59"/>
      <c r="E2895" s="59"/>
      <c r="F2895" s="59"/>
      <c r="G2895" s="60">
        <f>IF(OR(E2895="",F2895="",C2895="",D2895=""),"",IF(C2895+D2895=0,"",(E2895*C2895+F2895*D2895)/(C2895+D2895)))</f>
        <v/>
      </c>
      <c r="H2895" s="59"/>
      <c r="I2895" s="60">
        <f>IF(OR(H2895="",E2895="",C2895="",D2895=""),"",IF(C2895+D2895=0,"",(H2895*D2895+E2895*C2895)/(C2895+D2895)))</f>
        <v/>
      </c>
      <c r="J2895" s="59"/>
      <c r="K2895" s="61">
        <f>IF(OR(J2895="",I2895=""),"",J2895-I2895)</f>
        <v/>
      </c>
      <c r="L2895" s="61">
        <f>IF(OR(J2895="",G2895=""),"",J2895-G2895)</f>
        <v/>
      </c>
      <c r="M2895" s="59"/>
      <c r="N2895" s="59"/>
      <c r="O2895" s="59"/>
      <c r="P2895" s="59"/>
      <c r="Q2895" s="59"/>
      <c r="R2895" s="60">
        <f>IF(AND(P2895="",Q2895=""),"",N(P2895)+N(Q2895))</f>
        <v/>
      </c>
      <c r="S2895" s="59"/>
      <c r="T2895" s="59"/>
      <c r="U2895" s="62">
        <f>IF(OR(R2895="",S2895="",T2895=""),"",IF(S2895+T2895=0,"",R2895/(S2895+T2895)))</f>
        <v/>
      </c>
      <c r="V2895" s="63"/>
      <c r="W2895" s="64"/>
      <c r="X2895" s="63"/>
    </row>
    <row r="2896" spans="2:24">
      <c r="B2896" s="58"/>
      <c r="C2896" s="59"/>
      <c r="D2896" s="59"/>
      <c r="E2896" s="59"/>
      <c r="F2896" s="59"/>
      <c r="G2896" s="60">
        <f>IF(OR(E2896="",F2896="",C2896="",D2896=""),"",IF(C2896+D2896=0,"",(E2896*C2896+F2896*D2896)/(C2896+D2896)))</f>
        <v/>
      </c>
      <c r="H2896" s="59"/>
      <c r="I2896" s="60">
        <f>IF(OR(H2896="",E2896="",C2896="",D2896=""),"",IF(C2896+D2896=0,"",(H2896*D2896+E2896*C2896)/(C2896+D2896)))</f>
        <v/>
      </c>
      <c r="J2896" s="59"/>
      <c r="K2896" s="61">
        <f>IF(OR(J2896="",I2896=""),"",J2896-I2896)</f>
        <v/>
      </c>
      <c r="L2896" s="61">
        <f>IF(OR(J2896="",G2896=""),"",J2896-G2896)</f>
        <v/>
      </c>
      <c r="M2896" s="59"/>
      <c r="N2896" s="59"/>
      <c r="O2896" s="59"/>
      <c r="P2896" s="59"/>
      <c r="Q2896" s="59"/>
      <c r="R2896" s="60">
        <f>IF(AND(P2896="",Q2896=""),"",N(P2896)+N(Q2896))</f>
        <v/>
      </c>
      <c r="S2896" s="59"/>
      <c r="T2896" s="59"/>
      <c r="U2896" s="62">
        <f>IF(OR(R2896="",S2896="",T2896=""),"",IF(S2896+T2896=0,"",R2896/(S2896+T2896)))</f>
        <v/>
      </c>
      <c r="V2896" s="63"/>
      <c r="W2896" s="64"/>
      <c r="X2896" s="63"/>
    </row>
    <row r="2897" spans="2:24">
      <c r="B2897" s="58"/>
      <c r="C2897" s="59"/>
      <c r="D2897" s="59"/>
      <c r="E2897" s="59"/>
      <c r="F2897" s="59"/>
      <c r="G2897" s="60">
        <f>IF(OR(E2897="",F2897="",C2897="",D2897=""),"",IF(C2897+D2897=0,"",(E2897*C2897+F2897*D2897)/(C2897+D2897)))</f>
        <v/>
      </c>
      <c r="H2897" s="59"/>
      <c r="I2897" s="60">
        <f>IF(OR(H2897="",E2897="",C2897="",D2897=""),"",IF(C2897+D2897=0,"",(H2897*D2897+E2897*C2897)/(C2897+D2897)))</f>
        <v/>
      </c>
      <c r="J2897" s="59"/>
      <c r="K2897" s="61">
        <f>IF(OR(J2897="",I2897=""),"",J2897-I2897)</f>
        <v/>
      </c>
      <c r="L2897" s="61">
        <f>IF(OR(J2897="",G2897=""),"",J2897-G2897)</f>
        <v/>
      </c>
      <c r="M2897" s="59"/>
      <c r="N2897" s="59"/>
      <c r="O2897" s="59"/>
      <c r="P2897" s="59"/>
      <c r="Q2897" s="59"/>
      <c r="R2897" s="60">
        <f>IF(AND(P2897="",Q2897=""),"",N(P2897)+N(Q2897))</f>
        <v/>
      </c>
      <c r="S2897" s="59"/>
      <c r="T2897" s="59"/>
      <c r="U2897" s="62">
        <f>IF(OR(R2897="",S2897="",T2897=""),"",IF(S2897+T2897=0,"",R2897/(S2897+T2897)))</f>
        <v/>
      </c>
      <c r="V2897" s="63"/>
      <c r="W2897" s="64"/>
      <c r="X2897" s="63"/>
    </row>
    <row r="2898" spans="2:24">
      <c r="B2898" s="58"/>
      <c r="C2898" s="59"/>
      <c r="D2898" s="59"/>
      <c r="E2898" s="59"/>
      <c r="F2898" s="59"/>
      <c r="G2898" s="60">
        <f>IF(OR(E2898="",F2898="",C2898="",D2898=""),"",IF(C2898+D2898=0,"",(E2898*C2898+F2898*D2898)/(C2898+D2898)))</f>
        <v/>
      </c>
      <c r="H2898" s="59"/>
      <c r="I2898" s="60">
        <f>IF(OR(H2898="",E2898="",C2898="",D2898=""),"",IF(C2898+D2898=0,"",(H2898*D2898+E2898*C2898)/(C2898+D2898)))</f>
        <v/>
      </c>
      <c r="J2898" s="59"/>
      <c r="K2898" s="61">
        <f>IF(OR(J2898="",I2898=""),"",J2898-I2898)</f>
        <v/>
      </c>
      <c r="L2898" s="61">
        <f>IF(OR(J2898="",G2898=""),"",J2898-G2898)</f>
        <v/>
      </c>
      <c r="M2898" s="59"/>
      <c r="N2898" s="59"/>
      <c r="O2898" s="59"/>
      <c r="P2898" s="59"/>
      <c r="Q2898" s="59"/>
      <c r="R2898" s="60">
        <f>IF(AND(P2898="",Q2898=""),"",N(P2898)+N(Q2898))</f>
        <v/>
      </c>
      <c r="S2898" s="59"/>
      <c r="T2898" s="59"/>
      <c r="U2898" s="62">
        <f>IF(OR(R2898="",S2898="",T2898=""),"",IF(S2898+T2898=0,"",R2898/(S2898+T2898)))</f>
        <v/>
      </c>
      <c r="V2898" s="63"/>
      <c r="W2898" s="64"/>
      <c r="X2898" s="63"/>
    </row>
    <row r="2899" spans="2:24">
      <c r="B2899" s="58"/>
      <c r="C2899" s="59"/>
      <c r="D2899" s="59"/>
      <c r="E2899" s="59"/>
      <c r="F2899" s="59"/>
      <c r="G2899" s="60">
        <f>IF(OR(E2899="",F2899="",C2899="",D2899=""),"",IF(C2899+D2899=0,"",(E2899*C2899+F2899*D2899)/(C2899+D2899)))</f>
        <v/>
      </c>
      <c r="H2899" s="59"/>
      <c r="I2899" s="60">
        <f>IF(OR(H2899="",E2899="",C2899="",D2899=""),"",IF(C2899+D2899=0,"",(H2899*D2899+E2899*C2899)/(C2899+D2899)))</f>
        <v/>
      </c>
      <c r="J2899" s="59"/>
      <c r="K2899" s="61">
        <f>IF(OR(J2899="",I2899=""),"",J2899-I2899)</f>
        <v/>
      </c>
      <c r="L2899" s="61">
        <f>IF(OR(J2899="",G2899=""),"",J2899-G2899)</f>
        <v/>
      </c>
      <c r="M2899" s="59"/>
      <c r="N2899" s="59"/>
      <c r="O2899" s="59"/>
      <c r="P2899" s="59"/>
      <c r="Q2899" s="59"/>
      <c r="R2899" s="60">
        <f>IF(AND(P2899="",Q2899=""),"",N(P2899)+N(Q2899))</f>
        <v/>
      </c>
      <c r="S2899" s="59"/>
      <c r="T2899" s="59"/>
      <c r="U2899" s="62">
        <f>IF(OR(R2899="",S2899="",T2899=""),"",IF(S2899+T2899=0,"",R2899/(S2899+T2899)))</f>
        <v/>
      </c>
      <c r="V2899" s="63"/>
      <c r="W2899" s="64"/>
      <c r="X2899" s="63"/>
    </row>
    <row r="2900" spans="2:24">
      <c r="B2900" s="58"/>
      <c r="C2900" s="59"/>
      <c r="D2900" s="59"/>
      <c r="E2900" s="59"/>
      <c r="F2900" s="59"/>
      <c r="G2900" s="60">
        <f>IF(OR(E2900="",F2900="",C2900="",D2900=""),"",IF(C2900+D2900=0,"",(E2900*C2900+F2900*D2900)/(C2900+D2900)))</f>
        <v/>
      </c>
      <c r="H2900" s="59"/>
      <c r="I2900" s="60">
        <f>IF(OR(H2900="",E2900="",C2900="",D2900=""),"",IF(C2900+D2900=0,"",(H2900*D2900+E2900*C2900)/(C2900+D2900)))</f>
        <v/>
      </c>
      <c r="J2900" s="59"/>
      <c r="K2900" s="61">
        <f>IF(OR(J2900="",I2900=""),"",J2900-I2900)</f>
        <v/>
      </c>
      <c r="L2900" s="61">
        <f>IF(OR(J2900="",G2900=""),"",J2900-G2900)</f>
        <v/>
      </c>
      <c r="M2900" s="59"/>
      <c r="N2900" s="59"/>
      <c r="O2900" s="59"/>
      <c r="P2900" s="59"/>
      <c r="Q2900" s="59"/>
      <c r="R2900" s="60">
        <f>IF(AND(P2900="",Q2900=""),"",N(P2900)+N(Q2900))</f>
        <v/>
      </c>
      <c r="S2900" s="59"/>
      <c r="T2900" s="59"/>
      <c r="U2900" s="62">
        <f>IF(OR(R2900="",S2900="",T2900=""),"",IF(S2900+T2900=0,"",R2900/(S2900+T2900)))</f>
        <v/>
      </c>
      <c r="V2900" s="63"/>
      <c r="W2900" s="64"/>
      <c r="X2900" s="63"/>
    </row>
    <row r="2901" spans="2:24">
      <c r="B2901" s="58"/>
      <c r="C2901" s="59"/>
      <c r="D2901" s="59"/>
      <c r="E2901" s="59"/>
      <c r="F2901" s="59"/>
      <c r="G2901" s="60">
        <f>IF(OR(E2901="",F2901="",C2901="",D2901=""),"",IF(C2901+D2901=0,"",(E2901*C2901+F2901*D2901)/(C2901+D2901)))</f>
        <v/>
      </c>
      <c r="H2901" s="59"/>
      <c r="I2901" s="60">
        <f>IF(OR(H2901="",E2901="",C2901="",D2901=""),"",IF(C2901+D2901=0,"",(H2901*D2901+E2901*C2901)/(C2901+D2901)))</f>
        <v/>
      </c>
      <c r="J2901" s="59"/>
      <c r="K2901" s="61">
        <f>IF(OR(J2901="",I2901=""),"",J2901-I2901)</f>
        <v/>
      </c>
      <c r="L2901" s="61">
        <f>IF(OR(J2901="",G2901=""),"",J2901-G2901)</f>
        <v/>
      </c>
      <c r="M2901" s="59"/>
      <c r="N2901" s="59"/>
      <c r="O2901" s="59"/>
      <c r="P2901" s="59"/>
      <c r="Q2901" s="59"/>
      <c r="R2901" s="60">
        <f>IF(AND(P2901="",Q2901=""),"",N(P2901)+N(Q2901))</f>
        <v/>
      </c>
      <c r="S2901" s="59"/>
      <c r="T2901" s="59"/>
      <c r="U2901" s="62">
        <f>IF(OR(R2901="",S2901="",T2901=""),"",IF(S2901+T2901=0,"",R2901/(S2901+T2901)))</f>
        <v/>
      </c>
      <c r="V2901" s="63"/>
      <c r="W2901" s="64"/>
      <c r="X2901" s="63"/>
    </row>
    <row r="2902" spans="2:24">
      <c r="B2902" s="58"/>
      <c r="C2902" s="59"/>
      <c r="D2902" s="59"/>
      <c r="E2902" s="59"/>
      <c r="F2902" s="59"/>
      <c r="G2902" s="60">
        <f>IF(OR(E2902="",F2902="",C2902="",D2902=""),"",IF(C2902+D2902=0,"",(E2902*C2902+F2902*D2902)/(C2902+D2902)))</f>
        <v/>
      </c>
      <c r="H2902" s="59"/>
      <c r="I2902" s="60">
        <f>IF(OR(H2902="",E2902="",C2902="",D2902=""),"",IF(C2902+D2902=0,"",(H2902*D2902+E2902*C2902)/(C2902+D2902)))</f>
        <v/>
      </c>
      <c r="J2902" s="59"/>
      <c r="K2902" s="61">
        <f>IF(OR(J2902="",I2902=""),"",J2902-I2902)</f>
        <v/>
      </c>
      <c r="L2902" s="61">
        <f>IF(OR(J2902="",G2902=""),"",J2902-G2902)</f>
        <v/>
      </c>
      <c r="M2902" s="59"/>
      <c r="N2902" s="59"/>
      <c r="O2902" s="59"/>
      <c r="P2902" s="59"/>
      <c r="Q2902" s="59"/>
      <c r="R2902" s="60">
        <f>IF(AND(P2902="",Q2902=""),"",N(P2902)+N(Q2902))</f>
        <v/>
      </c>
      <c r="S2902" s="59"/>
      <c r="T2902" s="59"/>
      <c r="U2902" s="62">
        <f>IF(OR(R2902="",S2902="",T2902=""),"",IF(S2902+T2902=0,"",R2902/(S2902+T2902)))</f>
        <v/>
      </c>
      <c r="V2902" s="63"/>
      <c r="W2902" s="64"/>
      <c r="X2902" s="63"/>
    </row>
    <row r="2903" spans="2:24">
      <c r="B2903" s="58"/>
      <c r="C2903" s="59"/>
      <c r="D2903" s="59"/>
      <c r="E2903" s="59"/>
      <c r="F2903" s="59"/>
      <c r="G2903" s="60">
        <f>IF(OR(E2903="",F2903="",C2903="",D2903=""),"",IF(C2903+D2903=0,"",(E2903*C2903+F2903*D2903)/(C2903+D2903)))</f>
        <v/>
      </c>
      <c r="H2903" s="59"/>
      <c r="I2903" s="60">
        <f>IF(OR(H2903="",E2903="",C2903="",D2903=""),"",IF(C2903+D2903=0,"",(H2903*D2903+E2903*C2903)/(C2903+D2903)))</f>
        <v/>
      </c>
      <c r="J2903" s="59"/>
      <c r="K2903" s="61">
        <f>IF(OR(J2903="",I2903=""),"",J2903-I2903)</f>
        <v/>
      </c>
      <c r="L2903" s="61">
        <f>IF(OR(J2903="",G2903=""),"",J2903-G2903)</f>
        <v/>
      </c>
      <c r="M2903" s="59"/>
      <c r="N2903" s="59"/>
      <c r="O2903" s="59"/>
      <c r="P2903" s="59"/>
      <c r="Q2903" s="59"/>
      <c r="R2903" s="60">
        <f>IF(AND(P2903="",Q2903=""),"",N(P2903)+N(Q2903))</f>
        <v/>
      </c>
      <c r="S2903" s="59"/>
      <c r="T2903" s="59"/>
      <c r="U2903" s="62">
        <f>IF(OR(R2903="",S2903="",T2903=""),"",IF(S2903+T2903=0,"",R2903/(S2903+T2903)))</f>
        <v/>
      </c>
      <c r="V2903" s="63"/>
      <c r="W2903" s="64"/>
      <c r="X2903" s="63"/>
    </row>
    <row r="2904" spans="2:24">
      <c r="B2904" s="58"/>
      <c r="C2904" s="59"/>
      <c r="D2904" s="59"/>
      <c r="E2904" s="59"/>
      <c r="F2904" s="59"/>
      <c r="G2904" s="60">
        <f>IF(OR(E2904="",F2904="",C2904="",D2904=""),"",IF(C2904+D2904=0,"",(E2904*C2904+F2904*D2904)/(C2904+D2904)))</f>
        <v/>
      </c>
      <c r="H2904" s="59"/>
      <c r="I2904" s="60">
        <f>IF(OR(H2904="",E2904="",C2904="",D2904=""),"",IF(C2904+D2904=0,"",(H2904*D2904+E2904*C2904)/(C2904+D2904)))</f>
        <v/>
      </c>
      <c r="J2904" s="59"/>
      <c r="K2904" s="61">
        <f>IF(OR(J2904="",I2904=""),"",J2904-I2904)</f>
        <v/>
      </c>
      <c r="L2904" s="61">
        <f>IF(OR(J2904="",G2904=""),"",J2904-G2904)</f>
        <v/>
      </c>
      <c r="M2904" s="59"/>
      <c r="N2904" s="59"/>
      <c r="O2904" s="59"/>
      <c r="P2904" s="59"/>
      <c r="Q2904" s="59"/>
      <c r="R2904" s="60">
        <f>IF(AND(P2904="",Q2904=""),"",N(P2904)+N(Q2904))</f>
        <v/>
      </c>
      <c r="S2904" s="59"/>
      <c r="T2904" s="59"/>
      <c r="U2904" s="62">
        <f>IF(OR(R2904="",S2904="",T2904=""),"",IF(S2904+T2904=0,"",R2904/(S2904+T2904)))</f>
        <v/>
      </c>
      <c r="V2904" s="63"/>
      <c r="W2904" s="64"/>
      <c r="X2904" s="63"/>
    </row>
    <row r="2905" spans="2:24">
      <c r="B2905" s="58"/>
      <c r="C2905" s="59"/>
      <c r="D2905" s="59"/>
      <c r="E2905" s="59"/>
      <c r="F2905" s="59"/>
      <c r="G2905" s="60">
        <f>IF(OR(E2905="",F2905="",C2905="",D2905=""),"",IF(C2905+D2905=0,"",(E2905*C2905+F2905*D2905)/(C2905+D2905)))</f>
        <v/>
      </c>
      <c r="H2905" s="59"/>
      <c r="I2905" s="60">
        <f>IF(OR(H2905="",E2905="",C2905="",D2905=""),"",IF(C2905+D2905=0,"",(H2905*D2905+E2905*C2905)/(C2905+D2905)))</f>
        <v/>
      </c>
      <c r="J2905" s="59"/>
      <c r="K2905" s="61">
        <f>IF(OR(J2905="",I2905=""),"",J2905-I2905)</f>
        <v/>
      </c>
      <c r="L2905" s="61">
        <f>IF(OR(J2905="",G2905=""),"",J2905-G2905)</f>
        <v/>
      </c>
      <c r="M2905" s="59"/>
      <c r="N2905" s="59"/>
      <c r="O2905" s="59"/>
      <c r="P2905" s="59"/>
      <c r="Q2905" s="59"/>
      <c r="R2905" s="60">
        <f>IF(AND(P2905="",Q2905=""),"",N(P2905)+N(Q2905))</f>
        <v/>
      </c>
      <c r="S2905" s="59"/>
      <c r="T2905" s="59"/>
      <c r="U2905" s="62">
        <f>IF(OR(R2905="",S2905="",T2905=""),"",IF(S2905+T2905=0,"",R2905/(S2905+T2905)))</f>
        <v/>
      </c>
      <c r="V2905" s="63"/>
      <c r="W2905" s="64"/>
      <c r="X2905" s="63"/>
    </row>
    <row r="2906" spans="2:24">
      <c r="B2906" s="58"/>
      <c r="C2906" s="59"/>
      <c r="D2906" s="59"/>
      <c r="E2906" s="59"/>
      <c r="F2906" s="59"/>
      <c r="G2906" s="60">
        <f>IF(OR(E2906="",F2906="",C2906="",D2906=""),"",IF(C2906+D2906=0,"",(E2906*C2906+F2906*D2906)/(C2906+D2906)))</f>
        <v/>
      </c>
      <c r="H2906" s="59"/>
      <c r="I2906" s="60">
        <f>IF(OR(H2906="",E2906="",C2906="",D2906=""),"",IF(C2906+D2906=0,"",(H2906*D2906+E2906*C2906)/(C2906+D2906)))</f>
        <v/>
      </c>
      <c r="J2906" s="59"/>
      <c r="K2906" s="61">
        <f>IF(OR(J2906="",I2906=""),"",J2906-I2906)</f>
        <v/>
      </c>
      <c r="L2906" s="61">
        <f>IF(OR(J2906="",G2906=""),"",J2906-G2906)</f>
        <v/>
      </c>
      <c r="M2906" s="59"/>
      <c r="N2906" s="59"/>
      <c r="O2906" s="59"/>
      <c r="P2906" s="59"/>
      <c r="Q2906" s="59"/>
      <c r="R2906" s="60">
        <f>IF(AND(P2906="",Q2906=""),"",N(P2906)+N(Q2906))</f>
        <v/>
      </c>
      <c r="S2906" s="59"/>
      <c r="T2906" s="59"/>
      <c r="U2906" s="62">
        <f>IF(OR(R2906="",S2906="",T2906=""),"",IF(S2906+T2906=0,"",R2906/(S2906+T2906)))</f>
        <v/>
      </c>
      <c r="V2906" s="63"/>
      <c r="W2906" s="64"/>
      <c r="X2906" s="63"/>
    </row>
    <row r="2907" spans="2:24">
      <c r="B2907" s="58"/>
      <c r="C2907" s="59"/>
      <c r="D2907" s="59"/>
      <c r="E2907" s="59"/>
      <c r="F2907" s="59"/>
      <c r="G2907" s="60">
        <f>IF(OR(E2907="",F2907="",C2907="",D2907=""),"",IF(C2907+D2907=0,"",(E2907*C2907+F2907*D2907)/(C2907+D2907)))</f>
        <v/>
      </c>
      <c r="H2907" s="59"/>
      <c r="I2907" s="60">
        <f>IF(OR(H2907="",E2907="",C2907="",D2907=""),"",IF(C2907+D2907=0,"",(H2907*D2907+E2907*C2907)/(C2907+D2907)))</f>
        <v/>
      </c>
      <c r="J2907" s="59"/>
      <c r="K2907" s="61">
        <f>IF(OR(J2907="",I2907=""),"",J2907-I2907)</f>
        <v/>
      </c>
      <c r="L2907" s="61">
        <f>IF(OR(J2907="",G2907=""),"",J2907-G2907)</f>
        <v/>
      </c>
      <c r="M2907" s="59"/>
      <c r="N2907" s="59"/>
      <c r="O2907" s="59"/>
      <c r="P2907" s="59"/>
      <c r="Q2907" s="59"/>
      <c r="R2907" s="60">
        <f>IF(AND(P2907="",Q2907=""),"",N(P2907)+N(Q2907))</f>
        <v/>
      </c>
      <c r="S2907" s="59"/>
      <c r="T2907" s="59"/>
      <c r="U2907" s="62">
        <f>IF(OR(R2907="",S2907="",T2907=""),"",IF(S2907+T2907=0,"",R2907/(S2907+T2907)))</f>
        <v/>
      </c>
      <c r="V2907" s="63"/>
      <c r="W2907" s="64"/>
      <c r="X2907" s="63"/>
    </row>
    <row r="2908" spans="2:24">
      <c r="B2908" s="58"/>
      <c r="C2908" s="59"/>
      <c r="D2908" s="59"/>
      <c r="E2908" s="59"/>
      <c r="F2908" s="59"/>
      <c r="G2908" s="60">
        <f>IF(OR(E2908="",F2908="",C2908="",D2908=""),"",IF(C2908+D2908=0,"",(E2908*C2908+F2908*D2908)/(C2908+D2908)))</f>
        <v/>
      </c>
      <c r="H2908" s="59"/>
      <c r="I2908" s="60">
        <f>IF(OR(H2908="",E2908="",C2908="",D2908=""),"",IF(C2908+D2908=0,"",(H2908*D2908+E2908*C2908)/(C2908+D2908)))</f>
        <v/>
      </c>
      <c r="J2908" s="59"/>
      <c r="K2908" s="61">
        <f>IF(OR(J2908="",I2908=""),"",J2908-I2908)</f>
        <v/>
      </c>
      <c r="L2908" s="61">
        <f>IF(OR(J2908="",G2908=""),"",J2908-G2908)</f>
        <v/>
      </c>
      <c r="M2908" s="59"/>
      <c r="N2908" s="59"/>
      <c r="O2908" s="59"/>
      <c r="P2908" s="59"/>
      <c r="Q2908" s="59"/>
      <c r="R2908" s="60">
        <f>IF(AND(P2908="",Q2908=""),"",N(P2908)+N(Q2908))</f>
        <v/>
      </c>
      <c r="S2908" s="59"/>
      <c r="T2908" s="59"/>
      <c r="U2908" s="62">
        <f>IF(OR(R2908="",S2908="",T2908=""),"",IF(S2908+T2908=0,"",R2908/(S2908+T2908)))</f>
        <v/>
      </c>
      <c r="V2908" s="63"/>
      <c r="W2908" s="64"/>
      <c r="X2908" s="63"/>
    </row>
    <row r="2909" spans="2:24">
      <c r="B2909" s="58"/>
      <c r="C2909" s="59"/>
      <c r="D2909" s="59"/>
      <c r="E2909" s="59"/>
      <c r="F2909" s="59"/>
      <c r="G2909" s="60">
        <f>IF(OR(E2909="",F2909="",C2909="",D2909=""),"",IF(C2909+D2909=0,"",(E2909*C2909+F2909*D2909)/(C2909+D2909)))</f>
        <v/>
      </c>
      <c r="H2909" s="59"/>
      <c r="I2909" s="60">
        <f>IF(OR(H2909="",E2909="",C2909="",D2909=""),"",IF(C2909+D2909=0,"",(H2909*D2909+E2909*C2909)/(C2909+D2909)))</f>
        <v/>
      </c>
      <c r="J2909" s="59"/>
      <c r="K2909" s="61">
        <f>IF(OR(J2909="",I2909=""),"",J2909-I2909)</f>
        <v/>
      </c>
      <c r="L2909" s="61">
        <f>IF(OR(J2909="",G2909=""),"",J2909-G2909)</f>
        <v/>
      </c>
      <c r="M2909" s="59"/>
      <c r="N2909" s="59"/>
      <c r="O2909" s="59"/>
      <c r="P2909" s="59"/>
      <c r="Q2909" s="59"/>
      <c r="R2909" s="60">
        <f>IF(AND(P2909="",Q2909=""),"",N(P2909)+N(Q2909))</f>
        <v/>
      </c>
      <c r="S2909" s="59"/>
      <c r="T2909" s="59"/>
      <c r="U2909" s="62">
        <f>IF(OR(R2909="",S2909="",T2909=""),"",IF(S2909+T2909=0,"",R2909/(S2909+T2909)))</f>
        <v/>
      </c>
      <c r="V2909" s="63"/>
      <c r="W2909" s="64"/>
      <c r="X2909" s="63"/>
    </row>
    <row r="2910" spans="2:24">
      <c r="B2910" s="58"/>
      <c r="C2910" s="59"/>
      <c r="D2910" s="59"/>
      <c r="E2910" s="59"/>
      <c r="F2910" s="59"/>
      <c r="G2910" s="60">
        <f>IF(OR(E2910="",F2910="",C2910="",D2910=""),"",IF(C2910+D2910=0,"",(E2910*C2910+F2910*D2910)/(C2910+D2910)))</f>
        <v/>
      </c>
      <c r="H2910" s="59"/>
      <c r="I2910" s="60">
        <f>IF(OR(H2910="",E2910="",C2910="",D2910=""),"",IF(C2910+D2910=0,"",(H2910*D2910+E2910*C2910)/(C2910+D2910)))</f>
        <v/>
      </c>
      <c r="J2910" s="59"/>
      <c r="K2910" s="61">
        <f>IF(OR(J2910="",I2910=""),"",J2910-I2910)</f>
        <v/>
      </c>
      <c r="L2910" s="61">
        <f>IF(OR(J2910="",G2910=""),"",J2910-G2910)</f>
        <v/>
      </c>
      <c r="M2910" s="59"/>
      <c r="N2910" s="59"/>
      <c r="O2910" s="59"/>
      <c r="P2910" s="59"/>
      <c r="Q2910" s="59"/>
      <c r="R2910" s="60">
        <f>IF(AND(P2910="",Q2910=""),"",N(P2910)+N(Q2910))</f>
        <v/>
      </c>
      <c r="S2910" s="59"/>
      <c r="T2910" s="59"/>
      <c r="U2910" s="62">
        <f>IF(OR(R2910="",S2910="",T2910=""),"",IF(S2910+T2910=0,"",R2910/(S2910+T2910)))</f>
        <v/>
      </c>
      <c r="V2910" s="63"/>
      <c r="W2910" s="64"/>
      <c r="X2910" s="63"/>
    </row>
    <row r="2911" spans="2:24">
      <c r="B2911" s="58"/>
      <c r="C2911" s="59"/>
      <c r="D2911" s="59"/>
      <c r="E2911" s="59"/>
      <c r="F2911" s="59"/>
      <c r="G2911" s="60">
        <f>IF(OR(E2911="",F2911="",C2911="",D2911=""),"",IF(C2911+D2911=0,"",(E2911*C2911+F2911*D2911)/(C2911+D2911)))</f>
        <v/>
      </c>
      <c r="H2911" s="59"/>
      <c r="I2911" s="60">
        <f>IF(OR(H2911="",E2911="",C2911="",D2911=""),"",IF(C2911+D2911=0,"",(H2911*D2911+E2911*C2911)/(C2911+D2911)))</f>
        <v/>
      </c>
      <c r="J2911" s="59"/>
      <c r="K2911" s="61">
        <f>IF(OR(J2911="",I2911=""),"",J2911-I2911)</f>
        <v/>
      </c>
      <c r="L2911" s="61">
        <f>IF(OR(J2911="",G2911=""),"",J2911-G2911)</f>
        <v/>
      </c>
      <c r="M2911" s="59"/>
      <c r="N2911" s="59"/>
      <c r="O2911" s="59"/>
      <c r="P2911" s="59"/>
      <c r="Q2911" s="59"/>
      <c r="R2911" s="60">
        <f>IF(AND(P2911="",Q2911=""),"",N(P2911)+N(Q2911))</f>
        <v/>
      </c>
      <c r="S2911" s="59"/>
      <c r="T2911" s="59"/>
      <c r="U2911" s="62">
        <f>IF(OR(R2911="",S2911="",T2911=""),"",IF(S2911+T2911=0,"",R2911/(S2911+T2911)))</f>
        <v/>
      </c>
      <c r="V2911" s="63"/>
      <c r="W2911" s="64"/>
      <c r="X2911" s="63"/>
    </row>
    <row r="2912" spans="2:24">
      <c r="B2912" s="58"/>
      <c r="C2912" s="59"/>
      <c r="D2912" s="59"/>
      <c r="E2912" s="59"/>
      <c r="F2912" s="59"/>
      <c r="G2912" s="60">
        <f>IF(OR(E2912="",F2912="",C2912="",D2912=""),"",IF(C2912+D2912=0,"",(E2912*C2912+F2912*D2912)/(C2912+D2912)))</f>
        <v/>
      </c>
      <c r="H2912" s="59"/>
      <c r="I2912" s="60">
        <f>IF(OR(H2912="",E2912="",C2912="",D2912=""),"",IF(C2912+D2912=0,"",(H2912*D2912+E2912*C2912)/(C2912+D2912)))</f>
        <v/>
      </c>
      <c r="J2912" s="59"/>
      <c r="K2912" s="61">
        <f>IF(OR(J2912="",I2912=""),"",J2912-I2912)</f>
        <v/>
      </c>
      <c r="L2912" s="61">
        <f>IF(OR(J2912="",G2912=""),"",J2912-G2912)</f>
        <v/>
      </c>
      <c r="M2912" s="59"/>
      <c r="N2912" s="59"/>
      <c r="O2912" s="59"/>
      <c r="P2912" s="59"/>
      <c r="Q2912" s="59"/>
      <c r="R2912" s="60">
        <f>IF(AND(P2912="",Q2912=""),"",N(P2912)+N(Q2912))</f>
        <v/>
      </c>
      <c r="S2912" s="59"/>
      <c r="T2912" s="59"/>
      <c r="U2912" s="62">
        <f>IF(OR(R2912="",S2912="",T2912=""),"",IF(S2912+T2912=0,"",R2912/(S2912+T2912)))</f>
        <v/>
      </c>
      <c r="V2912" s="63"/>
      <c r="W2912" s="64"/>
      <c r="X2912" s="63"/>
    </row>
    <row r="2913" spans="2:24">
      <c r="B2913" s="58"/>
      <c r="C2913" s="59"/>
      <c r="D2913" s="59"/>
      <c r="E2913" s="59"/>
      <c r="F2913" s="59"/>
      <c r="G2913" s="60">
        <f>IF(OR(E2913="",F2913="",C2913="",D2913=""),"",IF(C2913+D2913=0,"",(E2913*C2913+F2913*D2913)/(C2913+D2913)))</f>
        <v/>
      </c>
      <c r="H2913" s="59"/>
      <c r="I2913" s="60">
        <f>IF(OR(H2913="",E2913="",C2913="",D2913=""),"",IF(C2913+D2913=0,"",(H2913*D2913+E2913*C2913)/(C2913+D2913)))</f>
        <v/>
      </c>
      <c r="J2913" s="59"/>
      <c r="K2913" s="61">
        <f>IF(OR(J2913="",I2913=""),"",J2913-I2913)</f>
        <v/>
      </c>
      <c r="L2913" s="61">
        <f>IF(OR(J2913="",G2913=""),"",J2913-G2913)</f>
        <v/>
      </c>
      <c r="M2913" s="59"/>
      <c r="N2913" s="59"/>
      <c r="O2913" s="59"/>
      <c r="P2913" s="59"/>
      <c r="Q2913" s="59"/>
      <c r="R2913" s="60">
        <f>IF(AND(P2913="",Q2913=""),"",N(P2913)+N(Q2913))</f>
        <v/>
      </c>
      <c r="S2913" s="59"/>
      <c r="T2913" s="59"/>
      <c r="U2913" s="62">
        <f>IF(OR(R2913="",S2913="",T2913=""),"",IF(S2913+T2913=0,"",R2913/(S2913+T2913)))</f>
        <v/>
      </c>
      <c r="V2913" s="63"/>
      <c r="W2913" s="64"/>
      <c r="X2913" s="63"/>
    </row>
    <row r="2914" spans="2:24">
      <c r="B2914" s="58"/>
      <c r="C2914" s="59"/>
      <c r="D2914" s="59"/>
      <c r="E2914" s="59"/>
      <c r="F2914" s="59"/>
      <c r="G2914" s="60">
        <f>IF(OR(E2914="",F2914="",C2914="",D2914=""),"",IF(C2914+D2914=0,"",(E2914*C2914+F2914*D2914)/(C2914+D2914)))</f>
        <v/>
      </c>
      <c r="H2914" s="59"/>
      <c r="I2914" s="60">
        <f>IF(OR(H2914="",E2914="",C2914="",D2914=""),"",IF(C2914+D2914=0,"",(H2914*D2914+E2914*C2914)/(C2914+D2914)))</f>
        <v/>
      </c>
      <c r="J2914" s="59"/>
      <c r="K2914" s="61">
        <f>IF(OR(J2914="",I2914=""),"",J2914-I2914)</f>
        <v/>
      </c>
      <c r="L2914" s="61">
        <f>IF(OR(J2914="",G2914=""),"",J2914-G2914)</f>
        <v/>
      </c>
      <c r="M2914" s="59"/>
      <c r="N2914" s="59"/>
      <c r="O2914" s="59"/>
      <c r="P2914" s="59"/>
      <c r="Q2914" s="59"/>
      <c r="R2914" s="60">
        <f>IF(AND(P2914="",Q2914=""),"",N(P2914)+N(Q2914))</f>
        <v/>
      </c>
      <c r="S2914" s="59"/>
      <c r="T2914" s="59"/>
      <c r="U2914" s="62">
        <f>IF(OR(R2914="",S2914="",T2914=""),"",IF(S2914+T2914=0,"",R2914/(S2914+T2914)))</f>
        <v/>
      </c>
      <c r="V2914" s="63"/>
      <c r="W2914" s="64"/>
      <c r="X2914" s="63"/>
    </row>
    <row r="2915" spans="2:24">
      <c r="B2915" s="58"/>
      <c r="C2915" s="59"/>
      <c r="D2915" s="59"/>
      <c r="E2915" s="59"/>
      <c r="F2915" s="59"/>
      <c r="G2915" s="60">
        <f>IF(OR(E2915="",F2915="",C2915="",D2915=""),"",IF(C2915+D2915=0,"",(E2915*C2915+F2915*D2915)/(C2915+D2915)))</f>
        <v/>
      </c>
      <c r="H2915" s="59"/>
      <c r="I2915" s="60">
        <f>IF(OR(H2915="",E2915="",C2915="",D2915=""),"",IF(C2915+D2915=0,"",(H2915*D2915+E2915*C2915)/(C2915+D2915)))</f>
        <v/>
      </c>
      <c r="J2915" s="59"/>
      <c r="K2915" s="61">
        <f>IF(OR(J2915="",I2915=""),"",J2915-I2915)</f>
        <v/>
      </c>
      <c r="L2915" s="61">
        <f>IF(OR(J2915="",G2915=""),"",J2915-G2915)</f>
        <v/>
      </c>
      <c r="M2915" s="59"/>
      <c r="N2915" s="59"/>
      <c r="O2915" s="59"/>
      <c r="P2915" s="59"/>
      <c r="Q2915" s="59"/>
      <c r="R2915" s="60">
        <f>IF(AND(P2915="",Q2915=""),"",N(P2915)+N(Q2915))</f>
        <v/>
      </c>
      <c r="S2915" s="59"/>
      <c r="T2915" s="59"/>
      <c r="U2915" s="62">
        <f>IF(OR(R2915="",S2915="",T2915=""),"",IF(S2915+T2915=0,"",R2915/(S2915+T2915)))</f>
        <v/>
      </c>
      <c r="V2915" s="63"/>
      <c r="W2915" s="64"/>
      <c r="X2915" s="63"/>
    </row>
    <row r="2916" spans="2:24">
      <c r="B2916" s="58"/>
      <c r="C2916" s="59"/>
      <c r="D2916" s="59"/>
      <c r="E2916" s="59"/>
      <c r="F2916" s="59"/>
      <c r="G2916" s="60">
        <f>IF(OR(E2916="",F2916="",C2916="",D2916=""),"",IF(C2916+D2916=0,"",(E2916*C2916+F2916*D2916)/(C2916+D2916)))</f>
        <v/>
      </c>
      <c r="H2916" s="59"/>
      <c r="I2916" s="60">
        <f>IF(OR(H2916="",E2916="",C2916="",D2916=""),"",IF(C2916+D2916=0,"",(H2916*D2916+E2916*C2916)/(C2916+D2916)))</f>
        <v/>
      </c>
      <c r="J2916" s="59"/>
      <c r="K2916" s="61">
        <f>IF(OR(J2916="",I2916=""),"",J2916-I2916)</f>
        <v/>
      </c>
      <c r="L2916" s="61">
        <f>IF(OR(J2916="",G2916=""),"",J2916-G2916)</f>
        <v/>
      </c>
      <c r="M2916" s="59"/>
      <c r="N2916" s="59"/>
      <c r="O2916" s="59"/>
      <c r="P2916" s="59"/>
      <c r="Q2916" s="59"/>
      <c r="R2916" s="60">
        <f>IF(AND(P2916="",Q2916=""),"",N(P2916)+N(Q2916))</f>
        <v/>
      </c>
      <c r="S2916" s="59"/>
      <c r="T2916" s="59"/>
      <c r="U2916" s="62">
        <f>IF(OR(R2916="",S2916="",T2916=""),"",IF(S2916+T2916=0,"",R2916/(S2916+T2916)))</f>
        <v/>
      </c>
      <c r="V2916" s="63"/>
      <c r="W2916" s="64"/>
      <c r="X2916" s="63"/>
    </row>
    <row r="2917" spans="2:24">
      <c r="B2917" s="58"/>
      <c r="C2917" s="59"/>
      <c r="D2917" s="59"/>
      <c r="E2917" s="59"/>
      <c r="F2917" s="59"/>
      <c r="G2917" s="60">
        <f>IF(OR(E2917="",F2917="",C2917="",D2917=""),"",IF(C2917+D2917=0,"",(E2917*C2917+F2917*D2917)/(C2917+D2917)))</f>
        <v/>
      </c>
      <c r="H2917" s="59"/>
      <c r="I2917" s="60">
        <f>IF(OR(H2917="",E2917="",C2917="",D2917=""),"",IF(C2917+D2917=0,"",(H2917*D2917+E2917*C2917)/(C2917+D2917)))</f>
        <v/>
      </c>
      <c r="J2917" s="59"/>
      <c r="K2917" s="61">
        <f>IF(OR(J2917="",I2917=""),"",J2917-I2917)</f>
        <v/>
      </c>
      <c r="L2917" s="61">
        <f>IF(OR(J2917="",G2917=""),"",J2917-G2917)</f>
        <v/>
      </c>
      <c r="M2917" s="59"/>
      <c r="N2917" s="59"/>
      <c r="O2917" s="59"/>
      <c r="P2917" s="59"/>
      <c r="Q2917" s="59"/>
      <c r="R2917" s="60">
        <f>IF(AND(P2917="",Q2917=""),"",N(P2917)+N(Q2917))</f>
        <v/>
      </c>
      <c r="S2917" s="59"/>
      <c r="T2917" s="59"/>
      <c r="U2917" s="62">
        <f>IF(OR(R2917="",S2917="",T2917=""),"",IF(S2917+T2917=0,"",R2917/(S2917+T2917)))</f>
        <v/>
      </c>
      <c r="V2917" s="63"/>
      <c r="W2917" s="64"/>
      <c r="X2917" s="63"/>
    </row>
    <row r="2918" spans="2:24">
      <c r="B2918" s="58"/>
      <c r="C2918" s="59"/>
      <c r="D2918" s="59"/>
      <c r="E2918" s="59"/>
      <c r="F2918" s="59"/>
      <c r="G2918" s="60">
        <f>IF(OR(E2918="",F2918="",C2918="",D2918=""),"",IF(C2918+D2918=0,"",(E2918*C2918+F2918*D2918)/(C2918+D2918)))</f>
        <v/>
      </c>
      <c r="H2918" s="59"/>
      <c r="I2918" s="60">
        <f>IF(OR(H2918="",E2918="",C2918="",D2918=""),"",IF(C2918+D2918=0,"",(H2918*D2918+E2918*C2918)/(C2918+D2918)))</f>
        <v/>
      </c>
      <c r="J2918" s="59"/>
      <c r="K2918" s="61">
        <f>IF(OR(J2918="",I2918=""),"",J2918-I2918)</f>
        <v/>
      </c>
      <c r="L2918" s="61">
        <f>IF(OR(J2918="",G2918=""),"",J2918-G2918)</f>
        <v/>
      </c>
      <c r="M2918" s="59"/>
      <c r="N2918" s="59"/>
      <c r="O2918" s="59"/>
      <c r="P2918" s="59"/>
      <c r="Q2918" s="59"/>
      <c r="R2918" s="60">
        <f>IF(AND(P2918="",Q2918=""),"",N(P2918)+N(Q2918))</f>
        <v/>
      </c>
      <c r="S2918" s="59"/>
      <c r="T2918" s="59"/>
      <c r="U2918" s="62">
        <f>IF(OR(R2918="",S2918="",T2918=""),"",IF(S2918+T2918=0,"",R2918/(S2918+T2918)))</f>
        <v/>
      </c>
      <c r="V2918" s="63"/>
      <c r="W2918" s="64"/>
      <c r="X2918" s="63"/>
    </row>
    <row r="2919" spans="2:24">
      <c r="B2919" s="58"/>
      <c r="C2919" s="59"/>
      <c r="D2919" s="59"/>
      <c r="E2919" s="59"/>
      <c r="F2919" s="59"/>
      <c r="G2919" s="60">
        <f>IF(OR(E2919="",F2919="",C2919="",D2919=""),"",IF(C2919+D2919=0,"",(E2919*C2919+F2919*D2919)/(C2919+D2919)))</f>
        <v/>
      </c>
      <c r="H2919" s="59"/>
      <c r="I2919" s="60">
        <f>IF(OR(H2919="",E2919="",C2919="",D2919=""),"",IF(C2919+D2919=0,"",(H2919*D2919+E2919*C2919)/(C2919+D2919)))</f>
        <v/>
      </c>
      <c r="J2919" s="59"/>
      <c r="K2919" s="61">
        <f>IF(OR(J2919="",I2919=""),"",J2919-I2919)</f>
        <v/>
      </c>
      <c r="L2919" s="61">
        <f>IF(OR(J2919="",G2919=""),"",J2919-G2919)</f>
        <v/>
      </c>
      <c r="M2919" s="59"/>
      <c r="N2919" s="59"/>
      <c r="O2919" s="59"/>
      <c r="P2919" s="59"/>
      <c r="Q2919" s="59"/>
      <c r="R2919" s="60">
        <f>IF(AND(P2919="",Q2919=""),"",N(P2919)+N(Q2919))</f>
        <v/>
      </c>
      <c r="S2919" s="59"/>
      <c r="T2919" s="59"/>
      <c r="U2919" s="62">
        <f>IF(OR(R2919="",S2919="",T2919=""),"",IF(S2919+T2919=0,"",R2919/(S2919+T2919)))</f>
        <v/>
      </c>
      <c r="V2919" s="63"/>
      <c r="W2919" s="64"/>
      <c r="X2919" s="63"/>
    </row>
    <row r="2920" spans="2:24">
      <c r="B2920" s="58"/>
      <c r="C2920" s="59"/>
      <c r="D2920" s="59"/>
      <c r="E2920" s="59"/>
      <c r="F2920" s="59"/>
      <c r="G2920" s="60">
        <f>IF(OR(E2920="",F2920="",C2920="",D2920=""),"",IF(C2920+D2920=0,"",(E2920*C2920+F2920*D2920)/(C2920+D2920)))</f>
        <v/>
      </c>
      <c r="H2920" s="59"/>
      <c r="I2920" s="60">
        <f>IF(OR(H2920="",E2920="",C2920="",D2920=""),"",IF(C2920+D2920=0,"",(H2920*D2920+E2920*C2920)/(C2920+D2920)))</f>
        <v/>
      </c>
      <c r="J2920" s="59"/>
      <c r="K2920" s="61">
        <f>IF(OR(J2920="",I2920=""),"",J2920-I2920)</f>
        <v/>
      </c>
      <c r="L2920" s="61">
        <f>IF(OR(J2920="",G2920=""),"",J2920-G2920)</f>
        <v/>
      </c>
      <c r="M2920" s="59"/>
      <c r="N2920" s="59"/>
      <c r="O2920" s="59"/>
      <c r="P2920" s="59"/>
      <c r="Q2920" s="59"/>
      <c r="R2920" s="60">
        <f>IF(AND(P2920="",Q2920=""),"",N(P2920)+N(Q2920))</f>
        <v/>
      </c>
      <c r="S2920" s="59"/>
      <c r="T2920" s="59"/>
      <c r="U2920" s="62">
        <f>IF(OR(R2920="",S2920="",T2920=""),"",IF(S2920+T2920=0,"",R2920/(S2920+T2920)))</f>
        <v/>
      </c>
      <c r="V2920" s="63"/>
      <c r="W2920" s="64"/>
      <c r="X2920" s="63"/>
    </row>
    <row r="2921" spans="2:24">
      <c r="B2921" s="58"/>
      <c r="C2921" s="59"/>
      <c r="D2921" s="59"/>
      <c r="E2921" s="59"/>
      <c r="F2921" s="59"/>
      <c r="G2921" s="60">
        <f>IF(OR(E2921="",F2921="",C2921="",D2921=""),"",IF(C2921+D2921=0,"",(E2921*C2921+F2921*D2921)/(C2921+D2921)))</f>
        <v/>
      </c>
      <c r="H2921" s="59"/>
      <c r="I2921" s="60">
        <f>IF(OR(H2921="",E2921="",C2921="",D2921=""),"",IF(C2921+D2921=0,"",(H2921*D2921+E2921*C2921)/(C2921+D2921)))</f>
        <v/>
      </c>
      <c r="J2921" s="59"/>
      <c r="K2921" s="61">
        <f>IF(OR(J2921="",I2921=""),"",J2921-I2921)</f>
        <v/>
      </c>
      <c r="L2921" s="61">
        <f>IF(OR(J2921="",G2921=""),"",J2921-G2921)</f>
        <v/>
      </c>
      <c r="M2921" s="59"/>
      <c r="N2921" s="59"/>
      <c r="O2921" s="59"/>
      <c r="P2921" s="59"/>
      <c r="Q2921" s="59"/>
      <c r="R2921" s="60">
        <f>IF(AND(P2921="",Q2921=""),"",N(P2921)+N(Q2921))</f>
        <v/>
      </c>
      <c r="S2921" s="59"/>
      <c r="T2921" s="59"/>
      <c r="U2921" s="62">
        <f>IF(OR(R2921="",S2921="",T2921=""),"",IF(S2921+T2921=0,"",R2921/(S2921+T2921)))</f>
        <v/>
      </c>
      <c r="V2921" s="63"/>
      <c r="W2921" s="64"/>
      <c r="X2921" s="63"/>
    </row>
    <row r="2922" spans="2:24">
      <c r="B2922" s="58"/>
      <c r="C2922" s="59"/>
      <c r="D2922" s="59"/>
      <c r="E2922" s="59"/>
      <c r="F2922" s="59"/>
      <c r="G2922" s="60">
        <f>IF(OR(E2922="",F2922="",C2922="",D2922=""),"",IF(C2922+D2922=0,"",(E2922*C2922+F2922*D2922)/(C2922+D2922)))</f>
        <v/>
      </c>
      <c r="H2922" s="59"/>
      <c r="I2922" s="60">
        <f>IF(OR(H2922="",E2922="",C2922="",D2922=""),"",IF(C2922+D2922=0,"",(H2922*D2922+E2922*C2922)/(C2922+D2922)))</f>
        <v/>
      </c>
      <c r="J2922" s="59"/>
      <c r="K2922" s="61">
        <f>IF(OR(J2922="",I2922=""),"",J2922-I2922)</f>
        <v/>
      </c>
      <c r="L2922" s="61">
        <f>IF(OR(J2922="",G2922=""),"",J2922-G2922)</f>
        <v/>
      </c>
      <c r="M2922" s="59"/>
      <c r="N2922" s="59"/>
      <c r="O2922" s="59"/>
      <c r="P2922" s="59"/>
      <c r="Q2922" s="59"/>
      <c r="R2922" s="60">
        <f>IF(AND(P2922="",Q2922=""),"",N(P2922)+N(Q2922))</f>
        <v/>
      </c>
      <c r="S2922" s="59"/>
      <c r="T2922" s="59"/>
      <c r="U2922" s="62">
        <f>IF(OR(R2922="",S2922="",T2922=""),"",IF(S2922+T2922=0,"",R2922/(S2922+T2922)))</f>
        <v/>
      </c>
      <c r="V2922" s="63"/>
      <c r="W2922" s="64"/>
      <c r="X2922" s="63"/>
    </row>
    <row r="2923" spans="2:24">
      <c r="B2923" s="58"/>
      <c r="C2923" s="59"/>
      <c r="D2923" s="59"/>
      <c r="E2923" s="59"/>
      <c r="F2923" s="59"/>
      <c r="G2923" s="60">
        <f>IF(OR(E2923="",F2923="",C2923="",D2923=""),"",IF(C2923+D2923=0,"",(E2923*C2923+F2923*D2923)/(C2923+D2923)))</f>
        <v/>
      </c>
      <c r="H2923" s="59"/>
      <c r="I2923" s="60">
        <f>IF(OR(H2923="",E2923="",C2923="",D2923=""),"",IF(C2923+D2923=0,"",(H2923*D2923+E2923*C2923)/(C2923+D2923)))</f>
        <v/>
      </c>
      <c r="J2923" s="59"/>
      <c r="K2923" s="61">
        <f>IF(OR(J2923="",I2923=""),"",J2923-I2923)</f>
        <v/>
      </c>
      <c r="L2923" s="61">
        <f>IF(OR(J2923="",G2923=""),"",J2923-G2923)</f>
        <v/>
      </c>
      <c r="M2923" s="59"/>
      <c r="N2923" s="59"/>
      <c r="O2923" s="59"/>
      <c r="P2923" s="59"/>
      <c r="Q2923" s="59"/>
      <c r="R2923" s="60">
        <f>IF(AND(P2923="",Q2923=""),"",N(P2923)+N(Q2923))</f>
        <v/>
      </c>
      <c r="S2923" s="59"/>
      <c r="T2923" s="59"/>
      <c r="U2923" s="62">
        <f>IF(OR(R2923="",S2923="",T2923=""),"",IF(S2923+T2923=0,"",R2923/(S2923+T2923)))</f>
        <v/>
      </c>
      <c r="V2923" s="63"/>
      <c r="W2923" s="64"/>
      <c r="X2923" s="63"/>
    </row>
    <row r="2924" spans="2:24">
      <c r="B2924" s="58"/>
      <c r="C2924" s="59"/>
      <c r="D2924" s="59"/>
      <c r="E2924" s="59"/>
      <c r="F2924" s="59"/>
      <c r="G2924" s="60">
        <f>IF(OR(E2924="",F2924="",C2924="",D2924=""),"",IF(C2924+D2924=0,"",(E2924*C2924+F2924*D2924)/(C2924+D2924)))</f>
        <v/>
      </c>
      <c r="H2924" s="59"/>
      <c r="I2924" s="60">
        <f>IF(OR(H2924="",E2924="",C2924="",D2924=""),"",IF(C2924+D2924=0,"",(H2924*D2924+E2924*C2924)/(C2924+D2924)))</f>
        <v/>
      </c>
      <c r="J2924" s="59"/>
      <c r="K2924" s="61">
        <f>IF(OR(J2924="",I2924=""),"",J2924-I2924)</f>
        <v/>
      </c>
      <c r="L2924" s="61">
        <f>IF(OR(J2924="",G2924=""),"",J2924-G2924)</f>
        <v/>
      </c>
      <c r="M2924" s="59"/>
      <c r="N2924" s="59"/>
      <c r="O2924" s="59"/>
      <c r="P2924" s="59"/>
      <c r="Q2924" s="59"/>
      <c r="R2924" s="60">
        <f>IF(AND(P2924="",Q2924=""),"",N(P2924)+N(Q2924))</f>
        <v/>
      </c>
      <c r="S2924" s="59"/>
      <c r="T2924" s="59"/>
      <c r="U2924" s="62">
        <f>IF(OR(R2924="",S2924="",T2924=""),"",IF(S2924+T2924=0,"",R2924/(S2924+T2924)))</f>
        <v/>
      </c>
      <c r="V2924" s="63"/>
      <c r="W2924" s="64"/>
      <c r="X2924" s="63"/>
    </row>
    <row r="2925" spans="2:24">
      <c r="B2925" s="58"/>
      <c r="C2925" s="59"/>
      <c r="D2925" s="59"/>
      <c r="E2925" s="59"/>
      <c r="F2925" s="59"/>
      <c r="G2925" s="60">
        <f>IF(OR(E2925="",F2925="",C2925="",D2925=""),"",IF(C2925+D2925=0,"",(E2925*C2925+F2925*D2925)/(C2925+D2925)))</f>
        <v/>
      </c>
      <c r="H2925" s="59"/>
      <c r="I2925" s="60">
        <f>IF(OR(H2925="",E2925="",C2925="",D2925=""),"",IF(C2925+D2925=0,"",(H2925*D2925+E2925*C2925)/(C2925+D2925)))</f>
        <v/>
      </c>
      <c r="J2925" s="59"/>
      <c r="K2925" s="61">
        <f>IF(OR(J2925="",I2925=""),"",J2925-I2925)</f>
        <v/>
      </c>
      <c r="L2925" s="61">
        <f>IF(OR(J2925="",G2925=""),"",J2925-G2925)</f>
        <v/>
      </c>
      <c r="M2925" s="59"/>
      <c r="N2925" s="59"/>
      <c r="O2925" s="59"/>
      <c r="P2925" s="59"/>
      <c r="Q2925" s="59"/>
      <c r="R2925" s="60">
        <f>IF(AND(P2925="",Q2925=""),"",N(P2925)+N(Q2925))</f>
        <v/>
      </c>
      <c r="S2925" s="59"/>
      <c r="T2925" s="59"/>
      <c r="U2925" s="62">
        <f>IF(OR(R2925="",S2925="",T2925=""),"",IF(S2925+T2925=0,"",R2925/(S2925+T2925)))</f>
        <v/>
      </c>
      <c r="V2925" s="63"/>
      <c r="W2925" s="64"/>
      <c r="X2925" s="63"/>
    </row>
    <row r="2926" spans="2:24">
      <c r="B2926" s="58"/>
      <c r="C2926" s="59"/>
      <c r="D2926" s="59"/>
      <c r="E2926" s="59"/>
      <c r="F2926" s="59"/>
      <c r="G2926" s="60">
        <f>IF(OR(E2926="",F2926="",C2926="",D2926=""),"",IF(C2926+D2926=0,"",(E2926*C2926+F2926*D2926)/(C2926+D2926)))</f>
        <v/>
      </c>
      <c r="H2926" s="59"/>
      <c r="I2926" s="60">
        <f>IF(OR(H2926="",E2926="",C2926="",D2926=""),"",IF(C2926+D2926=0,"",(H2926*D2926+E2926*C2926)/(C2926+D2926)))</f>
        <v/>
      </c>
      <c r="J2926" s="59"/>
      <c r="K2926" s="61">
        <f>IF(OR(J2926="",I2926=""),"",J2926-I2926)</f>
        <v/>
      </c>
      <c r="L2926" s="61">
        <f>IF(OR(J2926="",G2926=""),"",J2926-G2926)</f>
        <v/>
      </c>
      <c r="M2926" s="59"/>
      <c r="N2926" s="59"/>
      <c r="O2926" s="59"/>
      <c r="P2926" s="59"/>
      <c r="Q2926" s="59"/>
      <c r="R2926" s="60">
        <f>IF(AND(P2926="",Q2926=""),"",N(P2926)+N(Q2926))</f>
        <v/>
      </c>
      <c r="S2926" s="59"/>
      <c r="T2926" s="59"/>
      <c r="U2926" s="62">
        <f>IF(OR(R2926="",S2926="",T2926=""),"",IF(S2926+T2926=0,"",R2926/(S2926+T2926)))</f>
        <v/>
      </c>
      <c r="V2926" s="63"/>
      <c r="W2926" s="64"/>
      <c r="X2926" s="63"/>
    </row>
    <row r="2927" spans="2:24">
      <c r="B2927" s="58"/>
      <c r="C2927" s="59"/>
      <c r="D2927" s="59"/>
      <c r="E2927" s="59"/>
      <c r="F2927" s="59"/>
      <c r="G2927" s="60">
        <f>IF(OR(E2927="",F2927="",C2927="",D2927=""),"",IF(C2927+D2927=0,"",(E2927*C2927+F2927*D2927)/(C2927+D2927)))</f>
        <v/>
      </c>
      <c r="H2927" s="59"/>
      <c r="I2927" s="60">
        <f>IF(OR(H2927="",E2927="",C2927="",D2927=""),"",IF(C2927+D2927=0,"",(H2927*D2927+E2927*C2927)/(C2927+D2927)))</f>
        <v/>
      </c>
      <c r="J2927" s="59"/>
      <c r="K2927" s="61">
        <f>IF(OR(J2927="",I2927=""),"",J2927-I2927)</f>
        <v/>
      </c>
      <c r="L2927" s="61">
        <f>IF(OR(J2927="",G2927=""),"",J2927-G2927)</f>
        <v/>
      </c>
      <c r="M2927" s="59"/>
      <c r="N2927" s="59"/>
      <c r="O2927" s="59"/>
      <c r="P2927" s="59"/>
      <c r="Q2927" s="59"/>
      <c r="R2927" s="60">
        <f>IF(AND(P2927="",Q2927=""),"",N(P2927)+N(Q2927))</f>
        <v/>
      </c>
      <c r="S2927" s="59"/>
      <c r="T2927" s="59"/>
      <c r="U2927" s="62">
        <f>IF(OR(R2927="",S2927="",T2927=""),"",IF(S2927+T2927=0,"",R2927/(S2927+T2927)))</f>
        <v/>
      </c>
      <c r="V2927" s="63"/>
      <c r="W2927" s="64"/>
      <c r="X2927" s="63"/>
    </row>
    <row r="2928" spans="2:24">
      <c r="B2928" s="58"/>
      <c r="C2928" s="59"/>
      <c r="D2928" s="59"/>
      <c r="E2928" s="59"/>
      <c r="F2928" s="59"/>
      <c r="G2928" s="60">
        <f>IF(OR(E2928="",F2928="",C2928="",D2928=""),"",IF(C2928+D2928=0,"",(E2928*C2928+F2928*D2928)/(C2928+D2928)))</f>
        <v/>
      </c>
      <c r="H2928" s="59"/>
      <c r="I2928" s="60">
        <f>IF(OR(H2928="",E2928="",C2928="",D2928=""),"",IF(C2928+D2928=0,"",(H2928*D2928+E2928*C2928)/(C2928+D2928)))</f>
        <v/>
      </c>
      <c r="J2928" s="59"/>
      <c r="K2928" s="61">
        <f>IF(OR(J2928="",I2928=""),"",J2928-I2928)</f>
        <v/>
      </c>
      <c r="L2928" s="61">
        <f>IF(OR(J2928="",G2928=""),"",J2928-G2928)</f>
        <v/>
      </c>
      <c r="M2928" s="59"/>
      <c r="N2928" s="59"/>
      <c r="O2928" s="59"/>
      <c r="P2928" s="59"/>
      <c r="Q2928" s="59"/>
      <c r="R2928" s="60">
        <f>IF(AND(P2928="",Q2928=""),"",N(P2928)+N(Q2928))</f>
        <v/>
      </c>
      <c r="S2928" s="59"/>
      <c r="T2928" s="59"/>
      <c r="U2928" s="62">
        <f>IF(OR(R2928="",S2928="",T2928=""),"",IF(S2928+T2928=0,"",R2928/(S2928+T2928)))</f>
        <v/>
      </c>
      <c r="V2928" s="63"/>
      <c r="W2928" s="64"/>
      <c r="X2928" s="63"/>
    </row>
    <row r="2929" spans="2:24">
      <c r="B2929" s="58"/>
      <c r="C2929" s="59"/>
      <c r="D2929" s="59"/>
      <c r="E2929" s="59"/>
      <c r="F2929" s="59"/>
      <c r="G2929" s="60">
        <f>IF(OR(E2929="",F2929="",C2929="",D2929=""),"",IF(C2929+D2929=0,"",(E2929*C2929+F2929*D2929)/(C2929+D2929)))</f>
        <v/>
      </c>
      <c r="H2929" s="59"/>
      <c r="I2929" s="60">
        <f>IF(OR(H2929="",E2929="",C2929="",D2929=""),"",IF(C2929+D2929=0,"",(H2929*D2929+E2929*C2929)/(C2929+D2929)))</f>
        <v/>
      </c>
      <c r="J2929" s="59"/>
      <c r="K2929" s="61">
        <f>IF(OR(J2929="",I2929=""),"",J2929-I2929)</f>
        <v/>
      </c>
      <c r="L2929" s="61">
        <f>IF(OR(J2929="",G2929=""),"",J2929-G2929)</f>
        <v/>
      </c>
      <c r="M2929" s="59"/>
      <c r="N2929" s="59"/>
      <c r="O2929" s="59"/>
      <c r="P2929" s="59"/>
      <c r="Q2929" s="59"/>
      <c r="R2929" s="60">
        <f>IF(AND(P2929="",Q2929=""),"",N(P2929)+N(Q2929))</f>
        <v/>
      </c>
      <c r="S2929" s="59"/>
      <c r="T2929" s="59"/>
      <c r="U2929" s="62">
        <f>IF(OR(R2929="",S2929="",T2929=""),"",IF(S2929+T2929=0,"",R2929/(S2929+T2929)))</f>
        <v/>
      </c>
      <c r="V2929" s="63"/>
      <c r="W2929" s="64"/>
      <c r="X2929" s="63"/>
    </row>
    <row r="2930" spans="2:24">
      <c r="B2930" s="58"/>
      <c r="C2930" s="59"/>
      <c r="D2930" s="59"/>
      <c r="E2930" s="59"/>
      <c r="F2930" s="59"/>
      <c r="G2930" s="60">
        <f>IF(OR(E2930="",F2930="",C2930="",D2930=""),"",IF(C2930+D2930=0,"",(E2930*C2930+F2930*D2930)/(C2930+D2930)))</f>
        <v/>
      </c>
      <c r="H2930" s="59"/>
      <c r="I2930" s="60">
        <f>IF(OR(H2930="",E2930="",C2930="",D2930=""),"",IF(C2930+D2930=0,"",(H2930*D2930+E2930*C2930)/(C2930+D2930)))</f>
        <v/>
      </c>
      <c r="J2930" s="59"/>
      <c r="K2930" s="61">
        <f>IF(OR(J2930="",I2930=""),"",J2930-I2930)</f>
        <v/>
      </c>
      <c r="L2930" s="61">
        <f>IF(OR(J2930="",G2930=""),"",J2930-G2930)</f>
        <v/>
      </c>
      <c r="M2930" s="59"/>
      <c r="N2930" s="59"/>
      <c r="O2930" s="59"/>
      <c r="P2930" s="59"/>
      <c r="Q2930" s="59"/>
      <c r="R2930" s="60">
        <f>IF(AND(P2930="",Q2930=""),"",N(P2930)+N(Q2930))</f>
        <v/>
      </c>
      <c r="S2930" s="59"/>
      <c r="T2930" s="59"/>
      <c r="U2930" s="62">
        <f>IF(OR(R2930="",S2930="",T2930=""),"",IF(S2930+T2930=0,"",R2930/(S2930+T2930)))</f>
        <v/>
      </c>
      <c r="V2930" s="63"/>
      <c r="W2930" s="64"/>
      <c r="X2930" s="63"/>
    </row>
    <row r="2931" spans="2:24">
      <c r="B2931" s="58"/>
      <c r="C2931" s="59"/>
      <c r="D2931" s="59"/>
      <c r="E2931" s="59"/>
      <c r="F2931" s="59"/>
      <c r="G2931" s="60">
        <f>IF(OR(E2931="",F2931="",C2931="",D2931=""),"",IF(C2931+D2931=0,"",(E2931*C2931+F2931*D2931)/(C2931+D2931)))</f>
        <v/>
      </c>
      <c r="H2931" s="59"/>
      <c r="I2931" s="60">
        <f>IF(OR(H2931="",E2931="",C2931="",D2931=""),"",IF(C2931+D2931=0,"",(H2931*D2931+E2931*C2931)/(C2931+D2931)))</f>
        <v/>
      </c>
      <c r="J2931" s="59"/>
      <c r="K2931" s="61">
        <f>IF(OR(J2931="",I2931=""),"",J2931-I2931)</f>
        <v/>
      </c>
      <c r="L2931" s="61">
        <f>IF(OR(J2931="",G2931=""),"",J2931-G2931)</f>
        <v/>
      </c>
      <c r="M2931" s="59"/>
      <c r="N2931" s="59"/>
      <c r="O2931" s="59"/>
      <c r="P2931" s="59"/>
      <c r="Q2931" s="59"/>
      <c r="R2931" s="60">
        <f>IF(AND(P2931="",Q2931=""),"",N(P2931)+N(Q2931))</f>
        <v/>
      </c>
      <c r="S2931" s="59"/>
      <c r="T2931" s="59"/>
      <c r="U2931" s="62">
        <f>IF(OR(R2931="",S2931="",T2931=""),"",IF(S2931+T2931=0,"",R2931/(S2931+T2931)))</f>
        <v/>
      </c>
      <c r="V2931" s="63"/>
      <c r="W2931" s="64"/>
      <c r="X2931" s="63"/>
    </row>
    <row r="2932" spans="2:24">
      <c r="B2932" s="58"/>
      <c r="C2932" s="59"/>
      <c r="D2932" s="59"/>
      <c r="E2932" s="59"/>
      <c r="F2932" s="59"/>
      <c r="G2932" s="60">
        <f>IF(OR(E2932="",F2932="",C2932="",D2932=""),"",IF(C2932+D2932=0,"",(E2932*C2932+F2932*D2932)/(C2932+D2932)))</f>
        <v/>
      </c>
      <c r="H2932" s="59"/>
      <c r="I2932" s="60">
        <f>IF(OR(H2932="",E2932="",C2932="",D2932=""),"",IF(C2932+D2932=0,"",(H2932*D2932+E2932*C2932)/(C2932+D2932)))</f>
        <v/>
      </c>
      <c r="J2932" s="59"/>
      <c r="K2932" s="61">
        <f>IF(OR(J2932="",I2932=""),"",J2932-I2932)</f>
        <v/>
      </c>
      <c r="L2932" s="61">
        <f>IF(OR(J2932="",G2932=""),"",J2932-G2932)</f>
        <v/>
      </c>
      <c r="M2932" s="59"/>
      <c r="N2932" s="59"/>
      <c r="O2932" s="59"/>
      <c r="P2932" s="59"/>
      <c r="Q2932" s="59"/>
      <c r="R2932" s="60">
        <f>IF(AND(P2932="",Q2932=""),"",N(P2932)+N(Q2932))</f>
        <v/>
      </c>
      <c r="S2932" s="59"/>
      <c r="T2932" s="59"/>
      <c r="U2932" s="62">
        <f>IF(OR(R2932="",S2932="",T2932=""),"",IF(S2932+T2932=0,"",R2932/(S2932+T2932)))</f>
        <v/>
      </c>
      <c r="V2932" s="63"/>
      <c r="W2932" s="64"/>
      <c r="X2932" s="63"/>
    </row>
    <row r="2933" spans="2:24">
      <c r="B2933" s="58"/>
      <c r="C2933" s="59"/>
      <c r="D2933" s="59"/>
      <c r="E2933" s="59"/>
      <c r="F2933" s="59"/>
      <c r="G2933" s="60">
        <f>IF(OR(E2933="",F2933="",C2933="",D2933=""),"",IF(C2933+D2933=0,"",(E2933*C2933+F2933*D2933)/(C2933+D2933)))</f>
        <v/>
      </c>
      <c r="H2933" s="59"/>
      <c r="I2933" s="60">
        <f>IF(OR(H2933="",E2933="",C2933="",D2933=""),"",IF(C2933+D2933=0,"",(H2933*D2933+E2933*C2933)/(C2933+D2933)))</f>
        <v/>
      </c>
      <c r="J2933" s="59"/>
      <c r="K2933" s="61">
        <f>IF(OR(J2933="",I2933=""),"",J2933-I2933)</f>
        <v/>
      </c>
      <c r="L2933" s="61">
        <f>IF(OR(J2933="",G2933=""),"",J2933-G2933)</f>
        <v/>
      </c>
      <c r="M2933" s="59"/>
      <c r="N2933" s="59"/>
      <c r="O2933" s="59"/>
      <c r="P2933" s="59"/>
      <c r="Q2933" s="59"/>
      <c r="R2933" s="60">
        <f>IF(AND(P2933="",Q2933=""),"",N(P2933)+N(Q2933))</f>
        <v/>
      </c>
      <c r="S2933" s="59"/>
      <c r="T2933" s="59"/>
      <c r="U2933" s="62">
        <f>IF(OR(R2933="",S2933="",T2933=""),"",IF(S2933+T2933=0,"",R2933/(S2933+T2933)))</f>
        <v/>
      </c>
      <c r="V2933" s="63"/>
      <c r="W2933" s="64"/>
      <c r="X2933" s="63"/>
    </row>
    <row r="2934" spans="2:24">
      <c r="B2934" s="58"/>
      <c r="C2934" s="59"/>
      <c r="D2934" s="59"/>
      <c r="E2934" s="59"/>
      <c r="F2934" s="59"/>
      <c r="G2934" s="60">
        <f>IF(OR(E2934="",F2934="",C2934="",D2934=""),"",IF(C2934+D2934=0,"",(E2934*C2934+F2934*D2934)/(C2934+D2934)))</f>
        <v/>
      </c>
      <c r="H2934" s="59"/>
      <c r="I2934" s="60">
        <f>IF(OR(H2934="",E2934="",C2934="",D2934=""),"",IF(C2934+D2934=0,"",(H2934*D2934+E2934*C2934)/(C2934+D2934)))</f>
        <v/>
      </c>
      <c r="J2934" s="59"/>
      <c r="K2934" s="61">
        <f>IF(OR(J2934="",I2934=""),"",J2934-I2934)</f>
        <v/>
      </c>
      <c r="L2934" s="61">
        <f>IF(OR(J2934="",G2934=""),"",J2934-G2934)</f>
        <v/>
      </c>
      <c r="M2934" s="59"/>
      <c r="N2934" s="59"/>
      <c r="O2934" s="59"/>
      <c r="P2934" s="59"/>
      <c r="Q2934" s="59"/>
      <c r="R2934" s="60">
        <f>IF(AND(P2934="",Q2934=""),"",N(P2934)+N(Q2934))</f>
        <v/>
      </c>
      <c r="S2934" s="59"/>
      <c r="T2934" s="59"/>
      <c r="U2934" s="62">
        <f>IF(OR(R2934="",S2934="",T2934=""),"",IF(S2934+T2934=0,"",R2934/(S2934+T2934)))</f>
        <v/>
      </c>
      <c r="V2934" s="63"/>
      <c r="W2934" s="64"/>
      <c r="X2934" s="63"/>
    </row>
    <row r="2935" spans="2:24">
      <c r="B2935" s="58"/>
      <c r="C2935" s="59"/>
      <c r="D2935" s="59"/>
      <c r="E2935" s="59"/>
      <c r="F2935" s="59"/>
      <c r="G2935" s="60">
        <f>IF(OR(E2935="",F2935="",C2935="",D2935=""),"",IF(C2935+D2935=0,"",(E2935*C2935+F2935*D2935)/(C2935+D2935)))</f>
        <v/>
      </c>
      <c r="H2935" s="59"/>
      <c r="I2935" s="60">
        <f>IF(OR(H2935="",E2935="",C2935="",D2935=""),"",IF(C2935+D2935=0,"",(H2935*D2935+E2935*C2935)/(C2935+D2935)))</f>
        <v/>
      </c>
      <c r="J2935" s="59"/>
      <c r="K2935" s="61">
        <f>IF(OR(J2935="",I2935=""),"",J2935-I2935)</f>
        <v/>
      </c>
      <c r="L2935" s="61">
        <f>IF(OR(J2935="",G2935=""),"",J2935-G2935)</f>
        <v/>
      </c>
      <c r="M2935" s="59"/>
      <c r="N2935" s="59"/>
      <c r="O2935" s="59"/>
      <c r="P2935" s="59"/>
      <c r="Q2935" s="59"/>
      <c r="R2935" s="60">
        <f>IF(AND(P2935="",Q2935=""),"",N(P2935)+N(Q2935))</f>
        <v/>
      </c>
      <c r="S2935" s="59"/>
      <c r="T2935" s="59"/>
      <c r="U2935" s="62">
        <f>IF(OR(R2935="",S2935="",T2935=""),"",IF(S2935+T2935=0,"",R2935/(S2935+T2935)))</f>
        <v/>
      </c>
      <c r="V2935" s="63"/>
      <c r="W2935" s="64"/>
      <c r="X2935" s="63"/>
    </row>
    <row r="2936" spans="2:24">
      <c r="B2936" s="58"/>
      <c r="C2936" s="59"/>
      <c r="D2936" s="59"/>
      <c r="E2936" s="59"/>
      <c r="F2936" s="59"/>
      <c r="G2936" s="60">
        <f>IF(OR(E2936="",F2936="",C2936="",D2936=""),"",IF(C2936+D2936=0,"",(E2936*C2936+F2936*D2936)/(C2936+D2936)))</f>
        <v/>
      </c>
      <c r="H2936" s="59"/>
      <c r="I2936" s="60">
        <f>IF(OR(H2936="",E2936="",C2936="",D2936=""),"",IF(C2936+D2936=0,"",(H2936*D2936+E2936*C2936)/(C2936+D2936)))</f>
        <v/>
      </c>
      <c r="J2936" s="59"/>
      <c r="K2936" s="61">
        <f>IF(OR(J2936="",I2936=""),"",J2936-I2936)</f>
        <v/>
      </c>
      <c r="L2936" s="61">
        <f>IF(OR(J2936="",G2936=""),"",J2936-G2936)</f>
        <v/>
      </c>
      <c r="M2936" s="59"/>
      <c r="N2936" s="59"/>
      <c r="O2936" s="59"/>
      <c r="P2936" s="59"/>
      <c r="Q2936" s="59"/>
      <c r="R2936" s="60">
        <f>IF(AND(P2936="",Q2936=""),"",N(P2936)+N(Q2936))</f>
        <v/>
      </c>
      <c r="S2936" s="59"/>
      <c r="T2936" s="59"/>
      <c r="U2936" s="62">
        <f>IF(OR(R2936="",S2936="",T2936=""),"",IF(S2936+T2936=0,"",R2936/(S2936+T2936)))</f>
        <v/>
      </c>
      <c r="V2936" s="63"/>
      <c r="W2936" s="64"/>
      <c r="X2936" s="63"/>
    </row>
    <row r="2937" spans="2:24">
      <c r="B2937" s="58"/>
      <c r="C2937" s="59"/>
      <c r="D2937" s="59"/>
      <c r="E2937" s="59"/>
      <c r="F2937" s="59"/>
      <c r="G2937" s="60">
        <f>IF(OR(E2937="",F2937="",C2937="",D2937=""),"",IF(C2937+D2937=0,"",(E2937*C2937+F2937*D2937)/(C2937+D2937)))</f>
        <v/>
      </c>
      <c r="H2937" s="59"/>
      <c r="I2937" s="60">
        <f>IF(OR(H2937="",E2937="",C2937="",D2937=""),"",IF(C2937+D2937=0,"",(H2937*D2937+E2937*C2937)/(C2937+D2937)))</f>
        <v/>
      </c>
      <c r="J2937" s="59"/>
      <c r="K2937" s="61">
        <f>IF(OR(J2937="",I2937=""),"",J2937-I2937)</f>
        <v/>
      </c>
      <c r="L2937" s="61">
        <f>IF(OR(J2937="",G2937=""),"",J2937-G2937)</f>
        <v/>
      </c>
      <c r="M2937" s="59"/>
      <c r="N2937" s="59"/>
      <c r="O2937" s="59"/>
      <c r="P2937" s="59"/>
      <c r="Q2937" s="59"/>
      <c r="R2937" s="60">
        <f>IF(AND(P2937="",Q2937=""),"",N(P2937)+N(Q2937))</f>
        <v/>
      </c>
      <c r="S2937" s="59"/>
      <c r="T2937" s="59"/>
      <c r="U2937" s="62">
        <f>IF(OR(R2937="",S2937="",T2937=""),"",IF(S2937+T2937=0,"",R2937/(S2937+T2937)))</f>
        <v/>
      </c>
      <c r="V2937" s="63"/>
      <c r="W2937" s="64"/>
      <c r="X2937" s="63"/>
    </row>
    <row r="2938" spans="2:24">
      <c r="B2938" s="58"/>
      <c r="C2938" s="59"/>
      <c r="D2938" s="59"/>
      <c r="E2938" s="59"/>
      <c r="F2938" s="59"/>
      <c r="G2938" s="60">
        <f>IF(OR(E2938="",F2938="",C2938="",D2938=""),"",IF(C2938+D2938=0,"",(E2938*C2938+F2938*D2938)/(C2938+D2938)))</f>
        <v/>
      </c>
      <c r="H2938" s="59"/>
      <c r="I2938" s="60">
        <f>IF(OR(H2938="",E2938="",C2938="",D2938=""),"",IF(C2938+D2938=0,"",(H2938*D2938+E2938*C2938)/(C2938+D2938)))</f>
        <v/>
      </c>
      <c r="J2938" s="59"/>
      <c r="K2938" s="61">
        <f>IF(OR(J2938="",I2938=""),"",J2938-I2938)</f>
        <v/>
      </c>
      <c r="L2938" s="61">
        <f>IF(OR(J2938="",G2938=""),"",J2938-G2938)</f>
        <v/>
      </c>
      <c r="M2938" s="59"/>
      <c r="N2938" s="59"/>
      <c r="O2938" s="59"/>
      <c r="P2938" s="59"/>
      <c r="Q2938" s="59"/>
      <c r="R2938" s="60">
        <f>IF(AND(P2938="",Q2938=""),"",N(P2938)+N(Q2938))</f>
        <v/>
      </c>
      <c r="S2938" s="59"/>
      <c r="T2938" s="59"/>
      <c r="U2938" s="62">
        <f>IF(OR(R2938="",S2938="",T2938=""),"",IF(S2938+T2938=0,"",R2938/(S2938+T2938)))</f>
        <v/>
      </c>
      <c r="V2938" s="63"/>
      <c r="W2938" s="64"/>
      <c r="X2938" s="63"/>
    </row>
    <row r="2939" spans="2:24">
      <c r="B2939" s="58"/>
      <c r="C2939" s="59"/>
      <c r="D2939" s="59"/>
      <c r="E2939" s="59"/>
      <c r="F2939" s="59"/>
      <c r="G2939" s="60">
        <f>IF(OR(E2939="",F2939="",C2939="",D2939=""),"",IF(C2939+D2939=0,"",(E2939*C2939+F2939*D2939)/(C2939+D2939)))</f>
        <v/>
      </c>
      <c r="H2939" s="59"/>
      <c r="I2939" s="60">
        <f>IF(OR(H2939="",E2939="",C2939="",D2939=""),"",IF(C2939+D2939=0,"",(H2939*D2939+E2939*C2939)/(C2939+D2939)))</f>
        <v/>
      </c>
      <c r="J2939" s="59"/>
      <c r="K2939" s="61">
        <f>IF(OR(J2939="",I2939=""),"",J2939-I2939)</f>
        <v/>
      </c>
      <c r="L2939" s="61">
        <f>IF(OR(J2939="",G2939=""),"",J2939-G2939)</f>
        <v/>
      </c>
      <c r="M2939" s="59"/>
      <c r="N2939" s="59"/>
      <c r="O2939" s="59"/>
      <c r="P2939" s="59"/>
      <c r="Q2939" s="59"/>
      <c r="R2939" s="60">
        <f>IF(AND(P2939="",Q2939=""),"",N(P2939)+N(Q2939))</f>
        <v/>
      </c>
      <c r="S2939" s="59"/>
      <c r="T2939" s="59"/>
      <c r="U2939" s="62">
        <f>IF(OR(R2939="",S2939="",T2939=""),"",IF(S2939+T2939=0,"",R2939/(S2939+T2939)))</f>
        <v/>
      </c>
      <c r="V2939" s="63"/>
      <c r="W2939" s="64"/>
      <c r="X2939" s="63"/>
    </row>
    <row r="2940" spans="2:24">
      <c r="B2940" s="58"/>
      <c r="C2940" s="59"/>
      <c r="D2940" s="59"/>
      <c r="E2940" s="59"/>
      <c r="F2940" s="59"/>
      <c r="G2940" s="60">
        <f>IF(OR(E2940="",F2940="",C2940="",D2940=""),"",IF(C2940+D2940=0,"",(E2940*C2940+F2940*D2940)/(C2940+D2940)))</f>
        <v/>
      </c>
      <c r="H2940" s="59"/>
      <c r="I2940" s="60">
        <f>IF(OR(H2940="",E2940="",C2940="",D2940=""),"",IF(C2940+D2940=0,"",(H2940*D2940+E2940*C2940)/(C2940+D2940)))</f>
        <v/>
      </c>
      <c r="J2940" s="59"/>
      <c r="K2940" s="61">
        <f>IF(OR(J2940="",I2940=""),"",J2940-I2940)</f>
        <v/>
      </c>
      <c r="L2940" s="61">
        <f>IF(OR(J2940="",G2940=""),"",J2940-G2940)</f>
        <v/>
      </c>
      <c r="M2940" s="59"/>
      <c r="N2940" s="59"/>
      <c r="O2940" s="59"/>
      <c r="P2940" s="59"/>
      <c r="Q2940" s="59"/>
      <c r="R2940" s="60">
        <f>IF(AND(P2940="",Q2940=""),"",N(P2940)+N(Q2940))</f>
        <v/>
      </c>
      <c r="S2940" s="59"/>
      <c r="T2940" s="59"/>
      <c r="U2940" s="62">
        <f>IF(OR(R2940="",S2940="",T2940=""),"",IF(S2940+T2940=0,"",R2940/(S2940+T2940)))</f>
        <v/>
      </c>
      <c r="V2940" s="63"/>
      <c r="W2940" s="64"/>
      <c r="X2940" s="63"/>
    </row>
    <row r="2941" spans="2:24">
      <c r="B2941" s="58"/>
      <c r="C2941" s="59"/>
      <c r="D2941" s="59"/>
      <c r="E2941" s="59"/>
      <c r="F2941" s="59"/>
      <c r="G2941" s="60">
        <f>IF(OR(E2941="",F2941="",C2941="",D2941=""),"",IF(C2941+D2941=0,"",(E2941*C2941+F2941*D2941)/(C2941+D2941)))</f>
        <v/>
      </c>
      <c r="H2941" s="59"/>
      <c r="I2941" s="60">
        <f>IF(OR(H2941="",E2941="",C2941="",D2941=""),"",IF(C2941+D2941=0,"",(H2941*D2941+E2941*C2941)/(C2941+D2941)))</f>
        <v/>
      </c>
      <c r="J2941" s="59"/>
      <c r="K2941" s="61">
        <f>IF(OR(J2941="",I2941=""),"",J2941-I2941)</f>
        <v/>
      </c>
      <c r="L2941" s="61">
        <f>IF(OR(J2941="",G2941=""),"",J2941-G2941)</f>
        <v/>
      </c>
      <c r="M2941" s="59"/>
      <c r="N2941" s="59"/>
      <c r="O2941" s="59"/>
      <c r="P2941" s="59"/>
      <c r="Q2941" s="59"/>
      <c r="R2941" s="60">
        <f>IF(AND(P2941="",Q2941=""),"",N(P2941)+N(Q2941))</f>
        <v/>
      </c>
      <c r="S2941" s="59"/>
      <c r="T2941" s="59"/>
      <c r="U2941" s="62">
        <f>IF(OR(R2941="",S2941="",T2941=""),"",IF(S2941+T2941=0,"",R2941/(S2941+T2941)))</f>
        <v/>
      </c>
      <c r="V2941" s="63"/>
      <c r="W2941" s="64"/>
      <c r="X2941" s="63"/>
    </row>
    <row r="2942" spans="2:24">
      <c r="B2942" s="58"/>
      <c r="C2942" s="59"/>
      <c r="D2942" s="59"/>
      <c r="E2942" s="59"/>
      <c r="F2942" s="59"/>
      <c r="G2942" s="60">
        <f>IF(OR(E2942="",F2942="",C2942="",D2942=""),"",IF(C2942+D2942=0,"",(E2942*C2942+F2942*D2942)/(C2942+D2942)))</f>
        <v/>
      </c>
      <c r="H2942" s="59"/>
      <c r="I2942" s="60">
        <f>IF(OR(H2942="",E2942="",C2942="",D2942=""),"",IF(C2942+D2942=0,"",(H2942*D2942+E2942*C2942)/(C2942+D2942)))</f>
        <v/>
      </c>
      <c r="J2942" s="59"/>
      <c r="K2942" s="61">
        <f>IF(OR(J2942="",I2942=""),"",J2942-I2942)</f>
        <v/>
      </c>
      <c r="L2942" s="61">
        <f>IF(OR(J2942="",G2942=""),"",J2942-G2942)</f>
        <v/>
      </c>
      <c r="M2942" s="59"/>
      <c r="N2942" s="59"/>
      <c r="O2942" s="59"/>
      <c r="P2942" s="59"/>
      <c r="Q2942" s="59"/>
      <c r="R2942" s="60">
        <f>IF(AND(P2942="",Q2942=""),"",N(P2942)+N(Q2942))</f>
        <v/>
      </c>
      <c r="S2942" s="59"/>
      <c r="T2942" s="59"/>
      <c r="U2942" s="62">
        <f>IF(OR(R2942="",S2942="",T2942=""),"",IF(S2942+T2942=0,"",R2942/(S2942+T2942)))</f>
        <v/>
      </c>
      <c r="V2942" s="63"/>
      <c r="W2942" s="64"/>
      <c r="X2942" s="63"/>
    </row>
    <row r="2943" spans="2:24">
      <c r="B2943" s="58"/>
      <c r="C2943" s="59"/>
      <c r="D2943" s="59"/>
      <c r="E2943" s="59"/>
      <c r="F2943" s="59"/>
      <c r="G2943" s="60">
        <f>IF(OR(E2943="",F2943="",C2943="",D2943=""),"",IF(C2943+D2943=0,"",(E2943*C2943+F2943*D2943)/(C2943+D2943)))</f>
        <v/>
      </c>
      <c r="H2943" s="59"/>
      <c r="I2943" s="60">
        <f>IF(OR(H2943="",E2943="",C2943="",D2943=""),"",IF(C2943+D2943=0,"",(H2943*D2943+E2943*C2943)/(C2943+D2943)))</f>
        <v/>
      </c>
      <c r="J2943" s="59"/>
      <c r="K2943" s="61">
        <f>IF(OR(J2943="",I2943=""),"",J2943-I2943)</f>
        <v/>
      </c>
      <c r="L2943" s="61">
        <f>IF(OR(J2943="",G2943=""),"",J2943-G2943)</f>
        <v/>
      </c>
      <c r="M2943" s="59"/>
      <c r="N2943" s="59"/>
      <c r="O2943" s="59"/>
      <c r="P2943" s="59"/>
      <c r="Q2943" s="59"/>
      <c r="R2943" s="60">
        <f>IF(AND(P2943="",Q2943=""),"",N(P2943)+N(Q2943))</f>
        <v/>
      </c>
      <c r="S2943" s="59"/>
      <c r="T2943" s="59"/>
      <c r="U2943" s="62">
        <f>IF(OR(R2943="",S2943="",T2943=""),"",IF(S2943+T2943=0,"",R2943/(S2943+T2943)))</f>
        <v/>
      </c>
      <c r="V2943" s="63"/>
      <c r="W2943" s="64"/>
      <c r="X2943" s="63"/>
    </row>
    <row r="2944" spans="2:24">
      <c r="B2944" s="58"/>
      <c r="C2944" s="59"/>
      <c r="D2944" s="59"/>
      <c r="E2944" s="59"/>
      <c r="F2944" s="59"/>
      <c r="G2944" s="60">
        <f>IF(OR(E2944="",F2944="",C2944="",D2944=""),"",IF(C2944+D2944=0,"",(E2944*C2944+F2944*D2944)/(C2944+D2944)))</f>
        <v/>
      </c>
      <c r="H2944" s="59"/>
      <c r="I2944" s="60">
        <f>IF(OR(H2944="",E2944="",C2944="",D2944=""),"",IF(C2944+D2944=0,"",(H2944*D2944+E2944*C2944)/(C2944+D2944)))</f>
        <v/>
      </c>
      <c r="J2944" s="59"/>
      <c r="K2944" s="61">
        <f>IF(OR(J2944="",I2944=""),"",J2944-I2944)</f>
        <v/>
      </c>
      <c r="L2944" s="61">
        <f>IF(OR(J2944="",G2944=""),"",J2944-G2944)</f>
        <v/>
      </c>
      <c r="M2944" s="59"/>
      <c r="N2944" s="59"/>
      <c r="O2944" s="59"/>
      <c r="P2944" s="59"/>
      <c r="Q2944" s="59"/>
      <c r="R2944" s="60">
        <f>IF(AND(P2944="",Q2944=""),"",N(P2944)+N(Q2944))</f>
        <v/>
      </c>
      <c r="S2944" s="59"/>
      <c r="T2944" s="59"/>
      <c r="U2944" s="62">
        <f>IF(OR(R2944="",S2944="",T2944=""),"",IF(S2944+T2944=0,"",R2944/(S2944+T2944)))</f>
        <v/>
      </c>
      <c r="V2944" s="63"/>
      <c r="W2944" s="64"/>
      <c r="X2944" s="63"/>
    </row>
    <row r="2945" spans="2:24">
      <c r="B2945" s="58"/>
      <c r="C2945" s="59"/>
      <c r="D2945" s="59"/>
      <c r="E2945" s="59"/>
      <c r="F2945" s="59"/>
      <c r="G2945" s="60">
        <f>IF(OR(E2945="",F2945="",C2945="",D2945=""),"",IF(C2945+D2945=0,"",(E2945*C2945+F2945*D2945)/(C2945+D2945)))</f>
        <v/>
      </c>
      <c r="H2945" s="59"/>
      <c r="I2945" s="60">
        <f>IF(OR(H2945="",E2945="",C2945="",D2945=""),"",IF(C2945+D2945=0,"",(H2945*D2945+E2945*C2945)/(C2945+D2945)))</f>
        <v/>
      </c>
      <c r="J2945" s="59"/>
      <c r="K2945" s="61">
        <f>IF(OR(J2945="",I2945=""),"",J2945-I2945)</f>
        <v/>
      </c>
      <c r="L2945" s="61">
        <f>IF(OR(J2945="",G2945=""),"",J2945-G2945)</f>
        <v/>
      </c>
      <c r="M2945" s="59"/>
      <c r="N2945" s="59"/>
      <c r="O2945" s="59"/>
      <c r="P2945" s="59"/>
      <c r="Q2945" s="59"/>
      <c r="R2945" s="60">
        <f>IF(AND(P2945="",Q2945=""),"",N(P2945)+N(Q2945))</f>
        <v/>
      </c>
      <c r="S2945" s="59"/>
      <c r="T2945" s="59"/>
      <c r="U2945" s="62">
        <f>IF(OR(R2945="",S2945="",T2945=""),"",IF(S2945+T2945=0,"",R2945/(S2945+T2945)))</f>
        <v/>
      </c>
      <c r="V2945" s="63"/>
      <c r="W2945" s="64"/>
      <c r="X2945" s="63"/>
    </row>
    <row r="2946" spans="2:24">
      <c r="B2946" s="58"/>
      <c r="C2946" s="59"/>
      <c r="D2946" s="59"/>
      <c r="E2946" s="59"/>
      <c r="F2946" s="59"/>
      <c r="G2946" s="60">
        <f>IF(OR(E2946="",F2946="",C2946="",D2946=""),"",IF(C2946+D2946=0,"",(E2946*C2946+F2946*D2946)/(C2946+D2946)))</f>
        <v/>
      </c>
      <c r="H2946" s="59"/>
      <c r="I2946" s="60">
        <f>IF(OR(H2946="",E2946="",C2946="",D2946=""),"",IF(C2946+D2946=0,"",(H2946*D2946+E2946*C2946)/(C2946+D2946)))</f>
        <v/>
      </c>
      <c r="J2946" s="59"/>
      <c r="K2946" s="61">
        <f>IF(OR(J2946="",I2946=""),"",J2946-I2946)</f>
        <v/>
      </c>
      <c r="L2946" s="61">
        <f>IF(OR(J2946="",G2946=""),"",J2946-G2946)</f>
        <v/>
      </c>
      <c r="M2946" s="59"/>
      <c r="N2946" s="59"/>
      <c r="O2946" s="59"/>
      <c r="P2946" s="59"/>
      <c r="Q2946" s="59"/>
      <c r="R2946" s="60">
        <f>IF(AND(P2946="",Q2946=""),"",N(P2946)+N(Q2946))</f>
        <v/>
      </c>
      <c r="S2946" s="59"/>
      <c r="T2946" s="59"/>
      <c r="U2946" s="62">
        <f>IF(OR(R2946="",S2946="",T2946=""),"",IF(S2946+T2946=0,"",R2946/(S2946+T2946)))</f>
        <v/>
      </c>
      <c r="V2946" s="63"/>
      <c r="W2946" s="64"/>
      <c r="X2946" s="63"/>
    </row>
    <row r="2947" spans="2:24">
      <c r="B2947" s="58"/>
      <c r="C2947" s="59"/>
      <c r="D2947" s="59"/>
      <c r="E2947" s="59"/>
      <c r="F2947" s="59"/>
      <c r="G2947" s="60">
        <f>IF(OR(E2947="",F2947="",C2947="",D2947=""),"",IF(C2947+D2947=0,"",(E2947*C2947+F2947*D2947)/(C2947+D2947)))</f>
        <v/>
      </c>
      <c r="H2947" s="59"/>
      <c r="I2947" s="60">
        <f>IF(OR(H2947="",E2947="",C2947="",D2947=""),"",IF(C2947+D2947=0,"",(H2947*D2947+E2947*C2947)/(C2947+D2947)))</f>
        <v/>
      </c>
      <c r="J2947" s="59"/>
      <c r="K2947" s="61">
        <f>IF(OR(J2947="",I2947=""),"",J2947-I2947)</f>
        <v/>
      </c>
      <c r="L2947" s="61">
        <f>IF(OR(J2947="",G2947=""),"",J2947-G2947)</f>
        <v/>
      </c>
      <c r="M2947" s="59"/>
      <c r="N2947" s="59"/>
      <c r="O2947" s="59"/>
      <c r="P2947" s="59"/>
      <c r="Q2947" s="59"/>
      <c r="R2947" s="60">
        <f>IF(AND(P2947="",Q2947=""),"",N(P2947)+N(Q2947))</f>
        <v/>
      </c>
      <c r="S2947" s="59"/>
      <c r="T2947" s="59"/>
      <c r="U2947" s="62">
        <f>IF(OR(R2947="",S2947="",T2947=""),"",IF(S2947+T2947=0,"",R2947/(S2947+T2947)))</f>
        <v/>
      </c>
      <c r="V2947" s="63"/>
      <c r="W2947" s="64"/>
      <c r="X2947" s="63"/>
    </row>
    <row r="2948" spans="2:24">
      <c r="B2948" s="58"/>
      <c r="C2948" s="59"/>
      <c r="D2948" s="59"/>
      <c r="E2948" s="59"/>
      <c r="F2948" s="59"/>
      <c r="G2948" s="60">
        <f>IF(OR(E2948="",F2948="",C2948="",D2948=""),"",IF(C2948+D2948=0,"",(E2948*C2948+F2948*D2948)/(C2948+D2948)))</f>
        <v/>
      </c>
      <c r="H2948" s="59"/>
      <c r="I2948" s="60">
        <f>IF(OR(H2948="",E2948="",C2948="",D2948=""),"",IF(C2948+D2948=0,"",(H2948*D2948+E2948*C2948)/(C2948+D2948)))</f>
        <v/>
      </c>
      <c r="J2948" s="59"/>
      <c r="K2948" s="61">
        <f>IF(OR(J2948="",I2948=""),"",J2948-I2948)</f>
        <v/>
      </c>
      <c r="L2948" s="61">
        <f>IF(OR(J2948="",G2948=""),"",J2948-G2948)</f>
        <v/>
      </c>
      <c r="M2948" s="59"/>
      <c r="N2948" s="59"/>
      <c r="O2948" s="59"/>
      <c r="P2948" s="59"/>
      <c r="Q2948" s="59"/>
      <c r="R2948" s="60">
        <f>IF(AND(P2948="",Q2948=""),"",N(P2948)+N(Q2948))</f>
        <v/>
      </c>
      <c r="S2948" s="59"/>
      <c r="T2948" s="59"/>
      <c r="U2948" s="62">
        <f>IF(OR(R2948="",S2948="",T2948=""),"",IF(S2948+T2948=0,"",R2948/(S2948+T2948)))</f>
        <v/>
      </c>
      <c r="V2948" s="63"/>
      <c r="W2948" s="64"/>
      <c r="X2948" s="63"/>
    </row>
    <row r="2949" spans="2:24">
      <c r="B2949" s="58"/>
      <c r="C2949" s="59"/>
      <c r="D2949" s="59"/>
      <c r="E2949" s="59"/>
      <c r="F2949" s="59"/>
      <c r="G2949" s="60">
        <f>IF(OR(E2949="",F2949="",C2949="",D2949=""),"",IF(C2949+D2949=0,"",(E2949*C2949+F2949*D2949)/(C2949+D2949)))</f>
        <v/>
      </c>
      <c r="H2949" s="59"/>
      <c r="I2949" s="60">
        <f>IF(OR(H2949="",E2949="",C2949="",D2949=""),"",IF(C2949+D2949=0,"",(H2949*D2949+E2949*C2949)/(C2949+D2949)))</f>
        <v/>
      </c>
      <c r="J2949" s="59"/>
      <c r="K2949" s="61">
        <f>IF(OR(J2949="",I2949=""),"",J2949-I2949)</f>
        <v/>
      </c>
      <c r="L2949" s="61">
        <f>IF(OR(J2949="",G2949=""),"",J2949-G2949)</f>
        <v/>
      </c>
      <c r="M2949" s="59"/>
      <c r="N2949" s="59"/>
      <c r="O2949" s="59"/>
      <c r="P2949" s="59"/>
      <c r="Q2949" s="59"/>
      <c r="R2949" s="60">
        <f>IF(AND(P2949="",Q2949=""),"",N(P2949)+N(Q2949))</f>
        <v/>
      </c>
      <c r="S2949" s="59"/>
      <c r="T2949" s="59"/>
      <c r="U2949" s="62">
        <f>IF(OR(R2949="",S2949="",T2949=""),"",IF(S2949+T2949=0,"",R2949/(S2949+T2949)))</f>
        <v/>
      </c>
      <c r="V2949" s="63"/>
      <c r="W2949" s="64"/>
      <c r="X2949" s="63"/>
    </row>
    <row r="2950" spans="2:24">
      <c r="B2950" s="58"/>
      <c r="C2950" s="59"/>
      <c r="D2950" s="59"/>
      <c r="E2950" s="59"/>
      <c r="F2950" s="59"/>
      <c r="G2950" s="60">
        <f>IF(OR(E2950="",F2950="",C2950="",D2950=""),"",IF(C2950+D2950=0,"",(E2950*C2950+F2950*D2950)/(C2950+D2950)))</f>
        <v/>
      </c>
      <c r="H2950" s="59"/>
      <c r="I2950" s="60">
        <f>IF(OR(H2950="",E2950="",C2950="",D2950=""),"",IF(C2950+D2950=0,"",(H2950*D2950+E2950*C2950)/(C2950+D2950)))</f>
        <v/>
      </c>
      <c r="J2950" s="59"/>
      <c r="K2950" s="61">
        <f>IF(OR(J2950="",I2950=""),"",J2950-I2950)</f>
        <v/>
      </c>
      <c r="L2950" s="61">
        <f>IF(OR(J2950="",G2950=""),"",J2950-G2950)</f>
        <v/>
      </c>
      <c r="M2950" s="59"/>
      <c r="N2950" s="59"/>
      <c r="O2950" s="59"/>
      <c r="P2950" s="59"/>
      <c r="Q2950" s="59"/>
      <c r="R2950" s="60">
        <f>IF(AND(P2950="",Q2950=""),"",N(P2950)+N(Q2950))</f>
        <v/>
      </c>
      <c r="S2950" s="59"/>
      <c r="T2950" s="59"/>
      <c r="U2950" s="62">
        <f>IF(OR(R2950="",S2950="",T2950=""),"",IF(S2950+T2950=0,"",R2950/(S2950+T2950)))</f>
        <v/>
      </c>
      <c r="V2950" s="63"/>
      <c r="W2950" s="64"/>
      <c r="X2950" s="63"/>
    </row>
    <row r="2951" spans="2:24">
      <c r="B2951" s="58"/>
      <c r="C2951" s="59"/>
      <c r="D2951" s="59"/>
      <c r="E2951" s="59"/>
      <c r="F2951" s="59"/>
      <c r="G2951" s="60">
        <f>IF(OR(E2951="",F2951="",C2951="",D2951=""),"",IF(C2951+D2951=0,"",(E2951*C2951+F2951*D2951)/(C2951+D2951)))</f>
        <v/>
      </c>
      <c r="H2951" s="59"/>
      <c r="I2951" s="60">
        <f>IF(OR(H2951="",E2951="",C2951="",D2951=""),"",IF(C2951+D2951=0,"",(H2951*D2951+E2951*C2951)/(C2951+D2951)))</f>
        <v/>
      </c>
      <c r="J2951" s="59"/>
      <c r="K2951" s="61">
        <f>IF(OR(J2951="",I2951=""),"",J2951-I2951)</f>
        <v/>
      </c>
      <c r="L2951" s="61">
        <f>IF(OR(J2951="",G2951=""),"",J2951-G2951)</f>
        <v/>
      </c>
      <c r="M2951" s="59"/>
      <c r="N2951" s="59"/>
      <c r="O2951" s="59"/>
      <c r="P2951" s="59"/>
      <c r="Q2951" s="59"/>
      <c r="R2951" s="60">
        <f>IF(AND(P2951="",Q2951=""),"",N(P2951)+N(Q2951))</f>
        <v/>
      </c>
      <c r="S2951" s="59"/>
      <c r="T2951" s="59"/>
      <c r="U2951" s="62">
        <f>IF(OR(R2951="",S2951="",T2951=""),"",IF(S2951+T2951=0,"",R2951/(S2951+T2951)))</f>
        <v/>
      </c>
      <c r="V2951" s="63"/>
      <c r="W2951" s="64"/>
      <c r="X2951" s="63"/>
    </row>
    <row r="2952" spans="2:24">
      <c r="B2952" s="58"/>
      <c r="C2952" s="59"/>
      <c r="D2952" s="59"/>
      <c r="E2952" s="59"/>
      <c r="F2952" s="59"/>
      <c r="G2952" s="60">
        <f>IF(OR(E2952="",F2952="",C2952="",D2952=""),"",IF(C2952+D2952=0,"",(E2952*C2952+F2952*D2952)/(C2952+D2952)))</f>
        <v/>
      </c>
      <c r="H2952" s="59"/>
      <c r="I2952" s="60">
        <f>IF(OR(H2952="",E2952="",C2952="",D2952=""),"",IF(C2952+D2952=0,"",(H2952*D2952+E2952*C2952)/(C2952+D2952)))</f>
        <v/>
      </c>
      <c r="J2952" s="59"/>
      <c r="K2952" s="61">
        <f>IF(OR(J2952="",I2952=""),"",J2952-I2952)</f>
        <v/>
      </c>
      <c r="L2952" s="61">
        <f>IF(OR(J2952="",G2952=""),"",J2952-G2952)</f>
        <v/>
      </c>
      <c r="M2952" s="59"/>
      <c r="N2952" s="59"/>
      <c r="O2952" s="59"/>
      <c r="P2952" s="59"/>
      <c r="Q2952" s="59"/>
      <c r="R2952" s="60">
        <f>IF(AND(P2952="",Q2952=""),"",N(P2952)+N(Q2952))</f>
        <v/>
      </c>
      <c r="S2952" s="59"/>
      <c r="T2952" s="59"/>
      <c r="U2952" s="62">
        <f>IF(OR(R2952="",S2952="",T2952=""),"",IF(S2952+T2952=0,"",R2952/(S2952+T2952)))</f>
        <v/>
      </c>
      <c r="V2952" s="63"/>
      <c r="W2952" s="64"/>
      <c r="X2952" s="63"/>
    </row>
    <row r="2953" spans="2:24">
      <c r="B2953" s="58"/>
      <c r="C2953" s="59"/>
      <c r="D2953" s="59"/>
      <c r="E2953" s="59"/>
      <c r="F2953" s="59"/>
      <c r="G2953" s="60">
        <f>IF(OR(E2953="",F2953="",C2953="",D2953=""),"",IF(C2953+D2953=0,"",(E2953*C2953+F2953*D2953)/(C2953+D2953)))</f>
        <v/>
      </c>
      <c r="H2953" s="59"/>
      <c r="I2953" s="60">
        <f>IF(OR(H2953="",E2953="",C2953="",D2953=""),"",IF(C2953+D2953=0,"",(H2953*D2953+E2953*C2953)/(C2953+D2953)))</f>
        <v/>
      </c>
      <c r="J2953" s="59"/>
      <c r="K2953" s="61">
        <f>IF(OR(J2953="",I2953=""),"",J2953-I2953)</f>
        <v/>
      </c>
      <c r="L2953" s="61">
        <f>IF(OR(J2953="",G2953=""),"",J2953-G2953)</f>
        <v/>
      </c>
      <c r="M2953" s="59"/>
      <c r="N2953" s="59"/>
      <c r="O2953" s="59"/>
      <c r="P2953" s="59"/>
      <c r="Q2953" s="59"/>
      <c r="R2953" s="60">
        <f>IF(AND(P2953="",Q2953=""),"",N(P2953)+N(Q2953))</f>
        <v/>
      </c>
      <c r="S2953" s="59"/>
      <c r="T2953" s="59"/>
      <c r="U2953" s="62">
        <f>IF(OR(R2953="",S2953="",T2953=""),"",IF(S2953+T2953=0,"",R2953/(S2953+T2953)))</f>
        <v/>
      </c>
      <c r="V2953" s="63"/>
      <c r="W2953" s="64"/>
      <c r="X2953" s="63"/>
    </row>
    <row r="2954" spans="2:24">
      <c r="B2954" s="58"/>
      <c r="C2954" s="59"/>
      <c r="D2954" s="59"/>
      <c r="E2954" s="59"/>
      <c r="F2954" s="59"/>
      <c r="G2954" s="60">
        <f>IF(OR(E2954="",F2954="",C2954="",D2954=""),"",IF(C2954+D2954=0,"",(E2954*C2954+F2954*D2954)/(C2954+D2954)))</f>
        <v/>
      </c>
      <c r="H2954" s="59"/>
      <c r="I2954" s="60">
        <f>IF(OR(H2954="",E2954="",C2954="",D2954=""),"",IF(C2954+D2954=0,"",(H2954*D2954+E2954*C2954)/(C2954+D2954)))</f>
        <v/>
      </c>
      <c r="J2954" s="59"/>
      <c r="K2954" s="61">
        <f>IF(OR(J2954="",I2954=""),"",J2954-I2954)</f>
        <v/>
      </c>
      <c r="L2954" s="61">
        <f>IF(OR(J2954="",G2954=""),"",J2954-G2954)</f>
        <v/>
      </c>
      <c r="M2954" s="59"/>
      <c r="N2954" s="59"/>
      <c r="O2954" s="59"/>
      <c r="P2954" s="59"/>
      <c r="Q2954" s="59"/>
      <c r="R2954" s="60">
        <f>IF(AND(P2954="",Q2954=""),"",N(P2954)+N(Q2954))</f>
        <v/>
      </c>
      <c r="S2954" s="59"/>
      <c r="T2954" s="59"/>
      <c r="U2954" s="62">
        <f>IF(OR(R2954="",S2954="",T2954=""),"",IF(S2954+T2954=0,"",R2954/(S2954+T2954)))</f>
        <v/>
      </c>
      <c r="V2954" s="63"/>
      <c r="W2954" s="64"/>
      <c r="X2954" s="63"/>
    </row>
    <row r="2955" spans="2:24">
      <c r="B2955" s="58"/>
      <c r="C2955" s="59"/>
      <c r="D2955" s="59"/>
      <c r="E2955" s="59"/>
      <c r="F2955" s="59"/>
      <c r="G2955" s="60">
        <f>IF(OR(E2955="",F2955="",C2955="",D2955=""),"",IF(C2955+D2955=0,"",(E2955*C2955+F2955*D2955)/(C2955+D2955)))</f>
        <v/>
      </c>
      <c r="H2955" s="59"/>
      <c r="I2955" s="60">
        <f>IF(OR(H2955="",E2955="",C2955="",D2955=""),"",IF(C2955+D2955=0,"",(H2955*D2955+E2955*C2955)/(C2955+D2955)))</f>
        <v/>
      </c>
      <c r="J2955" s="59"/>
      <c r="K2955" s="61">
        <f>IF(OR(J2955="",I2955=""),"",J2955-I2955)</f>
        <v/>
      </c>
      <c r="L2955" s="61">
        <f>IF(OR(J2955="",G2955=""),"",J2955-G2955)</f>
        <v/>
      </c>
      <c r="M2955" s="59"/>
      <c r="N2955" s="59"/>
      <c r="O2955" s="59"/>
      <c r="P2955" s="59"/>
      <c r="Q2955" s="59"/>
      <c r="R2955" s="60">
        <f>IF(AND(P2955="",Q2955=""),"",N(P2955)+N(Q2955))</f>
        <v/>
      </c>
      <c r="S2955" s="59"/>
      <c r="T2955" s="59"/>
      <c r="U2955" s="62">
        <f>IF(OR(R2955="",S2955="",T2955=""),"",IF(S2955+T2955=0,"",R2955/(S2955+T2955)))</f>
        <v/>
      </c>
      <c r="V2955" s="63"/>
      <c r="W2955" s="64"/>
      <c r="X2955" s="63"/>
    </row>
    <row r="2956" spans="2:24">
      <c r="B2956" s="58"/>
      <c r="C2956" s="59"/>
      <c r="D2956" s="59"/>
      <c r="E2956" s="59"/>
      <c r="F2956" s="59"/>
      <c r="G2956" s="60">
        <f>IF(OR(E2956="",F2956="",C2956="",D2956=""),"",IF(C2956+D2956=0,"",(E2956*C2956+F2956*D2956)/(C2956+D2956)))</f>
        <v/>
      </c>
      <c r="H2956" s="59"/>
      <c r="I2956" s="60">
        <f>IF(OR(H2956="",E2956="",C2956="",D2956=""),"",IF(C2956+D2956=0,"",(H2956*D2956+E2956*C2956)/(C2956+D2956)))</f>
        <v/>
      </c>
      <c r="J2956" s="59"/>
      <c r="K2956" s="61">
        <f>IF(OR(J2956="",I2956=""),"",J2956-I2956)</f>
        <v/>
      </c>
      <c r="L2956" s="61">
        <f>IF(OR(J2956="",G2956=""),"",J2956-G2956)</f>
        <v/>
      </c>
      <c r="M2956" s="59"/>
      <c r="N2956" s="59"/>
      <c r="O2956" s="59"/>
      <c r="P2956" s="59"/>
      <c r="Q2956" s="59"/>
      <c r="R2956" s="60">
        <f>IF(AND(P2956="",Q2956=""),"",N(P2956)+N(Q2956))</f>
        <v/>
      </c>
      <c r="S2956" s="59"/>
      <c r="T2956" s="59"/>
      <c r="U2956" s="62">
        <f>IF(OR(R2956="",S2956="",T2956=""),"",IF(S2956+T2956=0,"",R2956/(S2956+T2956)))</f>
        <v/>
      </c>
      <c r="V2956" s="63"/>
      <c r="W2956" s="64"/>
      <c r="X2956" s="63"/>
    </row>
    <row r="2957" spans="2:24">
      <c r="B2957" s="58"/>
      <c r="C2957" s="59"/>
      <c r="D2957" s="59"/>
      <c r="E2957" s="59"/>
      <c r="F2957" s="59"/>
      <c r="G2957" s="60">
        <f>IF(OR(E2957="",F2957="",C2957="",D2957=""),"",IF(C2957+D2957=0,"",(E2957*C2957+F2957*D2957)/(C2957+D2957)))</f>
        <v/>
      </c>
      <c r="H2957" s="59"/>
      <c r="I2957" s="60">
        <f>IF(OR(H2957="",E2957="",C2957="",D2957=""),"",IF(C2957+D2957=0,"",(H2957*D2957+E2957*C2957)/(C2957+D2957)))</f>
        <v/>
      </c>
      <c r="J2957" s="59"/>
      <c r="K2957" s="61">
        <f>IF(OR(J2957="",I2957=""),"",J2957-I2957)</f>
        <v/>
      </c>
      <c r="L2957" s="61">
        <f>IF(OR(J2957="",G2957=""),"",J2957-G2957)</f>
        <v/>
      </c>
      <c r="M2957" s="59"/>
      <c r="N2957" s="59"/>
      <c r="O2957" s="59"/>
      <c r="P2957" s="59"/>
      <c r="Q2957" s="59"/>
      <c r="R2957" s="60">
        <f>IF(AND(P2957="",Q2957=""),"",N(P2957)+N(Q2957))</f>
        <v/>
      </c>
      <c r="S2957" s="59"/>
      <c r="T2957" s="59"/>
      <c r="U2957" s="62">
        <f>IF(OR(R2957="",S2957="",T2957=""),"",IF(S2957+T2957=0,"",R2957/(S2957+T2957)))</f>
        <v/>
      </c>
      <c r="V2957" s="63"/>
      <c r="W2957" s="64"/>
      <c r="X2957" s="63"/>
    </row>
    <row r="2958" spans="2:24">
      <c r="B2958" s="58"/>
      <c r="C2958" s="59"/>
      <c r="D2958" s="59"/>
      <c r="E2958" s="59"/>
      <c r="F2958" s="59"/>
      <c r="G2958" s="60">
        <f>IF(OR(E2958="",F2958="",C2958="",D2958=""),"",IF(C2958+D2958=0,"",(E2958*C2958+F2958*D2958)/(C2958+D2958)))</f>
        <v/>
      </c>
      <c r="H2958" s="59"/>
      <c r="I2958" s="60">
        <f>IF(OR(H2958="",E2958="",C2958="",D2958=""),"",IF(C2958+D2958=0,"",(H2958*D2958+E2958*C2958)/(C2958+D2958)))</f>
        <v/>
      </c>
      <c r="J2958" s="59"/>
      <c r="K2958" s="61">
        <f>IF(OR(J2958="",I2958=""),"",J2958-I2958)</f>
        <v/>
      </c>
      <c r="L2958" s="61">
        <f>IF(OR(J2958="",G2958=""),"",J2958-G2958)</f>
        <v/>
      </c>
      <c r="M2958" s="59"/>
      <c r="N2958" s="59"/>
      <c r="O2958" s="59"/>
      <c r="P2958" s="59"/>
      <c r="Q2958" s="59"/>
      <c r="R2958" s="60">
        <f>IF(AND(P2958="",Q2958=""),"",N(P2958)+N(Q2958))</f>
        <v/>
      </c>
      <c r="S2958" s="59"/>
      <c r="T2958" s="59"/>
      <c r="U2958" s="62">
        <f>IF(OR(R2958="",S2958="",T2958=""),"",IF(S2958+T2958=0,"",R2958/(S2958+T2958)))</f>
        <v/>
      </c>
      <c r="V2958" s="63"/>
      <c r="W2958" s="64"/>
      <c r="X2958" s="63"/>
    </row>
    <row r="2959" spans="2:24">
      <c r="B2959" s="58"/>
      <c r="C2959" s="59"/>
      <c r="D2959" s="59"/>
      <c r="E2959" s="59"/>
      <c r="F2959" s="59"/>
      <c r="G2959" s="60">
        <f>IF(OR(E2959="",F2959="",C2959="",D2959=""),"",IF(C2959+D2959=0,"",(E2959*C2959+F2959*D2959)/(C2959+D2959)))</f>
        <v/>
      </c>
      <c r="H2959" s="59"/>
      <c r="I2959" s="60">
        <f>IF(OR(H2959="",E2959="",C2959="",D2959=""),"",IF(C2959+D2959=0,"",(H2959*D2959+E2959*C2959)/(C2959+D2959)))</f>
        <v/>
      </c>
      <c r="J2959" s="59"/>
      <c r="K2959" s="61">
        <f>IF(OR(J2959="",I2959=""),"",J2959-I2959)</f>
        <v/>
      </c>
      <c r="L2959" s="61">
        <f>IF(OR(J2959="",G2959=""),"",J2959-G2959)</f>
        <v/>
      </c>
      <c r="M2959" s="59"/>
      <c r="N2959" s="59"/>
      <c r="O2959" s="59"/>
      <c r="P2959" s="59"/>
      <c r="Q2959" s="59"/>
      <c r="R2959" s="60">
        <f>IF(AND(P2959="",Q2959=""),"",N(P2959)+N(Q2959))</f>
        <v/>
      </c>
      <c r="S2959" s="59"/>
      <c r="T2959" s="59"/>
      <c r="U2959" s="62">
        <f>IF(OR(R2959="",S2959="",T2959=""),"",IF(S2959+T2959=0,"",R2959/(S2959+T2959)))</f>
        <v/>
      </c>
      <c r="V2959" s="63"/>
      <c r="W2959" s="64"/>
      <c r="X2959" s="63"/>
    </row>
    <row r="2960" spans="2:24">
      <c r="B2960" s="58"/>
      <c r="C2960" s="59"/>
      <c r="D2960" s="59"/>
      <c r="E2960" s="59"/>
      <c r="F2960" s="59"/>
      <c r="G2960" s="60">
        <f>IF(OR(E2960="",F2960="",C2960="",D2960=""),"",IF(C2960+D2960=0,"",(E2960*C2960+F2960*D2960)/(C2960+D2960)))</f>
        <v/>
      </c>
      <c r="H2960" s="59"/>
      <c r="I2960" s="60">
        <f>IF(OR(H2960="",E2960="",C2960="",D2960=""),"",IF(C2960+D2960=0,"",(H2960*D2960+E2960*C2960)/(C2960+D2960)))</f>
        <v/>
      </c>
      <c r="J2960" s="59"/>
      <c r="K2960" s="61">
        <f>IF(OR(J2960="",I2960=""),"",J2960-I2960)</f>
        <v/>
      </c>
      <c r="L2960" s="61">
        <f>IF(OR(J2960="",G2960=""),"",J2960-G2960)</f>
        <v/>
      </c>
      <c r="M2960" s="59"/>
      <c r="N2960" s="59"/>
      <c r="O2960" s="59"/>
      <c r="P2960" s="59"/>
      <c r="Q2960" s="59"/>
      <c r="R2960" s="60">
        <f>IF(AND(P2960="",Q2960=""),"",N(P2960)+N(Q2960))</f>
        <v/>
      </c>
      <c r="S2960" s="59"/>
      <c r="T2960" s="59"/>
      <c r="U2960" s="62">
        <f>IF(OR(R2960="",S2960="",T2960=""),"",IF(S2960+T2960=0,"",R2960/(S2960+T2960)))</f>
        <v/>
      </c>
      <c r="V2960" s="63"/>
      <c r="W2960" s="64"/>
      <c r="X2960" s="63"/>
    </row>
    <row r="2961" spans="2:24">
      <c r="B2961" s="58"/>
      <c r="C2961" s="59"/>
      <c r="D2961" s="59"/>
      <c r="E2961" s="59"/>
      <c r="F2961" s="59"/>
      <c r="G2961" s="60">
        <f>IF(OR(E2961="",F2961="",C2961="",D2961=""),"",IF(C2961+D2961=0,"",(E2961*C2961+F2961*D2961)/(C2961+D2961)))</f>
        <v/>
      </c>
      <c r="H2961" s="59"/>
      <c r="I2961" s="60">
        <f>IF(OR(H2961="",E2961="",C2961="",D2961=""),"",IF(C2961+D2961=0,"",(H2961*D2961+E2961*C2961)/(C2961+D2961)))</f>
        <v/>
      </c>
      <c r="J2961" s="59"/>
      <c r="K2961" s="61">
        <f>IF(OR(J2961="",I2961=""),"",J2961-I2961)</f>
        <v/>
      </c>
      <c r="L2961" s="61">
        <f>IF(OR(J2961="",G2961=""),"",J2961-G2961)</f>
        <v/>
      </c>
      <c r="M2961" s="59"/>
      <c r="N2961" s="59"/>
      <c r="O2961" s="59"/>
      <c r="P2961" s="59"/>
      <c r="Q2961" s="59"/>
      <c r="R2961" s="60">
        <f>IF(AND(P2961="",Q2961=""),"",N(P2961)+N(Q2961))</f>
        <v/>
      </c>
      <c r="S2961" s="59"/>
      <c r="T2961" s="59"/>
      <c r="U2961" s="62">
        <f>IF(OR(R2961="",S2961="",T2961=""),"",IF(S2961+T2961=0,"",R2961/(S2961+T2961)))</f>
        <v/>
      </c>
      <c r="V2961" s="63"/>
      <c r="W2961" s="64"/>
      <c r="X2961" s="63"/>
    </row>
    <row r="2962" spans="2:24">
      <c r="B2962" s="58"/>
      <c r="C2962" s="59"/>
      <c r="D2962" s="59"/>
      <c r="E2962" s="59"/>
      <c r="F2962" s="59"/>
      <c r="G2962" s="60">
        <f>IF(OR(E2962="",F2962="",C2962="",D2962=""),"",IF(C2962+D2962=0,"",(E2962*C2962+F2962*D2962)/(C2962+D2962)))</f>
        <v/>
      </c>
      <c r="H2962" s="59"/>
      <c r="I2962" s="60">
        <f>IF(OR(H2962="",E2962="",C2962="",D2962=""),"",IF(C2962+D2962=0,"",(H2962*D2962+E2962*C2962)/(C2962+D2962)))</f>
        <v/>
      </c>
      <c r="J2962" s="59"/>
      <c r="K2962" s="61">
        <f>IF(OR(J2962="",I2962=""),"",J2962-I2962)</f>
        <v/>
      </c>
      <c r="L2962" s="61">
        <f>IF(OR(J2962="",G2962=""),"",J2962-G2962)</f>
        <v/>
      </c>
      <c r="M2962" s="59"/>
      <c r="N2962" s="59"/>
      <c r="O2962" s="59"/>
      <c r="P2962" s="59"/>
      <c r="Q2962" s="59"/>
      <c r="R2962" s="60">
        <f>IF(AND(P2962="",Q2962=""),"",N(P2962)+N(Q2962))</f>
        <v/>
      </c>
      <c r="S2962" s="59"/>
      <c r="T2962" s="59"/>
      <c r="U2962" s="62">
        <f>IF(OR(R2962="",S2962="",T2962=""),"",IF(S2962+T2962=0,"",R2962/(S2962+T2962)))</f>
        <v/>
      </c>
      <c r="V2962" s="63"/>
      <c r="W2962" s="64"/>
      <c r="X2962" s="63"/>
    </row>
    <row r="2963" spans="2:24">
      <c r="B2963" s="58"/>
      <c r="C2963" s="59"/>
      <c r="D2963" s="59"/>
      <c r="E2963" s="59"/>
      <c r="F2963" s="59"/>
      <c r="G2963" s="60">
        <f>IF(OR(E2963="",F2963="",C2963="",D2963=""),"",IF(C2963+D2963=0,"",(E2963*C2963+F2963*D2963)/(C2963+D2963)))</f>
        <v/>
      </c>
      <c r="H2963" s="59"/>
      <c r="I2963" s="60">
        <f>IF(OR(H2963="",E2963="",C2963="",D2963=""),"",IF(C2963+D2963=0,"",(H2963*D2963+E2963*C2963)/(C2963+D2963)))</f>
        <v/>
      </c>
      <c r="J2963" s="59"/>
      <c r="K2963" s="61">
        <f>IF(OR(J2963="",I2963=""),"",J2963-I2963)</f>
        <v/>
      </c>
      <c r="L2963" s="61">
        <f>IF(OR(J2963="",G2963=""),"",J2963-G2963)</f>
        <v/>
      </c>
      <c r="M2963" s="59"/>
      <c r="N2963" s="59"/>
      <c r="O2963" s="59"/>
      <c r="P2963" s="59"/>
      <c r="Q2963" s="59"/>
      <c r="R2963" s="60">
        <f>IF(AND(P2963="",Q2963=""),"",N(P2963)+N(Q2963))</f>
        <v/>
      </c>
      <c r="S2963" s="59"/>
      <c r="T2963" s="59"/>
      <c r="U2963" s="62">
        <f>IF(OR(R2963="",S2963="",T2963=""),"",IF(S2963+T2963=0,"",R2963/(S2963+T2963)))</f>
        <v/>
      </c>
      <c r="V2963" s="63"/>
      <c r="W2963" s="64"/>
      <c r="X2963" s="63"/>
    </row>
    <row r="2964" spans="2:24">
      <c r="B2964" s="58"/>
      <c r="C2964" s="59"/>
      <c r="D2964" s="59"/>
      <c r="E2964" s="59"/>
      <c r="F2964" s="59"/>
      <c r="G2964" s="60">
        <f>IF(OR(E2964="",F2964="",C2964="",D2964=""),"",IF(C2964+D2964=0,"",(E2964*C2964+F2964*D2964)/(C2964+D2964)))</f>
        <v/>
      </c>
      <c r="H2964" s="59"/>
      <c r="I2964" s="60">
        <f>IF(OR(H2964="",E2964="",C2964="",D2964=""),"",IF(C2964+D2964=0,"",(H2964*D2964+E2964*C2964)/(C2964+D2964)))</f>
        <v/>
      </c>
      <c r="J2964" s="59"/>
      <c r="K2964" s="61">
        <f>IF(OR(J2964="",I2964=""),"",J2964-I2964)</f>
        <v/>
      </c>
      <c r="L2964" s="61">
        <f>IF(OR(J2964="",G2964=""),"",J2964-G2964)</f>
        <v/>
      </c>
      <c r="M2964" s="59"/>
      <c r="N2964" s="59"/>
      <c r="O2964" s="59"/>
      <c r="P2964" s="59"/>
      <c r="Q2964" s="59"/>
      <c r="R2964" s="60">
        <f>IF(AND(P2964="",Q2964=""),"",N(P2964)+N(Q2964))</f>
        <v/>
      </c>
      <c r="S2964" s="59"/>
      <c r="T2964" s="59"/>
      <c r="U2964" s="62">
        <f>IF(OR(R2964="",S2964="",T2964=""),"",IF(S2964+T2964=0,"",R2964/(S2964+T2964)))</f>
        <v/>
      </c>
      <c r="V2964" s="63"/>
      <c r="W2964" s="64"/>
      <c r="X2964" s="63"/>
    </row>
    <row r="2965" spans="2:24">
      <c r="B2965" s="58"/>
      <c r="C2965" s="59"/>
      <c r="D2965" s="59"/>
      <c r="E2965" s="59"/>
      <c r="F2965" s="59"/>
      <c r="G2965" s="60">
        <f>IF(OR(E2965="",F2965="",C2965="",D2965=""),"",IF(C2965+D2965=0,"",(E2965*C2965+F2965*D2965)/(C2965+D2965)))</f>
        <v/>
      </c>
      <c r="H2965" s="59"/>
      <c r="I2965" s="60">
        <f>IF(OR(H2965="",E2965="",C2965="",D2965=""),"",IF(C2965+D2965=0,"",(H2965*D2965+E2965*C2965)/(C2965+D2965)))</f>
        <v/>
      </c>
      <c r="J2965" s="59"/>
      <c r="K2965" s="61">
        <f>IF(OR(J2965="",I2965=""),"",J2965-I2965)</f>
        <v/>
      </c>
      <c r="L2965" s="61">
        <f>IF(OR(J2965="",G2965=""),"",J2965-G2965)</f>
        <v/>
      </c>
      <c r="M2965" s="59"/>
      <c r="N2965" s="59"/>
      <c r="O2965" s="59"/>
      <c r="P2965" s="59"/>
      <c r="Q2965" s="59"/>
      <c r="R2965" s="60">
        <f>IF(AND(P2965="",Q2965=""),"",N(P2965)+N(Q2965))</f>
        <v/>
      </c>
      <c r="S2965" s="59"/>
      <c r="T2965" s="59"/>
      <c r="U2965" s="62">
        <f>IF(OR(R2965="",S2965="",T2965=""),"",IF(S2965+T2965=0,"",R2965/(S2965+T2965)))</f>
        <v/>
      </c>
      <c r="V2965" s="63"/>
      <c r="W2965" s="64"/>
      <c r="X2965" s="63"/>
    </row>
    <row r="2966" spans="2:24">
      <c r="B2966" s="58"/>
      <c r="C2966" s="59"/>
      <c r="D2966" s="59"/>
      <c r="E2966" s="59"/>
      <c r="F2966" s="59"/>
      <c r="G2966" s="60">
        <f>IF(OR(E2966="",F2966="",C2966="",D2966=""),"",IF(C2966+D2966=0,"",(E2966*C2966+F2966*D2966)/(C2966+D2966)))</f>
        <v/>
      </c>
      <c r="H2966" s="59"/>
      <c r="I2966" s="60">
        <f>IF(OR(H2966="",E2966="",C2966="",D2966=""),"",IF(C2966+D2966=0,"",(H2966*D2966+E2966*C2966)/(C2966+D2966)))</f>
        <v/>
      </c>
      <c r="J2966" s="59"/>
      <c r="K2966" s="61">
        <f>IF(OR(J2966="",I2966=""),"",J2966-I2966)</f>
        <v/>
      </c>
      <c r="L2966" s="61">
        <f>IF(OR(J2966="",G2966=""),"",J2966-G2966)</f>
        <v/>
      </c>
      <c r="M2966" s="59"/>
      <c r="N2966" s="59"/>
      <c r="O2966" s="59"/>
      <c r="P2966" s="59"/>
      <c r="Q2966" s="59"/>
      <c r="R2966" s="60">
        <f>IF(AND(P2966="",Q2966=""),"",N(P2966)+N(Q2966))</f>
        <v/>
      </c>
      <c r="S2966" s="59"/>
      <c r="T2966" s="59"/>
      <c r="U2966" s="62">
        <f>IF(OR(R2966="",S2966="",T2966=""),"",IF(S2966+T2966=0,"",R2966/(S2966+T2966)))</f>
        <v/>
      </c>
      <c r="V2966" s="63"/>
      <c r="W2966" s="64"/>
      <c r="X2966" s="63"/>
    </row>
    <row r="2967" spans="2:24">
      <c r="B2967" s="58"/>
      <c r="C2967" s="59"/>
      <c r="D2967" s="59"/>
      <c r="E2967" s="59"/>
      <c r="F2967" s="59"/>
      <c r="G2967" s="60">
        <f>IF(OR(E2967="",F2967="",C2967="",D2967=""),"",IF(C2967+D2967=0,"",(E2967*C2967+F2967*D2967)/(C2967+D2967)))</f>
        <v/>
      </c>
      <c r="H2967" s="59"/>
      <c r="I2967" s="60">
        <f>IF(OR(H2967="",E2967="",C2967="",D2967=""),"",IF(C2967+D2967=0,"",(H2967*D2967+E2967*C2967)/(C2967+D2967)))</f>
        <v/>
      </c>
      <c r="J2967" s="59"/>
      <c r="K2967" s="61">
        <f>IF(OR(J2967="",I2967=""),"",J2967-I2967)</f>
        <v/>
      </c>
      <c r="L2967" s="61">
        <f>IF(OR(J2967="",G2967=""),"",J2967-G2967)</f>
        <v/>
      </c>
      <c r="M2967" s="59"/>
      <c r="N2967" s="59"/>
      <c r="O2967" s="59"/>
      <c r="P2967" s="59"/>
      <c r="Q2967" s="59"/>
      <c r="R2967" s="60">
        <f>IF(AND(P2967="",Q2967=""),"",N(P2967)+N(Q2967))</f>
        <v/>
      </c>
      <c r="S2967" s="59"/>
      <c r="T2967" s="59"/>
      <c r="U2967" s="62">
        <f>IF(OR(R2967="",S2967="",T2967=""),"",IF(S2967+T2967=0,"",R2967/(S2967+T2967)))</f>
        <v/>
      </c>
      <c r="V2967" s="63"/>
      <c r="W2967" s="64"/>
      <c r="X2967" s="63"/>
    </row>
    <row r="2968" spans="2:24">
      <c r="B2968" s="58"/>
      <c r="C2968" s="59"/>
      <c r="D2968" s="59"/>
      <c r="E2968" s="59"/>
      <c r="F2968" s="59"/>
      <c r="G2968" s="60">
        <f>IF(OR(E2968="",F2968="",C2968="",D2968=""),"",IF(C2968+D2968=0,"",(E2968*C2968+F2968*D2968)/(C2968+D2968)))</f>
        <v/>
      </c>
      <c r="H2968" s="59"/>
      <c r="I2968" s="60">
        <f>IF(OR(H2968="",E2968="",C2968="",D2968=""),"",IF(C2968+D2968=0,"",(H2968*D2968+E2968*C2968)/(C2968+D2968)))</f>
        <v/>
      </c>
      <c r="J2968" s="59"/>
      <c r="K2968" s="61">
        <f>IF(OR(J2968="",I2968=""),"",J2968-I2968)</f>
        <v/>
      </c>
      <c r="L2968" s="61">
        <f>IF(OR(J2968="",G2968=""),"",J2968-G2968)</f>
        <v/>
      </c>
      <c r="M2968" s="59"/>
      <c r="N2968" s="59"/>
      <c r="O2968" s="59"/>
      <c r="P2968" s="59"/>
      <c r="Q2968" s="59"/>
      <c r="R2968" s="60">
        <f>IF(AND(P2968="",Q2968=""),"",N(P2968)+N(Q2968))</f>
        <v/>
      </c>
      <c r="S2968" s="59"/>
      <c r="T2968" s="59"/>
      <c r="U2968" s="62">
        <f>IF(OR(R2968="",S2968="",T2968=""),"",IF(S2968+T2968=0,"",R2968/(S2968+T2968)))</f>
        <v/>
      </c>
      <c r="V2968" s="63"/>
      <c r="W2968" s="64"/>
      <c r="X2968" s="63"/>
    </row>
    <row r="2969" spans="2:24">
      <c r="B2969" s="58"/>
      <c r="C2969" s="59"/>
      <c r="D2969" s="59"/>
      <c r="E2969" s="59"/>
      <c r="F2969" s="59"/>
      <c r="G2969" s="60">
        <f>IF(OR(E2969="",F2969="",C2969="",D2969=""),"",IF(C2969+D2969=0,"",(E2969*C2969+F2969*D2969)/(C2969+D2969)))</f>
        <v/>
      </c>
      <c r="H2969" s="59"/>
      <c r="I2969" s="60">
        <f>IF(OR(H2969="",E2969="",C2969="",D2969=""),"",IF(C2969+D2969=0,"",(H2969*D2969+E2969*C2969)/(C2969+D2969)))</f>
        <v/>
      </c>
      <c r="J2969" s="59"/>
      <c r="K2969" s="61">
        <f>IF(OR(J2969="",I2969=""),"",J2969-I2969)</f>
        <v/>
      </c>
      <c r="L2969" s="61">
        <f>IF(OR(J2969="",G2969=""),"",J2969-G2969)</f>
        <v/>
      </c>
      <c r="M2969" s="59"/>
      <c r="N2969" s="59"/>
      <c r="O2969" s="59"/>
      <c r="P2969" s="59"/>
      <c r="Q2969" s="59"/>
      <c r="R2969" s="60">
        <f>IF(AND(P2969="",Q2969=""),"",N(P2969)+N(Q2969))</f>
        <v/>
      </c>
      <c r="S2969" s="59"/>
      <c r="T2969" s="59"/>
      <c r="U2969" s="62">
        <f>IF(OR(R2969="",S2969="",T2969=""),"",IF(S2969+T2969=0,"",R2969/(S2969+T2969)))</f>
        <v/>
      </c>
      <c r="V2969" s="63"/>
      <c r="W2969" s="64"/>
      <c r="X2969" s="63"/>
    </row>
    <row r="2970" spans="2:24">
      <c r="B2970" s="58"/>
      <c r="C2970" s="59"/>
      <c r="D2970" s="59"/>
      <c r="E2970" s="59"/>
      <c r="F2970" s="59"/>
      <c r="G2970" s="60">
        <f>IF(OR(E2970="",F2970="",C2970="",D2970=""),"",IF(C2970+D2970=0,"",(E2970*C2970+F2970*D2970)/(C2970+D2970)))</f>
        <v/>
      </c>
      <c r="H2970" s="59"/>
      <c r="I2970" s="60">
        <f>IF(OR(H2970="",E2970="",C2970="",D2970=""),"",IF(C2970+D2970=0,"",(H2970*D2970+E2970*C2970)/(C2970+D2970)))</f>
        <v/>
      </c>
      <c r="J2970" s="59"/>
      <c r="K2970" s="61">
        <f>IF(OR(J2970="",I2970=""),"",J2970-I2970)</f>
        <v/>
      </c>
      <c r="L2970" s="61">
        <f>IF(OR(J2970="",G2970=""),"",J2970-G2970)</f>
        <v/>
      </c>
      <c r="M2970" s="59"/>
      <c r="N2970" s="59"/>
      <c r="O2970" s="59"/>
      <c r="P2970" s="59"/>
      <c r="Q2970" s="59"/>
      <c r="R2970" s="60">
        <f>IF(AND(P2970="",Q2970=""),"",N(P2970)+N(Q2970))</f>
        <v/>
      </c>
      <c r="S2970" s="59"/>
      <c r="T2970" s="59"/>
      <c r="U2970" s="62">
        <f>IF(OR(R2970="",S2970="",T2970=""),"",IF(S2970+T2970=0,"",R2970/(S2970+T2970)))</f>
        <v/>
      </c>
      <c r="V2970" s="63"/>
      <c r="W2970" s="64"/>
      <c r="X2970" s="63"/>
    </row>
    <row r="2971" spans="2:24">
      <c r="B2971" s="58"/>
      <c r="C2971" s="59"/>
      <c r="D2971" s="59"/>
      <c r="E2971" s="59"/>
      <c r="F2971" s="59"/>
      <c r="G2971" s="60">
        <f>IF(OR(E2971="",F2971="",C2971="",D2971=""),"",IF(C2971+D2971=0,"",(E2971*C2971+F2971*D2971)/(C2971+D2971)))</f>
        <v/>
      </c>
      <c r="H2971" s="59"/>
      <c r="I2971" s="60">
        <f>IF(OR(H2971="",E2971="",C2971="",D2971=""),"",IF(C2971+D2971=0,"",(H2971*D2971+E2971*C2971)/(C2971+D2971)))</f>
        <v/>
      </c>
      <c r="J2971" s="59"/>
      <c r="K2971" s="61">
        <f>IF(OR(J2971="",I2971=""),"",J2971-I2971)</f>
        <v/>
      </c>
      <c r="L2971" s="61">
        <f>IF(OR(J2971="",G2971=""),"",J2971-G2971)</f>
        <v/>
      </c>
      <c r="M2971" s="59"/>
      <c r="N2971" s="59"/>
      <c r="O2971" s="59"/>
      <c r="P2971" s="59"/>
      <c r="Q2971" s="59"/>
      <c r="R2971" s="60">
        <f>IF(AND(P2971="",Q2971=""),"",N(P2971)+N(Q2971))</f>
        <v/>
      </c>
      <c r="S2971" s="59"/>
      <c r="T2971" s="59"/>
      <c r="U2971" s="62">
        <f>IF(OR(R2971="",S2971="",T2971=""),"",IF(S2971+T2971=0,"",R2971/(S2971+T2971)))</f>
        <v/>
      </c>
      <c r="V2971" s="63"/>
      <c r="W2971" s="64"/>
      <c r="X2971" s="63"/>
    </row>
    <row r="2972" spans="2:24">
      <c r="B2972" s="58"/>
      <c r="C2972" s="59"/>
      <c r="D2972" s="59"/>
      <c r="E2972" s="59"/>
      <c r="F2972" s="59"/>
      <c r="G2972" s="60">
        <f>IF(OR(E2972="",F2972="",C2972="",D2972=""),"",IF(C2972+D2972=0,"",(E2972*C2972+F2972*D2972)/(C2972+D2972)))</f>
        <v/>
      </c>
      <c r="H2972" s="59"/>
      <c r="I2972" s="60">
        <f>IF(OR(H2972="",E2972="",C2972="",D2972=""),"",IF(C2972+D2972=0,"",(H2972*D2972+E2972*C2972)/(C2972+D2972)))</f>
        <v/>
      </c>
      <c r="J2972" s="59"/>
      <c r="K2972" s="61">
        <f>IF(OR(J2972="",I2972=""),"",J2972-I2972)</f>
        <v/>
      </c>
      <c r="L2972" s="61">
        <f>IF(OR(J2972="",G2972=""),"",J2972-G2972)</f>
        <v/>
      </c>
      <c r="M2972" s="59"/>
      <c r="N2972" s="59"/>
      <c r="O2972" s="59"/>
      <c r="P2972" s="59"/>
      <c r="Q2972" s="59"/>
      <c r="R2972" s="60">
        <f>IF(AND(P2972="",Q2972=""),"",N(P2972)+N(Q2972))</f>
        <v/>
      </c>
      <c r="S2972" s="59"/>
      <c r="T2972" s="59"/>
      <c r="U2972" s="62">
        <f>IF(OR(R2972="",S2972="",T2972=""),"",IF(S2972+T2972=0,"",R2972/(S2972+T2972)))</f>
        <v/>
      </c>
      <c r="V2972" s="63"/>
      <c r="W2972" s="64"/>
      <c r="X2972" s="63"/>
    </row>
    <row r="2973" spans="2:24">
      <c r="B2973" s="58"/>
      <c r="C2973" s="59"/>
      <c r="D2973" s="59"/>
      <c r="E2973" s="59"/>
      <c r="F2973" s="59"/>
      <c r="G2973" s="60">
        <f>IF(OR(E2973="",F2973="",C2973="",D2973=""),"",IF(C2973+D2973=0,"",(E2973*C2973+F2973*D2973)/(C2973+D2973)))</f>
        <v/>
      </c>
      <c r="H2973" s="59"/>
      <c r="I2973" s="60">
        <f>IF(OR(H2973="",E2973="",C2973="",D2973=""),"",IF(C2973+D2973=0,"",(H2973*D2973+E2973*C2973)/(C2973+D2973)))</f>
        <v/>
      </c>
      <c r="J2973" s="59"/>
      <c r="K2973" s="61">
        <f>IF(OR(J2973="",I2973=""),"",J2973-I2973)</f>
        <v/>
      </c>
      <c r="L2973" s="61">
        <f>IF(OR(J2973="",G2973=""),"",J2973-G2973)</f>
        <v/>
      </c>
      <c r="M2973" s="59"/>
      <c r="N2973" s="59"/>
      <c r="O2973" s="59"/>
      <c r="P2973" s="59"/>
      <c r="Q2973" s="59"/>
      <c r="R2973" s="60">
        <f>IF(AND(P2973="",Q2973=""),"",N(P2973)+N(Q2973))</f>
        <v/>
      </c>
      <c r="S2973" s="59"/>
      <c r="T2973" s="59"/>
      <c r="U2973" s="62">
        <f>IF(OR(R2973="",S2973="",T2973=""),"",IF(S2973+T2973=0,"",R2973/(S2973+T2973)))</f>
        <v/>
      </c>
      <c r="V2973" s="63"/>
      <c r="W2973" s="64"/>
      <c r="X2973" s="63"/>
    </row>
    <row r="2974" spans="2:24">
      <c r="B2974" s="58"/>
      <c r="C2974" s="59"/>
      <c r="D2974" s="59"/>
      <c r="E2974" s="59"/>
      <c r="F2974" s="59"/>
      <c r="G2974" s="60">
        <f>IF(OR(E2974="",F2974="",C2974="",D2974=""),"",IF(C2974+D2974=0,"",(E2974*C2974+F2974*D2974)/(C2974+D2974)))</f>
        <v/>
      </c>
      <c r="H2974" s="59"/>
      <c r="I2974" s="60">
        <f>IF(OR(H2974="",E2974="",C2974="",D2974=""),"",IF(C2974+D2974=0,"",(H2974*D2974+E2974*C2974)/(C2974+D2974)))</f>
        <v/>
      </c>
      <c r="J2974" s="59"/>
      <c r="K2974" s="61">
        <f>IF(OR(J2974="",I2974=""),"",J2974-I2974)</f>
        <v/>
      </c>
      <c r="L2974" s="61">
        <f>IF(OR(J2974="",G2974=""),"",J2974-G2974)</f>
        <v/>
      </c>
      <c r="M2974" s="59"/>
      <c r="N2974" s="59"/>
      <c r="O2974" s="59"/>
      <c r="P2974" s="59"/>
      <c r="Q2974" s="59"/>
      <c r="R2974" s="60">
        <f>IF(AND(P2974="",Q2974=""),"",N(P2974)+N(Q2974))</f>
        <v/>
      </c>
      <c r="S2974" s="59"/>
      <c r="T2974" s="59"/>
      <c r="U2974" s="62">
        <f>IF(OR(R2974="",S2974="",T2974=""),"",IF(S2974+T2974=0,"",R2974/(S2974+T2974)))</f>
        <v/>
      </c>
      <c r="V2974" s="63"/>
      <c r="W2974" s="64"/>
      <c r="X2974" s="63"/>
    </row>
    <row r="2975" spans="2:24">
      <c r="B2975" s="58"/>
      <c r="C2975" s="59"/>
      <c r="D2975" s="59"/>
      <c r="E2975" s="59"/>
      <c r="F2975" s="59"/>
      <c r="G2975" s="60">
        <f>IF(OR(E2975="",F2975="",C2975="",D2975=""),"",IF(C2975+D2975=0,"",(E2975*C2975+F2975*D2975)/(C2975+D2975)))</f>
        <v/>
      </c>
      <c r="H2975" s="59"/>
      <c r="I2975" s="60">
        <f>IF(OR(H2975="",E2975="",C2975="",D2975=""),"",IF(C2975+D2975=0,"",(H2975*D2975+E2975*C2975)/(C2975+D2975)))</f>
        <v/>
      </c>
      <c r="J2975" s="59"/>
      <c r="K2975" s="61">
        <f>IF(OR(J2975="",I2975=""),"",J2975-I2975)</f>
        <v/>
      </c>
      <c r="L2975" s="61">
        <f>IF(OR(J2975="",G2975=""),"",J2975-G2975)</f>
        <v/>
      </c>
      <c r="M2975" s="59"/>
      <c r="N2975" s="59"/>
      <c r="O2975" s="59"/>
      <c r="P2975" s="59"/>
      <c r="Q2975" s="59"/>
      <c r="R2975" s="60">
        <f>IF(AND(P2975="",Q2975=""),"",N(P2975)+N(Q2975))</f>
        <v/>
      </c>
      <c r="S2975" s="59"/>
      <c r="T2975" s="59"/>
      <c r="U2975" s="62">
        <f>IF(OR(R2975="",S2975="",T2975=""),"",IF(S2975+T2975=0,"",R2975/(S2975+T2975)))</f>
        <v/>
      </c>
      <c r="V2975" s="63"/>
      <c r="W2975" s="64"/>
      <c r="X2975" s="63"/>
    </row>
    <row r="2976" spans="2:24">
      <c r="B2976" s="58"/>
      <c r="C2976" s="59"/>
      <c r="D2976" s="59"/>
      <c r="E2976" s="59"/>
      <c r="F2976" s="59"/>
      <c r="G2976" s="60">
        <f>IF(OR(E2976="",F2976="",C2976="",D2976=""),"",IF(C2976+D2976=0,"",(E2976*C2976+F2976*D2976)/(C2976+D2976)))</f>
        <v/>
      </c>
      <c r="H2976" s="59"/>
      <c r="I2976" s="60">
        <f>IF(OR(H2976="",E2976="",C2976="",D2976=""),"",IF(C2976+D2976=0,"",(H2976*D2976+E2976*C2976)/(C2976+D2976)))</f>
        <v/>
      </c>
      <c r="J2976" s="59"/>
      <c r="K2976" s="61">
        <f>IF(OR(J2976="",I2976=""),"",J2976-I2976)</f>
        <v/>
      </c>
      <c r="L2976" s="61">
        <f>IF(OR(J2976="",G2976=""),"",J2976-G2976)</f>
        <v/>
      </c>
      <c r="M2976" s="59"/>
      <c r="N2976" s="59"/>
      <c r="O2976" s="59"/>
      <c r="P2976" s="59"/>
      <c r="Q2976" s="59"/>
      <c r="R2976" s="60">
        <f>IF(AND(P2976="",Q2976=""),"",N(P2976)+N(Q2976))</f>
        <v/>
      </c>
      <c r="S2976" s="59"/>
      <c r="T2976" s="59"/>
      <c r="U2976" s="62">
        <f>IF(OR(R2976="",S2976="",T2976=""),"",IF(S2976+T2976=0,"",R2976/(S2976+T2976)))</f>
        <v/>
      </c>
      <c r="V2976" s="63"/>
      <c r="W2976" s="64"/>
      <c r="X2976" s="63"/>
    </row>
    <row r="2977" spans="2:24">
      <c r="B2977" s="58"/>
      <c r="C2977" s="59"/>
      <c r="D2977" s="59"/>
      <c r="E2977" s="59"/>
      <c r="F2977" s="59"/>
      <c r="G2977" s="60">
        <f>IF(OR(E2977="",F2977="",C2977="",D2977=""),"",IF(C2977+D2977=0,"",(E2977*C2977+F2977*D2977)/(C2977+D2977)))</f>
        <v/>
      </c>
      <c r="H2977" s="59"/>
      <c r="I2977" s="60">
        <f>IF(OR(H2977="",E2977="",C2977="",D2977=""),"",IF(C2977+D2977=0,"",(H2977*D2977+E2977*C2977)/(C2977+D2977)))</f>
        <v/>
      </c>
      <c r="J2977" s="59"/>
      <c r="K2977" s="61">
        <f>IF(OR(J2977="",I2977=""),"",J2977-I2977)</f>
        <v/>
      </c>
      <c r="L2977" s="61">
        <f>IF(OR(J2977="",G2977=""),"",J2977-G2977)</f>
        <v/>
      </c>
      <c r="M2977" s="59"/>
      <c r="N2977" s="59"/>
      <c r="O2977" s="59"/>
      <c r="P2977" s="59"/>
      <c r="Q2977" s="59"/>
      <c r="R2977" s="60">
        <f>IF(AND(P2977="",Q2977=""),"",N(P2977)+N(Q2977))</f>
        <v/>
      </c>
      <c r="S2977" s="59"/>
      <c r="T2977" s="59"/>
      <c r="U2977" s="62">
        <f>IF(OR(R2977="",S2977="",T2977=""),"",IF(S2977+T2977=0,"",R2977/(S2977+T2977)))</f>
        <v/>
      </c>
      <c r="V2977" s="63"/>
      <c r="W2977" s="64"/>
      <c r="X2977" s="63"/>
    </row>
    <row r="2978" spans="2:24">
      <c r="B2978" s="58"/>
      <c r="C2978" s="59"/>
      <c r="D2978" s="59"/>
      <c r="E2978" s="59"/>
      <c r="F2978" s="59"/>
      <c r="G2978" s="60">
        <f>IF(OR(E2978="",F2978="",C2978="",D2978=""),"",IF(C2978+D2978=0,"",(E2978*C2978+F2978*D2978)/(C2978+D2978)))</f>
        <v/>
      </c>
      <c r="H2978" s="59"/>
      <c r="I2978" s="60">
        <f>IF(OR(H2978="",E2978="",C2978="",D2978=""),"",IF(C2978+D2978=0,"",(H2978*D2978+E2978*C2978)/(C2978+D2978)))</f>
        <v/>
      </c>
      <c r="J2978" s="59"/>
      <c r="K2978" s="61">
        <f>IF(OR(J2978="",I2978=""),"",J2978-I2978)</f>
        <v/>
      </c>
      <c r="L2978" s="61">
        <f>IF(OR(J2978="",G2978=""),"",J2978-G2978)</f>
        <v/>
      </c>
      <c r="M2978" s="59"/>
      <c r="N2978" s="59"/>
      <c r="O2978" s="59"/>
      <c r="P2978" s="59"/>
      <c r="Q2978" s="59"/>
      <c r="R2978" s="60">
        <f>IF(AND(P2978="",Q2978=""),"",N(P2978)+N(Q2978))</f>
        <v/>
      </c>
      <c r="S2978" s="59"/>
      <c r="T2978" s="59"/>
      <c r="U2978" s="62">
        <f>IF(OR(R2978="",S2978="",T2978=""),"",IF(S2978+T2978=0,"",R2978/(S2978+T2978)))</f>
        <v/>
      </c>
      <c r="V2978" s="63"/>
      <c r="W2978" s="64"/>
      <c r="X2978" s="63"/>
    </row>
    <row r="2979" spans="2:24">
      <c r="B2979" s="58"/>
      <c r="C2979" s="59"/>
      <c r="D2979" s="59"/>
      <c r="E2979" s="59"/>
      <c r="F2979" s="59"/>
      <c r="G2979" s="60">
        <f>IF(OR(E2979="",F2979="",C2979="",D2979=""),"",IF(C2979+D2979=0,"",(E2979*C2979+F2979*D2979)/(C2979+D2979)))</f>
        <v/>
      </c>
      <c r="H2979" s="59"/>
      <c r="I2979" s="60">
        <f>IF(OR(H2979="",E2979="",C2979="",D2979=""),"",IF(C2979+D2979=0,"",(H2979*D2979+E2979*C2979)/(C2979+D2979)))</f>
        <v/>
      </c>
      <c r="J2979" s="59"/>
      <c r="K2979" s="61">
        <f>IF(OR(J2979="",I2979=""),"",J2979-I2979)</f>
        <v/>
      </c>
      <c r="L2979" s="61">
        <f>IF(OR(J2979="",G2979=""),"",J2979-G2979)</f>
        <v/>
      </c>
      <c r="M2979" s="59"/>
      <c r="N2979" s="59"/>
      <c r="O2979" s="59"/>
      <c r="P2979" s="59"/>
      <c r="Q2979" s="59"/>
      <c r="R2979" s="60">
        <f>IF(AND(P2979="",Q2979=""),"",N(P2979)+N(Q2979))</f>
        <v/>
      </c>
      <c r="S2979" s="59"/>
      <c r="T2979" s="59"/>
      <c r="U2979" s="62">
        <f>IF(OR(R2979="",S2979="",T2979=""),"",IF(S2979+T2979=0,"",R2979/(S2979+T2979)))</f>
        <v/>
      </c>
      <c r="V2979" s="63"/>
      <c r="W2979" s="64"/>
      <c r="X2979" s="63"/>
    </row>
    <row r="2980" spans="2:24">
      <c r="B2980" s="58"/>
      <c r="C2980" s="59"/>
      <c r="D2980" s="59"/>
      <c r="E2980" s="59"/>
      <c r="F2980" s="59"/>
      <c r="G2980" s="60">
        <f>IF(OR(E2980="",F2980="",C2980="",D2980=""),"",IF(C2980+D2980=0,"",(E2980*C2980+F2980*D2980)/(C2980+D2980)))</f>
        <v/>
      </c>
      <c r="H2980" s="59"/>
      <c r="I2980" s="60">
        <f>IF(OR(H2980="",E2980="",C2980="",D2980=""),"",IF(C2980+D2980=0,"",(H2980*D2980+E2980*C2980)/(C2980+D2980)))</f>
        <v/>
      </c>
      <c r="J2980" s="59"/>
      <c r="K2980" s="61">
        <f>IF(OR(J2980="",I2980=""),"",J2980-I2980)</f>
        <v/>
      </c>
      <c r="L2980" s="61">
        <f>IF(OR(J2980="",G2980=""),"",J2980-G2980)</f>
        <v/>
      </c>
      <c r="M2980" s="59"/>
      <c r="N2980" s="59"/>
      <c r="O2980" s="59"/>
      <c r="P2980" s="59"/>
      <c r="Q2980" s="59"/>
      <c r="R2980" s="60">
        <f>IF(AND(P2980="",Q2980=""),"",N(P2980)+N(Q2980))</f>
        <v/>
      </c>
      <c r="S2980" s="59"/>
      <c r="T2980" s="59"/>
      <c r="U2980" s="62">
        <f>IF(OR(R2980="",S2980="",T2980=""),"",IF(S2980+T2980=0,"",R2980/(S2980+T2980)))</f>
        <v/>
      </c>
      <c r="V2980" s="63"/>
      <c r="W2980" s="64"/>
      <c r="X2980" s="63"/>
    </row>
    <row r="2981" spans="2:24">
      <c r="B2981" s="58"/>
      <c r="C2981" s="59"/>
      <c r="D2981" s="59"/>
      <c r="E2981" s="59"/>
      <c r="F2981" s="59"/>
      <c r="G2981" s="60">
        <f>IF(OR(E2981="",F2981="",C2981="",D2981=""),"",IF(C2981+D2981=0,"",(E2981*C2981+F2981*D2981)/(C2981+D2981)))</f>
        <v/>
      </c>
      <c r="H2981" s="59"/>
      <c r="I2981" s="60">
        <f>IF(OR(H2981="",E2981="",C2981="",D2981=""),"",IF(C2981+D2981=0,"",(H2981*D2981+E2981*C2981)/(C2981+D2981)))</f>
        <v/>
      </c>
      <c r="J2981" s="59"/>
      <c r="K2981" s="61">
        <f>IF(OR(J2981="",I2981=""),"",J2981-I2981)</f>
        <v/>
      </c>
      <c r="L2981" s="61">
        <f>IF(OR(J2981="",G2981=""),"",J2981-G2981)</f>
        <v/>
      </c>
      <c r="M2981" s="59"/>
      <c r="N2981" s="59"/>
      <c r="O2981" s="59"/>
      <c r="P2981" s="59"/>
      <c r="Q2981" s="59"/>
      <c r="R2981" s="60">
        <f>IF(AND(P2981="",Q2981=""),"",N(P2981)+N(Q2981))</f>
        <v/>
      </c>
      <c r="S2981" s="59"/>
      <c r="T2981" s="59"/>
      <c r="U2981" s="62">
        <f>IF(OR(R2981="",S2981="",T2981=""),"",IF(S2981+T2981=0,"",R2981/(S2981+T2981)))</f>
        <v/>
      </c>
      <c r="V2981" s="63"/>
      <c r="W2981" s="64"/>
      <c r="X2981" s="63"/>
    </row>
    <row r="2982" spans="2:24">
      <c r="B2982" s="58"/>
      <c r="C2982" s="59"/>
      <c r="D2982" s="59"/>
      <c r="E2982" s="59"/>
      <c r="F2982" s="59"/>
      <c r="G2982" s="60">
        <f>IF(OR(E2982="",F2982="",C2982="",D2982=""),"",IF(C2982+D2982=0,"",(E2982*C2982+F2982*D2982)/(C2982+D2982)))</f>
        <v/>
      </c>
      <c r="H2982" s="59"/>
      <c r="I2982" s="60">
        <f>IF(OR(H2982="",E2982="",C2982="",D2982=""),"",IF(C2982+D2982=0,"",(H2982*D2982+E2982*C2982)/(C2982+D2982)))</f>
        <v/>
      </c>
      <c r="J2982" s="59"/>
      <c r="K2982" s="61">
        <f>IF(OR(J2982="",I2982=""),"",J2982-I2982)</f>
        <v/>
      </c>
      <c r="L2982" s="61">
        <f>IF(OR(J2982="",G2982=""),"",J2982-G2982)</f>
        <v/>
      </c>
      <c r="M2982" s="59"/>
      <c r="N2982" s="59"/>
      <c r="O2982" s="59"/>
      <c r="P2982" s="59"/>
      <c r="Q2982" s="59"/>
      <c r="R2982" s="60">
        <f>IF(AND(P2982="",Q2982=""),"",N(P2982)+N(Q2982))</f>
        <v/>
      </c>
      <c r="S2982" s="59"/>
      <c r="T2982" s="59"/>
      <c r="U2982" s="62">
        <f>IF(OR(R2982="",S2982="",T2982=""),"",IF(S2982+T2982=0,"",R2982/(S2982+T2982)))</f>
        <v/>
      </c>
      <c r="V2982" s="63"/>
      <c r="W2982" s="64"/>
      <c r="X2982" s="63"/>
    </row>
    <row r="2983" spans="2:24">
      <c r="B2983" s="58"/>
      <c r="C2983" s="59"/>
      <c r="D2983" s="59"/>
      <c r="E2983" s="59"/>
      <c r="F2983" s="59"/>
      <c r="G2983" s="60">
        <f>IF(OR(E2983="",F2983="",C2983="",D2983=""),"",IF(C2983+D2983=0,"",(E2983*C2983+F2983*D2983)/(C2983+D2983)))</f>
        <v/>
      </c>
      <c r="H2983" s="59"/>
      <c r="I2983" s="60">
        <f>IF(OR(H2983="",E2983="",C2983="",D2983=""),"",IF(C2983+D2983=0,"",(H2983*D2983+E2983*C2983)/(C2983+D2983)))</f>
        <v/>
      </c>
      <c r="J2983" s="59"/>
      <c r="K2983" s="61">
        <f>IF(OR(J2983="",I2983=""),"",J2983-I2983)</f>
        <v/>
      </c>
      <c r="L2983" s="61">
        <f>IF(OR(J2983="",G2983=""),"",J2983-G2983)</f>
        <v/>
      </c>
      <c r="M2983" s="59"/>
      <c r="N2983" s="59"/>
      <c r="O2983" s="59"/>
      <c r="P2983" s="59"/>
      <c r="Q2983" s="59"/>
      <c r="R2983" s="60">
        <f>IF(AND(P2983="",Q2983=""),"",N(P2983)+N(Q2983))</f>
        <v/>
      </c>
      <c r="S2983" s="59"/>
      <c r="T2983" s="59"/>
      <c r="U2983" s="62">
        <f>IF(OR(R2983="",S2983="",T2983=""),"",IF(S2983+T2983=0,"",R2983/(S2983+T2983)))</f>
        <v/>
      </c>
      <c r="V2983" s="63"/>
      <c r="W2983" s="64"/>
      <c r="X2983" s="63"/>
    </row>
    <row r="2984" spans="2:24">
      <c r="B2984" s="58"/>
      <c r="C2984" s="59"/>
      <c r="D2984" s="59"/>
      <c r="E2984" s="59"/>
      <c r="F2984" s="59"/>
      <c r="G2984" s="60">
        <f>IF(OR(E2984="",F2984="",C2984="",D2984=""),"",IF(C2984+D2984=0,"",(E2984*C2984+F2984*D2984)/(C2984+D2984)))</f>
        <v/>
      </c>
      <c r="H2984" s="59"/>
      <c r="I2984" s="60">
        <f>IF(OR(H2984="",E2984="",C2984="",D2984=""),"",IF(C2984+D2984=0,"",(H2984*D2984+E2984*C2984)/(C2984+D2984)))</f>
        <v/>
      </c>
      <c r="J2984" s="59"/>
      <c r="K2984" s="61">
        <f>IF(OR(J2984="",I2984=""),"",J2984-I2984)</f>
        <v/>
      </c>
      <c r="L2984" s="61">
        <f>IF(OR(J2984="",G2984=""),"",J2984-G2984)</f>
        <v/>
      </c>
      <c r="M2984" s="59"/>
      <c r="N2984" s="59"/>
      <c r="O2984" s="59"/>
      <c r="P2984" s="59"/>
      <c r="Q2984" s="59"/>
      <c r="R2984" s="60">
        <f>IF(AND(P2984="",Q2984=""),"",N(P2984)+N(Q2984))</f>
        <v/>
      </c>
      <c r="S2984" s="59"/>
      <c r="T2984" s="59"/>
      <c r="U2984" s="62">
        <f>IF(OR(R2984="",S2984="",T2984=""),"",IF(S2984+T2984=0,"",R2984/(S2984+T2984)))</f>
        <v/>
      </c>
      <c r="V2984" s="63"/>
      <c r="W2984" s="64"/>
      <c r="X2984" s="63"/>
    </row>
    <row r="2985" spans="2:24">
      <c r="B2985" s="58"/>
      <c r="C2985" s="59"/>
      <c r="D2985" s="59"/>
      <c r="E2985" s="59"/>
      <c r="F2985" s="59"/>
      <c r="G2985" s="60">
        <f>IF(OR(E2985="",F2985="",C2985="",D2985=""),"",IF(C2985+D2985=0,"",(E2985*C2985+F2985*D2985)/(C2985+D2985)))</f>
        <v/>
      </c>
      <c r="H2985" s="59"/>
      <c r="I2985" s="60">
        <f>IF(OR(H2985="",E2985="",C2985="",D2985=""),"",IF(C2985+D2985=0,"",(H2985*D2985+E2985*C2985)/(C2985+D2985)))</f>
        <v/>
      </c>
      <c r="J2985" s="59"/>
      <c r="K2985" s="61">
        <f>IF(OR(J2985="",I2985=""),"",J2985-I2985)</f>
        <v/>
      </c>
      <c r="L2985" s="61">
        <f>IF(OR(J2985="",G2985=""),"",J2985-G2985)</f>
        <v/>
      </c>
      <c r="M2985" s="59"/>
      <c r="N2985" s="59"/>
      <c r="O2985" s="59"/>
      <c r="P2985" s="59"/>
      <c r="Q2985" s="59"/>
      <c r="R2985" s="60">
        <f>IF(AND(P2985="",Q2985=""),"",N(P2985)+N(Q2985))</f>
        <v/>
      </c>
      <c r="S2985" s="59"/>
      <c r="T2985" s="59"/>
      <c r="U2985" s="62">
        <f>IF(OR(R2985="",S2985="",T2985=""),"",IF(S2985+T2985=0,"",R2985/(S2985+T2985)))</f>
        <v/>
      </c>
      <c r="V2985" s="63"/>
      <c r="W2985" s="64"/>
      <c r="X2985" s="63"/>
    </row>
    <row r="2986" spans="2:24">
      <c r="B2986" s="58"/>
      <c r="C2986" s="59"/>
      <c r="D2986" s="59"/>
      <c r="E2986" s="59"/>
      <c r="F2986" s="59"/>
      <c r="G2986" s="60">
        <f>IF(OR(E2986="",F2986="",C2986="",D2986=""),"",IF(C2986+D2986=0,"",(E2986*C2986+F2986*D2986)/(C2986+D2986)))</f>
        <v/>
      </c>
      <c r="H2986" s="59"/>
      <c r="I2986" s="60">
        <f>IF(OR(H2986="",E2986="",C2986="",D2986=""),"",IF(C2986+D2986=0,"",(H2986*D2986+E2986*C2986)/(C2986+D2986)))</f>
        <v/>
      </c>
      <c r="J2986" s="59"/>
      <c r="K2986" s="61">
        <f>IF(OR(J2986="",I2986=""),"",J2986-I2986)</f>
        <v/>
      </c>
      <c r="L2986" s="61">
        <f>IF(OR(J2986="",G2986=""),"",J2986-G2986)</f>
        <v/>
      </c>
      <c r="M2986" s="59"/>
      <c r="N2986" s="59"/>
      <c r="O2986" s="59"/>
      <c r="P2986" s="59"/>
      <c r="Q2986" s="59"/>
      <c r="R2986" s="60">
        <f>IF(AND(P2986="",Q2986=""),"",N(P2986)+N(Q2986))</f>
        <v/>
      </c>
      <c r="S2986" s="59"/>
      <c r="T2986" s="59"/>
      <c r="U2986" s="62">
        <f>IF(OR(R2986="",S2986="",T2986=""),"",IF(S2986+T2986=0,"",R2986/(S2986+T2986)))</f>
        <v/>
      </c>
      <c r="V2986" s="63"/>
      <c r="W2986" s="64"/>
      <c r="X2986" s="63"/>
    </row>
    <row r="2987" spans="2:24">
      <c r="B2987" s="58"/>
      <c r="C2987" s="59"/>
      <c r="D2987" s="59"/>
      <c r="E2987" s="59"/>
      <c r="F2987" s="59"/>
      <c r="G2987" s="60">
        <f>IF(OR(E2987="",F2987="",C2987="",D2987=""),"",IF(C2987+D2987=0,"",(E2987*C2987+F2987*D2987)/(C2987+D2987)))</f>
        <v/>
      </c>
      <c r="H2987" s="59"/>
      <c r="I2987" s="60">
        <f>IF(OR(H2987="",E2987="",C2987="",D2987=""),"",IF(C2987+D2987=0,"",(H2987*D2987+E2987*C2987)/(C2987+D2987)))</f>
        <v/>
      </c>
      <c r="J2987" s="59"/>
      <c r="K2987" s="61">
        <f>IF(OR(J2987="",I2987=""),"",J2987-I2987)</f>
        <v/>
      </c>
      <c r="L2987" s="61">
        <f>IF(OR(J2987="",G2987=""),"",J2987-G2987)</f>
        <v/>
      </c>
      <c r="M2987" s="59"/>
      <c r="N2987" s="59"/>
      <c r="O2987" s="59"/>
      <c r="P2987" s="59"/>
      <c r="Q2987" s="59"/>
      <c r="R2987" s="60">
        <f>IF(AND(P2987="",Q2987=""),"",N(P2987)+N(Q2987))</f>
        <v/>
      </c>
      <c r="S2987" s="59"/>
      <c r="T2987" s="59"/>
      <c r="U2987" s="62">
        <f>IF(OR(R2987="",S2987="",T2987=""),"",IF(S2987+T2987=0,"",R2987/(S2987+T2987)))</f>
        <v/>
      </c>
      <c r="V2987" s="63"/>
      <c r="W2987" s="64"/>
      <c r="X2987" s="63"/>
    </row>
    <row r="2988" spans="2:24">
      <c r="B2988" s="58"/>
      <c r="C2988" s="59"/>
      <c r="D2988" s="59"/>
      <c r="E2988" s="59"/>
      <c r="F2988" s="59"/>
      <c r="G2988" s="60">
        <f>IF(OR(E2988="",F2988="",C2988="",D2988=""),"",IF(C2988+D2988=0,"",(E2988*C2988+F2988*D2988)/(C2988+D2988)))</f>
        <v/>
      </c>
      <c r="H2988" s="59"/>
      <c r="I2988" s="60">
        <f>IF(OR(H2988="",E2988="",C2988="",D2988=""),"",IF(C2988+D2988=0,"",(H2988*D2988+E2988*C2988)/(C2988+D2988)))</f>
        <v/>
      </c>
      <c r="J2988" s="59"/>
      <c r="K2988" s="61">
        <f>IF(OR(J2988="",I2988=""),"",J2988-I2988)</f>
        <v/>
      </c>
      <c r="L2988" s="61">
        <f>IF(OR(J2988="",G2988=""),"",J2988-G2988)</f>
        <v/>
      </c>
      <c r="M2988" s="59"/>
      <c r="N2988" s="59"/>
      <c r="O2988" s="59"/>
      <c r="P2988" s="59"/>
      <c r="Q2988" s="59"/>
      <c r="R2988" s="60">
        <f>IF(AND(P2988="",Q2988=""),"",N(P2988)+N(Q2988))</f>
        <v/>
      </c>
      <c r="S2988" s="59"/>
      <c r="T2988" s="59"/>
      <c r="U2988" s="62">
        <f>IF(OR(R2988="",S2988="",T2988=""),"",IF(S2988+T2988=0,"",R2988/(S2988+T2988)))</f>
        <v/>
      </c>
      <c r="V2988" s="63"/>
      <c r="W2988" s="64"/>
      <c r="X2988" s="63"/>
    </row>
    <row r="2989" spans="2:24">
      <c r="B2989" s="58"/>
      <c r="C2989" s="59"/>
      <c r="D2989" s="59"/>
      <c r="E2989" s="59"/>
      <c r="F2989" s="59"/>
      <c r="G2989" s="60">
        <f>IF(OR(E2989="",F2989="",C2989="",D2989=""),"",IF(C2989+D2989=0,"",(E2989*C2989+F2989*D2989)/(C2989+D2989)))</f>
        <v/>
      </c>
      <c r="H2989" s="59"/>
      <c r="I2989" s="60">
        <f>IF(OR(H2989="",E2989="",C2989="",D2989=""),"",IF(C2989+D2989=0,"",(H2989*D2989+E2989*C2989)/(C2989+D2989)))</f>
        <v/>
      </c>
      <c r="J2989" s="59"/>
      <c r="K2989" s="61">
        <f>IF(OR(J2989="",I2989=""),"",J2989-I2989)</f>
        <v/>
      </c>
      <c r="L2989" s="61">
        <f>IF(OR(J2989="",G2989=""),"",J2989-G2989)</f>
        <v/>
      </c>
      <c r="M2989" s="59"/>
      <c r="N2989" s="59"/>
      <c r="O2989" s="59"/>
      <c r="P2989" s="59"/>
      <c r="Q2989" s="59"/>
      <c r="R2989" s="60">
        <f>IF(AND(P2989="",Q2989=""),"",N(P2989)+N(Q2989))</f>
        <v/>
      </c>
      <c r="S2989" s="59"/>
      <c r="T2989" s="59"/>
      <c r="U2989" s="62">
        <f>IF(OR(R2989="",S2989="",T2989=""),"",IF(S2989+T2989=0,"",R2989/(S2989+T2989)))</f>
        <v/>
      </c>
      <c r="V2989" s="63"/>
      <c r="W2989" s="64"/>
      <c r="X2989" s="63"/>
    </row>
    <row r="2990" spans="2:24">
      <c r="B2990" s="58"/>
      <c r="C2990" s="59"/>
      <c r="D2990" s="59"/>
      <c r="E2990" s="59"/>
      <c r="F2990" s="59"/>
      <c r="G2990" s="60">
        <f>IF(OR(E2990="",F2990="",C2990="",D2990=""),"",IF(C2990+D2990=0,"",(E2990*C2990+F2990*D2990)/(C2990+D2990)))</f>
        <v/>
      </c>
      <c r="H2990" s="59"/>
      <c r="I2990" s="60">
        <f>IF(OR(H2990="",E2990="",C2990="",D2990=""),"",IF(C2990+D2990=0,"",(H2990*D2990+E2990*C2990)/(C2990+D2990)))</f>
        <v/>
      </c>
      <c r="J2990" s="59"/>
      <c r="K2990" s="61">
        <f>IF(OR(J2990="",I2990=""),"",J2990-I2990)</f>
        <v/>
      </c>
      <c r="L2990" s="61">
        <f>IF(OR(J2990="",G2990=""),"",J2990-G2990)</f>
        <v/>
      </c>
      <c r="M2990" s="59"/>
      <c r="N2990" s="59"/>
      <c r="O2990" s="59"/>
      <c r="P2990" s="59"/>
      <c r="Q2990" s="59"/>
      <c r="R2990" s="60">
        <f>IF(AND(P2990="",Q2990=""),"",N(P2990)+N(Q2990))</f>
        <v/>
      </c>
      <c r="S2990" s="59"/>
      <c r="T2990" s="59"/>
      <c r="U2990" s="62">
        <f>IF(OR(R2990="",S2990="",T2990=""),"",IF(S2990+T2990=0,"",R2990/(S2990+T2990)))</f>
        <v/>
      </c>
      <c r="V2990" s="63"/>
      <c r="W2990" s="64"/>
      <c r="X2990" s="63"/>
    </row>
    <row r="2991" spans="2:24">
      <c r="B2991" s="58"/>
      <c r="C2991" s="59"/>
      <c r="D2991" s="59"/>
      <c r="E2991" s="59"/>
      <c r="F2991" s="59"/>
      <c r="G2991" s="60">
        <f>IF(OR(E2991="",F2991="",C2991="",D2991=""),"",IF(C2991+D2991=0,"",(E2991*C2991+F2991*D2991)/(C2991+D2991)))</f>
        <v/>
      </c>
      <c r="H2991" s="59"/>
      <c r="I2991" s="60">
        <f>IF(OR(H2991="",E2991="",C2991="",D2991=""),"",IF(C2991+D2991=0,"",(H2991*D2991+E2991*C2991)/(C2991+D2991)))</f>
        <v/>
      </c>
      <c r="J2991" s="59"/>
      <c r="K2991" s="61">
        <f>IF(OR(J2991="",I2991=""),"",J2991-I2991)</f>
        <v/>
      </c>
      <c r="L2991" s="61">
        <f>IF(OR(J2991="",G2991=""),"",J2991-G2991)</f>
        <v/>
      </c>
      <c r="M2991" s="59"/>
      <c r="N2991" s="59"/>
      <c r="O2991" s="59"/>
      <c r="P2991" s="59"/>
      <c r="Q2991" s="59"/>
      <c r="R2991" s="60">
        <f>IF(AND(P2991="",Q2991=""),"",N(P2991)+N(Q2991))</f>
        <v/>
      </c>
      <c r="S2991" s="59"/>
      <c r="T2991" s="59"/>
      <c r="U2991" s="62">
        <f>IF(OR(R2991="",S2991="",T2991=""),"",IF(S2991+T2991=0,"",R2991/(S2991+T2991)))</f>
        <v/>
      </c>
      <c r="V2991" s="63"/>
      <c r="W2991" s="64"/>
      <c r="X2991" s="63"/>
    </row>
    <row r="2992" spans="2:24">
      <c r="B2992" s="58"/>
      <c r="C2992" s="59"/>
      <c r="D2992" s="59"/>
      <c r="E2992" s="59"/>
      <c r="F2992" s="59"/>
      <c r="G2992" s="60">
        <f>IF(OR(E2992="",F2992="",C2992="",D2992=""),"",IF(C2992+D2992=0,"",(E2992*C2992+F2992*D2992)/(C2992+D2992)))</f>
        <v/>
      </c>
      <c r="H2992" s="59"/>
      <c r="I2992" s="60">
        <f>IF(OR(H2992="",E2992="",C2992="",D2992=""),"",IF(C2992+D2992=0,"",(H2992*D2992+E2992*C2992)/(C2992+D2992)))</f>
        <v/>
      </c>
      <c r="J2992" s="59"/>
      <c r="K2992" s="61">
        <f>IF(OR(J2992="",I2992=""),"",J2992-I2992)</f>
        <v/>
      </c>
      <c r="L2992" s="61">
        <f>IF(OR(J2992="",G2992=""),"",J2992-G2992)</f>
        <v/>
      </c>
      <c r="M2992" s="59"/>
      <c r="N2992" s="59"/>
      <c r="O2992" s="59"/>
      <c r="P2992" s="59"/>
      <c r="Q2992" s="59"/>
      <c r="R2992" s="60">
        <f>IF(AND(P2992="",Q2992=""),"",N(P2992)+N(Q2992))</f>
        <v/>
      </c>
      <c r="S2992" s="59"/>
      <c r="T2992" s="59"/>
      <c r="U2992" s="62">
        <f>IF(OR(R2992="",S2992="",T2992=""),"",IF(S2992+T2992=0,"",R2992/(S2992+T2992)))</f>
        <v/>
      </c>
      <c r="V2992" s="63"/>
      <c r="W2992" s="64"/>
      <c r="X2992" s="63"/>
    </row>
    <row r="2993" spans="2:24">
      <c r="B2993" s="58"/>
      <c r="C2993" s="59"/>
      <c r="D2993" s="59"/>
      <c r="E2993" s="59"/>
      <c r="F2993" s="59"/>
      <c r="G2993" s="60">
        <f>IF(OR(E2993="",F2993="",C2993="",D2993=""),"",IF(C2993+D2993=0,"",(E2993*C2993+F2993*D2993)/(C2993+D2993)))</f>
        <v/>
      </c>
      <c r="H2993" s="59"/>
      <c r="I2993" s="60">
        <f>IF(OR(H2993="",E2993="",C2993="",D2993=""),"",IF(C2993+D2993=0,"",(H2993*D2993+E2993*C2993)/(C2993+D2993)))</f>
        <v/>
      </c>
      <c r="J2993" s="59"/>
      <c r="K2993" s="61">
        <f>IF(OR(J2993="",I2993=""),"",J2993-I2993)</f>
        <v/>
      </c>
      <c r="L2993" s="61">
        <f>IF(OR(J2993="",G2993=""),"",J2993-G2993)</f>
        <v/>
      </c>
      <c r="M2993" s="59"/>
      <c r="N2993" s="59"/>
      <c r="O2993" s="59"/>
      <c r="P2993" s="59"/>
      <c r="Q2993" s="59"/>
      <c r="R2993" s="60">
        <f>IF(AND(P2993="",Q2993=""),"",N(P2993)+N(Q2993))</f>
        <v/>
      </c>
      <c r="S2993" s="59"/>
      <c r="T2993" s="59"/>
      <c r="U2993" s="62">
        <f>IF(OR(R2993="",S2993="",T2993=""),"",IF(S2993+T2993=0,"",R2993/(S2993+T2993)))</f>
        <v/>
      </c>
      <c r="V2993" s="63"/>
      <c r="W2993" s="64"/>
      <c r="X2993" s="63"/>
    </row>
    <row r="2994" spans="2:24">
      <c r="B2994" s="58"/>
      <c r="C2994" s="59"/>
      <c r="D2994" s="59"/>
      <c r="E2994" s="59"/>
      <c r="F2994" s="59"/>
      <c r="G2994" s="60">
        <f>IF(OR(E2994="",F2994="",C2994="",D2994=""),"",IF(C2994+D2994=0,"",(E2994*C2994+F2994*D2994)/(C2994+D2994)))</f>
        <v/>
      </c>
      <c r="H2994" s="59"/>
      <c r="I2994" s="60">
        <f>IF(OR(H2994="",E2994="",C2994="",D2994=""),"",IF(C2994+D2994=0,"",(H2994*D2994+E2994*C2994)/(C2994+D2994)))</f>
        <v/>
      </c>
      <c r="J2994" s="59"/>
      <c r="K2994" s="61">
        <f>IF(OR(J2994="",I2994=""),"",J2994-I2994)</f>
        <v/>
      </c>
      <c r="L2994" s="61">
        <f>IF(OR(J2994="",G2994=""),"",J2994-G2994)</f>
        <v/>
      </c>
      <c r="M2994" s="59"/>
      <c r="N2994" s="59"/>
      <c r="O2994" s="59"/>
      <c r="P2994" s="59"/>
      <c r="Q2994" s="59"/>
      <c r="R2994" s="60">
        <f>IF(AND(P2994="",Q2994=""),"",N(P2994)+N(Q2994))</f>
        <v/>
      </c>
      <c r="S2994" s="59"/>
      <c r="T2994" s="59"/>
      <c r="U2994" s="62">
        <f>IF(OR(R2994="",S2994="",T2994=""),"",IF(S2994+T2994=0,"",R2994/(S2994+T2994)))</f>
        <v/>
      </c>
      <c r="V2994" s="63"/>
      <c r="W2994" s="64"/>
      <c r="X2994" s="63"/>
    </row>
    <row r="2995" spans="2:24">
      <c r="B2995" s="58"/>
      <c r="C2995" s="59"/>
      <c r="D2995" s="59"/>
      <c r="E2995" s="59"/>
      <c r="F2995" s="59"/>
      <c r="G2995" s="60">
        <f>IF(OR(E2995="",F2995="",C2995="",D2995=""),"",IF(C2995+D2995=0,"",(E2995*C2995+F2995*D2995)/(C2995+D2995)))</f>
        <v/>
      </c>
      <c r="H2995" s="59"/>
      <c r="I2995" s="60">
        <f>IF(OR(H2995="",E2995="",C2995="",D2995=""),"",IF(C2995+D2995=0,"",(H2995*D2995+E2995*C2995)/(C2995+D2995)))</f>
        <v/>
      </c>
      <c r="J2995" s="59"/>
      <c r="K2995" s="61">
        <f>IF(OR(J2995="",I2995=""),"",J2995-I2995)</f>
        <v/>
      </c>
      <c r="L2995" s="61">
        <f>IF(OR(J2995="",G2995=""),"",J2995-G2995)</f>
        <v/>
      </c>
      <c r="M2995" s="59"/>
      <c r="N2995" s="59"/>
      <c r="O2995" s="59"/>
      <c r="P2995" s="59"/>
      <c r="Q2995" s="59"/>
      <c r="R2995" s="60">
        <f>IF(AND(P2995="",Q2995=""),"",N(P2995)+N(Q2995))</f>
        <v/>
      </c>
      <c r="S2995" s="59"/>
      <c r="T2995" s="59"/>
      <c r="U2995" s="62">
        <f>IF(OR(R2995="",S2995="",T2995=""),"",IF(S2995+T2995=0,"",R2995/(S2995+T2995)))</f>
        <v/>
      </c>
      <c r="V2995" s="63"/>
      <c r="W2995" s="64"/>
      <c r="X2995" s="63"/>
    </row>
    <row r="2996" spans="2:24">
      <c r="B2996" s="58"/>
      <c r="C2996" s="59"/>
      <c r="D2996" s="59"/>
      <c r="E2996" s="59"/>
      <c r="F2996" s="59"/>
      <c r="G2996" s="60">
        <f>IF(OR(E2996="",F2996="",C2996="",D2996=""),"",IF(C2996+D2996=0,"",(E2996*C2996+F2996*D2996)/(C2996+D2996)))</f>
        <v/>
      </c>
      <c r="H2996" s="59"/>
      <c r="I2996" s="60">
        <f>IF(OR(H2996="",E2996="",C2996="",D2996=""),"",IF(C2996+D2996=0,"",(H2996*D2996+E2996*C2996)/(C2996+D2996)))</f>
        <v/>
      </c>
      <c r="J2996" s="59"/>
      <c r="K2996" s="61">
        <f>IF(OR(J2996="",I2996=""),"",J2996-I2996)</f>
        <v/>
      </c>
      <c r="L2996" s="61">
        <f>IF(OR(J2996="",G2996=""),"",J2996-G2996)</f>
        <v/>
      </c>
      <c r="M2996" s="59"/>
      <c r="N2996" s="59"/>
      <c r="O2996" s="59"/>
      <c r="P2996" s="59"/>
      <c r="Q2996" s="59"/>
      <c r="R2996" s="60">
        <f>IF(AND(P2996="",Q2996=""),"",N(P2996)+N(Q2996))</f>
        <v/>
      </c>
      <c r="S2996" s="59"/>
      <c r="T2996" s="59"/>
      <c r="U2996" s="62">
        <f>IF(OR(R2996="",S2996="",T2996=""),"",IF(S2996+T2996=0,"",R2996/(S2996+T2996)))</f>
        <v/>
      </c>
      <c r="V2996" s="63"/>
      <c r="W2996" s="64"/>
      <c r="X2996" s="63"/>
    </row>
    <row r="2997" spans="2:24">
      <c r="B2997" s="58"/>
      <c r="C2997" s="59"/>
      <c r="D2997" s="59"/>
      <c r="E2997" s="59"/>
      <c r="F2997" s="59"/>
      <c r="G2997" s="60">
        <f>IF(OR(E2997="",F2997="",C2997="",D2997=""),"",IF(C2997+D2997=0,"",(E2997*C2997+F2997*D2997)/(C2997+D2997)))</f>
        <v/>
      </c>
      <c r="H2997" s="59"/>
      <c r="I2997" s="60">
        <f>IF(OR(H2997="",E2997="",C2997="",D2997=""),"",IF(C2997+D2997=0,"",(H2997*D2997+E2997*C2997)/(C2997+D2997)))</f>
        <v/>
      </c>
      <c r="J2997" s="59"/>
      <c r="K2997" s="61">
        <f>IF(OR(J2997="",I2997=""),"",J2997-I2997)</f>
        <v/>
      </c>
      <c r="L2997" s="61">
        <f>IF(OR(J2997="",G2997=""),"",J2997-G2997)</f>
        <v/>
      </c>
      <c r="M2997" s="59"/>
      <c r="N2997" s="59"/>
      <c r="O2997" s="59"/>
      <c r="P2997" s="59"/>
      <c r="Q2997" s="59"/>
      <c r="R2997" s="60">
        <f>IF(AND(P2997="",Q2997=""),"",N(P2997)+N(Q2997))</f>
        <v/>
      </c>
      <c r="S2997" s="59"/>
      <c r="T2997" s="59"/>
      <c r="U2997" s="62">
        <f>IF(OR(R2997="",S2997="",T2997=""),"",IF(S2997+T2997=0,"",R2997/(S2997+T2997)))</f>
        <v/>
      </c>
      <c r="V2997" s="63"/>
      <c r="W2997" s="64"/>
      <c r="X2997" s="63"/>
    </row>
    <row r="2998" spans="2:24">
      <c r="B2998" s="58"/>
      <c r="C2998" s="59"/>
      <c r="D2998" s="59"/>
      <c r="E2998" s="59"/>
      <c r="F2998" s="59"/>
      <c r="G2998" s="60">
        <f>IF(OR(E2998="",F2998="",C2998="",D2998=""),"",IF(C2998+D2998=0,"",(E2998*C2998+F2998*D2998)/(C2998+D2998)))</f>
        <v/>
      </c>
      <c r="H2998" s="59"/>
      <c r="I2998" s="60">
        <f>IF(OR(H2998="",E2998="",C2998="",D2998=""),"",IF(C2998+D2998=0,"",(H2998*D2998+E2998*C2998)/(C2998+D2998)))</f>
        <v/>
      </c>
      <c r="J2998" s="59"/>
      <c r="K2998" s="61">
        <f>IF(OR(J2998="",I2998=""),"",J2998-I2998)</f>
        <v/>
      </c>
      <c r="L2998" s="61">
        <f>IF(OR(J2998="",G2998=""),"",J2998-G2998)</f>
        <v/>
      </c>
      <c r="M2998" s="59"/>
      <c r="N2998" s="59"/>
      <c r="O2998" s="59"/>
      <c r="P2998" s="59"/>
      <c r="Q2998" s="59"/>
      <c r="R2998" s="60">
        <f>IF(AND(P2998="",Q2998=""),"",N(P2998)+N(Q2998))</f>
        <v/>
      </c>
      <c r="S2998" s="59"/>
      <c r="T2998" s="59"/>
      <c r="U2998" s="62">
        <f>IF(OR(R2998="",S2998="",T2998=""),"",IF(S2998+T2998=0,"",R2998/(S2998+T2998)))</f>
        <v/>
      </c>
      <c r="V2998" s="63"/>
      <c r="W2998" s="64"/>
      <c r="X2998" s="63"/>
    </row>
    <row r="2999" spans="2:24">
      <c r="B2999" s="58"/>
      <c r="C2999" s="59"/>
      <c r="D2999" s="59"/>
      <c r="E2999" s="59"/>
      <c r="F2999" s="59"/>
      <c r="G2999" s="60">
        <f>IF(OR(E2999="",F2999="",C2999="",D2999=""),"",IF(C2999+D2999=0,"",(E2999*C2999+F2999*D2999)/(C2999+D2999)))</f>
        <v/>
      </c>
      <c r="H2999" s="59"/>
      <c r="I2999" s="60">
        <f>IF(OR(H2999="",E2999="",C2999="",D2999=""),"",IF(C2999+D2999=0,"",(H2999*D2999+E2999*C2999)/(C2999+D2999)))</f>
        <v/>
      </c>
      <c r="J2999" s="59"/>
      <c r="K2999" s="61">
        <f>IF(OR(J2999="",I2999=""),"",J2999-I2999)</f>
        <v/>
      </c>
      <c r="L2999" s="61">
        <f>IF(OR(J2999="",G2999=""),"",J2999-G2999)</f>
        <v/>
      </c>
      <c r="M2999" s="59"/>
      <c r="N2999" s="59"/>
      <c r="O2999" s="59"/>
      <c r="P2999" s="59"/>
      <c r="Q2999" s="59"/>
      <c r="R2999" s="60">
        <f>IF(AND(P2999="",Q2999=""),"",N(P2999)+N(Q2999))</f>
        <v/>
      </c>
      <c r="S2999" s="59"/>
      <c r="T2999" s="59"/>
      <c r="U2999" s="62">
        <f>IF(OR(R2999="",S2999="",T2999=""),"",IF(S2999+T2999=0,"",R2999/(S2999+T2999)))</f>
        <v/>
      </c>
      <c r="V2999" s="63"/>
      <c r="W2999" s="64"/>
      <c r="X2999" s="63"/>
    </row>
    <row r="3000" spans="2:24">
      <c r="B3000" s="58"/>
      <c r="C3000" s="59"/>
      <c r="D3000" s="59"/>
      <c r="E3000" s="59"/>
      <c r="F3000" s="59"/>
      <c r="G3000" s="60">
        <f>IF(OR(E3000="",F3000="",C3000="",D3000=""),"",IF(C3000+D3000=0,"",(E3000*C3000+F3000*D3000)/(C3000+D3000)))</f>
        <v/>
      </c>
      <c r="H3000" s="59"/>
      <c r="I3000" s="60">
        <f>IF(OR(H3000="",E3000="",C3000="",D3000=""),"",IF(C3000+D3000=0,"",(H3000*D3000+E3000*C3000)/(C3000+D3000)))</f>
        <v/>
      </c>
      <c r="J3000" s="59"/>
      <c r="K3000" s="61">
        <f>IF(OR(J3000="",I3000=""),"",J3000-I3000)</f>
        <v/>
      </c>
      <c r="L3000" s="61">
        <f>IF(OR(J3000="",G3000=""),"",J3000-G3000)</f>
        <v/>
      </c>
      <c r="M3000" s="59"/>
      <c r="N3000" s="59"/>
      <c r="O3000" s="59"/>
      <c r="P3000" s="59"/>
      <c r="Q3000" s="59"/>
      <c r="R3000" s="60">
        <f>IF(AND(P3000="",Q3000=""),"",N(P3000)+N(Q3000))</f>
        <v/>
      </c>
      <c r="S3000" s="59"/>
      <c r="T3000" s="59"/>
      <c r="U3000" s="62">
        <f>IF(OR(R3000="",S3000="",T3000=""),"",IF(S3000+T3000=0,"",R3000/(S3000+T3000)))</f>
        <v/>
      </c>
      <c r="V3000" s="63"/>
      <c r="W3000" s="64"/>
      <c r="X3000" s="63"/>
    </row>
    <row r="3001" spans="2:24">
      <c r="B3001" s="58"/>
      <c r="C3001" s="59"/>
      <c r="D3001" s="59"/>
      <c r="E3001" s="59"/>
      <c r="F3001" s="59"/>
      <c r="G3001" s="60">
        <f>IF(OR(E3001="",F3001="",C3001="",D3001=""),"",IF(C3001+D3001=0,"",(E3001*C3001+F3001*D3001)/(C3001+D3001)))</f>
        <v/>
      </c>
      <c r="H3001" s="59"/>
      <c r="I3001" s="60">
        <f>IF(OR(H3001="",E3001="",C3001="",D3001=""),"",IF(C3001+D3001=0,"",(H3001*D3001+E3001*C3001)/(C3001+D3001)))</f>
        <v/>
      </c>
      <c r="J3001" s="59"/>
      <c r="K3001" s="61">
        <f>IF(OR(J3001="",I3001=""),"",J3001-I3001)</f>
        <v/>
      </c>
      <c r="L3001" s="61">
        <f>IF(OR(J3001="",G3001=""),"",J3001-G3001)</f>
        <v/>
      </c>
      <c r="M3001" s="59"/>
      <c r="N3001" s="59"/>
      <c r="O3001" s="59"/>
      <c r="P3001" s="59"/>
      <c r="Q3001" s="59"/>
      <c r="R3001" s="60">
        <f>IF(AND(P3001="",Q3001=""),"",N(P3001)+N(Q3001))</f>
        <v/>
      </c>
      <c r="S3001" s="59"/>
      <c r="T3001" s="59"/>
      <c r="U3001" s="62">
        <f>IF(OR(R3001="",S3001="",T3001=""),"",IF(S3001+T3001=0,"",R3001/(S3001+T3001)))</f>
        <v/>
      </c>
      <c r="V3001" s="63"/>
      <c r="W3001" s="64"/>
      <c r="X3001" s="63"/>
    </row>
    <row r="3002" spans="2:24">
      <c r="B3002" s="58"/>
      <c r="C3002" s="59"/>
      <c r="D3002" s="59"/>
      <c r="E3002" s="59"/>
      <c r="F3002" s="59"/>
      <c r="G3002" s="60">
        <f>IF(OR(E3002="",F3002="",C3002="",D3002=""),"",IF(C3002+D3002=0,"",(E3002*C3002+F3002*D3002)/(C3002+D3002)))</f>
        <v/>
      </c>
      <c r="H3002" s="59"/>
      <c r="I3002" s="60">
        <f>IF(OR(H3002="",E3002="",C3002="",D3002=""),"",IF(C3002+D3002=0,"",(H3002*D3002+E3002*C3002)/(C3002+D3002)))</f>
        <v/>
      </c>
      <c r="J3002" s="59"/>
      <c r="K3002" s="61">
        <f>IF(OR(J3002="",I3002=""),"",J3002-I3002)</f>
        <v/>
      </c>
      <c r="L3002" s="61">
        <f>IF(OR(J3002="",G3002=""),"",J3002-G3002)</f>
        <v/>
      </c>
      <c r="M3002" s="59"/>
      <c r="N3002" s="59"/>
      <c r="O3002" s="59"/>
      <c r="P3002" s="59"/>
      <c r="Q3002" s="59"/>
      <c r="R3002" s="60">
        <f>IF(AND(P3002="",Q3002=""),"",N(P3002)+N(Q3002))</f>
        <v/>
      </c>
      <c r="S3002" s="59"/>
      <c r="T3002" s="59"/>
      <c r="U3002" s="62">
        <f>IF(OR(R3002="",S3002="",T3002=""),"",IF(S3002+T3002=0,"",R3002/(S3002+T3002)))</f>
        <v/>
      </c>
      <c r="V3002" s="63"/>
      <c r="W3002" s="64"/>
      <c r="X3002" s="63"/>
    </row>
    <row r="3003" spans="2:24">
      <c r="B3003" s="58"/>
      <c r="C3003" s="59"/>
      <c r="D3003" s="59"/>
      <c r="E3003" s="59"/>
      <c r="F3003" s="59"/>
      <c r="G3003" s="60">
        <f>IF(OR(E3003="",F3003="",C3003="",D3003=""),"",IF(C3003+D3003=0,"",(E3003*C3003+F3003*D3003)/(C3003+D3003)))</f>
        <v/>
      </c>
      <c r="H3003" s="59"/>
      <c r="I3003" s="60">
        <f>IF(OR(H3003="",E3003="",C3003="",D3003=""),"",IF(C3003+D3003=0,"",(H3003*D3003+E3003*C3003)/(C3003+D3003)))</f>
        <v/>
      </c>
      <c r="J3003" s="59"/>
      <c r="K3003" s="61">
        <f>IF(OR(J3003="",I3003=""),"",J3003-I3003)</f>
        <v/>
      </c>
      <c r="L3003" s="61">
        <f>IF(OR(J3003="",G3003=""),"",J3003-G3003)</f>
        <v/>
      </c>
      <c r="M3003" s="59"/>
      <c r="N3003" s="59"/>
      <c r="O3003" s="59"/>
      <c r="P3003" s="59"/>
      <c r="Q3003" s="59"/>
      <c r="R3003" s="60">
        <f>IF(AND(P3003="",Q3003=""),"",N(P3003)+N(Q3003))</f>
        <v/>
      </c>
      <c r="S3003" s="59"/>
      <c r="T3003" s="59"/>
      <c r="U3003" s="62">
        <f>IF(OR(R3003="",S3003="",T3003=""),"",IF(S3003+T3003=0,"",R3003/(S3003+T3003)))</f>
        <v/>
      </c>
      <c r="V3003" s="63"/>
      <c r="W3003" s="64"/>
      <c r="X3003" s="63"/>
    </row>
    <row r="3004" spans="2:24">
      <c r="B3004" s="58"/>
      <c r="C3004" s="59"/>
      <c r="D3004" s="59"/>
      <c r="E3004" s="59"/>
      <c r="F3004" s="59"/>
      <c r="G3004" s="60">
        <f>IF(OR(E3004="",F3004="",C3004="",D3004=""),"",IF(C3004+D3004=0,"",(E3004*C3004+F3004*D3004)/(C3004+D3004)))</f>
        <v/>
      </c>
      <c r="H3004" s="59"/>
      <c r="I3004" s="60">
        <f>IF(OR(H3004="",E3004="",C3004="",D3004=""),"",IF(C3004+D3004=0,"",(H3004*D3004+E3004*C3004)/(C3004+D3004)))</f>
        <v/>
      </c>
      <c r="J3004" s="59"/>
      <c r="K3004" s="61">
        <f>IF(OR(J3004="",I3004=""),"",J3004-I3004)</f>
        <v/>
      </c>
      <c r="L3004" s="61">
        <f>IF(OR(J3004="",G3004=""),"",J3004-G3004)</f>
        <v/>
      </c>
      <c r="M3004" s="59"/>
      <c r="N3004" s="59"/>
      <c r="O3004" s="59"/>
      <c r="P3004" s="59"/>
      <c r="Q3004" s="59"/>
      <c r="R3004" s="60">
        <f>IF(AND(P3004="",Q3004=""),"",N(P3004)+N(Q3004))</f>
        <v/>
      </c>
      <c r="S3004" s="59"/>
      <c r="T3004" s="59"/>
      <c r="U3004" s="62">
        <f>IF(OR(R3004="",S3004="",T3004=""),"",IF(S3004+T3004=0,"",R3004/(S3004+T3004)))</f>
        <v/>
      </c>
      <c r="V3004" s="63"/>
      <c r="W3004" s="64"/>
      <c r="X3004" s="63"/>
    </row>
    <row r="3005" spans="2:24">
      <c r="B3005" s="58"/>
      <c r="C3005" s="59"/>
      <c r="D3005" s="59"/>
      <c r="E3005" s="59"/>
      <c r="F3005" s="59"/>
      <c r="G3005" s="60">
        <f>IF(OR(E3005="",F3005="",C3005="",D3005=""),"",IF(C3005+D3005=0,"",(E3005*C3005+F3005*D3005)/(C3005+D3005)))</f>
        <v/>
      </c>
      <c r="H3005" s="59"/>
      <c r="I3005" s="60">
        <f>IF(OR(H3005="",E3005="",C3005="",D3005=""),"",IF(C3005+D3005=0,"",(H3005*D3005+E3005*C3005)/(C3005+D3005)))</f>
        <v/>
      </c>
      <c r="J3005" s="59"/>
      <c r="K3005" s="61">
        <f>IF(OR(J3005="",I3005=""),"",J3005-I3005)</f>
        <v/>
      </c>
      <c r="L3005" s="61">
        <f>IF(OR(J3005="",G3005=""),"",J3005-G3005)</f>
        <v/>
      </c>
      <c r="M3005" s="59"/>
      <c r="N3005" s="59"/>
      <c r="O3005" s="59"/>
      <c r="P3005" s="59"/>
      <c r="Q3005" s="59"/>
      <c r="R3005" s="60">
        <f>IF(AND(P3005="",Q3005=""),"",N(P3005)+N(Q3005))</f>
        <v/>
      </c>
      <c r="S3005" s="59"/>
      <c r="T3005" s="59"/>
      <c r="U3005" s="62">
        <f>IF(OR(R3005="",S3005="",T3005=""),"",IF(S3005+T3005=0,"",R3005/(S3005+T3005)))</f>
        <v/>
      </c>
      <c r="V3005" s="63"/>
      <c r="W3005" s="64"/>
      <c r="X3005" s="63"/>
    </row>
    <row r="3006" spans="2:24">
      <c r="B3006" s="58"/>
      <c r="C3006" s="59"/>
      <c r="D3006" s="59"/>
      <c r="E3006" s="59"/>
      <c r="F3006" s="59"/>
      <c r="G3006" s="60">
        <f>IF(OR(E3006="",F3006="",C3006="",D3006=""),"",IF(C3006+D3006=0,"",(E3006*C3006+F3006*D3006)/(C3006+D3006)))</f>
        <v/>
      </c>
      <c r="H3006" s="59"/>
      <c r="I3006" s="60">
        <f>IF(OR(H3006="",E3006="",C3006="",D3006=""),"",IF(C3006+D3006=0,"",(H3006*D3006+E3006*C3006)/(C3006+D3006)))</f>
        <v/>
      </c>
      <c r="J3006" s="59"/>
      <c r="K3006" s="61">
        <f>IF(OR(J3006="",I3006=""),"",J3006-I3006)</f>
        <v/>
      </c>
      <c r="L3006" s="61">
        <f>IF(OR(J3006="",G3006=""),"",J3006-G3006)</f>
        <v/>
      </c>
      <c r="M3006" s="59"/>
      <c r="N3006" s="59"/>
      <c r="O3006" s="59"/>
      <c r="P3006" s="59"/>
      <c r="Q3006" s="59"/>
      <c r="R3006" s="60">
        <f>IF(AND(P3006="",Q3006=""),"",N(P3006)+N(Q3006))</f>
        <v/>
      </c>
      <c r="S3006" s="59"/>
      <c r="T3006" s="59"/>
      <c r="U3006" s="62">
        <f>IF(OR(R3006="",S3006="",T3006=""),"",IF(S3006+T3006=0,"",R3006/(S3006+T3006)))</f>
        <v/>
      </c>
      <c r="V3006" s="63"/>
      <c r="W3006" s="64"/>
      <c r="X3006" s="63"/>
    </row>
  </sheetData>
  <autoFilter ref="B6:X260"/>
  <mergeCells count="2">
    <mergeCell ref="B2:X2"/>
    <mergeCell ref="B3:X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Diag">
    <tabColor rgb="FF5B6B77"/>
  </sheetPr>
  <dimension ref="A2:L22"/>
  <sheetViews>
    <sheetView showGridLines="0" workbookViewId="0"/>
  </sheetViews>
  <sheetFormatPr defaultRowHeight="15"/>
  <cols>
    <col min="1" max="1" width="2.28515625" customWidth="1"/>
    <col min="2" max="2" width="30.7109375" customWidth="1"/>
    <col min="3" max="3" width="26.7109375" customWidth="1"/>
    <col min="4" max="4" width="13.7109375" customWidth="1"/>
    <col min="5" max="5" width="20.7109375" customWidth="1"/>
    <col min="6" max="6" width="26.7109375" customWidth="1"/>
    <col min="7" max="7" width="10.7109375" customWidth="1"/>
    <col min="8" max="9" width="13.7109375" customWidth="1"/>
    <col min="10" max="10" width="12.7109375" customWidth="1"/>
    <col min="11" max="11" width="70.7109375" customWidth="1"/>
    <col min="12" max="12" width="50.7109375" customWidth="1"/>
  </cols>
  <sheetData>
    <row r="2" spans="2:12" ht="34" customHeight="1">
      <c r="B2" s="34" t="s">
        <v>183</v>
      </c>
      <c r="C2" s="34"/>
      <c r="D2" s="34"/>
      <c r="E2" s="34"/>
      <c r="F2" s="34"/>
      <c r="G2" s="34"/>
      <c r="H2" s="34"/>
      <c r="I2" s="34"/>
      <c r="J2" s="34"/>
      <c r="K2" s="34"/>
      <c r="L2" s="34"/>
    </row>
    <row r="3" spans="2:12" ht="22" customHeight="1">
      <c r="B3" s="56" t="s">
        <v>184</v>
      </c>
      <c r="C3" s="56"/>
      <c r="D3" s="56"/>
      <c r="E3" s="56"/>
      <c r="F3" s="56"/>
      <c r="G3" s="56"/>
      <c r="H3" s="56"/>
      <c r="I3" s="56"/>
      <c r="J3" s="56"/>
      <c r="K3" s="56"/>
      <c r="L3" s="56"/>
    </row>
    <row r="5" spans="2:12" ht="22" customHeight="1">
      <c r="B5" s="35" t="s">
        <v>185</v>
      </c>
      <c r="G5" s="53" t="s">
        <v>186</v>
      </c>
      <c r="H5" s="53"/>
      <c r="I5" s="53"/>
      <c r="J5" s="53"/>
      <c r="K5" s="53"/>
      <c r="L5" s="53"/>
    </row>
    <row r="6" spans="2:12" ht="28" customHeight="1">
      <c r="B6" s="65">
        <v>46310</v>
      </c>
      <c r="G6" s="53"/>
      <c r="H6" s="53"/>
      <c r="I6" s="53"/>
      <c r="J6" s="53"/>
      <c r="K6" s="53"/>
      <c r="L6" s="53"/>
    </row>
    <row r="8" spans="2:12" ht="30" customHeight="1">
      <c r="B8" s="39" t="s">
        <v>4</v>
      </c>
      <c r="C8" s="39" t="s">
        <v>187</v>
      </c>
      <c r="D8" s="39" t="s">
        <v>7</v>
      </c>
      <c r="E8" s="39" t="s">
        <v>188</v>
      </c>
      <c r="F8" s="39" t="s">
        <v>189</v>
      </c>
      <c r="G8" s="39" t="s">
        <v>190</v>
      </c>
      <c r="H8" s="39" t="s">
        <v>191</v>
      </c>
      <c r="I8" s="39" t="s">
        <v>192</v>
      </c>
      <c r="J8" s="39" t="s">
        <v>193</v>
      </c>
      <c r="K8" s="39" t="s">
        <v>194</v>
      </c>
      <c r="L8" s="39" t="s">
        <v>195</v>
      </c>
    </row>
    <row r="9" spans="2:12" ht="30" customHeight="1">
      <c r="B9" s="66" t="s">
        <v>15</v>
      </c>
      <c r="C9" s="67"/>
      <c r="D9" s="67"/>
      <c r="E9" s="67"/>
      <c r="F9" s="67"/>
      <c r="G9" s="67"/>
      <c r="H9" s="67"/>
      <c r="I9" s="67"/>
      <c r="J9" s="67"/>
      <c r="K9" s="67"/>
      <c r="L9" s="67"/>
    </row>
    <row r="10" spans="2:12" ht="30" customHeight="1">
      <c r="B10" s="66" t="s">
        <v>23</v>
      </c>
      <c r="C10" s="67"/>
      <c r="D10" s="67"/>
      <c r="E10" s="67"/>
      <c r="F10" s="67"/>
      <c r="G10" s="67"/>
      <c r="H10" s="67"/>
      <c r="I10" s="67"/>
      <c r="J10" s="67"/>
      <c r="K10" s="67"/>
      <c r="L10" s="67"/>
    </row>
    <row r="11" spans="2:12" ht="30" customHeight="1">
      <c r="B11" s="66" t="s">
        <v>27</v>
      </c>
      <c r="C11" s="67"/>
      <c r="D11" s="67"/>
      <c r="E11" s="67"/>
      <c r="F11" s="67"/>
      <c r="G11" s="67"/>
      <c r="H11" s="67"/>
      <c r="I11" s="67"/>
      <c r="J11" s="67"/>
      <c r="K11" s="67"/>
      <c r="L11" s="67"/>
    </row>
    <row r="12" spans="2:12" ht="30" customHeight="1">
      <c r="B12" s="66" t="s">
        <v>31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</row>
    <row r="13" spans="2:12" ht="30" customHeight="1">
      <c r="B13" s="66" t="s">
        <v>35</v>
      </c>
      <c r="C13" s="67"/>
      <c r="D13" s="67"/>
      <c r="E13" s="67"/>
      <c r="F13" s="67"/>
      <c r="G13" s="67"/>
      <c r="H13" s="67"/>
      <c r="I13" s="67"/>
      <c r="J13" s="67"/>
      <c r="K13" s="67"/>
      <c r="L13" s="67"/>
    </row>
    <row r="14" spans="2:12" ht="30" customHeight="1">
      <c r="B14" s="66" t="s">
        <v>41</v>
      </c>
      <c r="C14" s="67"/>
      <c r="D14" s="67"/>
      <c r="E14" s="67"/>
      <c r="F14" s="67"/>
      <c r="G14" s="67"/>
      <c r="H14" s="67"/>
      <c r="I14" s="67"/>
      <c r="J14" s="67"/>
      <c r="K14" s="67"/>
      <c r="L14" s="67"/>
    </row>
    <row r="15" spans="2:12" ht="30" customHeight="1">
      <c r="B15" s="66" t="s">
        <v>45</v>
      </c>
      <c r="C15" s="67"/>
      <c r="D15" s="67"/>
      <c r="E15" s="67"/>
      <c r="F15" s="67"/>
      <c r="G15" s="67"/>
      <c r="H15" s="67"/>
      <c r="I15" s="67"/>
      <c r="J15" s="67"/>
      <c r="K15" s="67"/>
      <c r="L15" s="67"/>
    </row>
    <row r="16" spans="2:12" ht="30" customHeight="1">
      <c r="B16" s="66" t="s">
        <v>49</v>
      </c>
      <c r="C16" s="67"/>
      <c r="D16" s="67"/>
      <c r="E16" s="67"/>
      <c r="F16" s="67"/>
      <c r="G16" s="67"/>
      <c r="H16" s="67"/>
      <c r="I16" s="67"/>
      <c r="J16" s="67"/>
      <c r="K16" s="67"/>
      <c r="L16" s="67"/>
    </row>
    <row r="17" spans="2:12" ht="30" customHeight="1">
      <c r="B17" s="66" t="s">
        <v>53</v>
      </c>
      <c r="C17" s="67"/>
      <c r="D17" s="67"/>
      <c r="E17" s="67"/>
      <c r="F17" s="67"/>
      <c r="G17" s="67"/>
      <c r="H17" s="67"/>
      <c r="I17" s="67"/>
      <c r="J17" s="67"/>
      <c r="K17" s="67"/>
      <c r="L17" s="67"/>
    </row>
    <row r="18" spans="2:12" ht="30" customHeight="1">
      <c r="B18" s="66" t="s">
        <v>58</v>
      </c>
      <c r="C18" s="67"/>
      <c r="D18" s="67"/>
      <c r="E18" s="67"/>
      <c r="F18" s="67"/>
      <c r="G18" s="67"/>
      <c r="H18" s="67"/>
      <c r="I18" s="67"/>
      <c r="J18" s="67"/>
      <c r="K18" s="67"/>
      <c r="L18" s="67"/>
    </row>
    <row r="19" spans="2:12" ht="30" customHeight="1">
      <c r="B19" s="66" t="s">
        <v>62</v>
      </c>
      <c r="C19" s="67"/>
      <c r="D19" s="67"/>
      <c r="E19" s="67"/>
      <c r="F19" s="67"/>
      <c r="G19" s="67"/>
      <c r="H19" s="67"/>
      <c r="I19" s="67"/>
      <c r="J19" s="67"/>
      <c r="K19" s="67"/>
      <c r="L19" s="67"/>
    </row>
    <row r="20" spans="2:12" ht="30" customHeight="1">
      <c r="B20" s="66" t="s">
        <v>66</v>
      </c>
      <c r="C20" s="67"/>
      <c r="D20" s="67"/>
      <c r="E20" s="67"/>
      <c r="F20" s="67"/>
      <c r="G20" s="67"/>
      <c r="H20" s="67"/>
      <c r="I20" s="67"/>
      <c r="J20" s="67"/>
      <c r="K20" s="67"/>
      <c r="L20" s="67"/>
    </row>
    <row r="22" spans="2:12">
      <c r="B22" s="68" t="s">
        <v>196</v>
      </c>
    </row>
  </sheetData>
  <mergeCells count="3">
    <mergeCell ref="B2:L2"/>
    <mergeCell ref="B3:L3"/>
    <mergeCell ref="G5:L6"/>
  </mergeCells>
  <conditionalFormatting sqref="F9:F20">
    <cfRule type="beginsWith" dxfId="2" priority="1" operator="beginsWith" text="OK">
      <formula>LEFT(F9,2)="OK"</formula>
    </cfRule>
    <cfRule type="notContainsText" dxfId="0" priority="2" operator="notContains" text="OK">
      <formula>ISERROR(SEARCH("OK",F9))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L36"/>
  <sheetViews>
    <sheetView showGridLines="0" workbookViewId="0"/>
  </sheetViews>
  <sheetFormatPr defaultRowHeight="15"/>
  <cols>
    <col min="1" max="1" width="2.28515625" customWidth="1"/>
    <col min="2" max="2" width="9.7109375" customWidth="1"/>
    <col min="3" max="3" width="30.7109375" customWidth="1"/>
    <col min="4" max="4" width="28.7109375" customWidth="1"/>
    <col min="5" max="5" width="8.7109375" customWidth="1"/>
    <col min="6" max="6" width="14.7109375" customWidth="1"/>
    <col min="7" max="7" width="7.7109375" customWidth="1"/>
    <col min="8" max="8" width="9.7109375" customWidth="1"/>
    <col min="9" max="9" width="8.7109375" customWidth="1"/>
    <col min="10" max="10" width="9.7109375" customWidth="1"/>
    <col min="11" max="11" width="8.7109375" customWidth="1"/>
    <col min="12" max="12" width="62.7109375" customWidth="1"/>
  </cols>
  <sheetData>
    <row r="2" spans="2:12" ht="34" customHeight="1">
      <c r="B2" s="34" t="s">
        <v>0</v>
      </c>
      <c r="C2" s="34"/>
      <c r="D2" s="34"/>
      <c r="E2" s="34"/>
      <c r="F2" s="34"/>
      <c r="G2" s="34"/>
      <c r="H2" s="34"/>
      <c r="I2" s="34"/>
      <c r="J2" s="34"/>
      <c r="K2" s="34"/>
      <c r="L2" s="34"/>
    </row>
    <row r="3" spans="2:12" ht="22" customHeight="1">
      <c r="B3" s="56" t="s">
        <v>1</v>
      </c>
      <c r="C3" s="56"/>
      <c r="D3" s="56"/>
      <c r="E3" s="56"/>
      <c r="F3" s="56"/>
      <c r="G3" s="56"/>
      <c r="H3" s="56"/>
      <c r="I3" s="56"/>
      <c r="J3" s="56"/>
      <c r="K3" s="56"/>
      <c r="L3" s="56"/>
    </row>
    <row r="6" spans="2:12" ht="22" customHeight="1">
      <c r="B6" s="35" t="s">
        <v>2</v>
      </c>
      <c r="C6" s="35"/>
      <c r="D6" s="35"/>
      <c r="E6" s="35"/>
      <c r="F6" s="35"/>
      <c r="G6" s="35"/>
      <c r="H6" s="35"/>
      <c r="I6" s="35"/>
      <c r="J6" s="35"/>
      <c r="K6" s="35"/>
      <c r="L6" s="35"/>
    </row>
    <row r="7" spans="2:12" ht="30" customHeight="1">
      <c r="B7" s="39" t="s">
        <v>3</v>
      </c>
      <c r="C7" s="39" t="s">
        <v>4</v>
      </c>
      <c r="D7" s="39" t="s">
        <v>5</v>
      </c>
      <c r="E7" s="39" t="s">
        <v>6</v>
      </c>
      <c r="F7" s="39" t="s">
        <v>7</v>
      </c>
      <c r="G7" s="39" t="s">
        <v>8</v>
      </c>
      <c r="H7" s="39" t="s">
        <v>9</v>
      </c>
      <c r="I7" s="39" t="s">
        <v>10</v>
      </c>
      <c r="J7" s="39" t="s">
        <v>11</v>
      </c>
      <c r="K7" s="39" t="s">
        <v>12</v>
      </c>
      <c r="L7" s="39" t="s">
        <v>13</v>
      </c>
    </row>
    <row r="8" spans="2:12">
      <c r="B8" s="69" t="s">
        <v>14</v>
      </c>
      <c r="C8" s="70" t="s">
        <v>15</v>
      </c>
      <c r="D8" s="70" t="s">
        <v>16</v>
      </c>
      <c r="E8" s="71" t="s">
        <v>17</v>
      </c>
      <c r="F8" s="71" t="s">
        <v>18</v>
      </c>
      <c r="G8" s="71" t="s">
        <v>19</v>
      </c>
      <c r="H8" s="71" t="s">
        <v>20</v>
      </c>
      <c r="I8" s="71">
        <v>0</v>
      </c>
      <c r="J8" s="71">
        <v>200000</v>
      </c>
      <c r="K8" s="71">
        <v>0</v>
      </c>
      <c r="L8" s="70" t="s">
        <v>21</v>
      </c>
    </row>
    <row r="9" spans="2:12">
      <c r="B9" s="69" t="s">
        <v>22</v>
      </c>
      <c r="C9" s="70" t="s">
        <v>23</v>
      </c>
      <c r="D9" s="70" t="s">
        <v>24</v>
      </c>
      <c r="E9" s="71" t="s">
        <v>17</v>
      </c>
      <c r="F9" s="71" t="s">
        <v>18</v>
      </c>
      <c r="G9" s="71" t="s">
        <v>19</v>
      </c>
      <c r="H9" s="71" t="s">
        <v>20</v>
      </c>
      <c r="I9" s="71">
        <v>0</v>
      </c>
      <c r="J9" s="71">
        <v>200000</v>
      </c>
      <c r="K9" s="71">
        <v>0</v>
      </c>
      <c r="L9" s="70" t="s">
        <v>25</v>
      </c>
    </row>
    <row r="10" spans="2:12">
      <c r="B10" s="69" t="s">
        <v>26</v>
      </c>
      <c r="C10" s="70" t="s">
        <v>27</v>
      </c>
      <c r="D10" s="70" t="s">
        <v>28</v>
      </c>
      <c r="E10" s="71" t="s">
        <v>17</v>
      </c>
      <c r="F10" s="71" t="s">
        <v>18</v>
      </c>
      <c r="G10" s="71" t="s">
        <v>19</v>
      </c>
      <c r="H10" s="71" t="s">
        <v>20</v>
      </c>
      <c r="I10" s="71">
        <v>300</v>
      </c>
      <c r="J10" s="71">
        <v>8000</v>
      </c>
      <c r="K10" s="71">
        <v>0</v>
      </c>
      <c r="L10" s="70" t="s">
        <v>29</v>
      </c>
    </row>
    <row r="11" spans="2:12">
      <c r="B11" s="69" t="s">
        <v>30</v>
      </c>
      <c r="C11" s="70" t="s">
        <v>31</v>
      </c>
      <c r="D11" s="70" t="s">
        <v>32</v>
      </c>
      <c r="E11" s="71" t="s">
        <v>17</v>
      </c>
      <c r="F11" s="71" t="s">
        <v>18</v>
      </c>
      <c r="G11" s="71" t="s">
        <v>19</v>
      </c>
      <c r="H11" s="71" t="s">
        <v>20</v>
      </c>
      <c r="I11" s="71">
        <v>300</v>
      </c>
      <c r="J11" s="71">
        <v>8000</v>
      </c>
      <c r="K11" s="71">
        <v>0</v>
      </c>
      <c r="L11" s="70" t="s">
        <v>33</v>
      </c>
    </row>
    <row r="12" spans="2:12">
      <c r="B12" s="69" t="s">
        <v>34</v>
      </c>
      <c r="C12" s="70" t="s">
        <v>35</v>
      </c>
      <c r="D12" s="70" t="s">
        <v>36</v>
      </c>
      <c r="E12" s="71" t="s">
        <v>17</v>
      </c>
      <c r="F12" s="71" t="s">
        <v>37</v>
      </c>
      <c r="G12" s="71" t="s">
        <v>38</v>
      </c>
      <c r="H12" s="71" t="s">
        <v>20</v>
      </c>
      <c r="I12" s="71">
        <v>300</v>
      </c>
      <c r="J12" s="71">
        <v>8000</v>
      </c>
      <c r="K12" s="71">
        <v>0</v>
      </c>
      <c r="L12" s="70" t="s">
        <v>39</v>
      </c>
    </row>
    <row r="13" spans="2:12">
      <c r="B13" s="69" t="s">
        <v>40</v>
      </c>
      <c r="C13" s="70" t="s">
        <v>41</v>
      </c>
      <c r="D13" s="70" t="s">
        <v>42</v>
      </c>
      <c r="E13" s="71" t="s">
        <v>17</v>
      </c>
      <c r="F13" s="71" t="s">
        <v>37</v>
      </c>
      <c r="G13" s="71" t="s">
        <v>38</v>
      </c>
      <c r="H13" s="71" t="s">
        <v>20</v>
      </c>
      <c r="I13" s="71">
        <v>300</v>
      </c>
      <c r="J13" s="71">
        <v>8000</v>
      </c>
      <c r="K13" s="71">
        <v>0</v>
      </c>
      <c r="L13" s="70" t="s">
        <v>43</v>
      </c>
    </row>
    <row r="14" spans="2:12">
      <c r="B14" s="69" t="s">
        <v>44</v>
      </c>
      <c r="C14" s="70" t="s">
        <v>45</v>
      </c>
      <c r="D14" s="70" t="s">
        <v>46</v>
      </c>
      <c r="E14" s="71" t="s">
        <v>17</v>
      </c>
      <c r="F14" s="71" t="s">
        <v>37</v>
      </c>
      <c r="G14" s="71" t="s">
        <v>38</v>
      </c>
      <c r="H14" s="71" t="s">
        <v>20</v>
      </c>
      <c r="I14" s="71">
        <v>300</v>
      </c>
      <c r="J14" s="71">
        <v>8000</v>
      </c>
      <c r="K14" s="71">
        <v>0</v>
      </c>
      <c r="L14" s="70" t="s">
        <v>47</v>
      </c>
    </row>
    <row r="15" spans="2:12">
      <c r="B15" s="69" t="s">
        <v>48</v>
      </c>
      <c r="C15" s="70" t="s">
        <v>49</v>
      </c>
      <c r="D15" s="70" t="s">
        <v>50</v>
      </c>
      <c r="E15" s="71" t="s">
        <v>17</v>
      </c>
      <c r="F15" s="71" t="s">
        <v>37</v>
      </c>
      <c r="G15" s="71" t="s">
        <v>38</v>
      </c>
      <c r="H15" s="71" t="s">
        <v>20</v>
      </c>
      <c r="I15" s="71">
        <v>300</v>
      </c>
      <c r="J15" s="71">
        <v>8000</v>
      </c>
      <c r="K15" s="71">
        <v>0</v>
      </c>
      <c r="L15" s="70" t="s">
        <v>51</v>
      </c>
    </row>
    <row r="16" spans="2:12">
      <c r="B16" s="69" t="s">
        <v>52</v>
      </c>
      <c r="C16" s="70" t="s">
        <v>53</v>
      </c>
      <c r="D16" s="70" t="s">
        <v>54</v>
      </c>
      <c r="E16" s="71" t="s">
        <v>17</v>
      </c>
      <c r="F16" s="71" t="s">
        <v>18</v>
      </c>
      <c r="G16" s="71" t="s">
        <v>38</v>
      </c>
      <c r="H16" s="71" t="s">
        <v>55</v>
      </c>
      <c r="I16" s="71">
        <v>0</v>
      </c>
      <c r="J16" s="71">
        <v>20000</v>
      </c>
      <c r="K16" s="71">
        <v>0</v>
      </c>
      <c r="L16" s="70" t="s">
        <v>56</v>
      </c>
    </row>
    <row r="17" spans="2:12">
      <c r="B17" s="69" t="s">
        <v>57</v>
      </c>
      <c r="C17" s="70" t="s">
        <v>58</v>
      </c>
      <c r="D17" s="70" t="s">
        <v>59</v>
      </c>
      <c r="E17" s="71" t="s">
        <v>17</v>
      </c>
      <c r="F17" s="71" t="s">
        <v>18</v>
      </c>
      <c r="G17" s="71" t="s">
        <v>38</v>
      </c>
      <c r="H17" s="71" t="s">
        <v>55</v>
      </c>
      <c r="I17" s="71">
        <v>0</v>
      </c>
      <c r="J17" s="71">
        <v>20000</v>
      </c>
      <c r="K17" s="71">
        <v>0</v>
      </c>
      <c r="L17" s="70" t="s">
        <v>60</v>
      </c>
    </row>
    <row r="18" spans="2:12">
      <c r="B18" s="69" t="s">
        <v>61</v>
      </c>
      <c r="C18" s="70" t="s">
        <v>62</v>
      </c>
      <c r="D18" s="70" t="s">
        <v>63</v>
      </c>
      <c r="E18" s="71" t="s">
        <v>17</v>
      </c>
      <c r="F18" s="71" t="s">
        <v>18</v>
      </c>
      <c r="G18" s="71" t="s">
        <v>38</v>
      </c>
      <c r="H18" s="71" t="s">
        <v>55</v>
      </c>
      <c r="I18" s="71">
        <v>0</v>
      </c>
      <c r="J18" s="71">
        <v>200000</v>
      </c>
      <c r="K18" s="71">
        <v>0</v>
      </c>
      <c r="L18" s="70" t="s">
        <v>64</v>
      </c>
    </row>
    <row r="19" spans="2:12">
      <c r="B19" s="69" t="s">
        <v>65</v>
      </c>
      <c r="C19" s="70" t="s">
        <v>66</v>
      </c>
      <c r="D19" s="70" t="s">
        <v>67</v>
      </c>
      <c r="E19" s="71" t="s">
        <v>17</v>
      </c>
      <c r="F19" s="71" t="s">
        <v>18</v>
      </c>
      <c r="G19" s="71" t="s">
        <v>38</v>
      </c>
      <c r="H19" s="71" t="s">
        <v>55</v>
      </c>
      <c r="I19" s="71">
        <v>0</v>
      </c>
      <c r="J19" s="71">
        <v>200000</v>
      </c>
      <c r="K19" s="71">
        <v>0</v>
      </c>
      <c r="L19" s="70" t="s">
        <v>68</v>
      </c>
    </row>
    <row r="20" spans="2:12">
      <c r="B20" s="72" t="s">
        <v>69</v>
      </c>
    </row>
    <row r="22" spans="2:12" ht="22" customHeight="1">
      <c r="B22" s="35" t="s">
        <v>70</v>
      </c>
      <c r="C22" s="35"/>
      <c r="D22" s="35"/>
      <c r="E22" s="35"/>
      <c r="F22" s="35"/>
    </row>
    <row r="23" spans="2:12" ht="30" customHeight="1">
      <c r="B23" s="39" t="s">
        <v>8</v>
      </c>
      <c r="C23" s="39" t="s">
        <v>71</v>
      </c>
      <c r="D23" s="39" t="s">
        <v>72</v>
      </c>
      <c r="E23" s="39" t="s">
        <v>73</v>
      </c>
    </row>
    <row r="24" spans="2:12">
      <c r="B24" s="69" t="s">
        <v>19</v>
      </c>
      <c r="C24" s="69" t="s">
        <v>74</v>
      </c>
      <c r="D24" s="71">
        <v>-1</v>
      </c>
      <c r="E24" s="71">
        <v>23</v>
      </c>
    </row>
    <row r="25" spans="2:12">
      <c r="B25" s="69" t="s">
        <v>38</v>
      </c>
      <c r="C25" s="69" t="s">
        <v>75</v>
      </c>
      <c r="D25" s="71">
        <v>1</v>
      </c>
      <c r="E25" s="71">
        <v>24</v>
      </c>
    </row>
    <row r="28" spans="2:12" ht="22" customHeight="1">
      <c r="B28" s="35" t="s">
        <v>76</v>
      </c>
      <c r="C28" s="35"/>
      <c r="D28" s="35"/>
      <c r="E28" s="35"/>
      <c r="F28" s="35"/>
    </row>
    <row r="29" spans="2:12">
      <c r="B29" s="69" t="s">
        <v>77</v>
      </c>
      <c r="C29" s="69"/>
      <c r="D29" s="71" t="s">
        <v>78</v>
      </c>
    </row>
    <row r="30" spans="2:12">
      <c r="B30" s="69" t="s">
        <v>79</v>
      </c>
      <c r="C30" s="69"/>
      <c r="D30" s="71">
        <v>150</v>
      </c>
    </row>
    <row r="31" spans="2:12">
      <c r="B31" s="69" t="s">
        <v>80</v>
      </c>
      <c r="C31" s="69"/>
      <c r="D31" s="71">
        <v>160</v>
      </c>
    </row>
    <row r="32" spans="2:12">
      <c r="B32" s="69" t="s">
        <v>81</v>
      </c>
      <c r="C32" s="69"/>
      <c r="D32" s="71">
        <v>15</v>
      </c>
    </row>
    <row r="33" spans="2:4">
      <c r="B33" s="69" t="s">
        <v>82</v>
      </c>
      <c r="C33" s="69"/>
      <c r="D33" s="71">
        <v>120</v>
      </c>
    </row>
    <row r="34" spans="2:4">
      <c r="B34" s="69" t="s">
        <v>83</v>
      </c>
      <c r="C34" s="69"/>
      <c r="D34" s="71" t="s">
        <v>84</v>
      </c>
    </row>
    <row r="35" spans="2:4">
      <c r="B35" s="69" t="s">
        <v>85</v>
      </c>
      <c r="C35" s="69"/>
      <c r="D35" s="71" t="s">
        <v>86</v>
      </c>
    </row>
    <row r="36" spans="2:4">
      <c r="B36" s="69" t="s">
        <v>87</v>
      </c>
      <c r="C36" s="69"/>
      <c r="D36" s="71" t="s">
        <v>88</v>
      </c>
    </row>
  </sheetData>
  <sheetProtection password="A71E" sheet="1" objects="1" scenarios="1" formatColumns="0" formatRows="0"/>
  <mergeCells count="13">
    <mergeCell ref="B2:L2"/>
    <mergeCell ref="B3:L3"/>
    <mergeCell ref="B6:L6"/>
    <mergeCell ref="B22:F22"/>
    <mergeCell ref="B28:F28"/>
    <mergeCell ref="B29:C29"/>
    <mergeCell ref="B30:C30"/>
    <mergeCell ref="B31:C31"/>
    <mergeCell ref="B32:C32"/>
    <mergeCell ref="B33:C33"/>
    <mergeCell ref="B34:C34"/>
    <mergeCell ref="B35:C35"/>
    <mergeCell ref="B36:C36"/>
  </mergeCells>
  <dataValidations count="5">
    <dataValidation type="list" allowBlank="1" showInputMessage="1" showErrorMessage="1" sqref="G8:G19">
      <formula1>"E,D"</formula1>
    </dataValidation>
    <dataValidation type="list" allowBlank="1" showInputMessage="1" showErrorMessage="1" sqref="H8:H19">
      <formula1>"Soma,Média,Último"</formula1>
    </dataValidation>
    <dataValidation type="list" allowBlank="1" showInputMessage="1" showErrorMessage="1" sqref="F8:F19">
      <formula1>"IP_AnalogMap,IP_MESVALOR,IP_DiscreteMap"</formula1>
    </dataValidation>
    <dataValidation type="list" allowBlank="1" showInputMessage="1" showErrorMessage="1" sqref="D29">
      <formula1>"MES,SIMULAÇÃO"</formula1>
    </dataValidation>
    <dataValidation type="list" allowBlank="1" showInputMessage="1" showErrorMessage="1" sqref="D35">
      <formula1>"DATA,TEXTO,MM/DD"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DadosMES"/>
  <dimension ref="A1:B74"/>
  <sheetViews>
    <sheetView workbookViewId="0"/>
  </sheetViews>
  <sheetFormatPr defaultRowHeight="15"/>
  <cols>
    <col min="1" max="1" width="20.7109375" customWidth="1"/>
    <col min="2" max="15" width="14.7109375" customWidth="1"/>
  </cols>
  <sheetData>
    <row r="1" spans="1:2">
      <c r="A1" s="73" t="s">
        <v>197</v>
      </c>
    </row>
    <row r="3" spans="1:2">
      <c r="A3" t="s">
        <v>198</v>
      </c>
      <c r="B3" s="74"/>
    </row>
    <row r="4" spans="1:2">
      <c r="A4" t="s">
        <v>199</v>
      </c>
      <c r="B4" s="74"/>
    </row>
    <row r="6" spans="1:2">
      <c r="A6" t="s">
        <v>200</v>
      </c>
      <c r="B6" s="74"/>
    </row>
    <row r="7" spans="1:2">
      <c r="A7" t="s">
        <v>201</v>
      </c>
      <c r="B7" s="74"/>
    </row>
    <row r="9" spans="1:2">
      <c r="A9" t="s">
        <v>202</v>
      </c>
    </row>
    <row r="10" spans="1:2">
      <c r="A10" t="s">
        <v>203</v>
      </c>
    </row>
    <row r="11" spans="1:2">
      <c r="A11" t="s">
        <v>204</v>
      </c>
    </row>
    <row r="12" spans="1:2">
      <c r="A12" t="s">
        <v>205</v>
      </c>
    </row>
    <row r="14" spans="1:2">
      <c r="A14" s="75" t="s">
        <v>206</v>
      </c>
    </row>
    <row r="74" spans="1:1">
      <c r="A74" s="75" t="s">
        <v>207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Graf"/>
  <dimension ref="A1:P88"/>
  <sheetViews>
    <sheetView workbookViewId="0"/>
  </sheetViews>
  <sheetFormatPr defaultRowHeight="15"/>
  <sheetData>
    <row r="1" spans="1:16">
      <c r="A1" t="s">
        <v>92</v>
      </c>
      <c r="B1" t="s">
        <v>131</v>
      </c>
      <c r="C1" t="s">
        <v>132</v>
      </c>
      <c r="D1" t="s">
        <v>133</v>
      </c>
      <c r="E1" t="s">
        <v>134</v>
      </c>
      <c r="F1" t="s">
        <v>135</v>
      </c>
      <c r="G1" t="s">
        <v>136</v>
      </c>
      <c r="H1" t="s">
        <v>136</v>
      </c>
      <c r="I1" t="s">
        <v>137</v>
      </c>
      <c r="J1" t="s">
        <v>138</v>
      </c>
      <c r="K1" t="s">
        <v>135</v>
      </c>
      <c r="L1" t="s">
        <v>99</v>
      </c>
      <c r="M1" t="s">
        <v>100</v>
      </c>
      <c r="N1" t="s">
        <v>105</v>
      </c>
      <c r="O1" t="s">
        <v>139</v>
      </c>
      <c r="P1" t="s">
        <v>140</v>
      </c>
    </row>
    <row r="2" spans="1:16">
      <c r="A2" s="76">
        <f>IF(1&gt;rDias,"",rFim-rDias+1)</f>
        <v>0</v>
      </c>
      <c r="B2">
        <f>IF(1&lt;=rDias,TEXT(DAY(A2),"00")&amp;"/"&amp;TEXT(MONTH(A2),"00"),IF(1=rDias+1,"Média",""))</f>
        <v>0</v>
      </c>
      <c r="C2">
        <f>IF(1&lt;=rDias,IFERROR(IF(INDEX(h_espP,MATCH(A2,h_data,0))="",NA(),INDEX(h_espP,MATCH(A2,h_data,0))),NA()),IF(1=rDias+1,IF(ISNUMBER(gMed_espP),gMed_espP,NA()),NA()))</f>
        <v>0</v>
      </c>
      <c r="D2">
        <f>IF(1&lt;=rDias,IFERROR(IF(INDEX(h_eb6,MATCH(A2,h_data,0))="",NA(),INDEX(h_eb6,MATCH(A2,h_data,0))),NA()),IF(1=rDias+1,IF(ISNUMBER(gMed_eb6),gMed_eb6,NA()),NA()))</f>
        <v>0</v>
      </c>
      <c r="E2">
        <f>IF(1&lt;=rDias,IFERROR(IF(INDEX(h_difK,MATCH(A2,h_data,0))="",NA(),INDEX(h_difK,MATCH(A2,h_data,0))),NA()),IF(1=rDias+1,NA(),NA()))</f>
        <v>0</v>
      </c>
      <c r="F2">
        <f>IF(AND(1=rDias+1,ISNUMBER(gMed_difK)),gMed_difK,NA())</f>
        <v>0</v>
      </c>
      <c r="G2">
        <f>IF(1&lt;=rDias+1,cfgTol,NA())</f>
        <v>0</v>
      </c>
      <c r="H2">
        <f>IF(1&lt;=rDias+1,-cfgTol,NA())</f>
        <v>0</v>
      </c>
      <c r="I2">
        <f>IF(1&lt;=rDias,IFERROR(IF(INDEX(h_eb4P,MATCH(A2,h_data,0))="",NA(),INDEX(h_eb4P,MATCH(A2,h_data,0))),NA()),IF(1=rDias+1,IF(ISNUMBER(gMed_eb4P),gMed_eb4P,NA()),NA()))</f>
        <v>0</v>
      </c>
      <c r="J2">
        <f>IF(1&lt;=rDias,IFERROR(IF(INDEX(h_difJ,MATCH(A2,h_data,0))="",NA(),INDEX(h_difJ,MATCH(A2,h_data,0))),NA()),IF(1=rDias+1,NA(),NA()))</f>
        <v>0</v>
      </c>
      <c r="K2">
        <f>IF(AND(1=rDias+1,ISNUMBER(gMed_difJ)),gMed_difJ,NA())</f>
        <v>0</v>
      </c>
      <c r="L2">
        <f>IF(1&lt;=rDias,IFERROR(IF(INDEX(h_tk01,MATCH(A2,h_data,0))="",NA(),INDEX(h_tk01,MATCH(A2,h_data,0))),NA()),IF(1=rDias+1,IF(ISNUMBER(gMed_tk01),gMed_tk01,NA()),NA()))</f>
        <v>0</v>
      </c>
      <c r="M2">
        <f>IF(1&lt;=rDias,IFERROR(IF(INDEX(h_tk02,MATCH(A2,h_data,0))="",NA(),INDEX(h_tk02,MATCH(A2,h_data,0))),NA()),IF(1=rDias+1,IF(ISNUMBER(gMed_tk02),gMed_tk02,NA()),NA()))</f>
        <v>0</v>
      </c>
      <c r="N2">
        <f>IF(1&lt;=rDias,IFERROR(IF(INDEX(h_pctLama,MATCH(A2,h_data,0))="",NA(),INDEX(h_pctLama,MATCH(A2,h_data,0))),NA()),IF(1=rDias+1,NA(),NA()))</f>
        <v>0</v>
      </c>
      <c r="O2">
        <f>IF(AND(1=rDias+1,ISNUMBER(gMed_pctLama)),gMed_pctLama,NA())</f>
        <v>0</v>
      </c>
      <c r="P2">
        <f>IF(1&lt;=rDias,IFERROR(N2/1,-1),-1)</f>
        <v>0</v>
      </c>
    </row>
    <row r="3" spans="1:16">
      <c r="A3" s="76">
        <f>IF(2&gt;rDias,"",rFim-rDias+2)</f>
        <v>0</v>
      </c>
      <c r="B3">
        <f>IF(2&lt;=rDias,TEXT(DAY(A3),"00")&amp;"/"&amp;TEXT(MONTH(A3),"00"),IF(2=rDias+1,"Média",""))</f>
        <v>0</v>
      </c>
      <c r="C3">
        <f>IF(2&lt;=rDias,IFERROR(IF(INDEX(h_espP,MATCH(A3,h_data,0))="",NA(),INDEX(h_espP,MATCH(A3,h_data,0))),NA()),IF(2=rDias+1,IF(ISNUMBER(gMed_espP),gMed_espP,NA()),NA()))</f>
        <v>0</v>
      </c>
      <c r="D3">
        <f>IF(2&lt;=rDias,IFERROR(IF(INDEX(h_eb6,MATCH(A3,h_data,0))="",NA(),INDEX(h_eb6,MATCH(A3,h_data,0))),NA()),IF(2=rDias+1,IF(ISNUMBER(gMed_eb6),gMed_eb6,NA()),NA()))</f>
        <v>0</v>
      </c>
      <c r="E3">
        <f>IF(2&lt;=rDias,IFERROR(IF(INDEX(h_difK,MATCH(A3,h_data,0))="",NA(),INDEX(h_difK,MATCH(A3,h_data,0))),NA()),IF(2=rDias+1,NA(),NA()))</f>
        <v>0</v>
      </c>
      <c r="F3">
        <f>IF(AND(2=rDias+1,ISNUMBER(gMed_difK)),gMed_difK,NA())</f>
        <v>0</v>
      </c>
      <c r="G3">
        <f>IF(2&lt;=rDias+1,cfgTol,NA())</f>
        <v>0</v>
      </c>
      <c r="H3">
        <f>IF(2&lt;=rDias+1,-cfgTol,NA())</f>
        <v>0</v>
      </c>
      <c r="I3">
        <f>IF(2&lt;=rDias,IFERROR(IF(INDEX(h_eb4P,MATCH(A3,h_data,0))="",NA(),INDEX(h_eb4P,MATCH(A3,h_data,0))),NA()),IF(2=rDias+1,IF(ISNUMBER(gMed_eb4P),gMed_eb4P,NA()),NA()))</f>
        <v>0</v>
      </c>
      <c r="J3">
        <f>IF(2&lt;=rDias,IFERROR(IF(INDEX(h_difJ,MATCH(A3,h_data,0))="",NA(),INDEX(h_difJ,MATCH(A3,h_data,0))),NA()),IF(2=rDias+1,NA(),NA()))</f>
        <v>0</v>
      </c>
      <c r="K3">
        <f>IF(AND(2=rDias+1,ISNUMBER(gMed_difJ)),gMed_difJ,NA())</f>
        <v>0</v>
      </c>
      <c r="L3">
        <f>IF(2&lt;=rDias,IFERROR(IF(INDEX(h_tk01,MATCH(A3,h_data,0))="",NA(),INDEX(h_tk01,MATCH(A3,h_data,0))),NA()),IF(2=rDias+1,IF(ISNUMBER(gMed_tk01),gMed_tk01,NA()),NA()))</f>
        <v>0</v>
      </c>
      <c r="M3">
        <f>IF(2&lt;=rDias,IFERROR(IF(INDEX(h_tk02,MATCH(A3,h_data,0))="",NA(),INDEX(h_tk02,MATCH(A3,h_data,0))),NA()),IF(2=rDias+1,IF(ISNUMBER(gMed_tk02),gMed_tk02,NA()),NA()))</f>
        <v>0</v>
      </c>
      <c r="N3">
        <f>IF(2&lt;=rDias,IFERROR(IF(INDEX(h_pctLama,MATCH(A3,h_data,0))="",NA(),INDEX(h_pctLama,MATCH(A3,h_data,0))),NA()),IF(2=rDias+1,NA(),NA()))</f>
        <v>0</v>
      </c>
      <c r="O3">
        <f>IF(AND(2=rDias+1,ISNUMBER(gMed_pctLama)),gMed_pctLama,NA())</f>
        <v>0</v>
      </c>
      <c r="P3">
        <f>IF(2&lt;=rDias,IFERROR(N3/1,-1),-1)</f>
        <v>0</v>
      </c>
    </row>
    <row r="4" spans="1:16">
      <c r="A4" s="76">
        <f>IF(3&gt;rDias,"",rFim-rDias+3)</f>
        <v>0</v>
      </c>
      <c r="B4">
        <f>IF(3&lt;=rDias,TEXT(DAY(A4),"00")&amp;"/"&amp;TEXT(MONTH(A4),"00"),IF(3=rDias+1,"Média",""))</f>
        <v>0</v>
      </c>
      <c r="C4">
        <f>IF(3&lt;=rDias,IFERROR(IF(INDEX(h_espP,MATCH(A4,h_data,0))="",NA(),INDEX(h_espP,MATCH(A4,h_data,0))),NA()),IF(3=rDias+1,IF(ISNUMBER(gMed_espP),gMed_espP,NA()),NA()))</f>
        <v>0</v>
      </c>
      <c r="D4">
        <f>IF(3&lt;=rDias,IFERROR(IF(INDEX(h_eb6,MATCH(A4,h_data,0))="",NA(),INDEX(h_eb6,MATCH(A4,h_data,0))),NA()),IF(3=rDias+1,IF(ISNUMBER(gMed_eb6),gMed_eb6,NA()),NA()))</f>
        <v>0</v>
      </c>
      <c r="E4">
        <f>IF(3&lt;=rDias,IFERROR(IF(INDEX(h_difK,MATCH(A4,h_data,0))="",NA(),INDEX(h_difK,MATCH(A4,h_data,0))),NA()),IF(3=rDias+1,NA(),NA()))</f>
        <v>0</v>
      </c>
      <c r="F4">
        <f>IF(AND(3=rDias+1,ISNUMBER(gMed_difK)),gMed_difK,NA())</f>
        <v>0</v>
      </c>
      <c r="G4">
        <f>IF(3&lt;=rDias+1,cfgTol,NA())</f>
        <v>0</v>
      </c>
      <c r="H4">
        <f>IF(3&lt;=rDias+1,-cfgTol,NA())</f>
        <v>0</v>
      </c>
      <c r="I4">
        <f>IF(3&lt;=rDias,IFERROR(IF(INDEX(h_eb4P,MATCH(A4,h_data,0))="",NA(),INDEX(h_eb4P,MATCH(A4,h_data,0))),NA()),IF(3=rDias+1,IF(ISNUMBER(gMed_eb4P),gMed_eb4P,NA()),NA()))</f>
        <v>0</v>
      </c>
      <c r="J4">
        <f>IF(3&lt;=rDias,IFERROR(IF(INDEX(h_difJ,MATCH(A4,h_data,0))="",NA(),INDEX(h_difJ,MATCH(A4,h_data,0))),NA()),IF(3=rDias+1,NA(),NA()))</f>
        <v>0</v>
      </c>
      <c r="K4">
        <f>IF(AND(3=rDias+1,ISNUMBER(gMed_difJ)),gMed_difJ,NA())</f>
        <v>0</v>
      </c>
      <c r="L4">
        <f>IF(3&lt;=rDias,IFERROR(IF(INDEX(h_tk01,MATCH(A4,h_data,0))="",NA(),INDEX(h_tk01,MATCH(A4,h_data,0))),NA()),IF(3=rDias+1,IF(ISNUMBER(gMed_tk01),gMed_tk01,NA()),NA()))</f>
        <v>0</v>
      </c>
      <c r="M4">
        <f>IF(3&lt;=rDias,IFERROR(IF(INDEX(h_tk02,MATCH(A4,h_data,0))="",NA(),INDEX(h_tk02,MATCH(A4,h_data,0))),NA()),IF(3=rDias+1,IF(ISNUMBER(gMed_tk02),gMed_tk02,NA()),NA()))</f>
        <v>0</v>
      </c>
      <c r="N4">
        <f>IF(3&lt;=rDias,IFERROR(IF(INDEX(h_pctLama,MATCH(A4,h_data,0))="",NA(),INDEX(h_pctLama,MATCH(A4,h_data,0))),NA()),IF(3=rDias+1,NA(),NA()))</f>
        <v>0</v>
      </c>
      <c r="O4">
        <f>IF(AND(3=rDias+1,ISNUMBER(gMed_pctLama)),gMed_pctLama,NA())</f>
        <v>0</v>
      </c>
      <c r="P4">
        <f>IF(3&lt;=rDias,IFERROR(N4/1,-1),-1)</f>
        <v>0</v>
      </c>
    </row>
    <row r="5" spans="1:16">
      <c r="A5" s="76">
        <f>IF(4&gt;rDias,"",rFim-rDias+4)</f>
        <v>0</v>
      </c>
      <c r="B5">
        <f>IF(4&lt;=rDias,TEXT(DAY(A5),"00")&amp;"/"&amp;TEXT(MONTH(A5),"00"),IF(4=rDias+1,"Média",""))</f>
        <v>0</v>
      </c>
      <c r="C5">
        <f>IF(4&lt;=rDias,IFERROR(IF(INDEX(h_espP,MATCH(A5,h_data,0))="",NA(),INDEX(h_espP,MATCH(A5,h_data,0))),NA()),IF(4=rDias+1,IF(ISNUMBER(gMed_espP),gMed_espP,NA()),NA()))</f>
        <v>0</v>
      </c>
      <c r="D5">
        <f>IF(4&lt;=rDias,IFERROR(IF(INDEX(h_eb6,MATCH(A5,h_data,0))="",NA(),INDEX(h_eb6,MATCH(A5,h_data,0))),NA()),IF(4=rDias+1,IF(ISNUMBER(gMed_eb6),gMed_eb6,NA()),NA()))</f>
        <v>0</v>
      </c>
      <c r="E5">
        <f>IF(4&lt;=rDias,IFERROR(IF(INDEX(h_difK,MATCH(A5,h_data,0))="",NA(),INDEX(h_difK,MATCH(A5,h_data,0))),NA()),IF(4=rDias+1,NA(),NA()))</f>
        <v>0</v>
      </c>
      <c r="F5">
        <f>IF(AND(4=rDias+1,ISNUMBER(gMed_difK)),gMed_difK,NA())</f>
        <v>0</v>
      </c>
      <c r="G5">
        <f>IF(4&lt;=rDias+1,cfgTol,NA())</f>
        <v>0</v>
      </c>
      <c r="H5">
        <f>IF(4&lt;=rDias+1,-cfgTol,NA())</f>
        <v>0</v>
      </c>
      <c r="I5">
        <f>IF(4&lt;=rDias,IFERROR(IF(INDEX(h_eb4P,MATCH(A5,h_data,0))="",NA(),INDEX(h_eb4P,MATCH(A5,h_data,0))),NA()),IF(4=rDias+1,IF(ISNUMBER(gMed_eb4P),gMed_eb4P,NA()),NA()))</f>
        <v>0</v>
      </c>
      <c r="J5">
        <f>IF(4&lt;=rDias,IFERROR(IF(INDEX(h_difJ,MATCH(A5,h_data,0))="",NA(),INDEX(h_difJ,MATCH(A5,h_data,0))),NA()),IF(4=rDias+1,NA(),NA()))</f>
        <v>0</v>
      </c>
      <c r="K5">
        <f>IF(AND(4=rDias+1,ISNUMBER(gMed_difJ)),gMed_difJ,NA())</f>
        <v>0</v>
      </c>
      <c r="L5">
        <f>IF(4&lt;=rDias,IFERROR(IF(INDEX(h_tk01,MATCH(A5,h_data,0))="",NA(),INDEX(h_tk01,MATCH(A5,h_data,0))),NA()),IF(4=rDias+1,IF(ISNUMBER(gMed_tk01),gMed_tk01,NA()),NA()))</f>
        <v>0</v>
      </c>
      <c r="M5">
        <f>IF(4&lt;=rDias,IFERROR(IF(INDEX(h_tk02,MATCH(A5,h_data,0))="",NA(),INDEX(h_tk02,MATCH(A5,h_data,0))),NA()),IF(4=rDias+1,IF(ISNUMBER(gMed_tk02),gMed_tk02,NA()),NA()))</f>
        <v>0</v>
      </c>
      <c r="N5">
        <f>IF(4&lt;=rDias,IFERROR(IF(INDEX(h_pctLama,MATCH(A5,h_data,0))="",NA(),INDEX(h_pctLama,MATCH(A5,h_data,0))),NA()),IF(4=rDias+1,NA(),NA()))</f>
        <v>0</v>
      </c>
      <c r="O5">
        <f>IF(AND(4=rDias+1,ISNUMBER(gMed_pctLama)),gMed_pctLama,NA())</f>
        <v>0</v>
      </c>
      <c r="P5">
        <f>IF(4&lt;=rDias,IFERROR(N5/1,-1),-1)</f>
        <v>0</v>
      </c>
    </row>
    <row r="6" spans="1:16">
      <c r="A6" s="76">
        <f>IF(5&gt;rDias,"",rFim-rDias+5)</f>
        <v>0</v>
      </c>
      <c r="B6">
        <f>IF(5&lt;=rDias,TEXT(DAY(A6),"00")&amp;"/"&amp;TEXT(MONTH(A6),"00"),IF(5=rDias+1,"Média",""))</f>
        <v>0</v>
      </c>
      <c r="C6">
        <f>IF(5&lt;=rDias,IFERROR(IF(INDEX(h_espP,MATCH(A6,h_data,0))="",NA(),INDEX(h_espP,MATCH(A6,h_data,0))),NA()),IF(5=rDias+1,IF(ISNUMBER(gMed_espP),gMed_espP,NA()),NA()))</f>
        <v>0</v>
      </c>
      <c r="D6">
        <f>IF(5&lt;=rDias,IFERROR(IF(INDEX(h_eb6,MATCH(A6,h_data,0))="",NA(),INDEX(h_eb6,MATCH(A6,h_data,0))),NA()),IF(5=rDias+1,IF(ISNUMBER(gMed_eb6),gMed_eb6,NA()),NA()))</f>
        <v>0</v>
      </c>
      <c r="E6">
        <f>IF(5&lt;=rDias,IFERROR(IF(INDEX(h_difK,MATCH(A6,h_data,0))="",NA(),INDEX(h_difK,MATCH(A6,h_data,0))),NA()),IF(5=rDias+1,NA(),NA()))</f>
        <v>0</v>
      </c>
      <c r="F6">
        <f>IF(AND(5=rDias+1,ISNUMBER(gMed_difK)),gMed_difK,NA())</f>
        <v>0</v>
      </c>
      <c r="G6">
        <f>IF(5&lt;=rDias+1,cfgTol,NA())</f>
        <v>0</v>
      </c>
      <c r="H6">
        <f>IF(5&lt;=rDias+1,-cfgTol,NA())</f>
        <v>0</v>
      </c>
      <c r="I6">
        <f>IF(5&lt;=rDias,IFERROR(IF(INDEX(h_eb4P,MATCH(A6,h_data,0))="",NA(),INDEX(h_eb4P,MATCH(A6,h_data,0))),NA()),IF(5=rDias+1,IF(ISNUMBER(gMed_eb4P),gMed_eb4P,NA()),NA()))</f>
        <v>0</v>
      </c>
      <c r="J6">
        <f>IF(5&lt;=rDias,IFERROR(IF(INDEX(h_difJ,MATCH(A6,h_data,0))="",NA(),INDEX(h_difJ,MATCH(A6,h_data,0))),NA()),IF(5=rDias+1,NA(),NA()))</f>
        <v>0</v>
      </c>
      <c r="K6">
        <f>IF(AND(5=rDias+1,ISNUMBER(gMed_difJ)),gMed_difJ,NA())</f>
        <v>0</v>
      </c>
      <c r="L6">
        <f>IF(5&lt;=rDias,IFERROR(IF(INDEX(h_tk01,MATCH(A6,h_data,0))="",NA(),INDEX(h_tk01,MATCH(A6,h_data,0))),NA()),IF(5=rDias+1,IF(ISNUMBER(gMed_tk01),gMed_tk01,NA()),NA()))</f>
        <v>0</v>
      </c>
      <c r="M6">
        <f>IF(5&lt;=rDias,IFERROR(IF(INDEX(h_tk02,MATCH(A6,h_data,0))="",NA(),INDEX(h_tk02,MATCH(A6,h_data,0))),NA()),IF(5=rDias+1,IF(ISNUMBER(gMed_tk02),gMed_tk02,NA()),NA()))</f>
        <v>0</v>
      </c>
      <c r="N6">
        <f>IF(5&lt;=rDias,IFERROR(IF(INDEX(h_pctLama,MATCH(A6,h_data,0))="",NA(),INDEX(h_pctLama,MATCH(A6,h_data,0))),NA()),IF(5=rDias+1,NA(),NA()))</f>
        <v>0</v>
      </c>
      <c r="O6">
        <f>IF(AND(5=rDias+1,ISNUMBER(gMed_pctLama)),gMed_pctLama,NA())</f>
        <v>0</v>
      </c>
      <c r="P6">
        <f>IF(5&lt;=rDias,IFERROR(N6/1,-1),-1)</f>
        <v>0</v>
      </c>
    </row>
    <row r="7" spans="1:16">
      <c r="A7" s="76">
        <f>IF(6&gt;rDias,"",rFim-rDias+6)</f>
        <v>0</v>
      </c>
      <c r="B7">
        <f>IF(6&lt;=rDias,TEXT(DAY(A7),"00")&amp;"/"&amp;TEXT(MONTH(A7),"00"),IF(6=rDias+1,"Média",""))</f>
        <v>0</v>
      </c>
      <c r="C7">
        <f>IF(6&lt;=rDias,IFERROR(IF(INDEX(h_espP,MATCH(A7,h_data,0))="",NA(),INDEX(h_espP,MATCH(A7,h_data,0))),NA()),IF(6=rDias+1,IF(ISNUMBER(gMed_espP),gMed_espP,NA()),NA()))</f>
        <v>0</v>
      </c>
      <c r="D7">
        <f>IF(6&lt;=rDias,IFERROR(IF(INDEX(h_eb6,MATCH(A7,h_data,0))="",NA(),INDEX(h_eb6,MATCH(A7,h_data,0))),NA()),IF(6=rDias+1,IF(ISNUMBER(gMed_eb6),gMed_eb6,NA()),NA()))</f>
        <v>0</v>
      </c>
      <c r="E7">
        <f>IF(6&lt;=rDias,IFERROR(IF(INDEX(h_difK,MATCH(A7,h_data,0))="",NA(),INDEX(h_difK,MATCH(A7,h_data,0))),NA()),IF(6=rDias+1,NA(),NA()))</f>
        <v>0</v>
      </c>
      <c r="F7">
        <f>IF(AND(6=rDias+1,ISNUMBER(gMed_difK)),gMed_difK,NA())</f>
        <v>0</v>
      </c>
      <c r="G7">
        <f>IF(6&lt;=rDias+1,cfgTol,NA())</f>
        <v>0</v>
      </c>
      <c r="H7">
        <f>IF(6&lt;=rDias+1,-cfgTol,NA())</f>
        <v>0</v>
      </c>
      <c r="I7">
        <f>IF(6&lt;=rDias,IFERROR(IF(INDEX(h_eb4P,MATCH(A7,h_data,0))="",NA(),INDEX(h_eb4P,MATCH(A7,h_data,0))),NA()),IF(6=rDias+1,IF(ISNUMBER(gMed_eb4P),gMed_eb4P,NA()),NA()))</f>
        <v>0</v>
      </c>
      <c r="J7">
        <f>IF(6&lt;=rDias,IFERROR(IF(INDEX(h_difJ,MATCH(A7,h_data,0))="",NA(),INDEX(h_difJ,MATCH(A7,h_data,0))),NA()),IF(6=rDias+1,NA(),NA()))</f>
        <v>0</v>
      </c>
      <c r="K7">
        <f>IF(AND(6=rDias+1,ISNUMBER(gMed_difJ)),gMed_difJ,NA())</f>
        <v>0</v>
      </c>
      <c r="L7">
        <f>IF(6&lt;=rDias,IFERROR(IF(INDEX(h_tk01,MATCH(A7,h_data,0))="",NA(),INDEX(h_tk01,MATCH(A7,h_data,0))),NA()),IF(6=rDias+1,IF(ISNUMBER(gMed_tk01),gMed_tk01,NA()),NA()))</f>
        <v>0</v>
      </c>
      <c r="M7">
        <f>IF(6&lt;=rDias,IFERROR(IF(INDEX(h_tk02,MATCH(A7,h_data,0))="",NA(),INDEX(h_tk02,MATCH(A7,h_data,0))),NA()),IF(6=rDias+1,IF(ISNUMBER(gMed_tk02),gMed_tk02,NA()),NA()))</f>
        <v>0</v>
      </c>
      <c r="N7">
        <f>IF(6&lt;=rDias,IFERROR(IF(INDEX(h_pctLama,MATCH(A7,h_data,0))="",NA(),INDEX(h_pctLama,MATCH(A7,h_data,0))),NA()),IF(6=rDias+1,NA(),NA()))</f>
        <v>0</v>
      </c>
      <c r="O7">
        <f>IF(AND(6=rDias+1,ISNUMBER(gMed_pctLama)),gMed_pctLama,NA())</f>
        <v>0</v>
      </c>
      <c r="P7">
        <f>IF(6&lt;=rDias,IFERROR(N7/1,-1),-1)</f>
        <v>0</v>
      </c>
    </row>
    <row r="8" spans="1:16">
      <c r="A8" s="76">
        <f>IF(7&gt;rDias,"",rFim-rDias+7)</f>
        <v>0</v>
      </c>
      <c r="B8">
        <f>IF(7&lt;=rDias,TEXT(DAY(A8),"00")&amp;"/"&amp;TEXT(MONTH(A8),"00"),IF(7=rDias+1,"Média",""))</f>
        <v>0</v>
      </c>
      <c r="C8">
        <f>IF(7&lt;=rDias,IFERROR(IF(INDEX(h_espP,MATCH(A8,h_data,0))="",NA(),INDEX(h_espP,MATCH(A8,h_data,0))),NA()),IF(7=rDias+1,IF(ISNUMBER(gMed_espP),gMed_espP,NA()),NA()))</f>
        <v>0</v>
      </c>
      <c r="D8">
        <f>IF(7&lt;=rDias,IFERROR(IF(INDEX(h_eb6,MATCH(A8,h_data,0))="",NA(),INDEX(h_eb6,MATCH(A8,h_data,0))),NA()),IF(7=rDias+1,IF(ISNUMBER(gMed_eb6),gMed_eb6,NA()),NA()))</f>
        <v>0</v>
      </c>
      <c r="E8">
        <f>IF(7&lt;=rDias,IFERROR(IF(INDEX(h_difK,MATCH(A8,h_data,0))="",NA(),INDEX(h_difK,MATCH(A8,h_data,0))),NA()),IF(7=rDias+1,NA(),NA()))</f>
        <v>0</v>
      </c>
      <c r="F8">
        <f>IF(AND(7=rDias+1,ISNUMBER(gMed_difK)),gMed_difK,NA())</f>
        <v>0</v>
      </c>
      <c r="G8">
        <f>IF(7&lt;=rDias+1,cfgTol,NA())</f>
        <v>0</v>
      </c>
      <c r="H8">
        <f>IF(7&lt;=rDias+1,-cfgTol,NA())</f>
        <v>0</v>
      </c>
      <c r="I8">
        <f>IF(7&lt;=rDias,IFERROR(IF(INDEX(h_eb4P,MATCH(A8,h_data,0))="",NA(),INDEX(h_eb4P,MATCH(A8,h_data,0))),NA()),IF(7=rDias+1,IF(ISNUMBER(gMed_eb4P),gMed_eb4P,NA()),NA()))</f>
        <v>0</v>
      </c>
      <c r="J8">
        <f>IF(7&lt;=rDias,IFERROR(IF(INDEX(h_difJ,MATCH(A8,h_data,0))="",NA(),INDEX(h_difJ,MATCH(A8,h_data,0))),NA()),IF(7=rDias+1,NA(),NA()))</f>
        <v>0</v>
      </c>
      <c r="K8">
        <f>IF(AND(7=rDias+1,ISNUMBER(gMed_difJ)),gMed_difJ,NA())</f>
        <v>0</v>
      </c>
      <c r="L8">
        <f>IF(7&lt;=rDias,IFERROR(IF(INDEX(h_tk01,MATCH(A8,h_data,0))="",NA(),INDEX(h_tk01,MATCH(A8,h_data,0))),NA()),IF(7=rDias+1,IF(ISNUMBER(gMed_tk01),gMed_tk01,NA()),NA()))</f>
        <v>0</v>
      </c>
      <c r="M8">
        <f>IF(7&lt;=rDias,IFERROR(IF(INDEX(h_tk02,MATCH(A8,h_data,0))="",NA(),INDEX(h_tk02,MATCH(A8,h_data,0))),NA()),IF(7=rDias+1,IF(ISNUMBER(gMed_tk02),gMed_tk02,NA()),NA()))</f>
        <v>0</v>
      </c>
      <c r="N8">
        <f>IF(7&lt;=rDias,IFERROR(IF(INDEX(h_pctLama,MATCH(A8,h_data,0))="",NA(),INDEX(h_pctLama,MATCH(A8,h_data,0))),NA()),IF(7=rDias+1,NA(),NA()))</f>
        <v>0</v>
      </c>
      <c r="O8">
        <f>IF(AND(7=rDias+1,ISNUMBER(gMed_pctLama)),gMed_pctLama,NA())</f>
        <v>0</v>
      </c>
      <c r="P8">
        <f>IF(7&lt;=rDias,IFERROR(N8/1,-1),-1)</f>
        <v>0</v>
      </c>
    </row>
    <row r="9" spans="1:16">
      <c r="A9" s="76">
        <f>IF(8&gt;rDias,"",rFim-rDias+8)</f>
        <v>0</v>
      </c>
      <c r="B9">
        <f>IF(8&lt;=rDias,TEXT(DAY(A9),"00")&amp;"/"&amp;TEXT(MONTH(A9),"00"),IF(8=rDias+1,"Média",""))</f>
        <v>0</v>
      </c>
      <c r="C9">
        <f>IF(8&lt;=rDias,IFERROR(IF(INDEX(h_espP,MATCH(A9,h_data,0))="",NA(),INDEX(h_espP,MATCH(A9,h_data,0))),NA()),IF(8=rDias+1,IF(ISNUMBER(gMed_espP),gMed_espP,NA()),NA()))</f>
        <v>0</v>
      </c>
      <c r="D9">
        <f>IF(8&lt;=rDias,IFERROR(IF(INDEX(h_eb6,MATCH(A9,h_data,0))="",NA(),INDEX(h_eb6,MATCH(A9,h_data,0))),NA()),IF(8=rDias+1,IF(ISNUMBER(gMed_eb6),gMed_eb6,NA()),NA()))</f>
        <v>0</v>
      </c>
      <c r="E9">
        <f>IF(8&lt;=rDias,IFERROR(IF(INDEX(h_difK,MATCH(A9,h_data,0))="",NA(),INDEX(h_difK,MATCH(A9,h_data,0))),NA()),IF(8=rDias+1,NA(),NA()))</f>
        <v>0</v>
      </c>
      <c r="F9">
        <f>IF(AND(8=rDias+1,ISNUMBER(gMed_difK)),gMed_difK,NA())</f>
        <v>0</v>
      </c>
      <c r="G9">
        <f>IF(8&lt;=rDias+1,cfgTol,NA())</f>
        <v>0</v>
      </c>
      <c r="H9">
        <f>IF(8&lt;=rDias+1,-cfgTol,NA())</f>
        <v>0</v>
      </c>
      <c r="I9">
        <f>IF(8&lt;=rDias,IFERROR(IF(INDEX(h_eb4P,MATCH(A9,h_data,0))="",NA(),INDEX(h_eb4P,MATCH(A9,h_data,0))),NA()),IF(8=rDias+1,IF(ISNUMBER(gMed_eb4P),gMed_eb4P,NA()),NA()))</f>
        <v>0</v>
      </c>
      <c r="J9">
        <f>IF(8&lt;=rDias,IFERROR(IF(INDEX(h_difJ,MATCH(A9,h_data,0))="",NA(),INDEX(h_difJ,MATCH(A9,h_data,0))),NA()),IF(8=rDias+1,NA(),NA()))</f>
        <v>0</v>
      </c>
      <c r="K9">
        <f>IF(AND(8=rDias+1,ISNUMBER(gMed_difJ)),gMed_difJ,NA())</f>
        <v>0</v>
      </c>
      <c r="L9">
        <f>IF(8&lt;=rDias,IFERROR(IF(INDEX(h_tk01,MATCH(A9,h_data,0))="",NA(),INDEX(h_tk01,MATCH(A9,h_data,0))),NA()),IF(8=rDias+1,IF(ISNUMBER(gMed_tk01),gMed_tk01,NA()),NA()))</f>
        <v>0</v>
      </c>
      <c r="M9">
        <f>IF(8&lt;=rDias,IFERROR(IF(INDEX(h_tk02,MATCH(A9,h_data,0))="",NA(),INDEX(h_tk02,MATCH(A9,h_data,0))),NA()),IF(8=rDias+1,IF(ISNUMBER(gMed_tk02),gMed_tk02,NA()),NA()))</f>
        <v>0</v>
      </c>
      <c r="N9">
        <f>IF(8&lt;=rDias,IFERROR(IF(INDEX(h_pctLama,MATCH(A9,h_data,0))="",NA(),INDEX(h_pctLama,MATCH(A9,h_data,0))),NA()),IF(8=rDias+1,NA(),NA()))</f>
        <v>0</v>
      </c>
      <c r="O9">
        <f>IF(AND(8=rDias+1,ISNUMBER(gMed_pctLama)),gMed_pctLama,NA())</f>
        <v>0</v>
      </c>
      <c r="P9">
        <f>IF(8&lt;=rDias,IFERROR(N9/1,-1),-1)</f>
        <v>0</v>
      </c>
    </row>
    <row r="10" spans="1:16">
      <c r="A10" s="76">
        <f>IF(9&gt;rDias,"",rFim-rDias+9)</f>
        <v>0</v>
      </c>
      <c r="B10">
        <f>IF(9&lt;=rDias,TEXT(DAY(A10),"00")&amp;"/"&amp;TEXT(MONTH(A10),"00"),IF(9=rDias+1,"Média",""))</f>
        <v>0</v>
      </c>
      <c r="C10">
        <f>IF(9&lt;=rDias,IFERROR(IF(INDEX(h_espP,MATCH(A10,h_data,0))="",NA(),INDEX(h_espP,MATCH(A10,h_data,0))),NA()),IF(9=rDias+1,IF(ISNUMBER(gMed_espP),gMed_espP,NA()),NA()))</f>
        <v>0</v>
      </c>
      <c r="D10">
        <f>IF(9&lt;=rDias,IFERROR(IF(INDEX(h_eb6,MATCH(A10,h_data,0))="",NA(),INDEX(h_eb6,MATCH(A10,h_data,0))),NA()),IF(9=rDias+1,IF(ISNUMBER(gMed_eb6),gMed_eb6,NA()),NA()))</f>
        <v>0</v>
      </c>
      <c r="E10">
        <f>IF(9&lt;=rDias,IFERROR(IF(INDEX(h_difK,MATCH(A10,h_data,0))="",NA(),INDEX(h_difK,MATCH(A10,h_data,0))),NA()),IF(9=rDias+1,NA(),NA()))</f>
        <v>0</v>
      </c>
      <c r="F10">
        <f>IF(AND(9=rDias+1,ISNUMBER(gMed_difK)),gMed_difK,NA())</f>
        <v>0</v>
      </c>
      <c r="G10">
        <f>IF(9&lt;=rDias+1,cfgTol,NA())</f>
        <v>0</v>
      </c>
      <c r="H10">
        <f>IF(9&lt;=rDias+1,-cfgTol,NA())</f>
        <v>0</v>
      </c>
      <c r="I10">
        <f>IF(9&lt;=rDias,IFERROR(IF(INDEX(h_eb4P,MATCH(A10,h_data,0))="",NA(),INDEX(h_eb4P,MATCH(A10,h_data,0))),NA()),IF(9=rDias+1,IF(ISNUMBER(gMed_eb4P),gMed_eb4P,NA()),NA()))</f>
        <v>0</v>
      </c>
      <c r="J10">
        <f>IF(9&lt;=rDias,IFERROR(IF(INDEX(h_difJ,MATCH(A10,h_data,0))="",NA(),INDEX(h_difJ,MATCH(A10,h_data,0))),NA()),IF(9=rDias+1,NA(),NA()))</f>
        <v>0</v>
      </c>
      <c r="K10">
        <f>IF(AND(9=rDias+1,ISNUMBER(gMed_difJ)),gMed_difJ,NA())</f>
        <v>0</v>
      </c>
      <c r="L10">
        <f>IF(9&lt;=rDias,IFERROR(IF(INDEX(h_tk01,MATCH(A10,h_data,0))="",NA(),INDEX(h_tk01,MATCH(A10,h_data,0))),NA()),IF(9=rDias+1,IF(ISNUMBER(gMed_tk01),gMed_tk01,NA()),NA()))</f>
        <v>0</v>
      </c>
      <c r="M10">
        <f>IF(9&lt;=rDias,IFERROR(IF(INDEX(h_tk02,MATCH(A10,h_data,0))="",NA(),INDEX(h_tk02,MATCH(A10,h_data,0))),NA()),IF(9=rDias+1,IF(ISNUMBER(gMed_tk02),gMed_tk02,NA()),NA()))</f>
        <v>0</v>
      </c>
      <c r="N10">
        <f>IF(9&lt;=rDias,IFERROR(IF(INDEX(h_pctLama,MATCH(A10,h_data,0))="",NA(),INDEX(h_pctLama,MATCH(A10,h_data,0))),NA()),IF(9=rDias+1,NA(),NA()))</f>
        <v>0</v>
      </c>
      <c r="O10">
        <f>IF(AND(9=rDias+1,ISNUMBER(gMed_pctLama)),gMed_pctLama,NA())</f>
        <v>0</v>
      </c>
      <c r="P10">
        <f>IF(9&lt;=rDias,IFERROR(N10/1,-1),-1)</f>
        <v>0</v>
      </c>
    </row>
    <row r="11" spans="1:16">
      <c r="A11" s="76">
        <f>IF(10&gt;rDias,"",rFim-rDias+10)</f>
        <v>0</v>
      </c>
      <c r="B11">
        <f>IF(10&lt;=rDias,TEXT(DAY(A11),"00")&amp;"/"&amp;TEXT(MONTH(A11),"00"),IF(10=rDias+1,"Média",""))</f>
        <v>0</v>
      </c>
      <c r="C11">
        <f>IF(10&lt;=rDias,IFERROR(IF(INDEX(h_espP,MATCH(A11,h_data,0))="",NA(),INDEX(h_espP,MATCH(A11,h_data,0))),NA()),IF(10=rDias+1,IF(ISNUMBER(gMed_espP),gMed_espP,NA()),NA()))</f>
        <v>0</v>
      </c>
      <c r="D11">
        <f>IF(10&lt;=rDias,IFERROR(IF(INDEX(h_eb6,MATCH(A11,h_data,0))="",NA(),INDEX(h_eb6,MATCH(A11,h_data,0))),NA()),IF(10=rDias+1,IF(ISNUMBER(gMed_eb6),gMed_eb6,NA()),NA()))</f>
        <v>0</v>
      </c>
      <c r="E11">
        <f>IF(10&lt;=rDias,IFERROR(IF(INDEX(h_difK,MATCH(A11,h_data,0))="",NA(),INDEX(h_difK,MATCH(A11,h_data,0))),NA()),IF(10=rDias+1,NA(),NA()))</f>
        <v>0</v>
      </c>
      <c r="F11">
        <f>IF(AND(10=rDias+1,ISNUMBER(gMed_difK)),gMed_difK,NA())</f>
        <v>0</v>
      </c>
      <c r="G11">
        <f>IF(10&lt;=rDias+1,cfgTol,NA())</f>
        <v>0</v>
      </c>
      <c r="H11">
        <f>IF(10&lt;=rDias+1,-cfgTol,NA())</f>
        <v>0</v>
      </c>
      <c r="I11">
        <f>IF(10&lt;=rDias,IFERROR(IF(INDEX(h_eb4P,MATCH(A11,h_data,0))="",NA(),INDEX(h_eb4P,MATCH(A11,h_data,0))),NA()),IF(10=rDias+1,IF(ISNUMBER(gMed_eb4P),gMed_eb4P,NA()),NA()))</f>
        <v>0</v>
      </c>
      <c r="J11">
        <f>IF(10&lt;=rDias,IFERROR(IF(INDEX(h_difJ,MATCH(A11,h_data,0))="",NA(),INDEX(h_difJ,MATCH(A11,h_data,0))),NA()),IF(10=rDias+1,NA(),NA()))</f>
        <v>0</v>
      </c>
      <c r="K11">
        <f>IF(AND(10=rDias+1,ISNUMBER(gMed_difJ)),gMed_difJ,NA())</f>
        <v>0</v>
      </c>
      <c r="L11">
        <f>IF(10&lt;=rDias,IFERROR(IF(INDEX(h_tk01,MATCH(A11,h_data,0))="",NA(),INDEX(h_tk01,MATCH(A11,h_data,0))),NA()),IF(10=rDias+1,IF(ISNUMBER(gMed_tk01),gMed_tk01,NA()),NA()))</f>
        <v>0</v>
      </c>
      <c r="M11">
        <f>IF(10&lt;=rDias,IFERROR(IF(INDEX(h_tk02,MATCH(A11,h_data,0))="",NA(),INDEX(h_tk02,MATCH(A11,h_data,0))),NA()),IF(10=rDias+1,IF(ISNUMBER(gMed_tk02),gMed_tk02,NA()),NA()))</f>
        <v>0</v>
      </c>
      <c r="N11">
        <f>IF(10&lt;=rDias,IFERROR(IF(INDEX(h_pctLama,MATCH(A11,h_data,0))="",NA(),INDEX(h_pctLama,MATCH(A11,h_data,0))),NA()),IF(10=rDias+1,NA(),NA()))</f>
        <v>0</v>
      </c>
      <c r="O11">
        <f>IF(AND(10=rDias+1,ISNUMBER(gMed_pctLama)),gMed_pctLama,NA())</f>
        <v>0</v>
      </c>
      <c r="P11">
        <f>IF(10&lt;=rDias,IFERROR(N11/1,-1),-1)</f>
        <v>0</v>
      </c>
    </row>
    <row r="12" spans="1:16">
      <c r="A12" s="76">
        <f>IF(11&gt;rDias,"",rFim-rDias+11)</f>
        <v>0</v>
      </c>
      <c r="B12">
        <f>IF(11&lt;=rDias,TEXT(DAY(A12),"00")&amp;"/"&amp;TEXT(MONTH(A12),"00"),IF(11=rDias+1,"Média",""))</f>
        <v>0</v>
      </c>
      <c r="C12">
        <f>IF(11&lt;=rDias,IFERROR(IF(INDEX(h_espP,MATCH(A12,h_data,0))="",NA(),INDEX(h_espP,MATCH(A12,h_data,0))),NA()),IF(11=rDias+1,IF(ISNUMBER(gMed_espP),gMed_espP,NA()),NA()))</f>
        <v>0</v>
      </c>
      <c r="D12">
        <f>IF(11&lt;=rDias,IFERROR(IF(INDEX(h_eb6,MATCH(A12,h_data,0))="",NA(),INDEX(h_eb6,MATCH(A12,h_data,0))),NA()),IF(11=rDias+1,IF(ISNUMBER(gMed_eb6),gMed_eb6,NA()),NA()))</f>
        <v>0</v>
      </c>
      <c r="E12">
        <f>IF(11&lt;=rDias,IFERROR(IF(INDEX(h_difK,MATCH(A12,h_data,0))="",NA(),INDEX(h_difK,MATCH(A12,h_data,0))),NA()),IF(11=rDias+1,NA(),NA()))</f>
        <v>0</v>
      </c>
      <c r="F12">
        <f>IF(AND(11=rDias+1,ISNUMBER(gMed_difK)),gMed_difK,NA())</f>
        <v>0</v>
      </c>
      <c r="G12">
        <f>IF(11&lt;=rDias+1,cfgTol,NA())</f>
        <v>0</v>
      </c>
      <c r="H12">
        <f>IF(11&lt;=rDias+1,-cfgTol,NA())</f>
        <v>0</v>
      </c>
      <c r="I12">
        <f>IF(11&lt;=rDias,IFERROR(IF(INDEX(h_eb4P,MATCH(A12,h_data,0))="",NA(),INDEX(h_eb4P,MATCH(A12,h_data,0))),NA()),IF(11=rDias+1,IF(ISNUMBER(gMed_eb4P),gMed_eb4P,NA()),NA()))</f>
        <v>0</v>
      </c>
      <c r="J12">
        <f>IF(11&lt;=rDias,IFERROR(IF(INDEX(h_difJ,MATCH(A12,h_data,0))="",NA(),INDEX(h_difJ,MATCH(A12,h_data,0))),NA()),IF(11=rDias+1,NA(),NA()))</f>
        <v>0</v>
      </c>
      <c r="K12">
        <f>IF(AND(11=rDias+1,ISNUMBER(gMed_difJ)),gMed_difJ,NA())</f>
        <v>0</v>
      </c>
      <c r="L12">
        <f>IF(11&lt;=rDias,IFERROR(IF(INDEX(h_tk01,MATCH(A12,h_data,0))="",NA(),INDEX(h_tk01,MATCH(A12,h_data,0))),NA()),IF(11=rDias+1,IF(ISNUMBER(gMed_tk01),gMed_tk01,NA()),NA()))</f>
        <v>0</v>
      </c>
      <c r="M12">
        <f>IF(11&lt;=rDias,IFERROR(IF(INDEX(h_tk02,MATCH(A12,h_data,0))="",NA(),INDEX(h_tk02,MATCH(A12,h_data,0))),NA()),IF(11=rDias+1,IF(ISNUMBER(gMed_tk02),gMed_tk02,NA()),NA()))</f>
        <v>0</v>
      </c>
      <c r="N12">
        <f>IF(11&lt;=rDias,IFERROR(IF(INDEX(h_pctLama,MATCH(A12,h_data,0))="",NA(),INDEX(h_pctLama,MATCH(A12,h_data,0))),NA()),IF(11=rDias+1,NA(),NA()))</f>
        <v>0</v>
      </c>
      <c r="O12">
        <f>IF(AND(11=rDias+1,ISNUMBER(gMed_pctLama)),gMed_pctLama,NA())</f>
        <v>0</v>
      </c>
      <c r="P12">
        <f>IF(11&lt;=rDias,IFERROR(N12/1,-1),-1)</f>
        <v>0</v>
      </c>
    </row>
    <row r="13" spans="1:16">
      <c r="A13" s="76">
        <f>IF(12&gt;rDias,"",rFim-rDias+12)</f>
        <v>0</v>
      </c>
      <c r="B13">
        <f>IF(12&lt;=rDias,TEXT(DAY(A13),"00")&amp;"/"&amp;TEXT(MONTH(A13),"00"),IF(12=rDias+1,"Média",""))</f>
        <v>0</v>
      </c>
      <c r="C13">
        <f>IF(12&lt;=rDias,IFERROR(IF(INDEX(h_espP,MATCH(A13,h_data,0))="",NA(),INDEX(h_espP,MATCH(A13,h_data,0))),NA()),IF(12=rDias+1,IF(ISNUMBER(gMed_espP),gMed_espP,NA()),NA()))</f>
        <v>0</v>
      </c>
      <c r="D13">
        <f>IF(12&lt;=rDias,IFERROR(IF(INDEX(h_eb6,MATCH(A13,h_data,0))="",NA(),INDEX(h_eb6,MATCH(A13,h_data,0))),NA()),IF(12=rDias+1,IF(ISNUMBER(gMed_eb6),gMed_eb6,NA()),NA()))</f>
        <v>0</v>
      </c>
      <c r="E13">
        <f>IF(12&lt;=rDias,IFERROR(IF(INDEX(h_difK,MATCH(A13,h_data,0))="",NA(),INDEX(h_difK,MATCH(A13,h_data,0))),NA()),IF(12=rDias+1,NA(),NA()))</f>
        <v>0</v>
      </c>
      <c r="F13">
        <f>IF(AND(12=rDias+1,ISNUMBER(gMed_difK)),gMed_difK,NA())</f>
        <v>0</v>
      </c>
      <c r="G13">
        <f>IF(12&lt;=rDias+1,cfgTol,NA())</f>
        <v>0</v>
      </c>
      <c r="H13">
        <f>IF(12&lt;=rDias+1,-cfgTol,NA())</f>
        <v>0</v>
      </c>
      <c r="I13">
        <f>IF(12&lt;=rDias,IFERROR(IF(INDEX(h_eb4P,MATCH(A13,h_data,0))="",NA(),INDEX(h_eb4P,MATCH(A13,h_data,0))),NA()),IF(12=rDias+1,IF(ISNUMBER(gMed_eb4P),gMed_eb4P,NA()),NA()))</f>
        <v>0</v>
      </c>
      <c r="J13">
        <f>IF(12&lt;=rDias,IFERROR(IF(INDEX(h_difJ,MATCH(A13,h_data,0))="",NA(),INDEX(h_difJ,MATCH(A13,h_data,0))),NA()),IF(12=rDias+1,NA(),NA()))</f>
        <v>0</v>
      </c>
      <c r="K13">
        <f>IF(AND(12=rDias+1,ISNUMBER(gMed_difJ)),gMed_difJ,NA())</f>
        <v>0</v>
      </c>
      <c r="L13">
        <f>IF(12&lt;=rDias,IFERROR(IF(INDEX(h_tk01,MATCH(A13,h_data,0))="",NA(),INDEX(h_tk01,MATCH(A13,h_data,0))),NA()),IF(12=rDias+1,IF(ISNUMBER(gMed_tk01),gMed_tk01,NA()),NA()))</f>
        <v>0</v>
      </c>
      <c r="M13">
        <f>IF(12&lt;=rDias,IFERROR(IF(INDEX(h_tk02,MATCH(A13,h_data,0))="",NA(),INDEX(h_tk02,MATCH(A13,h_data,0))),NA()),IF(12=rDias+1,IF(ISNUMBER(gMed_tk02),gMed_tk02,NA()),NA()))</f>
        <v>0</v>
      </c>
      <c r="N13">
        <f>IF(12&lt;=rDias,IFERROR(IF(INDEX(h_pctLama,MATCH(A13,h_data,0))="",NA(),INDEX(h_pctLama,MATCH(A13,h_data,0))),NA()),IF(12=rDias+1,NA(),NA()))</f>
        <v>0</v>
      </c>
      <c r="O13">
        <f>IF(AND(12=rDias+1,ISNUMBER(gMed_pctLama)),gMed_pctLama,NA())</f>
        <v>0</v>
      </c>
      <c r="P13">
        <f>IF(12&lt;=rDias,IFERROR(N13/1,-1),-1)</f>
        <v>0</v>
      </c>
    </row>
    <row r="14" spans="1:16">
      <c r="A14" s="76">
        <f>IF(13&gt;rDias,"",rFim-rDias+13)</f>
        <v>0</v>
      </c>
      <c r="B14">
        <f>IF(13&lt;=rDias,TEXT(DAY(A14),"00")&amp;"/"&amp;TEXT(MONTH(A14),"00"),IF(13=rDias+1,"Média",""))</f>
        <v>0</v>
      </c>
      <c r="C14">
        <f>IF(13&lt;=rDias,IFERROR(IF(INDEX(h_espP,MATCH(A14,h_data,0))="",NA(),INDEX(h_espP,MATCH(A14,h_data,0))),NA()),IF(13=rDias+1,IF(ISNUMBER(gMed_espP),gMed_espP,NA()),NA()))</f>
        <v>0</v>
      </c>
      <c r="D14">
        <f>IF(13&lt;=rDias,IFERROR(IF(INDEX(h_eb6,MATCH(A14,h_data,0))="",NA(),INDEX(h_eb6,MATCH(A14,h_data,0))),NA()),IF(13=rDias+1,IF(ISNUMBER(gMed_eb6),gMed_eb6,NA()),NA()))</f>
        <v>0</v>
      </c>
      <c r="E14">
        <f>IF(13&lt;=rDias,IFERROR(IF(INDEX(h_difK,MATCH(A14,h_data,0))="",NA(),INDEX(h_difK,MATCH(A14,h_data,0))),NA()),IF(13=rDias+1,NA(),NA()))</f>
        <v>0</v>
      </c>
      <c r="F14">
        <f>IF(AND(13=rDias+1,ISNUMBER(gMed_difK)),gMed_difK,NA())</f>
        <v>0</v>
      </c>
      <c r="G14">
        <f>IF(13&lt;=rDias+1,cfgTol,NA())</f>
        <v>0</v>
      </c>
      <c r="H14">
        <f>IF(13&lt;=rDias+1,-cfgTol,NA())</f>
        <v>0</v>
      </c>
      <c r="I14">
        <f>IF(13&lt;=rDias,IFERROR(IF(INDEX(h_eb4P,MATCH(A14,h_data,0))="",NA(),INDEX(h_eb4P,MATCH(A14,h_data,0))),NA()),IF(13=rDias+1,IF(ISNUMBER(gMed_eb4P),gMed_eb4P,NA()),NA()))</f>
        <v>0</v>
      </c>
      <c r="J14">
        <f>IF(13&lt;=rDias,IFERROR(IF(INDEX(h_difJ,MATCH(A14,h_data,0))="",NA(),INDEX(h_difJ,MATCH(A14,h_data,0))),NA()),IF(13=rDias+1,NA(),NA()))</f>
        <v>0</v>
      </c>
      <c r="K14">
        <f>IF(AND(13=rDias+1,ISNUMBER(gMed_difJ)),gMed_difJ,NA())</f>
        <v>0</v>
      </c>
      <c r="L14">
        <f>IF(13&lt;=rDias,IFERROR(IF(INDEX(h_tk01,MATCH(A14,h_data,0))="",NA(),INDEX(h_tk01,MATCH(A14,h_data,0))),NA()),IF(13=rDias+1,IF(ISNUMBER(gMed_tk01),gMed_tk01,NA()),NA()))</f>
        <v>0</v>
      </c>
      <c r="M14">
        <f>IF(13&lt;=rDias,IFERROR(IF(INDEX(h_tk02,MATCH(A14,h_data,0))="",NA(),INDEX(h_tk02,MATCH(A14,h_data,0))),NA()),IF(13=rDias+1,IF(ISNUMBER(gMed_tk02),gMed_tk02,NA()),NA()))</f>
        <v>0</v>
      </c>
      <c r="N14">
        <f>IF(13&lt;=rDias,IFERROR(IF(INDEX(h_pctLama,MATCH(A14,h_data,0))="",NA(),INDEX(h_pctLama,MATCH(A14,h_data,0))),NA()),IF(13=rDias+1,NA(),NA()))</f>
        <v>0</v>
      </c>
      <c r="O14">
        <f>IF(AND(13=rDias+1,ISNUMBER(gMed_pctLama)),gMed_pctLama,NA())</f>
        <v>0</v>
      </c>
      <c r="P14">
        <f>IF(13&lt;=rDias,IFERROR(N14/1,-1),-1)</f>
        <v>0</v>
      </c>
    </row>
    <row r="15" spans="1:16">
      <c r="A15" s="76">
        <f>IF(14&gt;rDias,"",rFim-rDias+14)</f>
        <v>0</v>
      </c>
      <c r="B15">
        <f>IF(14&lt;=rDias,TEXT(DAY(A15),"00")&amp;"/"&amp;TEXT(MONTH(A15),"00"),IF(14=rDias+1,"Média",""))</f>
        <v>0</v>
      </c>
      <c r="C15">
        <f>IF(14&lt;=rDias,IFERROR(IF(INDEX(h_espP,MATCH(A15,h_data,0))="",NA(),INDEX(h_espP,MATCH(A15,h_data,0))),NA()),IF(14=rDias+1,IF(ISNUMBER(gMed_espP),gMed_espP,NA()),NA()))</f>
        <v>0</v>
      </c>
      <c r="D15">
        <f>IF(14&lt;=rDias,IFERROR(IF(INDEX(h_eb6,MATCH(A15,h_data,0))="",NA(),INDEX(h_eb6,MATCH(A15,h_data,0))),NA()),IF(14=rDias+1,IF(ISNUMBER(gMed_eb6),gMed_eb6,NA()),NA()))</f>
        <v>0</v>
      </c>
      <c r="E15">
        <f>IF(14&lt;=rDias,IFERROR(IF(INDEX(h_difK,MATCH(A15,h_data,0))="",NA(),INDEX(h_difK,MATCH(A15,h_data,0))),NA()),IF(14=rDias+1,NA(),NA()))</f>
        <v>0</v>
      </c>
      <c r="F15">
        <f>IF(AND(14=rDias+1,ISNUMBER(gMed_difK)),gMed_difK,NA())</f>
        <v>0</v>
      </c>
      <c r="G15">
        <f>IF(14&lt;=rDias+1,cfgTol,NA())</f>
        <v>0</v>
      </c>
      <c r="H15">
        <f>IF(14&lt;=rDias+1,-cfgTol,NA())</f>
        <v>0</v>
      </c>
      <c r="I15">
        <f>IF(14&lt;=rDias,IFERROR(IF(INDEX(h_eb4P,MATCH(A15,h_data,0))="",NA(),INDEX(h_eb4P,MATCH(A15,h_data,0))),NA()),IF(14=rDias+1,IF(ISNUMBER(gMed_eb4P),gMed_eb4P,NA()),NA()))</f>
        <v>0</v>
      </c>
      <c r="J15">
        <f>IF(14&lt;=rDias,IFERROR(IF(INDEX(h_difJ,MATCH(A15,h_data,0))="",NA(),INDEX(h_difJ,MATCH(A15,h_data,0))),NA()),IF(14=rDias+1,NA(),NA()))</f>
        <v>0</v>
      </c>
      <c r="K15">
        <f>IF(AND(14=rDias+1,ISNUMBER(gMed_difJ)),gMed_difJ,NA())</f>
        <v>0</v>
      </c>
      <c r="L15">
        <f>IF(14&lt;=rDias,IFERROR(IF(INDEX(h_tk01,MATCH(A15,h_data,0))="",NA(),INDEX(h_tk01,MATCH(A15,h_data,0))),NA()),IF(14=rDias+1,IF(ISNUMBER(gMed_tk01),gMed_tk01,NA()),NA()))</f>
        <v>0</v>
      </c>
      <c r="M15">
        <f>IF(14&lt;=rDias,IFERROR(IF(INDEX(h_tk02,MATCH(A15,h_data,0))="",NA(),INDEX(h_tk02,MATCH(A15,h_data,0))),NA()),IF(14=rDias+1,IF(ISNUMBER(gMed_tk02),gMed_tk02,NA()),NA()))</f>
        <v>0</v>
      </c>
      <c r="N15">
        <f>IF(14&lt;=rDias,IFERROR(IF(INDEX(h_pctLama,MATCH(A15,h_data,0))="",NA(),INDEX(h_pctLama,MATCH(A15,h_data,0))),NA()),IF(14=rDias+1,NA(),NA()))</f>
        <v>0</v>
      </c>
      <c r="O15">
        <f>IF(AND(14=rDias+1,ISNUMBER(gMed_pctLama)),gMed_pctLama,NA())</f>
        <v>0</v>
      </c>
      <c r="P15">
        <f>IF(14&lt;=rDias,IFERROR(N15/1,-1),-1)</f>
        <v>0</v>
      </c>
    </row>
    <row r="16" spans="1:16">
      <c r="A16" s="76">
        <f>IF(15&gt;rDias,"",rFim-rDias+15)</f>
        <v>0</v>
      </c>
      <c r="B16">
        <f>IF(15&lt;=rDias,TEXT(DAY(A16),"00")&amp;"/"&amp;TEXT(MONTH(A16),"00"),IF(15=rDias+1,"Média",""))</f>
        <v>0</v>
      </c>
      <c r="C16">
        <f>IF(15&lt;=rDias,IFERROR(IF(INDEX(h_espP,MATCH(A16,h_data,0))="",NA(),INDEX(h_espP,MATCH(A16,h_data,0))),NA()),IF(15=rDias+1,IF(ISNUMBER(gMed_espP),gMed_espP,NA()),NA()))</f>
        <v>0</v>
      </c>
      <c r="D16">
        <f>IF(15&lt;=rDias,IFERROR(IF(INDEX(h_eb6,MATCH(A16,h_data,0))="",NA(),INDEX(h_eb6,MATCH(A16,h_data,0))),NA()),IF(15=rDias+1,IF(ISNUMBER(gMed_eb6),gMed_eb6,NA()),NA()))</f>
        <v>0</v>
      </c>
      <c r="E16">
        <f>IF(15&lt;=rDias,IFERROR(IF(INDEX(h_difK,MATCH(A16,h_data,0))="",NA(),INDEX(h_difK,MATCH(A16,h_data,0))),NA()),IF(15=rDias+1,NA(),NA()))</f>
        <v>0</v>
      </c>
      <c r="F16">
        <f>IF(AND(15=rDias+1,ISNUMBER(gMed_difK)),gMed_difK,NA())</f>
        <v>0</v>
      </c>
      <c r="G16">
        <f>IF(15&lt;=rDias+1,cfgTol,NA())</f>
        <v>0</v>
      </c>
      <c r="H16">
        <f>IF(15&lt;=rDias+1,-cfgTol,NA())</f>
        <v>0</v>
      </c>
      <c r="I16">
        <f>IF(15&lt;=rDias,IFERROR(IF(INDEX(h_eb4P,MATCH(A16,h_data,0))="",NA(),INDEX(h_eb4P,MATCH(A16,h_data,0))),NA()),IF(15=rDias+1,IF(ISNUMBER(gMed_eb4P),gMed_eb4P,NA()),NA()))</f>
        <v>0</v>
      </c>
      <c r="J16">
        <f>IF(15&lt;=rDias,IFERROR(IF(INDEX(h_difJ,MATCH(A16,h_data,0))="",NA(),INDEX(h_difJ,MATCH(A16,h_data,0))),NA()),IF(15=rDias+1,NA(),NA()))</f>
        <v>0</v>
      </c>
      <c r="K16">
        <f>IF(AND(15=rDias+1,ISNUMBER(gMed_difJ)),gMed_difJ,NA())</f>
        <v>0</v>
      </c>
      <c r="L16">
        <f>IF(15&lt;=rDias,IFERROR(IF(INDEX(h_tk01,MATCH(A16,h_data,0))="",NA(),INDEX(h_tk01,MATCH(A16,h_data,0))),NA()),IF(15=rDias+1,IF(ISNUMBER(gMed_tk01),gMed_tk01,NA()),NA()))</f>
        <v>0</v>
      </c>
      <c r="M16">
        <f>IF(15&lt;=rDias,IFERROR(IF(INDEX(h_tk02,MATCH(A16,h_data,0))="",NA(),INDEX(h_tk02,MATCH(A16,h_data,0))),NA()),IF(15=rDias+1,IF(ISNUMBER(gMed_tk02),gMed_tk02,NA()),NA()))</f>
        <v>0</v>
      </c>
      <c r="N16">
        <f>IF(15&lt;=rDias,IFERROR(IF(INDEX(h_pctLama,MATCH(A16,h_data,0))="",NA(),INDEX(h_pctLama,MATCH(A16,h_data,0))),NA()),IF(15=rDias+1,NA(),NA()))</f>
        <v>0</v>
      </c>
      <c r="O16">
        <f>IF(AND(15=rDias+1,ISNUMBER(gMed_pctLama)),gMed_pctLama,NA())</f>
        <v>0</v>
      </c>
      <c r="P16">
        <f>IF(15&lt;=rDias,IFERROR(N16/1,-1),-1)</f>
        <v>0</v>
      </c>
    </row>
    <row r="17" spans="1:16">
      <c r="A17" s="76">
        <f>IF(16&gt;rDias,"",rFim-rDias+16)</f>
        <v>0</v>
      </c>
      <c r="B17">
        <f>IF(16&lt;=rDias,TEXT(DAY(A17),"00")&amp;"/"&amp;TEXT(MONTH(A17),"00"),IF(16=rDias+1,"Média",""))</f>
        <v>0</v>
      </c>
      <c r="C17">
        <f>IF(16&lt;=rDias,IFERROR(IF(INDEX(h_espP,MATCH(A17,h_data,0))="",NA(),INDEX(h_espP,MATCH(A17,h_data,0))),NA()),IF(16=rDias+1,IF(ISNUMBER(gMed_espP),gMed_espP,NA()),NA()))</f>
        <v>0</v>
      </c>
      <c r="D17">
        <f>IF(16&lt;=rDias,IFERROR(IF(INDEX(h_eb6,MATCH(A17,h_data,0))="",NA(),INDEX(h_eb6,MATCH(A17,h_data,0))),NA()),IF(16=rDias+1,IF(ISNUMBER(gMed_eb6),gMed_eb6,NA()),NA()))</f>
        <v>0</v>
      </c>
      <c r="E17">
        <f>IF(16&lt;=rDias,IFERROR(IF(INDEX(h_difK,MATCH(A17,h_data,0))="",NA(),INDEX(h_difK,MATCH(A17,h_data,0))),NA()),IF(16=rDias+1,NA(),NA()))</f>
        <v>0</v>
      </c>
      <c r="F17">
        <f>IF(AND(16=rDias+1,ISNUMBER(gMed_difK)),gMed_difK,NA())</f>
        <v>0</v>
      </c>
      <c r="G17">
        <f>IF(16&lt;=rDias+1,cfgTol,NA())</f>
        <v>0</v>
      </c>
      <c r="H17">
        <f>IF(16&lt;=rDias+1,-cfgTol,NA())</f>
        <v>0</v>
      </c>
      <c r="I17">
        <f>IF(16&lt;=rDias,IFERROR(IF(INDEX(h_eb4P,MATCH(A17,h_data,0))="",NA(),INDEX(h_eb4P,MATCH(A17,h_data,0))),NA()),IF(16=rDias+1,IF(ISNUMBER(gMed_eb4P),gMed_eb4P,NA()),NA()))</f>
        <v>0</v>
      </c>
      <c r="J17">
        <f>IF(16&lt;=rDias,IFERROR(IF(INDEX(h_difJ,MATCH(A17,h_data,0))="",NA(),INDEX(h_difJ,MATCH(A17,h_data,0))),NA()),IF(16=rDias+1,NA(),NA()))</f>
        <v>0</v>
      </c>
      <c r="K17">
        <f>IF(AND(16=rDias+1,ISNUMBER(gMed_difJ)),gMed_difJ,NA())</f>
        <v>0</v>
      </c>
      <c r="L17">
        <f>IF(16&lt;=rDias,IFERROR(IF(INDEX(h_tk01,MATCH(A17,h_data,0))="",NA(),INDEX(h_tk01,MATCH(A17,h_data,0))),NA()),IF(16=rDias+1,IF(ISNUMBER(gMed_tk01),gMed_tk01,NA()),NA()))</f>
        <v>0</v>
      </c>
      <c r="M17">
        <f>IF(16&lt;=rDias,IFERROR(IF(INDEX(h_tk02,MATCH(A17,h_data,0))="",NA(),INDEX(h_tk02,MATCH(A17,h_data,0))),NA()),IF(16=rDias+1,IF(ISNUMBER(gMed_tk02),gMed_tk02,NA()),NA()))</f>
        <v>0</v>
      </c>
      <c r="N17">
        <f>IF(16&lt;=rDias,IFERROR(IF(INDEX(h_pctLama,MATCH(A17,h_data,0))="",NA(),INDEX(h_pctLama,MATCH(A17,h_data,0))),NA()),IF(16=rDias+1,NA(),NA()))</f>
        <v>0</v>
      </c>
      <c r="O17">
        <f>IF(AND(16=rDias+1,ISNUMBER(gMed_pctLama)),gMed_pctLama,NA())</f>
        <v>0</v>
      </c>
      <c r="P17">
        <f>IF(16&lt;=rDias,IFERROR(N17/1,-1),-1)</f>
        <v>0</v>
      </c>
    </row>
    <row r="18" spans="1:16">
      <c r="A18" s="76">
        <f>IF(17&gt;rDias,"",rFim-rDias+17)</f>
        <v>0</v>
      </c>
      <c r="B18">
        <f>IF(17&lt;=rDias,TEXT(DAY(A18),"00")&amp;"/"&amp;TEXT(MONTH(A18),"00"),IF(17=rDias+1,"Média",""))</f>
        <v>0</v>
      </c>
      <c r="C18">
        <f>IF(17&lt;=rDias,IFERROR(IF(INDEX(h_espP,MATCH(A18,h_data,0))="",NA(),INDEX(h_espP,MATCH(A18,h_data,0))),NA()),IF(17=rDias+1,IF(ISNUMBER(gMed_espP),gMed_espP,NA()),NA()))</f>
        <v>0</v>
      </c>
      <c r="D18">
        <f>IF(17&lt;=rDias,IFERROR(IF(INDEX(h_eb6,MATCH(A18,h_data,0))="",NA(),INDEX(h_eb6,MATCH(A18,h_data,0))),NA()),IF(17=rDias+1,IF(ISNUMBER(gMed_eb6),gMed_eb6,NA()),NA()))</f>
        <v>0</v>
      </c>
      <c r="E18">
        <f>IF(17&lt;=rDias,IFERROR(IF(INDEX(h_difK,MATCH(A18,h_data,0))="",NA(),INDEX(h_difK,MATCH(A18,h_data,0))),NA()),IF(17=rDias+1,NA(),NA()))</f>
        <v>0</v>
      </c>
      <c r="F18">
        <f>IF(AND(17=rDias+1,ISNUMBER(gMed_difK)),gMed_difK,NA())</f>
        <v>0</v>
      </c>
      <c r="G18">
        <f>IF(17&lt;=rDias+1,cfgTol,NA())</f>
        <v>0</v>
      </c>
      <c r="H18">
        <f>IF(17&lt;=rDias+1,-cfgTol,NA())</f>
        <v>0</v>
      </c>
      <c r="I18">
        <f>IF(17&lt;=rDias,IFERROR(IF(INDEX(h_eb4P,MATCH(A18,h_data,0))="",NA(),INDEX(h_eb4P,MATCH(A18,h_data,0))),NA()),IF(17=rDias+1,IF(ISNUMBER(gMed_eb4P),gMed_eb4P,NA()),NA()))</f>
        <v>0</v>
      </c>
      <c r="J18">
        <f>IF(17&lt;=rDias,IFERROR(IF(INDEX(h_difJ,MATCH(A18,h_data,0))="",NA(),INDEX(h_difJ,MATCH(A18,h_data,0))),NA()),IF(17=rDias+1,NA(),NA()))</f>
        <v>0</v>
      </c>
      <c r="K18">
        <f>IF(AND(17=rDias+1,ISNUMBER(gMed_difJ)),gMed_difJ,NA())</f>
        <v>0</v>
      </c>
      <c r="L18">
        <f>IF(17&lt;=rDias,IFERROR(IF(INDEX(h_tk01,MATCH(A18,h_data,0))="",NA(),INDEX(h_tk01,MATCH(A18,h_data,0))),NA()),IF(17=rDias+1,IF(ISNUMBER(gMed_tk01),gMed_tk01,NA()),NA()))</f>
        <v>0</v>
      </c>
      <c r="M18">
        <f>IF(17&lt;=rDias,IFERROR(IF(INDEX(h_tk02,MATCH(A18,h_data,0))="",NA(),INDEX(h_tk02,MATCH(A18,h_data,0))),NA()),IF(17=rDias+1,IF(ISNUMBER(gMed_tk02),gMed_tk02,NA()),NA()))</f>
        <v>0</v>
      </c>
      <c r="N18">
        <f>IF(17&lt;=rDias,IFERROR(IF(INDEX(h_pctLama,MATCH(A18,h_data,0))="",NA(),INDEX(h_pctLama,MATCH(A18,h_data,0))),NA()),IF(17=rDias+1,NA(),NA()))</f>
        <v>0</v>
      </c>
      <c r="O18">
        <f>IF(AND(17=rDias+1,ISNUMBER(gMed_pctLama)),gMed_pctLama,NA())</f>
        <v>0</v>
      </c>
      <c r="P18">
        <f>IF(17&lt;=rDias,IFERROR(N18/1,-1),-1)</f>
        <v>0</v>
      </c>
    </row>
    <row r="19" spans="1:16">
      <c r="A19" s="76">
        <f>IF(18&gt;rDias,"",rFim-rDias+18)</f>
        <v>0</v>
      </c>
      <c r="B19">
        <f>IF(18&lt;=rDias,TEXT(DAY(A19),"00")&amp;"/"&amp;TEXT(MONTH(A19),"00"),IF(18=rDias+1,"Média",""))</f>
        <v>0</v>
      </c>
      <c r="C19">
        <f>IF(18&lt;=rDias,IFERROR(IF(INDEX(h_espP,MATCH(A19,h_data,0))="",NA(),INDEX(h_espP,MATCH(A19,h_data,0))),NA()),IF(18=rDias+1,IF(ISNUMBER(gMed_espP),gMed_espP,NA()),NA()))</f>
        <v>0</v>
      </c>
      <c r="D19">
        <f>IF(18&lt;=rDias,IFERROR(IF(INDEX(h_eb6,MATCH(A19,h_data,0))="",NA(),INDEX(h_eb6,MATCH(A19,h_data,0))),NA()),IF(18=rDias+1,IF(ISNUMBER(gMed_eb6),gMed_eb6,NA()),NA()))</f>
        <v>0</v>
      </c>
      <c r="E19">
        <f>IF(18&lt;=rDias,IFERROR(IF(INDEX(h_difK,MATCH(A19,h_data,0))="",NA(),INDEX(h_difK,MATCH(A19,h_data,0))),NA()),IF(18=rDias+1,NA(),NA()))</f>
        <v>0</v>
      </c>
      <c r="F19">
        <f>IF(AND(18=rDias+1,ISNUMBER(gMed_difK)),gMed_difK,NA())</f>
        <v>0</v>
      </c>
      <c r="G19">
        <f>IF(18&lt;=rDias+1,cfgTol,NA())</f>
        <v>0</v>
      </c>
      <c r="H19">
        <f>IF(18&lt;=rDias+1,-cfgTol,NA())</f>
        <v>0</v>
      </c>
      <c r="I19">
        <f>IF(18&lt;=rDias,IFERROR(IF(INDEX(h_eb4P,MATCH(A19,h_data,0))="",NA(),INDEX(h_eb4P,MATCH(A19,h_data,0))),NA()),IF(18=rDias+1,IF(ISNUMBER(gMed_eb4P),gMed_eb4P,NA()),NA()))</f>
        <v>0</v>
      </c>
      <c r="J19">
        <f>IF(18&lt;=rDias,IFERROR(IF(INDEX(h_difJ,MATCH(A19,h_data,0))="",NA(),INDEX(h_difJ,MATCH(A19,h_data,0))),NA()),IF(18=rDias+1,NA(),NA()))</f>
        <v>0</v>
      </c>
      <c r="K19">
        <f>IF(AND(18=rDias+1,ISNUMBER(gMed_difJ)),gMed_difJ,NA())</f>
        <v>0</v>
      </c>
      <c r="L19">
        <f>IF(18&lt;=rDias,IFERROR(IF(INDEX(h_tk01,MATCH(A19,h_data,0))="",NA(),INDEX(h_tk01,MATCH(A19,h_data,0))),NA()),IF(18=rDias+1,IF(ISNUMBER(gMed_tk01),gMed_tk01,NA()),NA()))</f>
        <v>0</v>
      </c>
      <c r="M19">
        <f>IF(18&lt;=rDias,IFERROR(IF(INDEX(h_tk02,MATCH(A19,h_data,0))="",NA(),INDEX(h_tk02,MATCH(A19,h_data,0))),NA()),IF(18=rDias+1,IF(ISNUMBER(gMed_tk02),gMed_tk02,NA()),NA()))</f>
        <v>0</v>
      </c>
      <c r="N19">
        <f>IF(18&lt;=rDias,IFERROR(IF(INDEX(h_pctLama,MATCH(A19,h_data,0))="",NA(),INDEX(h_pctLama,MATCH(A19,h_data,0))),NA()),IF(18=rDias+1,NA(),NA()))</f>
        <v>0</v>
      </c>
      <c r="O19">
        <f>IF(AND(18=rDias+1,ISNUMBER(gMed_pctLama)),gMed_pctLama,NA())</f>
        <v>0</v>
      </c>
      <c r="P19">
        <f>IF(18&lt;=rDias,IFERROR(N19/1,-1),-1)</f>
        <v>0</v>
      </c>
    </row>
    <row r="20" spans="1:16">
      <c r="A20" s="76">
        <f>IF(19&gt;rDias,"",rFim-rDias+19)</f>
        <v>0</v>
      </c>
      <c r="B20">
        <f>IF(19&lt;=rDias,TEXT(DAY(A20),"00")&amp;"/"&amp;TEXT(MONTH(A20),"00"),IF(19=rDias+1,"Média",""))</f>
        <v>0</v>
      </c>
      <c r="C20">
        <f>IF(19&lt;=rDias,IFERROR(IF(INDEX(h_espP,MATCH(A20,h_data,0))="",NA(),INDEX(h_espP,MATCH(A20,h_data,0))),NA()),IF(19=rDias+1,IF(ISNUMBER(gMed_espP),gMed_espP,NA()),NA()))</f>
        <v>0</v>
      </c>
      <c r="D20">
        <f>IF(19&lt;=rDias,IFERROR(IF(INDEX(h_eb6,MATCH(A20,h_data,0))="",NA(),INDEX(h_eb6,MATCH(A20,h_data,0))),NA()),IF(19=rDias+1,IF(ISNUMBER(gMed_eb6),gMed_eb6,NA()),NA()))</f>
        <v>0</v>
      </c>
      <c r="E20">
        <f>IF(19&lt;=rDias,IFERROR(IF(INDEX(h_difK,MATCH(A20,h_data,0))="",NA(),INDEX(h_difK,MATCH(A20,h_data,0))),NA()),IF(19=rDias+1,NA(),NA()))</f>
        <v>0</v>
      </c>
      <c r="F20">
        <f>IF(AND(19=rDias+1,ISNUMBER(gMed_difK)),gMed_difK,NA())</f>
        <v>0</v>
      </c>
      <c r="G20">
        <f>IF(19&lt;=rDias+1,cfgTol,NA())</f>
        <v>0</v>
      </c>
      <c r="H20">
        <f>IF(19&lt;=rDias+1,-cfgTol,NA())</f>
        <v>0</v>
      </c>
      <c r="I20">
        <f>IF(19&lt;=rDias,IFERROR(IF(INDEX(h_eb4P,MATCH(A20,h_data,0))="",NA(),INDEX(h_eb4P,MATCH(A20,h_data,0))),NA()),IF(19=rDias+1,IF(ISNUMBER(gMed_eb4P),gMed_eb4P,NA()),NA()))</f>
        <v>0</v>
      </c>
      <c r="J20">
        <f>IF(19&lt;=rDias,IFERROR(IF(INDEX(h_difJ,MATCH(A20,h_data,0))="",NA(),INDEX(h_difJ,MATCH(A20,h_data,0))),NA()),IF(19=rDias+1,NA(),NA()))</f>
        <v>0</v>
      </c>
      <c r="K20">
        <f>IF(AND(19=rDias+1,ISNUMBER(gMed_difJ)),gMed_difJ,NA())</f>
        <v>0</v>
      </c>
      <c r="L20">
        <f>IF(19&lt;=rDias,IFERROR(IF(INDEX(h_tk01,MATCH(A20,h_data,0))="",NA(),INDEX(h_tk01,MATCH(A20,h_data,0))),NA()),IF(19=rDias+1,IF(ISNUMBER(gMed_tk01),gMed_tk01,NA()),NA()))</f>
        <v>0</v>
      </c>
      <c r="M20">
        <f>IF(19&lt;=rDias,IFERROR(IF(INDEX(h_tk02,MATCH(A20,h_data,0))="",NA(),INDEX(h_tk02,MATCH(A20,h_data,0))),NA()),IF(19=rDias+1,IF(ISNUMBER(gMed_tk02),gMed_tk02,NA()),NA()))</f>
        <v>0</v>
      </c>
      <c r="N20">
        <f>IF(19&lt;=rDias,IFERROR(IF(INDEX(h_pctLama,MATCH(A20,h_data,0))="",NA(),INDEX(h_pctLama,MATCH(A20,h_data,0))),NA()),IF(19=rDias+1,NA(),NA()))</f>
        <v>0</v>
      </c>
      <c r="O20">
        <f>IF(AND(19=rDias+1,ISNUMBER(gMed_pctLama)),gMed_pctLama,NA())</f>
        <v>0</v>
      </c>
      <c r="P20">
        <f>IF(19&lt;=rDias,IFERROR(N20/1,-1),-1)</f>
        <v>0</v>
      </c>
    </row>
    <row r="21" spans="1:16">
      <c r="A21" s="76">
        <f>IF(20&gt;rDias,"",rFim-rDias+20)</f>
        <v>0</v>
      </c>
      <c r="B21">
        <f>IF(20&lt;=rDias,TEXT(DAY(A21),"00")&amp;"/"&amp;TEXT(MONTH(A21),"00"),IF(20=rDias+1,"Média",""))</f>
        <v>0</v>
      </c>
      <c r="C21">
        <f>IF(20&lt;=rDias,IFERROR(IF(INDEX(h_espP,MATCH(A21,h_data,0))="",NA(),INDEX(h_espP,MATCH(A21,h_data,0))),NA()),IF(20=rDias+1,IF(ISNUMBER(gMed_espP),gMed_espP,NA()),NA()))</f>
        <v>0</v>
      </c>
      <c r="D21">
        <f>IF(20&lt;=rDias,IFERROR(IF(INDEX(h_eb6,MATCH(A21,h_data,0))="",NA(),INDEX(h_eb6,MATCH(A21,h_data,0))),NA()),IF(20=rDias+1,IF(ISNUMBER(gMed_eb6),gMed_eb6,NA()),NA()))</f>
        <v>0</v>
      </c>
      <c r="E21">
        <f>IF(20&lt;=rDias,IFERROR(IF(INDEX(h_difK,MATCH(A21,h_data,0))="",NA(),INDEX(h_difK,MATCH(A21,h_data,0))),NA()),IF(20=rDias+1,NA(),NA()))</f>
        <v>0</v>
      </c>
      <c r="F21">
        <f>IF(AND(20=rDias+1,ISNUMBER(gMed_difK)),gMed_difK,NA())</f>
        <v>0</v>
      </c>
      <c r="G21">
        <f>IF(20&lt;=rDias+1,cfgTol,NA())</f>
        <v>0</v>
      </c>
      <c r="H21">
        <f>IF(20&lt;=rDias+1,-cfgTol,NA())</f>
        <v>0</v>
      </c>
      <c r="I21">
        <f>IF(20&lt;=rDias,IFERROR(IF(INDEX(h_eb4P,MATCH(A21,h_data,0))="",NA(),INDEX(h_eb4P,MATCH(A21,h_data,0))),NA()),IF(20=rDias+1,IF(ISNUMBER(gMed_eb4P),gMed_eb4P,NA()),NA()))</f>
        <v>0</v>
      </c>
      <c r="J21">
        <f>IF(20&lt;=rDias,IFERROR(IF(INDEX(h_difJ,MATCH(A21,h_data,0))="",NA(),INDEX(h_difJ,MATCH(A21,h_data,0))),NA()),IF(20=rDias+1,NA(),NA()))</f>
        <v>0</v>
      </c>
      <c r="K21">
        <f>IF(AND(20=rDias+1,ISNUMBER(gMed_difJ)),gMed_difJ,NA())</f>
        <v>0</v>
      </c>
      <c r="L21">
        <f>IF(20&lt;=rDias,IFERROR(IF(INDEX(h_tk01,MATCH(A21,h_data,0))="",NA(),INDEX(h_tk01,MATCH(A21,h_data,0))),NA()),IF(20=rDias+1,IF(ISNUMBER(gMed_tk01),gMed_tk01,NA()),NA()))</f>
        <v>0</v>
      </c>
      <c r="M21">
        <f>IF(20&lt;=rDias,IFERROR(IF(INDEX(h_tk02,MATCH(A21,h_data,0))="",NA(),INDEX(h_tk02,MATCH(A21,h_data,0))),NA()),IF(20=rDias+1,IF(ISNUMBER(gMed_tk02),gMed_tk02,NA()),NA()))</f>
        <v>0</v>
      </c>
      <c r="N21">
        <f>IF(20&lt;=rDias,IFERROR(IF(INDEX(h_pctLama,MATCH(A21,h_data,0))="",NA(),INDEX(h_pctLama,MATCH(A21,h_data,0))),NA()),IF(20=rDias+1,NA(),NA()))</f>
        <v>0</v>
      </c>
      <c r="O21">
        <f>IF(AND(20=rDias+1,ISNUMBER(gMed_pctLama)),gMed_pctLama,NA())</f>
        <v>0</v>
      </c>
      <c r="P21">
        <f>IF(20&lt;=rDias,IFERROR(N21/1,-1),-1)</f>
        <v>0</v>
      </c>
    </row>
    <row r="22" spans="1:16">
      <c r="A22" s="76">
        <f>IF(21&gt;rDias,"",rFim-rDias+21)</f>
        <v>0</v>
      </c>
      <c r="B22">
        <f>IF(21&lt;=rDias,TEXT(DAY(A22),"00")&amp;"/"&amp;TEXT(MONTH(A22),"00"),IF(21=rDias+1,"Média",""))</f>
        <v>0</v>
      </c>
      <c r="C22">
        <f>IF(21&lt;=rDias,IFERROR(IF(INDEX(h_espP,MATCH(A22,h_data,0))="",NA(),INDEX(h_espP,MATCH(A22,h_data,0))),NA()),IF(21=rDias+1,IF(ISNUMBER(gMed_espP),gMed_espP,NA()),NA()))</f>
        <v>0</v>
      </c>
      <c r="D22">
        <f>IF(21&lt;=rDias,IFERROR(IF(INDEX(h_eb6,MATCH(A22,h_data,0))="",NA(),INDEX(h_eb6,MATCH(A22,h_data,0))),NA()),IF(21=rDias+1,IF(ISNUMBER(gMed_eb6),gMed_eb6,NA()),NA()))</f>
        <v>0</v>
      </c>
      <c r="E22">
        <f>IF(21&lt;=rDias,IFERROR(IF(INDEX(h_difK,MATCH(A22,h_data,0))="",NA(),INDEX(h_difK,MATCH(A22,h_data,0))),NA()),IF(21=rDias+1,NA(),NA()))</f>
        <v>0</v>
      </c>
      <c r="F22">
        <f>IF(AND(21=rDias+1,ISNUMBER(gMed_difK)),gMed_difK,NA())</f>
        <v>0</v>
      </c>
      <c r="G22">
        <f>IF(21&lt;=rDias+1,cfgTol,NA())</f>
        <v>0</v>
      </c>
      <c r="H22">
        <f>IF(21&lt;=rDias+1,-cfgTol,NA())</f>
        <v>0</v>
      </c>
      <c r="I22">
        <f>IF(21&lt;=rDias,IFERROR(IF(INDEX(h_eb4P,MATCH(A22,h_data,0))="",NA(),INDEX(h_eb4P,MATCH(A22,h_data,0))),NA()),IF(21=rDias+1,IF(ISNUMBER(gMed_eb4P),gMed_eb4P,NA()),NA()))</f>
        <v>0</v>
      </c>
      <c r="J22">
        <f>IF(21&lt;=rDias,IFERROR(IF(INDEX(h_difJ,MATCH(A22,h_data,0))="",NA(),INDEX(h_difJ,MATCH(A22,h_data,0))),NA()),IF(21=rDias+1,NA(),NA()))</f>
        <v>0</v>
      </c>
      <c r="K22">
        <f>IF(AND(21=rDias+1,ISNUMBER(gMed_difJ)),gMed_difJ,NA())</f>
        <v>0</v>
      </c>
      <c r="L22">
        <f>IF(21&lt;=rDias,IFERROR(IF(INDEX(h_tk01,MATCH(A22,h_data,0))="",NA(),INDEX(h_tk01,MATCH(A22,h_data,0))),NA()),IF(21=rDias+1,IF(ISNUMBER(gMed_tk01),gMed_tk01,NA()),NA()))</f>
        <v>0</v>
      </c>
      <c r="M22">
        <f>IF(21&lt;=rDias,IFERROR(IF(INDEX(h_tk02,MATCH(A22,h_data,0))="",NA(),INDEX(h_tk02,MATCH(A22,h_data,0))),NA()),IF(21=rDias+1,IF(ISNUMBER(gMed_tk02),gMed_tk02,NA()),NA()))</f>
        <v>0</v>
      </c>
      <c r="N22">
        <f>IF(21&lt;=rDias,IFERROR(IF(INDEX(h_pctLama,MATCH(A22,h_data,0))="",NA(),INDEX(h_pctLama,MATCH(A22,h_data,0))),NA()),IF(21=rDias+1,NA(),NA()))</f>
        <v>0</v>
      </c>
      <c r="O22">
        <f>IF(AND(21=rDias+1,ISNUMBER(gMed_pctLama)),gMed_pctLama,NA())</f>
        <v>0</v>
      </c>
      <c r="P22">
        <f>IF(21&lt;=rDias,IFERROR(N22/1,-1),-1)</f>
        <v>0</v>
      </c>
    </row>
    <row r="23" spans="1:16">
      <c r="A23" s="76">
        <f>IF(22&gt;rDias,"",rFim-rDias+22)</f>
        <v>0</v>
      </c>
      <c r="B23">
        <f>IF(22&lt;=rDias,TEXT(DAY(A23),"00")&amp;"/"&amp;TEXT(MONTH(A23),"00"),IF(22=rDias+1,"Média",""))</f>
        <v>0</v>
      </c>
      <c r="C23">
        <f>IF(22&lt;=rDias,IFERROR(IF(INDEX(h_espP,MATCH(A23,h_data,0))="",NA(),INDEX(h_espP,MATCH(A23,h_data,0))),NA()),IF(22=rDias+1,IF(ISNUMBER(gMed_espP),gMed_espP,NA()),NA()))</f>
        <v>0</v>
      </c>
      <c r="D23">
        <f>IF(22&lt;=rDias,IFERROR(IF(INDEX(h_eb6,MATCH(A23,h_data,0))="",NA(),INDEX(h_eb6,MATCH(A23,h_data,0))),NA()),IF(22=rDias+1,IF(ISNUMBER(gMed_eb6),gMed_eb6,NA()),NA()))</f>
        <v>0</v>
      </c>
      <c r="E23">
        <f>IF(22&lt;=rDias,IFERROR(IF(INDEX(h_difK,MATCH(A23,h_data,0))="",NA(),INDEX(h_difK,MATCH(A23,h_data,0))),NA()),IF(22=rDias+1,NA(),NA()))</f>
        <v>0</v>
      </c>
      <c r="F23">
        <f>IF(AND(22=rDias+1,ISNUMBER(gMed_difK)),gMed_difK,NA())</f>
        <v>0</v>
      </c>
      <c r="G23">
        <f>IF(22&lt;=rDias+1,cfgTol,NA())</f>
        <v>0</v>
      </c>
      <c r="H23">
        <f>IF(22&lt;=rDias+1,-cfgTol,NA())</f>
        <v>0</v>
      </c>
      <c r="I23">
        <f>IF(22&lt;=rDias,IFERROR(IF(INDEX(h_eb4P,MATCH(A23,h_data,0))="",NA(),INDEX(h_eb4P,MATCH(A23,h_data,0))),NA()),IF(22=rDias+1,IF(ISNUMBER(gMed_eb4P),gMed_eb4P,NA()),NA()))</f>
        <v>0</v>
      </c>
      <c r="J23">
        <f>IF(22&lt;=rDias,IFERROR(IF(INDEX(h_difJ,MATCH(A23,h_data,0))="",NA(),INDEX(h_difJ,MATCH(A23,h_data,0))),NA()),IF(22=rDias+1,NA(),NA()))</f>
        <v>0</v>
      </c>
      <c r="K23">
        <f>IF(AND(22=rDias+1,ISNUMBER(gMed_difJ)),gMed_difJ,NA())</f>
        <v>0</v>
      </c>
      <c r="L23">
        <f>IF(22&lt;=rDias,IFERROR(IF(INDEX(h_tk01,MATCH(A23,h_data,0))="",NA(),INDEX(h_tk01,MATCH(A23,h_data,0))),NA()),IF(22=rDias+1,IF(ISNUMBER(gMed_tk01),gMed_tk01,NA()),NA()))</f>
        <v>0</v>
      </c>
      <c r="M23">
        <f>IF(22&lt;=rDias,IFERROR(IF(INDEX(h_tk02,MATCH(A23,h_data,0))="",NA(),INDEX(h_tk02,MATCH(A23,h_data,0))),NA()),IF(22=rDias+1,IF(ISNUMBER(gMed_tk02),gMed_tk02,NA()),NA()))</f>
        <v>0</v>
      </c>
      <c r="N23">
        <f>IF(22&lt;=rDias,IFERROR(IF(INDEX(h_pctLama,MATCH(A23,h_data,0))="",NA(),INDEX(h_pctLama,MATCH(A23,h_data,0))),NA()),IF(22=rDias+1,NA(),NA()))</f>
        <v>0</v>
      </c>
      <c r="O23">
        <f>IF(AND(22=rDias+1,ISNUMBER(gMed_pctLama)),gMed_pctLama,NA())</f>
        <v>0</v>
      </c>
      <c r="P23">
        <f>IF(22&lt;=rDias,IFERROR(N23/1,-1),-1)</f>
        <v>0</v>
      </c>
    </row>
    <row r="24" spans="1:16">
      <c r="A24" s="76">
        <f>IF(23&gt;rDias,"",rFim-rDias+23)</f>
        <v>0</v>
      </c>
      <c r="B24">
        <f>IF(23&lt;=rDias,TEXT(DAY(A24),"00")&amp;"/"&amp;TEXT(MONTH(A24),"00"),IF(23=rDias+1,"Média",""))</f>
        <v>0</v>
      </c>
      <c r="C24">
        <f>IF(23&lt;=rDias,IFERROR(IF(INDEX(h_espP,MATCH(A24,h_data,0))="",NA(),INDEX(h_espP,MATCH(A24,h_data,0))),NA()),IF(23=rDias+1,IF(ISNUMBER(gMed_espP),gMed_espP,NA()),NA()))</f>
        <v>0</v>
      </c>
      <c r="D24">
        <f>IF(23&lt;=rDias,IFERROR(IF(INDEX(h_eb6,MATCH(A24,h_data,0))="",NA(),INDEX(h_eb6,MATCH(A24,h_data,0))),NA()),IF(23=rDias+1,IF(ISNUMBER(gMed_eb6),gMed_eb6,NA()),NA()))</f>
        <v>0</v>
      </c>
      <c r="E24">
        <f>IF(23&lt;=rDias,IFERROR(IF(INDEX(h_difK,MATCH(A24,h_data,0))="",NA(),INDEX(h_difK,MATCH(A24,h_data,0))),NA()),IF(23=rDias+1,NA(),NA()))</f>
        <v>0</v>
      </c>
      <c r="F24">
        <f>IF(AND(23=rDias+1,ISNUMBER(gMed_difK)),gMed_difK,NA())</f>
        <v>0</v>
      </c>
      <c r="G24">
        <f>IF(23&lt;=rDias+1,cfgTol,NA())</f>
        <v>0</v>
      </c>
      <c r="H24">
        <f>IF(23&lt;=rDias+1,-cfgTol,NA())</f>
        <v>0</v>
      </c>
      <c r="I24">
        <f>IF(23&lt;=rDias,IFERROR(IF(INDEX(h_eb4P,MATCH(A24,h_data,0))="",NA(),INDEX(h_eb4P,MATCH(A24,h_data,0))),NA()),IF(23=rDias+1,IF(ISNUMBER(gMed_eb4P),gMed_eb4P,NA()),NA()))</f>
        <v>0</v>
      </c>
      <c r="J24">
        <f>IF(23&lt;=rDias,IFERROR(IF(INDEX(h_difJ,MATCH(A24,h_data,0))="",NA(),INDEX(h_difJ,MATCH(A24,h_data,0))),NA()),IF(23=rDias+1,NA(),NA()))</f>
        <v>0</v>
      </c>
      <c r="K24">
        <f>IF(AND(23=rDias+1,ISNUMBER(gMed_difJ)),gMed_difJ,NA())</f>
        <v>0</v>
      </c>
      <c r="L24">
        <f>IF(23&lt;=rDias,IFERROR(IF(INDEX(h_tk01,MATCH(A24,h_data,0))="",NA(),INDEX(h_tk01,MATCH(A24,h_data,0))),NA()),IF(23=rDias+1,IF(ISNUMBER(gMed_tk01),gMed_tk01,NA()),NA()))</f>
        <v>0</v>
      </c>
      <c r="M24">
        <f>IF(23&lt;=rDias,IFERROR(IF(INDEX(h_tk02,MATCH(A24,h_data,0))="",NA(),INDEX(h_tk02,MATCH(A24,h_data,0))),NA()),IF(23=rDias+1,IF(ISNUMBER(gMed_tk02),gMed_tk02,NA()),NA()))</f>
        <v>0</v>
      </c>
      <c r="N24">
        <f>IF(23&lt;=rDias,IFERROR(IF(INDEX(h_pctLama,MATCH(A24,h_data,0))="",NA(),INDEX(h_pctLama,MATCH(A24,h_data,0))),NA()),IF(23=rDias+1,NA(),NA()))</f>
        <v>0</v>
      </c>
      <c r="O24">
        <f>IF(AND(23=rDias+1,ISNUMBER(gMed_pctLama)),gMed_pctLama,NA())</f>
        <v>0</v>
      </c>
      <c r="P24">
        <f>IF(23&lt;=rDias,IFERROR(N24/1,-1),-1)</f>
        <v>0</v>
      </c>
    </row>
    <row r="25" spans="1:16">
      <c r="A25" s="76">
        <f>IF(24&gt;rDias,"",rFim-rDias+24)</f>
        <v>0</v>
      </c>
      <c r="B25">
        <f>IF(24&lt;=rDias,TEXT(DAY(A25),"00")&amp;"/"&amp;TEXT(MONTH(A25),"00"),IF(24=rDias+1,"Média",""))</f>
        <v>0</v>
      </c>
      <c r="C25">
        <f>IF(24&lt;=rDias,IFERROR(IF(INDEX(h_espP,MATCH(A25,h_data,0))="",NA(),INDEX(h_espP,MATCH(A25,h_data,0))),NA()),IF(24=rDias+1,IF(ISNUMBER(gMed_espP),gMed_espP,NA()),NA()))</f>
        <v>0</v>
      </c>
      <c r="D25">
        <f>IF(24&lt;=rDias,IFERROR(IF(INDEX(h_eb6,MATCH(A25,h_data,0))="",NA(),INDEX(h_eb6,MATCH(A25,h_data,0))),NA()),IF(24=rDias+1,IF(ISNUMBER(gMed_eb6),gMed_eb6,NA()),NA()))</f>
        <v>0</v>
      </c>
      <c r="E25">
        <f>IF(24&lt;=rDias,IFERROR(IF(INDEX(h_difK,MATCH(A25,h_data,0))="",NA(),INDEX(h_difK,MATCH(A25,h_data,0))),NA()),IF(24=rDias+1,NA(),NA()))</f>
        <v>0</v>
      </c>
      <c r="F25">
        <f>IF(AND(24=rDias+1,ISNUMBER(gMed_difK)),gMed_difK,NA())</f>
        <v>0</v>
      </c>
      <c r="G25">
        <f>IF(24&lt;=rDias+1,cfgTol,NA())</f>
        <v>0</v>
      </c>
      <c r="H25">
        <f>IF(24&lt;=rDias+1,-cfgTol,NA())</f>
        <v>0</v>
      </c>
      <c r="I25">
        <f>IF(24&lt;=rDias,IFERROR(IF(INDEX(h_eb4P,MATCH(A25,h_data,0))="",NA(),INDEX(h_eb4P,MATCH(A25,h_data,0))),NA()),IF(24=rDias+1,IF(ISNUMBER(gMed_eb4P),gMed_eb4P,NA()),NA()))</f>
        <v>0</v>
      </c>
      <c r="J25">
        <f>IF(24&lt;=rDias,IFERROR(IF(INDEX(h_difJ,MATCH(A25,h_data,0))="",NA(),INDEX(h_difJ,MATCH(A25,h_data,0))),NA()),IF(24=rDias+1,NA(),NA()))</f>
        <v>0</v>
      </c>
      <c r="K25">
        <f>IF(AND(24=rDias+1,ISNUMBER(gMed_difJ)),gMed_difJ,NA())</f>
        <v>0</v>
      </c>
      <c r="L25">
        <f>IF(24&lt;=rDias,IFERROR(IF(INDEX(h_tk01,MATCH(A25,h_data,0))="",NA(),INDEX(h_tk01,MATCH(A25,h_data,0))),NA()),IF(24=rDias+1,IF(ISNUMBER(gMed_tk01),gMed_tk01,NA()),NA()))</f>
        <v>0</v>
      </c>
      <c r="M25">
        <f>IF(24&lt;=rDias,IFERROR(IF(INDEX(h_tk02,MATCH(A25,h_data,0))="",NA(),INDEX(h_tk02,MATCH(A25,h_data,0))),NA()),IF(24=rDias+1,IF(ISNUMBER(gMed_tk02),gMed_tk02,NA()),NA()))</f>
        <v>0</v>
      </c>
      <c r="N25">
        <f>IF(24&lt;=rDias,IFERROR(IF(INDEX(h_pctLama,MATCH(A25,h_data,0))="",NA(),INDEX(h_pctLama,MATCH(A25,h_data,0))),NA()),IF(24=rDias+1,NA(),NA()))</f>
        <v>0</v>
      </c>
      <c r="O25">
        <f>IF(AND(24=rDias+1,ISNUMBER(gMed_pctLama)),gMed_pctLama,NA())</f>
        <v>0</v>
      </c>
      <c r="P25">
        <f>IF(24&lt;=rDias,IFERROR(N25/1,-1),-1)</f>
        <v>0</v>
      </c>
    </row>
    <row r="26" spans="1:16">
      <c r="A26" s="76">
        <f>IF(25&gt;rDias,"",rFim-rDias+25)</f>
        <v>0</v>
      </c>
      <c r="B26">
        <f>IF(25&lt;=rDias,TEXT(DAY(A26),"00")&amp;"/"&amp;TEXT(MONTH(A26),"00"),IF(25=rDias+1,"Média",""))</f>
        <v>0</v>
      </c>
      <c r="C26">
        <f>IF(25&lt;=rDias,IFERROR(IF(INDEX(h_espP,MATCH(A26,h_data,0))="",NA(),INDEX(h_espP,MATCH(A26,h_data,0))),NA()),IF(25=rDias+1,IF(ISNUMBER(gMed_espP),gMed_espP,NA()),NA()))</f>
        <v>0</v>
      </c>
      <c r="D26">
        <f>IF(25&lt;=rDias,IFERROR(IF(INDEX(h_eb6,MATCH(A26,h_data,0))="",NA(),INDEX(h_eb6,MATCH(A26,h_data,0))),NA()),IF(25=rDias+1,IF(ISNUMBER(gMed_eb6),gMed_eb6,NA()),NA()))</f>
        <v>0</v>
      </c>
      <c r="E26">
        <f>IF(25&lt;=rDias,IFERROR(IF(INDEX(h_difK,MATCH(A26,h_data,0))="",NA(),INDEX(h_difK,MATCH(A26,h_data,0))),NA()),IF(25=rDias+1,NA(),NA()))</f>
        <v>0</v>
      </c>
      <c r="F26">
        <f>IF(AND(25=rDias+1,ISNUMBER(gMed_difK)),gMed_difK,NA())</f>
        <v>0</v>
      </c>
      <c r="G26">
        <f>IF(25&lt;=rDias+1,cfgTol,NA())</f>
        <v>0</v>
      </c>
      <c r="H26">
        <f>IF(25&lt;=rDias+1,-cfgTol,NA())</f>
        <v>0</v>
      </c>
      <c r="I26">
        <f>IF(25&lt;=rDias,IFERROR(IF(INDEX(h_eb4P,MATCH(A26,h_data,0))="",NA(),INDEX(h_eb4P,MATCH(A26,h_data,0))),NA()),IF(25=rDias+1,IF(ISNUMBER(gMed_eb4P),gMed_eb4P,NA()),NA()))</f>
        <v>0</v>
      </c>
      <c r="J26">
        <f>IF(25&lt;=rDias,IFERROR(IF(INDEX(h_difJ,MATCH(A26,h_data,0))="",NA(),INDEX(h_difJ,MATCH(A26,h_data,0))),NA()),IF(25=rDias+1,NA(),NA()))</f>
        <v>0</v>
      </c>
      <c r="K26">
        <f>IF(AND(25=rDias+1,ISNUMBER(gMed_difJ)),gMed_difJ,NA())</f>
        <v>0</v>
      </c>
      <c r="L26">
        <f>IF(25&lt;=rDias,IFERROR(IF(INDEX(h_tk01,MATCH(A26,h_data,0))="",NA(),INDEX(h_tk01,MATCH(A26,h_data,0))),NA()),IF(25=rDias+1,IF(ISNUMBER(gMed_tk01),gMed_tk01,NA()),NA()))</f>
        <v>0</v>
      </c>
      <c r="M26">
        <f>IF(25&lt;=rDias,IFERROR(IF(INDEX(h_tk02,MATCH(A26,h_data,0))="",NA(),INDEX(h_tk02,MATCH(A26,h_data,0))),NA()),IF(25=rDias+1,IF(ISNUMBER(gMed_tk02),gMed_tk02,NA()),NA()))</f>
        <v>0</v>
      </c>
      <c r="N26">
        <f>IF(25&lt;=rDias,IFERROR(IF(INDEX(h_pctLama,MATCH(A26,h_data,0))="",NA(),INDEX(h_pctLama,MATCH(A26,h_data,0))),NA()),IF(25=rDias+1,NA(),NA()))</f>
        <v>0</v>
      </c>
      <c r="O26">
        <f>IF(AND(25=rDias+1,ISNUMBER(gMed_pctLama)),gMed_pctLama,NA())</f>
        <v>0</v>
      </c>
      <c r="P26">
        <f>IF(25&lt;=rDias,IFERROR(N26/1,-1),-1)</f>
        <v>0</v>
      </c>
    </row>
    <row r="27" spans="1:16">
      <c r="A27" s="76">
        <f>IF(26&gt;rDias,"",rFim-rDias+26)</f>
        <v>0</v>
      </c>
      <c r="B27">
        <f>IF(26&lt;=rDias,TEXT(DAY(A27),"00")&amp;"/"&amp;TEXT(MONTH(A27),"00"),IF(26=rDias+1,"Média",""))</f>
        <v>0</v>
      </c>
      <c r="C27">
        <f>IF(26&lt;=rDias,IFERROR(IF(INDEX(h_espP,MATCH(A27,h_data,0))="",NA(),INDEX(h_espP,MATCH(A27,h_data,0))),NA()),IF(26=rDias+1,IF(ISNUMBER(gMed_espP),gMed_espP,NA()),NA()))</f>
        <v>0</v>
      </c>
      <c r="D27">
        <f>IF(26&lt;=rDias,IFERROR(IF(INDEX(h_eb6,MATCH(A27,h_data,0))="",NA(),INDEX(h_eb6,MATCH(A27,h_data,0))),NA()),IF(26=rDias+1,IF(ISNUMBER(gMed_eb6),gMed_eb6,NA()),NA()))</f>
        <v>0</v>
      </c>
      <c r="E27">
        <f>IF(26&lt;=rDias,IFERROR(IF(INDEX(h_difK,MATCH(A27,h_data,0))="",NA(),INDEX(h_difK,MATCH(A27,h_data,0))),NA()),IF(26=rDias+1,NA(),NA()))</f>
        <v>0</v>
      </c>
      <c r="F27">
        <f>IF(AND(26=rDias+1,ISNUMBER(gMed_difK)),gMed_difK,NA())</f>
        <v>0</v>
      </c>
      <c r="G27">
        <f>IF(26&lt;=rDias+1,cfgTol,NA())</f>
        <v>0</v>
      </c>
      <c r="H27">
        <f>IF(26&lt;=rDias+1,-cfgTol,NA())</f>
        <v>0</v>
      </c>
      <c r="I27">
        <f>IF(26&lt;=rDias,IFERROR(IF(INDEX(h_eb4P,MATCH(A27,h_data,0))="",NA(),INDEX(h_eb4P,MATCH(A27,h_data,0))),NA()),IF(26=rDias+1,IF(ISNUMBER(gMed_eb4P),gMed_eb4P,NA()),NA()))</f>
        <v>0</v>
      </c>
      <c r="J27">
        <f>IF(26&lt;=rDias,IFERROR(IF(INDEX(h_difJ,MATCH(A27,h_data,0))="",NA(),INDEX(h_difJ,MATCH(A27,h_data,0))),NA()),IF(26=rDias+1,NA(),NA()))</f>
        <v>0</v>
      </c>
      <c r="K27">
        <f>IF(AND(26=rDias+1,ISNUMBER(gMed_difJ)),gMed_difJ,NA())</f>
        <v>0</v>
      </c>
      <c r="L27">
        <f>IF(26&lt;=rDias,IFERROR(IF(INDEX(h_tk01,MATCH(A27,h_data,0))="",NA(),INDEX(h_tk01,MATCH(A27,h_data,0))),NA()),IF(26=rDias+1,IF(ISNUMBER(gMed_tk01),gMed_tk01,NA()),NA()))</f>
        <v>0</v>
      </c>
      <c r="M27">
        <f>IF(26&lt;=rDias,IFERROR(IF(INDEX(h_tk02,MATCH(A27,h_data,0))="",NA(),INDEX(h_tk02,MATCH(A27,h_data,0))),NA()),IF(26=rDias+1,IF(ISNUMBER(gMed_tk02),gMed_tk02,NA()),NA()))</f>
        <v>0</v>
      </c>
      <c r="N27">
        <f>IF(26&lt;=rDias,IFERROR(IF(INDEX(h_pctLama,MATCH(A27,h_data,0))="",NA(),INDEX(h_pctLama,MATCH(A27,h_data,0))),NA()),IF(26=rDias+1,NA(),NA()))</f>
        <v>0</v>
      </c>
      <c r="O27">
        <f>IF(AND(26=rDias+1,ISNUMBER(gMed_pctLama)),gMed_pctLama,NA())</f>
        <v>0</v>
      </c>
      <c r="P27">
        <f>IF(26&lt;=rDias,IFERROR(N27/1,-1),-1)</f>
        <v>0</v>
      </c>
    </row>
    <row r="28" spans="1:16">
      <c r="A28" s="76">
        <f>IF(27&gt;rDias,"",rFim-rDias+27)</f>
        <v>0</v>
      </c>
      <c r="B28">
        <f>IF(27&lt;=rDias,TEXT(DAY(A28),"00")&amp;"/"&amp;TEXT(MONTH(A28),"00"),IF(27=rDias+1,"Média",""))</f>
        <v>0</v>
      </c>
      <c r="C28">
        <f>IF(27&lt;=rDias,IFERROR(IF(INDEX(h_espP,MATCH(A28,h_data,0))="",NA(),INDEX(h_espP,MATCH(A28,h_data,0))),NA()),IF(27=rDias+1,IF(ISNUMBER(gMed_espP),gMed_espP,NA()),NA()))</f>
        <v>0</v>
      </c>
      <c r="D28">
        <f>IF(27&lt;=rDias,IFERROR(IF(INDEX(h_eb6,MATCH(A28,h_data,0))="",NA(),INDEX(h_eb6,MATCH(A28,h_data,0))),NA()),IF(27=rDias+1,IF(ISNUMBER(gMed_eb6),gMed_eb6,NA()),NA()))</f>
        <v>0</v>
      </c>
      <c r="E28">
        <f>IF(27&lt;=rDias,IFERROR(IF(INDEX(h_difK,MATCH(A28,h_data,0))="",NA(),INDEX(h_difK,MATCH(A28,h_data,0))),NA()),IF(27=rDias+1,NA(),NA()))</f>
        <v>0</v>
      </c>
      <c r="F28">
        <f>IF(AND(27=rDias+1,ISNUMBER(gMed_difK)),gMed_difK,NA())</f>
        <v>0</v>
      </c>
      <c r="G28">
        <f>IF(27&lt;=rDias+1,cfgTol,NA())</f>
        <v>0</v>
      </c>
      <c r="H28">
        <f>IF(27&lt;=rDias+1,-cfgTol,NA())</f>
        <v>0</v>
      </c>
      <c r="I28">
        <f>IF(27&lt;=rDias,IFERROR(IF(INDEX(h_eb4P,MATCH(A28,h_data,0))="",NA(),INDEX(h_eb4P,MATCH(A28,h_data,0))),NA()),IF(27=rDias+1,IF(ISNUMBER(gMed_eb4P),gMed_eb4P,NA()),NA()))</f>
        <v>0</v>
      </c>
      <c r="J28">
        <f>IF(27&lt;=rDias,IFERROR(IF(INDEX(h_difJ,MATCH(A28,h_data,0))="",NA(),INDEX(h_difJ,MATCH(A28,h_data,0))),NA()),IF(27=rDias+1,NA(),NA()))</f>
        <v>0</v>
      </c>
      <c r="K28">
        <f>IF(AND(27=rDias+1,ISNUMBER(gMed_difJ)),gMed_difJ,NA())</f>
        <v>0</v>
      </c>
      <c r="L28">
        <f>IF(27&lt;=rDias,IFERROR(IF(INDEX(h_tk01,MATCH(A28,h_data,0))="",NA(),INDEX(h_tk01,MATCH(A28,h_data,0))),NA()),IF(27=rDias+1,IF(ISNUMBER(gMed_tk01),gMed_tk01,NA()),NA()))</f>
        <v>0</v>
      </c>
      <c r="M28">
        <f>IF(27&lt;=rDias,IFERROR(IF(INDEX(h_tk02,MATCH(A28,h_data,0))="",NA(),INDEX(h_tk02,MATCH(A28,h_data,0))),NA()),IF(27=rDias+1,IF(ISNUMBER(gMed_tk02),gMed_tk02,NA()),NA()))</f>
        <v>0</v>
      </c>
      <c r="N28">
        <f>IF(27&lt;=rDias,IFERROR(IF(INDEX(h_pctLama,MATCH(A28,h_data,0))="",NA(),INDEX(h_pctLama,MATCH(A28,h_data,0))),NA()),IF(27=rDias+1,NA(),NA()))</f>
        <v>0</v>
      </c>
      <c r="O28">
        <f>IF(AND(27=rDias+1,ISNUMBER(gMed_pctLama)),gMed_pctLama,NA())</f>
        <v>0</v>
      </c>
      <c r="P28">
        <f>IF(27&lt;=rDias,IFERROR(N28/1,-1),-1)</f>
        <v>0</v>
      </c>
    </row>
    <row r="29" spans="1:16">
      <c r="A29" s="76">
        <f>IF(28&gt;rDias,"",rFim-rDias+28)</f>
        <v>0</v>
      </c>
      <c r="B29">
        <f>IF(28&lt;=rDias,TEXT(DAY(A29),"00")&amp;"/"&amp;TEXT(MONTH(A29),"00"),IF(28=rDias+1,"Média",""))</f>
        <v>0</v>
      </c>
      <c r="C29">
        <f>IF(28&lt;=rDias,IFERROR(IF(INDEX(h_espP,MATCH(A29,h_data,0))="",NA(),INDEX(h_espP,MATCH(A29,h_data,0))),NA()),IF(28=rDias+1,IF(ISNUMBER(gMed_espP),gMed_espP,NA()),NA()))</f>
        <v>0</v>
      </c>
      <c r="D29">
        <f>IF(28&lt;=rDias,IFERROR(IF(INDEX(h_eb6,MATCH(A29,h_data,0))="",NA(),INDEX(h_eb6,MATCH(A29,h_data,0))),NA()),IF(28=rDias+1,IF(ISNUMBER(gMed_eb6),gMed_eb6,NA()),NA()))</f>
        <v>0</v>
      </c>
      <c r="E29">
        <f>IF(28&lt;=rDias,IFERROR(IF(INDEX(h_difK,MATCH(A29,h_data,0))="",NA(),INDEX(h_difK,MATCH(A29,h_data,0))),NA()),IF(28=rDias+1,NA(),NA()))</f>
        <v>0</v>
      </c>
      <c r="F29">
        <f>IF(AND(28=rDias+1,ISNUMBER(gMed_difK)),gMed_difK,NA())</f>
        <v>0</v>
      </c>
      <c r="G29">
        <f>IF(28&lt;=rDias+1,cfgTol,NA())</f>
        <v>0</v>
      </c>
      <c r="H29">
        <f>IF(28&lt;=rDias+1,-cfgTol,NA())</f>
        <v>0</v>
      </c>
      <c r="I29">
        <f>IF(28&lt;=rDias,IFERROR(IF(INDEX(h_eb4P,MATCH(A29,h_data,0))="",NA(),INDEX(h_eb4P,MATCH(A29,h_data,0))),NA()),IF(28=rDias+1,IF(ISNUMBER(gMed_eb4P),gMed_eb4P,NA()),NA()))</f>
        <v>0</v>
      </c>
      <c r="J29">
        <f>IF(28&lt;=rDias,IFERROR(IF(INDEX(h_difJ,MATCH(A29,h_data,0))="",NA(),INDEX(h_difJ,MATCH(A29,h_data,0))),NA()),IF(28=rDias+1,NA(),NA()))</f>
        <v>0</v>
      </c>
      <c r="K29">
        <f>IF(AND(28=rDias+1,ISNUMBER(gMed_difJ)),gMed_difJ,NA())</f>
        <v>0</v>
      </c>
      <c r="L29">
        <f>IF(28&lt;=rDias,IFERROR(IF(INDEX(h_tk01,MATCH(A29,h_data,0))="",NA(),INDEX(h_tk01,MATCH(A29,h_data,0))),NA()),IF(28=rDias+1,IF(ISNUMBER(gMed_tk01),gMed_tk01,NA()),NA()))</f>
        <v>0</v>
      </c>
      <c r="M29">
        <f>IF(28&lt;=rDias,IFERROR(IF(INDEX(h_tk02,MATCH(A29,h_data,0))="",NA(),INDEX(h_tk02,MATCH(A29,h_data,0))),NA()),IF(28=rDias+1,IF(ISNUMBER(gMed_tk02),gMed_tk02,NA()),NA()))</f>
        <v>0</v>
      </c>
      <c r="N29">
        <f>IF(28&lt;=rDias,IFERROR(IF(INDEX(h_pctLama,MATCH(A29,h_data,0))="",NA(),INDEX(h_pctLama,MATCH(A29,h_data,0))),NA()),IF(28=rDias+1,NA(),NA()))</f>
        <v>0</v>
      </c>
      <c r="O29">
        <f>IF(AND(28=rDias+1,ISNUMBER(gMed_pctLama)),gMed_pctLama,NA())</f>
        <v>0</v>
      </c>
      <c r="P29">
        <f>IF(28&lt;=rDias,IFERROR(N29/1,-1),-1)</f>
        <v>0</v>
      </c>
    </row>
    <row r="30" spans="1:16">
      <c r="A30" s="76">
        <f>IF(29&gt;rDias,"",rFim-rDias+29)</f>
        <v>0</v>
      </c>
      <c r="B30">
        <f>IF(29&lt;=rDias,TEXT(DAY(A30),"00")&amp;"/"&amp;TEXT(MONTH(A30),"00"),IF(29=rDias+1,"Média",""))</f>
        <v>0</v>
      </c>
      <c r="C30">
        <f>IF(29&lt;=rDias,IFERROR(IF(INDEX(h_espP,MATCH(A30,h_data,0))="",NA(),INDEX(h_espP,MATCH(A30,h_data,0))),NA()),IF(29=rDias+1,IF(ISNUMBER(gMed_espP),gMed_espP,NA()),NA()))</f>
        <v>0</v>
      </c>
      <c r="D30">
        <f>IF(29&lt;=rDias,IFERROR(IF(INDEX(h_eb6,MATCH(A30,h_data,0))="",NA(),INDEX(h_eb6,MATCH(A30,h_data,0))),NA()),IF(29=rDias+1,IF(ISNUMBER(gMed_eb6),gMed_eb6,NA()),NA()))</f>
        <v>0</v>
      </c>
      <c r="E30">
        <f>IF(29&lt;=rDias,IFERROR(IF(INDEX(h_difK,MATCH(A30,h_data,0))="",NA(),INDEX(h_difK,MATCH(A30,h_data,0))),NA()),IF(29=rDias+1,NA(),NA()))</f>
        <v>0</v>
      </c>
      <c r="F30">
        <f>IF(AND(29=rDias+1,ISNUMBER(gMed_difK)),gMed_difK,NA())</f>
        <v>0</v>
      </c>
      <c r="G30">
        <f>IF(29&lt;=rDias+1,cfgTol,NA())</f>
        <v>0</v>
      </c>
      <c r="H30">
        <f>IF(29&lt;=rDias+1,-cfgTol,NA())</f>
        <v>0</v>
      </c>
      <c r="I30">
        <f>IF(29&lt;=rDias,IFERROR(IF(INDEX(h_eb4P,MATCH(A30,h_data,0))="",NA(),INDEX(h_eb4P,MATCH(A30,h_data,0))),NA()),IF(29=rDias+1,IF(ISNUMBER(gMed_eb4P),gMed_eb4P,NA()),NA()))</f>
        <v>0</v>
      </c>
      <c r="J30">
        <f>IF(29&lt;=rDias,IFERROR(IF(INDEX(h_difJ,MATCH(A30,h_data,0))="",NA(),INDEX(h_difJ,MATCH(A30,h_data,0))),NA()),IF(29=rDias+1,NA(),NA()))</f>
        <v>0</v>
      </c>
      <c r="K30">
        <f>IF(AND(29=rDias+1,ISNUMBER(gMed_difJ)),gMed_difJ,NA())</f>
        <v>0</v>
      </c>
      <c r="L30">
        <f>IF(29&lt;=rDias,IFERROR(IF(INDEX(h_tk01,MATCH(A30,h_data,0))="",NA(),INDEX(h_tk01,MATCH(A30,h_data,0))),NA()),IF(29=rDias+1,IF(ISNUMBER(gMed_tk01),gMed_tk01,NA()),NA()))</f>
        <v>0</v>
      </c>
      <c r="M30">
        <f>IF(29&lt;=rDias,IFERROR(IF(INDEX(h_tk02,MATCH(A30,h_data,0))="",NA(),INDEX(h_tk02,MATCH(A30,h_data,0))),NA()),IF(29=rDias+1,IF(ISNUMBER(gMed_tk02),gMed_tk02,NA()),NA()))</f>
        <v>0</v>
      </c>
      <c r="N30">
        <f>IF(29&lt;=rDias,IFERROR(IF(INDEX(h_pctLama,MATCH(A30,h_data,0))="",NA(),INDEX(h_pctLama,MATCH(A30,h_data,0))),NA()),IF(29=rDias+1,NA(),NA()))</f>
        <v>0</v>
      </c>
      <c r="O30">
        <f>IF(AND(29=rDias+1,ISNUMBER(gMed_pctLama)),gMed_pctLama,NA())</f>
        <v>0</v>
      </c>
      <c r="P30">
        <f>IF(29&lt;=rDias,IFERROR(N30/1,-1),-1)</f>
        <v>0</v>
      </c>
    </row>
    <row r="31" spans="1:16">
      <c r="A31" s="76">
        <f>IF(30&gt;rDias,"",rFim-rDias+30)</f>
        <v>0</v>
      </c>
      <c r="B31">
        <f>IF(30&lt;=rDias,TEXT(DAY(A31),"00")&amp;"/"&amp;TEXT(MONTH(A31),"00"),IF(30=rDias+1,"Média",""))</f>
        <v>0</v>
      </c>
      <c r="C31">
        <f>IF(30&lt;=rDias,IFERROR(IF(INDEX(h_espP,MATCH(A31,h_data,0))="",NA(),INDEX(h_espP,MATCH(A31,h_data,0))),NA()),IF(30=rDias+1,IF(ISNUMBER(gMed_espP),gMed_espP,NA()),NA()))</f>
        <v>0</v>
      </c>
      <c r="D31">
        <f>IF(30&lt;=rDias,IFERROR(IF(INDEX(h_eb6,MATCH(A31,h_data,0))="",NA(),INDEX(h_eb6,MATCH(A31,h_data,0))),NA()),IF(30=rDias+1,IF(ISNUMBER(gMed_eb6),gMed_eb6,NA()),NA()))</f>
        <v>0</v>
      </c>
      <c r="E31">
        <f>IF(30&lt;=rDias,IFERROR(IF(INDEX(h_difK,MATCH(A31,h_data,0))="",NA(),INDEX(h_difK,MATCH(A31,h_data,0))),NA()),IF(30=rDias+1,NA(),NA()))</f>
        <v>0</v>
      </c>
      <c r="F31">
        <f>IF(AND(30=rDias+1,ISNUMBER(gMed_difK)),gMed_difK,NA())</f>
        <v>0</v>
      </c>
      <c r="G31">
        <f>IF(30&lt;=rDias+1,cfgTol,NA())</f>
        <v>0</v>
      </c>
      <c r="H31">
        <f>IF(30&lt;=rDias+1,-cfgTol,NA())</f>
        <v>0</v>
      </c>
      <c r="I31">
        <f>IF(30&lt;=rDias,IFERROR(IF(INDEX(h_eb4P,MATCH(A31,h_data,0))="",NA(),INDEX(h_eb4P,MATCH(A31,h_data,0))),NA()),IF(30=rDias+1,IF(ISNUMBER(gMed_eb4P),gMed_eb4P,NA()),NA()))</f>
        <v>0</v>
      </c>
      <c r="J31">
        <f>IF(30&lt;=rDias,IFERROR(IF(INDEX(h_difJ,MATCH(A31,h_data,0))="",NA(),INDEX(h_difJ,MATCH(A31,h_data,0))),NA()),IF(30=rDias+1,NA(),NA()))</f>
        <v>0</v>
      </c>
      <c r="K31">
        <f>IF(AND(30=rDias+1,ISNUMBER(gMed_difJ)),gMed_difJ,NA())</f>
        <v>0</v>
      </c>
      <c r="L31">
        <f>IF(30&lt;=rDias,IFERROR(IF(INDEX(h_tk01,MATCH(A31,h_data,0))="",NA(),INDEX(h_tk01,MATCH(A31,h_data,0))),NA()),IF(30=rDias+1,IF(ISNUMBER(gMed_tk01),gMed_tk01,NA()),NA()))</f>
        <v>0</v>
      </c>
      <c r="M31">
        <f>IF(30&lt;=rDias,IFERROR(IF(INDEX(h_tk02,MATCH(A31,h_data,0))="",NA(),INDEX(h_tk02,MATCH(A31,h_data,0))),NA()),IF(30=rDias+1,IF(ISNUMBER(gMed_tk02),gMed_tk02,NA()),NA()))</f>
        <v>0</v>
      </c>
      <c r="N31">
        <f>IF(30&lt;=rDias,IFERROR(IF(INDEX(h_pctLama,MATCH(A31,h_data,0))="",NA(),INDEX(h_pctLama,MATCH(A31,h_data,0))),NA()),IF(30=rDias+1,NA(),NA()))</f>
        <v>0</v>
      </c>
      <c r="O31">
        <f>IF(AND(30=rDias+1,ISNUMBER(gMed_pctLama)),gMed_pctLama,NA())</f>
        <v>0</v>
      </c>
      <c r="P31">
        <f>IF(30&lt;=rDias,IFERROR(N31/1,-1),-1)</f>
        <v>0</v>
      </c>
    </row>
    <row r="32" spans="1:16">
      <c r="A32" s="76">
        <f>IF(31&gt;rDias,"",rFim-rDias+31)</f>
        <v>0</v>
      </c>
      <c r="B32">
        <f>IF(31&lt;=rDias,TEXT(DAY(A32),"00")&amp;"/"&amp;TEXT(MONTH(A32),"00"),IF(31=rDias+1,"Média",""))</f>
        <v>0</v>
      </c>
      <c r="C32">
        <f>IF(31&lt;=rDias,IFERROR(IF(INDEX(h_espP,MATCH(A32,h_data,0))="",NA(),INDEX(h_espP,MATCH(A32,h_data,0))),NA()),IF(31=rDias+1,IF(ISNUMBER(gMed_espP),gMed_espP,NA()),NA()))</f>
        <v>0</v>
      </c>
      <c r="D32">
        <f>IF(31&lt;=rDias,IFERROR(IF(INDEX(h_eb6,MATCH(A32,h_data,0))="",NA(),INDEX(h_eb6,MATCH(A32,h_data,0))),NA()),IF(31=rDias+1,IF(ISNUMBER(gMed_eb6),gMed_eb6,NA()),NA()))</f>
        <v>0</v>
      </c>
      <c r="E32">
        <f>IF(31&lt;=rDias,IFERROR(IF(INDEX(h_difK,MATCH(A32,h_data,0))="",NA(),INDEX(h_difK,MATCH(A32,h_data,0))),NA()),IF(31=rDias+1,NA(),NA()))</f>
        <v>0</v>
      </c>
      <c r="F32">
        <f>IF(AND(31=rDias+1,ISNUMBER(gMed_difK)),gMed_difK,NA())</f>
        <v>0</v>
      </c>
      <c r="G32">
        <f>IF(31&lt;=rDias+1,cfgTol,NA())</f>
        <v>0</v>
      </c>
      <c r="H32">
        <f>IF(31&lt;=rDias+1,-cfgTol,NA())</f>
        <v>0</v>
      </c>
      <c r="I32">
        <f>IF(31&lt;=rDias,IFERROR(IF(INDEX(h_eb4P,MATCH(A32,h_data,0))="",NA(),INDEX(h_eb4P,MATCH(A32,h_data,0))),NA()),IF(31=rDias+1,IF(ISNUMBER(gMed_eb4P),gMed_eb4P,NA()),NA()))</f>
        <v>0</v>
      </c>
      <c r="J32">
        <f>IF(31&lt;=rDias,IFERROR(IF(INDEX(h_difJ,MATCH(A32,h_data,0))="",NA(),INDEX(h_difJ,MATCH(A32,h_data,0))),NA()),IF(31=rDias+1,NA(),NA()))</f>
        <v>0</v>
      </c>
      <c r="K32">
        <f>IF(AND(31=rDias+1,ISNUMBER(gMed_difJ)),gMed_difJ,NA())</f>
        <v>0</v>
      </c>
      <c r="L32">
        <f>IF(31&lt;=rDias,IFERROR(IF(INDEX(h_tk01,MATCH(A32,h_data,0))="",NA(),INDEX(h_tk01,MATCH(A32,h_data,0))),NA()),IF(31=rDias+1,IF(ISNUMBER(gMed_tk01),gMed_tk01,NA()),NA()))</f>
        <v>0</v>
      </c>
      <c r="M32">
        <f>IF(31&lt;=rDias,IFERROR(IF(INDEX(h_tk02,MATCH(A32,h_data,0))="",NA(),INDEX(h_tk02,MATCH(A32,h_data,0))),NA()),IF(31=rDias+1,IF(ISNUMBER(gMed_tk02),gMed_tk02,NA()),NA()))</f>
        <v>0</v>
      </c>
      <c r="N32">
        <f>IF(31&lt;=rDias,IFERROR(IF(INDEX(h_pctLama,MATCH(A32,h_data,0))="",NA(),INDEX(h_pctLama,MATCH(A32,h_data,0))),NA()),IF(31=rDias+1,NA(),NA()))</f>
        <v>0</v>
      </c>
      <c r="O32">
        <f>IF(AND(31=rDias+1,ISNUMBER(gMed_pctLama)),gMed_pctLama,NA())</f>
        <v>0</v>
      </c>
      <c r="P32">
        <f>IF(31&lt;=rDias,IFERROR(N32/1,-1),-1)</f>
        <v>0</v>
      </c>
    </row>
    <row r="33" spans="1:16">
      <c r="A33" s="76">
        <f>IF(32&gt;rDias,"",rFim-rDias+32)</f>
        <v>0</v>
      </c>
      <c r="B33">
        <f>IF(32&lt;=rDias,TEXT(DAY(A33),"00")&amp;"/"&amp;TEXT(MONTH(A33),"00"),IF(32=rDias+1,"Média",""))</f>
        <v>0</v>
      </c>
      <c r="C33">
        <f>IF(32&lt;=rDias,IFERROR(IF(INDEX(h_espP,MATCH(A33,h_data,0))="",NA(),INDEX(h_espP,MATCH(A33,h_data,0))),NA()),IF(32=rDias+1,IF(ISNUMBER(gMed_espP),gMed_espP,NA()),NA()))</f>
        <v>0</v>
      </c>
      <c r="D33">
        <f>IF(32&lt;=rDias,IFERROR(IF(INDEX(h_eb6,MATCH(A33,h_data,0))="",NA(),INDEX(h_eb6,MATCH(A33,h_data,0))),NA()),IF(32=rDias+1,IF(ISNUMBER(gMed_eb6),gMed_eb6,NA()),NA()))</f>
        <v>0</v>
      </c>
      <c r="E33">
        <f>IF(32&lt;=rDias,IFERROR(IF(INDEX(h_difK,MATCH(A33,h_data,0))="",NA(),INDEX(h_difK,MATCH(A33,h_data,0))),NA()),IF(32=rDias+1,NA(),NA()))</f>
        <v>0</v>
      </c>
      <c r="F33">
        <f>IF(AND(32=rDias+1,ISNUMBER(gMed_difK)),gMed_difK,NA())</f>
        <v>0</v>
      </c>
      <c r="G33">
        <f>IF(32&lt;=rDias+1,cfgTol,NA())</f>
        <v>0</v>
      </c>
      <c r="H33">
        <f>IF(32&lt;=rDias+1,-cfgTol,NA())</f>
        <v>0</v>
      </c>
      <c r="I33">
        <f>IF(32&lt;=rDias,IFERROR(IF(INDEX(h_eb4P,MATCH(A33,h_data,0))="",NA(),INDEX(h_eb4P,MATCH(A33,h_data,0))),NA()),IF(32=rDias+1,IF(ISNUMBER(gMed_eb4P),gMed_eb4P,NA()),NA()))</f>
        <v>0</v>
      </c>
      <c r="J33">
        <f>IF(32&lt;=rDias,IFERROR(IF(INDEX(h_difJ,MATCH(A33,h_data,0))="",NA(),INDEX(h_difJ,MATCH(A33,h_data,0))),NA()),IF(32=rDias+1,NA(),NA()))</f>
        <v>0</v>
      </c>
      <c r="K33">
        <f>IF(AND(32=rDias+1,ISNUMBER(gMed_difJ)),gMed_difJ,NA())</f>
        <v>0</v>
      </c>
      <c r="L33">
        <f>IF(32&lt;=rDias,IFERROR(IF(INDEX(h_tk01,MATCH(A33,h_data,0))="",NA(),INDEX(h_tk01,MATCH(A33,h_data,0))),NA()),IF(32=rDias+1,IF(ISNUMBER(gMed_tk01),gMed_tk01,NA()),NA()))</f>
        <v>0</v>
      </c>
      <c r="M33">
        <f>IF(32&lt;=rDias,IFERROR(IF(INDEX(h_tk02,MATCH(A33,h_data,0))="",NA(),INDEX(h_tk02,MATCH(A33,h_data,0))),NA()),IF(32=rDias+1,IF(ISNUMBER(gMed_tk02),gMed_tk02,NA()),NA()))</f>
        <v>0</v>
      </c>
      <c r="N33">
        <f>IF(32&lt;=rDias,IFERROR(IF(INDEX(h_pctLama,MATCH(A33,h_data,0))="",NA(),INDEX(h_pctLama,MATCH(A33,h_data,0))),NA()),IF(32=rDias+1,NA(),NA()))</f>
        <v>0</v>
      </c>
      <c r="O33">
        <f>IF(AND(32=rDias+1,ISNUMBER(gMed_pctLama)),gMed_pctLama,NA())</f>
        <v>0</v>
      </c>
      <c r="P33">
        <f>IF(32&lt;=rDias,IFERROR(N33/1,-1),-1)</f>
        <v>0</v>
      </c>
    </row>
    <row r="34" spans="1:16">
      <c r="A34" s="76">
        <f>IF(33&gt;rDias,"",rFim-rDias+33)</f>
        <v>0</v>
      </c>
      <c r="B34">
        <f>IF(33&lt;=rDias,TEXT(DAY(A34),"00")&amp;"/"&amp;TEXT(MONTH(A34),"00"),IF(33=rDias+1,"Média",""))</f>
        <v>0</v>
      </c>
      <c r="C34">
        <f>IF(33&lt;=rDias,IFERROR(IF(INDEX(h_espP,MATCH(A34,h_data,0))="",NA(),INDEX(h_espP,MATCH(A34,h_data,0))),NA()),IF(33=rDias+1,IF(ISNUMBER(gMed_espP),gMed_espP,NA()),NA()))</f>
        <v>0</v>
      </c>
      <c r="D34">
        <f>IF(33&lt;=rDias,IFERROR(IF(INDEX(h_eb6,MATCH(A34,h_data,0))="",NA(),INDEX(h_eb6,MATCH(A34,h_data,0))),NA()),IF(33=rDias+1,IF(ISNUMBER(gMed_eb6),gMed_eb6,NA()),NA()))</f>
        <v>0</v>
      </c>
      <c r="E34">
        <f>IF(33&lt;=rDias,IFERROR(IF(INDEX(h_difK,MATCH(A34,h_data,0))="",NA(),INDEX(h_difK,MATCH(A34,h_data,0))),NA()),IF(33=rDias+1,NA(),NA()))</f>
        <v>0</v>
      </c>
      <c r="F34">
        <f>IF(AND(33=rDias+1,ISNUMBER(gMed_difK)),gMed_difK,NA())</f>
        <v>0</v>
      </c>
      <c r="G34">
        <f>IF(33&lt;=rDias+1,cfgTol,NA())</f>
        <v>0</v>
      </c>
      <c r="H34">
        <f>IF(33&lt;=rDias+1,-cfgTol,NA())</f>
        <v>0</v>
      </c>
      <c r="I34">
        <f>IF(33&lt;=rDias,IFERROR(IF(INDEX(h_eb4P,MATCH(A34,h_data,0))="",NA(),INDEX(h_eb4P,MATCH(A34,h_data,0))),NA()),IF(33=rDias+1,IF(ISNUMBER(gMed_eb4P),gMed_eb4P,NA()),NA()))</f>
        <v>0</v>
      </c>
      <c r="J34">
        <f>IF(33&lt;=rDias,IFERROR(IF(INDEX(h_difJ,MATCH(A34,h_data,0))="",NA(),INDEX(h_difJ,MATCH(A34,h_data,0))),NA()),IF(33=rDias+1,NA(),NA()))</f>
        <v>0</v>
      </c>
      <c r="K34">
        <f>IF(AND(33=rDias+1,ISNUMBER(gMed_difJ)),gMed_difJ,NA())</f>
        <v>0</v>
      </c>
      <c r="L34">
        <f>IF(33&lt;=rDias,IFERROR(IF(INDEX(h_tk01,MATCH(A34,h_data,0))="",NA(),INDEX(h_tk01,MATCH(A34,h_data,0))),NA()),IF(33=rDias+1,IF(ISNUMBER(gMed_tk01),gMed_tk01,NA()),NA()))</f>
        <v>0</v>
      </c>
      <c r="M34">
        <f>IF(33&lt;=rDias,IFERROR(IF(INDEX(h_tk02,MATCH(A34,h_data,0))="",NA(),INDEX(h_tk02,MATCH(A34,h_data,0))),NA()),IF(33=rDias+1,IF(ISNUMBER(gMed_tk02),gMed_tk02,NA()),NA()))</f>
        <v>0</v>
      </c>
      <c r="N34">
        <f>IF(33&lt;=rDias,IFERROR(IF(INDEX(h_pctLama,MATCH(A34,h_data,0))="",NA(),INDEX(h_pctLama,MATCH(A34,h_data,0))),NA()),IF(33=rDias+1,NA(),NA()))</f>
        <v>0</v>
      </c>
      <c r="O34">
        <f>IF(AND(33=rDias+1,ISNUMBER(gMed_pctLama)),gMed_pctLama,NA())</f>
        <v>0</v>
      </c>
      <c r="P34">
        <f>IF(33&lt;=rDias,IFERROR(N34/1,-1),-1)</f>
        <v>0</v>
      </c>
    </row>
    <row r="35" spans="1:16">
      <c r="A35" s="76">
        <f>IF(34&gt;rDias,"",rFim-rDias+34)</f>
        <v>0</v>
      </c>
      <c r="B35">
        <f>IF(34&lt;=rDias,TEXT(DAY(A35),"00")&amp;"/"&amp;TEXT(MONTH(A35),"00"),IF(34=rDias+1,"Média",""))</f>
        <v>0</v>
      </c>
      <c r="C35">
        <f>IF(34&lt;=rDias,IFERROR(IF(INDEX(h_espP,MATCH(A35,h_data,0))="",NA(),INDEX(h_espP,MATCH(A35,h_data,0))),NA()),IF(34=rDias+1,IF(ISNUMBER(gMed_espP),gMed_espP,NA()),NA()))</f>
        <v>0</v>
      </c>
      <c r="D35">
        <f>IF(34&lt;=rDias,IFERROR(IF(INDEX(h_eb6,MATCH(A35,h_data,0))="",NA(),INDEX(h_eb6,MATCH(A35,h_data,0))),NA()),IF(34=rDias+1,IF(ISNUMBER(gMed_eb6),gMed_eb6,NA()),NA()))</f>
        <v>0</v>
      </c>
      <c r="E35">
        <f>IF(34&lt;=rDias,IFERROR(IF(INDEX(h_difK,MATCH(A35,h_data,0))="",NA(),INDEX(h_difK,MATCH(A35,h_data,0))),NA()),IF(34=rDias+1,NA(),NA()))</f>
        <v>0</v>
      </c>
      <c r="F35">
        <f>IF(AND(34=rDias+1,ISNUMBER(gMed_difK)),gMed_difK,NA())</f>
        <v>0</v>
      </c>
      <c r="G35">
        <f>IF(34&lt;=rDias+1,cfgTol,NA())</f>
        <v>0</v>
      </c>
      <c r="H35">
        <f>IF(34&lt;=rDias+1,-cfgTol,NA())</f>
        <v>0</v>
      </c>
      <c r="I35">
        <f>IF(34&lt;=rDias,IFERROR(IF(INDEX(h_eb4P,MATCH(A35,h_data,0))="",NA(),INDEX(h_eb4P,MATCH(A35,h_data,0))),NA()),IF(34=rDias+1,IF(ISNUMBER(gMed_eb4P),gMed_eb4P,NA()),NA()))</f>
        <v>0</v>
      </c>
      <c r="J35">
        <f>IF(34&lt;=rDias,IFERROR(IF(INDEX(h_difJ,MATCH(A35,h_data,0))="",NA(),INDEX(h_difJ,MATCH(A35,h_data,0))),NA()),IF(34=rDias+1,NA(),NA()))</f>
        <v>0</v>
      </c>
      <c r="K35">
        <f>IF(AND(34=rDias+1,ISNUMBER(gMed_difJ)),gMed_difJ,NA())</f>
        <v>0</v>
      </c>
      <c r="L35">
        <f>IF(34&lt;=rDias,IFERROR(IF(INDEX(h_tk01,MATCH(A35,h_data,0))="",NA(),INDEX(h_tk01,MATCH(A35,h_data,0))),NA()),IF(34=rDias+1,IF(ISNUMBER(gMed_tk01),gMed_tk01,NA()),NA()))</f>
        <v>0</v>
      </c>
      <c r="M35">
        <f>IF(34&lt;=rDias,IFERROR(IF(INDEX(h_tk02,MATCH(A35,h_data,0))="",NA(),INDEX(h_tk02,MATCH(A35,h_data,0))),NA()),IF(34=rDias+1,IF(ISNUMBER(gMed_tk02),gMed_tk02,NA()),NA()))</f>
        <v>0</v>
      </c>
      <c r="N35">
        <f>IF(34&lt;=rDias,IFERROR(IF(INDEX(h_pctLama,MATCH(A35,h_data,0))="",NA(),INDEX(h_pctLama,MATCH(A35,h_data,0))),NA()),IF(34=rDias+1,NA(),NA()))</f>
        <v>0</v>
      </c>
      <c r="O35">
        <f>IF(AND(34=rDias+1,ISNUMBER(gMed_pctLama)),gMed_pctLama,NA())</f>
        <v>0</v>
      </c>
      <c r="P35">
        <f>IF(34&lt;=rDias,IFERROR(N35/1,-1),-1)</f>
        <v>0</v>
      </c>
    </row>
    <row r="36" spans="1:16">
      <c r="A36" s="76">
        <f>IF(35&gt;rDias,"",rFim-rDias+35)</f>
        <v>0</v>
      </c>
      <c r="B36">
        <f>IF(35&lt;=rDias,TEXT(DAY(A36),"00")&amp;"/"&amp;TEXT(MONTH(A36),"00"),IF(35=rDias+1,"Média",""))</f>
        <v>0</v>
      </c>
      <c r="C36">
        <f>IF(35&lt;=rDias,IFERROR(IF(INDEX(h_espP,MATCH(A36,h_data,0))="",NA(),INDEX(h_espP,MATCH(A36,h_data,0))),NA()),IF(35=rDias+1,IF(ISNUMBER(gMed_espP),gMed_espP,NA()),NA()))</f>
        <v>0</v>
      </c>
      <c r="D36">
        <f>IF(35&lt;=rDias,IFERROR(IF(INDEX(h_eb6,MATCH(A36,h_data,0))="",NA(),INDEX(h_eb6,MATCH(A36,h_data,0))),NA()),IF(35=rDias+1,IF(ISNUMBER(gMed_eb6),gMed_eb6,NA()),NA()))</f>
        <v>0</v>
      </c>
      <c r="E36">
        <f>IF(35&lt;=rDias,IFERROR(IF(INDEX(h_difK,MATCH(A36,h_data,0))="",NA(),INDEX(h_difK,MATCH(A36,h_data,0))),NA()),IF(35=rDias+1,NA(),NA()))</f>
        <v>0</v>
      </c>
      <c r="F36">
        <f>IF(AND(35=rDias+1,ISNUMBER(gMed_difK)),gMed_difK,NA())</f>
        <v>0</v>
      </c>
      <c r="G36">
        <f>IF(35&lt;=rDias+1,cfgTol,NA())</f>
        <v>0</v>
      </c>
      <c r="H36">
        <f>IF(35&lt;=rDias+1,-cfgTol,NA())</f>
        <v>0</v>
      </c>
      <c r="I36">
        <f>IF(35&lt;=rDias,IFERROR(IF(INDEX(h_eb4P,MATCH(A36,h_data,0))="",NA(),INDEX(h_eb4P,MATCH(A36,h_data,0))),NA()),IF(35=rDias+1,IF(ISNUMBER(gMed_eb4P),gMed_eb4P,NA()),NA()))</f>
        <v>0</v>
      </c>
      <c r="J36">
        <f>IF(35&lt;=rDias,IFERROR(IF(INDEX(h_difJ,MATCH(A36,h_data,0))="",NA(),INDEX(h_difJ,MATCH(A36,h_data,0))),NA()),IF(35=rDias+1,NA(),NA()))</f>
        <v>0</v>
      </c>
      <c r="K36">
        <f>IF(AND(35=rDias+1,ISNUMBER(gMed_difJ)),gMed_difJ,NA())</f>
        <v>0</v>
      </c>
      <c r="L36">
        <f>IF(35&lt;=rDias,IFERROR(IF(INDEX(h_tk01,MATCH(A36,h_data,0))="",NA(),INDEX(h_tk01,MATCH(A36,h_data,0))),NA()),IF(35=rDias+1,IF(ISNUMBER(gMed_tk01),gMed_tk01,NA()),NA()))</f>
        <v>0</v>
      </c>
      <c r="M36">
        <f>IF(35&lt;=rDias,IFERROR(IF(INDEX(h_tk02,MATCH(A36,h_data,0))="",NA(),INDEX(h_tk02,MATCH(A36,h_data,0))),NA()),IF(35=rDias+1,IF(ISNUMBER(gMed_tk02),gMed_tk02,NA()),NA()))</f>
        <v>0</v>
      </c>
      <c r="N36">
        <f>IF(35&lt;=rDias,IFERROR(IF(INDEX(h_pctLama,MATCH(A36,h_data,0))="",NA(),INDEX(h_pctLama,MATCH(A36,h_data,0))),NA()),IF(35=rDias+1,NA(),NA()))</f>
        <v>0</v>
      </c>
      <c r="O36">
        <f>IF(AND(35=rDias+1,ISNUMBER(gMed_pctLama)),gMed_pctLama,NA())</f>
        <v>0</v>
      </c>
      <c r="P36">
        <f>IF(35&lt;=rDias,IFERROR(N36/1,-1),-1)</f>
        <v>0</v>
      </c>
    </row>
    <row r="37" spans="1:16">
      <c r="A37" s="76">
        <f>IF(36&gt;rDias,"",rFim-rDias+36)</f>
        <v>0</v>
      </c>
      <c r="B37">
        <f>IF(36&lt;=rDias,TEXT(DAY(A37),"00")&amp;"/"&amp;TEXT(MONTH(A37),"00"),IF(36=rDias+1,"Média",""))</f>
        <v>0</v>
      </c>
      <c r="C37">
        <f>IF(36&lt;=rDias,IFERROR(IF(INDEX(h_espP,MATCH(A37,h_data,0))="",NA(),INDEX(h_espP,MATCH(A37,h_data,0))),NA()),IF(36=rDias+1,IF(ISNUMBER(gMed_espP),gMed_espP,NA()),NA()))</f>
        <v>0</v>
      </c>
      <c r="D37">
        <f>IF(36&lt;=rDias,IFERROR(IF(INDEX(h_eb6,MATCH(A37,h_data,0))="",NA(),INDEX(h_eb6,MATCH(A37,h_data,0))),NA()),IF(36=rDias+1,IF(ISNUMBER(gMed_eb6),gMed_eb6,NA()),NA()))</f>
        <v>0</v>
      </c>
      <c r="E37">
        <f>IF(36&lt;=rDias,IFERROR(IF(INDEX(h_difK,MATCH(A37,h_data,0))="",NA(),INDEX(h_difK,MATCH(A37,h_data,0))),NA()),IF(36=rDias+1,NA(),NA()))</f>
        <v>0</v>
      </c>
      <c r="F37">
        <f>IF(AND(36=rDias+1,ISNUMBER(gMed_difK)),gMed_difK,NA())</f>
        <v>0</v>
      </c>
      <c r="G37">
        <f>IF(36&lt;=rDias+1,cfgTol,NA())</f>
        <v>0</v>
      </c>
      <c r="H37">
        <f>IF(36&lt;=rDias+1,-cfgTol,NA())</f>
        <v>0</v>
      </c>
      <c r="I37">
        <f>IF(36&lt;=rDias,IFERROR(IF(INDEX(h_eb4P,MATCH(A37,h_data,0))="",NA(),INDEX(h_eb4P,MATCH(A37,h_data,0))),NA()),IF(36=rDias+1,IF(ISNUMBER(gMed_eb4P),gMed_eb4P,NA()),NA()))</f>
        <v>0</v>
      </c>
      <c r="J37">
        <f>IF(36&lt;=rDias,IFERROR(IF(INDEX(h_difJ,MATCH(A37,h_data,0))="",NA(),INDEX(h_difJ,MATCH(A37,h_data,0))),NA()),IF(36=rDias+1,NA(),NA()))</f>
        <v>0</v>
      </c>
      <c r="K37">
        <f>IF(AND(36=rDias+1,ISNUMBER(gMed_difJ)),gMed_difJ,NA())</f>
        <v>0</v>
      </c>
      <c r="L37">
        <f>IF(36&lt;=rDias,IFERROR(IF(INDEX(h_tk01,MATCH(A37,h_data,0))="",NA(),INDEX(h_tk01,MATCH(A37,h_data,0))),NA()),IF(36=rDias+1,IF(ISNUMBER(gMed_tk01),gMed_tk01,NA()),NA()))</f>
        <v>0</v>
      </c>
      <c r="M37">
        <f>IF(36&lt;=rDias,IFERROR(IF(INDEX(h_tk02,MATCH(A37,h_data,0))="",NA(),INDEX(h_tk02,MATCH(A37,h_data,0))),NA()),IF(36=rDias+1,IF(ISNUMBER(gMed_tk02),gMed_tk02,NA()),NA()))</f>
        <v>0</v>
      </c>
      <c r="N37">
        <f>IF(36&lt;=rDias,IFERROR(IF(INDEX(h_pctLama,MATCH(A37,h_data,0))="",NA(),INDEX(h_pctLama,MATCH(A37,h_data,0))),NA()),IF(36=rDias+1,NA(),NA()))</f>
        <v>0</v>
      </c>
      <c r="O37">
        <f>IF(AND(36=rDias+1,ISNUMBER(gMed_pctLama)),gMed_pctLama,NA())</f>
        <v>0</v>
      </c>
      <c r="P37">
        <f>IF(36&lt;=rDias,IFERROR(N37/1,-1),-1)</f>
        <v>0</v>
      </c>
    </row>
    <row r="38" spans="1:16">
      <c r="A38" s="76">
        <f>IF(37&gt;rDias,"",rFim-rDias+37)</f>
        <v>0</v>
      </c>
      <c r="B38">
        <f>IF(37&lt;=rDias,TEXT(DAY(A38),"00")&amp;"/"&amp;TEXT(MONTH(A38),"00"),IF(37=rDias+1,"Média",""))</f>
        <v>0</v>
      </c>
      <c r="C38">
        <f>IF(37&lt;=rDias,IFERROR(IF(INDEX(h_espP,MATCH(A38,h_data,0))="",NA(),INDEX(h_espP,MATCH(A38,h_data,0))),NA()),IF(37=rDias+1,IF(ISNUMBER(gMed_espP),gMed_espP,NA()),NA()))</f>
        <v>0</v>
      </c>
      <c r="D38">
        <f>IF(37&lt;=rDias,IFERROR(IF(INDEX(h_eb6,MATCH(A38,h_data,0))="",NA(),INDEX(h_eb6,MATCH(A38,h_data,0))),NA()),IF(37=rDias+1,IF(ISNUMBER(gMed_eb6),gMed_eb6,NA()),NA()))</f>
        <v>0</v>
      </c>
      <c r="E38">
        <f>IF(37&lt;=rDias,IFERROR(IF(INDEX(h_difK,MATCH(A38,h_data,0))="",NA(),INDEX(h_difK,MATCH(A38,h_data,0))),NA()),IF(37=rDias+1,NA(),NA()))</f>
        <v>0</v>
      </c>
      <c r="F38">
        <f>IF(AND(37=rDias+1,ISNUMBER(gMed_difK)),gMed_difK,NA())</f>
        <v>0</v>
      </c>
      <c r="G38">
        <f>IF(37&lt;=rDias+1,cfgTol,NA())</f>
        <v>0</v>
      </c>
      <c r="H38">
        <f>IF(37&lt;=rDias+1,-cfgTol,NA())</f>
        <v>0</v>
      </c>
      <c r="I38">
        <f>IF(37&lt;=rDias,IFERROR(IF(INDEX(h_eb4P,MATCH(A38,h_data,0))="",NA(),INDEX(h_eb4P,MATCH(A38,h_data,0))),NA()),IF(37=rDias+1,IF(ISNUMBER(gMed_eb4P),gMed_eb4P,NA()),NA()))</f>
        <v>0</v>
      </c>
      <c r="J38">
        <f>IF(37&lt;=rDias,IFERROR(IF(INDEX(h_difJ,MATCH(A38,h_data,0))="",NA(),INDEX(h_difJ,MATCH(A38,h_data,0))),NA()),IF(37=rDias+1,NA(),NA()))</f>
        <v>0</v>
      </c>
      <c r="K38">
        <f>IF(AND(37=rDias+1,ISNUMBER(gMed_difJ)),gMed_difJ,NA())</f>
        <v>0</v>
      </c>
      <c r="L38">
        <f>IF(37&lt;=rDias,IFERROR(IF(INDEX(h_tk01,MATCH(A38,h_data,0))="",NA(),INDEX(h_tk01,MATCH(A38,h_data,0))),NA()),IF(37=rDias+1,IF(ISNUMBER(gMed_tk01),gMed_tk01,NA()),NA()))</f>
        <v>0</v>
      </c>
      <c r="M38">
        <f>IF(37&lt;=rDias,IFERROR(IF(INDEX(h_tk02,MATCH(A38,h_data,0))="",NA(),INDEX(h_tk02,MATCH(A38,h_data,0))),NA()),IF(37=rDias+1,IF(ISNUMBER(gMed_tk02),gMed_tk02,NA()),NA()))</f>
        <v>0</v>
      </c>
      <c r="N38">
        <f>IF(37&lt;=rDias,IFERROR(IF(INDEX(h_pctLama,MATCH(A38,h_data,0))="",NA(),INDEX(h_pctLama,MATCH(A38,h_data,0))),NA()),IF(37=rDias+1,NA(),NA()))</f>
        <v>0</v>
      </c>
      <c r="O38">
        <f>IF(AND(37=rDias+1,ISNUMBER(gMed_pctLama)),gMed_pctLama,NA())</f>
        <v>0</v>
      </c>
      <c r="P38">
        <f>IF(37&lt;=rDias,IFERROR(N38/1,-1),-1)</f>
        <v>0</v>
      </c>
    </row>
    <row r="39" spans="1:16">
      <c r="A39" s="76">
        <f>IF(38&gt;rDias,"",rFim-rDias+38)</f>
        <v>0</v>
      </c>
      <c r="B39">
        <f>IF(38&lt;=rDias,TEXT(DAY(A39),"00")&amp;"/"&amp;TEXT(MONTH(A39),"00"),IF(38=rDias+1,"Média",""))</f>
        <v>0</v>
      </c>
      <c r="C39">
        <f>IF(38&lt;=rDias,IFERROR(IF(INDEX(h_espP,MATCH(A39,h_data,0))="",NA(),INDEX(h_espP,MATCH(A39,h_data,0))),NA()),IF(38=rDias+1,IF(ISNUMBER(gMed_espP),gMed_espP,NA()),NA()))</f>
        <v>0</v>
      </c>
      <c r="D39">
        <f>IF(38&lt;=rDias,IFERROR(IF(INDEX(h_eb6,MATCH(A39,h_data,0))="",NA(),INDEX(h_eb6,MATCH(A39,h_data,0))),NA()),IF(38=rDias+1,IF(ISNUMBER(gMed_eb6),gMed_eb6,NA()),NA()))</f>
        <v>0</v>
      </c>
      <c r="E39">
        <f>IF(38&lt;=rDias,IFERROR(IF(INDEX(h_difK,MATCH(A39,h_data,0))="",NA(),INDEX(h_difK,MATCH(A39,h_data,0))),NA()),IF(38=rDias+1,NA(),NA()))</f>
        <v>0</v>
      </c>
      <c r="F39">
        <f>IF(AND(38=rDias+1,ISNUMBER(gMed_difK)),gMed_difK,NA())</f>
        <v>0</v>
      </c>
      <c r="G39">
        <f>IF(38&lt;=rDias+1,cfgTol,NA())</f>
        <v>0</v>
      </c>
      <c r="H39">
        <f>IF(38&lt;=rDias+1,-cfgTol,NA())</f>
        <v>0</v>
      </c>
      <c r="I39">
        <f>IF(38&lt;=rDias,IFERROR(IF(INDEX(h_eb4P,MATCH(A39,h_data,0))="",NA(),INDEX(h_eb4P,MATCH(A39,h_data,0))),NA()),IF(38=rDias+1,IF(ISNUMBER(gMed_eb4P),gMed_eb4P,NA()),NA()))</f>
        <v>0</v>
      </c>
      <c r="J39">
        <f>IF(38&lt;=rDias,IFERROR(IF(INDEX(h_difJ,MATCH(A39,h_data,0))="",NA(),INDEX(h_difJ,MATCH(A39,h_data,0))),NA()),IF(38=rDias+1,NA(),NA()))</f>
        <v>0</v>
      </c>
      <c r="K39">
        <f>IF(AND(38=rDias+1,ISNUMBER(gMed_difJ)),gMed_difJ,NA())</f>
        <v>0</v>
      </c>
      <c r="L39">
        <f>IF(38&lt;=rDias,IFERROR(IF(INDEX(h_tk01,MATCH(A39,h_data,0))="",NA(),INDEX(h_tk01,MATCH(A39,h_data,0))),NA()),IF(38=rDias+1,IF(ISNUMBER(gMed_tk01),gMed_tk01,NA()),NA()))</f>
        <v>0</v>
      </c>
      <c r="M39">
        <f>IF(38&lt;=rDias,IFERROR(IF(INDEX(h_tk02,MATCH(A39,h_data,0))="",NA(),INDEX(h_tk02,MATCH(A39,h_data,0))),NA()),IF(38=rDias+1,IF(ISNUMBER(gMed_tk02),gMed_tk02,NA()),NA()))</f>
        <v>0</v>
      </c>
      <c r="N39">
        <f>IF(38&lt;=rDias,IFERROR(IF(INDEX(h_pctLama,MATCH(A39,h_data,0))="",NA(),INDEX(h_pctLama,MATCH(A39,h_data,0))),NA()),IF(38=rDias+1,NA(),NA()))</f>
        <v>0</v>
      </c>
      <c r="O39">
        <f>IF(AND(38=rDias+1,ISNUMBER(gMed_pctLama)),gMed_pctLama,NA())</f>
        <v>0</v>
      </c>
      <c r="P39">
        <f>IF(38&lt;=rDias,IFERROR(N39/1,-1),-1)</f>
        <v>0</v>
      </c>
    </row>
    <row r="40" spans="1:16">
      <c r="A40" s="76">
        <f>IF(39&gt;rDias,"",rFim-rDias+39)</f>
        <v>0</v>
      </c>
      <c r="B40">
        <f>IF(39&lt;=rDias,TEXT(DAY(A40),"00")&amp;"/"&amp;TEXT(MONTH(A40),"00"),IF(39=rDias+1,"Média",""))</f>
        <v>0</v>
      </c>
      <c r="C40">
        <f>IF(39&lt;=rDias,IFERROR(IF(INDEX(h_espP,MATCH(A40,h_data,0))="",NA(),INDEX(h_espP,MATCH(A40,h_data,0))),NA()),IF(39=rDias+1,IF(ISNUMBER(gMed_espP),gMed_espP,NA()),NA()))</f>
        <v>0</v>
      </c>
      <c r="D40">
        <f>IF(39&lt;=rDias,IFERROR(IF(INDEX(h_eb6,MATCH(A40,h_data,0))="",NA(),INDEX(h_eb6,MATCH(A40,h_data,0))),NA()),IF(39=rDias+1,IF(ISNUMBER(gMed_eb6),gMed_eb6,NA()),NA()))</f>
        <v>0</v>
      </c>
      <c r="E40">
        <f>IF(39&lt;=rDias,IFERROR(IF(INDEX(h_difK,MATCH(A40,h_data,0))="",NA(),INDEX(h_difK,MATCH(A40,h_data,0))),NA()),IF(39=rDias+1,NA(),NA()))</f>
        <v>0</v>
      </c>
      <c r="F40">
        <f>IF(AND(39=rDias+1,ISNUMBER(gMed_difK)),gMed_difK,NA())</f>
        <v>0</v>
      </c>
      <c r="G40">
        <f>IF(39&lt;=rDias+1,cfgTol,NA())</f>
        <v>0</v>
      </c>
      <c r="H40">
        <f>IF(39&lt;=rDias+1,-cfgTol,NA())</f>
        <v>0</v>
      </c>
      <c r="I40">
        <f>IF(39&lt;=rDias,IFERROR(IF(INDEX(h_eb4P,MATCH(A40,h_data,0))="",NA(),INDEX(h_eb4P,MATCH(A40,h_data,0))),NA()),IF(39=rDias+1,IF(ISNUMBER(gMed_eb4P),gMed_eb4P,NA()),NA()))</f>
        <v>0</v>
      </c>
      <c r="J40">
        <f>IF(39&lt;=rDias,IFERROR(IF(INDEX(h_difJ,MATCH(A40,h_data,0))="",NA(),INDEX(h_difJ,MATCH(A40,h_data,0))),NA()),IF(39=rDias+1,NA(),NA()))</f>
        <v>0</v>
      </c>
      <c r="K40">
        <f>IF(AND(39=rDias+1,ISNUMBER(gMed_difJ)),gMed_difJ,NA())</f>
        <v>0</v>
      </c>
      <c r="L40">
        <f>IF(39&lt;=rDias,IFERROR(IF(INDEX(h_tk01,MATCH(A40,h_data,0))="",NA(),INDEX(h_tk01,MATCH(A40,h_data,0))),NA()),IF(39=rDias+1,IF(ISNUMBER(gMed_tk01),gMed_tk01,NA()),NA()))</f>
        <v>0</v>
      </c>
      <c r="M40">
        <f>IF(39&lt;=rDias,IFERROR(IF(INDEX(h_tk02,MATCH(A40,h_data,0))="",NA(),INDEX(h_tk02,MATCH(A40,h_data,0))),NA()),IF(39=rDias+1,IF(ISNUMBER(gMed_tk02),gMed_tk02,NA()),NA()))</f>
        <v>0</v>
      </c>
      <c r="N40">
        <f>IF(39&lt;=rDias,IFERROR(IF(INDEX(h_pctLama,MATCH(A40,h_data,0))="",NA(),INDEX(h_pctLama,MATCH(A40,h_data,0))),NA()),IF(39=rDias+1,NA(),NA()))</f>
        <v>0</v>
      </c>
      <c r="O40">
        <f>IF(AND(39=rDias+1,ISNUMBER(gMed_pctLama)),gMed_pctLama,NA())</f>
        <v>0</v>
      </c>
      <c r="P40">
        <f>IF(39&lt;=rDias,IFERROR(N40/1,-1),-1)</f>
        <v>0</v>
      </c>
    </row>
    <row r="41" spans="1:16">
      <c r="A41" s="76">
        <f>IF(40&gt;rDias,"",rFim-rDias+40)</f>
        <v>0</v>
      </c>
      <c r="B41">
        <f>IF(40&lt;=rDias,TEXT(DAY(A41),"00")&amp;"/"&amp;TEXT(MONTH(A41),"00"),IF(40=rDias+1,"Média",""))</f>
        <v>0</v>
      </c>
      <c r="C41">
        <f>IF(40&lt;=rDias,IFERROR(IF(INDEX(h_espP,MATCH(A41,h_data,0))="",NA(),INDEX(h_espP,MATCH(A41,h_data,0))),NA()),IF(40=rDias+1,IF(ISNUMBER(gMed_espP),gMed_espP,NA()),NA()))</f>
        <v>0</v>
      </c>
      <c r="D41">
        <f>IF(40&lt;=rDias,IFERROR(IF(INDEX(h_eb6,MATCH(A41,h_data,0))="",NA(),INDEX(h_eb6,MATCH(A41,h_data,0))),NA()),IF(40=rDias+1,IF(ISNUMBER(gMed_eb6),gMed_eb6,NA()),NA()))</f>
        <v>0</v>
      </c>
      <c r="E41">
        <f>IF(40&lt;=rDias,IFERROR(IF(INDEX(h_difK,MATCH(A41,h_data,0))="",NA(),INDEX(h_difK,MATCH(A41,h_data,0))),NA()),IF(40=rDias+1,NA(),NA()))</f>
        <v>0</v>
      </c>
      <c r="F41">
        <f>IF(AND(40=rDias+1,ISNUMBER(gMed_difK)),gMed_difK,NA())</f>
        <v>0</v>
      </c>
      <c r="G41">
        <f>IF(40&lt;=rDias+1,cfgTol,NA())</f>
        <v>0</v>
      </c>
      <c r="H41">
        <f>IF(40&lt;=rDias+1,-cfgTol,NA())</f>
        <v>0</v>
      </c>
      <c r="I41">
        <f>IF(40&lt;=rDias,IFERROR(IF(INDEX(h_eb4P,MATCH(A41,h_data,0))="",NA(),INDEX(h_eb4P,MATCH(A41,h_data,0))),NA()),IF(40=rDias+1,IF(ISNUMBER(gMed_eb4P),gMed_eb4P,NA()),NA()))</f>
        <v>0</v>
      </c>
      <c r="J41">
        <f>IF(40&lt;=rDias,IFERROR(IF(INDEX(h_difJ,MATCH(A41,h_data,0))="",NA(),INDEX(h_difJ,MATCH(A41,h_data,0))),NA()),IF(40=rDias+1,NA(),NA()))</f>
        <v>0</v>
      </c>
      <c r="K41">
        <f>IF(AND(40=rDias+1,ISNUMBER(gMed_difJ)),gMed_difJ,NA())</f>
        <v>0</v>
      </c>
      <c r="L41">
        <f>IF(40&lt;=rDias,IFERROR(IF(INDEX(h_tk01,MATCH(A41,h_data,0))="",NA(),INDEX(h_tk01,MATCH(A41,h_data,0))),NA()),IF(40=rDias+1,IF(ISNUMBER(gMed_tk01),gMed_tk01,NA()),NA()))</f>
        <v>0</v>
      </c>
      <c r="M41">
        <f>IF(40&lt;=rDias,IFERROR(IF(INDEX(h_tk02,MATCH(A41,h_data,0))="",NA(),INDEX(h_tk02,MATCH(A41,h_data,0))),NA()),IF(40=rDias+1,IF(ISNUMBER(gMed_tk02),gMed_tk02,NA()),NA()))</f>
        <v>0</v>
      </c>
      <c r="N41">
        <f>IF(40&lt;=rDias,IFERROR(IF(INDEX(h_pctLama,MATCH(A41,h_data,0))="",NA(),INDEX(h_pctLama,MATCH(A41,h_data,0))),NA()),IF(40=rDias+1,NA(),NA()))</f>
        <v>0</v>
      </c>
      <c r="O41">
        <f>IF(AND(40=rDias+1,ISNUMBER(gMed_pctLama)),gMed_pctLama,NA())</f>
        <v>0</v>
      </c>
      <c r="P41">
        <f>IF(40&lt;=rDias,IFERROR(N41/1,-1),-1)</f>
        <v>0</v>
      </c>
    </row>
    <row r="42" spans="1:16">
      <c r="A42" s="76">
        <f>IF(41&gt;rDias,"",rFim-rDias+41)</f>
        <v>0</v>
      </c>
      <c r="B42">
        <f>IF(41&lt;=rDias,TEXT(DAY(A42),"00")&amp;"/"&amp;TEXT(MONTH(A42),"00"),IF(41=rDias+1,"Média",""))</f>
        <v>0</v>
      </c>
      <c r="C42">
        <f>IF(41&lt;=rDias,IFERROR(IF(INDEX(h_espP,MATCH(A42,h_data,0))="",NA(),INDEX(h_espP,MATCH(A42,h_data,0))),NA()),IF(41=rDias+1,IF(ISNUMBER(gMed_espP),gMed_espP,NA()),NA()))</f>
        <v>0</v>
      </c>
      <c r="D42">
        <f>IF(41&lt;=rDias,IFERROR(IF(INDEX(h_eb6,MATCH(A42,h_data,0))="",NA(),INDEX(h_eb6,MATCH(A42,h_data,0))),NA()),IF(41=rDias+1,IF(ISNUMBER(gMed_eb6),gMed_eb6,NA()),NA()))</f>
        <v>0</v>
      </c>
      <c r="E42">
        <f>IF(41&lt;=rDias,IFERROR(IF(INDEX(h_difK,MATCH(A42,h_data,0))="",NA(),INDEX(h_difK,MATCH(A42,h_data,0))),NA()),IF(41=rDias+1,NA(),NA()))</f>
        <v>0</v>
      </c>
      <c r="F42">
        <f>IF(AND(41=rDias+1,ISNUMBER(gMed_difK)),gMed_difK,NA())</f>
        <v>0</v>
      </c>
      <c r="G42">
        <f>IF(41&lt;=rDias+1,cfgTol,NA())</f>
        <v>0</v>
      </c>
      <c r="H42">
        <f>IF(41&lt;=rDias+1,-cfgTol,NA())</f>
        <v>0</v>
      </c>
      <c r="I42">
        <f>IF(41&lt;=rDias,IFERROR(IF(INDEX(h_eb4P,MATCH(A42,h_data,0))="",NA(),INDEX(h_eb4P,MATCH(A42,h_data,0))),NA()),IF(41=rDias+1,IF(ISNUMBER(gMed_eb4P),gMed_eb4P,NA()),NA()))</f>
        <v>0</v>
      </c>
      <c r="J42">
        <f>IF(41&lt;=rDias,IFERROR(IF(INDEX(h_difJ,MATCH(A42,h_data,0))="",NA(),INDEX(h_difJ,MATCH(A42,h_data,0))),NA()),IF(41=rDias+1,NA(),NA()))</f>
        <v>0</v>
      </c>
      <c r="K42">
        <f>IF(AND(41=rDias+1,ISNUMBER(gMed_difJ)),gMed_difJ,NA())</f>
        <v>0</v>
      </c>
      <c r="L42">
        <f>IF(41&lt;=rDias,IFERROR(IF(INDEX(h_tk01,MATCH(A42,h_data,0))="",NA(),INDEX(h_tk01,MATCH(A42,h_data,0))),NA()),IF(41=rDias+1,IF(ISNUMBER(gMed_tk01),gMed_tk01,NA()),NA()))</f>
        <v>0</v>
      </c>
      <c r="M42">
        <f>IF(41&lt;=rDias,IFERROR(IF(INDEX(h_tk02,MATCH(A42,h_data,0))="",NA(),INDEX(h_tk02,MATCH(A42,h_data,0))),NA()),IF(41=rDias+1,IF(ISNUMBER(gMed_tk02),gMed_tk02,NA()),NA()))</f>
        <v>0</v>
      </c>
      <c r="N42">
        <f>IF(41&lt;=rDias,IFERROR(IF(INDEX(h_pctLama,MATCH(A42,h_data,0))="",NA(),INDEX(h_pctLama,MATCH(A42,h_data,0))),NA()),IF(41=rDias+1,NA(),NA()))</f>
        <v>0</v>
      </c>
      <c r="O42">
        <f>IF(AND(41=rDias+1,ISNUMBER(gMed_pctLama)),gMed_pctLama,NA())</f>
        <v>0</v>
      </c>
      <c r="P42">
        <f>IF(41&lt;=rDias,IFERROR(N42/1,-1),-1)</f>
        <v>0</v>
      </c>
    </row>
    <row r="43" spans="1:16">
      <c r="A43" s="76">
        <f>IF(42&gt;rDias,"",rFim-rDias+42)</f>
        <v>0</v>
      </c>
      <c r="B43">
        <f>IF(42&lt;=rDias,TEXT(DAY(A43),"00")&amp;"/"&amp;TEXT(MONTH(A43),"00"),IF(42=rDias+1,"Média",""))</f>
        <v>0</v>
      </c>
      <c r="C43">
        <f>IF(42&lt;=rDias,IFERROR(IF(INDEX(h_espP,MATCH(A43,h_data,0))="",NA(),INDEX(h_espP,MATCH(A43,h_data,0))),NA()),IF(42=rDias+1,IF(ISNUMBER(gMed_espP),gMed_espP,NA()),NA()))</f>
        <v>0</v>
      </c>
      <c r="D43">
        <f>IF(42&lt;=rDias,IFERROR(IF(INDEX(h_eb6,MATCH(A43,h_data,0))="",NA(),INDEX(h_eb6,MATCH(A43,h_data,0))),NA()),IF(42=rDias+1,IF(ISNUMBER(gMed_eb6),gMed_eb6,NA()),NA()))</f>
        <v>0</v>
      </c>
      <c r="E43">
        <f>IF(42&lt;=rDias,IFERROR(IF(INDEX(h_difK,MATCH(A43,h_data,0))="",NA(),INDEX(h_difK,MATCH(A43,h_data,0))),NA()),IF(42=rDias+1,NA(),NA()))</f>
        <v>0</v>
      </c>
      <c r="F43">
        <f>IF(AND(42=rDias+1,ISNUMBER(gMed_difK)),gMed_difK,NA())</f>
        <v>0</v>
      </c>
      <c r="G43">
        <f>IF(42&lt;=rDias+1,cfgTol,NA())</f>
        <v>0</v>
      </c>
      <c r="H43">
        <f>IF(42&lt;=rDias+1,-cfgTol,NA())</f>
        <v>0</v>
      </c>
      <c r="I43">
        <f>IF(42&lt;=rDias,IFERROR(IF(INDEX(h_eb4P,MATCH(A43,h_data,0))="",NA(),INDEX(h_eb4P,MATCH(A43,h_data,0))),NA()),IF(42=rDias+1,IF(ISNUMBER(gMed_eb4P),gMed_eb4P,NA()),NA()))</f>
        <v>0</v>
      </c>
      <c r="J43">
        <f>IF(42&lt;=rDias,IFERROR(IF(INDEX(h_difJ,MATCH(A43,h_data,0))="",NA(),INDEX(h_difJ,MATCH(A43,h_data,0))),NA()),IF(42=rDias+1,NA(),NA()))</f>
        <v>0</v>
      </c>
      <c r="K43">
        <f>IF(AND(42=rDias+1,ISNUMBER(gMed_difJ)),gMed_difJ,NA())</f>
        <v>0</v>
      </c>
      <c r="L43">
        <f>IF(42&lt;=rDias,IFERROR(IF(INDEX(h_tk01,MATCH(A43,h_data,0))="",NA(),INDEX(h_tk01,MATCH(A43,h_data,0))),NA()),IF(42=rDias+1,IF(ISNUMBER(gMed_tk01),gMed_tk01,NA()),NA()))</f>
        <v>0</v>
      </c>
      <c r="M43">
        <f>IF(42&lt;=rDias,IFERROR(IF(INDEX(h_tk02,MATCH(A43,h_data,0))="",NA(),INDEX(h_tk02,MATCH(A43,h_data,0))),NA()),IF(42=rDias+1,IF(ISNUMBER(gMed_tk02),gMed_tk02,NA()),NA()))</f>
        <v>0</v>
      </c>
      <c r="N43">
        <f>IF(42&lt;=rDias,IFERROR(IF(INDEX(h_pctLama,MATCH(A43,h_data,0))="",NA(),INDEX(h_pctLama,MATCH(A43,h_data,0))),NA()),IF(42=rDias+1,NA(),NA()))</f>
        <v>0</v>
      </c>
      <c r="O43">
        <f>IF(AND(42=rDias+1,ISNUMBER(gMed_pctLama)),gMed_pctLama,NA())</f>
        <v>0</v>
      </c>
      <c r="P43">
        <f>IF(42&lt;=rDias,IFERROR(N43/1,-1),-1)</f>
        <v>0</v>
      </c>
    </row>
    <row r="44" spans="1:16">
      <c r="A44" s="76">
        <f>IF(43&gt;rDias,"",rFim-rDias+43)</f>
        <v>0</v>
      </c>
      <c r="B44">
        <f>IF(43&lt;=rDias,TEXT(DAY(A44),"00")&amp;"/"&amp;TEXT(MONTH(A44),"00"),IF(43=rDias+1,"Média",""))</f>
        <v>0</v>
      </c>
      <c r="C44">
        <f>IF(43&lt;=rDias,IFERROR(IF(INDEX(h_espP,MATCH(A44,h_data,0))="",NA(),INDEX(h_espP,MATCH(A44,h_data,0))),NA()),IF(43=rDias+1,IF(ISNUMBER(gMed_espP),gMed_espP,NA()),NA()))</f>
        <v>0</v>
      </c>
      <c r="D44">
        <f>IF(43&lt;=rDias,IFERROR(IF(INDEX(h_eb6,MATCH(A44,h_data,0))="",NA(),INDEX(h_eb6,MATCH(A44,h_data,0))),NA()),IF(43=rDias+1,IF(ISNUMBER(gMed_eb6),gMed_eb6,NA()),NA()))</f>
        <v>0</v>
      </c>
      <c r="E44">
        <f>IF(43&lt;=rDias,IFERROR(IF(INDEX(h_difK,MATCH(A44,h_data,0))="",NA(),INDEX(h_difK,MATCH(A44,h_data,0))),NA()),IF(43=rDias+1,NA(),NA()))</f>
        <v>0</v>
      </c>
      <c r="F44">
        <f>IF(AND(43=rDias+1,ISNUMBER(gMed_difK)),gMed_difK,NA())</f>
        <v>0</v>
      </c>
      <c r="G44">
        <f>IF(43&lt;=rDias+1,cfgTol,NA())</f>
        <v>0</v>
      </c>
      <c r="H44">
        <f>IF(43&lt;=rDias+1,-cfgTol,NA())</f>
        <v>0</v>
      </c>
      <c r="I44">
        <f>IF(43&lt;=rDias,IFERROR(IF(INDEX(h_eb4P,MATCH(A44,h_data,0))="",NA(),INDEX(h_eb4P,MATCH(A44,h_data,0))),NA()),IF(43=rDias+1,IF(ISNUMBER(gMed_eb4P),gMed_eb4P,NA()),NA()))</f>
        <v>0</v>
      </c>
      <c r="J44">
        <f>IF(43&lt;=rDias,IFERROR(IF(INDEX(h_difJ,MATCH(A44,h_data,0))="",NA(),INDEX(h_difJ,MATCH(A44,h_data,0))),NA()),IF(43=rDias+1,NA(),NA()))</f>
        <v>0</v>
      </c>
      <c r="K44">
        <f>IF(AND(43=rDias+1,ISNUMBER(gMed_difJ)),gMed_difJ,NA())</f>
        <v>0</v>
      </c>
      <c r="L44">
        <f>IF(43&lt;=rDias,IFERROR(IF(INDEX(h_tk01,MATCH(A44,h_data,0))="",NA(),INDEX(h_tk01,MATCH(A44,h_data,0))),NA()),IF(43=rDias+1,IF(ISNUMBER(gMed_tk01),gMed_tk01,NA()),NA()))</f>
        <v>0</v>
      </c>
      <c r="M44">
        <f>IF(43&lt;=rDias,IFERROR(IF(INDEX(h_tk02,MATCH(A44,h_data,0))="",NA(),INDEX(h_tk02,MATCH(A44,h_data,0))),NA()),IF(43=rDias+1,IF(ISNUMBER(gMed_tk02),gMed_tk02,NA()),NA()))</f>
        <v>0</v>
      </c>
      <c r="N44">
        <f>IF(43&lt;=rDias,IFERROR(IF(INDEX(h_pctLama,MATCH(A44,h_data,0))="",NA(),INDEX(h_pctLama,MATCH(A44,h_data,0))),NA()),IF(43=rDias+1,NA(),NA()))</f>
        <v>0</v>
      </c>
      <c r="O44">
        <f>IF(AND(43=rDias+1,ISNUMBER(gMed_pctLama)),gMed_pctLama,NA())</f>
        <v>0</v>
      </c>
      <c r="P44">
        <f>IF(43&lt;=rDias,IFERROR(N44/1,-1),-1)</f>
        <v>0</v>
      </c>
    </row>
    <row r="45" spans="1:16">
      <c r="A45" s="76">
        <f>IF(44&gt;rDias,"",rFim-rDias+44)</f>
        <v>0</v>
      </c>
      <c r="B45">
        <f>IF(44&lt;=rDias,TEXT(DAY(A45),"00")&amp;"/"&amp;TEXT(MONTH(A45),"00"),IF(44=rDias+1,"Média",""))</f>
        <v>0</v>
      </c>
      <c r="C45">
        <f>IF(44&lt;=rDias,IFERROR(IF(INDEX(h_espP,MATCH(A45,h_data,0))="",NA(),INDEX(h_espP,MATCH(A45,h_data,0))),NA()),IF(44=rDias+1,IF(ISNUMBER(gMed_espP),gMed_espP,NA()),NA()))</f>
        <v>0</v>
      </c>
      <c r="D45">
        <f>IF(44&lt;=rDias,IFERROR(IF(INDEX(h_eb6,MATCH(A45,h_data,0))="",NA(),INDEX(h_eb6,MATCH(A45,h_data,0))),NA()),IF(44=rDias+1,IF(ISNUMBER(gMed_eb6),gMed_eb6,NA()),NA()))</f>
        <v>0</v>
      </c>
      <c r="E45">
        <f>IF(44&lt;=rDias,IFERROR(IF(INDEX(h_difK,MATCH(A45,h_data,0))="",NA(),INDEX(h_difK,MATCH(A45,h_data,0))),NA()),IF(44=rDias+1,NA(),NA()))</f>
        <v>0</v>
      </c>
      <c r="F45">
        <f>IF(AND(44=rDias+1,ISNUMBER(gMed_difK)),gMed_difK,NA())</f>
        <v>0</v>
      </c>
      <c r="G45">
        <f>IF(44&lt;=rDias+1,cfgTol,NA())</f>
        <v>0</v>
      </c>
      <c r="H45">
        <f>IF(44&lt;=rDias+1,-cfgTol,NA())</f>
        <v>0</v>
      </c>
      <c r="I45">
        <f>IF(44&lt;=rDias,IFERROR(IF(INDEX(h_eb4P,MATCH(A45,h_data,0))="",NA(),INDEX(h_eb4P,MATCH(A45,h_data,0))),NA()),IF(44=rDias+1,IF(ISNUMBER(gMed_eb4P),gMed_eb4P,NA()),NA()))</f>
        <v>0</v>
      </c>
      <c r="J45">
        <f>IF(44&lt;=rDias,IFERROR(IF(INDEX(h_difJ,MATCH(A45,h_data,0))="",NA(),INDEX(h_difJ,MATCH(A45,h_data,0))),NA()),IF(44=rDias+1,NA(),NA()))</f>
        <v>0</v>
      </c>
      <c r="K45">
        <f>IF(AND(44=rDias+1,ISNUMBER(gMed_difJ)),gMed_difJ,NA())</f>
        <v>0</v>
      </c>
      <c r="L45">
        <f>IF(44&lt;=rDias,IFERROR(IF(INDEX(h_tk01,MATCH(A45,h_data,0))="",NA(),INDEX(h_tk01,MATCH(A45,h_data,0))),NA()),IF(44=rDias+1,IF(ISNUMBER(gMed_tk01),gMed_tk01,NA()),NA()))</f>
        <v>0</v>
      </c>
      <c r="M45">
        <f>IF(44&lt;=rDias,IFERROR(IF(INDEX(h_tk02,MATCH(A45,h_data,0))="",NA(),INDEX(h_tk02,MATCH(A45,h_data,0))),NA()),IF(44=rDias+1,IF(ISNUMBER(gMed_tk02),gMed_tk02,NA()),NA()))</f>
        <v>0</v>
      </c>
      <c r="N45">
        <f>IF(44&lt;=rDias,IFERROR(IF(INDEX(h_pctLama,MATCH(A45,h_data,0))="",NA(),INDEX(h_pctLama,MATCH(A45,h_data,0))),NA()),IF(44=rDias+1,NA(),NA()))</f>
        <v>0</v>
      </c>
      <c r="O45">
        <f>IF(AND(44=rDias+1,ISNUMBER(gMed_pctLama)),gMed_pctLama,NA())</f>
        <v>0</v>
      </c>
      <c r="P45">
        <f>IF(44&lt;=rDias,IFERROR(N45/1,-1),-1)</f>
        <v>0</v>
      </c>
    </row>
    <row r="46" spans="1:16">
      <c r="A46" s="76">
        <f>IF(45&gt;rDias,"",rFim-rDias+45)</f>
        <v>0</v>
      </c>
      <c r="B46">
        <f>IF(45&lt;=rDias,TEXT(DAY(A46),"00")&amp;"/"&amp;TEXT(MONTH(A46),"00"),IF(45=rDias+1,"Média",""))</f>
        <v>0</v>
      </c>
      <c r="C46">
        <f>IF(45&lt;=rDias,IFERROR(IF(INDEX(h_espP,MATCH(A46,h_data,0))="",NA(),INDEX(h_espP,MATCH(A46,h_data,0))),NA()),IF(45=rDias+1,IF(ISNUMBER(gMed_espP),gMed_espP,NA()),NA()))</f>
        <v>0</v>
      </c>
      <c r="D46">
        <f>IF(45&lt;=rDias,IFERROR(IF(INDEX(h_eb6,MATCH(A46,h_data,0))="",NA(),INDEX(h_eb6,MATCH(A46,h_data,0))),NA()),IF(45=rDias+1,IF(ISNUMBER(gMed_eb6),gMed_eb6,NA()),NA()))</f>
        <v>0</v>
      </c>
      <c r="E46">
        <f>IF(45&lt;=rDias,IFERROR(IF(INDEX(h_difK,MATCH(A46,h_data,0))="",NA(),INDEX(h_difK,MATCH(A46,h_data,0))),NA()),IF(45=rDias+1,NA(),NA()))</f>
        <v>0</v>
      </c>
      <c r="F46">
        <f>IF(AND(45=rDias+1,ISNUMBER(gMed_difK)),gMed_difK,NA())</f>
        <v>0</v>
      </c>
      <c r="G46">
        <f>IF(45&lt;=rDias+1,cfgTol,NA())</f>
        <v>0</v>
      </c>
      <c r="H46">
        <f>IF(45&lt;=rDias+1,-cfgTol,NA())</f>
        <v>0</v>
      </c>
      <c r="I46">
        <f>IF(45&lt;=rDias,IFERROR(IF(INDEX(h_eb4P,MATCH(A46,h_data,0))="",NA(),INDEX(h_eb4P,MATCH(A46,h_data,0))),NA()),IF(45=rDias+1,IF(ISNUMBER(gMed_eb4P),gMed_eb4P,NA()),NA()))</f>
        <v>0</v>
      </c>
      <c r="J46">
        <f>IF(45&lt;=rDias,IFERROR(IF(INDEX(h_difJ,MATCH(A46,h_data,0))="",NA(),INDEX(h_difJ,MATCH(A46,h_data,0))),NA()),IF(45=rDias+1,NA(),NA()))</f>
        <v>0</v>
      </c>
      <c r="K46">
        <f>IF(AND(45=rDias+1,ISNUMBER(gMed_difJ)),gMed_difJ,NA())</f>
        <v>0</v>
      </c>
      <c r="L46">
        <f>IF(45&lt;=rDias,IFERROR(IF(INDEX(h_tk01,MATCH(A46,h_data,0))="",NA(),INDEX(h_tk01,MATCH(A46,h_data,0))),NA()),IF(45=rDias+1,IF(ISNUMBER(gMed_tk01),gMed_tk01,NA()),NA()))</f>
        <v>0</v>
      </c>
      <c r="M46">
        <f>IF(45&lt;=rDias,IFERROR(IF(INDEX(h_tk02,MATCH(A46,h_data,0))="",NA(),INDEX(h_tk02,MATCH(A46,h_data,0))),NA()),IF(45=rDias+1,IF(ISNUMBER(gMed_tk02),gMed_tk02,NA()),NA()))</f>
        <v>0</v>
      </c>
      <c r="N46">
        <f>IF(45&lt;=rDias,IFERROR(IF(INDEX(h_pctLama,MATCH(A46,h_data,0))="",NA(),INDEX(h_pctLama,MATCH(A46,h_data,0))),NA()),IF(45=rDias+1,NA(),NA()))</f>
        <v>0</v>
      </c>
      <c r="O46">
        <f>IF(AND(45=rDias+1,ISNUMBER(gMed_pctLama)),gMed_pctLama,NA())</f>
        <v>0</v>
      </c>
      <c r="P46">
        <f>IF(45&lt;=rDias,IFERROR(N46/1,-1),-1)</f>
        <v>0</v>
      </c>
    </row>
    <row r="47" spans="1:16">
      <c r="A47" s="76">
        <f>IF(46&gt;rDias,"",rFim-rDias+46)</f>
        <v>0</v>
      </c>
      <c r="B47">
        <f>IF(46&lt;=rDias,TEXT(DAY(A47),"00")&amp;"/"&amp;TEXT(MONTH(A47),"00"),IF(46=rDias+1,"Média",""))</f>
        <v>0</v>
      </c>
      <c r="C47">
        <f>IF(46&lt;=rDias,IFERROR(IF(INDEX(h_espP,MATCH(A47,h_data,0))="",NA(),INDEX(h_espP,MATCH(A47,h_data,0))),NA()),IF(46=rDias+1,IF(ISNUMBER(gMed_espP),gMed_espP,NA()),NA()))</f>
        <v>0</v>
      </c>
      <c r="D47">
        <f>IF(46&lt;=rDias,IFERROR(IF(INDEX(h_eb6,MATCH(A47,h_data,0))="",NA(),INDEX(h_eb6,MATCH(A47,h_data,0))),NA()),IF(46=rDias+1,IF(ISNUMBER(gMed_eb6),gMed_eb6,NA()),NA()))</f>
        <v>0</v>
      </c>
      <c r="E47">
        <f>IF(46&lt;=rDias,IFERROR(IF(INDEX(h_difK,MATCH(A47,h_data,0))="",NA(),INDEX(h_difK,MATCH(A47,h_data,0))),NA()),IF(46=rDias+1,NA(),NA()))</f>
        <v>0</v>
      </c>
      <c r="F47">
        <f>IF(AND(46=rDias+1,ISNUMBER(gMed_difK)),gMed_difK,NA())</f>
        <v>0</v>
      </c>
      <c r="G47">
        <f>IF(46&lt;=rDias+1,cfgTol,NA())</f>
        <v>0</v>
      </c>
      <c r="H47">
        <f>IF(46&lt;=rDias+1,-cfgTol,NA())</f>
        <v>0</v>
      </c>
      <c r="I47">
        <f>IF(46&lt;=rDias,IFERROR(IF(INDEX(h_eb4P,MATCH(A47,h_data,0))="",NA(),INDEX(h_eb4P,MATCH(A47,h_data,0))),NA()),IF(46=rDias+1,IF(ISNUMBER(gMed_eb4P),gMed_eb4P,NA()),NA()))</f>
        <v>0</v>
      </c>
      <c r="J47">
        <f>IF(46&lt;=rDias,IFERROR(IF(INDEX(h_difJ,MATCH(A47,h_data,0))="",NA(),INDEX(h_difJ,MATCH(A47,h_data,0))),NA()),IF(46=rDias+1,NA(),NA()))</f>
        <v>0</v>
      </c>
      <c r="K47">
        <f>IF(AND(46=rDias+1,ISNUMBER(gMed_difJ)),gMed_difJ,NA())</f>
        <v>0</v>
      </c>
      <c r="L47">
        <f>IF(46&lt;=rDias,IFERROR(IF(INDEX(h_tk01,MATCH(A47,h_data,0))="",NA(),INDEX(h_tk01,MATCH(A47,h_data,0))),NA()),IF(46=rDias+1,IF(ISNUMBER(gMed_tk01),gMed_tk01,NA()),NA()))</f>
        <v>0</v>
      </c>
      <c r="M47">
        <f>IF(46&lt;=rDias,IFERROR(IF(INDEX(h_tk02,MATCH(A47,h_data,0))="",NA(),INDEX(h_tk02,MATCH(A47,h_data,0))),NA()),IF(46=rDias+1,IF(ISNUMBER(gMed_tk02),gMed_tk02,NA()),NA()))</f>
        <v>0</v>
      </c>
      <c r="N47">
        <f>IF(46&lt;=rDias,IFERROR(IF(INDEX(h_pctLama,MATCH(A47,h_data,0))="",NA(),INDEX(h_pctLama,MATCH(A47,h_data,0))),NA()),IF(46=rDias+1,NA(),NA()))</f>
        <v>0</v>
      </c>
      <c r="O47">
        <f>IF(AND(46=rDias+1,ISNUMBER(gMed_pctLama)),gMed_pctLama,NA())</f>
        <v>0</v>
      </c>
      <c r="P47">
        <f>IF(46&lt;=rDias,IFERROR(N47/1,-1),-1)</f>
        <v>0</v>
      </c>
    </row>
    <row r="48" spans="1:16">
      <c r="A48" s="76">
        <f>IF(47&gt;rDias,"",rFim-rDias+47)</f>
        <v>0</v>
      </c>
      <c r="B48">
        <f>IF(47&lt;=rDias,TEXT(DAY(A48),"00")&amp;"/"&amp;TEXT(MONTH(A48),"00"),IF(47=rDias+1,"Média",""))</f>
        <v>0</v>
      </c>
      <c r="C48">
        <f>IF(47&lt;=rDias,IFERROR(IF(INDEX(h_espP,MATCH(A48,h_data,0))="",NA(),INDEX(h_espP,MATCH(A48,h_data,0))),NA()),IF(47=rDias+1,IF(ISNUMBER(gMed_espP),gMed_espP,NA()),NA()))</f>
        <v>0</v>
      </c>
      <c r="D48">
        <f>IF(47&lt;=rDias,IFERROR(IF(INDEX(h_eb6,MATCH(A48,h_data,0))="",NA(),INDEX(h_eb6,MATCH(A48,h_data,0))),NA()),IF(47=rDias+1,IF(ISNUMBER(gMed_eb6),gMed_eb6,NA()),NA()))</f>
        <v>0</v>
      </c>
      <c r="E48">
        <f>IF(47&lt;=rDias,IFERROR(IF(INDEX(h_difK,MATCH(A48,h_data,0))="",NA(),INDEX(h_difK,MATCH(A48,h_data,0))),NA()),IF(47=rDias+1,NA(),NA()))</f>
        <v>0</v>
      </c>
      <c r="F48">
        <f>IF(AND(47=rDias+1,ISNUMBER(gMed_difK)),gMed_difK,NA())</f>
        <v>0</v>
      </c>
      <c r="G48">
        <f>IF(47&lt;=rDias+1,cfgTol,NA())</f>
        <v>0</v>
      </c>
      <c r="H48">
        <f>IF(47&lt;=rDias+1,-cfgTol,NA())</f>
        <v>0</v>
      </c>
      <c r="I48">
        <f>IF(47&lt;=rDias,IFERROR(IF(INDEX(h_eb4P,MATCH(A48,h_data,0))="",NA(),INDEX(h_eb4P,MATCH(A48,h_data,0))),NA()),IF(47=rDias+1,IF(ISNUMBER(gMed_eb4P),gMed_eb4P,NA()),NA()))</f>
        <v>0</v>
      </c>
      <c r="J48">
        <f>IF(47&lt;=rDias,IFERROR(IF(INDEX(h_difJ,MATCH(A48,h_data,0))="",NA(),INDEX(h_difJ,MATCH(A48,h_data,0))),NA()),IF(47=rDias+1,NA(),NA()))</f>
        <v>0</v>
      </c>
      <c r="K48">
        <f>IF(AND(47=rDias+1,ISNUMBER(gMed_difJ)),gMed_difJ,NA())</f>
        <v>0</v>
      </c>
      <c r="L48">
        <f>IF(47&lt;=rDias,IFERROR(IF(INDEX(h_tk01,MATCH(A48,h_data,0))="",NA(),INDEX(h_tk01,MATCH(A48,h_data,0))),NA()),IF(47=rDias+1,IF(ISNUMBER(gMed_tk01),gMed_tk01,NA()),NA()))</f>
        <v>0</v>
      </c>
      <c r="M48">
        <f>IF(47&lt;=rDias,IFERROR(IF(INDEX(h_tk02,MATCH(A48,h_data,0))="",NA(),INDEX(h_tk02,MATCH(A48,h_data,0))),NA()),IF(47=rDias+1,IF(ISNUMBER(gMed_tk02),gMed_tk02,NA()),NA()))</f>
        <v>0</v>
      </c>
      <c r="N48">
        <f>IF(47&lt;=rDias,IFERROR(IF(INDEX(h_pctLama,MATCH(A48,h_data,0))="",NA(),INDEX(h_pctLama,MATCH(A48,h_data,0))),NA()),IF(47=rDias+1,NA(),NA()))</f>
        <v>0</v>
      </c>
      <c r="O48">
        <f>IF(AND(47=rDias+1,ISNUMBER(gMed_pctLama)),gMed_pctLama,NA())</f>
        <v>0</v>
      </c>
      <c r="P48">
        <f>IF(47&lt;=rDias,IFERROR(N48/1,-1),-1)</f>
        <v>0</v>
      </c>
    </row>
    <row r="49" spans="1:16">
      <c r="A49" s="76">
        <f>IF(48&gt;rDias,"",rFim-rDias+48)</f>
        <v>0</v>
      </c>
      <c r="B49">
        <f>IF(48&lt;=rDias,TEXT(DAY(A49),"00")&amp;"/"&amp;TEXT(MONTH(A49),"00"),IF(48=rDias+1,"Média",""))</f>
        <v>0</v>
      </c>
      <c r="C49">
        <f>IF(48&lt;=rDias,IFERROR(IF(INDEX(h_espP,MATCH(A49,h_data,0))="",NA(),INDEX(h_espP,MATCH(A49,h_data,0))),NA()),IF(48=rDias+1,IF(ISNUMBER(gMed_espP),gMed_espP,NA()),NA()))</f>
        <v>0</v>
      </c>
      <c r="D49">
        <f>IF(48&lt;=rDias,IFERROR(IF(INDEX(h_eb6,MATCH(A49,h_data,0))="",NA(),INDEX(h_eb6,MATCH(A49,h_data,0))),NA()),IF(48=rDias+1,IF(ISNUMBER(gMed_eb6),gMed_eb6,NA()),NA()))</f>
        <v>0</v>
      </c>
      <c r="E49">
        <f>IF(48&lt;=rDias,IFERROR(IF(INDEX(h_difK,MATCH(A49,h_data,0))="",NA(),INDEX(h_difK,MATCH(A49,h_data,0))),NA()),IF(48=rDias+1,NA(),NA()))</f>
        <v>0</v>
      </c>
      <c r="F49">
        <f>IF(AND(48=rDias+1,ISNUMBER(gMed_difK)),gMed_difK,NA())</f>
        <v>0</v>
      </c>
      <c r="G49">
        <f>IF(48&lt;=rDias+1,cfgTol,NA())</f>
        <v>0</v>
      </c>
      <c r="H49">
        <f>IF(48&lt;=rDias+1,-cfgTol,NA())</f>
        <v>0</v>
      </c>
      <c r="I49">
        <f>IF(48&lt;=rDias,IFERROR(IF(INDEX(h_eb4P,MATCH(A49,h_data,0))="",NA(),INDEX(h_eb4P,MATCH(A49,h_data,0))),NA()),IF(48=rDias+1,IF(ISNUMBER(gMed_eb4P),gMed_eb4P,NA()),NA()))</f>
        <v>0</v>
      </c>
      <c r="J49">
        <f>IF(48&lt;=rDias,IFERROR(IF(INDEX(h_difJ,MATCH(A49,h_data,0))="",NA(),INDEX(h_difJ,MATCH(A49,h_data,0))),NA()),IF(48=rDias+1,NA(),NA()))</f>
        <v>0</v>
      </c>
      <c r="K49">
        <f>IF(AND(48=rDias+1,ISNUMBER(gMed_difJ)),gMed_difJ,NA())</f>
        <v>0</v>
      </c>
      <c r="L49">
        <f>IF(48&lt;=rDias,IFERROR(IF(INDEX(h_tk01,MATCH(A49,h_data,0))="",NA(),INDEX(h_tk01,MATCH(A49,h_data,0))),NA()),IF(48=rDias+1,IF(ISNUMBER(gMed_tk01),gMed_tk01,NA()),NA()))</f>
        <v>0</v>
      </c>
      <c r="M49">
        <f>IF(48&lt;=rDias,IFERROR(IF(INDEX(h_tk02,MATCH(A49,h_data,0))="",NA(),INDEX(h_tk02,MATCH(A49,h_data,0))),NA()),IF(48=rDias+1,IF(ISNUMBER(gMed_tk02),gMed_tk02,NA()),NA()))</f>
        <v>0</v>
      </c>
      <c r="N49">
        <f>IF(48&lt;=rDias,IFERROR(IF(INDEX(h_pctLama,MATCH(A49,h_data,0))="",NA(),INDEX(h_pctLama,MATCH(A49,h_data,0))),NA()),IF(48=rDias+1,NA(),NA()))</f>
        <v>0</v>
      </c>
      <c r="O49">
        <f>IF(AND(48=rDias+1,ISNUMBER(gMed_pctLama)),gMed_pctLama,NA())</f>
        <v>0</v>
      </c>
      <c r="P49">
        <f>IF(48&lt;=rDias,IFERROR(N49/1,-1),-1)</f>
        <v>0</v>
      </c>
    </row>
    <row r="50" spans="1:16">
      <c r="A50" s="76">
        <f>IF(49&gt;rDias,"",rFim-rDias+49)</f>
        <v>0</v>
      </c>
      <c r="B50">
        <f>IF(49&lt;=rDias,TEXT(DAY(A50),"00")&amp;"/"&amp;TEXT(MONTH(A50),"00"),IF(49=rDias+1,"Média",""))</f>
        <v>0</v>
      </c>
      <c r="C50">
        <f>IF(49&lt;=rDias,IFERROR(IF(INDEX(h_espP,MATCH(A50,h_data,0))="",NA(),INDEX(h_espP,MATCH(A50,h_data,0))),NA()),IF(49=rDias+1,IF(ISNUMBER(gMed_espP),gMed_espP,NA()),NA()))</f>
        <v>0</v>
      </c>
      <c r="D50">
        <f>IF(49&lt;=rDias,IFERROR(IF(INDEX(h_eb6,MATCH(A50,h_data,0))="",NA(),INDEX(h_eb6,MATCH(A50,h_data,0))),NA()),IF(49=rDias+1,IF(ISNUMBER(gMed_eb6),gMed_eb6,NA()),NA()))</f>
        <v>0</v>
      </c>
      <c r="E50">
        <f>IF(49&lt;=rDias,IFERROR(IF(INDEX(h_difK,MATCH(A50,h_data,0))="",NA(),INDEX(h_difK,MATCH(A50,h_data,0))),NA()),IF(49=rDias+1,NA(),NA()))</f>
        <v>0</v>
      </c>
      <c r="F50">
        <f>IF(AND(49=rDias+1,ISNUMBER(gMed_difK)),gMed_difK,NA())</f>
        <v>0</v>
      </c>
      <c r="G50">
        <f>IF(49&lt;=rDias+1,cfgTol,NA())</f>
        <v>0</v>
      </c>
      <c r="H50">
        <f>IF(49&lt;=rDias+1,-cfgTol,NA())</f>
        <v>0</v>
      </c>
      <c r="I50">
        <f>IF(49&lt;=rDias,IFERROR(IF(INDEX(h_eb4P,MATCH(A50,h_data,0))="",NA(),INDEX(h_eb4P,MATCH(A50,h_data,0))),NA()),IF(49=rDias+1,IF(ISNUMBER(gMed_eb4P),gMed_eb4P,NA()),NA()))</f>
        <v>0</v>
      </c>
      <c r="J50">
        <f>IF(49&lt;=rDias,IFERROR(IF(INDEX(h_difJ,MATCH(A50,h_data,0))="",NA(),INDEX(h_difJ,MATCH(A50,h_data,0))),NA()),IF(49=rDias+1,NA(),NA()))</f>
        <v>0</v>
      </c>
      <c r="K50">
        <f>IF(AND(49=rDias+1,ISNUMBER(gMed_difJ)),gMed_difJ,NA())</f>
        <v>0</v>
      </c>
      <c r="L50">
        <f>IF(49&lt;=rDias,IFERROR(IF(INDEX(h_tk01,MATCH(A50,h_data,0))="",NA(),INDEX(h_tk01,MATCH(A50,h_data,0))),NA()),IF(49=rDias+1,IF(ISNUMBER(gMed_tk01),gMed_tk01,NA()),NA()))</f>
        <v>0</v>
      </c>
      <c r="M50">
        <f>IF(49&lt;=rDias,IFERROR(IF(INDEX(h_tk02,MATCH(A50,h_data,0))="",NA(),INDEX(h_tk02,MATCH(A50,h_data,0))),NA()),IF(49=rDias+1,IF(ISNUMBER(gMed_tk02),gMed_tk02,NA()),NA()))</f>
        <v>0</v>
      </c>
      <c r="N50">
        <f>IF(49&lt;=rDias,IFERROR(IF(INDEX(h_pctLama,MATCH(A50,h_data,0))="",NA(),INDEX(h_pctLama,MATCH(A50,h_data,0))),NA()),IF(49=rDias+1,NA(),NA()))</f>
        <v>0</v>
      </c>
      <c r="O50">
        <f>IF(AND(49=rDias+1,ISNUMBER(gMed_pctLama)),gMed_pctLama,NA())</f>
        <v>0</v>
      </c>
      <c r="P50">
        <f>IF(49&lt;=rDias,IFERROR(N50/1,-1),-1)</f>
        <v>0</v>
      </c>
    </row>
    <row r="51" spans="1:16">
      <c r="A51" s="76">
        <f>IF(50&gt;rDias,"",rFim-rDias+50)</f>
        <v>0</v>
      </c>
      <c r="B51">
        <f>IF(50&lt;=rDias,TEXT(DAY(A51),"00")&amp;"/"&amp;TEXT(MONTH(A51),"00"),IF(50=rDias+1,"Média",""))</f>
        <v>0</v>
      </c>
      <c r="C51">
        <f>IF(50&lt;=rDias,IFERROR(IF(INDEX(h_espP,MATCH(A51,h_data,0))="",NA(),INDEX(h_espP,MATCH(A51,h_data,0))),NA()),IF(50=rDias+1,IF(ISNUMBER(gMed_espP),gMed_espP,NA()),NA()))</f>
        <v>0</v>
      </c>
      <c r="D51">
        <f>IF(50&lt;=rDias,IFERROR(IF(INDEX(h_eb6,MATCH(A51,h_data,0))="",NA(),INDEX(h_eb6,MATCH(A51,h_data,0))),NA()),IF(50=rDias+1,IF(ISNUMBER(gMed_eb6),gMed_eb6,NA()),NA()))</f>
        <v>0</v>
      </c>
      <c r="E51">
        <f>IF(50&lt;=rDias,IFERROR(IF(INDEX(h_difK,MATCH(A51,h_data,0))="",NA(),INDEX(h_difK,MATCH(A51,h_data,0))),NA()),IF(50=rDias+1,NA(),NA()))</f>
        <v>0</v>
      </c>
      <c r="F51">
        <f>IF(AND(50=rDias+1,ISNUMBER(gMed_difK)),gMed_difK,NA())</f>
        <v>0</v>
      </c>
      <c r="G51">
        <f>IF(50&lt;=rDias+1,cfgTol,NA())</f>
        <v>0</v>
      </c>
      <c r="H51">
        <f>IF(50&lt;=rDias+1,-cfgTol,NA())</f>
        <v>0</v>
      </c>
      <c r="I51">
        <f>IF(50&lt;=rDias,IFERROR(IF(INDEX(h_eb4P,MATCH(A51,h_data,0))="",NA(),INDEX(h_eb4P,MATCH(A51,h_data,0))),NA()),IF(50=rDias+1,IF(ISNUMBER(gMed_eb4P),gMed_eb4P,NA()),NA()))</f>
        <v>0</v>
      </c>
      <c r="J51">
        <f>IF(50&lt;=rDias,IFERROR(IF(INDEX(h_difJ,MATCH(A51,h_data,0))="",NA(),INDEX(h_difJ,MATCH(A51,h_data,0))),NA()),IF(50=rDias+1,NA(),NA()))</f>
        <v>0</v>
      </c>
      <c r="K51">
        <f>IF(AND(50=rDias+1,ISNUMBER(gMed_difJ)),gMed_difJ,NA())</f>
        <v>0</v>
      </c>
      <c r="L51">
        <f>IF(50&lt;=rDias,IFERROR(IF(INDEX(h_tk01,MATCH(A51,h_data,0))="",NA(),INDEX(h_tk01,MATCH(A51,h_data,0))),NA()),IF(50=rDias+1,IF(ISNUMBER(gMed_tk01),gMed_tk01,NA()),NA()))</f>
        <v>0</v>
      </c>
      <c r="M51">
        <f>IF(50&lt;=rDias,IFERROR(IF(INDEX(h_tk02,MATCH(A51,h_data,0))="",NA(),INDEX(h_tk02,MATCH(A51,h_data,0))),NA()),IF(50=rDias+1,IF(ISNUMBER(gMed_tk02),gMed_tk02,NA()),NA()))</f>
        <v>0</v>
      </c>
      <c r="N51">
        <f>IF(50&lt;=rDias,IFERROR(IF(INDEX(h_pctLama,MATCH(A51,h_data,0))="",NA(),INDEX(h_pctLama,MATCH(A51,h_data,0))),NA()),IF(50=rDias+1,NA(),NA()))</f>
        <v>0</v>
      </c>
      <c r="O51">
        <f>IF(AND(50=rDias+1,ISNUMBER(gMed_pctLama)),gMed_pctLama,NA())</f>
        <v>0</v>
      </c>
      <c r="P51">
        <f>IF(50&lt;=rDias,IFERROR(N51/1,-1),-1)</f>
        <v>0</v>
      </c>
    </row>
    <row r="52" spans="1:16">
      <c r="A52" s="76">
        <f>IF(51&gt;rDias,"",rFim-rDias+51)</f>
        <v>0</v>
      </c>
      <c r="B52">
        <f>IF(51&lt;=rDias,TEXT(DAY(A52),"00")&amp;"/"&amp;TEXT(MONTH(A52),"00"),IF(51=rDias+1,"Média",""))</f>
        <v>0</v>
      </c>
      <c r="C52">
        <f>IF(51&lt;=rDias,IFERROR(IF(INDEX(h_espP,MATCH(A52,h_data,0))="",NA(),INDEX(h_espP,MATCH(A52,h_data,0))),NA()),IF(51=rDias+1,IF(ISNUMBER(gMed_espP),gMed_espP,NA()),NA()))</f>
        <v>0</v>
      </c>
      <c r="D52">
        <f>IF(51&lt;=rDias,IFERROR(IF(INDEX(h_eb6,MATCH(A52,h_data,0))="",NA(),INDEX(h_eb6,MATCH(A52,h_data,0))),NA()),IF(51=rDias+1,IF(ISNUMBER(gMed_eb6),gMed_eb6,NA()),NA()))</f>
        <v>0</v>
      </c>
      <c r="E52">
        <f>IF(51&lt;=rDias,IFERROR(IF(INDEX(h_difK,MATCH(A52,h_data,0))="",NA(),INDEX(h_difK,MATCH(A52,h_data,0))),NA()),IF(51=rDias+1,NA(),NA()))</f>
        <v>0</v>
      </c>
      <c r="F52">
        <f>IF(AND(51=rDias+1,ISNUMBER(gMed_difK)),gMed_difK,NA())</f>
        <v>0</v>
      </c>
      <c r="G52">
        <f>IF(51&lt;=rDias+1,cfgTol,NA())</f>
        <v>0</v>
      </c>
      <c r="H52">
        <f>IF(51&lt;=rDias+1,-cfgTol,NA())</f>
        <v>0</v>
      </c>
      <c r="I52">
        <f>IF(51&lt;=rDias,IFERROR(IF(INDEX(h_eb4P,MATCH(A52,h_data,0))="",NA(),INDEX(h_eb4P,MATCH(A52,h_data,0))),NA()),IF(51=rDias+1,IF(ISNUMBER(gMed_eb4P),gMed_eb4P,NA()),NA()))</f>
        <v>0</v>
      </c>
      <c r="J52">
        <f>IF(51&lt;=rDias,IFERROR(IF(INDEX(h_difJ,MATCH(A52,h_data,0))="",NA(),INDEX(h_difJ,MATCH(A52,h_data,0))),NA()),IF(51=rDias+1,NA(),NA()))</f>
        <v>0</v>
      </c>
      <c r="K52">
        <f>IF(AND(51=rDias+1,ISNUMBER(gMed_difJ)),gMed_difJ,NA())</f>
        <v>0</v>
      </c>
      <c r="L52">
        <f>IF(51&lt;=rDias,IFERROR(IF(INDEX(h_tk01,MATCH(A52,h_data,0))="",NA(),INDEX(h_tk01,MATCH(A52,h_data,0))),NA()),IF(51=rDias+1,IF(ISNUMBER(gMed_tk01),gMed_tk01,NA()),NA()))</f>
        <v>0</v>
      </c>
      <c r="M52">
        <f>IF(51&lt;=rDias,IFERROR(IF(INDEX(h_tk02,MATCH(A52,h_data,0))="",NA(),INDEX(h_tk02,MATCH(A52,h_data,0))),NA()),IF(51=rDias+1,IF(ISNUMBER(gMed_tk02),gMed_tk02,NA()),NA()))</f>
        <v>0</v>
      </c>
      <c r="N52">
        <f>IF(51&lt;=rDias,IFERROR(IF(INDEX(h_pctLama,MATCH(A52,h_data,0))="",NA(),INDEX(h_pctLama,MATCH(A52,h_data,0))),NA()),IF(51=rDias+1,NA(),NA()))</f>
        <v>0</v>
      </c>
      <c r="O52">
        <f>IF(AND(51=rDias+1,ISNUMBER(gMed_pctLama)),gMed_pctLama,NA())</f>
        <v>0</v>
      </c>
      <c r="P52">
        <f>IF(51&lt;=rDias,IFERROR(N52/1,-1),-1)</f>
        <v>0</v>
      </c>
    </row>
    <row r="53" spans="1:16">
      <c r="A53" s="76">
        <f>IF(52&gt;rDias,"",rFim-rDias+52)</f>
        <v>0</v>
      </c>
      <c r="B53">
        <f>IF(52&lt;=rDias,TEXT(DAY(A53),"00")&amp;"/"&amp;TEXT(MONTH(A53),"00"),IF(52=rDias+1,"Média",""))</f>
        <v>0</v>
      </c>
      <c r="C53">
        <f>IF(52&lt;=rDias,IFERROR(IF(INDEX(h_espP,MATCH(A53,h_data,0))="",NA(),INDEX(h_espP,MATCH(A53,h_data,0))),NA()),IF(52=rDias+1,IF(ISNUMBER(gMed_espP),gMed_espP,NA()),NA()))</f>
        <v>0</v>
      </c>
      <c r="D53">
        <f>IF(52&lt;=rDias,IFERROR(IF(INDEX(h_eb6,MATCH(A53,h_data,0))="",NA(),INDEX(h_eb6,MATCH(A53,h_data,0))),NA()),IF(52=rDias+1,IF(ISNUMBER(gMed_eb6),gMed_eb6,NA()),NA()))</f>
        <v>0</v>
      </c>
      <c r="E53">
        <f>IF(52&lt;=rDias,IFERROR(IF(INDEX(h_difK,MATCH(A53,h_data,0))="",NA(),INDEX(h_difK,MATCH(A53,h_data,0))),NA()),IF(52=rDias+1,NA(),NA()))</f>
        <v>0</v>
      </c>
      <c r="F53">
        <f>IF(AND(52=rDias+1,ISNUMBER(gMed_difK)),gMed_difK,NA())</f>
        <v>0</v>
      </c>
      <c r="G53">
        <f>IF(52&lt;=rDias+1,cfgTol,NA())</f>
        <v>0</v>
      </c>
      <c r="H53">
        <f>IF(52&lt;=rDias+1,-cfgTol,NA())</f>
        <v>0</v>
      </c>
      <c r="I53">
        <f>IF(52&lt;=rDias,IFERROR(IF(INDEX(h_eb4P,MATCH(A53,h_data,0))="",NA(),INDEX(h_eb4P,MATCH(A53,h_data,0))),NA()),IF(52=rDias+1,IF(ISNUMBER(gMed_eb4P),gMed_eb4P,NA()),NA()))</f>
        <v>0</v>
      </c>
      <c r="J53">
        <f>IF(52&lt;=rDias,IFERROR(IF(INDEX(h_difJ,MATCH(A53,h_data,0))="",NA(),INDEX(h_difJ,MATCH(A53,h_data,0))),NA()),IF(52=rDias+1,NA(),NA()))</f>
        <v>0</v>
      </c>
      <c r="K53">
        <f>IF(AND(52=rDias+1,ISNUMBER(gMed_difJ)),gMed_difJ,NA())</f>
        <v>0</v>
      </c>
      <c r="L53">
        <f>IF(52&lt;=rDias,IFERROR(IF(INDEX(h_tk01,MATCH(A53,h_data,0))="",NA(),INDEX(h_tk01,MATCH(A53,h_data,0))),NA()),IF(52=rDias+1,IF(ISNUMBER(gMed_tk01),gMed_tk01,NA()),NA()))</f>
        <v>0</v>
      </c>
      <c r="M53">
        <f>IF(52&lt;=rDias,IFERROR(IF(INDEX(h_tk02,MATCH(A53,h_data,0))="",NA(),INDEX(h_tk02,MATCH(A53,h_data,0))),NA()),IF(52=rDias+1,IF(ISNUMBER(gMed_tk02),gMed_tk02,NA()),NA()))</f>
        <v>0</v>
      </c>
      <c r="N53">
        <f>IF(52&lt;=rDias,IFERROR(IF(INDEX(h_pctLama,MATCH(A53,h_data,0))="",NA(),INDEX(h_pctLama,MATCH(A53,h_data,0))),NA()),IF(52=rDias+1,NA(),NA()))</f>
        <v>0</v>
      </c>
      <c r="O53">
        <f>IF(AND(52=rDias+1,ISNUMBER(gMed_pctLama)),gMed_pctLama,NA())</f>
        <v>0</v>
      </c>
      <c r="P53">
        <f>IF(52&lt;=rDias,IFERROR(N53/1,-1),-1)</f>
        <v>0</v>
      </c>
    </row>
    <row r="54" spans="1:16">
      <c r="A54" s="76">
        <f>IF(53&gt;rDias,"",rFim-rDias+53)</f>
        <v>0</v>
      </c>
      <c r="B54">
        <f>IF(53&lt;=rDias,TEXT(DAY(A54),"00")&amp;"/"&amp;TEXT(MONTH(A54),"00"),IF(53=rDias+1,"Média",""))</f>
        <v>0</v>
      </c>
      <c r="C54">
        <f>IF(53&lt;=rDias,IFERROR(IF(INDEX(h_espP,MATCH(A54,h_data,0))="",NA(),INDEX(h_espP,MATCH(A54,h_data,0))),NA()),IF(53=rDias+1,IF(ISNUMBER(gMed_espP),gMed_espP,NA()),NA()))</f>
        <v>0</v>
      </c>
      <c r="D54">
        <f>IF(53&lt;=rDias,IFERROR(IF(INDEX(h_eb6,MATCH(A54,h_data,0))="",NA(),INDEX(h_eb6,MATCH(A54,h_data,0))),NA()),IF(53=rDias+1,IF(ISNUMBER(gMed_eb6),gMed_eb6,NA()),NA()))</f>
        <v>0</v>
      </c>
      <c r="E54">
        <f>IF(53&lt;=rDias,IFERROR(IF(INDEX(h_difK,MATCH(A54,h_data,0))="",NA(),INDEX(h_difK,MATCH(A54,h_data,0))),NA()),IF(53=rDias+1,NA(),NA()))</f>
        <v>0</v>
      </c>
      <c r="F54">
        <f>IF(AND(53=rDias+1,ISNUMBER(gMed_difK)),gMed_difK,NA())</f>
        <v>0</v>
      </c>
      <c r="G54">
        <f>IF(53&lt;=rDias+1,cfgTol,NA())</f>
        <v>0</v>
      </c>
      <c r="H54">
        <f>IF(53&lt;=rDias+1,-cfgTol,NA())</f>
        <v>0</v>
      </c>
      <c r="I54">
        <f>IF(53&lt;=rDias,IFERROR(IF(INDEX(h_eb4P,MATCH(A54,h_data,0))="",NA(),INDEX(h_eb4P,MATCH(A54,h_data,0))),NA()),IF(53=rDias+1,IF(ISNUMBER(gMed_eb4P),gMed_eb4P,NA()),NA()))</f>
        <v>0</v>
      </c>
      <c r="J54">
        <f>IF(53&lt;=rDias,IFERROR(IF(INDEX(h_difJ,MATCH(A54,h_data,0))="",NA(),INDEX(h_difJ,MATCH(A54,h_data,0))),NA()),IF(53=rDias+1,NA(),NA()))</f>
        <v>0</v>
      </c>
      <c r="K54">
        <f>IF(AND(53=rDias+1,ISNUMBER(gMed_difJ)),gMed_difJ,NA())</f>
        <v>0</v>
      </c>
      <c r="L54">
        <f>IF(53&lt;=rDias,IFERROR(IF(INDEX(h_tk01,MATCH(A54,h_data,0))="",NA(),INDEX(h_tk01,MATCH(A54,h_data,0))),NA()),IF(53=rDias+1,IF(ISNUMBER(gMed_tk01),gMed_tk01,NA()),NA()))</f>
        <v>0</v>
      </c>
      <c r="M54">
        <f>IF(53&lt;=rDias,IFERROR(IF(INDEX(h_tk02,MATCH(A54,h_data,0))="",NA(),INDEX(h_tk02,MATCH(A54,h_data,0))),NA()),IF(53=rDias+1,IF(ISNUMBER(gMed_tk02),gMed_tk02,NA()),NA()))</f>
        <v>0</v>
      </c>
      <c r="N54">
        <f>IF(53&lt;=rDias,IFERROR(IF(INDEX(h_pctLama,MATCH(A54,h_data,0))="",NA(),INDEX(h_pctLama,MATCH(A54,h_data,0))),NA()),IF(53=rDias+1,NA(),NA()))</f>
        <v>0</v>
      </c>
      <c r="O54">
        <f>IF(AND(53=rDias+1,ISNUMBER(gMed_pctLama)),gMed_pctLama,NA())</f>
        <v>0</v>
      </c>
      <c r="P54">
        <f>IF(53&lt;=rDias,IFERROR(N54/1,-1),-1)</f>
        <v>0</v>
      </c>
    </row>
    <row r="55" spans="1:16">
      <c r="A55" s="76">
        <f>IF(54&gt;rDias,"",rFim-rDias+54)</f>
        <v>0</v>
      </c>
      <c r="B55">
        <f>IF(54&lt;=rDias,TEXT(DAY(A55),"00")&amp;"/"&amp;TEXT(MONTH(A55),"00"),IF(54=rDias+1,"Média",""))</f>
        <v>0</v>
      </c>
      <c r="C55">
        <f>IF(54&lt;=rDias,IFERROR(IF(INDEX(h_espP,MATCH(A55,h_data,0))="",NA(),INDEX(h_espP,MATCH(A55,h_data,0))),NA()),IF(54=rDias+1,IF(ISNUMBER(gMed_espP),gMed_espP,NA()),NA()))</f>
        <v>0</v>
      </c>
      <c r="D55">
        <f>IF(54&lt;=rDias,IFERROR(IF(INDEX(h_eb6,MATCH(A55,h_data,0))="",NA(),INDEX(h_eb6,MATCH(A55,h_data,0))),NA()),IF(54=rDias+1,IF(ISNUMBER(gMed_eb6),gMed_eb6,NA()),NA()))</f>
        <v>0</v>
      </c>
      <c r="E55">
        <f>IF(54&lt;=rDias,IFERROR(IF(INDEX(h_difK,MATCH(A55,h_data,0))="",NA(),INDEX(h_difK,MATCH(A55,h_data,0))),NA()),IF(54=rDias+1,NA(),NA()))</f>
        <v>0</v>
      </c>
      <c r="F55">
        <f>IF(AND(54=rDias+1,ISNUMBER(gMed_difK)),gMed_difK,NA())</f>
        <v>0</v>
      </c>
      <c r="G55">
        <f>IF(54&lt;=rDias+1,cfgTol,NA())</f>
        <v>0</v>
      </c>
      <c r="H55">
        <f>IF(54&lt;=rDias+1,-cfgTol,NA())</f>
        <v>0</v>
      </c>
      <c r="I55">
        <f>IF(54&lt;=rDias,IFERROR(IF(INDEX(h_eb4P,MATCH(A55,h_data,0))="",NA(),INDEX(h_eb4P,MATCH(A55,h_data,0))),NA()),IF(54=rDias+1,IF(ISNUMBER(gMed_eb4P),gMed_eb4P,NA()),NA()))</f>
        <v>0</v>
      </c>
      <c r="J55">
        <f>IF(54&lt;=rDias,IFERROR(IF(INDEX(h_difJ,MATCH(A55,h_data,0))="",NA(),INDEX(h_difJ,MATCH(A55,h_data,0))),NA()),IF(54=rDias+1,NA(),NA()))</f>
        <v>0</v>
      </c>
      <c r="K55">
        <f>IF(AND(54=rDias+1,ISNUMBER(gMed_difJ)),gMed_difJ,NA())</f>
        <v>0</v>
      </c>
      <c r="L55">
        <f>IF(54&lt;=rDias,IFERROR(IF(INDEX(h_tk01,MATCH(A55,h_data,0))="",NA(),INDEX(h_tk01,MATCH(A55,h_data,0))),NA()),IF(54=rDias+1,IF(ISNUMBER(gMed_tk01),gMed_tk01,NA()),NA()))</f>
        <v>0</v>
      </c>
      <c r="M55">
        <f>IF(54&lt;=rDias,IFERROR(IF(INDEX(h_tk02,MATCH(A55,h_data,0))="",NA(),INDEX(h_tk02,MATCH(A55,h_data,0))),NA()),IF(54=rDias+1,IF(ISNUMBER(gMed_tk02),gMed_tk02,NA()),NA()))</f>
        <v>0</v>
      </c>
      <c r="N55">
        <f>IF(54&lt;=rDias,IFERROR(IF(INDEX(h_pctLama,MATCH(A55,h_data,0))="",NA(),INDEX(h_pctLama,MATCH(A55,h_data,0))),NA()),IF(54=rDias+1,NA(),NA()))</f>
        <v>0</v>
      </c>
      <c r="O55">
        <f>IF(AND(54=rDias+1,ISNUMBER(gMed_pctLama)),gMed_pctLama,NA())</f>
        <v>0</v>
      </c>
      <c r="P55">
        <f>IF(54&lt;=rDias,IFERROR(N55/1,-1),-1)</f>
        <v>0</v>
      </c>
    </row>
    <row r="56" spans="1:16">
      <c r="A56" s="76">
        <f>IF(55&gt;rDias,"",rFim-rDias+55)</f>
        <v>0</v>
      </c>
      <c r="B56">
        <f>IF(55&lt;=rDias,TEXT(DAY(A56),"00")&amp;"/"&amp;TEXT(MONTH(A56),"00"),IF(55=rDias+1,"Média",""))</f>
        <v>0</v>
      </c>
      <c r="C56">
        <f>IF(55&lt;=rDias,IFERROR(IF(INDEX(h_espP,MATCH(A56,h_data,0))="",NA(),INDEX(h_espP,MATCH(A56,h_data,0))),NA()),IF(55=rDias+1,IF(ISNUMBER(gMed_espP),gMed_espP,NA()),NA()))</f>
        <v>0</v>
      </c>
      <c r="D56">
        <f>IF(55&lt;=rDias,IFERROR(IF(INDEX(h_eb6,MATCH(A56,h_data,0))="",NA(),INDEX(h_eb6,MATCH(A56,h_data,0))),NA()),IF(55=rDias+1,IF(ISNUMBER(gMed_eb6),gMed_eb6,NA()),NA()))</f>
        <v>0</v>
      </c>
      <c r="E56">
        <f>IF(55&lt;=rDias,IFERROR(IF(INDEX(h_difK,MATCH(A56,h_data,0))="",NA(),INDEX(h_difK,MATCH(A56,h_data,0))),NA()),IF(55=rDias+1,NA(),NA()))</f>
        <v>0</v>
      </c>
      <c r="F56">
        <f>IF(AND(55=rDias+1,ISNUMBER(gMed_difK)),gMed_difK,NA())</f>
        <v>0</v>
      </c>
      <c r="G56">
        <f>IF(55&lt;=rDias+1,cfgTol,NA())</f>
        <v>0</v>
      </c>
      <c r="H56">
        <f>IF(55&lt;=rDias+1,-cfgTol,NA())</f>
        <v>0</v>
      </c>
      <c r="I56">
        <f>IF(55&lt;=rDias,IFERROR(IF(INDEX(h_eb4P,MATCH(A56,h_data,0))="",NA(),INDEX(h_eb4P,MATCH(A56,h_data,0))),NA()),IF(55=rDias+1,IF(ISNUMBER(gMed_eb4P),gMed_eb4P,NA()),NA()))</f>
        <v>0</v>
      </c>
      <c r="J56">
        <f>IF(55&lt;=rDias,IFERROR(IF(INDEX(h_difJ,MATCH(A56,h_data,0))="",NA(),INDEX(h_difJ,MATCH(A56,h_data,0))),NA()),IF(55=rDias+1,NA(),NA()))</f>
        <v>0</v>
      </c>
      <c r="K56">
        <f>IF(AND(55=rDias+1,ISNUMBER(gMed_difJ)),gMed_difJ,NA())</f>
        <v>0</v>
      </c>
      <c r="L56">
        <f>IF(55&lt;=rDias,IFERROR(IF(INDEX(h_tk01,MATCH(A56,h_data,0))="",NA(),INDEX(h_tk01,MATCH(A56,h_data,0))),NA()),IF(55=rDias+1,IF(ISNUMBER(gMed_tk01),gMed_tk01,NA()),NA()))</f>
        <v>0</v>
      </c>
      <c r="M56">
        <f>IF(55&lt;=rDias,IFERROR(IF(INDEX(h_tk02,MATCH(A56,h_data,0))="",NA(),INDEX(h_tk02,MATCH(A56,h_data,0))),NA()),IF(55=rDias+1,IF(ISNUMBER(gMed_tk02),gMed_tk02,NA()),NA()))</f>
        <v>0</v>
      </c>
      <c r="N56">
        <f>IF(55&lt;=rDias,IFERROR(IF(INDEX(h_pctLama,MATCH(A56,h_data,0))="",NA(),INDEX(h_pctLama,MATCH(A56,h_data,0))),NA()),IF(55=rDias+1,NA(),NA()))</f>
        <v>0</v>
      </c>
      <c r="O56">
        <f>IF(AND(55=rDias+1,ISNUMBER(gMed_pctLama)),gMed_pctLama,NA())</f>
        <v>0</v>
      </c>
      <c r="P56">
        <f>IF(55&lt;=rDias,IFERROR(N56/1,-1),-1)</f>
        <v>0</v>
      </c>
    </row>
    <row r="57" spans="1:16">
      <c r="A57" s="76">
        <f>IF(56&gt;rDias,"",rFim-rDias+56)</f>
        <v>0</v>
      </c>
      <c r="B57">
        <f>IF(56&lt;=rDias,TEXT(DAY(A57),"00")&amp;"/"&amp;TEXT(MONTH(A57),"00"),IF(56=rDias+1,"Média",""))</f>
        <v>0</v>
      </c>
      <c r="C57">
        <f>IF(56&lt;=rDias,IFERROR(IF(INDEX(h_espP,MATCH(A57,h_data,0))="",NA(),INDEX(h_espP,MATCH(A57,h_data,0))),NA()),IF(56=rDias+1,IF(ISNUMBER(gMed_espP),gMed_espP,NA()),NA()))</f>
        <v>0</v>
      </c>
      <c r="D57">
        <f>IF(56&lt;=rDias,IFERROR(IF(INDEX(h_eb6,MATCH(A57,h_data,0))="",NA(),INDEX(h_eb6,MATCH(A57,h_data,0))),NA()),IF(56=rDias+1,IF(ISNUMBER(gMed_eb6),gMed_eb6,NA()),NA()))</f>
        <v>0</v>
      </c>
      <c r="E57">
        <f>IF(56&lt;=rDias,IFERROR(IF(INDEX(h_difK,MATCH(A57,h_data,0))="",NA(),INDEX(h_difK,MATCH(A57,h_data,0))),NA()),IF(56=rDias+1,NA(),NA()))</f>
        <v>0</v>
      </c>
      <c r="F57">
        <f>IF(AND(56=rDias+1,ISNUMBER(gMed_difK)),gMed_difK,NA())</f>
        <v>0</v>
      </c>
      <c r="G57">
        <f>IF(56&lt;=rDias+1,cfgTol,NA())</f>
        <v>0</v>
      </c>
      <c r="H57">
        <f>IF(56&lt;=rDias+1,-cfgTol,NA())</f>
        <v>0</v>
      </c>
      <c r="I57">
        <f>IF(56&lt;=rDias,IFERROR(IF(INDEX(h_eb4P,MATCH(A57,h_data,0))="",NA(),INDEX(h_eb4P,MATCH(A57,h_data,0))),NA()),IF(56=rDias+1,IF(ISNUMBER(gMed_eb4P),gMed_eb4P,NA()),NA()))</f>
        <v>0</v>
      </c>
      <c r="J57">
        <f>IF(56&lt;=rDias,IFERROR(IF(INDEX(h_difJ,MATCH(A57,h_data,0))="",NA(),INDEX(h_difJ,MATCH(A57,h_data,0))),NA()),IF(56=rDias+1,NA(),NA()))</f>
        <v>0</v>
      </c>
      <c r="K57">
        <f>IF(AND(56=rDias+1,ISNUMBER(gMed_difJ)),gMed_difJ,NA())</f>
        <v>0</v>
      </c>
      <c r="L57">
        <f>IF(56&lt;=rDias,IFERROR(IF(INDEX(h_tk01,MATCH(A57,h_data,0))="",NA(),INDEX(h_tk01,MATCH(A57,h_data,0))),NA()),IF(56=rDias+1,IF(ISNUMBER(gMed_tk01),gMed_tk01,NA()),NA()))</f>
        <v>0</v>
      </c>
      <c r="M57">
        <f>IF(56&lt;=rDias,IFERROR(IF(INDEX(h_tk02,MATCH(A57,h_data,0))="",NA(),INDEX(h_tk02,MATCH(A57,h_data,0))),NA()),IF(56=rDias+1,IF(ISNUMBER(gMed_tk02),gMed_tk02,NA()),NA()))</f>
        <v>0</v>
      </c>
      <c r="N57">
        <f>IF(56&lt;=rDias,IFERROR(IF(INDEX(h_pctLama,MATCH(A57,h_data,0))="",NA(),INDEX(h_pctLama,MATCH(A57,h_data,0))),NA()),IF(56=rDias+1,NA(),NA()))</f>
        <v>0</v>
      </c>
      <c r="O57">
        <f>IF(AND(56=rDias+1,ISNUMBER(gMed_pctLama)),gMed_pctLama,NA())</f>
        <v>0</v>
      </c>
      <c r="P57">
        <f>IF(56&lt;=rDias,IFERROR(N57/1,-1),-1)</f>
        <v>0</v>
      </c>
    </row>
    <row r="58" spans="1:16">
      <c r="A58" s="76">
        <f>IF(57&gt;rDias,"",rFim-rDias+57)</f>
        <v>0</v>
      </c>
      <c r="B58">
        <f>IF(57&lt;=rDias,TEXT(DAY(A58),"00")&amp;"/"&amp;TEXT(MONTH(A58),"00"),IF(57=rDias+1,"Média",""))</f>
        <v>0</v>
      </c>
      <c r="C58">
        <f>IF(57&lt;=rDias,IFERROR(IF(INDEX(h_espP,MATCH(A58,h_data,0))="",NA(),INDEX(h_espP,MATCH(A58,h_data,0))),NA()),IF(57=rDias+1,IF(ISNUMBER(gMed_espP),gMed_espP,NA()),NA()))</f>
        <v>0</v>
      </c>
      <c r="D58">
        <f>IF(57&lt;=rDias,IFERROR(IF(INDEX(h_eb6,MATCH(A58,h_data,0))="",NA(),INDEX(h_eb6,MATCH(A58,h_data,0))),NA()),IF(57=rDias+1,IF(ISNUMBER(gMed_eb6),gMed_eb6,NA()),NA()))</f>
        <v>0</v>
      </c>
      <c r="E58">
        <f>IF(57&lt;=rDias,IFERROR(IF(INDEX(h_difK,MATCH(A58,h_data,0))="",NA(),INDEX(h_difK,MATCH(A58,h_data,0))),NA()),IF(57=rDias+1,NA(),NA()))</f>
        <v>0</v>
      </c>
      <c r="F58">
        <f>IF(AND(57=rDias+1,ISNUMBER(gMed_difK)),gMed_difK,NA())</f>
        <v>0</v>
      </c>
      <c r="G58">
        <f>IF(57&lt;=rDias+1,cfgTol,NA())</f>
        <v>0</v>
      </c>
      <c r="H58">
        <f>IF(57&lt;=rDias+1,-cfgTol,NA())</f>
        <v>0</v>
      </c>
      <c r="I58">
        <f>IF(57&lt;=rDias,IFERROR(IF(INDEX(h_eb4P,MATCH(A58,h_data,0))="",NA(),INDEX(h_eb4P,MATCH(A58,h_data,0))),NA()),IF(57=rDias+1,IF(ISNUMBER(gMed_eb4P),gMed_eb4P,NA()),NA()))</f>
        <v>0</v>
      </c>
      <c r="J58">
        <f>IF(57&lt;=rDias,IFERROR(IF(INDEX(h_difJ,MATCH(A58,h_data,0))="",NA(),INDEX(h_difJ,MATCH(A58,h_data,0))),NA()),IF(57=rDias+1,NA(),NA()))</f>
        <v>0</v>
      </c>
      <c r="K58">
        <f>IF(AND(57=rDias+1,ISNUMBER(gMed_difJ)),gMed_difJ,NA())</f>
        <v>0</v>
      </c>
      <c r="L58">
        <f>IF(57&lt;=rDias,IFERROR(IF(INDEX(h_tk01,MATCH(A58,h_data,0))="",NA(),INDEX(h_tk01,MATCH(A58,h_data,0))),NA()),IF(57=rDias+1,IF(ISNUMBER(gMed_tk01),gMed_tk01,NA()),NA()))</f>
        <v>0</v>
      </c>
      <c r="M58">
        <f>IF(57&lt;=rDias,IFERROR(IF(INDEX(h_tk02,MATCH(A58,h_data,0))="",NA(),INDEX(h_tk02,MATCH(A58,h_data,0))),NA()),IF(57=rDias+1,IF(ISNUMBER(gMed_tk02),gMed_tk02,NA()),NA()))</f>
        <v>0</v>
      </c>
      <c r="N58">
        <f>IF(57&lt;=rDias,IFERROR(IF(INDEX(h_pctLama,MATCH(A58,h_data,0))="",NA(),INDEX(h_pctLama,MATCH(A58,h_data,0))),NA()),IF(57=rDias+1,NA(),NA()))</f>
        <v>0</v>
      </c>
      <c r="O58">
        <f>IF(AND(57=rDias+1,ISNUMBER(gMed_pctLama)),gMed_pctLama,NA())</f>
        <v>0</v>
      </c>
      <c r="P58">
        <f>IF(57&lt;=rDias,IFERROR(N58/1,-1),-1)</f>
        <v>0</v>
      </c>
    </row>
    <row r="59" spans="1:16">
      <c r="A59" s="76">
        <f>IF(58&gt;rDias,"",rFim-rDias+58)</f>
        <v>0</v>
      </c>
      <c r="B59">
        <f>IF(58&lt;=rDias,TEXT(DAY(A59),"00")&amp;"/"&amp;TEXT(MONTH(A59),"00"),IF(58=rDias+1,"Média",""))</f>
        <v>0</v>
      </c>
      <c r="C59">
        <f>IF(58&lt;=rDias,IFERROR(IF(INDEX(h_espP,MATCH(A59,h_data,0))="",NA(),INDEX(h_espP,MATCH(A59,h_data,0))),NA()),IF(58=rDias+1,IF(ISNUMBER(gMed_espP),gMed_espP,NA()),NA()))</f>
        <v>0</v>
      </c>
      <c r="D59">
        <f>IF(58&lt;=rDias,IFERROR(IF(INDEX(h_eb6,MATCH(A59,h_data,0))="",NA(),INDEX(h_eb6,MATCH(A59,h_data,0))),NA()),IF(58=rDias+1,IF(ISNUMBER(gMed_eb6),gMed_eb6,NA()),NA()))</f>
        <v>0</v>
      </c>
      <c r="E59">
        <f>IF(58&lt;=rDias,IFERROR(IF(INDEX(h_difK,MATCH(A59,h_data,0))="",NA(),INDEX(h_difK,MATCH(A59,h_data,0))),NA()),IF(58=rDias+1,NA(),NA()))</f>
        <v>0</v>
      </c>
      <c r="F59">
        <f>IF(AND(58=rDias+1,ISNUMBER(gMed_difK)),gMed_difK,NA())</f>
        <v>0</v>
      </c>
      <c r="G59">
        <f>IF(58&lt;=rDias+1,cfgTol,NA())</f>
        <v>0</v>
      </c>
      <c r="H59">
        <f>IF(58&lt;=rDias+1,-cfgTol,NA())</f>
        <v>0</v>
      </c>
      <c r="I59">
        <f>IF(58&lt;=rDias,IFERROR(IF(INDEX(h_eb4P,MATCH(A59,h_data,0))="",NA(),INDEX(h_eb4P,MATCH(A59,h_data,0))),NA()),IF(58=rDias+1,IF(ISNUMBER(gMed_eb4P),gMed_eb4P,NA()),NA()))</f>
        <v>0</v>
      </c>
      <c r="J59">
        <f>IF(58&lt;=rDias,IFERROR(IF(INDEX(h_difJ,MATCH(A59,h_data,0))="",NA(),INDEX(h_difJ,MATCH(A59,h_data,0))),NA()),IF(58=rDias+1,NA(),NA()))</f>
        <v>0</v>
      </c>
      <c r="K59">
        <f>IF(AND(58=rDias+1,ISNUMBER(gMed_difJ)),gMed_difJ,NA())</f>
        <v>0</v>
      </c>
      <c r="L59">
        <f>IF(58&lt;=rDias,IFERROR(IF(INDEX(h_tk01,MATCH(A59,h_data,0))="",NA(),INDEX(h_tk01,MATCH(A59,h_data,0))),NA()),IF(58=rDias+1,IF(ISNUMBER(gMed_tk01),gMed_tk01,NA()),NA()))</f>
        <v>0</v>
      </c>
      <c r="M59">
        <f>IF(58&lt;=rDias,IFERROR(IF(INDEX(h_tk02,MATCH(A59,h_data,0))="",NA(),INDEX(h_tk02,MATCH(A59,h_data,0))),NA()),IF(58=rDias+1,IF(ISNUMBER(gMed_tk02),gMed_tk02,NA()),NA()))</f>
        <v>0</v>
      </c>
      <c r="N59">
        <f>IF(58&lt;=rDias,IFERROR(IF(INDEX(h_pctLama,MATCH(A59,h_data,0))="",NA(),INDEX(h_pctLama,MATCH(A59,h_data,0))),NA()),IF(58=rDias+1,NA(),NA()))</f>
        <v>0</v>
      </c>
      <c r="O59">
        <f>IF(AND(58=rDias+1,ISNUMBER(gMed_pctLama)),gMed_pctLama,NA())</f>
        <v>0</v>
      </c>
      <c r="P59">
        <f>IF(58&lt;=rDias,IFERROR(N59/1,-1),-1)</f>
        <v>0</v>
      </c>
    </row>
    <row r="60" spans="1:16">
      <c r="A60" s="76">
        <f>IF(59&gt;rDias,"",rFim-rDias+59)</f>
        <v>0</v>
      </c>
      <c r="B60">
        <f>IF(59&lt;=rDias,TEXT(DAY(A60),"00")&amp;"/"&amp;TEXT(MONTH(A60),"00"),IF(59=rDias+1,"Média",""))</f>
        <v>0</v>
      </c>
      <c r="C60">
        <f>IF(59&lt;=rDias,IFERROR(IF(INDEX(h_espP,MATCH(A60,h_data,0))="",NA(),INDEX(h_espP,MATCH(A60,h_data,0))),NA()),IF(59=rDias+1,IF(ISNUMBER(gMed_espP),gMed_espP,NA()),NA()))</f>
        <v>0</v>
      </c>
      <c r="D60">
        <f>IF(59&lt;=rDias,IFERROR(IF(INDEX(h_eb6,MATCH(A60,h_data,0))="",NA(),INDEX(h_eb6,MATCH(A60,h_data,0))),NA()),IF(59=rDias+1,IF(ISNUMBER(gMed_eb6),gMed_eb6,NA()),NA()))</f>
        <v>0</v>
      </c>
      <c r="E60">
        <f>IF(59&lt;=rDias,IFERROR(IF(INDEX(h_difK,MATCH(A60,h_data,0))="",NA(),INDEX(h_difK,MATCH(A60,h_data,0))),NA()),IF(59=rDias+1,NA(),NA()))</f>
        <v>0</v>
      </c>
      <c r="F60">
        <f>IF(AND(59=rDias+1,ISNUMBER(gMed_difK)),gMed_difK,NA())</f>
        <v>0</v>
      </c>
      <c r="G60">
        <f>IF(59&lt;=rDias+1,cfgTol,NA())</f>
        <v>0</v>
      </c>
      <c r="H60">
        <f>IF(59&lt;=rDias+1,-cfgTol,NA())</f>
        <v>0</v>
      </c>
      <c r="I60">
        <f>IF(59&lt;=rDias,IFERROR(IF(INDEX(h_eb4P,MATCH(A60,h_data,0))="",NA(),INDEX(h_eb4P,MATCH(A60,h_data,0))),NA()),IF(59=rDias+1,IF(ISNUMBER(gMed_eb4P),gMed_eb4P,NA()),NA()))</f>
        <v>0</v>
      </c>
      <c r="J60">
        <f>IF(59&lt;=rDias,IFERROR(IF(INDEX(h_difJ,MATCH(A60,h_data,0))="",NA(),INDEX(h_difJ,MATCH(A60,h_data,0))),NA()),IF(59=rDias+1,NA(),NA()))</f>
        <v>0</v>
      </c>
      <c r="K60">
        <f>IF(AND(59=rDias+1,ISNUMBER(gMed_difJ)),gMed_difJ,NA())</f>
        <v>0</v>
      </c>
      <c r="L60">
        <f>IF(59&lt;=rDias,IFERROR(IF(INDEX(h_tk01,MATCH(A60,h_data,0))="",NA(),INDEX(h_tk01,MATCH(A60,h_data,0))),NA()),IF(59=rDias+1,IF(ISNUMBER(gMed_tk01),gMed_tk01,NA()),NA()))</f>
        <v>0</v>
      </c>
      <c r="M60">
        <f>IF(59&lt;=rDias,IFERROR(IF(INDEX(h_tk02,MATCH(A60,h_data,0))="",NA(),INDEX(h_tk02,MATCH(A60,h_data,0))),NA()),IF(59=rDias+1,IF(ISNUMBER(gMed_tk02),gMed_tk02,NA()),NA()))</f>
        <v>0</v>
      </c>
      <c r="N60">
        <f>IF(59&lt;=rDias,IFERROR(IF(INDEX(h_pctLama,MATCH(A60,h_data,0))="",NA(),INDEX(h_pctLama,MATCH(A60,h_data,0))),NA()),IF(59=rDias+1,NA(),NA()))</f>
        <v>0</v>
      </c>
      <c r="O60">
        <f>IF(AND(59=rDias+1,ISNUMBER(gMed_pctLama)),gMed_pctLama,NA())</f>
        <v>0</v>
      </c>
      <c r="P60">
        <f>IF(59&lt;=rDias,IFERROR(N60/1,-1),-1)</f>
        <v>0</v>
      </c>
    </row>
    <row r="61" spans="1:16">
      <c r="A61" s="76">
        <f>IF(60&gt;rDias,"",rFim-rDias+60)</f>
        <v>0</v>
      </c>
      <c r="B61">
        <f>IF(60&lt;=rDias,TEXT(DAY(A61),"00")&amp;"/"&amp;TEXT(MONTH(A61),"00"),IF(60=rDias+1,"Média",""))</f>
        <v>0</v>
      </c>
      <c r="C61">
        <f>IF(60&lt;=rDias,IFERROR(IF(INDEX(h_espP,MATCH(A61,h_data,0))="",NA(),INDEX(h_espP,MATCH(A61,h_data,0))),NA()),IF(60=rDias+1,IF(ISNUMBER(gMed_espP),gMed_espP,NA()),NA()))</f>
        <v>0</v>
      </c>
      <c r="D61">
        <f>IF(60&lt;=rDias,IFERROR(IF(INDEX(h_eb6,MATCH(A61,h_data,0))="",NA(),INDEX(h_eb6,MATCH(A61,h_data,0))),NA()),IF(60=rDias+1,IF(ISNUMBER(gMed_eb6),gMed_eb6,NA()),NA()))</f>
        <v>0</v>
      </c>
      <c r="E61">
        <f>IF(60&lt;=rDias,IFERROR(IF(INDEX(h_difK,MATCH(A61,h_data,0))="",NA(),INDEX(h_difK,MATCH(A61,h_data,0))),NA()),IF(60=rDias+1,NA(),NA()))</f>
        <v>0</v>
      </c>
      <c r="F61">
        <f>IF(AND(60=rDias+1,ISNUMBER(gMed_difK)),gMed_difK,NA())</f>
        <v>0</v>
      </c>
      <c r="G61">
        <f>IF(60&lt;=rDias+1,cfgTol,NA())</f>
        <v>0</v>
      </c>
      <c r="H61">
        <f>IF(60&lt;=rDias+1,-cfgTol,NA())</f>
        <v>0</v>
      </c>
      <c r="I61">
        <f>IF(60&lt;=rDias,IFERROR(IF(INDEX(h_eb4P,MATCH(A61,h_data,0))="",NA(),INDEX(h_eb4P,MATCH(A61,h_data,0))),NA()),IF(60=rDias+1,IF(ISNUMBER(gMed_eb4P),gMed_eb4P,NA()),NA()))</f>
        <v>0</v>
      </c>
      <c r="J61">
        <f>IF(60&lt;=rDias,IFERROR(IF(INDEX(h_difJ,MATCH(A61,h_data,0))="",NA(),INDEX(h_difJ,MATCH(A61,h_data,0))),NA()),IF(60=rDias+1,NA(),NA()))</f>
        <v>0</v>
      </c>
      <c r="K61">
        <f>IF(AND(60=rDias+1,ISNUMBER(gMed_difJ)),gMed_difJ,NA())</f>
        <v>0</v>
      </c>
      <c r="L61">
        <f>IF(60&lt;=rDias,IFERROR(IF(INDEX(h_tk01,MATCH(A61,h_data,0))="",NA(),INDEX(h_tk01,MATCH(A61,h_data,0))),NA()),IF(60=rDias+1,IF(ISNUMBER(gMed_tk01),gMed_tk01,NA()),NA()))</f>
        <v>0</v>
      </c>
      <c r="M61">
        <f>IF(60&lt;=rDias,IFERROR(IF(INDEX(h_tk02,MATCH(A61,h_data,0))="",NA(),INDEX(h_tk02,MATCH(A61,h_data,0))),NA()),IF(60=rDias+1,IF(ISNUMBER(gMed_tk02),gMed_tk02,NA()),NA()))</f>
        <v>0</v>
      </c>
      <c r="N61">
        <f>IF(60&lt;=rDias,IFERROR(IF(INDEX(h_pctLama,MATCH(A61,h_data,0))="",NA(),INDEX(h_pctLama,MATCH(A61,h_data,0))),NA()),IF(60=rDias+1,NA(),NA()))</f>
        <v>0</v>
      </c>
      <c r="O61">
        <f>IF(AND(60=rDias+1,ISNUMBER(gMed_pctLama)),gMed_pctLama,NA())</f>
        <v>0</v>
      </c>
      <c r="P61">
        <f>IF(60&lt;=rDias,IFERROR(N61/1,-1),-1)</f>
        <v>0</v>
      </c>
    </row>
    <row r="62" spans="1:16">
      <c r="A62" s="76">
        <f>IF(61&gt;rDias,"",rFim-rDias+61)</f>
        <v>0</v>
      </c>
      <c r="B62">
        <f>IF(61&lt;=rDias,TEXT(DAY(A62),"00")&amp;"/"&amp;TEXT(MONTH(A62),"00"),IF(61=rDias+1,"Média",""))</f>
        <v>0</v>
      </c>
      <c r="C62">
        <f>IF(61&lt;=rDias,IFERROR(IF(INDEX(h_espP,MATCH(A62,h_data,0))="",NA(),INDEX(h_espP,MATCH(A62,h_data,0))),NA()),IF(61=rDias+1,IF(ISNUMBER(gMed_espP),gMed_espP,NA()),NA()))</f>
        <v>0</v>
      </c>
      <c r="D62">
        <f>IF(61&lt;=rDias,IFERROR(IF(INDEX(h_eb6,MATCH(A62,h_data,0))="",NA(),INDEX(h_eb6,MATCH(A62,h_data,0))),NA()),IF(61=rDias+1,IF(ISNUMBER(gMed_eb6),gMed_eb6,NA()),NA()))</f>
        <v>0</v>
      </c>
      <c r="E62">
        <f>IF(61&lt;=rDias,IFERROR(IF(INDEX(h_difK,MATCH(A62,h_data,0))="",NA(),INDEX(h_difK,MATCH(A62,h_data,0))),NA()),IF(61=rDias+1,NA(),NA()))</f>
        <v>0</v>
      </c>
      <c r="F62">
        <f>IF(AND(61=rDias+1,ISNUMBER(gMed_difK)),gMed_difK,NA())</f>
        <v>0</v>
      </c>
      <c r="G62">
        <f>IF(61&lt;=rDias+1,cfgTol,NA())</f>
        <v>0</v>
      </c>
      <c r="H62">
        <f>IF(61&lt;=rDias+1,-cfgTol,NA())</f>
        <v>0</v>
      </c>
      <c r="I62">
        <f>IF(61&lt;=rDias,IFERROR(IF(INDEX(h_eb4P,MATCH(A62,h_data,0))="",NA(),INDEX(h_eb4P,MATCH(A62,h_data,0))),NA()),IF(61=rDias+1,IF(ISNUMBER(gMed_eb4P),gMed_eb4P,NA()),NA()))</f>
        <v>0</v>
      </c>
      <c r="J62">
        <f>IF(61&lt;=rDias,IFERROR(IF(INDEX(h_difJ,MATCH(A62,h_data,0))="",NA(),INDEX(h_difJ,MATCH(A62,h_data,0))),NA()),IF(61=rDias+1,NA(),NA()))</f>
        <v>0</v>
      </c>
      <c r="K62">
        <f>IF(AND(61=rDias+1,ISNUMBER(gMed_difJ)),gMed_difJ,NA())</f>
        <v>0</v>
      </c>
      <c r="L62">
        <f>IF(61&lt;=rDias,IFERROR(IF(INDEX(h_tk01,MATCH(A62,h_data,0))="",NA(),INDEX(h_tk01,MATCH(A62,h_data,0))),NA()),IF(61=rDias+1,IF(ISNUMBER(gMed_tk01),gMed_tk01,NA()),NA()))</f>
        <v>0</v>
      </c>
      <c r="M62">
        <f>IF(61&lt;=rDias,IFERROR(IF(INDEX(h_tk02,MATCH(A62,h_data,0))="",NA(),INDEX(h_tk02,MATCH(A62,h_data,0))),NA()),IF(61=rDias+1,IF(ISNUMBER(gMed_tk02),gMed_tk02,NA()),NA()))</f>
        <v>0</v>
      </c>
      <c r="N62">
        <f>IF(61&lt;=rDias,IFERROR(IF(INDEX(h_pctLama,MATCH(A62,h_data,0))="",NA(),INDEX(h_pctLama,MATCH(A62,h_data,0))),NA()),IF(61=rDias+1,NA(),NA()))</f>
        <v>0</v>
      </c>
      <c r="O62">
        <f>IF(AND(61=rDias+1,ISNUMBER(gMed_pctLama)),gMed_pctLama,NA())</f>
        <v>0</v>
      </c>
      <c r="P62">
        <f>IF(61&lt;=rDias,IFERROR(N62/1,-1),-1)</f>
        <v>0</v>
      </c>
    </row>
    <row r="64" spans="1:16">
      <c r="A64" t="s">
        <v>141</v>
      </c>
      <c r="B64" t="s">
        <v>150</v>
      </c>
      <c r="C64" t="s">
        <v>20</v>
      </c>
      <c r="D64" t="s">
        <v>151</v>
      </c>
      <c r="E64" t="s">
        <v>152</v>
      </c>
    </row>
    <row r="65" spans="1:5">
      <c r="A65" t="s">
        <v>142</v>
      </c>
      <c r="B65">
        <f>IFERROR(INDEX(h_espP,MATCH(rFim,h_data,0))/1,"")</f>
        <v>0</v>
      </c>
      <c r="C65">
        <f>IFERROR(SUMIFS(h_espP,h_data,"&gt;="&amp;(rFim-rDias+1),h_data,"&lt;="&amp;rFim)/D65,"")</f>
        <v>0</v>
      </c>
      <c r="D65">
        <f>SUMPRODUCT((h_data&gt;=rFim-rDias+1)*(h_data&lt;=rFim)*ISNUMBER(h_espP))</f>
        <v>0</v>
      </c>
    </row>
    <row r="66" spans="1:5">
      <c r="A66" t="s">
        <v>40</v>
      </c>
      <c r="B66">
        <f>IFERROR(INDEX(h_eb6,MATCH(rFim,h_data,0))/1,"")</f>
        <v>0</v>
      </c>
      <c r="C66">
        <f>IFERROR(SUMIFS(h_eb6,h_data,"&gt;="&amp;(rFim-rDias+1),h_data,"&lt;="&amp;rFim)/D66,"")</f>
        <v>0</v>
      </c>
      <c r="D66">
        <f>SUMPRODUCT((h_data&gt;=rFim-rDias+1)*(h_data&lt;=rFim)*ISNUMBER(h_eb6))</f>
        <v>0</v>
      </c>
    </row>
    <row r="67" spans="1:5">
      <c r="A67" t="s">
        <v>143</v>
      </c>
      <c r="B67">
        <f>IFERROR(INDEX(h_difK,MATCH(rFim,h_data,0))/1,"")</f>
        <v>0</v>
      </c>
      <c r="C67">
        <f>IFERROR(SUMIFS(h_difK,h_data,"&gt;="&amp;(rFim-rDias+1),h_data,"&lt;="&amp;rFim)/D67,"")</f>
        <v>0</v>
      </c>
      <c r="D67">
        <f>SUMPRODUCT((h_data&gt;=rFim-rDias+1)*(h_data&lt;=rFim)*ISNUMBER(h_difK))</f>
        <v>0</v>
      </c>
      <c r="E67">
        <f>COUNTIFS(h_data,"&gt;="&amp;(rFim-rDias+1),h_data,"&lt;="&amp;rFim,h_difK,"&gt;"&amp;cfgTol)+COUNTIFS(h_data,"&gt;="&amp;(rFim-rDias+1),h_data,"&lt;="&amp;rFim,h_difK,"&lt;"&amp;-cfgTol)</f>
        <v>0</v>
      </c>
    </row>
    <row r="68" spans="1:5">
      <c r="A68" t="s">
        <v>144</v>
      </c>
      <c r="B68">
        <f>IFERROR(INDEX(h_eb4P,MATCH(rFim,h_data,0))/1,"")</f>
        <v>0</v>
      </c>
      <c r="C68">
        <f>IFERROR(SUMIFS(h_eb4P,h_data,"&gt;="&amp;(rFim-rDias+1),h_data,"&lt;="&amp;rFim)/D68,"")</f>
        <v>0</v>
      </c>
      <c r="D68">
        <f>SUMPRODUCT((h_data&gt;=rFim-rDias+1)*(h_data&lt;=rFim)*ISNUMBER(h_eb4P))</f>
        <v>0</v>
      </c>
    </row>
    <row r="69" spans="1:5">
      <c r="A69" t="s">
        <v>145</v>
      </c>
      <c r="B69">
        <f>IFERROR(INDEX(h_difJ,MATCH(rFim,h_data,0))/1,"")</f>
        <v>0</v>
      </c>
      <c r="C69">
        <f>IFERROR(SUMIFS(h_difJ,h_data,"&gt;="&amp;(rFim-rDias+1),h_data,"&lt;="&amp;rFim)/D69,"")</f>
        <v>0</v>
      </c>
      <c r="D69">
        <f>SUMPRODUCT((h_data&gt;=rFim-rDias+1)*(h_data&lt;=rFim)*ISNUMBER(h_difJ))</f>
        <v>0</v>
      </c>
      <c r="E69">
        <f>COUNTIFS(h_data,"&gt;="&amp;(rFim-rDias+1),h_data,"&lt;="&amp;rFim,h_difJ,"&gt;"&amp;cfgTol)+COUNTIFS(h_data,"&gt;="&amp;(rFim-rDias+1),h_data,"&lt;="&amp;rFim,h_difJ,"&lt;"&amp;-cfgTol)</f>
        <v>0</v>
      </c>
    </row>
    <row r="70" spans="1:5">
      <c r="A70" t="s">
        <v>44</v>
      </c>
      <c r="B70">
        <f>IFERROR(INDEX(h_tk01,MATCH(rFim,h_data,0))/1,"")</f>
        <v>0</v>
      </c>
      <c r="C70">
        <f>IFERROR(SUMIFS(h_tk01,h_data,"&gt;="&amp;(rFim-rDias+1),h_data,"&lt;="&amp;rFim)/D70,"")</f>
        <v>0</v>
      </c>
      <c r="D70">
        <f>SUMPRODUCT((h_data&gt;=rFim-rDias+1)*(h_data&lt;=rFim)*ISNUMBER(h_tk01))</f>
        <v>0</v>
      </c>
    </row>
    <row r="71" spans="1:5">
      <c r="A71" t="s">
        <v>48</v>
      </c>
      <c r="B71">
        <f>IFERROR(INDEX(h_tk02,MATCH(rFim,h_data,0))/1,"")</f>
        <v>0</v>
      </c>
      <c r="C71">
        <f>IFERROR(SUMIFS(h_tk02,h_data,"&gt;="&amp;(rFim-rDias+1),h_data,"&lt;="&amp;rFim)/D71,"")</f>
        <v>0</v>
      </c>
      <c r="D71">
        <f>SUMPRODUCT((h_data&gt;=rFim-rDias+1)*(h_data&lt;=rFim)*ISNUMBER(h_tk02))</f>
        <v>0</v>
      </c>
    </row>
    <row r="72" spans="1:5">
      <c r="A72" t="s">
        <v>146</v>
      </c>
      <c r="B72">
        <f>IFERROR(INDEX(h_pctLama,MATCH(rFim,h_data,0))/1,"")</f>
        <v>0</v>
      </c>
      <c r="C72">
        <f>IFERROR(SUMIFS(h_pctLama,h_data,"&gt;="&amp;(rFim-rDias+1),h_data,"&lt;="&amp;rFim)/D72,"")</f>
        <v>0</v>
      </c>
      <c r="D72">
        <f>SUMPRODUCT((h_data&gt;=rFim-rDias+1)*(h_data&lt;=rFim)*ISNUMBER(h_pctLama))</f>
        <v>0</v>
      </c>
    </row>
    <row r="73" spans="1:5">
      <c r="A73" t="s">
        <v>147</v>
      </c>
      <c r="B73">
        <f>IFERROR(INDEX(h_lama,MATCH(rFim,h_data,0))/1,"")</f>
        <v>0</v>
      </c>
      <c r="C73">
        <f>IFERROR(SUMIFS(h_lama,h_data,"&gt;="&amp;(rFim-rDias+1),h_data,"&lt;="&amp;rFim)/D73,"")</f>
        <v>0</v>
      </c>
      <c r="D73">
        <f>SUMPRODUCT((h_data&gt;=rFim-rDias+1)*(h_data&lt;=rFim)*ISNUMBER(h_lama))</f>
        <v>0</v>
      </c>
    </row>
    <row r="74" spans="1:5">
      <c r="A74" t="s">
        <v>14</v>
      </c>
      <c r="B74">
        <f>IFERROR(INDEX(h_prodC3,MATCH(rFim,h_data,0))/1,"")</f>
        <v>0</v>
      </c>
      <c r="C74">
        <f>IFERROR(SUMIFS(h_prodC3,h_data,"&gt;="&amp;(rFim-rDias+1),h_data,"&lt;="&amp;rFim)/D74,"")</f>
        <v>0</v>
      </c>
      <c r="D74">
        <f>SUMPRODUCT((h_data&gt;=rFim-rDias+1)*(h_data&lt;=rFim)*ISNUMBER(h_prodC3))</f>
        <v>0</v>
      </c>
    </row>
    <row r="75" spans="1:5">
      <c r="A75" t="s">
        <v>22</v>
      </c>
      <c r="B75">
        <f>IFERROR(INDEX(h_prodC2,MATCH(rFim,h_data,0))/1,"")</f>
        <v>0</v>
      </c>
      <c r="C75">
        <f>IFERROR(SUMIFS(h_prodC2,h_data,"&gt;="&amp;(rFim-rDias+1),h_data,"&lt;="&amp;rFim)/D75,"")</f>
        <v>0</v>
      </c>
      <c r="D75">
        <f>SUMPRODUCT((h_data&gt;=rFim-rDias+1)*(h_data&lt;=rFim)*ISNUMBER(h_prodC2))</f>
        <v>0</v>
      </c>
    </row>
    <row r="76" spans="1:5">
      <c r="A76" t="s">
        <v>61</v>
      </c>
      <c r="B76">
        <f>IFERROR(INDEX(h_concC3,MATCH(rFim,h_data,0))/1,"")</f>
        <v>0</v>
      </c>
      <c r="C76">
        <f>IFERROR(SUMIFS(h_concC3,h_data,"&gt;="&amp;(rFim-rDias+1),h_data,"&lt;="&amp;rFim)/D76,"")</f>
        <v>0</v>
      </c>
      <c r="D76">
        <f>SUMPRODUCT((h_data&gt;=rFim-rDias+1)*(h_data&lt;=rFim)*ISNUMBER(h_concC3))</f>
        <v>0</v>
      </c>
    </row>
    <row r="77" spans="1:5">
      <c r="A77" t="s">
        <v>65</v>
      </c>
      <c r="B77">
        <f>IFERROR(INDEX(h_concC2,MATCH(rFim,h_data,0))/1,"")</f>
        <v>0</v>
      </c>
      <c r="C77">
        <f>IFERROR(SUMIFS(h_concC2,h_data,"&gt;="&amp;(rFim-rDias+1),h_data,"&lt;="&amp;rFim)/D77,"")</f>
        <v>0</v>
      </c>
      <c r="D77">
        <f>SUMPRODUCT((h_data&gt;=rFim-rDias+1)*(h_data&lt;=rFim)*ISNUMBER(h_concC2))</f>
        <v>0</v>
      </c>
    </row>
    <row r="78" spans="1:5">
      <c r="A78" t="s">
        <v>148</v>
      </c>
      <c r="B78">
        <f>IFERROR(INDEX(h_fator,MATCH(rFim,h_data,0))/1,"")</f>
        <v>0</v>
      </c>
      <c r="C78">
        <f>IFERROR(SUMIFS(h_fator,h_data,"&gt;="&amp;(rFim-rDias+1),h_data,"&lt;="&amp;rFim)/D78,"")</f>
        <v>0</v>
      </c>
      <c r="D78">
        <f>SUMPRODUCT((h_data&gt;=rFim-rDias+1)*(h_data&lt;=rFim)*ISNUMBER(h_fator))</f>
        <v>0</v>
      </c>
    </row>
    <row r="79" spans="1:5">
      <c r="A79" t="s">
        <v>149</v>
      </c>
      <c r="B79">
        <f>IFERROR(INDEX(h_obs,MATCH(rFim,h_data,0))&amp;"","")</f>
        <v>0</v>
      </c>
    </row>
    <row r="81" spans="1:3">
      <c r="A81" t="s">
        <v>153</v>
      </c>
      <c r="B81">
        <f>IF(MAX($P$2:$P$61)&lt;0,"",MAX($P$2:$P$61))</f>
        <v>0</v>
      </c>
      <c r="C81">
        <f>IFERROR(INDEX($A$2:$A$61,MATCH(MAX($P$2:$P$61),$P$2:$P$61,0)),"")</f>
        <v>0</v>
      </c>
    </row>
    <row r="82" spans="1:3">
      <c r="A82" t="s">
        <v>154</v>
      </c>
      <c r="B82">
        <f>IF(ISNUMBER(gUlt_difK),IF(ABS(gUlt_difK)&lt;=cfgTol,"OK","NOK"),"—")</f>
        <v>0</v>
      </c>
    </row>
    <row r="83" spans="1:3">
      <c r="A83" t="s">
        <v>155</v>
      </c>
      <c r="B83">
        <f>IF(ISNUMBER(gUlt_difJ),IF(ABS(gUlt_difJ)&lt;=cfgTol,"OK","NOK"),"—")</f>
        <v>0</v>
      </c>
    </row>
    <row r="85" spans="1:3">
      <c r="A85" t="s">
        <v>156</v>
      </c>
      <c r="B85">
        <f>"•  Último dia ("&amp;TEXT(DAY(rFim),"00")&amp;"/"&amp;TEXT(MONTH(rFim),"00")&amp;"): batch EB6 "&amp;IF(ISNUMBER(gUlt_eb6),FIXED(gUlt_eb6,0),"—")&amp;"; diferença para ESP C2 + C3 "&amp;IF(ISNUMBER(gUlt_difK),IF(gUlt_difK&gt;0,"+","")&amp;FIXED(gUlt_difK,0),"—")&amp;" e para EB4 + ESP C3 "&amp;IF(ISNUMBER(gUlt_difJ),IF(gUlt_difJ&gt;0,"+","")&amp;FIXED(gUlt_difJ,0),"—")&amp;"."&amp;CHAR(10)&amp;"•  Período de "&amp;rDias&amp;" dias: diferença média "&amp;IF(ISNUMBER(gMed_difK),IF(gMed_difK&gt;0,"+","")&amp;FIXED(gMed_difK,0),"—")&amp;" e "&amp;IF(ISNUMBER(gMed_difJ),IF(gMed_difJ&gt;0,"+","")&amp;FIXED(gMed_difJ,0),"—")&amp;"; fora da tolerância (±"&amp;cfgTol&amp;") em "&amp;gFora_difK&amp;" e "&amp;gFora_difJ&amp;" dia(s)."&amp;CHAR(10)&amp;"•  % lama: "&amp;IF(ISNUMBER(gUlt_pctLama),FIXED(gUlt_pctLama*100,2)&amp;"%","—")&amp;" no último dia; média "&amp;IF(ISNUMBER(gMed_pctLama),FIXED(gMed_pctLama*100,2)&amp;"%","—")&amp;IF(ISNUMBER(gPctMax),", máxima "&amp;IF(ISNUMBER(gPctMax),FIXED(gPctMax*100,2)&amp;"%","—")&amp;" em "&amp;TEXT(DAY(gPctMaxDia),"00")&amp;"/"&amp;TEXT(MONTH(gPctMaxDia),"00"),"")&amp;"."&amp;IF(TRIM(gUlt_obs)&lt;&gt;"",CHAR(10)&amp;"•  "&amp;gUlt_obs,"")</f>
        <v>0</v>
      </c>
    </row>
    <row r="86" spans="1:3">
      <c r="A86" t="s">
        <v>157</v>
      </c>
      <c r="B86">
        <f>"Monitoramento S.E. — Espessador × Batch · "&amp;TEXT(DAY(rFim),"00")&amp;"/"&amp;TEXT(MONTH(rFim),"00")&amp;"/"&amp;YEAR(rFim)&amp;CHAR(10)&amp;"Batch EB6 "&amp;IF(ISNUMBER(gUlt_eb6),FIXED(gUlt_eb6,0),"—")&amp;" · ESP C2 + C3 "&amp;IF(ISNUMBER(gUlt_espP),FIXED(gUlt_espP,0),"—")&amp;" (dif. "&amp;IF(ISNUMBER(gUlt_difK),IF(gUlt_difK&gt;0,"+","")&amp;FIXED(gUlt_difK,0),"—")&amp;", "&amp;pSt_difK&amp;") · EB4 + ESP C3 "&amp;IF(ISNUMBER(gUlt_eb4P),FIXED(gUlt_eb4P,0),"—")&amp;" (dif. "&amp;IF(ISNUMBER(gUlt_difJ),IF(gUlt_difJ&gt;0,"+","")&amp;FIXED(gUlt_difJ,0),"—")&amp;", "&amp;pSt_difJ&amp;") · % lama "&amp;IF(ISNUMBER(gUlt_pctLama),FIXED(gUlt_pctLama*100,2)&amp;"%","—")&amp;CHAR(10)&amp;"Período de "&amp;rDias&amp;" dias ("&amp;TEXT(DAY((rFim-rDias+1)),"00")&amp;"/"&amp;TEXT(MONTH((rFim-rDias+1)),"00")&amp;" a "&amp;TEXT(DAY(rFim),"00")&amp;"/"&amp;TEXT(MONTH(rFim),"00")&amp;"): diferença média "&amp;IF(ISNUMBER(gMed_difK),IF(gMed_difK&gt;0,"+","")&amp;FIXED(gMed_difK,0),"—")&amp;" e "&amp;IF(ISNUMBER(gMed_difJ),IF(gMed_difJ&gt;0,"+","")&amp;FIXED(gMed_difJ,0),"—")&amp;"; fora da tolerância (±"&amp;cfgTol&amp;") em "&amp;gFora_difK&amp;" e "&amp;gFora_difJ&amp;" dia(s)."</f>
        <v>0</v>
      </c>
    </row>
    <row r="88" spans="1:3">
      <c r="A88" t="s">
        <v>158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Painel</vt:lpstr>
      <vt:lpstr>Dia</vt:lpstr>
      <vt:lpstr>Histórico</vt:lpstr>
      <vt:lpstr>Diagnóstico</vt:lpstr>
      <vt:lpstr>Configurações</vt:lpstr>
      <vt:lpstr>Dados_MES</vt:lpstr>
      <vt:lpstr>_Graf</vt:lpstr>
      <vt:lpstr>_difJ</vt:lpstr>
      <vt:lpstr>_difK</vt:lpstr>
      <vt:lpstr>_eb4P</vt:lpstr>
      <vt:lpstr>_espP</vt:lpstr>
      <vt:lpstr>_lama</vt:lpstr>
      <vt:lpstr>_pctLama</vt:lpstr>
      <vt:lpstr>cfgCalc</vt:lpstr>
      <vt:lpstr>cfgDiasPadrao</vt:lpstr>
      <vt:lpstr>cfgFatorPadrao</vt:lpstr>
      <vt:lpstr>cfgFonte</vt:lpstr>
      <vt:lpstr>cfgFormatoData</vt:lpstr>
      <vt:lpstr>cfgJanDH1</vt:lpstr>
      <vt:lpstr>cfgJanDN</vt:lpstr>
      <vt:lpstr>cfgJanEH1</vt:lpstr>
      <vt:lpstr>cfgJanEN</vt:lpstr>
      <vt:lpstr>cfgTimeout</vt:lpstr>
      <vt:lpstr>cfgTol</vt:lpstr>
      <vt:lpstr>d_concC2</vt:lpstr>
      <vt:lpstr>d_concC3</vt:lpstr>
      <vt:lpstr>d_eb4</vt:lpstr>
      <vt:lpstr>d_eb6</vt:lpstr>
      <vt:lpstr>d_espC2</vt:lpstr>
      <vt:lpstr>d_espC3</vt:lpstr>
      <vt:lpstr>d_fator</vt:lpstr>
      <vt:lpstr>d_lamaC2</vt:lpstr>
      <vt:lpstr>d_lamaC3</vt:lpstr>
      <vt:lpstr>d_obs</vt:lpstr>
      <vt:lpstr>d_prodC2</vt:lpstr>
      <vt:lpstr>d_prodC3</vt:lpstr>
      <vt:lpstr>d_tk01</vt:lpstr>
      <vt:lpstr>d_tk02</vt:lpstr>
      <vt:lpstr>dAte</vt:lpstr>
      <vt:lpstr>dData</vt:lpstr>
      <vt:lpstr>dDe</vt:lpstr>
      <vt:lpstr>dOrigem</vt:lpstr>
      <vt:lpstr>dStatus</vt:lpstr>
      <vt:lpstr>gComentarios</vt:lpstr>
      <vt:lpstr>gFora_difJ</vt:lpstr>
      <vt:lpstr>gFora_difK</vt:lpstr>
      <vt:lpstr>gMed_concC2</vt:lpstr>
      <vt:lpstr>gMed_concC3</vt:lpstr>
      <vt:lpstr>gMed_difJ</vt:lpstr>
      <vt:lpstr>gMed_difK</vt:lpstr>
      <vt:lpstr>gMed_eb4P</vt:lpstr>
      <vt:lpstr>gMed_eb6</vt:lpstr>
      <vt:lpstr>gMed_espP</vt:lpstr>
      <vt:lpstr>gMed_fator</vt:lpstr>
      <vt:lpstr>gMed_lama</vt:lpstr>
      <vt:lpstr>gMed_pctLama</vt:lpstr>
      <vt:lpstr>gMed_prodC2</vt:lpstr>
      <vt:lpstr>gMed_prodC3</vt:lpstr>
      <vt:lpstr>gMed_tk01</vt:lpstr>
      <vt:lpstr>gMed_tk02</vt:lpstr>
      <vt:lpstr>gN_concC2</vt:lpstr>
      <vt:lpstr>gN_concC3</vt:lpstr>
      <vt:lpstr>gN_difJ</vt:lpstr>
      <vt:lpstr>gN_difK</vt:lpstr>
      <vt:lpstr>gN_eb4P</vt:lpstr>
      <vt:lpstr>gN_eb6</vt:lpstr>
      <vt:lpstr>gN_espP</vt:lpstr>
      <vt:lpstr>gN_fator</vt:lpstr>
      <vt:lpstr>gN_lama</vt:lpstr>
      <vt:lpstr>gN_pctLama</vt:lpstr>
      <vt:lpstr>gN_prodC2</vt:lpstr>
      <vt:lpstr>gN_prodC3</vt:lpstr>
      <vt:lpstr>gN_tk01</vt:lpstr>
      <vt:lpstr>gN_tk02</vt:lpstr>
      <vt:lpstr>gPctMax</vt:lpstr>
      <vt:lpstr>gPctMaxDia</vt:lpstr>
      <vt:lpstr>gResumo</vt:lpstr>
      <vt:lpstr>gTeste</vt:lpstr>
      <vt:lpstr>gUlt_concC2</vt:lpstr>
      <vt:lpstr>gUlt_concC3</vt:lpstr>
      <vt:lpstr>gUlt_difJ</vt:lpstr>
      <vt:lpstr>gUlt_difK</vt:lpstr>
      <vt:lpstr>gUlt_eb4P</vt:lpstr>
      <vt:lpstr>gUlt_eb6</vt:lpstr>
      <vt:lpstr>gUlt_espP</vt:lpstr>
      <vt:lpstr>gUlt_fator</vt:lpstr>
      <vt:lpstr>gUlt_lama</vt:lpstr>
      <vt:lpstr>gUlt_obs</vt:lpstr>
      <vt:lpstr>gUlt_pctLama</vt:lpstr>
      <vt:lpstr>gUlt_prodC2</vt:lpstr>
      <vt:lpstr>gUlt_prodC3</vt:lpstr>
      <vt:lpstr>gUlt_tk01</vt:lpstr>
      <vt:lpstr>gUlt_tk02</vt:lpstr>
      <vt:lpstr>h_atual</vt:lpstr>
      <vt:lpstr>h_concC2</vt:lpstr>
      <vt:lpstr>h_concC3</vt:lpstr>
      <vt:lpstr>h_data</vt:lpstr>
      <vt:lpstr>h_difJ</vt:lpstr>
      <vt:lpstr>h_difK</vt:lpstr>
      <vt:lpstr>h_eb4</vt:lpstr>
      <vt:lpstr>h_eb4P</vt:lpstr>
      <vt:lpstr>h_eb6</vt:lpstr>
      <vt:lpstr>h_espC2</vt:lpstr>
      <vt:lpstr>h_espC3</vt:lpstr>
      <vt:lpstr>h_espP</vt:lpstr>
      <vt:lpstr>h_fator</vt:lpstr>
      <vt:lpstr>h_lama</vt:lpstr>
      <vt:lpstr>h_lamaC2</vt:lpstr>
      <vt:lpstr>h_lamaC3</vt:lpstr>
      <vt:lpstr>h_obs</vt:lpstr>
      <vt:lpstr>h_origem</vt:lpstr>
      <vt:lpstr>h_pctLama</vt:lpstr>
      <vt:lpstr>h_prodC2</vt:lpstr>
      <vt:lpstr>h_prodC3</vt:lpstr>
      <vt:lpstr>h_tk01</vt:lpstr>
      <vt:lpstr>h_tk02</vt:lpstr>
      <vt:lpstr>mesFimD</vt:lpstr>
      <vt:lpstr>mesFimE</vt:lpstr>
      <vt:lpstr>mesIniD</vt:lpstr>
      <vt:lpstr>mesIniE</vt:lpstr>
      <vt:lpstr>mesInvalidas</vt:lpstr>
      <vt:lpstr>mesPrefixo</vt:lpstr>
      <vt:lpstr>mesRespD</vt:lpstr>
      <vt:lpstr>mesRespE</vt:lpstr>
      <vt:lpstr>mesUltima</vt:lpstr>
      <vt:lpstr>pArea</vt:lpstr>
      <vt:lpstr>Painel!Print_Area</vt:lpstr>
      <vt:lpstr>pSt_difJ</vt:lpstr>
      <vt:lpstr>pSt_difK</vt:lpstr>
      <vt:lpstr>rDias</vt:lpstr>
      <vt:lpstr>rFim</vt:lpstr>
      <vt:lpstr>xData</vt:lpstr>
      <vt:lpstr>xStatus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Monitoramento S.E. - Espessador x Batch</dc:title>
  <dc:creator/>
  <cp:lastModifiedBy/>
  <dcterms:created xsi:type="dcterms:W3CDTF">2026-10-30T13:49:50Z</dcterms:created>
  <dcterms:modified xsi:type="dcterms:W3CDTF">2026-10-30T13:49:50Z</dcterms:modified>
</cp:coreProperties>
</file>