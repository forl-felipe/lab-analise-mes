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<sst xmlns="http://schemas.openxmlformats.org/spreadsheetml/2006/main" count="568" uniqueCount="205">
  <si>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</si>
  <si>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</si>
  <si>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</si>
  <si>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</si>
  <si>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</si>
  <si>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</si>
  <si>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</si>
  <si>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</si>
  <si>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</si>
  <si>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</si>
  <si>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</si>
  <si>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</si>
  <si>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</si>
  <si>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</si>
  <si>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</si>
  <si>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</si>
  <si>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</si>
  <si>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</si>
  <si>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IP_AnalogMap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</si>
  <si>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</si>
  <si>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</si>
  <si>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</si>
  <si>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</si>
  <si>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</si>
  <si>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</si>
  <si>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</si>
  <si>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</si>
  <si>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</si>
  <si>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</si>
  <si>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</si>
  <si>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</si>
  <si>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</si>
  <si>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</si>
  <si>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</si>
  <si>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</si>
  <si>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</si>
  <si>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</si>
  <si>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IP_MESVALOR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</si>
  <si>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</si>
  <si>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</si>
  <si>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</si>
  <si>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</si>
  <si>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</si>
  <si>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</si>
  <si>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</si>
  <si>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</si>
  <si>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/>
  </si>
  <si>
    <t>sem tag: lançar à mão</t>
  </si>
  <si>
    <t>tk02</t>
  </si>
  <si>
    <t>S.E. TK 02 - EB6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</si>
  <si>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</si>
  <si>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</si>
  <si>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</si>
  <si>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</si>
  <si>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</si>
  <si>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</si>
  <si>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</si>
  <si>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</si>
  <si>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</si>
  <si>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</si>
  <si>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</si>
  <si>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</si>
  <si>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</si>
  <si>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</si>
  <si>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</si>
  <si>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</si>
  <si>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</si>
  <si>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Mapa recusado pelo MES: a planilha tenta IP_AnalogMap, IP_MESVALOR e IP_DiscreteMap e grava aqui o que funcionou. Tag recusada: tenta o código no outro formato (-0017- ↔ -17-).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</si>
  <si>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</si>
  <si>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</si>
  <si>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</si>
  <si>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</si>
  <si>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</si>
  <si>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</si>
  <si>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</si>
  <si>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</si>
  <si>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</si>
  <si>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</si>
  <si>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</si>
  <si>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</si>
  <si>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</si>
  <si>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</si>
  <si>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</si>
  <si>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</si>
  <si>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</si>
  <si>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</si>
  <si>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</si>
  <si>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</si>
  <si>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</si>
  <si>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</si>
  <si>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</si>
  <si>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</si>
  <si>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</si>
  <si>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</si>
  <si>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</si>
  <si>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</si>
  <si>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</si>
  <si>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</si>
  <si>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</si>
  <si>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</si>
  <si>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</si>
  <si>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</si>
  <si>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</si>
  <si>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</si>
  <si>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</si>
  <si>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</si>
  <si>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</si>
  <si>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</si>
  <si>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</si>
  <si>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</si>
  <si>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</si>
  <si>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TK 01, TK 02 e Fator são lançados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</si>
  <si>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</si>
  <si>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</si>
  <si>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</si>
  <si>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</si>
  <si>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</si>
  <si>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</si>
  <si>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</si>
  <si>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</si>
  <si>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</si>
  <si>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</si>
  <si>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</si>
  <si>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</si>
  <si>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</si>
  <si>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</si>
  <si>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TK 01, TK 02, Fator e Observação já lançados no histórico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</si>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</sst>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76200</xdr:colOff>
      <xdr:row>1</xdr:row>
      <xdr:rowOff>38100</xdr:rowOff>
    </xdr:from>
    <xdr:to>
      <xdr:col>5</xdr:col>
      <xdr:colOff>114300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305050" y="133350"/>
          <a:ext cx="9144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476250</xdr:colOff>
      <xdr:row>1</xdr:row>
      <xdr:rowOff>38100</xdr:rowOff>
    </xdr:from>
    <xdr:to>
      <xdr:col>8</xdr:col>
      <xdr:colOff>304800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58140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156</v>
      </c>
      <c r="C2" s="1"/>
      <c r="D2" s="2" t="s">
        <v>157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158</v>
      </c>
      <c r="C6" s="6"/>
      <c r="D6" s="6"/>
      <c r="E6" s="6"/>
      <c r="F6" s="6"/>
      <c r="G6" s="6"/>
      <c r="H6" s="7" t="s">
        <v>159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160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161</v>
      </c>
      <c r="J9" s="13"/>
      <c r="K9" s="13"/>
      <c r="M9" s="13" t="s">
        <v>162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163</v>
      </c>
      <c r="F10" s="14" t="s">
        <v>164</v>
      </c>
      <c r="G10" s="14" t="s">
        <v>165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166</v>
      </c>
      <c r="G11" s="20" t="s">
        <v>166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167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166</v>
      </c>
      <c r="G12" s="20" t="s">
        <v>166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168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166</v>
      </c>
      <c r="G13" s="20" t="s">
        <v>166</v>
      </c>
      <c r="I13" s="15"/>
      <c r="J13" s="15"/>
      <c r="K13" s="15"/>
      <c r="M13" s="21" t="s">
        <v>174</v>
      </c>
      <c r="N13" s="19">
        <f>IF(ISNUMBER(gUlt_concC3),gUlt_concC3,"—")</f>
        <v/>
      </c>
    </row>
    <row r="14" spans="1:16" ht="21" customHeight="1">
      <c r="B14" s="17" t="s">
        <v>169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175</v>
      </c>
      <c r="N14" s="19">
        <f>IF(ISNUMBER(gUlt_concC2),gUlt_concC2,"—")</f>
        <v/>
      </c>
    </row>
    <row r="15" spans="1:16" ht="21" customHeight="1">
      <c r="B15" s="17" t="s">
        <v>170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176</v>
      </c>
      <c r="N15" s="19">
        <f>IF(ISNUMBER(gUlt_lama),gUlt_lama,"—")</f>
        <v/>
      </c>
    </row>
    <row r="16" spans="1:16" ht="21" customHeight="1">
      <c r="B16" s="17" t="s">
        <v>171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166</v>
      </c>
      <c r="G16" s="20" t="s">
        <v>166</v>
      </c>
      <c r="I16" s="15"/>
      <c r="J16" s="15"/>
      <c r="K16" s="15"/>
      <c r="M16" s="21" t="s">
        <v>98</v>
      </c>
      <c r="N16" s="19">
        <f>IF(ISNUMBER(gUlt_fator),gUlt_fator,"—")</f>
        <v/>
      </c>
    </row>
    <row r="17" spans="2:14" ht="16" customHeight="1">
      <c r="B17" s="27" t="s">
        <v>172</v>
      </c>
      <c r="C17" s="27"/>
      <c r="D17" s="27"/>
      <c r="E17" s="28" t="s">
        <v>173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177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178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179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107</v>
      </c>
      <c r="C2" s="34"/>
      <c r="D2" s="34"/>
      <c r="E2" s="34"/>
      <c r="F2" s="34"/>
      <c r="G2" s="34"/>
      <c r="H2" s="34"/>
    </row>
    <row r="4" spans="2:8" ht="22" customHeight="1">
      <c r="B4" s="35" t="s">
        <v>108</v>
      </c>
      <c r="C4" s="35"/>
    </row>
    <row r="5" spans="2:8" ht="30" customHeight="1">
      <c r="B5" s="36" t="s">
        <v>109</v>
      </c>
      <c r="C5" s="37">
        <v>46310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110</v>
      </c>
    </row>
    <row r="9" spans="2:8" ht="22" customHeight="1">
      <c r="B9" s="35" t="s">
        <v>111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112</v>
      </c>
      <c r="D10" s="39" t="s">
        <v>113</v>
      </c>
      <c r="E10" s="39" t="s">
        <v>114</v>
      </c>
      <c r="F10" s="39" t="s">
        <v>5</v>
      </c>
      <c r="G10" s="39" t="s">
        <v>115</v>
      </c>
      <c r="H10" s="39" t="s">
        <v>116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117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117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117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117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117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117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47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47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117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117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117</v>
      </c>
      <c r="H22" s="43">
        <f>'Configurações'!$L$19</f>
        <v/>
      </c>
    </row>
    <row r="23" spans="2:8" ht="21" customHeight="1">
      <c r="B23" s="40" t="s">
        <v>98</v>
      </c>
      <c r="C23" s="41">
        <v>160</v>
      </c>
      <c r="D23" s="43" t="s">
        <v>118</v>
      </c>
      <c r="E23" s="43"/>
      <c r="F23" s="43"/>
      <c r="G23" s="43"/>
      <c r="H23" s="43"/>
    </row>
    <row r="24" spans="2:8" ht="21" customHeight="1">
      <c r="B24" s="40" t="s">
        <v>119</v>
      </c>
      <c r="C24" s="46"/>
      <c r="D24" s="46"/>
      <c r="E24" s="46"/>
      <c r="F24" s="46"/>
      <c r="G24" s="46"/>
      <c r="H24" s="46"/>
    </row>
    <row r="25" spans="2:8">
      <c r="C25" s="47" t="s">
        <v>106</v>
      </c>
    </row>
    <row r="27" spans="2:8" ht="22" customHeight="1">
      <c r="B27" s="35" t="s">
        <v>120</v>
      </c>
      <c r="C27" s="35"/>
    </row>
    <row r="28" spans="2:8">
      <c r="B28" s="48" t="s">
        <v>121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93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95</v>
      </c>
      <c r="C30" s="50">
        <f>IF(OR(d_eb6="",_espP=""),"",d_eb6-_espP)</f>
        <v/>
      </c>
    </row>
    <row r="31" spans="2:8">
      <c r="B31" s="48" t="s">
        <v>94</v>
      </c>
      <c r="C31" s="50">
        <f>IF(OR(d_eb6="",_eb4P=""),"",d_eb6-_eb4P)</f>
        <v/>
      </c>
    </row>
    <row r="32" spans="2:8">
      <c r="B32" s="48" t="s">
        <v>122</v>
      </c>
      <c r="C32" s="49">
        <f>IF(AND(d_lamaC3="",d_lamaC2=""),"",N(d_lamaC3)+N(d_lamaC2))</f>
        <v/>
      </c>
    </row>
    <row r="33" spans="2:8">
      <c r="B33" s="48" t="s">
        <v>102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123</v>
      </c>
      <c r="C36" s="35"/>
    </row>
    <row r="37" spans="2:8" ht="26" customHeight="1">
      <c r="B37" s="36" t="s">
        <v>124</v>
      </c>
      <c r="C37" s="52"/>
      <c r="F37" s="53" t="s">
        <v>126</v>
      </c>
      <c r="G37" s="53"/>
      <c r="H37" s="53"/>
    </row>
    <row r="38" spans="2:8" ht="26" customHeight="1">
      <c r="B38" s="36" t="s">
        <v>125</v>
      </c>
      <c r="C38" s="52"/>
      <c r="F38" s="53"/>
      <c r="G38" s="53"/>
      <c r="H38" s="53"/>
    </row>
    <row r="40" spans="2:8">
      <c r="B40" s="54" t="s">
        <v>127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86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87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88</v>
      </c>
    </row>
    <row r="6" spans="2:24" ht="42" customHeight="1">
      <c r="B6" s="39" t="s">
        <v>89</v>
      </c>
      <c r="C6" s="39" t="s">
        <v>15</v>
      </c>
      <c r="D6" s="39" t="s">
        <v>23</v>
      </c>
      <c r="E6" s="39" t="s">
        <v>90</v>
      </c>
      <c r="F6" s="39" t="s">
        <v>91</v>
      </c>
      <c r="G6" s="57" t="s">
        <v>92</v>
      </c>
      <c r="H6" s="39" t="s">
        <v>35</v>
      </c>
      <c r="I6" s="57" t="s">
        <v>93</v>
      </c>
      <c r="J6" s="39" t="s">
        <v>41</v>
      </c>
      <c r="K6" s="57" t="s">
        <v>94</v>
      </c>
      <c r="L6" s="57" t="s">
        <v>95</v>
      </c>
      <c r="M6" s="39" t="s">
        <v>96</v>
      </c>
      <c r="N6" s="39" t="s">
        <v>97</v>
      </c>
      <c r="O6" s="39" t="s">
        <v>98</v>
      </c>
      <c r="P6" s="39" t="s">
        <v>99</v>
      </c>
      <c r="Q6" s="39" t="s">
        <v>100</v>
      </c>
      <c r="R6" s="57" t="s">
        <v>101</v>
      </c>
      <c r="S6" s="39" t="s">
        <v>60</v>
      </c>
      <c r="T6" s="39" t="s">
        <v>64</v>
      </c>
      <c r="U6" s="57" t="s">
        <v>102</v>
      </c>
      <c r="V6" s="39" t="s">
        <v>103</v>
      </c>
      <c r="W6" s="39" t="s">
        <v>104</v>
      </c>
      <c r="X6" s="39" t="s">
        <v>105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106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106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106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106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106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106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106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106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106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106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106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106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106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106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106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106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106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106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106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106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106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106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106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106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106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106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106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106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106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106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106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106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106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106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106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106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106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106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106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106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106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106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106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106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106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106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106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106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106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106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106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106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106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106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106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106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106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106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106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106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106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106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106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106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106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106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106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106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106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106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106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106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106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106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106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106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106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106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106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106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106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106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106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106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106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106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106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106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106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106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106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106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106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106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106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106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106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106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106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106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106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106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106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106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106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106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106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106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106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106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106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106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106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106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106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106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106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106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106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106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106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106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106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106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106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106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106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106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106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106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106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106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106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106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106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106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106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106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106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106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106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106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106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106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106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106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106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106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106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106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106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106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106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106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106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106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106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106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106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106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106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106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106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106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106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106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106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106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106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106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106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106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106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106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106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106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106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106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106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106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106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106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106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106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106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106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106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106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106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106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106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106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106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106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106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106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106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106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106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106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106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106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106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106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106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106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106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106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106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106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106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106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106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106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106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106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106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106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106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106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106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106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106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106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106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106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106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106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106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106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106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106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106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106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106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106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106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106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106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106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106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106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106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106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106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106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106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106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106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106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106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106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106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106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182</v>
      </c>
      <c r="G5" s="53" t="s">
        <v>183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184</v>
      </c>
      <c r="D8" s="39" t="s">
        <v>7</v>
      </c>
      <c r="E8" s="39" t="s">
        <v>185</v>
      </c>
      <c r="F8" s="39" t="s">
        <v>186</v>
      </c>
      <c r="G8" s="39" t="s">
        <v>187</v>
      </c>
      <c r="H8" s="39" t="s">
        <v>188</v>
      </c>
      <c r="I8" s="39" t="s">
        <v>189</v>
      </c>
      <c r="J8" s="39" t="s">
        <v>190</v>
      </c>
      <c r="K8" s="39" t="s">
        <v>191</v>
      </c>
      <c r="L8" s="39" t="s">
        <v>192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27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35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45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49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51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56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60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64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193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18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25</v>
      </c>
    </row>
    <row r="10" spans="2:12">
      <c r="B10" s="69" t="s">
        <v>26</v>
      </c>
      <c r="C10" s="70" t="s">
        <v>27</v>
      </c>
      <c r="D10" s="70" t="s">
        <v>28</v>
      </c>
      <c r="E10" s="71" t="s">
        <v>17</v>
      </c>
      <c r="F10" s="71" t="s">
        <v>18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29</v>
      </c>
    </row>
    <row r="11" spans="2:12">
      <c r="B11" s="69" t="s">
        <v>30</v>
      </c>
      <c r="C11" s="70" t="s">
        <v>31</v>
      </c>
      <c r="D11" s="70" t="s">
        <v>32</v>
      </c>
      <c r="E11" s="71" t="s">
        <v>17</v>
      </c>
      <c r="F11" s="71" t="s">
        <v>18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33</v>
      </c>
    </row>
    <row r="12" spans="2:12">
      <c r="B12" s="69" t="s">
        <v>34</v>
      </c>
      <c r="C12" s="70" t="s">
        <v>35</v>
      </c>
      <c r="D12" s="70" t="s">
        <v>36</v>
      </c>
      <c r="E12" s="71" t="s">
        <v>17</v>
      </c>
      <c r="F12" s="71" t="s">
        <v>37</v>
      </c>
      <c r="G12" s="71" t="s">
        <v>38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39</v>
      </c>
    </row>
    <row r="13" spans="2:12">
      <c r="B13" s="69" t="s">
        <v>40</v>
      </c>
      <c r="C13" s="70" t="s">
        <v>41</v>
      </c>
      <c r="D13" s="70" t="s">
        <v>42</v>
      </c>
      <c r="E13" s="71" t="s">
        <v>17</v>
      </c>
      <c r="F13" s="71" t="s">
        <v>37</v>
      </c>
      <c r="G13" s="71" t="s">
        <v>38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43</v>
      </c>
    </row>
    <row r="14" spans="2:12">
      <c r="B14" s="69" t="s">
        <v>44</v>
      </c>
      <c r="C14" s="70" t="s">
        <v>45</v>
      </c>
      <c r="D14" s="70" t="s">
        <v>46</v>
      </c>
      <c r="E14" s="71" t="s">
        <v>17</v>
      </c>
      <c r="F14" s="71" t="s">
        <v>37</v>
      </c>
      <c r="G14" s="71" t="s">
        <v>38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47</v>
      </c>
    </row>
    <row r="15" spans="2:12">
      <c r="B15" s="69" t="s">
        <v>48</v>
      </c>
      <c r="C15" s="70" t="s">
        <v>49</v>
      </c>
      <c r="D15" s="70" t="s">
        <v>46</v>
      </c>
      <c r="E15" s="71" t="s">
        <v>17</v>
      </c>
      <c r="F15" s="71" t="s">
        <v>37</v>
      </c>
      <c r="G15" s="71" t="s">
        <v>38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47</v>
      </c>
    </row>
    <row r="16" spans="2:12">
      <c r="B16" s="69" t="s">
        <v>50</v>
      </c>
      <c r="C16" s="70" t="s">
        <v>51</v>
      </c>
      <c r="D16" s="70" t="s">
        <v>52</v>
      </c>
      <c r="E16" s="71" t="s">
        <v>17</v>
      </c>
      <c r="F16" s="71" t="s">
        <v>18</v>
      </c>
      <c r="G16" s="71" t="s">
        <v>38</v>
      </c>
      <c r="H16" s="71" t="s">
        <v>53</v>
      </c>
      <c r="I16" s="71">
        <v>0</v>
      </c>
      <c r="J16" s="71">
        <v>20000</v>
      </c>
      <c r="K16" s="71">
        <v>0</v>
      </c>
      <c r="L16" s="70" t="s">
        <v>54</v>
      </c>
    </row>
    <row r="17" spans="2:12">
      <c r="B17" s="69" t="s">
        <v>55</v>
      </c>
      <c r="C17" s="70" t="s">
        <v>56</v>
      </c>
      <c r="D17" s="70" t="s">
        <v>57</v>
      </c>
      <c r="E17" s="71" t="s">
        <v>17</v>
      </c>
      <c r="F17" s="71" t="s">
        <v>18</v>
      </c>
      <c r="G17" s="71" t="s">
        <v>38</v>
      </c>
      <c r="H17" s="71" t="s">
        <v>53</v>
      </c>
      <c r="I17" s="71">
        <v>0</v>
      </c>
      <c r="J17" s="71">
        <v>20000</v>
      </c>
      <c r="K17" s="71">
        <v>0</v>
      </c>
      <c r="L17" s="70" t="s">
        <v>58</v>
      </c>
    </row>
    <row r="18" spans="2:12">
      <c r="B18" s="69" t="s">
        <v>59</v>
      </c>
      <c r="C18" s="70" t="s">
        <v>60</v>
      </c>
      <c r="D18" s="70" t="s">
        <v>61</v>
      </c>
      <c r="E18" s="71" t="s">
        <v>17</v>
      </c>
      <c r="F18" s="71" t="s">
        <v>18</v>
      </c>
      <c r="G18" s="71" t="s">
        <v>38</v>
      </c>
      <c r="H18" s="71" t="s">
        <v>53</v>
      </c>
      <c r="I18" s="71">
        <v>0</v>
      </c>
      <c r="J18" s="71">
        <v>200000</v>
      </c>
      <c r="K18" s="71">
        <v>0</v>
      </c>
      <c r="L18" s="70" t="s">
        <v>62</v>
      </c>
    </row>
    <row r="19" spans="2:12">
      <c r="B19" s="69" t="s">
        <v>63</v>
      </c>
      <c r="C19" s="70" t="s">
        <v>64</v>
      </c>
      <c r="D19" s="70" t="s">
        <v>65</v>
      </c>
      <c r="E19" s="71" t="s">
        <v>17</v>
      </c>
      <c r="F19" s="71" t="s">
        <v>18</v>
      </c>
      <c r="G19" s="71" t="s">
        <v>38</v>
      </c>
      <c r="H19" s="71" t="s">
        <v>53</v>
      </c>
      <c r="I19" s="71">
        <v>0</v>
      </c>
      <c r="J19" s="71">
        <v>200000</v>
      </c>
      <c r="K19" s="71">
        <v>0</v>
      </c>
      <c r="L19" s="70" t="s">
        <v>66</v>
      </c>
    </row>
    <row r="20" spans="2:12">
      <c r="B20" s="72" t="s">
        <v>67</v>
      </c>
    </row>
    <row r="22" spans="2:12" ht="22" customHeight="1">
      <c r="B22" s="35" t="s">
        <v>68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69</v>
      </c>
      <c r="D23" s="39" t="s">
        <v>70</v>
      </c>
      <c r="E23" s="39" t="s">
        <v>71</v>
      </c>
    </row>
    <row r="24" spans="2:12">
      <c r="B24" s="69" t="s">
        <v>19</v>
      </c>
      <c r="C24" s="69" t="s">
        <v>72</v>
      </c>
      <c r="D24" s="71">
        <v>-1</v>
      </c>
      <c r="E24" s="71">
        <v>23</v>
      </c>
    </row>
    <row r="25" spans="2:12">
      <c r="B25" s="69" t="s">
        <v>38</v>
      </c>
      <c r="C25" s="69" t="s">
        <v>73</v>
      </c>
      <c r="D25" s="71">
        <v>1</v>
      </c>
      <c r="E25" s="71">
        <v>24</v>
      </c>
    </row>
    <row r="28" spans="2:12" ht="22" customHeight="1">
      <c r="B28" s="35" t="s">
        <v>74</v>
      </c>
      <c r="C28" s="35"/>
      <c r="D28" s="35"/>
      <c r="E28" s="35"/>
      <c r="F28" s="35"/>
    </row>
    <row r="29" spans="2:12">
      <c r="B29" s="69" t="s">
        <v>75</v>
      </c>
      <c r="C29" s="69"/>
      <c r="D29" s="71" t="s">
        <v>76</v>
      </c>
    </row>
    <row r="30" spans="2:12">
      <c r="B30" s="69" t="s">
        <v>77</v>
      </c>
      <c r="C30" s="69"/>
      <c r="D30" s="71">
        <v>150</v>
      </c>
    </row>
    <row r="31" spans="2:12">
      <c r="B31" s="69" t="s">
        <v>78</v>
      </c>
      <c r="C31" s="69"/>
      <c r="D31" s="71">
        <v>160</v>
      </c>
    </row>
    <row r="32" spans="2:12">
      <c r="B32" s="69" t="s">
        <v>79</v>
      </c>
      <c r="C32" s="69"/>
      <c r="D32" s="71">
        <v>15</v>
      </c>
    </row>
    <row r="33" spans="2:4">
      <c r="B33" s="69" t="s">
        <v>80</v>
      </c>
      <c r="C33" s="69"/>
      <c r="D33" s="71">
        <v>120</v>
      </c>
    </row>
    <row r="34" spans="2:4">
      <c r="B34" s="69" t="s">
        <v>81</v>
      </c>
      <c r="C34" s="69"/>
      <c r="D34" s="71" t="s">
        <v>82</v>
      </c>
    </row>
    <row r="35" spans="2:4">
      <c r="B35" s="69" t="s">
        <v>83</v>
      </c>
      <c r="C35" s="69"/>
      <c r="D35" s="71" t="s">
        <v>84</v>
      </c>
    </row>
    <row r="36" spans="2:4">
      <c r="B36" s="69" t="s">
        <v>85</v>
      </c>
      <c r="C36" s="69"/>
      <c r="D36" s="71" t="s">
        <v>46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194</v>
      </c>
    </row>
    <row r="3" spans="1:2">
      <c r="A3" t="s">
        <v>195</v>
      </c>
      <c r="B3" s="74"/>
    </row>
    <row r="4" spans="1:2">
      <c r="A4" t="s">
        <v>196</v>
      </c>
      <c r="B4" s="74"/>
    </row>
    <row r="6" spans="1:2">
      <c r="A6" t="s">
        <v>197</v>
      </c>
      <c r="B6" s="74"/>
    </row>
    <row r="7" spans="1:2">
      <c r="A7" t="s">
        <v>198</v>
      </c>
      <c r="B7" s="74"/>
    </row>
    <row r="9" spans="1:2">
      <c r="A9" t="s">
        <v>199</v>
      </c>
    </row>
    <row r="10" spans="1:2">
      <c r="A10" t="s">
        <v>200</v>
      </c>
    </row>
    <row r="11" spans="1:2">
      <c r="A11" t="s">
        <v>201</v>
      </c>
    </row>
    <row r="12" spans="1:2">
      <c r="A12" t="s">
        <v>202</v>
      </c>
    </row>
    <row r="14" spans="1:2">
      <c r="A14" s="75" t="s">
        <v>203</v>
      </c>
    </row>
    <row r="74" spans="1:1">
      <c r="A74" s="75" t="s">
        <v>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89</v>
      </c>
      <c r="B1" t="s">
        <v>128</v>
      </c>
      <c r="C1" t="s">
        <v>129</v>
      </c>
      <c r="D1" t="s">
        <v>130</v>
      </c>
      <c r="E1" t="s">
        <v>131</v>
      </c>
      <c r="F1" t="s">
        <v>132</v>
      </c>
      <c r="G1" t="s">
        <v>133</v>
      </c>
      <c r="H1" t="s">
        <v>133</v>
      </c>
      <c r="I1" t="s">
        <v>134</v>
      </c>
      <c r="J1" t="s">
        <v>135</v>
      </c>
      <c r="K1" t="s">
        <v>132</v>
      </c>
      <c r="L1" t="s">
        <v>96</v>
      </c>
      <c r="M1" t="s">
        <v>97</v>
      </c>
      <c r="N1" t="s">
        <v>102</v>
      </c>
      <c r="O1" t="s">
        <v>136</v>
      </c>
      <c r="P1" t="s">
        <v>137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138</v>
      </c>
      <c r="B64" t="s">
        <v>147</v>
      </c>
      <c r="C64" t="s">
        <v>20</v>
      </c>
      <c r="D64" t="s">
        <v>148</v>
      </c>
      <c r="E64" t="s">
        <v>149</v>
      </c>
    </row>
    <row r="65" spans="1:5">
      <c r="A65" t="s">
        <v>139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140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141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142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143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144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59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63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145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146</v>
      </c>
      <c r="B79">
        <f>IFERROR(INDEX(h_obs,MATCH(rFim,h_data,0))&amp;"","")</f>
        <v>0</v>
      </c>
    </row>
    <row r="81" spans="1:3">
      <c r="A81" t="s">
        <v>150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151</v>
      </c>
      <c r="B82">
        <f>IF(ISNUMBER(gUlt_difK),IF(ABS(gUlt_difK)&lt;=cfgTol,"OK","NOK"),"—")</f>
        <v>0</v>
      </c>
    </row>
    <row r="83" spans="1:3">
      <c r="A83" t="s">
        <v>152</v>
      </c>
      <c r="B83">
        <f>IF(ISNUMBER(gUlt_difJ),IF(ABS(gUlt_difJ)&lt;=cfgTol,"OK","NOK"),"—")</f>
        <v>0</v>
      </c>
    </row>
    <row r="85" spans="1:3">
      <c r="A85" t="s">
        <v>153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154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2026-10-26T13:01:54Z</dcterms:created>
  <dcterms:modified xsi:type="dcterms:W3CDTF">2026-10-26T13:01:54Z</dcterms:modified>
</cp:coreProperties>
</file>