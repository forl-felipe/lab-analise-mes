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Batch" sheetId="2" r:id="rId2"/>
    <sheet name="Enviar" sheetId="3" r:id="rId3"/>
    <sheet name="Histórico" sheetId="4" r:id="rId4"/>
    <sheet name="BD_Leituras" sheetId="5" r:id="rId5"/>
    <sheet name="Configurações" sheetId="6" r:id="rId6"/>
    <sheet name="Dados_MES" sheetId="7" state="hidden" r:id="rId7"/>
    <sheet name="_Graf" sheetId="8" state="hidden" r:id="rId8"/>
  </sheets>
  <definedNames>
    <definedName name="bAcomp">'Batch'!$D$18</definedName>
    <definedName name="bAtraso">'Batch'!$B$9</definedName>
    <definedName name="bCom1">'Batch'!$D$19</definedName>
    <definedName name="bCom2">'Batch'!$D$20</definedName>
    <definedName name="bCom3">'Batch'!$D$21</definedName>
    <definedName name="bCom4">'Batch'!$D$22</definedName>
    <definedName name="bCom5">'Batch'!$D$23</definedName>
    <definedName name="bCom6">'Batch'!$D$24</definedName>
    <definedName name="bData">'Batch'!$M$14</definedName>
    <definedName name="bDef">'Batch'!$L$14</definedName>
    <definedName name="bFases">'Batch'!$D$5:$J$11</definedName>
    <definedName name="bFasesMsg">'Batch'!$D$12</definedName>
    <definedName name="bFimG">'Batch'!$D$14</definedName>
    <definedName name="bFimU">'Batch'!$G$14</definedName>
    <definedName name="bFrase">'Batch'!$D$17</definedName>
    <definedName name="bGrade">'Batch'!$B$28:$Y$51</definedName>
    <definedName name="bHorasU">'Batch'!$C$28:$C$51</definedName>
    <definedName name="bId">'Batch'!$B$5</definedName>
    <definedName name="bIncAcomp">'Batch'!$N$18</definedName>
    <definedName name="bIncFrase">'Batch'!$N$17</definedName>
    <definedName name="bIniG">'Batch'!$B$14</definedName>
    <definedName name="bIniP">'Batch'!$I$14</definedName>
    <definedName name="bIniPMan">'Batch'!$I$57</definedName>
    <definedName name="bIniU">'Batch'!$E$14</definedName>
    <definedName name="bLabA">'Batch'!$B$57</definedName>
    <definedName name="bLabB">'Batch'!$D$57</definedName>
    <definedName name="bMin">'Batch'!$N$14</definedName>
    <definedName name="bNHor">'Batch'!$K$14</definedName>
    <definedName name="bNivel">'Batch'!$B$8</definedName>
    <definedName name="bRef">'Batch'!$E$57</definedName>
    <definedName name="bSub">'Batch'!$G$59</definedName>
    <definedName name="bTit">'Batch'!$B$59</definedName>
    <definedName name="bTol_325">'Batch'!$D$62</definedName>
    <definedName name="bTol_P">'Batch'!$G$62</definedName>
    <definedName name="bTol_PPC">'Batch'!$I$62</definedName>
    <definedName name="bTol_SE">'Batch'!$B$62</definedName>
    <definedName name="bTol_SiO2">'Batch'!$E$62</definedName>
    <definedName name="bValores">'Batch'!$E$28:$N$51</definedName>
    <definedName name="cfgAtrasoH">'Configurações'!$C$33:$C$35</definedName>
    <definedName name="cfgAtrasoN">'Configurações'!$B$33:$B$35</definedName>
    <definedName name="cfgCalc">'Configurações'!$C$27</definedName>
    <definedName name="cfgFaseG">'Configurações'!$C$28</definedName>
    <definedName name="cfgFaseU">'Configurações'!$C$29</definedName>
    <definedName name="cfgFonte">'Configurações'!$C$20</definedName>
    <definedName name="cfgFormatoData">'Configurações'!$C$22</definedName>
    <definedName name="cfgGradeG">'Configurações'!$C$25</definedName>
    <definedName name="cfgGradeU">'Configurações'!$C$24</definedName>
    <definedName name="cfgMinAntes">'Configurações'!$C$23</definedName>
    <definedName name="cfgMinG">'Configurações'!$C$26</definedName>
    <definedName name="cfgTags">'Configurações'!$B$8:$K$17</definedName>
    <definedName name="cfgTimeout">'Configurações'!$C$21</definedName>
    <definedName name="eAssunto">'Enviar'!$B$18</definedName>
    <definedName name="eResumo">'Enviar'!$B$6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'Configurações'!$C$62:$D$62</definedName>
    <definedName name="lstMin">'Configurações'!$C$60:$E$60</definedName>
    <definedName name="lstNivel">'Configurações'!$B$33:$B$35</definedName>
    <definedName name="lstSimNao">'Configurações'!$C$61:$D$61</definedName>
    <definedName name="mesFimG">'Dados_MES'!$B$4</definedName>
    <definedName name="mesFimU">'Dados_MES'!$B$7</definedName>
    <definedName name="mesIniG">'Dados_MES'!$B$3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U">'Dados_MES'!$E$7</definedName>
    <definedName name="mesTempo">'Dados_MES'!$E$4</definedName>
    <definedName name="padCom">'Configurações'!$C$45</definedName>
    <definedName name="padLabA">'Configurações'!$C$38</definedName>
    <definedName name="padLabB">'Configurações'!$C$39</definedName>
    <definedName name="padMin">'Configurações'!$C$41</definedName>
    <definedName name="padNHor">'Configurações'!$C$42</definedName>
    <definedName name="padRef">'Configurações'!$C$40</definedName>
    <definedName name="padSub">'Configurações'!$C$44</definedName>
    <definedName name="padTit">'Configurações'!$C$43</definedName>
    <definedName name="padTol_325">'Configurações'!$C$47</definedName>
    <definedName name="padTol_P">'Configurações'!$C$49</definedName>
    <definedName name="padTol_PPC">'Configurações'!$C$50</definedName>
    <definedName name="padTol_SE">'Configurações'!$C$46</definedName>
    <definedName name="padTol_SiO2">'Configurações'!$C$48</definedName>
    <definedName name="pArea">'Painel'!$A$6:$O$63</definedName>
    <definedName name="_xlnm.Print_Area" localSheetId="1">Batch!$A$1:$N$62</definedName>
    <definedName name="_xlnm.Print_Area" localSheetId="0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'Configurações'!$C$54</definedName>
    <definedName name="tit_P">'Configurações'!$C$56</definedName>
    <definedName name="tit_PPC">'Configurações'!$C$57</definedName>
    <definedName name="tit_SE">'Configurações'!$C$53</definedName>
    <definedName name="tit_SiO2">'Configurações'!$C$55</definedName>
  </definedNames>
  <calcPr calcId="124519" fullCalcOnLoad="1"/>
</workbook>
</file>

<file path=xl/sharedStrings.xml><?xml version="1.0" encoding="utf-8"?>
<sst xmlns="http://schemas.openxmlformats.org/spreadsheetml/2006/main" count="523" uniqueCount="319">
  <si>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</si>
  <si>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</si>
  <si>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</si>
  <si>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</si>
  <si>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</si>
  <si>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</si>
  <si>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</si>
  <si>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</si>
  <si>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</si>
  <si>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</si>
  <si>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</si>
  <si>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</si>
  <si>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</si>
  <si>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</si>
  <si>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</si>
  <si>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</si>
  <si>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</si>
  <si>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</si>
  <si>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</si>
  <si>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</si>
  <si>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</si>
  <si>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</si>
  <si>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</si>
  <si>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</si>
  <si>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</si>
  <si>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</si>
  <si>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</si>
  <si>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</si>
  <si>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</si>
  <si>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</si>
  <si>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</si>
  <si>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</si>
  <si>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</si>
  <si>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</si>
  <si>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</si>
  <si>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</si>
  <si>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</si>
  <si>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</si>
  <si>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</si>
  <si>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</si>
  <si>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</si>
  <si>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</si>
  <si>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</si>
  <si>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</si>
  <si>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</si>
  <si>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</si>
  <si>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</si>
  <si>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</si>
  <si>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</si>
  <si>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</si>
  <si>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</si>
  <si>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</si>
  <si>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</si>
  <si>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</si>
  <si>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Fase de Germano no evento do MES</t>
  </si>
  <si>
    <t>EB06</t>
  </si>
  <si>
    <t>Linha usada ao colar as Fases do Evento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</si>
  <si>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</si>
  <si>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</si>
  <si>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</si>
  <si>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</si>
  <si>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</si>
  <si>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</si>
  <si>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</si>
  <si>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</si>
  <si>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</si>
  <si>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</si>
  <si>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</si>
  <si>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</si>
  <si>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</si>
  <si>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</si>
  <si>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</si>
  <si>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</si>
  <si>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</si>
  <si>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</si>
  <si>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</si>
  <si>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</si>
  <si>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</si>
  <si>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</si>
  <si>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</si>
  <si>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</si>
  <si>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</si>
  <si>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</si>
  <si>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</si>
  <si>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</si>
  <si>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</si>
  <si>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</si>
  <si>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</si>
  <si>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</si>
  <si>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</si>
  <si>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</si>
  <si>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Sim</t>
  </si>
  <si>
    <t>Não</t>
  </si>
  <si>
    <t>Laboratórios do batch</t>
  </si>
  <si>
    <t>DADOS DO BATCH</t>
  </si>
  <si>
    <t>①  BATCH Nº</t>
  </si>
  <si>
    <t>②  COLE AS FASES DO EVENTO (MES)</t>
  </si>
  <si>
    <t>③  NÍVEL DOS TANQUES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</si>
  <si>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</si>
  <si>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</si>
  <si>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</si>
  <si>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</si>
  <si>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</si>
  <si>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</si>
  <si>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</si>
  <si>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</si>
  <si>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</si>
  <si>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COMENTÁRIOS DO REPORT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</si>
  <si>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</si>
  <si>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</si>
  <si>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</si>
  <si>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</si>
  <si>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</si>
  <si>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</si>
  <si>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</si>
  <si>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</si>
  <si>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</si>
  <si>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LEITURAS POR HORÁRIO  (em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</si>
  <si>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</si>
  <si>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</si>
  <si>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</si>
  <si>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</si>
  <si>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</si>
  <si>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</si>
  <si>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</si>
  <si>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</si>
  <si>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</si>
  <si>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</si>
  <si>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</si>
  <si>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</si>
  <si>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</si>
  <si>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</si>
  <si>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</si>
  <si>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</si>
  <si>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</si>
  <si>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</si>
  <si>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</si>
  <si>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</si>
  <si>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</si>
  <si>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</si>
  <si>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INÍCIO NO PROCESSO (AJUSTE MANUAL)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</si>
  <si>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</si>
  <si>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</si>
  <si>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</si>
  <si>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</si>
  <si>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</si>
  <si>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</si>
  <si>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</si>
  <si>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</si>
  <si>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</si>
  <si>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</si>
  <si>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</si>
  <si>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</si>
  <si>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</si>
  <si>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</si>
  <si>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</si>
  <si>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</si>
  <si>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</si>
  <si>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</si>
  <si>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</si>
  <si>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</si>
  <si>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</si>
  <si>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Superfície Específica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</si>
  <si>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</si>
  <si>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</si>
  <si>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</si>
  <si>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</si>
  <si>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</si>
  <si>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</si>
  <si>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</si>
  <si>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</si>
  <si>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</si>
  <si>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</si>
  <si>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</si>
  <si>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</si>
  <si>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</si>
  <si>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</si>
  <si>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</si>
  <si>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</si>
  <si>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</si>
  <si>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</si>
  <si>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</si>
  <si>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</si>
  <si>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</si>
  <si>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</si>
  <si>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</si>
  <si>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</si>
  <si>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</si>
  <si>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</si>
  <si>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</si>
  <si>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</si>
  <si>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</si>
  <si>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</si>
  <si>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</si>
  <si>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</si>
  <si>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</si>
  <si>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</si>
  <si>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</si>
  <si>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</si>
  <si>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</si>
  <si>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</si>
  <si>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</si>
  <si>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</si>
  <si>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</si>
  <si>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</si>
  <si>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</si>
  <si>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</si>
  <si>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</si>
  <si>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</si>
  <si>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</si>
  <si>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</si>
  <si>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</si>
  <si>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</si>
  <si>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</si>
  <si>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</si>
  <si>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</si>
  <si>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</si>
  <si>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</si>
  <si>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</si>
  <si>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</si>
  <si>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</si>
  <si>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</si>
  <si>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</si>
  <si>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</si>
  <si>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</si>
  <si>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</si>
  <si>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</si>
  <si>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</si>
  <si>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</si>
  <si>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</si>
  <si>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</si>
  <si>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</si>
  <si>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</si>
  <si>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</si>
  <si>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</si>
  <si>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</si>
  <si>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</si>
  <si>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</si>
  <si>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TOLER.
(±)</t>
  </si>
  <si>
    <t>STATUS</t>
  </si>
  <si>
    <t>OK — DENTRO DA TOLERÂNCIA</t>
  </si>
  <si>
    <t>NOK — FORA DA TOLERÂNCIA</t>
  </si>
  <si>
    <t>ENVIAR REPORTE</t>
  </si>
  <si>
    <t>RESUMO PARA O CORPO DO E-MAIL</t>
  </si>
  <si>
    <t>ASSUNTO DO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</si>
  <si>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</si>
  <si>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</si>
  <si>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</si>
  <si>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</si>
  <si>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</si>
  <si>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</si>
  <si>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</si>
  <si>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</si>
  <si>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</si>
  <si>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</si>
  <si>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</si>
  <si>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</si>
  <si>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</si>
  <si>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</si>
  <si>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</si>
  <si>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</si>
  <si>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</si>
  <si>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</si>
  <si>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</si>
  <si>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</si>
  <si>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</si>
  <si>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</si>
  <si>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</si>
  <si>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</si>
  <si>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</si>
  <si>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</si>
  <si>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</si>
  <si>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</si>
  <si>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</si>
  <si>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</si>
  <si>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</si>
  <si>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</si>
  <si>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</si>
  <si>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</si>
  <si>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</si>
  <si>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</si>
  <si>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</si>
  <si>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</si>
  <si>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</si>
  <si>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</si>
  <si>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</si>
  <si>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</si>
  <si>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</si>
  <si>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</si>
  <si>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</si>
  <si>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</si>
  <si>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</si>
  <si>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</si>
  <si>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</si>
  <si>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</si>
  <si>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</si>
  <si>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</si>
  <si>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</si>
  <si>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</si>
  <si>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</si>
  <si>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Felipe Oliveira Rodrigues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</si>
  <si>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</si>
  <si>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</si>
  <si>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</si>
  <si>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</si>
  <si>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</si>
  <si>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</si>
  <si>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</si>
  <si>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</si>
  <si>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</si>
  <si>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Prefixo Aspen</t>
  </si>
  <si>
    <t>Última consulta</t>
  </si>
  <si>
    <t>Tags inválidas</t>
  </si>
  <si>
    <t>Resposta Germano</t>
  </si>
  <si>
    <t>Resposta Ubu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</si>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</sst>
</file>

<file path=xl/styles.xml><?xml version="1.0" encoding="utf-8"?>
<styleSheet xmlns="http://schemas.openxmlformats.org/spreadsheetml/2006/main">
  <numFmts count="19">
    <numFmt numFmtId="164" formatCode="&quot;Batch &quot;0"/>
    <numFmt numFmtId="165" formatCode="#,##0"/>
    <numFmt numFmtId="166" formatCode="+#,##0;&quot;−&quot;#,##0;#,##0"/>
    <numFmt numFmtId="167" formatCode="0.0"/>
    <numFmt numFmtId="168" formatCode="+0.0;&quot;−&quot;0.0;0.0"/>
    <numFmt numFmtId="169" formatCode="0.00"/>
    <numFmt numFmtId="170" formatCode="+0.00;&quot;−&quot;0.00;0.00"/>
    <numFmt numFmtId="171" formatCode="0.000"/>
    <numFmt numFmtId="172" formatCode="+0.000;&quot;−&quot;0.000;0.000"/>
    <numFmt numFmtId="173" formatCode="dd/mm hh:mm"/>
    <numFmt numFmtId="174" formatCode="&quot;atraso no processo: &quot;0.0&quot; h&quot;"/>
    <numFmt numFmtId="175" formatCode="dd/mm/yy hh:mm"/>
    <numFmt numFmtId="176" formatCode="0.0&quot; h&quot;"/>
    <numFmt numFmtId="177" formatCode="dd/mm/yy"/>
    <numFmt numFmtId="178" formatCode="+0;&quot;−&quot;0;0"/>
    <numFmt numFmtId="179" formatCode="dd/mm/yyyy hh:mm"/>
    <numFmt numFmtId="180" formatCode="dd/mm/yyyy"/>
    <numFmt numFmtId="181" formatCode="hh:mm"/>
    <numFmt numFmtId="182" formatCode="dd/mm/yyyy hh:mm:ss"/>
  </numFmts>
  <fonts count="44">
    <font>
      <sz val="11"/>
      <color theme="1"/>
      <name val="Calibri"/>
      <family val="2"/>
      <scheme val="minor"/>
    </font>
    <font>
      <sz val="10"/>
      <color rgb="FF1A2744"/>
      <name val="Segoe UI"/>
      <family val="2"/>
    </font>
    <font>
      <b/>
      <sz val="7.5"/>
      <color rgb="FF6A7A94"/>
      <name val="Segoe UI"/>
      <family val="2"/>
    </font>
    <font>
      <b/>
      <sz val="11"/>
      <color rgb="FF1A2744"/>
      <name val="Segoe UI"/>
      <family val="2"/>
    </font>
    <font>
      <i/>
      <sz val="8"/>
      <color rgb="FF6A7A94"/>
      <name val="Segoe UI"/>
      <family val="2"/>
    </font>
    <font>
      <b/>
      <sz val="14"/>
      <color rgb="FFFFFFFF"/>
      <name val="Segoe UI"/>
      <family val="2"/>
    </font>
    <font>
      <b/>
      <sz val="11"/>
      <color rgb="FFBFC8D6"/>
      <name val="Segoe UI"/>
      <family val="2"/>
    </font>
    <font>
      <b/>
      <sz val="10"/>
      <color rgb="FFFFFFFF"/>
      <name val="Segoe UI"/>
      <family val="2"/>
    </font>
    <font>
      <b/>
      <sz val="9.5"/>
      <color rgb="FFE3E9F2"/>
      <name val="Segoe UI"/>
      <family val="2"/>
    </font>
    <font>
      <b/>
      <sz val="8"/>
      <color rgb="FF1A2744"/>
      <name val="Segoe UI"/>
      <family val="2"/>
    </font>
    <font>
      <b/>
      <sz val="7.5"/>
      <color rgb="FF3A4A66"/>
      <name val="Segoe UI"/>
      <family val="2"/>
    </font>
    <font>
      <sz val="10"/>
      <color rgb="FF3A4A66"/>
      <name val="Segoe UI"/>
      <family val="2"/>
    </font>
    <font>
      <b/>
      <sz val="10"/>
      <color rgb="FF1A2744"/>
      <name val="Segoe UI"/>
      <family val="2"/>
    </font>
    <font>
      <sz val="7"/>
      <color rgb="FF6A7A94"/>
      <name val="Segoe UI"/>
      <family val="2"/>
    </font>
    <font>
      <b/>
      <sz val="8"/>
      <color rgb="FF888888"/>
      <name val="Segoe UI"/>
      <family val="2"/>
    </font>
    <font>
      <b/>
      <sz val="10"/>
      <color rgb="FF1A3C6E"/>
      <name val="Segoe UI"/>
      <family val="2"/>
    </font>
    <font>
      <b/>
      <sz val="16"/>
      <color rgb="FF1A2744"/>
      <name val="Segoe UI"/>
      <family val="2"/>
    </font>
    <font>
      <sz val="8"/>
      <color rgb="FF1A2744"/>
      <name val="Segoe UI"/>
      <family val="2"/>
    </font>
    <font>
      <b/>
      <sz val="12"/>
      <color rgb="FF1A2744"/>
      <name val="Segoe UI"/>
      <family val="2"/>
    </font>
    <font>
      <sz val="9"/>
      <color rgb="FF3A4A66"/>
      <name val="Segoe UI"/>
      <family val="2"/>
    </font>
    <font>
      <b/>
      <sz val="8.5"/>
      <color rgb="FF0A7C50"/>
      <name val="Segoe UI"/>
      <family val="2"/>
    </font>
    <font>
      <b/>
      <sz val="7.5"/>
      <color rgb="FF0A7C50"/>
      <name val="Segoe UI"/>
      <family val="2"/>
    </font>
    <font>
      <sz val="9.5"/>
      <color rgb="FF1A2744"/>
      <name val="Segoe UI"/>
      <family val="2"/>
    </font>
    <font>
      <b/>
      <sz val="9.5"/>
      <color rgb="FF0A7C50"/>
      <name val="Segoe UI"/>
      <family val="2"/>
    </font>
    <font>
      <sz val="9.5"/>
      <color rgb="FF3A4A66"/>
      <name val="Segoe UI"/>
      <family val="2"/>
    </font>
    <font>
      <b/>
      <sz val="9"/>
      <color rgb="FF6A7A94"/>
      <name val="Segoe UI"/>
      <family val="2"/>
    </font>
    <font>
      <i/>
      <sz val="9.5"/>
      <color rgb="FF3A4A66"/>
      <name val="Segoe UI"/>
      <family val="2"/>
    </font>
    <font>
      <b/>
      <sz val="8"/>
      <color rgb="FF6A7A94"/>
      <name val="Segoe UI"/>
      <family val="2"/>
    </font>
    <font>
      <b/>
      <sz val="8.5"/>
      <color rgb="FFFFFFFF"/>
      <name val="Segoe UI"/>
      <family val="2"/>
    </font>
    <font>
      <sz val="9"/>
      <color rgb="FF6A7A94"/>
      <name val="Segoe UI"/>
      <family val="2"/>
    </font>
    <font>
      <sz val="9.5"/>
      <color rgb="FF8A5A00"/>
      <name val="Segoe UI"/>
      <family val="2"/>
    </font>
    <font>
      <b/>
      <sz val="9.5"/>
      <color rgb="FF1A2744"/>
      <name val="Segoe UI"/>
      <family val="2"/>
    </font>
    <font>
      <b/>
      <sz val="9.5"/>
      <color rgb="FF7A4A00"/>
      <name val="Segoe UI"/>
      <family val="2"/>
    </font>
    <font>
      <sz val="8.5"/>
      <color rgb="FF6A7A94"/>
      <name val="Segoe UI"/>
      <family val="2"/>
    </font>
    <font>
      <b/>
      <sz val="9"/>
      <color rgb="FF3A4A66"/>
      <name val="Segoe UI"/>
      <family val="2"/>
    </font>
    <font>
      <sz val="10.5"/>
      <color rgb="FF3A4A66"/>
      <name val="Segoe UI"/>
      <family val="2"/>
    </font>
    <font>
      <b/>
      <sz val="10"/>
      <color rgb="FF3A4A66"/>
      <name val="Segoe UI"/>
      <family val="2"/>
    </font>
    <font>
      <b/>
      <sz val="9.5"/>
      <color rgb="FFD5DEEB"/>
      <name val="Segoe UI"/>
      <family val="2"/>
    </font>
    <font>
      <i/>
      <sz val="8.5"/>
      <color rgb="FF6A7A94"/>
      <name val="Segoe UI"/>
      <family val="2"/>
    </font>
    <font>
      <sz val="9.5"/>
      <color theme="1"/>
      <name val="Segoe UI"/>
      <family val="2"/>
    </font>
    <font>
      <b/>
      <sz val="9"/>
      <color rgb="FFFFFFFF"/>
      <name val="Segoe UI"/>
      <family val="2"/>
    </font>
    <font>
      <sz val="9.5"/>
      <color rgb="FF1A2744"/>
      <name val="Consolas"/>
      <family val="2"/>
    </font>
    <font>
      <b/>
      <sz val="13"/>
      <color rgb="FF1A3C6E"/>
      <name val="Segoe UI"/>
      <family val="2"/>
    </font>
    <font>
      <b/>
      <sz val="10"/>
      <color rgb="FF6A7A94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rgb="FFEEF1F5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14253D"/>
        <bgColor indexed="64"/>
      </patternFill>
    </fill>
    <fill>
      <patternFill patternType="solid">
        <fgColor rgb="FF1A3C6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2F5"/>
        <bgColor indexed="64"/>
      </patternFill>
    </fill>
    <fill>
      <patternFill patternType="solid">
        <fgColor rgb="FFE8EBF0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2F5C9E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5F8FD"/>
        <bgColor indexed="64"/>
      </patternFill>
    </fill>
  </fills>
  <borders count="14">
    <border>
      <left/>
      <right/>
      <top/>
      <bottom/>
      <diagonal/>
    </border>
    <border>
      <left style="thin">
        <color rgb="FFC8CDD6"/>
      </left>
      <right style="thin">
        <color rgb="FFC8CDD6"/>
      </right>
      <top style="thin">
        <color rgb="FFC8CDD6"/>
      </top>
      <bottom style="thin">
        <color rgb="FFC8CDD6"/>
      </bottom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8CDD6"/>
      </left>
      <right/>
      <top/>
      <bottom style="thin">
        <color rgb="FFC8CDD6"/>
      </bottom>
      <diagonal/>
    </border>
    <border>
      <left/>
      <right style="thin">
        <color rgb="FFC8CDD6"/>
      </right>
      <top/>
      <bottom style="thin">
        <color rgb="FFC8CDD6"/>
      </bottom>
      <diagonal/>
    </border>
    <border>
      <left style="thin">
        <color rgb="FFC8CDD6"/>
      </left>
      <right/>
      <top style="thin">
        <color rgb="FFC8CDD6"/>
      </top>
      <bottom style="thin">
        <color rgb="FFC8CDD6"/>
      </bottom>
      <diagonal/>
    </border>
    <border>
      <left/>
      <right style="thin">
        <color rgb="FFC8CDD6"/>
      </right>
      <top style="thin">
        <color rgb="FFC8CDD6"/>
      </top>
      <bottom style="thin">
        <color rgb="FFC8CDD6"/>
      </bottom>
      <diagonal/>
    </border>
    <border>
      <left/>
      <right/>
      <top/>
      <bottom style="medium">
        <color rgb="FF1A3C6E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E0E3EA"/>
      </left>
      <right style="thin">
        <color rgb="FFE0E3EA"/>
      </right>
      <top style="thin">
        <color rgb="FFE0E3EA"/>
      </top>
      <bottom style="thin">
        <color rgb="FFE0E3EA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1A3C6E"/>
      </left>
      <right style="thin">
        <color rgb="FF1A3C6E"/>
      </right>
      <top style="thin">
        <color rgb="FF1A3C6E"/>
      </top>
      <bottom style="thin">
        <color rgb="FF1A3C6E"/>
      </bottom>
      <diagonal/>
    </border>
    <border>
      <left style="thick">
        <color rgb="FF1A3C6E"/>
      </left>
      <right/>
      <top/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5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7" fillId="5" borderId="0" xfId="0" applyFont="1" applyFill="1" applyAlignment="1">
      <alignment horizontal="left" vertical="center" indent="1"/>
    </xf>
    <xf numFmtId="0" fontId="8" fillId="5" borderId="0" xfId="0" applyFont="1" applyFill="1" applyAlignment="1">
      <alignment horizontal="right" vertical="center" indent="1"/>
    </xf>
    <xf numFmtId="0" fontId="7" fillId="5" borderId="0" xfId="0" applyFont="1" applyFill="1" applyAlignment="1">
      <alignment vertical="center"/>
    </xf>
    <xf numFmtId="0" fontId="1" fillId="6" borderId="0" xfId="0" applyFont="1" applyFill="1" applyAlignment="1">
      <alignment vertical="center"/>
    </xf>
    <xf numFmtId="0" fontId="9" fillId="7" borderId="1" xfId="0" applyFont="1" applyFill="1" applyBorder="1" applyAlignment="1">
      <alignment horizontal="left" vertical="center" indent="1"/>
    </xf>
    <xf numFmtId="0" fontId="10" fillId="8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vertical="top" indent="1" wrapText="1"/>
    </xf>
    <xf numFmtId="0" fontId="12" fillId="0" borderId="2" xfId="0" applyFont="1" applyBorder="1" applyAlignment="1">
      <alignment horizontal="left" vertical="center" indent="1"/>
    </xf>
    <xf numFmtId="165" fontId="1" fillId="0" borderId="2" xfId="0" applyNumberFormat="1" applyFont="1" applyBorder="1" applyAlignment="1">
      <alignment horizontal="center" vertical="center"/>
    </xf>
    <xf numFmtId="166" fontId="12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67" fontId="1" fillId="0" borderId="2" xfId="0" applyNumberFormat="1" applyFont="1" applyBorder="1" applyAlignment="1">
      <alignment horizontal="center" vertical="center"/>
    </xf>
    <xf numFmtId="168" fontId="12" fillId="0" borderId="2" xfId="0" applyNumberFormat="1" applyFont="1" applyBorder="1" applyAlignment="1">
      <alignment horizontal="center" vertical="center"/>
    </xf>
    <xf numFmtId="169" fontId="1" fillId="0" borderId="2" xfId="0" applyNumberFormat="1" applyFont="1" applyBorder="1" applyAlignment="1">
      <alignment horizontal="center" vertical="center"/>
    </xf>
    <xf numFmtId="170" fontId="12" fillId="0" borderId="2" xfId="0" applyNumberFormat="1" applyFont="1" applyBorder="1" applyAlignment="1">
      <alignment horizontal="center" vertical="center"/>
    </xf>
    <xf numFmtId="171" fontId="1" fillId="0" borderId="2" xfId="0" applyNumberFormat="1" applyFont="1" applyBorder="1" applyAlignment="1">
      <alignment horizontal="center" vertical="center"/>
    </xf>
    <xf numFmtId="172" fontId="12" fillId="0" borderId="2" xfId="0" applyNumberFormat="1" applyFont="1" applyBorder="1" applyAlignment="1">
      <alignment horizontal="center" vertical="center"/>
    </xf>
    <xf numFmtId="0" fontId="13" fillId="0" borderId="3" xfId="0" applyFont="1" applyBorder="1" applyAlignment="1">
      <alignment horizontal="left" vertical="center" indent="1"/>
    </xf>
    <xf numFmtId="0" fontId="13" fillId="0" borderId="4" xfId="0" applyFont="1" applyBorder="1" applyAlignment="1">
      <alignment horizontal="right" vertical="center" indent="1"/>
    </xf>
    <xf numFmtId="0" fontId="9" fillId="9" borderId="5" xfId="0" applyFont="1" applyFill="1" applyBorder="1" applyAlignment="1">
      <alignment horizontal="left" vertical="center" indent="1"/>
    </xf>
    <xf numFmtId="0" fontId="14" fillId="9" borderId="6" xfId="0" applyFont="1" applyFill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5" fillId="0" borderId="7" xfId="0" applyFont="1" applyBorder="1" applyAlignment="1"/>
    <xf numFmtId="0" fontId="16" fillId="3" borderId="1" xfId="0" applyFont="1" applyFill="1" applyBorder="1" applyAlignment="1" applyProtection="1">
      <alignment horizontal="center" vertical="center"/>
      <protection locked="0"/>
    </xf>
    <xf numFmtId="173" fontId="17" fillId="3" borderId="8" xfId="0" applyNumberFormat="1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horizontal="center" vertical="center"/>
      <protection locked="0"/>
    </xf>
    <xf numFmtId="174" fontId="19" fillId="0" borderId="0" xfId="0" applyNumberFormat="1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" fillId="0" borderId="0" xfId="0" applyFont="1" applyAlignment="1"/>
    <xf numFmtId="0" fontId="21" fillId="0" borderId="0" xfId="0" applyFont="1" applyAlignment="1"/>
    <xf numFmtId="175" fontId="22" fillId="10" borderId="9" xfId="0" applyNumberFormat="1" applyFont="1" applyFill="1" applyBorder="1" applyAlignment="1" applyProtection="1">
      <alignment horizontal="center" vertical="center"/>
      <protection locked="0"/>
    </xf>
    <xf numFmtId="175" fontId="23" fillId="11" borderId="10" xfId="0" applyNumberFormat="1" applyFont="1" applyFill="1" applyBorder="1" applyAlignment="1">
      <alignment horizontal="center" vertical="center"/>
    </xf>
    <xf numFmtId="0" fontId="22" fillId="10" borderId="9" xfId="0" applyFont="1" applyFill="1" applyBorder="1" applyAlignment="1" applyProtection="1">
      <alignment horizontal="center" vertical="center"/>
      <protection locked="0"/>
    </xf>
    <xf numFmtId="176" fontId="24" fillId="7" borderId="9" xfId="0" applyNumberFormat="1" applyFont="1" applyFill="1" applyBorder="1" applyAlignment="1">
      <alignment horizontal="center" vertical="center"/>
    </xf>
    <xf numFmtId="177" fontId="22" fillId="10" borderId="9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vertical="center"/>
    </xf>
    <xf numFmtId="0" fontId="26" fillId="10" borderId="1" xfId="0" applyFont="1" applyFill="1" applyBorder="1" applyAlignment="1" applyProtection="1">
      <alignment vertical="center" wrapText="1"/>
      <protection locked="0"/>
    </xf>
    <xf numFmtId="0" fontId="27" fillId="0" borderId="0" xfId="0" applyFont="1" applyAlignment="1">
      <alignment horizontal="right" vertical="center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 wrapText="1"/>
      <protection locked="0"/>
    </xf>
    <xf numFmtId="0" fontId="28" fillId="5" borderId="11" xfId="0" applyFont="1" applyFill="1" applyBorder="1" applyAlignment="1">
      <alignment horizontal="center" vertical="center" wrapText="1"/>
    </xf>
    <xf numFmtId="0" fontId="28" fillId="12" borderId="11" xfId="0" applyFont="1" applyFill="1" applyBorder="1" applyAlignment="1">
      <alignment horizontal="center" vertical="center" wrapText="1"/>
    </xf>
    <xf numFmtId="0" fontId="28" fillId="13" borderId="11" xfId="0" applyFont="1" applyFill="1" applyBorder="1" applyAlignment="1">
      <alignment horizontal="center" vertical="center" wrapText="1"/>
    </xf>
    <xf numFmtId="0" fontId="28" fillId="14" borderId="11" xfId="0" applyFont="1" applyFill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173" fontId="22" fillId="15" borderId="9" xfId="0" applyNumberFormat="1" applyFont="1" applyFill="1" applyBorder="1" applyAlignment="1" applyProtection="1">
      <alignment horizontal="center" vertical="center"/>
      <protection locked="0"/>
    </xf>
    <xf numFmtId="173" fontId="24" fillId="0" borderId="9" xfId="0" applyNumberFormat="1" applyFont="1" applyBorder="1" applyAlignment="1">
      <alignment horizontal="center" vertical="center"/>
    </xf>
    <xf numFmtId="1" fontId="22" fillId="6" borderId="9" xfId="0" applyNumberFormat="1" applyFont="1" applyFill="1" applyBorder="1" applyAlignment="1" applyProtection="1">
      <alignment horizontal="center" vertical="center"/>
      <protection locked="0"/>
    </xf>
    <xf numFmtId="1" fontId="22" fillId="16" borderId="9" xfId="0" applyNumberFormat="1" applyFont="1" applyFill="1" applyBorder="1" applyAlignment="1" applyProtection="1">
      <alignment horizontal="center" vertical="center"/>
      <protection locked="0"/>
    </xf>
    <xf numFmtId="167" fontId="22" fillId="6" borderId="9" xfId="0" applyNumberFormat="1" applyFont="1" applyFill="1" applyBorder="1" applyAlignment="1" applyProtection="1">
      <alignment horizontal="center" vertical="center"/>
      <protection locked="0"/>
    </xf>
    <xf numFmtId="167" fontId="22" fillId="16" borderId="9" xfId="0" applyNumberFormat="1" applyFont="1" applyFill="1" applyBorder="1" applyAlignment="1" applyProtection="1">
      <alignment horizontal="center" vertical="center"/>
      <protection locked="0"/>
    </xf>
    <xf numFmtId="169" fontId="22" fillId="6" borderId="9" xfId="0" applyNumberFormat="1" applyFont="1" applyFill="1" applyBorder="1" applyAlignment="1" applyProtection="1">
      <alignment horizontal="center" vertical="center"/>
      <protection locked="0"/>
    </xf>
    <xf numFmtId="169" fontId="22" fillId="16" borderId="9" xfId="0" applyNumberFormat="1" applyFont="1" applyFill="1" applyBorder="1" applyAlignment="1" applyProtection="1">
      <alignment horizontal="center" vertical="center"/>
      <protection locked="0"/>
    </xf>
    <xf numFmtId="171" fontId="22" fillId="6" borderId="9" xfId="0" applyNumberFormat="1" applyFont="1" applyFill="1" applyBorder="1" applyAlignment="1" applyProtection="1">
      <alignment horizontal="center" vertical="center"/>
      <protection locked="0"/>
    </xf>
    <xf numFmtId="171" fontId="22" fillId="16" borderId="9" xfId="0" applyNumberFormat="1" applyFont="1" applyFill="1" applyBorder="1" applyAlignment="1" applyProtection="1">
      <alignment horizontal="center" vertical="center"/>
      <protection locked="0"/>
    </xf>
    <xf numFmtId="178" fontId="30" fillId="17" borderId="9" xfId="0" applyNumberFormat="1" applyFont="1" applyFill="1" applyBorder="1" applyAlignment="1">
      <alignment horizontal="center" vertical="center"/>
    </xf>
    <xf numFmtId="168" fontId="30" fillId="17" borderId="9" xfId="0" applyNumberFormat="1" applyFont="1" applyFill="1" applyBorder="1" applyAlignment="1">
      <alignment horizontal="center" vertical="center"/>
    </xf>
    <xf numFmtId="170" fontId="30" fillId="17" borderId="9" xfId="0" applyNumberFormat="1" applyFont="1" applyFill="1" applyBorder="1" applyAlignment="1">
      <alignment horizontal="center" vertical="center"/>
    </xf>
    <xf numFmtId="172" fontId="30" fillId="17" borderId="9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" fontId="31" fillId="8" borderId="1" xfId="0" applyNumberFormat="1" applyFont="1" applyFill="1" applyBorder="1" applyAlignment="1">
      <alignment horizontal="center" vertical="center"/>
    </xf>
    <xf numFmtId="167" fontId="31" fillId="8" borderId="1" xfId="0" applyNumberFormat="1" applyFont="1" applyFill="1" applyBorder="1" applyAlignment="1">
      <alignment horizontal="center" vertical="center"/>
    </xf>
    <xf numFmtId="169" fontId="31" fillId="8" borderId="1" xfId="0" applyNumberFormat="1" applyFont="1" applyFill="1" applyBorder="1" applyAlignment="1">
      <alignment horizontal="center" vertical="center"/>
    </xf>
    <xf numFmtId="171" fontId="31" fillId="8" borderId="1" xfId="0" applyNumberFormat="1" applyFont="1" applyFill="1" applyBorder="1" applyAlignment="1">
      <alignment horizontal="center" vertical="center"/>
    </xf>
    <xf numFmtId="178" fontId="32" fillId="18" borderId="1" xfId="0" applyNumberFormat="1" applyFont="1" applyFill="1" applyBorder="1" applyAlignment="1">
      <alignment horizontal="center" vertical="center"/>
    </xf>
    <xf numFmtId="168" fontId="32" fillId="18" borderId="1" xfId="0" applyNumberFormat="1" applyFont="1" applyFill="1" applyBorder="1" applyAlignment="1">
      <alignment horizontal="center" vertical="center"/>
    </xf>
    <xf numFmtId="170" fontId="32" fillId="18" borderId="1" xfId="0" applyNumberFormat="1" applyFont="1" applyFill="1" applyBorder="1" applyAlignment="1">
      <alignment horizontal="center" vertical="center"/>
    </xf>
    <xf numFmtId="172" fontId="32" fillId="18" borderId="1" xfId="0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0" fontId="27" fillId="0" borderId="0" xfId="0" applyFont="1" applyAlignment="1"/>
    <xf numFmtId="0" fontId="34" fillId="0" borderId="0" xfId="0" applyFont="1" applyAlignment="1">
      <alignment horizontal="center" vertical="center"/>
    </xf>
    <xf numFmtId="179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/>
      <protection locked="0"/>
    </xf>
    <xf numFmtId="1" fontId="1" fillId="3" borderId="1" xfId="0" applyNumberFormat="1" applyFont="1" applyFill="1" applyBorder="1" applyAlignment="1" applyProtection="1">
      <alignment horizontal="center" vertical="center"/>
      <protection locked="0"/>
    </xf>
    <xf numFmtId="167" fontId="1" fillId="3" borderId="1" xfId="0" applyNumberFormat="1" applyFont="1" applyFill="1" applyBorder="1" applyAlignment="1" applyProtection="1">
      <alignment horizontal="center" vertical="center"/>
      <protection locked="0"/>
    </xf>
    <xf numFmtId="169" fontId="1" fillId="3" borderId="1" xfId="0" applyNumberFormat="1" applyFont="1" applyFill="1" applyBorder="1" applyAlignment="1" applyProtection="1">
      <alignment horizontal="center" vertical="center"/>
      <protection locked="0"/>
    </xf>
    <xf numFmtId="17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35" fillId="9" borderId="1" xfId="0" applyFont="1" applyFill="1" applyBorder="1" applyAlignment="1">
      <alignment vertical="top" wrapText="1"/>
    </xf>
    <xf numFmtId="0" fontId="27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7" fillId="5" borderId="0" xfId="0" applyFont="1" applyFill="1" applyAlignment="1">
      <alignment horizontal="left" vertical="center" indent="1"/>
    </xf>
    <xf numFmtId="0" fontId="38" fillId="0" borderId="0" xfId="0" applyFont="1" applyAlignment="1">
      <alignment vertical="center"/>
    </xf>
    <xf numFmtId="0" fontId="39" fillId="0" borderId="0" xfId="0" applyFont="1"/>
    <xf numFmtId="180" fontId="39" fillId="0" borderId="0" xfId="0" applyNumberFormat="1" applyFont="1" applyAlignment="1">
      <alignment horizontal="center"/>
    </xf>
    <xf numFmtId="179" fontId="39" fillId="0" borderId="0" xfId="0" applyNumberFormat="1" applyFont="1" applyAlignment="1">
      <alignment horizontal="center"/>
    </xf>
    <xf numFmtId="171" fontId="39" fillId="0" borderId="0" xfId="0" applyNumberFormat="1" applyFont="1" applyAlignment="1">
      <alignment horizontal="center"/>
    </xf>
    <xf numFmtId="0" fontId="33" fillId="0" borderId="0" xfId="0" applyFont="1" applyAlignment="1">
      <alignment vertical="center" wrapText="1"/>
    </xf>
    <xf numFmtId="0" fontId="40" fillId="5" borderId="12" xfId="0" applyFont="1" applyFill="1" applyBorder="1" applyAlignment="1">
      <alignment horizontal="center" vertical="center"/>
    </xf>
    <xf numFmtId="0" fontId="12" fillId="0" borderId="9" xfId="0" applyFont="1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41" fillId="3" borderId="1" xfId="0" applyFont="1" applyFill="1" applyBorder="1" applyAlignment="1" applyProtection="1">
      <alignment vertical="center"/>
      <protection locked="0"/>
    </xf>
    <xf numFmtId="18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9" fillId="19" borderId="13" xfId="0" applyFont="1" applyFill="1" applyBorder="1" applyAlignment="1">
      <alignment vertical="top" wrapText="1"/>
    </xf>
    <xf numFmtId="0" fontId="31" fillId="0" borderId="0" xfId="0" applyFont="1" applyAlignment="1">
      <alignment vertical="center"/>
    </xf>
    <xf numFmtId="176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42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82" fontId="1" fillId="7" borderId="0" xfId="0" applyNumberFormat="1" applyFont="1" applyFill="1" applyAlignment="1">
      <alignment horizontal="left" vertical="center"/>
    </xf>
    <xf numFmtId="0" fontId="43" fillId="0" borderId="0" xfId="0" applyFont="1" applyAlignment="1">
      <alignment vertical="center"/>
    </xf>
    <xf numFmtId="0" fontId="17" fillId="0" borderId="0" xfId="0" applyFont="1" applyAlignment="1">
      <alignment vertical="center"/>
    </xf>
  </cellXfs>
  <cellStyles count="1">
    <cellStyle name="Normal" xfId="0" builtinId="0"/>
  </cellStyles>
  <dxfs count="12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80" formatCode="dd/mm/yyyy"/>
    </dxf>
    <dxf>
      <numFmt numFmtId="179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666750</xdr:colOff>
      <xdr:row>5</xdr:row>
      <xdr:rowOff>114300</xdr:rowOff>
    </xdr:from>
    <xdr:to>
      <xdr:col>13</xdr:col>
      <xdr:colOff>1719263</xdr:colOff>
      <xdr:row>5</xdr:row>
      <xdr:rowOff>364427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44100" y="1019175"/>
          <a:ext cx="1052513" cy="25012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114300</xdr:colOff>
      <xdr:row>3</xdr:row>
      <xdr:rowOff>19050</xdr:rowOff>
    </xdr:from>
    <xdr:to>
      <xdr:col>13</xdr:col>
      <xdr:colOff>590550</xdr:colOff>
      <xdr:row>4</xdr:row>
      <xdr:rowOff>66675</xdr:rowOff>
    </xdr:to>
    <xdr:sp macro="[0]!BuscarMES" textlink="">
      <xdr:nvSpPr>
        <xdr:cNvPr id="2" name="TextBox 1" descr="Botão: BuscarMES"/>
        <xdr:cNvSpPr txBox="1"/>
      </xdr:nvSpPr>
      <xdr:spPr>
        <a:xfrm>
          <a:off x="7515225" y="771525"/>
          <a:ext cx="2476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10</xdr:col>
      <xdr:colOff>114300</xdr:colOff>
      <xdr:row>5</xdr:row>
      <xdr:rowOff>95250</xdr:rowOff>
    </xdr:from>
    <xdr:to>
      <xdr:col>13</xdr:col>
      <xdr:colOff>590550</xdr:colOff>
      <xdr:row>7</xdr:row>
      <xdr:rowOff>19050</xdr:rowOff>
    </xdr:to>
    <xdr:sp macro="[0]!SalvarHistorico" textlink="">
      <xdr:nvSpPr>
        <xdr:cNvPr id="3" name="TextBox 2" descr="Botão: SalvarHistorico"/>
        <xdr:cNvSpPr txBox="1"/>
      </xdr:nvSpPr>
      <xdr:spPr>
        <a:xfrm>
          <a:off x="7515225" y="1323975"/>
          <a:ext cx="247650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10</xdr:col>
      <xdr:colOff>114300</xdr:colOff>
      <xdr:row>8</xdr:row>
      <xdr:rowOff>38100</xdr:rowOff>
    </xdr:from>
    <xdr:to>
      <xdr:col>11</xdr:col>
      <xdr:colOff>647700</xdr:colOff>
      <xdr:row>9</xdr:row>
      <xdr:rowOff>85725</xdr:rowOff>
    </xdr:to>
    <xdr:sp macro="[0]!IrPainel" textlink="">
      <xdr:nvSpPr>
        <xdr:cNvPr id="4" name="TextBox 3" descr="Botão: IrPainel"/>
        <xdr:cNvSpPr txBox="1"/>
      </xdr:nvSpPr>
      <xdr:spPr>
        <a:xfrm>
          <a:off x="7515225" y="1866900"/>
          <a:ext cx="12001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12</xdr:col>
      <xdr:colOff>57150</xdr:colOff>
      <xdr:row>8</xdr:row>
      <xdr:rowOff>38100</xdr:rowOff>
    </xdr:from>
    <xdr:to>
      <xdr:col>13</xdr:col>
      <xdr:colOff>590550</xdr:colOff>
      <xdr:row>9</xdr:row>
      <xdr:rowOff>85725</xdr:rowOff>
    </xdr:to>
    <xdr:sp macro="[0]!LimparLeituras" textlink="">
      <xdr:nvSpPr>
        <xdr:cNvPr id="5" name="TextBox 4" descr="Botão: LimparLeituras"/>
        <xdr:cNvSpPr txBox="1"/>
      </xdr:nvSpPr>
      <xdr:spPr>
        <a:xfrm>
          <a:off x="8791575" y="1866900"/>
          <a:ext cx="1200150" cy="2476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57150</xdr:colOff>
      <xdr:row>5</xdr:row>
      <xdr:rowOff>0</xdr:rowOff>
    </xdr:from>
    <xdr:to>
      <xdr:col>3</xdr:col>
      <xdr:colOff>2152650</xdr:colOff>
      <xdr:row>7</xdr:row>
      <xdr:rowOff>0</xdr:rowOff>
    </xdr:to>
    <xdr:sp macro="[0]!CopiarResumo" textlink="">
      <xdr:nvSpPr>
        <xdr:cNvPr id="2" name="TextBox 1" descr="Botão: CopiarResumo"/>
        <xdr:cNvSpPr txBox="1"/>
      </xdr:nvSpPr>
      <xdr:spPr>
        <a:xfrm>
          <a:off x="6600825" y="1276350"/>
          <a:ext cx="2095500" cy="3810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  <xdr:twoCellAnchor editAs="absolute">
    <xdr:from>
      <xdr:col>3</xdr:col>
      <xdr:colOff>57150</xdr:colOff>
      <xdr:row>8</xdr:row>
      <xdr:rowOff>0</xdr:rowOff>
    </xdr:from>
    <xdr:to>
      <xdr:col>3</xdr:col>
      <xdr:colOff>2152650</xdr:colOff>
      <xdr:row>10</xdr:row>
      <xdr:rowOff>0</xdr:rowOff>
    </xdr:to>
    <xdr:sp macro="[0]!CopiarImagemPainel" textlink="">
      <xdr:nvSpPr>
        <xdr:cNvPr id="3" name="TextBox 2" descr="Botão: CopiarImagemPainel"/>
        <xdr:cNvSpPr txBox="1"/>
      </xdr:nvSpPr>
      <xdr:spPr>
        <a:xfrm>
          <a:off x="6600825" y="1847850"/>
          <a:ext cx="2095500" cy="38100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painel (imagem)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IrBatch" textlink="">
      <xdr:nvSpPr>
        <xdr:cNvPr id="2" name="TextBox 1" descr="Botão: IrBatch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19</xdr:row>
      <xdr:rowOff>0</xdr:rowOff>
    </xdr:from>
    <xdr:to>
      <xdr:col>12</xdr:col>
      <xdr:colOff>971550</xdr:colOff>
      <xdr:row>20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4248150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E8" totalsRowShown="0">
  <autoFilter ref="B7:BE8"/>
  <tableColumns count="56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Texto parâmetros fora" dataDxfId="7"/>
    <tableColumn id="24" name="Texto acompanhamento" dataDxfId="7"/>
    <tableColumn id="25" name="Comentário 1" dataDxfId="7"/>
    <tableColumn id="26" name="Comentário 2" dataDxfId="7"/>
    <tableColumn id="27" name="Comentário 3" dataDxfId="7"/>
    <tableColumn id="28" name="Comentário 4" dataDxfId="7"/>
    <tableColumn id="29" name="Comentário 5" dataDxfId="7"/>
    <tableColumn id="30" name="Comentário 6" dataDxfId="7"/>
    <tableColumn id="31" name="S.E. média A" dataDxfId="10"/>
    <tableColumn id="32" name="S.E. média B" dataDxfId="10"/>
    <tableColumn id="33" name="S.E. diferença" dataDxfId="10"/>
    <tableColumn id="34" name="S.E. status" dataDxfId="7"/>
    <tableColumn id="35" name="&lt;325# média A" dataDxfId="10"/>
    <tableColumn id="36" name="&lt;325# média B" dataDxfId="10"/>
    <tableColumn id="37" name="&lt;325# diferença" dataDxfId="10"/>
    <tableColumn id="38" name="&lt;325# status" dataDxfId="7"/>
    <tableColumn id="39" name="SiO₂ média A" dataDxfId="10"/>
    <tableColumn id="40" name="SiO₂ média B" dataDxfId="10"/>
    <tableColumn id="41" name="SiO₂ diferença" dataDxfId="10"/>
    <tableColumn id="42" name="SiO₂ status" dataDxfId="7"/>
    <tableColumn id="43" name="P média A" dataDxfId="10"/>
    <tableColumn id="44" name="P média B" dataDxfId="10"/>
    <tableColumn id="45" name="P diferença" dataDxfId="10"/>
    <tableColumn id="46" name="P status" dataDxfId="7"/>
    <tableColumn id="47" name="PPC média A" dataDxfId="10"/>
    <tableColumn id="48" name="PPC média B" dataDxfId="10"/>
    <tableColumn id="49" name="PPC diferença" dataDxfId="10"/>
    <tableColumn id="50" name="PPC status" dataDxfId="7"/>
    <tableColumn id="51" name="Início no processo" dataDxfId="9"/>
    <tableColumn id="52" name="Defasagem (h)" dataDxfId="7"/>
    <tableColumn id="53" name="Nº NOK" dataDxfId="7"/>
    <tableColumn id="54" name="Leituras" dataDxfId="7"/>
    <tableColumn id="55" name="Salvo em" dataDxfId="9"/>
    <tableColumn id="56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60" totalsRowShown="0">
  <autoFilter ref="A1:J60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1A3C6E"/>
    <pageSetUpPr fitToPage="1"/>
  </sheetPr>
  <dimension ref="A1:P63"/>
  <sheetViews>
    <sheetView showGridLines="0" tabSelected="1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234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/>
      <c r="C3" s="4"/>
      <c r="D3" s="5" t="s">
        <v>235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6"/>
      <c r="B6" s="7">
        <f>IF(TRIM(bTit&amp;"")="","COMPARATIVO DE MEDIÇÕES DE QUALIDADE",UPPER(bTit))</f>
        <v>0</v>
      </c>
      <c r="C6" s="8"/>
      <c r="D6" s="8"/>
      <c r="E6" s="8"/>
      <c r="F6" s="8"/>
      <c r="G6" s="9">
        <f>"|    "&amp;UPPER(bSub)</f>
        <v>0</v>
      </c>
      <c r="H6" s="8"/>
      <c r="I6" s="8"/>
      <c r="J6" s="8"/>
      <c r="K6" s="8"/>
      <c r="L6" s="8"/>
      <c r="M6" s="6"/>
      <c r="N6" s="6"/>
      <c r="O6" s="6"/>
    </row>
    <row r="7" spans="1:16" ht="22" customHeight="1">
      <c r="A7" s="10"/>
      <c r="B7" s="11" t="s">
        <v>236</v>
      </c>
      <c r="C7" s="11"/>
      <c r="D7" s="11"/>
      <c r="E7" s="11"/>
      <c r="F7" s="11"/>
      <c r="G7" s="12">
        <f>"BATCH "&amp;bId&amp;"   |   "&amp;gDataTxt&amp;IF(bMin&lt;&gt;"","   |   Mineroduto "&amp;bMin,"")</f>
        <v>0</v>
      </c>
      <c r="H7" s="13"/>
      <c r="I7" s="13"/>
      <c r="J7" s="13"/>
      <c r="K7" s="13"/>
      <c r="L7" s="13"/>
      <c r="M7" s="13"/>
      <c r="N7" s="13"/>
      <c r="O7" s="10"/>
    </row>
    <row r="8" spans="1:16" ht="10" customHeight="1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</row>
    <row r="9" spans="1:16" ht="20" customHeight="1">
      <c r="B9" s="15">
        <f>UPPER("Batch "&amp;bId&amp;IF(bMin&lt;&gt;""," - Mineroduto "&amp;bMin,""))</f>
        <v>0</v>
      </c>
      <c r="C9" s="15"/>
      <c r="D9" s="15"/>
      <c r="E9" s="15"/>
      <c r="F9" s="15"/>
      <c r="G9" s="15"/>
      <c r="I9" s="15" t="s">
        <v>237</v>
      </c>
      <c r="J9" s="15"/>
      <c r="K9" s="15"/>
      <c r="L9" s="15"/>
      <c r="M9" s="15"/>
      <c r="N9" s="15"/>
    </row>
    <row r="10" spans="1:16" ht="28" customHeight="1">
      <c r="B10" s="16"/>
      <c r="C10" s="16">
        <f>UPPER(bLabA)&amp;IF(bRef=bLabA," ★","")&amp;CHAR(10)&amp;"(MÉDIA)"</f>
        <v>0</v>
      </c>
      <c r="D10" s="16">
        <f>UPPER(bLabB)&amp;IF(bRef=bLabB," ★","")&amp;CHAR(10)&amp;"(MÉDIA)"</f>
        <v>0</v>
      </c>
      <c r="E10" s="16">
        <f>"DIFERENÇA"&amp;CHAR(10)&amp;"("&amp;UPPER(gAvalNome)&amp;"−"&amp;UPPER(gRefNome)&amp;")"</f>
        <v>0</v>
      </c>
      <c r="F10" s="16" t="s">
        <v>238</v>
      </c>
      <c r="G10" s="16" t="s">
        <v>239</v>
      </c>
      <c r="I10" s="17">
        <f>gComentarios</f>
        <v>0</v>
      </c>
      <c r="J10" s="17"/>
      <c r="K10" s="17"/>
      <c r="L10" s="17"/>
      <c r="M10" s="17"/>
      <c r="N10" s="17"/>
    </row>
    <row r="11" spans="1:16" ht="21" customHeight="1">
      <c r="B11" s="18" t="s">
        <v>14</v>
      </c>
      <c r="C11" s="19">
        <f>'_Graf'!$B$31</f>
        <v>0</v>
      </c>
      <c r="D11" s="19">
        <f>'_Graf'!$C$31</f>
        <v>0</v>
      </c>
      <c r="E11" s="20">
        <f>IF(ISNUMBER('_Graf'!$D$31),'_Graf'!$E$31,"—")</f>
        <v>0</v>
      </c>
      <c r="F11" s="19">
        <f>'_Graf'!$H$31</f>
        <v>0</v>
      </c>
      <c r="G11" s="21">
        <f>'_Graf'!$F$31</f>
        <v>0</v>
      </c>
      <c r="I11" s="17"/>
      <c r="J11" s="17"/>
      <c r="K11" s="17"/>
      <c r="L11" s="17"/>
      <c r="M11" s="17"/>
      <c r="N11" s="17"/>
    </row>
    <row r="12" spans="1:16" ht="21" customHeight="1">
      <c r="B12" s="18" t="s">
        <v>21</v>
      </c>
      <c r="C12" s="22">
        <f>'_Graf'!$B$32</f>
        <v>0</v>
      </c>
      <c r="D12" s="22">
        <f>'_Graf'!$C$32</f>
        <v>0</v>
      </c>
      <c r="E12" s="23">
        <f>IF(ISNUMBER('_Graf'!$D$32),'_Graf'!$E$32,"—")</f>
        <v>0</v>
      </c>
      <c r="F12" s="22">
        <f>'_Graf'!$H$32</f>
        <v>0</v>
      </c>
      <c r="G12" s="21">
        <f>'_Graf'!$F$32</f>
        <v>0</v>
      </c>
      <c r="I12" s="17"/>
      <c r="J12" s="17"/>
      <c r="K12" s="17"/>
      <c r="L12" s="17"/>
      <c r="M12" s="17"/>
      <c r="N12" s="17"/>
    </row>
    <row r="13" spans="1:16" ht="21" customHeight="1">
      <c r="B13" s="18" t="s">
        <v>24</v>
      </c>
      <c r="C13" s="24">
        <f>'_Graf'!$B$33</f>
        <v>0</v>
      </c>
      <c r="D13" s="24">
        <f>'_Graf'!$C$33</f>
        <v>0</v>
      </c>
      <c r="E13" s="25">
        <f>IF(ISNUMBER('_Graf'!$D$33),'_Graf'!$E$33,"—")</f>
        <v>0</v>
      </c>
      <c r="F13" s="24">
        <f>'_Graf'!$H$33</f>
        <v>0</v>
      </c>
      <c r="G13" s="21">
        <f>'_Graf'!$F$33</f>
        <v>0</v>
      </c>
      <c r="I13" s="17"/>
      <c r="J13" s="17"/>
      <c r="K13" s="17"/>
      <c r="L13" s="17"/>
      <c r="M13" s="17"/>
      <c r="N13" s="17"/>
    </row>
    <row r="14" spans="1:16" ht="21" customHeight="1">
      <c r="B14" s="18" t="s">
        <v>27</v>
      </c>
      <c r="C14" s="26">
        <f>'_Graf'!$B$34</f>
        <v>0</v>
      </c>
      <c r="D14" s="26">
        <f>'_Graf'!$C$34</f>
        <v>0</v>
      </c>
      <c r="E14" s="27">
        <f>IF(ISNUMBER('_Graf'!$D$34),'_Graf'!$E$34,"—")</f>
        <v>0</v>
      </c>
      <c r="F14" s="26">
        <f>'_Graf'!$H$34</f>
        <v>0</v>
      </c>
      <c r="G14" s="21">
        <f>'_Graf'!$F$34</f>
        <v>0</v>
      </c>
      <c r="I14" s="17"/>
      <c r="J14" s="17"/>
      <c r="K14" s="17"/>
      <c r="L14" s="17"/>
      <c r="M14" s="17"/>
      <c r="N14" s="17"/>
    </row>
    <row r="15" spans="1:16" ht="21" customHeight="1">
      <c r="B15" s="18" t="s">
        <v>30</v>
      </c>
      <c r="C15" s="24">
        <f>'_Graf'!$B$35</f>
        <v>0</v>
      </c>
      <c r="D15" s="24">
        <f>'_Graf'!$C$35</f>
        <v>0</v>
      </c>
      <c r="E15" s="25">
        <f>IF(ISNUMBER('_Graf'!$D$35),'_Graf'!$E$35,"—")</f>
        <v>0</v>
      </c>
      <c r="F15" s="24">
        <f>'_Graf'!$H$35</f>
        <v>0</v>
      </c>
      <c r="G15" s="21">
        <f>'_Graf'!$F$35</f>
        <v>0</v>
      </c>
      <c r="I15" s="17"/>
      <c r="J15" s="17"/>
      <c r="K15" s="17"/>
      <c r="L15" s="17"/>
      <c r="M15" s="17"/>
      <c r="N15" s="17"/>
    </row>
    <row r="16" spans="1:16" ht="16" customHeight="1">
      <c r="B16" s="28" t="s">
        <v>240</v>
      </c>
      <c r="C16" s="28"/>
      <c r="D16" s="28"/>
      <c r="E16" s="29" t="s">
        <v>241</v>
      </c>
      <c r="F16" s="29"/>
      <c r="G16" s="29"/>
      <c r="I16" s="17"/>
      <c r="J16" s="17"/>
      <c r="K16" s="17"/>
      <c r="L16" s="17"/>
      <c r="M16" s="17"/>
      <c r="N16" s="17"/>
    </row>
    <row r="17" spans="2:14" ht="10" customHeight="1"/>
    <row r="18" spans="2:14" ht="19" customHeight="1">
      <c r="B18" s="30">
        <f>UPPER(tit_P)</f>
        <v>0</v>
      </c>
      <c r="C18" s="30"/>
      <c r="D18" s="30"/>
      <c r="E18" s="30"/>
      <c r="F18" s="30"/>
      <c r="G18" s="30"/>
      <c r="H18" s="30"/>
      <c r="I18" s="31">
        <f>IF(pSt_P="—","—  ","●  "&amp;pSt_P&amp;"  ")</f>
        <v>0</v>
      </c>
      <c r="K18" s="30">
        <f>UPPER(tit_SiO2)</f>
        <v>0</v>
      </c>
      <c r="L18" s="30"/>
      <c r="M18" s="30"/>
      <c r="N18" s="31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30">
        <f>UPPER(tit_PPC)</f>
        <v>0</v>
      </c>
      <c r="C33" s="30"/>
      <c r="D33" s="30"/>
      <c r="E33" s="30"/>
      <c r="F33" s="30"/>
      <c r="G33" s="30"/>
      <c r="H33" s="30"/>
      <c r="I33" s="31">
        <f>IF(pSt_PPC="—","—  ","●  "&amp;pSt_PPC&amp;"  ")</f>
        <v>0</v>
      </c>
      <c r="K33" s="30">
        <f>UPPER(tit_325)</f>
        <v>0</v>
      </c>
      <c r="L33" s="30"/>
      <c r="M33" s="30"/>
      <c r="N33" s="31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30">
        <f>UPPER(tit_SE)</f>
        <v>0</v>
      </c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1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32">
        <f>"Diferença = "&amp;gAvalNome&amp;" − "&amp;gRefNome&amp;" (referência: "&amp;gRefNome&amp;")   ·   faixa verde tracejada = tolerância   ·   ◆ = diferença das médias"</f>
        <v>0</v>
      </c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</row>
  </sheetData>
  <sheetProtection sheet="1" objects="1" scenarios="1" formatColumns="0" formatRows="0"/>
  <mergeCells count="17">
    <mergeCell ref="B3:C3"/>
    <mergeCell ref="B6:F6"/>
    <mergeCell ref="G6:L6"/>
    <mergeCell ref="M6:N6"/>
    <mergeCell ref="B7:F7"/>
    <mergeCell ref="G7:N7"/>
    <mergeCell ref="B9:G9"/>
    <mergeCell ref="I9:N9"/>
    <mergeCell ref="B16:D16"/>
    <mergeCell ref="E16:G16"/>
    <mergeCell ref="I10:N16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62"/>
  <sheetViews>
    <sheetView showGridLines="0" workbookViewId="0"/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4" ht="34" customHeight="1">
      <c r="B2" s="7" t="s">
        <v>94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</row>
    <row r="3" spans="2:14" ht="8" customHeight="1"/>
    <row r="4" spans="2:14" ht="22" customHeight="1">
      <c r="B4" s="33" t="s">
        <v>95</v>
      </c>
      <c r="C4" s="33"/>
      <c r="D4" s="33" t="s">
        <v>96</v>
      </c>
      <c r="E4" s="33"/>
      <c r="F4" s="33"/>
      <c r="G4" s="33"/>
      <c r="H4" s="33"/>
      <c r="I4" s="33"/>
      <c r="J4" s="33"/>
    </row>
    <row r="5" spans="2:14" ht="16" customHeight="1">
      <c r="B5" s="34"/>
      <c r="C5" s="34"/>
      <c r="D5" s="35"/>
      <c r="E5" s="35"/>
      <c r="F5" s="35"/>
      <c r="G5" s="35"/>
      <c r="H5" s="35"/>
      <c r="I5" s="35"/>
      <c r="J5" s="35"/>
    </row>
    <row r="6" spans="2:14" ht="16" customHeight="1">
      <c r="B6" s="34"/>
      <c r="C6" s="34"/>
      <c r="D6" s="35"/>
      <c r="E6" s="35"/>
      <c r="F6" s="35"/>
      <c r="G6" s="35"/>
      <c r="H6" s="35"/>
      <c r="I6" s="35"/>
      <c r="J6" s="35"/>
    </row>
    <row r="7" spans="2:14" ht="16" customHeight="1">
      <c r="B7" s="33" t="s">
        <v>97</v>
      </c>
      <c r="C7" s="33"/>
      <c r="D7" s="35"/>
      <c r="E7" s="35"/>
      <c r="F7" s="35"/>
      <c r="G7" s="35"/>
      <c r="H7" s="35"/>
      <c r="I7" s="35"/>
      <c r="J7" s="35"/>
    </row>
    <row r="8" spans="2:14" ht="16" customHeight="1">
      <c r="B8" s="36"/>
      <c r="C8" s="36"/>
      <c r="D8" s="35"/>
      <c r="E8" s="35"/>
      <c r="F8" s="35"/>
      <c r="G8" s="35"/>
      <c r="H8" s="35"/>
      <c r="I8" s="35"/>
      <c r="J8" s="35"/>
    </row>
    <row r="9" spans="2:14" ht="16" customHeight="1">
      <c r="B9" s="37">
        <f>IF(AND(ISNUMBER(bIniP),ISNUMBER(bIniU)),ROUND((bIniP-bIniU)*24,2),IF(bNivel&lt;&gt;"",gAtrasoNivel,""))</f>
        <v>0</v>
      </c>
      <c r="C9" s="37"/>
      <c r="D9" s="35"/>
      <c r="E9" s="35"/>
      <c r="F9" s="35"/>
      <c r="G9" s="35"/>
      <c r="H9" s="35"/>
      <c r="I9" s="35"/>
      <c r="J9" s="35"/>
    </row>
    <row r="10" spans="2:14" ht="16" customHeight="1">
      <c r="D10" s="35"/>
      <c r="E10" s="35"/>
      <c r="F10" s="35"/>
      <c r="G10" s="35"/>
      <c r="H10" s="35"/>
      <c r="I10" s="35"/>
      <c r="J10" s="35"/>
    </row>
    <row r="11" spans="2:14" ht="16" customHeight="1">
      <c r="D11" s="35"/>
      <c r="E11" s="35"/>
      <c r="F11" s="35"/>
      <c r="G11" s="35"/>
      <c r="H11" s="35"/>
      <c r="I11" s="35"/>
      <c r="J11" s="35"/>
    </row>
    <row r="12" spans="2:14" ht="18" customHeight="1">
      <c r="D12" s="38"/>
      <c r="E12" s="38"/>
      <c r="F12" s="38"/>
      <c r="G12" s="38"/>
      <c r="H12" s="38"/>
      <c r="I12" s="38"/>
      <c r="J12" s="38"/>
    </row>
    <row r="13" spans="2:14" ht="14" customHeight="1">
      <c r="B13" s="39" t="s">
        <v>98</v>
      </c>
      <c r="C13" s="39"/>
      <c r="D13" s="39" t="s">
        <v>99</v>
      </c>
      <c r="E13" s="39" t="s">
        <v>100</v>
      </c>
      <c r="F13" s="39"/>
      <c r="G13" s="39" t="s">
        <v>101</v>
      </c>
      <c r="H13" s="39"/>
      <c r="I13" s="40" t="s">
        <v>102</v>
      </c>
      <c r="J13" s="40"/>
      <c r="K13" s="39" t="s">
        <v>103</v>
      </c>
      <c r="L13" s="39" t="s">
        <v>104</v>
      </c>
      <c r="M13" s="39" t="s">
        <v>105</v>
      </c>
      <c r="N13" s="39" t="s">
        <v>106</v>
      </c>
    </row>
    <row r="14" spans="2:14" ht="22" customHeight="1">
      <c r="B14" s="41"/>
      <c r="C14" s="41"/>
      <c r="D14" s="41"/>
      <c r="E14" s="41"/>
      <c r="F14" s="41"/>
      <c r="G14" s="41"/>
      <c r="H14" s="41"/>
      <c r="I14" s="42">
        <f>IF(ISNUMBER(bIniPMan),bIniPMan,IF(ISNUMBER(bIniU),bIniU+N(gAtrasoNivel)/24,""))</f>
        <v>0</v>
      </c>
      <c r="J14" s="42"/>
      <c r="K14" s="43">
        <f>IF(ISNUMBER(gNGer),gNGer,IF(ISNUMBER(gNHorFim),gNHorFim,padNHor))</f>
        <v>0</v>
      </c>
      <c r="L14" s="44">
        <f>IF(AND(ISNUMBER(gJanU),ISNUMBER(gJanG)),ROUND((gJanU-gJanG)*24,2),"")</f>
        <v>0</v>
      </c>
      <c r="M14" s="45">
        <f>TODAY()</f>
        <v>0</v>
      </c>
      <c r="N14" s="43" t="s">
        <v>69</v>
      </c>
    </row>
    <row r="15" spans="2:14" ht="8" customHeight="1"/>
    <row r="16" spans="2:14" ht="22" customHeight="1">
      <c r="B16" s="33" t="s">
        <v>107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</row>
    <row r="17" spans="2:25" ht="26" customHeight="1">
      <c r="B17" s="46" t="s">
        <v>108</v>
      </c>
      <c r="C17" s="46"/>
      <c r="D17" s="47">
        <f>gFrase</f>
        <v>0</v>
      </c>
      <c r="E17" s="47"/>
      <c r="F17" s="47"/>
      <c r="G17" s="47"/>
      <c r="H17" s="47"/>
      <c r="I17" s="47"/>
      <c r="J17" s="47"/>
      <c r="K17" s="47"/>
      <c r="L17" s="47"/>
      <c r="M17" s="48" t="s">
        <v>109</v>
      </c>
      <c r="N17" s="49" t="s">
        <v>91</v>
      </c>
    </row>
    <row r="18" spans="2:25" ht="26" customHeight="1">
      <c r="B18" s="46" t="s">
        <v>110</v>
      </c>
      <c r="C18" s="46"/>
      <c r="D18" s="47">
        <f>gAcomp</f>
        <v>0</v>
      </c>
      <c r="E18" s="47"/>
      <c r="F18" s="47"/>
      <c r="G18" s="47"/>
      <c r="H18" s="47"/>
      <c r="I18" s="47"/>
      <c r="J18" s="47"/>
      <c r="K18" s="47"/>
      <c r="L18" s="47"/>
      <c r="M18" s="48" t="s">
        <v>109</v>
      </c>
      <c r="N18" s="49" t="s">
        <v>91</v>
      </c>
    </row>
    <row r="19" spans="2:25" ht="17" customHeight="1">
      <c r="B19" s="46" t="s">
        <v>111</v>
      </c>
      <c r="C19" s="46"/>
      <c r="D19" s="50" t="s">
        <v>76</v>
      </c>
      <c r="E19" s="50"/>
      <c r="F19" s="50"/>
      <c r="G19" s="50"/>
      <c r="H19" s="50"/>
      <c r="I19" s="50"/>
      <c r="J19" s="50"/>
      <c r="K19" s="50"/>
      <c r="L19" s="50"/>
      <c r="M19" s="50"/>
      <c r="N19" s="50"/>
    </row>
    <row r="20" spans="2:25" ht="17" customHeight="1">
      <c r="B20" s="46" t="s">
        <v>112</v>
      </c>
      <c r="C20" s="46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</row>
    <row r="21" spans="2:25" ht="17" customHeight="1">
      <c r="B21" s="46" t="s">
        <v>113</v>
      </c>
      <c r="C21" s="46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</row>
    <row r="22" spans="2:25" ht="17" customHeight="1">
      <c r="B22" s="46" t="s">
        <v>114</v>
      </c>
      <c r="C22" s="46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</row>
    <row r="23" spans="2:25" ht="17" customHeight="1">
      <c r="B23" s="46" t="s">
        <v>115</v>
      </c>
      <c r="C23" s="46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</row>
    <row r="24" spans="2:25" ht="17" customHeight="1">
      <c r="B24" s="46" t="s">
        <v>116</v>
      </c>
      <c r="C24" s="46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</row>
    <row r="25" spans="2:25" ht="8" customHeight="1"/>
    <row r="26" spans="2:25" ht="22" customHeight="1">
      <c r="B26" s="33" t="s">
        <v>117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</row>
    <row r="27" spans="2:25" ht="28" customHeight="1">
      <c r="B27" s="51" t="s">
        <v>118</v>
      </c>
      <c r="C27" s="51" t="s">
        <v>119</v>
      </c>
      <c r="D27" s="51" t="s">
        <v>120</v>
      </c>
      <c r="E27" s="52">
        <f>"S.E."&amp;CHAR(10)&amp;bLabA</f>
        <v>0</v>
      </c>
      <c r="F27" s="53">
        <f>"S.E."&amp;CHAR(10)&amp;bLabB</f>
        <v>0</v>
      </c>
      <c r="G27" s="52">
        <f>"&lt;325#"&amp;CHAR(10)&amp;bLabA</f>
        <v>0</v>
      </c>
      <c r="H27" s="53">
        <f>"&lt;325#"&amp;CHAR(10)&amp;bLabB</f>
        <v>0</v>
      </c>
      <c r="I27" s="52">
        <f>"SiO₂"&amp;CHAR(10)&amp;bLabA</f>
        <v>0</v>
      </c>
      <c r="J27" s="53">
        <f>"SiO₂"&amp;CHAR(10)&amp;bLabB</f>
        <v>0</v>
      </c>
      <c r="K27" s="52">
        <f>"P"&amp;CHAR(10)&amp;bLabA</f>
        <v>0</v>
      </c>
      <c r="L27" s="53">
        <f>"P"&amp;CHAR(10)&amp;bLabB</f>
        <v>0</v>
      </c>
      <c r="M27" s="52">
        <f>"PPC"&amp;CHAR(10)&amp;bLabA</f>
        <v>0</v>
      </c>
      <c r="N27" s="53">
        <f>"PPC"&amp;CHAR(10)&amp;bLabB</f>
        <v>0</v>
      </c>
      <c r="P27" s="54" t="s">
        <v>121</v>
      </c>
      <c r="Q27" s="54" t="s">
        <v>123</v>
      </c>
      <c r="R27" s="54" t="s">
        <v>125</v>
      </c>
      <c r="S27" s="54" t="s">
        <v>127</v>
      </c>
      <c r="T27" s="54" t="s">
        <v>129</v>
      </c>
      <c r="U27" s="51" t="s">
        <v>122</v>
      </c>
      <c r="V27" s="51" t="s">
        <v>124</v>
      </c>
      <c r="W27" s="51" t="s">
        <v>126</v>
      </c>
      <c r="X27" s="51" t="s">
        <v>128</v>
      </c>
      <c r="Y27" s="51" t="s">
        <v>130</v>
      </c>
    </row>
    <row r="28" spans="2:25" ht="18" customHeight="1">
      <c r="B28" s="55">
        <v>1</v>
      </c>
      <c r="C28" s="56">
        <f>IF(AND(ISNUMBER(gJanU),1&lt;=bNHor),gJanU+0/12+cfgMinAntes/1440,"")</f>
        <v>0</v>
      </c>
      <c r="D28" s="57">
        <f>IF(ISNUMBER(C28),IF(ISNUMBER(gJanG),IF(1&lt;=gNG,gJanG+0/12+cfgMinG/1440,""),C28),"")</f>
        <v>0</v>
      </c>
      <c r="E28" s="58"/>
      <c r="F28" s="59"/>
      <c r="G28" s="60"/>
      <c r="H28" s="61"/>
      <c r="I28" s="62"/>
      <c r="J28" s="63"/>
      <c r="K28" s="64"/>
      <c r="L28" s="65"/>
      <c r="M28" s="62"/>
      <c r="N28" s="63"/>
      <c r="P28" s="66">
        <f>IF(AND(ISNUMBER(E28),ISNUMBER(F28)),IF(bRef=bLabA,F28-E28,E28-F28),"")</f>
        <v>0</v>
      </c>
      <c r="Q28" s="67">
        <f>IF(AND(ISNUMBER(G28),ISNUMBER(H28)),IF(bRef=bLabA,H28-G28,G28-H28),"")</f>
        <v>0</v>
      </c>
      <c r="R28" s="68">
        <f>IF(AND(ISNUMBER(I28),ISNUMBER(J28)),IF(bRef=bLabA,J28-I28,I28-J28),"")</f>
        <v>0</v>
      </c>
      <c r="S28" s="69">
        <f>IF(AND(ISNUMBER(K28),ISNUMBER(L28)),IF(bRef=bLabA,L28-K28,K28-L28),"")</f>
        <v>0</v>
      </c>
      <c r="T28" s="68">
        <f>IF(AND(ISNUMBER(M28),ISNUMBER(N28)),IF(bRef=bLabA,N28-M28,M28-N28),"")</f>
        <v>0</v>
      </c>
      <c r="U28" s="70">
        <f>IF(AND(ISNUMBER(E28),ISNUMBER(F28)),SUMPRODUCT(ISNUMBER(E$28:E28)*ISNUMBER(F$28:F28)),"")</f>
        <v>0</v>
      </c>
      <c r="V28" s="70">
        <f>IF(AND(ISNUMBER(G28),ISNUMBER(H28)),SUMPRODUCT(ISNUMBER(G$28:G28)*ISNUMBER(H$28:H28)),"")</f>
        <v>0</v>
      </c>
      <c r="W28" s="70">
        <f>IF(AND(ISNUMBER(I28),ISNUMBER(J28)),SUMPRODUCT(ISNUMBER(I$28:I28)*ISNUMBER(J$28:J28)),"")</f>
        <v>0</v>
      </c>
      <c r="X28" s="70">
        <f>IF(AND(ISNUMBER(K28),ISNUMBER(L28)),SUMPRODUCT(ISNUMBER(K$28:K28)*ISNUMBER(L$28:L28)),"")</f>
        <v>0</v>
      </c>
      <c r="Y28" s="70">
        <f>IF(AND(ISNUMBER(M28),ISNUMBER(N28)),SUMPRODUCT(ISNUMBER(M$28:M28)*ISNUMBER(N$28:N28)),"")</f>
        <v>0</v>
      </c>
    </row>
    <row r="29" spans="2:25" ht="18" customHeight="1">
      <c r="B29" s="55">
        <v>2</v>
      </c>
      <c r="C29" s="56">
        <f>IF(AND(ISNUMBER(gJanU),2&lt;=bNHor),gJanU+1/12+cfgMinAntes/1440,"")</f>
        <v>0</v>
      </c>
      <c r="D29" s="57">
        <f>IF(ISNUMBER(C29),IF(ISNUMBER(gJanG),IF(2&lt;=gNG,gJanG+1/12+cfgMinG/1440,""),C29),"")</f>
        <v>0</v>
      </c>
      <c r="E29" s="58"/>
      <c r="F29" s="59"/>
      <c r="G29" s="60"/>
      <c r="H29" s="61"/>
      <c r="I29" s="62"/>
      <c r="J29" s="63"/>
      <c r="K29" s="64"/>
      <c r="L29" s="65"/>
      <c r="M29" s="62"/>
      <c r="N29" s="63"/>
      <c r="P29" s="66">
        <f>IF(AND(ISNUMBER(E29),ISNUMBER(F29)),IF(bRef=bLabA,F29-E29,E29-F29),"")</f>
        <v>0</v>
      </c>
      <c r="Q29" s="67">
        <f>IF(AND(ISNUMBER(G29),ISNUMBER(H29)),IF(bRef=bLabA,H29-G29,G29-H29),"")</f>
        <v>0</v>
      </c>
      <c r="R29" s="68">
        <f>IF(AND(ISNUMBER(I29),ISNUMBER(J29)),IF(bRef=bLabA,J29-I29,I29-J29),"")</f>
        <v>0</v>
      </c>
      <c r="S29" s="69">
        <f>IF(AND(ISNUMBER(K29),ISNUMBER(L29)),IF(bRef=bLabA,L29-K29,K29-L29),"")</f>
        <v>0</v>
      </c>
      <c r="T29" s="68">
        <f>IF(AND(ISNUMBER(M29),ISNUMBER(N29)),IF(bRef=bLabA,N29-M29,M29-N29),"")</f>
        <v>0</v>
      </c>
      <c r="U29" s="70">
        <f>IF(AND(ISNUMBER(E29),ISNUMBER(F29)),SUMPRODUCT(ISNUMBER(E$28:E29)*ISNUMBER(F$28:F29)),"")</f>
        <v>0</v>
      </c>
      <c r="V29" s="70">
        <f>IF(AND(ISNUMBER(G29),ISNUMBER(H29)),SUMPRODUCT(ISNUMBER(G$28:G29)*ISNUMBER(H$28:H29)),"")</f>
        <v>0</v>
      </c>
      <c r="W29" s="70">
        <f>IF(AND(ISNUMBER(I29),ISNUMBER(J29)),SUMPRODUCT(ISNUMBER(I$28:I29)*ISNUMBER(J$28:J29)),"")</f>
        <v>0</v>
      </c>
      <c r="X29" s="70">
        <f>IF(AND(ISNUMBER(K29),ISNUMBER(L29)),SUMPRODUCT(ISNUMBER(K$28:K29)*ISNUMBER(L$28:L29)),"")</f>
        <v>0</v>
      </c>
      <c r="Y29" s="70">
        <f>IF(AND(ISNUMBER(M29),ISNUMBER(N29)),SUMPRODUCT(ISNUMBER(M$28:M29)*ISNUMBER(N$28:N29)),"")</f>
        <v>0</v>
      </c>
    </row>
    <row r="30" spans="2:25" ht="18" customHeight="1">
      <c r="B30" s="55">
        <v>3</v>
      </c>
      <c r="C30" s="56">
        <f>IF(AND(ISNUMBER(gJanU),3&lt;=bNHor),gJanU+2/12+cfgMinAntes/1440,"")</f>
        <v>0</v>
      </c>
      <c r="D30" s="57">
        <f>IF(ISNUMBER(C30),IF(ISNUMBER(gJanG),IF(3&lt;=gNG,gJanG+2/12+cfgMinG/1440,""),C30),"")</f>
        <v>0</v>
      </c>
      <c r="E30" s="58"/>
      <c r="F30" s="59"/>
      <c r="G30" s="60"/>
      <c r="H30" s="61"/>
      <c r="I30" s="62"/>
      <c r="J30" s="63"/>
      <c r="K30" s="64"/>
      <c r="L30" s="65"/>
      <c r="M30" s="62"/>
      <c r="N30" s="63"/>
      <c r="P30" s="66">
        <f>IF(AND(ISNUMBER(E30),ISNUMBER(F30)),IF(bRef=bLabA,F30-E30,E30-F30),"")</f>
        <v>0</v>
      </c>
      <c r="Q30" s="67">
        <f>IF(AND(ISNUMBER(G30),ISNUMBER(H30)),IF(bRef=bLabA,H30-G30,G30-H30),"")</f>
        <v>0</v>
      </c>
      <c r="R30" s="68">
        <f>IF(AND(ISNUMBER(I30),ISNUMBER(J30)),IF(bRef=bLabA,J30-I30,I30-J30),"")</f>
        <v>0</v>
      </c>
      <c r="S30" s="69">
        <f>IF(AND(ISNUMBER(K30),ISNUMBER(L30)),IF(bRef=bLabA,L30-K30,K30-L30),"")</f>
        <v>0</v>
      </c>
      <c r="T30" s="68">
        <f>IF(AND(ISNUMBER(M30),ISNUMBER(N30)),IF(bRef=bLabA,N30-M30,M30-N30),"")</f>
        <v>0</v>
      </c>
      <c r="U30" s="70">
        <f>IF(AND(ISNUMBER(E30),ISNUMBER(F30)),SUMPRODUCT(ISNUMBER(E$28:E30)*ISNUMBER(F$28:F30)),"")</f>
        <v>0</v>
      </c>
      <c r="V30" s="70">
        <f>IF(AND(ISNUMBER(G30),ISNUMBER(H30)),SUMPRODUCT(ISNUMBER(G$28:G30)*ISNUMBER(H$28:H30)),"")</f>
        <v>0</v>
      </c>
      <c r="W30" s="70">
        <f>IF(AND(ISNUMBER(I30),ISNUMBER(J30)),SUMPRODUCT(ISNUMBER(I$28:I30)*ISNUMBER(J$28:J30)),"")</f>
        <v>0</v>
      </c>
      <c r="X30" s="70">
        <f>IF(AND(ISNUMBER(K30),ISNUMBER(L30)),SUMPRODUCT(ISNUMBER(K$28:K30)*ISNUMBER(L$28:L30)),"")</f>
        <v>0</v>
      </c>
      <c r="Y30" s="70">
        <f>IF(AND(ISNUMBER(M30),ISNUMBER(N30)),SUMPRODUCT(ISNUMBER(M$28:M30)*ISNUMBER(N$28:N30)),"")</f>
        <v>0</v>
      </c>
    </row>
    <row r="31" spans="2:25" ht="18" customHeight="1">
      <c r="B31" s="55">
        <v>4</v>
      </c>
      <c r="C31" s="56">
        <f>IF(AND(ISNUMBER(gJanU),4&lt;=bNHor),gJanU+3/12+cfgMinAntes/1440,"")</f>
        <v>0</v>
      </c>
      <c r="D31" s="57">
        <f>IF(ISNUMBER(C31),IF(ISNUMBER(gJanG),IF(4&lt;=gNG,gJanG+3/12+cfgMinG/1440,""),C31),"")</f>
        <v>0</v>
      </c>
      <c r="E31" s="58"/>
      <c r="F31" s="59"/>
      <c r="G31" s="60"/>
      <c r="H31" s="61"/>
      <c r="I31" s="62"/>
      <c r="J31" s="63"/>
      <c r="K31" s="64"/>
      <c r="L31" s="65"/>
      <c r="M31" s="62"/>
      <c r="N31" s="63"/>
      <c r="P31" s="66">
        <f>IF(AND(ISNUMBER(E31),ISNUMBER(F31)),IF(bRef=bLabA,F31-E31,E31-F31),"")</f>
        <v>0</v>
      </c>
      <c r="Q31" s="67">
        <f>IF(AND(ISNUMBER(G31),ISNUMBER(H31)),IF(bRef=bLabA,H31-G31,G31-H31),"")</f>
        <v>0</v>
      </c>
      <c r="R31" s="68">
        <f>IF(AND(ISNUMBER(I31),ISNUMBER(J31)),IF(bRef=bLabA,J31-I31,I31-J31),"")</f>
        <v>0</v>
      </c>
      <c r="S31" s="69">
        <f>IF(AND(ISNUMBER(K31),ISNUMBER(L31)),IF(bRef=bLabA,L31-K31,K31-L31),"")</f>
        <v>0</v>
      </c>
      <c r="T31" s="68">
        <f>IF(AND(ISNUMBER(M31),ISNUMBER(N31)),IF(bRef=bLabA,N31-M31,M31-N31),"")</f>
        <v>0</v>
      </c>
      <c r="U31" s="70">
        <f>IF(AND(ISNUMBER(E31),ISNUMBER(F31)),SUMPRODUCT(ISNUMBER(E$28:E31)*ISNUMBER(F$28:F31)),"")</f>
        <v>0</v>
      </c>
      <c r="V31" s="70">
        <f>IF(AND(ISNUMBER(G31),ISNUMBER(H31)),SUMPRODUCT(ISNUMBER(G$28:G31)*ISNUMBER(H$28:H31)),"")</f>
        <v>0</v>
      </c>
      <c r="W31" s="70">
        <f>IF(AND(ISNUMBER(I31),ISNUMBER(J31)),SUMPRODUCT(ISNUMBER(I$28:I31)*ISNUMBER(J$28:J31)),"")</f>
        <v>0</v>
      </c>
      <c r="X31" s="70">
        <f>IF(AND(ISNUMBER(K31),ISNUMBER(L31)),SUMPRODUCT(ISNUMBER(K$28:K31)*ISNUMBER(L$28:L31)),"")</f>
        <v>0</v>
      </c>
      <c r="Y31" s="70">
        <f>IF(AND(ISNUMBER(M31),ISNUMBER(N31)),SUMPRODUCT(ISNUMBER(M$28:M31)*ISNUMBER(N$28:N31)),"")</f>
        <v>0</v>
      </c>
    </row>
    <row r="32" spans="2:25" ht="18" customHeight="1">
      <c r="B32" s="55">
        <v>5</v>
      </c>
      <c r="C32" s="56">
        <f>IF(AND(ISNUMBER(gJanU),5&lt;=bNHor),gJanU+4/12+cfgMinAntes/1440,"")</f>
        <v>0</v>
      </c>
      <c r="D32" s="57">
        <f>IF(ISNUMBER(C32),IF(ISNUMBER(gJanG),IF(5&lt;=gNG,gJanG+4/12+cfgMinG/1440,""),C32),"")</f>
        <v>0</v>
      </c>
      <c r="E32" s="58"/>
      <c r="F32" s="59"/>
      <c r="G32" s="60"/>
      <c r="H32" s="61"/>
      <c r="I32" s="62"/>
      <c r="J32" s="63"/>
      <c r="K32" s="64"/>
      <c r="L32" s="65"/>
      <c r="M32" s="62"/>
      <c r="N32" s="63"/>
      <c r="P32" s="66">
        <f>IF(AND(ISNUMBER(E32),ISNUMBER(F32)),IF(bRef=bLabA,F32-E32,E32-F32),"")</f>
        <v>0</v>
      </c>
      <c r="Q32" s="67">
        <f>IF(AND(ISNUMBER(G32),ISNUMBER(H32)),IF(bRef=bLabA,H32-G32,G32-H32),"")</f>
        <v>0</v>
      </c>
      <c r="R32" s="68">
        <f>IF(AND(ISNUMBER(I32),ISNUMBER(J32)),IF(bRef=bLabA,J32-I32,I32-J32),"")</f>
        <v>0</v>
      </c>
      <c r="S32" s="69">
        <f>IF(AND(ISNUMBER(K32),ISNUMBER(L32)),IF(bRef=bLabA,L32-K32,K32-L32),"")</f>
        <v>0</v>
      </c>
      <c r="T32" s="68">
        <f>IF(AND(ISNUMBER(M32),ISNUMBER(N32)),IF(bRef=bLabA,N32-M32,M32-N32),"")</f>
        <v>0</v>
      </c>
      <c r="U32" s="70">
        <f>IF(AND(ISNUMBER(E32),ISNUMBER(F32)),SUMPRODUCT(ISNUMBER(E$28:E32)*ISNUMBER(F$28:F32)),"")</f>
        <v>0</v>
      </c>
      <c r="V32" s="70">
        <f>IF(AND(ISNUMBER(G32),ISNUMBER(H32)),SUMPRODUCT(ISNUMBER(G$28:G32)*ISNUMBER(H$28:H32)),"")</f>
        <v>0</v>
      </c>
      <c r="W32" s="70">
        <f>IF(AND(ISNUMBER(I32),ISNUMBER(J32)),SUMPRODUCT(ISNUMBER(I$28:I32)*ISNUMBER(J$28:J32)),"")</f>
        <v>0</v>
      </c>
      <c r="X32" s="70">
        <f>IF(AND(ISNUMBER(K32),ISNUMBER(L32)),SUMPRODUCT(ISNUMBER(K$28:K32)*ISNUMBER(L$28:L32)),"")</f>
        <v>0</v>
      </c>
      <c r="Y32" s="70">
        <f>IF(AND(ISNUMBER(M32),ISNUMBER(N32)),SUMPRODUCT(ISNUMBER(M$28:M32)*ISNUMBER(N$28:N32)),"")</f>
        <v>0</v>
      </c>
    </row>
    <row r="33" spans="2:25" ht="18" customHeight="1">
      <c r="B33" s="55">
        <v>6</v>
      </c>
      <c r="C33" s="56">
        <f>IF(AND(ISNUMBER(gJanU),6&lt;=bNHor),gJanU+5/12+cfgMinAntes/1440,"")</f>
        <v>0</v>
      </c>
      <c r="D33" s="57">
        <f>IF(ISNUMBER(C33),IF(ISNUMBER(gJanG),IF(6&lt;=gNG,gJanG+5/12+cfgMinG/1440,""),C33),"")</f>
        <v>0</v>
      </c>
      <c r="E33" s="58"/>
      <c r="F33" s="59"/>
      <c r="G33" s="60"/>
      <c r="H33" s="61"/>
      <c r="I33" s="62"/>
      <c r="J33" s="63"/>
      <c r="K33" s="64"/>
      <c r="L33" s="65"/>
      <c r="M33" s="62"/>
      <c r="N33" s="63"/>
      <c r="P33" s="66">
        <f>IF(AND(ISNUMBER(E33),ISNUMBER(F33)),IF(bRef=bLabA,F33-E33,E33-F33),"")</f>
        <v>0</v>
      </c>
      <c r="Q33" s="67">
        <f>IF(AND(ISNUMBER(G33),ISNUMBER(H33)),IF(bRef=bLabA,H33-G33,G33-H33),"")</f>
        <v>0</v>
      </c>
      <c r="R33" s="68">
        <f>IF(AND(ISNUMBER(I33),ISNUMBER(J33)),IF(bRef=bLabA,J33-I33,I33-J33),"")</f>
        <v>0</v>
      </c>
      <c r="S33" s="69">
        <f>IF(AND(ISNUMBER(K33),ISNUMBER(L33)),IF(bRef=bLabA,L33-K33,K33-L33),"")</f>
        <v>0</v>
      </c>
      <c r="T33" s="68">
        <f>IF(AND(ISNUMBER(M33),ISNUMBER(N33)),IF(bRef=bLabA,N33-M33,M33-N33),"")</f>
        <v>0</v>
      </c>
      <c r="U33" s="70">
        <f>IF(AND(ISNUMBER(E33),ISNUMBER(F33)),SUMPRODUCT(ISNUMBER(E$28:E33)*ISNUMBER(F$28:F33)),"")</f>
        <v>0</v>
      </c>
      <c r="V33" s="70">
        <f>IF(AND(ISNUMBER(G33),ISNUMBER(H33)),SUMPRODUCT(ISNUMBER(G$28:G33)*ISNUMBER(H$28:H33)),"")</f>
        <v>0</v>
      </c>
      <c r="W33" s="70">
        <f>IF(AND(ISNUMBER(I33),ISNUMBER(J33)),SUMPRODUCT(ISNUMBER(I$28:I33)*ISNUMBER(J$28:J33)),"")</f>
        <v>0</v>
      </c>
      <c r="X33" s="70">
        <f>IF(AND(ISNUMBER(K33),ISNUMBER(L33)),SUMPRODUCT(ISNUMBER(K$28:K33)*ISNUMBER(L$28:L33)),"")</f>
        <v>0</v>
      </c>
      <c r="Y33" s="70">
        <f>IF(AND(ISNUMBER(M33),ISNUMBER(N33)),SUMPRODUCT(ISNUMBER(M$28:M33)*ISNUMBER(N$28:N33)),"")</f>
        <v>0</v>
      </c>
    </row>
    <row r="34" spans="2:25" ht="18" customHeight="1">
      <c r="B34" s="55">
        <v>7</v>
      </c>
      <c r="C34" s="56">
        <f>IF(AND(ISNUMBER(gJanU),7&lt;=bNHor),gJanU+6/12+cfgMinAntes/1440,"")</f>
        <v>0</v>
      </c>
      <c r="D34" s="57">
        <f>IF(ISNUMBER(C34),IF(ISNUMBER(gJanG),IF(7&lt;=gNG,gJanG+6/12+cfgMinG/1440,""),C34),"")</f>
        <v>0</v>
      </c>
      <c r="E34" s="58"/>
      <c r="F34" s="59"/>
      <c r="G34" s="60"/>
      <c r="H34" s="61"/>
      <c r="I34" s="62"/>
      <c r="J34" s="63"/>
      <c r="K34" s="64"/>
      <c r="L34" s="65"/>
      <c r="M34" s="62"/>
      <c r="N34" s="63"/>
      <c r="P34" s="66">
        <f>IF(AND(ISNUMBER(E34),ISNUMBER(F34)),IF(bRef=bLabA,F34-E34,E34-F34),"")</f>
        <v>0</v>
      </c>
      <c r="Q34" s="67">
        <f>IF(AND(ISNUMBER(G34),ISNUMBER(H34)),IF(bRef=bLabA,H34-G34,G34-H34),"")</f>
        <v>0</v>
      </c>
      <c r="R34" s="68">
        <f>IF(AND(ISNUMBER(I34),ISNUMBER(J34)),IF(bRef=bLabA,J34-I34,I34-J34),"")</f>
        <v>0</v>
      </c>
      <c r="S34" s="69">
        <f>IF(AND(ISNUMBER(K34),ISNUMBER(L34)),IF(bRef=bLabA,L34-K34,K34-L34),"")</f>
        <v>0</v>
      </c>
      <c r="T34" s="68">
        <f>IF(AND(ISNUMBER(M34),ISNUMBER(N34)),IF(bRef=bLabA,N34-M34,M34-N34),"")</f>
        <v>0</v>
      </c>
      <c r="U34" s="70">
        <f>IF(AND(ISNUMBER(E34),ISNUMBER(F34)),SUMPRODUCT(ISNUMBER(E$28:E34)*ISNUMBER(F$28:F34)),"")</f>
        <v>0</v>
      </c>
      <c r="V34" s="70">
        <f>IF(AND(ISNUMBER(G34),ISNUMBER(H34)),SUMPRODUCT(ISNUMBER(G$28:G34)*ISNUMBER(H$28:H34)),"")</f>
        <v>0</v>
      </c>
      <c r="W34" s="70">
        <f>IF(AND(ISNUMBER(I34),ISNUMBER(J34)),SUMPRODUCT(ISNUMBER(I$28:I34)*ISNUMBER(J$28:J34)),"")</f>
        <v>0</v>
      </c>
      <c r="X34" s="70">
        <f>IF(AND(ISNUMBER(K34),ISNUMBER(L34)),SUMPRODUCT(ISNUMBER(K$28:K34)*ISNUMBER(L$28:L34)),"")</f>
        <v>0</v>
      </c>
      <c r="Y34" s="70">
        <f>IF(AND(ISNUMBER(M34),ISNUMBER(N34)),SUMPRODUCT(ISNUMBER(M$28:M34)*ISNUMBER(N$28:N34)),"")</f>
        <v>0</v>
      </c>
    </row>
    <row r="35" spans="2:25" ht="18" customHeight="1">
      <c r="B35" s="55">
        <v>8</v>
      </c>
      <c r="C35" s="56">
        <f>IF(AND(ISNUMBER(gJanU),8&lt;=bNHor),gJanU+7/12+cfgMinAntes/1440,"")</f>
        <v>0</v>
      </c>
      <c r="D35" s="57">
        <f>IF(ISNUMBER(C35),IF(ISNUMBER(gJanG),IF(8&lt;=gNG,gJanG+7/12+cfgMinG/1440,""),C35),"")</f>
        <v>0</v>
      </c>
      <c r="E35" s="58"/>
      <c r="F35" s="59"/>
      <c r="G35" s="60"/>
      <c r="H35" s="61"/>
      <c r="I35" s="62"/>
      <c r="J35" s="63"/>
      <c r="K35" s="64"/>
      <c r="L35" s="65"/>
      <c r="M35" s="62"/>
      <c r="N35" s="63"/>
      <c r="P35" s="66">
        <f>IF(AND(ISNUMBER(E35),ISNUMBER(F35)),IF(bRef=bLabA,F35-E35,E35-F35),"")</f>
        <v>0</v>
      </c>
      <c r="Q35" s="67">
        <f>IF(AND(ISNUMBER(G35),ISNUMBER(H35)),IF(bRef=bLabA,H35-G35,G35-H35),"")</f>
        <v>0</v>
      </c>
      <c r="R35" s="68">
        <f>IF(AND(ISNUMBER(I35),ISNUMBER(J35)),IF(bRef=bLabA,J35-I35,I35-J35),"")</f>
        <v>0</v>
      </c>
      <c r="S35" s="69">
        <f>IF(AND(ISNUMBER(K35),ISNUMBER(L35)),IF(bRef=bLabA,L35-K35,K35-L35),"")</f>
        <v>0</v>
      </c>
      <c r="T35" s="68">
        <f>IF(AND(ISNUMBER(M35),ISNUMBER(N35)),IF(bRef=bLabA,N35-M35,M35-N35),"")</f>
        <v>0</v>
      </c>
      <c r="U35" s="70">
        <f>IF(AND(ISNUMBER(E35),ISNUMBER(F35)),SUMPRODUCT(ISNUMBER(E$28:E35)*ISNUMBER(F$28:F35)),"")</f>
        <v>0</v>
      </c>
      <c r="V35" s="70">
        <f>IF(AND(ISNUMBER(G35),ISNUMBER(H35)),SUMPRODUCT(ISNUMBER(G$28:G35)*ISNUMBER(H$28:H35)),"")</f>
        <v>0</v>
      </c>
      <c r="W35" s="70">
        <f>IF(AND(ISNUMBER(I35),ISNUMBER(J35)),SUMPRODUCT(ISNUMBER(I$28:I35)*ISNUMBER(J$28:J35)),"")</f>
        <v>0</v>
      </c>
      <c r="X35" s="70">
        <f>IF(AND(ISNUMBER(K35),ISNUMBER(L35)),SUMPRODUCT(ISNUMBER(K$28:K35)*ISNUMBER(L$28:L35)),"")</f>
        <v>0</v>
      </c>
      <c r="Y35" s="70">
        <f>IF(AND(ISNUMBER(M35),ISNUMBER(N35)),SUMPRODUCT(ISNUMBER(M$28:M35)*ISNUMBER(N$28:N35)),"")</f>
        <v>0</v>
      </c>
    </row>
    <row r="36" spans="2:25" ht="18" customHeight="1">
      <c r="B36" s="55">
        <v>9</v>
      </c>
      <c r="C36" s="56">
        <f>IF(AND(ISNUMBER(gJanU),9&lt;=bNHor),gJanU+8/12+cfgMinAntes/1440,"")</f>
        <v>0</v>
      </c>
      <c r="D36" s="57">
        <f>IF(ISNUMBER(C36),IF(ISNUMBER(gJanG),IF(9&lt;=gNG,gJanG+8/12+cfgMinG/1440,""),C36),"")</f>
        <v>0</v>
      </c>
      <c r="E36" s="58"/>
      <c r="F36" s="59"/>
      <c r="G36" s="60"/>
      <c r="H36" s="61"/>
      <c r="I36" s="62"/>
      <c r="J36" s="63"/>
      <c r="K36" s="64"/>
      <c r="L36" s="65"/>
      <c r="M36" s="62"/>
      <c r="N36" s="63"/>
      <c r="P36" s="66">
        <f>IF(AND(ISNUMBER(E36),ISNUMBER(F36)),IF(bRef=bLabA,F36-E36,E36-F36),"")</f>
        <v>0</v>
      </c>
      <c r="Q36" s="67">
        <f>IF(AND(ISNUMBER(G36),ISNUMBER(H36)),IF(bRef=bLabA,H36-G36,G36-H36),"")</f>
        <v>0</v>
      </c>
      <c r="R36" s="68">
        <f>IF(AND(ISNUMBER(I36),ISNUMBER(J36)),IF(bRef=bLabA,J36-I36,I36-J36),"")</f>
        <v>0</v>
      </c>
      <c r="S36" s="69">
        <f>IF(AND(ISNUMBER(K36),ISNUMBER(L36)),IF(bRef=bLabA,L36-K36,K36-L36),"")</f>
        <v>0</v>
      </c>
      <c r="T36" s="68">
        <f>IF(AND(ISNUMBER(M36),ISNUMBER(N36)),IF(bRef=bLabA,N36-M36,M36-N36),"")</f>
        <v>0</v>
      </c>
      <c r="U36" s="70">
        <f>IF(AND(ISNUMBER(E36),ISNUMBER(F36)),SUMPRODUCT(ISNUMBER(E$28:E36)*ISNUMBER(F$28:F36)),"")</f>
        <v>0</v>
      </c>
      <c r="V36" s="70">
        <f>IF(AND(ISNUMBER(G36),ISNUMBER(H36)),SUMPRODUCT(ISNUMBER(G$28:G36)*ISNUMBER(H$28:H36)),"")</f>
        <v>0</v>
      </c>
      <c r="W36" s="70">
        <f>IF(AND(ISNUMBER(I36),ISNUMBER(J36)),SUMPRODUCT(ISNUMBER(I$28:I36)*ISNUMBER(J$28:J36)),"")</f>
        <v>0</v>
      </c>
      <c r="X36" s="70">
        <f>IF(AND(ISNUMBER(K36),ISNUMBER(L36)),SUMPRODUCT(ISNUMBER(K$28:K36)*ISNUMBER(L$28:L36)),"")</f>
        <v>0</v>
      </c>
      <c r="Y36" s="70">
        <f>IF(AND(ISNUMBER(M36),ISNUMBER(N36)),SUMPRODUCT(ISNUMBER(M$28:M36)*ISNUMBER(N$28:N36)),"")</f>
        <v>0</v>
      </c>
    </row>
    <row r="37" spans="2:25" ht="18" customHeight="1">
      <c r="B37" s="55">
        <v>10</v>
      </c>
      <c r="C37" s="56">
        <f>IF(AND(ISNUMBER(gJanU),10&lt;=bNHor),gJanU+9/12+cfgMinAntes/1440,"")</f>
        <v>0</v>
      </c>
      <c r="D37" s="57">
        <f>IF(ISNUMBER(C37),IF(ISNUMBER(gJanG),IF(10&lt;=gNG,gJanG+9/12+cfgMinG/1440,""),C37),"")</f>
        <v>0</v>
      </c>
      <c r="E37" s="58"/>
      <c r="F37" s="59"/>
      <c r="G37" s="60"/>
      <c r="H37" s="61"/>
      <c r="I37" s="62"/>
      <c r="J37" s="63"/>
      <c r="K37" s="64"/>
      <c r="L37" s="65"/>
      <c r="M37" s="62"/>
      <c r="N37" s="63"/>
      <c r="P37" s="66">
        <f>IF(AND(ISNUMBER(E37),ISNUMBER(F37)),IF(bRef=bLabA,F37-E37,E37-F37),"")</f>
        <v>0</v>
      </c>
      <c r="Q37" s="67">
        <f>IF(AND(ISNUMBER(G37),ISNUMBER(H37)),IF(bRef=bLabA,H37-G37,G37-H37),"")</f>
        <v>0</v>
      </c>
      <c r="R37" s="68">
        <f>IF(AND(ISNUMBER(I37),ISNUMBER(J37)),IF(bRef=bLabA,J37-I37,I37-J37),"")</f>
        <v>0</v>
      </c>
      <c r="S37" s="69">
        <f>IF(AND(ISNUMBER(K37),ISNUMBER(L37)),IF(bRef=bLabA,L37-K37,K37-L37),"")</f>
        <v>0</v>
      </c>
      <c r="T37" s="68">
        <f>IF(AND(ISNUMBER(M37),ISNUMBER(N37)),IF(bRef=bLabA,N37-M37,M37-N37),"")</f>
        <v>0</v>
      </c>
      <c r="U37" s="70">
        <f>IF(AND(ISNUMBER(E37),ISNUMBER(F37)),SUMPRODUCT(ISNUMBER(E$28:E37)*ISNUMBER(F$28:F37)),"")</f>
        <v>0</v>
      </c>
      <c r="V37" s="70">
        <f>IF(AND(ISNUMBER(G37),ISNUMBER(H37)),SUMPRODUCT(ISNUMBER(G$28:G37)*ISNUMBER(H$28:H37)),"")</f>
        <v>0</v>
      </c>
      <c r="W37" s="70">
        <f>IF(AND(ISNUMBER(I37),ISNUMBER(J37)),SUMPRODUCT(ISNUMBER(I$28:I37)*ISNUMBER(J$28:J37)),"")</f>
        <v>0</v>
      </c>
      <c r="X37" s="70">
        <f>IF(AND(ISNUMBER(K37),ISNUMBER(L37)),SUMPRODUCT(ISNUMBER(K$28:K37)*ISNUMBER(L$28:L37)),"")</f>
        <v>0</v>
      </c>
      <c r="Y37" s="70">
        <f>IF(AND(ISNUMBER(M37),ISNUMBER(N37)),SUMPRODUCT(ISNUMBER(M$28:M37)*ISNUMBER(N$28:N37)),"")</f>
        <v>0</v>
      </c>
    </row>
    <row r="38" spans="2:25" ht="18" customHeight="1">
      <c r="B38" s="55">
        <v>11</v>
      </c>
      <c r="C38" s="56">
        <f>IF(AND(ISNUMBER(gJanU),11&lt;=bNHor),gJanU+10/12+cfgMinAntes/1440,"")</f>
        <v>0</v>
      </c>
      <c r="D38" s="57">
        <f>IF(ISNUMBER(C38),IF(ISNUMBER(gJanG),IF(11&lt;=gNG,gJanG+10/12+cfgMinG/1440,""),C38),"")</f>
        <v>0</v>
      </c>
      <c r="E38" s="58"/>
      <c r="F38" s="59"/>
      <c r="G38" s="60"/>
      <c r="H38" s="61"/>
      <c r="I38" s="62"/>
      <c r="J38" s="63"/>
      <c r="K38" s="64"/>
      <c r="L38" s="65"/>
      <c r="M38" s="62"/>
      <c r="N38" s="63"/>
      <c r="P38" s="66">
        <f>IF(AND(ISNUMBER(E38),ISNUMBER(F38)),IF(bRef=bLabA,F38-E38,E38-F38),"")</f>
        <v>0</v>
      </c>
      <c r="Q38" s="67">
        <f>IF(AND(ISNUMBER(G38),ISNUMBER(H38)),IF(bRef=bLabA,H38-G38,G38-H38),"")</f>
        <v>0</v>
      </c>
      <c r="R38" s="68">
        <f>IF(AND(ISNUMBER(I38),ISNUMBER(J38)),IF(bRef=bLabA,J38-I38,I38-J38),"")</f>
        <v>0</v>
      </c>
      <c r="S38" s="69">
        <f>IF(AND(ISNUMBER(K38),ISNUMBER(L38)),IF(bRef=bLabA,L38-K38,K38-L38),"")</f>
        <v>0</v>
      </c>
      <c r="T38" s="68">
        <f>IF(AND(ISNUMBER(M38),ISNUMBER(N38)),IF(bRef=bLabA,N38-M38,M38-N38),"")</f>
        <v>0</v>
      </c>
      <c r="U38" s="70">
        <f>IF(AND(ISNUMBER(E38),ISNUMBER(F38)),SUMPRODUCT(ISNUMBER(E$28:E38)*ISNUMBER(F$28:F38)),"")</f>
        <v>0</v>
      </c>
      <c r="V38" s="70">
        <f>IF(AND(ISNUMBER(G38),ISNUMBER(H38)),SUMPRODUCT(ISNUMBER(G$28:G38)*ISNUMBER(H$28:H38)),"")</f>
        <v>0</v>
      </c>
      <c r="W38" s="70">
        <f>IF(AND(ISNUMBER(I38),ISNUMBER(J38)),SUMPRODUCT(ISNUMBER(I$28:I38)*ISNUMBER(J$28:J38)),"")</f>
        <v>0</v>
      </c>
      <c r="X38" s="70">
        <f>IF(AND(ISNUMBER(K38),ISNUMBER(L38)),SUMPRODUCT(ISNUMBER(K$28:K38)*ISNUMBER(L$28:L38)),"")</f>
        <v>0</v>
      </c>
      <c r="Y38" s="70">
        <f>IF(AND(ISNUMBER(M38),ISNUMBER(N38)),SUMPRODUCT(ISNUMBER(M$28:M38)*ISNUMBER(N$28:N38)),"")</f>
        <v>0</v>
      </c>
    </row>
    <row r="39" spans="2:25" ht="18" customHeight="1">
      <c r="B39" s="55">
        <v>12</v>
      </c>
      <c r="C39" s="56">
        <f>IF(AND(ISNUMBER(gJanU),12&lt;=bNHor),gJanU+11/12+cfgMinAntes/1440,"")</f>
        <v>0</v>
      </c>
      <c r="D39" s="57">
        <f>IF(ISNUMBER(C39),IF(ISNUMBER(gJanG),IF(12&lt;=gNG,gJanG+11/12+cfgMinG/1440,""),C39),"")</f>
        <v>0</v>
      </c>
      <c r="E39" s="58"/>
      <c r="F39" s="59"/>
      <c r="G39" s="60"/>
      <c r="H39" s="61"/>
      <c r="I39" s="62"/>
      <c r="J39" s="63"/>
      <c r="K39" s="64"/>
      <c r="L39" s="65"/>
      <c r="M39" s="62"/>
      <c r="N39" s="63"/>
      <c r="P39" s="66">
        <f>IF(AND(ISNUMBER(E39),ISNUMBER(F39)),IF(bRef=bLabA,F39-E39,E39-F39),"")</f>
        <v>0</v>
      </c>
      <c r="Q39" s="67">
        <f>IF(AND(ISNUMBER(G39),ISNUMBER(H39)),IF(bRef=bLabA,H39-G39,G39-H39),"")</f>
        <v>0</v>
      </c>
      <c r="R39" s="68">
        <f>IF(AND(ISNUMBER(I39),ISNUMBER(J39)),IF(bRef=bLabA,J39-I39,I39-J39),"")</f>
        <v>0</v>
      </c>
      <c r="S39" s="69">
        <f>IF(AND(ISNUMBER(K39),ISNUMBER(L39)),IF(bRef=bLabA,L39-K39,K39-L39),"")</f>
        <v>0</v>
      </c>
      <c r="T39" s="68">
        <f>IF(AND(ISNUMBER(M39),ISNUMBER(N39)),IF(bRef=bLabA,N39-M39,M39-N39),"")</f>
        <v>0</v>
      </c>
      <c r="U39" s="70">
        <f>IF(AND(ISNUMBER(E39),ISNUMBER(F39)),SUMPRODUCT(ISNUMBER(E$28:E39)*ISNUMBER(F$28:F39)),"")</f>
        <v>0</v>
      </c>
      <c r="V39" s="70">
        <f>IF(AND(ISNUMBER(G39),ISNUMBER(H39)),SUMPRODUCT(ISNUMBER(G$28:G39)*ISNUMBER(H$28:H39)),"")</f>
        <v>0</v>
      </c>
      <c r="W39" s="70">
        <f>IF(AND(ISNUMBER(I39),ISNUMBER(J39)),SUMPRODUCT(ISNUMBER(I$28:I39)*ISNUMBER(J$28:J39)),"")</f>
        <v>0</v>
      </c>
      <c r="X39" s="70">
        <f>IF(AND(ISNUMBER(K39),ISNUMBER(L39)),SUMPRODUCT(ISNUMBER(K$28:K39)*ISNUMBER(L$28:L39)),"")</f>
        <v>0</v>
      </c>
      <c r="Y39" s="70">
        <f>IF(AND(ISNUMBER(M39),ISNUMBER(N39)),SUMPRODUCT(ISNUMBER(M$28:M39)*ISNUMBER(N$28:N39)),"")</f>
        <v>0</v>
      </c>
    </row>
    <row r="40" spans="2:25" ht="18" customHeight="1">
      <c r="B40" s="55">
        <v>13</v>
      </c>
      <c r="C40" s="56">
        <f>IF(AND(ISNUMBER(gJanU),13&lt;=bNHor),gJanU+12/12+cfgMinAntes/1440,"")</f>
        <v>0</v>
      </c>
      <c r="D40" s="57">
        <f>IF(ISNUMBER(C40),IF(ISNUMBER(gJanG),IF(13&lt;=gNG,gJanG+12/12+cfgMinG/1440,""),C40),"")</f>
        <v>0</v>
      </c>
      <c r="E40" s="58"/>
      <c r="F40" s="59"/>
      <c r="G40" s="60"/>
      <c r="H40" s="61"/>
      <c r="I40" s="62"/>
      <c r="J40" s="63"/>
      <c r="K40" s="64"/>
      <c r="L40" s="65"/>
      <c r="M40" s="62"/>
      <c r="N40" s="63"/>
      <c r="P40" s="66">
        <f>IF(AND(ISNUMBER(E40),ISNUMBER(F40)),IF(bRef=bLabA,F40-E40,E40-F40),"")</f>
        <v>0</v>
      </c>
      <c r="Q40" s="67">
        <f>IF(AND(ISNUMBER(G40),ISNUMBER(H40)),IF(bRef=bLabA,H40-G40,G40-H40),"")</f>
        <v>0</v>
      </c>
      <c r="R40" s="68">
        <f>IF(AND(ISNUMBER(I40),ISNUMBER(J40)),IF(bRef=bLabA,J40-I40,I40-J40),"")</f>
        <v>0</v>
      </c>
      <c r="S40" s="69">
        <f>IF(AND(ISNUMBER(K40),ISNUMBER(L40)),IF(bRef=bLabA,L40-K40,K40-L40),"")</f>
        <v>0</v>
      </c>
      <c r="T40" s="68">
        <f>IF(AND(ISNUMBER(M40),ISNUMBER(N40)),IF(bRef=bLabA,N40-M40,M40-N40),"")</f>
        <v>0</v>
      </c>
      <c r="U40" s="70">
        <f>IF(AND(ISNUMBER(E40),ISNUMBER(F40)),SUMPRODUCT(ISNUMBER(E$28:E40)*ISNUMBER(F$28:F40)),"")</f>
        <v>0</v>
      </c>
      <c r="V40" s="70">
        <f>IF(AND(ISNUMBER(G40),ISNUMBER(H40)),SUMPRODUCT(ISNUMBER(G$28:G40)*ISNUMBER(H$28:H40)),"")</f>
        <v>0</v>
      </c>
      <c r="W40" s="70">
        <f>IF(AND(ISNUMBER(I40),ISNUMBER(J40)),SUMPRODUCT(ISNUMBER(I$28:I40)*ISNUMBER(J$28:J40)),"")</f>
        <v>0</v>
      </c>
      <c r="X40" s="70">
        <f>IF(AND(ISNUMBER(K40),ISNUMBER(L40)),SUMPRODUCT(ISNUMBER(K$28:K40)*ISNUMBER(L$28:L40)),"")</f>
        <v>0</v>
      </c>
      <c r="Y40" s="70">
        <f>IF(AND(ISNUMBER(M40),ISNUMBER(N40)),SUMPRODUCT(ISNUMBER(M$28:M40)*ISNUMBER(N$28:N40)),"")</f>
        <v>0</v>
      </c>
    </row>
    <row r="41" spans="2:25" ht="18" customHeight="1">
      <c r="B41" s="55">
        <v>14</v>
      </c>
      <c r="C41" s="56">
        <f>IF(AND(ISNUMBER(gJanU),14&lt;=bNHor),gJanU+13/12+cfgMinAntes/1440,"")</f>
        <v>0</v>
      </c>
      <c r="D41" s="57">
        <f>IF(ISNUMBER(C41),IF(ISNUMBER(gJanG),IF(14&lt;=gNG,gJanG+13/12+cfgMinG/1440,""),C41),"")</f>
        <v>0</v>
      </c>
      <c r="E41" s="58"/>
      <c r="F41" s="59"/>
      <c r="G41" s="60"/>
      <c r="H41" s="61"/>
      <c r="I41" s="62"/>
      <c r="J41" s="63"/>
      <c r="K41" s="64"/>
      <c r="L41" s="65"/>
      <c r="M41" s="62"/>
      <c r="N41" s="63"/>
      <c r="P41" s="66">
        <f>IF(AND(ISNUMBER(E41),ISNUMBER(F41)),IF(bRef=bLabA,F41-E41,E41-F41),"")</f>
        <v>0</v>
      </c>
      <c r="Q41" s="67">
        <f>IF(AND(ISNUMBER(G41),ISNUMBER(H41)),IF(bRef=bLabA,H41-G41,G41-H41),"")</f>
        <v>0</v>
      </c>
      <c r="R41" s="68">
        <f>IF(AND(ISNUMBER(I41),ISNUMBER(J41)),IF(bRef=bLabA,J41-I41,I41-J41),"")</f>
        <v>0</v>
      </c>
      <c r="S41" s="69">
        <f>IF(AND(ISNUMBER(K41),ISNUMBER(L41)),IF(bRef=bLabA,L41-K41,K41-L41),"")</f>
        <v>0</v>
      </c>
      <c r="T41" s="68">
        <f>IF(AND(ISNUMBER(M41),ISNUMBER(N41)),IF(bRef=bLabA,N41-M41,M41-N41),"")</f>
        <v>0</v>
      </c>
      <c r="U41" s="70">
        <f>IF(AND(ISNUMBER(E41),ISNUMBER(F41)),SUMPRODUCT(ISNUMBER(E$28:E41)*ISNUMBER(F$28:F41)),"")</f>
        <v>0</v>
      </c>
      <c r="V41" s="70">
        <f>IF(AND(ISNUMBER(G41),ISNUMBER(H41)),SUMPRODUCT(ISNUMBER(G$28:G41)*ISNUMBER(H$28:H41)),"")</f>
        <v>0</v>
      </c>
      <c r="W41" s="70">
        <f>IF(AND(ISNUMBER(I41),ISNUMBER(J41)),SUMPRODUCT(ISNUMBER(I$28:I41)*ISNUMBER(J$28:J41)),"")</f>
        <v>0</v>
      </c>
      <c r="X41" s="70">
        <f>IF(AND(ISNUMBER(K41),ISNUMBER(L41)),SUMPRODUCT(ISNUMBER(K$28:K41)*ISNUMBER(L$28:L41)),"")</f>
        <v>0</v>
      </c>
      <c r="Y41" s="70">
        <f>IF(AND(ISNUMBER(M41),ISNUMBER(N41)),SUMPRODUCT(ISNUMBER(M$28:M41)*ISNUMBER(N$28:N41)),"")</f>
        <v>0</v>
      </c>
    </row>
    <row r="42" spans="2:25" ht="18" customHeight="1">
      <c r="B42" s="55">
        <v>15</v>
      </c>
      <c r="C42" s="56">
        <f>IF(AND(ISNUMBER(gJanU),15&lt;=bNHor),gJanU+14/12+cfgMinAntes/1440,"")</f>
        <v>0</v>
      </c>
      <c r="D42" s="57">
        <f>IF(ISNUMBER(C42),IF(ISNUMBER(gJanG),IF(15&lt;=gNG,gJanG+14/12+cfgMinG/1440,""),C42),"")</f>
        <v>0</v>
      </c>
      <c r="E42" s="58"/>
      <c r="F42" s="59"/>
      <c r="G42" s="60"/>
      <c r="H42" s="61"/>
      <c r="I42" s="62"/>
      <c r="J42" s="63"/>
      <c r="K42" s="64"/>
      <c r="L42" s="65"/>
      <c r="M42" s="62"/>
      <c r="N42" s="63"/>
      <c r="P42" s="66">
        <f>IF(AND(ISNUMBER(E42),ISNUMBER(F42)),IF(bRef=bLabA,F42-E42,E42-F42),"")</f>
        <v>0</v>
      </c>
      <c r="Q42" s="67">
        <f>IF(AND(ISNUMBER(G42),ISNUMBER(H42)),IF(bRef=bLabA,H42-G42,G42-H42),"")</f>
        <v>0</v>
      </c>
      <c r="R42" s="68">
        <f>IF(AND(ISNUMBER(I42),ISNUMBER(J42)),IF(bRef=bLabA,J42-I42,I42-J42),"")</f>
        <v>0</v>
      </c>
      <c r="S42" s="69">
        <f>IF(AND(ISNUMBER(K42),ISNUMBER(L42)),IF(bRef=bLabA,L42-K42,K42-L42),"")</f>
        <v>0</v>
      </c>
      <c r="T42" s="68">
        <f>IF(AND(ISNUMBER(M42),ISNUMBER(N42)),IF(bRef=bLabA,N42-M42,M42-N42),"")</f>
        <v>0</v>
      </c>
      <c r="U42" s="70">
        <f>IF(AND(ISNUMBER(E42),ISNUMBER(F42)),SUMPRODUCT(ISNUMBER(E$28:E42)*ISNUMBER(F$28:F42)),"")</f>
        <v>0</v>
      </c>
      <c r="V42" s="70">
        <f>IF(AND(ISNUMBER(G42),ISNUMBER(H42)),SUMPRODUCT(ISNUMBER(G$28:G42)*ISNUMBER(H$28:H42)),"")</f>
        <v>0</v>
      </c>
      <c r="W42" s="70">
        <f>IF(AND(ISNUMBER(I42),ISNUMBER(J42)),SUMPRODUCT(ISNUMBER(I$28:I42)*ISNUMBER(J$28:J42)),"")</f>
        <v>0</v>
      </c>
      <c r="X42" s="70">
        <f>IF(AND(ISNUMBER(K42),ISNUMBER(L42)),SUMPRODUCT(ISNUMBER(K$28:K42)*ISNUMBER(L$28:L42)),"")</f>
        <v>0</v>
      </c>
      <c r="Y42" s="70">
        <f>IF(AND(ISNUMBER(M42),ISNUMBER(N42)),SUMPRODUCT(ISNUMBER(M$28:M42)*ISNUMBER(N$28:N42)),"")</f>
        <v>0</v>
      </c>
    </row>
    <row r="43" spans="2:25" ht="18" customHeight="1">
      <c r="B43" s="55">
        <v>16</v>
      </c>
      <c r="C43" s="56">
        <f>IF(AND(ISNUMBER(gJanU),16&lt;=bNHor),gJanU+15/12+cfgMinAntes/1440,"")</f>
        <v>0</v>
      </c>
      <c r="D43" s="57">
        <f>IF(ISNUMBER(C43),IF(ISNUMBER(gJanG),IF(16&lt;=gNG,gJanG+15/12+cfgMinG/1440,""),C43),"")</f>
        <v>0</v>
      </c>
      <c r="E43" s="58"/>
      <c r="F43" s="59"/>
      <c r="G43" s="60"/>
      <c r="H43" s="61"/>
      <c r="I43" s="62"/>
      <c r="J43" s="63"/>
      <c r="K43" s="64"/>
      <c r="L43" s="65"/>
      <c r="M43" s="62"/>
      <c r="N43" s="63"/>
      <c r="P43" s="66">
        <f>IF(AND(ISNUMBER(E43),ISNUMBER(F43)),IF(bRef=bLabA,F43-E43,E43-F43),"")</f>
        <v>0</v>
      </c>
      <c r="Q43" s="67">
        <f>IF(AND(ISNUMBER(G43),ISNUMBER(H43)),IF(bRef=bLabA,H43-G43,G43-H43),"")</f>
        <v>0</v>
      </c>
      <c r="R43" s="68">
        <f>IF(AND(ISNUMBER(I43),ISNUMBER(J43)),IF(bRef=bLabA,J43-I43,I43-J43),"")</f>
        <v>0</v>
      </c>
      <c r="S43" s="69">
        <f>IF(AND(ISNUMBER(K43),ISNUMBER(L43)),IF(bRef=bLabA,L43-K43,K43-L43),"")</f>
        <v>0</v>
      </c>
      <c r="T43" s="68">
        <f>IF(AND(ISNUMBER(M43),ISNUMBER(N43)),IF(bRef=bLabA,N43-M43,M43-N43),"")</f>
        <v>0</v>
      </c>
      <c r="U43" s="70">
        <f>IF(AND(ISNUMBER(E43),ISNUMBER(F43)),SUMPRODUCT(ISNUMBER(E$28:E43)*ISNUMBER(F$28:F43)),"")</f>
        <v>0</v>
      </c>
      <c r="V43" s="70">
        <f>IF(AND(ISNUMBER(G43),ISNUMBER(H43)),SUMPRODUCT(ISNUMBER(G$28:G43)*ISNUMBER(H$28:H43)),"")</f>
        <v>0</v>
      </c>
      <c r="W43" s="70">
        <f>IF(AND(ISNUMBER(I43),ISNUMBER(J43)),SUMPRODUCT(ISNUMBER(I$28:I43)*ISNUMBER(J$28:J43)),"")</f>
        <v>0</v>
      </c>
      <c r="X43" s="70">
        <f>IF(AND(ISNUMBER(K43),ISNUMBER(L43)),SUMPRODUCT(ISNUMBER(K$28:K43)*ISNUMBER(L$28:L43)),"")</f>
        <v>0</v>
      </c>
      <c r="Y43" s="70">
        <f>IF(AND(ISNUMBER(M43),ISNUMBER(N43)),SUMPRODUCT(ISNUMBER(M$28:M43)*ISNUMBER(N$28:N43)),"")</f>
        <v>0</v>
      </c>
    </row>
    <row r="44" spans="2:25" ht="18" customHeight="1">
      <c r="B44" s="55">
        <v>17</v>
      </c>
      <c r="C44" s="56">
        <f>IF(AND(ISNUMBER(gJanU),17&lt;=bNHor),gJanU+16/12+cfgMinAntes/1440,"")</f>
        <v>0</v>
      </c>
      <c r="D44" s="57">
        <f>IF(ISNUMBER(C44),IF(ISNUMBER(gJanG),IF(17&lt;=gNG,gJanG+16/12+cfgMinG/1440,""),C44),"")</f>
        <v>0</v>
      </c>
      <c r="E44" s="58"/>
      <c r="F44" s="59"/>
      <c r="G44" s="60"/>
      <c r="H44" s="61"/>
      <c r="I44" s="62"/>
      <c r="J44" s="63"/>
      <c r="K44" s="64"/>
      <c r="L44" s="65"/>
      <c r="M44" s="62"/>
      <c r="N44" s="63"/>
      <c r="P44" s="66">
        <f>IF(AND(ISNUMBER(E44),ISNUMBER(F44)),IF(bRef=bLabA,F44-E44,E44-F44),"")</f>
        <v>0</v>
      </c>
      <c r="Q44" s="67">
        <f>IF(AND(ISNUMBER(G44),ISNUMBER(H44)),IF(bRef=bLabA,H44-G44,G44-H44),"")</f>
        <v>0</v>
      </c>
      <c r="R44" s="68">
        <f>IF(AND(ISNUMBER(I44),ISNUMBER(J44)),IF(bRef=bLabA,J44-I44,I44-J44),"")</f>
        <v>0</v>
      </c>
      <c r="S44" s="69">
        <f>IF(AND(ISNUMBER(K44),ISNUMBER(L44)),IF(bRef=bLabA,L44-K44,K44-L44),"")</f>
        <v>0</v>
      </c>
      <c r="T44" s="68">
        <f>IF(AND(ISNUMBER(M44),ISNUMBER(N44)),IF(bRef=bLabA,N44-M44,M44-N44),"")</f>
        <v>0</v>
      </c>
      <c r="U44" s="70">
        <f>IF(AND(ISNUMBER(E44),ISNUMBER(F44)),SUMPRODUCT(ISNUMBER(E$28:E44)*ISNUMBER(F$28:F44)),"")</f>
        <v>0</v>
      </c>
      <c r="V44" s="70">
        <f>IF(AND(ISNUMBER(G44),ISNUMBER(H44)),SUMPRODUCT(ISNUMBER(G$28:G44)*ISNUMBER(H$28:H44)),"")</f>
        <v>0</v>
      </c>
      <c r="W44" s="70">
        <f>IF(AND(ISNUMBER(I44),ISNUMBER(J44)),SUMPRODUCT(ISNUMBER(I$28:I44)*ISNUMBER(J$28:J44)),"")</f>
        <v>0</v>
      </c>
      <c r="X44" s="70">
        <f>IF(AND(ISNUMBER(K44),ISNUMBER(L44)),SUMPRODUCT(ISNUMBER(K$28:K44)*ISNUMBER(L$28:L44)),"")</f>
        <v>0</v>
      </c>
      <c r="Y44" s="70">
        <f>IF(AND(ISNUMBER(M44),ISNUMBER(N44)),SUMPRODUCT(ISNUMBER(M$28:M44)*ISNUMBER(N$28:N44)),"")</f>
        <v>0</v>
      </c>
    </row>
    <row r="45" spans="2:25" ht="18" customHeight="1">
      <c r="B45" s="55">
        <v>18</v>
      </c>
      <c r="C45" s="56">
        <f>IF(AND(ISNUMBER(gJanU),18&lt;=bNHor),gJanU+17/12+cfgMinAntes/1440,"")</f>
        <v>0</v>
      </c>
      <c r="D45" s="57">
        <f>IF(ISNUMBER(C45),IF(ISNUMBER(gJanG),IF(18&lt;=gNG,gJanG+17/12+cfgMinG/1440,""),C45),"")</f>
        <v>0</v>
      </c>
      <c r="E45" s="58"/>
      <c r="F45" s="59"/>
      <c r="G45" s="60"/>
      <c r="H45" s="61"/>
      <c r="I45" s="62"/>
      <c r="J45" s="63"/>
      <c r="K45" s="64"/>
      <c r="L45" s="65"/>
      <c r="M45" s="62"/>
      <c r="N45" s="63"/>
      <c r="P45" s="66">
        <f>IF(AND(ISNUMBER(E45),ISNUMBER(F45)),IF(bRef=bLabA,F45-E45,E45-F45),"")</f>
        <v>0</v>
      </c>
      <c r="Q45" s="67">
        <f>IF(AND(ISNUMBER(G45),ISNUMBER(H45)),IF(bRef=bLabA,H45-G45,G45-H45),"")</f>
        <v>0</v>
      </c>
      <c r="R45" s="68">
        <f>IF(AND(ISNUMBER(I45),ISNUMBER(J45)),IF(bRef=bLabA,J45-I45,I45-J45),"")</f>
        <v>0</v>
      </c>
      <c r="S45" s="69">
        <f>IF(AND(ISNUMBER(K45),ISNUMBER(L45)),IF(bRef=bLabA,L45-K45,K45-L45),"")</f>
        <v>0</v>
      </c>
      <c r="T45" s="68">
        <f>IF(AND(ISNUMBER(M45),ISNUMBER(N45)),IF(bRef=bLabA,N45-M45,M45-N45),"")</f>
        <v>0</v>
      </c>
      <c r="U45" s="70">
        <f>IF(AND(ISNUMBER(E45),ISNUMBER(F45)),SUMPRODUCT(ISNUMBER(E$28:E45)*ISNUMBER(F$28:F45)),"")</f>
        <v>0</v>
      </c>
      <c r="V45" s="70">
        <f>IF(AND(ISNUMBER(G45),ISNUMBER(H45)),SUMPRODUCT(ISNUMBER(G$28:G45)*ISNUMBER(H$28:H45)),"")</f>
        <v>0</v>
      </c>
      <c r="W45" s="70">
        <f>IF(AND(ISNUMBER(I45),ISNUMBER(J45)),SUMPRODUCT(ISNUMBER(I$28:I45)*ISNUMBER(J$28:J45)),"")</f>
        <v>0</v>
      </c>
      <c r="X45" s="70">
        <f>IF(AND(ISNUMBER(K45),ISNUMBER(L45)),SUMPRODUCT(ISNUMBER(K$28:K45)*ISNUMBER(L$28:L45)),"")</f>
        <v>0</v>
      </c>
      <c r="Y45" s="70">
        <f>IF(AND(ISNUMBER(M45),ISNUMBER(N45)),SUMPRODUCT(ISNUMBER(M$28:M45)*ISNUMBER(N$28:N45)),"")</f>
        <v>0</v>
      </c>
    </row>
    <row r="46" spans="2:25" ht="18" customHeight="1">
      <c r="B46" s="55">
        <v>19</v>
      </c>
      <c r="C46" s="56">
        <f>IF(AND(ISNUMBER(gJanU),19&lt;=bNHor),gJanU+18/12+cfgMinAntes/1440,"")</f>
        <v>0</v>
      </c>
      <c r="D46" s="57">
        <f>IF(ISNUMBER(C46),IF(ISNUMBER(gJanG),IF(19&lt;=gNG,gJanG+18/12+cfgMinG/1440,""),C46),"")</f>
        <v>0</v>
      </c>
      <c r="E46" s="58"/>
      <c r="F46" s="59"/>
      <c r="G46" s="60"/>
      <c r="H46" s="61"/>
      <c r="I46" s="62"/>
      <c r="J46" s="63"/>
      <c r="K46" s="64"/>
      <c r="L46" s="65"/>
      <c r="M46" s="62"/>
      <c r="N46" s="63"/>
      <c r="P46" s="66">
        <f>IF(AND(ISNUMBER(E46),ISNUMBER(F46)),IF(bRef=bLabA,F46-E46,E46-F46),"")</f>
        <v>0</v>
      </c>
      <c r="Q46" s="67">
        <f>IF(AND(ISNUMBER(G46),ISNUMBER(H46)),IF(bRef=bLabA,H46-G46,G46-H46),"")</f>
        <v>0</v>
      </c>
      <c r="R46" s="68">
        <f>IF(AND(ISNUMBER(I46),ISNUMBER(J46)),IF(bRef=bLabA,J46-I46,I46-J46),"")</f>
        <v>0</v>
      </c>
      <c r="S46" s="69">
        <f>IF(AND(ISNUMBER(K46),ISNUMBER(L46)),IF(bRef=bLabA,L46-K46,K46-L46),"")</f>
        <v>0</v>
      </c>
      <c r="T46" s="68">
        <f>IF(AND(ISNUMBER(M46),ISNUMBER(N46)),IF(bRef=bLabA,N46-M46,M46-N46),"")</f>
        <v>0</v>
      </c>
      <c r="U46" s="70">
        <f>IF(AND(ISNUMBER(E46),ISNUMBER(F46)),SUMPRODUCT(ISNUMBER(E$28:E46)*ISNUMBER(F$28:F46)),"")</f>
        <v>0</v>
      </c>
      <c r="V46" s="70">
        <f>IF(AND(ISNUMBER(G46),ISNUMBER(H46)),SUMPRODUCT(ISNUMBER(G$28:G46)*ISNUMBER(H$28:H46)),"")</f>
        <v>0</v>
      </c>
      <c r="W46" s="70">
        <f>IF(AND(ISNUMBER(I46),ISNUMBER(J46)),SUMPRODUCT(ISNUMBER(I$28:I46)*ISNUMBER(J$28:J46)),"")</f>
        <v>0</v>
      </c>
      <c r="X46" s="70">
        <f>IF(AND(ISNUMBER(K46),ISNUMBER(L46)),SUMPRODUCT(ISNUMBER(K$28:K46)*ISNUMBER(L$28:L46)),"")</f>
        <v>0</v>
      </c>
      <c r="Y46" s="70">
        <f>IF(AND(ISNUMBER(M46),ISNUMBER(N46)),SUMPRODUCT(ISNUMBER(M$28:M46)*ISNUMBER(N$28:N46)),"")</f>
        <v>0</v>
      </c>
    </row>
    <row r="47" spans="2:25" ht="18" customHeight="1">
      <c r="B47" s="55">
        <v>20</v>
      </c>
      <c r="C47" s="56">
        <f>IF(AND(ISNUMBER(gJanU),20&lt;=bNHor),gJanU+19/12+cfgMinAntes/1440,"")</f>
        <v>0</v>
      </c>
      <c r="D47" s="57">
        <f>IF(ISNUMBER(C47),IF(ISNUMBER(gJanG),IF(20&lt;=gNG,gJanG+19/12+cfgMinG/1440,""),C47),"")</f>
        <v>0</v>
      </c>
      <c r="E47" s="58"/>
      <c r="F47" s="59"/>
      <c r="G47" s="60"/>
      <c r="H47" s="61"/>
      <c r="I47" s="62"/>
      <c r="J47" s="63"/>
      <c r="K47" s="64"/>
      <c r="L47" s="65"/>
      <c r="M47" s="62"/>
      <c r="N47" s="63"/>
      <c r="P47" s="66">
        <f>IF(AND(ISNUMBER(E47),ISNUMBER(F47)),IF(bRef=bLabA,F47-E47,E47-F47),"")</f>
        <v>0</v>
      </c>
      <c r="Q47" s="67">
        <f>IF(AND(ISNUMBER(G47),ISNUMBER(H47)),IF(bRef=bLabA,H47-G47,G47-H47),"")</f>
        <v>0</v>
      </c>
      <c r="R47" s="68">
        <f>IF(AND(ISNUMBER(I47),ISNUMBER(J47)),IF(bRef=bLabA,J47-I47,I47-J47),"")</f>
        <v>0</v>
      </c>
      <c r="S47" s="69">
        <f>IF(AND(ISNUMBER(K47),ISNUMBER(L47)),IF(bRef=bLabA,L47-K47,K47-L47),"")</f>
        <v>0</v>
      </c>
      <c r="T47" s="68">
        <f>IF(AND(ISNUMBER(M47),ISNUMBER(N47)),IF(bRef=bLabA,N47-M47,M47-N47),"")</f>
        <v>0</v>
      </c>
      <c r="U47" s="70">
        <f>IF(AND(ISNUMBER(E47),ISNUMBER(F47)),SUMPRODUCT(ISNUMBER(E$28:E47)*ISNUMBER(F$28:F47)),"")</f>
        <v>0</v>
      </c>
      <c r="V47" s="70">
        <f>IF(AND(ISNUMBER(G47),ISNUMBER(H47)),SUMPRODUCT(ISNUMBER(G$28:G47)*ISNUMBER(H$28:H47)),"")</f>
        <v>0</v>
      </c>
      <c r="W47" s="70">
        <f>IF(AND(ISNUMBER(I47),ISNUMBER(J47)),SUMPRODUCT(ISNUMBER(I$28:I47)*ISNUMBER(J$28:J47)),"")</f>
        <v>0</v>
      </c>
      <c r="X47" s="70">
        <f>IF(AND(ISNUMBER(K47),ISNUMBER(L47)),SUMPRODUCT(ISNUMBER(K$28:K47)*ISNUMBER(L$28:L47)),"")</f>
        <v>0</v>
      </c>
      <c r="Y47" s="70">
        <f>IF(AND(ISNUMBER(M47),ISNUMBER(N47)),SUMPRODUCT(ISNUMBER(M$28:M47)*ISNUMBER(N$28:N47)),"")</f>
        <v>0</v>
      </c>
    </row>
    <row r="48" spans="2:25" ht="18" customHeight="1">
      <c r="B48" s="55">
        <v>21</v>
      </c>
      <c r="C48" s="56">
        <f>IF(AND(ISNUMBER(gJanU),21&lt;=bNHor),gJanU+20/12+cfgMinAntes/1440,"")</f>
        <v>0</v>
      </c>
      <c r="D48" s="57">
        <f>IF(ISNUMBER(C48),IF(ISNUMBER(gJanG),IF(21&lt;=gNG,gJanG+20/12+cfgMinG/1440,""),C48),"")</f>
        <v>0</v>
      </c>
      <c r="E48" s="58"/>
      <c r="F48" s="59"/>
      <c r="G48" s="60"/>
      <c r="H48" s="61"/>
      <c r="I48" s="62"/>
      <c r="J48" s="63"/>
      <c r="K48" s="64"/>
      <c r="L48" s="65"/>
      <c r="M48" s="62"/>
      <c r="N48" s="63"/>
      <c r="P48" s="66">
        <f>IF(AND(ISNUMBER(E48),ISNUMBER(F48)),IF(bRef=bLabA,F48-E48,E48-F48),"")</f>
        <v>0</v>
      </c>
      <c r="Q48" s="67">
        <f>IF(AND(ISNUMBER(G48),ISNUMBER(H48)),IF(bRef=bLabA,H48-G48,G48-H48),"")</f>
        <v>0</v>
      </c>
      <c r="R48" s="68">
        <f>IF(AND(ISNUMBER(I48),ISNUMBER(J48)),IF(bRef=bLabA,J48-I48,I48-J48),"")</f>
        <v>0</v>
      </c>
      <c r="S48" s="69">
        <f>IF(AND(ISNUMBER(K48),ISNUMBER(L48)),IF(bRef=bLabA,L48-K48,K48-L48),"")</f>
        <v>0</v>
      </c>
      <c r="T48" s="68">
        <f>IF(AND(ISNUMBER(M48),ISNUMBER(N48)),IF(bRef=bLabA,N48-M48,M48-N48),"")</f>
        <v>0</v>
      </c>
      <c r="U48" s="70">
        <f>IF(AND(ISNUMBER(E48),ISNUMBER(F48)),SUMPRODUCT(ISNUMBER(E$28:E48)*ISNUMBER(F$28:F48)),"")</f>
        <v>0</v>
      </c>
      <c r="V48" s="70">
        <f>IF(AND(ISNUMBER(G48),ISNUMBER(H48)),SUMPRODUCT(ISNUMBER(G$28:G48)*ISNUMBER(H$28:H48)),"")</f>
        <v>0</v>
      </c>
      <c r="W48" s="70">
        <f>IF(AND(ISNUMBER(I48),ISNUMBER(J48)),SUMPRODUCT(ISNUMBER(I$28:I48)*ISNUMBER(J$28:J48)),"")</f>
        <v>0</v>
      </c>
      <c r="X48" s="70">
        <f>IF(AND(ISNUMBER(K48),ISNUMBER(L48)),SUMPRODUCT(ISNUMBER(K$28:K48)*ISNUMBER(L$28:L48)),"")</f>
        <v>0</v>
      </c>
      <c r="Y48" s="70">
        <f>IF(AND(ISNUMBER(M48),ISNUMBER(N48)),SUMPRODUCT(ISNUMBER(M$28:M48)*ISNUMBER(N$28:N48)),"")</f>
        <v>0</v>
      </c>
    </row>
    <row r="49" spans="2:25" ht="18" customHeight="1">
      <c r="B49" s="55">
        <v>22</v>
      </c>
      <c r="C49" s="56">
        <f>IF(AND(ISNUMBER(gJanU),22&lt;=bNHor),gJanU+21/12+cfgMinAntes/1440,"")</f>
        <v>0</v>
      </c>
      <c r="D49" s="57">
        <f>IF(ISNUMBER(C49),IF(ISNUMBER(gJanG),IF(22&lt;=gNG,gJanG+21/12+cfgMinG/1440,""),C49),"")</f>
        <v>0</v>
      </c>
      <c r="E49" s="58"/>
      <c r="F49" s="59"/>
      <c r="G49" s="60"/>
      <c r="H49" s="61"/>
      <c r="I49" s="62"/>
      <c r="J49" s="63"/>
      <c r="K49" s="64"/>
      <c r="L49" s="65"/>
      <c r="M49" s="62"/>
      <c r="N49" s="63"/>
      <c r="P49" s="66">
        <f>IF(AND(ISNUMBER(E49),ISNUMBER(F49)),IF(bRef=bLabA,F49-E49,E49-F49),"")</f>
        <v>0</v>
      </c>
      <c r="Q49" s="67">
        <f>IF(AND(ISNUMBER(G49),ISNUMBER(H49)),IF(bRef=bLabA,H49-G49,G49-H49),"")</f>
        <v>0</v>
      </c>
      <c r="R49" s="68">
        <f>IF(AND(ISNUMBER(I49),ISNUMBER(J49)),IF(bRef=bLabA,J49-I49,I49-J49),"")</f>
        <v>0</v>
      </c>
      <c r="S49" s="69">
        <f>IF(AND(ISNUMBER(K49),ISNUMBER(L49)),IF(bRef=bLabA,L49-K49,K49-L49),"")</f>
        <v>0</v>
      </c>
      <c r="T49" s="68">
        <f>IF(AND(ISNUMBER(M49),ISNUMBER(N49)),IF(bRef=bLabA,N49-M49,M49-N49),"")</f>
        <v>0</v>
      </c>
      <c r="U49" s="70">
        <f>IF(AND(ISNUMBER(E49),ISNUMBER(F49)),SUMPRODUCT(ISNUMBER(E$28:E49)*ISNUMBER(F$28:F49)),"")</f>
        <v>0</v>
      </c>
      <c r="V49" s="70">
        <f>IF(AND(ISNUMBER(G49),ISNUMBER(H49)),SUMPRODUCT(ISNUMBER(G$28:G49)*ISNUMBER(H$28:H49)),"")</f>
        <v>0</v>
      </c>
      <c r="W49" s="70">
        <f>IF(AND(ISNUMBER(I49),ISNUMBER(J49)),SUMPRODUCT(ISNUMBER(I$28:I49)*ISNUMBER(J$28:J49)),"")</f>
        <v>0</v>
      </c>
      <c r="X49" s="70">
        <f>IF(AND(ISNUMBER(K49),ISNUMBER(L49)),SUMPRODUCT(ISNUMBER(K$28:K49)*ISNUMBER(L$28:L49)),"")</f>
        <v>0</v>
      </c>
      <c r="Y49" s="70">
        <f>IF(AND(ISNUMBER(M49),ISNUMBER(N49)),SUMPRODUCT(ISNUMBER(M$28:M49)*ISNUMBER(N$28:N49)),"")</f>
        <v>0</v>
      </c>
    </row>
    <row r="50" spans="2:25" ht="18" customHeight="1">
      <c r="B50" s="55">
        <v>23</v>
      </c>
      <c r="C50" s="56">
        <f>IF(AND(ISNUMBER(gJanU),23&lt;=bNHor),gJanU+22/12+cfgMinAntes/1440,"")</f>
        <v>0</v>
      </c>
      <c r="D50" s="57">
        <f>IF(ISNUMBER(C50),IF(ISNUMBER(gJanG),IF(23&lt;=gNG,gJanG+22/12+cfgMinG/1440,""),C50),"")</f>
        <v>0</v>
      </c>
      <c r="E50" s="58"/>
      <c r="F50" s="59"/>
      <c r="G50" s="60"/>
      <c r="H50" s="61"/>
      <c r="I50" s="62"/>
      <c r="J50" s="63"/>
      <c r="K50" s="64"/>
      <c r="L50" s="65"/>
      <c r="M50" s="62"/>
      <c r="N50" s="63"/>
      <c r="P50" s="66">
        <f>IF(AND(ISNUMBER(E50),ISNUMBER(F50)),IF(bRef=bLabA,F50-E50,E50-F50),"")</f>
        <v>0</v>
      </c>
      <c r="Q50" s="67">
        <f>IF(AND(ISNUMBER(G50),ISNUMBER(H50)),IF(bRef=bLabA,H50-G50,G50-H50),"")</f>
        <v>0</v>
      </c>
      <c r="R50" s="68">
        <f>IF(AND(ISNUMBER(I50),ISNUMBER(J50)),IF(bRef=bLabA,J50-I50,I50-J50),"")</f>
        <v>0</v>
      </c>
      <c r="S50" s="69">
        <f>IF(AND(ISNUMBER(K50),ISNUMBER(L50)),IF(bRef=bLabA,L50-K50,K50-L50),"")</f>
        <v>0</v>
      </c>
      <c r="T50" s="68">
        <f>IF(AND(ISNUMBER(M50),ISNUMBER(N50)),IF(bRef=bLabA,N50-M50,M50-N50),"")</f>
        <v>0</v>
      </c>
      <c r="U50" s="70">
        <f>IF(AND(ISNUMBER(E50),ISNUMBER(F50)),SUMPRODUCT(ISNUMBER(E$28:E50)*ISNUMBER(F$28:F50)),"")</f>
        <v>0</v>
      </c>
      <c r="V50" s="70">
        <f>IF(AND(ISNUMBER(G50),ISNUMBER(H50)),SUMPRODUCT(ISNUMBER(G$28:G50)*ISNUMBER(H$28:H50)),"")</f>
        <v>0</v>
      </c>
      <c r="W50" s="70">
        <f>IF(AND(ISNUMBER(I50),ISNUMBER(J50)),SUMPRODUCT(ISNUMBER(I$28:I50)*ISNUMBER(J$28:J50)),"")</f>
        <v>0</v>
      </c>
      <c r="X50" s="70">
        <f>IF(AND(ISNUMBER(K50),ISNUMBER(L50)),SUMPRODUCT(ISNUMBER(K$28:K50)*ISNUMBER(L$28:L50)),"")</f>
        <v>0</v>
      </c>
      <c r="Y50" s="70">
        <f>IF(AND(ISNUMBER(M50),ISNUMBER(N50)),SUMPRODUCT(ISNUMBER(M$28:M50)*ISNUMBER(N$28:N50)),"")</f>
        <v>0</v>
      </c>
    </row>
    <row r="51" spans="2:25" ht="18" customHeight="1">
      <c r="B51" s="55">
        <v>24</v>
      </c>
      <c r="C51" s="56">
        <f>IF(AND(ISNUMBER(gJanU),24&lt;=bNHor),gJanU+23/12+cfgMinAntes/1440,"")</f>
        <v>0</v>
      </c>
      <c r="D51" s="57">
        <f>IF(ISNUMBER(C51),IF(ISNUMBER(gJanG),IF(24&lt;=gNG,gJanG+23/12+cfgMinG/1440,""),C51),"")</f>
        <v>0</v>
      </c>
      <c r="E51" s="58"/>
      <c r="F51" s="59"/>
      <c r="G51" s="60"/>
      <c r="H51" s="61"/>
      <c r="I51" s="62"/>
      <c r="J51" s="63"/>
      <c r="K51" s="64"/>
      <c r="L51" s="65"/>
      <c r="M51" s="62"/>
      <c r="N51" s="63"/>
      <c r="P51" s="66">
        <f>IF(AND(ISNUMBER(E51),ISNUMBER(F51)),IF(bRef=bLabA,F51-E51,E51-F51),"")</f>
        <v>0</v>
      </c>
      <c r="Q51" s="67">
        <f>IF(AND(ISNUMBER(G51),ISNUMBER(H51)),IF(bRef=bLabA,H51-G51,G51-H51),"")</f>
        <v>0</v>
      </c>
      <c r="R51" s="68">
        <f>IF(AND(ISNUMBER(I51),ISNUMBER(J51)),IF(bRef=bLabA,J51-I51,I51-J51),"")</f>
        <v>0</v>
      </c>
      <c r="S51" s="69">
        <f>IF(AND(ISNUMBER(K51),ISNUMBER(L51)),IF(bRef=bLabA,L51-K51,K51-L51),"")</f>
        <v>0</v>
      </c>
      <c r="T51" s="68">
        <f>IF(AND(ISNUMBER(M51),ISNUMBER(N51)),IF(bRef=bLabA,N51-M51,M51-N51),"")</f>
        <v>0</v>
      </c>
      <c r="U51" s="70">
        <f>IF(AND(ISNUMBER(E51),ISNUMBER(F51)),SUMPRODUCT(ISNUMBER(E$28:E51)*ISNUMBER(F$28:F51)),"")</f>
        <v>0</v>
      </c>
      <c r="V51" s="70">
        <f>IF(AND(ISNUMBER(G51),ISNUMBER(H51)),SUMPRODUCT(ISNUMBER(G$28:G51)*ISNUMBER(H$28:H51)),"")</f>
        <v>0</v>
      </c>
      <c r="W51" s="70">
        <f>IF(AND(ISNUMBER(I51),ISNUMBER(J51)),SUMPRODUCT(ISNUMBER(I$28:I51)*ISNUMBER(J$28:J51)),"")</f>
        <v>0</v>
      </c>
      <c r="X51" s="70">
        <f>IF(AND(ISNUMBER(K51),ISNUMBER(L51)),SUMPRODUCT(ISNUMBER(K$28:K51)*ISNUMBER(L$28:L51)),"")</f>
        <v>0</v>
      </c>
      <c r="Y51" s="70">
        <f>IF(AND(ISNUMBER(M51),ISNUMBER(N51)),SUMPRODUCT(ISNUMBER(M$28:M51)*ISNUMBER(N$28:N51)),"")</f>
        <v>0</v>
      </c>
    </row>
    <row r="52" spans="2:25" ht="18" customHeight="1">
      <c r="B52" s="71" t="s">
        <v>131</v>
      </c>
      <c r="C52" s="71"/>
      <c r="D52" s="71"/>
      <c r="E52" s="72">
        <f>IF(COUNT(E28:E51)=0,"",AVERAGE(E28:E51))</f>
        <v>0</v>
      </c>
      <c r="F52" s="72">
        <f>IF(COUNT(F28:F51)=0,"",AVERAGE(F28:F51))</f>
        <v>0</v>
      </c>
      <c r="G52" s="73">
        <f>IF(COUNT(G28:G51)=0,"",AVERAGE(G28:G51))</f>
        <v>0</v>
      </c>
      <c r="H52" s="73">
        <f>IF(COUNT(H28:H51)=0,"",AVERAGE(H28:H51))</f>
        <v>0</v>
      </c>
      <c r="I52" s="74">
        <f>IF(COUNT(I28:I51)=0,"",AVERAGE(I28:I51))</f>
        <v>0</v>
      </c>
      <c r="J52" s="74">
        <f>IF(COUNT(J28:J51)=0,"",AVERAGE(J28:J51))</f>
        <v>0</v>
      </c>
      <c r="K52" s="75">
        <f>IF(COUNT(K28:K51)=0,"",AVERAGE(K28:K51))</f>
        <v>0</v>
      </c>
      <c r="L52" s="75">
        <f>IF(COUNT(L28:L51)=0,"",AVERAGE(L28:L51))</f>
        <v>0</v>
      </c>
      <c r="M52" s="74">
        <f>IF(COUNT(M28:M51)=0,"",AVERAGE(M28:M51))</f>
        <v>0</v>
      </c>
      <c r="N52" s="74">
        <f>IF(COUNT(N28:N51)=0,"",AVERAGE(N28:N51))</f>
        <v>0</v>
      </c>
      <c r="P52" s="76">
        <f>IF(AND(ISNUMBER(E52),ISNUMBER(F52)),IF(bRef=bLabA,F52-E52,E52-F52),"")</f>
        <v>0</v>
      </c>
      <c r="Q52" s="77">
        <f>IF(AND(ISNUMBER(G52),ISNUMBER(H52)),IF(bRef=bLabA,H52-G52,G52-H52),"")</f>
        <v>0</v>
      </c>
      <c r="R52" s="78">
        <f>IF(AND(ISNUMBER(I52),ISNUMBER(J52)),IF(bRef=bLabA,J52-I52,I52-J52),"")</f>
        <v>0</v>
      </c>
      <c r="S52" s="79">
        <f>IF(AND(ISNUMBER(K52),ISNUMBER(L52)),IF(bRef=bLabA,L52-K52,K52-L52),"")</f>
        <v>0</v>
      </c>
      <c r="T52" s="78">
        <f>IF(AND(ISNUMBER(M52),ISNUMBER(N52)),IF(bRef=bLabA,N52-M52,M52-N52),"")</f>
        <v>0</v>
      </c>
    </row>
    <row r="53" spans="2:25" ht="18" customHeight="1">
      <c r="B53" s="80" t="s">
        <v>132</v>
      </c>
      <c r="C53" s="80"/>
      <c r="D53" s="80"/>
      <c r="E53" s="80">
        <f>COUNT(E28:E51)</f>
        <v>0</v>
      </c>
      <c r="F53" s="80">
        <f>COUNT(F28:F51)</f>
        <v>0</v>
      </c>
      <c r="G53" s="80">
        <f>COUNT(G28:G51)</f>
        <v>0</v>
      </c>
      <c r="H53" s="80">
        <f>COUNT(H28:H51)</f>
        <v>0</v>
      </c>
      <c r="I53" s="80">
        <f>COUNT(I28:I51)</f>
        <v>0</v>
      </c>
      <c r="J53" s="80">
        <f>COUNT(J28:J51)</f>
        <v>0</v>
      </c>
      <c r="K53" s="80">
        <f>COUNT(K28:K51)</f>
        <v>0</v>
      </c>
      <c r="L53" s="80">
        <f>COUNT(L28:L51)</f>
        <v>0</v>
      </c>
      <c r="M53" s="80">
        <f>COUNT(M28:M51)</f>
        <v>0</v>
      </c>
      <c r="N53" s="80">
        <f>COUNT(N28:N51)</f>
        <v>0</v>
      </c>
      <c r="P53" s="80">
        <f>COUNT(P28:P51)</f>
        <v>0</v>
      </c>
      <c r="Q53" s="80">
        <f>COUNT(Q28:Q51)</f>
        <v>0</v>
      </c>
      <c r="R53" s="80">
        <f>COUNT(R28:R51)</f>
        <v>0</v>
      </c>
      <c r="S53" s="80">
        <f>COUNT(S28:S51)</f>
        <v>0</v>
      </c>
      <c r="T53" s="80">
        <f>COUNT(T28:T51)</f>
        <v>0</v>
      </c>
    </row>
    <row r="55" spans="2:25" ht="22" customHeight="1">
      <c r="B55" s="33" t="s">
        <v>133</v>
      </c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</row>
    <row r="56" spans="2:25" ht="18" customHeight="1">
      <c r="B56" s="81" t="s">
        <v>134</v>
      </c>
      <c r="C56" s="81"/>
      <c r="D56" s="81" t="s">
        <v>135</v>
      </c>
      <c r="E56" s="81" t="s">
        <v>136</v>
      </c>
      <c r="F56" s="81"/>
      <c r="G56" s="81" t="s">
        <v>139</v>
      </c>
      <c r="H56" s="81"/>
      <c r="I56" s="81" t="s">
        <v>140</v>
      </c>
      <c r="J56" s="81"/>
      <c r="K56" s="81"/>
    </row>
    <row r="57" spans="2:25" ht="18" customHeight="1">
      <c r="B57" s="49">
        <f>padLabA</f>
        <v>0</v>
      </c>
      <c r="C57" s="49"/>
      <c r="D57" s="49">
        <f>padLabB</f>
        <v>0</v>
      </c>
      <c r="E57" s="49">
        <f>padRef</f>
        <v>0</v>
      </c>
      <c r="F57" s="49"/>
      <c r="G57" s="82">
        <f>IF(bRef=bLabA,bLabB&amp;" − "&amp;bLabA,bLabA&amp;" − "&amp;bLabB)</f>
        <v>0</v>
      </c>
      <c r="H57" s="82"/>
      <c r="I57" s="83"/>
      <c r="J57" s="83"/>
      <c r="K57" s="83"/>
    </row>
    <row r="58" spans="2:25" ht="18" customHeight="1">
      <c r="B58" s="81" t="s">
        <v>137</v>
      </c>
      <c r="C58" s="81"/>
      <c r="D58" s="81"/>
      <c r="E58" s="81"/>
      <c r="F58" s="81"/>
      <c r="G58" s="81" t="s">
        <v>138</v>
      </c>
      <c r="H58" s="81"/>
      <c r="I58" s="81"/>
      <c r="J58" s="81"/>
      <c r="K58" s="81"/>
      <c r="L58" s="81"/>
      <c r="M58" s="81"/>
      <c r="N58" s="81"/>
    </row>
    <row r="59" spans="2:25" ht="18" customHeight="1">
      <c r="B59" s="84">
        <f>padTit</f>
        <v>0</v>
      </c>
      <c r="C59" s="84"/>
      <c r="D59" s="84"/>
      <c r="E59" s="84"/>
      <c r="F59" s="84"/>
      <c r="G59" s="84">
        <f>padSub</f>
        <v>0</v>
      </c>
      <c r="H59" s="84"/>
      <c r="I59" s="84"/>
      <c r="J59" s="84"/>
      <c r="K59" s="84"/>
      <c r="L59" s="84"/>
      <c r="M59" s="84"/>
      <c r="N59" s="84"/>
    </row>
    <row r="60" spans="2:25" ht="18" customHeight="1">
      <c r="B60" s="81" t="s">
        <v>141</v>
      </c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</row>
    <row r="61" spans="2:25" ht="18" customHeight="1">
      <c r="B61" s="81" t="s">
        <v>142</v>
      </c>
      <c r="C61" s="81"/>
      <c r="D61" s="81" t="s">
        <v>143</v>
      </c>
      <c r="E61" s="81" t="s">
        <v>144</v>
      </c>
      <c r="F61" s="81"/>
      <c r="G61" s="81" t="s">
        <v>145</v>
      </c>
      <c r="H61" s="81"/>
      <c r="I61" s="81" t="s">
        <v>146</v>
      </c>
      <c r="J61" s="81"/>
    </row>
    <row r="62" spans="2:25" ht="18" customHeight="1">
      <c r="B62" s="85">
        <f>padTol_SE</f>
        <v>0</v>
      </c>
      <c r="C62" s="85"/>
      <c r="D62" s="86">
        <f>padTol_325</f>
        <v>0</v>
      </c>
      <c r="E62" s="87">
        <f>padTol_SiO2</f>
        <v>0</v>
      </c>
      <c r="F62" s="87"/>
      <c r="G62" s="88">
        <f>padTol_P</f>
        <v>0</v>
      </c>
      <c r="H62" s="88"/>
      <c r="I62" s="87">
        <f>padTol_PPC</f>
        <v>0</v>
      </c>
      <c r="J62" s="87"/>
    </row>
  </sheetData>
  <sheetProtection sheet="1" objects="1" scenarios="1" formatColumns="0" formatRows="0"/>
  <mergeCells count="58">
    <mergeCell ref="B2:N2"/>
    <mergeCell ref="B4:C4"/>
    <mergeCell ref="D4:J4"/>
    <mergeCell ref="B5:C6"/>
    <mergeCell ref="B7:C7"/>
    <mergeCell ref="B8:C8"/>
    <mergeCell ref="B9:C9"/>
    <mergeCell ref="D12:J12"/>
    <mergeCell ref="B13:C13"/>
    <mergeCell ref="B14:C14"/>
    <mergeCell ref="E13:F13"/>
    <mergeCell ref="E14:F14"/>
    <mergeCell ref="G13:H13"/>
    <mergeCell ref="G14:H14"/>
    <mergeCell ref="I13:J13"/>
    <mergeCell ref="I14:J14"/>
    <mergeCell ref="B16:N16"/>
    <mergeCell ref="B17:C17"/>
    <mergeCell ref="D17:L17"/>
    <mergeCell ref="B18:C18"/>
    <mergeCell ref="D18:L18"/>
    <mergeCell ref="B19:C19"/>
    <mergeCell ref="D19:N19"/>
    <mergeCell ref="B20:C20"/>
    <mergeCell ref="D20:N20"/>
    <mergeCell ref="B21:C21"/>
    <mergeCell ref="D21:N21"/>
    <mergeCell ref="B22:C22"/>
    <mergeCell ref="D22:N22"/>
    <mergeCell ref="B23:C23"/>
    <mergeCell ref="D23:N23"/>
    <mergeCell ref="B24:C24"/>
    <mergeCell ref="D24:N24"/>
    <mergeCell ref="B26:N26"/>
    <mergeCell ref="B52:D52"/>
    <mergeCell ref="B53:D53"/>
    <mergeCell ref="B55:N55"/>
    <mergeCell ref="B56:C56"/>
    <mergeCell ref="B57:C57"/>
    <mergeCell ref="E56:F56"/>
    <mergeCell ref="E57:F57"/>
    <mergeCell ref="B58:F58"/>
    <mergeCell ref="B59:F59"/>
    <mergeCell ref="G58:N58"/>
    <mergeCell ref="G59:N59"/>
    <mergeCell ref="G56:H56"/>
    <mergeCell ref="G57:H57"/>
    <mergeCell ref="I56:K56"/>
    <mergeCell ref="I57:K57"/>
    <mergeCell ref="B60:N60"/>
    <mergeCell ref="B61:C61"/>
    <mergeCell ref="B62:C62"/>
    <mergeCell ref="E61:F61"/>
    <mergeCell ref="E62:F62"/>
    <mergeCell ref="G61:H61"/>
    <mergeCell ref="G62:H62"/>
    <mergeCell ref="I61:J61"/>
    <mergeCell ref="I62:J62"/>
  </mergeCells>
  <conditionalFormatting sqref="B28:D51">
    <cfRule type="expression" dxfId="1" priority="6">
      <formula>$B28&gt;bNHor</formula>
    </cfRule>
  </conditionalFormatting>
  <conditionalFormatting sqref="P28:P52">
    <cfRule type="expression" dxfId="0" priority="1">
      <formula>AND(ISNUMBER(P28),ABS(ROUND(P28,0))&gt;bTol_SE+1E-9)</formula>
    </cfRule>
  </conditionalFormatting>
  <conditionalFormatting sqref="Q28:Q52">
    <cfRule type="expression" dxfId="0" priority="2">
      <formula>AND(ISNUMBER(Q28),ABS(ROUND(Q28,1))&gt;bTol_325+1E-9)</formula>
    </cfRule>
  </conditionalFormatting>
  <conditionalFormatting sqref="R28:R52">
    <cfRule type="expression" dxfId="0" priority="3">
      <formula>AND(ISNUMBER(R28),ABS(ROUND(R28,2))&gt;bTol_SiO2+1E-9)</formula>
    </cfRule>
  </conditionalFormatting>
  <conditionalFormatting sqref="S28:S52">
    <cfRule type="expression" dxfId="0" priority="4">
      <formula>AND(ISNUMBER(S28),ABS(ROUND(S28,3))&gt;bTol_P+1E-9)</formula>
    </cfRule>
  </conditionalFormatting>
  <conditionalFormatting sqref="T28:T52">
    <cfRule type="expression" dxfId="0" priority="5">
      <formula>AND(ISNUMBER(T28),ABS(ROUND(T28,2))&gt;bTol_PPC+1E-9)</formula>
    </cfRule>
  </conditionalFormatting>
  <dataValidations count="6">
    <dataValidation type="list" allowBlank="1" showInputMessage="1" showErrorMessage="1" sqref="B8">
      <formula1>lstNivel</formula1>
    </dataValidation>
    <dataValidation type="whole" allowBlank="1" showInputMessage="1" showErrorMessage="1" error="Entre 1 e 24 horários." sqref="K14">
      <formula1>1</formula1>
      <formula2>24</formula2>
    </dataValidation>
    <dataValidation type="list" allowBlank="1" showInputMessage="1" showErrorMessage="1" sqref="N14">
      <formula1>lstMin</formula1>
    </dataValidation>
    <dataValidation type="list" allowBlank="1" showInputMessage="1" showErrorMessage="1" sqref="N17">
      <formula1>lstSimNao</formula1>
    </dataValidation>
    <dataValidation type="list" allowBlank="1" showInputMessage="1" showErrorMessage="1" sqref="N18">
      <formula1>lstSimNao</formula1>
    </dataValidation>
    <dataValidation type="list" allowBlank="1" showInputMessage="1" showErrorMessage="1" sqref="E57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nviar">
    <tabColor rgb="FF2F5C9E"/>
  </sheetPr>
  <dimension ref="A2:D18"/>
  <sheetViews>
    <sheetView showGridLines="0" workbookViewId="0"/>
  </sheetViews>
  <sheetFormatPr defaultRowHeight="15"/>
  <cols>
    <col min="1" max="1" width="2.7109375" customWidth="1"/>
    <col min="2" max="2" width="92.7109375" customWidth="1"/>
    <col min="3" max="3" width="2.7109375" customWidth="1"/>
    <col min="4" max="4" width="34.7109375" customWidth="1"/>
  </cols>
  <sheetData>
    <row r="2" spans="2:4" ht="34" customHeight="1">
      <c r="B2" s="7" t="s">
        <v>242</v>
      </c>
      <c r="C2" s="7"/>
      <c r="D2" s="7"/>
    </row>
    <row r="5" spans="2:4" ht="22" customHeight="1">
      <c r="B5" s="33" t="s">
        <v>243</v>
      </c>
    </row>
    <row r="6" spans="2:4">
      <c r="B6" s="8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  <row r="7" spans="2:4">
      <c r="B7" s="89"/>
    </row>
    <row r="8" spans="2:4">
      <c r="B8" s="89"/>
    </row>
    <row r="9" spans="2:4">
      <c r="B9" s="89"/>
    </row>
    <row r="10" spans="2:4">
      <c r="B10" s="89"/>
    </row>
    <row r="11" spans="2:4">
      <c r="B11" s="89"/>
    </row>
    <row r="12" spans="2:4">
      <c r="B12" s="89"/>
    </row>
    <row r="13" spans="2:4">
      <c r="B13" s="89"/>
    </row>
    <row r="14" spans="2:4">
      <c r="B14" s="89"/>
    </row>
    <row r="15" spans="2:4">
      <c r="B15" s="89"/>
    </row>
    <row r="17" spans="2:2">
      <c r="B17" s="90" t="s">
        <v>244</v>
      </c>
    </row>
    <row r="18" spans="2:2">
      <c r="B18" s="91">
        <f>"Comparativo Germano × Ubu — Batch "&amp;bId&amp;" — "&amp;gDataTxt</f>
        <v>0</v>
      </c>
    </row>
  </sheetData>
  <sheetProtection sheet="1" objects="1" scenarios="1" formatColumns="0" formatRows="0"/>
  <mergeCells count="2">
    <mergeCell ref="B2:D2"/>
    <mergeCell ref="B6:B1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E8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57" width="13.7109375" customWidth="1"/>
  </cols>
  <sheetData>
    <row r="2" spans="2:57" ht="34" customHeight="1">
      <c r="B2" s="7" t="s">
        <v>245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2:57" ht="22" customHeight="1">
      <c r="B3" s="92" t="s">
        <v>246</v>
      </c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</row>
    <row r="4" spans="2:57" ht="22" customHeight="1"/>
    <row r="5" spans="2:57" ht="18" customHeight="1">
      <c r="K5" s="93" t="s">
        <v>247</v>
      </c>
    </row>
    <row r="7" spans="2:57" ht="30" customHeight="1">
      <c r="B7" t="s">
        <v>248</v>
      </c>
      <c r="C7" t="s">
        <v>249</v>
      </c>
      <c r="D7" t="s">
        <v>68</v>
      </c>
      <c r="E7" t="s">
        <v>250</v>
      </c>
      <c r="F7" t="s">
        <v>251</v>
      </c>
      <c r="G7" t="s">
        <v>252</v>
      </c>
      <c r="H7" t="s">
        <v>253</v>
      </c>
      <c r="I7" t="s">
        <v>254</v>
      </c>
      <c r="J7" t="s">
        <v>255</v>
      </c>
      <c r="K7" t="s">
        <v>256</v>
      </c>
      <c r="L7" t="s">
        <v>257</v>
      </c>
      <c r="M7" t="s">
        <v>258</v>
      </c>
      <c r="N7" t="s">
        <v>174</v>
      </c>
      <c r="O7" t="s">
        <v>259</v>
      </c>
      <c r="P7" t="s">
        <v>73</v>
      </c>
      <c r="Q7" t="s">
        <v>260</v>
      </c>
      <c r="R7" t="s">
        <v>261</v>
      </c>
      <c r="S7" t="s">
        <v>262</v>
      </c>
      <c r="T7" t="s">
        <v>263</v>
      </c>
      <c r="U7" t="s">
        <v>264</v>
      </c>
      <c r="V7" t="s">
        <v>172</v>
      </c>
      <c r="W7" t="s">
        <v>265</v>
      </c>
      <c r="X7" t="s">
        <v>266</v>
      </c>
      <c r="Y7" t="s">
        <v>267</v>
      </c>
      <c r="Z7" t="s">
        <v>268</v>
      </c>
      <c r="AA7" t="s">
        <v>269</v>
      </c>
      <c r="AB7" t="s">
        <v>270</v>
      </c>
      <c r="AC7" t="s">
        <v>271</v>
      </c>
      <c r="AD7" t="s">
        <v>272</v>
      </c>
      <c r="AE7" t="s">
        <v>273</v>
      </c>
      <c r="AF7" t="s">
        <v>274</v>
      </c>
      <c r="AG7" t="s">
        <v>275</v>
      </c>
      <c r="AH7" t="s">
        <v>276</v>
      </c>
      <c r="AI7" t="s">
        <v>277</v>
      </c>
      <c r="AJ7" t="s">
        <v>278</v>
      </c>
      <c r="AK7" t="s">
        <v>279</v>
      </c>
      <c r="AL7" t="s">
        <v>280</v>
      </c>
      <c r="AM7" t="s">
        <v>281</v>
      </c>
      <c r="AN7" t="s">
        <v>282</v>
      </c>
      <c r="AO7" t="s">
        <v>283</v>
      </c>
      <c r="AP7" t="s">
        <v>284</v>
      </c>
      <c r="AQ7" t="s">
        <v>285</v>
      </c>
      <c r="AR7" t="s">
        <v>286</v>
      </c>
      <c r="AS7" t="s">
        <v>287</v>
      </c>
      <c r="AT7" t="s">
        <v>288</v>
      </c>
      <c r="AU7" t="s">
        <v>289</v>
      </c>
      <c r="AV7" t="s">
        <v>290</v>
      </c>
      <c r="AW7" t="s">
        <v>291</v>
      </c>
      <c r="AX7" t="s">
        <v>292</v>
      </c>
      <c r="AY7" t="s">
        <v>293</v>
      </c>
      <c r="AZ7" t="s">
        <v>294</v>
      </c>
      <c r="BA7" t="s">
        <v>295</v>
      </c>
      <c r="BB7" t="s">
        <v>296</v>
      </c>
      <c r="BC7" t="s">
        <v>297</v>
      </c>
      <c r="BD7" t="s">
        <v>298</v>
      </c>
      <c r="BE7" t="s">
        <v>299</v>
      </c>
    </row>
    <row r="8" spans="2:57">
      <c r="B8" s="94">
        <v>284</v>
      </c>
      <c r="C8" s="95">
        <v>46309</v>
      </c>
      <c r="D8" s="94" t="s">
        <v>69</v>
      </c>
      <c r="E8" s="96">
        <v>46307.40486111111</v>
      </c>
      <c r="F8" s="96">
        <v>46308.3875</v>
      </c>
      <c r="G8" s="94" t="s">
        <v>63</v>
      </c>
      <c r="H8" s="96"/>
      <c r="I8" s="96">
        <v>46305</v>
      </c>
      <c r="J8" s="96">
        <v>46305.99930555555</v>
      </c>
      <c r="K8" s="94">
        <v>12</v>
      </c>
      <c r="L8" s="94" t="s">
        <v>15</v>
      </c>
      <c r="M8" s="94" t="s">
        <v>19</v>
      </c>
      <c r="N8" s="94" t="s">
        <v>15</v>
      </c>
      <c r="O8" s="94" t="s">
        <v>72</v>
      </c>
      <c r="P8" s="94" t="s">
        <v>74</v>
      </c>
      <c r="Q8" s="97">
        <v>150</v>
      </c>
      <c r="R8" s="97">
        <v>1</v>
      </c>
      <c r="S8" s="97">
        <v>0.19</v>
      </c>
      <c r="T8" s="97">
        <v>0.003</v>
      </c>
      <c r="U8" s="97">
        <v>0.08</v>
      </c>
      <c r="V8" s="94" t="s">
        <v>91</v>
      </c>
      <c r="W8" s="94" t="s">
        <v>91</v>
      </c>
      <c r="X8" s="94"/>
      <c r="Y8" s="94"/>
      <c r="Z8" s="94" t="s">
        <v>76</v>
      </c>
      <c r="AA8" s="94"/>
      <c r="AB8" s="94"/>
      <c r="AC8" s="94"/>
      <c r="AD8" s="94"/>
      <c r="AE8" s="94"/>
      <c r="AF8" s="97">
        <v>1979.681818181818</v>
      </c>
      <c r="AG8" s="97">
        <v>1809.083333333333</v>
      </c>
      <c r="AH8" s="97">
        <v>-170.598484848485</v>
      </c>
      <c r="AI8" s="94" t="s">
        <v>166</v>
      </c>
      <c r="AJ8" s="97">
        <v>84.90863626653498</v>
      </c>
      <c r="AK8" s="97">
        <v>84.79999923706055</v>
      </c>
      <c r="AL8" s="97">
        <v>-0.108637029474437</v>
      </c>
      <c r="AM8" s="94" t="s">
        <v>167</v>
      </c>
      <c r="AN8" s="97">
        <v>1.433181811462749</v>
      </c>
      <c r="AO8" s="97">
        <v>1.807500004768372</v>
      </c>
      <c r="AP8" s="97">
        <v>0.3743181933056225</v>
      </c>
      <c r="AQ8" s="94" t="s">
        <v>166</v>
      </c>
      <c r="AR8" s="97">
        <v>0.05772727236829021</v>
      </c>
      <c r="AS8" s="97">
        <v>0.0593333321933945</v>
      </c>
      <c r="AT8" s="97">
        <v>0.001606059825104297</v>
      </c>
      <c r="AU8" s="94" t="s">
        <v>167</v>
      </c>
      <c r="AV8" s="97">
        <v>3.989090908657421</v>
      </c>
      <c r="AW8" s="97">
        <v>3.804999987284342</v>
      </c>
      <c r="AX8" s="97">
        <v>-0.1840909213730786</v>
      </c>
      <c r="AY8" s="94" t="s">
        <v>166</v>
      </c>
      <c r="AZ8" s="96">
        <v>46307.57152777778</v>
      </c>
      <c r="BA8" s="94">
        <v>62</v>
      </c>
      <c r="BB8" s="94">
        <v>3</v>
      </c>
      <c r="BC8" s="94">
        <v>107</v>
      </c>
      <c r="BD8" s="96">
        <v>46309.69020833333</v>
      </c>
      <c r="BE8" s="94" t="s">
        <v>300</v>
      </c>
    </row>
  </sheetData>
  <mergeCells count="2">
    <mergeCell ref="B2:O2"/>
    <mergeCell ref="B3:O3"/>
  </mergeCells>
  <conditionalFormatting sqref="AI8:AI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M8:AM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Q8:AQ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U8:AU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AY8:AY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6A7A94"/>
  </sheetPr>
  <dimension ref="A1:J60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248</v>
      </c>
      <c r="B1" t="s">
        <v>301</v>
      </c>
      <c r="C1" t="s">
        <v>302</v>
      </c>
      <c r="D1" t="s">
        <v>303</v>
      </c>
      <c r="E1" t="s">
        <v>147</v>
      </c>
      <c r="F1" t="s">
        <v>15</v>
      </c>
      <c r="G1" t="s">
        <v>19</v>
      </c>
      <c r="H1" t="s">
        <v>150</v>
      </c>
      <c r="I1" t="s">
        <v>304</v>
      </c>
      <c r="J1" t="s">
        <v>152</v>
      </c>
    </row>
    <row r="2" spans="1:10">
      <c r="A2" s="94">
        <v>284</v>
      </c>
      <c r="B2" s="94">
        <v>1</v>
      </c>
      <c r="C2" s="96">
        <v>46307.64583333334</v>
      </c>
      <c r="D2" s="96">
        <v>46305.0625</v>
      </c>
      <c r="E2" s="94" t="s">
        <v>14</v>
      </c>
      <c r="F2" s="97"/>
      <c r="G2" s="97">
        <v>1822</v>
      </c>
      <c r="H2" s="97"/>
      <c r="I2" s="97">
        <v>150</v>
      </c>
      <c r="J2" s="94"/>
    </row>
    <row r="3" spans="1:10">
      <c r="A3" s="94">
        <v>284</v>
      </c>
      <c r="B3" s="94">
        <v>1</v>
      </c>
      <c r="C3" s="96">
        <v>46307.64583333334</v>
      </c>
      <c r="D3" s="96">
        <v>46305.0625</v>
      </c>
      <c r="E3" s="94" t="s">
        <v>24</v>
      </c>
      <c r="F3" s="97"/>
      <c r="G3" s="97">
        <v>1.870000004768372</v>
      </c>
      <c r="H3" s="97"/>
      <c r="I3" s="97">
        <v>0.19</v>
      </c>
      <c r="J3" s="94"/>
    </row>
    <row r="4" spans="1:10">
      <c r="A4" s="94">
        <v>284</v>
      </c>
      <c r="B4" s="94">
        <v>1</v>
      </c>
      <c r="C4" s="96">
        <v>46307.64583333334</v>
      </c>
      <c r="D4" s="96">
        <v>46305.0625</v>
      </c>
      <c r="E4" s="94" t="s">
        <v>27</v>
      </c>
      <c r="F4" s="97"/>
      <c r="G4" s="97">
        <v>0.05900000035762787</v>
      </c>
      <c r="H4" s="97"/>
      <c r="I4" s="97">
        <v>0.003</v>
      </c>
      <c r="J4" s="94"/>
    </row>
    <row r="5" spans="1:10">
      <c r="A5" s="94">
        <v>284</v>
      </c>
      <c r="B5" s="94">
        <v>1</v>
      </c>
      <c r="C5" s="96">
        <v>46307.64583333334</v>
      </c>
      <c r="D5" s="96">
        <v>46305.0625</v>
      </c>
      <c r="E5" s="94" t="s">
        <v>30</v>
      </c>
      <c r="F5" s="97"/>
      <c r="G5" s="97">
        <v>3.839999914169312</v>
      </c>
      <c r="H5" s="97"/>
      <c r="I5" s="97">
        <v>0.08</v>
      </c>
      <c r="J5" s="94"/>
    </row>
    <row r="6" spans="1:10">
      <c r="A6" s="94">
        <v>284</v>
      </c>
      <c r="B6" s="94">
        <v>2</v>
      </c>
      <c r="C6" s="96">
        <v>46307.72916666666</v>
      </c>
      <c r="D6" s="96">
        <v>46305.14583333334</v>
      </c>
      <c r="E6" s="94" t="s">
        <v>14</v>
      </c>
      <c r="F6" s="97">
        <v>1933</v>
      </c>
      <c r="G6" s="97">
        <v>1780</v>
      </c>
      <c r="H6" s="97">
        <v>-153</v>
      </c>
      <c r="I6" s="97">
        <v>150</v>
      </c>
      <c r="J6" s="94" t="s">
        <v>166</v>
      </c>
    </row>
    <row r="7" spans="1:10">
      <c r="A7" s="94">
        <v>284</v>
      </c>
      <c r="B7" s="94">
        <v>2</v>
      </c>
      <c r="C7" s="96">
        <v>46307.72916666666</v>
      </c>
      <c r="D7" s="96">
        <v>46305.14583333334</v>
      </c>
      <c r="E7" s="94" t="s">
        <v>21</v>
      </c>
      <c r="F7" s="97">
        <v>85.91999816894531</v>
      </c>
      <c r="G7" s="97"/>
      <c r="H7" s="97"/>
      <c r="I7" s="97">
        <v>1</v>
      </c>
      <c r="J7" s="94"/>
    </row>
    <row r="8" spans="1:10">
      <c r="A8" s="94">
        <v>284</v>
      </c>
      <c r="B8" s="94">
        <v>2</v>
      </c>
      <c r="C8" s="96">
        <v>46307.72916666666</v>
      </c>
      <c r="D8" s="96">
        <v>46305.14583333334</v>
      </c>
      <c r="E8" s="94" t="s">
        <v>24</v>
      </c>
      <c r="F8" s="97">
        <v>1.309999942779541</v>
      </c>
      <c r="G8" s="97">
        <v>1.809999942779541</v>
      </c>
      <c r="H8" s="97">
        <v>0.5</v>
      </c>
      <c r="I8" s="97">
        <v>0.19</v>
      </c>
      <c r="J8" s="94" t="s">
        <v>166</v>
      </c>
    </row>
    <row r="9" spans="1:10">
      <c r="A9" s="94">
        <v>284</v>
      </c>
      <c r="B9" s="94">
        <v>2</v>
      </c>
      <c r="C9" s="96">
        <v>46307.72916666666</v>
      </c>
      <c r="D9" s="96">
        <v>46305.14583333334</v>
      </c>
      <c r="E9" s="94" t="s">
        <v>27</v>
      </c>
      <c r="F9" s="97">
        <v>0.05900000035762787</v>
      </c>
      <c r="G9" s="97">
        <v>0.05799999833106995</v>
      </c>
      <c r="H9" s="97">
        <v>-0.001000002026557922</v>
      </c>
      <c r="I9" s="97">
        <v>0.003</v>
      </c>
      <c r="J9" s="94" t="s">
        <v>167</v>
      </c>
    </row>
    <row r="10" spans="1:10">
      <c r="A10" s="94">
        <v>284</v>
      </c>
      <c r="B10" s="94">
        <v>2</v>
      </c>
      <c r="C10" s="96">
        <v>46307.72916666666</v>
      </c>
      <c r="D10" s="96">
        <v>46305.14583333334</v>
      </c>
      <c r="E10" s="94" t="s">
        <v>30</v>
      </c>
      <c r="F10" s="97">
        <v>4.139999866485596</v>
      </c>
      <c r="G10" s="97">
        <v>3.730000019073486</v>
      </c>
      <c r="H10" s="97">
        <v>-0.4099998474121094</v>
      </c>
      <c r="I10" s="97">
        <v>0.08</v>
      </c>
      <c r="J10" s="94" t="s">
        <v>166</v>
      </c>
    </row>
    <row r="11" spans="1:10">
      <c r="A11" s="94">
        <v>284</v>
      </c>
      <c r="B11" s="94">
        <v>3</v>
      </c>
      <c r="C11" s="96">
        <v>46307.8125</v>
      </c>
      <c r="D11" s="96">
        <v>46305.22916666666</v>
      </c>
      <c r="E11" s="94" t="s">
        <v>14</v>
      </c>
      <c r="F11" s="97">
        <v>2053</v>
      </c>
      <c r="G11" s="97">
        <v>1787</v>
      </c>
      <c r="H11" s="97">
        <v>-266</v>
      </c>
      <c r="I11" s="97">
        <v>150</v>
      </c>
      <c r="J11" s="94" t="s">
        <v>166</v>
      </c>
    </row>
    <row r="12" spans="1:10">
      <c r="A12" s="94">
        <v>284</v>
      </c>
      <c r="B12" s="94">
        <v>3</v>
      </c>
      <c r="C12" s="96">
        <v>46307.8125</v>
      </c>
      <c r="D12" s="96">
        <v>46305.22916666666</v>
      </c>
      <c r="E12" s="94" t="s">
        <v>21</v>
      </c>
      <c r="F12" s="97">
        <v>86.30999755859375</v>
      </c>
      <c r="G12" s="97">
        <v>85</v>
      </c>
      <c r="H12" s="97">
        <v>-1.30999755859375</v>
      </c>
      <c r="I12" s="97">
        <v>1</v>
      </c>
      <c r="J12" s="94" t="s">
        <v>166</v>
      </c>
    </row>
    <row r="13" spans="1:10">
      <c r="A13" s="94">
        <v>284</v>
      </c>
      <c r="B13" s="94">
        <v>3</v>
      </c>
      <c r="C13" s="96">
        <v>46307.8125</v>
      </c>
      <c r="D13" s="96">
        <v>46305.22916666666</v>
      </c>
      <c r="E13" s="94" t="s">
        <v>24</v>
      </c>
      <c r="F13" s="97">
        <v>1.309999942779541</v>
      </c>
      <c r="G13" s="97">
        <v>1.809999942779541</v>
      </c>
      <c r="H13" s="97">
        <v>0.5</v>
      </c>
      <c r="I13" s="97">
        <v>0.19</v>
      </c>
      <c r="J13" s="94" t="s">
        <v>166</v>
      </c>
    </row>
    <row r="14" spans="1:10">
      <c r="A14" s="94">
        <v>284</v>
      </c>
      <c r="B14" s="94">
        <v>3</v>
      </c>
      <c r="C14" s="96">
        <v>46307.8125</v>
      </c>
      <c r="D14" s="96">
        <v>46305.22916666666</v>
      </c>
      <c r="E14" s="94" t="s">
        <v>27</v>
      </c>
      <c r="F14" s="97">
        <v>0.05799999833106995</v>
      </c>
      <c r="G14" s="97">
        <v>0.05799999833106995</v>
      </c>
      <c r="H14" s="97">
        <v>0</v>
      </c>
      <c r="I14" s="97">
        <v>0.003</v>
      </c>
      <c r="J14" s="94" t="s">
        <v>167</v>
      </c>
    </row>
    <row r="15" spans="1:10">
      <c r="A15" s="94">
        <v>284</v>
      </c>
      <c r="B15" s="94">
        <v>3</v>
      </c>
      <c r="C15" s="96">
        <v>46307.8125</v>
      </c>
      <c r="D15" s="96">
        <v>46305.22916666666</v>
      </c>
      <c r="E15" s="94" t="s">
        <v>30</v>
      </c>
      <c r="F15" s="97">
        <v>4.159999847412109</v>
      </c>
      <c r="G15" s="97">
        <v>3.730000019073486</v>
      </c>
      <c r="H15" s="97">
        <v>-0.429999828338623</v>
      </c>
      <c r="I15" s="97">
        <v>0.08</v>
      </c>
      <c r="J15" s="94" t="s">
        <v>166</v>
      </c>
    </row>
    <row r="16" spans="1:10">
      <c r="A16" s="94">
        <v>284</v>
      </c>
      <c r="B16" s="94">
        <v>4</v>
      </c>
      <c r="C16" s="96">
        <v>46307.89583333334</v>
      </c>
      <c r="D16" s="96">
        <v>46305.3125</v>
      </c>
      <c r="E16" s="94" t="s">
        <v>14</v>
      </c>
      <c r="F16" s="97">
        <v>2061</v>
      </c>
      <c r="G16" s="97">
        <v>1757</v>
      </c>
      <c r="H16" s="97">
        <v>-304</v>
      </c>
      <c r="I16" s="97">
        <v>150</v>
      </c>
      <c r="J16" s="94" t="s">
        <v>166</v>
      </c>
    </row>
    <row r="17" spans="1:10">
      <c r="A17" s="94">
        <v>284</v>
      </c>
      <c r="B17" s="94">
        <v>4</v>
      </c>
      <c r="C17" s="96">
        <v>46307.89583333334</v>
      </c>
      <c r="D17" s="96">
        <v>46305.3125</v>
      </c>
      <c r="E17" s="94" t="s">
        <v>21</v>
      </c>
      <c r="F17" s="97">
        <v>83.43000030517578</v>
      </c>
      <c r="G17" s="97"/>
      <c r="H17" s="97"/>
      <c r="I17" s="97">
        <v>1</v>
      </c>
      <c r="J17" s="94"/>
    </row>
    <row r="18" spans="1:10">
      <c r="A18" s="94">
        <v>284</v>
      </c>
      <c r="B18" s="94">
        <v>4</v>
      </c>
      <c r="C18" s="96">
        <v>46307.89583333334</v>
      </c>
      <c r="D18" s="96">
        <v>46305.3125</v>
      </c>
      <c r="E18" s="94" t="s">
        <v>24</v>
      </c>
      <c r="F18" s="97">
        <v>1.299999952316284</v>
      </c>
      <c r="G18" s="97">
        <v>1.769999980926514</v>
      </c>
      <c r="H18" s="97">
        <v>0.4700000286102295</v>
      </c>
      <c r="I18" s="97">
        <v>0.19</v>
      </c>
      <c r="J18" s="94" t="s">
        <v>166</v>
      </c>
    </row>
    <row r="19" spans="1:10">
      <c r="A19" s="94">
        <v>284</v>
      </c>
      <c r="B19" s="94">
        <v>4</v>
      </c>
      <c r="C19" s="96">
        <v>46307.89583333334</v>
      </c>
      <c r="D19" s="96">
        <v>46305.3125</v>
      </c>
      <c r="E19" s="94" t="s">
        <v>27</v>
      </c>
      <c r="F19" s="97">
        <v>0.05999999865889549</v>
      </c>
      <c r="G19" s="97">
        <v>0.05999999865889549</v>
      </c>
      <c r="H19" s="97">
        <v>0</v>
      </c>
      <c r="I19" s="97">
        <v>0.003</v>
      </c>
      <c r="J19" s="94" t="s">
        <v>167</v>
      </c>
    </row>
    <row r="20" spans="1:10">
      <c r="A20" s="94">
        <v>284</v>
      </c>
      <c r="B20" s="94">
        <v>4</v>
      </c>
      <c r="C20" s="96">
        <v>46307.89583333334</v>
      </c>
      <c r="D20" s="96">
        <v>46305.3125</v>
      </c>
      <c r="E20" s="94" t="s">
        <v>30</v>
      </c>
      <c r="F20" s="97">
        <v>4.260000228881836</v>
      </c>
      <c r="G20" s="97">
        <v>3.779999971389771</v>
      </c>
      <c r="H20" s="97">
        <v>-0.4800002574920654</v>
      </c>
      <c r="I20" s="97">
        <v>0.08</v>
      </c>
      <c r="J20" s="94" t="s">
        <v>166</v>
      </c>
    </row>
    <row r="21" spans="1:10">
      <c r="A21" s="94">
        <v>284</v>
      </c>
      <c r="B21" s="94">
        <v>5</v>
      </c>
      <c r="C21" s="96">
        <v>46307.97916666666</v>
      </c>
      <c r="D21" s="96">
        <v>46305.39583333334</v>
      </c>
      <c r="E21" s="94" t="s">
        <v>14</v>
      </c>
      <c r="F21" s="97">
        <v>1895</v>
      </c>
      <c r="G21" s="97">
        <v>1810</v>
      </c>
      <c r="H21" s="97">
        <v>-85</v>
      </c>
      <c r="I21" s="97">
        <v>150</v>
      </c>
      <c r="J21" s="94" t="s">
        <v>167</v>
      </c>
    </row>
    <row r="22" spans="1:10">
      <c r="A22" s="94">
        <v>284</v>
      </c>
      <c r="B22" s="94">
        <v>5</v>
      </c>
      <c r="C22" s="96">
        <v>46307.97916666666</v>
      </c>
      <c r="D22" s="96">
        <v>46305.39583333334</v>
      </c>
      <c r="E22" s="94" t="s">
        <v>21</v>
      </c>
      <c r="F22" s="97">
        <v>84.44000244140625</v>
      </c>
      <c r="G22" s="97"/>
      <c r="H22" s="97"/>
      <c r="I22" s="97">
        <v>1</v>
      </c>
      <c r="J22" s="94"/>
    </row>
    <row r="23" spans="1:10">
      <c r="A23" s="94">
        <v>284</v>
      </c>
      <c r="B23" s="94">
        <v>5</v>
      </c>
      <c r="C23" s="96">
        <v>46307.97916666666</v>
      </c>
      <c r="D23" s="96">
        <v>46305.39583333334</v>
      </c>
      <c r="E23" s="94" t="s">
        <v>24</v>
      </c>
      <c r="F23" s="97">
        <v>1.360000014305115</v>
      </c>
      <c r="G23" s="97">
        <v>1.769999980926514</v>
      </c>
      <c r="H23" s="97">
        <v>0.4099999666213989</v>
      </c>
      <c r="I23" s="97">
        <v>0.19</v>
      </c>
      <c r="J23" s="94" t="s">
        <v>166</v>
      </c>
    </row>
    <row r="24" spans="1:10">
      <c r="A24" s="94">
        <v>284</v>
      </c>
      <c r="B24" s="94">
        <v>5</v>
      </c>
      <c r="C24" s="96">
        <v>46307.97916666666</v>
      </c>
      <c r="D24" s="96">
        <v>46305.39583333334</v>
      </c>
      <c r="E24" s="94" t="s">
        <v>27</v>
      </c>
      <c r="F24" s="97">
        <v>0.05900000035762787</v>
      </c>
      <c r="G24" s="97">
        <v>0.05999999865889549</v>
      </c>
      <c r="H24" s="97">
        <v>0.0009999983012676239</v>
      </c>
      <c r="I24" s="97">
        <v>0.003</v>
      </c>
      <c r="J24" s="94" t="s">
        <v>167</v>
      </c>
    </row>
    <row r="25" spans="1:10">
      <c r="A25" s="94">
        <v>284</v>
      </c>
      <c r="B25" s="94">
        <v>5</v>
      </c>
      <c r="C25" s="96">
        <v>46307.97916666666</v>
      </c>
      <c r="D25" s="96">
        <v>46305.39583333334</v>
      </c>
      <c r="E25" s="94" t="s">
        <v>30</v>
      </c>
      <c r="F25" s="97">
        <v>4.059999942779541</v>
      </c>
      <c r="G25" s="97">
        <v>3.779999971389771</v>
      </c>
      <c r="H25" s="97">
        <v>-0.2799999713897705</v>
      </c>
      <c r="I25" s="97">
        <v>0.08</v>
      </c>
      <c r="J25" s="94" t="s">
        <v>166</v>
      </c>
    </row>
    <row r="26" spans="1:10">
      <c r="A26" s="94">
        <v>284</v>
      </c>
      <c r="B26" s="94">
        <v>6</v>
      </c>
      <c r="C26" s="96">
        <v>46308.0625</v>
      </c>
      <c r="D26" s="96">
        <v>46305.47916666666</v>
      </c>
      <c r="E26" s="94" t="s">
        <v>14</v>
      </c>
      <c r="F26" s="97">
        <v>2047</v>
      </c>
      <c r="G26" s="97">
        <v>1776</v>
      </c>
      <c r="H26" s="97">
        <v>-271</v>
      </c>
      <c r="I26" s="97">
        <v>150</v>
      </c>
      <c r="J26" s="94" t="s">
        <v>166</v>
      </c>
    </row>
    <row r="27" spans="1:10">
      <c r="A27" s="94">
        <v>284</v>
      </c>
      <c r="B27" s="94">
        <v>6</v>
      </c>
      <c r="C27" s="96">
        <v>46308.0625</v>
      </c>
      <c r="D27" s="96">
        <v>46305.47916666666</v>
      </c>
      <c r="E27" s="94" t="s">
        <v>21</v>
      </c>
      <c r="F27" s="97">
        <v>83.62999725341797</v>
      </c>
      <c r="G27" s="97">
        <v>84.19999694824219</v>
      </c>
      <c r="H27" s="97">
        <v>0.5699996948242188</v>
      </c>
      <c r="I27" s="97">
        <v>1</v>
      </c>
      <c r="J27" s="94" t="s">
        <v>167</v>
      </c>
    </row>
    <row r="28" spans="1:10">
      <c r="A28" s="94">
        <v>284</v>
      </c>
      <c r="B28" s="94">
        <v>6</v>
      </c>
      <c r="C28" s="96">
        <v>46308.0625</v>
      </c>
      <c r="D28" s="96">
        <v>46305.47916666666</v>
      </c>
      <c r="E28" s="94" t="s">
        <v>24</v>
      </c>
      <c r="F28" s="97">
        <v>1.340000033378601</v>
      </c>
      <c r="G28" s="97">
        <v>1.740000009536743</v>
      </c>
      <c r="H28" s="97">
        <v>0.3999999761581421</v>
      </c>
      <c r="I28" s="97">
        <v>0.19</v>
      </c>
      <c r="J28" s="94" t="s">
        <v>166</v>
      </c>
    </row>
    <row r="29" spans="1:10">
      <c r="A29" s="94">
        <v>284</v>
      </c>
      <c r="B29" s="94">
        <v>6</v>
      </c>
      <c r="C29" s="96">
        <v>46308.0625</v>
      </c>
      <c r="D29" s="96">
        <v>46305.47916666666</v>
      </c>
      <c r="E29" s="94" t="s">
        <v>27</v>
      </c>
      <c r="F29" s="97">
        <v>0.05999999865889549</v>
      </c>
      <c r="G29" s="97">
        <v>0.05799999833106995</v>
      </c>
      <c r="H29" s="97">
        <v>-0.002000000327825546</v>
      </c>
      <c r="I29" s="97">
        <v>0.003</v>
      </c>
      <c r="J29" s="94" t="s">
        <v>167</v>
      </c>
    </row>
    <row r="30" spans="1:10">
      <c r="A30" s="94">
        <v>284</v>
      </c>
      <c r="B30" s="94">
        <v>6</v>
      </c>
      <c r="C30" s="96">
        <v>46308.0625</v>
      </c>
      <c r="D30" s="96">
        <v>46305.47916666666</v>
      </c>
      <c r="E30" s="94" t="s">
        <v>30</v>
      </c>
      <c r="F30" s="97">
        <v>4</v>
      </c>
      <c r="G30" s="97">
        <v>3.829999923706055</v>
      </c>
      <c r="H30" s="97">
        <v>-0.1700000762939453</v>
      </c>
      <c r="I30" s="97">
        <v>0.08</v>
      </c>
      <c r="J30" s="94" t="s">
        <v>166</v>
      </c>
    </row>
    <row r="31" spans="1:10">
      <c r="A31" s="94">
        <v>284</v>
      </c>
      <c r="B31" s="94">
        <v>7</v>
      </c>
      <c r="C31" s="96">
        <v>46308.14583333334</v>
      </c>
      <c r="D31" s="96">
        <v>46305.5625</v>
      </c>
      <c r="E31" s="94" t="s">
        <v>14</v>
      </c>
      <c r="F31" s="97">
        <v>1872</v>
      </c>
      <c r="G31" s="97">
        <v>1792</v>
      </c>
      <c r="H31" s="97">
        <v>-80</v>
      </c>
      <c r="I31" s="97">
        <v>150</v>
      </c>
      <c r="J31" s="94" t="s">
        <v>167</v>
      </c>
    </row>
    <row r="32" spans="1:10">
      <c r="A32" s="94">
        <v>284</v>
      </c>
      <c r="B32" s="94">
        <v>7</v>
      </c>
      <c r="C32" s="96">
        <v>46308.14583333334</v>
      </c>
      <c r="D32" s="96">
        <v>46305.5625</v>
      </c>
      <c r="E32" s="94" t="s">
        <v>21</v>
      </c>
      <c r="F32" s="97">
        <v>83.88999938964844</v>
      </c>
      <c r="G32" s="97"/>
      <c r="H32" s="97"/>
      <c r="I32" s="97">
        <v>1</v>
      </c>
      <c r="J32" s="94"/>
    </row>
    <row r="33" spans="1:10">
      <c r="A33" s="94">
        <v>284</v>
      </c>
      <c r="B33" s="94">
        <v>7</v>
      </c>
      <c r="C33" s="96">
        <v>46308.14583333334</v>
      </c>
      <c r="D33" s="96">
        <v>46305.5625</v>
      </c>
      <c r="E33" s="94" t="s">
        <v>24</v>
      </c>
      <c r="F33" s="97">
        <v>1.389999985694885</v>
      </c>
      <c r="G33" s="97">
        <v>1.740000009536743</v>
      </c>
      <c r="H33" s="97">
        <v>0.3500000238418579</v>
      </c>
      <c r="I33" s="97">
        <v>0.19</v>
      </c>
      <c r="J33" s="94" t="s">
        <v>166</v>
      </c>
    </row>
    <row r="34" spans="1:10">
      <c r="A34" s="94">
        <v>284</v>
      </c>
      <c r="B34" s="94">
        <v>7</v>
      </c>
      <c r="C34" s="96">
        <v>46308.14583333334</v>
      </c>
      <c r="D34" s="96">
        <v>46305.5625</v>
      </c>
      <c r="E34" s="94" t="s">
        <v>27</v>
      </c>
      <c r="F34" s="97">
        <v>0.05700000002980232</v>
      </c>
      <c r="G34" s="97">
        <v>0.05799999833106995</v>
      </c>
      <c r="H34" s="97">
        <v>0.0009999983012676239</v>
      </c>
      <c r="I34" s="97">
        <v>0.003</v>
      </c>
      <c r="J34" s="94" t="s">
        <v>167</v>
      </c>
    </row>
    <row r="35" spans="1:10">
      <c r="A35" s="94">
        <v>284</v>
      </c>
      <c r="B35" s="94">
        <v>7</v>
      </c>
      <c r="C35" s="96">
        <v>46308.14583333334</v>
      </c>
      <c r="D35" s="96">
        <v>46305.5625</v>
      </c>
      <c r="E35" s="94" t="s">
        <v>30</v>
      </c>
      <c r="F35" s="97">
        <v>3.839999914169312</v>
      </c>
      <c r="G35" s="97">
        <v>3.829999923706055</v>
      </c>
      <c r="H35" s="97">
        <v>-0.009999990463256836</v>
      </c>
      <c r="I35" s="97">
        <v>0.08</v>
      </c>
      <c r="J35" s="94" t="s">
        <v>167</v>
      </c>
    </row>
    <row r="36" spans="1:10">
      <c r="A36" s="94">
        <v>284</v>
      </c>
      <c r="B36" s="94">
        <v>8</v>
      </c>
      <c r="C36" s="96">
        <v>46308.22916666666</v>
      </c>
      <c r="D36" s="96">
        <v>46305.64583333334</v>
      </c>
      <c r="E36" s="94" t="s">
        <v>14</v>
      </c>
      <c r="F36" s="97">
        <v>1935</v>
      </c>
      <c r="G36" s="97">
        <v>1809</v>
      </c>
      <c r="H36" s="97">
        <v>-126</v>
      </c>
      <c r="I36" s="97">
        <v>150</v>
      </c>
      <c r="J36" s="94" t="s">
        <v>167</v>
      </c>
    </row>
    <row r="37" spans="1:10">
      <c r="A37" s="94">
        <v>284</v>
      </c>
      <c r="B37" s="94">
        <v>8</v>
      </c>
      <c r="C37" s="96">
        <v>46308.22916666666</v>
      </c>
      <c r="D37" s="96">
        <v>46305.64583333334</v>
      </c>
      <c r="E37" s="94" t="s">
        <v>21</v>
      </c>
      <c r="F37" s="97">
        <v>84.77999877929688</v>
      </c>
      <c r="G37" s="97"/>
      <c r="H37" s="97"/>
      <c r="I37" s="97">
        <v>1</v>
      </c>
      <c r="J37" s="94"/>
    </row>
    <row r="38" spans="1:10">
      <c r="A38" s="94">
        <v>284</v>
      </c>
      <c r="B38" s="94">
        <v>8</v>
      </c>
      <c r="C38" s="96">
        <v>46308.22916666666</v>
      </c>
      <c r="D38" s="96">
        <v>46305.64583333334</v>
      </c>
      <c r="E38" s="94" t="s">
        <v>24</v>
      </c>
      <c r="F38" s="97">
        <v>1.379999995231628</v>
      </c>
      <c r="G38" s="97">
        <v>1.820000052452087</v>
      </c>
      <c r="H38" s="97">
        <v>0.440000057220459</v>
      </c>
      <c r="I38" s="97">
        <v>0.19</v>
      </c>
      <c r="J38" s="94" t="s">
        <v>166</v>
      </c>
    </row>
    <row r="39" spans="1:10">
      <c r="A39" s="94">
        <v>284</v>
      </c>
      <c r="B39" s="94">
        <v>8</v>
      </c>
      <c r="C39" s="96">
        <v>46308.22916666666</v>
      </c>
      <c r="D39" s="96">
        <v>46305.64583333334</v>
      </c>
      <c r="E39" s="94" t="s">
        <v>27</v>
      </c>
      <c r="F39" s="97">
        <v>0.05799999833106995</v>
      </c>
      <c r="G39" s="97">
        <v>0.05999999865889549</v>
      </c>
      <c r="H39" s="97">
        <v>0.002000000327825546</v>
      </c>
      <c r="I39" s="97">
        <v>0.003</v>
      </c>
      <c r="J39" s="94" t="s">
        <v>167</v>
      </c>
    </row>
    <row r="40" spans="1:10">
      <c r="A40" s="94">
        <v>284</v>
      </c>
      <c r="B40" s="94">
        <v>8</v>
      </c>
      <c r="C40" s="96">
        <v>46308.22916666666</v>
      </c>
      <c r="D40" s="96">
        <v>46305.64583333334</v>
      </c>
      <c r="E40" s="94" t="s">
        <v>30</v>
      </c>
      <c r="F40" s="97">
        <v>4</v>
      </c>
      <c r="G40" s="97">
        <v>3.880000114440918</v>
      </c>
      <c r="H40" s="97">
        <v>-0.119999885559082</v>
      </c>
      <c r="I40" s="97">
        <v>0.08</v>
      </c>
      <c r="J40" s="94" t="s">
        <v>166</v>
      </c>
    </row>
    <row r="41" spans="1:10">
      <c r="A41" s="94">
        <v>284</v>
      </c>
      <c r="B41" s="94">
        <v>9</v>
      </c>
      <c r="C41" s="96">
        <v>46308.3125</v>
      </c>
      <c r="D41" s="96">
        <v>46305.72916666666</v>
      </c>
      <c r="E41" s="94" t="s">
        <v>14</v>
      </c>
      <c r="F41" s="97">
        <v>1996</v>
      </c>
      <c r="G41" s="97">
        <v>1923</v>
      </c>
      <c r="H41" s="97">
        <v>-73</v>
      </c>
      <c r="I41" s="97">
        <v>150</v>
      </c>
      <c r="J41" s="94" t="s">
        <v>167</v>
      </c>
    </row>
    <row r="42" spans="1:10">
      <c r="A42" s="94">
        <v>284</v>
      </c>
      <c r="B42" s="94">
        <v>9</v>
      </c>
      <c r="C42" s="96">
        <v>46308.3125</v>
      </c>
      <c r="D42" s="96">
        <v>46305.72916666666</v>
      </c>
      <c r="E42" s="94" t="s">
        <v>21</v>
      </c>
      <c r="F42" s="97">
        <v>83.04000091552734</v>
      </c>
      <c r="G42" s="97">
        <v>85</v>
      </c>
      <c r="H42" s="97">
        <v>1.959999084472656</v>
      </c>
      <c r="I42" s="97">
        <v>1</v>
      </c>
      <c r="J42" s="94" t="s">
        <v>166</v>
      </c>
    </row>
    <row r="43" spans="1:10">
      <c r="A43" s="94">
        <v>284</v>
      </c>
      <c r="B43" s="94">
        <v>9</v>
      </c>
      <c r="C43" s="96">
        <v>46308.3125</v>
      </c>
      <c r="D43" s="96">
        <v>46305.72916666666</v>
      </c>
      <c r="E43" s="94" t="s">
        <v>24</v>
      </c>
      <c r="F43" s="97">
        <v>1.580000042915344</v>
      </c>
      <c r="G43" s="97">
        <v>1.820000052452087</v>
      </c>
      <c r="H43" s="97">
        <v>0.2400000095367432</v>
      </c>
      <c r="I43" s="97">
        <v>0.19</v>
      </c>
      <c r="J43" s="94" t="s">
        <v>166</v>
      </c>
    </row>
    <row r="44" spans="1:10">
      <c r="A44" s="94">
        <v>284</v>
      </c>
      <c r="B44" s="94">
        <v>9</v>
      </c>
      <c r="C44" s="96">
        <v>46308.3125</v>
      </c>
      <c r="D44" s="96">
        <v>46305.72916666666</v>
      </c>
      <c r="E44" s="94" t="s">
        <v>27</v>
      </c>
      <c r="F44" s="97">
        <v>0.05900000035762787</v>
      </c>
      <c r="G44" s="97">
        <v>0.05999999865889549</v>
      </c>
      <c r="H44" s="97">
        <v>0.0009999983012676239</v>
      </c>
      <c r="I44" s="97">
        <v>0.003</v>
      </c>
      <c r="J44" s="94" t="s">
        <v>167</v>
      </c>
    </row>
    <row r="45" spans="1:10">
      <c r="A45" s="94">
        <v>284</v>
      </c>
      <c r="B45" s="94">
        <v>9</v>
      </c>
      <c r="C45" s="96">
        <v>46308.3125</v>
      </c>
      <c r="D45" s="96">
        <v>46305.72916666666</v>
      </c>
      <c r="E45" s="94" t="s">
        <v>30</v>
      </c>
      <c r="F45" s="97">
        <v>4.050000190734863</v>
      </c>
      <c r="G45" s="97">
        <v>3.880000114440918</v>
      </c>
      <c r="H45" s="97">
        <v>-0.1700000762939453</v>
      </c>
      <c r="I45" s="97">
        <v>0.08</v>
      </c>
      <c r="J45" s="94" t="s">
        <v>166</v>
      </c>
    </row>
    <row r="46" spans="1:10">
      <c r="A46" s="94">
        <v>284</v>
      </c>
      <c r="B46" s="94">
        <v>10</v>
      </c>
      <c r="C46" s="96">
        <v>46308.39583333334</v>
      </c>
      <c r="D46" s="96">
        <v>46305.8125</v>
      </c>
      <c r="E46" s="94" t="s">
        <v>14</v>
      </c>
      <c r="F46" s="97">
        <v>1981</v>
      </c>
      <c r="G46" s="97">
        <v>1820</v>
      </c>
      <c r="H46" s="97">
        <v>-161</v>
      </c>
      <c r="I46" s="97">
        <v>150</v>
      </c>
      <c r="J46" s="94" t="s">
        <v>166</v>
      </c>
    </row>
    <row r="47" spans="1:10">
      <c r="A47" s="94">
        <v>284</v>
      </c>
      <c r="B47" s="94">
        <v>10</v>
      </c>
      <c r="C47" s="96">
        <v>46308.39583333334</v>
      </c>
      <c r="D47" s="96">
        <v>46305.8125</v>
      </c>
      <c r="E47" s="94" t="s">
        <v>21</v>
      </c>
      <c r="F47" s="97">
        <v>84.27999877929688</v>
      </c>
      <c r="G47" s="97"/>
      <c r="H47" s="97"/>
      <c r="I47" s="97">
        <v>1</v>
      </c>
      <c r="J47" s="94"/>
    </row>
    <row r="48" spans="1:10">
      <c r="A48" s="94">
        <v>284</v>
      </c>
      <c r="B48" s="94">
        <v>10</v>
      </c>
      <c r="C48" s="96">
        <v>46308.39583333334</v>
      </c>
      <c r="D48" s="96">
        <v>46305.8125</v>
      </c>
      <c r="E48" s="94" t="s">
        <v>24</v>
      </c>
      <c r="F48" s="97">
        <v>1.809999942779541</v>
      </c>
      <c r="G48" s="97">
        <v>1.860000014305115</v>
      </c>
      <c r="H48" s="97">
        <v>0.05000007152557373</v>
      </c>
      <c r="I48" s="97">
        <v>0.19</v>
      </c>
      <c r="J48" s="94" t="s">
        <v>167</v>
      </c>
    </row>
    <row r="49" spans="1:10">
      <c r="A49" s="94">
        <v>284</v>
      </c>
      <c r="B49" s="94">
        <v>10</v>
      </c>
      <c r="C49" s="96">
        <v>46308.39583333334</v>
      </c>
      <c r="D49" s="96">
        <v>46305.8125</v>
      </c>
      <c r="E49" s="94" t="s">
        <v>27</v>
      </c>
      <c r="F49" s="97">
        <v>0.05499999970197678</v>
      </c>
      <c r="G49" s="97">
        <v>0.05999999865889549</v>
      </c>
      <c r="H49" s="97">
        <v>0.004999998956918716</v>
      </c>
      <c r="I49" s="97">
        <v>0.003</v>
      </c>
      <c r="J49" s="94" t="s">
        <v>166</v>
      </c>
    </row>
    <row r="50" spans="1:10">
      <c r="A50" s="94">
        <v>284</v>
      </c>
      <c r="B50" s="94">
        <v>10</v>
      </c>
      <c r="C50" s="96">
        <v>46308.39583333334</v>
      </c>
      <c r="D50" s="96">
        <v>46305.8125</v>
      </c>
      <c r="E50" s="94" t="s">
        <v>30</v>
      </c>
      <c r="F50" s="97">
        <v>3.900000095367432</v>
      </c>
      <c r="G50" s="97">
        <v>3.839999914169312</v>
      </c>
      <c r="H50" s="97">
        <v>-0.06000018119812012</v>
      </c>
      <c r="I50" s="97">
        <v>0.08</v>
      </c>
      <c r="J50" s="94" t="s">
        <v>167</v>
      </c>
    </row>
    <row r="51" spans="1:10">
      <c r="A51" s="94">
        <v>284</v>
      </c>
      <c r="B51" s="94">
        <v>11</v>
      </c>
      <c r="C51" s="96">
        <v>46308.47916666666</v>
      </c>
      <c r="D51" s="96">
        <v>46305.89583333334</v>
      </c>
      <c r="E51" s="94" t="s">
        <v>14</v>
      </c>
      <c r="F51" s="97">
        <v>2079</v>
      </c>
      <c r="G51" s="97">
        <v>1842</v>
      </c>
      <c r="H51" s="97">
        <v>-237</v>
      </c>
      <c r="I51" s="97">
        <v>150</v>
      </c>
      <c r="J51" s="94" t="s">
        <v>166</v>
      </c>
    </row>
    <row r="52" spans="1:10">
      <c r="A52" s="94">
        <v>284</v>
      </c>
      <c r="B52" s="94">
        <v>11</v>
      </c>
      <c r="C52" s="96">
        <v>46308.47916666666</v>
      </c>
      <c r="D52" s="96">
        <v>46305.89583333334</v>
      </c>
      <c r="E52" s="94" t="s">
        <v>21</v>
      </c>
      <c r="F52" s="97">
        <v>87.16000366210938</v>
      </c>
      <c r="G52" s="97"/>
      <c r="H52" s="97"/>
      <c r="I52" s="97">
        <v>1</v>
      </c>
      <c r="J52" s="94"/>
    </row>
    <row r="53" spans="1:10">
      <c r="A53" s="94">
        <v>284</v>
      </c>
      <c r="B53" s="94">
        <v>11</v>
      </c>
      <c r="C53" s="96">
        <v>46308.47916666666</v>
      </c>
      <c r="D53" s="96">
        <v>46305.89583333334</v>
      </c>
      <c r="E53" s="94" t="s">
        <v>24</v>
      </c>
      <c r="F53" s="97">
        <v>1.570000052452087</v>
      </c>
      <c r="G53" s="97">
        <v>1.860000014305115</v>
      </c>
      <c r="H53" s="97">
        <v>0.2899999618530273</v>
      </c>
      <c r="I53" s="97">
        <v>0.19</v>
      </c>
      <c r="J53" s="94" t="s">
        <v>166</v>
      </c>
    </row>
    <row r="54" spans="1:10">
      <c r="A54" s="94">
        <v>284</v>
      </c>
      <c r="B54" s="94">
        <v>11</v>
      </c>
      <c r="C54" s="96">
        <v>46308.47916666666</v>
      </c>
      <c r="D54" s="96">
        <v>46305.89583333334</v>
      </c>
      <c r="E54" s="94" t="s">
        <v>27</v>
      </c>
      <c r="F54" s="97">
        <v>0.05499999970197678</v>
      </c>
      <c r="G54" s="97">
        <v>0.05999999865889549</v>
      </c>
      <c r="H54" s="97">
        <v>0.004999998956918716</v>
      </c>
      <c r="I54" s="97">
        <v>0.003</v>
      </c>
      <c r="J54" s="94" t="s">
        <v>166</v>
      </c>
    </row>
    <row r="55" spans="1:10">
      <c r="A55" s="94">
        <v>284</v>
      </c>
      <c r="B55" s="94">
        <v>11</v>
      </c>
      <c r="C55" s="96">
        <v>46308.47916666666</v>
      </c>
      <c r="D55" s="96">
        <v>46305.89583333334</v>
      </c>
      <c r="E55" s="94" t="s">
        <v>30</v>
      </c>
      <c r="F55" s="97">
        <v>3.779999971389771</v>
      </c>
      <c r="G55" s="97">
        <v>3.839999914169312</v>
      </c>
      <c r="H55" s="97">
        <v>0.05999994277954102</v>
      </c>
      <c r="I55" s="97">
        <v>0.08</v>
      </c>
      <c r="J55" s="94" t="s">
        <v>167</v>
      </c>
    </row>
    <row r="56" spans="1:10">
      <c r="A56" s="94">
        <v>284</v>
      </c>
      <c r="B56" s="94">
        <v>12</v>
      </c>
      <c r="C56" s="96">
        <v>46308.5625</v>
      </c>
      <c r="D56" s="96">
        <v>46305.97916666666</v>
      </c>
      <c r="E56" s="94" t="s">
        <v>14</v>
      </c>
      <c r="F56" s="97">
        <v>1924.5</v>
      </c>
      <c r="G56" s="97">
        <v>1791</v>
      </c>
      <c r="H56" s="97">
        <v>-133.5</v>
      </c>
      <c r="I56" s="97">
        <v>150</v>
      </c>
      <c r="J56" s="94" t="s">
        <v>167</v>
      </c>
    </row>
    <row r="57" spans="1:10">
      <c r="A57" s="94">
        <v>284</v>
      </c>
      <c r="B57" s="94">
        <v>12</v>
      </c>
      <c r="C57" s="96">
        <v>46308.5625</v>
      </c>
      <c r="D57" s="96">
        <v>46305.97916666666</v>
      </c>
      <c r="E57" s="94" t="s">
        <v>21</v>
      </c>
      <c r="F57" s="97">
        <v>87.1150016784668</v>
      </c>
      <c r="G57" s="97">
        <v>85</v>
      </c>
      <c r="H57" s="97">
        <v>-2.115001678466797</v>
      </c>
      <c r="I57" s="97">
        <v>1</v>
      </c>
      <c r="J57" s="94" t="s">
        <v>166</v>
      </c>
    </row>
    <row r="58" spans="1:10">
      <c r="A58" s="94">
        <v>284</v>
      </c>
      <c r="B58" s="94">
        <v>12</v>
      </c>
      <c r="C58" s="96">
        <v>46308.5625</v>
      </c>
      <c r="D58" s="96">
        <v>46305.97916666666</v>
      </c>
      <c r="E58" s="94" t="s">
        <v>24</v>
      </c>
      <c r="F58" s="97">
        <v>1.415000021457672</v>
      </c>
      <c r="G58" s="97">
        <v>1.820000052452087</v>
      </c>
      <c r="H58" s="97">
        <v>0.4050000309944153</v>
      </c>
      <c r="I58" s="97">
        <v>0.19</v>
      </c>
      <c r="J58" s="94" t="s">
        <v>166</v>
      </c>
    </row>
    <row r="59" spans="1:10">
      <c r="A59" s="94">
        <v>284</v>
      </c>
      <c r="B59" s="94">
        <v>12</v>
      </c>
      <c r="C59" s="96">
        <v>46308.5625</v>
      </c>
      <c r="D59" s="96">
        <v>46305.97916666666</v>
      </c>
      <c r="E59" s="94" t="s">
        <v>27</v>
      </c>
      <c r="F59" s="97">
        <v>0.05500000156462193</v>
      </c>
      <c r="G59" s="97">
        <v>0.06100000068545341</v>
      </c>
      <c r="H59" s="97">
        <v>0.00599999912083149</v>
      </c>
      <c r="I59" s="97">
        <v>0.003</v>
      </c>
      <c r="J59" s="94" t="s">
        <v>166</v>
      </c>
    </row>
    <row r="60" spans="1:10">
      <c r="A60" s="94">
        <v>284</v>
      </c>
      <c r="B60" s="94">
        <v>12</v>
      </c>
      <c r="C60" s="96">
        <v>46308.5625</v>
      </c>
      <c r="D60" s="96">
        <v>46305.97916666666</v>
      </c>
      <c r="E60" s="94" t="s">
        <v>30</v>
      </c>
      <c r="F60" s="97">
        <v>3.689999938011169</v>
      </c>
      <c r="G60" s="97">
        <v>3.700000047683716</v>
      </c>
      <c r="H60" s="97">
        <v>0.01000010967254639</v>
      </c>
      <c r="I60" s="97">
        <v>0.08</v>
      </c>
      <c r="J60" s="94" t="s">
        <v>167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62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7" t="s">
        <v>0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3" spans="2:13" ht="22" customHeight="1">
      <c r="B3" s="92" t="s">
        <v>1</v>
      </c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</row>
    <row r="5" spans="2:13" ht="22" customHeight="1">
      <c r="B5" s="33" t="s">
        <v>2</v>
      </c>
      <c r="C5" s="33"/>
      <c r="D5" s="33"/>
      <c r="E5" s="33"/>
      <c r="F5" s="33"/>
      <c r="G5" s="33"/>
      <c r="H5" s="33"/>
      <c r="I5" s="33"/>
      <c r="J5" s="33"/>
      <c r="K5" s="33"/>
    </row>
    <row r="6" spans="2:13" ht="26" customHeight="1">
      <c r="B6" s="98" t="s">
        <v>3</v>
      </c>
      <c r="C6" s="98"/>
      <c r="D6" s="98"/>
      <c r="E6" s="98"/>
      <c r="F6" s="98"/>
      <c r="G6" s="98"/>
      <c r="H6" s="98"/>
      <c r="I6" s="98"/>
      <c r="J6" s="98"/>
      <c r="K6" s="98"/>
    </row>
    <row r="7" spans="2:13">
      <c r="B7" s="99" t="s">
        <v>4</v>
      </c>
      <c r="C7" s="99" t="s">
        <v>5</v>
      </c>
      <c r="D7" s="99" t="s">
        <v>6</v>
      </c>
      <c r="E7" s="99" t="s">
        <v>7</v>
      </c>
      <c r="F7" s="99" t="s">
        <v>8</v>
      </c>
      <c r="G7" s="99" t="s">
        <v>9</v>
      </c>
      <c r="H7" s="99" t="s">
        <v>10</v>
      </c>
      <c r="I7" s="99" t="s">
        <v>11</v>
      </c>
      <c r="J7" s="99" t="s">
        <v>12</v>
      </c>
      <c r="K7" s="99" t="s">
        <v>13</v>
      </c>
    </row>
    <row r="8" spans="2:13">
      <c r="B8" s="100" t="s">
        <v>14</v>
      </c>
      <c r="C8" s="101" t="s">
        <v>15</v>
      </c>
      <c r="D8" s="102" t="s">
        <v>16</v>
      </c>
      <c r="E8" s="49" t="s">
        <v>17</v>
      </c>
      <c r="F8" s="49" t="s">
        <v>18</v>
      </c>
      <c r="G8" s="49">
        <v>300</v>
      </c>
      <c r="H8" s="49">
        <v>5000</v>
      </c>
      <c r="I8" s="49">
        <v>2000</v>
      </c>
      <c r="J8" s="49">
        <v>2</v>
      </c>
      <c r="K8" s="103"/>
      <c r="M8" s="104" t="s">
        <v>33</v>
      </c>
    </row>
    <row r="9" spans="2:13">
      <c r="B9" s="100" t="s">
        <v>14</v>
      </c>
      <c r="C9" s="101" t="s">
        <v>19</v>
      </c>
      <c r="D9" s="102" t="s">
        <v>20</v>
      </c>
      <c r="E9" s="49" t="s">
        <v>17</v>
      </c>
      <c r="F9" s="49" t="s">
        <v>18</v>
      </c>
      <c r="G9" s="49">
        <v>300</v>
      </c>
      <c r="H9" s="49">
        <v>5000</v>
      </c>
      <c r="I9" s="49">
        <v>1900</v>
      </c>
      <c r="J9" s="49">
        <v>2</v>
      </c>
      <c r="K9" s="103"/>
      <c r="M9" s="104"/>
    </row>
    <row r="10" spans="2:13">
      <c r="B10" s="100" t="s">
        <v>21</v>
      </c>
      <c r="C10" s="101" t="s">
        <v>15</v>
      </c>
      <c r="D10" s="102" t="s">
        <v>22</v>
      </c>
      <c r="E10" s="49" t="s">
        <v>17</v>
      </c>
      <c r="F10" s="49" t="s">
        <v>18</v>
      </c>
      <c r="G10" s="49">
        <v>40</v>
      </c>
      <c r="H10" s="49">
        <v>100</v>
      </c>
      <c r="I10" s="49">
        <v>87.5</v>
      </c>
      <c r="J10" s="49">
        <v>2</v>
      </c>
      <c r="K10" s="103"/>
      <c r="M10" s="104"/>
    </row>
    <row r="11" spans="2:13">
      <c r="B11" s="100" t="s">
        <v>21</v>
      </c>
      <c r="C11" s="101" t="s">
        <v>19</v>
      </c>
      <c r="D11" s="102" t="s">
        <v>23</v>
      </c>
      <c r="E11" s="49" t="s">
        <v>17</v>
      </c>
      <c r="F11" s="49" t="s">
        <v>18</v>
      </c>
      <c r="G11" s="49">
        <v>40</v>
      </c>
      <c r="H11" s="49">
        <v>100</v>
      </c>
      <c r="I11" s="49">
        <v>87</v>
      </c>
      <c r="J11" s="49">
        <v>2</v>
      </c>
      <c r="K11" s="103"/>
      <c r="M11" s="104"/>
    </row>
    <row r="12" spans="2:13">
      <c r="B12" s="100" t="s">
        <v>24</v>
      </c>
      <c r="C12" s="101" t="s">
        <v>15</v>
      </c>
      <c r="D12" s="102" t="s">
        <v>25</v>
      </c>
      <c r="E12" s="49" t="s">
        <v>17</v>
      </c>
      <c r="F12" s="49" t="s">
        <v>18</v>
      </c>
      <c r="G12" s="49">
        <v>0</v>
      </c>
      <c r="H12" s="49">
        <v>20</v>
      </c>
      <c r="I12" s="49">
        <v>1.95</v>
      </c>
      <c r="J12" s="49">
        <v>2</v>
      </c>
      <c r="K12" s="103"/>
    </row>
    <row r="13" spans="2:13">
      <c r="B13" s="100" t="s">
        <v>24</v>
      </c>
      <c r="C13" s="101" t="s">
        <v>19</v>
      </c>
      <c r="D13" s="102" t="s">
        <v>26</v>
      </c>
      <c r="E13" s="49" t="s">
        <v>17</v>
      </c>
      <c r="F13" s="49" t="s">
        <v>18</v>
      </c>
      <c r="G13" s="49">
        <v>0</v>
      </c>
      <c r="H13" s="49">
        <v>20</v>
      </c>
      <c r="I13" s="49">
        <v>1.93</v>
      </c>
      <c r="J13" s="49">
        <v>4</v>
      </c>
      <c r="K13" s="103">
        <v>0.1458333333333333</v>
      </c>
    </row>
    <row r="14" spans="2:13">
      <c r="B14" s="100" t="s">
        <v>27</v>
      </c>
      <c r="C14" s="101" t="s">
        <v>15</v>
      </c>
      <c r="D14" s="102" t="s">
        <v>28</v>
      </c>
      <c r="E14" s="49" t="s">
        <v>17</v>
      </c>
      <c r="F14" s="49" t="s">
        <v>18</v>
      </c>
      <c r="G14" s="49">
        <v>0</v>
      </c>
      <c r="H14" s="49">
        <v>1</v>
      </c>
      <c r="I14" s="49">
        <v>0.058</v>
      </c>
      <c r="J14" s="49">
        <v>2</v>
      </c>
      <c r="K14" s="103"/>
    </row>
    <row r="15" spans="2:13">
      <c r="B15" s="100" t="s">
        <v>27</v>
      </c>
      <c r="C15" s="101" t="s">
        <v>19</v>
      </c>
      <c r="D15" s="102" t="s">
        <v>29</v>
      </c>
      <c r="E15" s="49" t="s">
        <v>17</v>
      </c>
      <c r="F15" s="49" t="s">
        <v>18</v>
      </c>
      <c r="G15" s="49">
        <v>0</v>
      </c>
      <c r="H15" s="49">
        <v>1</v>
      </c>
      <c r="I15" s="49">
        <v>0.057</v>
      </c>
      <c r="J15" s="49">
        <v>4</v>
      </c>
      <c r="K15" s="103">
        <v>0.1458333333333333</v>
      </c>
    </row>
    <row r="16" spans="2:13">
      <c r="B16" s="100" t="s">
        <v>30</v>
      </c>
      <c r="C16" s="101" t="s">
        <v>15</v>
      </c>
      <c r="D16" s="102" t="s">
        <v>31</v>
      </c>
      <c r="E16" s="49" t="s">
        <v>17</v>
      </c>
      <c r="F16" s="49" t="s">
        <v>18</v>
      </c>
      <c r="G16" s="49">
        <v>0</v>
      </c>
      <c r="H16" s="49">
        <v>15</v>
      </c>
      <c r="I16" s="49">
        <v>3.6</v>
      </c>
      <c r="J16" s="49">
        <v>2</v>
      </c>
      <c r="K16" s="103"/>
    </row>
    <row r="17" spans="2:11">
      <c r="B17" s="100" t="s">
        <v>30</v>
      </c>
      <c r="C17" s="101" t="s">
        <v>19</v>
      </c>
      <c r="D17" s="102" t="s">
        <v>32</v>
      </c>
      <c r="E17" s="49" t="s">
        <v>17</v>
      </c>
      <c r="F17" s="49" t="s">
        <v>18</v>
      </c>
      <c r="G17" s="49">
        <v>0</v>
      </c>
      <c r="H17" s="49">
        <v>15</v>
      </c>
      <c r="I17" s="49">
        <v>3.55</v>
      </c>
      <c r="J17" s="49">
        <v>4</v>
      </c>
      <c r="K17" s="103">
        <v>0.1458333333333333</v>
      </c>
    </row>
    <row r="19" spans="2:11" ht="22" customHeight="1">
      <c r="B19" s="33" t="s">
        <v>34</v>
      </c>
      <c r="C19" s="33"/>
      <c r="D19" s="33"/>
      <c r="E19" s="33"/>
      <c r="F19" s="33"/>
      <c r="G19" s="33"/>
      <c r="H19" s="33"/>
      <c r="I19" s="33"/>
    </row>
    <row r="20" spans="2:11">
      <c r="B20" s="105" t="s">
        <v>35</v>
      </c>
      <c r="C20" s="49" t="s">
        <v>36</v>
      </c>
      <c r="D20" s="49"/>
      <c r="E20" s="98" t="s">
        <v>37</v>
      </c>
      <c r="F20" s="98"/>
      <c r="G20" s="98"/>
      <c r="H20" s="98"/>
      <c r="I20" s="98"/>
    </row>
    <row r="21" spans="2:11">
      <c r="B21" s="105" t="s">
        <v>38</v>
      </c>
      <c r="C21" s="49">
        <v>120</v>
      </c>
      <c r="D21" s="49"/>
      <c r="E21" s="98" t="s">
        <v>39</v>
      </c>
      <c r="F21" s="98"/>
      <c r="G21" s="98"/>
      <c r="H21" s="98"/>
      <c r="I21" s="98"/>
    </row>
    <row r="22" spans="2:11">
      <c r="B22" s="105" t="s">
        <v>40</v>
      </c>
      <c r="C22" s="49" t="s">
        <v>41</v>
      </c>
      <c r="D22" s="49"/>
      <c r="E22" s="98" t="s">
        <v>42</v>
      </c>
      <c r="F22" s="98"/>
      <c r="G22" s="98"/>
      <c r="H22" s="98"/>
      <c r="I22" s="98"/>
    </row>
    <row r="23" spans="2:11">
      <c r="B23" s="105" t="s">
        <v>43</v>
      </c>
      <c r="C23" s="49">
        <v>30</v>
      </c>
      <c r="D23" s="49"/>
      <c r="E23" s="98" t="s">
        <v>44</v>
      </c>
      <c r="F23" s="98"/>
      <c r="G23" s="98"/>
      <c r="H23" s="98"/>
      <c r="I23" s="98"/>
    </row>
    <row r="24" spans="2:11">
      <c r="B24" s="105" t="s">
        <v>45</v>
      </c>
      <c r="C24" s="103">
        <v>0.2916666666666667</v>
      </c>
      <c r="D24" s="49"/>
      <c r="E24" s="98" t="s">
        <v>46</v>
      </c>
      <c r="F24" s="98"/>
      <c r="G24" s="98"/>
      <c r="H24" s="98"/>
      <c r="I24" s="98"/>
    </row>
    <row r="25" spans="2:11">
      <c r="B25" s="105" t="s">
        <v>47</v>
      </c>
      <c r="C25" s="103">
        <v>0</v>
      </c>
      <c r="D25" s="49"/>
      <c r="E25" s="98" t="s">
        <v>48</v>
      </c>
      <c r="F25" s="98"/>
      <c r="G25" s="98"/>
      <c r="H25" s="98"/>
      <c r="I25" s="98"/>
    </row>
    <row r="26" spans="2:11">
      <c r="B26" s="105" t="s">
        <v>49</v>
      </c>
      <c r="C26" s="49">
        <v>60</v>
      </c>
      <c r="D26" s="49"/>
      <c r="E26" s="98" t="s">
        <v>50</v>
      </c>
      <c r="F26" s="98"/>
      <c r="G26" s="98"/>
      <c r="H26" s="98"/>
      <c r="I26" s="98"/>
    </row>
    <row r="27" spans="2:11">
      <c r="B27" s="105" t="s">
        <v>51</v>
      </c>
      <c r="C27" s="49" t="s">
        <v>52</v>
      </c>
      <c r="D27" s="49"/>
      <c r="E27" s="98" t="s">
        <v>53</v>
      </c>
      <c r="F27" s="98"/>
      <c r="G27" s="98"/>
      <c r="H27" s="98"/>
      <c r="I27" s="98"/>
    </row>
    <row r="28" spans="2:11">
      <c r="B28" s="105" t="s">
        <v>54</v>
      </c>
      <c r="C28" s="49" t="s">
        <v>55</v>
      </c>
      <c r="D28" s="49"/>
      <c r="E28" s="98" t="s">
        <v>56</v>
      </c>
      <c r="F28" s="98"/>
      <c r="G28" s="98"/>
      <c r="H28" s="98"/>
      <c r="I28" s="98"/>
    </row>
    <row r="29" spans="2:11">
      <c r="B29" s="105" t="s">
        <v>57</v>
      </c>
      <c r="C29" s="49" t="s">
        <v>17</v>
      </c>
      <c r="D29" s="49"/>
      <c r="E29" s="98" t="s">
        <v>58</v>
      </c>
      <c r="F29" s="98"/>
      <c r="G29" s="98"/>
      <c r="H29" s="98"/>
      <c r="I29" s="98"/>
    </row>
    <row r="31" spans="2:11" ht="22" customHeight="1">
      <c r="B31" s="33" t="s">
        <v>59</v>
      </c>
      <c r="C31" s="33"/>
      <c r="D31" s="33"/>
      <c r="E31" s="33"/>
      <c r="F31" s="33"/>
      <c r="G31" s="33"/>
      <c r="H31" s="33"/>
      <c r="I31" s="33"/>
    </row>
    <row r="32" spans="2:11" ht="24" customHeight="1">
      <c r="B32" s="98" t="s">
        <v>60</v>
      </c>
      <c r="C32" s="98"/>
      <c r="D32" s="98"/>
      <c r="E32" s="98"/>
      <c r="F32" s="98"/>
      <c r="G32" s="98"/>
      <c r="H32" s="98"/>
      <c r="I32" s="98"/>
    </row>
    <row r="33" spans="2:9">
      <c r="B33" s="105" t="s">
        <v>61</v>
      </c>
      <c r="C33" s="106">
        <v>8</v>
      </c>
    </row>
    <row r="34" spans="2:9">
      <c r="B34" s="105" t="s">
        <v>62</v>
      </c>
      <c r="C34" s="106">
        <v>6</v>
      </c>
    </row>
    <row r="35" spans="2:9">
      <c r="B35" s="105" t="s">
        <v>63</v>
      </c>
      <c r="C35" s="106">
        <v>4</v>
      </c>
    </row>
    <row r="37" spans="2:9" ht="22" customHeight="1">
      <c r="B37" s="33" t="s">
        <v>64</v>
      </c>
      <c r="C37" s="33"/>
      <c r="D37" s="33"/>
      <c r="E37" s="33"/>
      <c r="F37" s="33"/>
      <c r="G37" s="33"/>
      <c r="H37" s="33"/>
      <c r="I37" s="33"/>
    </row>
    <row r="38" spans="2:9">
      <c r="B38" s="105" t="s">
        <v>65</v>
      </c>
      <c r="C38" s="84" t="s">
        <v>15</v>
      </c>
      <c r="D38" s="84"/>
      <c r="E38" s="84"/>
      <c r="F38" s="84"/>
    </row>
    <row r="39" spans="2:9">
      <c r="B39" s="105" t="s">
        <v>66</v>
      </c>
      <c r="C39" s="84" t="s">
        <v>19</v>
      </c>
      <c r="D39" s="84"/>
      <c r="E39" s="84"/>
      <c r="F39" s="84"/>
    </row>
    <row r="40" spans="2:9">
      <c r="B40" s="105" t="s">
        <v>67</v>
      </c>
      <c r="C40" s="84" t="s">
        <v>15</v>
      </c>
      <c r="D40" s="84"/>
      <c r="E40" s="84"/>
      <c r="F40" s="84"/>
    </row>
    <row r="41" spans="2:9">
      <c r="B41" s="105" t="s">
        <v>68</v>
      </c>
      <c r="C41" s="84" t="s">
        <v>69</v>
      </c>
      <c r="D41" s="84"/>
      <c r="E41" s="84"/>
      <c r="F41" s="84"/>
    </row>
    <row r="42" spans="2:9">
      <c r="B42" s="105" t="s">
        <v>70</v>
      </c>
      <c r="C42" s="107">
        <v>14</v>
      </c>
      <c r="D42" s="84"/>
      <c r="E42" s="84"/>
      <c r="F42" s="84"/>
    </row>
    <row r="43" spans="2:9">
      <c r="B43" s="105" t="s">
        <v>71</v>
      </c>
      <c r="C43" s="84" t="s">
        <v>72</v>
      </c>
      <c r="D43" s="84"/>
      <c r="E43" s="84"/>
      <c r="F43" s="84"/>
    </row>
    <row r="44" spans="2:9">
      <c r="B44" s="105" t="s">
        <v>73</v>
      </c>
      <c r="C44" s="84" t="s">
        <v>74</v>
      </c>
      <c r="D44" s="84"/>
      <c r="E44" s="84"/>
      <c r="F44" s="84"/>
    </row>
    <row r="45" spans="2:9">
      <c r="B45" s="105" t="s">
        <v>75</v>
      </c>
      <c r="C45" s="84" t="s">
        <v>76</v>
      </c>
      <c r="D45" s="84"/>
      <c r="E45" s="84"/>
      <c r="F45" s="84"/>
    </row>
    <row r="46" spans="2:9">
      <c r="B46" s="105" t="s">
        <v>77</v>
      </c>
      <c r="C46" s="107">
        <v>150</v>
      </c>
      <c r="D46" s="84"/>
      <c r="E46" s="84"/>
      <c r="F46" s="84"/>
    </row>
    <row r="47" spans="2:9">
      <c r="B47" s="105" t="s">
        <v>78</v>
      </c>
      <c r="C47" s="107">
        <v>1</v>
      </c>
      <c r="D47" s="84"/>
      <c r="E47" s="84"/>
      <c r="F47" s="84"/>
    </row>
    <row r="48" spans="2:9">
      <c r="B48" s="105" t="s">
        <v>79</v>
      </c>
      <c r="C48" s="107">
        <v>0.19</v>
      </c>
      <c r="D48" s="84"/>
      <c r="E48" s="84"/>
      <c r="F48" s="84"/>
    </row>
    <row r="49" spans="2:9">
      <c r="B49" s="105" t="s">
        <v>80</v>
      </c>
      <c r="C49" s="107">
        <v>0.003</v>
      </c>
      <c r="D49" s="84"/>
      <c r="E49" s="84"/>
      <c r="F49" s="84"/>
    </row>
    <row r="50" spans="2:9">
      <c r="B50" s="105" t="s">
        <v>81</v>
      </c>
      <c r="C50" s="107">
        <v>0.08</v>
      </c>
      <c r="D50" s="84"/>
      <c r="E50" s="84"/>
      <c r="F50" s="84"/>
    </row>
    <row r="52" spans="2:9" ht="22" customHeight="1">
      <c r="B52" s="33" t="s">
        <v>82</v>
      </c>
      <c r="C52" s="33"/>
      <c r="D52" s="33"/>
      <c r="E52" s="33"/>
      <c r="F52" s="33"/>
      <c r="G52" s="33"/>
      <c r="H52" s="33"/>
      <c r="I52" s="33"/>
    </row>
    <row r="53" spans="2:9">
      <c r="B53" s="105" t="s">
        <v>14</v>
      </c>
      <c r="C53" s="84" t="s">
        <v>83</v>
      </c>
      <c r="D53" s="84"/>
      <c r="E53" s="84"/>
      <c r="F53" s="84"/>
    </row>
    <row r="54" spans="2:9">
      <c r="B54" s="105" t="s">
        <v>21</v>
      </c>
      <c r="C54" s="84" t="s">
        <v>84</v>
      </c>
      <c r="D54" s="84"/>
      <c r="E54" s="84"/>
      <c r="F54" s="84"/>
    </row>
    <row r="55" spans="2:9">
      <c r="B55" s="105" t="s">
        <v>24</v>
      </c>
      <c r="C55" s="84" t="s">
        <v>85</v>
      </c>
      <c r="D55" s="84"/>
      <c r="E55" s="84"/>
      <c r="F55" s="84"/>
    </row>
    <row r="56" spans="2:9">
      <c r="B56" s="105" t="s">
        <v>27</v>
      </c>
      <c r="C56" s="84" t="s">
        <v>86</v>
      </c>
      <c r="D56" s="84"/>
      <c r="E56" s="84"/>
      <c r="F56" s="84"/>
    </row>
    <row r="57" spans="2:9">
      <c r="B57" s="105" t="s">
        <v>30</v>
      </c>
      <c r="C57" s="84" t="s">
        <v>30</v>
      </c>
      <c r="D57" s="84"/>
      <c r="E57" s="84"/>
      <c r="F57" s="84"/>
    </row>
    <row r="59" spans="2:9" ht="22" customHeight="1">
      <c r="B59" s="33" t="s">
        <v>87</v>
      </c>
      <c r="C59" s="33"/>
      <c r="D59" s="33"/>
      <c r="E59" s="33"/>
      <c r="F59" s="33"/>
      <c r="G59" s="33"/>
      <c r="H59" s="33"/>
      <c r="I59" s="33"/>
    </row>
    <row r="60" spans="2:9">
      <c r="B60" s="105" t="s">
        <v>68</v>
      </c>
      <c r="C60" s="49" t="s">
        <v>88</v>
      </c>
      <c r="D60" s="49" t="s">
        <v>89</v>
      </c>
      <c r="E60" s="49" t="s">
        <v>69</v>
      </c>
    </row>
    <row r="61" spans="2:9">
      <c r="B61" s="105" t="s">
        <v>90</v>
      </c>
      <c r="C61" s="108" t="s">
        <v>91</v>
      </c>
      <c r="D61" s="108" t="s">
        <v>92</v>
      </c>
    </row>
    <row r="62" spans="2:9">
      <c r="B62" s="105" t="s">
        <v>93</v>
      </c>
      <c r="C62" s="108">
        <f>bLabA</f>
        <v>0</v>
      </c>
      <c r="D62" s="108">
        <f>bLabB</f>
        <v>0</v>
      </c>
    </row>
  </sheetData>
  <sheetProtection sheet="1" objects="1" scenarios="1" formatColumns="0" formatRows="0"/>
  <mergeCells count="49">
    <mergeCell ref="B2:M2"/>
    <mergeCell ref="B3:M3"/>
    <mergeCell ref="B5:K5"/>
    <mergeCell ref="B6:K6"/>
    <mergeCell ref="M8:M11"/>
    <mergeCell ref="B19:I19"/>
    <mergeCell ref="C20:D20"/>
    <mergeCell ref="E20:I20"/>
    <mergeCell ref="C21:D21"/>
    <mergeCell ref="E21:I21"/>
    <mergeCell ref="C22:D22"/>
    <mergeCell ref="E22:I22"/>
    <mergeCell ref="C23:D23"/>
    <mergeCell ref="E23:I23"/>
    <mergeCell ref="C24:D24"/>
    <mergeCell ref="E24:I24"/>
    <mergeCell ref="C25:D25"/>
    <mergeCell ref="E25:I25"/>
    <mergeCell ref="C26:D26"/>
    <mergeCell ref="E26:I26"/>
    <mergeCell ref="C27:D27"/>
    <mergeCell ref="E27:I27"/>
    <mergeCell ref="C28:D28"/>
    <mergeCell ref="E28:I28"/>
    <mergeCell ref="C29:D29"/>
    <mergeCell ref="E29:I29"/>
    <mergeCell ref="B31:I31"/>
    <mergeCell ref="B32:I32"/>
    <mergeCell ref="B37:I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  <mergeCell ref="C50:F50"/>
    <mergeCell ref="B52:I52"/>
    <mergeCell ref="C53:F53"/>
    <mergeCell ref="C54:F54"/>
    <mergeCell ref="C55:F55"/>
    <mergeCell ref="C56:F56"/>
    <mergeCell ref="C57:F57"/>
    <mergeCell ref="B59:I59"/>
  </mergeCells>
  <dataValidations count="2">
    <dataValidation type="list" allowBlank="1" showInputMessage="1" showErrorMessage="1" sqref="C20">
      <formula1>"MES,SIMULAÇÃO"</formula1>
    </dataValidation>
    <dataValidation type="list" allowBlank="1" showInputMessage="1" showErrorMessage="1" sqref="C22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4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09" t="s">
        <v>305</v>
      </c>
    </row>
    <row r="3" spans="1:6">
      <c r="A3" s="110" t="s">
        <v>306</v>
      </c>
      <c r="B3" s="111"/>
      <c r="D3" s="110" t="s">
        <v>310</v>
      </c>
    </row>
    <row r="4" spans="1:6">
      <c r="A4" s="110" t="s">
        <v>307</v>
      </c>
      <c r="B4" s="111"/>
      <c r="D4" s="110" t="s">
        <v>311</v>
      </c>
    </row>
    <row r="5" spans="1:6">
      <c r="D5" s="110" t="s">
        <v>312</v>
      </c>
    </row>
    <row r="6" spans="1:6">
      <c r="A6" s="110" t="s">
        <v>308</v>
      </c>
      <c r="B6" s="111"/>
      <c r="D6" s="110" t="s">
        <v>313</v>
      </c>
    </row>
    <row r="7" spans="1:6">
      <c r="A7" s="110" t="s">
        <v>309</v>
      </c>
      <c r="B7" s="111"/>
      <c r="D7" s="110" t="s">
        <v>314</v>
      </c>
    </row>
    <row r="9" spans="1:6">
      <c r="A9" s="112" t="s">
        <v>315</v>
      </c>
    </row>
    <row r="10" spans="1:6">
      <c r="A10" s="113" t="s">
        <v>316</v>
      </c>
    </row>
    <row r="11" spans="1:6">
      <c r="A11" s="13" t="s">
        <v>317</v>
      </c>
      <c r="B11" s="13" t="s">
        <v>14</v>
      </c>
      <c r="C11" s="13" t="s">
        <v>21</v>
      </c>
      <c r="D11" s="13" t="s">
        <v>24</v>
      </c>
      <c r="E11" s="13" t="s">
        <v>27</v>
      </c>
      <c r="F11" s="13" t="s">
        <v>30</v>
      </c>
    </row>
    <row r="39" spans="1:6">
      <c r="A39" s="112" t="s">
        <v>318</v>
      </c>
    </row>
    <row r="40" spans="1:6">
      <c r="A40" s="113" t="s">
        <v>316</v>
      </c>
    </row>
    <row r="41" spans="1:6">
      <c r="A41" s="13" t="s">
        <v>317</v>
      </c>
      <c r="B41" s="13" t="s">
        <v>14</v>
      </c>
      <c r="C41" s="13" t="s">
        <v>21</v>
      </c>
      <c r="D41" s="13" t="s">
        <v>24</v>
      </c>
      <c r="E41" s="13" t="s">
        <v>27</v>
      </c>
      <c r="F41" s="13" t="s">
        <v>30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7"/>
  <sheetViews>
    <sheetView workbookViewId="0"/>
  </sheetViews>
  <sheetFormatPr defaultRowHeight="15"/>
  <sheetData>
    <row r="1" spans="1:45">
      <c r="A1" t="s">
        <v>188</v>
      </c>
      <c r="B1" t="s">
        <v>189</v>
      </c>
      <c r="C1" t="s">
        <v>190</v>
      </c>
      <c r="D1" t="s">
        <v>191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 t="s">
        <v>222</v>
      </c>
      <c r="AJ1" t="s">
        <v>223</v>
      </c>
      <c r="AK1" t="s">
        <v>224</v>
      </c>
      <c r="AL1" t="s">
        <v>225</v>
      </c>
      <c r="AM1" t="s">
        <v>226</v>
      </c>
      <c r="AN1" t="s">
        <v>227</v>
      </c>
      <c r="AO1" t="s">
        <v>228</v>
      </c>
      <c r="AP1" t="s">
        <v>229</v>
      </c>
      <c r="AQ1" t="s">
        <v>230</v>
      </c>
      <c r="AR1" t="s">
        <v>231</v>
      </c>
      <c r="AS1" t="s">
        <v>232</v>
      </c>
    </row>
    <row r="2" spans="1:45">
      <c r="A2">
        <f>IF(1&lt;=$G$31,TEXT(HOUR(INDEX('Batch'!$C$28:$C$51,H2)),"00")&amp;":"&amp;TEXT(MINUTE(INDEX('Batch'!$C$28:$C$51,H2)),"00")&amp;CHAR(10)&amp;TEXT(DAY(INDEX('Batch'!$C$28:$C$51,H2)),"00")&amp;"/"&amp;TEXT(MONTH(INDEX('Batch'!$C$28:$C$51,H2)),"00"),IF(1=$G$31+1,"Média",""))</f>
        <v>0</v>
      </c>
      <c r="B2">
        <f>IF(1&lt;=$G$31,INDEX('Batch'!$E$28:$E$51,H2),IF(AND(1=$G$31+1,ISNUMBER($B$31)),$B$31,NA()))</f>
        <v>0</v>
      </c>
      <c r="C2">
        <f>IF(1&lt;=$G$31,INDEX('Batch'!$F$28:$F$51,H2),IF(AND(1=$G$31+1,ISNUMBER($C$31)),$C$31,NA()))</f>
        <v>0</v>
      </c>
      <c r="D2">
        <f>IF(1&lt;=$G$31,INDEX('Batch'!$P$28:$P$51,H2),NA())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IF(1&lt;=$G$31,MATCH(1,'Batch'!$U$28:$U$51,0),"")</f>
        <v>0</v>
      </c>
      <c r="I2">
        <v>1</v>
      </c>
      <c r="J2">
        <f>IF(1&lt;=$G$32,TEXT(HOUR(INDEX('Batch'!$C$28:$C$51,Q2)),"00")&amp;":"&amp;TEXT(MINUTE(INDEX('Batch'!$C$28:$C$51,Q2)),"00")&amp;CHAR(10)&amp;TEXT(DAY(INDEX('Batch'!$C$28:$C$51,Q2)),"00")&amp;"/"&amp;TEXT(MONTH(INDEX('Batch'!$C$28:$C$51,Q2)),"00"),IF(1=$G$32+1,"Média",""))</f>
        <v>0</v>
      </c>
      <c r="K2">
        <f>IF(1&lt;=$G$32,INDEX('Batch'!$G$28:$G$51,Q2),IF(AND(1=$G$32+1,ISNUMBER($B$32)),$B$32,NA()))</f>
        <v>0</v>
      </c>
      <c r="L2">
        <f>IF(1&lt;=$G$32,INDEX('Batch'!$H$28:$H$51,Q2),IF(AND(1=$G$32+1,ISNUMBER($C$32)),$C$32,NA()))</f>
        <v>0</v>
      </c>
      <c r="M2">
        <f>IF(1&lt;=$G$32,INDEX('Batch'!$Q$28:$Q$51,Q2),NA())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IF(1&lt;=$G$32,MATCH(1,'Batch'!$V$28:$V$51,0),"")</f>
        <v>0</v>
      </c>
      <c r="R2">
        <v>1</v>
      </c>
      <c r="S2">
        <f>IF(1&lt;=$G$33,TEXT(HOUR(INDEX('Batch'!$C$28:$C$51,Z2)),"00")&amp;":"&amp;TEXT(MINUTE(INDEX('Batch'!$C$28:$C$51,Z2)),"00")&amp;CHAR(10)&amp;TEXT(DAY(INDEX('Batch'!$C$28:$C$51,Z2)),"00")&amp;"/"&amp;TEXT(MONTH(INDEX('Batch'!$C$28:$C$51,Z2)),"00"),IF(1=$G$33+1,"Média",""))</f>
        <v>0</v>
      </c>
      <c r="T2">
        <f>IF(1&lt;=$G$33,INDEX('Batch'!$I$28:$I$51,Z2),IF(AND(1=$G$33+1,ISNUMBER($B$33)),$B$33,NA()))</f>
        <v>0</v>
      </c>
      <c r="U2">
        <f>IF(1&lt;=$G$33,INDEX('Batch'!$J$28:$J$51,Z2),IF(AND(1=$G$33+1,ISNUMBER($C$33)),$C$33,NA()))</f>
        <v>0</v>
      </c>
      <c r="V2">
        <f>IF(1&lt;=$G$33,INDEX('Batch'!$R$28:$R$51,Z2),NA())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IF(1&lt;=$G$33,MATCH(1,'Batch'!$W$28:$W$51,0),"")</f>
        <v>0</v>
      </c>
      <c r="AA2">
        <v>1</v>
      </c>
      <c r="AB2">
        <f>IF(1&lt;=$G$34,TEXT(HOUR(INDEX('Batch'!$C$28:$C$51,AI2)),"00")&amp;":"&amp;TEXT(MINUTE(INDEX('Batch'!$C$28:$C$51,AI2)),"00")&amp;CHAR(10)&amp;TEXT(DAY(INDEX('Batch'!$C$28:$C$51,AI2)),"00")&amp;"/"&amp;TEXT(MONTH(INDEX('Batch'!$C$28:$C$51,AI2)),"00"),IF(1=$G$34+1,"Média",""))</f>
        <v>0</v>
      </c>
      <c r="AC2">
        <f>IF(1&lt;=$G$34,INDEX('Batch'!$K$28:$K$51,AI2),IF(AND(1=$G$34+1,ISNUMBER($B$34)),$B$34,NA()))</f>
        <v>0</v>
      </c>
      <c r="AD2">
        <f>IF(1&lt;=$G$34,INDEX('Batch'!$L$28:$L$51,AI2),IF(AND(1=$G$34+1,ISNUMBER($C$34)),$C$34,NA()))</f>
        <v>0</v>
      </c>
      <c r="AE2">
        <f>IF(1&lt;=$G$34,INDEX('Batch'!$S$28:$S$51,AI2),NA())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IF(1&lt;=$G$34,MATCH(1,'Batch'!$X$28:$X$51,0),"")</f>
        <v>0</v>
      </c>
      <c r="AJ2">
        <v>1</v>
      </c>
      <c r="AK2">
        <f>IF(1&lt;=$G$35,TEXT(HOUR(INDEX('Batch'!$C$28:$C$51,AR2)),"00")&amp;":"&amp;TEXT(MINUTE(INDEX('Batch'!$C$28:$C$51,AR2)),"00")&amp;CHAR(10)&amp;TEXT(DAY(INDEX('Batch'!$C$28:$C$51,AR2)),"00")&amp;"/"&amp;TEXT(MONTH(INDEX('Batch'!$C$28:$C$51,AR2)),"00"),IF(1=$G$35+1,"Média",""))</f>
        <v>0</v>
      </c>
      <c r="AL2">
        <f>IF(1&lt;=$G$35,INDEX('Batch'!$M$28:$M$51,AR2),IF(AND(1=$G$35+1,ISNUMBER($B$35)),$B$35,NA()))</f>
        <v>0</v>
      </c>
      <c r="AM2">
        <f>IF(1&lt;=$G$35,INDEX('Batch'!$N$28:$N$51,AR2),IF(AND(1=$G$35+1,ISNUMBER($C$35)),$C$35,NA()))</f>
        <v>0</v>
      </c>
      <c r="AN2">
        <f>IF(1&lt;=$G$35,INDEX('Batch'!$T$28:$T$51,AR2),NA())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IF(1&lt;=$G$35,MATCH(1,'Batch'!$Y$28:$Y$51,0),"")</f>
        <v>0</v>
      </c>
      <c r="AS2">
        <v>1</v>
      </c>
    </row>
    <row r="3" spans="1:45">
      <c r="A3">
        <f>IF(2&lt;=$G$31,TEXT(HOUR(INDEX('Batch'!$C$28:$C$51,H3)),"00")&amp;":"&amp;TEXT(MINUTE(INDEX('Batch'!$C$28:$C$51,H3)),"00")&amp;CHAR(10)&amp;TEXT(DAY(INDEX('Batch'!$C$28:$C$51,H3)),"00")&amp;"/"&amp;TEXT(MONTH(INDEX('Batch'!$C$28:$C$51,H3)),"00"),IF(2=$G$31+1,"Média",""))</f>
        <v>0</v>
      </c>
      <c r="B3">
        <f>IF(2&lt;=$G$31,INDEX('Batch'!$E$28:$E$51,H3),IF(AND(2=$G$31+1,ISNUMBER($B$31)),$B$31,NA()))</f>
        <v>0</v>
      </c>
      <c r="C3">
        <f>IF(2&lt;=$G$31,INDEX('Batch'!$F$28:$F$51,H3),IF(AND(2=$G$31+1,ISNUMBER($C$31)),$C$31,NA()))</f>
        <v>0</v>
      </c>
      <c r="D3">
        <f>IF(2&lt;=$G$31,INDEX('Batch'!$P$28:$P$51,H3),NA())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IF(2&lt;=$G$31,MATCH(2,'Batch'!$U$28:$U$51,0),"")</f>
        <v>0</v>
      </c>
      <c r="I3">
        <v>2</v>
      </c>
      <c r="J3">
        <f>IF(2&lt;=$G$32,TEXT(HOUR(INDEX('Batch'!$C$28:$C$51,Q3)),"00")&amp;":"&amp;TEXT(MINUTE(INDEX('Batch'!$C$28:$C$51,Q3)),"00")&amp;CHAR(10)&amp;TEXT(DAY(INDEX('Batch'!$C$28:$C$51,Q3)),"00")&amp;"/"&amp;TEXT(MONTH(INDEX('Batch'!$C$28:$C$51,Q3)),"00"),IF(2=$G$32+1,"Média",""))</f>
        <v>0</v>
      </c>
      <c r="K3">
        <f>IF(2&lt;=$G$32,INDEX('Batch'!$G$28:$G$51,Q3),IF(AND(2=$G$32+1,ISNUMBER($B$32)),$B$32,NA()))</f>
        <v>0</v>
      </c>
      <c r="L3">
        <f>IF(2&lt;=$G$32,INDEX('Batch'!$H$28:$H$51,Q3),IF(AND(2=$G$32+1,ISNUMBER($C$32)),$C$32,NA()))</f>
        <v>0</v>
      </c>
      <c r="M3">
        <f>IF(2&lt;=$G$32,INDEX('Batch'!$Q$28:$Q$51,Q3),NA())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IF(2&lt;=$G$32,MATCH(2,'Batch'!$V$28:$V$51,0),"")</f>
        <v>0</v>
      </c>
      <c r="R3">
        <v>2</v>
      </c>
      <c r="S3">
        <f>IF(2&lt;=$G$33,TEXT(HOUR(INDEX('Batch'!$C$28:$C$51,Z3)),"00")&amp;":"&amp;TEXT(MINUTE(INDEX('Batch'!$C$28:$C$51,Z3)),"00")&amp;CHAR(10)&amp;TEXT(DAY(INDEX('Batch'!$C$28:$C$51,Z3)),"00")&amp;"/"&amp;TEXT(MONTH(INDEX('Batch'!$C$28:$C$51,Z3)),"00"),IF(2=$G$33+1,"Média",""))</f>
        <v>0</v>
      </c>
      <c r="T3">
        <f>IF(2&lt;=$G$33,INDEX('Batch'!$I$28:$I$51,Z3),IF(AND(2=$G$33+1,ISNUMBER($B$33)),$B$33,NA()))</f>
        <v>0</v>
      </c>
      <c r="U3">
        <f>IF(2&lt;=$G$33,INDEX('Batch'!$J$28:$J$51,Z3),IF(AND(2=$G$33+1,ISNUMBER($C$33)),$C$33,NA()))</f>
        <v>0</v>
      </c>
      <c r="V3">
        <f>IF(2&lt;=$G$33,INDEX('Batch'!$R$28:$R$51,Z3),NA())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IF(2&lt;=$G$33,MATCH(2,'Batch'!$W$28:$W$51,0),"")</f>
        <v>0</v>
      </c>
      <c r="AA3">
        <v>2</v>
      </c>
      <c r="AB3">
        <f>IF(2&lt;=$G$34,TEXT(HOUR(INDEX('Batch'!$C$28:$C$51,AI3)),"00")&amp;":"&amp;TEXT(MINUTE(INDEX('Batch'!$C$28:$C$51,AI3)),"00")&amp;CHAR(10)&amp;TEXT(DAY(INDEX('Batch'!$C$28:$C$51,AI3)),"00")&amp;"/"&amp;TEXT(MONTH(INDEX('Batch'!$C$28:$C$51,AI3)),"00"),IF(2=$G$34+1,"Média",""))</f>
        <v>0</v>
      </c>
      <c r="AC3">
        <f>IF(2&lt;=$G$34,INDEX('Batch'!$K$28:$K$51,AI3),IF(AND(2=$G$34+1,ISNUMBER($B$34)),$B$34,NA()))</f>
        <v>0</v>
      </c>
      <c r="AD3">
        <f>IF(2&lt;=$G$34,INDEX('Batch'!$L$28:$L$51,AI3),IF(AND(2=$G$34+1,ISNUMBER($C$34)),$C$34,NA()))</f>
        <v>0</v>
      </c>
      <c r="AE3">
        <f>IF(2&lt;=$G$34,INDEX('Batch'!$S$28:$S$51,AI3),NA())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IF(2&lt;=$G$34,MATCH(2,'Batch'!$X$28:$X$51,0),"")</f>
        <v>0</v>
      </c>
      <c r="AJ3">
        <v>2</v>
      </c>
      <c r="AK3">
        <f>IF(2&lt;=$G$35,TEXT(HOUR(INDEX('Batch'!$C$28:$C$51,AR3)),"00")&amp;":"&amp;TEXT(MINUTE(INDEX('Batch'!$C$28:$C$51,AR3)),"00")&amp;CHAR(10)&amp;TEXT(DAY(INDEX('Batch'!$C$28:$C$51,AR3)),"00")&amp;"/"&amp;TEXT(MONTH(INDEX('Batch'!$C$28:$C$51,AR3)),"00"),IF(2=$G$35+1,"Média",""))</f>
        <v>0</v>
      </c>
      <c r="AL3">
        <f>IF(2&lt;=$G$35,INDEX('Batch'!$M$28:$M$51,AR3),IF(AND(2=$G$35+1,ISNUMBER($B$35)),$B$35,NA()))</f>
        <v>0</v>
      </c>
      <c r="AM3">
        <f>IF(2&lt;=$G$35,INDEX('Batch'!$N$28:$N$51,AR3),IF(AND(2=$G$35+1,ISNUMBER($C$35)),$C$35,NA()))</f>
        <v>0</v>
      </c>
      <c r="AN3">
        <f>IF(2&lt;=$G$35,INDEX('Batch'!$T$28:$T$51,AR3),NA())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IF(2&lt;=$G$35,MATCH(2,'Batch'!$Y$28:$Y$51,0),"")</f>
        <v>0</v>
      </c>
      <c r="AS3">
        <v>2</v>
      </c>
    </row>
    <row r="4" spans="1:45">
      <c r="A4">
        <f>IF(3&lt;=$G$31,TEXT(HOUR(INDEX('Batch'!$C$28:$C$51,H4)),"00")&amp;":"&amp;TEXT(MINUTE(INDEX('Batch'!$C$28:$C$51,H4)),"00")&amp;CHAR(10)&amp;TEXT(DAY(INDEX('Batch'!$C$28:$C$51,H4)),"00")&amp;"/"&amp;TEXT(MONTH(INDEX('Batch'!$C$28:$C$51,H4)),"00"),IF(3=$G$31+1,"Média",""))</f>
        <v>0</v>
      </c>
      <c r="B4">
        <f>IF(3&lt;=$G$31,INDEX('Batch'!$E$28:$E$51,H4),IF(AND(3=$G$31+1,ISNUMBER($B$31)),$B$31,NA()))</f>
        <v>0</v>
      </c>
      <c r="C4">
        <f>IF(3&lt;=$G$31,INDEX('Batch'!$F$28:$F$51,H4),IF(AND(3=$G$31+1,ISNUMBER($C$31)),$C$31,NA()))</f>
        <v>0</v>
      </c>
      <c r="D4">
        <f>IF(3&lt;=$G$31,INDEX('Batch'!$P$28:$P$51,H4),NA())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IF(3&lt;=$G$31,MATCH(3,'Batch'!$U$28:$U$51,0),"")</f>
        <v>0</v>
      </c>
      <c r="I4">
        <v>3</v>
      </c>
      <c r="J4">
        <f>IF(3&lt;=$G$32,TEXT(HOUR(INDEX('Batch'!$C$28:$C$51,Q4)),"00")&amp;":"&amp;TEXT(MINUTE(INDEX('Batch'!$C$28:$C$51,Q4)),"00")&amp;CHAR(10)&amp;TEXT(DAY(INDEX('Batch'!$C$28:$C$51,Q4)),"00")&amp;"/"&amp;TEXT(MONTH(INDEX('Batch'!$C$28:$C$51,Q4)),"00"),IF(3=$G$32+1,"Média",""))</f>
        <v>0</v>
      </c>
      <c r="K4">
        <f>IF(3&lt;=$G$32,INDEX('Batch'!$G$28:$G$51,Q4),IF(AND(3=$G$32+1,ISNUMBER($B$32)),$B$32,NA()))</f>
        <v>0</v>
      </c>
      <c r="L4">
        <f>IF(3&lt;=$G$32,INDEX('Batch'!$H$28:$H$51,Q4),IF(AND(3=$G$32+1,ISNUMBER($C$32)),$C$32,NA()))</f>
        <v>0</v>
      </c>
      <c r="M4">
        <f>IF(3&lt;=$G$32,INDEX('Batch'!$Q$28:$Q$51,Q4),NA())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IF(3&lt;=$G$32,MATCH(3,'Batch'!$V$28:$V$51,0),"")</f>
        <v>0</v>
      </c>
      <c r="R4">
        <v>3</v>
      </c>
      <c r="S4">
        <f>IF(3&lt;=$G$33,TEXT(HOUR(INDEX('Batch'!$C$28:$C$51,Z4)),"00")&amp;":"&amp;TEXT(MINUTE(INDEX('Batch'!$C$28:$C$51,Z4)),"00")&amp;CHAR(10)&amp;TEXT(DAY(INDEX('Batch'!$C$28:$C$51,Z4)),"00")&amp;"/"&amp;TEXT(MONTH(INDEX('Batch'!$C$28:$C$51,Z4)),"00"),IF(3=$G$33+1,"Média",""))</f>
        <v>0</v>
      </c>
      <c r="T4">
        <f>IF(3&lt;=$G$33,INDEX('Batch'!$I$28:$I$51,Z4),IF(AND(3=$G$33+1,ISNUMBER($B$33)),$B$33,NA()))</f>
        <v>0</v>
      </c>
      <c r="U4">
        <f>IF(3&lt;=$G$33,INDEX('Batch'!$J$28:$J$51,Z4),IF(AND(3=$G$33+1,ISNUMBER($C$33)),$C$33,NA()))</f>
        <v>0</v>
      </c>
      <c r="V4">
        <f>IF(3&lt;=$G$33,INDEX('Batch'!$R$28:$R$51,Z4),NA())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IF(3&lt;=$G$33,MATCH(3,'Batch'!$W$28:$W$51,0),"")</f>
        <v>0</v>
      </c>
      <c r="AA4">
        <v>3</v>
      </c>
      <c r="AB4">
        <f>IF(3&lt;=$G$34,TEXT(HOUR(INDEX('Batch'!$C$28:$C$51,AI4)),"00")&amp;":"&amp;TEXT(MINUTE(INDEX('Batch'!$C$28:$C$51,AI4)),"00")&amp;CHAR(10)&amp;TEXT(DAY(INDEX('Batch'!$C$28:$C$51,AI4)),"00")&amp;"/"&amp;TEXT(MONTH(INDEX('Batch'!$C$28:$C$51,AI4)),"00"),IF(3=$G$34+1,"Média",""))</f>
        <v>0</v>
      </c>
      <c r="AC4">
        <f>IF(3&lt;=$G$34,INDEX('Batch'!$K$28:$K$51,AI4),IF(AND(3=$G$34+1,ISNUMBER($B$34)),$B$34,NA()))</f>
        <v>0</v>
      </c>
      <c r="AD4">
        <f>IF(3&lt;=$G$34,INDEX('Batch'!$L$28:$L$51,AI4),IF(AND(3=$G$34+1,ISNUMBER($C$34)),$C$34,NA()))</f>
        <v>0</v>
      </c>
      <c r="AE4">
        <f>IF(3&lt;=$G$34,INDEX('Batch'!$S$28:$S$51,AI4),NA())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IF(3&lt;=$G$34,MATCH(3,'Batch'!$X$28:$X$51,0),"")</f>
        <v>0</v>
      </c>
      <c r="AJ4">
        <v>3</v>
      </c>
      <c r="AK4">
        <f>IF(3&lt;=$G$35,TEXT(HOUR(INDEX('Batch'!$C$28:$C$51,AR4)),"00")&amp;":"&amp;TEXT(MINUTE(INDEX('Batch'!$C$28:$C$51,AR4)),"00")&amp;CHAR(10)&amp;TEXT(DAY(INDEX('Batch'!$C$28:$C$51,AR4)),"00")&amp;"/"&amp;TEXT(MONTH(INDEX('Batch'!$C$28:$C$51,AR4)),"00"),IF(3=$G$35+1,"Média",""))</f>
        <v>0</v>
      </c>
      <c r="AL4">
        <f>IF(3&lt;=$G$35,INDEX('Batch'!$M$28:$M$51,AR4),IF(AND(3=$G$35+1,ISNUMBER($B$35)),$B$35,NA()))</f>
        <v>0</v>
      </c>
      <c r="AM4">
        <f>IF(3&lt;=$G$35,INDEX('Batch'!$N$28:$N$51,AR4),IF(AND(3=$G$35+1,ISNUMBER($C$35)),$C$35,NA()))</f>
        <v>0</v>
      </c>
      <c r="AN4">
        <f>IF(3&lt;=$G$35,INDEX('Batch'!$T$28:$T$51,AR4),NA())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IF(3&lt;=$G$35,MATCH(3,'Batch'!$Y$28:$Y$51,0),"")</f>
        <v>0</v>
      </c>
      <c r="AS4">
        <v>3</v>
      </c>
    </row>
    <row r="5" spans="1:45">
      <c r="A5">
        <f>IF(4&lt;=$G$31,TEXT(HOUR(INDEX('Batch'!$C$28:$C$51,H5)),"00")&amp;":"&amp;TEXT(MINUTE(INDEX('Batch'!$C$28:$C$51,H5)),"00")&amp;CHAR(10)&amp;TEXT(DAY(INDEX('Batch'!$C$28:$C$51,H5)),"00")&amp;"/"&amp;TEXT(MONTH(INDEX('Batch'!$C$28:$C$51,H5)),"00"),IF(4=$G$31+1,"Média",""))</f>
        <v>0</v>
      </c>
      <c r="B5">
        <f>IF(4&lt;=$G$31,INDEX('Batch'!$E$28:$E$51,H5),IF(AND(4=$G$31+1,ISNUMBER($B$31)),$B$31,NA()))</f>
        <v>0</v>
      </c>
      <c r="C5">
        <f>IF(4&lt;=$G$31,INDEX('Batch'!$F$28:$F$51,H5),IF(AND(4=$G$31+1,ISNUMBER($C$31)),$C$31,NA()))</f>
        <v>0</v>
      </c>
      <c r="D5">
        <f>IF(4&lt;=$G$31,INDEX('Batch'!$P$28:$P$51,H5),NA())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IF(4&lt;=$G$31,MATCH(4,'Batch'!$U$28:$U$51,0),"")</f>
        <v>0</v>
      </c>
      <c r="I5">
        <v>4</v>
      </c>
      <c r="J5">
        <f>IF(4&lt;=$G$32,TEXT(HOUR(INDEX('Batch'!$C$28:$C$51,Q5)),"00")&amp;":"&amp;TEXT(MINUTE(INDEX('Batch'!$C$28:$C$51,Q5)),"00")&amp;CHAR(10)&amp;TEXT(DAY(INDEX('Batch'!$C$28:$C$51,Q5)),"00")&amp;"/"&amp;TEXT(MONTH(INDEX('Batch'!$C$28:$C$51,Q5)),"00"),IF(4=$G$32+1,"Média",""))</f>
        <v>0</v>
      </c>
      <c r="K5">
        <f>IF(4&lt;=$G$32,INDEX('Batch'!$G$28:$G$51,Q5),IF(AND(4=$G$32+1,ISNUMBER($B$32)),$B$32,NA()))</f>
        <v>0</v>
      </c>
      <c r="L5">
        <f>IF(4&lt;=$G$32,INDEX('Batch'!$H$28:$H$51,Q5),IF(AND(4=$G$32+1,ISNUMBER($C$32)),$C$32,NA()))</f>
        <v>0</v>
      </c>
      <c r="M5">
        <f>IF(4&lt;=$G$32,INDEX('Batch'!$Q$28:$Q$51,Q5),NA())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IF(4&lt;=$G$32,MATCH(4,'Batch'!$V$28:$V$51,0),"")</f>
        <v>0</v>
      </c>
      <c r="R5">
        <v>4</v>
      </c>
      <c r="S5">
        <f>IF(4&lt;=$G$33,TEXT(HOUR(INDEX('Batch'!$C$28:$C$51,Z5)),"00")&amp;":"&amp;TEXT(MINUTE(INDEX('Batch'!$C$28:$C$51,Z5)),"00")&amp;CHAR(10)&amp;TEXT(DAY(INDEX('Batch'!$C$28:$C$51,Z5)),"00")&amp;"/"&amp;TEXT(MONTH(INDEX('Batch'!$C$28:$C$51,Z5)),"00"),IF(4=$G$33+1,"Média",""))</f>
        <v>0</v>
      </c>
      <c r="T5">
        <f>IF(4&lt;=$G$33,INDEX('Batch'!$I$28:$I$51,Z5),IF(AND(4=$G$33+1,ISNUMBER($B$33)),$B$33,NA()))</f>
        <v>0</v>
      </c>
      <c r="U5">
        <f>IF(4&lt;=$G$33,INDEX('Batch'!$J$28:$J$51,Z5),IF(AND(4=$G$33+1,ISNUMBER($C$33)),$C$33,NA()))</f>
        <v>0</v>
      </c>
      <c r="V5">
        <f>IF(4&lt;=$G$33,INDEX('Batch'!$R$28:$R$51,Z5),NA())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IF(4&lt;=$G$33,MATCH(4,'Batch'!$W$28:$W$51,0),"")</f>
        <v>0</v>
      </c>
      <c r="AA5">
        <v>4</v>
      </c>
      <c r="AB5">
        <f>IF(4&lt;=$G$34,TEXT(HOUR(INDEX('Batch'!$C$28:$C$51,AI5)),"00")&amp;":"&amp;TEXT(MINUTE(INDEX('Batch'!$C$28:$C$51,AI5)),"00")&amp;CHAR(10)&amp;TEXT(DAY(INDEX('Batch'!$C$28:$C$51,AI5)),"00")&amp;"/"&amp;TEXT(MONTH(INDEX('Batch'!$C$28:$C$51,AI5)),"00"),IF(4=$G$34+1,"Média",""))</f>
        <v>0</v>
      </c>
      <c r="AC5">
        <f>IF(4&lt;=$G$34,INDEX('Batch'!$K$28:$K$51,AI5),IF(AND(4=$G$34+1,ISNUMBER($B$34)),$B$34,NA()))</f>
        <v>0</v>
      </c>
      <c r="AD5">
        <f>IF(4&lt;=$G$34,INDEX('Batch'!$L$28:$L$51,AI5),IF(AND(4=$G$34+1,ISNUMBER($C$34)),$C$34,NA()))</f>
        <v>0</v>
      </c>
      <c r="AE5">
        <f>IF(4&lt;=$G$34,INDEX('Batch'!$S$28:$S$51,AI5),NA())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IF(4&lt;=$G$34,MATCH(4,'Batch'!$X$28:$X$51,0),"")</f>
        <v>0</v>
      </c>
      <c r="AJ5">
        <v>4</v>
      </c>
      <c r="AK5">
        <f>IF(4&lt;=$G$35,TEXT(HOUR(INDEX('Batch'!$C$28:$C$51,AR5)),"00")&amp;":"&amp;TEXT(MINUTE(INDEX('Batch'!$C$28:$C$51,AR5)),"00")&amp;CHAR(10)&amp;TEXT(DAY(INDEX('Batch'!$C$28:$C$51,AR5)),"00")&amp;"/"&amp;TEXT(MONTH(INDEX('Batch'!$C$28:$C$51,AR5)),"00"),IF(4=$G$35+1,"Média",""))</f>
        <v>0</v>
      </c>
      <c r="AL5">
        <f>IF(4&lt;=$G$35,INDEX('Batch'!$M$28:$M$51,AR5),IF(AND(4=$G$35+1,ISNUMBER($B$35)),$B$35,NA()))</f>
        <v>0</v>
      </c>
      <c r="AM5">
        <f>IF(4&lt;=$G$35,INDEX('Batch'!$N$28:$N$51,AR5),IF(AND(4=$G$35+1,ISNUMBER($C$35)),$C$35,NA()))</f>
        <v>0</v>
      </c>
      <c r="AN5">
        <f>IF(4&lt;=$G$35,INDEX('Batch'!$T$28:$T$51,AR5),NA())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IF(4&lt;=$G$35,MATCH(4,'Batch'!$Y$28:$Y$51,0),"")</f>
        <v>0</v>
      </c>
      <c r="AS5">
        <v>4</v>
      </c>
    </row>
    <row r="6" spans="1:45">
      <c r="A6">
        <f>IF(5&lt;=$G$31,TEXT(HOUR(INDEX('Batch'!$C$28:$C$51,H6)),"00")&amp;":"&amp;TEXT(MINUTE(INDEX('Batch'!$C$28:$C$51,H6)),"00")&amp;CHAR(10)&amp;TEXT(DAY(INDEX('Batch'!$C$28:$C$51,H6)),"00")&amp;"/"&amp;TEXT(MONTH(INDEX('Batch'!$C$28:$C$51,H6)),"00"),IF(5=$G$31+1,"Média",""))</f>
        <v>0</v>
      </c>
      <c r="B6">
        <f>IF(5&lt;=$G$31,INDEX('Batch'!$E$28:$E$51,H6),IF(AND(5=$G$31+1,ISNUMBER($B$31)),$B$31,NA()))</f>
        <v>0</v>
      </c>
      <c r="C6">
        <f>IF(5&lt;=$G$31,INDEX('Batch'!$F$28:$F$51,H6),IF(AND(5=$G$31+1,ISNUMBER($C$31)),$C$31,NA()))</f>
        <v>0</v>
      </c>
      <c r="D6">
        <f>IF(5&lt;=$G$31,INDEX('Batch'!$P$28:$P$51,H6),NA())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IF(5&lt;=$G$31,MATCH(5,'Batch'!$U$28:$U$51,0),"")</f>
        <v>0</v>
      </c>
      <c r="I6">
        <v>5</v>
      </c>
      <c r="J6">
        <f>IF(5&lt;=$G$32,TEXT(HOUR(INDEX('Batch'!$C$28:$C$51,Q6)),"00")&amp;":"&amp;TEXT(MINUTE(INDEX('Batch'!$C$28:$C$51,Q6)),"00")&amp;CHAR(10)&amp;TEXT(DAY(INDEX('Batch'!$C$28:$C$51,Q6)),"00")&amp;"/"&amp;TEXT(MONTH(INDEX('Batch'!$C$28:$C$51,Q6)),"00"),IF(5=$G$32+1,"Média",""))</f>
        <v>0</v>
      </c>
      <c r="K6">
        <f>IF(5&lt;=$G$32,INDEX('Batch'!$G$28:$G$51,Q6),IF(AND(5=$G$32+1,ISNUMBER($B$32)),$B$32,NA()))</f>
        <v>0</v>
      </c>
      <c r="L6">
        <f>IF(5&lt;=$G$32,INDEX('Batch'!$H$28:$H$51,Q6),IF(AND(5=$G$32+1,ISNUMBER($C$32)),$C$32,NA()))</f>
        <v>0</v>
      </c>
      <c r="M6">
        <f>IF(5&lt;=$G$32,INDEX('Batch'!$Q$28:$Q$51,Q6),NA())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IF(5&lt;=$G$32,MATCH(5,'Batch'!$V$28:$V$51,0),"")</f>
        <v>0</v>
      </c>
      <c r="R6">
        <v>5</v>
      </c>
      <c r="S6">
        <f>IF(5&lt;=$G$33,TEXT(HOUR(INDEX('Batch'!$C$28:$C$51,Z6)),"00")&amp;":"&amp;TEXT(MINUTE(INDEX('Batch'!$C$28:$C$51,Z6)),"00")&amp;CHAR(10)&amp;TEXT(DAY(INDEX('Batch'!$C$28:$C$51,Z6)),"00")&amp;"/"&amp;TEXT(MONTH(INDEX('Batch'!$C$28:$C$51,Z6)),"00"),IF(5=$G$33+1,"Média",""))</f>
        <v>0</v>
      </c>
      <c r="T6">
        <f>IF(5&lt;=$G$33,INDEX('Batch'!$I$28:$I$51,Z6),IF(AND(5=$G$33+1,ISNUMBER($B$33)),$B$33,NA()))</f>
        <v>0</v>
      </c>
      <c r="U6">
        <f>IF(5&lt;=$G$33,INDEX('Batch'!$J$28:$J$51,Z6),IF(AND(5=$G$33+1,ISNUMBER($C$33)),$C$33,NA()))</f>
        <v>0</v>
      </c>
      <c r="V6">
        <f>IF(5&lt;=$G$33,INDEX('Batch'!$R$28:$R$51,Z6),NA())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IF(5&lt;=$G$33,MATCH(5,'Batch'!$W$28:$W$51,0),"")</f>
        <v>0</v>
      </c>
      <c r="AA6">
        <v>5</v>
      </c>
      <c r="AB6">
        <f>IF(5&lt;=$G$34,TEXT(HOUR(INDEX('Batch'!$C$28:$C$51,AI6)),"00")&amp;":"&amp;TEXT(MINUTE(INDEX('Batch'!$C$28:$C$51,AI6)),"00")&amp;CHAR(10)&amp;TEXT(DAY(INDEX('Batch'!$C$28:$C$51,AI6)),"00")&amp;"/"&amp;TEXT(MONTH(INDEX('Batch'!$C$28:$C$51,AI6)),"00"),IF(5=$G$34+1,"Média",""))</f>
        <v>0</v>
      </c>
      <c r="AC6">
        <f>IF(5&lt;=$G$34,INDEX('Batch'!$K$28:$K$51,AI6),IF(AND(5=$G$34+1,ISNUMBER($B$34)),$B$34,NA()))</f>
        <v>0</v>
      </c>
      <c r="AD6">
        <f>IF(5&lt;=$G$34,INDEX('Batch'!$L$28:$L$51,AI6),IF(AND(5=$G$34+1,ISNUMBER($C$34)),$C$34,NA()))</f>
        <v>0</v>
      </c>
      <c r="AE6">
        <f>IF(5&lt;=$G$34,INDEX('Batch'!$S$28:$S$51,AI6),NA())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IF(5&lt;=$G$34,MATCH(5,'Batch'!$X$28:$X$51,0),"")</f>
        <v>0</v>
      </c>
      <c r="AJ6">
        <v>5</v>
      </c>
      <c r="AK6">
        <f>IF(5&lt;=$G$35,TEXT(HOUR(INDEX('Batch'!$C$28:$C$51,AR6)),"00")&amp;":"&amp;TEXT(MINUTE(INDEX('Batch'!$C$28:$C$51,AR6)),"00")&amp;CHAR(10)&amp;TEXT(DAY(INDEX('Batch'!$C$28:$C$51,AR6)),"00")&amp;"/"&amp;TEXT(MONTH(INDEX('Batch'!$C$28:$C$51,AR6)),"00"),IF(5=$G$35+1,"Média",""))</f>
        <v>0</v>
      </c>
      <c r="AL6">
        <f>IF(5&lt;=$G$35,INDEX('Batch'!$M$28:$M$51,AR6),IF(AND(5=$G$35+1,ISNUMBER($B$35)),$B$35,NA()))</f>
        <v>0</v>
      </c>
      <c r="AM6">
        <f>IF(5&lt;=$G$35,INDEX('Batch'!$N$28:$N$51,AR6),IF(AND(5=$G$35+1,ISNUMBER($C$35)),$C$35,NA()))</f>
        <v>0</v>
      </c>
      <c r="AN6">
        <f>IF(5&lt;=$G$35,INDEX('Batch'!$T$28:$T$51,AR6),NA())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IF(5&lt;=$G$35,MATCH(5,'Batch'!$Y$28:$Y$51,0),"")</f>
        <v>0</v>
      </c>
      <c r="AS6">
        <v>5</v>
      </c>
    </row>
    <row r="7" spans="1:45">
      <c r="A7">
        <f>IF(6&lt;=$G$31,TEXT(HOUR(INDEX('Batch'!$C$28:$C$51,H7)),"00")&amp;":"&amp;TEXT(MINUTE(INDEX('Batch'!$C$28:$C$51,H7)),"00")&amp;CHAR(10)&amp;TEXT(DAY(INDEX('Batch'!$C$28:$C$51,H7)),"00")&amp;"/"&amp;TEXT(MONTH(INDEX('Batch'!$C$28:$C$51,H7)),"00"),IF(6=$G$31+1,"Média",""))</f>
        <v>0</v>
      </c>
      <c r="B7">
        <f>IF(6&lt;=$G$31,INDEX('Batch'!$E$28:$E$51,H7),IF(AND(6=$G$31+1,ISNUMBER($B$31)),$B$31,NA()))</f>
        <v>0</v>
      </c>
      <c r="C7">
        <f>IF(6&lt;=$G$31,INDEX('Batch'!$F$28:$F$51,H7),IF(AND(6=$G$31+1,ISNUMBER($C$31)),$C$31,NA()))</f>
        <v>0</v>
      </c>
      <c r="D7">
        <f>IF(6&lt;=$G$31,INDEX('Batch'!$P$28:$P$51,H7),NA())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IF(6&lt;=$G$31,MATCH(6,'Batch'!$U$28:$U$51,0),"")</f>
        <v>0</v>
      </c>
      <c r="I7">
        <v>6</v>
      </c>
      <c r="J7">
        <f>IF(6&lt;=$G$32,TEXT(HOUR(INDEX('Batch'!$C$28:$C$51,Q7)),"00")&amp;":"&amp;TEXT(MINUTE(INDEX('Batch'!$C$28:$C$51,Q7)),"00")&amp;CHAR(10)&amp;TEXT(DAY(INDEX('Batch'!$C$28:$C$51,Q7)),"00")&amp;"/"&amp;TEXT(MONTH(INDEX('Batch'!$C$28:$C$51,Q7)),"00"),IF(6=$G$32+1,"Média",""))</f>
        <v>0</v>
      </c>
      <c r="K7">
        <f>IF(6&lt;=$G$32,INDEX('Batch'!$G$28:$G$51,Q7),IF(AND(6=$G$32+1,ISNUMBER($B$32)),$B$32,NA()))</f>
        <v>0</v>
      </c>
      <c r="L7">
        <f>IF(6&lt;=$G$32,INDEX('Batch'!$H$28:$H$51,Q7),IF(AND(6=$G$32+1,ISNUMBER($C$32)),$C$32,NA()))</f>
        <v>0</v>
      </c>
      <c r="M7">
        <f>IF(6&lt;=$G$32,INDEX('Batch'!$Q$28:$Q$51,Q7),NA())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IF(6&lt;=$G$32,MATCH(6,'Batch'!$V$28:$V$51,0),"")</f>
        <v>0</v>
      </c>
      <c r="R7">
        <v>6</v>
      </c>
      <c r="S7">
        <f>IF(6&lt;=$G$33,TEXT(HOUR(INDEX('Batch'!$C$28:$C$51,Z7)),"00")&amp;":"&amp;TEXT(MINUTE(INDEX('Batch'!$C$28:$C$51,Z7)),"00")&amp;CHAR(10)&amp;TEXT(DAY(INDEX('Batch'!$C$28:$C$51,Z7)),"00")&amp;"/"&amp;TEXT(MONTH(INDEX('Batch'!$C$28:$C$51,Z7)),"00"),IF(6=$G$33+1,"Média",""))</f>
        <v>0</v>
      </c>
      <c r="T7">
        <f>IF(6&lt;=$G$33,INDEX('Batch'!$I$28:$I$51,Z7),IF(AND(6=$G$33+1,ISNUMBER($B$33)),$B$33,NA()))</f>
        <v>0</v>
      </c>
      <c r="U7">
        <f>IF(6&lt;=$G$33,INDEX('Batch'!$J$28:$J$51,Z7),IF(AND(6=$G$33+1,ISNUMBER($C$33)),$C$33,NA()))</f>
        <v>0</v>
      </c>
      <c r="V7">
        <f>IF(6&lt;=$G$33,INDEX('Batch'!$R$28:$R$51,Z7),NA())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IF(6&lt;=$G$33,MATCH(6,'Batch'!$W$28:$W$51,0),"")</f>
        <v>0</v>
      </c>
      <c r="AA7">
        <v>6</v>
      </c>
      <c r="AB7">
        <f>IF(6&lt;=$G$34,TEXT(HOUR(INDEX('Batch'!$C$28:$C$51,AI7)),"00")&amp;":"&amp;TEXT(MINUTE(INDEX('Batch'!$C$28:$C$51,AI7)),"00")&amp;CHAR(10)&amp;TEXT(DAY(INDEX('Batch'!$C$28:$C$51,AI7)),"00")&amp;"/"&amp;TEXT(MONTH(INDEX('Batch'!$C$28:$C$51,AI7)),"00"),IF(6=$G$34+1,"Média",""))</f>
        <v>0</v>
      </c>
      <c r="AC7">
        <f>IF(6&lt;=$G$34,INDEX('Batch'!$K$28:$K$51,AI7),IF(AND(6=$G$34+1,ISNUMBER($B$34)),$B$34,NA()))</f>
        <v>0</v>
      </c>
      <c r="AD7">
        <f>IF(6&lt;=$G$34,INDEX('Batch'!$L$28:$L$51,AI7),IF(AND(6=$G$34+1,ISNUMBER($C$34)),$C$34,NA()))</f>
        <v>0</v>
      </c>
      <c r="AE7">
        <f>IF(6&lt;=$G$34,INDEX('Batch'!$S$28:$S$51,AI7),NA())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IF(6&lt;=$G$34,MATCH(6,'Batch'!$X$28:$X$51,0),"")</f>
        <v>0</v>
      </c>
      <c r="AJ7">
        <v>6</v>
      </c>
      <c r="AK7">
        <f>IF(6&lt;=$G$35,TEXT(HOUR(INDEX('Batch'!$C$28:$C$51,AR7)),"00")&amp;":"&amp;TEXT(MINUTE(INDEX('Batch'!$C$28:$C$51,AR7)),"00")&amp;CHAR(10)&amp;TEXT(DAY(INDEX('Batch'!$C$28:$C$51,AR7)),"00")&amp;"/"&amp;TEXT(MONTH(INDEX('Batch'!$C$28:$C$51,AR7)),"00"),IF(6=$G$35+1,"Média",""))</f>
        <v>0</v>
      </c>
      <c r="AL7">
        <f>IF(6&lt;=$G$35,INDEX('Batch'!$M$28:$M$51,AR7),IF(AND(6=$G$35+1,ISNUMBER($B$35)),$B$35,NA()))</f>
        <v>0</v>
      </c>
      <c r="AM7">
        <f>IF(6&lt;=$G$35,INDEX('Batch'!$N$28:$N$51,AR7),IF(AND(6=$G$35+1,ISNUMBER($C$35)),$C$35,NA()))</f>
        <v>0</v>
      </c>
      <c r="AN7">
        <f>IF(6&lt;=$G$35,INDEX('Batch'!$T$28:$T$51,AR7),NA())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IF(6&lt;=$G$35,MATCH(6,'Batch'!$Y$28:$Y$51,0),"")</f>
        <v>0</v>
      </c>
      <c r="AS7">
        <v>6</v>
      </c>
    </row>
    <row r="8" spans="1:45">
      <c r="A8">
        <f>IF(7&lt;=$G$31,TEXT(HOUR(INDEX('Batch'!$C$28:$C$51,H8)),"00")&amp;":"&amp;TEXT(MINUTE(INDEX('Batch'!$C$28:$C$51,H8)),"00")&amp;CHAR(10)&amp;TEXT(DAY(INDEX('Batch'!$C$28:$C$51,H8)),"00")&amp;"/"&amp;TEXT(MONTH(INDEX('Batch'!$C$28:$C$51,H8)),"00"),IF(7=$G$31+1,"Média",""))</f>
        <v>0</v>
      </c>
      <c r="B8">
        <f>IF(7&lt;=$G$31,INDEX('Batch'!$E$28:$E$51,H8),IF(AND(7=$G$31+1,ISNUMBER($B$31)),$B$31,NA()))</f>
        <v>0</v>
      </c>
      <c r="C8">
        <f>IF(7&lt;=$G$31,INDEX('Batch'!$F$28:$F$51,H8),IF(AND(7=$G$31+1,ISNUMBER($C$31)),$C$31,NA()))</f>
        <v>0</v>
      </c>
      <c r="D8">
        <f>IF(7&lt;=$G$31,INDEX('Batch'!$P$28:$P$51,H8),NA())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IF(7&lt;=$G$31,MATCH(7,'Batch'!$U$28:$U$51,0),"")</f>
        <v>0</v>
      </c>
      <c r="I8">
        <v>7</v>
      </c>
      <c r="J8">
        <f>IF(7&lt;=$G$32,TEXT(HOUR(INDEX('Batch'!$C$28:$C$51,Q8)),"00")&amp;":"&amp;TEXT(MINUTE(INDEX('Batch'!$C$28:$C$51,Q8)),"00")&amp;CHAR(10)&amp;TEXT(DAY(INDEX('Batch'!$C$28:$C$51,Q8)),"00")&amp;"/"&amp;TEXT(MONTH(INDEX('Batch'!$C$28:$C$51,Q8)),"00"),IF(7=$G$32+1,"Média",""))</f>
        <v>0</v>
      </c>
      <c r="K8">
        <f>IF(7&lt;=$G$32,INDEX('Batch'!$G$28:$G$51,Q8),IF(AND(7=$G$32+1,ISNUMBER($B$32)),$B$32,NA()))</f>
        <v>0</v>
      </c>
      <c r="L8">
        <f>IF(7&lt;=$G$32,INDEX('Batch'!$H$28:$H$51,Q8),IF(AND(7=$G$32+1,ISNUMBER($C$32)),$C$32,NA()))</f>
        <v>0</v>
      </c>
      <c r="M8">
        <f>IF(7&lt;=$G$32,INDEX('Batch'!$Q$28:$Q$51,Q8),NA())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IF(7&lt;=$G$32,MATCH(7,'Batch'!$V$28:$V$51,0),"")</f>
        <v>0</v>
      </c>
      <c r="R8">
        <v>7</v>
      </c>
      <c r="S8">
        <f>IF(7&lt;=$G$33,TEXT(HOUR(INDEX('Batch'!$C$28:$C$51,Z8)),"00")&amp;":"&amp;TEXT(MINUTE(INDEX('Batch'!$C$28:$C$51,Z8)),"00")&amp;CHAR(10)&amp;TEXT(DAY(INDEX('Batch'!$C$28:$C$51,Z8)),"00")&amp;"/"&amp;TEXT(MONTH(INDEX('Batch'!$C$28:$C$51,Z8)),"00"),IF(7=$G$33+1,"Média",""))</f>
        <v>0</v>
      </c>
      <c r="T8">
        <f>IF(7&lt;=$G$33,INDEX('Batch'!$I$28:$I$51,Z8),IF(AND(7=$G$33+1,ISNUMBER($B$33)),$B$33,NA()))</f>
        <v>0</v>
      </c>
      <c r="U8">
        <f>IF(7&lt;=$G$33,INDEX('Batch'!$J$28:$J$51,Z8),IF(AND(7=$G$33+1,ISNUMBER($C$33)),$C$33,NA()))</f>
        <v>0</v>
      </c>
      <c r="V8">
        <f>IF(7&lt;=$G$33,INDEX('Batch'!$R$28:$R$51,Z8),NA())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IF(7&lt;=$G$33,MATCH(7,'Batch'!$W$28:$W$51,0),"")</f>
        <v>0</v>
      </c>
      <c r="AA8">
        <v>7</v>
      </c>
      <c r="AB8">
        <f>IF(7&lt;=$G$34,TEXT(HOUR(INDEX('Batch'!$C$28:$C$51,AI8)),"00")&amp;":"&amp;TEXT(MINUTE(INDEX('Batch'!$C$28:$C$51,AI8)),"00")&amp;CHAR(10)&amp;TEXT(DAY(INDEX('Batch'!$C$28:$C$51,AI8)),"00")&amp;"/"&amp;TEXT(MONTH(INDEX('Batch'!$C$28:$C$51,AI8)),"00"),IF(7=$G$34+1,"Média",""))</f>
        <v>0</v>
      </c>
      <c r="AC8">
        <f>IF(7&lt;=$G$34,INDEX('Batch'!$K$28:$K$51,AI8),IF(AND(7=$G$34+1,ISNUMBER($B$34)),$B$34,NA()))</f>
        <v>0</v>
      </c>
      <c r="AD8">
        <f>IF(7&lt;=$G$34,INDEX('Batch'!$L$28:$L$51,AI8),IF(AND(7=$G$34+1,ISNUMBER($C$34)),$C$34,NA()))</f>
        <v>0</v>
      </c>
      <c r="AE8">
        <f>IF(7&lt;=$G$34,INDEX('Batch'!$S$28:$S$51,AI8),NA())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IF(7&lt;=$G$34,MATCH(7,'Batch'!$X$28:$X$51,0),"")</f>
        <v>0</v>
      </c>
      <c r="AJ8">
        <v>7</v>
      </c>
      <c r="AK8">
        <f>IF(7&lt;=$G$35,TEXT(HOUR(INDEX('Batch'!$C$28:$C$51,AR8)),"00")&amp;":"&amp;TEXT(MINUTE(INDEX('Batch'!$C$28:$C$51,AR8)),"00")&amp;CHAR(10)&amp;TEXT(DAY(INDEX('Batch'!$C$28:$C$51,AR8)),"00")&amp;"/"&amp;TEXT(MONTH(INDEX('Batch'!$C$28:$C$51,AR8)),"00"),IF(7=$G$35+1,"Média",""))</f>
        <v>0</v>
      </c>
      <c r="AL8">
        <f>IF(7&lt;=$G$35,INDEX('Batch'!$M$28:$M$51,AR8),IF(AND(7=$G$35+1,ISNUMBER($B$35)),$B$35,NA()))</f>
        <v>0</v>
      </c>
      <c r="AM8">
        <f>IF(7&lt;=$G$35,INDEX('Batch'!$N$28:$N$51,AR8),IF(AND(7=$G$35+1,ISNUMBER($C$35)),$C$35,NA()))</f>
        <v>0</v>
      </c>
      <c r="AN8">
        <f>IF(7&lt;=$G$35,INDEX('Batch'!$T$28:$T$51,AR8),NA())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IF(7&lt;=$G$35,MATCH(7,'Batch'!$Y$28:$Y$51,0),"")</f>
        <v>0</v>
      </c>
      <c r="AS8">
        <v>7</v>
      </c>
    </row>
    <row r="9" spans="1:45">
      <c r="A9">
        <f>IF(8&lt;=$G$31,TEXT(HOUR(INDEX('Batch'!$C$28:$C$51,H9)),"00")&amp;":"&amp;TEXT(MINUTE(INDEX('Batch'!$C$28:$C$51,H9)),"00")&amp;CHAR(10)&amp;TEXT(DAY(INDEX('Batch'!$C$28:$C$51,H9)),"00")&amp;"/"&amp;TEXT(MONTH(INDEX('Batch'!$C$28:$C$51,H9)),"00"),IF(8=$G$31+1,"Média",""))</f>
        <v>0</v>
      </c>
      <c r="B9">
        <f>IF(8&lt;=$G$31,INDEX('Batch'!$E$28:$E$51,H9),IF(AND(8=$G$31+1,ISNUMBER($B$31)),$B$31,NA()))</f>
        <v>0</v>
      </c>
      <c r="C9">
        <f>IF(8&lt;=$G$31,INDEX('Batch'!$F$28:$F$51,H9),IF(AND(8=$G$31+1,ISNUMBER($C$31)),$C$31,NA()))</f>
        <v>0</v>
      </c>
      <c r="D9">
        <f>IF(8&lt;=$G$31,INDEX('Batch'!$P$28:$P$51,H9),NA())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IF(8&lt;=$G$31,MATCH(8,'Batch'!$U$28:$U$51,0),"")</f>
        <v>0</v>
      </c>
      <c r="I9">
        <v>8</v>
      </c>
      <c r="J9">
        <f>IF(8&lt;=$G$32,TEXT(HOUR(INDEX('Batch'!$C$28:$C$51,Q9)),"00")&amp;":"&amp;TEXT(MINUTE(INDEX('Batch'!$C$28:$C$51,Q9)),"00")&amp;CHAR(10)&amp;TEXT(DAY(INDEX('Batch'!$C$28:$C$51,Q9)),"00")&amp;"/"&amp;TEXT(MONTH(INDEX('Batch'!$C$28:$C$51,Q9)),"00"),IF(8=$G$32+1,"Média",""))</f>
        <v>0</v>
      </c>
      <c r="K9">
        <f>IF(8&lt;=$G$32,INDEX('Batch'!$G$28:$G$51,Q9),IF(AND(8=$G$32+1,ISNUMBER($B$32)),$B$32,NA()))</f>
        <v>0</v>
      </c>
      <c r="L9">
        <f>IF(8&lt;=$G$32,INDEX('Batch'!$H$28:$H$51,Q9),IF(AND(8=$G$32+1,ISNUMBER($C$32)),$C$32,NA()))</f>
        <v>0</v>
      </c>
      <c r="M9">
        <f>IF(8&lt;=$G$32,INDEX('Batch'!$Q$28:$Q$51,Q9),NA())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IF(8&lt;=$G$32,MATCH(8,'Batch'!$V$28:$V$51,0),"")</f>
        <v>0</v>
      </c>
      <c r="R9">
        <v>8</v>
      </c>
      <c r="S9">
        <f>IF(8&lt;=$G$33,TEXT(HOUR(INDEX('Batch'!$C$28:$C$51,Z9)),"00")&amp;":"&amp;TEXT(MINUTE(INDEX('Batch'!$C$28:$C$51,Z9)),"00")&amp;CHAR(10)&amp;TEXT(DAY(INDEX('Batch'!$C$28:$C$51,Z9)),"00")&amp;"/"&amp;TEXT(MONTH(INDEX('Batch'!$C$28:$C$51,Z9)),"00"),IF(8=$G$33+1,"Média",""))</f>
        <v>0</v>
      </c>
      <c r="T9">
        <f>IF(8&lt;=$G$33,INDEX('Batch'!$I$28:$I$51,Z9),IF(AND(8=$G$33+1,ISNUMBER($B$33)),$B$33,NA()))</f>
        <v>0</v>
      </c>
      <c r="U9">
        <f>IF(8&lt;=$G$33,INDEX('Batch'!$J$28:$J$51,Z9),IF(AND(8=$G$33+1,ISNUMBER($C$33)),$C$33,NA()))</f>
        <v>0</v>
      </c>
      <c r="V9">
        <f>IF(8&lt;=$G$33,INDEX('Batch'!$R$28:$R$51,Z9),NA())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IF(8&lt;=$G$33,MATCH(8,'Batch'!$W$28:$W$51,0),"")</f>
        <v>0</v>
      </c>
      <c r="AA9">
        <v>8</v>
      </c>
      <c r="AB9">
        <f>IF(8&lt;=$G$34,TEXT(HOUR(INDEX('Batch'!$C$28:$C$51,AI9)),"00")&amp;":"&amp;TEXT(MINUTE(INDEX('Batch'!$C$28:$C$51,AI9)),"00")&amp;CHAR(10)&amp;TEXT(DAY(INDEX('Batch'!$C$28:$C$51,AI9)),"00")&amp;"/"&amp;TEXT(MONTH(INDEX('Batch'!$C$28:$C$51,AI9)),"00"),IF(8=$G$34+1,"Média",""))</f>
        <v>0</v>
      </c>
      <c r="AC9">
        <f>IF(8&lt;=$G$34,INDEX('Batch'!$K$28:$K$51,AI9),IF(AND(8=$G$34+1,ISNUMBER($B$34)),$B$34,NA()))</f>
        <v>0</v>
      </c>
      <c r="AD9">
        <f>IF(8&lt;=$G$34,INDEX('Batch'!$L$28:$L$51,AI9),IF(AND(8=$G$34+1,ISNUMBER($C$34)),$C$34,NA()))</f>
        <v>0</v>
      </c>
      <c r="AE9">
        <f>IF(8&lt;=$G$34,INDEX('Batch'!$S$28:$S$51,AI9),NA())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IF(8&lt;=$G$34,MATCH(8,'Batch'!$X$28:$X$51,0),"")</f>
        <v>0</v>
      </c>
      <c r="AJ9">
        <v>8</v>
      </c>
      <c r="AK9">
        <f>IF(8&lt;=$G$35,TEXT(HOUR(INDEX('Batch'!$C$28:$C$51,AR9)),"00")&amp;":"&amp;TEXT(MINUTE(INDEX('Batch'!$C$28:$C$51,AR9)),"00")&amp;CHAR(10)&amp;TEXT(DAY(INDEX('Batch'!$C$28:$C$51,AR9)),"00")&amp;"/"&amp;TEXT(MONTH(INDEX('Batch'!$C$28:$C$51,AR9)),"00"),IF(8=$G$35+1,"Média",""))</f>
        <v>0</v>
      </c>
      <c r="AL9">
        <f>IF(8&lt;=$G$35,INDEX('Batch'!$M$28:$M$51,AR9),IF(AND(8=$G$35+1,ISNUMBER($B$35)),$B$35,NA()))</f>
        <v>0</v>
      </c>
      <c r="AM9">
        <f>IF(8&lt;=$G$35,INDEX('Batch'!$N$28:$N$51,AR9),IF(AND(8=$G$35+1,ISNUMBER($C$35)),$C$35,NA()))</f>
        <v>0</v>
      </c>
      <c r="AN9">
        <f>IF(8&lt;=$G$35,INDEX('Batch'!$T$28:$T$51,AR9),NA())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IF(8&lt;=$G$35,MATCH(8,'Batch'!$Y$28:$Y$51,0),"")</f>
        <v>0</v>
      </c>
      <c r="AS9">
        <v>8</v>
      </c>
    </row>
    <row r="10" spans="1:45">
      <c r="A10">
        <f>IF(9&lt;=$G$31,TEXT(HOUR(INDEX('Batch'!$C$28:$C$51,H10)),"00")&amp;":"&amp;TEXT(MINUTE(INDEX('Batch'!$C$28:$C$51,H10)),"00")&amp;CHAR(10)&amp;TEXT(DAY(INDEX('Batch'!$C$28:$C$51,H10)),"00")&amp;"/"&amp;TEXT(MONTH(INDEX('Batch'!$C$28:$C$51,H10)),"00"),IF(9=$G$31+1,"Média",""))</f>
        <v>0</v>
      </c>
      <c r="B10">
        <f>IF(9&lt;=$G$31,INDEX('Batch'!$E$28:$E$51,H10),IF(AND(9=$G$31+1,ISNUMBER($B$31)),$B$31,NA()))</f>
        <v>0</v>
      </c>
      <c r="C10">
        <f>IF(9&lt;=$G$31,INDEX('Batch'!$F$28:$F$51,H10),IF(AND(9=$G$31+1,ISNUMBER($C$31)),$C$31,NA()))</f>
        <v>0</v>
      </c>
      <c r="D10">
        <f>IF(9&lt;=$G$31,INDEX('Batch'!$P$28:$P$51,H10),NA())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IF(9&lt;=$G$31,MATCH(9,'Batch'!$U$28:$U$51,0),"")</f>
        <v>0</v>
      </c>
      <c r="I10">
        <v>9</v>
      </c>
      <c r="J10">
        <f>IF(9&lt;=$G$32,TEXT(HOUR(INDEX('Batch'!$C$28:$C$51,Q10)),"00")&amp;":"&amp;TEXT(MINUTE(INDEX('Batch'!$C$28:$C$51,Q10)),"00")&amp;CHAR(10)&amp;TEXT(DAY(INDEX('Batch'!$C$28:$C$51,Q10)),"00")&amp;"/"&amp;TEXT(MONTH(INDEX('Batch'!$C$28:$C$51,Q10)),"00"),IF(9=$G$32+1,"Média",""))</f>
        <v>0</v>
      </c>
      <c r="K10">
        <f>IF(9&lt;=$G$32,INDEX('Batch'!$G$28:$G$51,Q10),IF(AND(9=$G$32+1,ISNUMBER($B$32)),$B$32,NA()))</f>
        <v>0</v>
      </c>
      <c r="L10">
        <f>IF(9&lt;=$G$32,INDEX('Batch'!$H$28:$H$51,Q10),IF(AND(9=$G$32+1,ISNUMBER($C$32)),$C$32,NA()))</f>
        <v>0</v>
      </c>
      <c r="M10">
        <f>IF(9&lt;=$G$32,INDEX('Batch'!$Q$28:$Q$51,Q10),NA())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IF(9&lt;=$G$32,MATCH(9,'Batch'!$V$28:$V$51,0),"")</f>
        <v>0</v>
      </c>
      <c r="R10">
        <v>9</v>
      </c>
      <c r="S10">
        <f>IF(9&lt;=$G$33,TEXT(HOUR(INDEX('Batch'!$C$28:$C$51,Z10)),"00")&amp;":"&amp;TEXT(MINUTE(INDEX('Batch'!$C$28:$C$51,Z10)),"00")&amp;CHAR(10)&amp;TEXT(DAY(INDEX('Batch'!$C$28:$C$51,Z10)),"00")&amp;"/"&amp;TEXT(MONTH(INDEX('Batch'!$C$28:$C$51,Z10)),"00"),IF(9=$G$33+1,"Média",""))</f>
        <v>0</v>
      </c>
      <c r="T10">
        <f>IF(9&lt;=$G$33,INDEX('Batch'!$I$28:$I$51,Z10),IF(AND(9=$G$33+1,ISNUMBER($B$33)),$B$33,NA()))</f>
        <v>0</v>
      </c>
      <c r="U10">
        <f>IF(9&lt;=$G$33,INDEX('Batch'!$J$28:$J$51,Z10),IF(AND(9=$G$33+1,ISNUMBER($C$33)),$C$33,NA()))</f>
        <v>0</v>
      </c>
      <c r="V10">
        <f>IF(9&lt;=$G$33,INDEX('Batch'!$R$28:$R$51,Z10),NA())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IF(9&lt;=$G$33,MATCH(9,'Batch'!$W$28:$W$51,0),"")</f>
        <v>0</v>
      </c>
      <c r="AA10">
        <v>9</v>
      </c>
      <c r="AB10">
        <f>IF(9&lt;=$G$34,TEXT(HOUR(INDEX('Batch'!$C$28:$C$51,AI10)),"00")&amp;":"&amp;TEXT(MINUTE(INDEX('Batch'!$C$28:$C$51,AI10)),"00")&amp;CHAR(10)&amp;TEXT(DAY(INDEX('Batch'!$C$28:$C$51,AI10)),"00")&amp;"/"&amp;TEXT(MONTH(INDEX('Batch'!$C$28:$C$51,AI10)),"00"),IF(9=$G$34+1,"Média",""))</f>
        <v>0</v>
      </c>
      <c r="AC10">
        <f>IF(9&lt;=$G$34,INDEX('Batch'!$K$28:$K$51,AI10),IF(AND(9=$G$34+1,ISNUMBER($B$34)),$B$34,NA()))</f>
        <v>0</v>
      </c>
      <c r="AD10">
        <f>IF(9&lt;=$G$34,INDEX('Batch'!$L$28:$L$51,AI10),IF(AND(9=$G$34+1,ISNUMBER($C$34)),$C$34,NA()))</f>
        <v>0</v>
      </c>
      <c r="AE10">
        <f>IF(9&lt;=$G$34,INDEX('Batch'!$S$28:$S$51,AI10),NA())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IF(9&lt;=$G$34,MATCH(9,'Batch'!$X$28:$X$51,0),"")</f>
        <v>0</v>
      </c>
      <c r="AJ10">
        <v>9</v>
      </c>
      <c r="AK10">
        <f>IF(9&lt;=$G$35,TEXT(HOUR(INDEX('Batch'!$C$28:$C$51,AR10)),"00")&amp;":"&amp;TEXT(MINUTE(INDEX('Batch'!$C$28:$C$51,AR10)),"00")&amp;CHAR(10)&amp;TEXT(DAY(INDEX('Batch'!$C$28:$C$51,AR10)),"00")&amp;"/"&amp;TEXT(MONTH(INDEX('Batch'!$C$28:$C$51,AR10)),"00"),IF(9=$G$35+1,"Média",""))</f>
        <v>0</v>
      </c>
      <c r="AL10">
        <f>IF(9&lt;=$G$35,INDEX('Batch'!$M$28:$M$51,AR10),IF(AND(9=$G$35+1,ISNUMBER($B$35)),$B$35,NA()))</f>
        <v>0</v>
      </c>
      <c r="AM10">
        <f>IF(9&lt;=$G$35,INDEX('Batch'!$N$28:$N$51,AR10),IF(AND(9=$G$35+1,ISNUMBER($C$35)),$C$35,NA()))</f>
        <v>0</v>
      </c>
      <c r="AN10">
        <f>IF(9&lt;=$G$35,INDEX('Batch'!$T$28:$T$51,AR10),NA())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IF(9&lt;=$G$35,MATCH(9,'Batch'!$Y$28:$Y$51,0),"")</f>
        <v>0</v>
      </c>
      <c r="AS10">
        <v>9</v>
      </c>
    </row>
    <row r="11" spans="1:45">
      <c r="A11">
        <f>IF(10&lt;=$G$31,TEXT(HOUR(INDEX('Batch'!$C$28:$C$51,H11)),"00")&amp;":"&amp;TEXT(MINUTE(INDEX('Batch'!$C$28:$C$51,H11)),"00")&amp;CHAR(10)&amp;TEXT(DAY(INDEX('Batch'!$C$28:$C$51,H11)),"00")&amp;"/"&amp;TEXT(MONTH(INDEX('Batch'!$C$28:$C$51,H11)),"00"),IF(10=$G$31+1,"Média",""))</f>
        <v>0</v>
      </c>
      <c r="B11">
        <f>IF(10&lt;=$G$31,INDEX('Batch'!$E$28:$E$51,H11),IF(AND(10=$G$31+1,ISNUMBER($B$31)),$B$31,NA()))</f>
        <v>0</v>
      </c>
      <c r="C11">
        <f>IF(10&lt;=$G$31,INDEX('Batch'!$F$28:$F$51,H11),IF(AND(10=$G$31+1,ISNUMBER($C$31)),$C$31,NA()))</f>
        <v>0</v>
      </c>
      <c r="D11">
        <f>IF(10&lt;=$G$31,INDEX('Batch'!$P$28:$P$51,H11),NA())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IF(10&lt;=$G$31,MATCH(10,'Batch'!$U$28:$U$51,0),"")</f>
        <v>0</v>
      </c>
      <c r="I11">
        <v>10</v>
      </c>
      <c r="J11">
        <f>IF(10&lt;=$G$32,TEXT(HOUR(INDEX('Batch'!$C$28:$C$51,Q11)),"00")&amp;":"&amp;TEXT(MINUTE(INDEX('Batch'!$C$28:$C$51,Q11)),"00")&amp;CHAR(10)&amp;TEXT(DAY(INDEX('Batch'!$C$28:$C$51,Q11)),"00")&amp;"/"&amp;TEXT(MONTH(INDEX('Batch'!$C$28:$C$51,Q11)),"00"),IF(10=$G$32+1,"Média",""))</f>
        <v>0</v>
      </c>
      <c r="K11">
        <f>IF(10&lt;=$G$32,INDEX('Batch'!$G$28:$G$51,Q11),IF(AND(10=$G$32+1,ISNUMBER($B$32)),$B$32,NA()))</f>
        <v>0</v>
      </c>
      <c r="L11">
        <f>IF(10&lt;=$G$32,INDEX('Batch'!$H$28:$H$51,Q11),IF(AND(10=$G$32+1,ISNUMBER($C$32)),$C$32,NA()))</f>
        <v>0</v>
      </c>
      <c r="M11">
        <f>IF(10&lt;=$G$32,INDEX('Batch'!$Q$28:$Q$51,Q11),NA())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IF(10&lt;=$G$32,MATCH(10,'Batch'!$V$28:$V$51,0),"")</f>
        <v>0</v>
      </c>
      <c r="R11">
        <v>10</v>
      </c>
      <c r="S11">
        <f>IF(10&lt;=$G$33,TEXT(HOUR(INDEX('Batch'!$C$28:$C$51,Z11)),"00")&amp;":"&amp;TEXT(MINUTE(INDEX('Batch'!$C$28:$C$51,Z11)),"00")&amp;CHAR(10)&amp;TEXT(DAY(INDEX('Batch'!$C$28:$C$51,Z11)),"00")&amp;"/"&amp;TEXT(MONTH(INDEX('Batch'!$C$28:$C$51,Z11)),"00"),IF(10=$G$33+1,"Média",""))</f>
        <v>0</v>
      </c>
      <c r="T11">
        <f>IF(10&lt;=$G$33,INDEX('Batch'!$I$28:$I$51,Z11),IF(AND(10=$G$33+1,ISNUMBER($B$33)),$B$33,NA()))</f>
        <v>0</v>
      </c>
      <c r="U11">
        <f>IF(10&lt;=$G$33,INDEX('Batch'!$J$28:$J$51,Z11),IF(AND(10=$G$33+1,ISNUMBER($C$33)),$C$33,NA()))</f>
        <v>0</v>
      </c>
      <c r="V11">
        <f>IF(10&lt;=$G$33,INDEX('Batch'!$R$28:$R$51,Z11),NA())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IF(10&lt;=$G$33,MATCH(10,'Batch'!$W$28:$W$51,0),"")</f>
        <v>0</v>
      </c>
      <c r="AA11">
        <v>10</v>
      </c>
      <c r="AB11">
        <f>IF(10&lt;=$G$34,TEXT(HOUR(INDEX('Batch'!$C$28:$C$51,AI11)),"00")&amp;":"&amp;TEXT(MINUTE(INDEX('Batch'!$C$28:$C$51,AI11)),"00")&amp;CHAR(10)&amp;TEXT(DAY(INDEX('Batch'!$C$28:$C$51,AI11)),"00")&amp;"/"&amp;TEXT(MONTH(INDEX('Batch'!$C$28:$C$51,AI11)),"00"),IF(10=$G$34+1,"Média",""))</f>
        <v>0</v>
      </c>
      <c r="AC11">
        <f>IF(10&lt;=$G$34,INDEX('Batch'!$K$28:$K$51,AI11),IF(AND(10=$G$34+1,ISNUMBER($B$34)),$B$34,NA()))</f>
        <v>0</v>
      </c>
      <c r="AD11">
        <f>IF(10&lt;=$G$34,INDEX('Batch'!$L$28:$L$51,AI11),IF(AND(10=$G$34+1,ISNUMBER($C$34)),$C$34,NA()))</f>
        <v>0</v>
      </c>
      <c r="AE11">
        <f>IF(10&lt;=$G$34,INDEX('Batch'!$S$28:$S$51,AI11),NA())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IF(10&lt;=$G$34,MATCH(10,'Batch'!$X$28:$X$51,0),"")</f>
        <v>0</v>
      </c>
      <c r="AJ11">
        <v>10</v>
      </c>
      <c r="AK11">
        <f>IF(10&lt;=$G$35,TEXT(HOUR(INDEX('Batch'!$C$28:$C$51,AR11)),"00")&amp;":"&amp;TEXT(MINUTE(INDEX('Batch'!$C$28:$C$51,AR11)),"00")&amp;CHAR(10)&amp;TEXT(DAY(INDEX('Batch'!$C$28:$C$51,AR11)),"00")&amp;"/"&amp;TEXT(MONTH(INDEX('Batch'!$C$28:$C$51,AR11)),"00"),IF(10=$G$35+1,"Média",""))</f>
        <v>0</v>
      </c>
      <c r="AL11">
        <f>IF(10&lt;=$G$35,INDEX('Batch'!$M$28:$M$51,AR11),IF(AND(10=$G$35+1,ISNUMBER($B$35)),$B$35,NA()))</f>
        <v>0</v>
      </c>
      <c r="AM11">
        <f>IF(10&lt;=$G$35,INDEX('Batch'!$N$28:$N$51,AR11),IF(AND(10=$G$35+1,ISNUMBER($C$35)),$C$35,NA()))</f>
        <v>0</v>
      </c>
      <c r="AN11">
        <f>IF(10&lt;=$G$35,INDEX('Batch'!$T$28:$T$51,AR11),NA())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IF(10&lt;=$G$35,MATCH(10,'Batch'!$Y$28:$Y$51,0),"")</f>
        <v>0</v>
      </c>
      <c r="AS11">
        <v>10</v>
      </c>
    </row>
    <row r="12" spans="1:45">
      <c r="A12">
        <f>IF(11&lt;=$G$31,TEXT(HOUR(INDEX('Batch'!$C$28:$C$51,H12)),"00")&amp;":"&amp;TEXT(MINUTE(INDEX('Batch'!$C$28:$C$51,H12)),"00")&amp;CHAR(10)&amp;TEXT(DAY(INDEX('Batch'!$C$28:$C$51,H12)),"00")&amp;"/"&amp;TEXT(MONTH(INDEX('Batch'!$C$28:$C$51,H12)),"00"),IF(11=$G$31+1,"Média",""))</f>
        <v>0</v>
      </c>
      <c r="B12">
        <f>IF(11&lt;=$G$31,INDEX('Batch'!$E$28:$E$51,H12),IF(AND(11=$G$31+1,ISNUMBER($B$31)),$B$31,NA()))</f>
        <v>0</v>
      </c>
      <c r="C12">
        <f>IF(11&lt;=$G$31,INDEX('Batch'!$F$28:$F$51,H12),IF(AND(11=$G$31+1,ISNUMBER($C$31)),$C$31,NA()))</f>
        <v>0</v>
      </c>
      <c r="D12">
        <f>IF(11&lt;=$G$31,INDEX('Batch'!$P$28:$P$51,H12),NA())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IF(11&lt;=$G$31,MATCH(11,'Batch'!$U$28:$U$51,0),"")</f>
        <v>0</v>
      </c>
      <c r="I12">
        <v>11</v>
      </c>
      <c r="J12">
        <f>IF(11&lt;=$G$32,TEXT(HOUR(INDEX('Batch'!$C$28:$C$51,Q12)),"00")&amp;":"&amp;TEXT(MINUTE(INDEX('Batch'!$C$28:$C$51,Q12)),"00")&amp;CHAR(10)&amp;TEXT(DAY(INDEX('Batch'!$C$28:$C$51,Q12)),"00")&amp;"/"&amp;TEXT(MONTH(INDEX('Batch'!$C$28:$C$51,Q12)),"00"),IF(11=$G$32+1,"Média",""))</f>
        <v>0</v>
      </c>
      <c r="K12">
        <f>IF(11&lt;=$G$32,INDEX('Batch'!$G$28:$G$51,Q12),IF(AND(11=$G$32+1,ISNUMBER($B$32)),$B$32,NA()))</f>
        <v>0</v>
      </c>
      <c r="L12">
        <f>IF(11&lt;=$G$32,INDEX('Batch'!$H$28:$H$51,Q12),IF(AND(11=$G$32+1,ISNUMBER($C$32)),$C$32,NA()))</f>
        <v>0</v>
      </c>
      <c r="M12">
        <f>IF(11&lt;=$G$32,INDEX('Batch'!$Q$28:$Q$51,Q12),NA())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IF(11&lt;=$G$32,MATCH(11,'Batch'!$V$28:$V$51,0),"")</f>
        <v>0</v>
      </c>
      <c r="R12">
        <v>11</v>
      </c>
      <c r="S12">
        <f>IF(11&lt;=$G$33,TEXT(HOUR(INDEX('Batch'!$C$28:$C$51,Z12)),"00")&amp;":"&amp;TEXT(MINUTE(INDEX('Batch'!$C$28:$C$51,Z12)),"00")&amp;CHAR(10)&amp;TEXT(DAY(INDEX('Batch'!$C$28:$C$51,Z12)),"00")&amp;"/"&amp;TEXT(MONTH(INDEX('Batch'!$C$28:$C$51,Z12)),"00"),IF(11=$G$33+1,"Média",""))</f>
        <v>0</v>
      </c>
      <c r="T12">
        <f>IF(11&lt;=$G$33,INDEX('Batch'!$I$28:$I$51,Z12),IF(AND(11=$G$33+1,ISNUMBER($B$33)),$B$33,NA()))</f>
        <v>0</v>
      </c>
      <c r="U12">
        <f>IF(11&lt;=$G$33,INDEX('Batch'!$J$28:$J$51,Z12),IF(AND(11=$G$33+1,ISNUMBER($C$33)),$C$33,NA()))</f>
        <v>0</v>
      </c>
      <c r="V12">
        <f>IF(11&lt;=$G$33,INDEX('Batch'!$R$28:$R$51,Z12),NA())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IF(11&lt;=$G$33,MATCH(11,'Batch'!$W$28:$W$51,0),"")</f>
        <v>0</v>
      </c>
      <c r="AA12">
        <v>11</v>
      </c>
      <c r="AB12">
        <f>IF(11&lt;=$G$34,TEXT(HOUR(INDEX('Batch'!$C$28:$C$51,AI12)),"00")&amp;":"&amp;TEXT(MINUTE(INDEX('Batch'!$C$28:$C$51,AI12)),"00")&amp;CHAR(10)&amp;TEXT(DAY(INDEX('Batch'!$C$28:$C$51,AI12)),"00")&amp;"/"&amp;TEXT(MONTH(INDEX('Batch'!$C$28:$C$51,AI12)),"00"),IF(11=$G$34+1,"Média",""))</f>
        <v>0</v>
      </c>
      <c r="AC12">
        <f>IF(11&lt;=$G$34,INDEX('Batch'!$K$28:$K$51,AI12),IF(AND(11=$G$34+1,ISNUMBER($B$34)),$B$34,NA()))</f>
        <v>0</v>
      </c>
      <c r="AD12">
        <f>IF(11&lt;=$G$34,INDEX('Batch'!$L$28:$L$51,AI12),IF(AND(11=$G$34+1,ISNUMBER($C$34)),$C$34,NA()))</f>
        <v>0</v>
      </c>
      <c r="AE12">
        <f>IF(11&lt;=$G$34,INDEX('Batch'!$S$28:$S$51,AI12),NA())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IF(11&lt;=$G$34,MATCH(11,'Batch'!$X$28:$X$51,0),"")</f>
        <v>0</v>
      </c>
      <c r="AJ12">
        <v>11</v>
      </c>
      <c r="AK12">
        <f>IF(11&lt;=$G$35,TEXT(HOUR(INDEX('Batch'!$C$28:$C$51,AR12)),"00")&amp;":"&amp;TEXT(MINUTE(INDEX('Batch'!$C$28:$C$51,AR12)),"00")&amp;CHAR(10)&amp;TEXT(DAY(INDEX('Batch'!$C$28:$C$51,AR12)),"00")&amp;"/"&amp;TEXT(MONTH(INDEX('Batch'!$C$28:$C$51,AR12)),"00"),IF(11=$G$35+1,"Média",""))</f>
        <v>0</v>
      </c>
      <c r="AL12">
        <f>IF(11&lt;=$G$35,INDEX('Batch'!$M$28:$M$51,AR12),IF(AND(11=$G$35+1,ISNUMBER($B$35)),$B$35,NA()))</f>
        <v>0</v>
      </c>
      <c r="AM12">
        <f>IF(11&lt;=$G$35,INDEX('Batch'!$N$28:$N$51,AR12),IF(AND(11=$G$35+1,ISNUMBER($C$35)),$C$35,NA()))</f>
        <v>0</v>
      </c>
      <c r="AN12">
        <f>IF(11&lt;=$G$35,INDEX('Batch'!$T$28:$T$51,AR12),NA())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IF(11&lt;=$G$35,MATCH(11,'Batch'!$Y$28:$Y$51,0),"")</f>
        <v>0</v>
      </c>
      <c r="AS12">
        <v>11</v>
      </c>
    </row>
    <row r="13" spans="1:45">
      <c r="A13">
        <f>IF(12&lt;=$G$31,TEXT(HOUR(INDEX('Batch'!$C$28:$C$51,H13)),"00")&amp;":"&amp;TEXT(MINUTE(INDEX('Batch'!$C$28:$C$51,H13)),"00")&amp;CHAR(10)&amp;TEXT(DAY(INDEX('Batch'!$C$28:$C$51,H13)),"00")&amp;"/"&amp;TEXT(MONTH(INDEX('Batch'!$C$28:$C$51,H13)),"00"),IF(12=$G$31+1,"Média",""))</f>
        <v>0</v>
      </c>
      <c r="B13">
        <f>IF(12&lt;=$G$31,INDEX('Batch'!$E$28:$E$51,H13),IF(AND(12=$G$31+1,ISNUMBER($B$31)),$B$31,NA()))</f>
        <v>0</v>
      </c>
      <c r="C13">
        <f>IF(12&lt;=$G$31,INDEX('Batch'!$F$28:$F$51,H13),IF(AND(12=$G$31+1,ISNUMBER($C$31)),$C$31,NA()))</f>
        <v>0</v>
      </c>
      <c r="D13">
        <f>IF(12&lt;=$G$31,INDEX('Batch'!$P$28:$P$51,H13),NA())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IF(12&lt;=$G$31,MATCH(12,'Batch'!$U$28:$U$51,0),"")</f>
        <v>0</v>
      </c>
      <c r="I13">
        <v>12</v>
      </c>
      <c r="J13">
        <f>IF(12&lt;=$G$32,TEXT(HOUR(INDEX('Batch'!$C$28:$C$51,Q13)),"00")&amp;":"&amp;TEXT(MINUTE(INDEX('Batch'!$C$28:$C$51,Q13)),"00")&amp;CHAR(10)&amp;TEXT(DAY(INDEX('Batch'!$C$28:$C$51,Q13)),"00")&amp;"/"&amp;TEXT(MONTH(INDEX('Batch'!$C$28:$C$51,Q13)),"00"),IF(12=$G$32+1,"Média",""))</f>
        <v>0</v>
      </c>
      <c r="K13">
        <f>IF(12&lt;=$G$32,INDEX('Batch'!$G$28:$G$51,Q13),IF(AND(12=$G$32+1,ISNUMBER($B$32)),$B$32,NA()))</f>
        <v>0</v>
      </c>
      <c r="L13">
        <f>IF(12&lt;=$G$32,INDEX('Batch'!$H$28:$H$51,Q13),IF(AND(12=$G$32+1,ISNUMBER($C$32)),$C$32,NA()))</f>
        <v>0</v>
      </c>
      <c r="M13">
        <f>IF(12&lt;=$G$32,INDEX('Batch'!$Q$28:$Q$51,Q13),NA())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IF(12&lt;=$G$32,MATCH(12,'Batch'!$V$28:$V$51,0),"")</f>
        <v>0</v>
      </c>
      <c r="R13">
        <v>12</v>
      </c>
      <c r="S13">
        <f>IF(12&lt;=$G$33,TEXT(HOUR(INDEX('Batch'!$C$28:$C$51,Z13)),"00")&amp;":"&amp;TEXT(MINUTE(INDEX('Batch'!$C$28:$C$51,Z13)),"00")&amp;CHAR(10)&amp;TEXT(DAY(INDEX('Batch'!$C$28:$C$51,Z13)),"00")&amp;"/"&amp;TEXT(MONTH(INDEX('Batch'!$C$28:$C$51,Z13)),"00"),IF(12=$G$33+1,"Média",""))</f>
        <v>0</v>
      </c>
      <c r="T13">
        <f>IF(12&lt;=$G$33,INDEX('Batch'!$I$28:$I$51,Z13),IF(AND(12=$G$33+1,ISNUMBER($B$33)),$B$33,NA()))</f>
        <v>0</v>
      </c>
      <c r="U13">
        <f>IF(12&lt;=$G$33,INDEX('Batch'!$J$28:$J$51,Z13),IF(AND(12=$G$33+1,ISNUMBER($C$33)),$C$33,NA()))</f>
        <v>0</v>
      </c>
      <c r="V13">
        <f>IF(12&lt;=$G$33,INDEX('Batch'!$R$28:$R$51,Z13),NA())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IF(12&lt;=$G$33,MATCH(12,'Batch'!$W$28:$W$51,0),"")</f>
        <v>0</v>
      </c>
      <c r="AA13">
        <v>12</v>
      </c>
      <c r="AB13">
        <f>IF(12&lt;=$G$34,TEXT(HOUR(INDEX('Batch'!$C$28:$C$51,AI13)),"00")&amp;":"&amp;TEXT(MINUTE(INDEX('Batch'!$C$28:$C$51,AI13)),"00")&amp;CHAR(10)&amp;TEXT(DAY(INDEX('Batch'!$C$28:$C$51,AI13)),"00")&amp;"/"&amp;TEXT(MONTH(INDEX('Batch'!$C$28:$C$51,AI13)),"00"),IF(12=$G$34+1,"Média",""))</f>
        <v>0</v>
      </c>
      <c r="AC13">
        <f>IF(12&lt;=$G$34,INDEX('Batch'!$K$28:$K$51,AI13),IF(AND(12=$G$34+1,ISNUMBER($B$34)),$B$34,NA()))</f>
        <v>0</v>
      </c>
      <c r="AD13">
        <f>IF(12&lt;=$G$34,INDEX('Batch'!$L$28:$L$51,AI13),IF(AND(12=$G$34+1,ISNUMBER($C$34)),$C$34,NA()))</f>
        <v>0</v>
      </c>
      <c r="AE13">
        <f>IF(12&lt;=$G$34,INDEX('Batch'!$S$28:$S$51,AI13),NA())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IF(12&lt;=$G$34,MATCH(12,'Batch'!$X$28:$X$51,0),"")</f>
        <v>0</v>
      </c>
      <c r="AJ13">
        <v>12</v>
      </c>
      <c r="AK13">
        <f>IF(12&lt;=$G$35,TEXT(HOUR(INDEX('Batch'!$C$28:$C$51,AR13)),"00")&amp;":"&amp;TEXT(MINUTE(INDEX('Batch'!$C$28:$C$51,AR13)),"00")&amp;CHAR(10)&amp;TEXT(DAY(INDEX('Batch'!$C$28:$C$51,AR13)),"00")&amp;"/"&amp;TEXT(MONTH(INDEX('Batch'!$C$28:$C$51,AR13)),"00"),IF(12=$G$35+1,"Média",""))</f>
        <v>0</v>
      </c>
      <c r="AL13">
        <f>IF(12&lt;=$G$35,INDEX('Batch'!$M$28:$M$51,AR13),IF(AND(12=$G$35+1,ISNUMBER($B$35)),$B$35,NA()))</f>
        <v>0</v>
      </c>
      <c r="AM13">
        <f>IF(12&lt;=$G$35,INDEX('Batch'!$N$28:$N$51,AR13),IF(AND(12=$G$35+1,ISNUMBER($C$35)),$C$35,NA()))</f>
        <v>0</v>
      </c>
      <c r="AN13">
        <f>IF(12&lt;=$G$35,INDEX('Batch'!$T$28:$T$51,AR13),NA())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IF(12&lt;=$G$35,MATCH(12,'Batch'!$Y$28:$Y$51,0),"")</f>
        <v>0</v>
      </c>
      <c r="AS13">
        <v>12</v>
      </c>
    </row>
    <row r="14" spans="1:45">
      <c r="A14">
        <f>IF(13&lt;=$G$31,TEXT(HOUR(INDEX('Batch'!$C$28:$C$51,H14)),"00")&amp;":"&amp;TEXT(MINUTE(INDEX('Batch'!$C$28:$C$51,H14)),"00")&amp;CHAR(10)&amp;TEXT(DAY(INDEX('Batch'!$C$28:$C$51,H14)),"00")&amp;"/"&amp;TEXT(MONTH(INDEX('Batch'!$C$28:$C$51,H14)),"00"),IF(13=$G$31+1,"Média",""))</f>
        <v>0</v>
      </c>
      <c r="B14">
        <f>IF(13&lt;=$G$31,INDEX('Batch'!$E$28:$E$51,H14),IF(AND(13=$G$31+1,ISNUMBER($B$31)),$B$31,NA()))</f>
        <v>0</v>
      </c>
      <c r="C14">
        <f>IF(13&lt;=$G$31,INDEX('Batch'!$F$28:$F$51,H14),IF(AND(13=$G$31+1,ISNUMBER($C$31)),$C$31,NA()))</f>
        <v>0</v>
      </c>
      <c r="D14">
        <f>IF(13&lt;=$G$31,INDEX('Batch'!$P$28:$P$51,H14),NA())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IF(13&lt;=$G$31,MATCH(13,'Batch'!$U$28:$U$51,0),"")</f>
        <v>0</v>
      </c>
      <c r="I14">
        <v>13</v>
      </c>
      <c r="J14">
        <f>IF(13&lt;=$G$32,TEXT(HOUR(INDEX('Batch'!$C$28:$C$51,Q14)),"00")&amp;":"&amp;TEXT(MINUTE(INDEX('Batch'!$C$28:$C$51,Q14)),"00")&amp;CHAR(10)&amp;TEXT(DAY(INDEX('Batch'!$C$28:$C$51,Q14)),"00")&amp;"/"&amp;TEXT(MONTH(INDEX('Batch'!$C$28:$C$51,Q14)),"00"),IF(13=$G$32+1,"Média",""))</f>
        <v>0</v>
      </c>
      <c r="K14">
        <f>IF(13&lt;=$G$32,INDEX('Batch'!$G$28:$G$51,Q14),IF(AND(13=$G$32+1,ISNUMBER($B$32)),$B$32,NA()))</f>
        <v>0</v>
      </c>
      <c r="L14">
        <f>IF(13&lt;=$G$32,INDEX('Batch'!$H$28:$H$51,Q14),IF(AND(13=$G$32+1,ISNUMBER($C$32)),$C$32,NA()))</f>
        <v>0</v>
      </c>
      <c r="M14">
        <f>IF(13&lt;=$G$32,INDEX('Batch'!$Q$28:$Q$51,Q14),NA())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IF(13&lt;=$G$32,MATCH(13,'Batch'!$V$28:$V$51,0),"")</f>
        <v>0</v>
      </c>
      <c r="R14">
        <v>13</v>
      </c>
      <c r="S14">
        <f>IF(13&lt;=$G$33,TEXT(HOUR(INDEX('Batch'!$C$28:$C$51,Z14)),"00")&amp;":"&amp;TEXT(MINUTE(INDEX('Batch'!$C$28:$C$51,Z14)),"00")&amp;CHAR(10)&amp;TEXT(DAY(INDEX('Batch'!$C$28:$C$51,Z14)),"00")&amp;"/"&amp;TEXT(MONTH(INDEX('Batch'!$C$28:$C$51,Z14)),"00"),IF(13=$G$33+1,"Média",""))</f>
        <v>0</v>
      </c>
      <c r="T14">
        <f>IF(13&lt;=$G$33,INDEX('Batch'!$I$28:$I$51,Z14),IF(AND(13=$G$33+1,ISNUMBER($B$33)),$B$33,NA()))</f>
        <v>0</v>
      </c>
      <c r="U14">
        <f>IF(13&lt;=$G$33,INDEX('Batch'!$J$28:$J$51,Z14),IF(AND(13=$G$33+1,ISNUMBER($C$33)),$C$33,NA()))</f>
        <v>0</v>
      </c>
      <c r="V14">
        <f>IF(13&lt;=$G$33,INDEX('Batch'!$R$28:$R$51,Z14),NA())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IF(13&lt;=$G$33,MATCH(13,'Batch'!$W$28:$W$51,0),"")</f>
        <v>0</v>
      </c>
      <c r="AA14">
        <v>13</v>
      </c>
      <c r="AB14">
        <f>IF(13&lt;=$G$34,TEXT(HOUR(INDEX('Batch'!$C$28:$C$51,AI14)),"00")&amp;":"&amp;TEXT(MINUTE(INDEX('Batch'!$C$28:$C$51,AI14)),"00")&amp;CHAR(10)&amp;TEXT(DAY(INDEX('Batch'!$C$28:$C$51,AI14)),"00")&amp;"/"&amp;TEXT(MONTH(INDEX('Batch'!$C$28:$C$51,AI14)),"00"),IF(13=$G$34+1,"Média",""))</f>
        <v>0</v>
      </c>
      <c r="AC14">
        <f>IF(13&lt;=$G$34,INDEX('Batch'!$K$28:$K$51,AI14),IF(AND(13=$G$34+1,ISNUMBER($B$34)),$B$34,NA()))</f>
        <v>0</v>
      </c>
      <c r="AD14">
        <f>IF(13&lt;=$G$34,INDEX('Batch'!$L$28:$L$51,AI14),IF(AND(13=$G$34+1,ISNUMBER($C$34)),$C$34,NA()))</f>
        <v>0</v>
      </c>
      <c r="AE14">
        <f>IF(13&lt;=$G$34,INDEX('Batch'!$S$28:$S$51,AI14),NA())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IF(13&lt;=$G$34,MATCH(13,'Batch'!$X$28:$X$51,0),"")</f>
        <v>0</v>
      </c>
      <c r="AJ14">
        <v>13</v>
      </c>
      <c r="AK14">
        <f>IF(13&lt;=$G$35,TEXT(HOUR(INDEX('Batch'!$C$28:$C$51,AR14)),"00")&amp;":"&amp;TEXT(MINUTE(INDEX('Batch'!$C$28:$C$51,AR14)),"00")&amp;CHAR(10)&amp;TEXT(DAY(INDEX('Batch'!$C$28:$C$51,AR14)),"00")&amp;"/"&amp;TEXT(MONTH(INDEX('Batch'!$C$28:$C$51,AR14)),"00"),IF(13=$G$35+1,"Média",""))</f>
        <v>0</v>
      </c>
      <c r="AL14">
        <f>IF(13&lt;=$G$35,INDEX('Batch'!$M$28:$M$51,AR14),IF(AND(13=$G$35+1,ISNUMBER($B$35)),$B$35,NA()))</f>
        <v>0</v>
      </c>
      <c r="AM14">
        <f>IF(13&lt;=$G$35,INDEX('Batch'!$N$28:$N$51,AR14),IF(AND(13=$G$35+1,ISNUMBER($C$35)),$C$35,NA()))</f>
        <v>0</v>
      </c>
      <c r="AN14">
        <f>IF(13&lt;=$G$35,INDEX('Batch'!$T$28:$T$51,AR14),NA())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IF(13&lt;=$G$35,MATCH(13,'Batch'!$Y$28:$Y$51,0),"")</f>
        <v>0</v>
      </c>
      <c r="AS14">
        <v>13</v>
      </c>
    </row>
    <row r="15" spans="1:45">
      <c r="A15">
        <f>IF(14&lt;=$G$31,TEXT(HOUR(INDEX('Batch'!$C$28:$C$51,H15)),"00")&amp;":"&amp;TEXT(MINUTE(INDEX('Batch'!$C$28:$C$51,H15)),"00")&amp;CHAR(10)&amp;TEXT(DAY(INDEX('Batch'!$C$28:$C$51,H15)),"00")&amp;"/"&amp;TEXT(MONTH(INDEX('Batch'!$C$28:$C$51,H15)),"00"),IF(14=$G$31+1,"Média",""))</f>
        <v>0</v>
      </c>
      <c r="B15">
        <f>IF(14&lt;=$G$31,INDEX('Batch'!$E$28:$E$51,H15),IF(AND(14=$G$31+1,ISNUMBER($B$31)),$B$31,NA()))</f>
        <v>0</v>
      </c>
      <c r="C15">
        <f>IF(14&lt;=$G$31,INDEX('Batch'!$F$28:$F$51,H15),IF(AND(14=$G$31+1,ISNUMBER($C$31)),$C$31,NA()))</f>
        <v>0</v>
      </c>
      <c r="D15">
        <f>IF(14&lt;=$G$31,INDEX('Batch'!$P$28:$P$51,H15),NA())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IF(14&lt;=$G$31,MATCH(14,'Batch'!$U$28:$U$51,0),"")</f>
        <v>0</v>
      </c>
      <c r="I15">
        <v>14</v>
      </c>
      <c r="J15">
        <f>IF(14&lt;=$G$32,TEXT(HOUR(INDEX('Batch'!$C$28:$C$51,Q15)),"00")&amp;":"&amp;TEXT(MINUTE(INDEX('Batch'!$C$28:$C$51,Q15)),"00")&amp;CHAR(10)&amp;TEXT(DAY(INDEX('Batch'!$C$28:$C$51,Q15)),"00")&amp;"/"&amp;TEXT(MONTH(INDEX('Batch'!$C$28:$C$51,Q15)),"00"),IF(14=$G$32+1,"Média",""))</f>
        <v>0</v>
      </c>
      <c r="K15">
        <f>IF(14&lt;=$G$32,INDEX('Batch'!$G$28:$G$51,Q15),IF(AND(14=$G$32+1,ISNUMBER($B$32)),$B$32,NA()))</f>
        <v>0</v>
      </c>
      <c r="L15">
        <f>IF(14&lt;=$G$32,INDEX('Batch'!$H$28:$H$51,Q15),IF(AND(14=$G$32+1,ISNUMBER($C$32)),$C$32,NA()))</f>
        <v>0</v>
      </c>
      <c r="M15">
        <f>IF(14&lt;=$G$32,INDEX('Batch'!$Q$28:$Q$51,Q15),NA())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IF(14&lt;=$G$32,MATCH(14,'Batch'!$V$28:$V$51,0),"")</f>
        <v>0</v>
      </c>
      <c r="R15">
        <v>14</v>
      </c>
      <c r="S15">
        <f>IF(14&lt;=$G$33,TEXT(HOUR(INDEX('Batch'!$C$28:$C$51,Z15)),"00")&amp;":"&amp;TEXT(MINUTE(INDEX('Batch'!$C$28:$C$51,Z15)),"00")&amp;CHAR(10)&amp;TEXT(DAY(INDEX('Batch'!$C$28:$C$51,Z15)),"00")&amp;"/"&amp;TEXT(MONTH(INDEX('Batch'!$C$28:$C$51,Z15)),"00"),IF(14=$G$33+1,"Média",""))</f>
        <v>0</v>
      </c>
      <c r="T15">
        <f>IF(14&lt;=$G$33,INDEX('Batch'!$I$28:$I$51,Z15),IF(AND(14=$G$33+1,ISNUMBER($B$33)),$B$33,NA()))</f>
        <v>0</v>
      </c>
      <c r="U15">
        <f>IF(14&lt;=$G$33,INDEX('Batch'!$J$28:$J$51,Z15),IF(AND(14=$G$33+1,ISNUMBER($C$33)),$C$33,NA()))</f>
        <v>0</v>
      </c>
      <c r="V15">
        <f>IF(14&lt;=$G$33,INDEX('Batch'!$R$28:$R$51,Z15),NA())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IF(14&lt;=$G$33,MATCH(14,'Batch'!$W$28:$W$51,0),"")</f>
        <v>0</v>
      </c>
      <c r="AA15">
        <v>14</v>
      </c>
      <c r="AB15">
        <f>IF(14&lt;=$G$34,TEXT(HOUR(INDEX('Batch'!$C$28:$C$51,AI15)),"00")&amp;":"&amp;TEXT(MINUTE(INDEX('Batch'!$C$28:$C$51,AI15)),"00")&amp;CHAR(10)&amp;TEXT(DAY(INDEX('Batch'!$C$28:$C$51,AI15)),"00")&amp;"/"&amp;TEXT(MONTH(INDEX('Batch'!$C$28:$C$51,AI15)),"00"),IF(14=$G$34+1,"Média",""))</f>
        <v>0</v>
      </c>
      <c r="AC15">
        <f>IF(14&lt;=$G$34,INDEX('Batch'!$K$28:$K$51,AI15),IF(AND(14=$G$34+1,ISNUMBER($B$34)),$B$34,NA()))</f>
        <v>0</v>
      </c>
      <c r="AD15">
        <f>IF(14&lt;=$G$34,INDEX('Batch'!$L$28:$L$51,AI15),IF(AND(14=$G$34+1,ISNUMBER($C$34)),$C$34,NA()))</f>
        <v>0</v>
      </c>
      <c r="AE15">
        <f>IF(14&lt;=$G$34,INDEX('Batch'!$S$28:$S$51,AI15),NA())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IF(14&lt;=$G$34,MATCH(14,'Batch'!$X$28:$X$51,0),"")</f>
        <v>0</v>
      </c>
      <c r="AJ15">
        <v>14</v>
      </c>
      <c r="AK15">
        <f>IF(14&lt;=$G$35,TEXT(HOUR(INDEX('Batch'!$C$28:$C$51,AR15)),"00")&amp;":"&amp;TEXT(MINUTE(INDEX('Batch'!$C$28:$C$51,AR15)),"00")&amp;CHAR(10)&amp;TEXT(DAY(INDEX('Batch'!$C$28:$C$51,AR15)),"00")&amp;"/"&amp;TEXT(MONTH(INDEX('Batch'!$C$28:$C$51,AR15)),"00"),IF(14=$G$35+1,"Média",""))</f>
        <v>0</v>
      </c>
      <c r="AL15">
        <f>IF(14&lt;=$G$35,INDEX('Batch'!$M$28:$M$51,AR15),IF(AND(14=$G$35+1,ISNUMBER($B$35)),$B$35,NA()))</f>
        <v>0</v>
      </c>
      <c r="AM15">
        <f>IF(14&lt;=$G$35,INDEX('Batch'!$N$28:$N$51,AR15),IF(AND(14=$G$35+1,ISNUMBER($C$35)),$C$35,NA()))</f>
        <v>0</v>
      </c>
      <c r="AN15">
        <f>IF(14&lt;=$G$35,INDEX('Batch'!$T$28:$T$51,AR15),NA())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IF(14&lt;=$G$35,MATCH(14,'Batch'!$Y$28:$Y$51,0),"")</f>
        <v>0</v>
      </c>
      <c r="AS15">
        <v>14</v>
      </c>
    </row>
    <row r="16" spans="1:45">
      <c r="A16">
        <f>IF(15&lt;=$G$31,TEXT(HOUR(INDEX('Batch'!$C$28:$C$51,H16)),"00")&amp;":"&amp;TEXT(MINUTE(INDEX('Batch'!$C$28:$C$51,H16)),"00")&amp;CHAR(10)&amp;TEXT(DAY(INDEX('Batch'!$C$28:$C$51,H16)),"00")&amp;"/"&amp;TEXT(MONTH(INDEX('Batch'!$C$28:$C$51,H16)),"00"),IF(15=$G$31+1,"Média",""))</f>
        <v>0</v>
      </c>
      <c r="B16">
        <f>IF(15&lt;=$G$31,INDEX('Batch'!$E$28:$E$51,H16),IF(AND(15=$G$31+1,ISNUMBER($B$31)),$B$31,NA()))</f>
        <v>0</v>
      </c>
      <c r="C16">
        <f>IF(15&lt;=$G$31,INDEX('Batch'!$F$28:$F$51,H16),IF(AND(15=$G$31+1,ISNUMBER($C$31)),$C$31,NA()))</f>
        <v>0</v>
      </c>
      <c r="D16">
        <f>IF(15&lt;=$G$31,INDEX('Batch'!$P$28:$P$51,H16),NA())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IF(15&lt;=$G$31,MATCH(15,'Batch'!$U$28:$U$51,0),"")</f>
        <v>0</v>
      </c>
      <c r="I16">
        <v>15</v>
      </c>
      <c r="J16">
        <f>IF(15&lt;=$G$32,TEXT(HOUR(INDEX('Batch'!$C$28:$C$51,Q16)),"00")&amp;":"&amp;TEXT(MINUTE(INDEX('Batch'!$C$28:$C$51,Q16)),"00")&amp;CHAR(10)&amp;TEXT(DAY(INDEX('Batch'!$C$28:$C$51,Q16)),"00")&amp;"/"&amp;TEXT(MONTH(INDEX('Batch'!$C$28:$C$51,Q16)),"00"),IF(15=$G$32+1,"Média",""))</f>
        <v>0</v>
      </c>
      <c r="K16">
        <f>IF(15&lt;=$G$32,INDEX('Batch'!$G$28:$G$51,Q16),IF(AND(15=$G$32+1,ISNUMBER($B$32)),$B$32,NA()))</f>
        <v>0</v>
      </c>
      <c r="L16">
        <f>IF(15&lt;=$G$32,INDEX('Batch'!$H$28:$H$51,Q16),IF(AND(15=$G$32+1,ISNUMBER($C$32)),$C$32,NA()))</f>
        <v>0</v>
      </c>
      <c r="M16">
        <f>IF(15&lt;=$G$32,INDEX('Batch'!$Q$28:$Q$51,Q16),NA())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IF(15&lt;=$G$32,MATCH(15,'Batch'!$V$28:$V$51,0),"")</f>
        <v>0</v>
      </c>
      <c r="R16">
        <v>15</v>
      </c>
      <c r="S16">
        <f>IF(15&lt;=$G$33,TEXT(HOUR(INDEX('Batch'!$C$28:$C$51,Z16)),"00")&amp;":"&amp;TEXT(MINUTE(INDEX('Batch'!$C$28:$C$51,Z16)),"00")&amp;CHAR(10)&amp;TEXT(DAY(INDEX('Batch'!$C$28:$C$51,Z16)),"00")&amp;"/"&amp;TEXT(MONTH(INDEX('Batch'!$C$28:$C$51,Z16)),"00"),IF(15=$G$33+1,"Média",""))</f>
        <v>0</v>
      </c>
      <c r="T16">
        <f>IF(15&lt;=$G$33,INDEX('Batch'!$I$28:$I$51,Z16),IF(AND(15=$G$33+1,ISNUMBER($B$33)),$B$33,NA()))</f>
        <v>0</v>
      </c>
      <c r="U16">
        <f>IF(15&lt;=$G$33,INDEX('Batch'!$J$28:$J$51,Z16),IF(AND(15=$G$33+1,ISNUMBER($C$33)),$C$33,NA()))</f>
        <v>0</v>
      </c>
      <c r="V16">
        <f>IF(15&lt;=$G$33,INDEX('Batch'!$R$28:$R$51,Z16),NA())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IF(15&lt;=$G$33,MATCH(15,'Batch'!$W$28:$W$51,0),"")</f>
        <v>0</v>
      </c>
      <c r="AA16">
        <v>15</v>
      </c>
      <c r="AB16">
        <f>IF(15&lt;=$G$34,TEXT(HOUR(INDEX('Batch'!$C$28:$C$51,AI16)),"00")&amp;":"&amp;TEXT(MINUTE(INDEX('Batch'!$C$28:$C$51,AI16)),"00")&amp;CHAR(10)&amp;TEXT(DAY(INDEX('Batch'!$C$28:$C$51,AI16)),"00")&amp;"/"&amp;TEXT(MONTH(INDEX('Batch'!$C$28:$C$51,AI16)),"00"),IF(15=$G$34+1,"Média",""))</f>
        <v>0</v>
      </c>
      <c r="AC16">
        <f>IF(15&lt;=$G$34,INDEX('Batch'!$K$28:$K$51,AI16),IF(AND(15=$G$34+1,ISNUMBER($B$34)),$B$34,NA()))</f>
        <v>0</v>
      </c>
      <c r="AD16">
        <f>IF(15&lt;=$G$34,INDEX('Batch'!$L$28:$L$51,AI16),IF(AND(15=$G$34+1,ISNUMBER($C$34)),$C$34,NA()))</f>
        <v>0</v>
      </c>
      <c r="AE16">
        <f>IF(15&lt;=$G$34,INDEX('Batch'!$S$28:$S$51,AI16),NA())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IF(15&lt;=$G$34,MATCH(15,'Batch'!$X$28:$X$51,0),"")</f>
        <v>0</v>
      </c>
      <c r="AJ16">
        <v>15</v>
      </c>
      <c r="AK16">
        <f>IF(15&lt;=$G$35,TEXT(HOUR(INDEX('Batch'!$C$28:$C$51,AR16)),"00")&amp;":"&amp;TEXT(MINUTE(INDEX('Batch'!$C$28:$C$51,AR16)),"00")&amp;CHAR(10)&amp;TEXT(DAY(INDEX('Batch'!$C$28:$C$51,AR16)),"00")&amp;"/"&amp;TEXT(MONTH(INDEX('Batch'!$C$28:$C$51,AR16)),"00"),IF(15=$G$35+1,"Média",""))</f>
        <v>0</v>
      </c>
      <c r="AL16">
        <f>IF(15&lt;=$G$35,INDEX('Batch'!$M$28:$M$51,AR16),IF(AND(15=$G$35+1,ISNUMBER($B$35)),$B$35,NA()))</f>
        <v>0</v>
      </c>
      <c r="AM16">
        <f>IF(15&lt;=$G$35,INDEX('Batch'!$N$28:$N$51,AR16),IF(AND(15=$G$35+1,ISNUMBER($C$35)),$C$35,NA()))</f>
        <v>0</v>
      </c>
      <c r="AN16">
        <f>IF(15&lt;=$G$35,INDEX('Batch'!$T$28:$T$51,AR16),NA())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IF(15&lt;=$G$35,MATCH(15,'Batch'!$Y$28:$Y$51,0),"")</f>
        <v>0</v>
      </c>
      <c r="AS16">
        <v>15</v>
      </c>
    </row>
    <row r="17" spans="1:45">
      <c r="A17">
        <f>IF(16&lt;=$G$31,TEXT(HOUR(INDEX('Batch'!$C$28:$C$51,H17)),"00")&amp;":"&amp;TEXT(MINUTE(INDEX('Batch'!$C$28:$C$51,H17)),"00")&amp;CHAR(10)&amp;TEXT(DAY(INDEX('Batch'!$C$28:$C$51,H17)),"00")&amp;"/"&amp;TEXT(MONTH(INDEX('Batch'!$C$28:$C$51,H17)),"00"),IF(16=$G$31+1,"Média",""))</f>
        <v>0</v>
      </c>
      <c r="B17">
        <f>IF(16&lt;=$G$31,INDEX('Batch'!$E$28:$E$51,H17),IF(AND(16=$G$31+1,ISNUMBER($B$31)),$B$31,NA()))</f>
        <v>0</v>
      </c>
      <c r="C17">
        <f>IF(16&lt;=$G$31,INDEX('Batch'!$F$28:$F$51,H17),IF(AND(16=$G$31+1,ISNUMBER($C$31)),$C$31,NA()))</f>
        <v>0</v>
      </c>
      <c r="D17">
        <f>IF(16&lt;=$G$31,INDEX('Batch'!$P$28:$P$51,H17),NA())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IF(16&lt;=$G$31,MATCH(16,'Batch'!$U$28:$U$51,0),"")</f>
        <v>0</v>
      </c>
      <c r="I17">
        <v>16</v>
      </c>
      <c r="J17">
        <f>IF(16&lt;=$G$32,TEXT(HOUR(INDEX('Batch'!$C$28:$C$51,Q17)),"00")&amp;":"&amp;TEXT(MINUTE(INDEX('Batch'!$C$28:$C$51,Q17)),"00")&amp;CHAR(10)&amp;TEXT(DAY(INDEX('Batch'!$C$28:$C$51,Q17)),"00")&amp;"/"&amp;TEXT(MONTH(INDEX('Batch'!$C$28:$C$51,Q17)),"00"),IF(16=$G$32+1,"Média",""))</f>
        <v>0</v>
      </c>
      <c r="K17">
        <f>IF(16&lt;=$G$32,INDEX('Batch'!$G$28:$G$51,Q17),IF(AND(16=$G$32+1,ISNUMBER($B$32)),$B$32,NA()))</f>
        <v>0</v>
      </c>
      <c r="L17">
        <f>IF(16&lt;=$G$32,INDEX('Batch'!$H$28:$H$51,Q17),IF(AND(16=$G$32+1,ISNUMBER($C$32)),$C$32,NA()))</f>
        <v>0</v>
      </c>
      <c r="M17">
        <f>IF(16&lt;=$G$32,INDEX('Batch'!$Q$28:$Q$51,Q17),NA())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IF(16&lt;=$G$32,MATCH(16,'Batch'!$V$28:$V$51,0),"")</f>
        <v>0</v>
      </c>
      <c r="R17">
        <v>16</v>
      </c>
      <c r="S17">
        <f>IF(16&lt;=$G$33,TEXT(HOUR(INDEX('Batch'!$C$28:$C$51,Z17)),"00")&amp;":"&amp;TEXT(MINUTE(INDEX('Batch'!$C$28:$C$51,Z17)),"00")&amp;CHAR(10)&amp;TEXT(DAY(INDEX('Batch'!$C$28:$C$51,Z17)),"00")&amp;"/"&amp;TEXT(MONTH(INDEX('Batch'!$C$28:$C$51,Z17)),"00"),IF(16=$G$33+1,"Média",""))</f>
        <v>0</v>
      </c>
      <c r="T17">
        <f>IF(16&lt;=$G$33,INDEX('Batch'!$I$28:$I$51,Z17),IF(AND(16=$G$33+1,ISNUMBER($B$33)),$B$33,NA()))</f>
        <v>0</v>
      </c>
      <c r="U17">
        <f>IF(16&lt;=$G$33,INDEX('Batch'!$J$28:$J$51,Z17),IF(AND(16=$G$33+1,ISNUMBER($C$33)),$C$33,NA()))</f>
        <v>0</v>
      </c>
      <c r="V17">
        <f>IF(16&lt;=$G$33,INDEX('Batch'!$R$28:$R$51,Z17),NA())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IF(16&lt;=$G$33,MATCH(16,'Batch'!$W$28:$W$51,0),"")</f>
        <v>0</v>
      </c>
      <c r="AA17">
        <v>16</v>
      </c>
      <c r="AB17">
        <f>IF(16&lt;=$G$34,TEXT(HOUR(INDEX('Batch'!$C$28:$C$51,AI17)),"00")&amp;":"&amp;TEXT(MINUTE(INDEX('Batch'!$C$28:$C$51,AI17)),"00")&amp;CHAR(10)&amp;TEXT(DAY(INDEX('Batch'!$C$28:$C$51,AI17)),"00")&amp;"/"&amp;TEXT(MONTH(INDEX('Batch'!$C$28:$C$51,AI17)),"00"),IF(16=$G$34+1,"Média",""))</f>
        <v>0</v>
      </c>
      <c r="AC17">
        <f>IF(16&lt;=$G$34,INDEX('Batch'!$K$28:$K$51,AI17),IF(AND(16=$G$34+1,ISNUMBER($B$34)),$B$34,NA()))</f>
        <v>0</v>
      </c>
      <c r="AD17">
        <f>IF(16&lt;=$G$34,INDEX('Batch'!$L$28:$L$51,AI17),IF(AND(16=$G$34+1,ISNUMBER($C$34)),$C$34,NA()))</f>
        <v>0</v>
      </c>
      <c r="AE17">
        <f>IF(16&lt;=$G$34,INDEX('Batch'!$S$28:$S$51,AI17),NA())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IF(16&lt;=$G$34,MATCH(16,'Batch'!$X$28:$X$51,0),"")</f>
        <v>0</v>
      </c>
      <c r="AJ17">
        <v>16</v>
      </c>
      <c r="AK17">
        <f>IF(16&lt;=$G$35,TEXT(HOUR(INDEX('Batch'!$C$28:$C$51,AR17)),"00")&amp;":"&amp;TEXT(MINUTE(INDEX('Batch'!$C$28:$C$51,AR17)),"00")&amp;CHAR(10)&amp;TEXT(DAY(INDEX('Batch'!$C$28:$C$51,AR17)),"00")&amp;"/"&amp;TEXT(MONTH(INDEX('Batch'!$C$28:$C$51,AR17)),"00"),IF(16=$G$35+1,"Média",""))</f>
        <v>0</v>
      </c>
      <c r="AL17">
        <f>IF(16&lt;=$G$35,INDEX('Batch'!$M$28:$M$51,AR17),IF(AND(16=$G$35+1,ISNUMBER($B$35)),$B$35,NA()))</f>
        <v>0</v>
      </c>
      <c r="AM17">
        <f>IF(16&lt;=$G$35,INDEX('Batch'!$N$28:$N$51,AR17),IF(AND(16=$G$35+1,ISNUMBER($C$35)),$C$35,NA()))</f>
        <v>0</v>
      </c>
      <c r="AN17">
        <f>IF(16&lt;=$G$35,INDEX('Batch'!$T$28:$T$51,AR17),NA())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IF(16&lt;=$G$35,MATCH(16,'Batch'!$Y$28:$Y$51,0),"")</f>
        <v>0</v>
      </c>
      <c r="AS17">
        <v>16</v>
      </c>
    </row>
    <row r="18" spans="1:45">
      <c r="A18">
        <f>IF(17&lt;=$G$31,TEXT(HOUR(INDEX('Batch'!$C$28:$C$51,H18)),"00")&amp;":"&amp;TEXT(MINUTE(INDEX('Batch'!$C$28:$C$51,H18)),"00")&amp;CHAR(10)&amp;TEXT(DAY(INDEX('Batch'!$C$28:$C$51,H18)),"00")&amp;"/"&amp;TEXT(MONTH(INDEX('Batch'!$C$28:$C$51,H18)),"00"),IF(17=$G$31+1,"Média",""))</f>
        <v>0</v>
      </c>
      <c r="B18">
        <f>IF(17&lt;=$G$31,INDEX('Batch'!$E$28:$E$51,H18),IF(AND(17=$G$31+1,ISNUMBER($B$31)),$B$31,NA()))</f>
        <v>0</v>
      </c>
      <c r="C18">
        <f>IF(17&lt;=$G$31,INDEX('Batch'!$F$28:$F$51,H18),IF(AND(17=$G$31+1,ISNUMBER($C$31)),$C$31,NA()))</f>
        <v>0</v>
      </c>
      <c r="D18">
        <f>IF(17&lt;=$G$31,INDEX('Batch'!$P$28:$P$51,H18),NA())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IF(17&lt;=$G$31,MATCH(17,'Batch'!$U$28:$U$51,0),"")</f>
        <v>0</v>
      </c>
      <c r="I18">
        <v>17</v>
      </c>
      <c r="J18">
        <f>IF(17&lt;=$G$32,TEXT(HOUR(INDEX('Batch'!$C$28:$C$51,Q18)),"00")&amp;":"&amp;TEXT(MINUTE(INDEX('Batch'!$C$28:$C$51,Q18)),"00")&amp;CHAR(10)&amp;TEXT(DAY(INDEX('Batch'!$C$28:$C$51,Q18)),"00")&amp;"/"&amp;TEXT(MONTH(INDEX('Batch'!$C$28:$C$51,Q18)),"00"),IF(17=$G$32+1,"Média",""))</f>
        <v>0</v>
      </c>
      <c r="K18">
        <f>IF(17&lt;=$G$32,INDEX('Batch'!$G$28:$G$51,Q18),IF(AND(17=$G$32+1,ISNUMBER($B$32)),$B$32,NA()))</f>
        <v>0</v>
      </c>
      <c r="L18">
        <f>IF(17&lt;=$G$32,INDEX('Batch'!$H$28:$H$51,Q18),IF(AND(17=$G$32+1,ISNUMBER($C$32)),$C$32,NA()))</f>
        <v>0</v>
      </c>
      <c r="M18">
        <f>IF(17&lt;=$G$32,INDEX('Batch'!$Q$28:$Q$51,Q18),NA())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IF(17&lt;=$G$32,MATCH(17,'Batch'!$V$28:$V$51,0),"")</f>
        <v>0</v>
      </c>
      <c r="R18">
        <v>17</v>
      </c>
      <c r="S18">
        <f>IF(17&lt;=$G$33,TEXT(HOUR(INDEX('Batch'!$C$28:$C$51,Z18)),"00")&amp;":"&amp;TEXT(MINUTE(INDEX('Batch'!$C$28:$C$51,Z18)),"00")&amp;CHAR(10)&amp;TEXT(DAY(INDEX('Batch'!$C$28:$C$51,Z18)),"00")&amp;"/"&amp;TEXT(MONTH(INDEX('Batch'!$C$28:$C$51,Z18)),"00"),IF(17=$G$33+1,"Média",""))</f>
        <v>0</v>
      </c>
      <c r="T18">
        <f>IF(17&lt;=$G$33,INDEX('Batch'!$I$28:$I$51,Z18),IF(AND(17=$G$33+1,ISNUMBER($B$33)),$B$33,NA()))</f>
        <v>0</v>
      </c>
      <c r="U18">
        <f>IF(17&lt;=$G$33,INDEX('Batch'!$J$28:$J$51,Z18),IF(AND(17=$G$33+1,ISNUMBER($C$33)),$C$33,NA()))</f>
        <v>0</v>
      </c>
      <c r="V18">
        <f>IF(17&lt;=$G$33,INDEX('Batch'!$R$28:$R$51,Z18),NA())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IF(17&lt;=$G$33,MATCH(17,'Batch'!$W$28:$W$51,0),"")</f>
        <v>0</v>
      </c>
      <c r="AA18">
        <v>17</v>
      </c>
      <c r="AB18">
        <f>IF(17&lt;=$G$34,TEXT(HOUR(INDEX('Batch'!$C$28:$C$51,AI18)),"00")&amp;":"&amp;TEXT(MINUTE(INDEX('Batch'!$C$28:$C$51,AI18)),"00")&amp;CHAR(10)&amp;TEXT(DAY(INDEX('Batch'!$C$28:$C$51,AI18)),"00")&amp;"/"&amp;TEXT(MONTH(INDEX('Batch'!$C$28:$C$51,AI18)),"00"),IF(17=$G$34+1,"Média",""))</f>
        <v>0</v>
      </c>
      <c r="AC18">
        <f>IF(17&lt;=$G$34,INDEX('Batch'!$K$28:$K$51,AI18),IF(AND(17=$G$34+1,ISNUMBER($B$34)),$B$34,NA()))</f>
        <v>0</v>
      </c>
      <c r="AD18">
        <f>IF(17&lt;=$G$34,INDEX('Batch'!$L$28:$L$51,AI18),IF(AND(17=$G$34+1,ISNUMBER($C$34)),$C$34,NA()))</f>
        <v>0</v>
      </c>
      <c r="AE18">
        <f>IF(17&lt;=$G$34,INDEX('Batch'!$S$28:$S$51,AI18),NA())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IF(17&lt;=$G$34,MATCH(17,'Batch'!$X$28:$X$51,0),"")</f>
        <v>0</v>
      </c>
      <c r="AJ18">
        <v>17</v>
      </c>
      <c r="AK18">
        <f>IF(17&lt;=$G$35,TEXT(HOUR(INDEX('Batch'!$C$28:$C$51,AR18)),"00")&amp;":"&amp;TEXT(MINUTE(INDEX('Batch'!$C$28:$C$51,AR18)),"00")&amp;CHAR(10)&amp;TEXT(DAY(INDEX('Batch'!$C$28:$C$51,AR18)),"00")&amp;"/"&amp;TEXT(MONTH(INDEX('Batch'!$C$28:$C$51,AR18)),"00"),IF(17=$G$35+1,"Média",""))</f>
        <v>0</v>
      </c>
      <c r="AL18">
        <f>IF(17&lt;=$G$35,INDEX('Batch'!$M$28:$M$51,AR18),IF(AND(17=$G$35+1,ISNUMBER($B$35)),$B$35,NA()))</f>
        <v>0</v>
      </c>
      <c r="AM18">
        <f>IF(17&lt;=$G$35,INDEX('Batch'!$N$28:$N$51,AR18),IF(AND(17=$G$35+1,ISNUMBER($C$35)),$C$35,NA()))</f>
        <v>0</v>
      </c>
      <c r="AN18">
        <f>IF(17&lt;=$G$35,INDEX('Batch'!$T$28:$T$51,AR18),NA())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IF(17&lt;=$G$35,MATCH(17,'Batch'!$Y$28:$Y$51,0),"")</f>
        <v>0</v>
      </c>
      <c r="AS18">
        <v>17</v>
      </c>
    </row>
    <row r="19" spans="1:45">
      <c r="A19">
        <f>IF(18&lt;=$G$31,TEXT(HOUR(INDEX('Batch'!$C$28:$C$51,H19)),"00")&amp;":"&amp;TEXT(MINUTE(INDEX('Batch'!$C$28:$C$51,H19)),"00")&amp;CHAR(10)&amp;TEXT(DAY(INDEX('Batch'!$C$28:$C$51,H19)),"00")&amp;"/"&amp;TEXT(MONTH(INDEX('Batch'!$C$28:$C$51,H19)),"00"),IF(18=$G$31+1,"Média",""))</f>
        <v>0</v>
      </c>
      <c r="B19">
        <f>IF(18&lt;=$G$31,INDEX('Batch'!$E$28:$E$51,H19),IF(AND(18=$G$31+1,ISNUMBER($B$31)),$B$31,NA()))</f>
        <v>0</v>
      </c>
      <c r="C19">
        <f>IF(18&lt;=$G$31,INDEX('Batch'!$F$28:$F$51,H19),IF(AND(18=$G$31+1,ISNUMBER($C$31)),$C$31,NA()))</f>
        <v>0</v>
      </c>
      <c r="D19">
        <f>IF(18&lt;=$G$31,INDEX('Batch'!$P$28:$P$51,H19),NA())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IF(18&lt;=$G$31,MATCH(18,'Batch'!$U$28:$U$51,0),"")</f>
        <v>0</v>
      </c>
      <c r="I19">
        <v>18</v>
      </c>
      <c r="J19">
        <f>IF(18&lt;=$G$32,TEXT(HOUR(INDEX('Batch'!$C$28:$C$51,Q19)),"00")&amp;":"&amp;TEXT(MINUTE(INDEX('Batch'!$C$28:$C$51,Q19)),"00")&amp;CHAR(10)&amp;TEXT(DAY(INDEX('Batch'!$C$28:$C$51,Q19)),"00")&amp;"/"&amp;TEXT(MONTH(INDEX('Batch'!$C$28:$C$51,Q19)),"00"),IF(18=$G$32+1,"Média",""))</f>
        <v>0</v>
      </c>
      <c r="K19">
        <f>IF(18&lt;=$G$32,INDEX('Batch'!$G$28:$G$51,Q19),IF(AND(18=$G$32+1,ISNUMBER($B$32)),$B$32,NA()))</f>
        <v>0</v>
      </c>
      <c r="L19">
        <f>IF(18&lt;=$G$32,INDEX('Batch'!$H$28:$H$51,Q19),IF(AND(18=$G$32+1,ISNUMBER($C$32)),$C$32,NA()))</f>
        <v>0</v>
      </c>
      <c r="M19">
        <f>IF(18&lt;=$G$32,INDEX('Batch'!$Q$28:$Q$51,Q19),NA())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IF(18&lt;=$G$32,MATCH(18,'Batch'!$V$28:$V$51,0),"")</f>
        <v>0</v>
      </c>
      <c r="R19">
        <v>18</v>
      </c>
      <c r="S19">
        <f>IF(18&lt;=$G$33,TEXT(HOUR(INDEX('Batch'!$C$28:$C$51,Z19)),"00")&amp;":"&amp;TEXT(MINUTE(INDEX('Batch'!$C$28:$C$51,Z19)),"00")&amp;CHAR(10)&amp;TEXT(DAY(INDEX('Batch'!$C$28:$C$51,Z19)),"00")&amp;"/"&amp;TEXT(MONTH(INDEX('Batch'!$C$28:$C$51,Z19)),"00"),IF(18=$G$33+1,"Média",""))</f>
        <v>0</v>
      </c>
      <c r="T19">
        <f>IF(18&lt;=$G$33,INDEX('Batch'!$I$28:$I$51,Z19),IF(AND(18=$G$33+1,ISNUMBER($B$33)),$B$33,NA()))</f>
        <v>0</v>
      </c>
      <c r="U19">
        <f>IF(18&lt;=$G$33,INDEX('Batch'!$J$28:$J$51,Z19),IF(AND(18=$G$33+1,ISNUMBER($C$33)),$C$33,NA()))</f>
        <v>0</v>
      </c>
      <c r="V19">
        <f>IF(18&lt;=$G$33,INDEX('Batch'!$R$28:$R$51,Z19),NA())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IF(18&lt;=$G$33,MATCH(18,'Batch'!$W$28:$W$51,0),"")</f>
        <v>0</v>
      </c>
      <c r="AA19">
        <v>18</v>
      </c>
      <c r="AB19">
        <f>IF(18&lt;=$G$34,TEXT(HOUR(INDEX('Batch'!$C$28:$C$51,AI19)),"00")&amp;":"&amp;TEXT(MINUTE(INDEX('Batch'!$C$28:$C$51,AI19)),"00")&amp;CHAR(10)&amp;TEXT(DAY(INDEX('Batch'!$C$28:$C$51,AI19)),"00")&amp;"/"&amp;TEXT(MONTH(INDEX('Batch'!$C$28:$C$51,AI19)),"00"),IF(18=$G$34+1,"Média",""))</f>
        <v>0</v>
      </c>
      <c r="AC19">
        <f>IF(18&lt;=$G$34,INDEX('Batch'!$K$28:$K$51,AI19),IF(AND(18=$G$34+1,ISNUMBER($B$34)),$B$34,NA()))</f>
        <v>0</v>
      </c>
      <c r="AD19">
        <f>IF(18&lt;=$G$34,INDEX('Batch'!$L$28:$L$51,AI19),IF(AND(18=$G$34+1,ISNUMBER($C$34)),$C$34,NA()))</f>
        <v>0</v>
      </c>
      <c r="AE19">
        <f>IF(18&lt;=$G$34,INDEX('Batch'!$S$28:$S$51,AI19),NA())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IF(18&lt;=$G$34,MATCH(18,'Batch'!$X$28:$X$51,0),"")</f>
        <v>0</v>
      </c>
      <c r="AJ19">
        <v>18</v>
      </c>
      <c r="AK19">
        <f>IF(18&lt;=$G$35,TEXT(HOUR(INDEX('Batch'!$C$28:$C$51,AR19)),"00")&amp;":"&amp;TEXT(MINUTE(INDEX('Batch'!$C$28:$C$51,AR19)),"00")&amp;CHAR(10)&amp;TEXT(DAY(INDEX('Batch'!$C$28:$C$51,AR19)),"00")&amp;"/"&amp;TEXT(MONTH(INDEX('Batch'!$C$28:$C$51,AR19)),"00"),IF(18=$G$35+1,"Média",""))</f>
        <v>0</v>
      </c>
      <c r="AL19">
        <f>IF(18&lt;=$G$35,INDEX('Batch'!$M$28:$M$51,AR19),IF(AND(18=$G$35+1,ISNUMBER($B$35)),$B$35,NA()))</f>
        <v>0</v>
      </c>
      <c r="AM19">
        <f>IF(18&lt;=$G$35,INDEX('Batch'!$N$28:$N$51,AR19),IF(AND(18=$G$35+1,ISNUMBER($C$35)),$C$35,NA()))</f>
        <v>0</v>
      </c>
      <c r="AN19">
        <f>IF(18&lt;=$G$35,INDEX('Batch'!$T$28:$T$51,AR19),NA())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IF(18&lt;=$G$35,MATCH(18,'Batch'!$Y$28:$Y$51,0),"")</f>
        <v>0</v>
      </c>
      <c r="AS19">
        <v>18</v>
      </c>
    </row>
    <row r="20" spans="1:45">
      <c r="A20">
        <f>IF(19&lt;=$G$31,TEXT(HOUR(INDEX('Batch'!$C$28:$C$51,H20)),"00")&amp;":"&amp;TEXT(MINUTE(INDEX('Batch'!$C$28:$C$51,H20)),"00")&amp;CHAR(10)&amp;TEXT(DAY(INDEX('Batch'!$C$28:$C$51,H20)),"00")&amp;"/"&amp;TEXT(MONTH(INDEX('Batch'!$C$28:$C$51,H20)),"00"),IF(19=$G$31+1,"Média",""))</f>
        <v>0</v>
      </c>
      <c r="B20">
        <f>IF(19&lt;=$G$31,INDEX('Batch'!$E$28:$E$51,H20),IF(AND(19=$G$31+1,ISNUMBER($B$31)),$B$31,NA()))</f>
        <v>0</v>
      </c>
      <c r="C20">
        <f>IF(19&lt;=$G$31,INDEX('Batch'!$F$28:$F$51,H20),IF(AND(19=$G$31+1,ISNUMBER($C$31)),$C$31,NA()))</f>
        <v>0</v>
      </c>
      <c r="D20">
        <f>IF(19&lt;=$G$31,INDEX('Batch'!$P$28:$P$51,H20),NA())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IF(19&lt;=$G$31,MATCH(19,'Batch'!$U$28:$U$51,0),"")</f>
        <v>0</v>
      </c>
      <c r="I20">
        <v>19</v>
      </c>
      <c r="J20">
        <f>IF(19&lt;=$G$32,TEXT(HOUR(INDEX('Batch'!$C$28:$C$51,Q20)),"00")&amp;":"&amp;TEXT(MINUTE(INDEX('Batch'!$C$28:$C$51,Q20)),"00")&amp;CHAR(10)&amp;TEXT(DAY(INDEX('Batch'!$C$28:$C$51,Q20)),"00")&amp;"/"&amp;TEXT(MONTH(INDEX('Batch'!$C$28:$C$51,Q20)),"00"),IF(19=$G$32+1,"Média",""))</f>
        <v>0</v>
      </c>
      <c r="K20">
        <f>IF(19&lt;=$G$32,INDEX('Batch'!$G$28:$G$51,Q20),IF(AND(19=$G$32+1,ISNUMBER($B$32)),$B$32,NA()))</f>
        <v>0</v>
      </c>
      <c r="L20">
        <f>IF(19&lt;=$G$32,INDEX('Batch'!$H$28:$H$51,Q20),IF(AND(19=$G$32+1,ISNUMBER($C$32)),$C$32,NA()))</f>
        <v>0</v>
      </c>
      <c r="M20">
        <f>IF(19&lt;=$G$32,INDEX('Batch'!$Q$28:$Q$51,Q20),NA())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IF(19&lt;=$G$32,MATCH(19,'Batch'!$V$28:$V$51,0),"")</f>
        <v>0</v>
      </c>
      <c r="R20">
        <v>19</v>
      </c>
      <c r="S20">
        <f>IF(19&lt;=$G$33,TEXT(HOUR(INDEX('Batch'!$C$28:$C$51,Z20)),"00")&amp;":"&amp;TEXT(MINUTE(INDEX('Batch'!$C$28:$C$51,Z20)),"00")&amp;CHAR(10)&amp;TEXT(DAY(INDEX('Batch'!$C$28:$C$51,Z20)),"00")&amp;"/"&amp;TEXT(MONTH(INDEX('Batch'!$C$28:$C$51,Z20)),"00"),IF(19=$G$33+1,"Média",""))</f>
        <v>0</v>
      </c>
      <c r="T20">
        <f>IF(19&lt;=$G$33,INDEX('Batch'!$I$28:$I$51,Z20),IF(AND(19=$G$33+1,ISNUMBER($B$33)),$B$33,NA()))</f>
        <v>0</v>
      </c>
      <c r="U20">
        <f>IF(19&lt;=$G$33,INDEX('Batch'!$J$28:$J$51,Z20),IF(AND(19=$G$33+1,ISNUMBER($C$33)),$C$33,NA()))</f>
        <v>0</v>
      </c>
      <c r="V20">
        <f>IF(19&lt;=$G$33,INDEX('Batch'!$R$28:$R$51,Z20),NA())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IF(19&lt;=$G$33,MATCH(19,'Batch'!$W$28:$W$51,0),"")</f>
        <v>0</v>
      </c>
      <c r="AA20">
        <v>19</v>
      </c>
      <c r="AB20">
        <f>IF(19&lt;=$G$34,TEXT(HOUR(INDEX('Batch'!$C$28:$C$51,AI20)),"00")&amp;":"&amp;TEXT(MINUTE(INDEX('Batch'!$C$28:$C$51,AI20)),"00")&amp;CHAR(10)&amp;TEXT(DAY(INDEX('Batch'!$C$28:$C$51,AI20)),"00")&amp;"/"&amp;TEXT(MONTH(INDEX('Batch'!$C$28:$C$51,AI20)),"00"),IF(19=$G$34+1,"Média",""))</f>
        <v>0</v>
      </c>
      <c r="AC20">
        <f>IF(19&lt;=$G$34,INDEX('Batch'!$K$28:$K$51,AI20),IF(AND(19=$G$34+1,ISNUMBER($B$34)),$B$34,NA()))</f>
        <v>0</v>
      </c>
      <c r="AD20">
        <f>IF(19&lt;=$G$34,INDEX('Batch'!$L$28:$L$51,AI20),IF(AND(19=$G$34+1,ISNUMBER($C$34)),$C$34,NA()))</f>
        <v>0</v>
      </c>
      <c r="AE20">
        <f>IF(19&lt;=$G$34,INDEX('Batch'!$S$28:$S$51,AI20),NA())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IF(19&lt;=$G$34,MATCH(19,'Batch'!$X$28:$X$51,0),"")</f>
        <v>0</v>
      </c>
      <c r="AJ20">
        <v>19</v>
      </c>
      <c r="AK20">
        <f>IF(19&lt;=$G$35,TEXT(HOUR(INDEX('Batch'!$C$28:$C$51,AR20)),"00")&amp;":"&amp;TEXT(MINUTE(INDEX('Batch'!$C$28:$C$51,AR20)),"00")&amp;CHAR(10)&amp;TEXT(DAY(INDEX('Batch'!$C$28:$C$51,AR20)),"00")&amp;"/"&amp;TEXT(MONTH(INDEX('Batch'!$C$28:$C$51,AR20)),"00"),IF(19=$G$35+1,"Média",""))</f>
        <v>0</v>
      </c>
      <c r="AL20">
        <f>IF(19&lt;=$G$35,INDEX('Batch'!$M$28:$M$51,AR20),IF(AND(19=$G$35+1,ISNUMBER($B$35)),$B$35,NA()))</f>
        <v>0</v>
      </c>
      <c r="AM20">
        <f>IF(19&lt;=$G$35,INDEX('Batch'!$N$28:$N$51,AR20),IF(AND(19=$G$35+1,ISNUMBER($C$35)),$C$35,NA()))</f>
        <v>0</v>
      </c>
      <c r="AN20">
        <f>IF(19&lt;=$G$35,INDEX('Batch'!$T$28:$T$51,AR20),NA())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IF(19&lt;=$G$35,MATCH(19,'Batch'!$Y$28:$Y$51,0),"")</f>
        <v>0</v>
      </c>
      <c r="AS20">
        <v>19</v>
      </c>
    </row>
    <row r="21" spans="1:45">
      <c r="A21">
        <f>IF(20&lt;=$G$31,TEXT(HOUR(INDEX('Batch'!$C$28:$C$51,H21)),"00")&amp;":"&amp;TEXT(MINUTE(INDEX('Batch'!$C$28:$C$51,H21)),"00")&amp;CHAR(10)&amp;TEXT(DAY(INDEX('Batch'!$C$28:$C$51,H21)),"00")&amp;"/"&amp;TEXT(MONTH(INDEX('Batch'!$C$28:$C$51,H21)),"00"),IF(20=$G$31+1,"Média",""))</f>
        <v>0</v>
      </c>
      <c r="B21">
        <f>IF(20&lt;=$G$31,INDEX('Batch'!$E$28:$E$51,H21),IF(AND(20=$G$31+1,ISNUMBER($B$31)),$B$31,NA()))</f>
        <v>0</v>
      </c>
      <c r="C21">
        <f>IF(20&lt;=$G$31,INDEX('Batch'!$F$28:$F$51,H21),IF(AND(20=$G$31+1,ISNUMBER($C$31)),$C$31,NA()))</f>
        <v>0</v>
      </c>
      <c r="D21">
        <f>IF(20&lt;=$G$31,INDEX('Batch'!$P$28:$P$51,H21),NA())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IF(20&lt;=$G$31,MATCH(20,'Batch'!$U$28:$U$51,0),"")</f>
        <v>0</v>
      </c>
      <c r="I21">
        <v>20</v>
      </c>
      <c r="J21">
        <f>IF(20&lt;=$G$32,TEXT(HOUR(INDEX('Batch'!$C$28:$C$51,Q21)),"00")&amp;":"&amp;TEXT(MINUTE(INDEX('Batch'!$C$28:$C$51,Q21)),"00")&amp;CHAR(10)&amp;TEXT(DAY(INDEX('Batch'!$C$28:$C$51,Q21)),"00")&amp;"/"&amp;TEXT(MONTH(INDEX('Batch'!$C$28:$C$51,Q21)),"00"),IF(20=$G$32+1,"Média",""))</f>
        <v>0</v>
      </c>
      <c r="K21">
        <f>IF(20&lt;=$G$32,INDEX('Batch'!$G$28:$G$51,Q21),IF(AND(20=$G$32+1,ISNUMBER($B$32)),$B$32,NA()))</f>
        <v>0</v>
      </c>
      <c r="L21">
        <f>IF(20&lt;=$G$32,INDEX('Batch'!$H$28:$H$51,Q21),IF(AND(20=$G$32+1,ISNUMBER($C$32)),$C$32,NA()))</f>
        <v>0</v>
      </c>
      <c r="M21">
        <f>IF(20&lt;=$G$32,INDEX('Batch'!$Q$28:$Q$51,Q21),NA())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IF(20&lt;=$G$32,MATCH(20,'Batch'!$V$28:$V$51,0),"")</f>
        <v>0</v>
      </c>
      <c r="R21">
        <v>20</v>
      </c>
      <c r="S21">
        <f>IF(20&lt;=$G$33,TEXT(HOUR(INDEX('Batch'!$C$28:$C$51,Z21)),"00")&amp;":"&amp;TEXT(MINUTE(INDEX('Batch'!$C$28:$C$51,Z21)),"00")&amp;CHAR(10)&amp;TEXT(DAY(INDEX('Batch'!$C$28:$C$51,Z21)),"00")&amp;"/"&amp;TEXT(MONTH(INDEX('Batch'!$C$28:$C$51,Z21)),"00"),IF(20=$G$33+1,"Média",""))</f>
        <v>0</v>
      </c>
      <c r="T21">
        <f>IF(20&lt;=$G$33,INDEX('Batch'!$I$28:$I$51,Z21),IF(AND(20=$G$33+1,ISNUMBER($B$33)),$B$33,NA()))</f>
        <v>0</v>
      </c>
      <c r="U21">
        <f>IF(20&lt;=$G$33,INDEX('Batch'!$J$28:$J$51,Z21),IF(AND(20=$G$33+1,ISNUMBER($C$33)),$C$33,NA()))</f>
        <v>0</v>
      </c>
      <c r="V21">
        <f>IF(20&lt;=$G$33,INDEX('Batch'!$R$28:$R$51,Z21),NA())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IF(20&lt;=$G$33,MATCH(20,'Batch'!$W$28:$W$51,0),"")</f>
        <v>0</v>
      </c>
      <c r="AA21">
        <v>20</v>
      </c>
      <c r="AB21">
        <f>IF(20&lt;=$G$34,TEXT(HOUR(INDEX('Batch'!$C$28:$C$51,AI21)),"00")&amp;":"&amp;TEXT(MINUTE(INDEX('Batch'!$C$28:$C$51,AI21)),"00")&amp;CHAR(10)&amp;TEXT(DAY(INDEX('Batch'!$C$28:$C$51,AI21)),"00")&amp;"/"&amp;TEXT(MONTH(INDEX('Batch'!$C$28:$C$51,AI21)),"00"),IF(20=$G$34+1,"Média",""))</f>
        <v>0</v>
      </c>
      <c r="AC21">
        <f>IF(20&lt;=$G$34,INDEX('Batch'!$K$28:$K$51,AI21),IF(AND(20=$G$34+1,ISNUMBER($B$34)),$B$34,NA()))</f>
        <v>0</v>
      </c>
      <c r="AD21">
        <f>IF(20&lt;=$G$34,INDEX('Batch'!$L$28:$L$51,AI21),IF(AND(20=$G$34+1,ISNUMBER($C$34)),$C$34,NA()))</f>
        <v>0</v>
      </c>
      <c r="AE21">
        <f>IF(20&lt;=$G$34,INDEX('Batch'!$S$28:$S$51,AI21),NA())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IF(20&lt;=$G$34,MATCH(20,'Batch'!$X$28:$X$51,0),"")</f>
        <v>0</v>
      </c>
      <c r="AJ21">
        <v>20</v>
      </c>
      <c r="AK21">
        <f>IF(20&lt;=$G$35,TEXT(HOUR(INDEX('Batch'!$C$28:$C$51,AR21)),"00")&amp;":"&amp;TEXT(MINUTE(INDEX('Batch'!$C$28:$C$51,AR21)),"00")&amp;CHAR(10)&amp;TEXT(DAY(INDEX('Batch'!$C$28:$C$51,AR21)),"00")&amp;"/"&amp;TEXT(MONTH(INDEX('Batch'!$C$28:$C$51,AR21)),"00"),IF(20=$G$35+1,"Média",""))</f>
        <v>0</v>
      </c>
      <c r="AL21">
        <f>IF(20&lt;=$G$35,INDEX('Batch'!$M$28:$M$51,AR21),IF(AND(20=$G$35+1,ISNUMBER($B$35)),$B$35,NA()))</f>
        <v>0</v>
      </c>
      <c r="AM21">
        <f>IF(20&lt;=$G$35,INDEX('Batch'!$N$28:$N$51,AR21),IF(AND(20=$G$35+1,ISNUMBER($C$35)),$C$35,NA()))</f>
        <v>0</v>
      </c>
      <c r="AN21">
        <f>IF(20&lt;=$G$35,INDEX('Batch'!$T$28:$T$51,AR21),NA())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IF(20&lt;=$G$35,MATCH(20,'Batch'!$Y$28:$Y$51,0),"")</f>
        <v>0</v>
      </c>
      <c r="AS21">
        <v>20</v>
      </c>
    </row>
    <row r="22" spans="1:45">
      <c r="A22">
        <f>IF(21&lt;=$G$31,TEXT(HOUR(INDEX('Batch'!$C$28:$C$51,H22)),"00")&amp;":"&amp;TEXT(MINUTE(INDEX('Batch'!$C$28:$C$51,H22)),"00")&amp;CHAR(10)&amp;TEXT(DAY(INDEX('Batch'!$C$28:$C$51,H22)),"00")&amp;"/"&amp;TEXT(MONTH(INDEX('Batch'!$C$28:$C$51,H22)),"00"),IF(21=$G$31+1,"Média",""))</f>
        <v>0</v>
      </c>
      <c r="B22">
        <f>IF(21&lt;=$G$31,INDEX('Batch'!$E$28:$E$51,H22),IF(AND(21=$G$31+1,ISNUMBER($B$31)),$B$31,NA()))</f>
        <v>0</v>
      </c>
      <c r="C22">
        <f>IF(21&lt;=$G$31,INDEX('Batch'!$F$28:$F$51,H22),IF(AND(21=$G$31+1,ISNUMBER($C$31)),$C$31,NA()))</f>
        <v>0</v>
      </c>
      <c r="D22">
        <f>IF(21&lt;=$G$31,INDEX('Batch'!$P$28:$P$51,H22),NA())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IF(21&lt;=$G$31,MATCH(21,'Batch'!$U$28:$U$51,0),"")</f>
        <v>0</v>
      </c>
      <c r="I22">
        <v>21</v>
      </c>
      <c r="J22">
        <f>IF(21&lt;=$G$32,TEXT(HOUR(INDEX('Batch'!$C$28:$C$51,Q22)),"00")&amp;":"&amp;TEXT(MINUTE(INDEX('Batch'!$C$28:$C$51,Q22)),"00")&amp;CHAR(10)&amp;TEXT(DAY(INDEX('Batch'!$C$28:$C$51,Q22)),"00")&amp;"/"&amp;TEXT(MONTH(INDEX('Batch'!$C$28:$C$51,Q22)),"00"),IF(21=$G$32+1,"Média",""))</f>
        <v>0</v>
      </c>
      <c r="K22">
        <f>IF(21&lt;=$G$32,INDEX('Batch'!$G$28:$G$51,Q22),IF(AND(21=$G$32+1,ISNUMBER($B$32)),$B$32,NA()))</f>
        <v>0</v>
      </c>
      <c r="L22">
        <f>IF(21&lt;=$G$32,INDEX('Batch'!$H$28:$H$51,Q22),IF(AND(21=$G$32+1,ISNUMBER($C$32)),$C$32,NA()))</f>
        <v>0</v>
      </c>
      <c r="M22">
        <f>IF(21&lt;=$G$32,INDEX('Batch'!$Q$28:$Q$51,Q22),NA())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IF(21&lt;=$G$32,MATCH(21,'Batch'!$V$28:$V$51,0),"")</f>
        <v>0</v>
      </c>
      <c r="R22">
        <v>21</v>
      </c>
      <c r="S22">
        <f>IF(21&lt;=$G$33,TEXT(HOUR(INDEX('Batch'!$C$28:$C$51,Z22)),"00")&amp;":"&amp;TEXT(MINUTE(INDEX('Batch'!$C$28:$C$51,Z22)),"00")&amp;CHAR(10)&amp;TEXT(DAY(INDEX('Batch'!$C$28:$C$51,Z22)),"00")&amp;"/"&amp;TEXT(MONTH(INDEX('Batch'!$C$28:$C$51,Z22)),"00"),IF(21=$G$33+1,"Média",""))</f>
        <v>0</v>
      </c>
      <c r="T22">
        <f>IF(21&lt;=$G$33,INDEX('Batch'!$I$28:$I$51,Z22),IF(AND(21=$G$33+1,ISNUMBER($B$33)),$B$33,NA()))</f>
        <v>0</v>
      </c>
      <c r="U22">
        <f>IF(21&lt;=$G$33,INDEX('Batch'!$J$28:$J$51,Z22),IF(AND(21=$G$33+1,ISNUMBER($C$33)),$C$33,NA()))</f>
        <v>0</v>
      </c>
      <c r="V22">
        <f>IF(21&lt;=$G$33,INDEX('Batch'!$R$28:$R$51,Z22),NA())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IF(21&lt;=$G$33,MATCH(21,'Batch'!$W$28:$W$51,0),"")</f>
        <v>0</v>
      </c>
      <c r="AA22">
        <v>21</v>
      </c>
      <c r="AB22">
        <f>IF(21&lt;=$G$34,TEXT(HOUR(INDEX('Batch'!$C$28:$C$51,AI22)),"00")&amp;":"&amp;TEXT(MINUTE(INDEX('Batch'!$C$28:$C$51,AI22)),"00")&amp;CHAR(10)&amp;TEXT(DAY(INDEX('Batch'!$C$28:$C$51,AI22)),"00")&amp;"/"&amp;TEXT(MONTH(INDEX('Batch'!$C$28:$C$51,AI22)),"00"),IF(21=$G$34+1,"Média",""))</f>
        <v>0</v>
      </c>
      <c r="AC22">
        <f>IF(21&lt;=$G$34,INDEX('Batch'!$K$28:$K$51,AI22),IF(AND(21=$G$34+1,ISNUMBER($B$34)),$B$34,NA()))</f>
        <v>0</v>
      </c>
      <c r="AD22">
        <f>IF(21&lt;=$G$34,INDEX('Batch'!$L$28:$L$51,AI22),IF(AND(21=$G$34+1,ISNUMBER($C$34)),$C$34,NA()))</f>
        <v>0</v>
      </c>
      <c r="AE22">
        <f>IF(21&lt;=$G$34,INDEX('Batch'!$S$28:$S$51,AI22),NA())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IF(21&lt;=$G$34,MATCH(21,'Batch'!$X$28:$X$51,0),"")</f>
        <v>0</v>
      </c>
      <c r="AJ22">
        <v>21</v>
      </c>
      <c r="AK22">
        <f>IF(21&lt;=$G$35,TEXT(HOUR(INDEX('Batch'!$C$28:$C$51,AR22)),"00")&amp;":"&amp;TEXT(MINUTE(INDEX('Batch'!$C$28:$C$51,AR22)),"00")&amp;CHAR(10)&amp;TEXT(DAY(INDEX('Batch'!$C$28:$C$51,AR22)),"00")&amp;"/"&amp;TEXT(MONTH(INDEX('Batch'!$C$28:$C$51,AR22)),"00"),IF(21=$G$35+1,"Média",""))</f>
        <v>0</v>
      </c>
      <c r="AL22">
        <f>IF(21&lt;=$G$35,INDEX('Batch'!$M$28:$M$51,AR22),IF(AND(21=$G$35+1,ISNUMBER($B$35)),$B$35,NA()))</f>
        <v>0</v>
      </c>
      <c r="AM22">
        <f>IF(21&lt;=$G$35,INDEX('Batch'!$N$28:$N$51,AR22),IF(AND(21=$G$35+1,ISNUMBER($C$35)),$C$35,NA()))</f>
        <v>0</v>
      </c>
      <c r="AN22">
        <f>IF(21&lt;=$G$35,INDEX('Batch'!$T$28:$T$51,AR22),NA())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IF(21&lt;=$G$35,MATCH(21,'Batch'!$Y$28:$Y$51,0),"")</f>
        <v>0</v>
      </c>
      <c r="AS22">
        <v>21</v>
      </c>
    </row>
    <row r="23" spans="1:45">
      <c r="A23">
        <f>IF(22&lt;=$G$31,TEXT(HOUR(INDEX('Batch'!$C$28:$C$51,H23)),"00")&amp;":"&amp;TEXT(MINUTE(INDEX('Batch'!$C$28:$C$51,H23)),"00")&amp;CHAR(10)&amp;TEXT(DAY(INDEX('Batch'!$C$28:$C$51,H23)),"00")&amp;"/"&amp;TEXT(MONTH(INDEX('Batch'!$C$28:$C$51,H23)),"00"),IF(22=$G$31+1,"Média",""))</f>
        <v>0</v>
      </c>
      <c r="B23">
        <f>IF(22&lt;=$G$31,INDEX('Batch'!$E$28:$E$51,H23),IF(AND(22=$G$31+1,ISNUMBER($B$31)),$B$31,NA()))</f>
        <v>0</v>
      </c>
      <c r="C23">
        <f>IF(22&lt;=$G$31,INDEX('Batch'!$F$28:$F$51,H23),IF(AND(22=$G$31+1,ISNUMBER($C$31)),$C$31,NA()))</f>
        <v>0</v>
      </c>
      <c r="D23">
        <f>IF(22&lt;=$G$31,INDEX('Batch'!$P$28:$P$51,H23),NA())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IF(22&lt;=$G$31,MATCH(22,'Batch'!$U$28:$U$51,0),"")</f>
        <v>0</v>
      </c>
      <c r="I23">
        <v>22</v>
      </c>
      <c r="J23">
        <f>IF(22&lt;=$G$32,TEXT(HOUR(INDEX('Batch'!$C$28:$C$51,Q23)),"00")&amp;":"&amp;TEXT(MINUTE(INDEX('Batch'!$C$28:$C$51,Q23)),"00")&amp;CHAR(10)&amp;TEXT(DAY(INDEX('Batch'!$C$28:$C$51,Q23)),"00")&amp;"/"&amp;TEXT(MONTH(INDEX('Batch'!$C$28:$C$51,Q23)),"00"),IF(22=$G$32+1,"Média",""))</f>
        <v>0</v>
      </c>
      <c r="K23">
        <f>IF(22&lt;=$G$32,INDEX('Batch'!$G$28:$G$51,Q23),IF(AND(22=$G$32+1,ISNUMBER($B$32)),$B$32,NA()))</f>
        <v>0</v>
      </c>
      <c r="L23">
        <f>IF(22&lt;=$G$32,INDEX('Batch'!$H$28:$H$51,Q23),IF(AND(22=$G$32+1,ISNUMBER($C$32)),$C$32,NA()))</f>
        <v>0</v>
      </c>
      <c r="M23">
        <f>IF(22&lt;=$G$32,INDEX('Batch'!$Q$28:$Q$51,Q23),NA())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IF(22&lt;=$G$32,MATCH(22,'Batch'!$V$28:$V$51,0),"")</f>
        <v>0</v>
      </c>
      <c r="R23">
        <v>22</v>
      </c>
      <c r="S23">
        <f>IF(22&lt;=$G$33,TEXT(HOUR(INDEX('Batch'!$C$28:$C$51,Z23)),"00")&amp;":"&amp;TEXT(MINUTE(INDEX('Batch'!$C$28:$C$51,Z23)),"00")&amp;CHAR(10)&amp;TEXT(DAY(INDEX('Batch'!$C$28:$C$51,Z23)),"00")&amp;"/"&amp;TEXT(MONTH(INDEX('Batch'!$C$28:$C$51,Z23)),"00"),IF(22=$G$33+1,"Média",""))</f>
        <v>0</v>
      </c>
      <c r="T23">
        <f>IF(22&lt;=$G$33,INDEX('Batch'!$I$28:$I$51,Z23),IF(AND(22=$G$33+1,ISNUMBER($B$33)),$B$33,NA()))</f>
        <v>0</v>
      </c>
      <c r="U23">
        <f>IF(22&lt;=$G$33,INDEX('Batch'!$J$28:$J$51,Z23),IF(AND(22=$G$33+1,ISNUMBER($C$33)),$C$33,NA()))</f>
        <v>0</v>
      </c>
      <c r="V23">
        <f>IF(22&lt;=$G$33,INDEX('Batch'!$R$28:$R$51,Z23),NA())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IF(22&lt;=$G$33,MATCH(22,'Batch'!$W$28:$W$51,0),"")</f>
        <v>0</v>
      </c>
      <c r="AA23">
        <v>22</v>
      </c>
      <c r="AB23">
        <f>IF(22&lt;=$G$34,TEXT(HOUR(INDEX('Batch'!$C$28:$C$51,AI23)),"00")&amp;":"&amp;TEXT(MINUTE(INDEX('Batch'!$C$28:$C$51,AI23)),"00")&amp;CHAR(10)&amp;TEXT(DAY(INDEX('Batch'!$C$28:$C$51,AI23)),"00")&amp;"/"&amp;TEXT(MONTH(INDEX('Batch'!$C$28:$C$51,AI23)),"00"),IF(22=$G$34+1,"Média",""))</f>
        <v>0</v>
      </c>
      <c r="AC23">
        <f>IF(22&lt;=$G$34,INDEX('Batch'!$K$28:$K$51,AI23),IF(AND(22=$G$34+1,ISNUMBER($B$34)),$B$34,NA()))</f>
        <v>0</v>
      </c>
      <c r="AD23">
        <f>IF(22&lt;=$G$34,INDEX('Batch'!$L$28:$L$51,AI23),IF(AND(22=$G$34+1,ISNUMBER($C$34)),$C$34,NA()))</f>
        <v>0</v>
      </c>
      <c r="AE23">
        <f>IF(22&lt;=$G$34,INDEX('Batch'!$S$28:$S$51,AI23),NA())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IF(22&lt;=$G$34,MATCH(22,'Batch'!$X$28:$X$51,0),"")</f>
        <v>0</v>
      </c>
      <c r="AJ23">
        <v>22</v>
      </c>
      <c r="AK23">
        <f>IF(22&lt;=$G$35,TEXT(HOUR(INDEX('Batch'!$C$28:$C$51,AR23)),"00")&amp;":"&amp;TEXT(MINUTE(INDEX('Batch'!$C$28:$C$51,AR23)),"00")&amp;CHAR(10)&amp;TEXT(DAY(INDEX('Batch'!$C$28:$C$51,AR23)),"00")&amp;"/"&amp;TEXT(MONTH(INDEX('Batch'!$C$28:$C$51,AR23)),"00"),IF(22=$G$35+1,"Média",""))</f>
        <v>0</v>
      </c>
      <c r="AL23">
        <f>IF(22&lt;=$G$35,INDEX('Batch'!$M$28:$M$51,AR23),IF(AND(22=$G$35+1,ISNUMBER($B$35)),$B$35,NA()))</f>
        <v>0</v>
      </c>
      <c r="AM23">
        <f>IF(22&lt;=$G$35,INDEX('Batch'!$N$28:$N$51,AR23),IF(AND(22=$G$35+1,ISNUMBER($C$35)),$C$35,NA()))</f>
        <v>0</v>
      </c>
      <c r="AN23">
        <f>IF(22&lt;=$G$35,INDEX('Batch'!$T$28:$T$51,AR23),NA())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IF(22&lt;=$G$35,MATCH(22,'Batch'!$Y$28:$Y$51,0),"")</f>
        <v>0</v>
      </c>
      <c r="AS23">
        <v>22</v>
      </c>
    </row>
    <row r="24" spans="1:45">
      <c r="A24">
        <f>IF(23&lt;=$G$31,TEXT(HOUR(INDEX('Batch'!$C$28:$C$51,H24)),"00")&amp;":"&amp;TEXT(MINUTE(INDEX('Batch'!$C$28:$C$51,H24)),"00")&amp;CHAR(10)&amp;TEXT(DAY(INDEX('Batch'!$C$28:$C$51,H24)),"00")&amp;"/"&amp;TEXT(MONTH(INDEX('Batch'!$C$28:$C$51,H24)),"00"),IF(23=$G$31+1,"Média",""))</f>
        <v>0</v>
      </c>
      <c r="B24">
        <f>IF(23&lt;=$G$31,INDEX('Batch'!$E$28:$E$51,H24),IF(AND(23=$G$31+1,ISNUMBER($B$31)),$B$31,NA()))</f>
        <v>0</v>
      </c>
      <c r="C24">
        <f>IF(23&lt;=$G$31,INDEX('Batch'!$F$28:$F$51,H24),IF(AND(23=$G$31+1,ISNUMBER($C$31)),$C$31,NA()))</f>
        <v>0</v>
      </c>
      <c r="D24">
        <f>IF(23&lt;=$G$31,INDEX('Batch'!$P$28:$P$51,H24),NA())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IF(23&lt;=$G$31,MATCH(23,'Batch'!$U$28:$U$51,0),"")</f>
        <v>0</v>
      </c>
      <c r="I24">
        <v>23</v>
      </c>
      <c r="J24">
        <f>IF(23&lt;=$G$32,TEXT(HOUR(INDEX('Batch'!$C$28:$C$51,Q24)),"00")&amp;":"&amp;TEXT(MINUTE(INDEX('Batch'!$C$28:$C$51,Q24)),"00")&amp;CHAR(10)&amp;TEXT(DAY(INDEX('Batch'!$C$28:$C$51,Q24)),"00")&amp;"/"&amp;TEXT(MONTH(INDEX('Batch'!$C$28:$C$51,Q24)),"00"),IF(23=$G$32+1,"Média",""))</f>
        <v>0</v>
      </c>
      <c r="K24">
        <f>IF(23&lt;=$G$32,INDEX('Batch'!$G$28:$G$51,Q24),IF(AND(23=$G$32+1,ISNUMBER($B$32)),$B$32,NA()))</f>
        <v>0</v>
      </c>
      <c r="L24">
        <f>IF(23&lt;=$G$32,INDEX('Batch'!$H$28:$H$51,Q24),IF(AND(23=$G$32+1,ISNUMBER($C$32)),$C$32,NA()))</f>
        <v>0</v>
      </c>
      <c r="M24">
        <f>IF(23&lt;=$G$32,INDEX('Batch'!$Q$28:$Q$51,Q24),NA())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IF(23&lt;=$G$32,MATCH(23,'Batch'!$V$28:$V$51,0),"")</f>
        <v>0</v>
      </c>
      <c r="R24">
        <v>23</v>
      </c>
      <c r="S24">
        <f>IF(23&lt;=$G$33,TEXT(HOUR(INDEX('Batch'!$C$28:$C$51,Z24)),"00")&amp;":"&amp;TEXT(MINUTE(INDEX('Batch'!$C$28:$C$51,Z24)),"00")&amp;CHAR(10)&amp;TEXT(DAY(INDEX('Batch'!$C$28:$C$51,Z24)),"00")&amp;"/"&amp;TEXT(MONTH(INDEX('Batch'!$C$28:$C$51,Z24)),"00"),IF(23=$G$33+1,"Média",""))</f>
        <v>0</v>
      </c>
      <c r="T24">
        <f>IF(23&lt;=$G$33,INDEX('Batch'!$I$28:$I$51,Z24),IF(AND(23=$G$33+1,ISNUMBER($B$33)),$B$33,NA()))</f>
        <v>0</v>
      </c>
      <c r="U24">
        <f>IF(23&lt;=$G$33,INDEX('Batch'!$J$28:$J$51,Z24),IF(AND(23=$G$33+1,ISNUMBER($C$33)),$C$33,NA()))</f>
        <v>0</v>
      </c>
      <c r="V24">
        <f>IF(23&lt;=$G$33,INDEX('Batch'!$R$28:$R$51,Z24),NA())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IF(23&lt;=$G$33,MATCH(23,'Batch'!$W$28:$W$51,0),"")</f>
        <v>0</v>
      </c>
      <c r="AA24">
        <v>23</v>
      </c>
      <c r="AB24">
        <f>IF(23&lt;=$G$34,TEXT(HOUR(INDEX('Batch'!$C$28:$C$51,AI24)),"00")&amp;":"&amp;TEXT(MINUTE(INDEX('Batch'!$C$28:$C$51,AI24)),"00")&amp;CHAR(10)&amp;TEXT(DAY(INDEX('Batch'!$C$28:$C$51,AI24)),"00")&amp;"/"&amp;TEXT(MONTH(INDEX('Batch'!$C$28:$C$51,AI24)),"00"),IF(23=$G$34+1,"Média",""))</f>
        <v>0</v>
      </c>
      <c r="AC24">
        <f>IF(23&lt;=$G$34,INDEX('Batch'!$K$28:$K$51,AI24),IF(AND(23=$G$34+1,ISNUMBER($B$34)),$B$34,NA()))</f>
        <v>0</v>
      </c>
      <c r="AD24">
        <f>IF(23&lt;=$G$34,INDEX('Batch'!$L$28:$L$51,AI24),IF(AND(23=$G$34+1,ISNUMBER($C$34)),$C$34,NA()))</f>
        <v>0</v>
      </c>
      <c r="AE24">
        <f>IF(23&lt;=$G$34,INDEX('Batch'!$S$28:$S$51,AI24),NA())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IF(23&lt;=$G$34,MATCH(23,'Batch'!$X$28:$X$51,0),"")</f>
        <v>0</v>
      </c>
      <c r="AJ24">
        <v>23</v>
      </c>
      <c r="AK24">
        <f>IF(23&lt;=$G$35,TEXT(HOUR(INDEX('Batch'!$C$28:$C$51,AR24)),"00")&amp;":"&amp;TEXT(MINUTE(INDEX('Batch'!$C$28:$C$51,AR24)),"00")&amp;CHAR(10)&amp;TEXT(DAY(INDEX('Batch'!$C$28:$C$51,AR24)),"00")&amp;"/"&amp;TEXT(MONTH(INDEX('Batch'!$C$28:$C$51,AR24)),"00"),IF(23=$G$35+1,"Média",""))</f>
        <v>0</v>
      </c>
      <c r="AL24">
        <f>IF(23&lt;=$G$35,INDEX('Batch'!$M$28:$M$51,AR24),IF(AND(23=$G$35+1,ISNUMBER($B$35)),$B$35,NA()))</f>
        <v>0</v>
      </c>
      <c r="AM24">
        <f>IF(23&lt;=$G$35,INDEX('Batch'!$N$28:$N$51,AR24),IF(AND(23=$G$35+1,ISNUMBER($C$35)),$C$35,NA()))</f>
        <v>0</v>
      </c>
      <c r="AN24">
        <f>IF(23&lt;=$G$35,INDEX('Batch'!$T$28:$T$51,AR24),NA())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IF(23&lt;=$G$35,MATCH(23,'Batch'!$Y$28:$Y$51,0),"")</f>
        <v>0</v>
      </c>
      <c r="AS24">
        <v>23</v>
      </c>
    </row>
    <row r="25" spans="1:45">
      <c r="A25">
        <f>IF(24&lt;=$G$31,TEXT(HOUR(INDEX('Batch'!$C$28:$C$51,H25)),"00")&amp;":"&amp;TEXT(MINUTE(INDEX('Batch'!$C$28:$C$51,H25)),"00")&amp;CHAR(10)&amp;TEXT(DAY(INDEX('Batch'!$C$28:$C$51,H25)),"00")&amp;"/"&amp;TEXT(MONTH(INDEX('Batch'!$C$28:$C$51,H25)),"00"),IF(24=$G$31+1,"Média",""))</f>
        <v>0</v>
      </c>
      <c r="B25">
        <f>IF(24&lt;=$G$31,INDEX('Batch'!$E$28:$E$51,H25),IF(AND(24=$G$31+1,ISNUMBER($B$31)),$B$31,NA()))</f>
        <v>0</v>
      </c>
      <c r="C25">
        <f>IF(24&lt;=$G$31,INDEX('Batch'!$F$28:$F$51,H25),IF(AND(24=$G$31+1,ISNUMBER($C$31)),$C$31,NA()))</f>
        <v>0</v>
      </c>
      <c r="D25">
        <f>IF(24&lt;=$G$31,INDEX('Batch'!$P$28:$P$51,H25),NA())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IF(24&lt;=$G$31,MATCH(24,'Batch'!$U$28:$U$51,0),"")</f>
        <v>0</v>
      </c>
      <c r="I25">
        <v>24</v>
      </c>
      <c r="J25">
        <f>IF(24&lt;=$G$32,TEXT(HOUR(INDEX('Batch'!$C$28:$C$51,Q25)),"00")&amp;":"&amp;TEXT(MINUTE(INDEX('Batch'!$C$28:$C$51,Q25)),"00")&amp;CHAR(10)&amp;TEXT(DAY(INDEX('Batch'!$C$28:$C$51,Q25)),"00")&amp;"/"&amp;TEXT(MONTH(INDEX('Batch'!$C$28:$C$51,Q25)),"00"),IF(24=$G$32+1,"Média",""))</f>
        <v>0</v>
      </c>
      <c r="K25">
        <f>IF(24&lt;=$G$32,INDEX('Batch'!$G$28:$G$51,Q25),IF(AND(24=$G$32+1,ISNUMBER($B$32)),$B$32,NA()))</f>
        <v>0</v>
      </c>
      <c r="L25">
        <f>IF(24&lt;=$G$32,INDEX('Batch'!$H$28:$H$51,Q25),IF(AND(24=$G$32+1,ISNUMBER($C$32)),$C$32,NA()))</f>
        <v>0</v>
      </c>
      <c r="M25">
        <f>IF(24&lt;=$G$32,INDEX('Batch'!$Q$28:$Q$51,Q25),NA())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IF(24&lt;=$G$32,MATCH(24,'Batch'!$V$28:$V$51,0),"")</f>
        <v>0</v>
      </c>
      <c r="R25">
        <v>24</v>
      </c>
      <c r="S25">
        <f>IF(24&lt;=$G$33,TEXT(HOUR(INDEX('Batch'!$C$28:$C$51,Z25)),"00")&amp;":"&amp;TEXT(MINUTE(INDEX('Batch'!$C$28:$C$51,Z25)),"00")&amp;CHAR(10)&amp;TEXT(DAY(INDEX('Batch'!$C$28:$C$51,Z25)),"00")&amp;"/"&amp;TEXT(MONTH(INDEX('Batch'!$C$28:$C$51,Z25)),"00"),IF(24=$G$33+1,"Média",""))</f>
        <v>0</v>
      </c>
      <c r="T25">
        <f>IF(24&lt;=$G$33,INDEX('Batch'!$I$28:$I$51,Z25),IF(AND(24=$G$33+1,ISNUMBER($B$33)),$B$33,NA()))</f>
        <v>0</v>
      </c>
      <c r="U25">
        <f>IF(24&lt;=$G$33,INDEX('Batch'!$J$28:$J$51,Z25),IF(AND(24=$G$33+1,ISNUMBER($C$33)),$C$33,NA()))</f>
        <v>0</v>
      </c>
      <c r="V25">
        <f>IF(24&lt;=$G$33,INDEX('Batch'!$R$28:$R$51,Z25),NA())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IF(24&lt;=$G$33,MATCH(24,'Batch'!$W$28:$W$51,0),"")</f>
        <v>0</v>
      </c>
      <c r="AA25">
        <v>24</v>
      </c>
      <c r="AB25">
        <f>IF(24&lt;=$G$34,TEXT(HOUR(INDEX('Batch'!$C$28:$C$51,AI25)),"00")&amp;":"&amp;TEXT(MINUTE(INDEX('Batch'!$C$28:$C$51,AI25)),"00")&amp;CHAR(10)&amp;TEXT(DAY(INDEX('Batch'!$C$28:$C$51,AI25)),"00")&amp;"/"&amp;TEXT(MONTH(INDEX('Batch'!$C$28:$C$51,AI25)),"00"),IF(24=$G$34+1,"Média",""))</f>
        <v>0</v>
      </c>
      <c r="AC25">
        <f>IF(24&lt;=$G$34,INDEX('Batch'!$K$28:$K$51,AI25),IF(AND(24=$G$34+1,ISNUMBER($B$34)),$B$34,NA()))</f>
        <v>0</v>
      </c>
      <c r="AD25">
        <f>IF(24&lt;=$G$34,INDEX('Batch'!$L$28:$L$51,AI25),IF(AND(24=$G$34+1,ISNUMBER($C$34)),$C$34,NA()))</f>
        <v>0</v>
      </c>
      <c r="AE25">
        <f>IF(24&lt;=$G$34,INDEX('Batch'!$S$28:$S$51,AI25),NA())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IF(24&lt;=$G$34,MATCH(24,'Batch'!$X$28:$X$51,0),"")</f>
        <v>0</v>
      </c>
      <c r="AJ25">
        <v>24</v>
      </c>
      <c r="AK25">
        <f>IF(24&lt;=$G$35,TEXT(HOUR(INDEX('Batch'!$C$28:$C$51,AR25)),"00")&amp;":"&amp;TEXT(MINUTE(INDEX('Batch'!$C$28:$C$51,AR25)),"00")&amp;CHAR(10)&amp;TEXT(DAY(INDEX('Batch'!$C$28:$C$51,AR25)),"00")&amp;"/"&amp;TEXT(MONTH(INDEX('Batch'!$C$28:$C$51,AR25)),"00"),IF(24=$G$35+1,"Média",""))</f>
        <v>0</v>
      </c>
      <c r="AL25">
        <f>IF(24&lt;=$G$35,INDEX('Batch'!$M$28:$M$51,AR25),IF(AND(24=$G$35+1,ISNUMBER($B$35)),$B$35,NA()))</f>
        <v>0</v>
      </c>
      <c r="AM25">
        <f>IF(24&lt;=$G$35,INDEX('Batch'!$N$28:$N$51,AR25),IF(AND(24=$G$35+1,ISNUMBER($C$35)),$C$35,NA()))</f>
        <v>0</v>
      </c>
      <c r="AN25">
        <f>IF(24&lt;=$G$35,INDEX('Batch'!$T$28:$T$51,AR25),NA())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IF(24&lt;=$G$35,MATCH(24,'Batch'!$Y$28:$Y$51,0),"")</f>
        <v>0</v>
      </c>
      <c r="AS25">
        <v>24</v>
      </c>
    </row>
    <row r="26" spans="1:45">
      <c r="A26">
        <f>IF(25&lt;=$G$31,TEXT(HOUR(INDEX('Batch'!$C$28:$C$51,H26)),"00")&amp;":"&amp;TEXT(MINUTE(INDEX('Batch'!$C$28:$C$51,H26)),"00")&amp;CHAR(10)&amp;TEXT(DAY(INDEX('Batch'!$C$28:$C$51,H26)),"00")&amp;"/"&amp;TEXT(MONTH(INDEX('Batch'!$C$28:$C$51,H26)),"00"),IF(25=$G$31+1,"Média",""))</f>
        <v>0</v>
      </c>
      <c r="B26">
        <f>IF(25&lt;=$G$31,INDEX('Batch'!$E$28:$E$51,H26),IF(AND(25=$G$31+1,ISNUMBER($B$31)),$B$31,NA()))</f>
        <v>0</v>
      </c>
      <c r="C26">
        <f>IF(25&lt;=$G$31,INDEX('Batch'!$F$28:$F$51,H26),IF(AND(25=$G$31+1,ISNUMBER($C$31)),$C$31,NA()))</f>
        <v>0</v>
      </c>
      <c r="D26">
        <f>IF(25&lt;=$G$31,INDEX('Batch'!$P$28:$P$51,H26),NA())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IF(25&lt;=$G$31,MATCH(25,'Batch'!$U$28:$U$51,0),"")</f>
        <v>0</v>
      </c>
      <c r="I26">
        <v>25</v>
      </c>
      <c r="J26">
        <f>IF(25&lt;=$G$32,TEXT(HOUR(INDEX('Batch'!$C$28:$C$51,Q26)),"00")&amp;":"&amp;TEXT(MINUTE(INDEX('Batch'!$C$28:$C$51,Q26)),"00")&amp;CHAR(10)&amp;TEXT(DAY(INDEX('Batch'!$C$28:$C$51,Q26)),"00")&amp;"/"&amp;TEXT(MONTH(INDEX('Batch'!$C$28:$C$51,Q26)),"00"),IF(25=$G$32+1,"Média",""))</f>
        <v>0</v>
      </c>
      <c r="K26">
        <f>IF(25&lt;=$G$32,INDEX('Batch'!$G$28:$G$51,Q26),IF(AND(25=$G$32+1,ISNUMBER($B$32)),$B$32,NA()))</f>
        <v>0</v>
      </c>
      <c r="L26">
        <f>IF(25&lt;=$G$32,INDEX('Batch'!$H$28:$H$51,Q26),IF(AND(25=$G$32+1,ISNUMBER($C$32)),$C$32,NA()))</f>
        <v>0</v>
      </c>
      <c r="M26">
        <f>IF(25&lt;=$G$32,INDEX('Batch'!$Q$28:$Q$51,Q26),NA())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IF(25&lt;=$G$32,MATCH(25,'Batch'!$V$28:$V$51,0),"")</f>
        <v>0</v>
      </c>
      <c r="R26">
        <v>25</v>
      </c>
      <c r="S26">
        <f>IF(25&lt;=$G$33,TEXT(HOUR(INDEX('Batch'!$C$28:$C$51,Z26)),"00")&amp;":"&amp;TEXT(MINUTE(INDEX('Batch'!$C$28:$C$51,Z26)),"00")&amp;CHAR(10)&amp;TEXT(DAY(INDEX('Batch'!$C$28:$C$51,Z26)),"00")&amp;"/"&amp;TEXT(MONTH(INDEX('Batch'!$C$28:$C$51,Z26)),"00"),IF(25=$G$33+1,"Média",""))</f>
        <v>0</v>
      </c>
      <c r="T26">
        <f>IF(25&lt;=$G$33,INDEX('Batch'!$I$28:$I$51,Z26),IF(AND(25=$G$33+1,ISNUMBER($B$33)),$B$33,NA()))</f>
        <v>0</v>
      </c>
      <c r="U26">
        <f>IF(25&lt;=$G$33,INDEX('Batch'!$J$28:$J$51,Z26),IF(AND(25=$G$33+1,ISNUMBER($C$33)),$C$33,NA()))</f>
        <v>0</v>
      </c>
      <c r="V26">
        <f>IF(25&lt;=$G$33,INDEX('Batch'!$R$28:$R$51,Z26),NA())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IF(25&lt;=$G$33,MATCH(25,'Batch'!$W$28:$W$51,0),"")</f>
        <v>0</v>
      </c>
      <c r="AA26">
        <v>25</v>
      </c>
      <c r="AB26">
        <f>IF(25&lt;=$G$34,TEXT(HOUR(INDEX('Batch'!$C$28:$C$51,AI26)),"00")&amp;":"&amp;TEXT(MINUTE(INDEX('Batch'!$C$28:$C$51,AI26)),"00")&amp;CHAR(10)&amp;TEXT(DAY(INDEX('Batch'!$C$28:$C$51,AI26)),"00")&amp;"/"&amp;TEXT(MONTH(INDEX('Batch'!$C$28:$C$51,AI26)),"00"),IF(25=$G$34+1,"Média",""))</f>
        <v>0</v>
      </c>
      <c r="AC26">
        <f>IF(25&lt;=$G$34,INDEX('Batch'!$K$28:$K$51,AI26),IF(AND(25=$G$34+1,ISNUMBER($B$34)),$B$34,NA()))</f>
        <v>0</v>
      </c>
      <c r="AD26">
        <f>IF(25&lt;=$G$34,INDEX('Batch'!$L$28:$L$51,AI26),IF(AND(25=$G$34+1,ISNUMBER($C$34)),$C$34,NA()))</f>
        <v>0</v>
      </c>
      <c r="AE26">
        <f>IF(25&lt;=$G$34,INDEX('Batch'!$S$28:$S$51,AI26),NA())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IF(25&lt;=$G$34,MATCH(25,'Batch'!$X$28:$X$51,0),"")</f>
        <v>0</v>
      </c>
      <c r="AJ26">
        <v>25</v>
      </c>
      <c r="AK26">
        <f>IF(25&lt;=$G$35,TEXT(HOUR(INDEX('Batch'!$C$28:$C$51,AR26)),"00")&amp;":"&amp;TEXT(MINUTE(INDEX('Batch'!$C$28:$C$51,AR26)),"00")&amp;CHAR(10)&amp;TEXT(DAY(INDEX('Batch'!$C$28:$C$51,AR26)),"00")&amp;"/"&amp;TEXT(MONTH(INDEX('Batch'!$C$28:$C$51,AR26)),"00"),IF(25=$G$35+1,"Média",""))</f>
        <v>0</v>
      </c>
      <c r="AL26">
        <f>IF(25&lt;=$G$35,INDEX('Batch'!$M$28:$M$51,AR26),IF(AND(25=$G$35+1,ISNUMBER($B$35)),$B$35,NA()))</f>
        <v>0</v>
      </c>
      <c r="AM26">
        <f>IF(25&lt;=$G$35,INDEX('Batch'!$N$28:$N$51,AR26),IF(AND(25=$G$35+1,ISNUMBER($C$35)),$C$35,NA()))</f>
        <v>0</v>
      </c>
      <c r="AN26">
        <f>IF(25&lt;=$G$35,INDEX('Batch'!$T$28:$T$51,AR26),NA())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IF(25&lt;=$G$35,MATCH(25,'Batch'!$Y$28:$Y$51,0),"")</f>
        <v>0</v>
      </c>
      <c r="AS26">
        <v>25</v>
      </c>
    </row>
    <row r="28" spans="1:45">
      <c r="A28" t="s">
        <v>233</v>
      </c>
    </row>
    <row r="30" spans="1:45">
      <c r="A30" t="s">
        <v>147</v>
      </c>
      <c r="B30" t="s">
        <v>148</v>
      </c>
      <c r="C30" t="s">
        <v>149</v>
      </c>
      <c r="D30" t="s">
        <v>150</v>
      </c>
      <c r="E30" t="s">
        <v>151</v>
      </c>
      <c r="F30" t="s">
        <v>152</v>
      </c>
      <c r="G30" t="s">
        <v>153</v>
      </c>
      <c r="H30" t="s">
        <v>154</v>
      </c>
      <c r="I30" t="s">
        <v>155</v>
      </c>
      <c r="J30" t="s">
        <v>156</v>
      </c>
      <c r="K30" t="s">
        <v>157</v>
      </c>
      <c r="L30" t="s">
        <v>158</v>
      </c>
      <c r="M30" t="s">
        <v>159</v>
      </c>
      <c r="N30" t="s">
        <v>160</v>
      </c>
      <c r="O30" t="s">
        <v>161</v>
      </c>
    </row>
    <row r="31" spans="1:45">
      <c r="A31" t="s">
        <v>14</v>
      </c>
      <c r="B31">
        <f>IF(COUNT('Batch'!$E$28:$E$51)=0,"",AVERAGE('Batch'!$E$28:$E$51))</f>
        <v>0</v>
      </c>
      <c r="C31">
        <f>IF(COUNT('Batch'!$F$28:$F$51)=0,"",AVERAGE('Batch'!$F$28:$F$51))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MAX(0,'Batch'!$U$28:$U$51)</f>
        <v>0</v>
      </c>
      <c r="H31">
        <f>bTol_SE</f>
        <v>0</v>
      </c>
      <c r="I31">
        <f>COUNT('Batch'!$E$28:$E$51)</f>
        <v>0</v>
      </c>
      <c r="J31">
        <f>COUNT('Batch'!$F$28:$F$51)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162</v>
      </c>
    </row>
    <row r="32" spans="1:45">
      <c r="A32" t="s">
        <v>21</v>
      </c>
      <c r="B32">
        <f>IF(COUNT('Batch'!$G$28:$G$51)=0,"",AVERAGE('Batch'!$G$28:$G$51))</f>
        <v>0</v>
      </c>
      <c r="C32">
        <f>IF(COUNT('Batch'!$H$28:$H$51)=0,"",AVERAGE('Batch'!$H$28:$H$51))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MAX(0,'Batch'!$V$28:$V$51)</f>
        <v>0</v>
      </c>
      <c r="H32">
        <f>bTol_325</f>
        <v>0</v>
      </c>
      <c r="I32">
        <f>COUNT('Batch'!$G$28:$G$51)</f>
        <v>0</v>
      </c>
      <c r="J32">
        <f>COUNT('Batch'!$H$28:$H$51)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163</v>
      </c>
    </row>
    <row r="33" spans="1:15">
      <c r="A33" t="s">
        <v>24</v>
      </c>
      <c r="B33">
        <f>IF(COUNT('Batch'!$I$28:$I$51)=0,"",AVERAGE('Batch'!$I$28:$I$51))</f>
        <v>0</v>
      </c>
      <c r="C33">
        <f>IF(COUNT('Batch'!$J$28:$J$51)=0,"",AVERAGE('Batch'!$J$28:$J$51))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MAX(0,'Batch'!$W$28:$W$51)</f>
        <v>0</v>
      </c>
      <c r="H33">
        <f>bTol_SiO2</f>
        <v>0</v>
      </c>
      <c r="I33">
        <f>COUNT('Batch'!$I$28:$I$51)</f>
        <v>0</v>
      </c>
      <c r="J33">
        <f>COUNT('Batch'!$J$28:$J$51)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164</v>
      </c>
    </row>
    <row r="34" spans="1:15">
      <c r="A34" t="s">
        <v>27</v>
      </c>
      <c r="B34">
        <f>IF(COUNT('Batch'!$K$28:$K$51)=0,"",AVERAGE('Batch'!$K$28:$K$51))</f>
        <v>0</v>
      </c>
      <c r="C34">
        <f>IF(COUNT('Batch'!$L$28:$L$51)=0,"",AVERAGE('Batch'!$L$28:$L$51))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MAX(0,'Batch'!$X$28:$X$51)</f>
        <v>0</v>
      </c>
      <c r="H34">
        <f>bTol_P</f>
        <v>0</v>
      </c>
      <c r="I34">
        <f>COUNT('Batch'!$K$28:$K$51)</f>
        <v>0</v>
      </c>
      <c r="J34">
        <f>COUNT('Batch'!$L$28:$L$51)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165</v>
      </c>
    </row>
    <row r="35" spans="1:15">
      <c r="A35" t="s">
        <v>30</v>
      </c>
      <c r="B35">
        <f>IF(COUNT('Batch'!$M$28:$M$51)=0,"",AVERAGE('Batch'!$M$28:$M$51))</f>
        <v>0</v>
      </c>
      <c r="C35">
        <f>IF(COUNT('Batch'!$N$28:$N$51)=0,"",AVERAGE('Batch'!$N$28:$N$51))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MAX(0,'Batch'!$Y$28:$Y$51)</f>
        <v>0</v>
      </c>
      <c r="H35">
        <f>bTol_PPC</f>
        <v>0</v>
      </c>
      <c r="I35">
        <f>COUNT('Batch'!$M$28:$M$51)</f>
        <v>0</v>
      </c>
      <c r="J35">
        <f>COUNT('Batch'!$N$28:$N$51)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166</v>
      </c>
      <c r="B37" t="s">
        <v>167</v>
      </c>
      <c r="C37" t="s">
        <v>168</v>
      </c>
      <c r="D37" t="s">
        <v>169</v>
      </c>
      <c r="E37" t="s">
        <v>170</v>
      </c>
      <c r="F37" t="s">
        <v>171</v>
      </c>
      <c r="G37" t="s">
        <v>172</v>
      </c>
      <c r="H37" t="s">
        <v>173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174</v>
      </c>
      <c r="B40">
        <f>IF(bRef=bLabB,bLabB,bLabA)</f>
        <v>0</v>
      </c>
    </row>
    <row r="41" spans="1:15">
      <c r="A41" t="s">
        <v>175</v>
      </c>
      <c r="B41">
        <f>IF(bRef=bLabB,bLabA,bLabB)</f>
        <v>0</v>
      </c>
    </row>
    <row r="42" spans="1:15">
      <c r="A42" t="s">
        <v>176</v>
      </c>
      <c r="B42">
        <f>IF(ISNUMBER(bData),TEXT(DAY(bData),"00")&amp;"/"&amp;TEXT(MONTH(bData),"00")&amp;"/"&amp;YEAR(bData),"")</f>
        <v>0</v>
      </c>
    </row>
    <row r="43" spans="1:15">
      <c r="A43" t="s">
        <v>177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178</v>
      </c>
      <c r="B46">
        <f>IF(ISNUMBER(bIniP),cfgGradeU+ROUNDUP((bIniP-cfgGradeU)*12-0.000001,0)/12,"")</f>
        <v>0</v>
      </c>
    </row>
    <row r="47" spans="1:15">
      <c r="A47" t="s">
        <v>179</v>
      </c>
      <c r="B47">
        <f>IF(ISNUMBER(bIniG),cfgGradeG+ROUNDUP((bIniG-cfgGradeG)*12-0.000001,0)/12,"")</f>
        <v>0</v>
      </c>
    </row>
    <row r="48" spans="1:15">
      <c r="A48" t="s">
        <v>180</v>
      </c>
      <c r="B48">
        <f>IF(ISNUMBER(B57),MIN(bNHor,B57),bNHor)</f>
        <v>0</v>
      </c>
    </row>
    <row r="49" spans="1:2">
      <c r="A49" t="s">
        <v>182</v>
      </c>
      <c r="B49">
        <f>IF(AND(ISNUMBER(B46),ISNUMBER(bFimU)),MIN(24,MAX(1,ROUNDUP((bFimU+IF(ISNUMBER(bIniU),bIniP-bIniU,0)-B46)*12-0.000001,0))),"")</f>
        <v>0</v>
      </c>
    </row>
    <row r="50" spans="1:2">
      <c r="A50" t="s">
        <v>183</v>
      </c>
      <c r="B50">
        <f>IF(bNivel="",0,IFERROR(INDEX(cfgAtrasoH,MATCH(bNivel,cfgAtrasoN,0)),0))</f>
        <v>0</v>
      </c>
    </row>
    <row r="51" spans="1:2">
      <c r="A51" t="s">
        <v>184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185</v>
      </c>
      <c r="B52">
        <f>IF(bNivel&lt;&gt;"","nível dos tanques "&amp;LOWER(bNivel)&amp;" · ","")</f>
        <v>0</v>
      </c>
    </row>
    <row r="53" spans="1:2">
      <c r="A53" t="s">
        <v>186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110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187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181</v>
      </c>
      <c r="B57">
        <f>IF(AND(ISNUMBER(B47),ISNUMBER(bFimG)),MIN(24,MAX(1,ROUNDUP((bFimG-B47)*12-0.000001,0))),"")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116</vt:i4>
      </vt:variant>
    </vt:vector>
  </HeadingPairs>
  <TitlesOfParts>
    <vt:vector size="124" baseType="lpstr">
      <vt:lpstr>Painel</vt:lpstr>
      <vt:lpstr>Batch</vt:lpstr>
      <vt:lpstr>Enviar</vt:lpstr>
      <vt:lpstr>Histórico</vt:lpstr>
      <vt:lpstr>BD_Leituras</vt:lpstr>
      <vt:lpstr>Configurações</vt:lpstr>
      <vt:lpstr>Dados_MES</vt:lpstr>
      <vt:lpstr>_Graf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bNHor</vt:lpstr>
      <vt:lpstr>bNivel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bValores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cfgTags</vt:lpstr>
      <vt:lpstr>cfgTimeout</vt:lpstr>
      <vt:lpstr>eAssunto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mesFimU</vt:lpstr>
      <vt:lpstr>mesIniG</vt:lpstr>
      <vt:lpstr>mesIniU</vt:lpstr>
      <vt:lpstr>mesInvalidas</vt:lpstr>
      <vt:lpstr>mesPrefixo</vt:lpstr>
      <vt:lpstr>mesRespG</vt:lpstr>
      <vt:lpstr>mesRespU</vt:lpstr>
      <vt:lpstr>mesTempo</vt:lpstr>
      <vt:lpstr>padCom</vt:lpstr>
      <vt:lpstr>padLabA</vt:lpstr>
      <vt:lpstr>padLabB</vt:lpstr>
      <vt:lpstr>padMin</vt:lpstr>
      <vt:lpstr>padNHor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2026-10-16T10:48:33Z</dcterms:created>
  <dcterms:modified xsi:type="dcterms:W3CDTF">2026-10-16T10:48:33Z</dcterms:modified>
</cp:coreProperties>
</file>