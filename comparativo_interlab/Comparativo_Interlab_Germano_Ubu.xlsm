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<sst xmlns="http://schemas.openxmlformats.org/spreadsheetml/2006/main" count="501" uniqueCount="380">
  <si>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</si>
  <si>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</si>
  <si>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</si>
  <si>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</si>
  <si>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</si>
  <si>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</si>
  <si>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</si>
  <si>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</si>
  <si>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</si>
  <si>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</si>
  <si>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</si>
  <si>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</si>
  <si>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</si>
  <si>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</si>
  <si>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</si>
  <si>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</si>
  <si>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</si>
  <si>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</si>
  <si>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</si>
  <si>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</si>
  <si>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</si>
  <si>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</si>
  <si>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</si>
  <si>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</si>
  <si>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</si>
  <si>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</si>
  <si>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</si>
  <si>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</si>
  <si>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</si>
  <si>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</si>
  <si>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</si>
  <si>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</si>
  <si>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</si>
  <si>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</si>
  <si>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</si>
  <si>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</si>
  <si>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</si>
  <si>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</si>
  <si>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</si>
  <si>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</si>
  <si>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</si>
  <si>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</si>
  <si>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</si>
  <si>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</si>
  <si>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</si>
  <si>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</si>
  <si>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</si>
  <si>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</si>
  <si>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</si>
  <si>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</si>
  <si>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</si>
  <si>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</si>
  <si>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</si>
  <si>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</si>
  <si>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</si>
  <si>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</si>
  <si>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</si>
  <si>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</si>
  <si>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</si>
  <si>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</si>
  <si>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</si>
  <si>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</si>
  <si>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</si>
  <si>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</si>
  <si>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</si>
  <si>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</si>
  <si>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</si>
  <si>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</si>
  <si>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</si>
  <si>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</si>
  <si>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</si>
  <si>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</si>
  <si>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</si>
  <si>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</si>
  <si>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</si>
  <si>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</si>
  <si>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</si>
  <si>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</si>
  <si>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</si>
  <si>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</si>
  <si>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</si>
  <si>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</si>
  <si>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</si>
  <si>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</si>
  <si>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</si>
  <si>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</si>
  <si>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</si>
  <si>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</si>
  <si>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</si>
  <si>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</si>
  <si>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</si>
  <si>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</si>
  <si>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</si>
  <si>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</si>
  <si>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</si>
  <si>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</si>
  <si>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</si>
  <si>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</si>
  <si>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</si>
  <si>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</si>
  <si>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</si>
  <si>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</si>
  <si>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</si>
  <si>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</si>
  <si>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</si>
  <si>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</si>
  <si>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</si>
  <si>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</si>
  <si>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</si>
  <si>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</si>
  <si>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</si>
  <si>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</si>
  <si>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</si>
  <si>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</si>
  <si>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</si>
  <si>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</si>
  <si>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</si>
  <si>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</si>
  <si>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</si>
  <si>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</si>
  <si>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</si>
  <si>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</si>
  <si>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</si>
  <si>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</si>
  <si>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</si>
  <si>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</si>
  <si>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</si>
  <si>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</si>
  <si>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</si>
  <si>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</si>
  <si>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</si>
  <si>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número do batch no MES</t>
  </si>
  <si>
    <t>em branco = chegada em Ubu + atraso do nível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</si>
  <si>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</si>
  <si>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</si>
  <si>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</si>
  <si>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</si>
  <si>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</si>
  <si>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</si>
  <si>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</si>
  <si>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</si>
  <si>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</si>
  <si>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</si>
  <si>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</si>
  <si>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</si>
  <si>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</si>
  <si>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</si>
  <si>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</si>
  <si>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</si>
  <si>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</si>
  <si>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</si>
  <si>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</si>
  <si>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</si>
  <si>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</si>
  <si>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</si>
  <si>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</si>
  <si>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</si>
  <si>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</si>
  <si>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</si>
  <si>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</si>
  <si>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</si>
  <si>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</si>
  <si>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</si>
  <si>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</si>
  <si>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</si>
  <si>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</si>
  <si>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</si>
  <si>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</si>
  <si>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</si>
  <si>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</si>
  <si>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</si>
  <si>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</si>
  <si>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</si>
  <si>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</si>
  <si>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</si>
  <si>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</si>
  <si>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</si>
  <si>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</si>
  <si>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</si>
  <si>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</si>
  <si>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</si>
  <si>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</si>
  <si>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</si>
  <si>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</si>
  <si>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</si>
  <si>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</si>
  <si>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</si>
  <si>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</si>
  <si>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</si>
  <si>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</si>
  <si>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</si>
  <si>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</si>
  <si>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</si>
  <si>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</si>
  <si>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</si>
  <si>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</si>
  <si>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</si>
  <si>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</si>
  <si>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</si>
  <si>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</si>
  <si>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</si>
  <si>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</si>
  <si>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</si>
  <si>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</si>
  <si>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</si>
  <si>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</si>
  <si>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</si>
  <si>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</si>
  <si>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</si>
  <si>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</si>
  <si>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</si>
  <si>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</si>
  <si>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</si>
  <si>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</si>
  <si>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</si>
  <si>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</si>
  <si>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</si>
  <si>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</si>
  <si>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</si>
  <si>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</si>
  <si>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</si>
  <si>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</si>
  <si>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</si>
  <si>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</si>
  <si>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</si>
  <si>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</si>
  <si>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</si>
  <si>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</si>
  <si>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</si>
  <si>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</si>
  <si>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</si>
  <si>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</si>
  <si>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</si>
  <si>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</si>
  <si>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</si>
  <si>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</si>
  <si>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</si>
  <si>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</si>
  <si>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</si>
  <si>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</si>
  <si>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</si>
  <si>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</si>
  <si>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</si>
  <si>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</si>
  <si>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</si>
  <si>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</si>
  <si>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</si>
  <si>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</si>
  <si>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</si>
  <si>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</si>
  <si>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</si>
  <si>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</si>
  <si>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</si>
  <si>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</si>
  <si>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</si>
  <si>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</si>
  <si>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</si>
  <si>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</si>
  <si>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</si>
  <si>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</si>
  <si>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</si>
  <si>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</si>
  <si>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</si>
  <si>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</si>
  <si>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</si>
  <si>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</si>
  <si>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</si>
  <si>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</si>
  <si>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</si>
  <si>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</si>
  <si>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</si>
  <si>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</si>
  <si>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</si>
  <si>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</si>
  <si>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</si>
  <si>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</si>
  <si>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</si>
  <si>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</si>
  <si>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</si>
  <si>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</si>
  <si>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</si>
  <si>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</si>
  <si>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</si>
  <si>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</si>
  <si>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</si>
  <si>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</si>
  <si>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</si>
  <si>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</si>
  <si>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</si>
  <si>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</si>
  <si>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</si>
  <si>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</si>
  <si>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</si>
  <si>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</si>
  <si>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</si>
  <si>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</si>
  <si>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</si>
  <si>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</si>
  <si>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</si>
  <si>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</si>
  <si>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</si>
  <si>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</si>
  <si>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</si>
  <si>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</si>
  <si>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</si>
  <si>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</si>
  <si>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</si>
  <si>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</si>
  <si>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</si>
  <si>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</si>
  <si>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</si>
  <si>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</si>
  <si>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</si>
  <si>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</si>
  <si>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</si>
  <si>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</si>
  <si>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</si>
  <si>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</si>
  <si>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</si>
  <si>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</si>
  <si>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</si>
  <si>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</si>
  <si>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</si>
  <si>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</si>
  <si>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</si>
  <si>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</si>
  <si>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</si>
  <si>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</si>
  <si>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</si>
  <si>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</si>
  <si>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</si>
  <si>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</si>
  <si>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</si>
  <si>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</si>
  <si>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</si>
  <si>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</si>
  <si>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</si>
  <si>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</si>
  <si>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</si>
  <si>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</si>
  <si>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</si>
  <si>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</si>
  <si>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</si>
  <si>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</si>
  <si>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</si>
  <si>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</si>
  <si>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</si>
  <si>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</si>
  <si>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</si>
  <si>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</si>
  <si>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</si>
  <si>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</si>
  <si>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</si>
  <si>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</si>
  <si>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</si>
  <si>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</si>
  <si>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</si>
  <si>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</si>
  <si>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</si>
  <si>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</si>
  <si>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</si>
  <si>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</si>
  <si>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</si>
  <si>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</si>
  <si>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</si>
  <si>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</si>
  <si>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</si>
  <si>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</si>
  <si>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</si>
  <si>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</si>
  <si>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</si>
  <si>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</si>
  <si>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</si>
  <si>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</si>
  <si>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</si>
  <si>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Batch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</si>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</sst>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6" fontId="4" fillId="3" borderId="6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0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3" fillId="14" borderId="9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vertical="top" indent="1" wrapText="1"/>
    </xf>
    <xf numFmtId="0" fontId="33" fillId="5" borderId="10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left" vertical="center" indent="1"/>
    </xf>
    <xf numFmtId="178" fontId="11" fillId="0" borderId="11" xfId="0" applyNumberFormat="1" applyFont="1" applyBorder="1" applyAlignment="1">
      <alignment horizontal="center" vertical="center"/>
    </xf>
    <xf numFmtId="179" fontId="35" fillId="0" borderId="11" xfId="0" applyNumberFormat="1" applyFont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4" fontId="35" fillId="0" borderId="11" xfId="0" applyNumberFormat="1" applyFont="1" applyBorder="1" applyAlignment="1">
      <alignment horizontal="center" vertical="center"/>
    </xf>
    <xf numFmtId="175" fontId="35" fillId="0" borderId="11" xfId="0" applyNumberFormat="1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6" fontId="35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6" fillId="0" borderId="14" xfId="0" applyFont="1" applyBorder="1" applyAlignment="1">
      <alignment horizontal="left" vertical="center" indent="1"/>
    </xf>
    <xf numFmtId="0" fontId="36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7" fillId="16" borderId="17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32" fillId="8" borderId="0" xfId="0" applyFont="1" applyFill="1" applyAlignment="1">
      <alignment horizontal="left" vertical="center" indent="1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104775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294322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104775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294322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5</xdr:row>
      <xdr:rowOff>38100</xdr:rowOff>
    </xdr:from>
    <xdr:to>
      <xdr:col>8</xdr:col>
      <xdr:colOff>533400</xdr:colOff>
      <xdr:row>5</xdr:row>
      <xdr:rowOff>247650</xdr:rowOff>
    </xdr:to>
    <xdr:sp macro="[0]!CopiarBatch1" textlink="">
      <xdr:nvSpPr>
        <xdr:cNvPr id="2" name="TextBox 1" descr="Botão: CopiarBatch1" hidden="1"/>
        <xdr:cNvSpPr txBox="1"/>
      </xdr:nvSpPr>
      <xdr:spPr>
        <a:xfrm>
          <a:off x="4286250" y="1314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40</xdr:row>
      <xdr:rowOff>38100</xdr:rowOff>
    </xdr:from>
    <xdr:to>
      <xdr:col>8</xdr:col>
      <xdr:colOff>533400</xdr:colOff>
      <xdr:row>40</xdr:row>
      <xdr:rowOff>247650</xdr:rowOff>
    </xdr:to>
    <xdr:sp macro="[0]!CopiarBatch2" textlink="">
      <xdr:nvSpPr>
        <xdr:cNvPr id="3" name="TextBox 2" descr="Botão: CopiarBatch2" hidden="1"/>
        <xdr:cNvSpPr txBox="1"/>
      </xdr:nvSpPr>
      <xdr:spPr>
        <a:xfrm>
          <a:off x="4286250" y="8172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75</xdr:row>
      <xdr:rowOff>38100</xdr:rowOff>
    </xdr:from>
    <xdr:to>
      <xdr:col>8</xdr:col>
      <xdr:colOff>533400</xdr:colOff>
      <xdr:row>75</xdr:row>
      <xdr:rowOff>247650</xdr:rowOff>
    </xdr:to>
    <xdr:sp macro="[0]!CopiarBatch3" textlink="">
      <xdr:nvSpPr>
        <xdr:cNvPr id="4" name="TextBox 3" descr="Botão: CopiarBatch3" hidden="1"/>
        <xdr:cNvSpPr txBox="1"/>
      </xdr:nvSpPr>
      <xdr:spPr>
        <a:xfrm>
          <a:off x="4286250" y="15030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110</xdr:row>
      <xdr:rowOff>38100</xdr:rowOff>
    </xdr:from>
    <xdr:to>
      <xdr:col>8</xdr:col>
      <xdr:colOff>533400</xdr:colOff>
      <xdr:row>110</xdr:row>
      <xdr:rowOff>247650</xdr:rowOff>
    </xdr:to>
    <xdr:sp macro="[0]!CopiarBatch4" textlink="">
      <xdr:nvSpPr>
        <xdr:cNvPr id="5" name="TextBox 4" descr="Botão: CopiarBatch4" hidden="1"/>
        <xdr:cNvSpPr txBox="1"/>
      </xdr:nvSpPr>
      <xdr:spPr>
        <a:xfrm>
          <a:off x="4286250" y="21888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145</xdr:row>
      <xdr:rowOff>38100</xdr:rowOff>
    </xdr:from>
    <xdr:to>
      <xdr:col>8</xdr:col>
      <xdr:colOff>533400</xdr:colOff>
      <xdr:row>145</xdr:row>
      <xdr:rowOff>247650</xdr:rowOff>
    </xdr:to>
    <xdr:sp macro="[0]!CopiarBatch5" textlink="">
      <xdr:nvSpPr>
        <xdr:cNvPr id="6" name="TextBox 5" descr="Botão: CopiarBatch5" hidden="1"/>
        <xdr:cNvSpPr txBox="1"/>
      </xdr:nvSpPr>
      <xdr:spPr>
        <a:xfrm>
          <a:off x="4286250" y="28746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16" customHeight="1">
      <c r="B11" s="14" t="s">
        <v>135</v>
      </c>
      <c r="C11" s="14"/>
      <c r="D11" s="15"/>
      <c r="E11" s="15"/>
      <c r="F11" s="15"/>
      <c r="G11" s="15"/>
      <c r="H11" s="15"/>
      <c r="I11" s="15"/>
    </row>
    <row r="12" spans="2:17" ht="16" customHeight="1">
      <c r="B12" s="14"/>
      <c r="C12" s="14"/>
      <c r="D12" s="15"/>
      <c r="E12" s="15"/>
      <c r="F12" s="15"/>
      <c r="G12" s="15"/>
      <c r="H12" s="15"/>
      <c r="I12" s="15"/>
    </row>
    <row r="13" spans="2:17" ht="16" customHeight="1">
      <c r="B13" s="14"/>
      <c r="C13" s="14"/>
      <c r="D13" s="15"/>
      <c r="E13" s="15"/>
      <c r="F13" s="15"/>
      <c r="G13" s="15"/>
      <c r="H13" s="15"/>
      <c r="I13" s="15"/>
    </row>
    <row r="14" spans="2:17" ht="16" customHeight="1">
      <c r="B14" s="14"/>
      <c r="C14" s="14"/>
      <c r="D14" s="15"/>
      <c r="E14" s="15"/>
      <c r="F14" s="15"/>
      <c r="G14" s="15"/>
      <c r="H14" s="15"/>
      <c r="I14" s="15"/>
    </row>
    <row r="15" spans="2:17" ht="16" customHeight="1">
      <c r="B15" s="14"/>
      <c r="C15" s="14"/>
      <c r="D15" s="15"/>
      <c r="E15" s="15"/>
      <c r="F15" s="15"/>
      <c r="G15" s="15"/>
      <c r="H15" s="15"/>
      <c r="I15" s="15"/>
      <c r="K15" s="12" t="s">
        <v>195</v>
      </c>
      <c r="L15" s="12"/>
      <c r="M15" s="12"/>
      <c r="N15" s="12"/>
    </row>
    <row r="16" spans="2:17" ht="16" customHeight="1">
      <c r="B16" s="16"/>
      <c r="C16" s="16"/>
      <c r="D16" s="15"/>
      <c r="E16" s="15"/>
      <c r="F16" s="15"/>
      <c r="G16" s="15"/>
      <c r="H16" s="15"/>
      <c r="I16" s="15"/>
      <c r="K16" s="12"/>
      <c r="L16" s="12"/>
      <c r="M16" s="12"/>
      <c r="N16" s="12"/>
    </row>
    <row r="17" spans="2:14" ht="16" customHeight="1">
      <c r="B17" s="16"/>
      <c r="C17" s="16"/>
      <c r="D17" s="15"/>
      <c r="E17" s="15"/>
      <c r="F17" s="15"/>
      <c r="G17" s="15"/>
      <c r="H17" s="15"/>
      <c r="I17" s="15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7" t="s">
        <v>141</v>
      </c>
      <c r="J20" s="17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8"/>
      <c r="C21" s="18"/>
      <c r="D21" s="18"/>
      <c r="E21" s="18"/>
      <c r="F21" s="18"/>
      <c r="G21" s="18"/>
      <c r="H21" s="18"/>
      <c r="I21" s="19">
        <f>IF(ISNUMBER(bIniPMan),bIniPMan,IF(ISNUMBER(bIniU),bIniU+N(gAtrasoNivel)/24,""))</f>
        <v>0</v>
      </c>
      <c r="J21" s="19"/>
      <c r="K21" s="20">
        <f>IF(ISNUMBER(gNGer),gNGer,IF(ISNUMBER(gNHorFim),gNHorFim,padNHor))</f>
        <v>0</v>
      </c>
      <c r="L21" s="21">
        <f>IF(AND(ISNUMBER(gJanU),ISNUMBER(gJanG)),ROUND((gJanU-gJanG)*24,2),"")</f>
        <v>0</v>
      </c>
      <c r="M21" s="22">
        <f>TODAY()</f>
        <v>0</v>
      </c>
      <c r="N21" s="20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3"/>
      <c r="C25" s="23"/>
      <c r="D25" s="24"/>
      <c r="E25" s="25"/>
      <c r="F25" s="25"/>
      <c r="G25" s="25"/>
      <c r="H25" s="25"/>
      <c r="I25" s="25"/>
      <c r="J25" s="25"/>
      <c r="K25" s="26"/>
      <c r="L25" s="26"/>
      <c r="M25" s="24"/>
      <c r="N25" s="24"/>
    </row>
    <row r="26" spans="2:14" ht="17" customHeight="1">
      <c r="B26" s="23"/>
      <c r="C26" s="23"/>
      <c r="D26" s="24"/>
      <c r="E26" s="25"/>
      <c r="F26" s="25"/>
      <c r="G26" s="25"/>
      <c r="H26" s="25"/>
      <c r="I26" s="25"/>
      <c r="J26" s="25"/>
      <c r="K26" s="26"/>
      <c r="L26" s="26"/>
      <c r="M26" s="24"/>
      <c r="N26" s="24"/>
    </row>
    <row r="27" spans="2:14" ht="17" customHeight="1">
      <c r="B27" s="23"/>
      <c r="C27" s="23"/>
      <c r="D27" s="24"/>
      <c r="E27" s="25"/>
      <c r="F27" s="25"/>
      <c r="G27" s="25"/>
      <c r="H27" s="25"/>
      <c r="I27" s="25"/>
      <c r="J27" s="25"/>
      <c r="K27" s="26"/>
      <c r="L27" s="26"/>
      <c r="M27" s="24"/>
      <c r="N27" s="24"/>
    </row>
    <row r="28" spans="2:14" ht="17" customHeight="1">
      <c r="B28" s="23"/>
      <c r="C28" s="23"/>
      <c r="D28" s="24"/>
      <c r="E28" s="25"/>
      <c r="F28" s="25"/>
      <c r="G28" s="25"/>
      <c r="H28" s="25"/>
      <c r="I28" s="25"/>
      <c r="J28" s="25"/>
      <c r="K28" s="26"/>
      <c r="L28" s="26"/>
      <c r="M28" s="24"/>
      <c r="N28" s="24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7" t="s">
        <v>154</v>
      </c>
      <c r="E31" s="27" t="s">
        <v>155</v>
      </c>
      <c r="F31" s="27" t="s">
        <v>27</v>
      </c>
      <c r="G31" s="27" t="s">
        <v>14</v>
      </c>
    </row>
    <row r="32" spans="2:14" ht="22" customHeight="1">
      <c r="B32" s="28">
        <f>IF(ISNUMBER(bData),bData-cfgPfDias,"")</f>
        <v>0</v>
      </c>
      <c r="C32" s="28"/>
      <c r="D32" s="29"/>
      <c r="E32" s="29"/>
      <c r="F32" s="30"/>
      <c r="G32" s="31"/>
      <c r="H32" s="32"/>
      <c r="I32" s="32"/>
      <c r="J32" s="32"/>
      <c r="K32" s="32"/>
      <c r="L32" s="32"/>
      <c r="M32" s="32"/>
      <c r="N32" s="32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3" t="s">
        <v>157</v>
      </c>
      <c r="C35" s="33"/>
      <c r="D35" s="34">
        <f>gFrase</f>
        <v>0</v>
      </c>
      <c r="E35" s="34"/>
      <c r="F35" s="34"/>
      <c r="G35" s="34"/>
      <c r="H35" s="34"/>
      <c r="I35" s="34"/>
      <c r="J35" s="34"/>
      <c r="K35" s="34"/>
      <c r="L35" s="34"/>
      <c r="M35" s="2" t="s">
        <v>158</v>
      </c>
      <c r="N35" s="35" t="s">
        <v>75</v>
      </c>
    </row>
    <row r="36" spans="2:25" ht="26" customHeight="1">
      <c r="B36" s="33" t="s">
        <v>159</v>
      </c>
      <c r="C36" s="33"/>
      <c r="D36" s="34">
        <f>gAcomp</f>
        <v>0</v>
      </c>
      <c r="E36" s="34"/>
      <c r="F36" s="34"/>
      <c r="G36" s="34"/>
      <c r="H36" s="34"/>
      <c r="I36" s="34"/>
      <c r="J36" s="34"/>
      <c r="K36" s="34"/>
      <c r="L36" s="34"/>
      <c r="M36" s="2" t="s">
        <v>158</v>
      </c>
      <c r="N36" s="35" t="s">
        <v>75</v>
      </c>
    </row>
    <row r="37" spans="2:25" ht="17" customHeight="1">
      <c r="B37" s="33" t="s">
        <v>160</v>
      </c>
      <c r="C37" s="33"/>
      <c r="D37" s="36" t="s">
        <v>104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2:25" ht="17" customHeight="1">
      <c r="B38" s="33" t="s">
        <v>161</v>
      </c>
      <c r="C38" s="33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</row>
    <row r="39" spans="2:25" ht="17" customHeight="1">
      <c r="B39" s="33" t="s">
        <v>162</v>
      </c>
      <c r="C39" s="33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2:25" ht="17" customHeight="1">
      <c r="B40" s="33" t="s">
        <v>163</v>
      </c>
      <c r="C40" s="33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</row>
    <row r="41" spans="2:25" ht="17" customHeight="1">
      <c r="B41" s="33" t="s">
        <v>164</v>
      </c>
      <c r="C41" s="33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</row>
    <row r="42" spans="2:25" ht="17" customHeight="1">
      <c r="B42" s="33" t="s">
        <v>165</v>
      </c>
      <c r="C42" s="33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7" t="s">
        <v>167</v>
      </c>
      <c r="C45" s="37" t="s">
        <v>168</v>
      </c>
      <c r="D45" s="37" t="s">
        <v>169</v>
      </c>
      <c r="E45" s="37">
        <f>"S.E."&amp;CHAR(10)&amp;bLabA</f>
        <v>0</v>
      </c>
      <c r="F45" s="38">
        <f>"S.E."&amp;CHAR(10)&amp;bLabB</f>
        <v>0</v>
      </c>
      <c r="G45" s="37">
        <f>"&lt;325#"&amp;CHAR(10)&amp;bLabA</f>
        <v>0</v>
      </c>
      <c r="H45" s="38">
        <f>"&lt;325#"&amp;CHAR(10)&amp;bLabB</f>
        <v>0</v>
      </c>
      <c r="I45" s="37">
        <f>"SiO₂"&amp;CHAR(10)&amp;bLabA</f>
        <v>0</v>
      </c>
      <c r="J45" s="38">
        <f>"SiO₂"&amp;CHAR(10)&amp;bLabB</f>
        <v>0</v>
      </c>
      <c r="K45" s="37">
        <f>"P"&amp;CHAR(10)&amp;bLabA</f>
        <v>0</v>
      </c>
      <c r="L45" s="38">
        <f>"P"&amp;CHAR(10)&amp;bLabB</f>
        <v>0</v>
      </c>
      <c r="M45" s="37">
        <f>"PPC"&amp;CHAR(10)&amp;bLabA</f>
        <v>0</v>
      </c>
      <c r="N45" s="38">
        <f>"PPC"&amp;CHAR(10)&amp;bLabB</f>
        <v>0</v>
      </c>
      <c r="P45" s="39" t="s">
        <v>170</v>
      </c>
      <c r="Q45" s="39" t="s">
        <v>172</v>
      </c>
      <c r="R45" s="39" t="s">
        <v>174</v>
      </c>
      <c r="S45" s="39" t="s">
        <v>176</v>
      </c>
      <c r="T45" s="39" t="s">
        <v>178</v>
      </c>
      <c r="U45" s="37" t="s">
        <v>171</v>
      </c>
      <c r="V45" s="37" t="s">
        <v>173</v>
      </c>
      <c r="W45" s="37" t="s">
        <v>175</v>
      </c>
      <c r="X45" s="37" t="s">
        <v>177</v>
      </c>
      <c r="Y45" s="37" t="s">
        <v>179</v>
      </c>
    </row>
    <row r="46" spans="2:25" ht="18" customHeight="1">
      <c r="B46" s="40">
        <v>1</v>
      </c>
      <c r="C46" s="41">
        <f>IF(AND(ISNUMBER(gJanU),1&lt;=bNHor),gJanU+0/12+cfgMinAntes/1440,"")</f>
        <v>0</v>
      </c>
      <c r="D46" s="42">
        <f>IF(ISNUMBER(C46),IF(ISNUMBER(gJanG),IF(1&lt;=gNG,gJanG+0/12+cfgMinG/1440,""),C46),"")</f>
        <v>0</v>
      </c>
      <c r="E46" s="43"/>
      <c r="F46" s="44"/>
      <c r="G46" s="45"/>
      <c r="H46" s="46"/>
      <c r="I46" s="47"/>
      <c r="J46" s="48"/>
      <c r="K46" s="49"/>
      <c r="L46" s="50"/>
      <c r="M46" s="47"/>
      <c r="N46" s="48"/>
      <c r="P46" s="51">
        <f>IF(AND(ISNUMBER(E46),ISNUMBER(F46)),IF(bRef=bLabA,F46-E46,E46-F46),"")</f>
        <v>0</v>
      </c>
      <c r="Q46" s="52">
        <f>IF(AND(ISNUMBER(G46),ISNUMBER(H46)),IF(bRef=bLabA,H46-G46,G46-H46),"")</f>
        <v>0</v>
      </c>
      <c r="R46" s="53">
        <f>IF(AND(ISNUMBER(I46),ISNUMBER(J46)),IF(bRef=bLabA,J46-I46,I46-J46),"")</f>
        <v>0</v>
      </c>
      <c r="S46" s="54">
        <f>IF(AND(ISNUMBER(K46),ISNUMBER(L46)),IF(bRef=bLabA,L46-K46,K46-L46),"")</f>
        <v>0</v>
      </c>
      <c r="T46" s="53">
        <f>IF(AND(ISNUMBER(M46),ISNUMBER(N46)),IF(bRef=bLabA,N46-M46,M46-N46),"")</f>
        <v>0</v>
      </c>
      <c r="U46" s="55">
        <f>IF(AND(ISNUMBER(E46),ISNUMBER(F46)),SUMPRODUCT(ISNUMBER(E$46:E46)*ISNUMBER(F$46:F46)),"")</f>
        <v>0</v>
      </c>
      <c r="V46" s="55">
        <f>IF(AND(ISNUMBER(G46),ISNUMBER(H46)),SUMPRODUCT(ISNUMBER(G$46:G46)*ISNUMBER(H$46:H46)),"")</f>
        <v>0</v>
      </c>
      <c r="W46" s="55">
        <f>IF(AND(ISNUMBER(I46),ISNUMBER(J46)),SUMPRODUCT(ISNUMBER(I$46:I46)*ISNUMBER(J$46:J46)),"")</f>
        <v>0</v>
      </c>
      <c r="X46" s="55">
        <f>IF(AND(ISNUMBER(K46),ISNUMBER(L46)),SUMPRODUCT(ISNUMBER(K$46:K46)*ISNUMBER(L$46:L46)),"")</f>
        <v>0</v>
      </c>
      <c r="Y46" s="55">
        <f>IF(AND(ISNUMBER(M46),ISNUMBER(N46)),SUMPRODUCT(ISNUMBER(M$46:M46)*ISNUMBER(N$46:N46)),"")</f>
        <v>0</v>
      </c>
    </row>
    <row r="47" spans="2:25" ht="18" customHeight="1">
      <c r="B47" s="40">
        <v>2</v>
      </c>
      <c r="C47" s="41">
        <f>IF(AND(ISNUMBER(gJanU),2&lt;=bNHor),gJanU+1/12+cfgMinAntes/1440,"")</f>
        <v>0</v>
      </c>
      <c r="D47" s="42">
        <f>IF(ISNUMBER(C47),IF(ISNUMBER(gJanG),IF(2&lt;=gNG,gJanG+1/12+cfgMinG/1440,""),C47),"")</f>
        <v>0</v>
      </c>
      <c r="E47" s="43"/>
      <c r="F47" s="44"/>
      <c r="G47" s="45"/>
      <c r="H47" s="46"/>
      <c r="I47" s="47"/>
      <c r="J47" s="48"/>
      <c r="K47" s="49"/>
      <c r="L47" s="50"/>
      <c r="M47" s="47"/>
      <c r="N47" s="48"/>
      <c r="P47" s="51">
        <f>IF(AND(ISNUMBER(E47),ISNUMBER(F47)),IF(bRef=bLabA,F47-E47,E47-F47),"")</f>
        <v>0</v>
      </c>
      <c r="Q47" s="52">
        <f>IF(AND(ISNUMBER(G47),ISNUMBER(H47)),IF(bRef=bLabA,H47-G47,G47-H47),"")</f>
        <v>0</v>
      </c>
      <c r="R47" s="53">
        <f>IF(AND(ISNUMBER(I47),ISNUMBER(J47)),IF(bRef=bLabA,J47-I47,I47-J47),"")</f>
        <v>0</v>
      </c>
      <c r="S47" s="54">
        <f>IF(AND(ISNUMBER(K47),ISNUMBER(L47)),IF(bRef=bLabA,L47-K47,K47-L47),"")</f>
        <v>0</v>
      </c>
      <c r="T47" s="53">
        <f>IF(AND(ISNUMBER(M47),ISNUMBER(N47)),IF(bRef=bLabA,N47-M47,M47-N47),"")</f>
        <v>0</v>
      </c>
      <c r="U47" s="55">
        <f>IF(AND(ISNUMBER(E47),ISNUMBER(F47)),SUMPRODUCT(ISNUMBER(E$46:E47)*ISNUMBER(F$46:F47)),"")</f>
        <v>0</v>
      </c>
      <c r="V47" s="55">
        <f>IF(AND(ISNUMBER(G47),ISNUMBER(H47)),SUMPRODUCT(ISNUMBER(G$46:G47)*ISNUMBER(H$46:H47)),"")</f>
        <v>0</v>
      </c>
      <c r="W47" s="55">
        <f>IF(AND(ISNUMBER(I47),ISNUMBER(J47)),SUMPRODUCT(ISNUMBER(I$46:I47)*ISNUMBER(J$46:J47)),"")</f>
        <v>0</v>
      </c>
      <c r="X47" s="55">
        <f>IF(AND(ISNUMBER(K47),ISNUMBER(L47)),SUMPRODUCT(ISNUMBER(K$46:K47)*ISNUMBER(L$46:L47)),"")</f>
        <v>0</v>
      </c>
      <c r="Y47" s="55">
        <f>IF(AND(ISNUMBER(M47),ISNUMBER(N47)),SUMPRODUCT(ISNUMBER(M$46:M47)*ISNUMBER(N$46:N47)),"")</f>
        <v>0</v>
      </c>
    </row>
    <row r="48" spans="2:25" ht="18" customHeight="1">
      <c r="B48" s="40">
        <v>3</v>
      </c>
      <c r="C48" s="41">
        <f>IF(AND(ISNUMBER(gJanU),3&lt;=bNHor),gJanU+2/12+cfgMinAntes/1440,"")</f>
        <v>0</v>
      </c>
      <c r="D48" s="42">
        <f>IF(ISNUMBER(C48),IF(ISNUMBER(gJanG),IF(3&lt;=gNG,gJanG+2/12+cfgMinG/1440,""),C48),"")</f>
        <v>0</v>
      </c>
      <c r="E48" s="43"/>
      <c r="F48" s="44"/>
      <c r="G48" s="45"/>
      <c r="H48" s="46"/>
      <c r="I48" s="47"/>
      <c r="J48" s="48"/>
      <c r="K48" s="49"/>
      <c r="L48" s="50"/>
      <c r="M48" s="47"/>
      <c r="N48" s="48"/>
      <c r="P48" s="51">
        <f>IF(AND(ISNUMBER(E48),ISNUMBER(F48)),IF(bRef=bLabA,F48-E48,E48-F48),"")</f>
        <v>0</v>
      </c>
      <c r="Q48" s="52">
        <f>IF(AND(ISNUMBER(G48),ISNUMBER(H48)),IF(bRef=bLabA,H48-G48,G48-H48),"")</f>
        <v>0</v>
      </c>
      <c r="R48" s="53">
        <f>IF(AND(ISNUMBER(I48),ISNUMBER(J48)),IF(bRef=bLabA,J48-I48,I48-J48),"")</f>
        <v>0</v>
      </c>
      <c r="S48" s="54">
        <f>IF(AND(ISNUMBER(K48),ISNUMBER(L48)),IF(bRef=bLabA,L48-K48,K48-L48),"")</f>
        <v>0</v>
      </c>
      <c r="T48" s="53">
        <f>IF(AND(ISNUMBER(M48),ISNUMBER(N48)),IF(bRef=bLabA,N48-M48,M48-N48),"")</f>
        <v>0</v>
      </c>
      <c r="U48" s="55">
        <f>IF(AND(ISNUMBER(E48),ISNUMBER(F48)),SUMPRODUCT(ISNUMBER(E$46:E48)*ISNUMBER(F$46:F48)),"")</f>
        <v>0</v>
      </c>
      <c r="V48" s="55">
        <f>IF(AND(ISNUMBER(G48),ISNUMBER(H48)),SUMPRODUCT(ISNUMBER(G$46:G48)*ISNUMBER(H$46:H48)),"")</f>
        <v>0</v>
      </c>
      <c r="W48" s="55">
        <f>IF(AND(ISNUMBER(I48),ISNUMBER(J48)),SUMPRODUCT(ISNUMBER(I$46:I48)*ISNUMBER(J$46:J48)),"")</f>
        <v>0</v>
      </c>
      <c r="X48" s="55">
        <f>IF(AND(ISNUMBER(K48),ISNUMBER(L48)),SUMPRODUCT(ISNUMBER(K$46:K48)*ISNUMBER(L$46:L48)),"")</f>
        <v>0</v>
      </c>
      <c r="Y48" s="55">
        <f>IF(AND(ISNUMBER(M48),ISNUMBER(N48)),SUMPRODUCT(ISNUMBER(M$46:M48)*ISNUMBER(N$46:N48)),"")</f>
        <v>0</v>
      </c>
    </row>
    <row r="49" spans="2:25" ht="18" customHeight="1">
      <c r="B49" s="40">
        <v>4</v>
      </c>
      <c r="C49" s="41">
        <f>IF(AND(ISNUMBER(gJanU),4&lt;=bNHor),gJanU+3/12+cfgMinAntes/1440,"")</f>
        <v>0</v>
      </c>
      <c r="D49" s="42">
        <f>IF(ISNUMBER(C49),IF(ISNUMBER(gJanG),IF(4&lt;=gNG,gJanG+3/12+cfgMinG/1440,""),C49),"")</f>
        <v>0</v>
      </c>
      <c r="E49" s="43"/>
      <c r="F49" s="44"/>
      <c r="G49" s="45"/>
      <c r="H49" s="46"/>
      <c r="I49" s="47"/>
      <c r="J49" s="48"/>
      <c r="K49" s="49"/>
      <c r="L49" s="50"/>
      <c r="M49" s="47"/>
      <c r="N49" s="48"/>
      <c r="P49" s="51">
        <f>IF(AND(ISNUMBER(E49),ISNUMBER(F49)),IF(bRef=bLabA,F49-E49,E49-F49),"")</f>
        <v>0</v>
      </c>
      <c r="Q49" s="52">
        <f>IF(AND(ISNUMBER(G49),ISNUMBER(H49)),IF(bRef=bLabA,H49-G49,G49-H49),"")</f>
        <v>0</v>
      </c>
      <c r="R49" s="53">
        <f>IF(AND(ISNUMBER(I49),ISNUMBER(J49)),IF(bRef=bLabA,J49-I49,I49-J49),"")</f>
        <v>0</v>
      </c>
      <c r="S49" s="54">
        <f>IF(AND(ISNUMBER(K49),ISNUMBER(L49)),IF(bRef=bLabA,L49-K49,K49-L49),"")</f>
        <v>0</v>
      </c>
      <c r="T49" s="53">
        <f>IF(AND(ISNUMBER(M49),ISNUMBER(N49)),IF(bRef=bLabA,N49-M49,M49-N49),"")</f>
        <v>0</v>
      </c>
      <c r="U49" s="55">
        <f>IF(AND(ISNUMBER(E49),ISNUMBER(F49)),SUMPRODUCT(ISNUMBER(E$46:E49)*ISNUMBER(F$46:F49)),"")</f>
        <v>0</v>
      </c>
      <c r="V49" s="55">
        <f>IF(AND(ISNUMBER(G49),ISNUMBER(H49)),SUMPRODUCT(ISNUMBER(G$46:G49)*ISNUMBER(H$46:H49)),"")</f>
        <v>0</v>
      </c>
      <c r="W49" s="55">
        <f>IF(AND(ISNUMBER(I49),ISNUMBER(J49)),SUMPRODUCT(ISNUMBER(I$46:I49)*ISNUMBER(J$46:J49)),"")</f>
        <v>0</v>
      </c>
      <c r="X49" s="55">
        <f>IF(AND(ISNUMBER(K49),ISNUMBER(L49)),SUMPRODUCT(ISNUMBER(K$46:K49)*ISNUMBER(L$46:L49)),"")</f>
        <v>0</v>
      </c>
      <c r="Y49" s="55">
        <f>IF(AND(ISNUMBER(M49),ISNUMBER(N49)),SUMPRODUCT(ISNUMBER(M$46:M49)*ISNUMBER(N$46:N49)),"")</f>
        <v>0</v>
      </c>
    </row>
    <row r="50" spans="2:25" ht="18" customHeight="1">
      <c r="B50" s="40">
        <v>5</v>
      </c>
      <c r="C50" s="41">
        <f>IF(AND(ISNUMBER(gJanU),5&lt;=bNHor),gJanU+4/12+cfgMinAntes/1440,"")</f>
        <v>0</v>
      </c>
      <c r="D50" s="42">
        <f>IF(ISNUMBER(C50),IF(ISNUMBER(gJanG),IF(5&lt;=gNG,gJanG+4/12+cfgMinG/1440,""),C50),"")</f>
        <v>0</v>
      </c>
      <c r="E50" s="43"/>
      <c r="F50" s="44"/>
      <c r="G50" s="45"/>
      <c r="H50" s="46"/>
      <c r="I50" s="47"/>
      <c r="J50" s="48"/>
      <c r="K50" s="49"/>
      <c r="L50" s="50"/>
      <c r="M50" s="47"/>
      <c r="N50" s="48"/>
      <c r="P50" s="51">
        <f>IF(AND(ISNUMBER(E50),ISNUMBER(F50)),IF(bRef=bLabA,F50-E50,E50-F50),"")</f>
        <v>0</v>
      </c>
      <c r="Q50" s="52">
        <f>IF(AND(ISNUMBER(G50),ISNUMBER(H50)),IF(bRef=bLabA,H50-G50,G50-H50),"")</f>
        <v>0</v>
      </c>
      <c r="R50" s="53">
        <f>IF(AND(ISNUMBER(I50),ISNUMBER(J50)),IF(bRef=bLabA,J50-I50,I50-J50),"")</f>
        <v>0</v>
      </c>
      <c r="S50" s="54">
        <f>IF(AND(ISNUMBER(K50),ISNUMBER(L50)),IF(bRef=bLabA,L50-K50,K50-L50),"")</f>
        <v>0</v>
      </c>
      <c r="T50" s="53">
        <f>IF(AND(ISNUMBER(M50),ISNUMBER(N50)),IF(bRef=bLabA,N50-M50,M50-N50),"")</f>
        <v>0</v>
      </c>
      <c r="U50" s="55">
        <f>IF(AND(ISNUMBER(E50),ISNUMBER(F50)),SUMPRODUCT(ISNUMBER(E$46:E50)*ISNUMBER(F$46:F50)),"")</f>
        <v>0</v>
      </c>
      <c r="V50" s="55">
        <f>IF(AND(ISNUMBER(G50),ISNUMBER(H50)),SUMPRODUCT(ISNUMBER(G$46:G50)*ISNUMBER(H$46:H50)),"")</f>
        <v>0</v>
      </c>
      <c r="W50" s="55">
        <f>IF(AND(ISNUMBER(I50),ISNUMBER(J50)),SUMPRODUCT(ISNUMBER(I$46:I50)*ISNUMBER(J$46:J50)),"")</f>
        <v>0</v>
      </c>
      <c r="X50" s="55">
        <f>IF(AND(ISNUMBER(K50),ISNUMBER(L50)),SUMPRODUCT(ISNUMBER(K$46:K50)*ISNUMBER(L$46:L50)),"")</f>
        <v>0</v>
      </c>
      <c r="Y50" s="55">
        <f>IF(AND(ISNUMBER(M50),ISNUMBER(N50)),SUMPRODUCT(ISNUMBER(M$46:M50)*ISNUMBER(N$46:N50)),"")</f>
        <v>0</v>
      </c>
    </row>
    <row r="51" spans="2:25" ht="18" customHeight="1">
      <c r="B51" s="40">
        <v>6</v>
      </c>
      <c r="C51" s="41">
        <f>IF(AND(ISNUMBER(gJanU),6&lt;=bNHor),gJanU+5/12+cfgMinAntes/1440,"")</f>
        <v>0</v>
      </c>
      <c r="D51" s="42">
        <f>IF(ISNUMBER(C51),IF(ISNUMBER(gJanG),IF(6&lt;=gNG,gJanG+5/12+cfgMinG/1440,""),C51),"")</f>
        <v>0</v>
      </c>
      <c r="E51" s="43"/>
      <c r="F51" s="44"/>
      <c r="G51" s="45"/>
      <c r="H51" s="46"/>
      <c r="I51" s="47"/>
      <c r="J51" s="48"/>
      <c r="K51" s="49"/>
      <c r="L51" s="50"/>
      <c r="M51" s="47"/>
      <c r="N51" s="48"/>
      <c r="P51" s="51">
        <f>IF(AND(ISNUMBER(E51),ISNUMBER(F51)),IF(bRef=bLabA,F51-E51,E51-F51),"")</f>
        <v>0</v>
      </c>
      <c r="Q51" s="52">
        <f>IF(AND(ISNUMBER(G51),ISNUMBER(H51)),IF(bRef=bLabA,H51-G51,G51-H51),"")</f>
        <v>0</v>
      </c>
      <c r="R51" s="53">
        <f>IF(AND(ISNUMBER(I51),ISNUMBER(J51)),IF(bRef=bLabA,J51-I51,I51-J51),"")</f>
        <v>0</v>
      </c>
      <c r="S51" s="54">
        <f>IF(AND(ISNUMBER(K51),ISNUMBER(L51)),IF(bRef=bLabA,L51-K51,K51-L51),"")</f>
        <v>0</v>
      </c>
      <c r="T51" s="53">
        <f>IF(AND(ISNUMBER(M51),ISNUMBER(N51)),IF(bRef=bLabA,N51-M51,M51-N51),"")</f>
        <v>0</v>
      </c>
      <c r="U51" s="55">
        <f>IF(AND(ISNUMBER(E51),ISNUMBER(F51)),SUMPRODUCT(ISNUMBER(E$46:E51)*ISNUMBER(F$46:F51)),"")</f>
        <v>0</v>
      </c>
      <c r="V51" s="55">
        <f>IF(AND(ISNUMBER(G51),ISNUMBER(H51)),SUMPRODUCT(ISNUMBER(G$46:G51)*ISNUMBER(H$46:H51)),"")</f>
        <v>0</v>
      </c>
      <c r="W51" s="55">
        <f>IF(AND(ISNUMBER(I51),ISNUMBER(J51)),SUMPRODUCT(ISNUMBER(I$46:I51)*ISNUMBER(J$46:J51)),"")</f>
        <v>0</v>
      </c>
      <c r="X51" s="55">
        <f>IF(AND(ISNUMBER(K51),ISNUMBER(L51)),SUMPRODUCT(ISNUMBER(K$46:K51)*ISNUMBER(L$46:L51)),"")</f>
        <v>0</v>
      </c>
      <c r="Y51" s="55">
        <f>IF(AND(ISNUMBER(M51),ISNUMBER(N51)),SUMPRODUCT(ISNUMBER(M$46:M51)*ISNUMBER(N$46:N51)),"")</f>
        <v>0</v>
      </c>
    </row>
    <row r="52" spans="2:25" ht="18" customHeight="1">
      <c r="B52" s="40">
        <v>7</v>
      </c>
      <c r="C52" s="41">
        <f>IF(AND(ISNUMBER(gJanU),7&lt;=bNHor),gJanU+6/12+cfgMinAntes/1440,"")</f>
        <v>0</v>
      </c>
      <c r="D52" s="42">
        <f>IF(ISNUMBER(C52),IF(ISNUMBER(gJanG),IF(7&lt;=gNG,gJanG+6/12+cfgMinG/1440,""),C52),"")</f>
        <v>0</v>
      </c>
      <c r="E52" s="43"/>
      <c r="F52" s="44"/>
      <c r="G52" s="45"/>
      <c r="H52" s="46"/>
      <c r="I52" s="47"/>
      <c r="J52" s="48"/>
      <c r="K52" s="49"/>
      <c r="L52" s="50"/>
      <c r="M52" s="47"/>
      <c r="N52" s="48"/>
      <c r="P52" s="51">
        <f>IF(AND(ISNUMBER(E52),ISNUMBER(F52)),IF(bRef=bLabA,F52-E52,E52-F52),"")</f>
        <v>0</v>
      </c>
      <c r="Q52" s="52">
        <f>IF(AND(ISNUMBER(G52),ISNUMBER(H52)),IF(bRef=bLabA,H52-G52,G52-H52),"")</f>
        <v>0</v>
      </c>
      <c r="R52" s="53">
        <f>IF(AND(ISNUMBER(I52),ISNUMBER(J52)),IF(bRef=bLabA,J52-I52,I52-J52),"")</f>
        <v>0</v>
      </c>
      <c r="S52" s="54">
        <f>IF(AND(ISNUMBER(K52),ISNUMBER(L52)),IF(bRef=bLabA,L52-K52,K52-L52),"")</f>
        <v>0</v>
      </c>
      <c r="T52" s="53">
        <f>IF(AND(ISNUMBER(M52),ISNUMBER(N52)),IF(bRef=bLabA,N52-M52,M52-N52),"")</f>
        <v>0</v>
      </c>
      <c r="U52" s="55">
        <f>IF(AND(ISNUMBER(E52),ISNUMBER(F52)),SUMPRODUCT(ISNUMBER(E$46:E52)*ISNUMBER(F$46:F52)),"")</f>
        <v>0</v>
      </c>
      <c r="V52" s="55">
        <f>IF(AND(ISNUMBER(G52),ISNUMBER(H52)),SUMPRODUCT(ISNUMBER(G$46:G52)*ISNUMBER(H$46:H52)),"")</f>
        <v>0</v>
      </c>
      <c r="W52" s="55">
        <f>IF(AND(ISNUMBER(I52),ISNUMBER(J52)),SUMPRODUCT(ISNUMBER(I$46:I52)*ISNUMBER(J$46:J52)),"")</f>
        <v>0</v>
      </c>
      <c r="X52" s="55">
        <f>IF(AND(ISNUMBER(K52),ISNUMBER(L52)),SUMPRODUCT(ISNUMBER(K$46:K52)*ISNUMBER(L$46:L52)),"")</f>
        <v>0</v>
      </c>
      <c r="Y52" s="55">
        <f>IF(AND(ISNUMBER(M52),ISNUMBER(N52)),SUMPRODUCT(ISNUMBER(M$46:M52)*ISNUMBER(N$46:N52)),"")</f>
        <v>0</v>
      </c>
    </row>
    <row r="53" spans="2:25" ht="18" customHeight="1">
      <c r="B53" s="40">
        <v>8</v>
      </c>
      <c r="C53" s="41">
        <f>IF(AND(ISNUMBER(gJanU),8&lt;=bNHor),gJanU+7/12+cfgMinAntes/1440,"")</f>
        <v>0</v>
      </c>
      <c r="D53" s="42">
        <f>IF(ISNUMBER(C53),IF(ISNUMBER(gJanG),IF(8&lt;=gNG,gJanG+7/12+cfgMinG/1440,""),C53),"")</f>
        <v>0</v>
      </c>
      <c r="E53" s="43"/>
      <c r="F53" s="44"/>
      <c r="G53" s="45"/>
      <c r="H53" s="46"/>
      <c r="I53" s="47"/>
      <c r="J53" s="48"/>
      <c r="K53" s="49"/>
      <c r="L53" s="50"/>
      <c r="M53" s="47"/>
      <c r="N53" s="48"/>
      <c r="P53" s="51">
        <f>IF(AND(ISNUMBER(E53),ISNUMBER(F53)),IF(bRef=bLabA,F53-E53,E53-F53),"")</f>
        <v>0</v>
      </c>
      <c r="Q53" s="52">
        <f>IF(AND(ISNUMBER(G53),ISNUMBER(H53)),IF(bRef=bLabA,H53-G53,G53-H53),"")</f>
        <v>0</v>
      </c>
      <c r="R53" s="53">
        <f>IF(AND(ISNUMBER(I53),ISNUMBER(J53)),IF(bRef=bLabA,J53-I53,I53-J53),"")</f>
        <v>0</v>
      </c>
      <c r="S53" s="54">
        <f>IF(AND(ISNUMBER(K53),ISNUMBER(L53)),IF(bRef=bLabA,L53-K53,K53-L53),"")</f>
        <v>0</v>
      </c>
      <c r="T53" s="53">
        <f>IF(AND(ISNUMBER(M53),ISNUMBER(N53)),IF(bRef=bLabA,N53-M53,M53-N53),"")</f>
        <v>0</v>
      </c>
      <c r="U53" s="55">
        <f>IF(AND(ISNUMBER(E53),ISNUMBER(F53)),SUMPRODUCT(ISNUMBER(E$46:E53)*ISNUMBER(F$46:F53)),"")</f>
        <v>0</v>
      </c>
      <c r="V53" s="55">
        <f>IF(AND(ISNUMBER(G53),ISNUMBER(H53)),SUMPRODUCT(ISNUMBER(G$46:G53)*ISNUMBER(H$46:H53)),"")</f>
        <v>0</v>
      </c>
      <c r="W53" s="55">
        <f>IF(AND(ISNUMBER(I53),ISNUMBER(J53)),SUMPRODUCT(ISNUMBER(I$46:I53)*ISNUMBER(J$46:J53)),"")</f>
        <v>0</v>
      </c>
      <c r="X53" s="55">
        <f>IF(AND(ISNUMBER(K53),ISNUMBER(L53)),SUMPRODUCT(ISNUMBER(K$46:K53)*ISNUMBER(L$46:L53)),"")</f>
        <v>0</v>
      </c>
      <c r="Y53" s="55">
        <f>IF(AND(ISNUMBER(M53),ISNUMBER(N53)),SUMPRODUCT(ISNUMBER(M$46:M53)*ISNUMBER(N$46:N53)),"")</f>
        <v>0</v>
      </c>
    </row>
    <row r="54" spans="2:25" ht="18" customHeight="1">
      <c r="B54" s="40">
        <v>9</v>
      </c>
      <c r="C54" s="41">
        <f>IF(AND(ISNUMBER(gJanU),9&lt;=bNHor),gJanU+8/12+cfgMinAntes/1440,"")</f>
        <v>0</v>
      </c>
      <c r="D54" s="42">
        <f>IF(ISNUMBER(C54),IF(ISNUMBER(gJanG),IF(9&lt;=gNG,gJanG+8/12+cfgMinG/1440,""),C54),"")</f>
        <v>0</v>
      </c>
      <c r="E54" s="43"/>
      <c r="F54" s="44"/>
      <c r="G54" s="45"/>
      <c r="H54" s="46"/>
      <c r="I54" s="47"/>
      <c r="J54" s="48"/>
      <c r="K54" s="49"/>
      <c r="L54" s="50"/>
      <c r="M54" s="47"/>
      <c r="N54" s="48"/>
      <c r="P54" s="51">
        <f>IF(AND(ISNUMBER(E54),ISNUMBER(F54)),IF(bRef=bLabA,F54-E54,E54-F54),"")</f>
        <v>0</v>
      </c>
      <c r="Q54" s="52">
        <f>IF(AND(ISNUMBER(G54),ISNUMBER(H54)),IF(bRef=bLabA,H54-G54,G54-H54),"")</f>
        <v>0</v>
      </c>
      <c r="R54" s="53">
        <f>IF(AND(ISNUMBER(I54),ISNUMBER(J54)),IF(bRef=bLabA,J54-I54,I54-J54),"")</f>
        <v>0</v>
      </c>
      <c r="S54" s="54">
        <f>IF(AND(ISNUMBER(K54),ISNUMBER(L54)),IF(bRef=bLabA,L54-K54,K54-L54),"")</f>
        <v>0</v>
      </c>
      <c r="T54" s="53">
        <f>IF(AND(ISNUMBER(M54),ISNUMBER(N54)),IF(bRef=bLabA,N54-M54,M54-N54),"")</f>
        <v>0</v>
      </c>
      <c r="U54" s="55">
        <f>IF(AND(ISNUMBER(E54),ISNUMBER(F54)),SUMPRODUCT(ISNUMBER(E$46:E54)*ISNUMBER(F$46:F54)),"")</f>
        <v>0</v>
      </c>
      <c r="V54" s="55">
        <f>IF(AND(ISNUMBER(G54),ISNUMBER(H54)),SUMPRODUCT(ISNUMBER(G$46:G54)*ISNUMBER(H$46:H54)),"")</f>
        <v>0</v>
      </c>
      <c r="W54" s="55">
        <f>IF(AND(ISNUMBER(I54),ISNUMBER(J54)),SUMPRODUCT(ISNUMBER(I$46:I54)*ISNUMBER(J$46:J54)),"")</f>
        <v>0</v>
      </c>
      <c r="X54" s="55">
        <f>IF(AND(ISNUMBER(K54),ISNUMBER(L54)),SUMPRODUCT(ISNUMBER(K$46:K54)*ISNUMBER(L$46:L54)),"")</f>
        <v>0</v>
      </c>
      <c r="Y54" s="55">
        <f>IF(AND(ISNUMBER(M54),ISNUMBER(N54)),SUMPRODUCT(ISNUMBER(M$46:M54)*ISNUMBER(N$46:N54)),"")</f>
        <v>0</v>
      </c>
    </row>
    <row r="55" spans="2:25" ht="18" customHeight="1">
      <c r="B55" s="40">
        <v>10</v>
      </c>
      <c r="C55" s="41">
        <f>IF(AND(ISNUMBER(gJanU),10&lt;=bNHor),gJanU+9/12+cfgMinAntes/1440,"")</f>
        <v>0</v>
      </c>
      <c r="D55" s="42">
        <f>IF(ISNUMBER(C55),IF(ISNUMBER(gJanG),IF(10&lt;=gNG,gJanG+9/12+cfgMinG/1440,""),C55),"")</f>
        <v>0</v>
      </c>
      <c r="E55" s="43"/>
      <c r="F55" s="44"/>
      <c r="G55" s="45"/>
      <c r="H55" s="46"/>
      <c r="I55" s="47"/>
      <c r="J55" s="48"/>
      <c r="K55" s="49"/>
      <c r="L55" s="50"/>
      <c r="M55" s="47"/>
      <c r="N55" s="48"/>
      <c r="P55" s="51">
        <f>IF(AND(ISNUMBER(E55),ISNUMBER(F55)),IF(bRef=bLabA,F55-E55,E55-F55),"")</f>
        <v>0</v>
      </c>
      <c r="Q55" s="52">
        <f>IF(AND(ISNUMBER(G55),ISNUMBER(H55)),IF(bRef=bLabA,H55-G55,G55-H55),"")</f>
        <v>0</v>
      </c>
      <c r="R55" s="53">
        <f>IF(AND(ISNUMBER(I55),ISNUMBER(J55)),IF(bRef=bLabA,J55-I55,I55-J55),"")</f>
        <v>0</v>
      </c>
      <c r="S55" s="54">
        <f>IF(AND(ISNUMBER(K55),ISNUMBER(L55)),IF(bRef=bLabA,L55-K55,K55-L55),"")</f>
        <v>0</v>
      </c>
      <c r="T55" s="53">
        <f>IF(AND(ISNUMBER(M55),ISNUMBER(N55)),IF(bRef=bLabA,N55-M55,M55-N55),"")</f>
        <v>0</v>
      </c>
      <c r="U55" s="55">
        <f>IF(AND(ISNUMBER(E55),ISNUMBER(F55)),SUMPRODUCT(ISNUMBER(E$46:E55)*ISNUMBER(F$46:F55)),"")</f>
        <v>0</v>
      </c>
      <c r="V55" s="55">
        <f>IF(AND(ISNUMBER(G55),ISNUMBER(H55)),SUMPRODUCT(ISNUMBER(G$46:G55)*ISNUMBER(H$46:H55)),"")</f>
        <v>0</v>
      </c>
      <c r="W55" s="55">
        <f>IF(AND(ISNUMBER(I55),ISNUMBER(J55)),SUMPRODUCT(ISNUMBER(I$46:I55)*ISNUMBER(J$46:J55)),"")</f>
        <v>0</v>
      </c>
      <c r="X55" s="55">
        <f>IF(AND(ISNUMBER(K55),ISNUMBER(L55)),SUMPRODUCT(ISNUMBER(K$46:K55)*ISNUMBER(L$46:L55)),"")</f>
        <v>0</v>
      </c>
      <c r="Y55" s="55">
        <f>IF(AND(ISNUMBER(M55),ISNUMBER(N55)),SUMPRODUCT(ISNUMBER(M$46:M55)*ISNUMBER(N$46:N55)),"")</f>
        <v>0</v>
      </c>
    </row>
    <row r="56" spans="2:25" ht="18" customHeight="1">
      <c r="B56" s="40">
        <v>11</v>
      </c>
      <c r="C56" s="41">
        <f>IF(AND(ISNUMBER(gJanU),11&lt;=bNHor),gJanU+10/12+cfgMinAntes/1440,"")</f>
        <v>0</v>
      </c>
      <c r="D56" s="42">
        <f>IF(ISNUMBER(C56),IF(ISNUMBER(gJanG),IF(11&lt;=gNG,gJanG+10/12+cfgMinG/1440,""),C56),"")</f>
        <v>0</v>
      </c>
      <c r="E56" s="43"/>
      <c r="F56" s="44"/>
      <c r="G56" s="45"/>
      <c r="H56" s="46"/>
      <c r="I56" s="47"/>
      <c r="J56" s="48"/>
      <c r="K56" s="49"/>
      <c r="L56" s="50"/>
      <c r="M56" s="47"/>
      <c r="N56" s="48"/>
      <c r="P56" s="51">
        <f>IF(AND(ISNUMBER(E56),ISNUMBER(F56)),IF(bRef=bLabA,F56-E56,E56-F56),"")</f>
        <v>0</v>
      </c>
      <c r="Q56" s="52">
        <f>IF(AND(ISNUMBER(G56),ISNUMBER(H56)),IF(bRef=bLabA,H56-G56,G56-H56),"")</f>
        <v>0</v>
      </c>
      <c r="R56" s="53">
        <f>IF(AND(ISNUMBER(I56),ISNUMBER(J56)),IF(bRef=bLabA,J56-I56,I56-J56),"")</f>
        <v>0</v>
      </c>
      <c r="S56" s="54">
        <f>IF(AND(ISNUMBER(K56),ISNUMBER(L56)),IF(bRef=bLabA,L56-K56,K56-L56),"")</f>
        <v>0</v>
      </c>
      <c r="T56" s="53">
        <f>IF(AND(ISNUMBER(M56),ISNUMBER(N56)),IF(bRef=bLabA,N56-M56,M56-N56),"")</f>
        <v>0</v>
      </c>
      <c r="U56" s="55">
        <f>IF(AND(ISNUMBER(E56),ISNUMBER(F56)),SUMPRODUCT(ISNUMBER(E$46:E56)*ISNUMBER(F$46:F56)),"")</f>
        <v>0</v>
      </c>
      <c r="V56" s="55">
        <f>IF(AND(ISNUMBER(G56),ISNUMBER(H56)),SUMPRODUCT(ISNUMBER(G$46:G56)*ISNUMBER(H$46:H56)),"")</f>
        <v>0</v>
      </c>
      <c r="W56" s="55">
        <f>IF(AND(ISNUMBER(I56),ISNUMBER(J56)),SUMPRODUCT(ISNUMBER(I$46:I56)*ISNUMBER(J$46:J56)),"")</f>
        <v>0</v>
      </c>
      <c r="X56" s="55">
        <f>IF(AND(ISNUMBER(K56),ISNUMBER(L56)),SUMPRODUCT(ISNUMBER(K$46:K56)*ISNUMBER(L$46:L56)),"")</f>
        <v>0</v>
      </c>
      <c r="Y56" s="55">
        <f>IF(AND(ISNUMBER(M56),ISNUMBER(N56)),SUMPRODUCT(ISNUMBER(M$46:M56)*ISNUMBER(N$46:N56)),"")</f>
        <v>0</v>
      </c>
    </row>
    <row r="57" spans="2:25" ht="18" customHeight="1">
      <c r="B57" s="40">
        <v>12</v>
      </c>
      <c r="C57" s="41">
        <f>IF(AND(ISNUMBER(gJanU),12&lt;=bNHor),gJanU+11/12+cfgMinAntes/1440,"")</f>
        <v>0</v>
      </c>
      <c r="D57" s="42">
        <f>IF(ISNUMBER(C57),IF(ISNUMBER(gJanG),IF(12&lt;=gNG,gJanG+11/12+cfgMinG/1440,""),C57),"")</f>
        <v>0</v>
      </c>
      <c r="E57" s="43"/>
      <c r="F57" s="44"/>
      <c r="G57" s="45"/>
      <c r="H57" s="46"/>
      <c r="I57" s="47"/>
      <c r="J57" s="48"/>
      <c r="K57" s="49"/>
      <c r="L57" s="50"/>
      <c r="M57" s="47"/>
      <c r="N57" s="48"/>
      <c r="P57" s="51">
        <f>IF(AND(ISNUMBER(E57),ISNUMBER(F57)),IF(bRef=bLabA,F57-E57,E57-F57),"")</f>
        <v>0</v>
      </c>
      <c r="Q57" s="52">
        <f>IF(AND(ISNUMBER(G57),ISNUMBER(H57)),IF(bRef=bLabA,H57-G57,G57-H57),"")</f>
        <v>0</v>
      </c>
      <c r="R57" s="53">
        <f>IF(AND(ISNUMBER(I57),ISNUMBER(J57)),IF(bRef=bLabA,J57-I57,I57-J57),"")</f>
        <v>0</v>
      </c>
      <c r="S57" s="54">
        <f>IF(AND(ISNUMBER(K57),ISNUMBER(L57)),IF(bRef=bLabA,L57-K57,K57-L57),"")</f>
        <v>0</v>
      </c>
      <c r="T57" s="53">
        <f>IF(AND(ISNUMBER(M57),ISNUMBER(N57)),IF(bRef=bLabA,N57-M57,M57-N57),"")</f>
        <v>0</v>
      </c>
      <c r="U57" s="55">
        <f>IF(AND(ISNUMBER(E57),ISNUMBER(F57)),SUMPRODUCT(ISNUMBER(E$46:E57)*ISNUMBER(F$46:F57)),"")</f>
        <v>0</v>
      </c>
      <c r="V57" s="55">
        <f>IF(AND(ISNUMBER(G57),ISNUMBER(H57)),SUMPRODUCT(ISNUMBER(G$46:G57)*ISNUMBER(H$46:H57)),"")</f>
        <v>0</v>
      </c>
      <c r="W57" s="55">
        <f>IF(AND(ISNUMBER(I57),ISNUMBER(J57)),SUMPRODUCT(ISNUMBER(I$46:I57)*ISNUMBER(J$46:J57)),"")</f>
        <v>0</v>
      </c>
      <c r="X57" s="55">
        <f>IF(AND(ISNUMBER(K57),ISNUMBER(L57)),SUMPRODUCT(ISNUMBER(K$46:K57)*ISNUMBER(L$46:L57)),"")</f>
        <v>0</v>
      </c>
      <c r="Y57" s="55">
        <f>IF(AND(ISNUMBER(M57),ISNUMBER(N57)),SUMPRODUCT(ISNUMBER(M$46:M57)*ISNUMBER(N$46:N57)),"")</f>
        <v>0</v>
      </c>
    </row>
    <row r="58" spans="2:25" ht="18" customHeight="1">
      <c r="B58" s="40">
        <v>13</v>
      </c>
      <c r="C58" s="41">
        <f>IF(AND(ISNUMBER(gJanU),13&lt;=bNHor),gJanU+12/12+cfgMinAntes/1440,"")</f>
        <v>0</v>
      </c>
      <c r="D58" s="42">
        <f>IF(ISNUMBER(C58),IF(ISNUMBER(gJanG),IF(13&lt;=gNG,gJanG+12/12+cfgMinG/1440,""),C58),"")</f>
        <v>0</v>
      </c>
      <c r="E58" s="43"/>
      <c r="F58" s="44"/>
      <c r="G58" s="45"/>
      <c r="H58" s="46"/>
      <c r="I58" s="47"/>
      <c r="J58" s="48"/>
      <c r="K58" s="49"/>
      <c r="L58" s="50"/>
      <c r="M58" s="47"/>
      <c r="N58" s="48"/>
      <c r="P58" s="51">
        <f>IF(AND(ISNUMBER(E58),ISNUMBER(F58)),IF(bRef=bLabA,F58-E58,E58-F58),"")</f>
        <v>0</v>
      </c>
      <c r="Q58" s="52">
        <f>IF(AND(ISNUMBER(G58),ISNUMBER(H58)),IF(bRef=bLabA,H58-G58,G58-H58),"")</f>
        <v>0</v>
      </c>
      <c r="R58" s="53">
        <f>IF(AND(ISNUMBER(I58),ISNUMBER(J58)),IF(bRef=bLabA,J58-I58,I58-J58),"")</f>
        <v>0</v>
      </c>
      <c r="S58" s="54">
        <f>IF(AND(ISNUMBER(K58),ISNUMBER(L58)),IF(bRef=bLabA,L58-K58,K58-L58),"")</f>
        <v>0</v>
      </c>
      <c r="T58" s="53">
        <f>IF(AND(ISNUMBER(M58),ISNUMBER(N58)),IF(bRef=bLabA,N58-M58,M58-N58),"")</f>
        <v>0</v>
      </c>
      <c r="U58" s="55">
        <f>IF(AND(ISNUMBER(E58),ISNUMBER(F58)),SUMPRODUCT(ISNUMBER(E$46:E58)*ISNUMBER(F$46:F58)),"")</f>
        <v>0</v>
      </c>
      <c r="V58" s="55">
        <f>IF(AND(ISNUMBER(G58),ISNUMBER(H58)),SUMPRODUCT(ISNUMBER(G$46:G58)*ISNUMBER(H$46:H58)),"")</f>
        <v>0</v>
      </c>
      <c r="W58" s="55">
        <f>IF(AND(ISNUMBER(I58),ISNUMBER(J58)),SUMPRODUCT(ISNUMBER(I$46:I58)*ISNUMBER(J$46:J58)),"")</f>
        <v>0</v>
      </c>
      <c r="X58" s="55">
        <f>IF(AND(ISNUMBER(K58),ISNUMBER(L58)),SUMPRODUCT(ISNUMBER(K$46:K58)*ISNUMBER(L$46:L58)),"")</f>
        <v>0</v>
      </c>
      <c r="Y58" s="55">
        <f>IF(AND(ISNUMBER(M58),ISNUMBER(N58)),SUMPRODUCT(ISNUMBER(M$46:M58)*ISNUMBER(N$46:N58)),"")</f>
        <v>0</v>
      </c>
    </row>
    <row r="59" spans="2:25" ht="18" customHeight="1">
      <c r="B59" s="40">
        <v>14</v>
      </c>
      <c r="C59" s="41">
        <f>IF(AND(ISNUMBER(gJanU),14&lt;=bNHor),gJanU+13/12+cfgMinAntes/1440,"")</f>
        <v>0</v>
      </c>
      <c r="D59" s="42">
        <f>IF(ISNUMBER(C59),IF(ISNUMBER(gJanG),IF(14&lt;=gNG,gJanG+13/12+cfgMinG/1440,""),C59),"")</f>
        <v>0</v>
      </c>
      <c r="E59" s="43"/>
      <c r="F59" s="44"/>
      <c r="G59" s="45"/>
      <c r="H59" s="46"/>
      <c r="I59" s="47"/>
      <c r="J59" s="48"/>
      <c r="K59" s="49"/>
      <c r="L59" s="50"/>
      <c r="M59" s="47"/>
      <c r="N59" s="48"/>
      <c r="P59" s="51">
        <f>IF(AND(ISNUMBER(E59),ISNUMBER(F59)),IF(bRef=bLabA,F59-E59,E59-F59),"")</f>
        <v>0</v>
      </c>
      <c r="Q59" s="52">
        <f>IF(AND(ISNUMBER(G59),ISNUMBER(H59)),IF(bRef=bLabA,H59-G59,G59-H59),"")</f>
        <v>0</v>
      </c>
      <c r="R59" s="53">
        <f>IF(AND(ISNUMBER(I59),ISNUMBER(J59)),IF(bRef=bLabA,J59-I59,I59-J59),"")</f>
        <v>0</v>
      </c>
      <c r="S59" s="54">
        <f>IF(AND(ISNUMBER(K59),ISNUMBER(L59)),IF(bRef=bLabA,L59-K59,K59-L59),"")</f>
        <v>0</v>
      </c>
      <c r="T59" s="53">
        <f>IF(AND(ISNUMBER(M59),ISNUMBER(N59)),IF(bRef=bLabA,N59-M59,M59-N59),"")</f>
        <v>0</v>
      </c>
      <c r="U59" s="55">
        <f>IF(AND(ISNUMBER(E59),ISNUMBER(F59)),SUMPRODUCT(ISNUMBER(E$46:E59)*ISNUMBER(F$46:F59)),"")</f>
        <v>0</v>
      </c>
      <c r="V59" s="55">
        <f>IF(AND(ISNUMBER(G59),ISNUMBER(H59)),SUMPRODUCT(ISNUMBER(G$46:G59)*ISNUMBER(H$46:H59)),"")</f>
        <v>0</v>
      </c>
      <c r="W59" s="55">
        <f>IF(AND(ISNUMBER(I59),ISNUMBER(J59)),SUMPRODUCT(ISNUMBER(I$46:I59)*ISNUMBER(J$46:J59)),"")</f>
        <v>0</v>
      </c>
      <c r="X59" s="55">
        <f>IF(AND(ISNUMBER(K59),ISNUMBER(L59)),SUMPRODUCT(ISNUMBER(K$46:K59)*ISNUMBER(L$46:L59)),"")</f>
        <v>0</v>
      </c>
      <c r="Y59" s="55">
        <f>IF(AND(ISNUMBER(M59),ISNUMBER(N59)),SUMPRODUCT(ISNUMBER(M$46:M59)*ISNUMBER(N$46:N59)),"")</f>
        <v>0</v>
      </c>
    </row>
    <row r="60" spans="2:25" ht="18" customHeight="1">
      <c r="B60" s="40">
        <v>15</v>
      </c>
      <c r="C60" s="41">
        <f>IF(AND(ISNUMBER(gJanU),15&lt;=bNHor),gJanU+14/12+cfgMinAntes/1440,"")</f>
        <v>0</v>
      </c>
      <c r="D60" s="42">
        <f>IF(ISNUMBER(C60),IF(ISNUMBER(gJanG),IF(15&lt;=gNG,gJanG+14/12+cfgMinG/1440,""),C60),"")</f>
        <v>0</v>
      </c>
      <c r="E60" s="43"/>
      <c r="F60" s="44"/>
      <c r="G60" s="45"/>
      <c r="H60" s="46"/>
      <c r="I60" s="47"/>
      <c r="J60" s="48"/>
      <c r="K60" s="49"/>
      <c r="L60" s="50"/>
      <c r="M60" s="47"/>
      <c r="N60" s="48"/>
      <c r="P60" s="51">
        <f>IF(AND(ISNUMBER(E60),ISNUMBER(F60)),IF(bRef=bLabA,F60-E60,E60-F60),"")</f>
        <v>0</v>
      </c>
      <c r="Q60" s="52">
        <f>IF(AND(ISNUMBER(G60),ISNUMBER(H60)),IF(bRef=bLabA,H60-G60,G60-H60),"")</f>
        <v>0</v>
      </c>
      <c r="R60" s="53">
        <f>IF(AND(ISNUMBER(I60),ISNUMBER(J60)),IF(bRef=bLabA,J60-I60,I60-J60),"")</f>
        <v>0</v>
      </c>
      <c r="S60" s="54">
        <f>IF(AND(ISNUMBER(K60),ISNUMBER(L60)),IF(bRef=bLabA,L60-K60,K60-L60),"")</f>
        <v>0</v>
      </c>
      <c r="T60" s="53">
        <f>IF(AND(ISNUMBER(M60),ISNUMBER(N60)),IF(bRef=bLabA,N60-M60,M60-N60),"")</f>
        <v>0</v>
      </c>
      <c r="U60" s="55">
        <f>IF(AND(ISNUMBER(E60),ISNUMBER(F60)),SUMPRODUCT(ISNUMBER(E$46:E60)*ISNUMBER(F$46:F60)),"")</f>
        <v>0</v>
      </c>
      <c r="V60" s="55">
        <f>IF(AND(ISNUMBER(G60),ISNUMBER(H60)),SUMPRODUCT(ISNUMBER(G$46:G60)*ISNUMBER(H$46:H60)),"")</f>
        <v>0</v>
      </c>
      <c r="W60" s="55">
        <f>IF(AND(ISNUMBER(I60),ISNUMBER(J60)),SUMPRODUCT(ISNUMBER(I$46:I60)*ISNUMBER(J$46:J60)),"")</f>
        <v>0</v>
      </c>
      <c r="X60" s="55">
        <f>IF(AND(ISNUMBER(K60),ISNUMBER(L60)),SUMPRODUCT(ISNUMBER(K$46:K60)*ISNUMBER(L$46:L60)),"")</f>
        <v>0</v>
      </c>
      <c r="Y60" s="55">
        <f>IF(AND(ISNUMBER(M60),ISNUMBER(N60)),SUMPRODUCT(ISNUMBER(M$46:M60)*ISNUMBER(N$46:N60)),"")</f>
        <v>0</v>
      </c>
    </row>
    <row r="61" spans="2:25" ht="18" customHeight="1">
      <c r="B61" s="40">
        <v>16</v>
      </c>
      <c r="C61" s="41">
        <f>IF(AND(ISNUMBER(gJanU),16&lt;=bNHor),gJanU+15/12+cfgMinAntes/1440,"")</f>
        <v>0</v>
      </c>
      <c r="D61" s="42">
        <f>IF(ISNUMBER(C61),IF(ISNUMBER(gJanG),IF(16&lt;=gNG,gJanG+15/12+cfgMinG/1440,""),C61),"")</f>
        <v>0</v>
      </c>
      <c r="E61" s="43"/>
      <c r="F61" s="44"/>
      <c r="G61" s="45"/>
      <c r="H61" s="46"/>
      <c r="I61" s="47"/>
      <c r="J61" s="48"/>
      <c r="K61" s="49"/>
      <c r="L61" s="50"/>
      <c r="M61" s="47"/>
      <c r="N61" s="48"/>
      <c r="P61" s="51">
        <f>IF(AND(ISNUMBER(E61),ISNUMBER(F61)),IF(bRef=bLabA,F61-E61,E61-F61),"")</f>
        <v>0</v>
      </c>
      <c r="Q61" s="52">
        <f>IF(AND(ISNUMBER(G61),ISNUMBER(H61)),IF(bRef=bLabA,H61-G61,G61-H61),"")</f>
        <v>0</v>
      </c>
      <c r="R61" s="53">
        <f>IF(AND(ISNUMBER(I61),ISNUMBER(J61)),IF(bRef=bLabA,J61-I61,I61-J61),"")</f>
        <v>0</v>
      </c>
      <c r="S61" s="54">
        <f>IF(AND(ISNUMBER(K61),ISNUMBER(L61)),IF(bRef=bLabA,L61-K61,K61-L61),"")</f>
        <v>0</v>
      </c>
      <c r="T61" s="53">
        <f>IF(AND(ISNUMBER(M61),ISNUMBER(N61)),IF(bRef=bLabA,N61-M61,M61-N61),"")</f>
        <v>0</v>
      </c>
      <c r="U61" s="55">
        <f>IF(AND(ISNUMBER(E61),ISNUMBER(F61)),SUMPRODUCT(ISNUMBER(E$46:E61)*ISNUMBER(F$46:F61)),"")</f>
        <v>0</v>
      </c>
      <c r="V61" s="55">
        <f>IF(AND(ISNUMBER(G61),ISNUMBER(H61)),SUMPRODUCT(ISNUMBER(G$46:G61)*ISNUMBER(H$46:H61)),"")</f>
        <v>0</v>
      </c>
      <c r="W61" s="55">
        <f>IF(AND(ISNUMBER(I61),ISNUMBER(J61)),SUMPRODUCT(ISNUMBER(I$46:I61)*ISNUMBER(J$46:J61)),"")</f>
        <v>0</v>
      </c>
      <c r="X61" s="55">
        <f>IF(AND(ISNUMBER(K61),ISNUMBER(L61)),SUMPRODUCT(ISNUMBER(K$46:K61)*ISNUMBER(L$46:L61)),"")</f>
        <v>0</v>
      </c>
      <c r="Y61" s="55">
        <f>IF(AND(ISNUMBER(M61),ISNUMBER(N61)),SUMPRODUCT(ISNUMBER(M$46:M61)*ISNUMBER(N$46:N61)),"")</f>
        <v>0</v>
      </c>
    </row>
    <row r="62" spans="2:25" ht="18" customHeight="1">
      <c r="B62" s="40">
        <v>17</v>
      </c>
      <c r="C62" s="41">
        <f>IF(AND(ISNUMBER(gJanU),17&lt;=bNHor),gJanU+16/12+cfgMinAntes/1440,"")</f>
        <v>0</v>
      </c>
      <c r="D62" s="42">
        <f>IF(ISNUMBER(C62),IF(ISNUMBER(gJanG),IF(17&lt;=gNG,gJanG+16/12+cfgMinG/1440,""),C62),"")</f>
        <v>0</v>
      </c>
      <c r="E62" s="43"/>
      <c r="F62" s="44"/>
      <c r="G62" s="45"/>
      <c r="H62" s="46"/>
      <c r="I62" s="47"/>
      <c r="J62" s="48"/>
      <c r="K62" s="49"/>
      <c r="L62" s="50"/>
      <c r="M62" s="47"/>
      <c r="N62" s="48"/>
      <c r="P62" s="51">
        <f>IF(AND(ISNUMBER(E62),ISNUMBER(F62)),IF(bRef=bLabA,F62-E62,E62-F62),"")</f>
        <v>0</v>
      </c>
      <c r="Q62" s="52">
        <f>IF(AND(ISNUMBER(G62),ISNUMBER(H62)),IF(bRef=bLabA,H62-G62,G62-H62),"")</f>
        <v>0</v>
      </c>
      <c r="R62" s="53">
        <f>IF(AND(ISNUMBER(I62),ISNUMBER(J62)),IF(bRef=bLabA,J62-I62,I62-J62),"")</f>
        <v>0</v>
      </c>
      <c r="S62" s="54">
        <f>IF(AND(ISNUMBER(K62),ISNUMBER(L62)),IF(bRef=bLabA,L62-K62,K62-L62),"")</f>
        <v>0</v>
      </c>
      <c r="T62" s="53">
        <f>IF(AND(ISNUMBER(M62),ISNUMBER(N62)),IF(bRef=bLabA,N62-M62,M62-N62),"")</f>
        <v>0</v>
      </c>
      <c r="U62" s="55">
        <f>IF(AND(ISNUMBER(E62),ISNUMBER(F62)),SUMPRODUCT(ISNUMBER(E$46:E62)*ISNUMBER(F$46:F62)),"")</f>
        <v>0</v>
      </c>
      <c r="V62" s="55">
        <f>IF(AND(ISNUMBER(G62),ISNUMBER(H62)),SUMPRODUCT(ISNUMBER(G$46:G62)*ISNUMBER(H$46:H62)),"")</f>
        <v>0</v>
      </c>
      <c r="W62" s="55">
        <f>IF(AND(ISNUMBER(I62),ISNUMBER(J62)),SUMPRODUCT(ISNUMBER(I$46:I62)*ISNUMBER(J$46:J62)),"")</f>
        <v>0</v>
      </c>
      <c r="X62" s="55">
        <f>IF(AND(ISNUMBER(K62),ISNUMBER(L62)),SUMPRODUCT(ISNUMBER(K$46:K62)*ISNUMBER(L$46:L62)),"")</f>
        <v>0</v>
      </c>
      <c r="Y62" s="55">
        <f>IF(AND(ISNUMBER(M62),ISNUMBER(N62)),SUMPRODUCT(ISNUMBER(M$46:M62)*ISNUMBER(N$46:N62)),"")</f>
        <v>0</v>
      </c>
    </row>
    <row r="63" spans="2:25" ht="18" customHeight="1">
      <c r="B63" s="40">
        <v>18</v>
      </c>
      <c r="C63" s="41">
        <f>IF(AND(ISNUMBER(gJanU),18&lt;=bNHor),gJanU+17/12+cfgMinAntes/1440,"")</f>
        <v>0</v>
      </c>
      <c r="D63" s="42">
        <f>IF(ISNUMBER(C63),IF(ISNUMBER(gJanG),IF(18&lt;=gNG,gJanG+17/12+cfgMinG/1440,""),C63),"")</f>
        <v>0</v>
      </c>
      <c r="E63" s="43"/>
      <c r="F63" s="44"/>
      <c r="G63" s="45"/>
      <c r="H63" s="46"/>
      <c r="I63" s="47"/>
      <c r="J63" s="48"/>
      <c r="K63" s="49"/>
      <c r="L63" s="50"/>
      <c r="M63" s="47"/>
      <c r="N63" s="48"/>
      <c r="P63" s="51">
        <f>IF(AND(ISNUMBER(E63),ISNUMBER(F63)),IF(bRef=bLabA,F63-E63,E63-F63),"")</f>
        <v>0</v>
      </c>
      <c r="Q63" s="52">
        <f>IF(AND(ISNUMBER(G63),ISNUMBER(H63)),IF(bRef=bLabA,H63-G63,G63-H63),"")</f>
        <v>0</v>
      </c>
      <c r="R63" s="53">
        <f>IF(AND(ISNUMBER(I63),ISNUMBER(J63)),IF(bRef=bLabA,J63-I63,I63-J63),"")</f>
        <v>0</v>
      </c>
      <c r="S63" s="54">
        <f>IF(AND(ISNUMBER(K63),ISNUMBER(L63)),IF(bRef=bLabA,L63-K63,K63-L63),"")</f>
        <v>0</v>
      </c>
      <c r="T63" s="53">
        <f>IF(AND(ISNUMBER(M63),ISNUMBER(N63)),IF(bRef=bLabA,N63-M63,M63-N63),"")</f>
        <v>0</v>
      </c>
      <c r="U63" s="55">
        <f>IF(AND(ISNUMBER(E63),ISNUMBER(F63)),SUMPRODUCT(ISNUMBER(E$46:E63)*ISNUMBER(F$46:F63)),"")</f>
        <v>0</v>
      </c>
      <c r="V63" s="55">
        <f>IF(AND(ISNUMBER(G63),ISNUMBER(H63)),SUMPRODUCT(ISNUMBER(G$46:G63)*ISNUMBER(H$46:H63)),"")</f>
        <v>0</v>
      </c>
      <c r="W63" s="55">
        <f>IF(AND(ISNUMBER(I63),ISNUMBER(J63)),SUMPRODUCT(ISNUMBER(I$46:I63)*ISNUMBER(J$46:J63)),"")</f>
        <v>0</v>
      </c>
      <c r="X63" s="55">
        <f>IF(AND(ISNUMBER(K63),ISNUMBER(L63)),SUMPRODUCT(ISNUMBER(K$46:K63)*ISNUMBER(L$46:L63)),"")</f>
        <v>0</v>
      </c>
      <c r="Y63" s="55">
        <f>IF(AND(ISNUMBER(M63),ISNUMBER(N63)),SUMPRODUCT(ISNUMBER(M$46:M63)*ISNUMBER(N$46:N63)),"")</f>
        <v>0</v>
      </c>
    </row>
    <row r="64" spans="2:25" ht="18" customHeight="1">
      <c r="B64" s="40">
        <v>19</v>
      </c>
      <c r="C64" s="41">
        <f>IF(AND(ISNUMBER(gJanU),19&lt;=bNHor),gJanU+18/12+cfgMinAntes/1440,"")</f>
        <v>0</v>
      </c>
      <c r="D64" s="42">
        <f>IF(ISNUMBER(C64),IF(ISNUMBER(gJanG),IF(19&lt;=gNG,gJanG+18/12+cfgMinG/1440,""),C64),"")</f>
        <v>0</v>
      </c>
      <c r="E64" s="43"/>
      <c r="F64" s="44"/>
      <c r="G64" s="45"/>
      <c r="H64" s="46"/>
      <c r="I64" s="47"/>
      <c r="J64" s="48"/>
      <c r="K64" s="49"/>
      <c r="L64" s="50"/>
      <c r="M64" s="47"/>
      <c r="N64" s="48"/>
      <c r="P64" s="51">
        <f>IF(AND(ISNUMBER(E64),ISNUMBER(F64)),IF(bRef=bLabA,F64-E64,E64-F64),"")</f>
        <v>0</v>
      </c>
      <c r="Q64" s="52">
        <f>IF(AND(ISNUMBER(G64),ISNUMBER(H64)),IF(bRef=bLabA,H64-G64,G64-H64),"")</f>
        <v>0</v>
      </c>
      <c r="R64" s="53">
        <f>IF(AND(ISNUMBER(I64),ISNUMBER(J64)),IF(bRef=bLabA,J64-I64,I64-J64),"")</f>
        <v>0</v>
      </c>
      <c r="S64" s="54">
        <f>IF(AND(ISNUMBER(K64),ISNUMBER(L64)),IF(bRef=bLabA,L64-K64,K64-L64),"")</f>
        <v>0</v>
      </c>
      <c r="T64" s="53">
        <f>IF(AND(ISNUMBER(M64),ISNUMBER(N64)),IF(bRef=bLabA,N64-M64,M64-N64),"")</f>
        <v>0</v>
      </c>
      <c r="U64" s="55">
        <f>IF(AND(ISNUMBER(E64),ISNUMBER(F64)),SUMPRODUCT(ISNUMBER(E$46:E64)*ISNUMBER(F$46:F64)),"")</f>
        <v>0</v>
      </c>
      <c r="V64" s="55">
        <f>IF(AND(ISNUMBER(G64),ISNUMBER(H64)),SUMPRODUCT(ISNUMBER(G$46:G64)*ISNUMBER(H$46:H64)),"")</f>
        <v>0</v>
      </c>
      <c r="W64" s="55">
        <f>IF(AND(ISNUMBER(I64),ISNUMBER(J64)),SUMPRODUCT(ISNUMBER(I$46:I64)*ISNUMBER(J$46:J64)),"")</f>
        <v>0</v>
      </c>
      <c r="X64" s="55">
        <f>IF(AND(ISNUMBER(K64),ISNUMBER(L64)),SUMPRODUCT(ISNUMBER(K$46:K64)*ISNUMBER(L$46:L64)),"")</f>
        <v>0</v>
      </c>
      <c r="Y64" s="55">
        <f>IF(AND(ISNUMBER(M64),ISNUMBER(N64)),SUMPRODUCT(ISNUMBER(M$46:M64)*ISNUMBER(N$46:N64)),"")</f>
        <v>0</v>
      </c>
    </row>
    <row r="65" spans="2:25" ht="18" customHeight="1">
      <c r="B65" s="40">
        <v>20</v>
      </c>
      <c r="C65" s="41">
        <f>IF(AND(ISNUMBER(gJanU),20&lt;=bNHor),gJanU+19/12+cfgMinAntes/1440,"")</f>
        <v>0</v>
      </c>
      <c r="D65" s="42">
        <f>IF(ISNUMBER(C65),IF(ISNUMBER(gJanG),IF(20&lt;=gNG,gJanG+19/12+cfgMinG/1440,""),C65),"")</f>
        <v>0</v>
      </c>
      <c r="E65" s="43"/>
      <c r="F65" s="44"/>
      <c r="G65" s="45"/>
      <c r="H65" s="46"/>
      <c r="I65" s="47"/>
      <c r="J65" s="48"/>
      <c r="K65" s="49"/>
      <c r="L65" s="50"/>
      <c r="M65" s="47"/>
      <c r="N65" s="48"/>
      <c r="P65" s="51">
        <f>IF(AND(ISNUMBER(E65),ISNUMBER(F65)),IF(bRef=bLabA,F65-E65,E65-F65),"")</f>
        <v>0</v>
      </c>
      <c r="Q65" s="52">
        <f>IF(AND(ISNUMBER(G65),ISNUMBER(H65)),IF(bRef=bLabA,H65-G65,G65-H65),"")</f>
        <v>0</v>
      </c>
      <c r="R65" s="53">
        <f>IF(AND(ISNUMBER(I65),ISNUMBER(J65)),IF(bRef=bLabA,J65-I65,I65-J65),"")</f>
        <v>0</v>
      </c>
      <c r="S65" s="54">
        <f>IF(AND(ISNUMBER(K65),ISNUMBER(L65)),IF(bRef=bLabA,L65-K65,K65-L65),"")</f>
        <v>0</v>
      </c>
      <c r="T65" s="53">
        <f>IF(AND(ISNUMBER(M65),ISNUMBER(N65)),IF(bRef=bLabA,N65-M65,M65-N65),"")</f>
        <v>0</v>
      </c>
      <c r="U65" s="55">
        <f>IF(AND(ISNUMBER(E65),ISNUMBER(F65)),SUMPRODUCT(ISNUMBER(E$46:E65)*ISNUMBER(F$46:F65)),"")</f>
        <v>0</v>
      </c>
      <c r="V65" s="55">
        <f>IF(AND(ISNUMBER(G65),ISNUMBER(H65)),SUMPRODUCT(ISNUMBER(G$46:G65)*ISNUMBER(H$46:H65)),"")</f>
        <v>0</v>
      </c>
      <c r="W65" s="55">
        <f>IF(AND(ISNUMBER(I65),ISNUMBER(J65)),SUMPRODUCT(ISNUMBER(I$46:I65)*ISNUMBER(J$46:J65)),"")</f>
        <v>0</v>
      </c>
      <c r="X65" s="55">
        <f>IF(AND(ISNUMBER(K65),ISNUMBER(L65)),SUMPRODUCT(ISNUMBER(K$46:K65)*ISNUMBER(L$46:L65)),"")</f>
        <v>0</v>
      </c>
      <c r="Y65" s="55">
        <f>IF(AND(ISNUMBER(M65),ISNUMBER(N65)),SUMPRODUCT(ISNUMBER(M$46:M65)*ISNUMBER(N$46:N65)),"")</f>
        <v>0</v>
      </c>
    </row>
    <row r="66" spans="2:25" ht="18" customHeight="1">
      <c r="B66" s="40">
        <v>21</v>
      </c>
      <c r="C66" s="41">
        <f>IF(AND(ISNUMBER(gJanU),21&lt;=bNHor),gJanU+20/12+cfgMinAntes/1440,"")</f>
        <v>0</v>
      </c>
      <c r="D66" s="42">
        <f>IF(ISNUMBER(C66),IF(ISNUMBER(gJanG),IF(21&lt;=gNG,gJanG+20/12+cfgMinG/1440,""),C66),"")</f>
        <v>0</v>
      </c>
      <c r="E66" s="43"/>
      <c r="F66" s="44"/>
      <c r="G66" s="45"/>
      <c r="H66" s="46"/>
      <c r="I66" s="47"/>
      <c r="J66" s="48"/>
      <c r="K66" s="49"/>
      <c r="L66" s="50"/>
      <c r="M66" s="47"/>
      <c r="N66" s="48"/>
      <c r="P66" s="51">
        <f>IF(AND(ISNUMBER(E66),ISNUMBER(F66)),IF(bRef=bLabA,F66-E66,E66-F66),"")</f>
        <v>0</v>
      </c>
      <c r="Q66" s="52">
        <f>IF(AND(ISNUMBER(G66),ISNUMBER(H66)),IF(bRef=bLabA,H66-G66,G66-H66),"")</f>
        <v>0</v>
      </c>
      <c r="R66" s="53">
        <f>IF(AND(ISNUMBER(I66),ISNUMBER(J66)),IF(bRef=bLabA,J66-I66,I66-J66),"")</f>
        <v>0</v>
      </c>
      <c r="S66" s="54">
        <f>IF(AND(ISNUMBER(K66),ISNUMBER(L66)),IF(bRef=bLabA,L66-K66,K66-L66),"")</f>
        <v>0</v>
      </c>
      <c r="T66" s="53">
        <f>IF(AND(ISNUMBER(M66),ISNUMBER(N66)),IF(bRef=bLabA,N66-M66,M66-N66),"")</f>
        <v>0</v>
      </c>
      <c r="U66" s="55">
        <f>IF(AND(ISNUMBER(E66),ISNUMBER(F66)),SUMPRODUCT(ISNUMBER(E$46:E66)*ISNUMBER(F$46:F66)),"")</f>
        <v>0</v>
      </c>
      <c r="V66" s="55">
        <f>IF(AND(ISNUMBER(G66),ISNUMBER(H66)),SUMPRODUCT(ISNUMBER(G$46:G66)*ISNUMBER(H$46:H66)),"")</f>
        <v>0</v>
      </c>
      <c r="W66" s="55">
        <f>IF(AND(ISNUMBER(I66),ISNUMBER(J66)),SUMPRODUCT(ISNUMBER(I$46:I66)*ISNUMBER(J$46:J66)),"")</f>
        <v>0</v>
      </c>
      <c r="X66" s="55">
        <f>IF(AND(ISNUMBER(K66),ISNUMBER(L66)),SUMPRODUCT(ISNUMBER(K$46:K66)*ISNUMBER(L$46:L66)),"")</f>
        <v>0</v>
      </c>
      <c r="Y66" s="55">
        <f>IF(AND(ISNUMBER(M66),ISNUMBER(N66)),SUMPRODUCT(ISNUMBER(M$46:M66)*ISNUMBER(N$46:N66)),"")</f>
        <v>0</v>
      </c>
    </row>
    <row r="67" spans="2:25" ht="18" customHeight="1">
      <c r="B67" s="40">
        <v>22</v>
      </c>
      <c r="C67" s="41">
        <f>IF(AND(ISNUMBER(gJanU),22&lt;=bNHor),gJanU+21/12+cfgMinAntes/1440,"")</f>
        <v>0</v>
      </c>
      <c r="D67" s="42">
        <f>IF(ISNUMBER(C67),IF(ISNUMBER(gJanG),IF(22&lt;=gNG,gJanG+21/12+cfgMinG/1440,""),C67),"")</f>
        <v>0</v>
      </c>
      <c r="E67" s="43"/>
      <c r="F67" s="44"/>
      <c r="G67" s="45"/>
      <c r="H67" s="46"/>
      <c r="I67" s="47"/>
      <c r="J67" s="48"/>
      <c r="K67" s="49"/>
      <c r="L67" s="50"/>
      <c r="M67" s="47"/>
      <c r="N67" s="48"/>
      <c r="P67" s="51">
        <f>IF(AND(ISNUMBER(E67),ISNUMBER(F67)),IF(bRef=bLabA,F67-E67,E67-F67),"")</f>
        <v>0</v>
      </c>
      <c r="Q67" s="52">
        <f>IF(AND(ISNUMBER(G67),ISNUMBER(H67)),IF(bRef=bLabA,H67-G67,G67-H67),"")</f>
        <v>0</v>
      </c>
      <c r="R67" s="53">
        <f>IF(AND(ISNUMBER(I67),ISNUMBER(J67)),IF(bRef=bLabA,J67-I67,I67-J67),"")</f>
        <v>0</v>
      </c>
      <c r="S67" s="54">
        <f>IF(AND(ISNUMBER(K67),ISNUMBER(L67)),IF(bRef=bLabA,L67-K67,K67-L67),"")</f>
        <v>0</v>
      </c>
      <c r="T67" s="53">
        <f>IF(AND(ISNUMBER(M67),ISNUMBER(N67)),IF(bRef=bLabA,N67-M67,M67-N67),"")</f>
        <v>0</v>
      </c>
      <c r="U67" s="55">
        <f>IF(AND(ISNUMBER(E67),ISNUMBER(F67)),SUMPRODUCT(ISNUMBER(E$46:E67)*ISNUMBER(F$46:F67)),"")</f>
        <v>0</v>
      </c>
      <c r="V67" s="55">
        <f>IF(AND(ISNUMBER(G67),ISNUMBER(H67)),SUMPRODUCT(ISNUMBER(G$46:G67)*ISNUMBER(H$46:H67)),"")</f>
        <v>0</v>
      </c>
      <c r="W67" s="55">
        <f>IF(AND(ISNUMBER(I67),ISNUMBER(J67)),SUMPRODUCT(ISNUMBER(I$46:I67)*ISNUMBER(J$46:J67)),"")</f>
        <v>0</v>
      </c>
      <c r="X67" s="55">
        <f>IF(AND(ISNUMBER(K67),ISNUMBER(L67)),SUMPRODUCT(ISNUMBER(K$46:K67)*ISNUMBER(L$46:L67)),"")</f>
        <v>0</v>
      </c>
      <c r="Y67" s="55">
        <f>IF(AND(ISNUMBER(M67),ISNUMBER(N67)),SUMPRODUCT(ISNUMBER(M$46:M67)*ISNUMBER(N$46:N67)),"")</f>
        <v>0</v>
      </c>
    </row>
    <row r="68" spans="2:25" ht="18" customHeight="1">
      <c r="B68" s="40">
        <v>23</v>
      </c>
      <c r="C68" s="41">
        <f>IF(AND(ISNUMBER(gJanU),23&lt;=bNHor),gJanU+22/12+cfgMinAntes/1440,"")</f>
        <v>0</v>
      </c>
      <c r="D68" s="42">
        <f>IF(ISNUMBER(C68),IF(ISNUMBER(gJanG),IF(23&lt;=gNG,gJanG+22/12+cfgMinG/1440,""),C68),"")</f>
        <v>0</v>
      </c>
      <c r="E68" s="43"/>
      <c r="F68" s="44"/>
      <c r="G68" s="45"/>
      <c r="H68" s="46"/>
      <c r="I68" s="47"/>
      <c r="J68" s="48"/>
      <c r="K68" s="49"/>
      <c r="L68" s="50"/>
      <c r="M68" s="47"/>
      <c r="N68" s="48"/>
      <c r="P68" s="51">
        <f>IF(AND(ISNUMBER(E68),ISNUMBER(F68)),IF(bRef=bLabA,F68-E68,E68-F68),"")</f>
        <v>0</v>
      </c>
      <c r="Q68" s="52">
        <f>IF(AND(ISNUMBER(G68),ISNUMBER(H68)),IF(bRef=bLabA,H68-G68,G68-H68),"")</f>
        <v>0</v>
      </c>
      <c r="R68" s="53">
        <f>IF(AND(ISNUMBER(I68),ISNUMBER(J68)),IF(bRef=bLabA,J68-I68,I68-J68),"")</f>
        <v>0</v>
      </c>
      <c r="S68" s="54">
        <f>IF(AND(ISNUMBER(K68),ISNUMBER(L68)),IF(bRef=bLabA,L68-K68,K68-L68),"")</f>
        <v>0</v>
      </c>
      <c r="T68" s="53">
        <f>IF(AND(ISNUMBER(M68),ISNUMBER(N68)),IF(bRef=bLabA,N68-M68,M68-N68),"")</f>
        <v>0</v>
      </c>
      <c r="U68" s="55">
        <f>IF(AND(ISNUMBER(E68),ISNUMBER(F68)),SUMPRODUCT(ISNUMBER(E$46:E68)*ISNUMBER(F$46:F68)),"")</f>
        <v>0</v>
      </c>
      <c r="V68" s="55">
        <f>IF(AND(ISNUMBER(G68),ISNUMBER(H68)),SUMPRODUCT(ISNUMBER(G$46:G68)*ISNUMBER(H$46:H68)),"")</f>
        <v>0</v>
      </c>
      <c r="W68" s="55">
        <f>IF(AND(ISNUMBER(I68),ISNUMBER(J68)),SUMPRODUCT(ISNUMBER(I$46:I68)*ISNUMBER(J$46:J68)),"")</f>
        <v>0</v>
      </c>
      <c r="X68" s="55">
        <f>IF(AND(ISNUMBER(K68),ISNUMBER(L68)),SUMPRODUCT(ISNUMBER(K$46:K68)*ISNUMBER(L$46:L68)),"")</f>
        <v>0</v>
      </c>
      <c r="Y68" s="55">
        <f>IF(AND(ISNUMBER(M68),ISNUMBER(N68)),SUMPRODUCT(ISNUMBER(M$46:M68)*ISNUMBER(N$46:N68)),"")</f>
        <v>0</v>
      </c>
    </row>
    <row r="69" spans="2:25" ht="18" customHeight="1">
      <c r="B69" s="40">
        <v>24</v>
      </c>
      <c r="C69" s="41">
        <f>IF(AND(ISNUMBER(gJanU),24&lt;=bNHor),gJanU+23/12+cfgMinAntes/1440,"")</f>
        <v>0</v>
      </c>
      <c r="D69" s="42">
        <f>IF(ISNUMBER(C69),IF(ISNUMBER(gJanG),IF(24&lt;=gNG,gJanG+23/12+cfgMinG/1440,""),C69),"")</f>
        <v>0</v>
      </c>
      <c r="E69" s="43"/>
      <c r="F69" s="44"/>
      <c r="G69" s="45"/>
      <c r="H69" s="46"/>
      <c r="I69" s="47"/>
      <c r="J69" s="48"/>
      <c r="K69" s="49"/>
      <c r="L69" s="50"/>
      <c r="M69" s="47"/>
      <c r="N69" s="48"/>
      <c r="P69" s="51">
        <f>IF(AND(ISNUMBER(E69),ISNUMBER(F69)),IF(bRef=bLabA,F69-E69,E69-F69),"")</f>
        <v>0</v>
      </c>
      <c r="Q69" s="52">
        <f>IF(AND(ISNUMBER(G69),ISNUMBER(H69)),IF(bRef=bLabA,H69-G69,G69-H69),"")</f>
        <v>0</v>
      </c>
      <c r="R69" s="53">
        <f>IF(AND(ISNUMBER(I69),ISNUMBER(J69)),IF(bRef=bLabA,J69-I69,I69-J69),"")</f>
        <v>0</v>
      </c>
      <c r="S69" s="54">
        <f>IF(AND(ISNUMBER(K69),ISNUMBER(L69)),IF(bRef=bLabA,L69-K69,K69-L69),"")</f>
        <v>0</v>
      </c>
      <c r="T69" s="53">
        <f>IF(AND(ISNUMBER(M69),ISNUMBER(N69)),IF(bRef=bLabA,N69-M69,M69-N69),"")</f>
        <v>0</v>
      </c>
      <c r="U69" s="55">
        <f>IF(AND(ISNUMBER(E69),ISNUMBER(F69)),SUMPRODUCT(ISNUMBER(E$46:E69)*ISNUMBER(F$46:F69)),"")</f>
        <v>0</v>
      </c>
      <c r="V69" s="55">
        <f>IF(AND(ISNUMBER(G69),ISNUMBER(H69)),SUMPRODUCT(ISNUMBER(G$46:G69)*ISNUMBER(H$46:H69)),"")</f>
        <v>0</v>
      </c>
      <c r="W69" s="55">
        <f>IF(AND(ISNUMBER(I69),ISNUMBER(J69)),SUMPRODUCT(ISNUMBER(I$46:I69)*ISNUMBER(J$46:J69)),"")</f>
        <v>0</v>
      </c>
      <c r="X69" s="55">
        <f>IF(AND(ISNUMBER(K69),ISNUMBER(L69)),SUMPRODUCT(ISNUMBER(K$46:K69)*ISNUMBER(L$46:L69)),"")</f>
        <v>0</v>
      </c>
      <c r="Y69" s="55">
        <f>IF(AND(ISNUMBER(M69),ISNUMBER(N69)),SUMPRODUCT(ISNUMBER(M$46:M69)*ISNUMBER(N$46:N69)),"")</f>
        <v>0</v>
      </c>
    </row>
    <row r="70" spans="2:25" ht="18" customHeight="1">
      <c r="B70" s="56" t="s">
        <v>180</v>
      </c>
      <c r="C70" s="56"/>
      <c r="D70" s="56"/>
      <c r="E70" s="57">
        <f>IF(COUNT(E46:E69)=0,"",AVERAGE(E46:E69))</f>
        <v>0</v>
      </c>
      <c r="F70" s="57">
        <f>IF(COUNT(F46:F69)=0,"",AVERAGE(F46:F69))</f>
        <v>0</v>
      </c>
      <c r="G70" s="58">
        <f>IF(COUNT(G46:G69)=0,"",AVERAGE(G46:G69))</f>
        <v>0</v>
      </c>
      <c r="H70" s="58">
        <f>IF(COUNT(H46:H69)=0,"",AVERAGE(H46:H69))</f>
        <v>0</v>
      </c>
      <c r="I70" s="59">
        <f>IF(COUNT(I46:I69)=0,"",AVERAGE(I46:I69))</f>
        <v>0</v>
      </c>
      <c r="J70" s="59">
        <f>IF(COUNT(J46:J69)=0,"",AVERAGE(J46:J69))</f>
        <v>0</v>
      </c>
      <c r="K70" s="60">
        <f>IF(COUNT(K46:K69)=0,"",AVERAGE(K46:K69))</f>
        <v>0</v>
      </c>
      <c r="L70" s="60">
        <f>IF(COUNT(L46:L69)=0,"",AVERAGE(L46:L69))</f>
        <v>0</v>
      </c>
      <c r="M70" s="59">
        <f>IF(COUNT(M46:M69)=0,"",AVERAGE(M46:M69))</f>
        <v>0</v>
      </c>
      <c r="N70" s="59">
        <f>IF(COUNT(N46:N69)=0,"",AVERAGE(N46:N69))</f>
        <v>0</v>
      </c>
      <c r="P70" s="61">
        <f>IF(AND(ISNUMBER(E70),ISNUMBER(F70)),IF(bRef=bLabA,F70-E70,E70-F70),"")</f>
        <v>0</v>
      </c>
      <c r="Q70" s="62">
        <f>IF(AND(ISNUMBER(G70),ISNUMBER(H70)),IF(bRef=bLabA,H70-G70,G70-H70),"")</f>
        <v>0</v>
      </c>
      <c r="R70" s="63">
        <f>IF(AND(ISNUMBER(I70),ISNUMBER(J70)),IF(bRef=bLabA,J70-I70,I70-J70),"")</f>
        <v>0</v>
      </c>
      <c r="S70" s="64">
        <f>IF(AND(ISNUMBER(K70),ISNUMBER(L70)),IF(bRef=bLabA,L70-K70,K70-L70),"")</f>
        <v>0</v>
      </c>
      <c r="T70" s="63">
        <f>IF(AND(ISNUMBER(M70),ISNUMBER(N70)),IF(bRef=bLabA,N70-M70,M70-N70),"")</f>
        <v>0</v>
      </c>
    </row>
    <row r="71" spans="2:25" ht="18" customHeight="1">
      <c r="B71" s="65" t="s">
        <v>181</v>
      </c>
      <c r="C71" s="65"/>
      <c r="D71" s="65"/>
      <c r="E71" s="65">
        <f>COUNT(E46:E69)</f>
        <v>0</v>
      </c>
      <c r="F71" s="65">
        <f>COUNT(F46:F69)</f>
        <v>0</v>
      </c>
      <c r="G71" s="65">
        <f>COUNT(G46:G69)</f>
        <v>0</v>
      </c>
      <c r="H71" s="65">
        <f>COUNT(H46:H69)</f>
        <v>0</v>
      </c>
      <c r="I71" s="65">
        <f>COUNT(I46:I69)</f>
        <v>0</v>
      </c>
      <c r="J71" s="65">
        <f>COUNT(J46:J69)</f>
        <v>0</v>
      </c>
      <c r="K71" s="65">
        <f>COUNT(K46:K69)</f>
        <v>0</v>
      </c>
      <c r="L71" s="65">
        <f>COUNT(L46:L69)</f>
        <v>0</v>
      </c>
      <c r="M71" s="65">
        <f>COUNT(M46:M69)</f>
        <v>0</v>
      </c>
      <c r="N71" s="65">
        <f>COUNT(N46:N69)</f>
        <v>0</v>
      </c>
      <c r="P71" s="65">
        <f>COUNT(P46:P69)</f>
        <v>0</v>
      </c>
      <c r="Q71" s="65">
        <f>COUNT(Q46:Q69)</f>
        <v>0</v>
      </c>
      <c r="R71" s="65">
        <f>COUNT(R46:R69)</f>
        <v>0</v>
      </c>
      <c r="S71" s="65">
        <f>COUNT(S46:S69)</f>
        <v>0</v>
      </c>
      <c r="T71" s="65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6" t="s">
        <v>183</v>
      </c>
      <c r="C74" s="66"/>
      <c r="D74" s="66" t="s">
        <v>184</v>
      </c>
      <c r="E74" s="66" t="s">
        <v>185</v>
      </c>
      <c r="F74" s="66"/>
      <c r="G74" s="66" t="s">
        <v>188</v>
      </c>
      <c r="H74" s="66"/>
    </row>
    <row r="75" spans="2:25" ht="18" customHeight="1">
      <c r="B75" s="35">
        <f>padLabA</f>
        <v>0</v>
      </c>
      <c r="C75" s="35"/>
      <c r="D75" s="35">
        <f>padLabB</f>
        <v>0</v>
      </c>
      <c r="E75" s="35">
        <f>padRef</f>
        <v>0</v>
      </c>
      <c r="F75" s="35"/>
      <c r="G75" s="67">
        <f>IF(bRef=bLabA,bLabB&amp;" − "&amp;bLabA,bLabA&amp;" − "&amp;bLabB)</f>
        <v>0</v>
      </c>
      <c r="H75" s="67"/>
    </row>
    <row r="76" spans="2:25" ht="18" customHeight="1">
      <c r="B76" s="66" t="s">
        <v>186</v>
      </c>
      <c r="C76" s="66"/>
      <c r="D76" s="66"/>
      <c r="E76" s="66"/>
      <c r="F76" s="66"/>
      <c r="G76" s="66" t="s">
        <v>187</v>
      </c>
      <c r="H76" s="66"/>
      <c r="I76" s="66"/>
      <c r="J76" s="66"/>
      <c r="K76" s="66"/>
      <c r="L76" s="66"/>
      <c r="M76" s="66"/>
      <c r="N76" s="66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6" t="s">
        <v>189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</row>
    <row r="79" spans="2:25" ht="18" customHeight="1">
      <c r="B79" s="66" t="s">
        <v>190</v>
      </c>
      <c r="C79" s="66"/>
      <c r="D79" s="66" t="s">
        <v>191</v>
      </c>
      <c r="E79" s="66" t="s">
        <v>192</v>
      </c>
      <c r="F79" s="66"/>
      <c r="G79" s="66" t="s">
        <v>193</v>
      </c>
      <c r="H79" s="66"/>
      <c r="I79" s="66" t="s">
        <v>194</v>
      </c>
      <c r="J79" s="66"/>
    </row>
    <row r="80" spans="2:25" ht="18" customHeight="1">
      <c r="B80" s="68">
        <f>padTol_SE</f>
        <v>0</v>
      </c>
      <c r="C80" s="68"/>
      <c r="D80" s="69">
        <f>padTol_325</f>
        <v>0</v>
      </c>
      <c r="E80" s="70">
        <f>padTol_SiO2</f>
        <v>0</v>
      </c>
      <c r="F80" s="70"/>
      <c r="G80" s="71">
        <f>padTol_P</f>
        <v>0</v>
      </c>
      <c r="H80" s="71"/>
      <c r="I80" s="70">
        <f>padTol_PPC</f>
        <v>0</v>
      </c>
      <c r="J80" s="70"/>
    </row>
  </sheetData>
  <sheetProtection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14" customHeight="1">
      <c r="A2" s="72"/>
      <c r="B2" s="73" t="s">
        <v>282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t="26" customHeight="1">
      <c r="A3" s="72"/>
      <c r="B3" s="74"/>
      <c r="C3" s="75"/>
      <c r="D3" s="76" t="s">
        <v>283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t="10" customHeight="1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6" spans="1:16" ht="38" customHeight="1">
      <c r="A6" s="77"/>
      <c r="B6" s="78">
        <f>IF(TRIM(bTit&amp;"")="","COMPARATIVO DE MEDIÇÕES DE QUALIDADE",UPPER(bTit))</f>
        <v>0</v>
      </c>
      <c r="C6" s="79"/>
      <c r="D6" s="79"/>
      <c r="E6" s="79"/>
      <c r="F6" s="79"/>
      <c r="G6" s="80">
        <f>"|    "&amp;UPPER(bSub)</f>
        <v>0</v>
      </c>
      <c r="H6" s="79"/>
      <c r="I6" s="79"/>
      <c r="J6" s="79"/>
      <c r="K6" s="79"/>
      <c r="L6" s="79"/>
      <c r="M6" s="77"/>
      <c r="N6" s="77"/>
      <c r="O6" s="77"/>
    </row>
    <row r="7" spans="1:16" ht="22" customHeight="1">
      <c r="A7" s="81"/>
      <c r="B7" s="82" t="s">
        <v>284</v>
      </c>
      <c r="C7" s="82"/>
      <c r="D7" s="82"/>
      <c r="E7" s="82"/>
      <c r="F7" s="82"/>
      <c r="G7" s="83">
        <f>"BATCH "&amp;bId&amp;"   |   "&amp;gDataTxt&amp;IF(bMin&lt;&gt;"","   |   Mineroduto "&amp;bMin,"")</f>
        <v>0</v>
      </c>
      <c r="H7" s="84"/>
      <c r="I7" s="84"/>
      <c r="J7" s="84"/>
      <c r="K7" s="84"/>
      <c r="L7" s="84"/>
      <c r="M7" s="84"/>
      <c r="N7" s="84"/>
      <c r="O7" s="81"/>
    </row>
    <row r="8" spans="1:16" ht="10" customHeight="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6" ht="20" customHeight="1">
      <c r="B9" s="86">
        <f>UPPER("Batch "&amp;bId&amp;IF(bMin&lt;&gt;""," - Mineroduto "&amp;bMin,""))</f>
        <v>0</v>
      </c>
      <c r="C9" s="86"/>
      <c r="D9" s="86"/>
      <c r="E9" s="86"/>
      <c r="F9" s="86"/>
      <c r="G9" s="86"/>
      <c r="I9" s="86" t="s">
        <v>285</v>
      </c>
      <c r="J9" s="86"/>
      <c r="K9" s="86"/>
      <c r="M9" s="86" t="s">
        <v>286</v>
      </c>
      <c r="N9" s="86"/>
    </row>
    <row r="10" spans="1:16" ht="28" customHeight="1">
      <c r="B10" s="87"/>
      <c r="C10" s="87">
        <f>UPPER(bLabA)&amp;IF(bRef=bLabA," ★","")&amp;CHAR(10)&amp;"(MÉDIA)"</f>
        <v>0</v>
      </c>
      <c r="D10" s="87">
        <f>UPPER(bLabB)&amp;IF(bRef=bLabB," ★","")&amp;CHAR(10)&amp;"(MÉDIA)"</f>
        <v>0</v>
      </c>
      <c r="E10" s="87">
        <f>"DIFERENÇA"&amp;CHAR(10)&amp;"("&amp;UPPER(gAvalNome)&amp;"−"&amp;UPPER(gRefNome)&amp;")"</f>
        <v>0</v>
      </c>
      <c r="F10" s="87" t="s">
        <v>287</v>
      </c>
      <c r="G10" s="87" t="s">
        <v>288</v>
      </c>
      <c r="I10" s="88">
        <f>gComentarios</f>
        <v>0</v>
      </c>
      <c r="J10" s="88"/>
      <c r="K10" s="88"/>
      <c r="M10" s="89">
        <f>"COMPOSTO DIÁRIO — PFUF"&amp;IF(ISNUMBER(bPfData)," · "&amp;TEXT(DAY(bPfData),"00")&amp;"/"&amp;TEXT(MONTH(bPfData),"00")&amp;"/"&amp;RIGHT(YEAR(bPfData),2),"")</f>
        <v>0</v>
      </c>
      <c r="N10" s="89"/>
    </row>
    <row r="11" spans="1:16" ht="21" customHeight="1">
      <c r="B11" s="90" t="s">
        <v>14</v>
      </c>
      <c r="C11" s="91">
        <f>'_Graf'!$B$31</f>
        <v>0</v>
      </c>
      <c r="D11" s="91">
        <f>'_Graf'!$C$31</f>
        <v>0</v>
      </c>
      <c r="E11" s="92">
        <f>IF(ISNUMBER('_Graf'!$D$31),'_Graf'!$E$31,"—")</f>
        <v>0</v>
      </c>
      <c r="F11" s="91">
        <f>'_Graf'!$H$31</f>
        <v>0</v>
      </c>
      <c r="G11" s="93">
        <f>'_Graf'!$F$31</f>
        <v>0</v>
      </c>
      <c r="I11" s="88"/>
      <c r="J11" s="88"/>
      <c r="K11" s="88"/>
      <c r="M11" s="90">
        <f>IF(TRIM('Configurações'!$C$21&amp;"")="","Fe",'Configurações'!$C$21)</f>
        <v>0</v>
      </c>
      <c r="N11" s="94">
        <f>IF(ISNUMBER(bPfFe),bPfFe,"—")</f>
        <v>0</v>
      </c>
    </row>
    <row r="12" spans="1:16" ht="21" customHeight="1">
      <c r="B12" s="90" t="s">
        <v>21</v>
      </c>
      <c r="C12" s="95">
        <f>'_Graf'!$B$32</f>
        <v>0</v>
      </c>
      <c r="D12" s="95">
        <f>'_Graf'!$C$32</f>
        <v>0</v>
      </c>
      <c r="E12" s="96">
        <f>IF(ISNUMBER('_Graf'!$D$32),'_Graf'!$E$32,"—")</f>
        <v>0</v>
      </c>
      <c r="F12" s="95">
        <f>'_Graf'!$H$32</f>
        <v>0</v>
      </c>
      <c r="G12" s="93">
        <f>'_Graf'!$F$32</f>
        <v>0</v>
      </c>
      <c r="I12" s="88"/>
      <c r="J12" s="88"/>
      <c r="K12" s="88"/>
      <c r="M12" s="90">
        <f>IF(TRIM('Configurações'!$C$22&amp;"")="","SiO₂",'Configurações'!$C$22)</f>
        <v>0</v>
      </c>
      <c r="N12" s="94">
        <f>IF(ISNUMBER(bPfSiO2),bPfSiO2,"—")</f>
        <v>0</v>
      </c>
    </row>
    <row r="13" spans="1:16" ht="21" customHeight="1">
      <c r="B13" s="90" t="s">
        <v>24</v>
      </c>
      <c r="C13" s="94">
        <f>'_Graf'!$B$33</f>
        <v>0</v>
      </c>
      <c r="D13" s="94">
        <f>'_Graf'!$C$33</f>
        <v>0</v>
      </c>
      <c r="E13" s="97">
        <f>IF(ISNUMBER('_Graf'!$D$33),'_Graf'!$E$33,"—")</f>
        <v>0</v>
      </c>
      <c r="F13" s="94">
        <f>'_Graf'!$H$33</f>
        <v>0</v>
      </c>
      <c r="G13" s="93">
        <f>'_Graf'!$F$33</f>
        <v>0</v>
      </c>
      <c r="I13" s="88"/>
      <c r="J13" s="88"/>
      <c r="K13" s="88"/>
      <c r="M13" s="90">
        <f>IF(TRIM('Configurações'!$C$23&amp;"")="","P",'Configurações'!$C$23)</f>
        <v>0</v>
      </c>
      <c r="N13" s="98">
        <f>IF(ISNUMBER(bPfP),bPfP,"—")</f>
        <v>0</v>
      </c>
    </row>
    <row r="14" spans="1:16" ht="21" customHeight="1">
      <c r="B14" s="90" t="s">
        <v>27</v>
      </c>
      <c r="C14" s="98">
        <f>'_Graf'!$B$34</f>
        <v>0</v>
      </c>
      <c r="D14" s="98">
        <f>'_Graf'!$C$34</f>
        <v>0</v>
      </c>
      <c r="E14" s="99">
        <f>IF(ISNUMBER('_Graf'!$D$34),'_Graf'!$E$34,"—")</f>
        <v>0</v>
      </c>
      <c r="F14" s="98">
        <f>'_Graf'!$H$34</f>
        <v>0</v>
      </c>
      <c r="G14" s="93">
        <f>'_Graf'!$F$34</f>
        <v>0</v>
      </c>
      <c r="I14" s="88"/>
      <c r="J14" s="88"/>
      <c r="K14" s="88"/>
      <c r="M14" s="90">
        <f>IF(TRIM('Configurações'!$C$24&amp;"")="","S.E.",'Configurações'!$C$24)</f>
        <v>0</v>
      </c>
      <c r="N14" s="100">
        <f>IF(ISNUMBER(bPfSE),bPfSE,"—")</f>
        <v>0</v>
      </c>
    </row>
    <row r="15" spans="1:16" ht="21" customHeight="1">
      <c r="B15" s="90" t="s">
        <v>30</v>
      </c>
      <c r="C15" s="94">
        <f>'_Graf'!$B$35</f>
        <v>0</v>
      </c>
      <c r="D15" s="94">
        <f>'_Graf'!$C$35</f>
        <v>0</v>
      </c>
      <c r="E15" s="97">
        <f>IF(ISNUMBER('_Graf'!$D$35),'_Graf'!$E$35,"—")</f>
        <v>0</v>
      </c>
      <c r="F15" s="94">
        <f>'_Graf'!$H$35</f>
        <v>0</v>
      </c>
      <c r="G15" s="93">
        <f>'_Graf'!$F$35</f>
        <v>0</v>
      </c>
      <c r="I15" s="88"/>
      <c r="J15" s="88"/>
      <c r="K15" s="88"/>
      <c r="M15" s="101"/>
      <c r="N15" s="102"/>
    </row>
    <row r="16" spans="1:16" ht="16" customHeight="1">
      <c r="B16" s="103" t="s">
        <v>289</v>
      </c>
      <c r="C16" s="103"/>
      <c r="D16" s="103"/>
      <c r="E16" s="104" t="s">
        <v>290</v>
      </c>
      <c r="F16" s="104"/>
      <c r="G16" s="104"/>
      <c r="I16" s="88"/>
      <c r="J16" s="88"/>
      <c r="K16" s="88"/>
      <c r="M16" s="105"/>
      <c r="N16" s="106"/>
    </row>
    <row r="17" spans="2:14" ht="10" customHeight="1"/>
    <row r="18" spans="2:14" ht="19" customHeight="1">
      <c r="B18" s="107">
        <f>UPPER(tit_P)</f>
        <v>0</v>
      </c>
      <c r="C18" s="107"/>
      <c r="D18" s="107"/>
      <c r="E18" s="107"/>
      <c r="F18" s="107"/>
      <c r="G18" s="107"/>
      <c r="H18" s="107"/>
      <c r="I18" s="108">
        <f>IF(pSt_P="—","—  ","●  "&amp;pSt_P&amp;"  ")</f>
        <v>0</v>
      </c>
      <c r="K18" s="107">
        <f>UPPER(tit_SiO2)</f>
        <v>0</v>
      </c>
      <c r="L18" s="107"/>
      <c r="M18" s="107"/>
      <c r="N18" s="108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7">
        <f>UPPER(tit_PPC)</f>
        <v>0</v>
      </c>
      <c r="C33" s="107"/>
      <c r="D33" s="107"/>
      <c r="E33" s="107"/>
      <c r="F33" s="107"/>
      <c r="G33" s="107"/>
      <c r="H33" s="107"/>
      <c r="I33" s="108">
        <f>IF(pSt_PPC="—","—  ","●  "&amp;pSt_PPC&amp;"  ")</f>
        <v>0</v>
      </c>
      <c r="K33" s="107">
        <f>UPPER(tit_325)</f>
        <v>0</v>
      </c>
      <c r="L33" s="107"/>
      <c r="M33" s="107"/>
      <c r="N33" s="108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7">
        <f>UPPER(tit_SE)</f>
        <v>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8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9">
        <f>"Diferença = "&amp;gAvalNome&amp;" − "&amp;gRefNome&amp;" (referência: "&amp;gRefNome&amp;")   ·   faixa verde tracejada = tolerância   ·   ◆ = diferença das médias"</f>
        <v>0</v>
      </c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0" t="s">
        <v>293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</row>
    <row r="4" spans="2:62" ht="22" customHeight="1"/>
    <row r="5" spans="2:62" ht="18" customHeight="1">
      <c r="K5" s="111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112">
        <f>"Germano e "&amp;padNomeUbuAcomp&amp;" vêm do MES (aba Batch &gt; Buscar no MES); onde "&amp;padNomeUbuAcomp&amp;" não vier, lançar a cada 2 h nas células amarelas (✎).  5 batches por planilha: com os 5 preenchidos, comece uma planilha padrão limpa."</f>
        <v>0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</row>
    <row r="4" spans="2:21"/>
    <row r="5" spans="2:21"/>
    <row r="6" spans="2:21" ht="30" customHeight="1">
      <c r="B6" s="113" t="s">
        <v>375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</row>
    <row r="40" spans="2:21"/>
    <row r="41" spans="2:21" ht="30" customHeight="1">
      <c r="B41" s="113" t="s">
        <v>375</v>
      </c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</row>
    <row r="75" spans="2:21"/>
    <row r="76" spans="2:21" ht="30" customHeight="1">
      <c r="B76" s="113" t="s">
        <v>375</v>
      </c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</row>
    <row r="110" spans="2:21"/>
    <row r="111" spans="2:21" ht="30" customHeight="1">
      <c r="B111" s="113" t="s">
        <v>375</v>
      </c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</row>
    <row r="145" spans="2:21"/>
    <row r="146" spans="2:21" ht="30" customHeight="1">
      <c r="B146" s="113" t="s">
        <v>375</v>
      </c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0" t="s">
        <v>1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4" t="s">
        <v>3</v>
      </c>
      <c r="C6" s="114"/>
      <c r="D6" s="114"/>
      <c r="E6" s="114"/>
      <c r="F6" s="114"/>
      <c r="G6" s="114"/>
      <c r="H6" s="114"/>
      <c r="I6" s="114"/>
      <c r="J6" s="114"/>
      <c r="K6" s="114"/>
    </row>
    <row r="7" spans="2:13">
      <c r="B7" s="115" t="s">
        <v>4</v>
      </c>
      <c r="C7" s="115" t="s">
        <v>5</v>
      </c>
      <c r="D7" s="115" t="s">
        <v>6</v>
      </c>
      <c r="E7" s="115" t="s">
        <v>7</v>
      </c>
      <c r="F7" s="115" t="s">
        <v>8</v>
      </c>
      <c r="G7" s="115" t="s">
        <v>9</v>
      </c>
      <c r="H7" s="115" t="s">
        <v>10</v>
      </c>
      <c r="I7" s="115" t="s">
        <v>11</v>
      </c>
      <c r="J7" s="115" t="s">
        <v>12</v>
      </c>
      <c r="K7" s="115" t="s">
        <v>13</v>
      </c>
    </row>
    <row r="8" spans="2:13">
      <c r="B8" s="116" t="s">
        <v>14</v>
      </c>
      <c r="C8" s="117" t="s">
        <v>15</v>
      </c>
      <c r="D8" s="118" t="s">
        <v>16</v>
      </c>
      <c r="E8" s="35" t="s">
        <v>17</v>
      </c>
      <c r="F8" s="35" t="s">
        <v>18</v>
      </c>
      <c r="G8" s="35">
        <v>300</v>
      </c>
      <c r="H8" s="35">
        <v>5000</v>
      </c>
      <c r="I8" s="35">
        <v>2000</v>
      </c>
      <c r="J8" s="35">
        <v>2</v>
      </c>
      <c r="K8" s="119"/>
      <c r="M8" s="120" t="s">
        <v>33</v>
      </c>
    </row>
    <row r="9" spans="2:13">
      <c r="B9" s="116" t="s">
        <v>14</v>
      </c>
      <c r="C9" s="117" t="s">
        <v>19</v>
      </c>
      <c r="D9" s="118" t="s">
        <v>20</v>
      </c>
      <c r="E9" s="35" t="s">
        <v>17</v>
      </c>
      <c r="F9" s="35" t="s">
        <v>18</v>
      </c>
      <c r="G9" s="35">
        <v>300</v>
      </c>
      <c r="H9" s="35">
        <v>5000</v>
      </c>
      <c r="I9" s="35">
        <v>1900</v>
      </c>
      <c r="J9" s="35">
        <v>2</v>
      </c>
      <c r="K9" s="119"/>
      <c r="M9" s="120"/>
    </row>
    <row r="10" spans="2:13">
      <c r="B10" s="116" t="s">
        <v>21</v>
      </c>
      <c r="C10" s="117" t="s">
        <v>15</v>
      </c>
      <c r="D10" s="118" t="s">
        <v>22</v>
      </c>
      <c r="E10" s="35" t="s">
        <v>17</v>
      </c>
      <c r="F10" s="35" t="s">
        <v>18</v>
      </c>
      <c r="G10" s="35">
        <v>40</v>
      </c>
      <c r="H10" s="35">
        <v>100</v>
      </c>
      <c r="I10" s="35">
        <v>87.5</v>
      </c>
      <c r="J10" s="35">
        <v>2</v>
      </c>
      <c r="K10" s="119"/>
      <c r="M10" s="120"/>
    </row>
    <row r="11" spans="2:13">
      <c r="B11" s="116" t="s">
        <v>21</v>
      </c>
      <c r="C11" s="117" t="s">
        <v>19</v>
      </c>
      <c r="D11" s="118" t="s">
        <v>23</v>
      </c>
      <c r="E11" s="35" t="s">
        <v>17</v>
      </c>
      <c r="F11" s="35" t="s">
        <v>18</v>
      </c>
      <c r="G11" s="35">
        <v>40</v>
      </c>
      <c r="H11" s="35">
        <v>100</v>
      </c>
      <c r="I11" s="35">
        <v>87</v>
      </c>
      <c r="J11" s="35">
        <v>2</v>
      </c>
      <c r="K11" s="119"/>
      <c r="M11" s="120"/>
    </row>
    <row r="12" spans="2:13">
      <c r="B12" s="116" t="s">
        <v>24</v>
      </c>
      <c r="C12" s="117" t="s">
        <v>15</v>
      </c>
      <c r="D12" s="118" t="s">
        <v>25</v>
      </c>
      <c r="E12" s="35" t="s">
        <v>17</v>
      </c>
      <c r="F12" s="35" t="s">
        <v>18</v>
      </c>
      <c r="G12" s="35">
        <v>0</v>
      </c>
      <c r="H12" s="35">
        <v>20</v>
      </c>
      <c r="I12" s="35">
        <v>1.95</v>
      </c>
      <c r="J12" s="35">
        <v>2</v>
      </c>
      <c r="K12" s="119"/>
    </row>
    <row r="13" spans="2:13">
      <c r="B13" s="116" t="s">
        <v>24</v>
      </c>
      <c r="C13" s="117" t="s">
        <v>19</v>
      </c>
      <c r="D13" s="118" t="s">
        <v>26</v>
      </c>
      <c r="E13" s="35" t="s">
        <v>17</v>
      </c>
      <c r="F13" s="35" t="s">
        <v>18</v>
      </c>
      <c r="G13" s="35">
        <v>0</v>
      </c>
      <c r="H13" s="35">
        <v>20</v>
      </c>
      <c r="I13" s="35">
        <v>1.93</v>
      </c>
      <c r="J13" s="35">
        <v>4</v>
      </c>
      <c r="K13" s="119">
        <v>0.1458333333333333</v>
      </c>
    </row>
    <row r="14" spans="2:13">
      <c r="B14" s="116" t="s">
        <v>27</v>
      </c>
      <c r="C14" s="117" t="s">
        <v>15</v>
      </c>
      <c r="D14" s="118" t="s">
        <v>28</v>
      </c>
      <c r="E14" s="35" t="s">
        <v>17</v>
      </c>
      <c r="F14" s="35" t="s">
        <v>18</v>
      </c>
      <c r="G14" s="35">
        <v>0</v>
      </c>
      <c r="H14" s="35">
        <v>1</v>
      </c>
      <c r="I14" s="35">
        <v>0.058</v>
      </c>
      <c r="J14" s="35">
        <v>2</v>
      </c>
      <c r="K14" s="119"/>
    </row>
    <row r="15" spans="2:13">
      <c r="B15" s="116" t="s">
        <v>27</v>
      </c>
      <c r="C15" s="117" t="s">
        <v>19</v>
      </c>
      <c r="D15" s="118" t="s">
        <v>29</v>
      </c>
      <c r="E15" s="35" t="s">
        <v>17</v>
      </c>
      <c r="F15" s="35" t="s">
        <v>18</v>
      </c>
      <c r="G15" s="35">
        <v>0</v>
      </c>
      <c r="H15" s="35">
        <v>1</v>
      </c>
      <c r="I15" s="35">
        <v>0.057</v>
      </c>
      <c r="J15" s="35">
        <v>4</v>
      </c>
      <c r="K15" s="119">
        <v>0.1458333333333333</v>
      </c>
    </row>
    <row r="16" spans="2:13">
      <c r="B16" s="116" t="s">
        <v>30</v>
      </c>
      <c r="C16" s="117" t="s">
        <v>15</v>
      </c>
      <c r="D16" s="118" t="s">
        <v>31</v>
      </c>
      <c r="E16" s="35" t="s">
        <v>17</v>
      </c>
      <c r="F16" s="35" t="s">
        <v>18</v>
      </c>
      <c r="G16" s="35">
        <v>0</v>
      </c>
      <c r="H16" s="35">
        <v>15</v>
      </c>
      <c r="I16" s="35">
        <v>3.6</v>
      </c>
      <c r="J16" s="35">
        <v>2</v>
      </c>
      <c r="K16" s="119"/>
    </row>
    <row r="17" spans="2:11">
      <c r="B17" s="116" t="s">
        <v>30</v>
      </c>
      <c r="C17" s="117" t="s">
        <v>19</v>
      </c>
      <c r="D17" s="118" t="s">
        <v>32</v>
      </c>
      <c r="E17" s="35" t="s">
        <v>17</v>
      </c>
      <c r="F17" s="35" t="s">
        <v>18</v>
      </c>
      <c r="G17" s="35">
        <v>0</v>
      </c>
      <c r="H17" s="35">
        <v>15</v>
      </c>
      <c r="I17" s="35">
        <v>3.55</v>
      </c>
      <c r="J17" s="35">
        <v>4</v>
      </c>
      <c r="K17" s="119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5" t="s">
        <v>4</v>
      </c>
      <c r="C20" s="115" t="s">
        <v>35</v>
      </c>
      <c r="D20" s="115" t="s">
        <v>6</v>
      </c>
      <c r="E20" s="115" t="s">
        <v>7</v>
      </c>
      <c r="F20" s="115" t="s">
        <v>8</v>
      </c>
      <c r="G20" s="115" t="s">
        <v>9</v>
      </c>
      <c r="H20" s="115" t="s">
        <v>10</v>
      </c>
      <c r="I20" s="115" t="s">
        <v>11</v>
      </c>
      <c r="J20" s="115" t="s">
        <v>36</v>
      </c>
      <c r="K20" s="115"/>
    </row>
    <row r="21" spans="2:11">
      <c r="B21" s="116" t="s">
        <v>37</v>
      </c>
      <c r="C21" s="35" t="s">
        <v>38</v>
      </c>
      <c r="D21" s="118" t="s">
        <v>39</v>
      </c>
      <c r="E21" s="35" t="s">
        <v>17</v>
      </c>
      <c r="F21" s="35" t="s">
        <v>40</v>
      </c>
      <c r="G21" s="35">
        <v>0</v>
      </c>
      <c r="H21" s="35">
        <v>80</v>
      </c>
      <c r="I21" s="35">
        <v>67.5</v>
      </c>
      <c r="J21" s="121" t="s">
        <v>41</v>
      </c>
      <c r="K21" s="121"/>
    </row>
    <row r="22" spans="2:11">
      <c r="B22" s="116" t="s">
        <v>42</v>
      </c>
      <c r="C22" s="35" t="s">
        <v>24</v>
      </c>
      <c r="D22" s="118" t="s">
        <v>43</v>
      </c>
      <c r="E22" s="35" t="s">
        <v>17</v>
      </c>
      <c r="F22" s="35" t="s">
        <v>40</v>
      </c>
      <c r="G22" s="35">
        <v>0</v>
      </c>
      <c r="H22" s="35">
        <v>20</v>
      </c>
      <c r="I22" s="35">
        <v>1.3</v>
      </c>
      <c r="J22" s="121" t="s">
        <v>44</v>
      </c>
      <c r="K22" s="121"/>
    </row>
    <row r="23" spans="2:11">
      <c r="B23" s="116" t="s">
        <v>27</v>
      </c>
      <c r="C23" s="35" t="s">
        <v>27</v>
      </c>
      <c r="D23" s="118" t="s">
        <v>45</v>
      </c>
      <c r="E23" s="35" t="s">
        <v>17</v>
      </c>
      <c r="F23" s="35" t="s">
        <v>40</v>
      </c>
      <c r="G23" s="35">
        <v>0</v>
      </c>
      <c r="H23" s="35">
        <v>1</v>
      </c>
      <c r="I23" s="35">
        <v>0.035</v>
      </c>
      <c r="J23" s="121" t="s">
        <v>46</v>
      </c>
      <c r="K23" s="121"/>
    </row>
    <row r="24" spans="2:11">
      <c r="B24" s="116" t="s">
        <v>47</v>
      </c>
      <c r="C24" s="35" t="s">
        <v>14</v>
      </c>
      <c r="D24" s="118" t="s">
        <v>48</v>
      </c>
      <c r="E24" s="35" t="s">
        <v>17</v>
      </c>
      <c r="F24" s="35" t="s">
        <v>40</v>
      </c>
      <c r="G24" s="35">
        <v>100</v>
      </c>
      <c r="H24" s="35">
        <v>20000</v>
      </c>
      <c r="I24" s="35">
        <v>2200</v>
      </c>
      <c r="J24" s="121" t="s">
        <v>49</v>
      </c>
      <c r="K24" s="121"/>
    </row>
    <row r="25" spans="2:11">
      <c r="B25" s="122" t="s">
        <v>50</v>
      </c>
      <c r="C25" s="35">
        <v>1</v>
      </c>
      <c r="D25" s="114" t="s">
        <v>51</v>
      </c>
      <c r="E25" s="114"/>
      <c r="F25" s="114"/>
      <c r="G25" s="114"/>
      <c r="H25" s="114"/>
      <c r="I25" s="114"/>
    </row>
    <row r="26" spans="2:11">
      <c r="B26" s="122" t="s">
        <v>52</v>
      </c>
      <c r="C26" s="119">
        <v>0.9791666666666666</v>
      </c>
      <c r="D26" s="114" t="s">
        <v>53</v>
      </c>
      <c r="E26" s="114"/>
      <c r="F26" s="114"/>
      <c r="G26" s="114"/>
      <c r="H26" s="114"/>
      <c r="I26" s="114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2" t="s">
        <v>55</v>
      </c>
      <c r="C29" s="35" t="s">
        <v>56</v>
      </c>
      <c r="D29" s="35"/>
      <c r="E29" s="114" t="s">
        <v>57</v>
      </c>
      <c r="F29" s="114"/>
      <c r="G29" s="114"/>
      <c r="H29" s="114"/>
      <c r="I29" s="114"/>
    </row>
    <row r="30" spans="2:11">
      <c r="B30" s="122" t="s">
        <v>58</v>
      </c>
      <c r="C30" s="35">
        <v>120</v>
      </c>
      <c r="D30" s="35"/>
      <c r="E30" s="114" t="s">
        <v>59</v>
      </c>
      <c r="F30" s="114"/>
      <c r="G30" s="114"/>
      <c r="H30" s="114"/>
      <c r="I30" s="114"/>
    </row>
    <row r="31" spans="2:11">
      <c r="B31" s="122" t="s">
        <v>60</v>
      </c>
      <c r="C31" s="35" t="s">
        <v>61</v>
      </c>
      <c r="D31" s="35"/>
      <c r="E31" s="114" t="s">
        <v>62</v>
      </c>
      <c r="F31" s="114"/>
      <c r="G31" s="114"/>
      <c r="H31" s="114"/>
      <c r="I31" s="114"/>
    </row>
    <row r="32" spans="2:11">
      <c r="B32" s="122" t="s">
        <v>63</v>
      </c>
      <c r="C32" s="35">
        <v>30</v>
      </c>
      <c r="D32" s="35"/>
      <c r="E32" s="114" t="s">
        <v>64</v>
      </c>
      <c r="F32" s="114"/>
      <c r="G32" s="114"/>
      <c r="H32" s="114"/>
      <c r="I32" s="114"/>
    </row>
    <row r="33" spans="2:9">
      <c r="B33" s="122" t="s">
        <v>65</v>
      </c>
      <c r="C33" s="119">
        <v>0.2916666666666667</v>
      </c>
      <c r="D33" s="35"/>
      <c r="E33" s="114" t="s">
        <v>66</v>
      </c>
      <c r="F33" s="114"/>
      <c r="G33" s="114"/>
      <c r="H33" s="114"/>
      <c r="I33" s="114"/>
    </row>
    <row r="34" spans="2:9">
      <c r="B34" s="122" t="s">
        <v>67</v>
      </c>
      <c r="C34" s="119">
        <v>0</v>
      </c>
      <c r="D34" s="35"/>
      <c r="E34" s="114" t="s">
        <v>68</v>
      </c>
      <c r="F34" s="114"/>
      <c r="G34" s="114"/>
      <c r="H34" s="114"/>
      <c r="I34" s="114"/>
    </row>
    <row r="35" spans="2:9">
      <c r="B35" s="122" t="s">
        <v>69</v>
      </c>
      <c r="C35" s="35">
        <v>60</v>
      </c>
      <c r="D35" s="35"/>
      <c r="E35" s="114" t="s">
        <v>70</v>
      </c>
      <c r="F35" s="114"/>
      <c r="G35" s="114"/>
      <c r="H35" s="114"/>
      <c r="I35" s="114"/>
    </row>
    <row r="36" spans="2:9">
      <c r="B36" s="122" t="s">
        <v>71</v>
      </c>
      <c r="C36" s="35" t="s">
        <v>72</v>
      </c>
      <c r="D36" s="35"/>
      <c r="E36" s="114" t="s">
        <v>73</v>
      </c>
      <c r="F36" s="114"/>
      <c r="G36" s="114"/>
      <c r="H36" s="114"/>
      <c r="I36" s="114"/>
    </row>
    <row r="37" spans="2:9">
      <c r="B37" s="122" t="s">
        <v>74</v>
      </c>
      <c r="C37" s="35" t="s">
        <v>75</v>
      </c>
      <c r="D37" s="35"/>
      <c r="E37" s="114" t="s">
        <v>76</v>
      </c>
      <c r="F37" s="114"/>
      <c r="G37" s="114"/>
      <c r="H37" s="114"/>
      <c r="I37" s="114"/>
    </row>
    <row r="38" spans="2:9">
      <c r="B38" s="122" t="s">
        <v>77</v>
      </c>
      <c r="C38" s="35" t="s">
        <v>78</v>
      </c>
      <c r="D38" s="35"/>
      <c r="E38" s="114" t="s">
        <v>79</v>
      </c>
      <c r="F38" s="114"/>
      <c r="G38" s="114"/>
      <c r="H38" s="114"/>
      <c r="I38" s="114"/>
    </row>
    <row r="39" spans="2:9">
      <c r="B39" s="122" t="s">
        <v>80</v>
      </c>
      <c r="C39" s="35" t="s">
        <v>81</v>
      </c>
      <c r="D39" s="35"/>
      <c r="E39" s="114" t="s">
        <v>82</v>
      </c>
      <c r="F39" s="114"/>
      <c r="G39" s="114"/>
      <c r="H39" s="114"/>
      <c r="I39" s="114"/>
    </row>
    <row r="40" spans="2:9">
      <c r="B40" s="122" t="s">
        <v>83</v>
      </c>
      <c r="C40" s="35" t="s">
        <v>17</v>
      </c>
      <c r="D40" s="35"/>
      <c r="E40" s="114" t="s">
        <v>84</v>
      </c>
      <c r="F40" s="114"/>
      <c r="G40" s="114"/>
      <c r="H40" s="114"/>
      <c r="I40" s="114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4" t="s">
        <v>86</v>
      </c>
      <c r="C43" s="114"/>
      <c r="D43" s="114"/>
      <c r="E43" s="114"/>
      <c r="F43" s="114"/>
      <c r="G43" s="114"/>
      <c r="H43" s="114"/>
      <c r="I43" s="114"/>
    </row>
    <row r="44" spans="2:9">
      <c r="B44" s="122" t="s">
        <v>87</v>
      </c>
      <c r="C44" s="123">
        <v>8</v>
      </c>
    </row>
    <row r="45" spans="2:9">
      <c r="B45" s="122" t="s">
        <v>88</v>
      </c>
      <c r="C45" s="123">
        <v>6</v>
      </c>
    </row>
    <row r="46" spans="2:9">
      <c r="B46" s="122" t="s">
        <v>89</v>
      </c>
      <c r="C46" s="123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2" t="s">
        <v>91</v>
      </c>
      <c r="C49" s="11" t="s">
        <v>15</v>
      </c>
      <c r="D49" s="11"/>
      <c r="E49" s="11"/>
      <c r="F49" s="11"/>
    </row>
    <row r="50" spans="2:9">
      <c r="B50" s="122" t="s">
        <v>92</v>
      </c>
      <c r="C50" s="11" t="s">
        <v>19</v>
      </c>
      <c r="D50" s="11"/>
      <c r="E50" s="11"/>
      <c r="F50" s="11"/>
    </row>
    <row r="51" spans="2:9">
      <c r="B51" s="122" t="s">
        <v>93</v>
      </c>
      <c r="C51" s="11" t="s">
        <v>15</v>
      </c>
      <c r="D51" s="11"/>
      <c r="E51" s="11"/>
      <c r="F51" s="11"/>
    </row>
    <row r="52" spans="2:9">
      <c r="B52" s="122" t="s">
        <v>94</v>
      </c>
      <c r="C52" s="11" t="s">
        <v>95</v>
      </c>
      <c r="D52" s="11"/>
      <c r="E52" s="11"/>
      <c r="F52" s="11"/>
    </row>
    <row r="53" spans="2:9">
      <c r="B53" s="122" t="s">
        <v>96</v>
      </c>
      <c r="C53" s="11" t="s">
        <v>97</v>
      </c>
      <c r="D53" s="11"/>
      <c r="E53" s="11"/>
      <c r="F53" s="11"/>
    </row>
    <row r="54" spans="2:9">
      <c r="B54" s="122" t="s">
        <v>98</v>
      </c>
      <c r="C54" s="124">
        <v>14</v>
      </c>
      <c r="D54" s="11"/>
      <c r="E54" s="11"/>
      <c r="F54" s="11"/>
    </row>
    <row r="55" spans="2:9">
      <c r="B55" s="122" t="s">
        <v>99</v>
      </c>
      <c r="C55" s="11" t="s">
        <v>100</v>
      </c>
      <c r="D55" s="11"/>
      <c r="E55" s="11"/>
      <c r="F55" s="11"/>
    </row>
    <row r="56" spans="2:9">
      <c r="B56" s="122" t="s">
        <v>101</v>
      </c>
      <c r="C56" s="11" t="s">
        <v>102</v>
      </c>
      <c r="D56" s="11"/>
      <c r="E56" s="11"/>
      <c r="F56" s="11"/>
    </row>
    <row r="57" spans="2:9">
      <c r="B57" s="122" t="s">
        <v>103</v>
      </c>
      <c r="C57" s="11" t="s">
        <v>104</v>
      </c>
      <c r="D57" s="11"/>
      <c r="E57" s="11"/>
      <c r="F57" s="11"/>
    </row>
    <row r="58" spans="2:9">
      <c r="B58" s="122" t="s">
        <v>105</v>
      </c>
      <c r="C58" s="124">
        <v>150</v>
      </c>
      <c r="D58" s="11"/>
      <c r="E58" s="11"/>
      <c r="F58" s="11"/>
    </row>
    <row r="59" spans="2:9">
      <c r="B59" s="122" t="s">
        <v>106</v>
      </c>
      <c r="C59" s="124">
        <v>1</v>
      </c>
      <c r="D59" s="11"/>
      <c r="E59" s="11"/>
      <c r="F59" s="11"/>
    </row>
    <row r="60" spans="2:9">
      <c r="B60" s="122" t="s">
        <v>107</v>
      </c>
      <c r="C60" s="124">
        <v>0.19</v>
      </c>
      <c r="D60" s="11"/>
      <c r="E60" s="11"/>
      <c r="F60" s="11"/>
    </row>
    <row r="61" spans="2:9">
      <c r="B61" s="122" t="s">
        <v>108</v>
      </c>
      <c r="C61" s="124">
        <v>0.003</v>
      </c>
      <c r="D61" s="11"/>
      <c r="E61" s="11"/>
      <c r="F61" s="11"/>
    </row>
    <row r="62" spans="2:9">
      <c r="B62" s="122" t="s">
        <v>109</v>
      </c>
      <c r="C62" s="124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2" t="s">
        <v>14</v>
      </c>
      <c r="C65" s="11" t="s">
        <v>111</v>
      </c>
      <c r="D65" s="11"/>
      <c r="E65" s="11"/>
      <c r="F65" s="11"/>
    </row>
    <row r="66" spans="2:9">
      <c r="B66" s="122" t="s">
        <v>21</v>
      </c>
      <c r="C66" s="11" t="s">
        <v>112</v>
      </c>
      <c r="D66" s="11"/>
      <c r="E66" s="11"/>
      <c r="F66" s="11"/>
    </row>
    <row r="67" spans="2:9">
      <c r="B67" s="122" t="s">
        <v>24</v>
      </c>
      <c r="C67" s="11" t="s">
        <v>113</v>
      </c>
      <c r="D67" s="11"/>
      <c r="E67" s="11"/>
      <c r="F67" s="11"/>
    </row>
    <row r="68" spans="2:9">
      <c r="B68" s="122" t="s">
        <v>27</v>
      </c>
      <c r="C68" s="11" t="s">
        <v>114</v>
      </c>
      <c r="D68" s="11"/>
      <c r="E68" s="11"/>
      <c r="F68" s="11"/>
    </row>
    <row r="69" spans="2:9">
      <c r="B69" s="122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2" t="s">
        <v>94</v>
      </c>
      <c r="C72" s="35" t="s">
        <v>116</v>
      </c>
      <c r="D72" s="35" t="s">
        <v>117</v>
      </c>
      <c r="E72" s="35" t="s">
        <v>95</v>
      </c>
    </row>
    <row r="73" spans="2:9">
      <c r="B73" s="122" t="s">
        <v>118</v>
      </c>
      <c r="C73" s="125" t="s">
        <v>75</v>
      </c>
      <c r="D73" s="125" t="s">
        <v>119</v>
      </c>
    </row>
    <row r="74" spans="2:9">
      <c r="B74" s="122" t="s">
        <v>120</v>
      </c>
      <c r="C74" s="125">
        <f>bLabA</f>
        <v>0</v>
      </c>
      <c r="D74" s="125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6" t="s">
        <v>356</v>
      </c>
    </row>
    <row r="3" spans="1:6">
      <c r="A3" s="127" t="s">
        <v>357</v>
      </c>
      <c r="B3" s="128"/>
      <c r="D3" s="127" t="s">
        <v>363</v>
      </c>
    </row>
    <row r="4" spans="1:6">
      <c r="A4" s="127" t="s">
        <v>358</v>
      </c>
      <c r="B4" s="128"/>
      <c r="D4" s="127" t="s">
        <v>364</v>
      </c>
    </row>
    <row r="5" spans="1:6">
      <c r="D5" s="127" t="s">
        <v>365</v>
      </c>
    </row>
    <row r="6" spans="1:6">
      <c r="A6" s="127" t="s">
        <v>359</v>
      </c>
      <c r="B6" s="128"/>
      <c r="D6" s="127" t="s">
        <v>366</v>
      </c>
    </row>
    <row r="7" spans="1:6">
      <c r="A7" s="127" t="s">
        <v>360</v>
      </c>
      <c r="B7" s="128"/>
      <c r="D7" s="127" t="s">
        <v>367</v>
      </c>
    </row>
    <row r="8" spans="1:6">
      <c r="D8" s="127" t="s">
        <v>368</v>
      </c>
    </row>
    <row r="9" spans="1:6">
      <c r="A9" s="129" t="s">
        <v>369</v>
      </c>
      <c r="B9" s="128"/>
    </row>
    <row r="10" spans="1:6">
      <c r="A10" s="130" t="s">
        <v>370</v>
      </c>
      <c r="B10" s="128"/>
    </row>
    <row r="11" spans="1:6">
      <c r="A11" s="131" t="s">
        <v>371</v>
      </c>
      <c r="B11" s="131" t="s">
        <v>14</v>
      </c>
      <c r="C11" s="131" t="s">
        <v>21</v>
      </c>
      <c r="D11" s="131" t="s">
        <v>24</v>
      </c>
      <c r="E11" s="131" t="s">
        <v>27</v>
      </c>
      <c r="F11" s="131" t="s">
        <v>30</v>
      </c>
    </row>
    <row r="69" spans="1:6">
      <c r="A69" s="129" t="s">
        <v>372</v>
      </c>
    </row>
    <row r="70" spans="1:6">
      <c r="A70" s="130" t="s">
        <v>370</v>
      </c>
    </row>
    <row r="71" spans="1:6">
      <c r="A71" s="131" t="s">
        <v>371</v>
      </c>
      <c r="B71" s="131" t="s">
        <v>14</v>
      </c>
      <c r="C71" s="131" t="s">
        <v>21</v>
      </c>
      <c r="D71" s="131" t="s">
        <v>24</v>
      </c>
      <c r="E71" s="131" t="s">
        <v>27</v>
      </c>
      <c r="F71" s="131" t="s">
        <v>30</v>
      </c>
    </row>
    <row r="129" spans="1:5">
      <c r="A129" s="129" t="s">
        <v>373</v>
      </c>
    </row>
    <row r="130" spans="1:5">
      <c r="A130" s="130" t="s">
        <v>370</v>
      </c>
    </row>
    <row r="131" spans="1:5">
      <c r="A131" s="131" t="s">
        <v>371</v>
      </c>
      <c r="B131" s="131" t="s">
        <v>38</v>
      </c>
      <c r="C131" s="131" t="s">
        <v>24</v>
      </c>
      <c r="D131" s="131" t="s">
        <v>27</v>
      </c>
      <c r="E131" s="131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7" t="s">
        <v>295</v>
      </c>
      <c r="B1" s="127" t="s">
        <v>297</v>
      </c>
      <c r="C1" s="127" t="s">
        <v>376</v>
      </c>
      <c r="D1" s="127" t="s">
        <v>299</v>
      </c>
      <c r="E1" s="127" t="s">
        <v>346</v>
      </c>
      <c r="F1" s="127" t="s">
        <v>301</v>
      </c>
      <c r="G1" s="127" t="s">
        <v>377</v>
      </c>
      <c r="H1" s="127" t="s">
        <v>378</v>
      </c>
      <c r="I1" s="127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2026-10-26T19:57:52Z</dcterms:created>
  <dcterms:modified xsi:type="dcterms:W3CDTF">2026-10-26T19:57:52Z</dcterms:modified>
</cp:coreProperties>
</file>