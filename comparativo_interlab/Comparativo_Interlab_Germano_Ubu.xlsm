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Acomp">'Batch'!$D$34</definedName>
    <definedName name="bAtraso">'Batch'!$D$18</definedName>
    <definedName name="bCom1">'Batch'!$D$35</definedName>
    <definedName name="bCom2">'Batch'!$D$36</definedName>
    <definedName name="bCom3">'Batch'!$D$37</definedName>
    <definedName name="bCom4">'Batch'!$D$38</definedName>
    <definedName name="bCom5">'Batch'!$D$39</definedName>
    <definedName name="bCom6">'Batch'!$D$40</definedName>
    <definedName name="bData">'Batch'!$D$28</definedName>
    <definedName name="bDef">'Batch'!$D$27</definedName>
    <definedName name="bFases">'Batch'!$B$10:$F$14</definedName>
    <definedName name="bFasesMsg">'Batch'!$B$15</definedName>
    <definedName name="bFimG">'Batch'!$D$22</definedName>
    <definedName name="bFimU">'Batch'!$D$24</definedName>
    <definedName name="bFrase">'Batch'!$D$33</definedName>
    <definedName name="bGrade">'Batch'!$B$45:$Y$68</definedName>
    <definedName name="bHorasU">'Batch'!$C$45:$C$68</definedName>
    <definedName name="bId">'Batch'!$D$6</definedName>
    <definedName name="bIncAcomp">'Batch'!$N$34</definedName>
    <definedName name="bIncFrase">'Batch'!$N$33</definedName>
    <definedName name="bIniG">'Batch'!$D$21</definedName>
    <definedName name="bIniP">'Batch'!$D$25</definedName>
    <definedName name="bIniPMan">'Batch'!$I$74</definedName>
    <definedName name="bIniU">'Batch'!$D$23</definedName>
    <definedName name="bLabA">'Batch'!$B$74</definedName>
    <definedName name="bLabB">'Batch'!$D$74</definedName>
    <definedName name="bMin">'Batch'!$D$29</definedName>
    <definedName name="bNHor">'Batch'!$D$26</definedName>
    <definedName name="bNivel">'Batch'!$D$17</definedName>
    <definedName name="bRef">'Batch'!$E$74</definedName>
    <definedName name="bSub">'Batch'!$G$76</definedName>
    <definedName name="bTit">'Batch'!$B$76</definedName>
    <definedName name="bTol_325">'Batch'!$D$79</definedName>
    <definedName name="bTol_P">'Batch'!$G$79</definedName>
    <definedName name="bTol_PPC">'Batch'!$I$79</definedName>
    <definedName name="bTol_SE">'Batch'!$B$79</definedName>
    <definedName name="bTol_SiO2">'Batch'!$E$79</definedName>
    <definedName name="bValores">'Batch'!$E$45:$N$68</definedName>
    <definedName name="cfgAtrasoH">'Configurações'!$C$32:$C$34</definedName>
    <definedName name="cfgAtrasoN">'Configurações'!$B$32:$B$34</definedName>
    <definedName name="cfgCalc">'Configurações'!$C$26</definedName>
    <definedName name="cfgFaseG">'Configurações'!$C$27</definedName>
    <definedName name="cfgFaseU">'Configurações'!$C$28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'Configurações'!$C$61:$D$61</definedName>
    <definedName name="lstMin">'Configurações'!$C$59:$E$59</definedName>
    <definedName name="lstNivel">'Configurações'!$B$32:$B$34</definedName>
    <definedName name="lstSimNao">'Configurações'!$C$60:$D$60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'Configurações'!$C$44</definedName>
    <definedName name="padLabA">'Configurações'!$C$37</definedName>
    <definedName name="padLabB">'Configurações'!$C$38</definedName>
    <definedName name="padMin">'Configurações'!$C$40</definedName>
    <definedName name="padNHor">'Configurações'!$C$41</definedName>
    <definedName name="padRef">'Configurações'!$C$39</definedName>
    <definedName name="padSub">'Configurações'!$C$43</definedName>
    <definedName name="padTit">'Configurações'!$C$42</definedName>
    <definedName name="padTol_325">'Configurações'!$C$46</definedName>
    <definedName name="padTol_P">'Configurações'!$C$48</definedName>
    <definedName name="padTol_PPC">'Configurações'!$C$49</definedName>
    <definedName name="padTol_SE">'Configurações'!$C$45</definedName>
    <definedName name="padTol_SiO2">'Configurações'!$C$47</definedName>
    <definedName name="pArea">'Painel'!$A$6:$O$63</definedName>
    <definedName name="_xlnm.Print_Area" localSheetId="1">Batch!$A$1:$T$79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'Configurações'!$C$53</definedName>
    <definedName name="tit_P">'Configurações'!$C$55</definedName>
    <definedName name="tit_PPC">'Configurações'!$C$56</definedName>
    <definedName name="tit_SE">'Configurações'!$C$52</definedName>
    <definedName name="tit_SiO2">'Configurações'!$C$54</definedName>
  </definedNames>
  <calcPr calcId="124519" fullCalcOnLoad="1"/>
</workbook>
</file>

<file path=xl/sharedStrings.xml><?xml version="1.0" encoding="utf-8"?>
<sst xmlns="http://schemas.openxmlformats.org/spreadsheetml/2006/main" count="654" uniqueCount="323">
  <si>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</si>
  <si>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</si>
  <si>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</si>
  <si>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</si>
  <si>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</si>
  <si>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</si>
  <si>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</si>
  <si>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</si>
  <si>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</si>
  <si>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</si>
  <si>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</si>
  <si>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</si>
  <si>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</si>
  <si>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</si>
  <si>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M250010000-17-ABLF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</si>
  <si>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</si>
  <si>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</si>
  <si>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</si>
  <si>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</si>
  <si>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</si>
  <si>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</si>
  <si>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</si>
  <si>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</si>
  <si>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</si>
  <si>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</si>
  <si>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</si>
  <si>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</si>
  <si>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M4650060010-0008-HHLQU</t>
  </si>
  <si>
    <t>PPC</t>
  </si>
  <si>
    <t>M250010000-13-ABLQ</t>
  </si>
  <si>
    <t>M4650060010-0013-HHLQU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</si>
  <si>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</si>
  <si>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</si>
  <si>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</si>
  <si>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</si>
  <si>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</si>
  <si>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</si>
  <si>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</si>
  <si>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</si>
  <si>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</si>
  <si>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</si>
  <si>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</si>
  <si>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</si>
  <si>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</si>
  <si>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</si>
  <si>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</si>
  <si>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</si>
  <si>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</si>
  <si>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</si>
  <si>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</si>
  <si>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</si>
  <si>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</si>
  <si>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</si>
  <si>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</si>
  <si>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</si>
  <si>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</si>
  <si>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</si>
  <si>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</si>
  <si>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</si>
  <si>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</si>
  <si>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</si>
  <si>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</si>
  <si>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</si>
  <si>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</si>
  <si>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</si>
  <si>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</si>
  <si>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</si>
  <si>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</si>
  <si>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</si>
  <si>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</si>
  <si>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</si>
  <si>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</si>
  <si>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</si>
  <si>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</si>
  <si>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</si>
  <si>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</si>
  <si>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</si>
  <si>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</si>
  <si>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</si>
  <si>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</si>
  <si>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</si>
  <si>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</si>
  <si>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</si>
  <si>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</si>
  <si>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</si>
  <si>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</si>
  <si>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</si>
  <si>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</si>
  <si>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</si>
  <si>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</si>
  <si>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</si>
  <si>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Só 3 passos: ① número do batch  ② colar as fases do evento do MES  ③ nível dos tanques  →  Buscar no MES  →  Salvar no histórico</t>
  </si>
  <si>
    <t>①  NÚMERO DO BATCH (ID DO EVENTO NO MES)</t>
  </si>
  <si>
    <t>Batch Nº</t>
  </si>
  <si>
    <t>②  COLE AQUI AS FASES DO EVENTO (TELA DO MES)</t>
  </si>
  <si>
    <t>No MES, selecione as linhas da grade Fases do Evento (EB06 … UBU3), Ctrl+C; clique na 1ª célula amarela e Ctrl+V.</t>
  </si>
  <si>
    <t>③  NÍVEL DOS TANQUES EM UBU</t>
  </si>
  <si>
    <t>Nível dos tanques</t>
  </si>
  <si>
    <t>Atraso até prevalecer no processo</t>
  </si>
  <si>
    <t>CONFERÊNCIA  (PREENCHIDO SOZINHO — DÁ PARA CORRIGIR)</t>
  </si>
  <si>
    <t>Germano · início do bombeamento</t>
  </si>
  <si>
    <t>Germano · término do bombeamento</t>
  </si>
  <si>
    <t>Ubu · chegada (UBU3)</t>
  </si>
  <si>
    <t>Ubu · término (UBU3)</t>
  </si>
  <si>
    <t>►  Início considerado no processo</t>
  </si>
  <si>
    <t>Nº de bi-horários (os de Germano)</t>
  </si>
  <si>
    <t>Defasagem Ubu − Germano</t>
  </si>
  <si>
    <t>Data do report</t>
  </si>
  <si>
    <t>Como usar
①  Digite o número do batch.
②  No MES, tela de eventos do batch: selecione as linhas das Fases do Evento (EB06, EB07, UBU3), Ctrl+C, e cole na caixa amarela. Germano (EB06) e Ubu (UBU3) são preenchidos sozinhos.
③  Escolha o nível dos tanques: Alto = 8 h, Médio = 6 h, Baixo = 4 h até o batch prevalecer no processo (tabela em Configurações).
Depois: Buscar no MES → conferir as leituras → Salvar no histórico.
O nº de bi-horários é o de Germano; em Ubu entram os mesmos.</t>
  </si>
  <si>
    <t>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</si>
  <si>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</si>
  <si>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</si>
  <si>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</si>
  <si>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</si>
  <si>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</si>
  <si>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</si>
  <si>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</si>
  <si>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</si>
  <si>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</si>
  <si>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</si>
  <si>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</si>
  <si>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</si>
  <si>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</si>
  <si>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</si>
  <si>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</si>
  <si>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</si>
  <si>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</si>
  <si>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</si>
  <si>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</si>
  <si>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</si>
  <si>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</si>
  <si>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</si>
  <si>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</si>
  <si>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</si>
  <si>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</si>
  <si>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⑥  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</si>
  <si>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</si>
  <si>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</si>
  <si>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</si>
  <si>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</si>
  <si>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</si>
  <si>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</si>
  <si>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</si>
  <si>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Vale no lugar de chegada + atraso do nível (deixe em branco no dia a dia).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</si>
  <si>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</si>
  <si>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</si>
  <si>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</si>
  <si>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</si>
  <si>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</si>
  <si>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</si>
  <si>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</si>
  <si>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</si>
  <si>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</si>
  <si>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</si>
  <si>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</si>
  <si>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</si>
  <si>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</si>
  <si>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</si>
  <si>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</si>
  <si>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</si>
  <si>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</si>
  <si>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</si>
  <si>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</si>
  <si>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</si>
  <si>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</si>
  <si>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</si>
  <si>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</si>
  <si>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</si>
  <si>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</si>
  <si>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</si>
  <si>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</si>
  <si>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</si>
  <si>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</si>
  <si>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</si>
  <si>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</si>
  <si>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</si>
  <si>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</si>
  <si>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</si>
  <si>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</si>
  <si>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</si>
  <si>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</si>
  <si>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</si>
  <si>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</si>
  <si>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</si>
  <si>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</si>
  <si>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</si>
  <si>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</si>
  <si>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</si>
  <si>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</si>
  <si>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</si>
  <si>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</si>
  <si>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</si>
  <si>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</si>
  <si>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</si>
  <si>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</si>
  <si>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</si>
  <si>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</si>
  <si>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</si>
  <si>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</si>
  <si>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</si>
  <si>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</si>
  <si>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</si>
  <si>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</si>
  <si>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</si>
  <si>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</si>
  <si>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</si>
  <si>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</si>
  <si>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</si>
  <si>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</si>
  <si>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</si>
  <si>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</si>
  <si>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</si>
  <si>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</si>
  <si>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</si>
  <si>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</si>
  <si>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</si>
  <si>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</si>
  <si>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</si>
  <si>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</si>
  <si>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</si>
  <si>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</si>
  <si>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</si>
  <si>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</si>
  <si>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</si>
  <si>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</si>
  <si>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</si>
  <si>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</si>
  <si>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</si>
  <si>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</si>
  <si>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</si>
  <si>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</si>
  <si>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</si>
  <si>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</si>
  <si>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</si>
  <si>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</si>
  <si>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</si>
  <si>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</si>
  <si>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</si>
  <si>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</si>
  <si>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</si>
  <si>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</si>
  <si>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</si>
  <si>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</si>
  <si>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</si>
  <si>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</si>
  <si>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</si>
  <si>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</si>
  <si>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</si>
  <si>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</si>
  <si>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</si>
  <si>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</si>
  <si>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</si>
  <si>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</si>
  <si>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Chegada Ubu (UBU3)</t>
  </si>
  <si>
    <t>Término Ubu (UBU3)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</si>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</sst>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6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0.0&quot; h&quot;"/>
    <numFmt numFmtId="175" formatCode="dd/mm/yyyy hh:mm"/>
    <numFmt numFmtId="176" formatCode="dd/mm/yyyy"/>
    <numFmt numFmtId="177" formatCode="+0;&quot;−&quot;0;0"/>
    <numFmt numFmtId="178" formatCode="hh:mm"/>
    <numFmt numFmtId="179" formatCode="dd/mm/yyyy hh:mm:ss"/>
  </numFmts>
  <fonts count="47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sz val="9"/>
      <color rgb="FF3A4A66"/>
      <name val="Segoe UI"/>
      <family val="2"/>
    </font>
    <font>
      <sz val="9.5"/>
      <color rgb="FF3A4A66"/>
      <name val="Segoe UI"/>
      <family val="2"/>
    </font>
    <font>
      <b/>
      <sz val="13"/>
      <color rgb="FF1A2744"/>
      <name val="Segoe UI"/>
      <family val="2"/>
    </font>
    <font>
      <sz val="8.5"/>
      <color rgb="FF3A4A66"/>
      <name val="Segoe UI"/>
      <family val="2"/>
    </font>
    <font>
      <sz val="8"/>
      <color rgb="FF1A2744"/>
      <name val="Segoe UI"/>
      <family val="2"/>
    </font>
    <font>
      <b/>
      <sz val="8.5"/>
      <color rgb="FF0A7C50"/>
      <name val="Segoe UI"/>
      <family val="2"/>
    </font>
    <font>
      <b/>
      <sz val="9.5"/>
      <color rgb="FF0A7C50"/>
      <name val="Segoe UI"/>
      <family val="2"/>
    </font>
    <font>
      <b/>
      <sz val="10"/>
      <color rgb="FF0A7C50"/>
      <name val="Segoe UI"/>
      <family val="2"/>
    </font>
    <font>
      <b/>
      <sz val="8.5"/>
      <color rgb="FF1A3C6E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sz val="8"/>
      <color rgb="FF6A7A94"/>
      <name val="Segoe UI"/>
      <family val="2"/>
    </font>
    <font>
      <b/>
      <sz val="9"/>
      <color rgb="FF3A4A66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5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thick">
        <color rgb="FF1A3C6E"/>
      </left>
      <right/>
      <top/>
      <bottom/>
      <diagonal/>
    </border>
    <border>
      <left/>
      <right/>
      <top/>
      <bottom style="thin">
        <color rgb="FFE0E3EA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7" xfId="0" applyFont="1" applyBorder="1" applyAlignment="1"/>
    <xf numFmtId="0" fontId="17" fillId="10" borderId="8" xfId="0" applyFont="1" applyFill="1" applyBorder="1" applyAlignment="1">
      <alignment vertical="top" wrapText="1"/>
    </xf>
    <xf numFmtId="0" fontId="18" fillId="0" borderId="9" xfId="0" applyFont="1" applyBorder="1" applyAlignment="1">
      <alignment horizontal="left" vertical="center" indent="1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top" wrapText="1"/>
    </xf>
    <xf numFmtId="173" fontId="21" fillId="3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vertical="top" wrapText="1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174" fontId="11" fillId="7" borderId="11" xfId="0" applyNumberFormat="1" applyFont="1" applyFill="1" applyBorder="1" applyAlignment="1">
      <alignment horizontal="center" vertical="center"/>
    </xf>
    <xf numFmtId="175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/>
    </xf>
    <xf numFmtId="175" fontId="24" fillId="12" borderId="12" xfId="0" applyNumberFormat="1" applyFont="1" applyFill="1" applyBorder="1" applyAlignment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  <protection locked="0"/>
    </xf>
    <xf numFmtId="176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center"/>
    </xf>
    <xf numFmtId="0" fontId="27" fillId="7" borderId="11" xfId="0" applyFont="1" applyFill="1" applyBorder="1" applyAlignment="1">
      <alignment vertical="center" wrapText="1"/>
    </xf>
    <xf numFmtId="0" fontId="28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9" fillId="5" borderId="13" xfId="0" applyFont="1" applyFill="1" applyBorder="1" applyAlignment="1">
      <alignment horizontal="center" vertical="center" wrapText="1"/>
    </xf>
    <xf numFmtId="0" fontId="29" fillId="13" borderId="13" xfId="0" applyFont="1" applyFill="1" applyBorder="1" applyAlignment="1">
      <alignment horizontal="center" vertical="center" wrapText="1"/>
    </xf>
    <xf numFmtId="0" fontId="29" fillId="14" borderId="13" xfId="0" applyFont="1" applyFill="1" applyBorder="1" applyAlignment="1">
      <alignment horizontal="center" vertical="center" wrapText="1"/>
    </xf>
    <xf numFmtId="0" fontId="29" fillId="15" borderId="13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173" fontId="31" fillId="16" borderId="11" xfId="0" applyNumberFormat="1" applyFont="1" applyFill="1" applyBorder="1" applyAlignment="1" applyProtection="1">
      <alignment horizontal="center" vertical="center"/>
      <protection locked="0"/>
    </xf>
    <xf numFmtId="173" fontId="18" fillId="0" borderId="11" xfId="0" applyNumberFormat="1" applyFont="1" applyBorder="1" applyAlignment="1">
      <alignment horizontal="center" vertical="center"/>
    </xf>
    <xf numFmtId="1" fontId="31" fillId="6" borderId="11" xfId="0" applyNumberFormat="1" applyFont="1" applyFill="1" applyBorder="1" applyAlignment="1" applyProtection="1">
      <alignment horizontal="center" vertical="center"/>
      <protection locked="0"/>
    </xf>
    <xf numFmtId="1" fontId="31" fillId="17" borderId="11" xfId="0" applyNumberFormat="1" applyFont="1" applyFill="1" applyBorder="1" applyAlignment="1" applyProtection="1">
      <alignment horizontal="center" vertical="center"/>
      <protection locked="0"/>
    </xf>
    <xf numFmtId="167" fontId="31" fillId="6" borderId="11" xfId="0" applyNumberFormat="1" applyFont="1" applyFill="1" applyBorder="1" applyAlignment="1" applyProtection="1">
      <alignment horizontal="center" vertical="center"/>
      <protection locked="0"/>
    </xf>
    <xf numFmtId="167" fontId="31" fillId="17" borderId="11" xfId="0" applyNumberFormat="1" applyFont="1" applyFill="1" applyBorder="1" applyAlignment="1" applyProtection="1">
      <alignment horizontal="center" vertical="center"/>
      <protection locked="0"/>
    </xf>
    <xf numFmtId="169" fontId="31" fillId="6" borderId="11" xfId="0" applyNumberFormat="1" applyFont="1" applyFill="1" applyBorder="1" applyAlignment="1" applyProtection="1">
      <alignment horizontal="center" vertical="center"/>
      <protection locked="0"/>
    </xf>
    <xf numFmtId="169" fontId="31" fillId="17" borderId="11" xfId="0" applyNumberFormat="1" applyFont="1" applyFill="1" applyBorder="1" applyAlignment="1" applyProtection="1">
      <alignment horizontal="center" vertical="center"/>
      <protection locked="0"/>
    </xf>
    <xf numFmtId="171" fontId="31" fillId="6" borderId="11" xfId="0" applyNumberFormat="1" applyFont="1" applyFill="1" applyBorder="1" applyAlignment="1" applyProtection="1">
      <alignment horizontal="center" vertical="center"/>
      <protection locked="0"/>
    </xf>
    <xf numFmtId="171" fontId="31" fillId="17" borderId="11" xfId="0" applyNumberFormat="1" applyFont="1" applyFill="1" applyBorder="1" applyAlignment="1" applyProtection="1">
      <alignment horizontal="center" vertical="center"/>
      <protection locked="0"/>
    </xf>
    <xf numFmtId="177" fontId="32" fillId="18" borderId="11" xfId="0" applyNumberFormat="1" applyFont="1" applyFill="1" applyBorder="1" applyAlignment="1">
      <alignment horizontal="center" vertical="center"/>
    </xf>
    <xf numFmtId="168" fontId="32" fillId="18" borderId="11" xfId="0" applyNumberFormat="1" applyFont="1" applyFill="1" applyBorder="1" applyAlignment="1">
      <alignment horizontal="center" vertical="center"/>
    </xf>
    <xf numFmtId="170" fontId="32" fillId="18" borderId="11" xfId="0" applyNumberFormat="1" applyFont="1" applyFill="1" applyBorder="1" applyAlignment="1">
      <alignment horizontal="center" vertical="center"/>
    </xf>
    <xf numFmtId="172" fontId="32" fillId="18" borderId="1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1" fontId="33" fillId="8" borderId="1" xfId="0" applyNumberFormat="1" applyFont="1" applyFill="1" applyBorder="1" applyAlignment="1">
      <alignment horizontal="center" vertical="center"/>
    </xf>
    <xf numFmtId="167" fontId="33" fillId="8" borderId="1" xfId="0" applyNumberFormat="1" applyFont="1" applyFill="1" applyBorder="1" applyAlignment="1">
      <alignment horizontal="center" vertical="center"/>
    </xf>
    <xf numFmtId="169" fontId="33" fillId="8" borderId="1" xfId="0" applyNumberFormat="1" applyFont="1" applyFill="1" applyBorder="1" applyAlignment="1">
      <alignment horizontal="center" vertical="center"/>
    </xf>
    <xf numFmtId="171" fontId="33" fillId="8" borderId="1" xfId="0" applyNumberFormat="1" applyFont="1" applyFill="1" applyBorder="1" applyAlignment="1">
      <alignment horizontal="center" vertical="center"/>
    </xf>
    <xf numFmtId="177" fontId="34" fillId="19" borderId="1" xfId="0" applyNumberFormat="1" applyFont="1" applyFill="1" applyBorder="1" applyAlignment="1">
      <alignment horizontal="center" vertical="center"/>
    </xf>
    <xf numFmtId="168" fontId="34" fillId="19" borderId="1" xfId="0" applyNumberFormat="1" applyFont="1" applyFill="1" applyBorder="1" applyAlignment="1">
      <alignment horizontal="center" vertical="center"/>
    </xf>
    <xf numFmtId="170" fontId="34" fillId="19" borderId="1" xfId="0" applyNumberFormat="1" applyFont="1" applyFill="1" applyBorder="1" applyAlignment="1">
      <alignment horizontal="center" vertical="center"/>
    </xf>
    <xf numFmtId="172" fontId="34" fillId="19" borderId="1" xfId="0" applyNumberFormat="1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28" fillId="0" borderId="0" xfId="0" applyFont="1" applyAlignment="1"/>
    <xf numFmtId="0" fontId="36" fillId="0" borderId="0" xfId="0" applyFont="1" applyAlignment="1">
      <alignment vertical="top" wrapText="1"/>
    </xf>
    <xf numFmtId="0" fontId="37" fillId="0" borderId="0" xfId="0" applyFont="1" applyAlignment="1">
      <alignment horizontal="center" vertical="center"/>
    </xf>
    <xf numFmtId="17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8" fillId="9" borderId="1" xfId="0" applyFont="1" applyFill="1" applyBorder="1" applyAlignment="1">
      <alignment vertical="top" wrapText="1"/>
    </xf>
    <xf numFmtId="0" fontId="20" fillId="10" borderId="8" xfId="0" applyFont="1" applyFill="1" applyBorder="1" applyAlignment="1">
      <alignment vertical="top" wrapText="1"/>
    </xf>
    <xf numFmtId="0" fontId="2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/>
    <xf numFmtId="176" fontId="41" fillId="0" borderId="0" xfId="0" applyNumberFormat="1" applyFont="1" applyAlignment="1">
      <alignment horizontal="center"/>
    </xf>
    <xf numFmtId="175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42" fillId="0" borderId="0" xfId="0" applyFont="1" applyAlignment="1">
      <alignment vertical="center"/>
    </xf>
    <xf numFmtId="0" fontId="35" fillId="0" borderId="0" xfId="0" applyFont="1" applyAlignment="1">
      <alignment vertical="center" wrapText="1"/>
    </xf>
    <xf numFmtId="0" fontId="43" fillId="5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44" fillId="3" borderId="1" xfId="0" applyFont="1" applyFill="1" applyBorder="1" applyAlignment="1" applyProtection="1">
      <alignment vertical="center"/>
      <protection locked="0"/>
    </xf>
    <xf numFmtId="0" fontId="33" fillId="0" borderId="0" xfId="0" applyFont="1" applyAlignment="1">
      <alignment vertical="center"/>
    </xf>
    <xf numFmtId="178" fontId="1" fillId="3" borderId="1" xfId="0" applyNumberFormat="1" applyFont="1" applyFill="1" applyBorder="1" applyAlignment="1" applyProtection="1">
      <alignment horizontal="center" vertical="center"/>
      <protection locked="0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79" fontId="1" fillId="7" borderId="0" xfId="0" applyNumberFormat="1" applyFont="1" applyFill="1" applyAlignment="1">
      <alignment horizontal="left" vertical="center"/>
    </xf>
    <xf numFmtId="0" fontId="46" fillId="0" borderId="0" xfId="0" applyFont="1" applyAlignment="1">
      <alignment vertical="center"/>
    </xf>
    <xf numFmtId="0" fontId="21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6" formatCode="dd/mm/yyyy"/>
    </dxf>
    <dxf>
      <numFmt numFmtId="175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10258425" y="1219200"/>
          <a:ext cx="1771650" cy="3619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7</xdr:row>
      <xdr:rowOff>38100</xdr:rowOff>
    </xdr:from>
    <xdr:to>
      <xdr:col>17</xdr:col>
      <xdr:colOff>476250</xdr:colOff>
      <xdr:row>8</xdr:row>
      <xdr:rowOff>123825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0258425" y="1876425"/>
          <a:ext cx="1771650" cy="3619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10</xdr:row>
      <xdr:rowOff>38100</xdr:rowOff>
    </xdr:from>
    <xdr:to>
      <xdr:col>17</xdr:col>
      <xdr:colOff>476250</xdr:colOff>
      <xdr:row>11</xdr:row>
      <xdr:rowOff>114300</xdr:rowOff>
    </xdr:to>
    <xdr:sp macro="[0]!IrPainel" textlink="">
      <xdr:nvSpPr>
        <xdr:cNvPr id="4" name="TextBox 3" descr="Botão: IrPainel"/>
        <xdr:cNvSpPr txBox="1"/>
      </xdr:nvSpPr>
      <xdr:spPr>
        <a:xfrm>
          <a:off x="10258425" y="270510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13</xdr:row>
      <xdr:rowOff>38100</xdr:rowOff>
    </xdr:from>
    <xdr:to>
      <xdr:col>17</xdr:col>
      <xdr:colOff>476250</xdr:colOff>
      <xdr:row>14</xdr:row>
      <xdr:rowOff>95250</xdr:rowOff>
    </xdr:to>
    <xdr:sp macro="[0]!NovoBatch" textlink="">
      <xdr:nvSpPr>
        <xdr:cNvPr id="5" name="TextBox 4" descr="Botão: NovoBatch"/>
        <xdr:cNvSpPr txBox="1"/>
      </xdr:nvSpPr>
      <xdr:spPr>
        <a:xfrm>
          <a:off x="10258425" y="33909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15</xdr:row>
      <xdr:rowOff>76200</xdr:rowOff>
    </xdr:from>
    <xdr:to>
      <xdr:col>17</xdr:col>
      <xdr:colOff>476250</xdr:colOff>
      <xdr:row>16</xdr:row>
      <xdr:rowOff>66675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10258425" y="4038600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17</xdr:row>
      <xdr:rowOff>114300</xdr:rowOff>
    </xdr:from>
    <xdr:to>
      <xdr:col>17</xdr:col>
      <xdr:colOff>476250</xdr:colOff>
      <xdr:row>19</xdr:row>
      <xdr:rowOff>19050</xdr:rowOff>
    </xdr:to>
    <xdr:sp macro="[0]!IrImportar" textlink="">
      <xdr:nvSpPr>
        <xdr:cNvPr id="7" name="TextBox 6" descr="Botão: IrImportar"/>
        <xdr:cNvSpPr txBox="1"/>
      </xdr:nvSpPr>
      <xdr:spPr>
        <a:xfrm>
          <a:off x="10258425" y="462915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10" totalsRowShown="0">
  <autoFilter ref="B7:BC10"/>
  <tableColumns count="54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Comentário 1" dataDxfId="7"/>
    <tableColumn id="24" name="Comentário 2" dataDxfId="7"/>
    <tableColumn id="25" name="Comentário 3" dataDxfId="7"/>
    <tableColumn id="26" name="Comentário 4" dataDxfId="7"/>
    <tableColumn id="27" name="Comentário 5" dataDxfId="7"/>
    <tableColumn id="28" name="Comentário 6" dataDxfId="7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Início no processo" dataDxfId="9"/>
    <tableColumn id="50" name="Defasagem (h)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237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238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239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240</v>
      </c>
      <c r="G10" s="16" t="s">
        <v>241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12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19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22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25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28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242</v>
      </c>
      <c r="C16" s="28"/>
      <c r="D16" s="28"/>
      <c r="E16" s="29" t="s">
        <v>243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79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3" t="s">
        <v>91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5" spans="2:20" ht="22" customHeight="1">
      <c r="B5" s="34" t="s">
        <v>92</v>
      </c>
      <c r="C5" s="34"/>
      <c r="D5" s="34"/>
      <c r="E5" s="34"/>
      <c r="F5" s="34"/>
      <c r="H5" s="35" t="s">
        <v>108</v>
      </c>
      <c r="I5" s="35"/>
      <c r="J5" s="35"/>
      <c r="K5" s="35"/>
      <c r="L5" s="35"/>
      <c r="M5" s="35"/>
      <c r="N5" s="35"/>
    </row>
    <row r="6" spans="2:20" ht="24" customHeight="1">
      <c r="B6" s="36" t="s">
        <v>93</v>
      </c>
      <c r="C6" s="36"/>
      <c r="D6" s="37"/>
      <c r="E6" s="37"/>
      <c r="F6" s="37"/>
      <c r="H6" s="35"/>
      <c r="I6" s="35"/>
      <c r="J6" s="35"/>
      <c r="K6" s="35"/>
      <c r="L6" s="35"/>
      <c r="M6" s="35"/>
      <c r="N6" s="35"/>
    </row>
    <row r="7" spans="2:20" ht="8" customHeight="1">
      <c r="H7" s="35"/>
      <c r="I7" s="35"/>
      <c r="J7" s="35"/>
      <c r="K7" s="35"/>
      <c r="L7" s="35"/>
      <c r="M7" s="35"/>
      <c r="N7" s="35"/>
    </row>
    <row r="8" spans="2:20" ht="22" customHeight="1">
      <c r="B8" s="34" t="s">
        <v>94</v>
      </c>
      <c r="C8" s="34"/>
      <c r="D8" s="34"/>
      <c r="E8" s="34"/>
      <c r="F8" s="34"/>
      <c r="H8" s="35"/>
      <c r="I8" s="35"/>
      <c r="J8" s="35"/>
      <c r="K8" s="35"/>
      <c r="L8" s="35"/>
      <c r="M8" s="35"/>
      <c r="N8" s="35"/>
    </row>
    <row r="9" spans="2:20" ht="26" customHeight="1">
      <c r="B9" s="38" t="s">
        <v>95</v>
      </c>
      <c r="C9" s="38"/>
      <c r="D9" s="38"/>
      <c r="E9" s="38"/>
      <c r="F9" s="38"/>
      <c r="H9" s="35"/>
      <c r="I9" s="35"/>
      <c r="J9" s="35"/>
      <c r="K9" s="35"/>
      <c r="L9" s="35"/>
      <c r="M9" s="35"/>
      <c r="N9" s="35"/>
    </row>
    <row r="10" spans="2:20" ht="18" customHeight="1">
      <c r="B10" s="39"/>
      <c r="C10" s="39"/>
      <c r="D10" s="39"/>
      <c r="E10" s="39"/>
      <c r="F10" s="39"/>
      <c r="H10" s="35"/>
      <c r="I10" s="35"/>
      <c r="J10" s="35"/>
      <c r="K10" s="35"/>
      <c r="L10" s="35"/>
      <c r="M10" s="35"/>
      <c r="N10" s="35"/>
    </row>
    <row r="11" spans="2:20" ht="18" customHeight="1">
      <c r="B11" s="39"/>
      <c r="C11" s="39"/>
      <c r="D11" s="39"/>
      <c r="E11" s="39"/>
      <c r="F11" s="39"/>
      <c r="H11" s="35"/>
      <c r="I11" s="35"/>
      <c r="J11" s="35"/>
      <c r="K11" s="35"/>
      <c r="L11" s="35"/>
      <c r="M11" s="35"/>
      <c r="N11" s="35"/>
    </row>
    <row r="12" spans="2:20" ht="18" customHeight="1">
      <c r="B12" s="39"/>
      <c r="C12" s="39"/>
      <c r="D12" s="39"/>
      <c r="E12" s="39"/>
      <c r="F12" s="39"/>
      <c r="H12" s="35"/>
      <c r="I12" s="35"/>
      <c r="J12" s="35"/>
      <c r="K12" s="35"/>
      <c r="L12" s="35"/>
      <c r="M12" s="35"/>
      <c r="N12" s="35"/>
    </row>
    <row r="13" spans="2:20" ht="18" customHeight="1">
      <c r="B13" s="39"/>
      <c r="C13" s="39"/>
      <c r="D13" s="39"/>
      <c r="E13" s="39"/>
      <c r="F13" s="39"/>
      <c r="H13" s="35"/>
      <c r="I13" s="35"/>
      <c r="J13" s="35"/>
      <c r="K13" s="35"/>
      <c r="L13" s="35"/>
      <c r="M13" s="35"/>
      <c r="N13" s="35"/>
    </row>
    <row r="14" spans="2:20" ht="18" customHeight="1">
      <c r="B14" s="39"/>
      <c r="C14" s="39"/>
      <c r="D14" s="39"/>
      <c r="E14" s="39"/>
      <c r="F14" s="39"/>
      <c r="H14" s="35"/>
      <c r="I14" s="35"/>
      <c r="J14" s="35"/>
      <c r="K14" s="35"/>
      <c r="L14" s="35"/>
      <c r="M14" s="35"/>
      <c r="N14" s="35"/>
    </row>
    <row r="15" spans="2:20" ht="30" customHeight="1">
      <c r="B15" s="40"/>
      <c r="C15" s="40"/>
      <c r="D15" s="40"/>
      <c r="E15" s="40"/>
      <c r="F15" s="40"/>
      <c r="H15" s="35"/>
      <c r="I15" s="35"/>
      <c r="J15" s="35"/>
      <c r="K15" s="35"/>
      <c r="L15" s="35"/>
      <c r="M15" s="35"/>
      <c r="N15" s="35"/>
    </row>
    <row r="16" spans="2:20" ht="22" customHeight="1">
      <c r="B16" s="34" t="s">
        <v>96</v>
      </c>
      <c r="C16" s="34"/>
      <c r="D16" s="34"/>
      <c r="E16" s="34"/>
      <c r="F16" s="34"/>
    </row>
    <row r="17" spans="2:14" ht="22" customHeight="1">
      <c r="B17" s="36" t="s">
        <v>97</v>
      </c>
      <c r="C17" s="36"/>
      <c r="D17" s="41"/>
      <c r="E17" s="41"/>
      <c r="F17" s="41"/>
    </row>
    <row r="18" spans="2:14" ht="21" customHeight="1">
      <c r="B18" s="36" t="s">
        <v>98</v>
      </c>
      <c r="C18" s="36"/>
      <c r="D18" s="42">
        <f>IF(AND(ISNUMBER(bIniP),ISNUMBER(bIniU)),ROUND((bIniP-bIniU)*24,2),IF(bNivel&lt;&gt;"",gAtrasoNivel,""))</f>
        <v>0</v>
      </c>
      <c r="E18" s="42"/>
      <c r="F18" s="42"/>
    </row>
    <row r="19" spans="2:14" ht="8" customHeight="1"/>
    <row r="20" spans="2:14" ht="22" customHeight="1">
      <c r="B20" s="34" t="s">
        <v>99</v>
      </c>
      <c r="C20" s="34"/>
      <c r="D20" s="34"/>
      <c r="E20" s="34"/>
      <c r="F20" s="34"/>
    </row>
    <row r="21" spans="2:14" ht="21" customHeight="1">
      <c r="B21" s="36" t="s">
        <v>100</v>
      </c>
      <c r="C21" s="36"/>
      <c r="D21" s="43"/>
      <c r="E21" s="43"/>
      <c r="F21" s="43"/>
    </row>
    <row r="22" spans="2:14" ht="21" customHeight="1">
      <c r="B22" s="36" t="s">
        <v>101</v>
      </c>
      <c r="C22" s="36"/>
      <c r="D22" s="43"/>
      <c r="E22" s="43"/>
      <c r="F22" s="43"/>
    </row>
    <row r="23" spans="2:14" ht="21" customHeight="1">
      <c r="B23" s="36" t="s">
        <v>102</v>
      </c>
      <c r="C23" s="36"/>
      <c r="D23" s="43"/>
      <c r="E23" s="43"/>
      <c r="F23" s="43"/>
    </row>
    <row r="24" spans="2:14" ht="21" customHeight="1">
      <c r="B24" s="36" t="s">
        <v>103</v>
      </c>
      <c r="C24" s="36"/>
      <c r="D24" s="43"/>
      <c r="E24" s="43"/>
      <c r="F24" s="43"/>
    </row>
    <row r="25" spans="2:14" ht="22" customHeight="1">
      <c r="B25" s="44" t="s">
        <v>104</v>
      </c>
      <c r="C25" s="44"/>
      <c r="D25" s="45">
        <f>IF(ISNUMBER(bIniPMan),bIniPMan,IF(ISNUMBER(bIniU),bIniU+N(gAtrasoNivel)/24,""))</f>
        <v>0</v>
      </c>
      <c r="E25" s="45"/>
      <c r="F25" s="45"/>
    </row>
    <row r="26" spans="2:14" ht="21" customHeight="1">
      <c r="B26" s="36" t="s">
        <v>105</v>
      </c>
      <c r="C26" s="36"/>
      <c r="D26" s="46">
        <f>IF(ISNUMBER(gNGer),gNGer,IF(ISNUMBER(gNHorFim),gNHorFim,padNHor))</f>
        <v>0</v>
      </c>
      <c r="E26" s="46"/>
      <c r="F26" s="46"/>
    </row>
    <row r="27" spans="2:14" ht="21" customHeight="1">
      <c r="B27" s="36" t="s">
        <v>106</v>
      </c>
      <c r="C27" s="36"/>
      <c r="D27" s="42">
        <f>IF(AND(ISNUMBER(gJanU),ISNUMBER(gJanG)),ROUND((gJanU-gJanG)*24,2),"")</f>
        <v>0</v>
      </c>
      <c r="E27" s="42"/>
      <c r="F27" s="42"/>
    </row>
    <row r="28" spans="2:14" ht="21" customHeight="1">
      <c r="B28" s="36" t="s">
        <v>107</v>
      </c>
      <c r="C28" s="36"/>
      <c r="D28" s="47">
        <f>TODAY()</f>
        <v>0</v>
      </c>
      <c r="E28" s="47"/>
      <c r="F28" s="47"/>
    </row>
    <row r="29" spans="2:14" ht="21" customHeight="1">
      <c r="B29" s="36" t="s">
        <v>64</v>
      </c>
      <c r="C29" s="36"/>
      <c r="D29" s="46" t="s">
        <v>65</v>
      </c>
      <c r="E29" s="46"/>
      <c r="F29" s="46"/>
    </row>
    <row r="30" spans="2:14" ht="30" customHeight="1">
      <c r="B30" s="48">
        <f>gResumoHor</f>
        <v>0</v>
      </c>
      <c r="C30" s="48"/>
      <c r="D30" s="48"/>
      <c r="E30" s="48"/>
      <c r="F30" s="48"/>
    </row>
    <row r="32" spans="2:14" ht="22" customHeight="1">
      <c r="B32" s="34" t="s">
        <v>109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</row>
    <row r="33" spans="2:25" ht="30" customHeight="1">
      <c r="B33" s="49" t="s">
        <v>110</v>
      </c>
      <c r="C33" s="49"/>
      <c r="D33" s="50">
        <f>_Graf!$G$38</f>
        <v>0</v>
      </c>
      <c r="E33" s="50"/>
      <c r="F33" s="50"/>
      <c r="G33" s="50"/>
      <c r="H33" s="50"/>
      <c r="I33" s="50"/>
      <c r="J33" s="50"/>
      <c r="K33" s="50"/>
      <c r="L33" s="50"/>
      <c r="M33" s="51" t="s">
        <v>111</v>
      </c>
      <c r="N33" s="52" t="s">
        <v>87</v>
      </c>
    </row>
    <row r="34" spans="2:25" ht="30" customHeight="1">
      <c r="B34" s="49" t="s">
        <v>112</v>
      </c>
      <c r="C34" s="49"/>
      <c r="D34" s="50">
        <f>gAcomp</f>
        <v>0</v>
      </c>
      <c r="E34" s="50"/>
      <c r="F34" s="50"/>
      <c r="G34" s="50"/>
      <c r="H34" s="50"/>
      <c r="I34" s="50"/>
      <c r="J34" s="50"/>
      <c r="K34" s="50"/>
      <c r="L34" s="50"/>
      <c r="M34" s="51" t="s">
        <v>111</v>
      </c>
      <c r="N34" s="52" t="s">
        <v>87</v>
      </c>
    </row>
    <row r="35" spans="2:25" ht="18" customHeight="1">
      <c r="B35" s="49" t="s">
        <v>113</v>
      </c>
      <c r="C35" s="49"/>
      <c r="D35" s="53" t="s">
        <v>72</v>
      </c>
      <c r="E35" s="53"/>
      <c r="F35" s="53"/>
      <c r="G35" s="53"/>
      <c r="H35" s="53"/>
      <c r="I35" s="53"/>
      <c r="J35" s="53"/>
      <c r="K35" s="53"/>
      <c r="L35" s="53"/>
      <c r="M35" s="53"/>
      <c r="N35" s="53"/>
    </row>
    <row r="36" spans="2:25" ht="18" customHeight="1">
      <c r="B36" s="49" t="s">
        <v>114</v>
      </c>
      <c r="C36" s="49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</row>
    <row r="37" spans="2:25" ht="18" customHeight="1">
      <c r="B37" s="49" t="s">
        <v>115</v>
      </c>
      <c r="C37" s="49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</row>
    <row r="38" spans="2:25" ht="18" customHeight="1">
      <c r="B38" s="49" t="s">
        <v>116</v>
      </c>
      <c r="C38" s="49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2:25" ht="18" customHeight="1">
      <c r="B39" s="49" t="s">
        <v>117</v>
      </c>
      <c r="C39" s="49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2:25" ht="18" customHeight="1">
      <c r="B40" s="49" t="s">
        <v>118</v>
      </c>
      <c r="C40" s="49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3" spans="2:25" ht="22" customHeight="1">
      <c r="B43" s="34" t="s">
        <v>119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2:25" ht="28" customHeight="1">
      <c r="B44" s="54" t="s">
        <v>120</v>
      </c>
      <c r="C44" s="54" t="s">
        <v>121</v>
      </c>
      <c r="D44" s="54" t="s">
        <v>122</v>
      </c>
      <c r="E44" s="55">
        <f>"S.E."&amp;CHAR(10)&amp;bLabA</f>
        <v>0</v>
      </c>
      <c r="F44" s="56">
        <f>"S.E."&amp;CHAR(10)&amp;bLabB</f>
        <v>0</v>
      </c>
      <c r="G44" s="55">
        <f>"&lt;325#"&amp;CHAR(10)&amp;bLabA</f>
        <v>0</v>
      </c>
      <c r="H44" s="56">
        <f>"&lt;325#"&amp;CHAR(10)&amp;bLabB</f>
        <v>0</v>
      </c>
      <c r="I44" s="55">
        <f>"SiO₂"&amp;CHAR(10)&amp;bLabA</f>
        <v>0</v>
      </c>
      <c r="J44" s="56">
        <f>"SiO₂"&amp;CHAR(10)&amp;bLabB</f>
        <v>0</v>
      </c>
      <c r="K44" s="55">
        <f>"P"&amp;CHAR(10)&amp;bLabA</f>
        <v>0</v>
      </c>
      <c r="L44" s="56">
        <f>"P"&amp;CHAR(10)&amp;bLabB</f>
        <v>0</v>
      </c>
      <c r="M44" s="55">
        <f>"PPC"&amp;CHAR(10)&amp;bLabA</f>
        <v>0</v>
      </c>
      <c r="N44" s="56">
        <f>"PPC"&amp;CHAR(10)&amp;bLabB</f>
        <v>0</v>
      </c>
      <c r="P44" s="57" t="s">
        <v>123</v>
      </c>
      <c r="Q44" s="57" t="s">
        <v>125</v>
      </c>
      <c r="R44" s="57" t="s">
        <v>127</v>
      </c>
      <c r="S44" s="57" t="s">
        <v>129</v>
      </c>
      <c r="T44" s="57" t="s">
        <v>131</v>
      </c>
      <c r="U44" s="54" t="s">
        <v>124</v>
      </c>
      <c r="V44" s="54" t="s">
        <v>126</v>
      </c>
      <c r="W44" s="54" t="s">
        <v>128</v>
      </c>
      <c r="X44" s="54" t="s">
        <v>130</v>
      </c>
      <c r="Y44" s="54" t="s">
        <v>132</v>
      </c>
    </row>
    <row r="45" spans="2:25" ht="18" customHeight="1">
      <c r="B45" s="58">
        <v>1</v>
      </c>
      <c r="C45" s="59">
        <f>IF(AND(ISNUMBER(gJanU),1&lt;=bNHor),gJanU+0/12+cfgMinAntes/1440,"")</f>
        <v>0</v>
      </c>
      <c r="D45" s="60">
        <f>IF(ISNUMBER(C45),IF(ISNUMBER(gJanG),IF(1&lt;=gNG,gJanG+0/12+cfgMinAntes/1440,""),C45),"")</f>
        <v>0</v>
      </c>
      <c r="E45" s="61"/>
      <c r="F45" s="62"/>
      <c r="G45" s="63"/>
      <c r="H45" s="64"/>
      <c r="I45" s="65"/>
      <c r="J45" s="66"/>
      <c r="K45" s="67"/>
      <c r="L45" s="68"/>
      <c r="M45" s="65"/>
      <c r="N45" s="66"/>
      <c r="P45" s="69">
        <f>IF(AND(ISNUMBER(E45),ISNUMBER(F45)),IF(bRef=bLabA,F45-E45,E45-F45),"")</f>
        <v>0</v>
      </c>
      <c r="Q45" s="70">
        <f>IF(AND(ISNUMBER(G45),ISNUMBER(H45)),IF(bRef=bLabA,H45-G45,G45-H45),"")</f>
        <v>0</v>
      </c>
      <c r="R45" s="71">
        <f>IF(AND(ISNUMBER(I45),ISNUMBER(J45)),IF(bRef=bLabA,J45-I45,I45-J45),"")</f>
        <v>0</v>
      </c>
      <c r="S45" s="72">
        <f>IF(AND(ISNUMBER(K45),ISNUMBER(L45)),IF(bRef=bLabA,L45-K45,K45-L45),"")</f>
        <v>0</v>
      </c>
      <c r="T45" s="71">
        <f>IF(AND(ISNUMBER(M45),ISNUMBER(N45)),IF(bRef=bLabA,N45-M45,M45-N45),"")</f>
        <v>0</v>
      </c>
      <c r="U45" s="73">
        <f>IF(AND(ISNUMBER(E45),ISNUMBER(F45)),SUMPRODUCT(ISNUMBER(E$45:E45)*ISNUMBER(F$45:F45)),"")</f>
        <v>0</v>
      </c>
      <c r="V45" s="73">
        <f>IF(AND(ISNUMBER(G45),ISNUMBER(H45)),SUMPRODUCT(ISNUMBER(G$45:G45)*ISNUMBER(H$45:H45)),"")</f>
        <v>0</v>
      </c>
      <c r="W45" s="73">
        <f>IF(AND(ISNUMBER(I45),ISNUMBER(J45)),SUMPRODUCT(ISNUMBER(I$45:I45)*ISNUMBER(J$45:J45)),"")</f>
        <v>0</v>
      </c>
      <c r="X45" s="73">
        <f>IF(AND(ISNUMBER(K45),ISNUMBER(L45)),SUMPRODUCT(ISNUMBER(K$45:K45)*ISNUMBER(L$45:L45)),"")</f>
        <v>0</v>
      </c>
      <c r="Y45" s="73">
        <f>IF(AND(ISNUMBER(M45),ISNUMBER(N45)),SUMPRODUCT(ISNUMBER(M$45:M45)*ISNUMBER(N$45:N45)),"")</f>
        <v>0</v>
      </c>
    </row>
    <row r="46" spans="2:25" ht="18" customHeight="1">
      <c r="B46" s="58">
        <v>2</v>
      </c>
      <c r="C46" s="59">
        <f>IF(AND(ISNUMBER(gJanU),2&lt;=bNHor),gJanU+1/12+cfgMinAntes/1440,"")</f>
        <v>0</v>
      </c>
      <c r="D46" s="60">
        <f>IF(ISNUMBER(C46),IF(ISNUMBER(gJanG),IF(2&lt;=gNG,gJanG+1/12+cfgMinAntes/1440,""),C46),"")</f>
        <v>0</v>
      </c>
      <c r="E46" s="61"/>
      <c r="F46" s="62"/>
      <c r="G46" s="63"/>
      <c r="H46" s="64"/>
      <c r="I46" s="65"/>
      <c r="J46" s="66"/>
      <c r="K46" s="67"/>
      <c r="L46" s="68"/>
      <c r="M46" s="65"/>
      <c r="N46" s="66"/>
      <c r="P46" s="69">
        <f>IF(AND(ISNUMBER(E46),ISNUMBER(F46)),IF(bRef=bLabA,F46-E46,E46-F46),"")</f>
        <v>0</v>
      </c>
      <c r="Q46" s="70">
        <f>IF(AND(ISNUMBER(G46),ISNUMBER(H46)),IF(bRef=bLabA,H46-G46,G46-H46),"")</f>
        <v>0</v>
      </c>
      <c r="R46" s="71">
        <f>IF(AND(ISNUMBER(I46),ISNUMBER(J46)),IF(bRef=bLabA,J46-I46,I46-J46),"")</f>
        <v>0</v>
      </c>
      <c r="S46" s="72">
        <f>IF(AND(ISNUMBER(K46),ISNUMBER(L46)),IF(bRef=bLabA,L46-K46,K46-L46),"")</f>
        <v>0</v>
      </c>
      <c r="T46" s="71">
        <f>IF(AND(ISNUMBER(M46),ISNUMBER(N46)),IF(bRef=bLabA,N46-M46,M46-N46),"")</f>
        <v>0</v>
      </c>
      <c r="U46" s="73">
        <f>IF(AND(ISNUMBER(E46),ISNUMBER(F46)),SUMPRODUCT(ISNUMBER(E$45:E46)*ISNUMBER(F$45:F46)),"")</f>
        <v>0</v>
      </c>
      <c r="V46" s="73">
        <f>IF(AND(ISNUMBER(G46),ISNUMBER(H46)),SUMPRODUCT(ISNUMBER(G$45:G46)*ISNUMBER(H$45:H46)),"")</f>
        <v>0</v>
      </c>
      <c r="W46" s="73">
        <f>IF(AND(ISNUMBER(I46),ISNUMBER(J46)),SUMPRODUCT(ISNUMBER(I$45:I46)*ISNUMBER(J$45:J46)),"")</f>
        <v>0</v>
      </c>
      <c r="X46" s="73">
        <f>IF(AND(ISNUMBER(K46),ISNUMBER(L46)),SUMPRODUCT(ISNUMBER(K$45:K46)*ISNUMBER(L$45:L46)),"")</f>
        <v>0</v>
      </c>
      <c r="Y46" s="73">
        <f>IF(AND(ISNUMBER(M46),ISNUMBER(N46)),SUMPRODUCT(ISNUMBER(M$45:M46)*ISNUMBER(N$45:N46)),"")</f>
        <v>0</v>
      </c>
    </row>
    <row r="47" spans="2:25" ht="18" customHeight="1">
      <c r="B47" s="58">
        <v>3</v>
      </c>
      <c r="C47" s="59">
        <f>IF(AND(ISNUMBER(gJanU),3&lt;=bNHor),gJanU+2/12+cfgMinAntes/1440,"")</f>
        <v>0</v>
      </c>
      <c r="D47" s="60">
        <f>IF(ISNUMBER(C47),IF(ISNUMBER(gJanG),IF(3&lt;=gNG,gJanG+2/12+cfgMinAntes/1440,""),C47),"")</f>
        <v>0</v>
      </c>
      <c r="E47" s="61"/>
      <c r="F47" s="62"/>
      <c r="G47" s="63"/>
      <c r="H47" s="64"/>
      <c r="I47" s="65"/>
      <c r="J47" s="66"/>
      <c r="K47" s="67"/>
      <c r="L47" s="68"/>
      <c r="M47" s="65"/>
      <c r="N47" s="66"/>
      <c r="P47" s="69">
        <f>IF(AND(ISNUMBER(E47),ISNUMBER(F47)),IF(bRef=bLabA,F47-E47,E47-F47),"")</f>
        <v>0</v>
      </c>
      <c r="Q47" s="70">
        <f>IF(AND(ISNUMBER(G47),ISNUMBER(H47)),IF(bRef=bLabA,H47-G47,G47-H47),"")</f>
        <v>0</v>
      </c>
      <c r="R47" s="71">
        <f>IF(AND(ISNUMBER(I47),ISNUMBER(J47)),IF(bRef=bLabA,J47-I47,I47-J47),"")</f>
        <v>0</v>
      </c>
      <c r="S47" s="72">
        <f>IF(AND(ISNUMBER(K47),ISNUMBER(L47)),IF(bRef=bLabA,L47-K47,K47-L47),"")</f>
        <v>0</v>
      </c>
      <c r="T47" s="71">
        <f>IF(AND(ISNUMBER(M47),ISNUMBER(N47)),IF(bRef=bLabA,N47-M47,M47-N47),"")</f>
        <v>0</v>
      </c>
      <c r="U47" s="73">
        <f>IF(AND(ISNUMBER(E47),ISNUMBER(F47)),SUMPRODUCT(ISNUMBER(E$45:E47)*ISNUMBER(F$45:F47)),"")</f>
        <v>0</v>
      </c>
      <c r="V47" s="73">
        <f>IF(AND(ISNUMBER(G47),ISNUMBER(H47)),SUMPRODUCT(ISNUMBER(G$45:G47)*ISNUMBER(H$45:H47)),"")</f>
        <v>0</v>
      </c>
      <c r="W47" s="73">
        <f>IF(AND(ISNUMBER(I47),ISNUMBER(J47)),SUMPRODUCT(ISNUMBER(I$45:I47)*ISNUMBER(J$45:J47)),"")</f>
        <v>0</v>
      </c>
      <c r="X47" s="73">
        <f>IF(AND(ISNUMBER(K47),ISNUMBER(L47)),SUMPRODUCT(ISNUMBER(K$45:K47)*ISNUMBER(L$45:L47)),"")</f>
        <v>0</v>
      </c>
      <c r="Y47" s="73">
        <f>IF(AND(ISNUMBER(M47),ISNUMBER(N47)),SUMPRODUCT(ISNUMBER(M$45:M47)*ISNUMBER(N$45:N47)),"")</f>
        <v>0</v>
      </c>
    </row>
    <row r="48" spans="2:25" ht="18" customHeight="1">
      <c r="B48" s="58">
        <v>4</v>
      </c>
      <c r="C48" s="59">
        <f>IF(AND(ISNUMBER(gJanU),4&lt;=bNHor),gJanU+3/12+cfgMinAntes/1440,"")</f>
        <v>0</v>
      </c>
      <c r="D48" s="60">
        <f>IF(ISNUMBER(C48),IF(ISNUMBER(gJanG),IF(4&lt;=gNG,gJanG+3/12+cfgMinAntes/1440,""),C48),"")</f>
        <v>0</v>
      </c>
      <c r="E48" s="61"/>
      <c r="F48" s="62"/>
      <c r="G48" s="63"/>
      <c r="H48" s="64"/>
      <c r="I48" s="65"/>
      <c r="J48" s="66"/>
      <c r="K48" s="67"/>
      <c r="L48" s="68"/>
      <c r="M48" s="65"/>
      <c r="N48" s="66"/>
      <c r="P48" s="69">
        <f>IF(AND(ISNUMBER(E48),ISNUMBER(F48)),IF(bRef=bLabA,F48-E48,E48-F48),"")</f>
        <v>0</v>
      </c>
      <c r="Q48" s="70">
        <f>IF(AND(ISNUMBER(G48),ISNUMBER(H48)),IF(bRef=bLabA,H48-G48,G48-H48),"")</f>
        <v>0</v>
      </c>
      <c r="R48" s="71">
        <f>IF(AND(ISNUMBER(I48),ISNUMBER(J48)),IF(bRef=bLabA,J48-I48,I48-J48),"")</f>
        <v>0</v>
      </c>
      <c r="S48" s="72">
        <f>IF(AND(ISNUMBER(K48),ISNUMBER(L48)),IF(bRef=bLabA,L48-K48,K48-L48),"")</f>
        <v>0</v>
      </c>
      <c r="T48" s="71">
        <f>IF(AND(ISNUMBER(M48),ISNUMBER(N48)),IF(bRef=bLabA,N48-M48,M48-N48),"")</f>
        <v>0</v>
      </c>
      <c r="U48" s="73">
        <f>IF(AND(ISNUMBER(E48),ISNUMBER(F48)),SUMPRODUCT(ISNUMBER(E$45:E48)*ISNUMBER(F$45:F48)),"")</f>
        <v>0</v>
      </c>
      <c r="V48" s="73">
        <f>IF(AND(ISNUMBER(G48),ISNUMBER(H48)),SUMPRODUCT(ISNUMBER(G$45:G48)*ISNUMBER(H$45:H48)),"")</f>
        <v>0</v>
      </c>
      <c r="W48" s="73">
        <f>IF(AND(ISNUMBER(I48),ISNUMBER(J48)),SUMPRODUCT(ISNUMBER(I$45:I48)*ISNUMBER(J$45:J48)),"")</f>
        <v>0</v>
      </c>
      <c r="X48" s="73">
        <f>IF(AND(ISNUMBER(K48),ISNUMBER(L48)),SUMPRODUCT(ISNUMBER(K$45:K48)*ISNUMBER(L$45:L48)),"")</f>
        <v>0</v>
      </c>
      <c r="Y48" s="73">
        <f>IF(AND(ISNUMBER(M48),ISNUMBER(N48)),SUMPRODUCT(ISNUMBER(M$45:M48)*ISNUMBER(N$45:N48)),"")</f>
        <v>0</v>
      </c>
    </row>
    <row r="49" spans="2:25" ht="18" customHeight="1">
      <c r="B49" s="58">
        <v>5</v>
      </c>
      <c r="C49" s="59">
        <f>IF(AND(ISNUMBER(gJanU),5&lt;=bNHor),gJanU+4/12+cfgMinAntes/1440,"")</f>
        <v>0</v>
      </c>
      <c r="D49" s="60">
        <f>IF(ISNUMBER(C49),IF(ISNUMBER(gJanG),IF(5&lt;=gNG,gJanG+4/12+cfgMinAntes/1440,""),C49),"")</f>
        <v>0</v>
      </c>
      <c r="E49" s="61"/>
      <c r="F49" s="62"/>
      <c r="G49" s="63"/>
      <c r="H49" s="64"/>
      <c r="I49" s="65"/>
      <c r="J49" s="66"/>
      <c r="K49" s="67"/>
      <c r="L49" s="68"/>
      <c r="M49" s="65"/>
      <c r="N49" s="66"/>
      <c r="P49" s="69">
        <f>IF(AND(ISNUMBER(E49),ISNUMBER(F49)),IF(bRef=bLabA,F49-E49,E49-F49),"")</f>
        <v>0</v>
      </c>
      <c r="Q49" s="70">
        <f>IF(AND(ISNUMBER(G49),ISNUMBER(H49)),IF(bRef=bLabA,H49-G49,G49-H49),"")</f>
        <v>0</v>
      </c>
      <c r="R49" s="71">
        <f>IF(AND(ISNUMBER(I49),ISNUMBER(J49)),IF(bRef=bLabA,J49-I49,I49-J49),"")</f>
        <v>0</v>
      </c>
      <c r="S49" s="72">
        <f>IF(AND(ISNUMBER(K49),ISNUMBER(L49)),IF(bRef=bLabA,L49-K49,K49-L49),"")</f>
        <v>0</v>
      </c>
      <c r="T49" s="71">
        <f>IF(AND(ISNUMBER(M49),ISNUMBER(N49)),IF(bRef=bLabA,N49-M49,M49-N49),"")</f>
        <v>0</v>
      </c>
      <c r="U49" s="73">
        <f>IF(AND(ISNUMBER(E49),ISNUMBER(F49)),SUMPRODUCT(ISNUMBER(E$45:E49)*ISNUMBER(F$45:F49)),"")</f>
        <v>0</v>
      </c>
      <c r="V49" s="73">
        <f>IF(AND(ISNUMBER(G49),ISNUMBER(H49)),SUMPRODUCT(ISNUMBER(G$45:G49)*ISNUMBER(H$45:H49)),"")</f>
        <v>0</v>
      </c>
      <c r="W49" s="73">
        <f>IF(AND(ISNUMBER(I49),ISNUMBER(J49)),SUMPRODUCT(ISNUMBER(I$45:I49)*ISNUMBER(J$45:J49)),"")</f>
        <v>0</v>
      </c>
      <c r="X49" s="73">
        <f>IF(AND(ISNUMBER(K49),ISNUMBER(L49)),SUMPRODUCT(ISNUMBER(K$45:K49)*ISNUMBER(L$45:L49)),"")</f>
        <v>0</v>
      </c>
      <c r="Y49" s="73">
        <f>IF(AND(ISNUMBER(M49),ISNUMBER(N49)),SUMPRODUCT(ISNUMBER(M$45:M49)*ISNUMBER(N$45:N49)),"")</f>
        <v>0</v>
      </c>
    </row>
    <row r="50" spans="2:25" ht="18" customHeight="1">
      <c r="B50" s="58">
        <v>6</v>
      </c>
      <c r="C50" s="59">
        <f>IF(AND(ISNUMBER(gJanU),6&lt;=bNHor),gJanU+5/12+cfgMinAntes/1440,"")</f>
        <v>0</v>
      </c>
      <c r="D50" s="60">
        <f>IF(ISNUMBER(C50),IF(ISNUMBER(gJanG),IF(6&lt;=gNG,gJanG+5/12+cfgMinAntes/1440,""),C50),"")</f>
        <v>0</v>
      </c>
      <c r="E50" s="61"/>
      <c r="F50" s="62"/>
      <c r="G50" s="63"/>
      <c r="H50" s="64"/>
      <c r="I50" s="65"/>
      <c r="J50" s="66"/>
      <c r="K50" s="67"/>
      <c r="L50" s="68"/>
      <c r="M50" s="65"/>
      <c r="N50" s="66"/>
      <c r="P50" s="69">
        <f>IF(AND(ISNUMBER(E50),ISNUMBER(F50)),IF(bRef=bLabA,F50-E50,E50-F50),"")</f>
        <v>0</v>
      </c>
      <c r="Q50" s="70">
        <f>IF(AND(ISNUMBER(G50),ISNUMBER(H50)),IF(bRef=bLabA,H50-G50,G50-H50),"")</f>
        <v>0</v>
      </c>
      <c r="R50" s="71">
        <f>IF(AND(ISNUMBER(I50),ISNUMBER(J50)),IF(bRef=bLabA,J50-I50,I50-J50),"")</f>
        <v>0</v>
      </c>
      <c r="S50" s="72">
        <f>IF(AND(ISNUMBER(K50),ISNUMBER(L50)),IF(bRef=bLabA,L50-K50,K50-L50),"")</f>
        <v>0</v>
      </c>
      <c r="T50" s="71">
        <f>IF(AND(ISNUMBER(M50),ISNUMBER(N50)),IF(bRef=bLabA,N50-M50,M50-N50),"")</f>
        <v>0</v>
      </c>
      <c r="U50" s="73">
        <f>IF(AND(ISNUMBER(E50),ISNUMBER(F50)),SUMPRODUCT(ISNUMBER(E$45:E50)*ISNUMBER(F$45:F50)),"")</f>
        <v>0</v>
      </c>
      <c r="V50" s="73">
        <f>IF(AND(ISNUMBER(G50),ISNUMBER(H50)),SUMPRODUCT(ISNUMBER(G$45:G50)*ISNUMBER(H$45:H50)),"")</f>
        <v>0</v>
      </c>
      <c r="W50" s="73">
        <f>IF(AND(ISNUMBER(I50),ISNUMBER(J50)),SUMPRODUCT(ISNUMBER(I$45:I50)*ISNUMBER(J$45:J50)),"")</f>
        <v>0</v>
      </c>
      <c r="X50" s="73">
        <f>IF(AND(ISNUMBER(K50),ISNUMBER(L50)),SUMPRODUCT(ISNUMBER(K$45:K50)*ISNUMBER(L$45:L50)),"")</f>
        <v>0</v>
      </c>
      <c r="Y50" s="73">
        <f>IF(AND(ISNUMBER(M50),ISNUMBER(N50)),SUMPRODUCT(ISNUMBER(M$45:M50)*ISNUMBER(N$45:N50)),"")</f>
        <v>0</v>
      </c>
    </row>
    <row r="51" spans="2:25" ht="18" customHeight="1">
      <c r="B51" s="58">
        <v>7</v>
      </c>
      <c r="C51" s="59">
        <f>IF(AND(ISNUMBER(gJanU),7&lt;=bNHor),gJanU+6/12+cfgMinAntes/1440,"")</f>
        <v>0</v>
      </c>
      <c r="D51" s="60">
        <f>IF(ISNUMBER(C51),IF(ISNUMBER(gJanG),IF(7&lt;=gNG,gJanG+6/12+cfgMinAntes/1440,""),C51),"")</f>
        <v>0</v>
      </c>
      <c r="E51" s="61"/>
      <c r="F51" s="62"/>
      <c r="G51" s="63"/>
      <c r="H51" s="64"/>
      <c r="I51" s="65"/>
      <c r="J51" s="66"/>
      <c r="K51" s="67"/>
      <c r="L51" s="68"/>
      <c r="M51" s="65"/>
      <c r="N51" s="66"/>
      <c r="P51" s="69">
        <f>IF(AND(ISNUMBER(E51),ISNUMBER(F51)),IF(bRef=bLabA,F51-E51,E51-F51),"")</f>
        <v>0</v>
      </c>
      <c r="Q51" s="70">
        <f>IF(AND(ISNUMBER(G51),ISNUMBER(H51)),IF(bRef=bLabA,H51-G51,G51-H51),"")</f>
        <v>0</v>
      </c>
      <c r="R51" s="71">
        <f>IF(AND(ISNUMBER(I51),ISNUMBER(J51)),IF(bRef=bLabA,J51-I51,I51-J51),"")</f>
        <v>0</v>
      </c>
      <c r="S51" s="72">
        <f>IF(AND(ISNUMBER(K51),ISNUMBER(L51)),IF(bRef=bLabA,L51-K51,K51-L51),"")</f>
        <v>0</v>
      </c>
      <c r="T51" s="71">
        <f>IF(AND(ISNUMBER(M51),ISNUMBER(N51)),IF(bRef=bLabA,N51-M51,M51-N51),"")</f>
        <v>0</v>
      </c>
      <c r="U51" s="73">
        <f>IF(AND(ISNUMBER(E51),ISNUMBER(F51)),SUMPRODUCT(ISNUMBER(E$45:E51)*ISNUMBER(F$45:F51)),"")</f>
        <v>0</v>
      </c>
      <c r="V51" s="73">
        <f>IF(AND(ISNUMBER(G51),ISNUMBER(H51)),SUMPRODUCT(ISNUMBER(G$45:G51)*ISNUMBER(H$45:H51)),"")</f>
        <v>0</v>
      </c>
      <c r="W51" s="73">
        <f>IF(AND(ISNUMBER(I51),ISNUMBER(J51)),SUMPRODUCT(ISNUMBER(I$45:I51)*ISNUMBER(J$45:J51)),"")</f>
        <v>0</v>
      </c>
      <c r="X51" s="73">
        <f>IF(AND(ISNUMBER(K51),ISNUMBER(L51)),SUMPRODUCT(ISNUMBER(K$45:K51)*ISNUMBER(L$45:L51)),"")</f>
        <v>0</v>
      </c>
      <c r="Y51" s="73">
        <f>IF(AND(ISNUMBER(M51),ISNUMBER(N51)),SUMPRODUCT(ISNUMBER(M$45:M51)*ISNUMBER(N$45:N51)),"")</f>
        <v>0</v>
      </c>
    </row>
    <row r="52" spans="2:25" ht="18" customHeight="1">
      <c r="B52" s="58">
        <v>8</v>
      </c>
      <c r="C52" s="59">
        <f>IF(AND(ISNUMBER(gJanU),8&lt;=bNHor),gJanU+7/12+cfgMinAntes/1440,"")</f>
        <v>0</v>
      </c>
      <c r="D52" s="60">
        <f>IF(ISNUMBER(C52),IF(ISNUMBER(gJanG),IF(8&lt;=gNG,gJanG+7/12+cfgMinAntes/1440,""),C52),"")</f>
        <v>0</v>
      </c>
      <c r="E52" s="61"/>
      <c r="F52" s="62"/>
      <c r="G52" s="63"/>
      <c r="H52" s="64"/>
      <c r="I52" s="65"/>
      <c r="J52" s="66"/>
      <c r="K52" s="67"/>
      <c r="L52" s="68"/>
      <c r="M52" s="65"/>
      <c r="N52" s="66"/>
      <c r="P52" s="69">
        <f>IF(AND(ISNUMBER(E52),ISNUMBER(F52)),IF(bRef=bLabA,F52-E52,E52-F52),"")</f>
        <v>0</v>
      </c>
      <c r="Q52" s="70">
        <f>IF(AND(ISNUMBER(G52),ISNUMBER(H52)),IF(bRef=bLabA,H52-G52,G52-H52),"")</f>
        <v>0</v>
      </c>
      <c r="R52" s="71">
        <f>IF(AND(ISNUMBER(I52),ISNUMBER(J52)),IF(bRef=bLabA,J52-I52,I52-J52),"")</f>
        <v>0</v>
      </c>
      <c r="S52" s="72">
        <f>IF(AND(ISNUMBER(K52),ISNUMBER(L52)),IF(bRef=bLabA,L52-K52,K52-L52),"")</f>
        <v>0</v>
      </c>
      <c r="T52" s="71">
        <f>IF(AND(ISNUMBER(M52),ISNUMBER(N52)),IF(bRef=bLabA,N52-M52,M52-N52),"")</f>
        <v>0</v>
      </c>
      <c r="U52" s="73">
        <f>IF(AND(ISNUMBER(E52),ISNUMBER(F52)),SUMPRODUCT(ISNUMBER(E$45:E52)*ISNUMBER(F$45:F52)),"")</f>
        <v>0</v>
      </c>
      <c r="V52" s="73">
        <f>IF(AND(ISNUMBER(G52),ISNUMBER(H52)),SUMPRODUCT(ISNUMBER(G$45:G52)*ISNUMBER(H$45:H52)),"")</f>
        <v>0</v>
      </c>
      <c r="W52" s="73">
        <f>IF(AND(ISNUMBER(I52),ISNUMBER(J52)),SUMPRODUCT(ISNUMBER(I$45:I52)*ISNUMBER(J$45:J52)),"")</f>
        <v>0</v>
      </c>
      <c r="X52" s="73">
        <f>IF(AND(ISNUMBER(K52),ISNUMBER(L52)),SUMPRODUCT(ISNUMBER(K$45:K52)*ISNUMBER(L$45:L52)),"")</f>
        <v>0</v>
      </c>
      <c r="Y52" s="73">
        <f>IF(AND(ISNUMBER(M52),ISNUMBER(N52)),SUMPRODUCT(ISNUMBER(M$45:M52)*ISNUMBER(N$45:N52)),"")</f>
        <v>0</v>
      </c>
    </row>
    <row r="53" spans="2:25" ht="18" customHeight="1">
      <c r="B53" s="58">
        <v>9</v>
      </c>
      <c r="C53" s="59">
        <f>IF(AND(ISNUMBER(gJanU),9&lt;=bNHor),gJanU+8/12+cfgMinAntes/1440,"")</f>
        <v>0</v>
      </c>
      <c r="D53" s="60">
        <f>IF(ISNUMBER(C53),IF(ISNUMBER(gJanG),IF(9&lt;=gNG,gJanG+8/12+cfgMinAntes/1440,""),C53),"")</f>
        <v>0</v>
      </c>
      <c r="E53" s="61"/>
      <c r="F53" s="62"/>
      <c r="G53" s="63"/>
      <c r="H53" s="64"/>
      <c r="I53" s="65"/>
      <c r="J53" s="66"/>
      <c r="K53" s="67"/>
      <c r="L53" s="68"/>
      <c r="M53" s="65"/>
      <c r="N53" s="66"/>
      <c r="P53" s="69">
        <f>IF(AND(ISNUMBER(E53),ISNUMBER(F53)),IF(bRef=bLabA,F53-E53,E53-F53),"")</f>
        <v>0</v>
      </c>
      <c r="Q53" s="70">
        <f>IF(AND(ISNUMBER(G53),ISNUMBER(H53)),IF(bRef=bLabA,H53-G53,G53-H53),"")</f>
        <v>0</v>
      </c>
      <c r="R53" s="71">
        <f>IF(AND(ISNUMBER(I53),ISNUMBER(J53)),IF(bRef=bLabA,J53-I53,I53-J53),"")</f>
        <v>0</v>
      </c>
      <c r="S53" s="72">
        <f>IF(AND(ISNUMBER(K53),ISNUMBER(L53)),IF(bRef=bLabA,L53-K53,K53-L53),"")</f>
        <v>0</v>
      </c>
      <c r="T53" s="71">
        <f>IF(AND(ISNUMBER(M53),ISNUMBER(N53)),IF(bRef=bLabA,N53-M53,M53-N53),"")</f>
        <v>0</v>
      </c>
      <c r="U53" s="73">
        <f>IF(AND(ISNUMBER(E53),ISNUMBER(F53)),SUMPRODUCT(ISNUMBER(E$45:E53)*ISNUMBER(F$45:F53)),"")</f>
        <v>0</v>
      </c>
      <c r="V53" s="73">
        <f>IF(AND(ISNUMBER(G53),ISNUMBER(H53)),SUMPRODUCT(ISNUMBER(G$45:G53)*ISNUMBER(H$45:H53)),"")</f>
        <v>0</v>
      </c>
      <c r="W53" s="73">
        <f>IF(AND(ISNUMBER(I53),ISNUMBER(J53)),SUMPRODUCT(ISNUMBER(I$45:I53)*ISNUMBER(J$45:J53)),"")</f>
        <v>0</v>
      </c>
      <c r="X53" s="73">
        <f>IF(AND(ISNUMBER(K53),ISNUMBER(L53)),SUMPRODUCT(ISNUMBER(K$45:K53)*ISNUMBER(L$45:L53)),"")</f>
        <v>0</v>
      </c>
      <c r="Y53" s="73">
        <f>IF(AND(ISNUMBER(M53),ISNUMBER(N53)),SUMPRODUCT(ISNUMBER(M$45:M53)*ISNUMBER(N$45:N53)),"")</f>
        <v>0</v>
      </c>
    </row>
    <row r="54" spans="2:25" ht="18" customHeight="1">
      <c r="B54" s="58">
        <v>10</v>
      </c>
      <c r="C54" s="59">
        <f>IF(AND(ISNUMBER(gJanU),10&lt;=bNHor),gJanU+9/12+cfgMinAntes/1440,"")</f>
        <v>0</v>
      </c>
      <c r="D54" s="60">
        <f>IF(ISNUMBER(C54),IF(ISNUMBER(gJanG),IF(10&lt;=gNG,gJanG+9/12+cfgMinAntes/1440,""),C54),"")</f>
        <v>0</v>
      </c>
      <c r="E54" s="61"/>
      <c r="F54" s="62"/>
      <c r="G54" s="63"/>
      <c r="H54" s="64"/>
      <c r="I54" s="65"/>
      <c r="J54" s="66"/>
      <c r="K54" s="67"/>
      <c r="L54" s="68"/>
      <c r="M54" s="65"/>
      <c r="N54" s="66"/>
      <c r="P54" s="69">
        <f>IF(AND(ISNUMBER(E54),ISNUMBER(F54)),IF(bRef=bLabA,F54-E54,E54-F54),"")</f>
        <v>0</v>
      </c>
      <c r="Q54" s="70">
        <f>IF(AND(ISNUMBER(G54),ISNUMBER(H54)),IF(bRef=bLabA,H54-G54,G54-H54),"")</f>
        <v>0</v>
      </c>
      <c r="R54" s="71">
        <f>IF(AND(ISNUMBER(I54),ISNUMBER(J54)),IF(bRef=bLabA,J54-I54,I54-J54),"")</f>
        <v>0</v>
      </c>
      <c r="S54" s="72">
        <f>IF(AND(ISNUMBER(K54),ISNUMBER(L54)),IF(bRef=bLabA,L54-K54,K54-L54),"")</f>
        <v>0</v>
      </c>
      <c r="T54" s="71">
        <f>IF(AND(ISNUMBER(M54),ISNUMBER(N54)),IF(bRef=bLabA,N54-M54,M54-N54),"")</f>
        <v>0</v>
      </c>
      <c r="U54" s="73">
        <f>IF(AND(ISNUMBER(E54),ISNUMBER(F54)),SUMPRODUCT(ISNUMBER(E$45:E54)*ISNUMBER(F$45:F54)),"")</f>
        <v>0</v>
      </c>
      <c r="V54" s="73">
        <f>IF(AND(ISNUMBER(G54),ISNUMBER(H54)),SUMPRODUCT(ISNUMBER(G$45:G54)*ISNUMBER(H$45:H54)),"")</f>
        <v>0</v>
      </c>
      <c r="W54" s="73">
        <f>IF(AND(ISNUMBER(I54),ISNUMBER(J54)),SUMPRODUCT(ISNUMBER(I$45:I54)*ISNUMBER(J$45:J54)),"")</f>
        <v>0</v>
      </c>
      <c r="X54" s="73">
        <f>IF(AND(ISNUMBER(K54),ISNUMBER(L54)),SUMPRODUCT(ISNUMBER(K$45:K54)*ISNUMBER(L$45:L54)),"")</f>
        <v>0</v>
      </c>
      <c r="Y54" s="73">
        <f>IF(AND(ISNUMBER(M54),ISNUMBER(N54)),SUMPRODUCT(ISNUMBER(M$45:M54)*ISNUMBER(N$45:N54)),"")</f>
        <v>0</v>
      </c>
    </row>
    <row r="55" spans="2:25" ht="18" customHeight="1">
      <c r="B55" s="58">
        <v>11</v>
      </c>
      <c r="C55" s="59">
        <f>IF(AND(ISNUMBER(gJanU),11&lt;=bNHor),gJanU+10/12+cfgMinAntes/1440,"")</f>
        <v>0</v>
      </c>
      <c r="D55" s="60">
        <f>IF(ISNUMBER(C55),IF(ISNUMBER(gJanG),IF(11&lt;=gNG,gJanG+10/12+cfgMinAntes/1440,""),C55),"")</f>
        <v>0</v>
      </c>
      <c r="E55" s="61"/>
      <c r="F55" s="62"/>
      <c r="G55" s="63"/>
      <c r="H55" s="64"/>
      <c r="I55" s="65"/>
      <c r="J55" s="66"/>
      <c r="K55" s="67"/>
      <c r="L55" s="68"/>
      <c r="M55" s="65"/>
      <c r="N55" s="66"/>
      <c r="P55" s="69">
        <f>IF(AND(ISNUMBER(E55),ISNUMBER(F55)),IF(bRef=bLabA,F55-E55,E55-F55),"")</f>
        <v>0</v>
      </c>
      <c r="Q55" s="70">
        <f>IF(AND(ISNUMBER(G55),ISNUMBER(H55)),IF(bRef=bLabA,H55-G55,G55-H55),"")</f>
        <v>0</v>
      </c>
      <c r="R55" s="71">
        <f>IF(AND(ISNUMBER(I55),ISNUMBER(J55)),IF(bRef=bLabA,J55-I55,I55-J55),"")</f>
        <v>0</v>
      </c>
      <c r="S55" s="72">
        <f>IF(AND(ISNUMBER(K55),ISNUMBER(L55)),IF(bRef=bLabA,L55-K55,K55-L55),"")</f>
        <v>0</v>
      </c>
      <c r="T55" s="71">
        <f>IF(AND(ISNUMBER(M55),ISNUMBER(N55)),IF(bRef=bLabA,N55-M55,M55-N55),"")</f>
        <v>0</v>
      </c>
      <c r="U55" s="73">
        <f>IF(AND(ISNUMBER(E55),ISNUMBER(F55)),SUMPRODUCT(ISNUMBER(E$45:E55)*ISNUMBER(F$45:F55)),"")</f>
        <v>0</v>
      </c>
      <c r="V55" s="73">
        <f>IF(AND(ISNUMBER(G55),ISNUMBER(H55)),SUMPRODUCT(ISNUMBER(G$45:G55)*ISNUMBER(H$45:H55)),"")</f>
        <v>0</v>
      </c>
      <c r="W55" s="73">
        <f>IF(AND(ISNUMBER(I55),ISNUMBER(J55)),SUMPRODUCT(ISNUMBER(I$45:I55)*ISNUMBER(J$45:J55)),"")</f>
        <v>0</v>
      </c>
      <c r="X55" s="73">
        <f>IF(AND(ISNUMBER(K55),ISNUMBER(L55)),SUMPRODUCT(ISNUMBER(K$45:K55)*ISNUMBER(L$45:L55)),"")</f>
        <v>0</v>
      </c>
      <c r="Y55" s="73">
        <f>IF(AND(ISNUMBER(M55),ISNUMBER(N55)),SUMPRODUCT(ISNUMBER(M$45:M55)*ISNUMBER(N$45:N55)),"")</f>
        <v>0</v>
      </c>
    </row>
    <row r="56" spans="2:25" ht="18" customHeight="1">
      <c r="B56" s="58">
        <v>12</v>
      </c>
      <c r="C56" s="59">
        <f>IF(AND(ISNUMBER(gJanU),12&lt;=bNHor),gJanU+11/12+cfgMinAntes/1440,"")</f>
        <v>0</v>
      </c>
      <c r="D56" s="60">
        <f>IF(ISNUMBER(C56),IF(ISNUMBER(gJanG),IF(12&lt;=gNG,gJanG+11/12+cfgMinAntes/1440,""),C56),"")</f>
        <v>0</v>
      </c>
      <c r="E56" s="61"/>
      <c r="F56" s="62"/>
      <c r="G56" s="63"/>
      <c r="H56" s="64"/>
      <c r="I56" s="65"/>
      <c r="J56" s="66"/>
      <c r="K56" s="67"/>
      <c r="L56" s="68"/>
      <c r="M56" s="65"/>
      <c r="N56" s="66"/>
      <c r="P56" s="69">
        <f>IF(AND(ISNUMBER(E56),ISNUMBER(F56)),IF(bRef=bLabA,F56-E56,E56-F56),"")</f>
        <v>0</v>
      </c>
      <c r="Q56" s="70">
        <f>IF(AND(ISNUMBER(G56),ISNUMBER(H56)),IF(bRef=bLabA,H56-G56,G56-H56),"")</f>
        <v>0</v>
      </c>
      <c r="R56" s="71">
        <f>IF(AND(ISNUMBER(I56),ISNUMBER(J56)),IF(bRef=bLabA,J56-I56,I56-J56),"")</f>
        <v>0</v>
      </c>
      <c r="S56" s="72">
        <f>IF(AND(ISNUMBER(K56),ISNUMBER(L56)),IF(bRef=bLabA,L56-K56,K56-L56),"")</f>
        <v>0</v>
      </c>
      <c r="T56" s="71">
        <f>IF(AND(ISNUMBER(M56),ISNUMBER(N56)),IF(bRef=bLabA,N56-M56,M56-N56),"")</f>
        <v>0</v>
      </c>
      <c r="U56" s="73">
        <f>IF(AND(ISNUMBER(E56),ISNUMBER(F56)),SUMPRODUCT(ISNUMBER(E$45:E56)*ISNUMBER(F$45:F56)),"")</f>
        <v>0</v>
      </c>
      <c r="V56" s="73">
        <f>IF(AND(ISNUMBER(G56),ISNUMBER(H56)),SUMPRODUCT(ISNUMBER(G$45:G56)*ISNUMBER(H$45:H56)),"")</f>
        <v>0</v>
      </c>
      <c r="W56" s="73">
        <f>IF(AND(ISNUMBER(I56),ISNUMBER(J56)),SUMPRODUCT(ISNUMBER(I$45:I56)*ISNUMBER(J$45:J56)),"")</f>
        <v>0</v>
      </c>
      <c r="X56" s="73">
        <f>IF(AND(ISNUMBER(K56),ISNUMBER(L56)),SUMPRODUCT(ISNUMBER(K$45:K56)*ISNUMBER(L$45:L56)),"")</f>
        <v>0</v>
      </c>
      <c r="Y56" s="73">
        <f>IF(AND(ISNUMBER(M56),ISNUMBER(N56)),SUMPRODUCT(ISNUMBER(M$45:M56)*ISNUMBER(N$45:N56)),"")</f>
        <v>0</v>
      </c>
    </row>
    <row r="57" spans="2:25" ht="18" customHeight="1">
      <c r="B57" s="58">
        <v>13</v>
      </c>
      <c r="C57" s="59">
        <f>IF(AND(ISNUMBER(gJanU),13&lt;=bNHor),gJanU+12/12+cfgMinAntes/1440,"")</f>
        <v>0</v>
      </c>
      <c r="D57" s="60">
        <f>IF(ISNUMBER(C57),IF(ISNUMBER(gJanG),IF(13&lt;=gNG,gJanG+12/12+cfgMinAntes/1440,""),C57),"")</f>
        <v>0</v>
      </c>
      <c r="E57" s="61"/>
      <c r="F57" s="62"/>
      <c r="G57" s="63"/>
      <c r="H57" s="64"/>
      <c r="I57" s="65"/>
      <c r="J57" s="66"/>
      <c r="K57" s="67"/>
      <c r="L57" s="68"/>
      <c r="M57" s="65"/>
      <c r="N57" s="66"/>
      <c r="P57" s="69">
        <f>IF(AND(ISNUMBER(E57),ISNUMBER(F57)),IF(bRef=bLabA,F57-E57,E57-F57),"")</f>
        <v>0</v>
      </c>
      <c r="Q57" s="70">
        <f>IF(AND(ISNUMBER(G57),ISNUMBER(H57)),IF(bRef=bLabA,H57-G57,G57-H57),"")</f>
        <v>0</v>
      </c>
      <c r="R57" s="71">
        <f>IF(AND(ISNUMBER(I57),ISNUMBER(J57)),IF(bRef=bLabA,J57-I57,I57-J57),"")</f>
        <v>0</v>
      </c>
      <c r="S57" s="72">
        <f>IF(AND(ISNUMBER(K57),ISNUMBER(L57)),IF(bRef=bLabA,L57-K57,K57-L57),"")</f>
        <v>0</v>
      </c>
      <c r="T57" s="71">
        <f>IF(AND(ISNUMBER(M57),ISNUMBER(N57)),IF(bRef=bLabA,N57-M57,M57-N57),"")</f>
        <v>0</v>
      </c>
      <c r="U57" s="73">
        <f>IF(AND(ISNUMBER(E57),ISNUMBER(F57)),SUMPRODUCT(ISNUMBER(E$45:E57)*ISNUMBER(F$45:F57)),"")</f>
        <v>0</v>
      </c>
      <c r="V57" s="73">
        <f>IF(AND(ISNUMBER(G57),ISNUMBER(H57)),SUMPRODUCT(ISNUMBER(G$45:G57)*ISNUMBER(H$45:H57)),"")</f>
        <v>0</v>
      </c>
      <c r="W57" s="73">
        <f>IF(AND(ISNUMBER(I57),ISNUMBER(J57)),SUMPRODUCT(ISNUMBER(I$45:I57)*ISNUMBER(J$45:J57)),"")</f>
        <v>0</v>
      </c>
      <c r="X57" s="73">
        <f>IF(AND(ISNUMBER(K57),ISNUMBER(L57)),SUMPRODUCT(ISNUMBER(K$45:K57)*ISNUMBER(L$45:L57)),"")</f>
        <v>0</v>
      </c>
      <c r="Y57" s="73">
        <f>IF(AND(ISNUMBER(M57),ISNUMBER(N57)),SUMPRODUCT(ISNUMBER(M$45:M57)*ISNUMBER(N$45:N57)),"")</f>
        <v>0</v>
      </c>
    </row>
    <row r="58" spans="2:25" ht="18" customHeight="1">
      <c r="B58" s="58">
        <v>14</v>
      </c>
      <c r="C58" s="59">
        <f>IF(AND(ISNUMBER(gJanU),14&lt;=bNHor),gJanU+13/12+cfgMinAntes/1440,"")</f>
        <v>0</v>
      </c>
      <c r="D58" s="60">
        <f>IF(ISNUMBER(C58),IF(ISNUMBER(gJanG),IF(14&lt;=gNG,gJanG+13/12+cfgMinAntes/1440,""),C58),"")</f>
        <v>0</v>
      </c>
      <c r="E58" s="61"/>
      <c r="F58" s="62"/>
      <c r="G58" s="63"/>
      <c r="H58" s="64"/>
      <c r="I58" s="65"/>
      <c r="J58" s="66"/>
      <c r="K58" s="67"/>
      <c r="L58" s="68"/>
      <c r="M58" s="65"/>
      <c r="N58" s="66"/>
      <c r="P58" s="69">
        <f>IF(AND(ISNUMBER(E58),ISNUMBER(F58)),IF(bRef=bLabA,F58-E58,E58-F58),"")</f>
        <v>0</v>
      </c>
      <c r="Q58" s="70">
        <f>IF(AND(ISNUMBER(G58),ISNUMBER(H58)),IF(bRef=bLabA,H58-G58,G58-H58),"")</f>
        <v>0</v>
      </c>
      <c r="R58" s="71">
        <f>IF(AND(ISNUMBER(I58),ISNUMBER(J58)),IF(bRef=bLabA,J58-I58,I58-J58),"")</f>
        <v>0</v>
      </c>
      <c r="S58" s="72">
        <f>IF(AND(ISNUMBER(K58),ISNUMBER(L58)),IF(bRef=bLabA,L58-K58,K58-L58),"")</f>
        <v>0</v>
      </c>
      <c r="T58" s="71">
        <f>IF(AND(ISNUMBER(M58),ISNUMBER(N58)),IF(bRef=bLabA,N58-M58,M58-N58),"")</f>
        <v>0</v>
      </c>
      <c r="U58" s="73">
        <f>IF(AND(ISNUMBER(E58),ISNUMBER(F58)),SUMPRODUCT(ISNUMBER(E$45:E58)*ISNUMBER(F$45:F58)),"")</f>
        <v>0</v>
      </c>
      <c r="V58" s="73">
        <f>IF(AND(ISNUMBER(G58),ISNUMBER(H58)),SUMPRODUCT(ISNUMBER(G$45:G58)*ISNUMBER(H$45:H58)),"")</f>
        <v>0</v>
      </c>
      <c r="W58" s="73">
        <f>IF(AND(ISNUMBER(I58),ISNUMBER(J58)),SUMPRODUCT(ISNUMBER(I$45:I58)*ISNUMBER(J$45:J58)),"")</f>
        <v>0</v>
      </c>
      <c r="X58" s="73">
        <f>IF(AND(ISNUMBER(K58),ISNUMBER(L58)),SUMPRODUCT(ISNUMBER(K$45:K58)*ISNUMBER(L$45:L58)),"")</f>
        <v>0</v>
      </c>
      <c r="Y58" s="73">
        <f>IF(AND(ISNUMBER(M58),ISNUMBER(N58)),SUMPRODUCT(ISNUMBER(M$45:M58)*ISNUMBER(N$45:N58)),"")</f>
        <v>0</v>
      </c>
    </row>
    <row r="59" spans="2:25" ht="18" customHeight="1">
      <c r="B59" s="58">
        <v>15</v>
      </c>
      <c r="C59" s="59">
        <f>IF(AND(ISNUMBER(gJanU),15&lt;=bNHor),gJanU+14/12+cfgMinAntes/1440,"")</f>
        <v>0</v>
      </c>
      <c r="D59" s="60">
        <f>IF(ISNUMBER(C59),IF(ISNUMBER(gJanG),IF(15&lt;=gNG,gJanG+14/12+cfgMinAntes/1440,""),C59),"")</f>
        <v>0</v>
      </c>
      <c r="E59" s="61"/>
      <c r="F59" s="62"/>
      <c r="G59" s="63"/>
      <c r="H59" s="64"/>
      <c r="I59" s="65"/>
      <c r="J59" s="66"/>
      <c r="K59" s="67"/>
      <c r="L59" s="68"/>
      <c r="M59" s="65"/>
      <c r="N59" s="66"/>
      <c r="P59" s="69">
        <f>IF(AND(ISNUMBER(E59),ISNUMBER(F59)),IF(bRef=bLabA,F59-E59,E59-F59),"")</f>
        <v>0</v>
      </c>
      <c r="Q59" s="70">
        <f>IF(AND(ISNUMBER(G59),ISNUMBER(H59)),IF(bRef=bLabA,H59-G59,G59-H59),"")</f>
        <v>0</v>
      </c>
      <c r="R59" s="71">
        <f>IF(AND(ISNUMBER(I59),ISNUMBER(J59)),IF(bRef=bLabA,J59-I59,I59-J59),"")</f>
        <v>0</v>
      </c>
      <c r="S59" s="72">
        <f>IF(AND(ISNUMBER(K59),ISNUMBER(L59)),IF(bRef=bLabA,L59-K59,K59-L59),"")</f>
        <v>0</v>
      </c>
      <c r="T59" s="71">
        <f>IF(AND(ISNUMBER(M59),ISNUMBER(N59)),IF(bRef=bLabA,N59-M59,M59-N59),"")</f>
        <v>0</v>
      </c>
      <c r="U59" s="73">
        <f>IF(AND(ISNUMBER(E59),ISNUMBER(F59)),SUMPRODUCT(ISNUMBER(E$45:E59)*ISNUMBER(F$45:F59)),"")</f>
        <v>0</v>
      </c>
      <c r="V59" s="73">
        <f>IF(AND(ISNUMBER(G59),ISNUMBER(H59)),SUMPRODUCT(ISNUMBER(G$45:G59)*ISNUMBER(H$45:H59)),"")</f>
        <v>0</v>
      </c>
      <c r="W59" s="73">
        <f>IF(AND(ISNUMBER(I59),ISNUMBER(J59)),SUMPRODUCT(ISNUMBER(I$45:I59)*ISNUMBER(J$45:J59)),"")</f>
        <v>0</v>
      </c>
      <c r="X59" s="73">
        <f>IF(AND(ISNUMBER(K59),ISNUMBER(L59)),SUMPRODUCT(ISNUMBER(K$45:K59)*ISNUMBER(L$45:L59)),"")</f>
        <v>0</v>
      </c>
      <c r="Y59" s="73">
        <f>IF(AND(ISNUMBER(M59),ISNUMBER(N59)),SUMPRODUCT(ISNUMBER(M$45:M59)*ISNUMBER(N$45:N59)),"")</f>
        <v>0</v>
      </c>
    </row>
    <row r="60" spans="2:25" ht="18" customHeight="1">
      <c r="B60" s="58">
        <v>16</v>
      </c>
      <c r="C60" s="59">
        <f>IF(AND(ISNUMBER(gJanU),16&lt;=bNHor),gJanU+15/12+cfgMinAntes/1440,"")</f>
        <v>0</v>
      </c>
      <c r="D60" s="60">
        <f>IF(ISNUMBER(C60),IF(ISNUMBER(gJanG),IF(16&lt;=gNG,gJanG+15/12+cfgMinAntes/1440,""),C60),"")</f>
        <v>0</v>
      </c>
      <c r="E60" s="61"/>
      <c r="F60" s="62"/>
      <c r="G60" s="63"/>
      <c r="H60" s="64"/>
      <c r="I60" s="65"/>
      <c r="J60" s="66"/>
      <c r="K60" s="67"/>
      <c r="L60" s="68"/>
      <c r="M60" s="65"/>
      <c r="N60" s="66"/>
      <c r="P60" s="69">
        <f>IF(AND(ISNUMBER(E60),ISNUMBER(F60)),IF(bRef=bLabA,F60-E60,E60-F60),"")</f>
        <v>0</v>
      </c>
      <c r="Q60" s="70">
        <f>IF(AND(ISNUMBER(G60),ISNUMBER(H60)),IF(bRef=bLabA,H60-G60,G60-H60),"")</f>
        <v>0</v>
      </c>
      <c r="R60" s="71">
        <f>IF(AND(ISNUMBER(I60),ISNUMBER(J60)),IF(bRef=bLabA,J60-I60,I60-J60),"")</f>
        <v>0</v>
      </c>
      <c r="S60" s="72">
        <f>IF(AND(ISNUMBER(K60),ISNUMBER(L60)),IF(bRef=bLabA,L60-K60,K60-L60),"")</f>
        <v>0</v>
      </c>
      <c r="T60" s="71">
        <f>IF(AND(ISNUMBER(M60),ISNUMBER(N60)),IF(bRef=bLabA,N60-M60,M60-N60),"")</f>
        <v>0</v>
      </c>
      <c r="U60" s="73">
        <f>IF(AND(ISNUMBER(E60),ISNUMBER(F60)),SUMPRODUCT(ISNUMBER(E$45:E60)*ISNUMBER(F$45:F60)),"")</f>
        <v>0</v>
      </c>
      <c r="V60" s="73">
        <f>IF(AND(ISNUMBER(G60),ISNUMBER(H60)),SUMPRODUCT(ISNUMBER(G$45:G60)*ISNUMBER(H$45:H60)),"")</f>
        <v>0</v>
      </c>
      <c r="W60" s="73">
        <f>IF(AND(ISNUMBER(I60),ISNUMBER(J60)),SUMPRODUCT(ISNUMBER(I$45:I60)*ISNUMBER(J$45:J60)),"")</f>
        <v>0</v>
      </c>
      <c r="X60" s="73">
        <f>IF(AND(ISNUMBER(K60),ISNUMBER(L60)),SUMPRODUCT(ISNUMBER(K$45:K60)*ISNUMBER(L$45:L60)),"")</f>
        <v>0</v>
      </c>
      <c r="Y60" s="73">
        <f>IF(AND(ISNUMBER(M60),ISNUMBER(N60)),SUMPRODUCT(ISNUMBER(M$45:M60)*ISNUMBER(N$45:N60)),"")</f>
        <v>0</v>
      </c>
    </row>
    <row r="61" spans="2:25" ht="18" customHeight="1">
      <c r="B61" s="58">
        <v>17</v>
      </c>
      <c r="C61" s="59">
        <f>IF(AND(ISNUMBER(gJanU),17&lt;=bNHor),gJanU+16/12+cfgMinAntes/1440,"")</f>
        <v>0</v>
      </c>
      <c r="D61" s="60">
        <f>IF(ISNUMBER(C61),IF(ISNUMBER(gJanG),IF(17&lt;=gNG,gJanG+16/12+cfgMinAntes/1440,""),C61),"")</f>
        <v>0</v>
      </c>
      <c r="E61" s="61"/>
      <c r="F61" s="62"/>
      <c r="G61" s="63"/>
      <c r="H61" s="64"/>
      <c r="I61" s="65"/>
      <c r="J61" s="66"/>
      <c r="K61" s="67"/>
      <c r="L61" s="68"/>
      <c r="M61" s="65"/>
      <c r="N61" s="66"/>
      <c r="P61" s="69">
        <f>IF(AND(ISNUMBER(E61),ISNUMBER(F61)),IF(bRef=bLabA,F61-E61,E61-F61),"")</f>
        <v>0</v>
      </c>
      <c r="Q61" s="70">
        <f>IF(AND(ISNUMBER(G61),ISNUMBER(H61)),IF(bRef=bLabA,H61-G61,G61-H61),"")</f>
        <v>0</v>
      </c>
      <c r="R61" s="71">
        <f>IF(AND(ISNUMBER(I61),ISNUMBER(J61)),IF(bRef=bLabA,J61-I61,I61-J61),"")</f>
        <v>0</v>
      </c>
      <c r="S61" s="72">
        <f>IF(AND(ISNUMBER(K61),ISNUMBER(L61)),IF(bRef=bLabA,L61-K61,K61-L61),"")</f>
        <v>0</v>
      </c>
      <c r="T61" s="71">
        <f>IF(AND(ISNUMBER(M61),ISNUMBER(N61)),IF(bRef=bLabA,N61-M61,M61-N61),"")</f>
        <v>0</v>
      </c>
      <c r="U61" s="73">
        <f>IF(AND(ISNUMBER(E61),ISNUMBER(F61)),SUMPRODUCT(ISNUMBER(E$45:E61)*ISNUMBER(F$45:F61)),"")</f>
        <v>0</v>
      </c>
      <c r="V61" s="73">
        <f>IF(AND(ISNUMBER(G61),ISNUMBER(H61)),SUMPRODUCT(ISNUMBER(G$45:G61)*ISNUMBER(H$45:H61)),"")</f>
        <v>0</v>
      </c>
      <c r="W61" s="73">
        <f>IF(AND(ISNUMBER(I61),ISNUMBER(J61)),SUMPRODUCT(ISNUMBER(I$45:I61)*ISNUMBER(J$45:J61)),"")</f>
        <v>0</v>
      </c>
      <c r="X61" s="73">
        <f>IF(AND(ISNUMBER(K61),ISNUMBER(L61)),SUMPRODUCT(ISNUMBER(K$45:K61)*ISNUMBER(L$45:L61)),"")</f>
        <v>0</v>
      </c>
      <c r="Y61" s="73">
        <f>IF(AND(ISNUMBER(M61),ISNUMBER(N61)),SUMPRODUCT(ISNUMBER(M$45:M61)*ISNUMBER(N$45:N61)),"")</f>
        <v>0</v>
      </c>
    </row>
    <row r="62" spans="2:25" ht="18" customHeight="1">
      <c r="B62" s="58">
        <v>18</v>
      </c>
      <c r="C62" s="59">
        <f>IF(AND(ISNUMBER(gJanU),18&lt;=bNHor),gJanU+17/12+cfgMinAntes/1440,"")</f>
        <v>0</v>
      </c>
      <c r="D62" s="60">
        <f>IF(ISNUMBER(C62),IF(ISNUMBER(gJanG),IF(18&lt;=gNG,gJanG+17/12+cfgMinAntes/1440,""),C62),"")</f>
        <v>0</v>
      </c>
      <c r="E62" s="61"/>
      <c r="F62" s="62"/>
      <c r="G62" s="63"/>
      <c r="H62" s="64"/>
      <c r="I62" s="65"/>
      <c r="J62" s="66"/>
      <c r="K62" s="67"/>
      <c r="L62" s="68"/>
      <c r="M62" s="65"/>
      <c r="N62" s="66"/>
      <c r="P62" s="69">
        <f>IF(AND(ISNUMBER(E62),ISNUMBER(F62)),IF(bRef=bLabA,F62-E62,E62-F62),"")</f>
        <v>0</v>
      </c>
      <c r="Q62" s="70">
        <f>IF(AND(ISNUMBER(G62),ISNUMBER(H62)),IF(bRef=bLabA,H62-G62,G62-H62),"")</f>
        <v>0</v>
      </c>
      <c r="R62" s="71">
        <f>IF(AND(ISNUMBER(I62),ISNUMBER(J62)),IF(bRef=bLabA,J62-I62,I62-J62),"")</f>
        <v>0</v>
      </c>
      <c r="S62" s="72">
        <f>IF(AND(ISNUMBER(K62),ISNUMBER(L62)),IF(bRef=bLabA,L62-K62,K62-L62),"")</f>
        <v>0</v>
      </c>
      <c r="T62" s="71">
        <f>IF(AND(ISNUMBER(M62),ISNUMBER(N62)),IF(bRef=bLabA,N62-M62,M62-N62),"")</f>
        <v>0</v>
      </c>
      <c r="U62" s="73">
        <f>IF(AND(ISNUMBER(E62),ISNUMBER(F62)),SUMPRODUCT(ISNUMBER(E$45:E62)*ISNUMBER(F$45:F62)),"")</f>
        <v>0</v>
      </c>
      <c r="V62" s="73">
        <f>IF(AND(ISNUMBER(G62),ISNUMBER(H62)),SUMPRODUCT(ISNUMBER(G$45:G62)*ISNUMBER(H$45:H62)),"")</f>
        <v>0</v>
      </c>
      <c r="W62" s="73">
        <f>IF(AND(ISNUMBER(I62),ISNUMBER(J62)),SUMPRODUCT(ISNUMBER(I$45:I62)*ISNUMBER(J$45:J62)),"")</f>
        <v>0</v>
      </c>
      <c r="X62" s="73">
        <f>IF(AND(ISNUMBER(K62),ISNUMBER(L62)),SUMPRODUCT(ISNUMBER(K$45:K62)*ISNUMBER(L$45:L62)),"")</f>
        <v>0</v>
      </c>
      <c r="Y62" s="73">
        <f>IF(AND(ISNUMBER(M62),ISNUMBER(N62)),SUMPRODUCT(ISNUMBER(M$45:M62)*ISNUMBER(N$45:N62)),"")</f>
        <v>0</v>
      </c>
    </row>
    <row r="63" spans="2:25" ht="18" customHeight="1">
      <c r="B63" s="58">
        <v>19</v>
      </c>
      <c r="C63" s="59">
        <f>IF(AND(ISNUMBER(gJanU),19&lt;=bNHor),gJanU+18/12+cfgMinAntes/1440,"")</f>
        <v>0</v>
      </c>
      <c r="D63" s="60">
        <f>IF(ISNUMBER(C63),IF(ISNUMBER(gJanG),IF(19&lt;=gNG,gJanG+18/12+cfgMinAntes/1440,""),C63),"")</f>
        <v>0</v>
      </c>
      <c r="E63" s="61"/>
      <c r="F63" s="62"/>
      <c r="G63" s="63"/>
      <c r="H63" s="64"/>
      <c r="I63" s="65"/>
      <c r="J63" s="66"/>
      <c r="K63" s="67"/>
      <c r="L63" s="68"/>
      <c r="M63" s="65"/>
      <c r="N63" s="66"/>
      <c r="P63" s="69">
        <f>IF(AND(ISNUMBER(E63),ISNUMBER(F63)),IF(bRef=bLabA,F63-E63,E63-F63),"")</f>
        <v>0</v>
      </c>
      <c r="Q63" s="70">
        <f>IF(AND(ISNUMBER(G63),ISNUMBER(H63)),IF(bRef=bLabA,H63-G63,G63-H63),"")</f>
        <v>0</v>
      </c>
      <c r="R63" s="71">
        <f>IF(AND(ISNUMBER(I63),ISNUMBER(J63)),IF(bRef=bLabA,J63-I63,I63-J63),"")</f>
        <v>0</v>
      </c>
      <c r="S63" s="72">
        <f>IF(AND(ISNUMBER(K63),ISNUMBER(L63)),IF(bRef=bLabA,L63-K63,K63-L63),"")</f>
        <v>0</v>
      </c>
      <c r="T63" s="71">
        <f>IF(AND(ISNUMBER(M63),ISNUMBER(N63)),IF(bRef=bLabA,N63-M63,M63-N63),"")</f>
        <v>0</v>
      </c>
      <c r="U63" s="73">
        <f>IF(AND(ISNUMBER(E63),ISNUMBER(F63)),SUMPRODUCT(ISNUMBER(E$45:E63)*ISNUMBER(F$45:F63)),"")</f>
        <v>0</v>
      </c>
      <c r="V63" s="73">
        <f>IF(AND(ISNUMBER(G63),ISNUMBER(H63)),SUMPRODUCT(ISNUMBER(G$45:G63)*ISNUMBER(H$45:H63)),"")</f>
        <v>0</v>
      </c>
      <c r="W63" s="73">
        <f>IF(AND(ISNUMBER(I63),ISNUMBER(J63)),SUMPRODUCT(ISNUMBER(I$45:I63)*ISNUMBER(J$45:J63)),"")</f>
        <v>0</v>
      </c>
      <c r="X63" s="73">
        <f>IF(AND(ISNUMBER(K63),ISNUMBER(L63)),SUMPRODUCT(ISNUMBER(K$45:K63)*ISNUMBER(L$45:L63)),"")</f>
        <v>0</v>
      </c>
      <c r="Y63" s="73">
        <f>IF(AND(ISNUMBER(M63),ISNUMBER(N63)),SUMPRODUCT(ISNUMBER(M$45:M63)*ISNUMBER(N$45:N63)),"")</f>
        <v>0</v>
      </c>
    </row>
    <row r="64" spans="2:25" ht="18" customHeight="1">
      <c r="B64" s="58">
        <v>20</v>
      </c>
      <c r="C64" s="59">
        <f>IF(AND(ISNUMBER(gJanU),20&lt;=bNHor),gJanU+19/12+cfgMinAntes/1440,"")</f>
        <v>0</v>
      </c>
      <c r="D64" s="60">
        <f>IF(ISNUMBER(C64),IF(ISNUMBER(gJanG),IF(20&lt;=gNG,gJanG+19/12+cfgMinAntes/1440,""),C64),"")</f>
        <v>0</v>
      </c>
      <c r="E64" s="61"/>
      <c r="F64" s="62"/>
      <c r="G64" s="63"/>
      <c r="H64" s="64"/>
      <c r="I64" s="65"/>
      <c r="J64" s="66"/>
      <c r="K64" s="67"/>
      <c r="L64" s="68"/>
      <c r="M64" s="65"/>
      <c r="N64" s="66"/>
      <c r="P64" s="69">
        <f>IF(AND(ISNUMBER(E64),ISNUMBER(F64)),IF(bRef=bLabA,F64-E64,E64-F64),"")</f>
        <v>0</v>
      </c>
      <c r="Q64" s="70">
        <f>IF(AND(ISNUMBER(G64),ISNUMBER(H64)),IF(bRef=bLabA,H64-G64,G64-H64),"")</f>
        <v>0</v>
      </c>
      <c r="R64" s="71">
        <f>IF(AND(ISNUMBER(I64),ISNUMBER(J64)),IF(bRef=bLabA,J64-I64,I64-J64),"")</f>
        <v>0</v>
      </c>
      <c r="S64" s="72">
        <f>IF(AND(ISNUMBER(K64),ISNUMBER(L64)),IF(bRef=bLabA,L64-K64,K64-L64),"")</f>
        <v>0</v>
      </c>
      <c r="T64" s="71">
        <f>IF(AND(ISNUMBER(M64),ISNUMBER(N64)),IF(bRef=bLabA,N64-M64,M64-N64),"")</f>
        <v>0</v>
      </c>
      <c r="U64" s="73">
        <f>IF(AND(ISNUMBER(E64),ISNUMBER(F64)),SUMPRODUCT(ISNUMBER(E$45:E64)*ISNUMBER(F$45:F64)),"")</f>
        <v>0</v>
      </c>
      <c r="V64" s="73">
        <f>IF(AND(ISNUMBER(G64),ISNUMBER(H64)),SUMPRODUCT(ISNUMBER(G$45:G64)*ISNUMBER(H$45:H64)),"")</f>
        <v>0</v>
      </c>
      <c r="W64" s="73">
        <f>IF(AND(ISNUMBER(I64),ISNUMBER(J64)),SUMPRODUCT(ISNUMBER(I$45:I64)*ISNUMBER(J$45:J64)),"")</f>
        <v>0</v>
      </c>
      <c r="X64" s="73">
        <f>IF(AND(ISNUMBER(K64),ISNUMBER(L64)),SUMPRODUCT(ISNUMBER(K$45:K64)*ISNUMBER(L$45:L64)),"")</f>
        <v>0</v>
      </c>
      <c r="Y64" s="73">
        <f>IF(AND(ISNUMBER(M64),ISNUMBER(N64)),SUMPRODUCT(ISNUMBER(M$45:M64)*ISNUMBER(N$45:N64)),"")</f>
        <v>0</v>
      </c>
    </row>
    <row r="65" spans="2:25" ht="18" customHeight="1">
      <c r="B65" s="58">
        <v>21</v>
      </c>
      <c r="C65" s="59">
        <f>IF(AND(ISNUMBER(gJanU),21&lt;=bNHor),gJanU+20/12+cfgMinAntes/1440,"")</f>
        <v>0</v>
      </c>
      <c r="D65" s="60">
        <f>IF(ISNUMBER(C65),IF(ISNUMBER(gJanG),IF(21&lt;=gNG,gJanG+20/12+cfgMinAntes/1440,""),C65),"")</f>
        <v>0</v>
      </c>
      <c r="E65" s="61"/>
      <c r="F65" s="62"/>
      <c r="G65" s="63"/>
      <c r="H65" s="64"/>
      <c r="I65" s="65"/>
      <c r="J65" s="66"/>
      <c r="K65" s="67"/>
      <c r="L65" s="68"/>
      <c r="M65" s="65"/>
      <c r="N65" s="66"/>
      <c r="P65" s="69">
        <f>IF(AND(ISNUMBER(E65),ISNUMBER(F65)),IF(bRef=bLabA,F65-E65,E65-F65),"")</f>
        <v>0</v>
      </c>
      <c r="Q65" s="70">
        <f>IF(AND(ISNUMBER(G65),ISNUMBER(H65)),IF(bRef=bLabA,H65-G65,G65-H65),"")</f>
        <v>0</v>
      </c>
      <c r="R65" s="71">
        <f>IF(AND(ISNUMBER(I65),ISNUMBER(J65)),IF(bRef=bLabA,J65-I65,I65-J65),"")</f>
        <v>0</v>
      </c>
      <c r="S65" s="72">
        <f>IF(AND(ISNUMBER(K65),ISNUMBER(L65)),IF(bRef=bLabA,L65-K65,K65-L65),"")</f>
        <v>0</v>
      </c>
      <c r="T65" s="71">
        <f>IF(AND(ISNUMBER(M65),ISNUMBER(N65)),IF(bRef=bLabA,N65-M65,M65-N65),"")</f>
        <v>0</v>
      </c>
      <c r="U65" s="73">
        <f>IF(AND(ISNUMBER(E65),ISNUMBER(F65)),SUMPRODUCT(ISNUMBER(E$45:E65)*ISNUMBER(F$45:F65)),"")</f>
        <v>0</v>
      </c>
      <c r="V65" s="73">
        <f>IF(AND(ISNUMBER(G65),ISNUMBER(H65)),SUMPRODUCT(ISNUMBER(G$45:G65)*ISNUMBER(H$45:H65)),"")</f>
        <v>0</v>
      </c>
      <c r="W65" s="73">
        <f>IF(AND(ISNUMBER(I65),ISNUMBER(J65)),SUMPRODUCT(ISNUMBER(I$45:I65)*ISNUMBER(J$45:J65)),"")</f>
        <v>0</v>
      </c>
      <c r="X65" s="73">
        <f>IF(AND(ISNUMBER(K65),ISNUMBER(L65)),SUMPRODUCT(ISNUMBER(K$45:K65)*ISNUMBER(L$45:L65)),"")</f>
        <v>0</v>
      </c>
      <c r="Y65" s="73">
        <f>IF(AND(ISNUMBER(M65),ISNUMBER(N65)),SUMPRODUCT(ISNUMBER(M$45:M65)*ISNUMBER(N$45:N65)),"")</f>
        <v>0</v>
      </c>
    </row>
    <row r="66" spans="2:25" ht="18" customHeight="1">
      <c r="B66" s="58">
        <v>22</v>
      </c>
      <c r="C66" s="59">
        <f>IF(AND(ISNUMBER(gJanU),22&lt;=bNHor),gJanU+21/12+cfgMinAntes/1440,"")</f>
        <v>0</v>
      </c>
      <c r="D66" s="60">
        <f>IF(ISNUMBER(C66),IF(ISNUMBER(gJanG),IF(22&lt;=gNG,gJanG+21/12+cfgMinAntes/1440,""),C66),"")</f>
        <v>0</v>
      </c>
      <c r="E66" s="61"/>
      <c r="F66" s="62"/>
      <c r="G66" s="63"/>
      <c r="H66" s="64"/>
      <c r="I66" s="65"/>
      <c r="J66" s="66"/>
      <c r="K66" s="67"/>
      <c r="L66" s="68"/>
      <c r="M66" s="65"/>
      <c r="N66" s="66"/>
      <c r="P66" s="69">
        <f>IF(AND(ISNUMBER(E66),ISNUMBER(F66)),IF(bRef=bLabA,F66-E66,E66-F66),"")</f>
        <v>0</v>
      </c>
      <c r="Q66" s="70">
        <f>IF(AND(ISNUMBER(G66),ISNUMBER(H66)),IF(bRef=bLabA,H66-G66,G66-H66),"")</f>
        <v>0</v>
      </c>
      <c r="R66" s="71">
        <f>IF(AND(ISNUMBER(I66),ISNUMBER(J66)),IF(bRef=bLabA,J66-I66,I66-J66),"")</f>
        <v>0</v>
      </c>
      <c r="S66" s="72">
        <f>IF(AND(ISNUMBER(K66),ISNUMBER(L66)),IF(bRef=bLabA,L66-K66,K66-L66),"")</f>
        <v>0</v>
      </c>
      <c r="T66" s="71">
        <f>IF(AND(ISNUMBER(M66),ISNUMBER(N66)),IF(bRef=bLabA,N66-M66,M66-N66),"")</f>
        <v>0</v>
      </c>
      <c r="U66" s="73">
        <f>IF(AND(ISNUMBER(E66),ISNUMBER(F66)),SUMPRODUCT(ISNUMBER(E$45:E66)*ISNUMBER(F$45:F66)),"")</f>
        <v>0</v>
      </c>
      <c r="V66" s="73">
        <f>IF(AND(ISNUMBER(G66),ISNUMBER(H66)),SUMPRODUCT(ISNUMBER(G$45:G66)*ISNUMBER(H$45:H66)),"")</f>
        <v>0</v>
      </c>
      <c r="W66" s="73">
        <f>IF(AND(ISNUMBER(I66),ISNUMBER(J66)),SUMPRODUCT(ISNUMBER(I$45:I66)*ISNUMBER(J$45:J66)),"")</f>
        <v>0</v>
      </c>
      <c r="X66" s="73">
        <f>IF(AND(ISNUMBER(K66),ISNUMBER(L66)),SUMPRODUCT(ISNUMBER(K$45:K66)*ISNUMBER(L$45:L66)),"")</f>
        <v>0</v>
      </c>
      <c r="Y66" s="73">
        <f>IF(AND(ISNUMBER(M66),ISNUMBER(N66)),SUMPRODUCT(ISNUMBER(M$45:M66)*ISNUMBER(N$45:N66)),"")</f>
        <v>0</v>
      </c>
    </row>
    <row r="67" spans="2:25" ht="18" customHeight="1">
      <c r="B67" s="58">
        <v>23</v>
      </c>
      <c r="C67" s="59">
        <f>IF(AND(ISNUMBER(gJanU),23&lt;=bNHor),gJanU+22/12+cfgMinAntes/1440,"")</f>
        <v>0</v>
      </c>
      <c r="D67" s="60">
        <f>IF(ISNUMBER(C67),IF(ISNUMBER(gJanG),IF(23&lt;=gNG,gJanG+22/12+cfgMinAntes/1440,""),C67),"")</f>
        <v>0</v>
      </c>
      <c r="E67" s="61"/>
      <c r="F67" s="62"/>
      <c r="G67" s="63"/>
      <c r="H67" s="64"/>
      <c r="I67" s="65"/>
      <c r="J67" s="66"/>
      <c r="K67" s="67"/>
      <c r="L67" s="68"/>
      <c r="M67" s="65"/>
      <c r="N67" s="66"/>
      <c r="P67" s="69">
        <f>IF(AND(ISNUMBER(E67),ISNUMBER(F67)),IF(bRef=bLabA,F67-E67,E67-F67),"")</f>
        <v>0</v>
      </c>
      <c r="Q67" s="70">
        <f>IF(AND(ISNUMBER(G67),ISNUMBER(H67)),IF(bRef=bLabA,H67-G67,G67-H67),"")</f>
        <v>0</v>
      </c>
      <c r="R67" s="71">
        <f>IF(AND(ISNUMBER(I67),ISNUMBER(J67)),IF(bRef=bLabA,J67-I67,I67-J67),"")</f>
        <v>0</v>
      </c>
      <c r="S67" s="72">
        <f>IF(AND(ISNUMBER(K67),ISNUMBER(L67)),IF(bRef=bLabA,L67-K67,K67-L67),"")</f>
        <v>0</v>
      </c>
      <c r="T67" s="71">
        <f>IF(AND(ISNUMBER(M67),ISNUMBER(N67)),IF(bRef=bLabA,N67-M67,M67-N67),"")</f>
        <v>0</v>
      </c>
      <c r="U67" s="73">
        <f>IF(AND(ISNUMBER(E67),ISNUMBER(F67)),SUMPRODUCT(ISNUMBER(E$45:E67)*ISNUMBER(F$45:F67)),"")</f>
        <v>0</v>
      </c>
      <c r="V67" s="73">
        <f>IF(AND(ISNUMBER(G67),ISNUMBER(H67)),SUMPRODUCT(ISNUMBER(G$45:G67)*ISNUMBER(H$45:H67)),"")</f>
        <v>0</v>
      </c>
      <c r="W67" s="73">
        <f>IF(AND(ISNUMBER(I67),ISNUMBER(J67)),SUMPRODUCT(ISNUMBER(I$45:I67)*ISNUMBER(J$45:J67)),"")</f>
        <v>0</v>
      </c>
      <c r="X67" s="73">
        <f>IF(AND(ISNUMBER(K67),ISNUMBER(L67)),SUMPRODUCT(ISNUMBER(K$45:K67)*ISNUMBER(L$45:L67)),"")</f>
        <v>0</v>
      </c>
      <c r="Y67" s="73">
        <f>IF(AND(ISNUMBER(M67),ISNUMBER(N67)),SUMPRODUCT(ISNUMBER(M$45:M67)*ISNUMBER(N$45:N67)),"")</f>
        <v>0</v>
      </c>
    </row>
    <row r="68" spans="2:25" ht="18" customHeight="1">
      <c r="B68" s="58">
        <v>24</v>
      </c>
      <c r="C68" s="59">
        <f>IF(AND(ISNUMBER(gJanU),24&lt;=bNHor),gJanU+23/12+cfgMinAntes/1440,"")</f>
        <v>0</v>
      </c>
      <c r="D68" s="60">
        <f>IF(ISNUMBER(C68),IF(ISNUMBER(gJanG),IF(24&lt;=gNG,gJanG+23/12+cfgMinAntes/1440,""),C68),"")</f>
        <v>0</v>
      </c>
      <c r="E68" s="61"/>
      <c r="F68" s="62"/>
      <c r="G68" s="63"/>
      <c r="H68" s="64"/>
      <c r="I68" s="65"/>
      <c r="J68" s="66"/>
      <c r="K68" s="67"/>
      <c r="L68" s="68"/>
      <c r="M68" s="65"/>
      <c r="N68" s="66"/>
      <c r="P68" s="69">
        <f>IF(AND(ISNUMBER(E68),ISNUMBER(F68)),IF(bRef=bLabA,F68-E68,E68-F68),"")</f>
        <v>0</v>
      </c>
      <c r="Q68" s="70">
        <f>IF(AND(ISNUMBER(G68),ISNUMBER(H68)),IF(bRef=bLabA,H68-G68,G68-H68),"")</f>
        <v>0</v>
      </c>
      <c r="R68" s="71">
        <f>IF(AND(ISNUMBER(I68),ISNUMBER(J68)),IF(bRef=bLabA,J68-I68,I68-J68),"")</f>
        <v>0</v>
      </c>
      <c r="S68" s="72">
        <f>IF(AND(ISNUMBER(K68),ISNUMBER(L68)),IF(bRef=bLabA,L68-K68,K68-L68),"")</f>
        <v>0</v>
      </c>
      <c r="T68" s="71">
        <f>IF(AND(ISNUMBER(M68),ISNUMBER(N68)),IF(bRef=bLabA,N68-M68,M68-N68),"")</f>
        <v>0</v>
      </c>
      <c r="U68" s="73">
        <f>IF(AND(ISNUMBER(E68),ISNUMBER(F68)),SUMPRODUCT(ISNUMBER(E$45:E68)*ISNUMBER(F$45:F68)),"")</f>
        <v>0</v>
      </c>
      <c r="V68" s="73">
        <f>IF(AND(ISNUMBER(G68),ISNUMBER(H68)),SUMPRODUCT(ISNUMBER(G$45:G68)*ISNUMBER(H$45:H68)),"")</f>
        <v>0</v>
      </c>
      <c r="W68" s="73">
        <f>IF(AND(ISNUMBER(I68),ISNUMBER(J68)),SUMPRODUCT(ISNUMBER(I$45:I68)*ISNUMBER(J$45:J68)),"")</f>
        <v>0</v>
      </c>
      <c r="X68" s="73">
        <f>IF(AND(ISNUMBER(K68),ISNUMBER(L68)),SUMPRODUCT(ISNUMBER(K$45:K68)*ISNUMBER(L$45:L68)),"")</f>
        <v>0</v>
      </c>
      <c r="Y68" s="73">
        <f>IF(AND(ISNUMBER(M68),ISNUMBER(N68)),SUMPRODUCT(ISNUMBER(M$45:M68)*ISNUMBER(N$45:N68)),"")</f>
        <v>0</v>
      </c>
    </row>
    <row r="69" spans="2:25" ht="18" customHeight="1">
      <c r="B69" s="74" t="s">
        <v>133</v>
      </c>
      <c r="C69" s="74"/>
      <c r="D69" s="74"/>
      <c r="E69" s="75">
        <f>IF(COUNT(E45:E68)=0,"",AVERAGE(E45:E68))</f>
        <v>0</v>
      </c>
      <c r="F69" s="75">
        <f>IF(COUNT(F45:F68)=0,"",AVERAGE(F45:F68))</f>
        <v>0</v>
      </c>
      <c r="G69" s="76">
        <f>IF(COUNT(G45:G68)=0,"",AVERAGE(G45:G68))</f>
        <v>0</v>
      </c>
      <c r="H69" s="76">
        <f>IF(COUNT(H45:H68)=0,"",AVERAGE(H45:H68))</f>
        <v>0</v>
      </c>
      <c r="I69" s="77">
        <f>IF(COUNT(I45:I68)=0,"",AVERAGE(I45:I68))</f>
        <v>0</v>
      </c>
      <c r="J69" s="77">
        <f>IF(COUNT(J45:J68)=0,"",AVERAGE(J45:J68))</f>
        <v>0</v>
      </c>
      <c r="K69" s="78">
        <f>IF(COUNT(K45:K68)=0,"",AVERAGE(K45:K68))</f>
        <v>0</v>
      </c>
      <c r="L69" s="78">
        <f>IF(COUNT(L45:L68)=0,"",AVERAGE(L45:L68))</f>
        <v>0</v>
      </c>
      <c r="M69" s="77">
        <f>IF(COUNT(M45:M68)=0,"",AVERAGE(M45:M68))</f>
        <v>0</v>
      </c>
      <c r="N69" s="77">
        <f>IF(COUNT(N45:N68)=0,"",AVERAGE(N45:N68))</f>
        <v>0</v>
      </c>
      <c r="P69" s="79">
        <f>IF(AND(ISNUMBER(E69),ISNUMBER(F69)),IF(bRef=bLabA,F69-E69,E69-F69),"")</f>
        <v>0</v>
      </c>
      <c r="Q69" s="80">
        <f>IF(AND(ISNUMBER(G69),ISNUMBER(H69)),IF(bRef=bLabA,H69-G69,G69-H69),"")</f>
        <v>0</v>
      </c>
      <c r="R69" s="81">
        <f>IF(AND(ISNUMBER(I69),ISNUMBER(J69)),IF(bRef=bLabA,J69-I69,I69-J69),"")</f>
        <v>0</v>
      </c>
      <c r="S69" s="82">
        <f>IF(AND(ISNUMBER(K69),ISNUMBER(L69)),IF(bRef=bLabA,L69-K69,K69-L69),"")</f>
        <v>0</v>
      </c>
      <c r="T69" s="81">
        <f>IF(AND(ISNUMBER(M69),ISNUMBER(N69)),IF(bRef=bLabA,N69-M69,M69-N69),"")</f>
        <v>0</v>
      </c>
    </row>
    <row r="70" spans="2:25" ht="18" customHeight="1">
      <c r="B70" s="83" t="s">
        <v>134</v>
      </c>
      <c r="C70" s="83"/>
      <c r="D70" s="83"/>
      <c r="E70" s="83">
        <f>COUNT(E45:E68)</f>
        <v>0</v>
      </c>
      <c r="F70" s="83">
        <f>COUNT(F45:F68)</f>
        <v>0</v>
      </c>
      <c r="G70" s="83">
        <f>COUNT(G45:G68)</f>
        <v>0</v>
      </c>
      <c r="H70" s="83">
        <f>COUNT(H45:H68)</f>
        <v>0</v>
      </c>
      <c r="I70" s="83">
        <f>COUNT(I45:I68)</f>
        <v>0</v>
      </c>
      <c r="J70" s="83">
        <f>COUNT(J45:J68)</f>
        <v>0</v>
      </c>
      <c r="K70" s="83">
        <f>COUNT(K45:K68)</f>
        <v>0</v>
      </c>
      <c r="L70" s="83">
        <f>COUNT(L45:L68)</f>
        <v>0</v>
      </c>
      <c r="M70" s="83">
        <f>COUNT(M45:M68)</f>
        <v>0</v>
      </c>
      <c r="N70" s="83">
        <f>COUNT(N45:N68)</f>
        <v>0</v>
      </c>
      <c r="P70" s="83">
        <f>COUNT(P45:P68)</f>
        <v>0</v>
      </c>
      <c r="Q70" s="83">
        <f>COUNT(Q45:Q68)</f>
        <v>0</v>
      </c>
      <c r="R70" s="83">
        <f>COUNT(R45:R68)</f>
        <v>0</v>
      </c>
      <c r="S70" s="83">
        <f>COUNT(S45:S68)</f>
        <v>0</v>
      </c>
      <c r="T70" s="83">
        <f>COUNT(T45:T68)</f>
        <v>0</v>
      </c>
    </row>
    <row r="72" spans="2:25" ht="22" customHeight="1">
      <c r="B72" s="34" t="s">
        <v>135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2:25" ht="18" customHeight="1">
      <c r="B73" s="84" t="s">
        <v>136</v>
      </c>
      <c r="C73" s="84"/>
      <c r="D73" s="84" t="s">
        <v>137</v>
      </c>
      <c r="E73" s="84" t="s">
        <v>138</v>
      </c>
      <c r="F73" s="84"/>
      <c r="G73" s="84" t="s">
        <v>141</v>
      </c>
      <c r="H73" s="84"/>
      <c r="I73" s="84" t="s">
        <v>142</v>
      </c>
      <c r="J73" s="84"/>
      <c r="K73" s="84"/>
      <c r="L73" s="85" t="s">
        <v>143</v>
      </c>
      <c r="M73" s="85"/>
      <c r="N73" s="85"/>
    </row>
    <row r="74" spans="2:25" ht="18" customHeight="1">
      <c r="B74" s="52">
        <f>padLabA</f>
        <v>0</v>
      </c>
      <c r="C74" s="52"/>
      <c r="D74" s="52">
        <f>padLabB</f>
        <v>0</v>
      </c>
      <c r="E74" s="52">
        <f>padRef</f>
        <v>0</v>
      </c>
      <c r="F74" s="52"/>
      <c r="G74" s="86">
        <f>IF(bRef=bLabA,bLabB&amp;" − "&amp;bLabA,bLabA&amp;" − "&amp;bLabB)</f>
        <v>0</v>
      </c>
      <c r="H74" s="86"/>
      <c r="I74" s="87"/>
      <c r="J74" s="87"/>
      <c r="K74" s="87"/>
      <c r="L74" s="85"/>
      <c r="M74" s="85"/>
      <c r="N74" s="85"/>
    </row>
    <row r="75" spans="2:25" ht="18" customHeight="1">
      <c r="B75" s="84" t="s">
        <v>139</v>
      </c>
      <c r="C75" s="84"/>
      <c r="D75" s="84"/>
      <c r="E75" s="84"/>
      <c r="F75" s="84"/>
      <c r="G75" s="84" t="s">
        <v>140</v>
      </c>
      <c r="H75" s="84"/>
      <c r="I75" s="84"/>
      <c r="J75" s="84"/>
      <c r="K75" s="84"/>
      <c r="L75" s="84"/>
      <c r="M75" s="84"/>
      <c r="N75" s="84"/>
    </row>
    <row r="76" spans="2:25" ht="18" customHeight="1">
      <c r="B76" s="88">
        <f>padTit</f>
        <v>0</v>
      </c>
      <c r="C76" s="88"/>
      <c r="D76" s="88"/>
      <c r="E76" s="88"/>
      <c r="F76" s="88"/>
      <c r="G76" s="88">
        <f>padSub</f>
        <v>0</v>
      </c>
      <c r="H76" s="88"/>
      <c r="I76" s="88"/>
      <c r="J76" s="88"/>
      <c r="K76" s="88"/>
      <c r="L76" s="88"/>
      <c r="M76" s="88"/>
      <c r="N76" s="88"/>
    </row>
    <row r="77" spans="2:25" ht="18" customHeight="1">
      <c r="B77" s="84" t="s">
        <v>144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</row>
    <row r="78" spans="2:25" ht="18" customHeight="1">
      <c r="B78" s="84" t="s">
        <v>145</v>
      </c>
      <c r="C78" s="84"/>
      <c r="D78" s="84" t="s">
        <v>146</v>
      </c>
      <c r="E78" s="84" t="s">
        <v>147</v>
      </c>
      <c r="F78" s="84"/>
      <c r="G78" s="84" t="s">
        <v>148</v>
      </c>
      <c r="H78" s="84"/>
      <c r="I78" s="84" t="s">
        <v>149</v>
      </c>
      <c r="J78" s="84"/>
    </row>
    <row r="79" spans="2:25" ht="18" customHeight="1">
      <c r="B79" s="89">
        <f>padTol_SE</f>
        <v>0</v>
      </c>
      <c r="C79" s="89"/>
      <c r="D79" s="90">
        <f>padTol_325</f>
        <v>0</v>
      </c>
      <c r="E79" s="91">
        <f>padTol_SiO2</f>
        <v>0</v>
      </c>
      <c r="F79" s="91"/>
      <c r="G79" s="92">
        <f>padTol_P</f>
        <v>0</v>
      </c>
      <c r="H79" s="92"/>
      <c r="I79" s="91">
        <f>padTol_PPC</f>
        <v>0</v>
      </c>
      <c r="J79" s="91"/>
    </row>
  </sheetData>
  <sheetProtection sheet="1" objects="1" scenarios="1" formatColumns="0" formatRows="0"/>
  <mergeCells count="77">
    <mergeCell ref="B2:T2"/>
    <mergeCell ref="B3:T3"/>
    <mergeCell ref="B5:F5"/>
    <mergeCell ref="B6:C6"/>
    <mergeCell ref="D6:F6"/>
    <mergeCell ref="B8:F8"/>
    <mergeCell ref="B9:F9"/>
    <mergeCell ref="B15:F15"/>
    <mergeCell ref="B16:F16"/>
    <mergeCell ref="B17:C17"/>
    <mergeCell ref="D17:F17"/>
    <mergeCell ref="B18:C18"/>
    <mergeCell ref="D18:F18"/>
    <mergeCell ref="B20:F20"/>
    <mergeCell ref="B21:C21"/>
    <mergeCell ref="D21:F21"/>
    <mergeCell ref="B22:C22"/>
    <mergeCell ref="D22:F22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F30"/>
    <mergeCell ref="H5:N15"/>
    <mergeCell ref="B32:N32"/>
    <mergeCell ref="B33:C33"/>
    <mergeCell ref="D33:L33"/>
    <mergeCell ref="B34:C34"/>
    <mergeCell ref="D34:L34"/>
    <mergeCell ref="B35:C35"/>
    <mergeCell ref="D35:N35"/>
    <mergeCell ref="B36:C36"/>
    <mergeCell ref="D36:N36"/>
    <mergeCell ref="B37:C37"/>
    <mergeCell ref="D37:N37"/>
    <mergeCell ref="B38:C38"/>
    <mergeCell ref="D38:N38"/>
    <mergeCell ref="B39:C39"/>
    <mergeCell ref="D39:N39"/>
    <mergeCell ref="B40:C40"/>
    <mergeCell ref="D40:N40"/>
    <mergeCell ref="B43:T43"/>
    <mergeCell ref="B69:D69"/>
    <mergeCell ref="B70:D70"/>
    <mergeCell ref="B72:N72"/>
    <mergeCell ref="B73:C73"/>
    <mergeCell ref="B74:C74"/>
    <mergeCell ref="E73:F73"/>
    <mergeCell ref="E74:F74"/>
    <mergeCell ref="B75:F75"/>
    <mergeCell ref="B76:F76"/>
    <mergeCell ref="G75:N75"/>
    <mergeCell ref="G76:N76"/>
    <mergeCell ref="G73:H73"/>
    <mergeCell ref="G74:H74"/>
    <mergeCell ref="I73:K73"/>
    <mergeCell ref="I74:K74"/>
    <mergeCell ref="L73:N74"/>
    <mergeCell ref="B77:N77"/>
    <mergeCell ref="B78:C78"/>
    <mergeCell ref="B79:C79"/>
    <mergeCell ref="E78:F78"/>
    <mergeCell ref="E79:F79"/>
    <mergeCell ref="G78:H78"/>
    <mergeCell ref="G79:H79"/>
    <mergeCell ref="I78:J78"/>
    <mergeCell ref="I79:J79"/>
  </mergeCells>
  <conditionalFormatting sqref="B45:D68">
    <cfRule type="expression" dxfId="1" priority="6">
      <formula>$B45&gt;bNHor</formula>
    </cfRule>
  </conditionalFormatting>
  <conditionalFormatting sqref="P45:P69">
    <cfRule type="expression" dxfId="0" priority="1">
      <formula>AND(ISNUMBER(P45),ABS(ROUND(P45,0))&gt;bTol_SE+1E-9)</formula>
    </cfRule>
  </conditionalFormatting>
  <conditionalFormatting sqref="Q45:Q69">
    <cfRule type="expression" dxfId="0" priority="2">
      <formula>AND(ISNUMBER(Q45),ABS(ROUND(Q45,1))&gt;bTol_325+1E-9)</formula>
    </cfRule>
  </conditionalFormatting>
  <conditionalFormatting sqref="R45:R69">
    <cfRule type="expression" dxfId="0" priority="3">
      <formula>AND(ISNUMBER(R45),ABS(ROUND(R45,2))&gt;bTol_SiO2+1E-9)</formula>
    </cfRule>
  </conditionalFormatting>
  <conditionalFormatting sqref="S45:S69">
    <cfRule type="expression" dxfId="0" priority="4">
      <formula>AND(ISNUMBER(S45),ABS(ROUND(S45,3))&gt;bTol_P+1E-9)</formula>
    </cfRule>
  </conditionalFormatting>
  <conditionalFormatting sqref="T45:T69">
    <cfRule type="expression" dxfId="0" priority="5">
      <formula>AND(ISNUMBER(T45),ABS(ROUND(T45,2))&gt;bTol_PPC+1E-9)</formula>
    </cfRule>
  </conditionalFormatting>
  <dataValidations count="6">
    <dataValidation type="list" allowBlank="1" showInputMessage="1" showErrorMessage="1" sqref="D17">
      <formula1>lstNivel</formula1>
    </dataValidation>
    <dataValidation type="whole" allowBlank="1" showInputMessage="1" showErrorMessage="1" error="Entre 1 e 24 horários." sqref="D26">
      <formula1>1</formula1>
      <formula2>24</formula2>
    </dataValidation>
    <dataValidation type="list" allowBlank="1" showInputMessage="1" showErrorMessage="1" sqref="D29">
      <formula1>lstMin</formula1>
    </dataValidation>
    <dataValidation type="list" allowBlank="1" showInputMessage="1" showErrorMessage="1" sqref="N33">
      <formula1>lstSimNao</formula1>
    </dataValidation>
    <dataValidation type="list" allowBlank="1" showInputMessage="1" showErrorMessage="1" sqref="N34">
      <formula1>lstSimNao</formula1>
    </dataValidation>
    <dataValidation type="list" allowBlank="1" showInputMessage="1" showErrorMessage="1" sqref="E74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244</v>
      </c>
      <c r="C2" s="7"/>
      <c r="D2" s="7"/>
    </row>
    <row r="3" spans="2:4" ht="22" customHeight="1">
      <c r="B3" s="33" t="s">
        <v>245</v>
      </c>
      <c r="C3" s="33"/>
      <c r="D3" s="33"/>
    </row>
    <row r="5" spans="2:4" ht="22" customHeight="1">
      <c r="B5" s="34" t="s">
        <v>246</v>
      </c>
    </row>
    <row r="6" spans="2:4">
      <c r="B6" s="93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3"/>
    </row>
    <row r="8" spans="2:4">
      <c r="B8" s="93"/>
    </row>
    <row r="9" spans="2:4">
      <c r="B9" s="93"/>
    </row>
    <row r="10" spans="2:4">
      <c r="B10" s="93"/>
    </row>
    <row r="11" spans="2:4">
      <c r="B11" s="93"/>
    </row>
    <row r="12" spans="2:4">
      <c r="B12" s="93"/>
    </row>
    <row r="13" spans="2:4">
      <c r="B13" s="93"/>
    </row>
    <row r="14" spans="2:4">
      <c r="B14" s="93"/>
    </row>
    <row r="15" spans="2:4">
      <c r="B15" s="93"/>
    </row>
    <row r="16" spans="2:4">
      <c r="B16" s="93"/>
    </row>
    <row r="17" spans="2:4">
      <c r="B17" s="93"/>
    </row>
    <row r="18" spans="2:4">
      <c r="B18" s="93"/>
    </row>
    <row r="19" spans="2:4">
      <c r="B19" s="93"/>
    </row>
    <row r="20" spans="2:4">
      <c r="B20" s="93"/>
      <c r="D20" s="94" t="s">
        <v>248</v>
      </c>
    </row>
    <row r="21" spans="2:4">
      <c r="B21" s="93"/>
      <c r="D21" s="94"/>
    </row>
    <row r="22" spans="2:4">
      <c r="B22" s="93"/>
      <c r="D22" s="94"/>
    </row>
    <row r="23" spans="2:4">
      <c r="B23" s="93"/>
      <c r="D23" s="94"/>
    </row>
    <row r="24" spans="2:4">
      <c r="B24" s="93"/>
      <c r="D24" s="94"/>
    </row>
    <row r="25" spans="2:4">
      <c r="B25" s="93"/>
      <c r="D25" s="94"/>
    </row>
    <row r="26" spans="2:4">
      <c r="B26" s="95" t="s">
        <v>247</v>
      </c>
    </row>
    <row r="27" spans="2:4">
      <c r="B27" s="96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249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33" t="s">
        <v>250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55" ht="22" customHeight="1"/>
    <row r="5" spans="2:55" ht="18" customHeight="1">
      <c r="K5" s="97" t="s">
        <v>251</v>
      </c>
    </row>
    <row r="7" spans="2:55" ht="30" customHeight="1">
      <c r="B7" t="s">
        <v>252</v>
      </c>
      <c r="C7" t="s">
        <v>107</v>
      </c>
      <c r="D7" t="s">
        <v>64</v>
      </c>
      <c r="E7" t="s">
        <v>253</v>
      </c>
      <c r="F7" t="s">
        <v>254</v>
      </c>
      <c r="G7" t="s">
        <v>97</v>
      </c>
      <c r="H7" t="s">
        <v>255</v>
      </c>
      <c r="I7" t="s">
        <v>256</v>
      </c>
      <c r="J7" t="s">
        <v>257</v>
      </c>
      <c r="K7" t="s">
        <v>258</v>
      </c>
      <c r="L7" t="s">
        <v>259</v>
      </c>
      <c r="M7" t="s">
        <v>260</v>
      </c>
      <c r="N7" t="s">
        <v>176</v>
      </c>
      <c r="O7" t="s">
        <v>261</v>
      </c>
      <c r="P7" t="s">
        <v>69</v>
      </c>
      <c r="Q7" t="s">
        <v>262</v>
      </c>
      <c r="R7" t="s">
        <v>263</v>
      </c>
      <c r="S7" t="s">
        <v>264</v>
      </c>
      <c r="T7" t="s">
        <v>265</v>
      </c>
      <c r="U7" t="s">
        <v>266</v>
      </c>
      <c r="V7" t="s">
        <v>110</v>
      </c>
      <c r="W7" t="s">
        <v>267</v>
      </c>
      <c r="X7" t="s">
        <v>268</v>
      </c>
      <c r="Y7" t="s">
        <v>269</v>
      </c>
      <c r="Z7" t="s">
        <v>270</v>
      </c>
      <c r="AA7" t="s">
        <v>271</v>
      </c>
      <c r="AB7" t="s">
        <v>272</v>
      </c>
      <c r="AC7" t="s">
        <v>273</v>
      </c>
      <c r="AD7" t="s">
        <v>274</v>
      </c>
      <c r="AE7" t="s">
        <v>275</v>
      </c>
      <c r="AF7" t="s">
        <v>276</v>
      </c>
      <c r="AG7" t="s">
        <v>277</v>
      </c>
      <c r="AH7" t="s">
        <v>278</v>
      </c>
      <c r="AI7" t="s">
        <v>279</v>
      </c>
      <c r="AJ7" t="s">
        <v>280</v>
      </c>
      <c r="AK7" t="s">
        <v>281</v>
      </c>
      <c r="AL7" t="s">
        <v>282</v>
      </c>
      <c r="AM7" t="s">
        <v>283</v>
      </c>
      <c r="AN7" t="s">
        <v>284</v>
      </c>
      <c r="AO7" t="s">
        <v>285</v>
      </c>
      <c r="AP7" t="s">
        <v>286</v>
      </c>
      <c r="AQ7" t="s">
        <v>287</v>
      </c>
      <c r="AR7" t="s">
        <v>288</v>
      </c>
      <c r="AS7" t="s">
        <v>289</v>
      </c>
      <c r="AT7" t="s">
        <v>290</v>
      </c>
      <c r="AU7" t="s">
        <v>291</v>
      </c>
      <c r="AV7" t="s">
        <v>292</v>
      </c>
      <c r="AW7" t="s">
        <v>293</v>
      </c>
      <c r="AX7" t="s">
        <v>294</v>
      </c>
      <c r="AY7" t="s">
        <v>295</v>
      </c>
      <c r="AZ7" t="s">
        <v>296</v>
      </c>
      <c r="BA7" t="s">
        <v>297</v>
      </c>
      <c r="BB7" t="s">
        <v>298</v>
      </c>
      <c r="BC7" t="s">
        <v>299</v>
      </c>
    </row>
    <row r="8" spans="2:55">
      <c r="B8" s="98">
        <v>286</v>
      </c>
      <c r="C8" s="99">
        <v>46309</v>
      </c>
      <c r="D8" s="98" t="s">
        <v>65</v>
      </c>
      <c r="E8" s="100"/>
      <c r="F8" s="100"/>
      <c r="G8" s="98" t="s">
        <v>58</v>
      </c>
      <c r="H8" s="100">
        <v>46309.625</v>
      </c>
      <c r="I8" s="100"/>
      <c r="J8" s="100"/>
      <c r="K8" s="98">
        <v>13</v>
      </c>
      <c r="L8" s="98" t="s">
        <v>13</v>
      </c>
      <c r="M8" s="98" t="s">
        <v>17</v>
      </c>
      <c r="N8" s="98" t="s">
        <v>13</v>
      </c>
      <c r="O8" s="98" t="s">
        <v>68</v>
      </c>
      <c r="P8" s="98" t="s">
        <v>70</v>
      </c>
      <c r="Q8" s="101">
        <v>150</v>
      </c>
      <c r="R8" s="101">
        <v>1</v>
      </c>
      <c r="S8" s="101">
        <v>0.19</v>
      </c>
      <c r="T8" s="101">
        <v>0.003</v>
      </c>
      <c r="U8" s="101">
        <v>0.08</v>
      </c>
      <c r="V8" s="98" t="s">
        <v>87</v>
      </c>
      <c r="W8" s="98" t="s">
        <v>87</v>
      </c>
      <c r="X8" s="98" t="s">
        <v>72</v>
      </c>
      <c r="Y8" s="98"/>
      <c r="Z8" s="98"/>
      <c r="AA8" s="98"/>
      <c r="AB8" s="98"/>
      <c r="AC8" s="98"/>
      <c r="AD8" s="101">
        <v>2004.769230769231</v>
      </c>
      <c r="AE8" s="101"/>
      <c r="AF8" s="101"/>
      <c r="AG8" s="98" t="s">
        <v>300</v>
      </c>
      <c r="AH8" s="101">
        <v>86.30769230769231</v>
      </c>
      <c r="AI8" s="101"/>
      <c r="AJ8" s="101"/>
      <c r="AK8" s="98" t="s">
        <v>300</v>
      </c>
      <c r="AL8" s="101">
        <v>1.657692307692308</v>
      </c>
      <c r="AM8" s="101"/>
      <c r="AN8" s="101"/>
      <c r="AO8" s="98" t="s">
        <v>300</v>
      </c>
      <c r="AP8" s="101">
        <v>0.05753846153846155</v>
      </c>
      <c r="AQ8" s="101"/>
      <c r="AR8" s="101"/>
      <c r="AS8" s="98" t="s">
        <v>300</v>
      </c>
      <c r="AT8" s="101">
        <v>3.566153846153846</v>
      </c>
      <c r="AU8" s="101"/>
      <c r="AV8" s="101"/>
      <c r="AW8" s="98" t="s">
        <v>300</v>
      </c>
      <c r="AX8" s="100">
        <v>46309.625</v>
      </c>
      <c r="AY8" s="98"/>
      <c r="AZ8" s="98">
        <v>0</v>
      </c>
      <c r="BA8" s="98">
        <v>13</v>
      </c>
      <c r="BB8" s="100">
        <v>46309.5</v>
      </c>
      <c r="BC8" s="98" t="s">
        <v>301</v>
      </c>
    </row>
    <row r="9" spans="2:55">
      <c r="B9" s="98">
        <v>288</v>
      </c>
      <c r="C9" s="99">
        <v>46301</v>
      </c>
      <c r="D9" s="98" t="s">
        <v>65</v>
      </c>
      <c r="E9" s="100"/>
      <c r="F9" s="100"/>
      <c r="G9" s="98" t="s">
        <v>58</v>
      </c>
      <c r="H9" s="100">
        <v>46301.95833333334</v>
      </c>
      <c r="I9" s="100"/>
      <c r="J9" s="100"/>
      <c r="K9" s="98">
        <v>11</v>
      </c>
      <c r="L9" s="98" t="s">
        <v>13</v>
      </c>
      <c r="M9" s="98" t="s">
        <v>17</v>
      </c>
      <c r="N9" s="98" t="s">
        <v>13</v>
      </c>
      <c r="O9" s="98" t="s">
        <v>68</v>
      </c>
      <c r="P9" s="98" t="s">
        <v>70</v>
      </c>
      <c r="Q9" s="101">
        <v>150</v>
      </c>
      <c r="R9" s="101">
        <v>1</v>
      </c>
      <c r="S9" s="101">
        <v>0.19</v>
      </c>
      <c r="T9" s="101">
        <v>0.003</v>
      </c>
      <c r="U9" s="101">
        <v>0.08</v>
      </c>
      <c r="V9" s="98" t="s">
        <v>87</v>
      </c>
      <c r="W9" s="98" t="s">
        <v>87</v>
      </c>
      <c r="X9" s="98" t="s">
        <v>72</v>
      </c>
      <c r="Y9" s="98"/>
      <c r="Z9" s="98"/>
      <c r="AA9" s="98"/>
      <c r="AB9" s="98"/>
      <c r="AC9" s="98"/>
      <c r="AD9" s="101">
        <v>2173.272727272727</v>
      </c>
      <c r="AE9" s="101">
        <v>1981.636363636364</v>
      </c>
      <c r="AF9" s="101">
        <v>-191.6363636363637</v>
      </c>
      <c r="AG9" s="98" t="s">
        <v>169</v>
      </c>
      <c r="AH9" s="101">
        <v>87.31818181818181</v>
      </c>
      <c r="AI9" s="101">
        <v>87.175</v>
      </c>
      <c r="AJ9" s="101">
        <v>-0.1431818181818159</v>
      </c>
      <c r="AK9" s="98" t="s">
        <v>170</v>
      </c>
      <c r="AL9" s="101">
        <v>2.176363636363636</v>
      </c>
      <c r="AM9" s="101">
        <v>2.085</v>
      </c>
      <c r="AN9" s="101">
        <v>-0.09136363636363631</v>
      </c>
      <c r="AO9" s="98" t="s">
        <v>170</v>
      </c>
      <c r="AP9" s="101">
        <v>0.05927272727272726</v>
      </c>
      <c r="AQ9" s="101">
        <v>0.0565</v>
      </c>
      <c r="AR9" s="101">
        <v>-0.00277272727272726</v>
      </c>
      <c r="AS9" s="98" t="s">
        <v>170</v>
      </c>
      <c r="AT9" s="101">
        <v>3.782727272727273</v>
      </c>
      <c r="AU9" s="101">
        <v>3.81</v>
      </c>
      <c r="AV9" s="101">
        <v>0.02727272727272734</v>
      </c>
      <c r="AW9" s="98" t="s">
        <v>170</v>
      </c>
      <c r="AX9" s="100">
        <v>46301.95833333334</v>
      </c>
      <c r="AY9" s="98"/>
      <c r="AZ9" s="98">
        <v>1</v>
      </c>
      <c r="BA9" s="98">
        <v>11</v>
      </c>
      <c r="BB9" s="100">
        <v>46309.5</v>
      </c>
      <c r="BC9" s="98" t="s">
        <v>301</v>
      </c>
    </row>
    <row r="10" spans="2:55">
      <c r="B10" s="98">
        <v>290</v>
      </c>
      <c r="C10" s="99">
        <v>46303</v>
      </c>
      <c r="D10" s="98" t="s">
        <v>65</v>
      </c>
      <c r="E10" s="100"/>
      <c r="F10" s="100"/>
      <c r="G10" s="98" t="s">
        <v>58</v>
      </c>
      <c r="H10" s="100">
        <v>46303.45833333334</v>
      </c>
      <c r="I10" s="100"/>
      <c r="J10" s="100"/>
      <c r="K10" s="98">
        <v>14</v>
      </c>
      <c r="L10" s="98" t="s">
        <v>13</v>
      </c>
      <c r="M10" s="98" t="s">
        <v>17</v>
      </c>
      <c r="N10" s="98" t="s">
        <v>13</v>
      </c>
      <c r="O10" s="98" t="s">
        <v>68</v>
      </c>
      <c r="P10" s="98" t="s">
        <v>70</v>
      </c>
      <c r="Q10" s="101">
        <v>150</v>
      </c>
      <c r="R10" s="101">
        <v>1</v>
      </c>
      <c r="S10" s="101">
        <v>0.19</v>
      </c>
      <c r="T10" s="101">
        <v>0.003</v>
      </c>
      <c r="U10" s="101">
        <v>0.08</v>
      </c>
      <c r="V10" s="98" t="s">
        <v>87</v>
      </c>
      <c r="W10" s="98" t="s">
        <v>87</v>
      </c>
      <c r="X10" s="98" t="s">
        <v>72</v>
      </c>
      <c r="Y10" s="98"/>
      <c r="Z10" s="98"/>
      <c r="AA10" s="98"/>
      <c r="AB10" s="98"/>
      <c r="AC10" s="98"/>
      <c r="AD10" s="101">
        <v>2038.714285714286</v>
      </c>
      <c r="AE10" s="101">
        <v>1943.857142857143</v>
      </c>
      <c r="AF10" s="101">
        <v>-94.85714285714289</v>
      </c>
      <c r="AG10" s="98" t="s">
        <v>170</v>
      </c>
      <c r="AH10" s="101">
        <v>87.92142857142858</v>
      </c>
      <c r="AI10" s="101">
        <v>87.45999999999999</v>
      </c>
      <c r="AJ10" s="101">
        <v>-0.4614285714285842</v>
      </c>
      <c r="AK10" s="98" t="s">
        <v>170</v>
      </c>
      <c r="AL10" s="101"/>
      <c r="AM10" s="101"/>
      <c r="AN10" s="101"/>
      <c r="AO10" s="98" t="s">
        <v>300</v>
      </c>
      <c r="AP10" s="101"/>
      <c r="AQ10" s="101"/>
      <c r="AR10" s="101"/>
      <c r="AS10" s="98" t="s">
        <v>300</v>
      </c>
      <c r="AT10" s="101"/>
      <c r="AU10" s="101"/>
      <c r="AV10" s="101"/>
      <c r="AW10" s="98" t="s">
        <v>300</v>
      </c>
      <c r="AX10" s="100">
        <v>46303.45833333334</v>
      </c>
      <c r="AY10" s="98"/>
      <c r="AZ10" s="98">
        <v>0</v>
      </c>
      <c r="BA10" s="98">
        <v>14</v>
      </c>
      <c r="BB10" s="100">
        <v>46309.5</v>
      </c>
      <c r="BC10" s="98" t="s">
        <v>301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252</v>
      </c>
      <c r="B1" t="s">
        <v>302</v>
      </c>
      <c r="C1" t="s">
        <v>303</v>
      </c>
      <c r="D1" t="s">
        <v>304</v>
      </c>
      <c r="E1" t="s">
        <v>150</v>
      </c>
      <c r="F1" t="s">
        <v>13</v>
      </c>
      <c r="G1" t="s">
        <v>17</v>
      </c>
      <c r="H1" t="s">
        <v>153</v>
      </c>
      <c r="I1" t="s">
        <v>305</v>
      </c>
      <c r="J1" t="s">
        <v>155</v>
      </c>
    </row>
    <row r="2" spans="1:10">
      <c r="A2" s="98">
        <v>286</v>
      </c>
      <c r="B2" s="98">
        <v>1</v>
      </c>
      <c r="C2" s="100">
        <v>46309.64583333334</v>
      </c>
      <c r="D2" s="100"/>
      <c r="E2" s="98" t="s">
        <v>12</v>
      </c>
      <c r="F2" s="101">
        <v>2104</v>
      </c>
      <c r="G2" s="101"/>
      <c r="H2" s="101"/>
      <c r="I2" s="101">
        <v>150</v>
      </c>
      <c r="J2" s="98"/>
    </row>
    <row r="3" spans="1:10">
      <c r="A3" s="98">
        <v>286</v>
      </c>
      <c r="B3" s="98">
        <v>1</v>
      </c>
      <c r="C3" s="100">
        <v>46309.64583333334</v>
      </c>
      <c r="D3" s="100"/>
      <c r="E3" s="98" t="s">
        <v>19</v>
      </c>
      <c r="F3" s="101">
        <v>85.7</v>
      </c>
      <c r="G3" s="101"/>
      <c r="H3" s="101"/>
      <c r="I3" s="101">
        <v>1</v>
      </c>
      <c r="J3" s="98"/>
    </row>
    <row r="4" spans="1:10">
      <c r="A4" s="98">
        <v>286</v>
      </c>
      <c r="B4" s="98">
        <v>1</v>
      </c>
      <c r="C4" s="100">
        <v>46309.64583333334</v>
      </c>
      <c r="D4" s="100"/>
      <c r="E4" s="98" t="s">
        <v>22</v>
      </c>
      <c r="F4" s="101">
        <v>1.81</v>
      </c>
      <c r="G4" s="101"/>
      <c r="H4" s="101"/>
      <c r="I4" s="101">
        <v>0.19</v>
      </c>
      <c r="J4" s="98"/>
    </row>
    <row r="5" spans="1:10">
      <c r="A5" s="98">
        <v>286</v>
      </c>
      <c r="B5" s="98">
        <v>1</v>
      </c>
      <c r="C5" s="100">
        <v>46309.64583333334</v>
      </c>
      <c r="D5" s="100"/>
      <c r="E5" s="98" t="s">
        <v>25</v>
      </c>
      <c r="F5" s="101">
        <v>0.053</v>
      </c>
      <c r="G5" s="101"/>
      <c r="H5" s="101"/>
      <c r="I5" s="101">
        <v>0.003</v>
      </c>
      <c r="J5" s="98"/>
    </row>
    <row r="6" spans="1:10">
      <c r="A6" s="98">
        <v>286</v>
      </c>
      <c r="B6" s="98">
        <v>1</v>
      </c>
      <c r="C6" s="100">
        <v>46309.64583333334</v>
      </c>
      <c r="D6" s="100"/>
      <c r="E6" s="98" t="s">
        <v>28</v>
      </c>
      <c r="F6" s="101">
        <v>3.58</v>
      </c>
      <c r="G6" s="101"/>
      <c r="H6" s="101"/>
      <c r="I6" s="101">
        <v>0.08</v>
      </c>
      <c r="J6" s="98"/>
    </row>
    <row r="7" spans="1:10">
      <c r="A7" s="98">
        <v>286</v>
      </c>
      <c r="B7" s="98">
        <v>2</v>
      </c>
      <c r="C7" s="100">
        <v>46309.72916666666</v>
      </c>
      <c r="D7" s="100"/>
      <c r="E7" s="98" t="s">
        <v>12</v>
      </c>
      <c r="F7" s="101">
        <v>1983</v>
      </c>
      <c r="G7" s="101"/>
      <c r="H7" s="101"/>
      <c r="I7" s="101">
        <v>150</v>
      </c>
      <c r="J7" s="98"/>
    </row>
    <row r="8" spans="1:10">
      <c r="A8" s="98">
        <v>286</v>
      </c>
      <c r="B8" s="98">
        <v>2</v>
      </c>
      <c r="C8" s="100">
        <v>46309.72916666666</v>
      </c>
      <c r="D8" s="100"/>
      <c r="E8" s="98" t="s">
        <v>19</v>
      </c>
      <c r="F8" s="101">
        <v>86.40000000000001</v>
      </c>
      <c r="G8" s="101"/>
      <c r="H8" s="101"/>
      <c r="I8" s="101">
        <v>1</v>
      </c>
      <c r="J8" s="98"/>
    </row>
    <row r="9" spans="1:10">
      <c r="A9" s="98">
        <v>286</v>
      </c>
      <c r="B9" s="98">
        <v>2</v>
      </c>
      <c r="C9" s="100">
        <v>46309.72916666666</v>
      </c>
      <c r="D9" s="100"/>
      <c r="E9" s="98" t="s">
        <v>22</v>
      </c>
      <c r="F9" s="101">
        <v>1.44</v>
      </c>
      <c r="G9" s="101"/>
      <c r="H9" s="101"/>
      <c r="I9" s="101">
        <v>0.19</v>
      </c>
      <c r="J9" s="98"/>
    </row>
    <row r="10" spans="1:10">
      <c r="A10" s="98">
        <v>286</v>
      </c>
      <c r="B10" s="98">
        <v>2</v>
      </c>
      <c r="C10" s="100">
        <v>46309.72916666666</v>
      </c>
      <c r="D10" s="100"/>
      <c r="E10" s="98" t="s">
        <v>25</v>
      </c>
      <c r="F10" s="101">
        <v>0.052</v>
      </c>
      <c r="G10" s="101"/>
      <c r="H10" s="101"/>
      <c r="I10" s="101">
        <v>0.003</v>
      </c>
      <c r="J10" s="98"/>
    </row>
    <row r="11" spans="1:10">
      <c r="A11" s="98">
        <v>286</v>
      </c>
      <c r="B11" s="98">
        <v>2</v>
      </c>
      <c r="C11" s="100">
        <v>46309.72916666666</v>
      </c>
      <c r="D11" s="100"/>
      <c r="E11" s="98" t="s">
        <v>28</v>
      </c>
      <c r="F11" s="101">
        <v>3.57</v>
      </c>
      <c r="G11" s="101"/>
      <c r="H11" s="101"/>
      <c r="I11" s="101">
        <v>0.08</v>
      </c>
      <c r="J11" s="98"/>
    </row>
    <row r="12" spans="1:10">
      <c r="A12" s="98">
        <v>286</v>
      </c>
      <c r="B12" s="98">
        <v>3</v>
      </c>
      <c r="C12" s="100">
        <v>46309.8125</v>
      </c>
      <c r="D12" s="100"/>
      <c r="E12" s="98" t="s">
        <v>12</v>
      </c>
      <c r="F12" s="101">
        <v>1977</v>
      </c>
      <c r="G12" s="101"/>
      <c r="H12" s="101"/>
      <c r="I12" s="101">
        <v>150</v>
      </c>
      <c r="J12" s="98"/>
    </row>
    <row r="13" spans="1:10">
      <c r="A13" s="98">
        <v>286</v>
      </c>
      <c r="B13" s="98">
        <v>3</v>
      </c>
      <c r="C13" s="100">
        <v>46309.8125</v>
      </c>
      <c r="D13" s="100"/>
      <c r="E13" s="98" t="s">
        <v>19</v>
      </c>
      <c r="F13" s="101">
        <v>86.2</v>
      </c>
      <c r="G13" s="101"/>
      <c r="H13" s="101"/>
      <c r="I13" s="101">
        <v>1</v>
      </c>
      <c r="J13" s="98"/>
    </row>
    <row r="14" spans="1:10">
      <c r="A14" s="98">
        <v>286</v>
      </c>
      <c r="B14" s="98">
        <v>3</v>
      </c>
      <c r="C14" s="100">
        <v>46309.8125</v>
      </c>
      <c r="D14" s="100"/>
      <c r="E14" s="98" t="s">
        <v>22</v>
      </c>
      <c r="F14" s="101">
        <v>1.43</v>
      </c>
      <c r="G14" s="101"/>
      <c r="H14" s="101"/>
      <c r="I14" s="101">
        <v>0.19</v>
      </c>
      <c r="J14" s="98"/>
    </row>
    <row r="15" spans="1:10">
      <c r="A15" s="98">
        <v>286</v>
      </c>
      <c r="B15" s="98">
        <v>3</v>
      </c>
      <c r="C15" s="100">
        <v>46309.8125</v>
      </c>
      <c r="D15" s="100"/>
      <c r="E15" s="98" t="s">
        <v>25</v>
      </c>
      <c r="F15" s="101">
        <v>0.052</v>
      </c>
      <c r="G15" s="101"/>
      <c r="H15" s="101"/>
      <c r="I15" s="101">
        <v>0.003</v>
      </c>
      <c r="J15" s="98"/>
    </row>
    <row r="16" spans="1:10">
      <c r="A16" s="98">
        <v>286</v>
      </c>
      <c r="B16" s="98">
        <v>3</v>
      </c>
      <c r="C16" s="100">
        <v>46309.8125</v>
      </c>
      <c r="D16" s="100"/>
      <c r="E16" s="98" t="s">
        <v>28</v>
      </c>
      <c r="F16" s="101">
        <v>3.65</v>
      </c>
      <c r="G16" s="101"/>
      <c r="H16" s="101"/>
      <c r="I16" s="101">
        <v>0.08</v>
      </c>
      <c r="J16" s="98"/>
    </row>
    <row r="17" spans="1:10">
      <c r="A17" s="98">
        <v>286</v>
      </c>
      <c r="B17" s="98">
        <v>4</v>
      </c>
      <c r="C17" s="100">
        <v>46309.89583333334</v>
      </c>
      <c r="D17" s="100"/>
      <c r="E17" s="98" t="s">
        <v>12</v>
      </c>
      <c r="F17" s="101">
        <v>1924</v>
      </c>
      <c r="G17" s="101"/>
      <c r="H17" s="101"/>
      <c r="I17" s="101">
        <v>150</v>
      </c>
      <c r="J17" s="98"/>
    </row>
    <row r="18" spans="1:10">
      <c r="A18" s="98">
        <v>286</v>
      </c>
      <c r="B18" s="98">
        <v>4</v>
      </c>
      <c r="C18" s="100">
        <v>46309.89583333334</v>
      </c>
      <c r="D18" s="100"/>
      <c r="E18" s="98" t="s">
        <v>19</v>
      </c>
      <c r="F18" s="101">
        <v>86.3</v>
      </c>
      <c r="G18" s="101"/>
      <c r="H18" s="101"/>
      <c r="I18" s="101">
        <v>1</v>
      </c>
      <c r="J18" s="98"/>
    </row>
    <row r="19" spans="1:10">
      <c r="A19" s="98">
        <v>286</v>
      </c>
      <c r="B19" s="98">
        <v>4</v>
      </c>
      <c r="C19" s="100">
        <v>46309.89583333334</v>
      </c>
      <c r="D19" s="100"/>
      <c r="E19" s="98" t="s">
        <v>22</v>
      </c>
      <c r="F19" s="101">
        <v>1.59</v>
      </c>
      <c r="G19" s="101"/>
      <c r="H19" s="101"/>
      <c r="I19" s="101">
        <v>0.19</v>
      </c>
      <c r="J19" s="98"/>
    </row>
    <row r="20" spans="1:10">
      <c r="A20" s="98">
        <v>286</v>
      </c>
      <c r="B20" s="98">
        <v>4</v>
      </c>
      <c r="C20" s="100">
        <v>46309.89583333334</v>
      </c>
      <c r="D20" s="100"/>
      <c r="E20" s="98" t="s">
        <v>25</v>
      </c>
      <c r="F20" s="101">
        <v>0.057</v>
      </c>
      <c r="G20" s="101"/>
      <c r="H20" s="101"/>
      <c r="I20" s="101">
        <v>0.003</v>
      </c>
      <c r="J20" s="98"/>
    </row>
    <row r="21" spans="1:10">
      <c r="A21" s="98">
        <v>286</v>
      </c>
      <c r="B21" s="98">
        <v>4</v>
      </c>
      <c r="C21" s="100">
        <v>46309.89583333334</v>
      </c>
      <c r="D21" s="100"/>
      <c r="E21" s="98" t="s">
        <v>28</v>
      </c>
      <c r="F21" s="101">
        <v>3.54</v>
      </c>
      <c r="G21" s="101"/>
      <c r="H21" s="101"/>
      <c r="I21" s="101">
        <v>0.08</v>
      </c>
      <c r="J21" s="98"/>
    </row>
    <row r="22" spans="1:10">
      <c r="A22" s="98">
        <v>286</v>
      </c>
      <c r="B22" s="98">
        <v>5</v>
      </c>
      <c r="C22" s="100">
        <v>46309.97916666666</v>
      </c>
      <c r="D22" s="100"/>
      <c r="E22" s="98" t="s">
        <v>12</v>
      </c>
      <c r="F22" s="101">
        <v>2043</v>
      </c>
      <c r="G22" s="101"/>
      <c r="H22" s="101"/>
      <c r="I22" s="101">
        <v>150</v>
      </c>
      <c r="J22" s="98"/>
    </row>
    <row r="23" spans="1:10">
      <c r="A23" s="98">
        <v>286</v>
      </c>
      <c r="B23" s="98">
        <v>5</v>
      </c>
      <c r="C23" s="100">
        <v>46309.97916666666</v>
      </c>
      <c r="D23" s="100"/>
      <c r="E23" s="98" t="s">
        <v>19</v>
      </c>
      <c r="F23" s="101">
        <v>86.59999999999999</v>
      </c>
      <c r="G23" s="101"/>
      <c r="H23" s="101"/>
      <c r="I23" s="101">
        <v>1</v>
      </c>
      <c r="J23" s="98"/>
    </row>
    <row r="24" spans="1:10">
      <c r="A24" s="98">
        <v>286</v>
      </c>
      <c r="B24" s="98">
        <v>5</v>
      </c>
      <c r="C24" s="100">
        <v>46309.97916666666</v>
      </c>
      <c r="D24" s="100"/>
      <c r="E24" s="98" t="s">
        <v>22</v>
      </c>
      <c r="F24" s="101">
        <v>1.62</v>
      </c>
      <c r="G24" s="101"/>
      <c r="H24" s="101"/>
      <c r="I24" s="101">
        <v>0.19</v>
      </c>
      <c r="J24" s="98"/>
    </row>
    <row r="25" spans="1:10">
      <c r="A25" s="98">
        <v>286</v>
      </c>
      <c r="B25" s="98">
        <v>5</v>
      </c>
      <c r="C25" s="100">
        <v>46309.97916666666</v>
      </c>
      <c r="D25" s="100"/>
      <c r="E25" s="98" t="s">
        <v>25</v>
      </c>
      <c r="F25" s="101">
        <v>0.059</v>
      </c>
      <c r="G25" s="101"/>
      <c r="H25" s="101"/>
      <c r="I25" s="101">
        <v>0.003</v>
      </c>
      <c r="J25" s="98"/>
    </row>
    <row r="26" spans="1:10">
      <c r="A26" s="98">
        <v>286</v>
      </c>
      <c r="B26" s="98">
        <v>5</v>
      </c>
      <c r="C26" s="100">
        <v>46309.97916666666</v>
      </c>
      <c r="D26" s="100"/>
      <c r="E26" s="98" t="s">
        <v>28</v>
      </c>
      <c r="F26" s="101">
        <v>3.5</v>
      </c>
      <c r="G26" s="101"/>
      <c r="H26" s="101"/>
      <c r="I26" s="101">
        <v>0.08</v>
      </c>
      <c r="J26" s="98"/>
    </row>
    <row r="27" spans="1:10">
      <c r="A27" s="98">
        <v>286</v>
      </c>
      <c r="B27" s="98">
        <v>6</v>
      </c>
      <c r="C27" s="100">
        <v>46310.0625</v>
      </c>
      <c r="D27" s="100"/>
      <c r="E27" s="98" t="s">
        <v>12</v>
      </c>
      <c r="F27" s="101">
        <v>1900</v>
      </c>
      <c r="G27" s="101"/>
      <c r="H27" s="101"/>
      <c r="I27" s="101">
        <v>150</v>
      </c>
      <c r="J27" s="98"/>
    </row>
    <row r="28" spans="1:10">
      <c r="A28" s="98">
        <v>286</v>
      </c>
      <c r="B28" s="98">
        <v>6</v>
      </c>
      <c r="C28" s="100">
        <v>46310.0625</v>
      </c>
      <c r="D28" s="100"/>
      <c r="E28" s="98" t="s">
        <v>19</v>
      </c>
      <c r="F28" s="101">
        <v>87</v>
      </c>
      <c r="G28" s="101"/>
      <c r="H28" s="101"/>
      <c r="I28" s="101">
        <v>1</v>
      </c>
      <c r="J28" s="98"/>
    </row>
    <row r="29" spans="1:10">
      <c r="A29" s="98">
        <v>286</v>
      </c>
      <c r="B29" s="98">
        <v>6</v>
      </c>
      <c r="C29" s="100">
        <v>46310.0625</v>
      </c>
      <c r="D29" s="100"/>
      <c r="E29" s="98" t="s">
        <v>22</v>
      </c>
      <c r="F29" s="101">
        <v>1.56</v>
      </c>
      <c r="G29" s="101"/>
      <c r="H29" s="101"/>
      <c r="I29" s="101">
        <v>0.19</v>
      </c>
      <c r="J29" s="98"/>
    </row>
    <row r="30" spans="1:10">
      <c r="A30" s="98">
        <v>286</v>
      </c>
      <c r="B30" s="98">
        <v>6</v>
      </c>
      <c r="C30" s="100">
        <v>46310.0625</v>
      </c>
      <c r="D30" s="100"/>
      <c r="E30" s="98" t="s">
        <v>25</v>
      </c>
      <c r="F30" s="101">
        <v>0.06</v>
      </c>
      <c r="G30" s="101"/>
      <c r="H30" s="101"/>
      <c r="I30" s="101">
        <v>0.003</v>
      </c>
      <c r="J30" s="98"/>
    </row>
    <row r="31" spans="1:10">
      <c r="A31" s="98">
        <v>286</v>
      </c>
      <c r="B31" s="98">
        <v>6</v>
      </c>
      <c r="C31" s="100">
        <v>46310.0625</v>
      </c>
      <c r="D31" s="100"/>
      <c r="E31" s="98" t="s">
        <v>28</v>
      </c>
      <c r="F31" s="101">
        <v>3.69</v>
      </c>
      <c r="G31" s="101"/>
      <c r="H31" s="101"/>
      <c r="I31" s="101">
        <v>0.08</v>
      </c>
      <c r="J31" s="98"/>
    </row>
    <row r="32" spans="1:10">
      <c r="A32" s="98">
        <v>286</v>
      </c>
      <c r="B32" s="98">
        <v>7</v>
      </c>
      <c r="C32" s="100">
        <v>46310.14583333334</v>
      </c>
      <c r="D32" s="100"/>
      <c r="E32" s="98" t="s">
        <v>12</v>
      </c>
      <c r="F32" s="101">
        <v>2068</v>
      </c>
      <c r="G32" s="101"/>
      <c r="H32" s="101"/>
      <c r="I32" s="101">
        <v>150</v>
      </c>
      <c r="J32" s="98"/>
    </row>
    <row r="33" spans="1:10">
      <c r="A33" s="98">
        <v>286</v>
      </c>
      <c r="B33" s="98">
        <v>7</v>
      </c>
      <c r="C33" s="100">
        <v>46310.14583333334</v>
      </c>
      <c r="D33" s="100"/>
      <c r="E33" s="98" t="s">
        <v>19</v>
      </c>
      <c r="F33" s="101">
        <v>86.90000000000001</v>
      </c>
      <c r="G33" s="101"/>
      <c r="H33" s="101"/>
      <c r="I33" s="101">
        <v>1</v>
      </c>
      <c r="J33" s="98"/>
    </row>
    <row r="34" spans="1:10">
      <c r="A34" s="98">
        <v>286</v>
      </c>
      <c r="B34" s="98">
        <v>7</v>
      </c>
      <c r="C34" s="100">
        <v>46310.14583333334</v>
      </c>
      <c r="D34" s="100"/>
      <c r="E34" s="98" t="s">
        <v>22</v>
      </c>
      <c r="F34" s="101">
        <v>1.78</v>
      </c>
      <c r="G34" s="101"/>
      <c r="H34" s="101"/>
      <c r="I34" s="101">
        <v>0.19</v>
      </c>
      <c r="J34" s="98"/>
    </row>
    <row r="35" spans="1:10">
      <c r="A35" s="98">
        <v>286</v>
      </c>
      <c r="B35" s="98">
        <v>7</v>
      </c>
      <c r="C35" s="100">
        <v>46310.14583333334</v>
      </c>
      <c r="D35" s="100"/>
      <c r="E35" s="98" t="s">
        <v>25</v>
      </c>
      <c r="F35" s="101">
        <v>0.064</v>
      </c>
      <c r="G35" s="101"/>
      <c r="H35" s="101"/>
      <c r="I35" s="101">
        <v>0.003</v>
      </c>
      <c r="J35" s="98"/>
    </row>
    <row r="36" spans="1:10">
      <c r="A36" s="98">
        <v>286</v>
      </c>
      <c r="B36" s="98">
        <v>7</v>
      </c>
      <c r="C36" s="100">
        <v>46310.14583333334</v>
      </c>
      <c r="D36" s="100"/>
      <c r="E36" s="98" t="s">
        <v>28</v>
      </c>
      <c r="F36" s="101">
        <v>3.54</v>
      </c>
      <c r="G36" s="101"/>
      <c r="H36" s="101"/>
      <c r="I36" s="101">
        <v>0.08</v>
      </c>
      <c r="J36" s="98"/>
    </row>
    <row r="37" spans="1:10">
      <c r="A37" s="98">
        <v>286</v>
      </c>
      <c r="B37" s="98">
        <v>8</v>
      </c>
      <c r="C37" s="100">
        <v>46310.22916666666</v>
      </c>
      <c r="D37" s="100"/>
      <c r="E37" s="98" t="s">
        <v>12</v>
      </c>
      <c r="F37" s="101">
        <v>2002</v>
      </c>
      <c r="G37" s="101"/>
      <c r="H37" s="101"/>
      <c r="I37" s="101">
        <v>150</v>
      </c>
      <c r="J37" s="98"/>
    </row>
    <row r="38" spans="1:10">
      <c r="A38" s="98">
        <v>286</v>
      </c>
      <c r="B38" s="98">
        <v>8</v>
      </c>
      <c r="C38" s="100">
        <v>46310.22916666666</v>
      </c>
      <c r="D38" s="100"/>
      <c r="E38" s="98" t="s">
        <v>19</v>
      </c>
      <c r="F38" s="101">
        <v>86.7</v>
      </c>
      <c r="G38" s="101"/>
      <c r="H38" s="101"/>
      <c r="I38" s="101">
        <v>1</v>
      </c>
      <c r="J38" s="98"/>
    </row>
    <row r="39" spans="1:10">
      <c r="A39" s="98">
        <v>286</v>
      </c>
      <c r="B39" s="98">
        <v>8</v>
      </c>
      <c r="C39" s="100">
        <v>46310.22916666666</v>
      </c>
      <c r="D39" s="100"/>
      <c r="E39" s="98" t="s">
        <v>22</v>
      </c>
      <c r="F39" s="101">
        <v>1.55</v>
      </c>
      <c r="G39" s="101"/>
      <c r="H39" s="101"/>
      <c r="I39" s="101">
        <v>0.19</v>
      </c>
      <c r="J39" s="98"/>
    </row>
    <row r="40" spans="1:10">
      <c r="A40" s="98">
        <v>286</v>
      </c>
      <c r="B40" s="98">
        <v>8</v>
      </c>
      <c r="C40" s="100">
        <v>46310.22916666666</v>
      </c>
      <c r="D40" s="100"/>
      <c r="E40" s="98" t="s">
        <v>25</v>
      </c>
      <c r="F40" s="101">
        <v>0.059</v>
      </c>
      <c r="G40" s="101"/>
      <c r="H40" s="101"/>
      <c r="I40" s="101">
        <v>0.003</v>
      </c>
      <c r="J40" s="98"/>
    </row>
    <row r="41" spans="1:10">
      <c r="A41" s="98">
        <v>286</v>
      </c>
      <c r="B41" s="98">
        <v>8</v>
      </c>
      <c r="C41" s="100">
        <v>46310.22916666666</v>
      </c>
      <c r="D41" s="100"/>
      <c r="E41" s="98" t="s">
        <v>28</v>
      </c>
      <c r="F41" s="101">
        <v>3.47</v>
      </c>
      <c r="G41" s="101"/>
      <c r="H41" s="101"/>
      <c r="I41" s="101">
        <v>0.08</v>
      </c>
      <c r="J41" s="98"/>
    </row>
    <row r="42" spans="1:10">
      <c r="A42" s="98">
        <v>286</v>
      </c>
      <c r="B42" s="98">
        <v>9</v>
      </c>
      <c r="C42" s="100">
        <v>46310.3125</v>
      </c>
      <c r="D42" s="100"/>
      <c r="E42" s="98" t="s">
        <v>12</v>
      </c>
      <c r="F42" s="101">
        <v>1988</v>
      </c>
      <c r="G42" s="101"/>
      <c r="H42" s="101"/>
      <c r="I42" s="101">
        <v>150</v>
      </c>
      <c r="J42" s="98"/>
    </row>
    <row r="43" spans="1:10">
      <c r="A43" s="98">
        <v>286</v>
      </c>
      <c r="B43" s="98">
        <v>9</v>
      </c>
      <c r="C43" s="100">
        <v>46310.3125</v>
      </c>
      <c r="D43" s="100"/>
      <c r="E43" s="98" t="s">
        <v>19</v>
      </c>
      <c r="F43" s="101">
        <v>85.40000000000001</v>
      </c>
      <c r="G43" s="101"/>
      <c r="H43" s="101"/>
      <c r="I43" s="101">
        <v>1</v>
      </c>
      <c r="J43" s="98"/>
    </row>
    <row r="44" spans="1:10">
      <c r="A44" s="98">
        <v>286</v>
      </c>
      <c r="B44" s="98">
        <v>9</v>
      </c>
      <c r="C44" s="100">
        <v>46310.3125</v>
      </c>
      <c r="D44" s="100"/>
      <c r="E44" s="98" t="s">
        <v>22</v>
      </c>
      <c r="F44" s="101">
        <v>1.63</v>
      </c>
      <c r="G44" s="101"/>
      <c r="H44" s="101"/>
      <c r="I44" s="101">
        <v>0.19</v>
      </c>
      <c r="J44" s="98"/>
    </row>
    <row r="45" spans="1:10">
      <c r="A45" s="98">
        <v>286</v>
      </c>
      <c r="B45" s="98">
        <v>9</v>
      </c>
      <c r="C45" s="100">
        <v>46310.3125</v>
      </c>
      <c r="D45" s="100"/>
      <c r="E45" s="98" t="s">
        <v>25</v>
      </c>
      <c r="F45" s="101">
        <v>0.058</v>
      </c>
      <c r="G45" s="101"/>
      <c r="H45" s="101"/>
      <c r="I45" s="101">
        <v>0.003</v>
      </c>
      <c r="J45" s="98"/>
    </row>
    <row r="46" spans="1:10">
      <c r="A46" s="98">
        <v>286</v>
      </c>
      <c r="B46" s="98">
        <v>9</v>
      </c>
      <c r="C46" s="100">
        <v>46310.3125</v>
      </c>
      <c r="D46" s="100"/>
      <c r="E46" s="98" t="s">
        <v>28</v>
      </c>
      <c r="F46" s="101">
        <v>3.52</v>
      </c>
      <c r="G46" s="101"/>
      <c r="H46" s="101"/>
      <c r="I46" s="101">
        <v>0.08</v>
      </c>
      <c r="J46" s="98"/>
    </row>
    <row r="47" spans="1:10">
      <c r="A47" s="98">
        <v>286</v>
      </c>
      <c r="B47" s="98">
        <v>10</v>
      </c>
      <c r="C47" s="100">
        <v>46310.39583333334</v>
      </c>
      <c r="D47" s="100"/>
      <c r="E47" s="98" t="s">
        <v>12</v>
      </c>
      <c r="F47" s="101">
        <v>2116</v>
      </c>
      <c r="G47" s="101"/>
      <c r="H47" s="101"/>
      <c r="I47" s="101">
        <v>150</v>
      </c>
      <c r="J47" s="98"/>
    </row>
    <row r="48" spans="1:10">
      <c r="A48" s="98">
        <v>286</v>
      </c>
      <c r="B48" s="98">
        <v>10</v>
      </c>
      <c r="C48" s="100">
        <v>46310.39583333334</v>
      </c>
      <c r="D48" s="100"/>
      <c r="E48" s="98" t="s">
        <v>19</v>
      </c>
      <c r="F48" s="101">
        <v>86</v>
      </c>
      <c r="G48" s="101"/>
      <c r="H48" s="101"/>
      <c r="I48" s="101">
        <v>1</v>
      </c>
      <c r="J48" s="98"/>
    </row>
    <row r="49" spans="1:10">
      <c r="A49" s="98">
        <v>286</v>
      </c>
      <c r="B49" s="98">
        <v>10</v>
      </c>
      <c r="C49" s="100">
        <v>46310.39583333334</v>
      </c>
      <c r="D49" s="100"/>
      <c r="E49" s="98" t="s">
        <v>22</v>
      </c>
      <c r="F49" s="101">
        <v>1.86</v>
      </c>
      <c r="G49" s="101"/>
      <c r="H49" s="101"/>
      <c r="I49" s="101">
        <v>0.19</v>
      </c>
      <c r="J49" s="98"/>
    </row>
    <row r="50" spans="1:10">
      <c r="A50" s="98">
        <v>286</v>
      </c>
      <c r="B50" s="98">
        <v>10</v>
      </c>
      <c r="C50" s="100">
        <v>46310.39583333334</v>
      </c>
      <c r="D50" s="100"/>
      <c r="E50" s="98" t="s">
        <v>25</v>
      </c>
      <c r="F50" s="101">
        <v>0.057</v>
      </c>
      <c r="G50" s="101"/>
      <c r="H50" s="101"/>
      <c r="I50" s="101">
        <v>0.003</v>
      </c>
      <c r="J50" s="98"/>
    </row>
    <row r="51" spans="1:10">
      <c r="A51" s="98">
        <v>286</v>
      </c>
      <c r="B51" s="98">
        <v>10</v>
      </c>
      <c r="C51" s="100">
        <v>46310.39583333334</v>
      </c>
      <c r="D51" s="100"/>
      <c r="E51" s="98" t="s">
        <v>28</v>
      </c>
      <c r="F51" s="101">
        <v>3.46</v>
      </c>
      <c r="G51" s="101"/>
      <c r="H51" s="101"/>
      <c r="I51" s="101">
        <v>0.08</v>
      </c>
      <c r="J51" s="98"/>
    </row>
    <row r="52" spans="1:10">
      <c r="A52" s="98">
        <v>286</v>
      </c>
      <c r="B52" s="98">
        <v>11</v>
      </c>
      <c r="C52" s="100">
        <v>46310.47916666666</v>
      </c>
      <c r="D52" s="100"/>
      <c r="E52" s="98" t="s">
        <v>12</v>
      </c>
      <c r="F52" s="101">
        <v>1959</v>
      </c>
      <c r="G52" s="101"/>
      <c r="H52" s="101"/>
      <c r="I52" s="101">
        <v>150</v>
      </c>
      <c r="J52" s="98"/>
    </row>
    <row r="53" spans="1:10">
      <c r="A53" s="98">
        <v>286</v>
      </c>
      <c r="B53" s="98">
        <v>11</v>
      </c>
      <c r="C53" s="100">
        <v>46310.47916666666</v>
      </c>
      <c r="D53" s="100"/>
      <c r="E53" s="98" t="s">
        <v>19</v>
      </c>
      <c r="F53" s="101">
        <v>86</v>
      </c>
      <c r="G53" s="101"/>
      <c r="H53" s="101"/>
      <c r="I53" s="101">
        <v>1</v>
      </c>
      <c r="J53" s="98"/>
    </row>
    <row r="54" spans="1:10">
      <c r="A54" s="98">
        <v>286</v>
      </c>
      <c r="B54" s="98">
        <v>11</v>
      </c>
      <c r="C54" s="100">
        <v>46310.47916666666</v>
      </c>
      <c r="D54" s="100"/>
      <c r="E54" s="98" t="s">
        <v>22</v>
      </c>
      <c r="F54" s="101">
        <v>1.77</v>
      </c>
      <c r="G54" s="101"/>
      <c r="H54" s="101"/>
      <c r="I54" s="101">
        <v>0.19</v>
      </c>
      <c r="J54" s="98"/>
    </row>
    <row r="55" spans="1:10">
      <c r="A55" s="98">
        <v>286</v>
      </c>
      <c r="B55" s="98">
        <v>11</v>
      </c>
      <c r="C55" s="100">
        <v>46310.47916666666</v>
      </c>
      <c r="D55" s="100"/>
      <c r="E55" s="98" t="s">
        <v>25</v>
      </c>
      <c r="F55" s="101">
        <v>0.059</v>
      </c>
      <c r="G55" s="101"/>
      <c r="H55" s="101"/>
      <c r="I55" s="101">
        <v>0.003</v>
      </c>
      <c r="J55" s="98"/>
    </row>
    <row r="56" spans="1:10">
      <c r="A56" s="98">
        <v>286</v>
      </c>
      <c r="B56" s="98">
        <v>11</v>
      </c>
      <c r="C56" s="100">
        <v>46310.47916666666</v>
      </c>
      <c r="D56" s="100"/>
      <c r="E56" s="98" t="s">
        <v>28</v>
      </c>
      <c r="F56" s="101">
        <v>3.62</v>
      </c>
      <c r="G56" s="101"/>
      <c r="H56" s="101"/>
      <c r="I56" s="101">
        <v>0.08</v>
      </c>
      <c r="J56" s="98"/>
    </row>
    <row r="57" spans="1:10">
      <c r="A57" s="98">
        <v>286</v>
      </c>
      <c r="B57" s="98">
        <v>12</v>
      </c>
      <c r="C57" s="100">
        <v>46310.5625</v>
      </c>
      <c r="D57" s="100"/>
      <c r="E57" s="98" t="s">
        <v>12</v>
      </c>
      <c r="F57" s="101">
        <v>1922</v>
      </c>
      <c r="G57" s="101"/>
      <c r="H57" s="101"/>
      <c r="I57" s="101">
        <v>150</v>
      </c>
      <c r="J57" s="98"/>
    </row>
    <row r="58" spans="1:10">
      <c r="A58" s="98">
        <v>286</v>
      </c>
      <c r="B58" s="98">
        <v>12</v>
      </c>
      <c r="C58" s="100">
        <v>46310.5625</v>
      </c>
      <c r="D58" s="100"/>
      <c r="E58" s="98" t="s">
        <v>19</v>
      </c>
      <c r="F58" s="101">
        <v>86.59999999999999</v>
      </c>
      <c r="G58" s="101"/>
      <c r="H58" s="101"/>
      <c r="I58" s="101">
        <v>1</v>
      </c>
      <c r="J58" s="98"/>
    </row>
    <row r="59" spans="1:10">
      <c r="A59" s="98">
        <v>286</v>
      </c>
      <c r="B59" s="98">
        <v>12</v>
      </c>
      <c r="C59" s="100">
        <v>46310.5625</v>
      </c>
      <c r="D59" s="100"/>
      <c r="E59" s="98" t="s">
        <v>22</v>
      </c>
      <c r="F59" s="101">
        <v>1.76</v>
      </c>
      <c r="G59" s="101"/>
      <c r="H59" s="101"/>
      <c r="I59" s="101">
        <v>0.19</v>
      </c>
      <c r="J59" s="98"/>
    </row>
    <row r="60" spans="1:10">
      <c r="A60" s="98">
        <v>286</v>
      </c>
      <c r="B60" s="98">
        <v>12</v>
      </c>
      <c r="C60" s="100">
        <v>46310.5625</v>
      </c>
      <c r="D60" s="100"/>
      <c r="E60" s="98" t="s">
        <v>25</v>
      </c>
      <c r="F60" s="101">
        <v>0.058</v>
      </c>
      <c r="G60" s="101"/>
      <c r="H60" s="101"/>
      <c r="I60" s="101">
        <v>0.003</v>
      </c>
      <c r="J60" s="98"/>
    </row>
    <row r="61" spans="1:10">
      <c r="A61" s="98">
        <v>286</v>
      </c>
      <c r="B61" s="98">
        <v>12</v>
      </c>
      <c r="C61" s="100">
        <v>46310.5625</v>
      </c>
      <c r="D61" s="100"/>
      <c r="E61" s="98" t="s">
        <v>28</v>
      </c>
      <c r="F61" s="101">
        <v>3.57</v>
      </c>
      <c r="G61" s="101"/>
      <c r="H61" s="101"/>
      <c r="I61" s="101">
        <v>0.08</v>
      </c>
      <c r="J61" s="98"/>
    </row>
    <row r="62" spans="1:10">
      <c r="A62" s="98">
        <v>286</v>
      </c>
      <c r="B62" s="98">
        <v>13</v>
      </c>
      <c r="C62" s="100">
        <v>46310.64583333334</v>
      </c>
      <c r="D62" s="100"/>
      <c r="E62" s="98" t="s">
        <v>12</v>
      </c>
      <c r="F62" s="101">
        <v>2076</v>
      </c>
      <c r="G62" s="101"/>
      <c r="H62" s="101"/>
      <c r="I62" s="101">
        <v>150</v>
      </c>
      <c r="J62" s="98"/>
    </row>
    <row r="63" spans="1:10">
      <c r="A63" s="98">
        <v>286</v>
      </c>
      <c r="B63" s="98">
        <v>13</v>
      </c>
      <c r="C63" s="100">
        <v>46310.64583333334</v>
      </c>
      <c r="D63" s="100"/>
      <c r="E63" s="98" t="s">
        <v>19</v>
      </c>
      <c r="F63" s="101">
        <v>86.2</v>
      </c>
      <c r="G63" s="101"/>
      <c r="H63" s="101"/>
      <c r="I63" s="101">
        <v>1</v>
      </c>
      <c r="J63" s="98"/>
    </row>
    <row r="64" spans="1:10">
      <c r="A64" s="98">
        <v>286</v>
      </c>
      <c r="B64" s="98">
        <v>13</v>
      </c>
      <c r="C64" s="100">
        <v>46310.64583333334</v>
      </c>
      <c r="D64" s="100"/>
      <c r="E64" s="98" t="s">
        <v>22</v>
      </c>
      <c r="F64" s="101">
        <v>1.75</v>
      </c>
      <c r="G64" s="101"/>
      <c r="H64" s="101"/>
      <c r="I64" s="101">
        <v>0.19</v>
      </c>
      <c r="J64" s="98"/>
    </row>
    <row r="65" spans="1:10">
      <c r="A65" s="98">
        <v>286</v>
      </c>
      <c r="B65" s="98">
        <v>13</v>
      </c>
      <c r="C65" s="100">
        <v>46310.64583333334</v>
      </c>
      <c r="D65" s="100"/>
      <c r="E65" s="98" t="s">
        <v>25</v>
      </c>
      <c r="F65" s="101">
        <v>0.06</v>
      </c>
      <c r="G65" s="101"/>
      <c r="H65" s="101"/>
      <c r="I65" s="101">
        <v>0.003</v>
      </c>
      <c r="J65" s="98"/>
    </row>
    <row r="66" spans="1:10">
      <c r="A66" s="98">
        <v>286</v>
      </c>
      <c r="B66" s="98">
        <v>13</v>
      </c>
      <c r="C66" s="100">
        <v>46310.64583333334</v>
      </c>
      <c r="D66" s="100"/>
      <c r="E66" s="98" t="s">
        <v>28</v>
      </c>
      <c r="F66" s="101">
        <v>3.65</v>
      </c>
      <c r="G66" s="101"/>
      <c r="H66" s="101"/>
      <c r="I66" s="101">
        <v>0.08</v>
      </c>
      <c r="J66" s="98"/>
    </row>
    <row r="67" spans="1:10">
      <c r="A67" s="98">
        <v>288</v>
      </c>
      <c r="B67" s="98">
        <v>1</v>
      </c>
      <c r="C67" s="100">
        <v>46301.97916666666</v>
      </c>
      <c r="D67" s="100"/>
      <c r="E67" s="98" t="s">
        <v>12</v>
      </c>
      <c r="F67" s="101">
        <v>2052</v>
      </c>
      <c r="G67" s="101">
        <v>1787</v>
      </c>
      <c r="H67" s="101">
        <v>-265</v>
      </c>
      <c r="I67" s="101">
        <v>150</v>
      </c>
      <c r="J67" s="98" t="s">
        <v>169</v>
      </c>
    </row>
    <row r="68" spans="1:10">
      <c r="A68" s="98">
        <v>288</v>
      </c>
      <c r="B68" s="98">
        <v>1</v>
      </c>
      <c r="C68" s="100">
        <v>46301.97916666666</v>
      </c>
      <c r="D68" s="100"/>
      <c r="E68" s="98" t="s">
        <v>19</v>
      </c>
      <c r="F68" s="101">
        <v>89.3</v>
      </c>
      <c r="G68" s="101"/>
      <c r="H68" s="101"/>
      <c r="I68" s="101">
        <v>1</v>
      </c>
      <c r="J68" s="98"/>
    </row>
    <row r="69" spans="1:10">
      <c r="A69" s="98">
        <v>288</v>
      </c>
      <c r="B69" s="98">
        <v>1</v>
      </c>
      <c r="C69" s="100">
        <v>46301.97916666666</v>
      </c>
      <c r="D69" s="100"/>
      <c r="E69" s="98" t="s">
        <v>22</v>
      </c>
      <c r="F69" s="101">
        <v>1.95</v>
      </c>
      <c r="G69" s="101">
        <v>1.96</v>
      </c>
      <c r="H69" s="101">
        <v>0.01000000000000001</v>
      </c>
      <c r="I69" s="101">
        <v>0.19</v>
      </c>
      <c r="J69" s="98" t="s">
        <v>170</v>
      </c>
    </row>
    <row r="70" spans="1:10">
      <c r="A70" s="98">
        <v>288</v>
      </c>
      <c r="B70" s="98">
        <v>1</v>
      </c>
      <c r="C70" s="100">
        <v>46301.97916666666</v>
      </c>
      <c r="D70" s="100"/>
      <c r="E70" s="98" t="s">
        <v>25</v>
      </c>
      <c r="F70" s="101">
        <v>0.05</v>
      </c>
      <c r="G70" s="101">
        <v>0.054</v>
      </c>
      <c r="H70" s="101">
        <v>0.003999999999999997</v>
      </c>
      <c r="I70" s="101">
        <v>0.003</v>
      </c>
      <c r="J70" s="98" t="s">
        <v>169</v>
      </c>
    </row>
    <row r="71" spans="1:10">
      <c r="A71" s="98">
        <v>288</v>
      </c>
      <c r="B71" s="98">
        <v>1</v>
      </c>
      <c r="C71" s="100">
        <v>46301.97916666666</v>
      </c>
      <c r="D71" s="100"/>
      <c r="E71" s="98" t="s">
        <v>28</v>
      </c>
      <c r="F71" s="101">
        <v>3.36</v>
      </c>
      <c r="G71" s="101"/>
      <c r="H71" s="101"/>
      <c r="I71" s="101">
        <v>0.08</v>
      </c>
      <c r="J71" s="98"/>
    </row>
    <row r="72" spans="1:10">
      <c r="A72" s="98">
        <v>288</v>
      </c>
      <c r="B72" s="98">
        <v>2</v>
      </c>
      <c r="C72" s="100">
        <v>46302.0625</v>
      </c>
      <c r="D72" s="100"/>
      <c r="E72" s="98" t="s">
        <v>12</v>
      </c>
      <c r="F72" s="101">
        <v>2202</v>
      </c>
      <c r="G72" s="101">
        <v>1829</v>
      </c>
      <c r="H72" s="101">
        <v>-373</v>
      </c>
      <c r="I72" s="101">
        <v>150</v>
      </c>
      <c r="J72" s="98" t="s">
        <v>169</v>
      </c>
    </row>
    <row r="73" spans="1:10">
      <c r="A73" s="98">
        <v>288</v>
      </c>
      <c r="B73" s="98">
        <v>2</v>
      </c>
      <c r="C73" s="100">
        <v>46302.0625</v>
      </c>
      <c r="D73" s="100"/>
      <c r="E73" s="98" t="s">
        <v>19</v>
      </c>
      <c r="F73" s="101">
        <v>89</v>
      </c>
      <c r="G73" s="101">
        <v>87.5</v>
      </c>
      <c r="H73" s="101">
        <v>-1.5</v>
      </c>
      <c r="I73" s="101">
        <v>1</v>
      </c>
      <c r="J73" s="98" t="s">
        <v>169</v>
      </c>
    </row>
    <row r="74" spans="1:10">
      <c r="A74" s="98">
        <v>288</v>
      </c>
      <c r="B74" s="98">
        <v>2</v>
      </c>
      <c r="C74" s="100">
        <v>46302.0625</v>
      </c>
      <c r="D74" s="100"/>
      <c r="E74" s="98" t="s">
        <v>22</v>
      </c>
      <c r="F74" s="101">
        <v>2.14</v>
      </c>
      <c r="G74" s="101"/>
      <c r="H74" s="101"/>
      <c r="I74" s="101">
        <v>0.19</v>
      </c>
      <c r="J74" s="98"/>
    </row>
    <row r="75" spans="1:10">
      <c r="A75" s="98">
        <v>288</v>
      </c>
      <c r="B75" s="98">
        <v>2</v>
      </c>
      <c r="C75" s="100">
        <v>46302.0625</v>
      </c>
      <c r="D75" s="100"/>
      <c r="E75" s="98" t="s">
        <v>25</v>
      </c>
      <c r="F75" s="101">
        <v>0.055</v>
      </c>
      <c r="G75" s="101"/>
      <c r="H75" s="101"/>
      <c r="I75" s="101">
        <v>0.003</v>
      </c>
      <c r="J75" s="98"/>
    </row>
    <row r="76" spans="1:10">
      <c r="A76" s="98">
        <v>288</v>
      </c>
      <c r="B76" s="98">
        <v>2</v>
      </c>
      <c r="C76" s="100">
        <v>46302.0625</v>
      </c>
      <c r="D76" s="100"/>
      <c r="E76" s="98" t="s">
        <v>28</v>
      </c>
      <c r="F76" s="101">
        <v>3.69</v>
      </c>
      <c r="G76" s="101"/>
      <c r="H76" s="101"/>
      <c r="I76" s="101">
        <v>0.08</v>
      </c>
      <c r="J76" s="98"/>
    </row>
    <row r="77" spans="1:10">
      <c r="A77" s="98">
        <v>288</v>
      </c>
      <c r="B77" s="98">
        <v>3</v>
      </c>
      <c r="C77" s="100">
        <v>46302.14583333334</v>
      </c>
      <c r="D77" s="100"/>
      <c r="E77" s="98" t="s">
        <v>12</v>
      </c>
      <c r="F77" s="101">
        <v>2200</v>
      </c>
      <c r="G77" s="101">
        <v>1989</v>
      </c>
      <c r="H77" s="101">
        <v>-211</v>
      </c>
      <c r="I77" s="101">
        <v>150</v>
      </c>
      <c r="J77" s="98" t="s">
        <v>169</v>
      </c>
    </row>
    <row r="78" spans="1:10">
      <c r="A78" s="98">
        <v>288</v>
      </c>
      <c r="B78" s="98">
        <v>3</v>
      </c>
      <c r="C78" s="100">
        <v>46302.14583333334</v>
      </c>
      <c r="D78" s="100"/>
      <c r="E78" s="98" t="s">
        <v>19</v>
      </c>
      <c r="F78" s="101">
        <v>88.2</v>
      </c>
      <c r="G78" s="101"/>
      <c r="H78" s="101"/>
      <c r="I78" s="101">
        <v>1</v>
      </c>
      <c r="J78" s="98"/>
    </row>
    <row r="79" spans="1:10">
      <c r="A79" s="98">
        <v>288</v>
      </c>
      <c r="B79" s="98">
        <v>3</v>
      </c>
      <c r="C79" s="100">
        <v>46302.14583333334</v>
      </c>
      <c r="D79" s="100"/>
      <c r="E79" s="98" t="s">
        <v>22</v>
      </c>
      <c r="F79" s="101">
        <v>2</v>
      </c>
      <c r="G79" s="101">
        <v>1.99</v>
      </c>
      <c r="H79" s="101">
        <v>-0.01000000000000001</v>
      </c>
      <c r="I79" s="101">
        <v>0.19</v>
      </c>
      <c r="J79" s="98" t="s">
        <v>170</v>
      </c>
    </row>
    <row r="80" spans="1:10">
      <c r="A80" s="98">
        <v>288</v>
      </c>
      <c r="B80" s="98">
        <v>3</v>
      </c>
      <c r="C80" s="100">
        <v>46302.14583333334</v>
      </c>
      <c r="D80" s="100"/>
      <c r="E80" s="98" t="s">
        <v>25</v>
      </c>
      <c r="F80" s="101">
        <v>0.055</v>
      </c>
      <c r="G80" s="101">
        <v>0.055</v>
      </c>
      <c r="H80" s="101">
        <v>0</v>
      </c>
      <c r="I80" s="101">
        <v>0.003</v>
      </c>
      <c r="J80" s="98" t="s">
        <v>170</v>
      </c>
    </row>
    <row r="81" spans="1:10">
      <c r="A81" s="98">
        <v>288</v>
      </c>
      <c r="B81" s="98">
        <v>3</v>
      </c>
      <c r="C81" s="100">
        <v>46302.14583333334</v>
      </c>
      <c r="D81" s="100"/>
      <c r="E81" s="98" t="s">
        <v>28</v>
      </c>
      <c r="F81" s="101">
        <v>3.98</v>
      </c>
      <c r="G81" s="101">
        <v>3.7</v>
      </c>
      <c r="H81" s="101">
        <v>-0.2799999999999998</v>
      </c>
      <c r="I81" s="101">
        <v>0.08</v>
      </c>
      <c r="J81" s="98" t="s">
        <v>169</v>
      </c>
    </row>
    <row r="82" spans="1:10">
      <c r="A82" s="98">
        <v>288</v>
      </c>
      <c r="B82" s="98">
        <v>4</v>
      </c>
      <c r="C82" s="100">
        <v>46302.22916666666</v>
      </c>
      <c r="D82" s="100"/>
      <c r="E82" s="98" t="s">
        <v>12</v>
      </c>
      <c r="F82" s="101">
        <v>2146</v>
      </c>
      <c r="G82" s="101">
        <v>1950</v>
      </c>
      <c r="H82" s="101">
        <v>-196</v>
      </c>
      <c r="I82" s="101">
        <v>150</v>
      </c>
      <c r="J82" s="98" t="s">
        <v>169</v>
      </c>
    </row>
    <row r="83" spans="1:10">
      <c r="A83" s="98">
        <v>288</v>
      </c>
      <c r="B83" s="98">
        <v>4</v>
      </c>
      <c r="C83" s="100">
        <v>46302.22916666666</v>
      </c>
      <c r="D83" s="100"/>
      <c r="E83" s="98" t="s">
        <v>19</v>
      </c>
      <c r="F83" s="101">
        <v>88.09999999999999</v>
      </c>
      <c r="G83" s="101"/>
      <c r="H83" s="101"/>
      <c r="I83" s="101">
        <v>1</v>
      </c>
      <c r="J83" s="98"/>
    </row>
    <row r="84" spans="1:10">
      <c r="A84" s="98">
        <v>288</v>
      </c>
      <c r="B84" s="98">
        <v>4</v>
      </c>
      <c r="C84" s="100">
        <v>46302.22916666666</v>
      </c>
      <c r="D84" s="100"/>
      <c r="E84" s="98" t="s">
        <v>22</v>
      </c>
      <c r="F84" s="101">
        <v>2</v>
      </c>
      <c r="G84" s="101"/>
      <c r="H84" s="101"/>
      <c r="I84" s="101">
        <v>0.19</v>
      </c>
      <c r="J84" s="98"/>
    </row>
    <row r="85" spans="1:10">
      <c r="A85" s="98">
        <v>288</v>
      </c>
      <c r="B85" s="98">
        <v>4</v>
      </c>
      <c r="C85" s="100">
        <v>46302.22916666666</v>
      </c>
      <c r="D85" s="100"/>
      <c r="E85" s="98" t="s">
        <v>25</v>
      </c>
      <c r="F85" s="101">
        <v>0.056</v>
      </c>
      <c r="G85" s="101"/>
      <c r="H85" s="101"/>
      <c r="I85" s="101">
        <v>0.003</v>
      </c>
      <c r="J85" s="98"/>
    </row>
    <row r="86" spans="1:10">
      <c r="A86" s="98">
        <v>288</v>
      </c>
      <c r="B86" s="98">
        <v>4</v>
      </c>
      <c r="C86" s="100">
        <v>46302.22916666666</v>
      </c>
      <c r="D86" s="100"/>
      <c r="E86" s="98" t="s">
        <v>28</v>
      </c>
      <c r="F86" s="101">
        <v>3.86</v>
      </c>
      <c r="G86" s="101"/>
      <c r="H86" s="101"/>
      <c r="I86" s="101">
        <v>0.08</v>
      </c>
      <c r="J86" s="98"/>
    </row>
    <row r="87" spans="1:10">
      <c r="A87" s="98">
        <v>288</v>
      </c>
      <c r="B87" s="98">
        <v>5</v>
      </c>
      <c r="C87" s="100">
        <v>46302.3125</v>
      </c>
      <c r="D87" s="100"/>
      <c r="E87" s="98" t="s">
        <v>12</v>
      </c>
      <c r="F87" s="101">
        <v>2162</v>
      </c>
      <c r="G87" s="101">
        <v>2094</v>
      </c>
      <c r="H87" s="101">
        <v>-68</v>
      </c>
      <c r="I87" s="101">
        <v>150</v>
      </c>
      <c r="J87" s="98" t="s">
        <v>170</v>
      </c>
    </row>
    <row r="88" spans="1:10">
      <c r="A88" s="98">
        <v>288</v>
      </c>
      <c r="B88" s="98">
        <v>5</v>
      </c>
      <c r="C88" s="100">
        <v>46302.3125</v>
      </c>
      <c r="D88" s="100"/>
      <c r="E88" s="98" t="s">
        <v>19</v>
      </c>
      <c r="F88" s="101">
        <v>87</v>
      </c>
      <c r="G88" s="101">
        <v>88.5</v>
      </c>
      <c r="H88" s="101">
        <v>1.5</v>
      </c>
      <c r="I88" s="101">
        <v>1</v>
      </c>
      <c r="J88" s="98" t="s">
        <v>169</v>
      </c>
    </row>
    <row r="89" spans="1:10">
      <c r="A89" s="98">
        <v>288</v>
      </c>
      <c r="B89" s="98">
        <v>5</v>
      </c>
      <c r="C89" s="100">
        <v>46302.3125</v>
      </c>
      <c r="D89" s="100"/>
      <c r="E89" s="98" t="s">
        <v>22</v>
      </c>
      <c r="F89" s="101">
        <v>1.97</v>
      </c>
      <c r="G89" s="101">
        <v>2.02</v>
      </c>
      <c r="H89" s="101">
        <v>0.05000000000000004</v>
      </c>
      <c r="I89" s="101">
        <v>0.19</v>
      </c>
      <c r="J89" s="98" t="s">
        <v>170</v>
      </c>
    </row>
    <row r="90" spans="1:10">
      <c r="A90" s="98">
        <v>288</v>
      </c>
      <c r="B90" s="98">
        <v>5</v>
      </c>
      <c r="C90" s="100">
        <v>46302.3125</v>
      </c>
      <c r="D90" s="100"/>
      <c r="E90" s="98" t="s">
        <v>25</v>
      </c>
      <c r="F90" s="101">
        <v>0.058</v>
      </c>
      <c r="G90" s="101">
        <v>0.055</v>
      </c>
      <c r="H90" s="101">
        <v>-0.003000000000000003</v>
      </c>
      <c r="I90" s="101">
        <v>0.003</v>
      </c>
      <c r="J90" s="98" t="s">
        <v>170</v>
      </c>
    </row>
    <row r="91" spans="1:10">
      <c r="A91" s="98">
        <v>288</v>
      </c>
      <c r="B91" s="98">
        <v>5</v>
      </c>
      <c r="C91" s="100">
        <v>46302.3125</v>
      </c>
      <c r="D91" s="100"/>
      <c r="E91" s="98" t="s">
        <v>28</v>
      </c>
      <c r="F91" s="101">
        <v>3.56</v>
      </c>
      <c r="G91" s="101">
        <v>3.61</v>
      </c>
      <c r="H91" s="101">
        <v>0.04999999999999982</v>
      </c>
      <c r="I91" s="101">
        <v>0.08</v>
      </c>
      <c r="J91" s="98" t="s">
        <v>170</v>
      </c>
    </row>
    <row r="92" spans="1:10">
      <c r="A92" s="98">
        <v>288</v>
      </c>
      <c r="B92" s="98">
        <v>6</v>
      </c>
      <c r="C92" s="100">
        <v>46302.39583333334</v>
      </c>
      <c r="D92" s="100"/>
      <c r="E92" s="98" t="s">
        <v>12</v>
      </c>
      <c r="F92" s="101">
        <v>2190</v>
      </c>
      <c r="G92" s="101">
        <v>2033</v>
      </c>
      <c r="H92" s="101">
        <v>-157</v>
      </c>
      <c r="I92" s="101">
        <v>150</v>
      </c>
      <c r="J92" s="98" t="s">
        <v>169</v>
      </c>
    </row>
    <row r="93" spans="1:10">
      <c r="A93" s="98">
        <v>288</v>
      </c>
      <c r="B93" s="98">
        <v>6</v>
      </c>
      <c r="C93" s="100">
        <v>46302.39583333334</v>
      </c>
      <c r="D93" s="100"/>
      <c r="E93" s="98" t="s">
        <v>19</v>
      </c>
      <c r="F93" s="101">
        <v>85.5</v>
      </c>
      <c r="G93" s="101"/>
      <c r="H93" s="101"/>
      <c r="I93" s="101">
        <v>1</v>
      </c>
      <c r="J93" s="98"/>
    </row>
    <row r="94" spans="1:10">
      <c r="A94" s="98">
        <v>288</v>
      </c>
      <c r="B94" s="98">
        <v>6</v>
      </c>
      <c r="C94" s="100">
        <v>46302.39583333334</v>
      </c>
      <c r="D94" s="100"/>
      <c r="E94" s="98" t="s">
        <v>22</v>
      </c>
      <c r="F94" s="101">
        <v>1.92</v>
      </c>
      <c r="G94" s="101"/>
      <c r="H94" s="101"/>
      <c r="I94" s="101">
        <v>0.19</v>
      </c>
      <c r="J94" s="98"/>
    </row>
    <row r="95" spans="1:10">
      <c r="A95" s="98">
        <v>288</v>
      </c>
      <c r="B95" s="98">
        <v>6</v>
      </c>
      <c r="C95" s="100">
        <v>46302.39583333334</v>
      </c>
      <c r="D95" s="100"/>
      <c r="E95" s="98" t="s">
        <v>25</v>
      </c>
      <c r="F95" s="101">
        <v>0.058</v>
      </c>
      <c r="G95" s="101"/>
      <c r="H95" s="101"/>
      <c r="I95" s="101">
        <v>0.003</v>
      </c>
      <c r="J95" s="98"/>
    </row>
    <row r="96" spans="1:10">
      <c r="A96" s="98">
        <v>288</v>
      </c>
      <c r="B96" s="98">
        <v>6</v>
      </c>
      <c r="C96" s="100">
        <v>46302.39583333334</v>
      </c>
      <c r="D96" s="100"/>
      <c r="E96" s="98" t="s">
        <v>28</v>
      </c>
      <c r="F96" s="101">
        <v>3.81</v>
      </c>
      <c r="G96" s="101"/>
      <c r="H96" s="101"/>
      <c r="I96" s="101">
        <v>0.08</v>
      </c>
      <c r="J96" s="98"/>
    </row>
    <row r="97" spans="1:10">
      <c r="A97" s="98">
        <v>288</v>
      </c>
      <c r="B97" s="98">
        <v>7</v>
      </c>
      <c r="C97" s="100">
        <v>46302.47916666666</v>
      </c>
      <c r="D97" s="100"/>
      <c r="E97" s="98" t="s">
        <v>12</v>
      </c>
      <c r="F97" s="101">
        <v>2229</v>
      </c>
      <c r="G97" s="101">
        <v>2085</v>
      </c>
      <c r="H97" s="101">
        <v>-144</v>
      </c>
      <c r="I97" s="101">
        <v>150</v>
      </c>
      <c r="J97" s="98" t="s">
        <v>170</v>
      </c>
    </row>
    <row r="98" spans="1:10">
      <c r="A98" s="98">
        <v>288</v>
      </c>
      <c r="B98" s="98">
        <v>7</v>
      </c>
      <c r="C98" s="100">
        <v>46302.47916666666</v>
      </c>
      <c r="D98" s="100"/>
      <c r="E98" s="98" t="s">
        <v>19</v>
      </c>
      <c r="F98" s="101">
        <v>85.8</v>
      </c>
      <c r="G98" s="101"/>
      <c r="H98" s="101"/>
      <c r="I98" s="101">
        <v>1</v>
      </c>
      <c r="J98" s="98"/>
    </row>
    <row r="99" spans="1:10">
      <c r="A99" s="98">
        <v>288</v>
      </c>
      <c r="B99" s="98">
        <v>7</v>
      </c>
      <c r="C99" s="100">
        <v>46302.47916666666</v>
      </c>
      <c r="D99" s="100"/>
      <c r="E99" s="98" t="s">
        <v>22</v>
      </c>
      <c r="F99" s="101">
        <v>1.91</v>
      </c>
      <c r="G99" s="101">
        <v>2.1</v>
      </c>
      <c r="H99" s="101">
        <v>0.1900000000000002</v>
      </c>
      <c r="I99" s="101">
        <v>0.19</v>
      </c>
      <c r="J99" s="98" t="s">
        <v>170</v>
      </c>
    </row>
    <row r="100" spans="1:10">
      <c r="A100" s="98">
        <v>288</v>
      </c>
      <c r="B100" s="98">
        <v>7</v>
      </c>
      <c r="C100" s="100">
        <v>46302.47916666666</v>
      </c>
      <c r="D100" s="100"/>
      <c r="E100" s="98" t="s">
        <v>25</v>
      </c>
      <c r="F100" s="101">
        <v>0.057</v>
      </c>
      <c r="G100" s="101">
        <v>0.057</v>
      </c>
      <c r="H100" s="101">
        <v>0</v>
      </c>
      <c r="I100" s="101">
        <v>0.003</v>
      </c>
      <c r="J100" s="98" t="s">
        <v>170</v>
      </c>
    </row>
    <row r="101" spans="1:10">
      <c r="A101" s="98">
        <v>288</v>
      </c>
      <c r="B101" s="98">
        <v>7</v>
      </c>
      <c r="C101" s="100">
        <v>46302.47916666666</v>
      </c>
      <c r="D101" s="100"/>
      <c r="E101" s="98" t="s">
        <v>28</v>
      </c>
      <c r="F101" s="101">
        <v>3.77</v>
      </c>
      <c r="G101" s="101">
        <v>3.85</v>
      </c>
      <c r="H101" s="101">
        <v>0.08000000000000007</v>
      </c>
      <c r="I101" s="101">
        <v>0.08</v>
      </c>
      <c r="J101" s="98" t="s">
        <v>170</v>
      </c>
    </row>
    <row r="102" spans="1:10">
      <c r="A102" s="98">
        <v>288</v>
      </c>
      <c r="B102" s="98">
        <v>8</v>
      </c>
      <c r="C102" s="100">
        <v>46302.5625</v>
      </c>
      <c r="D102" s="100"/>
      <c r="E102" s="98" t="s">
        <v>12</v>
      </c>
      <c r="F102" s="101">
        <v>2411</v>
      </c>
      <c r="G102" s="101">
        <v>2085</v>
      </c>
      <c r="H102" s="101">
        <v>-326</v>
      </c>
      <c r="I102" s="101">
        <v>150</v>
      </c>
      <c r="J102" s="98" t="s">
        <v>169</v>
      </c>
    </row>
    <row r="103" spans="1:10">
      <c r="A103" s="98">
        <v>288</v>
      </c>
      <c r="B103" s="98">
        <v>8</v>
      </c>
      <c r="C103" s="100">
        <v>46302.5625</v>
      </c>
      <c r="D103" s="100"/>
      <c r="E103" s="98" t="s">
        <v>19</v>
      </c>
      <c r="F103" s="101">
        <v>86.40000000000001</v>
      </c>
      <c r="G103" s="101">
        <v>86.2</v>
      </c>
      <c r="H103" s="101">
        <v>-0.2000000000000028</v>
      </c>
      <c r="I103" s="101">
        <v>1</v>
      </c>
      <c r="J103" s="98" t="s">
        <v>170</v>
      </c>
    </row>
    <row r="104" spans="1:10">
      <c r="A104" s="98">
        <v>288</v>
      </c>
      <c r="B104" s="98">
        <v>8</v>
      </c>
      <c r="C104" s="100">
        <v>46302.5625</v>
      </c>
      <c r="D104" s="100"/>
      <c r="E104" s="98" t="s">
        <v>22</v>
      </c>
      <c r="F104" s="101">
        <v>2.51</v>
      </c>
      <c r="G104" s="101"/>
      <c r="H104" s="101"/>
      <c r="I104" s="101">
        <v>0.19</v>
      </c>
      <c r="J104" s="98"/>
    </row>
    <row r="105" spans="1:10">
      <c r="A105" s="98">
        <v>288</v>
      </c>
      <c r="B105" s="98">
        <v>8</v>
      </c>
      <c r="C105" s="100">
        <v>46302.5625</v>
      </c>
      <c r="D105" s="100"/>
      <c r="E105" s="98" t="s">
        <v>25</v>
      </c>
      <c r="F105" s="101">
        <v>0.06</v>
      </c>
      <c r="G105" s="101"/>
      <c r="H105" s="101"/>
      <c r="I105" s="101">
        <v>0.003</v>
      </c>
      <c r="J105" s="98"/>
    </row>
    <row r="106" spans="1:10">
      <c r="A106" s="98">
        <v>288</v>
      </c>
      <c r="B106" s="98">
        <v>8</v>
      </c>
      <c r="C106" s="100">
        <v>46302.5625</v>
      </c>
      <c r="D106" s="100"/>
      <c r="E106" s="98" t="s">
        <v>28</v>
      </c>
      <c r="F106" s="101">
        <v>3.85</v>
      </c>
      <c r="G106" s="101"/>
      <c r="H106" s="101"/>
      <c r="I106" s="101">
        <v>0.08</v>
      </c>
      <c r="J106" s="98"/>
    </row>
    <row r="107" spans="1:10">
      <c r="A107" s="98">
        <v>288</v>
      </c>
      <c r="B107" s="98">
        <v>9</v>
      </c>
      <c r="C107" s="100">
        <v>46302.64583333334</v>
      </c>
      <c r="D107" s="100"/>
      <c r="E107" s="98" t="s">
        <v>12</v>
      </c>
      <c r="F107" s="101">
        <v>2210</v>
      </c>
      <c r="G107" s="101">
        <v>2029</v>
      </c>
      <c r="H107" s="101">
        <v>-181</v>
      </c>
      <c r="I107" s="101">
        <v>150</v>
      </c>
      <c r="J107" s="98" t="s">
        <v>169</v>
      </c>
    </row>
    <row r="108" spans="1:10">
      <c r="A108" s="98">
        <v>288</v>
      </c>
      <c r="B108" s="98">
        <v>9</v>
      </c>
      <c r="C108" s="100">
        <v>46302.64583333334</v>
      </c>
      <c r="D108" s="100"/>
      <c r="E108" s="98" t="s">
        <v>19</v>
      </c>
      <c r="F108" s="101">
        <v>86.7</v>
      </c>
      <c r="G108" s="101"/>
      <c r="H108" s="101"/>
      <c r="I108" s="101">
        <v>1</v>
      </c>
      <c r="J108" s="98"/>
    </row>
    <row r="109" spans="1:10">
      <c r="A109" s="98">
        <v>288</v>
      </c>
      <c r="B109" s="98">
        <v>9</v>
      </c>
      <c r="C109" s="100">
        <v>46302.64583333334</v>
      </c>
      <c r="D109" s="100"/>
      <c r="E109" s="98" t="s">
        <v>22</v>
      </c>
      <c r="F109" s="101">
        <v>2.44</v>
      </c>
      <c r="G109" s="101">
        <v>2.2</v>
      </c>
      <c r="H109" s="101">
        <v>-0.2399999999999998</v>
      </c>
      <c r="I109" s="101">
        <v>0.19</v>
      </c>
      <c r="J109" s="98" t="s">
        <v>169</v>
      </c>
    </row>
    <row r="110" spans="1:10">
      <c r="A110" s="98">
        <v>288</v>
      </c>
      <c r="B110" s="98">
        <v>9</v>
      </c>
      <c r="C110" s="100">
        <v>46302.64583333334</v>
      </c>
      <c r="D110" s="100"/>
      <c r="E110" s="98" t="s">
        <v>25</v>
      </c>
      <c r="F110" s="101">
        <v>0.061</v>
      </c>
      <c r="G110" s="101">
        <v>0.059</v>
      </c>
      <c r="H110" s="101">
        <v>-0.002000000000000002</v>
      </c>
      <c r="I110" s="101">
        <v>0.003</v>
      </c>
      <c r="J110" s="98" t="s">
        <v>170</v>
      </c>
    </row>
    <row r="111" spans="1:10">
      <c r="A111" s="98">
        <v>288</v>
      </c>
      <c r="B111" s="98">
        <v>9</v>
      </c>
      <c r="C111" s="100">
        <v>46302.64583333334</v>
      </c>
      <c r="D111" s="100"/>
      <c r="E111" s="98" t="s">
        <v>28</v>
      </c>
      <c r="F111" s="101">
        <v>3.75</v>
      </c>
      <c r="G111" s="101">
        <v>3.91</v>
      </c>
      <c r="H111" s="101">
        <v>0.1600000000000001</v>
      </c>
      <c r="I111" s="101">
        <v>0.08</v>
      </c>
      <c r="J111" s="98" t="s">
        <v>169</v>
      </c>
    </row>
    <row r="112" spans="1:10">
      <c r="A112" s="98">
        <v>288</v>
      </c>
      <c r="B112" s="98">
        <v>10</v>
      </c>
      <c r="C112" s="100">
        <v>46302.72916666666</v>
      </c>
      <c r="D112" s="100"/>
      <c r="E112" s="98" t="s">
        <v>12</v>
      </c>
      <c r="F112" s="101">
        <v>2109</v>
      </c>
      <c r="G112" s="101">
        <v>1993</v>
      </c>
      <c r="H112" s="101">
        <v>-116</v>
      </c>
      <c r="I112" s="101">
        <v>150</v>
      </c>
      <c r="J112" s="98" t="s">
        <v>170</v>
      </c>
    </row>
    <row r="113" spans="1:10">
      <c r="A113" s="98">
        <v>288</v>
      </c>
      <c r="B113" s="98">
        <v>10</v>
      </c>
      <c r="C113" s="100">
        <v>46302.72916666666</v>
      </c>
      <c r="D113" s="100"/>
      <c r="E113" s="98" t="s">
        <v>19</v>
      </c>
      <c r="F113" s="101">
        <v>87.7</v>
      </c>
      <c r="G113" s="101"/>
      <c r="H113" s="101"/>
      <c r="I113" s="101">
        <v>1</v>
      </c>
      <c r="J113" s="98"/>
    </row>
    <row r="114" spans="1:10">
      <c r="A114" s="98">
        <v>288</v>
      </c>
      <c r="B114" s="98">
        <v>10</v>
      </c>
      <c r="C114" s="100">
        <v>46302.72916666666</v>
      </c>
      <c r="D114" s="100"/>
      <c r="E114" s="98" t="s">
        <v>22</v>
      </c>
      <c r="F114" s="101">
        <v>2.98</v>
      </c>
      <c r="G114" s="101"/>
      <c r="H114" s="101"/>
      <c r="I114" s="101">
        <v>0.19</v>
      </c>
      <c r="J114" s="98"/>
    </row>
    <row r="115" spans="1:10">
      <c r="A115" s="98">
        <v>288</v>
      </c>
      <c r="B115" s="98">
        <v>10</v>
      </c>
      <c r="C115" s="100">
        <v>46302.72916666666</v>
      </c>
      <c r="D115" s="100"/>
      <c r="E115" s="98" t="s">
        <v>25</v>
      </c>
      <c r="F115" s="101">
        <v>0.08</v>
      </c>
      <c r="G115" s="101"/>
      <c r="H115" s="101"/>
      <c r="I115" s="101">
        <v>0.003</v>
      </c>
      <c r="J115" s="98"/>
    </row>
    <row r="116" spans="1:10">
      <c r="A116" s="98">
        <v>288</v>
      </c>
      <c r="B116" s="98">
        <v>10</v>
      </c>
      <c r="C116" s="100">
        <v>46302.72916666666</v>
      </c>
      <c r="D116" s="100"/>
      <c r="E116" s="98" t="s">
        <v>28</v>
      </c>
      <c r="F116" s="101">
        <v>3.92</v>
      </c>
      <c r="G116" s="101"/>
      <c r="H116" s="101"/>
      <c r="I116" s="101">
        <v>0.08</v>
      </c>
      <c r="J116" s="98"/>
    </row>
    <row r="117" spans="1:10">
      <c r="A117" s="98">
        <v>288</v>
      </c>
      <c r="B117" s="98">
        <v>11</v>
      </c>
      <c r="C117" s="100">
        <v>46302.8125</v>
      </c>
      <c r="D117" s="100"/>
      <c r="E117" s="98" t="s">
        <v>12</v>
      </c>
      <c r="F117" s="101">
        <v>1995</v>
      </c>
      <c r="G117" s="101">
        <v>1924</v>
      </c>
      <c r="H117" s="101">
        <v>-71</v>
      </c>
      <c r="I117" s="101">
        <v>150</v>
      </c>
      <c r="J117" s="98" t="s">
        <v>170</v>
      </c>
    </row>
    <row r="118" spans="1:10">
      <c r="A118" s="98">
        <v>288</v>
      </c>
      <c r="B118" s="98">
        <v>11</v>
      </c>
      <c r="C118" s="100">
        <v>46302.8125</v>
      </c>
      <c r="D118" s="100"/>
      <c r="E118" s="98" t="s">
        <v>19</v>
      </c>
      <c r="F118" s="101">
        <v>86.8</v>
      </c>
      <c r="G118" s="101">
        <v>86.5</v>
      </c>
      <c r="H118" s="101">
        <v>-0.2999999999999972</v>
      </c>
      <c r="I118" s="101">
        <v>1</v>
      </c>
      <c r="J118" s="98" t="s">
        <v>170</v>
      </c>
    </row>
    <row r="119" spans="1:10">
      <c r="A119" s="98">
        <v>288</v>
      </c>
      <c r="B119" s="98">
        <v>11</v>
      </c>
      <c r="C119" s="100">
        <v>46302.8125</v>
      </c>
      <c r="D119" s="100"/>
      <c r="E119" s="98" t="s">
        <v>22</v>
      </c>
      <c r="F119" s="101">
        <v>2.12</v>
      </c>
      <c r="G119" s="101">
        <v>2.24</v>
      </c>
      <c r="H119" s="101">
        <v>0.1200000000000001</v>
      </c>
      <c r="I119" s="101">
        <v>0.19</v>
      </c>
      <c r="J119" s="98" t="s">
        <v>170</v>
      </c>
    </row>
    <row r="120" spans="1:10">
      <c r="A120" s="98">
        <v>288</v>
      </c>
      <c r="B120" s="98">
        <v>11</v>
      </c>
      <c r="C120" s="100">
        <v>46302.8125</v>
      </c>
      <c r="D120" s="100"/>
      <c r="E120" s="98" t="s">
        <v>25</v>
      </c>
      <c r="F120" s="101">
        <v>0.062</v>
      </c>
      <c r="G120" s="101">
        <v>0.059</v>
      </c>
      <c r="H120" s="101">
        <v>-0.003000000000000003</v>
      </c>
      <c r="I120" s="101">
        <v>0.003</v>
      </c>
      <c r="J120" s="98" t="s">
        <v>170</v>
      </c>
    </row>
    <row r="121" spans="1:10">
      <c r="A121" s="98">
        <v>288</v>
      </c>
      <c r="B121" s="98">
        <v>11</v>
      </c>
      <c r="C121" s="100">
        <v>46302.8125</v>
      </c>
      <c r="D121" s="100"/>
      <c r="E121" s="98" t="s">
        <v>28</v>
      </c>
      <c r="F121" s="101">
        <v>4.06</v>
      </c>
      <c r="G121" s="101">
        <v>3.98</v>
      </c>
      <c r="H121" s="101">
        <v>-0.07999999999999963</v>
      </c>
      <c r="I121" s="101">
        <v>0.08</v>
      </c>
      <c r="J121" s="98" t="s">
        <v>170</v>
      </c>
    </row>
    <row r="122" spans="1:10">
      <c r="A122" s="98">
        <v>290</v>
      </c>
      <c r="B122" s="98">
        <v>1</v>
      </c>
      <c r="C122" s="100">
        <v>46303.47916666666</v>
      </c>
      <c r="D122" s="100"/>
      <c r="E122" s="98" t="s">
        <v>12</v>
      </c>
      <c r="F122" s="101">
        <v>2100</v>
      </c>
      <c r="G122" s="101">
        <v>2005</v>
      </c>
      <c r="H122" s="101">
        <v>-95</v>
      </c>
      <c r="I122" s="101">
        <v>150</v>
      </c>
      <c r="J122" s="98" t="s">
        <v>170</v>
      </c>
    </row>
    <row r="123" spans="1:10">
      <c r="A123" s="98">
        <v>290</v>
      </c>
      <c r="B123" s="98">
        <v>1</v>
      </c>
      <c r="C123" s="100">
        <v>46303.47916666666</v>
      </c>
      <c r="D123" s="100"/>
      <c r="E123" s="98" t="s">
        <v>19</v>
      </c>
      <c r="F123" s="101">
        <v>86.5</v>
      </c>
      <c r="G123" s="101"/>
      <c r="H123" s="101"/>
      <c r="I123" s="101">
        <v>1</v>
      </c>
      <c r="J123" s="98"/>
    </row>
    <row r="124" spans="1:10">
      <c r="A124" s="98">
        <v>290</v>
      </c>
      <c r="B124" s="98">
        <v>2</v>
      </c>
      <c r="C124" s="100">
        <v>46303.5625</v>
      </c>
      <c r="D124" s="100"/>
      <c r="E124" s="98" t="s">
        <v>12</v>
      </c>
      <c r="F124" s="101">
        <v>2027</v>
      </c>
      <c r="G124" s="101">
        <v>1986</v>
      </c>
      <c r="H124" s="101">
        <v>-41</v>
      </c>
      <c r="I124" s="101">
        <v>150</v>
      </c>
      <c r="J124" s="98" t="s">
        <v>170</v>
      </c>
    </row>
    <row r="125" spans="1:10">
      <c r="A125" s="98">
        <v>290</v>
      </c>
      <c r="B125" s="98">
        <v>2</v>
      </c>
      <c r="C125" s="100">
        <v>46303.5625</v>
      </c>
      <c r="D125" s="100"/>
      <c r="E125" s="98" t="s">
        <v>19</v>
      </c>
      <c r="F125" s="101">
        <v>87</v>
      </c>
      <c r="G125" s="101">
        <v>86.2</v>
      </c>
      <c r="H125" s="101">
        <v>-0.7999999999999972</v>
      </c>
      <c r="I125" s="101">
        <v>1</v>
      </c>
      <c r="J125" s="98" t="s">
        <v>170</v>
      </c>
    </row>
    <row r="126" spans="1:10">
      <c r="A126" s="98">
        <v>290</v>
      </c>
      <c r="B126" s="98">
        <v>3</v>
      </c>
      <c r="C126" s="100">
        <v>46303.64583333334</v>
      </c>
      <c r="D126" s="100"/>
      <c r="E126" s="98" t="s">
        <v>12</v>
      </c>
      <c r="F126" s="101">
        <v>2003</v>
      </c>
      <c r="G126" s="101">
        <v>2003</v>
      </c>
      <c r="H126" s="101">
        <v>0</v>
      </c>
      <c r="I126" s="101">
        <v>150</v>
      </c>
      <c r="J126" s="98" t="s">
        <v>170</v>
      </c>
    </row>
    <row r="127" spans="1:10">
      <c r="A127" s="98">
        <v>290</v>
      </c>
      <c r="B127" s="98">
        <v>3</v>
      </c>
      <c r="C127" s="100">
        <v>46303.64583333334</v>
      </c>
      <c r="D127" s="100"/>
      <c r="E127" s="98" t="s">
        <v>19</v>
      </c>
      <c r="F127" s="101">
        <v>87.40000000000001</v>
      </c>
      <c r="G127" s="101"/>
      <c r="H127" s="101"/>
      <c r="I127" s="101">
        <v>1</v>
      </c>
      <c r="J127" s="98"/>
    </row>
    <row r="128" spans="1:10">
      <c r="A128" s="98">
        <v>290</v>
      </c>
      <c r="B128" s="98">
        <v>4</v>
      </c>
      <c r="C128" s="100">
        <v>46303.72916666666</v>
      </c>
      <c r="D128" s="100"/>
      <c r="E128" s="98" t="s">
        <v>12</v>
      </c>
      <c r="F128" s="101">
        <v>2062</v>
      </c>
      <c r="G128" s="101">
        <v>1992</v>
      </c>
      <c r="H128" s="101">
        <v>-70</v>
      </c>
      <c r="I128" s="101">
        <v>150</v>
      </c>
      <c r="J128" s="98" t="s">
        <v>170</v>
      </c>
    </row>
    <row r="129" spans="1:10">
      <c r="A129" s="98">
        <v>290</v>
      </c>
      <c r="B129" s="98">
        <v>4</v>
      </c>
      <c r="C129" s="100">
        <v>46303.72916666666</v>
      </c>
      <c r="D129" s="100"/>
      <c r="E129" s="98" t="s">
        <v>19</v>
      </c>
      <c r="F129" s="101">
        <v>88.5</v>
      </c>
      <c r="G129" s="101"/>
      <c r="H129" s="101"/>
      <c r="I129" s="101">
        <v>1</v>
      </c>
      <c r="J129" s="98"/>
    </row>
    <row r="130" spans="1:10">
      <c r="A130" s="98">
        <v>290</v>
      </c>
      <c r="B130" s="98">
        <v>5</v>
      </c>
      <c r="C130" s="100">
        <v>46303.8125</v>
      </c>
      <c r="D130" s="100"/>
      <c r="E130" s="98" t="s">
        <v>12</v>
      </c>
      <c r="F130" s="101">
        <v>2253</v>
      </c>
      <c r="G130" s="101">
        <v>2045</v>
      </c>
      <c r="H130" s="101">
        <v>-208</v>
      </c>
      <c r="I130" s="101">
        <v>150</v>
      </c>
      <c r="J130" s="98" t="s">
        <v>169</v>
      </c>
    </row>
    <row r="131" spans="1:10">
      <c r="A131" s="98">
        <v>290</v>
      </c>
      <c r="B131" s="98">
        <v>5</v>
      </c>
      <c r="C131" s="100">
        <v>46303.8125</v>
      </c>
      <c r="D131" s="100"/>
      <c r="E131" s="98" t="s">
        <v>19</v>
      </c>
      <c r="F131" s="101">
        <v>89.59999999999999</v>
      </c>
      <c r="G131" s="101">
        <v>89</v>
      </c>
      <c r="H131" s="101">
        <v>-0.5999999999999943</v>
      </c>
      <c r="I131" s="101">
        <v>1</v>
      </c>
      <c r="J131" s="98" t="s">
        <v>170</v>
      </c>
    </row>
    <row r="132" spans="1:10">
      <c r="A132" s="98">
        <v>290</v>
      </c>
      <c r="B132" s="98">
        <v>6</v>
      </c>
      <c r="C132" s="100">
        <v>46303.89583333334</v>
      </c>
      <c r="D132" s="100"/>
      <c r="E132" s="98" t="s">
        <v>12</v>
      </c>
      <c r="F132" s="101">
        <v>2198</v>
      </c>
      <c r="G132" s="101">
        <v>2006</v>
      </c>
      <c r="H132" s="101">
        <v>-192</v>
      </c>
      <c r="I132" s="101">
        <v>150</v>
      </c>
      <c r="J132" s="98" t="s">
        <v>169</v>
      </c>
    </row>
    <row r="133" spans="1:10">
      <c r="A133" s="98">
        <v>290</v>
      </c>
      <c r="B133" s="98">
        <v>6</v>
      </c>
      <c r="C133" s="100">
        <v>46303.89583333334</v>
      </c>
      <c r="D133" s="100"/>
      <c r="E133" s="98" t="s">
        <v>19</v>
      </c>
      <c r="F133" s="101">
        <v>89.7</v>
      </c>
      <c r="G133" s="101"/>
      <c r="H133" s="101"/>
      <c r="I133" s="101">
        <v>1</v>
      </c>
      <c r="J133" s="98"/>
    </row>
    <row r="134" spans="1:10">
      <c r="A134" s="98">
        <v>290</v>
      </c>
      <c r="B134" s="98">
        <v>7</v>
      </c>
      <c r="C134" s="100">
        <v>46303.97916666666</v>
      </c>
      <c r="D134" s="100"/>
      <c r="E134" s="98" t="s">
        <v>12</v>
      </c>
      <c r="F134" s="101">
        <v>2149</v>
      </c>
      <c r="G134" s="101">
        <v>1992</v>
      </c>
      <c r="H134" s="101">
        <v>-157</v>
      </c>
      <c r="I134" s="101">
        <v>150</v>
      </c>
      <c r="J134" s="98" t="s">
        <v>169</v>
      </c>
    </row>
    <row r="135" spans="1:10">
      <c r="A135" s="98">
        <v>290</v>
      </c>
      <c r="B135" s="98">
        <v>7</v>
      </c>
      <c r="C135" s="100">
        <v>46303.97916666666</v>
      </c>
      <c r="D135" s="100"/>
      <c r="E135" s="98" t="s">
        <v>19</v>
      </c>
      <c r="F135" s="101">
        <v>89.7</v>
      </c>
      <c r="G135" s="101"/>
      <c r="H135" s="101"/>
      <c r="I135" s="101">
        <v>1</v>
      </c>
      <c r="J135" s="98"/>
    </row>
    <row r="136" spans="1:10">
      <c r="A136" s="98">
        <v>290</v>
      </c>
      <c r="B136" s="98">
        <v>8</v>
      </c>
      <c r="C136" s="100">
        <v>46304.0625</v>
      </c>
      <c r="D136" s="100"/>
      <c r="E136" s="98" t="s">
        <v>12</v>
      </c>
      <c r="F136" s="101">
        <v>1993</v>
      </c>
      <c r="G136" s="101">
        <v>1989</v>
      </c>
      <c r="H136" s="101">
        <v>-4</v>
      </c>
      <c r="I136" s="101">
        <v>150</v>
      </c>
      <c r="J136" s="98" t="s">
        <v>170</v>
      </c>
    </row>
    <row r="137" spans="1:10">
      <c r="A137" s="98">
        <v>290</v>
      </c>
      <c r="B137" s="98">
        <v>8</v>
      </c>
      <c r="C137" s="100">
        <v>46304.0625</v>
      </c>
      <c r="D137" s="100"/>
      <c r="E137" s="98" t="s">
        <v>19</v>
      </c>
      <c r="F137" s="101">
        <v>89.5</v>
      </c>
      <c r="G137" s="101">
        <v>89.09999999999999</v>
      </c>
      <c r="H137" s="101">
        <v>-0.4000000000000057</v>
      </c>
      <c r="I137" s="101">
        <v>1</v>
      </c>
      <c r="J137" s="98" t="s">
        <v>170</v>
      </c>
    </row>
    <row r="138" spans="1:10">
      <c r="A138" s="98">
        <v>290</v>
      </c>
      <c r="B138" s="98">
        <v>9</v>
      </c>
      <c r="C138" s="100">
        <v>46304.14583333334</v>
      </c>
      <c r="D138" s="100"/>
      <c r="E138" s="98" t="s">
        <v>12</v>
      </c>
      <c r="F138" s="101">
        <v>2097</v>
      </c>
      <c r="G138" s="101">
        <v>1995</v>
      </c>
      <c r="H138" s="101">
        <v>-102</v>
      </c>
      <c r="I138" s="101">
        <v>150</v>
      </c>
      <c r="J138" s="98" t="s">
        <v>170</v>
      </c>
    </row>
    <row r="139" spans="1:10">
      <c r="A139" s="98">
        <v>290</v>
      </c>
      <c r="B139" s="98">
        <v>9</v>
      </c>
      <c r="C139" s="100">
        <v>46304.14583333334</v>
      </c>
      <c r="D139" s="100"/>
      <c r="E139" s="98" t="s">
        <v>19</v>
      </c>
      <c r="F139" s="101">
        <v>88.40000000000001</v>
      </c>
      <c r="G139" s="101"/>
      <c r="H139" s="101"/>
      <c r="I139" s="101">
        <v>1</v>
      </c>
      <c r="J139" s="98"/>
    </row>
    <row r="140" spans="1:10">
      <c r="A140" s="98">
        <v>290</v>
      </c>
      <c r="B140" s="98">
        <v>10</v>
      </c>
      <c r="C140" s="100">
        <v>46304.22916666666</v>
      </c>
      <c r="D140" s="100"/>
      <c r="E140" s="98" t="s">
        <v>12</v>
      </c>
      <c r="F140" s="101">
        <v>2133</v>
      </c>
      <c r="G140" s="101">
        <v>1981</v>
      </c>
      <c r="H140" s="101">
        <v>-152</v>
      </c>
      <c r="I140" s="101">
        <v>150</v>
      </c>
      <c r="J140" s="98" t="s">
        <v>169</v>
      </c>
    </row>
    <row r="141" spans="1:10">
      <c r="A141" s="98">
        <v>290</v>
      </c>
      <c r="B141" s="98">
        <v>10</v>
      </c>
      <c r="C141" s="100">
        <v>46304.22916666666</v>
      </c>
      <c r="D141" s="100"/>
      <c r="E141" s="98" t="s">
        <v>19</v>
      </c>
      <c r="F141" s="101">
        <v>89.2</v>
      </c>
      <c r="G141" s="101"/>
      <c r="H141" s="101"/>
      <c r="I141" s="101">
        <v>1</v>
      </c>
      <c r="J141" s="98"/>
    </row>
    <row r="142" spans="1:10">
      <c r="A142" s="98">
        <v>290</v>
      </c>
      <c r="B142" s="98">
        <v>11</v>
      </c>
      <c r="C142" s="100">
        <v>46304.3125</v>
      </c>
      <c r="D142" s="100"/>
      <c r="E142" s="98" t="s">
        <v>12</v>
      </c>
      <c r="F142" s="101">
        <v>1912</v>
      </c>
      <c r="G142" s="101">
        <v>1864</v>
      </c>
      <c r="H142" s="101">
        <v>-48</v>
      </c>
      <c r="I142" s="101">
        <v>150</v>
      </c>
      <c r="J142" s="98" t="s">
        <v>170</v>
      </c>
    </row>
    <row r="143" spans="1:10">
      <c r="A143" s="98">
        <v>290</v>
      </c>
      <c r="B143" s="98">
        <v>11</v>
      </c>
      <c r="C143" s="100">
        <v>46304.3125</v>
      </c>
      <c r="D143" s="100"/>
      <c r="E143" s="98" t="s">
        <v>19</v>
      </c>
      <c r="F143" s="101">
        <v>88.09999999999999</v>
      </c>
      <c r="G143" s="101">
        <v>87.40000000000001</v>
      </c>
      <c r="H143" s="101">
        <v>-0.6999999999999886</v>
      </c>
      <c r="I143" s="101">
        <v>1</v>
      </c>
      <c r="J143" s="98" t="s">
        <v>170</v>
      </c>
    </row>
    <row r="144" spans="1:10">
      <c r="A144" s="98">
        <v>290</v>
      </c>
      <c r="B144" s="98">
        <v>12</v>
      </c>
      <c r="C144" s="100">
        <v>46304.39583333334</v>
      </c>
      <c r="D144" s="100"/>
      <c r="E144" s="98" t="s">
        <v>12</v>
      </c>
      <c r="F144" s="101">
        <v>1898</v>
      </c>
      <c r="G144" s="101">
        <v>1813</v>
      </c>
      <c r="H144" s="101">
        <v>-85</v>
      </c>
      <c r="I144" s="101">
        <v>150</v>
      </c>
      <c r="J144" s="98" t="s">
        <v>170</v>
      </c>
    </row>
    <row r="145" spans="1:10">
      <c r="A145" s="98">
        <v>290</v>
      </c>
      <c r="B145" s="98">
        <v>12</v>
      </c>
      <c r="C145" s="100">
        <v>46304.39583333334</v>
      </c>
      <c r="D145" s="100"/>
      <c r="E145" s="98" t="s">
        <v>19</v>
      </c>
      <c r="F145" s="101">
        <v>86.59999999999999</v>
      </c>
      <c r="G145" s="101"/>
      <c r="H145" s="101"/>
      <c r="I145" s="101">
        <v>1</v>
      </c>
      <c r="J145" s="98"/>
    </row>
    <row r="146" spans="1:10">
      <c r="A146" s="98">
        <v>290</v>
      </c>
      <c r="B146" s="98">
        <v>13</v>
      </c>
      <c r="C146" s="100">
        <v>46304.47916666666</v>
      </c>
      <c r="D146" s="100"/>
      <c r="E146" s="98" t="s">
        <v>12</v>
      </c>
      <c r="F146" s="101">
        <v>1902</v>
      </c>
      <c r="G146" s="101">
        <v>1780</v>
      </c>
      <c r="H146" s="101">
        <v>-122</v>
      </c>
      <c r="I146" s="101">
        <v>150</v>
      </c>
      <c r="J146" s="98" t="s">
        <v>170</v>
      </c>
    </row>
    <row r="147" spans="1:10">
      <c r="A147" s="98">
        <v>290</v>
      </c>
      <c r="B147" s="98">
        <v>13</v>
      </c>
      <c r="C147" s="100">
        <v>46304.47916666666</v>
      </c>
      <c r="D147" s="100"/>
      <c r="E147" s="98" t="s">
        <v>19</v>
      </c>
      <c r="F147" s="101">
        <v>85.3</v>
      </c>
      <c r="G147" s="101"/>
      <c r="H147" s="101"/>
      <c r="I147" s="101">
        <v>1</v>
      </c>
      <c r="J147" s="98"/>
    </row>
    <row r="148" spans="1:10">
      <c r="A148" s="98">
        <v>290</v>
      </c>
      <c r="B148" s="98">
        <v>14</v>
      </c>
      <c r="C148" s="100">
        <v>46304.5625</v>
      </c>
      <c r="D148" s="100"/>
      <c r="E148" s="98" t="s">
        <v>12</v>
      </c>
      <c r="F148" s="101">
        <v>1815</v>
      </c>
      <c r="G148" s="101">
        <v>1763</v>
      </c>
      <c r="H148" s="101">
        <v>-52</v>
      </c>
      <c r="I148" s="101">
        <v>150</v>
      </c>
      <c r="J148" s="98" t="s">
        <v>170</v>
      </c>
    </row>
    <row r="149" spans="1:10">
      <c r="A149" s="98">
        <v>290</v>
      </c>
      <c r="B149" s="98">
        <v>14</v>
      </c>
      <c r="C149" s="100">
        <v>46304.5625</v>
      </c>
      <c r="D149" s="100"/>
      <c r="E149" s="98" t="s">
        <v>19</v>
      </c>
      <c r="F149" s="101">
        <v>85.40000000000001</v>
      </c>
      <c r="G149" s="101">
        <v>85.59999999999999</v>
      </c>
      <c r="H149" s="101">
        <v>0.1999999999999886</v>
      </c>
      <c r="I149" s="101">
        <v>1</v>
      </c>
      <c r="J149" s="98" t="s">
        <v>170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320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3" t="s">
        <v>321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2:19" ht="26" customHeight="1"/>
    <row r="5" spans="2:19" ht="14" customHeight="1"/>
    <row r="6" spans="2:19">
      <c r="B6" s="102" t="s">
        <v>322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3" t="s">
        <v>1</v>
      </c>
      <c r="C3" s="33"/>
      <c r="D3" s="33"/>
      <c r="E3" s="33"/>
      <c r="F3" s="33"/>
      <c r="G3" s="33"/>
      <c r="H3" s="33"/>
      <c r="I3" s="33"/>
      <c r="J3" s="33"/>
      <c r="K3" s="33"/>
    </row>
    <row r="5" spans="2:11" ht="22" customHeight="1">
      <c r="B5" s="34" t="s">
        <v>2</v>
      </c>
      <c r="C5" s="34"/>
      <c r="D5" s="34"/>
      <c r="E5" s="34"/>
      <c r="F5" s="34"/>
      <c r="G5" s="34"/>
      <c r="H5" s="34"/>
      <c r="I5" s="34"/>
    </row>
    <row r="6" spans="2:11" ht="26" customHeight="1">
      <c r="B6" s="103" t="s">
        <v>3</v>
      </c>
      <c r="C6" s="103"/>
      <c r="D6" s="103"/>
      <c r="E6" s="103"/>
      <c r="F6" s="103"/>
      <c r="G6" s="103"/>
      <c r="H6" s="103"/>
      <c r="I6" s="103"/>
    </row>
    <row r="7" spans="2:11">
      <c r="B7" s="104" t="s">
        <v>4</v>
      </c>
      <c r="C7" s="104" t="s">
        <v>5</v>
      </c>
      <c r="D7" s="104" t="s">
        <v>6</v>
      </c>
      <c r="E7" s="104" t="s">
        <v>7</v>
      </c>
      <c r="F7" s="104" t="s">
        <v>8</v>
      </c>
      <c r="G7" s="104" t="s">
        <v>9</v>
      </c>
      <c r="H7" s="104" t="s">
        <v>10</v>
      </c>
      <c r="I7" s="104" t="s">
        <v>11</v>
      </c>
    </row>
    <row r="8" spans="2:11">
      <c r="B8" s="105" t="s">
        <v>12</v>
      </c>
      <c r="C8" s="106" t="s">
        <v>13</v>
      </c>
      <c r="D8" s="107" t="s">
        <v>14</v>
      </c>
      <c r="E8" s="52" t="s">
        <v>15</v>
      </c>
      <c r="F8" s="52" t="s">
        <v>16</v>
      </c>
      <c r="G8" s="52">
        <v>300</v>
      </c>
      <c r="H8" s="52">
        <v>5000</v>
      </c>
      <c r="I8" s="52">
        <v>2000</v>
      </c>
      <c r="K8" s="35" t="s">
        <v>31</v>
      </c>
    </row>
    <row r="9" spans="2:11">
      <c r="B9" s="105" t="s">
        <v>12</v>
      </c>
      <c r="C9" s="106" t="s">
        <v>17</v>
      </c>
      <c r="D9" s="107" t="s">
        <v>18</v>
      </c>
      <c r="E9" s="52" t="s">
        <v>15</v>
      </c>
      <c r="F9" s="52" t="s">
        <v>16</v>
      </c>
      <c r="G9" s="52">
        <v>300</v>
      </c>
      <c r="H9" s="52">
        <v>5000</v>
      </c>
      <c r="I9" s="52">
        <v>1900</v>
      </c>
      <c r="K9" s="35"/>
    </row>
    <row r="10" spans="2:11">
      <c r="B10" s="105" t="s">
        <v>19</v>
      </c>
      <c r="C10" s="106" t="s">
        <v>13</v>
      </c>
      <c r="D10" s="107" t="s">
        <v>20</v>
      </c>
      <c r="E10" s="52" t="s">
        <v>15</v>
      </c>
      <c r="F10" s="52" t="s">
        <v>16</v>
      </c>
      <c r="G10" s="52">
        <v>40</v>
      </c>
      <c r="H10" s="52">
        <v>100</v>
      </c>
      <c r="I10" s="52">
        <v>87.5</v>
      </c>
      <c r="K10" s="35"/>
    </row>
    <row r="11" spans="2:11">
      <c r="B11" s="105" t="s">
        <v>19</v>
      </c>
      <c r="C11" s="106" t="s">
        <v>17</v>
      </c>
      <c r="D11" s="107" t="s">
        <v>21</v>
      </c>
      <c r="E11" s="52" t="s">
        <v>15</v>
      </c>
      <c r="F11" s="52" t="s">
        <v>16</v>
      </c>
      <c r="G11" s="52">
        <v>40</v>
      </c>
      <c r="H11" s="52">
        <v>100</v>
      </c>
      <c r="I11" s="52">
        <v>87</v>
      </c>
      <c r="K11" s="35"/>
    </row>
    <row r="12" spans="2:11">
      <c r="B12" s="105" t="s">
        <v>22</v>
      </c>
      <c r="C12" s="106" t="s">
        <v>13</v>
      </c>
      <c r="D12" s="107" t="s">
        <v>23</v>
      </c>
      <c r="E12" s="52" t="s">
        <v>15</v>
      </c>
      <c r="F12" s="52" t="s">
        <v>16</v>
      </c>
      <c r="G12" s="52">
        <v>0</v>
      </c>
      <c r="H12" s="52">
        <v>20</v>
      </c>
      <c r="I12" s="52">
        <v>1.95</v>
      </c>
    </row>
    <row r="13" spans="2:11">
      <c r="B13" s="105" t="s">
        <v>22</v>
      </c>
      <c r="C13" s="106" t="s">
        <v>17</v>
      </c>
      <c r="D13" s="107" t="s">
        <v>24</v>
      </c>
      <c r="E13" s="52" t="s">
        <v>15</v>
      </c>
      <c r="F13" s="52" t="s">
        <v>16</v>
      </c>
      <c r="G13" s="52">
        <v>0</v>
      </c>
      <c r="H13" s="52">
        <v>20</v>
      </c>
      <c r="I13" s="52">
        <v>1.93</v>
      </c>
    </row>
    <row r="14" spans="2:11">
      <c r="B14" s="105" t="s">
        <v>25</v>
      </c>
      <c r="C14" s="106" t="s">
        <v>13</v>
      </c>
      <c r="D14" s="107" t="s">
        <v>26</v>
      </c>
      <c r="E14" s="52" t="s">
        <v>15</v>
      </c>
      <c r="F14" s="52" t="s">
        <v>16</v>
      </c>
      <c r="G14" s="52">
        <v>0</v>
      </c>
      <c r="H14" s="52">
        <v>1</v>
      </c>
      <c r="I14" s="52">
        <v>0.058</v>
      </c>
    </row>
    <row r="15" spans="2:11">
      <c r="B15" s="105" t="s">
        <v>25</v>
      </c>
      <c r="C15" s="106" t="s">
        <v>17</v>
      </c>
      <c r="D15" s="107" t="s">
        <v>27</v>
      </c>
      <c r="E15" s="52" t="s">
        <v>15</v>
      </c>
      <c r="F15" s="52" t="s">
        <v>16</v>
      </c>
      <c r="G15" s="52">
        <v>0</v>
      </c>
      <c r="H15" s="52">
        <v>1</v>
      </c>
      <c r="I15" s="52">
        <v>0.057</v>
      </c>
    </row>
    <row r="16" spans="2:11">
      <c r="B16" s="105" t="s">
        <v>28</v>
      </c>
      <c r="C16" s="106" t="s">
        <v>13</v>
      </c>
      <c r="D16" s="107" t="s">
        <v>29</v>
      </c>
      <c r="E16" s="52" t="s">
        <v>15</v>
      </c>
      <c r="F16" s="52" t="s">
        <v>16</v>
      </c>
      <c r="G16" s="52">
        <v>0</v>
      </c>
      <c r="H16" s="52">
        <v>15</v>
      </c>
      <c r="I16" s="52">
        <v>3.6</v>
      </c>
    </row>
    <row r="17" spans="2:9">
      <c r="B17" s="105" t="s">
        <v>28</v>
      </c>
      <c r="C17" s="106" t="s">
        <v>17</v>
      </c>
      <c r="D17" s="107" t="s">
        <v>30</v>
      </c>
      <c r="E17" s="52" t="s">
        <v>15</v>
      </c>
      <c r="F17" s="52" t="s">
        <v>16</v>
      </c>
      <c r="G17" s="52">
        <v>0</v>
      </c>
      <c r="H17" s="52">
        <v>15</v>
      </c>
      <c r="I17" s="52">
        <v>3.55</v>
      </c>
    </row>
    <row r="19" spans="2:9" ht="22" customHeight="1">
      <c r="B19" s="34" t="s">
        <v>32</v>
      </c>
      <c r="C19" s="34"/>
      <c r="D19" s="34"/>
      <c r="E19" s="34"/>
      <c r="F19" s="34"/>
      <c r="G19" s="34"/>
      <c r="H19" s="34"/>
      <c r="I19" s="34"/>
    </row>
    <row r="20" spans="2:9">
      <c r="B20" s="108" t="s">
        <v>33</v>
      </c>
      <c r="C20" s="52" t="s">
        <v>34</v>
      </c>
      <c r="D20" s="52"/>
      <c r="E20" s="103" t="s">
        <v>35</v>
      </c>
      <c r="F20" s="103"/>
      <c r="G20" s="103"/>
      <c r="H20" s="103"/>
      <c r="I20" s="103"/>
    </row>
    <row r="21" spans="2:9">
      <c r="B21" s="108" t="s">
        <v>36</v>
      </c>
      <c r="C21" s="52">
        <v>120</v>
      </c>
      <c r="D21" s="52"/>
      <c r="E21" s="103" t="s">
        <v>37</v>
      </c>
      <c r="F21" s="103"/>
      <c r="G21" s="103"/>
      <c r="H21" s="103"/>
      <c r="I21" s="103"/>
    </row>
    <row r="22" spans="2:9">
      <c r="B22" s="108" t="s">
        <v>38</v>
      </c>
      <c r="C22" s="52" t="s">
        <v>39</v>
      </c>
      <c r="D22" s="52"/>
      <c r="E22" s="103" t="s">
        <v>40</v>
      </c>
      <c r="F22" s="103"/>
      <c r="G22" s="103"/>
      <c r="H22" s="103"/>
      <c r="I22" s="103"/>
    </row>
    <row r="23" spans="2:9">
      <c r="B23" s="108" t="s">
        <v>41</v>
      </c>
      <c r="C23" s="52">
        <v>30</v>
      </c>
      <c r="D23" s="52"/>
      <c r="E23" s="103" t="s">
        <v>42</v>
      </c>
      <c r="F23" s="103"/>
      <c r="G23" s="103"/>
      <c r="H23" s="103"/>
      <c r="I23" s="103"/>
    </row>
    <row r="24" spans="2:9">
      <c r="B24" s="108" t="s">
        <v>43</v>
      </c>
      <c r="C24" s="109">
        <v>0.2916666666666667</v>
      </c>
      <c r="D24" s="52"/>
      <c r="E24" s="103" t="s">
        <v>44</v>
      </c>
      <c r="F24" s="103"/>
      <c r="G24" s="103"/>
      <c r="H24" s="103"/>
      <c r="I24" s="103"/>
    </row>
    <row r="25" spans="2:9">
      <c r="B25" s="108" t="s">
        <v>45</v>
      </c>
      <c r="C25" s="109">
        <v>0.2916666666666667</v>
      </c>
      <c r="D25" s="52"/>
      <c r="E25" s="103" t="s">
        <v>46</v>
      </c>
      <c r="F25" s="103"/>
      <c r="G25" s="103"/>
      <c r="H25" s="103"/>
      <c r="I25" s="103"/>
    </row>
    <row r="26" spans="2:9">
      <c r="B26" s="108" t="s">
        <v>47</v>
      </c>
      <c r="C26" s="52" t="s">
        <v>48</v>
      </c>
      <c r="D26" s="52"/>
      <c r="E26" s="103" t="s">
        <v>49</v>
      </c>
      <c r="F26" s="103"/>
      <c r="G26" s="103"/>
      <c r="H26" s="103"/>
      <c r="I26" s="103"/>
    </row>
    <row r="27" spans="2:9">
      <c r="B27" s="108" t="s">
        <v>50</v>
      </c>
      <c r="C27" s="52" t="s">
        <v>51</v>
      </c>
      <c r="D27" s="52"/>
      <c r="E27" s="103" t="s">
        <v>52</v>
      </c>
      <c r="F27" s="103"/>
      <c r="G27" s="103"/>
      <c r="H27" s="103"/>
      <c r="I27" s="103"/>
    </row>
    <row r="28" spans="2:9">
      <c r="B28" s="108" t="s">
        <v>53</v>
      </c>
      <c r="C28" s="52" t="s">
        <v>15</v>
      </c>
      <c r="D28" s="52"/>
      <c r="E28" s="103" t="s">
        <v>54</v>
      </c>
      <c r="F28" s="103"/>
      <c r="G28" s="103"/>
      <c r="H28" s="103"/>
      <c r="I28" s="103"/>
    </row>
    <row r="30" spans="2:9" ht="22" customHeight="1">
      <c r="B30" s="34" t="s">
        <v>55</v>
      </c>
      <c r="C30" s="34"/>
      <c r="D30" s="34"/>
      <c r="E30" s="34"/>
      <c r="F30" s="34"/>
      <c r="G30" s="34"/>
      <c r="H30" s="34"/>
      <c r="I30" s="34"/>
    </row>
    <row r="31" spans="2:9" ht="24" customHeight="1">
      <c r="B31" s="103" t="s">
        <v>56</v>
      </c>
      <c r="C31" s="103"/>
      <c r="D31" s="103"/>
      <c r="E31" s="103"/>
      <c r="F31" s="103"/>
      <c r="G31" s="103"/>
      <c r="H31" s="103"/>
      <c r="I31" s="103"/>
    </row>
    <row r="32" spans="2:9">
      <c r="B32" s="108" t="s">
        <v>57</v>
      </c>
      <c r="C32" s="110">
        <v>8</v>
      </c>
    </row>
    <row r="33" spans="2:9">
      <c r="B33" s="108" t="s">
        <v>58</v>
      </c>
      <c r="C33" s="110">
        <v>6</v>
      </c>
    </row>
    <row r="34" spans="2:9">
      <c r="B34" s="108" t="s">
        <v>59</v>
      </c>
      <c r="C34" s="110">
        <v>4</v>
      </c>
    </row>
    <row r="36" spans="2:9" ht="22" customHeight="1">
      <c r="B36" s="34" t="s">
        <v>60</v>
      </c>
      <c r="C36" s="34"/>
      <c r="D36" s="34"/>
      <c r="E36" s="34"/>
      <c r="F36" s="34"/>
      <c r="G36" s="34"/>
      <c r="H36" s="34"/>
      <c r="I36" s="34"/>
    </row>
    <row r="37" spans="2:9">
      <c r="B37" s="108" t="s">
        <v>61</v>
      </c>
      <c r="C37" s="88" t="s">
        <v>13</v>
      </c>
      <c r="D37" s="88"/>
      <c r="E37" s="88"/>
      <c r="F37" s="88"/>
    </row>
    <row r="38" spans="2:9">
      <c r="B38" s="108" t="s">
        <v>62</v>
      </c>
      <c r="C38" s="88" t="s">
        <v>17</v>
      </c>
      <c r="D38" s="88"/>
      <c r="E38" s="88"/>
      <c r="F38" s="88"/>
    </row>
    <row r="39" spans="2:9">
      <c r="B39" s="108" t="s">
        <v>63</v>
      </c>
      <c r="C39" s="88" t="s">
        <v>13</v>
      </c>
      <c r="D39" s="88"/>
      <c r="E39" s="88"/>
      <c r="F39" s="88"/>
    </row>
    <row r="40" spans="2:9">
      <c r="B40" s="108" t="s">
        <v>64</v>
      </c>
      <c r="C40" s="88" t="s">
        <v>65</v>
      </c>
      <c r="D40" s="88"/>
      <c r="E40" s="88"/>
      <c r="F40" s="88"/>
    </row>
    <row r="41" spans="2:9">
      <c r="B41" s="108" t="s">
        <v>66</v>
      </c>
      <c r="C41" s="111">
        <v>14</v>
      </c>
      <c r="D41" s="88"/>
      <c r="E41" s="88"/>
      <c r="F41" s="88"/>
    </row>
    <row r="42" spans="2:9">
      <c r="B42" s="108" t="s">
        <v>67</v>
      </c>
      <c r="C42" s="88" t="s">
        <v>68</v>
      </c>
      <c r="D42" s="88"/>
      <c r="E42" s="88"/>
      <c r="F42" s="88"/>
    </row>
    <row r="43" spans="2:9">
      <c r="B43" s="108" t="s">
        <v>69</v>
      </c>
      <c r="C43" s="88" t="s">
        <v>70</v>
      </c>
      <c r="D43" s="88"/>
      <c r="E43" s="88"/>
      <c r="F43" s="88"/>
    </row>
    <row r="44" spans="2:9">
      <c r="B44" s="108" t="s">
        <v>71</v>
      </c>
      <c r="C44" s="88" t="s">
        <v>72</v>
      </c>
      <c r="D44" s="88"/>
      <c r="E44" s="88"/>
      <c r="F44" s="88"/>
    </row>
    <row r="45" spans="2:9">
      <c r="B45" s="108" t="s">
        <v>73</v>
      </c>
      <c r="C45" s="111">
        <v>150</v>
      </c>
      <c r="D45" s="88"/>
      <c r="E45" s="88"/>
      <c r="F45" s="88"/>
    </row>
    <row r="46" spans="2:9">
      <c r="B46" s="108" t="s">
        <v>74</v>
      </c>
      <c r="C46" s="111">
        <v>1</v>
      </c>
      <c r="D46" s="88"/>
      <c r="E46" s="88"/>
      <c r="F46" s="88"/>
    </row>
    <row r="47" spans="2:9">
      <c r="B47" s="108" t="s">
        <v>75</v>
      </c>
      <c r="C47" s="111">
        <v>0.19</v>
      </c>
      <c r="D47" s="88"/>
      <c r="E47" s="88"/>
      <c r="F47" s="88"/>
    </row>
    <row r="48" spans="2:9">
      <c r="B48" s="108" t="s">
        <v>76</v>
      </c>
      <c r="C48" s="111">
        <v>0.003</v>
      </c>
      <c r="D48" s="88"/>
      <c r="E48" s="88"/>
      <c r="F48" s="88"/>
    </row>
    <row r="49" spans="2:9">
      <c r="B49" s="108" t="s">
        <v>77</v>
      </c>
      <c r="C49" s="111">
        <v>0.08</v>
      </c>
      <c r="D49" s="88"/>
      <c r="E49" s="88"/>
      <c r="F49" s="88"/>
    </row>
    <row r="51" spans="2:9" ht="22" customHeight="1">
      <c r="B51" s="34" t="s">
        <v>78</v>
      </c>
      <c r="C51" s="34"/>
      <c r="D51" s="34"/>
      <c r="E51" s="34"/>
      <c r="F51" s="34"/>
      <c r="G51" s="34"/>
      <c r="H51" s="34"/>
      <c r="I51" s="34"/>
    </row>
    <row r="52" spans="2:9">
      <c r="B52" s="108" t="s">
        <v>12</v>
      </c>
      <c r="C52" s="88" t="s">
        <v>79</v>
      </c>
      <c r="D52" s="88"/>
      <c r="E52" s="88"/>
      <c r="F52" s="88"/>
    </row>
    <row r="53" spans="2:9">
      <c r="B53" s="108" t="s">
        <v>19</v>
      </c>
      <c r="C53" s="88" t="s">
        <v>80</v>
      </c>
      <c r="D53" s="88"/>
      <c r="E53" s="88"/>
      <c r="F53" s="88"/>
    </row>
    <row r="54" spans="2:9">
      <c r="B54" s="108" t="s">
        <v>22</v>
      </c>
      <c r="C54" s="88" t="s">
        <v>81</v>
      </c>
      <c r="D54" s="88"/>
      <c r="E54" s="88"/>
      <c r="F54" s="88"/>
    </row>
    <row r="55" spans="2:9">
      <c r="B55" s="108" t="s">
        <v>25</v>
      </c>
      <c r="C55" s="88" t="s">
        <v>82</v>
      </c>
      <c r="D55" s="88"/>
      <c r="E55" s="88"/>
      <c r="F55" s="88"/>
    </row>
    <row r="56" spans="2:9">
      <c r="B56" s="108" t="s">
        <v>28</v>
      </c>
      <c r="C56" s="88" t="s">
        <v>28</v>
      </c>
      <c r="D56" s="88"/>
      <c r="E56" s="88"/>
      <c r="F56" s="88"/>
    </row>
    <row r="58" spans="2:9" ht="22" customHeight="1">
      <c r="B58" s="34" t="s">
        <v>83</v>
      </c>
      <c r="C58" s="34"/>
      <c r="D58" s="34"/>
      <c r="E58" s="34"/>
      <c r="F58" s="34"/>
      <c r="G58" s="34"/>
      <c r="H58" s="34"/>
      <c r="I58" s="34"/>
    </row>
    <row r="59" spans="2:9">
      <c r="B59" s="108" t="s">
        <v>64</v>
      </c>
      <c r="C59" s="52" t="s">
        <v>84</v>
      </c>
      <c r="D59" s="52" t="s">
        <v>85</v>
      </c>
      <c r="E59" s="52" t="s">
        <v>65</v>
      </c>
    </row>
    <row r="60" spans="2:9">
      <c r="B60" s="108" t="s">
        <v>86</v>
      </c>
      <c r="C60" s="112" t="s">
        <v>87</v>
      </c>
      <c r="D60" s="112" t="s">
        <v>88</v>
      </c>
    </row>
    <row r="61" spans="2:9">
      <c r="B61" s="108" t="s">
        <v>89</v>
      </c>
      <c r="C61" s="112">
        <f>bLabA</f>
        <v>0</v>
      </c>
      <c r="D61" s="112">
        <f>bLabB</f>
        <v>0</v>
      </c>
    </row>
  </sheetData>
  <sheetProtection sheet="1" objects="1" scenarios="1" formatColumns="0" formatRows="0"/>
  <mergeCells count="4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B30:I30"/>
    <mergeCell ref="B31:I31"/>
    <mergeCell ref="B36:I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B51:I51"/>
    <mergeCell ref="C52:F52"/>
    <mergeCell ref="C53:F53"/>
    <mergeCell ref="C54:F54"/>
    <mergeCell ref="C55:F55"/>
    <mergeCell ref="C56:F56"/>
    <mergeCell ref="B58:I5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3" t="s">
        <v>306</v>
      </c>
    </row>
    <row r="3" spans="1:6">
      <c r="A3" s="114" t="s">
        <v>307</v>
      </c>
      <c r="B3" s="115"/>
      <c r="D3" s="114" t="s">
        <v>311</v>
      </c>
    </row>
    <row r="4" spans="1:6">
      <c r="A4" s="114" t="s">
        <v>308</v>
      </c>
      <c r="B4" s="115"/>
      <c r="D4" s="114" t="s">
        <v>312</v>
      </c>
    </row>
    <row r="5" spans="1:6">
      <c r="D5" s="114" t="s">
        <v>313</v>
      </c>
    </row>
    <row r="6" spans="1:6">
      <c r="A6" s="114" t="s">
        <v>309</v>
      </c>
      <c r="B6" s="115"/>
      <c r="D6" s="114" t="s">
        <v>314</v>
      </c>
    </row>
    <row r="7" spans="1:6">
      <c r="A7" s="114" t="s">
        <v>310</v>
      </c>
      <c r="B7" s="115"/>
      <c r="D7" s="114" t="s">
        <v>315</v>
      </c>
    </row>
    <row r="9" spans="1:6">
      <c r="A9" s="116" t="s">
        <v>316</v>
      </c>
    </row>
    <row r="10" spans="1:6">
      <c r="A10" s="117" t="s">
        <v>317</v>
      </c>
    </row>
    <row r="11" spans="1:6">
      <c r="A11" s="13" t="s">
        <v>318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6" t="s">
        <v>319</v>
      </c>
    </row>
    <row r="40" spans="1:6">
      <c r="A40" s="117" t="s">
        <v>317</v>
      </c>
    </row>
    <row r="41" spans="1:6">
      <c r="A41" s="13" t="s">
        <v>318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  <c r="N1" t="s">
        <v>203</v>
      </c>
      <c r="O1" t="s">
        <v>204</v>
      </c>
      <c r="P1" t="s">
        <v>205</v>
      </c>
      <c r="Q1" t="s">
        <v>206</v>
      </c>
      <c r="R1" t="s">
        <v>207</v>
      </c>
      <c r="S1" t="s">
        <v>208</v>
      </c>
      <c r="T1" t="s">
        <v>209</v>
      </c>
      <c r="U1" t="s">
        <v>210</v>
      </c>
      <c r="V1" t="s">
        <v>211</v>
      </c>
      <c r="W1" t="s">
        <v>212</v>
      </c>
      <c r="X1" t="s">
        <v>213</v>
      </c>
      <c r="Y1" t="s">
        <v>214</v>
      </c>
      <c r="Z1" t="s">
        <v>215</v>
      </c>
      <c r="AA1" t="s">
        <v>216</v>
      </c>
      <c r="AB1" t="s">
        <v>217</v>
      </c>
      <c r="AC1" t="s">
        <v>218</v>
      </c>
      <c r="AD1" t="s">
        <v>219</v>
      </c>
      <c r="AE1" t="s">
        <v>220</v>
      </c>
      <c r="AF1" t="s">
        <v>221</v>
      </c>
      <c r="AG1" t="s">
        <v>222</v>
      </c>
      <c r="AH1" t="s">
        <v>223</v>
      </c>
      <c r="AI1" t="s">
        <v>224</v>
      </c>
      <c r="AJ1" t="s">
        <v>225</v>
      </c>
      <c r="AK1" t="s">
        <v>226</v>
      </c>
      <c r="AL1" t="s">
        <v>227</v>
      </c>
      <c r="AM1" t="s">
        <v>228</v>
      </c>
      <c r="AN1" t="s">
        <v>229</v>
      </c>
      <c r="AO1" t="s">
        <v>230</v>
      </c>
      <c r="AP1" t="s">
        <v>231</v>
      </c>
      <c r="AQ1" t="s">
        <v>232</v>
      </c>
      <c r="AR1" t="s">
        <v>233</v>
      </c>
      <c r="AS1" t="s">
        <v>234</v>
      </c>
    </row>
    <row r="2" spans="1:45">
      <c r="A2">
        <f>IF(1&lt;=$G$31,TEXT(HOUR(INDEX('Batch'!$C$45:$C$68,H2)),"00")&amp;":"&amp;TEXT(MINUTE(INDEX('Batch'!$C$45:$C$68,H2)),"00")&amp;CHAR(10)&amp;TEXT(DAY(INDEX('Batch'!$C$45:$C$68,H2)),"00")&amp;"/"&amp;TEXT(MONTH(INDEX('Batch'!$C$45:$C$68,H2)),"00"),IF(1=$G$31+1,"Média",""))</f>
        <v>0</v>
      </c>
      <c r="B2">
        <f>IF(1&lt;=$G$31,INDEX('Batch'!$E$45:$E$68,H2),IF(AND(1=$G$31+1,ISNUMBER($B$31)),$B$31,NA()))</f>
        <v>0</v>
      </c>
      <c r="C2">
        <f>IF(1&lt;=$G$31,INDEX('Batch'!$F$45:$F$68,H2),IF(AND(1=$G$31+1,ISNUMBER($C$31)),$C$31,NA()))</f>
        <v>0</v>
      </c>
      <c r="D2">
        <f>IF(1&lt;=$G$31,INDEX('Batch'!$P$45:$P$68,H2),NA())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IF(1&lt;=$G$31,MATCH(1,'Batch'!$U$45:$U$68,0),"")</f>
        <v>0</v>
      </c>
      <c r="I2">
        <v>1</v>
      </c>
      <c r="J2">
        <f>IF(1&lt;=$G$32,TEXT(HOUR(INDEX('Batch'!$C$45:$C$68,Q2)),"00")&amp;":"&amp;TEXT(MINUTE(INDEX('Batch'!$C$45:$C$68,Q2)),"00")&amp;CHAR(10)&amp;TEXT(DAY(INDEX('Batch'!$C$45:$C$68,Q2)),"00")&amp;"/"&amp;TEXT(MONTH(INDEX('Batch'!$C$45:$C$68,Q2)),"00"),IF(1=$G$32+1,"Média",""))</f>
        <v>0</v>
      </c>
      <c r="K2">
        <f>IF(1&lt;=$G$32,INDEX('Batch'!$G$45:$G$68,Q2),IF(AND(1=$G$32+1,ISNUMBER($B$32)),$B$32,NA()))</f>
        <v>0</v>
      </c>
      <c r="L2">
        <f>IF(1&lt;=$G$32,INDEX('Batch'!$H$45:$H$68,Q2),IF(AND(1=$G$32+1,ISNUMBER($C$32)),$C$32,NA()))</f>
        <v>0</v>
      </c>
      <c r="M2">
        <f>IF(1&lt;=$G$32,INDEX('Batch'!$Q$45:$Q$68,Q2),NA())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IF(1&lt;=$G$32,MATCH(1,'Batch'!$V$45:$V$68,0),"")</f>
        <v>0</v>
      </c>
      <c r="R2">
        <v>1</v>
      </c>
      <c r="S2">
        <f>IF(1&lt;=$G$33,TEXT(HOUR(INDEX('Batch'!$C$45:$C$68,Z2)),"00")&amp;":"&amp;TEXT(MINUTE(INDEX('Batch'!$C$45:$C$68,Z2)),"00")&amp;CHAR(10)&amp;TEXT(DAY(INDEX('Batch'!$C$45:$C$68,Z2)),"00")&amp;"/"&amp;TEXT(MONTH(INDEX('Batch'!$C$45:$C$68,Z2)),"00"),IF(1=$G$33+1,"Média",""))</f>
        <v>0</v>
      </c>
      <c r="T2">
        <f>IF(1&lt;=$G$33,INDEX('Batch'!$I$45:$I$68,Z2),IF(AND(1=$G$33+1,ISNUMBER($B$33)),$B$33,NA()))</f>
        <v>0</v>
      </c>
      <c r="U2">
        <f>IF(1&lt;=$G$33,INDEX('Batch'!$J$45:$J$68,Z2),IF(AND(1=$G$33+1,ISNUMBER($C$33)),$C$33,NA()))</f>
        <v>0</v>
      </c>
      <c r="V2">
        <f>IF(1&lt;=$G$33,INDEX('Batch'!$R$45:$R$68,Z2),NA())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IF(1&lt;=$G$33,MATCH(1,'Batch'!$W$45:$W$68,0),"")</f>
        <v>0</v>
      </c>
      <c r="AA2">
        <v>1</v>
      </c>
      <c r="AB2">
        <f>IF(1&lt;=$G$34,TEXT(HOUR(INDEX('Batch'!$C$45:$C$68,AI2)),"00")&amp;":"&amp;TEXT(MINUTE(INDEX('Batch'!$C$45:$C$68,AI2)),"00")&amp;CHAR(10)&amp;TEXT(DAY(INDEX('Batch'!$C$45:$C$68,AI2)),"00")&amp;"/"&amp;TEXT(MONTH(INDEX('Batch'!$C$45:$C$68,AI2)),"00"),IF(1=$G$34+1,"Média",""))</f>
        <v>0</v>
      </c>
      <c r="AC2">
        <f>IF(1&lt;=$G$34,INDEX('Batch'!$K$45:$K$68,AI2),IF(AND(1=$G$34+1,ISNUMBER($B$34)),$B$34,NA()))</f>
        <v>0</v>
      </c>
      <c r="AD2">
        <f>IF(1&lt;=$G$34,INDEX('Batch'!$L$45:$L$68,AI2),IF(AND(1=$G$34+1,ISNUMBER($C$34)),$C$34,NA()))</f>
        <v>0</v>
      </c>
      <c r="AE2">
        <f>IF(1&lt;=$G$34,INDEX('Batch'!$S$45:$S$68,AI2),NA())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IF(1&lt;=$G$34,MATCH(1,'Batch'!$X$45:$X$68,0),"")</f>
        <v>0</v>
      </c>
      <c r="AJ2">
        <v>1</v>
      </c>
      <c r="AK2">
        <f>IF(1&lt;=$G$35,TEXT(HOUR(INDEX('Batch'!$C$45:$C$68,AR2)),"00")&amp;":"&amp;TEXT(MINUTE(INDEX('Batch'!$C$45:$C$68,AR2)),"00")&amp;CHAR(10)&amp;TEXT(DAY(INDEX('Batch'!$C$45:$C$68,AR2)),"00")&amp;"/"&amp;TEXT(MONTH(INDEX('Batch'!$C$45:$C$68,AR2)),"00"),IF(1=$G$35+1,"Média",""))</f>
        <v>0</v>
      </c>
      <c r="AL2">
        <f>IF(1&lt;=$G$35,INDEX('Batch'!$M$45:$M$68,AR2),IF(AND(1=$G$35+1,ISNUMBER($B$35)),$B$35,NA()))</f>
        <v>0</v>
      </c>
      <c r="AM2">
        <f>IF(1&lt;=$G$35,INDEX('Batch'!$N$45:$N$68,AR2),IF(AND(1=$G$35+1,ISNUMBER($C$35)),$C$35,NA()))</f>
        <v>0</v>
      </c>
      <c r="AN2">
        <f>IF(1&lt;=$G$35,INDEX('Batch'!$T$45:$T$68,AR2),NA())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IF(1&lt;=$G$35,MATCH(1,'Batch'!$Y$45:$Y$68,0),"")</f>
        <v>0</v>
      </c>
      <c r="AS2">
        <v>1</v>
      </c>
    </row>
    <row r="3" spans="1:45">
      <c r="A3">
        <f>IF(2&lt;=$G$31,TEXT(HOUR(INDEX('Batch'!$C$45:$C$68,H3)),"00")&amp;":"&amp;TEXT(MINUTE(INDEX('Batch'!$C$45:$C$68,H3)),"00")&amp;CHAR(10)&amp;TEXT(DAY(INDEX('Batch'!$C$45:$C$68,H3)),"00")&amp;"/"&amp;TEXT(MONTH(INDEX('Batch'!$C$45:$C$68,H3)),"00"),IF(2=$G$31+1,"Média",""))</f>
        <v>0</v>
      </c>
      <c r="B3">
        <f>IF(2&lt;=$G$31,INDEX('Batch'!$E$45:$E$68,H3),IF(AND(2=$G$31+1,ISNUMBER($B$31)),$B$31,NA()))</f>
        <v>0</v>
      </c>
      <c r="C3">
        <f>IF(2&lt;=$G$31,INDEX('Batch'!$F$45:$F$68,H3),IF(AND(2=$G$31+1,ISNUMBER($C$31)),$C$31,NA()))</f>
        <v>0</v>
      </c>
      <c r="D3">
        <f>IF(2&lt;=$G$31,INDEX('Batch'!$P$45:$P$68,H3),NA())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IF(2&lt;=$G$31,MATCH(2,'Batch'!$U$45:$U$68,0),"")</f>
        <v>0</v>
      </c>
      <c r="I3">
        <v>2</v>
      </c>
      <c r="J3">
        <f>IF(2&lt;=$G$32,TEXT(HOUR(INDEX('Batch'!$C$45:$C$68,Q3)),"00")&amp;":"&amp;TEXT(MINUTE(INDEX('Batch'!$C$45:$C$68,Q3)),"00")&amp;CHAR(10)&amp;TEXT(DAY(INDEX('Batch'!$C$45:$C$68,Q3)),"00")&amp;"/"&amp;TEXT(MONTH(INDEX('Batch'!$C$45:$C$68,Q3)),"00"),IF(2=$G$32+1,"Média",""))</f>
        <v>0</v>
      </c>
      <c r="K3">
        <f>IF(2&lt;=$G$32,INDEX('Batch'!$G$45:$G$68,Q3),IF(AND(2=$G$32+1,ISNUMBER($B$32)),$B$32,NA()))</f>
        <v>0</v>
      </c>
      <c r="L3">
        <f>IF(2&lt;=$G$32,INDEX('Batch'!$H$45:$H$68,Q3),IF(AND(2=$G$32+1,ISNUMBER($C$32)),$C$32,NA()))</f>
        <v>0</v>
      </c>
      <c r="M3">
        <f>IF(2&lt;=$G$32,INDEX('Batch'!$Q$45:$Q$68,Q3),NA())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IF(2&lt;=$G$32,MATCH(2,'Batch'!$V$45:$V$68,0),"")</f>
        <v>0</v>
      </c>
      <c r="R3">
        <v>2</v>
      </c>
      <c r="S3">
        <f>IF(2&lt;=$G$33,TEXT(HOUR(INDEX('Batch'!$C$45:$C$68,Z3)),"00")&amp;":"&amp;TEXT(MINUTE(INDEX('Batch'!$C$45:$C$68,Z3)),"00")&amp;CHAR(10)&amp;TEXT(DAY(INDEX('Batch'!$C$45:$C$68,Z3)),"00")&amp;"/"&amp;TEXT(MONTH(INDEX('Batch'!$C$45:$C$68,Z3)),"00"),IF(2=$G$33+1,"Média",""))</f>
        <v>0</v>
      </c>
      <c r="T3">
        <f>IF(2&lt;=$G$33,INDEX('Batch'!$I$45:$I$68,Z3),IF(AND(2=$G$33+1,ISNUMBER($B$33)),$B$33,NA()))</f>
        <v>0</v>
      </c>
      <c r="U3">
        <f>IF(2&lt;=$G$33,INDEX('Batch'!$J$45:$J$68,Z3),IF(AND(2=$G$33+1,ISNUMBER($C$33)),$C$33,NA()))</f>
        <v>0</v>
      </c>
      <c r="V3">
        <f>IF(2&lt;=$G$33,INDEX('Batch'!$R$45:$R$68,Z3),NA())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IF(2&lt;=$G$33,MATCH(2,'Batch'!$W$45:$W$68,0),"")</f>
        <v>0</v>
      </c>
      <c r="AA3">
        <v>2</v>
      </c>
      <c r="AB3">
        <f>IF(2&lt;=$G$34,TEXT(HOUR(INDEX('Batch'!$C$45:$C$68,AI3)),"00")&amp;":"&amp;TEXT(MINUTE(INDEX('Batch'!$C$45:$C$68,AI3)),"00")&amp;CHAR(10)&amp;TEXT(DAY(INDEX('Batch'!$C$45:$C$68,AI3)),"00")&amp;"/"&amp;TEXT(MONTH(INDEX('Batch'!$C$45:$C$68,AI3)),"00"),IF(2=$G$34+1,"Média",""))</f>
        <v>0</v>
      </c>
      <c r="AC3">
        <f>IF(2&lt;=$G$34,INDEX('Batch'!$K$45:$K$68,AI3),IF(AND(2=$G$34+1,ISNUMBER($B$34)),$B$34,NA()))</f>
        <v>0</v>
      </c>
      <c r="AD3">
        <f>IF(2&lt;=$G$34,INDEX('Batch'!$L$45:$L$68,AI3),IF(AND(2=$G$34+1,ISNUMBER($C$34)),$C$34,NA()))</f>
        <v>0</v>
      </c>
      <c r="AE3">
        <f>IF(2&lt;=$G$34,INDEX('Batch'!$S$45:$S$68,AI3),NA())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IF(2&lt;=$G$34,MATCH(2,'Batch'!$X$45:$X$68,0),"")</f>
        <v>0</v>
      </c>
      <c r="AJ3">
        <v>2</v>
      </c>
      <c r="AK3">
        <f>IF(2&lt;=$G$35,TEXT(HOUR(INDEX('Batch'!$C$45:$C$68,AR3)),"00")&amp;":"&amp;TEXT(MINUTE(INDEX('Batch'!$C$45:$C$68,AR3)),"00")&amp;CHAR(10)&amp;TEXT(DAY(INDEX('Batch'!$C$45:$C$68,AR3)),"00")&amp;"/"&amp;TEXT(MONTH(INDEX('Batch'!$C$45:$C$68,AR3)),"00"),IF(2=$G$35+1,"Média",""))</f>
        <v>0</v>
      </c>
      <c r="AL3">
        <f>IF(2&lt;=$G$35,INDEX('Batch'!$M$45:$M$68,AR3),IF(AND(2=$G$35+1,ISNUMBER($B$35)),$B$35,NA()))</f>
        <v>0</v>
      </c>
      <c r="AM3">
        <f>IF(2&lt;=$G$35,INDEX('Batch'!$N$45:$N$68,AR3),IF(AND(2=$G$35+1,ISNUMBER($C$35)),$C$35,NA()))</f>
        <v>0</v>
      </c>
      <c r="AN3">
        <f>IF(2&lt;=$G$35,INDEX('Batch'!$T$45:$T$68,AR3),NA())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IF(2&lt;=$G$35,MATCH(2,'Batch'!$Y$45:$Y$68,0),"")</f>
        <v>0</v>
      </c>
      <c r="AS3">
        <v>2</v>
      </c>
    </row>
    <row r="4" spans="1:45">
      <c r="A4">
        <f>IF(3&lt;=$G$31,TEXT(HOUR(INDEX('Batch'!$C$45:$C$68,H4)),"00")&amp;":"&amp;TEXT(MINUTE(INDEX('Batch'!$C$45:$C$68,H4)),"00")&amp;CHAR(10)&amp;TEXT(DAY(INDEX('Batch'!$C$45:$C$68,H4)),"00")&amp;"/"&amp;TEXT(MONTH(INDEX('Batch'!$C$45:$C$68,H4)),"00"),IF(3=$G$31+1,"Média",""))</f>
        <v>0</v>
      </c>
      <c r="B4">
        <f>IF(3&lt;=$G$31,INDEX('Batch'!$E$45:$E$68,H4),IF(AND(3=$G$31+1,ISNUMBER($B$31)),$B$31,NA()))</f>
        <v>0</v>
      </c>
      <c r="C4">
        <f>IF(3&lt;=$G$31,INDEX('Batch'!$F$45:$F$68,H4),IF(AND(3=$G$31+1,ISNUMBER($C$31)),$C$31,NA()))</f>
        <v>0</v>
      </c>
      <c r="D4">
        <f>IF(3&lt;=$G$31,INDEX('Batch'!$P$45:$P$68,H4),NA())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IF(3&lt;=$G$31,MATCH(3,'Batch'!$U$45:$U$68,0),"")</f>
        <v>0</v>
      </c>
      <c r="I4">
        <v>3</v>
      </c>
      <c r="J4">
        <f>IF(3&lt;=$G$32,TEXT(HOUR(INDEX('Batch'!$C$45:$C$68,Q4)),"00")&amp;":"&amp;TEXT(MINUTE(INDEX('Batch'!$C$45:$C$68,Q4)),"00")&amp;CHAR(10)&amp;TEXT(DAY(INDEX('Batch'!$C$45:$C$68,Q4)),"00")&amp;"/"&amp;TEXT(MONTH(INDEX('Batch'!$C$45:$C$68,Q4)),"00"),IF(3=$G$32+1,"Média",""))</f>
        <v>0</v>
      </c>
      <c r="K4">
        <f>IF(3&lt;=$G$32,INDEX('Batch'!$G$45:$G$68,Q4),IF(AND(3=$G$32+1,ISNUMBER($B$32)),$B$32,NA()))</f>
        <v>0</v>
      </c>
      <c r="L4">
        <f>IF(3&lt;=$G$32,INDEX('Batch'!$H$45:$H$68,Q4),IF(AND(3=$G$32+1,ISNUMBER($C$32)),$C$32,NA()))</f>
        <v>0</v>
      </c>
      <c r="M4">
        <f>IF(3&lt;=$G$32,INDEX('Batch'!$Q$45:$Q$68,Q4),NA())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IF(3&lt;=$G$32,MATCH(3,'Batch'!$V$45:$V$68,0),"")</f>
        <v>0</v>
      </c>
      <c r="R4">
        <v>3</v>
      </c>
      <c r="S4">
        <f>IF(3&lt;=$G$33,TEXT(HOUR(INDEX('Batch'!$C$45:$C$68,Z4)),"00")&amp;":"&amp;TEXT(MINUTE(INDEX('Batch'!$C$45:$C$68,Z4)),"00")&amp;CHAR(10)&amp;TEXT(DAY(INDEX('Batch'!$C$45:$C$68,Z4)),"00")&amp;"/"&amp;TEXT(MONTH(INDEX('Batch'!$C$45:$C$68,Z4)),"00"),IF(3=$G$33+1,"Média",""))</f>
        <v>0</v>
      </c>
      <c r="T4">
        <f>IF(3&lt;=$G$33,INDEX('Batch'!$I$45:$I$68,Z4),IF(AND(3=$G$33+1,ISNUMBER($B$33)),$B$33,NA()))</f>
        <v>0</v>
      </c>
      <c r="U4">
        <f>IF(3&lt;=$G$33,INDEX('Batch'!$J$45:$J$68,Z4),IF(AND(3=$G$33+1,ISNUMBER($C$33)),$C$33,NA()))</f>
        <v>0</v>
      </c>
      <c r="V4">
        <f>IF(3&lt;=$G$33,INDEX('Batch'!$R$45:$R$68,Z4),NA())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IF(3&lt;=$G$33,MATCH(3,'Batch'!$W$45:$W$68,0),"")</f>
        <v>0</v>
      </c>
      <c r="AA4">
        <v>3</v>
      </c>
      <c r="AB4">
        <f>IF(3&lt;=$G$34,TEXT(HOUR(INDEX('Batch'!$C$45:$C$68,AI4)),"00")&amp;":"&amp;TEXT(MINUTE(INDEX('Batch'!$C$45:$C$68,AI4)),"00")&amp;CHAR(10)&amp;TEXT(DAY(INDEX('Batch'!$C$45:$C$68,AI4)),"00")&amp;"/"&amp;TEXT(MONTH(INDEX('Batch'!$C$45:$C$68,AI4)),"00"),IF(3=$G$34+1,"Média",""))</f>
        <v>0</v>
      </c>
      <c r="AC4">
        <f>IF(3&lt;=$G$34,INDEX('Batch'!$K$45:$K$68,AI4),IF(AND(3=$G$34+1,ISNUMBER($B$34)),$B$34,NA()))</f>
        <v>0</v>
      </c>
      <c r="AD4">
        <f>IF(3&lt;=$G$34,INDEX('Batch'!$L$45:$L$68,AI4),IF(AND(3=$G$34+1,ISNUMBER($C$34)),$C$34,NA()))</f>
        <v>0</v>
      </c>
      <c r="AE4">
        <f>IF(3&lt;=$G$34,INDEX('Batch'!$S$45:$S$68,AI4),NA())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IF(3&lt;=$G$34,MATCH(3,'Batch'!$X$45:$X$68,0),"")</f>
        <v>0</v>
      </c>
      <c r="AJ4">
        <v>3</v>
      </c>
      <c r="AK4">
        <f>IF(3&lt;=$G$35,TEXT(HOUR(INDEX('Batch'!$C$45:$C$68,AR4)),"00")&amp;":"&amp;TEXT(MINUTE(INDEX('Batch'!$C$45:$C$68,AR4)),"00")&amp;CHAR(10)&amp;TEXT(DAY(INDEX('Batch'!$C$45:$C$68,AR4)),"00")&amp;"/"&amp;TEXT(MONTH(INDEX('Batch'!$C$45:$C$68,AR4)),"00"),IF(3=$G$35+1,"Média",""))</f>
        <v>0</v>
      </c>
      <c r="AL4">
        <f>IF(3&lt;=$G$35,INDEX('Batch'!$M$45:$M$68,AR4),IF(AND(3=$G$35+1,ISNUMBER($B$35)),$B$35,NA()))</f>
        <v>0</v>
      </c>
      <c r="AM4">
        <f>IF(3&lt;=$G$35,INDEX('Batch'!$N$45:$N$68,AR4),IF(AND(3=$G$35+1,ISNUMBER($C$35)),$C$35,NA()))</f>
        <v>0</v>
      </c>
      <c r="AN4">
        <f>IF(3&lt;=$G$35,INDEX('Batch'!$T$45:$T$68,AR4),NA())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IF(3&lt;=$G$35,MATCH(3,'Batch'!$Y$45:$Y$68,0),"")</f>
        <v>0</v>
      </c>
      <c r="AS4">
        <v>3</v>
      </c>
    </row>
    <row r="5" spans="1:45">
      <c r="A5">
        <f>IF(4&lt;=$G$31,TEXT(HOUR(INDEX('Batch'!$C$45:$C$68,H5)),"00")&amp;":"&amp;TEXT(MINUTE(INDEX('Batch'!$C$45:$C$68,H5)),"00")&amp;CHAR(10)&amp;TEXT(DAY(INDEX('Batch'!$C$45:$C$68,H5)),"00")&amp;"/"&amp;TEXT(MONTH(INDEX('Batch'!$C$45:$C$68,H5)),"00"),IF(4=$G$31+1,"Média",""))</f>
        <v>0</v>
      </c>
      <c r="B5">
        <f>IF(4&lt;=$G$31,INDEX('Batch'!$E$45:$E$68,H5),IF(AND(4=$G$31+1,ISNUMBER($B$31)),$B$31,NA()))</f>
        <v>0</v>
      </c>
      <c r="C5">
        <f>IF(4&lt;=$G$31,INDEX('Batch'!$F$45:$F$68,H5),IF(AND(4=$G$31+1,ISNUMBER($C$31)),$C$31,NA()))</f>
        <v>0</v>
      </c>
      <c r="D5">
        <f>IF(4&lt;=$G$31,INDEX('Batch'!$P$45:$P$68,H5),NA())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IF(4&lt;=$G$31,MATCH(4,'Batch'!$U$45:$U$68,0),"")</f>
        <v>0</v>
      </c>
      <c r="I5">
        <v>4</v>
      </c>
      <c r="J5">
        <f>IF(4&lt;=$G$32,TEXT(HOUR(INDEX('Batch'!$C$45:$C$68,Q5)),"00")&amp;":"&amp;TEXT(MINUTE(INDEX('Batch'!$C$45:$C$68,Q5)),"00")&amp;CHAR(10)&amp;TEXT(DAY(INDEX('Batch'!$C$45:$C$68,Q5)),"00")&amp;"/"&amp;TEXT(MONTH(INDEX('Batch'!$C$45:$C$68,Q5)),"00"),IF(4=$G$32+1,"Média",""))</f>
        <v>0</v>
      </c>
      <c r="K5">
        <f>IF(4&lt;=$G$32,INDEX('Batch'!$G$45:$G$68,Q5),IF(AND(4=$G$32+1,ISNUMBER($B$32)),$B$32,NA()))</f>
        <v>0</v>
      </c>
      <c r="L5">
        <f>IF(4&lt;=$G$32,INDEX('Batch'!$H$45:$H$68,Q5),IF(AND(4=$G$32+1,ISNUMBER($C$32)),$C$32,NA()))</f>
        <v>0</v>
      </c>
      <c r="M5">
        <f>IF(4&lt;=$G$32,INDEX('Batch'!$Q$45:$Q$68,Q5),NA())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IF(4&lt;=$G$32,MATCH(4,'Batch'!$V$45:$V$68,0),"")</f>
        <v>0</v>
      </c>
      <c r="R5">
        <v>4</v>
      </c>
      <c r="S5">
        <f>IF(4&lt;=$G$33,TEXT(HOUR(INDEX('Batch'!$C$45:$C$68,Z5)),"00")&amp;":"&amp;TEXT(MINUTE(INDEX('Batch'!$C$45:$C$68,Z5)),"00")&amp;CHAR(10)&amp;TEXT(DAY(INDEX('Batch'!$C$45:$C$68,Z5)),"00")&amp;"/"&amp;TEXT(MONTH(INDEX('Batch'!$C$45:$C$68,Z5)),"00"),IF(4=$G$33+1,"Média",""))</f>
        <v>0</v>
      </c>
      <c r="T5">
        <f>IF(4&lt;=$G$33,INDEX('Batch'!$I$45:$I$68,Z5),IF(AND(4=$G$33+1,ISNUMBER($B$33)),$B$33,NA()))</f>
        <v>0</v>
      </c>
      <c r="U5">
        <f>IF(4&lt;=$G$33,INDEX('Batch'!$J$45:$J$68,Z5),IF(AND(4=$G$33+1,ISNUMBER($C$33)),$C$33,NA()))</f>
        <v>0</v>
      </c>
      <c r="V5">
        <f>IF(4&lt;=$G$33,INDEX('Batch'!$R$45:$R$68,Z5),NA())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IF(4&lt;=$G$33,MATCH(4,'Batch'!$W$45:$W$68,0),"")</f>
        <v>0</v>
      </c>
      <c r="AA5">
        <v>4</v>
      </c>
      <c r="AB5">
        <f>IF(4&lt;=$G$34,TEXT(HOUR(INDEX('Batch'!$C$45:$C$68,AI5)),"00")&amp;":"&amp;TEXT(MINUTE(INDEX('Batch'!$C$45:$C$68,AI5)),"00")&amp;CHAR(10)&amp;TEXT(DAY(INDEX('Batch'!$C$45:$C$68,AI5)),"00")&amp;"/"&amp;TEXT(MONTH(INDEX('Batch'!$C$45:$C$68,AI5)),"00"),IF(4=$G$34+1,"Média",""))</f>
        <v>0</v>
      </c>
      <c r="AC5">
        <f>IF(4&lt;=$G$34,INDEX('Batch'!$K$45:$K$68,AI5),IF(AND(4=$G$34+1,ISNUMBER($B$34)),$B$34,NA()))</f>
        <v>0</v>
      </c>
      <c r="AD5">
        <f>IF(4&lt;=$G$34,INDEX('Batch'!$L$45:$L$68,AI5),IF(AND(4=$G$34+1,ISNUMBER($C$34)),$C$34,NA()))</f>
        <v>0</v>
      </c>
      <c r="AE5">
        <f>IF(4&lt;=$G$34,INDEX('Batch'!$S$45:$S$68,AI5),NA())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IF(4&lt;=$G$34,MATCH(4,'Batch'!$X$45:$X$68,0),"")</f>
        <v>0</v>
      </c>
      <c r="AJ5">
        <v>4</v>
      </c>
      <c r="AK5">
        <f>IF(4&lt;=$G$35,TEXT(HOUR(INDEX('Batch'!$C$45:$C$68,AR5)),"00")&amp;":"&amp;TEXT(MINUTE(INDEX('Batch'!$C$45:$C$68,AR5)),"00")&amp;CHAR(10)&amp;TEXT(DAY(INDEX('Batch'!$C$45:$C$68,AR5)),"00")&amp;"/"&amp;TEXT(MONTH(INDEX('Batch'!$C$45:$C$68,AR5)),"00"),IF(4=$G$35+1,"Média",""))</f>
        <v>0</v>
      </c>
      <c r="AL5">
        <f>IF(4&lt;=$G$35,INDEX('Batch'!$M$45:$M$68,AR5),IF(AND(4=$G$35+1,ISNUMBER($B$35)),$B$35,NA()))</f>
        <v>0</v>
      </c>
      <c r="AM5">
        <f>IF(4&lt;=$G$35,INDEX('Batch'!$N$45:$N$68,AR5),IF(AND(4=$G$35+1,ISNUMBER($C$35)),$C$35,NA()))</f>
        <v>0</v>
      </c>
      <c r="AN5">
        <f>IF(4&lt;=$G$35,INDEX('Batch'!$T$45:$T$68,AR5),NA())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IF(4&lt;=$G$35,MATCH(4,'Batch'!$Y$45:$Y$68,0),"")</f>
        <v>0</v>
      </c>
      <c r="AS5">
        <v>4</v>
      </c>
    </row>
    <row r="6" spans="1:45">
      <c r="A6">
        <f>IF(5&lt;=$G$31,TEXT(HOUR(INDEX('Batch'!$C$45:$C$68,H6)),"00")&amp;":"&amp;TEXT(MINUTE(INDEX('Batch'!$C$45:$C$68,H6)),"00")&amp;CHAR(10)&amp;TEXT(DAY(INDEX('Batch'!$C$45:$C$68,H6)),"00")&amp;"/"&amp;TEXT(MONTH(INDEX('Batch'!$C$45:$C$68,H6)),"00"),IF(5=$G$31+1,"Média",""))</f>
        <v>0</v>
      </c>
      <c r="B6">
        <f>IF(5&lt;=$G$31,INDEX('Batch'!$E$45:$E$68,H6),IF(AND(5=$G$31+1,ISNUMBER($B$31)),$B$31,NA()))</f>
        <v>0</v>
      </c>
      <c r="C6">
        <f>IF(5&lt;=$G$31,INDEX('Batch'!$F$45:$F$68,H6),IF(AND(5=$G$31+1,ISNUMBER($C$31)),$C$31,NA()))</f>
        <v>0</v>
      </c>
      <c r="D6">
        <f>IF(5&lt;=$G$31,INDEX('Batch'!$P$45:$P$68,H6),NA())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IF(5&lt;=$G$31,MATCH(5,'Batch'!$U$45:$U$68,0),"")</f>
        <v>0</v>
      </c>
      <c r="I6">
        <v>5</v>
      </c>
      <c r="J6">
        <f>IF(5&lt;=$G$32,TEXT(HOUR(INDEX('Batch'!$C$45:$C$68,Q6)),"00")&amp;":"&amp;TEXT(MINUTE(INDEX('Batch'!$C$45:$C$68,Q6)),"00")&amp;CHAR(10)&amp;TEXT(DAY(INDEX('Batch'!$C$45:$C$68,Q6)),"00")&amp;"/"&amp;TEXT(MONTH(INDEX('Batch'!$C$45:$C$68,Q6)),"00"),IF(5=$G$32+1,"Média",""))</f>
        <v>0</v>
      </c>
      <c r="K6">
        <f>IF(5&lt;=$G$32,INDEX('Batch'!$G$45:$G$68,Q6),IF(AND(5=$G$32+1,ISNUMBER($B$32)),$B$32,NA()))</f>
        <v>0</v>
      </c>
      <c r="L6">
        <f>IF(5&lt;=$G$32,INDEX('Batch'!$H$45:$H$68,Q6),IF(AND(5=$G$32+1,ISNUMBER($C$32)),$C$32,NA()))</f>
        <v>0</v>
      </c>
      <c r="M6">
        <f>IF(5&lt;=$G$32,INDEX('Batch'!$Q$45:$Q$68,Q6),NA())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IF(5&lt;=$G$32,MATCH(5,'Batch'!$V$45:$V$68,0),"")</f>
        <v>0</v>
      </c>
      <c r="R6">
        <v>5</v>
      </c>
      <c r="S6">
        <f>IF(5&lt;=$G$33,TEXT(HOUR(INDEX('Batch'!$C$45:$C$68,Z6)),"00")&amp;":"&amp;TEXT(MINUTE(INDEX('Batch'!$C$45:$C$68,Z6)),"00")&amp;CHAR(10)&amp;TEXT(DAY(INDEX('Batch'!$C$45:$C$68,Z6)),"00")&amp;"/"&amp;TEXT(MONTH(INDEX('Batch'!$C$45:$C$68,Z6)),"00"),IF(5=$G$33+1,"Média",""))</f>
        <v>0</v>
      </c>
      <c r="T6">
        <f>IF(5&lt;=$G$33,INDEX('Batch'!$I$45:$I$68,Z6),IF(AND(5=$G$33+1,ISNUMBER($B$33)),$B$33,NA()))</f>
        <v>0</v>
      </c>
      <c r="U6">
        <f>IF(5&lt;=$G$33,INDEX('Batch'!$J$45:$J$68,Z6),IF(AND(5=$G$33+1,ISNUMBER($C$33)),$C$33,NA()))</f>
        <v>0</v>
      </c>
      <c r="V6">
        <f>IF(5&lt;=$G$33,INDEX('Batch'!$R$45:$R$68,Z6),NA())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IF(5&lt;=$G$33,MATCH(5,'Batch'!$W$45:$W$68,0),"")</f>
        <v>0</v>
      </c>
      <c r="AA6">
        <v>5</v>
      </c>
      <c r="AB6">
        <f>IF(5&lt;=$G$34,TEXT(HOUR(INDEX('Batch'!$C$45:$C$68,AI6)),"00")&amp;":"&amp;TEXT(MINUTE(INDEX('Batch'!$C$45:$C$68,AI6)),"00")&amp;CHAR(10)&amp;TEXT(DAY(INDEX('Batch'!$C$45:$C$68,AI6)),"00")&amp;"/"&amp;TEXT(MONTH(INDEX('Batch'!$C$45:$C$68,AI6)),"00"),IF(5=$G$34+1,"Média",""))</f>
        <v>0</v>
      </c>
      <c r="AC6">
        <f>IF(5&lt;=$G$34,INDEX('Batch'!$K$45:$K$68,AI6),IF(AND(5=$G$34+1,ISNUMBER($B$34)),$B$34,NA()))</f>
        <v>0</v>
      </c>
      <c r="AD6">
        <f>IF(5&lt;=$G$34,INDEX('Batch'!$L$45:$L$68,AI6),IF(AND(5=$G$34+1,ISNUMBER($C$34)),$C$34,NA()))</f>
        <v>0</v>
      </c>
      <c r="AE6">
        <f>IF(5&lt;=$G$34,INDEX('Batch'!$S$45:$S$68,AI6),NA())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IF(5&lt;=$G$34,MATCH(5,'Batch'!$X$45:$X$68,0),"")</f>
        <v>0</v>
      </c>
      <c r="AJ6">
        <v>5</v>
      </c>
      <c r="AK6">
        <f>IF(5&lt;=$G$35,TEXT(HOUR(INDEX('Batch'!$C$45:$C$68,AR6)),"00")&amp;":"&amp;TEXT(MINUTE(INDEX('Batch'!$C$45:$C$68,AR6)),"00")&amp;CHAR(10)&amp;TEXT(DAY(INDEX('Batch'!$C$45:$C$68,AR6)),"00")&amp;"/"&amp;TEXT(MONTH(INDEX('Batch'!$C$45:$C$68,AR6)),"00"),IF(5=$G$35+1,"Média",""))</f>
        <v>0</v>
      </c>
      <c r="AL6">
        <f>IF(5&lt;=$G$35,INDEX('Batch'!$M$45:$M$68,AR6),IF(AND(5=$G$35+1,ISNUMBER($B$35)),$B$35,NA()))</f>
        <v>0</v>
      </c>
      <c r="AM6">
        <f>IF(5&lt;=$G$35,INDEX('Batch'!$N$45:$N$68,AR6),IF(AND(5=$G$35+1,ISNUMBER($C$35)),$C$35,NA()))</f>
        <v>0</v>
      </c>
      <c r="AN6">
        <f>IF(5&lt;=$G$35,INDEX('Batch'!$T$45:$T$68,AR6),NA())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IF(5&lt;=$G$35,MATCH(5,'Batch'!$Y$45:$Y$68,0),"")</f>
        <v>0</v>
      </c>
      <c r="AS6">
        <v>5</v>
      </c>
    </row>
    <row r="7" spans="1:45">
      <c r="A7">
        <f>IF(6&lt;=$G$31,TEXT(HOUR(INDEX('Batch'!$C$45:$C$68,H7)),"00")&amp;":"&amp;TEXT(MINUTE(INDEX('Batch'!$C$45:$C$68,H7)),"00")&amp;CHAR(10)&amp;TEXT(DAY(INDEX('Batch'!$C$45:$C$68,H7)),"00")&amp;"/"&amp;TEXT(MONTH(INDEX('Batch'!$C$45:$C$68,H7)),"00"),IF(6=$G$31+1,"Média",""))</f>
        <v>0</v>
      </c>
      <c r="B7">
        <f>IF(6&lt;=$G$31,INDEX('Batch'!$E$45:$E$68,H7),IF(AND(6=$G$31+1,ISNUMBER($B$31)),$B$31,NA()))</f>
        <v>0</v>
      </c>
      <c r="C7">
        <f>IF(6&lt;=$G$31,INDEX('Batch'!$F$45:$F$68,H7),IF(AND(6=$G$31+1,ISNUMBER($C$31)),$C$31,NA()))</f>
        <v>0</v>
      </c>
      <c r="D7">
        <f>IF(6&lt;=$G$31,INDEX('Batch'!$P$45:$P$68,H7),NA())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IF(6&lt;=$G$31,MATCH(6,'Batch'!$U$45:$U$68,0),"")</f>
        <v>0</v>
      </c>
      <c r="I7">
        <v>6</v>
      </c>
      <c r="J7">
        <f>IF(6&lt;=$G$32,TEXT(HOUR(INDEX('Batch'!$C$45:$C$68,Q7)),"00")&amp;":"&amp;TEXT(MINUTE(INDEX('Batch'!$C$45:$C$68,Q7)),"00")&amp;CHAR(10)&amp;TEXT(DAY(INDEX('Batch'!$C$45:$C$68,Q7)),"00")&amp;"/"&amp;TEXT(MONTH(INDEX('Batch'!$C$45:$C$68,Q7)),"00"),IF(6=$G$32+1,"Média",""))</f>
        <v>0</v>
      </c>
      <c r="K7">
        <f>IF(6&lt;=$G$32,INDEX('Batch'!$G$45:$G$68,Q7),IF(AND(6=$G$32+1,ISNUMBER($B$32)),$B$32,NA()))</f>
        <v>0</v>
      </c>
      <c r="L7">
        <f>IF(6&lt;=$G$32,INDEX('Batch'!$H$45:$H$68,Q7),IF(AND(6=$G$32+1,ISNUMBER($C$32)),$C$32,NA()))</f>
        <v>0</v>
      </c>
      <c r="M7">
        <f>IF(6&lt;=$G$32,INDEX('Batch'!$Q$45:$Q$68,Q7),NA())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IF(6&lt;=$G$32,MATCH(6,'Batch'!$V$45:$V$68,0),"")</f>
        <v>0</v>
      </c>
      <c r="R7">
        <v>6</v>
      </c>
      <c r="S7">
        <f>IF(6&lt;=$G$33,TEXT(HOUR(INDEX('Batch'!$C$45:$C$68,Z7)),"00")&amp;":"&amp;TEXT(MINUTE(INDEX('Batch'!$C$45:$C$68,Z7)),"00")&amp;CHAR(10)&amp;TEXT(DAY(INDEX('Batch'!$C$45:$C$68,Z7)),"00")&amp;"/"&amp;TEXT(MONTH(INDEX('Batch'!$C$45:$C$68,Z7)),"00"),IF(6=$G$33+1,"Média",""))</f>
        <v>0</v>
      </c>
      <c r="T7">
        <f>IF(6&lt;=$G$33,INDEX('Batch'!$I$45:$I$68,Z7),IF(AND(6=$G$33+1,ISNUMBER($B$33)),$B$33,NA()))</f>
        <v>0</v>
      </c>
      <c r="U7">
        <f>IF(6&lt;=$G$33,INDEX('Batch'!$J$45:$J$68,Z7),IF(AND(6=$G$33+1,ISNUMBER($C$33)),$C$33,NA()))</f>
        <v>0</v>
      </c>
      <c r="V7">
        <f>IF(6&lt;=$G$33,INDEX('Batch'!$R$45:$R$68,Z7),NA())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IF(6&lt;=$G$33,MATCH(6,'Batch'!$W$45:$W$68,0),"")</f>
        <v>0</v>
      </c>
      <c r="AA7">
        <v>6</v>
      </c>
      <c r="AB7">
        <f>IF(6&lt;=$G$34,TEXT(HOUR(INDEX('Batch'!$C$45:$C$68,AI7)),"00")&amp;":"&amp;TEXT(MINUTE(INDEX('Batch'!$C$45:$C$68,AI7)),"00")&amp;CHAR(10)&amp;TEXT(DAY(INDEX('Batch'!$C$45:$C$68,AI7)),"00")&amp;"/"&amp;TEXT(MONTH(INDEX('Batch'!$C$45:$C$68,AI7)),"00"),IF(6=$G$34+1,"Média",""))</f>
        <v>0</v>
      </c>
      <c r="AC7">
        <f>IF(6&lt;=$G$34,INDEX('Batch'!$K$45:$K$68,AI7),IF(AND(6=$G$34+1,ISNUMBER($B$34)),$B$34,NA()))</f>
        <v>0</v>
      </c>
      <c r="AD7">
        <f>IF(6&lt;=$G$34,INDEX('Batch'!$L$45:$L$68,AI7),IF(AND(6=$G$34+1,ISNUMBER($C$34)),$C$34,NA()))</f>
        <v>0</v>
      </c>
      <c r="AE7">
        <f>IF(6&lt;=$G$34,INDEX('Batch'!$S$45:$S$68,AI7),NA())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IF(6&lt;=$G$34,MATCH(6,'Batch'!$X$45:$X$68,0),"")</f>
        <v>0</v>
      </c>
      <c r="AJ7">
        <v>6</v>
      </c>
      <c r="AK7">
        <f>IF(6&lt;=$G$35,TEXT(HOUR(INDEX('Batch'!$C$45:$C$68,AR7)),"00")&amp;":"&amp;TEXT(MINUTE(INDEX('Batch'!$C$45:$C$68,AR7)),"00")&amp;CHAR(10)&amp;TEXT(DAY(INDEX('Batch'!$C$45:$C$68,AR7)),"00")&amp;"/"&amp;TEXT(MONTH(INDEX('Batch'!$C$45:$C$68,AR7)),"00"),IF(6=$G$35+1,"Média",""))</f>
        <v>0</v>
      </c>
      <c r="AL7">
        <f>IF(6&lt;=$G$35,INDEX('Batch'!$M$45:$M$68,AR7),IF(AND(6=$G$35+1,ISNUMBER($B$35)),$B$35,NA()))</f>
        <v>0</v>
      </c>
      <c r="AM7">
        <f>IF(6&lt;=$G$35,INDEX('Batch'!$N$45:$N$68,AR7),IF(AND(6=$G$35+1,ISNUMBER($C$35)),$C$35,NA()))</f>
        <v>0</v>
      </c>
      <c r="AN7">
        <f>IF(6&lt;=$G$35,INDEX('Batch'!$T$45:$T$68,AR7),NA())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IF(6&lt;=$G$35,MATCH(6,'Batch'!$Y$45:$Y$68,0),"")</f>
        <v>0</v>
      </c>
      <c r="AS7">
        <v>6</v>
      </c>
    </row>
    <row r="8" spans="1:45">
      <c r="A8">
        <f>IF(7&lt;=$G$31,TEXT(HOUR(INDEX('Batch'!$C$45:$C$68,H8)),"00")&amp;":"&amp;TEXT(MINUTE(INDEX('Batch'!$C$45:$C$68,H8)),"00")&amp;CHAR(10)&amp;TEXT(DAY(INDEX('Batch'!$C$45:$C$68,H8)),"00")&amp;"/"&amp;TEXT(MONTH(INDEX('Batch'!$C$45:$C$68,H8)),"00"),IF(7=$G$31+1,"Média",""))</f>
        <v>0</v>
      </c>
      <c r="B8">
        <f>IF(7&lt;=$G$31,INDEX('Batch'!$E$45:$E$68,H8),IF(AND(7=$G$31+1,ISNUMBER($B$31)),$B$31,NA()))</f>
        <v>0</v>
      </c>
      <c r="C8">
        <f>IF(7&lt;=$G$31,INDEX('Batch'!$F$45:$F$68,H8),IF(AND(7=$G$31+1,ISNUMBER($C$31)),$C$31,NA()))</f>
        <v>0</v>
      </c>
      <c r="D8">
        <f>IF(7&lt;=$G$31,INDEX('Batch'!$P$45:$P$68,H8),NA())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IF(7&lt;=$G$31,MATCH(7,'Batch'!$U$45:$U$68,0),"")</f>
        <v>0</v>
      </c>
      <c r="I8">
        <v>7</v>
      </c>
      <c r="J8">
        <f>IF(7&lt;=$G$32,TEXT(HOUR(INDEX('Batch'!$C$45:$C$68,Q8)),"00")&amp;":"&amp;TEXT(MINUTE(INDEX('Batch'!$C$45:$C$68,Q8)),"00")&amp;CHAR(10)&amp;TEXT(DAY(INDEX('Batch'!$C$45:$C$68,Q8)),"00")&amp;"/"&amp;TEXT(MONTH(INDEX('Batch'!$C$45:$C$68,Q8)),"00"),IF(7=$G$32+1,"Média",""))</f>
        <v>0</v>
      </c>
      <c r="K8">
        <f>IF(7&lt;=$G$32,INDEX('Batch'!$G$45:$G$68,Q8),IF(AND(7=$G$32+1,ISNUMBER($B$32)),$B$32,NA()))</f>
        <v>0</v>
      </c>
      <c r="L8">
        <f>IF(7&lt;=$G$32,INDEX('Batch'!$H$45:$H$68,Q8),IF(AND(7=$G$32+1,ISNUMBER($C$32)),$C$32,NA()))</f>
        <v>0</v>
      </c>
      <c r="M8">
        <f>IF(7&lt;=$G$32,INDEX('Batch'!$Q$45:$Q$68,Q8),NA())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IF(7&lt;=$G$32,MATCH(7,'Batch'!$V$45:$V$68,0),"")</f>
        <v>0</v>
      </c>
      <c r="R8">
        <v>7</v>
      </c>
      <c r="S8">
        <f>IF(7&lt;=$G$33,TEXT(HOUR(INDEX('Batch'!$C$45:$C$68,Z8)),"00")&amp;":"&amp;TEXT(MINUTE(INDEX('Batch'!$C$45:$C$68,Z8)),"00")&amp;CHAR(10)&amp;TEXT(DAY(INDEX('Batch'!$C$45:$C$68,Z8)),"00")&amp;"/"&amp;TEXT(MONTH(INDEX('Batch'!$C$45:$C$68,Z8)),"00"),IF(7=$G$33+1,"Média",""))</f>
        <v>0</v>
      </c>
      <c r="T8">
        <f>IF(7&lt;=$G$33,INDEX('Batch'!$I$45:$I$68,Z8),IF(AND(7=$G$33+1,ISNUMBER($B$33)),$B$33,NA()))</f>
        <v>0</v>
      </c>
      <c r="U8">
        <f>IF(7&lt;=$G$33,INDEX('Batch'!$J$45:$J$68,Z8),IF(AND(7=$G$33+1,ISNUMBER($C$33)),$C$33,NA()))</f>
        <v>0</v>
      </c>
      <c r="V8">
        <f>IF(7&lt;=$G$33,INDEX('Batch'!$R$45:$R$68,Z8),NA())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IF(7&lt;=$G$33,MATCH(7,'Batch'!$W$45:$W$68,0),"")</f>
        <v>0</v>
      </c>
      <c r="AA8">
        <v>7</v>
      </c>
      <c r="AB8">
        <f>IF(7&lt;=$G$34,TEXT(HOUR(INDEX('Batch'!$C$45:$C$68,AI8)),"00")&amp;":"&amp;TEXT(MINUTE(INDEX('Batch'!$C$45:$C$68,AI8)),"00")&amp;CHAR(10)&amp;TEXT(DAY(INDEX('Batch'!$C$45:$C$68,AI8)),"00")&amp;"/"&amp;TEXT(MONTH(INDEX('Batch'!$C$45:$C$68,AI8)),"00"),IF(7=$G$34+1,"Média",""))</f>
        <v>0</v>
      </c>
      <c r="AC8">
        <f>IF(7&lt;=$G$34,INDEX('Batch'!$K$45:$K$68,AI8),IF(AND(7=$G$34+1,ISNUMBER($B$34)),$B$34,NA()))</f>
        <v>0</v>
      </c>
      <c r="AD8">
        <f>IF(7&lt;=$G$34,INDEX('Batch'!$L$45:$L$68,AI8),IF(AND(7=$G$34+1,ISNUMBER($C$34)),$C$34,NA()))</f>
        <v>0</v>
      </c>
      <c r="AE8">
        <f>IF(7&lt;=$G$34,INDEX('Batch'!$S$45:$S$68,AI8),NA())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IF(7&lt;=$G$34,MATCH(7,'Batch'!$X$45:$X$68,0),"")</f>
        <v>0</v>
      </c>
      <c r="AJ8">
        <v>7</v>
      </c>
      <c r="AK8">
        <f>IF(7&lt;=$G$35,TEXT(HOUR(INDEX('Batch'!$C$45:$C$68,AR8)),"00")&amp;":"&amp;TEXT(MINUTE(INDEX('Batch'!$C$45:$C$68,AR8)),"00")&amp;CHAR(10)&amp;TEXT(DAY(INDEX('Batch'!$C$45:$C$68,AR8)),"00")&amp;"/"&amp;TEXT(MONTH(INDEX('Batch'!$C$45:$C$68,AR8)),"00"),IF(7=$G$35+1,"Média",""))</f>
        <v>0</v>
      </c>
      <c r="AL8">
        <f>IF(7&lt;=$G$35,INDEX('Batch'!$M$45:$M$68,AR8),IF(AND(7=$G$35+1,ISNUMBER($B$35)),$B$35,NA()))</f>
        <v>0</v>
      </c>
      <c r="AM8">
        <f>IF(7&lt;=$G$35,INDEX('Batch'!$N$45:$N$68,AR8),IF(AND(7=$G$35+1,ISNUMBER($C$35)),$C$35,NA()))</f>
        <v>0</v>
      </c>
      <c r="AN8">
        <f>IF(7&lt;=$G$35,INDEX('Batch'!$T$45:$T$68,AR8),NA())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IF(7&lt;=$G$35,MATCH(7,'Batch'!$Y$45:$Y$68,0),"")</f>
        <v>0</v>
      </c>
      <c r="AS8">
        <v>7</v>
      </c>
    </row>
    <row r="9" spans="1:45">
      <c r="A9">
        <f>IF(8&lt;=$G$31,TEXT(HOUR(INDEX('Batch'!$C$45:$C$68,H9)),"00")&amp;":"&amp;TEXT(MINUTE(INDEX('Batch'!$C$45:$C$68,H9)),"00")&amp;CHAR(10)&amp;TEXT(DAY(INDEX('Batch'!$C$45:$C$68,H9)),"00")&amp;"/"&amp;TEXT(MONTH(INDEX('Batch'!$C$45:$C$68,H9)),"00"),IF(8=$G$31+1,"Média",""))</f>
        <v>0</v>
      </c>
      <c r="B9">
        <f>IF(8&lt;=$G$31,INDEX('Batch'!$E$45:$E$68,H9),IF(AND(8=$G$31+1,ISNUMBER($B$31)),$B$31,NA()))</f>
        <v>0</v>
      </c>
      <c r="C9">
        <f>IF(8&lt;=$G$31,INDEX('Batch'!$F$45:$F$68,H9),IF(AND(8=$G$31+1,ISNUMBER($C$31)),$C$31,NA()))</f>
        <v>0</v>
      </c>
      <c r="D9">
        <f>IF(8&lt;=$G$31,INDEX('Batch'!$P$45:$P$68,H9),NA())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IF(8&lt;=$G$31,MATCH(8,'Batch'!$U$45:$U$68,0),"")</f>
        <v>0</v>
      </c>
      <c r="I9">
        <v>8</v>
      </c>
      <c r="J9">
        <f>IF(8&lt;=$G$32,TEXT(HOUR(INDEX('Batch'!$C$45:$C$68,Q9)),"00")&amp;":"&amp;TEXT(MINUTE(INDEX('Batch'!$C$45:$C$68,Q9)),"00")&amp;CHAR(10)&amp;TEXT(DAY(INDEX('Batch'!$C$45:$C$68,Q9)),"00")&amp;"/"&amp;TEXT(MONTH(INDEX('Batch'!$C$45:$C$68,Q9)),"00"),IF(8=$G$32+1,"Média",""))</f>
        <v>0</v>
      </c>
      <c r="K9">
        <f>IF(8&lt;=$G$32,INDEX('Batch'!$G$45:$G$68,Q9),IF(AND(8=$G$32+1,ISNUMBER($B$32)),$B$32,NA()))</f>
        <v>0</v>
      </c>
      <c r="L9">
        <f>IF(8&lt;=$G$32,INDEX('Batch'!$H$45:$H$68,Q9),IF(AND(8=$G$32+1,ISNUMBER($C$32)),$C$32,NA()))</f>
        <v>0</v>
      </c>
      <c r="M9">
        <f>IF(8&lt;=$G$32,INDEX('Batch'!$Q$45:$Q$68,Q9),NA())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IF(8&lt;=$G$32,MATCH(8,'Batch'!$V$45:$V$68,0),"")</f>
        <v>0</v>
      </c>
      <c r="R9">
        <v>8</v>
      </c>
      <c r="S9">
        <f>IF(8&lt;=$G$33,TEXT(HOUR(INDEX('Batch'!$C$45:$C$68,Z9)),"00")&amp;":"&amp;TEXT(MINUTE(INDEX('Batch'!$C$45:$C$68,Z9)),"00")&amp;CHAR(10)&amp;TEXT(DAY(INDEX('Batch'!$C$45:$C$68,Z9)),"00")&amp;"/"&amp;TEXT(MONTH(INDEX('Batch'!$C$45:$C$68,Z9)),"00"),IF(8=$G$33+1,"Média",""))</f>
        <v>0</v>
      </c>
      <c r="T9">
        <f>IF(8&lt;=$G$33,INDEX('Batch'!$I$45:$I$68,Z9),IF(AND(8=$G$33+1,ISNUMBER($B$33)),$B$33,NA()))</f>
        <v>0</v>
      </c>
      <c r="U9">
        <f>IF(8&lt;=$G$33,INDEX('Batch'!$J$45:$J$68,Z9),IF(AND(8=$G$33+1,ISNUMBER($C$33)),$C$33,NA()))</f>
        <v>0</v>
      </c>
      <c r="V9">
        <f>IF(8&lt;=$G$33,INDEX('Batch'!$R$45:$R$68,Z9),NA())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IF(8&lt;=$G$33,MATCH(8,'Batch'!$W$45:$W$68,0),"")</f>
        <v>0</v>
      </c>
      <c r="AA9">
        <v>8</v>
      </c>
      <c r="AB9">
        <f>IF(8&lt;=$G$34,TEXT(HOUR(INDEX('Batch'!$C$45:$C$68,AI9)),"00")&amp;":"&amp;TEXT(MINUTE(INDEX('Batch'!$C$45:$C$68,AI9)),"00")&amp;CHAR(10)&amp;TEXT(DAY(INDEX('Batch'!$C$45:$C$68,AI9)),"00")&amp;"/"&amp;TEXT(MONTH(INDEX('Batch'!$C$45:$C$68,AI9)),"00"),IF(8=$G$34+1,"Média",""))</f>
        <v>0</v>
      </c>
      <c r="AC9">
        <f>IF(8&lt;=$G$34,INDEX('Batch'!$K$45:$K$68,AI9),IF(AND(8=$G$34+1,ISNUMBER($B$34)),$B$34,NA()))</f>
        <v>0</v>
      </c>
      <c r="AD9">
        <f>IF(8&lt;=$G$34,INDEX('Batch'!$L$45:$L$68,AI9),IF(AND(8=$G$34+1,ISNUMBER($C$34)),$C$34,NA()))</f>
        <v>0</v>
      </c>
      <c r="AE9">
        <f>IF(8&lt;=$G$34,INDEX('Batch'!$S$45:$S$68,AI9),NA())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IF(8&lt;=$G$34,MATCH(8,'Batch'!$X$45:$X$68,0),"")</f>
        <v>0</v>
      </c>
      <c r="AJ9">
        <v>8</v>
      </c>
      <c r="AK9">
        <f>IF(8&lt;=$G$35,TEXT(HOUR(INDEX('Batch'!$C$45:$C$68,AR9)),"00")&amp;":"&amp;TEXT(MINUTE(INDEX('Batch'!$C$45:$C$68,AR9)),"00")&amp;CHAR(10)&amp;TEXT(DAY(INDEX('Batch'!$C$45:$C$68,AR9)),"00")&amp;"/"&amp;TEXT(MONTH(INDEX('Batch'!$C$45:$C$68,AR9)),"00"),IF(8=$G$35+1,"Média",""))</f>
        <v>0</v>
      </c>
      <c r="AL9">
        <f>IF(8&lt;=$G$35,INDEX('Batch'!$M$45:$M$68,AR9),IF(AND(8=$G$35+1,ISNUMBER($B$35)),$B$35,NA()))</f>
        <v>0</v>
      </c>
      <c r="AM9">
        <f>IF(8&lt;=$G$35,INDEX('Batch'!$N$45:$N$68,AR9),IF(AND(8=$G$35+1,ISNUMBER($C$35)),$C$35,NA()))</f>
        <v>0</v>
      </c>
      <c r="AN9">
        <f>IF(8&lt;=$G$35,INDEX('Batch'!$T$45:$T$68,AR9),NA())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IF(8&lt;=$G$35,MATCH(8,'Batch'!$Y$45:$Y$68,0),"")</f>
        <v>0</v>
      </c>
      <c r="AS9">
        <v>8</v>
      </c>
    </row>
    <row r="10" spans="1:45">
      <c r="A10">
        <f>IF(9&lt;=$G$31,TEXT(HOUR(INDEX('Batch'!$C$45:$C$68,H10)),"00")&amp;":"&amp;TEXT(MINUTE(INDEX('Batch'!$C$45:$C$68,H10)),"00")&amp;CHAR(10)&amp;TEXT(DAY(INDEX('Batch'!$C$45:$C$68,H10)),"00")&amp;"/"&amp;TEXT(MONTH(INDEX('Batch'!$C$45:$C$68,H10)),"00"),IF(9=$G$31+1,"Média",""))</f>
        <v>0</v>
      </c>
      <c r="B10">
        <f>IF(9&lt;=$G$31,INDEX('Batch'!$E$45:$E$68,H10),IF(AND(9=$G$31+1,ISNUMBER($B$31)),$B$31,NA()))</f>
        <v>0</v>
      </c>
      <c r="C10">
        <f>IF(9&lt;=$G$31,INDEX('Batch'!$F$45:$F$68,H10),IF(AND(9=$G$31+1,ISNUMBER($C$31)),$C$31,NA()))</f>
        <v>0</v>
      </c>
      <c r="D10">
        <f>IF(9&lt;=$G$31,INDEX('Batch'!$P$45:$P$68,H10),NA())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IF(9&lt;=$G$31,MATCH(9,'Batch'!$U$45:$U$68,0),"")</f>
        <v>0</v>
      </c>
      <c r="I10">
        <v>9</v>
      </c>
      <c r="J10">
        <f>IF(9&lt;=$G$32,TEXT(HOUR(INDEX('Batch'!$C$45:$C$68,Q10)),"00")&amp;":"&amp;TEXT(MINUTE(INDEX('Batch'!$C$45:$C$68,Q10)),"00")&amp;CHAR(10)&amp;TEXT(DAY(INDEX('Batch'!$C$45:$C$68,Q10)),"00")&amp;"/"&amp;TEXT(MONTH(INDEX('Batch'!$C$45:$C$68,Q10)),"00"),IF(9=$G$32+1,"Média",""))</f>
        <v>0</v>
      </c>
      <c r="K10">
        <f>IF(9&lt;=$G$32,INDEX('Batch'!$G$45:$G$68,Q10),IF(AND(9=$G$32+1,ISNUMBER($B$32)),$B$32,NA()))</f>
        <v>0</v>
      </c>
      <c r="L10">
        <f>IF(9&lt;=$G$32,INDEX('Batch'!$H$45:$H$68,Q10),IF(AND(9=$G$32+1,ISNUMBER($C$32)),$C$32,NA()))</f>
        <v>0</v>
      </c>
      <c r="M10">
        <f>IF(9&lt;=$G$32,INDEX('Batch'!$Q$45:$Q$68,Q10),NA())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IF(9&lt;=$G$32,MATCH(9,'Batch'!$V$45:$V$68,0),"")</f>
        <v>0</v>
      </c>
      <c r="R10">
        <v>9</v>
      </c>
      <c r="S10">
        <f>IF(9&lt;=$G$33,TEXT(HOUR(INDEX('Batch'!$C$45:$C$68,Z10)),"00")&amp;":"&amp;TEXT(MINUTE(INDEX('Batch'!$C$45:$C$68,Z10)),"00")&amp;CHAR(10)&amp;TEXT(DAY(INDEX('Batch'!$C$45:$C$68,Z10)),"00")&amp;"/"&amp;TEXT(MONTH(INDEX('Batch'!$C$45:$C$68,Z10)),"00"),IF(9=$G$33+1,"Média",""))</f>
        <v>0</v>
      </c>
      <c r="T10">
        <f>IF(9&lt;=$G$33,INDEX('Batch'!$I$45:$I$68,Z10),IF(AND(9=$G$33+1,ISNUMBER($B$33)),$B$33,NA()))</f>
        <v>0</v>
      </c>
      <c r="U10">
        <f>IF(9&lt;=$G$33,INDEX('Batch'!$J$45:$J$68,Z10),IF(AND(9=$G$33+1,ISNUMBER($C$33)),$C$33,NA()))</f>
        <v>0</v>
      </c>
      <c r="V10">
        <f>IF(9&lt;=$G$33,INDEX('Batch'!$R$45:$R$68,Z10),NA())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IF(9&lt;=$G$33,MATCH(9,'Batch'!$W$45:$W$68,0),"")</f>
        <v>0</v>
      </c>
      <c r="AA10">
        <v>9</v>
      </c>
      <c r="AB10">
        <f>IF(9&lt;=$G$34,TEXT(HOUR(INDEX('Batch'!$C$45:$C$68,AI10)),"00")&amp;":"&amp;TEXT(MINUTE(INDEX('Batch'!$C$45:$C$68,AI10)),"00")&amp;CHAR(10)&amp;TEXT(DAY(INDEX('Batch'!$C$45:$C$68,AI10)),"00")&amp;"/"&amp;TEXT(MONTH(INDEX('Batch'!$C$45:$C$68,AI10)),"00"),IF(9=$G$34+1,"Média",""))</f>
        <v>0</v>
      </c>
      <c r="AC10">
        <f>IF(9&lt;=$G$34,INDEX('Batch'!$K$45:$K$68,AI10),IF(AND(9=$G$34+1,ISNUMBER($B$34)),$B$34,NA()))</f>
        <v>0</v>
      </c>
      <c r="AD10">
        <f>IF(9&lt;=$G$34,INDEX('Batch'!$L$45:$L$68,AI10),IF(AND(9=$G$34+1,ISNUMBER($C$34)),$C$34,NA()))</f>
        <v>0</v>
      </c>
      <c r="AE10">
        <f>IF(9&lt;=$G$34,INDEX('Batch'!$S$45:$S$68,AI10),NA())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IF(9&lt;=$G$34,MATCH(9,'Batch'!$X$45:$X$68,0),"")</f>
        <v>0</v>
      </c>
      <c r="AJ10">
        <v>9</v>
      </c>
      <c r="AK10">
        <f>IF(9&lt;=$G$35,TEXT(HOUR(INDEX('Batch'!$C$45:$C$68,AR10)),"00")&amp;":"&amp;TEXT(MINUTE(INDEX('Batch'!$C$45:$C$68,AR10)),"00")&amp;CHAR(10)&amp;TEXT(DAY(INDEX('Batch'!$C$45:$C$68,AR10)),"00")&amp;"/"&amp;TEXT(MONTH(INDEX('Batch'!$C$45:$C$68,AR10)),"00"),IF(9=$G$35+1,"Média",""))</f>
        <v>0</v>
      </c>
      <c r="AL10">
        <f>IF(9&lt;=$G$35,INDEX('Batch'!$M$45:$M$68,AR10),IF(AND(9=$G$35+1,ISNUMBER($B$35)),$B$35,NA()))</f>
        <v>0</v>
      </c>
      <c r="AM10">
        <f>IF(9&lt;=$G$35,INDEX('Batch'!$N$45:$N$68,AR10),IF(AND(9=$G$35+1,ISNUMBER($C$35)),$C$35,NA()))</f>
        <v>0</v>
      </c>
      <c r="AN10">
        <f>IF(9&lt;=$G$35,INDEX('Batch'!$T$45:$T$68,AR10),NA())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IF(9&lt;=$G$35,MATCH(9,'Batch'!$Y$45:$Y$68,0),"")</f>
        <v>0</v>
      </c>
      <c r="AS10">
        <v>9</v>
      </c>
    </row>
    <row r="11" spans="1:45">
      <c r="A11">
        <f>IF(10&lt;=$G$31,TEXT(HOUR(INDEX('Batch'!$C$45:$C$68,H11)),"00")&amp;":"&amp;TEXT(MINUTE(INDEX('Batch'!$C$45:$C$68,H11)),"00")&amp;CHAR(10)&amp;TEXT(DAY(INDEX('Batch'!$C$45:$C$68,H11)),"00")&amp;"/"&amp;TEXT(MONTH(INDEX('Batch'!$C$45:$C$68,H11)),"00"),IF(10=$G$31+1,"Média",""))</f>
        <v>0</v>
      </c>
      <c r="B11">
        <f>IF(10&lt;=$G$31,INDEX('Batch'!$E$45:$E$68,H11),IF(AND(10=$G$31+1,ISNUMBER($B$31)),$B$31,NA()))</f>
        <v>0</v>
      </c>
      <c r="C11">
        <f>IF(10&lt;=$G$31,INDEX('Batch'!$F$45:$F$68,H11),IF(AND(10=$G$31+1,ISNUMBER($C$31)),$C$31,NA()))</f>
        <v>0</v>
      </c>
      <c r="D11">
        <f>IF(10&lt;=$G$31,INDEX('Batch'!$P$45:$P$68,H11),NA())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IF(10&lt;=$G$31,MATCH(10,'Batch'!$U$45:$U$68,0),"")</f>
        <v>0</v>
      </c>
      <c r="I11">
        <v>10</v>
      </c>
      <c r="J11">
        <f>IF(10&lt;=$G$32,TEXT(HOUR(INDEX('Batch'!$C$45:$C$68,Q11)),"00")&amp;":"&amp;TEXT(MINUTE(INDEX('Batch'!$C$45:$C$68,Q11)),"00")&amp;CHAR(10)&amp;TEXT(DAY(INDEX('Batch'!$C$45:$C$68,Q11)),"00")&amp;"/"&amp;TEXT(MONTH(INDEX('Batch'!$C$45:$C$68,Q11)),"00"),IF(10=$G$32+1,"Média",""))</f>
        <v>0</v>
      </c>
      <c r="K11">
        <f>IF(10&lt;=$G$32,INDEX('Batch'!$G$45:$G$68,Q11),IF(AND(10=$G$32+1,ISNUMBER($B$32)),$B$32,NA()))</f>
        <v>0</v>
      </c>
      <c r="L11">
        <f>IF(10&lt;=$G$32,INDEX('Batch'!$H$45:$H$68,Q11),IF(AND(10=$G$32+1,ISNUMBER($C$32)),$C$32,NA()))</f>
        <v>0</v>
      </c>
      <c r="M11">
        <f>IF(10&lt;=$G$32,INDEX('Batch'!$Q$45:$Q$68,Q11),NA())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IF(10&lt;=$G$32,MATCH(10,'Batch'!$V$45:$V$68,0),"")</f>
        <v>0</v>
      </c>
      <c r="R11">
        <v>10</v>
      </c>
      <c r="S11">
        <f>IF(10&lt;=$G$33,TEXT(HOUR(INDEX('Batch'!$C$45:$C$68,Z11)),"00")&amp;":"&amp;TEXT(MINUTE(INDEX('Batch'!$C$45:$C$68,Z11)),"00")&amp;CHAR(10)&amp;TEXT(DAY(INDEX('Batch'!$C$45:$C$68,Z11)),"00")&amp;"/"&amp;TEXT(MONTH(INDEX('Batch'!$C$45:$C$68,Z11)),"00"),IF(10=$G$33+1,"Média",""))</f>
        <v>0</v>
      </c>
      <c r="T11">
        <f>IF(10&lt;=$G$33,INDEX('Batch'!$I$45:$I$68,Z11),IF(AND(10=$G$33+1,ISNUMBER($B$33)),$B$33,NA()))</f>
        <v>0</v>
      </c>
      <c r="U11">
        <f>IF(10&lt;=$G$33,INDEX('Batch'!$J$45:$J$68,Z11),IF(AND(10=$G$33+1,ISNUMBER($C$33)),$C$33,NA()))</f>
        <v>0</v>
      </c>
      <c r="V11">
        <f>IF(10&lt;=$G$33,INDEX('Batch'!$R$45:$R$68,Z11),NA())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IF(10&lt;=$G$33,MATCH(10,'Batch'!$W$45:$W$68,0),"")</f>
        <v>0</v>
      </c>
      <c r="AA11">
        <v>10</v>
      </c>
      <c r="AB11">
        <f>IF(10&lt;=$G$34,TEXT(HOUR(INDEX('Batch'!$C$45:$C$68,AI11)),"00")&amp;":"&amp;TEXT(MINUTE(INDEX('Batch'!$C$45:$C$68,AI11)),"00")&amp;CHAR(10)&amp;TEXT(DAY(INDEX('Batch'!$C$45:$C$68,AI11)),"00")&amp;"/"&amp;TEXT(MONTH(INDEX('Batch'!$C$45:$C$68,AI11)),"00"),IF(10=$G$34+1,"Média",""))</f>
        <v>0</v>
      </c>
      <c r="AC11">
        <f>IF(10&lt;=$G$34,INDEX('Batch'!$K$45:$K$68,AI11),IF(AND(10=$G$34+1,ISNUMBER($B$34)),$B$34,NA()))</f>
        <v>0</v>
      </c>
      <c r="AD11">
        <f>IF(10&lt;=$G$34,INDEX('Batch'!$L$45:$L$68,AI11),IF(AND(10=$G$34+1,ISNUMBER($C$34)),$C$34,NA()))</f>
        <v>0</v>
      </c>
      <c r="AE11">
        <f>IF(10&lt;=$G$34,INDEX('Batch'!$S$45:$S$68,AI11),NA())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IF(10&lt;=$G$34,MATCH(10,'Batch'!$X$45:$X$68,0),"")</f>
        <v>0</v>
      </c>
      <c r="AJ11">
        <v>10</v>
      </c>
      <c r="AK11">
        <f>IF(10&lt;=$G$35,TEXT(HOUR(INDEX('Batch'!$C$45:$C$68,AR11)),"00")&amp;":"&amp;TEXT(MINUTE(INDEX('Batch'!$C$45:$C$68,AR11)),"00")&amp;CHAR(10)&amp;TEXT(DAY(INDEX('Batch'!$C$45:$C$68,AR11)),"00")&amp;"/"&amp;TEXT(MONTH(INDEX('Batch'!$C$45:$C$68,AR11)),"00"),IF(10=$G$35+1,"Média",""))</f>
        <v>0</v>
      </c>
      <c r="AL11">
        <f>IF(10&lt;=$G$35,INDEX('Batch'!$M$45:$M$68,AR11),IF(AND(10=$G$35+1,ISNUMBER($B$35)),$B$35,NA()))</f>
        <v>0</v>
      </c>
      <c r="AM11">
        <f>IF(10&lt;=$G$35,INDEX('Batch'!$N$45:$N$68,AR11),IF(AND(10=$G$35+1,ISNUMBER($C$35)),$C$35,NA()))</f>
        <v>0</v>
      </c>
      <c r="AN11">
        <f>IF(10&lt;=$G$35,INDEX('Batch'!$T$45:$T$68,AR11),NA())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IF(10&lt;=$G$35,MATCH(10,'Batch'!$Y$45:$Y$68,0),"")</f>
        <v>0</v>
      </c>
      <c r="AS11">
        <v>10</v>
      </c>
    </row>
    <row r="12" spans="1:45">
      <c r="A12">
        <f>IF(11&lt;=$G$31,TEXT(HOUR(INDEX('Batch'!$C$45:$C$68,H12)),"00")&amp;":"&amp;TEXT(MINUTE(INDEX('Batch'!$C$45:$C$68,H12)),"00")&amp;CHAR(10)&amp;TEXT(DAY(INDEX('Batch'!$C$45:$C$68,H12)),"00")&amp;"/"&amp;TEXT(MONTH(INDEX('Batch'!$C$45:$C$68,H12)),"00"),IF(11=$G$31+1,"Média",""))</f>
        <v>0</v>
      </c>
      <c r="B12">
        <f>IF(11&lt;=$G$31,INDEX('Batch'!$E$45:$E$68,H12),IF(AND(11=$G$31+1,ISNUMBER($B$31)),$B$31,NA()))</f>
        <v>0</v>
      </c>
      <c r="C12">
        <f>IF(11&lt;=$G$31,INDEX('Batch'!$F$45:$F$68,H12),IF(AND(11=$G$31+1,ISNUMBER($C$31)),$C$31,NA()))</f>
        <v>0</v>
      </c>
      <c r="D12">
        <f>IF(11&lt;=$G$31,INDEX('Batch'!$P$45:$P$68,H12),NA())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IF(11&lt;=$G$31,MATCH(11,'Batch'!$U$45:$U$68,0),"")</f>
        <v>0</v>
      </c>
      <c r="I12">
        <v>11</v>
      </c>
      <c r="J12">
        <f>IF(11&lt;=$G$32,TEXT(HOUR(INDEX('Batch'!$C$45:$C$68,Q12)),"00")&amp;":"&amp;TEXT(MINUTE(INDEX('Batch'!$C$45:$C$68,Q12)),"00")&amp;CHAR(10)&amp;TEXT(DAY(INDEX('Batch'!$C$45:$C$68,Q12)),"00")&amp;"/"&amp;TEXT(MONTH(INDEX('Batch'!$C$45:$C$68,Q12)),"00"),IF(11=$G$32+1,"Média",""))</f>
        <v>0</v>
      </c>
      <c r="K12">
        <f>IF(11&lt;=$G$32,INDEX('Batch'!$G$45:$G$68,Q12),IF(AND(11=$G$32+1,ISNUMBER($B$32)),$B$32,NA()))</f>
        <v>0</v>
      </c>
      <c r="L12">
        <f>IF(11&lt;=$G$32,INDEX('Batch'!$H$45:$H$68,Q12),IF(AND(11=$G$32+1,ISNUMBER($C$32)),$C$32,NA()))</f>
        <v>0</v>
      </c>
      <c r="M12">
        <f>IF(11&lt;=$G$32,INDEX('Batch'!$Q$45:$Q$68,Q12),NA())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IF(11&lt;=$G$32,MATCH(11,'Batch'!$V$45:$V$68,0),"")</f>
        <v>0</v>
      </c>
      <c r="R12">
        <v>11</v>
      </c>
      <c r="S12">
        <f>IF(11&lt;=$G$33,TEXT(HOUR(INDEX('Batch'!$C$45:$C$68,Z12)),"00")&amp;":"&amp;TEXT(MINUTE(INDEX('Batch'!$C$45:$C$68,Z12)),"00")&amp;CHAR(10)&amp;TEXT(DAY(INDEX('Batch'!$C$45:$C$68,Z12)),"00")&amp;"/"&amp;TEXT(MONTH(INDEX('Batch'!$C$45:$C$68,Z12)),"00"),IF(11=$G$33+1,"Média",""))</f>
        <v>0</v>
      </c>
      <c r="T12">
        <f>IF(11&lt;=$G$33,INDEX('Batch'!$I$45:$I$68,Z12),IF(AND(11=$G$33+1,ISNUMBER($B$33)),$B$33,NA()))</f>
        <v>0</v>
      </c>
      <c r="U12">
        <f>IF(11&lt;=$G$33,INDEX('Batch'!$J$45:$J$68,Z12),IF(AND(11=$G$33+1,ISNUMBER($C$33)),$C$33,NA()))</f>
        <v>0</v>
      </c>
      <c r="V12">
        <f>IF(11&lt;=$G$33,INDEX('Batch'!$R$45:$R$68,Z12),NA())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IF(11&lt;=$G$33,MATCH(11,'Batch'!$W$45:$W$68,0),"")</f>
        <v>0</v>
      </c>
      <c r="AA12">
        <v>11</v>
      </c>
      <c r="AB12">
        <f>IF(11&lt;=$G$34,TEXT(HOUR(INDEX('Batch'!$C$45:$C$68,AI12)),"00")&amp;":"&amp;TEXT(MINUTE(INDEX('Batch'!$C$45:$C$68,AI12)),"00")&amp;CHAR(10)&amp;TEXT(DAY(INDEX('Batch'!$C$45:$C$68,AI12)),"00")&amp;"/"&amp;TEXT(MONTH(INDEX('Batch'!$C$45:$C$68,AI12)),"00"),IF(11=$G$34+1,"Média",""))</f>
        <v>0</v>
      </c>
      <c r="AC12">
        <f>IF(11&lt;=$G$34,INDEX('Batch'!$K$45:$K$68,AI12),IF(AND(11=$G$34+1,ISNUMBER($B$34)),$B$34,NA()))</f>
        <v>0</v>
      </c>
      <c r="AD12">
        <f>IF(11&lt;=$G$34,INDEX('Batch'!$L$45:$L$68,AI12),IF(AND(11=$G$34+1,ISNUMBER($C$34)),$C$34,NA()))</f>
        <v>0</v>
      </c>
      <c r="AE12">
        <f>IF(11&lt;=$G$34,INDEX('Batch'!$S$45:$S$68,AI12),NA())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IF(11&lt;=$G$34,MATCH(11,'Batch'!$X$45:$X$68,0),"")</f>
        <v>0</v>
      </c>
      <c r="AJ12">
        <v>11</v>
      </c>
      <c r="AK12">
        <f>IF(11&lt;=$G$35,TEXT(HOUR(INDEX('Batch'!$C$45:$C$68,AR12)),"00")&amp;":"&amp;TEXT(MINUTE(INDEX('Batch'!$C$45:$C$68,AR12)),"00")&amp;CHAR(10)&amp;TEXT(DAY(INDEX('Batch'!$C$45:$C$68,AR12)),"00")&amp;"/"&amp;TEXT(MONTH(INDEX('Batch'!$C$45:$C$68,AR12)),"00"),IF(11=$G$35+1,"Média",""))</f>
        <v>0</v>
      </c>
      <c r="AL12">
        <f>IF(11&lt;=$G$35,INDEX('Batch'!$M$45:$M$68,AR12),IF(AND(11=$G$35+1,ISNUMBER($B$35)),$B$35,NA()))</f>
        <v>0</v>
      </c>
      <c r="AM12">
        <f>IF(11&lt;=$G$35,INDEX('Batch'!$N$45:$N$68,AR12),IF(AND(11=$G$35+1,ISNUMBER($C$35)),$C$35,NA()))</f>
        <v>0</v>
      </c>
      <c r="AN12">
        <f>IF(11&lt;=$G$35,INDEX('Batch'!$T$45:$T$68,AR12),NA())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IF(11&lt;=$G$35,MATCH(11,'Batch'!$Y$45:$Y$68,0),"")</f>
        <v>0</v>
      </c>
      <c r="AS12">
        <v>11</v>
      </c>
    </row>
    <row r="13" spans="1:45">
      <c r="A13">
        <f>IF(12&lt;=$G$31,TEXT(HOUR(INDEX('Batch'!$C$45:$C$68,H13)),"00")&amp;":"&amp;TEXT(MINUTE(INDEX('Batch'!$C$45:$C$68,H13)),"00")&amp;CHAR(10)&amp;TEXT(DAY(INDEX('Batch'!$C$45:$C$68,H13)),"00")&amp;"/"&amp;TEXT(MONTH(INDEX('Batch'!$C$45:$C$68,H13)),"00"),IF(12=$G$31+1,"Média",""))</f>
        <v>0</v>
      </c>
      <c r="B13">
        <f>IF(12&lt;=$G$31,INDEX('Batch'!$E$45:$E$68,H13),IF(AND(12=$G$31+1,ISNUMBER($B$31)),$B$31,NA()))</f>
        <v>0</v>
      </c>
      <c r="C13">
        <f>IF(12&lt;=$G$31,INDEX('Batch'!$F$45:$F$68,H13),IF(AND(12=$G$31+1,ISNUMBER($C$31)),$C$31,NA()))</f>
        <v>0</v>
      </c>
      <c r="D13">
        <f>IF(12&lt;=$G$31,INDEX('Batch'!$P$45:$P$68,H13),NA())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IF(12&lt;=$G$31,MATCH(12,'Batch'!$U$45:$U$68,0),"")</f>
        <v>0</v>
      </c>
      <c r="I13">
        <v>12</v>
      </c>
      <c r="J13">
        <f>IF(12&lt;=$G$32,TEXT(HOUR(INDEX('Batch'!$C$45:$C$68,Q13)),"00")&amp;":"&amp;TEXT(MINUTE(INDEX('Batch'!$C$45:$C$68,Q13)),"00")&amp;CHAR(10)&amp;TEXT(DAY(INDEX('Batch'!$C$45:$C$68,Q13)),"00")&amp;"/"&amp;TEXT(MONTH(INDEX('Batch'!$C$45:$C$68,Q13)),"00"),IF(12=$G$32+1,"Média",""))</f>
        <v>0</v>
      </c>
      <c r="K13">
        <f>IF(12&lt;=$G$32,INDEX('Batch'!$G$45:$G$68,Q13),IF(AND(12=$G$32+1,ISNUMBER($B$32)),$B$32,NA()))</f>
        <v>0</v>
      </c>
      <c r="L13">
        <f>IF(12&lt;=$G$32,INDEX('Batch'!$H$45:$H$68,Q13),IF(AND(12=$G$32+1,ISNUMBER($C$32)),$C$32,NA()))</f>
        <v>0</v>
      </c>
      <c r="M13">
        <f>IF(12&lt;=$G$32,INDEX('Batch'!$Q$45:$Q$68,Q13),NA())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IF(12&lt;=$G$32,MATCH(12,'Batch'!$V$45:$V$68,0),"")</f>
        <v>0</v>
      </c>
      <c r="R13">
        <v>12</v>
      </c>
      <c r="S13">
        <f>IF(12&lt;=$G$33,TEXT(HOUR(INDEX('Batch'!$C$45:$C$68,Z13)),"00")&amp;":"&amp;TEXT(MINUTE(INDEX('Batch'!$C$45:$C$68,Z13)),"00")&amp;CHAR(10)&amp;TEXT(DAY(INDEX('Batch'!$C$45:$C$68,Z13)),"00")&amp;"/"&amp;TEXT(MONTH(INDEX('Batch'!$C$45:$C$68,Z13)),"00"),IF(12=$G$33+1,"Média",""))</f>
        <v>0</v>
      </c>
      <c r="T13">
        <f>IF(12&lt;=$G$33,INDEX('Batch'!$I$45:$I$68,Z13),IF(AND(12=$G$33+1,ISNUMBER($B$33)),$B$33,NA()))</f>
        <v>0</v>
      </c>
      <c r="U13">
        <f>IF(12&lt;=$G$33,INDEX('Batch'!$J$45:$J$68,Z13),IF(AND(12=$G$33+1,ISNUMBER($C$33)),$C$33,NA()))</f>
        <v>0</v>
      </c>
      <c r="V13">
        <f>IF(12&lt;=$G$33,INDEX('Batch'!$R$45:$R$68,Z13),NA())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IF(12&lt;=$G$33,MATCH(12,'Batch'!$W$45:$W$68,0),"")</f>
        <v>0</v>
      </c>
      <c r="AA13">
        <v>12</v>
      </c>
      <c r="AB13">
        <f>IF(12&lt;=$G$34,TEXT(HOUR(INDEX('Batch'!$C$45:$C$68,AI13)),"00")&amp;":"&amp;TEXT(MINUTE(INDEX('Batch'!$C$45:$C$68,AI13)),"00")&amp;CHAR(10)&amp;TEXT(DAY(INDEX('Batch'!$C$45:$C$68,AI13)),"00")&amp;"/"&amp;TEXT(MONTH(INDEX('Batch'!$C$45:$C$68,AI13)),"00"),IF(12=$G$34+1,"Média",""))</f>
        <v>0</v>
      </c>
      <c r="AC13">
        <f>IF(12&lt;=$G$34,INDEX('Batch'!$K$45:$K$68,AI13),IF(AND(12=$G$34+1,ISNUMBER($B$34)),$B$34,NA()))</f>
        <v>0</v>
      </c>
      <c r="AD13">
        <f>IF(12&lt;=$G$34,INDEX('Batch'!$L$45:$L$68,AI13),IF(AND(12=$G$34+1,ISNUMBER($C$34)),$C$34,NA()))</f>
        <v>0</v>
      </c>
      <c r="AE13">
        <f>IF(12&lt;=$G$34,INDEX('Batch'!$S$45:$S$68,AI13),NA())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IF(12&lt;=$G$34,MATCH(12,'Batch'!$X$45:$X$68,0),"")</f>
        <v>0</v>
      </c>
      <c r="AJ13">
        <v>12</v>
      </c>
      <c r="AK13">
        <f>IF(12&lt;=$G$35,TEXT(HOUR(INDEX('Batch'!$C$45:$C$68,AR13)),"00")&amp;":"&amp;TEXT(MINUTE(INDEX('Batch'!$C$45:$C$68,AR13)),"00")&amp;CHAR(10)&amp;TEXT(DAY(INDEX('Batch'!$C$45:$C$68,AR13)),"00")&amp;"/"&amp;TEXT(MONTH(INDEX('Batch'!$C$45:$C$68,AR13)),"00"),IF(12=$G$35+1,"Média",""))</f>
        <v>0</v>
      </c>
      <c r="AL13">
        <f>IF(12&lt;=$G$35,INDEX('Batch'!$M$45:$M$68,AR13),IF(AND(12=$G$35+1,ISNUMBER($B$35)),$B$35,NA()))</f>
        <v>0</v>
      </c>
      <c r="AM13">
        <f>IF(12&lt;=$G$35,INDEX('Batch'!$N$45:$N$68,AR13),IF(AND(12=$G$35+1,ISNUMBER($C$35)),$C$35,NA()))</f>
        <v>0</v>
      </c>
      <c r="AN13">
        <f>IF(12&lt;=$G$35,INDEX('Batch'!$T$45:$T$68,AR13),NA())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IF(12&lt;=$G$35,MATCH(12,'Batch'!$Y$45:$Y$68,0),"")</f>
        <v>0</v>
      </c>
      <c r="AS13">
        <v>12</v>
      </c>
    </row>
    <row r="14" spans="1:45">
      <c r="A14">
        <f>IF(13&lt;=$G$31,TEXT(HOUR(INDEX('Batch'!$C$45:$C$68,H14)),"00")&amp;":"&amp;TEXT(MINUTE(INDEX('Batch'!$C$45:$C$68,H14)),"00")&amp;CHAR(10)&amp;TEXT(DAY(INDEX('Batch'!$C$45:$C$68,H14)),"00")&amp;"/"&amp;TEXT(MONTH(INDEX('Batch'!$C$45:$C$68,H14)),"00"),IF(13=$G$31+1,"Média",""))</f>
        <v>0</v>
      </c>
      <c r="B14">
        <f>IF(13&lt;=$G$31,INDEX('Batch'!$E$45:$E$68,H14),IF(AND(13=$G$31+1,ISNUMBER($B$31)),$B$31,NA()))</f>
        <v>0</v>
      </c>
      <c r="C14">
        <f>IF(13&lt;=$G$31,INDEX('Batch'!$F$45:$F$68,H14),IF(AND(13=$G$31+1,ISNUMBER($C$31)),$C$31,NA()))</f>
        <v>0</v>
      </c>
      <c r="D14">
        <f>IF(13&lt;=$G$31,INDEX('Batch'!$P$45:$P$68,H14),NA())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IF(13&lt;=$G$31,MATCH(13,'Batch'!$U$45:$U$68,0),"")</f>
        <v>0</v>
      </c>
      <c r="I14">
        <v>13</v>
      </c>
      <c r="J14">
        <f>IF(13&lt;=$G$32,TEXT(HOUR(INDEX('Batch'!$C$45:$C$68,Q14)),"00")&amp;":"&amp;TEXT(MINUTE(INDEX('Batch'!$C$45:$C$68,Q14)),"00")&amp;CHAR(10)&amp;TEXT(DAY(INDEX('Batch'!$C$45:$C$68,Q14)),"00")&amp;"/"&amp;TEXT(MONTH(INDEX('Batch'!$C$45:$C$68,Q14)),"00"),IF(13=$G$32+1,"Média",""))</f>
        <v>0</v>
      </c>
      <c r="K14">
        <f>IF(13&lt;=$G$32,INDEX('Batch'!$G$45:$G$68,Q14),IF(AND(13=$G$32+1,ISNUMBER($B$32)),$B$32,NA()))</f>
        <v>0</v>
      </c>
      <c r="L14">
        <f>IF(13&lt;=$G$32,INDEX('Batch'!$H$45:$H$68,Q14),IF(AND(13=$G$32+1,ISNUMBER($C$32)),$C$32,NA()))</f>
        <v>0</v>
      </c>
      <c r="M14">
        <f>IF(13&lt;=$G$32,INDEX('Batch'!$Q$45:$Q$68,Q14),NA())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IF(13&lt;=$G$32,MATCH(13,'Batch'!$V$45:$V$68,0),"")</f>
        <v>0</v>
      </c>
      <c r="R14">
        <v>13</v>
      </c>
      <c r="S14">
        <f>IF(13&lt;=$G$33,TEXT(HOUR(INDEX('Batch'!$C$45:$C$68,Z14)),"00")&amp;":"&amp;TEXT(MINUTE(INDEX('Batch'!$C$45:$C$68,Z14)),"00")&amp;CHAR(10)&amp;TEXT(DAY(INDEX('Batch'!$C$45:$C$68,Z14)),"00")&amp;"/"&amp;TEXT(MONTH(INDEX('Batch'!$C$45:$C$68,Z14)),"00"),IF(13=$G$33+1,"Média",""))</f>
        <v>0</v>
      </c>
      <c r="T14">
        <f>IF(13&lt;=$G$33,INDEX('Batch'!$I$45:$I$68,Z14),IF(AND(13=$G$33+1,ISNUMBER($B$33)),$B$33,NA()))</f>
        <v>0</v>
      </c>
      <c r="U14">
        <f>IF(13&lt;=$G$33,INDEX('Batch'!$J$45:$J$68,Z14),IF(AND(13=$G$33+1,ISNUMBER($C$33)),$C$33,NA()))</f>
        <v>0</v>
      </c>
      <c r="V14">
        <f>IF(13&lt;=$G$33,INDEX('Batch'!$R$45:$R$68,Z14),NA())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IF(13&lt;=$G$33,MATCH(13,'Batch'!$W$45:$W$68,0),"")</f>
        <v>0</v>
      </c>
      <c r="AA14">
        <v>13</v>
      </c>
      <c r="AB14">
        <f>IF(13&lt;=$G$34,TEXT(HOUR(INDEX('Batch'!$C$45:$C$68,AI14)),"00")&amp;":"&amp;TEXT(MINUTE(INDEX('Batch'!$C$45:$C$68,AI14)),"00")&amp;CHAR(10)&amp;TEXT(DAY(INDEX('Batch'!$C$45:$C$68,AI14)),"00")&amp;"/"&amp;TEXT(MONTH(INDEX('Batch'!$C$45:$C$68,AI14)),"00"),IF(13=$G$34+1,"Média",""))</f>
        <v>0</v>
      </c>
      <c r="AC14">
        <f>IF(13&lt;=$G$34,INDEX('Batch'!$K$45:$K$68,AI14),IF(AND(13=$G$34+1,ISNUMBER($B$34)),$B$34,NA()))</f>
        <v>0</v>
      </c>
      <c r="AD14">
        <f>IF(13&lt;=$G$34,INDEX('Batch'!$L$45:$L$68,AI14),IF(AND(13=$G$34+1,ISNUMBER($C$34)),$C$34,NA()))</f>
        <v>0</v>
      </c>
      <c r="AE14">
        <f>IF(13&lt;=$G$34,INDEX('Batch'!$S$45:$S$68,AI14),NA())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IF(13&lt;=$G$34,MATCH(13,'Batch'!$X$45:$X$68,0),"")</f>
        <v>0</v>
      </c>
      <c r="AJ14">
        <v>13</v>
      </c>
      <c r="AK14">
        <f>IF(13&lt;=$G$35,TEXT(HOUR(INDEX('Batch'!$C$45:$C$68,AR14)),"00")&amp;":"&amp;TEXT(MINUTE(INDEX('Batch'!$C$45:$C$68,AR14)),"00")&amp;CHAR(10)&amp;TEXT(DAY(INDEX('Batch'!$C$45:$C$68,AR14)),"00")&amp;"/"&amp;TEXT(MONTH(INDEX('Batch'!$C$45:$C$68,AR14)),"00"),IF(13=$G$35+1,"Média",""))</f>
        <v>0</v>
      </c>
      <c r="AL14">
        <f>IF(13&lt;=$G$35,INDEX('Batch'!$M$45:$M$68,AR14),IF(AND(13=$G$35+1,ISNUMBER($B$35)),$B$35,NA()))</f>
        <v>0</v>
      </c>
      <c r="AM14">
        <f>IF(13&lt;=$G$35,INDEX('Batch'!$N$45:$N$68,AR14),IF(AND(13=$G$35+1,ISNUMBER($C$35)),$C$35,NA()))</f>
        <v>0</v>
      </c>
      <c r="AN14">
        <f>IF(13&lt;=$G$35,INDEX('Batch'!$T$45:$T$68,AR14),NA())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IF(13&lt;=$G$35,MATCH(13,'Batch'!$Y$45:$Y$68,0),"")</f>
        <v>0</v>
      </c>
      <c r="AS14">
        <v>13</v>
      </c>
    </row>
    <row r="15" spans="1:45">
      <c r="A15">
        <f>IF(14&lt;=$G$31,TEXT(HOUR(INDEX('Batch'!$C$45:$C$68,H15)),"00")&amp;":"&amp;TEXT(MINUTE(INDEX('Batch'!$C$45:$C$68,H15)),"00")&amp;CHAR(10)&amp;TEXT(DAY(INDEX('Batch'!$C$45:$C$68,H15)),"00")&amp;"/"&amp;TEXT(MONTH(INDEX('Batch'!$C$45:$C$68,H15)),"00"),IF(14=$G$31+1,"Média",""))</f>
        <v>0</v>
      </c>
      <c r="B15">
        <f>IF(14&lt;=$G$31,INDEX('Batch'!$E$45:$E$68,H15),IF(AND(14=$G$31+1,ISNUMBER($B$31)),$B$31,NA()))</f>
        <v>0</v>
      </c>
      <c r="C15">
        <f>IF(14&lt;=$G$31,INDEX('Batch'!$F$45:$F$68,H15),IF(AND(14=$G$31+1,ISNUMBER($C$31)),$C$31,NA()))</f>
        <v>0</v>
      </c>
      <c r="D15">
        <f>IF(14&lt;=$G$31,INDEX('Batch'!$P$45:$P$68,H15),NA())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IF(14&lt;=$G$31,MATCH(14,'Batch'!$U$45:$U$68,0),"")</f>
        <v>0</v>
      </c>
      <c r="I15">
        <v>14</v>
      </c>
      <c r="J15">
        <f>IF(14&lt;=$G$32,TEXT(HOUR(INDEX('Batch'!$C$45:$C$68,Q15)),"00")&amp;":"&amp;TEXT(MINUTE(INDEX('Batch'!$C$45:$C$68,Q15)),"00")&amp;CHAR(10)&amp;TEXT(DAY(INDEX('Batch'!$C$45:$C$68,Q15)),"00")&amp;"/"&amp;TEXT(MONTH(INDEX('Batch'!$C$45:$C$68,Q15)),"00"),IF(14=$G$32+1,"Média",""))</f>
        <v>0</v>
      </c>
      <c r="K15">
        <f>IF(14&lt;=$G$32,INDEX('Batch'!$G$45:$G$68,Q15),IF(AND(14=$G$32+1,ISNUMBER($B$32)),$B$32,NA()))</f>
        <v>0</v>
      </c>
      <c r="L15">
        <f>IF(14&lt;=$G$32,INDEX('Batch'!$H$45:$H$68,Q15),IF(AND(14=$G$32+1,ISNUMBER($C$32)),$C$32,NA()))</f>
        <v>0</v>
      </c>
      <c r="M15">
        <f>IF(14&lt;=$G$32,INDEX('Batch'!$Q$45:$Q$68,Q15),NA())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IF(14&lt;=$G$32,MATCH(14,'Batch'!$V$45:$V$68,0),"")</f>
        <v>0</v>
      </c>
      <c r="R15">
        <v>14</v>
      </c>
      <c r="S15">
        <f>IF(14&lt;=$G$33,TEXT(HOUR(INDEX('Batch'!$C$45:$C$68,Z15)),"00")&amp;":"&amp;TEXT(MINUTE(INDEX('Batch'!$C$45:$C$68,Z15)),"00")&amp;CHAR(10)&amp;TEXT(DAY(INDEX('Batch'!$C$45:$C$68,Z15)),"00")&amp;"/"&amp;TEXT(MONTH(INDEX('Batch'!$C$45:$C$68,Z15)),"00"),IF(14=$G$33+1,"Média",""))</f>
        <v>0</v>
      </c>
      <c r="T15">
        <f>IF(14&lt;=$G$33,INDEX('Batch'!$I$45:$I$68,Z15),IF(AND(14=$G$33+1,ISNUMBER($B$33)),$B$33,NA()))</f>
        <v>0</v>
      </c>
      <c r="U15">
        <f>IF(14&lt;=$G$33,INDEX('Batch'!$J$45:$J$68,Z15),IF(AND(14=$G$33+1,ISNUMBER($C$33)),$C$33,NA()))</f>
        <v>0</v>
      </c>
      <c r="V15">
        <f>IF(14&lt;=$G$33,INDEX('Batch'!$R$45:$R$68,Z15),NA())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IF(14&lt;=$G$33,MATCH(14,'Batch'!$W$45:$W$68,0),"")</f>
        <v>0</v>
      </c>
      <c r="AA15">
        <v>14</v>
      </c>
      <c r="AB15">
        <f>IF(14&lt;=$G$34,TEXT(HOUR(INDEX('Batch'!$C$45:$C$68,AI15)),"00")&amp;":"&amp;TEXT(MINUTE(INDEX('Batch'!$C$45:$C$68,AI15)),"00")&amp;CHAR(10)&amp;TEXT(DAY(INDEX('Batch'!$C$45:$C$68,AI15)),"00")&amp;"/"&amp;TEXT(MONTH(INDEX('Batch'!$C$45:$C$68,AI15)),"00"),IF(14=$G$34+1,"Média",""))</f>
        <v>0</v>
      </c>
      <c r="AC15">
        <f>IF(14&lt;=$G$34,INDEX('Batch'!$K$45:$K$68,AI15),IF(AND(14=$G$34+1,ISNUMBER($B$34)),$B$34,NA()))</f>
        <v>0</v>
      </c>
      <c r="AD15">
        <f>IF(14&lt;=$G$34,INDEX('Batch'!$L$45:$L$68,AI15),IF(AND(14=$G$34+1,ISNUMBER($C$34)),$C$34,NA()))</f>
        <v>0</v>
      </c>
      <c r="AE15">
        <f>IF(14&lt;=$G$34,INDEX('Batch'!$S$45:$S$68,AI15),NA())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IF(14&lt;=$G$34,MATCH(14,'Batch'!$X$45:$X$68,0),"")</f>
        <v>0</v>
      </c>
      <c r="AJ15">
        <v>14</v>
      </c>
      <c r="AK15">
        <f>IF(14&lt;=$G$35,TEXT(HOUR(INDEX('Batch'!$C$45:$C$68,AR15)),"00")&amp;":"&amp;TEXT(MINUTE(INDEX('Batch'!$C$45:$C$68,AR15)),"00")&amp;CHAR(10)&amp;TEXT(DAY(INDEX('Batch'!$C$45:$C$68,AR15)),"00")&amp;"/"&amp;TEXT(MONTH(INDEX('Batch'!$C$45:$C$68,AR15)),"00"),IF(14=$G$35+1,"Média",""))</f>
        <v>0</v>
      </c>
      <c r="AL15">
        <f>IF(14&lt;=$G$35,INDEX('Batch'!$M$45:$M$68,AR15),IF(AND(14=$G$35+1,ISNUMBER($B$35)),$B$35,NA()))</f>
        <v>0</v>
      </c>
      <c r="AM15">
        <f>IF(14&lt;=$G$35,INDEX('Batch'!$N$45:$N$68,AR15),IF(AND(14=$G$35+1,ISNUMBER($C$35)),$C$35,NA()))</f>
        <v>0</v>
      </c>
      <c r="AN15">
        <f>IF(14&lt;=$G$35,INDEX('Batch'!$T$45:$T$68,AR15),NA())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IF(14&lt;=$G$35,MATCH(14,'Batch'!$Y$45:$Y$68,0),"")</f>
        <v>0</v>
      </c>
      <c r="AS15">
        <v>14</v>
      </c>
    </row>
    <row r="16" spans="1:45">
      <c r="A16">
        <f>IF(15&lt;=$G$31,TEXT(HOUR(INDEX('Batch'!$C$45:$C$68,H16)),"00")&amp;":"&amp;TEXT(MINUTE(INDEX('Batch'!$C$45:$C$68,H16)),"00")&amp;CHAR(10)&amp;TEXT(DAY(INDEX('Batch'!$C$45:$C$68,H16)),"00")&amp;"/"&amp;TEXT(MONTH(INDEX('Batch'!$C$45:$C$68,H16)),"00"),IF(15=$G$31+1,"Média",""))</f>
        <v>0</v>
      </c>
      <c r="B16">
        <f>IF(15&lt;=$G$31,INDEX('Batch'!$E$45:$E$68,H16),IF(AND(15=$G$31+1,ISNUMBER($B$31)),$B$31,NA()))</f>
        <v>0</v>
      </c>
      <c r="C16">
        <f>IF(15&lt;=$G$31,INDEX('Batch'!$F$45:$F$68,H16),IF(AND(15=$G$31+1,ISNUMBER($C$31)),$C$31,NA()))</f>
        <v>0</v>
      </c>
      <c r="D16">
        <f>IF(15&lt;=$G$31,INDEX('Batch'!$P$45:$P$68,H16),NA())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IF(15&lt;=$G$31,MATCH(15,'Batch'!$U$45:$U$68,0),"")</f>
        <v>0</v>
      </c>
      <c r="I16">
        <v>15</v>
      </c>
      <c r="J16">
        <f>IF(15&lt;=$G$32,TEXT(HOUR(INDEX('Batch'!$C$45:$C$68,Q16)),"00")&amp;":"&amp;TEXT(MINUTE(INDEX('Batch'!$C$45:$C$68,Q16)),"00")&amp;CHAR(10)&amp;TEXT(DAY(INDEX('Batch'!$C$45:$C$68,Q16)),"00")&amp;"/"&amp;TEXT(MONTH(INDEX('Batch'!$C$45:$C$68,Q16)),"00"),IF(15=$G$32+1,"Média",""))</f>
        <v>0</v>
      </c>
      <c r="K16">
        <f>IF(15&lt;=$G$32,INDEX('Batch'!$G$45:$G$68,Q16),IF(AND(15=$G$32+1,ISNUMBER($B$32)),$B$32,NA()))</f>
        <v>0</v>
      </c>
      <c r="L16">
        <f>IF(15&lt;=$G$32,INDEX('Batch'!$H$45:$H$68,Q16),IF(AND(15=$G$32+1,ISNUMBER($C$32)),$C$32,NA()))</f>
        <v>0</v>
      </c>
      <c r="M16">
        <f>IF(15&lt;=$G$32,INDEX('Batch'!$Q$45:$Q$68,Q16),NA())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IF(15&lt;=$G$32,MATCH(15,'Batch'!$V$45:$V$68,0),"")</f>
        <v>0</v>
      </c>
      <c r="R16">
        <v>15</v>
      </c>
      <c r="S16">
        <f>IF(15&lt;=$G$33,TEXT(HOUR(INDEX('Batch'!$C$45:$C$68,Z16)),"00")&amp;":"&amp;TEXT(MINUTE(INDEX('Batch'!$C$45:$C$68,Z16)),"00")&amp;CHAR(10)&amp;TEXT(DAY(INDEX('Batch'!$C$45:$C$68,Z16)),"00")&amp;"/"&amp;TEXT(MONTH(INDEX('Batch'!$C$45:$C$68,Z16)),"00"),IF(15=$G$33+1,"Média",""))</f>
        <v>0</v>
      </c>
      <c r="T16">
        <f>IF(15&lt;=$G$33,INDEX('Batch'!$I$45:$I$68,Z16),IF(AND(15=$G$33+1,ISNUMBER($B$33)),$B$33,NA()))</f>
        <v>0</v>
      </c>
      <c r="U16">
        <f>IF(15&lt;=$G$33,INDEX('Batch'!$J$45:$J$68,Z16),IF(AND(15=$G$33+1,ISNUMBER($C$33)),$C$33,NA()))</f>
        <v>0</v>
      </c>
      <c r="V16">
        <f>IF(15&lt;=$G$33,INDEX('Batch'!$R$45:$R$68,Z16),NA())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IF(15&lt;=$G$33,MATCH(15,'Batch'!$W$45:$W$68,0),"")</f>
        <v>0</v>
      </c>
      <c r="AA16">
        <v>15</v>
      </c>
      <c r="AB16">
        <f>IF(15&lt;=$G$34,TEXT(HOUR(INDEX('Batch'!$C$45:$C$68,AI16)),"00")&amp;":"&amp;TEXT(MINUTE(INDEX('Batch'!$C$45:$C$68,AI16)),"00")&amp;CHAR(10)&amp;TEXT(DAY(INDEX('Batch'!$C$45:$C$68,AI16)),"00")&amp;"/"&amp;TEXT(MONTH(INDEX('Batch'!$C$45:$C$68,AI16)),"00"),IF(15=$G$34+1,"Média",""))</f>
        <v>0</v>
      </c>
      <c r="AC16">
        <f>IF(15&lt;=$G$34,INDEX('Batch'!$K$45:$K$68,AI16),IF(AND(15=$G$34+1,ISNUMBER($B$34)),$B$34,NA()))</f>
        <v>0</v>
      </c>
      <c r="AD16">
        <f>IF(15&lt;=$G$34,INDEX('Batch'!$L$45:$L$68,AI16),IF(AND(15=$G$34+1,ISNUMBER($C$34)),$C$34,NA()))</f>
        <v>0</v>
      </c>
      <c r="AE16">
        <f>IF(15&lt;=$G$34,INDEX('Batch'!$S$45:$S$68,AI16),NA())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IF(15&lt;=$G$34,MATCH(15,'Batch'!$X$45:$X$68,0),"")</f>
        <v>0</v>
      </c>
      <c r="AJ16">
        <v>15</v>
      </c>
      <c r="AK16">
        <f>IF(15&lt;=$G$35,TEXT(HOUR(INDEX('Batch'!$C$45:$C$68,AR16)),"00")&amp;":"&amp;TEXT(MINUTE(INDEX('Batch'!$C$45:$C$68,AR16)),"00")&amp;CHAR(10)&amp;TEXT(DAY(INDEX('Batch'!$C$45:$C$68,AR16)),"00")&amp;"/"&amp;TEXT(MONTH(INDEX('Batch'!$C$45:$C$68,AR16)),"00"),IF(15=$G$35+1,"Média",""))</f>
        <v>0</v>
      </c>
      <c r="AL16">
        <f>IF(15&lt;=$G$35,INDEX('Batch'!$M$45:$M$68,AR16),IF(AND(15=$G$35+1,ISNUMBER($B$35)),$B$35,NA()))</f>
        <v>0</v>
      </c>
      <c r="AM16">
        <f>IF(15&lt;=$G$35,INDEX('Batch'!$N$45:$N$68,AR16),IF(AND(15=$G$35+1,ISNUMBER($C$35)),$C$35,NA()))</f>
        <v>0</v>
      </c>
      <c r="AN16">
        <f>IF(15&lt;=$G$35,INDEX('Batch'!$T$45:$T$68,AR16),NA())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IF(15&lt;=$G$35,MATCH(15,'Batch'!$Y$45:$Y$68,0),"")</f>
        <v>0</v>
      </c>
      <c r="AS16">
        <v>15</v>
      </c>
    </row>
    <row r="17" spans="1:45">
      <c r="A17">
        <f>IF(16&lt;=$G$31,TEXT(HOUR(INDEX('Batch'!$C$45:$C$68,H17)),"00")&amp;":"&amp;TEXT(MINUTE(INDEX('Batch'!$C$45:$C$68,H17)),"00")&amp;CHAR(10)&amp;TEXT(DAY(INDEX('Batch'!$C$45:$C$68,H17)),"00")&amp;"/"&amp;TEXT(MONTH(INDEX('Batch'!$C$45:$C$68,H17)),"00"),IF(16=$G$31+1,"Média",""))</f>
        <v>0</v>
      </c>
      <c r="B17">
        <f>IF(16&lt;=$G$31,INDEX('Batch'!$E$45:$E$68,H17),IF(AND(16=$G$31+1,ISNUMBER($B$31)),$B$31,NA()))</f>
        <v>0</v>
      </c>
      <c r="C17">
        <f>IF(16&lt;=$G$31,INDEX('Batch'!$F$45:$F$68,H17),IF(AND(16=$G$31+1,ISNUMBER($C$31)),$C$31,NA()))</f>
        <v>0</v>
      </c>
      <c r="D17">
        <f>IF(16&lt;=$G$31,INDEX('Batch'!$P$45:$P$68,H17),NA())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IF(16&lt;=$G$31,MATCH(16,'Batch'!$U$45:$U$68,0),"")</f>
        <v>0</v>
      </c>
      <c r="I17">
        <v>16</v>
      </c>
      <c r="J17">
        <f>IF(16&lt;=$G$32,TEXT(HOUR(INDEX('Batch'!$C$45:$C$68,Q17)),"00")&amp;":"&amp;TEXT(MINUTE(INDEX('Batch'!$C$45:$C$68,Q17)),"00")&amp;CHAR(10)&amp;TEXT(DAY(INDEX('Batch'!$C$45:$C$68,Q17)),"00")&amp;"/"&amp;TEXT(MONTH(INDEX('Batch'!$C$45:$C$68,Q17)),"00"),IF(16=$G$32+1,"Média",""))</f>
        <v>0</v>
      </c>
      <c r="K17">
        <f>IF(16&lt;=$G$32,INDEX('Batch'!$G$45:$G$68,Q17),IF(AND(16=$G$32+1,ISNUMBER($B$32)),$B$32,NA()))</f>
        <v>0</v>
      </c>
      <c r="L17">
        <f>IF(16&lt;=$G$32,INDEX('Batch'!$H$45:$H$68,Q17),IF(AND(16=$G$32+1,ISNUMBER($C$32)),$C$32,NA()))</f>
        <v>0</v>
      </c>
      <c r="M17">
        <f>IF(16&lt;=$G$32,INDEX('Batch'!$Q$45:$Q$68,Q17),NA())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IF(16&lt;=$G$32,MATCH(16,'Batch'!$V$45:$V$68,0),"")</f>
        <v>0</v>
      </c>
      <c r="R17">
        <v>16</v>
      </c>
      <c r="S17">
        <f>IF(16&lt;=$G$33,TEXT(HOUR(INDEX('Batch'!$C$45:$C$68,Z17)),"00")&amp;":"&amp;TEXT(MINUTE(INDEX('Batch'!$C$45:$C$68,Z17)),"00")&amp;CHAR(10)&amp;TEXT(DAY(INDEX('Batch'!$C$45:$C$68,Z17)),"00")&amp;"/"&amp;TEXT(MONTH(INDEX('Batch'!$C$45:$C$68,Z17)),"00"),IF(16=$G$33+1,"Média",""))</f>
        <v>0</v>
      </c>
      <c r="T17">
        <f>IF(16&lt;=$G$33,INDEX('Batch'!$I$45:$I$68,Z17),IF(AND(16=$G$33+1,ISNUMBER($B$33)),$B$33,NA()))</f>
        <v>0</v>
      </c>
      <c r="U17">
        <f>IF(16&lt;=$G$33,INDEX('Batch'!$J$45:$J$68,Z17),IF(AND(16=$G$33+1,ISNUMBER($C$33)),$C$33,NA()))</f>
        <v>0</v>
      </c>
      <c r="V17">
        <f>IF(16&lt;=$G$33,INDEX('Batch'!$R$45:$R$68,Z17),NA())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IF(16&lt;=$G$33,MATCH(16,'Batch'!$W$45:$W$68,0),"")</f>
        <v>0</v>
      </c>
      <c r="AA17">
        <v>16</v>
      </c>
      <c r="AB17">
        <f>IF(16&lt;=$G$34,TEXT(HOUR(INDEX('Batch'!$C$45:$C$68,AI17)),"00")&amp;":"&amp;TEXT(MINUTE(INDEX('Batch'!$C$45:$C$68,AI17)),"00")&amp;CHAR(10)&amp;TEXT(DAY(INDEX('Batch'!$C$45:$C$68,AI17)),"00")&amp;"/"&amp;TEXT(MONTH(INDEX('Batch'!$C$45:$C$68,AI17)),"00"),IF(16=$G$34+1,"Média",""))</f>
        <v>0</v>
      </c>
      <c r="AC17">
        <f>IF(16&lt;=$G$34,INDEX('Batch'!$K$45:$K$68,AI17),IF(AND(16=$G$34+1,ISNUMBER($B$34)),$B$34,NA()))</f>
        <v>0</v>
      </c>
      <c r="AD17">
        <f>IF(16&lt;=$G$34,INDEX('Batch'!$L$45:$L$68,AI17),IF(AND(16=$G$34+1,ISNUMBER($C$34)),$C$34,NA()))</f>
        <v>0</v>
      </c>
      <c r="AE17">
        <f>IF(16&lt;=$G$34,INDEX('Batch'!$S$45:$S$68,AI17),NA())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IF(16&lt;=$G$34,MATCH(16,'Batch'!$X$45:$X$68,0),"")</f>
        <v>0</v>
      </c>
      <c r="AJ17">
        <v>16</v>
      </c>
      <c r="AK17">
        <f>IF(16&lt;=$G$35,TEXT(HOUR(INDEX('Batch'!$C$45:$C$68,AR17)),"00")&amp;":"&amp;TEXT(MINUTE(INDEX('Batch'!$C$45:$C$68,AR17)),"00")&amp;CHAR(10)&amp;TEXT(DAY(INDEX('Batch'!$C$45:$C$68,AR17)),"00")&amp;"/"&amp;TEXT(MONTH(INDEX('Batch'!$C$45:$C$68,AR17)),"00"),IF(16=$G$35+1,"Média",""))</f>
        <v>0</v>
      </c>
      <c r="AL17">
        <f>IF(16&lt;=$G$35,INDEX('Batch'!$M$45:$M$68,AR17),IF(AND(16=$G$35+1,ISNUMBER($B$35)),$B$35,NA()))</f>
        <v>0</v>
      </c>
      <c r="AM17">
        <f>IF(16&lt;=$G$35,INDEX('Batch'!$N$45:$N$68,AR17),IF(AND(16=$G$35+1,ISNUMBER($C$35)),$C$35,NA()))</f>
        <v>0</v>
      </c>
      <c r="AN17">
        <f>IF(16&lt;=$G$35,INDEX('Batch'!$T$45:$T$68,AR17),NA())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IF(16&lt;=$G$35,MATCH(16,'Batch'!$Y$45:$Y$68,0),"")</f>
        <v>0</v>
      </c>
      <c r="AS17">
        <v>16</v>
      </c>
    </row>
    <row r="18" spans="1:45">
      <c r="A18">
        <f>IF(17&lt;=$G$31,TEXT(HOUR(INDEX('Batch'!$C$45:$C$68,H18)),"00")&amp;":"&amp;TEXT(MINUTE(INDEX('Batch'!$C$45:$C$68,H18)),"00")&amp;CHAR(10)&amp;TEXT(DAY(INDEX('Batch'!$C$45:$C$68,H18)),"00")&amp;"/"&amp;TEXT(MONTH(INDEX('Batch'!$C$45:$C$68,H18)),"00"),IF(17=$G$31+1,"Média",""))</f>
        <v>0</v>
      </c>
      <c r="B18">
        <f>IF(17&lt;=$G$31,INDEX('Batch'!$E$45:$E$68,H18),IF(AND(17=$G$31+1,ISNUMBER($B$31)),$B$31,NA()))</f>
        <v>0</v>
      </c>
      <c r="C18">
        <f>IF(17&lt;=$G$31,INDEX('Batch'!$F$45:$F$68,H18),IF(AND(17=$G$31+1,ISNUMBER($C$31)),$C$31,NA()))</f>
        <v>0</v>
      </c>
      <c r="D18">
        <f>IF(17&lt;=$G$31,INDEX('Batch'!$P$45:$P$68,H18),NA())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IF(17&lt;=$G$31,MATCH(17,'Batch'!$U$45:$U$68,0),"")</f>
        <v>0</v>
      </c>
      <c r="I18">
        <v>17</v>
      </c>
      <c r="J18">
        <f>IF(17&lt;=$G$32,TEXT(HOUR(INDEX('Batch'!$C$45:$C$68,Q18)),"00")&amp;":"&amp;TEXT(MINUTE(INDEX('Batch'!$C$45:$C$68,Q18)),"00")&amp;CHAR(10)&amp;TEXT(DAY(INDEX('Batch'!$C$45:$C$68,Q18)),"00")&amp;"/"&amp;TEXT(MONTH(INDEX('Batch'!$C$45:$C$68,Q18)),"00"),IF(17=$G$32+1,"Média",""))</f>
        <v>0</v>
      </c>
      <c r="K18">
        <f>IF(17&lt;=$G$32,INDEX('Batch'!$G$45:$G$68,Q18),IF(AND(17=$G$32+1,ISNUMBER($B$32)),$B$32,NA()))</f>
        <v>0</v>
      </c>
      <c r="L18">
        <f>IF(17&lt;=$G$32,INDEX('Batch'!$H$45:$H$68,Q18),IF(AND(17=$G$32+1,ISNUMBER($C$32)),$C$32,NA()))</f>
        <v>0</v>
      </c>
      <c r="M18">
        <f>IF(17&lt;=$G$32,INDEX('Batch'!$Q$45:$Q$68,Q18),NA())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IF(17&lt;=$G$32,MATCH(17,'Batch'!$V$45:$V$68,0),"")</f>
        <v>0</v>
      </c>
      <c r="R18">
        <v>17</v>
      </c>
      <c r="S18">
        <f>IF(17&lt;=$G$33,TEXT(HOUR(INDEX('Batch'!$C$45:$C$68,Z18)),"00")&amp;":"&amp;TEXT(MINUTE(INDEX('Batch'!$C$45:$C$68,Z18)),"00")&amp;CHAR(10)&amp;TEXT(DAY(INDEX('Batch'!$C$45:$C$68,Z18)),"00")&amp;"/"&amp;TEXT(MONTH(INDEX('Batch'!$C$45:$C$68,Z18)),"00"),IF(17=$G$33+1,"Média",""))</f>
        <v>0</v>
      </c>
      <c r="T18">
        <f>IF(17&lt;=$G$33,INDEX('Batch'!$I$45:$I$68,Z18),IF(AND(17=$G$33+1,ISNUMBER($B$33)),$B$33,NA()))</f>
        <v>0</v>
      </c>
      <c r="U18">
        <f>IF(17&lt;=$G$33,INDEX('Batch'!$J$45:$J$68,Z18),IF(AND(17=$G$33+1,ISNUMBER($C$33)),$C$33,NA()))</f>
        <v>0</v>
      </c>
      <c r="V18">
        <f>IF(17&lt;=$G$33,INDEX('Batch'!$R$45:$R$68,Z18),NA())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IF(17&lt;=$G$33,MATCH(17,'Batch'!$W$45:$W$68,0),"")</f>
        <v>0</v>
      </c>
      <c r="AA18">
        <v>17</v>
      </c>
      <c r="AB18">
        <f>IF(17&lt;=$G$34,TEXT(HOUR(INDEX('Batch'!$C$45:$C$68,AI18)),"00")&amp;":"&amp;TEXT(MINUTE(INDEX('Batch'!$C$45:$C$68,AI18)),"00")&amp;CHAR(10)&amp;TEXT(DAY(INDEX('Batch'!$C$45:$C$68,AI18)),"00")&amp;"/"&amp;TEXT(MONTH(INDEX('Batch'!$C$45:$C$68,AI18)),"00"),IF(17=$G$34+1,"Média",""))</f>
        <v>0</v>
      </c>
      <c r="AC18">
        <f>IF(17&lt;=$G$34,INDEX('Batch'!$K$45:$K$68,AI18),IF(AND(17=$G$34+1,ISNUMBER($B$34)),$B$34,NA()))</f>
        <v>0</v>
      </c>
      <c r="AD18">
        <f>IF(17&lt;=$G$34,INDEX('Batch'!$L$45:$L$68,AI18),IF(AND(17=$G$34+1,ISNUMBER($C$34)),$C$34,NA()))</f>
        <v>0</v>
      </c>
      <c r="AE18">
        <f>IF(17&lt;=$G$34,INDEX('Batch'!$S$45:$S$68,AI18),NA())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IF(17&lt;=$G$34,MATCH(17,'Batch'!$X$45:$X$68,0),"")</f>
        <v>0</v>
      </c>
      <c r="AJ18">
        <v>17</v>
      </c>
      <c r="AK18">
        <f>IF(17&lt;=$G$35,TEXT(HOUR(INDEX('Batch'!$C$45:$C$68,AR18)),"00")&amp;":"&amp;TEXT(MINUTE(INDEX('Batch'!$C$45:$C$68,AR18)),"00")&amp;CHAR(10)&amp;TEXT(DAY(INDEX('Batch'!$C$45:$C$68,AR18)),"00")&amp;"/"&amp;TEXT(MONTH(INDEX('Batch'!$C$45:$C$68,AR18)),"00"),IF(17=$G$35+1,"Média",""))</f>
        <v>0</v>
      </c>
      <c r="AL18">
        <f>IF(17&lt;=$G$35,INDEX('Batch'!$M$45:$M$68,AR18),IF(AND(17=$G$35+1,ISNUMBER($B$35)),$B$35,NA()))</f>
        <v>0</v>
      </c>
      <c r="AM18">
        <f>IF(17&lt;=$G$35,INDEX('Batch'!$N$45:$N$68,AR18),IF(AND(17=$G$35+1,ISNUMBER($C$35)),$C$35,NA()))</f>
        <v>0</v>
      </c>
      <c r="AN18">
        <f>IF(17&lt;=$G$35,INDEX('Batch'!$T$45:$T$68,AR18),NA())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IF(17&lt;=$G$35,MATCH(17,'Batch'!$Y$45:$Y$68,0),"")</f>
        <v>0</v>
      </c>
      <c r="AS18">
        <v>17</v>
      </c>
    </row>
    <row r="19" spans="1:45">
      <c r="A19">
        <f>IF(18&lt;=$G$31,TEXT(HOUR(INDEX('Batch'!$C$45:$C$68,H19)),"00")&amp;":"&amp;TEXT(MINUTE(INDEX('Batch'!$C$45:$C$68,H19)),"00")&amp;CHAR(10)&amp;TEXT(DAY(INDEX('Batch'!$C$45:$C$68,H19)),"00")&amp;"/"&amp;TEXT(MONTH(INDEX('Batch'!$C$45:$C$68,H19)),"00"),IF(18=$G$31+1,"Média",""))</f>
        <v>0</v>
      </c>
      <c r="B19">
        <f>IF(18&lt;=$G$31,INDEX('Batch'!$E$45:$E$68,H19),IF(AND(18=$G$31+1,ISNUMBER($B$31)),$B$31,NA()))</f>
        <v>0</v>
      </c>
      <c r="C19">
        <f>IF(18&lt;=$G$31,INDEX('Batch'!$F$45:$F$68,H19),IF(AND(18=$G$31+1,ISNUMBER($C$31)),$C$31,NA()))</f>
        <v>0</v>
      </c>
      <c r="D19">
        <f>IF(18&lt;=$G$31,INDEX('Batch'!$P$45:$P$68,H19),NA())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IF(18&lt;=$G$31,MATCH(18,'Batch'!$U$45:$U$68,0),"")</f>
        <v>0</v>
      </c>
      <c r="I19">
        <v>18</v>
      </c>
      <c r="J19">
        <f>IF(18&lt;=$G$32,TEXT(HOUR(INDEX('Batch'!$C$45:$C$68,Q19)),"00")&amp;":"&amp;TEXT(MINUTE(INDEX('Batch'!$C$45:$C$68,Q19)),"00")&amp;CHAR(10)&amp;TEXT(DAY(INDEX('Batch'!$C$45:$C$68,Q19)),"00")&amp;"/"&amp;TEXT(MONTH(INDEX('Batch'!$C$45:$C$68,Q19)),"00"),IF(18=$G$32+1,"Média",""))</f>
        <v>0</v>
      </c>
      <c r="K19">
        <f>IF(18&lt;=$G$32,INDEX('Batch'!$G$45:$G$68,Q19),IF(AND(18=$G$32+1,ISNUMBER($B$32)),$B$32,NA()))</f>
        <v>0</v>
      </c>
      <c r="L19">
        <f>IF(18&lt;=$G$32,INDEX('Batch'!$H$45:$H$68,Q19),IF(AND(18=$G$32+1,ISNUMBER($C$32)),$C$32,NA()))</f>
        <v>0</v>
      </c>
      <c r="M19">
        <f>IF(18&lt;=$G$32,INDEX('Batch'!$Q$45:$Q$68,Q19),NA())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IF(18&lt;=$G$32,MATCH(18,'Batch'!$V$45:$V$68,0),"")</f>
        <v>0</v>
      </c>
      <c r="R19">
        <v>18</v>
      </c>
      <c r="S19">
        <f>IF(18&lt;=$G$33,TEXT(HOUR(INDEX('Batch'!$C$45:$C$68,Z19)),"00")&amp;":"&amp;TEXT(MINUTE(INDEX('Batch'!$C$45:$C$68,Z19)),"00")&amp;CHAR(10)&amp;TEXT(DAY(INDEX('Batch'!$C$45:$C$68,Z19)),"00")&amp;"/"&amp;TEXT(MONTH(INDEX('Batch'!$C$45:$C$68,Z19)),"00"),IF(18=$G$33+1,"Média",""))</f>
        <v>0</v>
      </c>
      <c r="T19">
        <f>IF(18&lt;=$G$33,INDEX('Batch'!$I$45:$I$68,Z19),IF(AND(18=$G$33+1,ISNUMBER($B$33)),$B$33,NA()))</f>
        <v>0</v>
      </c>
      <c r="U19">
        <f>IF(18&lt;=$G$33,INDEX('Batch'!$J$45:$J$68,Z19),IF(AND(18=$G$33+1,ISNUMBER($C$33)),$C$33,NA()))</f>
        <v>0</v>
      </c>
      <c r="V19">
        <f>IF(18&lt;=$G$33,INDEX('Batch'!$R$45:$R$68,Z19),NA())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IF(18&lt;=$G$33,MATCH(18,'Batch'!$W$45:$W$68,0),"")</f>
        <v>0</v>
      </c>
      <c r="AA19">
        <v>18</v>
      </c>
      <c r="AB19">
        <f>IF(18&lt;=$G$34,TEXT(HOUR(INDEX('Batch'!$C$45:$C$68,AI19)),"00")&amp;":"&amp;TEXT(MINUTE(INDEX('Batch'!$C$45:$C$68,AI19)),"00")&amp;CHAR(10)&amp;TEXT(DAY(INDEX('Batch'!$C$45:$C$68,AI19)),"00")&amp;"/"&amp;TEXT(MONTH(INDEX('Batch'!$C$45:$C$68,AI19)),"00"),IF(18=$G$34+1,"Média",""))</f>
        <v>0</v>
      </c>
      <c r="AC19">
        <f>IF(18&lt;=$G$34,INDEX('Batch'!$K$45:$K$68,AI19),IF(AND(18=$G$34+1,ISNUMBER($B$34)),$B$34,NA()))</f>
        <v>0</v>
      </c>
      <c r="AD19">
        <f>IF(18&lt;=$G$34,INDEX('Batch'!$L$45:$L$68,AI19),IF(AND(18=$G$34+1,ISNUMBER($C$34)),$C$34,NA()))</f>
        <v>0</v>
      </c>
      <c r="AE19">
        <f>IF(18&lt;=$G$34,INDEX('Batch'!$S$45:$S$68,AI19),NA())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IF(18&lt;=$G$34,MATCH(18,'Batch'!$X$45:$X$68,0),"")</f>
        <v>0</v>
      </c>
      <c r="AJ19">
        <v>18</v>
      </c>
      <c r="AK19">
        <f>IF(18&lt;=$G$35,TEXT(HOUR(INDEX('Batch'!$C$45:$C$68,AR19)),"00")&amp;":"&amp;TEXT(MINUTE(INDEX('Batch'!$C$45:$C$68,AR19)),"00")&amp;CHAR(10)&amp;TEXT(DAY(INDEX('Batch'!$C$45:$C$68,AR19)),"00")&amp;"/"&amp;TEXT(MONTH(INDEX('Batch'!$C$45:$C$68,AR19)),"00"),IF(18=$G$35+1,"Média",""))</f>
        <v>0</v>
      </c>
      <c r="AL19">
        <f>IF(18&lt;=$G$35,INDEX('Batch'!$M$45:$M$68,AR19),IF(AND(18=$G$35+1,ISNUMBER($B$35)),$B$35,NA()))</f>
        <v>0</v>
      </c>
      <c r="AM19">
        <f>IF(18&lt;=$G$35,INDEX('Batch'!$N$45:$N$68,AR19),IF(AND(18=$G$35+1,ISNUMBER($C$35)),$C$35,NA()))</f>
        <v>0</v>
      </c>
      <c r="AN19">
        <f>IF(18&lt;=$G$35,INDEX('Batch'!$T$45:$T$68,AR19),NA())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IF(18&lt;=$G$35,MATCH(18,'Batch'!$Y$45:$Y$68,0),"")</f>
        <v>0</v>
      </c>
      <c r="AS19">
        <v>18</v>
      </c>
    </row>
    <row r="20" spans="1:45">
      <c r="A20">
        <f>IF(19&lt;=$G$31,TEXT(HOUR(INDEX('Batch'!$C$45:$C$68,H20)),"00")&amp;":"&amp;TEXT(MINUTE(INDEX('Batch'!$C$45:$C$68,H20)),"00")&amp;CHAR(10)&amp;TEXT(DAY(INDEX('Batch'!$C$45:$C$68,H20)),"00")&amp;"/"&amp;TEXT(MONTH(INDEX('Batch'!$C$45:$C$68,H20)),"00"),IF(19=$G$31+1,"Média",""))</f>
        <v>0</v>
      </c>
      <c r="B20">
        <f>IF(19&lt;=$G$31,INDEX('Batch'!$E$45:$E$68,H20),IF(AND(19=$G$31+1,ISNUMBER($B$31)),$B$31,NA()))</f>
        <v>0</v>
      </c>
      <c r="C20">
        <f>IF(19&lt;=$G$31,INDEX('Batch'!$F$45:$F$68,H20),IF(AND(19=$G$31+1,ISNUMBER($C$31)),$C$31,NA()))</f>
        <v>0</v>
      </c>
      <c r="D20">
        <f>IF(19&lt;=$G$31,INDEX('Batch'!$P$45:$P$68,H20),NA())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IF(19&lt;=$G$31,MATCH(19,'Batch'!$U$45:$U$68,0),"")</f>
        <v>0</v>
      </c>
      <c r="I20">
        <v>19</v>
      </c>
      <c r="J20">
        <f>IF(19&lt;=$G$32,TEXT(HOUR(INDEX('Batch'!$C$45:$C$68,Q20)),"00")&amp;":"&amp;TEXT(MINUTE(INDEX('Batch'!$C$45:$C$68,Q20)),"00")&amp;CHAR(10)&amp;TEXT(DAY(INDEX('Batch'!$C$45:$C$68,Q20)),"00")&amp;"/"&amp;TEXT(MONTH(INDEX('Batch'!$C$45:$C$68,Q20)),"00"),IF(19=$G$32+1,"Média",""))</f>
        <v>0</v>
      </c>
      <c r="K20">
        <f>IF(19&lt;=$G$32,INDEX('Batch'!$G$45:$G$68,Q20),IF(AND(19=$G$32+1,ISNUMBER($B$32)),$B$32,NA()))</f>
        <v>0</v>
      </c>
      <c r="L20">
        <f>IF(19&lt;=$G$32,INDEX('Batch'!$H$45:$H$68,Q20),IF(AND(19=$G$32+1,ISNUMBER($C$32)),$C$32,NA()))</f>
        <v>0</v>
      </c>
      <c r="M20">
        <f>IF(19&lt;=$G$32,INDEX('Batch'!$Q$45:$Q$68,Q20),NA())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IF(19&lt;=$G$32,MATCH(19,'Batch'!$V$45:$V$68,0),"")</f>
        <v>0</v>
      </c>
      <c r="R20">
        <v>19</v>
      </c>
      <c r="S20">
        <f>IF(19&lt;=$G$33,TEXT(HOUR(INDEX('Batch'!$C$45:$C$68,Z20)),"00")&amp;":"&amp;TEXT(MINUTE(INDEX('Batch'!$C$45:$C$68,Z20)),"00")&amp;CHAR(10)&amp;TEXT(DAY(INDEX('Batch'!$C$45:$C$68,Z20)),"00")&amp;"/"&amp;TEXT(MONTH(INDEX('Batch'!$C$45:$C$68,Z20)),"00"),IF(19=$G$33+1,"Média",""))</f>
        <v>0</v>
      </c>
      <c r="T20">
        <f>IF(19&lt;=$G$33,INDEX('Batch'!$I$45:$I$68,Z20),IF(AND(19=$G$33+1,ISNUMBER($B$33)),$B$33,NA()))</f>
        <v>0</v>
      </c>
      <c r="U20">
        <f>IF(19&lt;=$G$33,INDEX('Batch'!$J$45:$J$68,Z20),IF(AND(19=$G$33+1,ISNUMBER($C$33)),$C$33,NA()))</f>
        <v>0</v>
      </c>
      <c r="V20">
        <f>IF(19&lt;=$G$33,INDEX('Batch'!$R$45:$R$68,Z20),NA())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IF(19&lt;=$G$33,MATCH(19,'Batch'!$W$45:$W$68,0),"")</f>
        <v>0</v>
      </c>
      <c r="AA20">
        <v>19</v>
      </c>
      <c r="AB20">
        <f>IF(19&lt;=$G$34,TEXT(HOUR(INDEX('Batch'!$C$45:$C$68,AI20)),"00")&amp;":"&amp;TEXT(MINUTE(INDEX('Batch'!$C$45:$C$68,AI20)),"00")&amp;CHAR(10)&amp;TEXT(DAY(INDEX('Batch'!$C$45:$C$68,AI20)),"00")&amp;"/"&amp;TEXT(MONTH(INDEX('Batch'!$C$45:$C$68,AI20)),"00"),IF(19=$G$34+1,"Média",""))</f>
        <v>0</v>
      </c>
      <c r="AC20">
        <f>IF(19&lt;=$G$34,INDEX('Batch'!$K$45:$K$68,AI20),IF(AND(19=$G$34+1,ISNUMBER($B$34)),$B$34,NA()))</f>
        <v>0</v>
      </c>
      <c r="AD20">
        <f>IF(19&lt;=$G$34,INDEX('Batch'!$L$45:$L$68,AI20),IF(AND(19=$G$34+1,ISNUMBER($C$34)),$C$34,NA()))</f>
        <v>0</v>
      </c>
      <c r="AE20">
        <f>IF(19&lt;=$G$34,INDEX('Batch'!$S$45:$S$68,AI20),NA())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IF(19&lt;=$G$34,MATCH(19,'Batch'!$X$45:$X$68,0),"")</f>
        <v>0</v>
      </c>
      <c r="AJ20">
        <v>19</v>
      </c>
      <c r="AK20">
        <f>IF(19&lt;=$G$35,TEXT(HOUR(INDEX('Batch'!$C$45:$C$68,AR20)),"00")&amp;":"&amp;TEXT(MINUTE(INDEX('Batch'!$C$45:$C$68,AR20)),"00")&amp;CHAR(10)&amp;TEXT(DAY(INDEX('Batch'!$C$45:$C$68,AR20)),"00")&amp;"/"&amp;TEXT(MONTH(INDEX('Batch'!$C$45:$C$68,AR20)),"00"),IF(19=$G$35+1,"Média",""))</f>
        <v>0</v>
      </c>
      <c r="AL20">
        <f>IF(19&lt;=$G$35,INDEX('Batch'!$M$45:$M$68,AR20),IF(AND(19=$G$35+1,ISNUMBER($B$35)),$B$35,NA()))</f>
        <v>0</v>
      </c>
      <c r="AM20">
        <f>IF(19&lt;=$G$35,INDEX('Batch'!$N$45:$N$68,AR20),IF(AND(19=$G$35+1,ISNUMBER($C$35)),$C$35,NA()))</f>
        <v>0</v>
      </c>
      <c r="AN20">
        <f>IF(19&lt;=$G$35,INDEX('Batch'!$T$45:$T$68,AR20),NA())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IF(19&lt;=$G$35,MATCH(19,'Batch'!$Y$45:$Y$68,0),"")</f>
        <v>0</v>
      </c>
      <c r="AS20">
        <v>19</v>
      </c>
    </row>
    <row r="21" spans="1:45">
      <c r="A21">
        <f>IF(20&lt;=$G$31,TEXT(HOUR(INDEX('Batch'!$C$45:$C$68,H21)),"00")&amp;":"&amp;TEXT(MINUTE(INDEX('Batch'!$C$45:$C$68,H21)),"00")&amp;CHAR(10)&amp;TEXT(DAY(INDEX('Batch'!$C$45:$C$68,H21)),"00")&amp;"/"&amp;TEXT(MONTH(INDEX('Batch'!$C$45:$C$68,H21)),"00"),IF(20=$G$31+1,"Média",""))</f>
        <v>0</v>
      </c>
      <c r="B21">
        <f>IF(20&lt;=$G$31,INDEX('Batch'!$E$45:$E$68,H21),IF(AND(20=$G$31+1,ISNUMBER($B$31)),$B$31,NA()))</f>
        <v>0</v>
      </c>
      <c r="C21">
        <f>IF(20&lt;=$G$31,INDEX('Batch'!$F$45:$F$68,H21),IF(AND(20=$G$31+1,ISNUMBER($C$31)),$C$31,NA()))</f>
        <v>0</v>
      </c>
      <c r="D21">
        <f>IF(20&lt;=$G$31,INDEX('Batch'!$P$45:$P$68,H21),NA())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IF(20&lt;=$G$31,MATCH(20,'Batch'!$U$45:$U$68,0),"")</f>
        <v>0</v>
      </c>
      <c r="I21">
        <v>20</v>
      </c>
      <c r="J21">
        <f>IF(20&lt;=$G$32,TEXT(HOUR(INDEX('Batch'!$C$45:$C$68,Q21)),"00")&amp;":"&amp;TEXT(MINUTE(INDEX('Batch'!$C$45:$C$68,Q21)),"00")&amp;CHAR(10)&amp;TEXT(DAY(INDEX('Batch'!$C$45:$C$68,Q21)),"00")&amp;"/"&amp;TEXT(MONTH(INDEX('Batch'!$C$45:$C$68,Q21)),"00"),IF(20=$G$32+1,"Média",""))</f>
        <v>0</v>
      </c>
      <c r="K21">
        <f>IF(20&lt;=$G$32,INDEX('Batch'!$G$45:$G$68,Q21),IF(AND(20=$G$32+1,ISNUMBER($B$32)),$B$32,NA()))</f>
        <v>0</v>
      </c>
      <c r="L21">
        <f>IF(20&lt;=$G$32,INDEX('Batch'!$H$45:$H$68,Q21),IF(AND(20=$G$32+1,ISNUMBER($C$32)),$C$32,NA()))</f>
        <v>0</v>
      </c>
      <c r="M21">
        <f>IF(20&lt;=$G$32,INDEX('Batch'!$Q$45:$Q$68,Q21),NA())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IF(20&lt;=$G$32,MATCH(20,'Batch'!$V$45:$V$68,0),"")</f>
        <v>0</v>
      </c>
      <c r="R21">
        <v>20</v>
      </c>
      <c r="S21">
        <f>IF(20&lt;=$G$33,TEXT(HOUR(INDEX('Batch'!$C$45:$C$68,Z21)),"00")&amp;":"&amp;TEXT(MINUTE(INDEX('Batch'!$C$45:$C$68,Z21)),"00")&amp;CHAR(10)&amp;TEXT(DAY(INDEX('Batch'!$C$45:$C$68,Z21)),"00")&amp;"/"&amp;TEXT(MONTH(INDEX('Batch'!$C$45:$C$68,Z21)),"00"),IF(20=$G$33+1,"Média",""))</f>
        <v>0</v>
      </c>
      <c r="T21">
        <f>IF(20&lt;=$G$33,INDEX('Batch'!$I$45:$I$68,Z21),IF(AND(20=$G$33+1,ISNUMBER($B$33)),$B$33,NA()))</f>
        <v>0</v>
      </c>
      <c r="U21">
        <f>IF(20&lt;=$G$33,INDEX('Batch'!$J$45:$J$68,Z21),IF(AND(20=$G$33+1,ISNUMBER($C$33)),$C$33,NA()))</f>
        <v>0</v>
      </c>
      <c r="V21">
        <f>IF(20&lt;=$G$33,INDEX('Batch'!$R$45:$R$68,Z21),NA())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IF(20&lt;=$G$33,MATCH(20,'Batch'!$W$45:$W$68,0),"")</f>
        <v>0</v>
      </c>
      <c r="AA21">
        <v>20</v>
      </c>
      <c r="AB21">
        <f>IF(20&lt;=$G$34,TEXT(HOUR(INDEX('Batch'!$C$45:$C$68,AI21)),"00")&amp;":"&amp;TEXT(MINUTE(INDEX('Batch'!$C$45:$C$68,AI21)),"00")&amp;CHAR(10)&amp;TEXT(DAY(INDEX('Batch'!$C$45:$C$68,AI21)),"00")&amp;"/"&amp;TEXT(MONTH(INDEX('Batch'!$C$45:$C$68,AI21)),"00"),IF(20=$G$34+1,"Média",""))</f>
        <v>0</v>
      </c>
      <c r="AC21">
        <f>IF(20&lt;=$G$34,INDEX('Batch'!$K$45:$K$68,AI21),IF(AND(20=$G$34+1,ISNUMBER($B$34)),$B$34,NA()))</f>
        <v>0</v>
      </c>
      <c r="AD21">
        <f>IF(20&lt;=$G$34,INDEX('Batch'!$L$45:$L$68,AI21),IF(AND(20=$G$34+1,ISNUMBER($C$34)),$C$34,NA()))</f>
        <v>0</v>
      </c>
      <c r="AE21">
        <f>IF(20&lt;=$G$34,INDEX('Batch'!$S$45:$S$68,AI21),NA())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IF(20&lt;=$G$34,MATCH(20,'Batch'!$X$45:$X$68,0),"")</f>
        <v>0</v>
      </c>
      <c r="AJ21">
        <v>20</v>
      </c>
      <c r="AK21">
        <f>IF(20&lt;=$G$35,TEXT(HOUR(INDEX('Batch'!$C$45:$C$68,AR21)),"00")&amp;":"&amp;TEXT(MINUTE(INDEX('Batch'!$C$45:$C$68,AR21)),"00")&amp;CHAR(10)&amp;TEXT(DAY(INDEX('Batch'!$C$45:$C$68,AR21)),"00")&amp;"/"&amp;TEXT(MONTH(INDEX('Batch'!$C$45:$C$68,AR21)),"00"),IF(20=$G$35+1,"Média",""))</f>
        <v>0</v>
      </c>
      <c r="AL21">
        <f>IF(20&lt;=$G$35,INDEX('Batch'!$M$45:$M$68,AR21),IF(AND(20=$G$35+1,ISNUMBER($B$35)),$B$35,NA()))</f>
        <v>0</v>
      </c>
      <c r="AM21">
        <f>IF(20&lt;=$G$35,INDEX('Batch'!$N$45:$N$68,AR21),IF(AND(20=$G$35+1,ISNUMBER($C$35)),$C$35,NA()))</f>
        <v>0</v>
      </c>
      <c r="AN21">
        <f>IF(20&lt;=$G$35,INDEX('Batch'!$T$45:$T$68,AR21),NA())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IF(20&lt;=$G$35,MATCH(20,'Batch'!$Y$45:$Y$68,0),"")</f>
        <v>0</v>
      </c>
      <c r="AS21">
        <v>20</v>
      </c>
    </row>
    <row r="22" spans="1:45">
      <c r="A22">
        <f>IF(21&lt;=$G$31,TEXT(HOUR(INDEX('Batch'!$C$45:$C$68,H22)),"00")&amp;":"&amp;TEXT(MINUTE(INDEX('Batch'!$C$45:$C$68,H22)),"00")&amp;CHAR(10)&amp;TEXT(DAY(INDEX('Batch'!$C$45:$C$68,H22)),"00")&amp;"/"&amp;TEXT(MONTH(INDEX('Batch'!$C$45:$C$68,H22)),"00"),IF(21=$G$31+1,"Média",""))</f>
        <v>0</v>
      </c>
      <c r="B22">
        <f>IF(21&lt;=$G$31,INDEX('Batch'!$E$45:$E$68,H22),IF(AND(21=$G$31+1,ISNUMBER($B$31)),$B$31,NA()))</f>
        <v>0</v>
      </c>
      <c r="C22">
        <f>IF(21&lt;=$G$31,INDEX('Batch'!$F$45:$F$68,H22),IF(AND(21=$G$31+1,ISNUMBER($C$31)),$C$31,NA()))</f>
        <v>0</v>
      </c>
      <c r="D22">
        <f>IF(21&lt;=$G$31,INDEX('Batch'!$P$45:$P$68,H22),NA())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IF(21&lt;=$G$31,MATCH(21,'Batch'!$U$45:$U$68,0),"")</f>
        <v>0</v>
      </c>
      <c r="I22">
        <v>21</v>
      </c>
      <c r="J22">
        <f>IF(21&lt;=$G$32,TEXT(HOUR(INDEX('Batch'!$C$45:$C$68,Q22)),"00")&amp;":"&amp;TEXT(MINUTE(INDEX('Batch'!$C$45:$C$68,Q22)),"00")&amp;CHAR(10)&amp;TEXT(DAY(INDEX('Batch'!$C$45:$C$68,Q22)),"00")&amp;"/"&amp;TEXT(MONTH(INDEX('Batch'!$C$45:$C$68,Q22)),"00"),IF(21=$G$32+1,"Média",""))</f>
        <v>0</v>
      </c>
      <c r="K22">
        <f>IF(21&lt;=$G$32,INDEX('Batch'!$G$45:$G$68,Q22),IF(AND(21=$G$32+1,ISNUMBER($B$32)),$B$32,NA()))</f>
        <v>0</v>
      </c>
      <c r="L22">
        <f>IF(21&lt;=$G$32,INDEX('Batch'!$H$45:$H$68,Q22),IF(AND(21=$G$32+1,ISNUMBER($C$32)),$C$32,NA()))</f>
        <v>0</v>
      </c>
      <c r="M22">
        <f>IF(21&lt;=$G$32,INDEX('Batch'!$Q$45:$Q$68,Q22),NA())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IF(21&lt;=$G$32,MATCH(21,'Batch'!$V$45:$V$68,0),"")</f>
        <v>0</v>
      </c>
      <c r="R22">
        <v>21</v>
      </c>
      <c r="S22">
        <f>IF(21&lt;=$G$33,TEXT(HOUR(INDEX('Batch'!$C$45:$C$68,Z22)),"00")&amp;":"&amp;TEXT(MINUTE(INDEX('Batch'!$C$45:$C$68,Z22)),"00")&amp;CHAR(10)&amp;TEXT(DAY(INDEX('Batch'!$C$45:$C$68,Z22)),"00")&amp;"/"&amp;TEXT(MONTH(INDEX('Batch'!$C$45:$C$68,Z22)),"00"),IF(21=$G$33+1,"Média",""))</f>
        <v>0</v>
      </c>
      <c r="T22">
        <f>IF(21&lt;=$G$33,INDEX('Batch'!$I$45:$I$68,Z22),IF(AND(21=$G$33+1,ISNUMBER($B$33)),$B$33,NA()))</f>
        <v>0</v>
      </c>
      <c r="U22">
        <f>IF(21&lt;=$G$33,INDEX('Batch'!$J$45:$J$68,Z22),IF(AND(21=$G$33+1,ISNUMBER($C$33)),$C$33,NA()))</f>
        <v>0</v>
      </c>
      <c r="V22">
        <f>IF(21&lt;=$G$33,INDEX('Batch'!$R$45:$R$68,Z22),NA())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IF(21&lt;=$G$33,MATCH(21,'Batch'!$W$45:$W$68,0),"")</f>
        <v>0</v>
      </c>
      <c r="AA22">
        <v>21</v>
      </c>
      <c r="AB22">
        <f>IF(21&lt;=$G$34,TEXT(HOUR(INDEX('Batch'!$C$45:$C$68,AI22)),"00")&amp;":"&amp;TEXT(MINUTE(INDEX('Batch'!$C$45:$C$68,AI22)),"00")&amp;CHAR(10)&amp;TEXT(DAY(INDEX('Batch'!$C$45:$C$68,AI22)),"00")&amp;"/"&amp;TEXT(MONTH(INDEX('Batch'!$C$45:$C$68,AI22)),"00"),IF(21=$G$34+1,"Média",""))</f>
        <v>0</v>
      </c>
      <c r="AC22">
        <f>IF(21&lt;=$G$34,INDEX('Batch'!$K$45:$K$68,AI22),IF(AND(21=$G$34+1,ISNUMBER($B$34)),$B$34,NA()))</f>
        <v>0</v>
      </c>
      <c r="AD22">
        <f>IF(21&lt;=$G$34,INDEX('Batch'!$L$45:$L$68,AI22),IF(AND(21=$G$34+1,ISNUMBER($C$34)),$C$34,NA()))</f>
        <v>0</v>
      </c>
      <c r="AE22">
        <f>IF(21&lt;=$G$34,INDEX('Batch'!$S$45:$S$68,AI22),NA())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IF(21&lt;=$G$34,MATCH(21,'Batch'!$X$45:$X$68,0),"")</f>
        <v>0</v>
      </c>
      <c r="AJ22">
        <v>21</v>
      </c>
      <c r="AK22">
        <f>IF(21&lt;=$G$35,TEXT(HOUR(INDEX('Batch'!$C$45:$C$68,AR22)),"00")&amp;":"&amp;TEXT(MINUTE(INDEX('Batch'!$C$45:$C$68,AR22)),"00")&amp;CHAR(10)&amp;TEXT(DAY(INDEX('Batch'!$C$45:$C$68,AR22)),"00")&amp;"/"&amp;TEXT(MONTH(INDEX('Batch'!$C$45:$C$68,AR22)),"00"),IF(21=$G$35+1,"Média",""))</f>
        <v>0</v>
      </c>
      <c r="AL22">
        <f>IF(21&lt;=$G$35,INDEX('Batch'!$M$45:$M$68,AR22),IF(AND(21=$G$35+1,ISNUMBER($B$35)),$B$35,NA()))</f>
        <v>0</v>
      </c>
      <c r="AM22">
        <f>IF(21&lt;=$G$35,INDEX('Batch'!$N$45:$N$68,AR22),IF(AND(21=$G$35+1,ISNUMBER($C$35)),$C$35,NA()))</f>
        <v>0</v>
      </c>
      <c r="AN22">
        <f>IF(21&lt;=$G$35,INDEX('Batch'!$T$45:$T$68,AR22),NA())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IF(21&lt;=$G$35,MATCH(21,'Batch'!$Y$45:$Y$68,0),"")</f>
        <v>0</v>
      </c>
      <c r="AS22">
        <v>21</v>
      </c>
    </row>
    <row r="23" spans="1:45">
      <c r="A23">
        <f>IF(22&lt;=$G$31,TEXT(HOUR(INDEX('Batch'!$C$45:$C$68,H23)),"00")&amp;":"&amp;TEXT(MINUTE(INDEX('Batch'!$C$45:$C$68,H23)),"00")&amp;CHAR(10)&amp;TEXT(DAY(INDEX('Batch'!$C$45:$C$68,H23)),"00")&amp;"/"&amp;TEXT(MONTH(INDEX('Batch'!$C$45:$C$68,H23)),"00"),IF(22=$G$31+1,"Média",""))</f>
        <v>0</v>
      </c>
      <c r="B23">
        <f>IF(22&lt;=$G$31,INDEX('Batch'!$E$45:$E$68,H23),IF(AND(22=$G$31+1,ISNUMBER($B$31)),$B$31,NA()))</f>
        <v>0</v>
      </c>
      <c r="C23">
        <f>IF(22&lt;=$G$31,INDEX('Batch'!$F$45:$F$68,H23),IF(AND(22=$G$31+1,ISNUMBER($C$31)),$C$31,NA()))</f>
        <v>0</v>
      </c>
      <c r="D23">
        <f>IF(22&lt;=$G$31,INDEX('Batch'!$P$45:$P$68,H23),NA())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IF(22&lt;=$G$31,MATCH(22,'Batch'!$U$45:$U$68,0),"")</f>
        <v>0</v>
      </c>
      <c r="I23">
        <v>22</v>
      </c>
      <c r="J23">
        <f>IF(22&lt;=$G$32,TEXT(HOUR(INDEX('Batch'!$C$45:$C$68,Q23)),"00")&amp;":"&amp;TEXT(MINUTE(INDEX('Batch'!$C$45:$C$68,Q23)),"00")&amp;CHAR(10)&amp;TEXT(DAY(INDEX('Batch'!$C$45:$C$68,Q23)),"00")&amp;"/"&amp;TEXT(MONTH(INDEX('Batch'!$C$45:$C$68,Q23)),"00"),IF(22=$G$32+1,"Média",""))</f>
        <v>0</v>
      </c>
      <c r="K23">
        <f>IF(22&lt;=$G$32,INDEX('Batch'!$G$45:$G$68,Q23),IF(AND(22=$G$32+1,ISNUMBER($B$32)),$B$32,NA()))</f>
        <v>0</v>
      </c>
      <c r="L23">
        <f>IF(22&lt;=$G$32,INDEX('Batch'!$H$45:$H$68,Q23),IF(AND(22=$G$32+1,ISNUMBER($C$32)),$C$32,NA()))</f>
        <v>0</v>
      </c>
      <c r="M23">
        <f>IF(22&lt;=$G$32,INDEX('Batch'!$Q$45:$Q$68,Q23),NA())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IF(22&lt;=$G$32,MATCH(22,'Batch'!$V$45:$V$68,0),"")</f>
        <v>0</v>
      </c>
      <c r="R23">
        <v>22</v>
      </c>
      <c r="S23">
        <f>IF(22&lt;=$G$33,TEXT(HOUR(INDEX('Batch'!$C$45:$C$68,Z23)),"00")&amp;":"&amp;TEXT(MINUTE(INDEX('Batch'!$C$45:$C$68,Z23)),"00")&amp;CHAR(10)&amp;TEXT(DAY(INDEX('Batch'!$C$45:$C$68,Z23)),"00")&amp;"/"&amp;TEXT(MONTH(INDEX('Batch'!$C$45:$C$68,Z23)),"00"),IF(22=$G$33+1,"Média",""))</f>
        <v>0</v>
      </c>
      <c r="T23">
        <f>IF(22&lt;=$G$33,INDEX('Batch'!$I$45:$I$68,Z23),IF(AND(22=$G$33+1,ISNUMBER($B$33)),$B$33,NA()))</f>
        <v>0</v>
      </c>
      <c r="U23">
        <f>IF(22&lt;=$G$33,INDEX('Batch'!$J$45:$J$68,Z23),IF(AND(22=$G$33+1,ISNUMBER($C$33)),$C$33,NA()))</f>
        <v>0</v>
      </c>
      <c r="V23">
        <f>IF(22&lt;=$G$33,INDEX('Batch'!$R$45:$R$68,Z23),NA())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IF(22&lt;=$G$33,MATCH(22,'Batch'!$W$45:$W$68,0),"")</f>
        <v>0</v>
      </c>
      <c r="AA23">
        <v>22</v>
      </c>
      <c r="AB23">
        <f>IF(22&lt;=$G$34,TEXT(HOUR(INDEX('Batch'!$C$45:$C$68,AI23)),"00")&amp;":"&amp;TEXT(MINUTE(INDEX('Batch'!$C$45:$C$68,AI23)),"00")&amp;CHAR(10)&amp;TEXT(DAY(INDEX('Batch'!$C$45:$C$68,AI23)),"00")&amp;"/"&amp;TEXT(MONTH(INDEX('Batch'!$C$45:$C$68,AI23)),"00"),IF(22=$G$34+1,"Média",""))</f>
        <v>0</v>
      </c>
      <c r="AC23">
        <f>IF(22&lt;=$G$34,INDEX('Batch'!$K$45:$K$68,AI23),IF(AND(22=$G$34+1,ISNUMBER($B$34)),$B$34,NA()))</f>
        <v>0</v>
      </c>
      <c r="AD23">
        <f>IF(22&lt;=$G$34,INDEX('Batch'!$L$45:$L$68,AI23),IF(AND(22=$G$34+1,ISNUMBER($C$34)),$C$34,NA()))</f>
        <v>0</v>
      </c>
      <c r="AE23">
        <f>IF(22&lt;=$G$34,INDEX('Batch'!$S$45:$S$68,AI23),NA())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IF(22&lt;=$G$34,MATCH(22,'Batch'!$X$45:$X$68,0),"")</f>
        <v>0</v>
      </c>
      <c r="AJ23">
        <v>22</v>
      </c>
      <c r="AK23">
        <f>IF(22&lt;=$G$35,TEXT(HOUR(INDEX('Batch'!$C$45:$C$68,AR23)),"00")&amp;":"&amp;TEXT(MINUTE(INDEX('Batch'!$C$45:$C$68,AR23)),"00")&amp;CHAR(10)&amp;TEXT(DAY(INDEX('Batch'!$C$45:$C$68,AR23)),"00")&amp;"/"&amp;TEXT(MONTH(INDEX('Batch'!$C$45:$C$68,AR23)),"00"),IF(22=$G$35+1,"Média",""))</f>
        <v>0</v>
      </c>
      <c r="AL23">
        <f>IF(22&lt;=$G$35,INDEX('Batch'!$M$45:$M$68,AR23),IF(AND(22=$G$35+1,ISNUMBER($B$35)),$B$35,NA()))</f>
        <v>0</v>
      </c>
      <c r="AM23">
        <f>IF(22&lt;=$G$35,INDEX('Batch'!$N$45:$N$68,AR23),IF(AND(22=$G$35+1,ISNUMBER($C$35)),$C$35,NA()))</f>
        <v>0</v>
      </c>
      <c r="AN23">
        <f>IF(22&lt;=$G$35,INDEX('Batch'!$T$45:$T$68,AR23),NA())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IF(22&lt;=$G$35,MATCH(22,'Batch'!$Y$45:$Y$68,0),"")</f>
        <v>0</v>
      </c>
      <c r="AS23">
        <v>22</v>
      </c>
    </row>
    <row r="24" spans="1:45">
      <c r="A24">
        <f>IF(23&lt;=$G$31,TEXT(HOUR(INDEX('Batch'!$C$45:$C$68,H24)),"00")&amp;":"&amp;TEXT(MINUTE(INDEX('Batch'!$C$45:$C$68,H24)),"00")&amp;CHAR(10)&amp;TEXT(DAY(INDEX('Batch'!$C$45:$C$68,H24)),"00")&amp;"/"&amp;TEXT(MONTH(INDEX('Batch'!$C$45:$C$68,H24)),"00"),IF(23=$G$31+1,"Média",""))</f>
        <v>0</v>
      </c>
      <c r="B24">
        <f>IF(23&lt;=$G$31,INDEX('Batch'!$E$45:$E$68,H24),IF(AND(23=$G$31+1,ISNUMBER($B$31)),$B$31,NA()))</f>
        <v>0</v>
      </c>
      <c r="C24">
        <f>IF(23&lt;=$G$31,INDEX('Batch'!$F$45:$F$68,H24),IF(AND(23=$G$31+1,ISNUMBER($C$31)),$C$31,NA()))</f>
        <v>0</v>
      </c>
      <c r="D24">
        <f>IF(23&lt;=$G$31,INDEX('Batch'!$P$45:$P$68,H24),NA())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IF(23&lt;=$G$31,MATCH(23,'Batch'!$U$45:$U$68,0),"")</f>
        <v>0</v>
      </c>
      <c r="I24">
        <v>23</v>
      </c>
      <c r="J24">
        <f>IF(23&lt;=$G$32,TEXT(HOUR(INDEX('Batch'!$C$45:$C$68,Q24)),"00")&amp;":"&amp;TEXT(MINUTE(INDEX('Batch'!$C$45:$C$68,Q24)),"00")&amp;CHAR(10)&amp;TEXT(DAY(INDEX('Batch'!$C$45:$C$68,Q24)),"00")&amp;"/"&amp;TEXT(MONTH(INDEX('Batch'!$C$45:$C$68,Q24)),"00"),IF(23=$G$32+1,"Média",""))</f>
        <v>0</v>
      </c>
      <c r="K24">
        <f>IF(23&lt;=$G$32,INDEX('Batch'!$G$45:$G$68,Q24),IF(AND(23=$G$32+1,ISNUMBER($B$32)),$B$32,NA()))</f>
        <v>0</v>
      </c>
      <c r="L24">
        <f>IF(23&lt;=$G$32,INDEX('Batch'!$H$45:$H$68,Q24),IF(AND(23=$G$32+1,ISNUMBER($C$32)),$C$32,NA()))</f>
        <v>0</v>
      </c>
      <c r="M24">
        <f>IF(23&lt;=$G$32,INDEX('Batch'!$Q$45:$Q$68,Q24),NA())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IF(23&lt;=$G$32,MATCH(23,'Batch'!$V$45:$V$68,0),"")</f>
        <v>0</v>
      </c>
      <c r="R24">
        <v>23</v>
      </c>
      <c r="S24">
        <f>IF(23&lt;=$G$33,TEXT(HOUR(INDEX('Batch'!$C$45:$C$68,Z24)),"00")&amp;":"&amp;TEXT(MINUTE(INDEX('Batch'!$C$45:$C$68,Z24)),"00")&amp;CHAR(10)&amp;TEXT(DAY(INDEX('Batch'!$C$45:$C$68,Z24)),"00")&amp;"/"&amp;TEXT(MONTH(INDEX('Batch'!$C$45:$C$68,Z24)),"00"),IF(23=$G$33+1,"Média",""))</f>
        <v>0</v>
      </c>
      <c r="T24">
        <f>IF(23&lt;=$G$33,INDEX('Batch'!$I$45:$I$68,Z24),IF(AND(23=$G$33+1,ISNUMBER($B$33)),$B$33,NA()))</f>
        <v>0</v>
      </c>
      <c r="U24">
        <f>IF(23&lt;=$G$33,INDEX('Batch'!$J$45:$J$68,Z24),IF(AND(23=$G$33+1,ISNUMBER($C$33)),$C$33,NA()))</f>
        <v>0</v>
      </c>
      <c r="V24">
        <f>IF(23&lt;=$G$33,INDEX('Batch'!$R$45:$R$68,Z24),NA())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IF(23&lt;=$G$33,MATCH(23,'Batch'!$W$45:$W$68,0),"")</f>
        <v>0</v>
      </c>
      <c r="AA24">
        <v>23</v>
      </c>
      <c r="AB24">
        <f>IF(23&lt;=$G$34,TEXT(HOUR(INDEX('Batch'!$C$45:$C$68,AI24)),"00")&amp;":"&amp;TEXT(MINUTE(INDEX('Batch'!$C$45:$C$68,AI24)),"00")&amp;CHAR(10)&amp;TEXT(DAY(INDEX('Batch'!$C$45:$C$68,AI24)),"00")&amp;"/"&amp;TEXT(MONTH(INDEX('Batch'!$C$45:$C$68,AI24)),"00"),IF(23=$G$34+1,"Média",""))</f>
        <v>0</v>
      </c>
      <c r="AC24">
        <f>IF(23&lt;=$G$34,INDEX('Batch'!$K$45:$K$68,AI24),IF(AND(23=$G$34+1,ISNUMBER($B$34)),$B$34,NA()))</f>
        <v>0</v>
      </c>
      <c r="AD24">
        <f>IF(23&lt;=$G$34,INDEX('Batch'!$L$45:$L$68,AI24),IF(AND(23=$G$34+1,ISNUMBER($C$34)),$C$34,NA()))</f>
        <v>0</v>
      </c>
      <c r="AE24">
        <f>IF(23&lt;=$G$34,INDEX('Batch'!$S$45:$S$68,AI24),NA())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IF(23&lt;=$G$34,MATCH(23,'Batch'!$X$45:$X$68,0),"")</f>
        <v>0</v>
      </c>
      <c r="AJ24">
        <v>23</v>
      </c>
      <c r="AK24">
        <f>IF(23&lt;=$G$35,TEXT(HOUR(INDEX('Batch'!$C$45:$C$68,AR24)),"00")&amp;":"&amp;TEXT(MINUTE(INDEX('Batch'!$C$45:$C$68,AR24)),"00")&amp;CHAR(10)&amp;TEXT(DAY(INDEX('Batch'!$C$45:$C$68,AR24)),"00")&amp;"/"&amp;TEXT(MONTH(INDEX('Batch'!$C$45:$C$68,AR24)),"00"),IF(23=$G$35+1,"Média",""))</f>
        <v>0</v>
      </c>
      <c r="AL24">
        <f>IF(23&lt;=$G$35,INDEX('Batch'!$M$45:$M$68,AR24),IF(AND(23=$G$35+1,ISNUMBER($B$35)),$B$35,NA()))</f>
        <v>0</v>
      </c>
      <c r="AM24">
        <f>IF(23&lt;=$G$35,INDEX('Batch'!$N$45:$N$68,AR24),IF(AND(23=$G$35+1,ISNUMBER($C$35)),$C$35,NA()))</f>
        <v>0</v>
      </c>
      <c r="AN24">
        <f>IF(23&lt;=$G$35,INDEX('Batch'!$T$45:$T$68,AR24),NA())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IF(23&lt;=$G$35,MATCH(23,'Batch'!$Y$45:$Y$68,0),"")</f>
        <v>0</v>
      </c>
      <c r="AS24">
        <v>23</v>
      </c>
    </row>
    <row r="25" spans="1:45">
      <c r="A25">
        <f>IF(24&lt;=$G$31,TEXT(HOUR(INDEX('Batch'!$C$45:$C$68,H25)),"00")&amp;":"&amp;TEXT(MINUTE(INDEX('Batch'!$C$45:$C$68,H25)),"00")&amp;CHAR(10)&amp;TEXT(DAY(INDEX('Batch'!$C$45:$C$68,H25)),"00")&amp;"/"&amp;TEXT(MONTH(INDEX('Batch'!$C$45:$C$68,H25)),"00"),IF(24=$G$31+1,"Média",""))</f>
        <v>0</v>
      </c>
      <c r="B25">
        <f>IF(24&lt;=$G$31,INDEX('Batch'!$E$45:$E$68,H25),IF(AND(24=$G$31+1,ISNUMBER($B$31)),$B$31,NA()))</f>
        <v>0</v>
      </c>
      <c r="C25">
        <f>IF(24&lt;=$G$31,INDEX('Batch'!$F$45:$F$68,H25),IF(AND(24=$G$31+1,ISNUMBER($C$31)),$C$31,NA()))</f>
        <v>0</v>
      </c>
      <c r="D25">
        <f>IF(24&lt;=$G$31,INDEX('Batch'!$P$45:$P$68,H25),NA())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IF(24&lt;=$G$31,MATCH(24,'Batch'!$U$45:$U$68,0),"")</f>
        <v>0</v>
      </c>
      <c r="I25">
        <v>24</v>
      </c>
      <c r="J25">
        <f>IF(24&lt;=$G$32,TEXT(HOUR(INDEX('Batch'!$C$45:$C$68,Q25)),"00")&amp;":"&amp;TEXT(MINUTE(INDEX('Batch'!$C$45:$C$68,Q25)),"00")&amp;CHAR(10)&amp;TEXT(DAY(INDEX('Batch'!$C$45:$C$68,Q25)),"00")&amp;"/"&amp;TEXT(MONTH(INDEX('Batch'!$C$45:$C$68,Q25)),"00"),IF(24=$G$32+1,"Média",""))</f>
        <v>0</v>
      </c>
      <c r="K25">
        <f>IF(24&lt;=$G$32,INDEX('Batch'!$G$45:$G$68,Q25),IF(AND(24=$G$32+1,ISNUMBER($B$32)),$B$32,NA()))</f>
        <v>0</v>
      </c>
      <c r="L25">
        <f>IF(24&lt;=$G$32,INDEX('Batch'!$H$45:$H$68,Q25),IF(AND(24=$G$32+1,ISNUMBER($C$32)),$C$32,NA()))</f>
        <v>0</v>
      </c>
      <c r="M25">
        <f>IF(24&lt;=$G$32,INDEX('Batch'!$Q$45:$Q$68,Q25),NA())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IF(24&lt;=$G$32,MATCH(24,'Batch'!$V$45:$V$68,0),"")</f>
        <v>0</v>
      </c>
      <c r="R25">
        <v>24</v>
      </c>
      <c r="S25">
        <f>IF(24&lt;=$G$33,TEXT(HOUR(INDEX('Batch'!$C$45:$C$68,Z25)),"00")&amp;":"&amp;TEXT(MINUTE(INDEX('Batch'!$C$45:$C$68,Z25)),"00")&amp;CHAR(10)&amp;TEXT(DAY(INDEX('Batch'!$C$45:$C$68,Z25)),"00")&amp;"/"&amp;TEXT(MONTH(INDEX('Batch'!$C$45:$C$68,Z25)),"00"),IF(24=$G$33+1,"Média",""))</f>
        <v>0</v>
      </c>
      <c r="T25">
        <f>IF(24&lt;=$G$33,INDEX('Batch'!$I$45:$I$68,Z25),IF(AND(24=$G$33+1,ISNUMBER($B$33)),$B$33,NA()))</f>
        <v>0</v>
      </c>
      <c r="U25">
        <f>IF(24&lt;=$G$33,INDEX('Batch'!$J$45:$J$68,Z25),IF(AND(24=$G$33+1,ISNUMBER($C$33)),$C$33,NA()))</f>
        <v>0</v>
      </c>
      <c r="V25">
        <f>IF(24&lt;=$G$33,INDEX('Batch'!$R$45:$R$68,Z25),NA())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IF(24&lt;=$G$33,MATCH(24,'Batch'!$W$45:$W$68,0),"")</f>
        <v>0</v>
      </c>
      <c r="AA25">
        <v>24</v>
      </c>
      <c r="AB25">
        <f>IF(24&lt;=$G$34,TEXT(HOUR(INDEX('Batch'!$C$45:$C$68,AI25)),"00")&amp;":"&amp;TEXT(MINUTE(INDEX('Batch'!$C$45:$C$68,AI25)),"00")&amp;CHAR(10)&amp;TEXT(DAY(INDEX('Batch'!$C$45:$C$68,AI25)),"00")&amp;"/"&amp;TEXT(MONTH(INDEX('Batch'!$C$45:$C$68,AI25)),"00"),IF(24=$G$34+1,"Média",""))</f>
        <v>0</v>
      </c>
      <c r="AC25">
        <f>IF(24&lt;=$G$34,INDEX('Batch'!$K$45:$K$68,AI25),IF(AND(24=$G$34+1,ISNUMBER($B$34)),$B$34,NA()))</f>
        <v>0</v>
      </c>
      <c r="AD25">
        <f>IF(24&lt;=$G$34,INDEX('Batch'!$L$45:$L$68,AI25),IF(AND(24=$G$34+1,ISNUMBER($C$34)),$C$34,NA()))</f>
        <v>0</v>
      </c>
      <c r="AE25">
        <f>IF(24&lt;=$G$34,INDEX('Batch'!$S$45:$S$68,AI25),NA())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IF(24&lt;=$G$34,MATCH(24,'Batch'!$X$45:$X$68,0),"")</f>
        <v>0</v>
      </c>
      <c r="AJ25">
        <v>24</v>
      </c>
      <c r="AK25">
        <f>IF(24&lt;=$G$35,TEXT(HOUR(INDEX('Batch'!$C$45:$C$68,AR25)),"00")&amp;":"&amp;TEXT(MINUTE(INDEX('Batch'!$C$45:$C$68,AR25)),"00")&amp;CHAR(10)&amp;TEXT(DAY(INDEX('Batch'!$C$45:$C$68,AR25)),"00")&amp;"/"&amp;TEXT(MONTH(INDEX('Batch'!$C$45:$C$68,AR25)),"00"),IF(24=$G$35+1,"Média",""))</f>
        <v>0</v>
      </c>
      <c r="AL25">
        <f>IF(24&lt;=$G$35,INDEX('Batch'!$M$45:$M$68,AR25),IF(AND(24=$G$35+1,ISNUMBER($B$35)),$B$35,NA()))</f>
        <v>0</v>
      </c>
      <c r="AM25">
        <f>IF(24&lt;=$G$35,INDEX('Batch'!$N$45:$N$68,AR25),IF(AND(24=$G$35+1,ISNUMBER($C$35)),$C$35,NA()))</f>
        <v>0</v>
      </c>
      <c r="AN25">
        <f>IF(24&lt;=$G$35,INDEX('Batch'!$T$45:$T$68,AR25),NA())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IF(24&lt;=$G$35,MATCH(24,'Batch'!$Y$45:$Y$68,0),"")</f>
        <v>0</v>
      </c>
      <c r="AS25">
        <v>24</v>
      </c>
    </row>
    <row r="26" spans="1:45">
      <c r="A26">
        <f>IF(25&lt;=$G$31,TEXT(HOUR(INDEX('Batch'!$C$45:$C$68,H26)),"00")&amp;":"&amp;TEXT(MINUTE(INDEX('Batch'!$C$45:$C$68,H26)),"00")&amp;CHAR(10)&amp;TEXT(DAY(INDEX('Batch'!$C$45:$C$68,H26)),"00")&amp;"/"&amp;TEXT(MONTH(INDEX('Batch'!$C$45:$C$68,H26)),"00"),IF(25=$G$31+1,"Média",""))</f>
        <v>0</v>
      </c>
      <c r="B26">
        <f>IF(25&lt;=$G$31,INDEX('Batch'!$E$45:$E$68,H26),IF(AND(25=$G$31+1,ISNUMBER($B$31)),$B$31,NA()))</f>
        <v>0</v>
      </c>
      <c r="C26">
        <f>IF(25&lt;=$G$31,INDEX('Batch'!$F$45:$F$68,H26),IF(AND(25=$G$31+1,ISNUMBER($C$31)),$C$31,NA()))</f>
        <v>0</v>
      </c>
      <c r="D26">
        <f>IF(25&lt;=$G$31,INDEX('Batch'!$P$45:$P$68,H26),NA())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IF(25&lt;=$G$31,MATCH(25,'Batch'!$U$45:$U$68,0),"")</f>
        <v>0</v>
      </c>
      <c r="I26">
        <v>25</v>
      </c>
      <c r="J26">
        <f>IF(25&lt;=$G$32,TEXT(HOUR(INDEX('Batch'!$C$45:$C$68,Q26)),"00")&amp;":"&amp;TEXT(MINUTE(INDEX('Batch'!$C$45:$C$68,Q26)),"00")&amp;CHAR(10)&amp;TEXT(DAY(INDEX('Batch'!$C$45:$C$68,Q26)),"00")&amp;"/"&amp;TEXT(MONTH(INDEX('Batch'!$C$45:$C$68,Q26)),"00"),IF(25=$G$32+1,"Média",""))</f>
        <v>0</v>
      </c>
      <c r="K26">
        <f>IF(25&lt;=$G$32,INDEX('Batch'!$G$45:$G$68,Q26),IF(AND(25=$G$32+1,ISNUMBER($B$32)),$B$32,NA()))</f>
        <v>0</v>
      </c>
      <c r="L26">
        <f>IF(25&lt;=$G$32,INDEX('Batch'!$H$45:$H$68,Q26),IF(AND(25=$G$32+1,ISNUMBER($C$32)),$C$32,NA()))</f>
        <v>0</v>
      </c>
      <c r="M26">
        <f>IF(25&lt;=$G$32,INDEX('Batch'!$Q$45:$Q$68,Q26),NA())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IF(25&lt;=$G$32,MATCH(25,'Batch'!$V$45:$V$68,0),"")</f>
        <v>0</v>
      </c>
      <c r="R26">
        <v>25</v>
      </c>
      <c r="S26">
        <f>IF(25&lt;=$G$33,TEXT(HOUR(INDEX('Batch'!$C$45:$C$68,Z26)),"00")&amp;":"&amp;TEXT(MINUTE(INDEX('Batch'!$C$45:$C$68,Z26)),"00")&amp;CHAR(10)&amp;TEXT(DAY(INDEX('Batch'!$C$45:$C$68,Z26)),"00")&amp;"/"&amp;TEXT(MONTH(INDEX('Batch'!$C$45:$C$68,Z26)),"00"),IF(25=$G$33+1,"Média",""))</f>
        <v>0</v>
      </c>
      <c r="T26">
        <f>IF(25&lt;=$G$33,INDEX('Batch'!$I$45:$I$68,Z26),IF(AND(25=$G$33+1,ISNUMBER($B$33)),$B$33,NA()))</f>
        <v>0</v>
      </c>
      <c r="U26">
        <f>IF(25&lt;=$G$33,INDEX('Batch'!$J$45:$J$68,Z26),IF(AND(25=$G$33+1,ISNUMBER($C$33)),$C$33,NA()))</f>
        <v>0</v>
      </c>
      <c r="V26">
        <f>IF(25&lt;=$G$33,INDEX('Batch'!$R$45:$R$68,Z26),NA())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IF(25&lt;=$G$33,MATCH(25,'Batch'!$W$45:$W$68,0),"")</f>
        <v>0</v>
      </c>
      <c r="AA26">
        <v>25</v>
      </c>
      <c r="AB26">
        <f>IF(25&lt;=$G$34,TEXT(HOUR(INDEX('Batch'!$C$45:$C$68,AI26)),"00")&amp;":"&amp;TEXT(MINUTE(INDEX('Batch'!$C$45:$C$68,AI26)),"00")&amp;CHAR(10)&amp;TEXT(DAY(INDEX('Batch'!$C$45:$C$68,AI26)),"00")&amp;"/"&amp;TEXT(MONTH(INDEX('Batch'!$C$45:$C$68,AI26)),"00"),IF(25=$G$34+1,"Média",""))</f>
        <v>0</v>
      </c>
      <c r="AC26">
        <f>IF(25&lt;=$G$34,INDEX('Batch'!$K$45:$K$68,AI26),IF(AND(25=$G$34+1,ISNUMBER($B$34)),$B$34,NA()))</f>
        <v>0</v>
      </c>
      <c r="AD26">
        <f>IF(25&lt;=$G$34,INDEX('Batch'!$L$45:$L$68,AI26),IF(AND(25=$G$34+1,ISNUMBER($C$34)),$C$34,NA()))</f>
        <v>0</v>
      </c>
      <c r="AE26">
        <f>IF(25&lt;=$G$34,INDEX('Batch'!$S$45:$S$68,AI26),NA())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IF(25&lt;=$G$34,MATCH(25,'Batch'!$X$45:$X$68,0),"")</f>
        <v>0</v>
      </c>
      <c r="AJ26">
        <v>25</v>
      </c>
      <c r="AK26">
        <f>IF(25&lt;=$G$35,TEXT(HOUR(INDEX('Batch'!$C$45:$C$68,AR26)),"00")&amp;":"&amp;TEXT(MINUTE(INDEX('Batch'!$C$45:$C$68,AR26)),"00")&amp;CHAR(10)&amp;TEXT(DAY(INDEX('Batch'!$C$45:$C$68,AR26)),"00")&amp;"/"&amp;TEXT(MONTH(INDEX('Batch'!$C$45:$C$68,AR26)),"00"),IF(25=$G$35+1,"Média",""))</f>
        <v>0</v>
      </c>
      <c r="AL26">
        <f>IF(25&lt;=$G$35,INDEX('Batch'!$M$45:$M$68,AR26),IF(AND(25=$G$35+1,ISNUMBER($B$35)),$B$35,NA()))</f>
        <v>0</v>
      </c>
      <c r="AM26">
        <f>IF(25&lt;=$G$35,INDEX('Batch'!$N$45:$N$68,AR26),IF(AND(25=$G$35+1,ISNUMBER($C$35)),$C$35,NA()))</f>
        <v>0</v>
      </c>
      <c r="AN26">
        <f>IF(25&lt;=$G$35,INDEX('Batch'!$T$45:$T$68,AR26),NA())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IF(25&lt;=$G$35,MATCH(25,'Batch'!$Y$45:$Y$68,0),"")</f>
        <v>0</v>
      </c>
      <c r="AS26">
        <v>25</v>
      </c>
    </row>
    <row r="28" spans="1:45">
      <c r="A28" t="s">
        <v>235</v>
      </c>
    </row>
    <row r="30" spans="1:45">
      <c r="A30" t="s">
        <v>150</v>
      </c>
      <c r="B30" t="s">
        <v>151</v>
      </c>
      <c r="C30" t="s">
        <v>152</v>
      </c>
      <c r="D30" t="s">
        <v>153</v>
      </c>
      <c r="E30" t="s">
        <v>154</v>
      </c>
      <c r="F30" t="s">
        <v>155</v>
      </c>
      <c r="G30" t="s">
        <v>156</v>
      </c>
      <c r="H30" t="s">
        <v>157</v>
      </c>
      <c r="I30" t="s">
        <v>158</v>
      </c>
      <c r="J30" t="s">
        <v>159</v>
      </c>
      <c r="K30" t="s">
        <v>160</v>
      </c>
      <c r="L30" t="s">
        <v>161</v>
      </c>
      <c r="M30" t="s">
        <v>162</v>
      </c>
      <c r="N30" t="s">
        <v>163</v>
      </c>
      <c r="O30" t="s">
        <v>164</v>
      </c>
    </row>
    <row r="31" spans="1:45">
      <c r="A31" t="s">
        <v>12</v>
      </c>
      <c r="B31">
        <f>IF(COUNT('Batch'!$E$45:$E$68)=0,"",AVERAGE('Batch'!$E$45:$E$68))</f>
        <v>0</v>
      </c>
      <c r="C31">
        <f>IF(COUNT('Batch'!$F$45:$F$68)=0,"",AVERAGE('Batch'!$F$45:$F$68))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MAX(0,'Batch'!$U$45:$U$68)</f>
        <v>0</v>
      </c>
      <c r="H31">
        <f>bTol_SE</f>
        <v>0</v>
      </c>
      <c r="I31">
        <f>COUNT('Batch'!$E$45:$E$68)</f>
        <v>0</v>
      </c>
      <c r="J31">
        <f>COUNT('Batch'!$F$45:$F$68)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165</v>
      </c>
    </row>
    <row r="32" spans="1:45">
      <c r="A32" t="s">
        <v>19</v>
      </c>
      <c r="B32">
        <f>IF(COUNT('Batch'!$G$45:$G$68)=0,"",AVERAGE('Batch'!$G$45:$G$68))</f>
        <v>0</v>
      </c>
      <c r="C32">
        <f>IF(COUNT('Batch'!$H$45:$H$68)=0,"",AVERAGE('Batch'!$H$45:$H$68))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MAX(0,'Batch'!$V$45:$V$68)</f>
        <v>0</v>
      </c>
      <c r="H32">
        <f>bTol_325</f>
        <v>0</v>
      </c>
      <c r="I32">
        <f>COUNT('Batch'!$G$45:$G$68)</f>
        <v>0</v>
      </c>
      <c r="J32">
        <f>COUNT('Batch'!$H$45:$H$68)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166</v>
      </c>
    </row>
    <row r="33" spans="1:15">
      <c r="A33" t="s">
        <v>22</v>
      </c>
      <c r="B33">
        <f>IF(COUNT('Batch'!$I$45:$I$68)=0,"",AVERAGE('Batch'!$I$45:$I$68))</f>
        <v>0</v>
      </c>
      <c r="C33">
        <f>IF(COUNT('Batch'!$J$45:$J$68)=0,"",AVERAGE('Batch'!$J$45:$J$68))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MAX(0,'Batch'!$W$45:$W$68)</f>
        <v>0</v>
      </c>
      <c r="H33">
        <f>bTol_SiO2</f>
        <v>0</v>
      </c>
      <c r="I33">
        <f>COUNT('Batch'!$I$45:$I$68)</f>
        <v>0</v>
      </c>
      <c r="J33">
        <f>COUNT('Batch'!$J$45:$J$68)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167</v>
      </c>
    </row>
    <row r="34" spans="1:15">
      <c r="A34" t="s">
        <v>25</v>
      </c>
      <c r="B34">
        <f>IF(COUNT('Batch'!$K$45:$K$68)=0,"",AVERAGE('Batch'!$K$45:$K$68))</f>
        <v>0</v>
      </c>
      <c r="C34">
        <f>IF(COUNT('Batch'!$L$45:$L$68)=0,"",AVERAGE('Batch'!$L$45:$L$68))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MAX(0,'Batch'!$X$45:$X$68)</f>
        <v>0</v>
      </c>
      <c r="H34">
        <f>bTol_P</f>
        <v>0</v>
      </c>
      <c r="I34">
        <f>COUNT('Batch'!$K$45:$K$68)</f>
        <v>0</v>
      </c>
      <c r="J34">
        <f>COUNT('Batch'!$L$45:$L$68)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168</v>
      </c>
    </row>
    <row r="35" spans="1:15">
      <c r="A35" t="s">
        <v>28</v>
      </c>
      <c r="B35">
        <f>IF(COUNT('Batch'!$M$45:$M$68)=0,"",AVERAGE('Batch'!$M$45:$M$68))</f>
        <v>0</v>
      </c>
      <c r="C35">
        <f>IF(COUNT('Batch'!$N$45:$N$68)=0,"",AVERAGE('Batch'!$N$45:$N$68))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MAX(0,'Batch'!$Y$45:$Y$68)</f>
        <v>0</v>
      </c>
      <c r="H35">
        <f>bTol_PPC</f>
        <v>0</v>
      </c>
      <c r="I35">
        <f>COUNT('Batch'!$M$45:$M$68)</f>
        <v>0</v>
      </c>
      <c r="J35">
        <f>COUNT('Batch'!$N$45:$N$68)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169</v>
      </c>
      <c r="B37" t="s">
        <v>170</v>
      </c>
      <c r="C37" t="s">
        <v>171</v>
      </c>
      <c r="D37" t="s">
        <v>172</v>
      </c>
      <c r="E37" t="s">
        <v>173</v>
      </c>
      <c r="F37" t="s">
        <v>174</v>
      </c>
      <c r="G37" t="s">
        <v>110</v>
      </c>
      <c r="H37" t="s">
        <v>175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176</v>
      </c>
      <c r="B40">
        <f>IF(bRef=bLabB,bLabB,bLabA)</f>
        <v>0</v>
      </c>
    </row>
    <row r="41" spans="1:15">
      <c r="A41" t="s">
        <v>177</v>
      </c>
      <c r="B41">
        <f>IF(bRef=bLabB,bLabA,bLabB)</f>
        <v>0</v>
      </c>
    </row>
    <row r="42" spans="1:15">
      <c r="A42" t="s">
        <v>178</v>
      </c>
      <c r="B42">
        <f>IF(ISNUMBER(bData),TEXT(DAY(bData),"00")&amp;"/"&amp;TEXT(MONTH(bData),"00")&amp;"/"&amp;YEAR(bData),"")</f>
        <v>0</v>
      </c>
    </row>
    <row r="43" spans="1:15">
      <c r="A43" t="s">
        <v>179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180</v>
      </c>
      <c r="B46">
        <f>IF(ISNUMBER(bIniP),cfgGradeU+ROUNDUP((bIniP-cfgGradeU)*12-0.000001,0)/12,"")</f>
        <v>0</v>
      </c>
    </row>
    <row r="47" spans="1:15">
      <c r="A47" t="s">
        <v>181</v>
      </c>
      <c r="B47">
        <f>IF(ISNUMBER(bIniG),cfgGradeG+ROUNDUP((bIniG-cfgGradeG)*12-0.000001,0)/12,"")</f>
        <v>0</v>
      </c>
    </row>
    <row r="48" spans="1:15">
      <c r="A48" t="s">
        <v>182</v>
      </c>
      <c r="B48">
        <f>IF(ISNUMBER(B57),MIN(bNHor,B57),bNHor)</f>
        <v>0</v>
      </c>
    </row>
    <row r="49" spans="1:2">
      <c r="A49" t="s">
        <v>184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185</v>
      </c>
      <c r="B50">
        <f>IF(bNivel="",0,IFERROR(INDEX(cfgAtrasoH,MATCH(bNivel,cfgAtrasoN,0)),0))</f>
        <v>0</v>
      </c>
    </row>
    <row r="51" spans="1:2">
      <c r="A51" t="s">
        <v>186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187</v>
      </c>
      <c r="B52">
        <f>IF(bNivel&lt;&gt;"","nível dos tanques "&amp;LOWER(bNivel)&amp;" · ","")</f>
        <v>0</v>
      </c>
    </row>
    <row r="53" spans="1:2">
      <c r="A53" t="s">
        <v>188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189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"&amp;TEXT(DAY(gJanG+cfgMinAntes/1440),"00")&amp;"/"&amp;TEXT(MONTH(gJanG+cfgMinAntes/1440),"00")&amp;" "&amp;TEXT(HOUR(gJanG+cfgMinAntes/1440),"00")&amp;":"&amp;TEXT(MINUTE(gJanG+cfgMinAntes/1440),"00"),"   ·   Germano: mesmos horários"),"→ Cole as fases do evento (passo ②) para calcular os horários.")</f>
        <v>0</v>
      </c>
    </row>
    <row r="57" spans="1:2">
      <c r="A57" t="s">
        <v>183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115</vt:i4>
      </vt:variant>
    </vt:vector>
  </HeadingPairs>
  <TitlesOfParts>
    <vt:vector size="124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impArea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2026-10-14T17:59:57Z</dcterms:created>
  <dcterms:modified xsi:type="dcterms:W3CDTF">2026-10-14T17:59:57Z</dcterms:modified>
</cp:coreProperties>
</file>