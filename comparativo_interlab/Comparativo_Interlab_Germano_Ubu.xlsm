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ainel" sheetId="1" r:id="rId1"/>
    <sheet name="Batch" sheetId="2" r:id="rId2"/>
    <sheet name="Enviar" sheetId="3" r:id="rId3"/>
    <sheet name="Histórico" sheetId="4" r:id="rId4"/>
    <sheet name="BD_Leituras" sheetId="5" r:id="rId5"/>
    <sheet name="Configurações" sheetId="6" r:id="rId6"/>
    <sheet name="Dados_MES" sheetId="7" state="hidden" r:id="rId7"/>
    <sheet name="_Graf" sheetId="8" state="hidden" r:id="rId8"/>
  </sheets>
  <definedNames>
    <definedName name="bAcomp">'Batch'!$D$47</definedName>
    <definedName name="bAtraso">'Batch'!$B$9</definedName>
    <definedName name="bCom1">'Batch'!$D$48</definedName>
    <definedName name="bCom2">'Batch'!$D$49</definedName>
    <definedName name="bCom3">'Batch'!$D$50</definedName>
    <definedName name="bCom4">'Batch'!$D$51</definedName>
    <definedName name="bCom5">'Batch'!$D$52</definedName>
    <definedName name="bCom6">'Batch'!$D$53</definedName>
    <definedName name="bData">'Batch'!$P$14</definedName>
    <definedName name="bDef">'Batch'!$M$14</definedName>
    <definedName name="bFases">'Batch'!$D$5:$L$11</definedName>
    <definedName name="bFasesMsg">'Batch'!$D$12</definedName>
    <definedName name="bFimG">'Batch'!$D$14</definedName>
    <definedName name="bFimU">'Batch'!$G$14</definedName>
    <definedName name="bFrase">'Batch'!$D$46</definedName>
    <definedName name="bGrade">'Batch'!$B$18:$Y$41</definedName>
    <definedName name="bHorasU">'Batch'!$C$18:$C$41</definedName>
    <definedName name="bId">'Batch'!$B$5</definedName>
    <definedName name="bIncAcomp">'Batch'!$N$47</definedName>
    <definedName name="bIncFrase">'Batch'!$N$46</definedName>
    <definedName name="bIniG">'Batch'!$B$14</definedName>
    <definedName name="bIniP">'Batch'!$I$14</definedName>
    <definedName name="bIniPMan">'Batch'!$I$57</definedName>
    <definedName name="bIniU">'Batch'!$E$14</definedName>
    <definedName name="bLabA">'Batch'!$B$57</definedName>
    <definedName name="bLabB">'Batch'!$D$57</definedName>
    <definedName name="bMin">'Batch'!$R$14</definedName>
    <definedName name="bNHor">'Batch'!$K$14</definedName>
    <definedName name="bNivel">'Batch'!$B$8</definedName>
    <definedName name="bRef">'Batch'!$E$57</definedName>
    <definedName name="bSub">'Batch'!$G$59</definedName>
    <definedName name="bTit">'Batch'!$B$59</definedName>
    <definedName name="bTol_325">'Batch'!$D$62</definedName>
    <definedName name="bTol_P">'Batch'!$G$62</definedName>
    <definedName name="bTol_PPC">'Batch'!$I$62</definedName>
    <definedName name="bTol_SE">'Batch'!$B$62</definedName>
    <definedName name="bTol_SiO2">'Batch'!$E$62</definedName>
    <definedName name="bValores">'Batch'!$E$18:$N$41</definedName>
    <definedName name="cfgAtrasoH">'Configurações'!$C$33:$C$35</definedName>
    <definedName name="cfgAtrasoN">'Configurações'!$B$33:$B$35</definedName>
    <definedName name="cfgCalc">'Configurações'!$C$27</definedName>
    <definedName name="cfgFaseG">'Configurações'!$C$28</definedName>
    <definedName name="cfgFaseU">'Configurações'!$C$29</definedName>
    <definedName name="cfgFonte">'Configurações'!$C$20</definedName>
    <definedName name="cfgFormatoData">'Configurações'!$C$22</definedName>
    <definedName name="cfgGradeG">'Configurações'!$C$25</definedName>
    <definedName name="cfgGradeU">'Configurações'!$C$24</definedName>
    <definedName name="cfgMinAntes">'Configurações'!$C$23</definedName>
    <definedName name="cfgMinG">'Configurações'!$C$26</definedName>
    <definedName name="cfgTags">'Configurações'!$B$8:$I$17</definedName>
    <definedName name="cfgTimeout">'Configurações'!$C$21</definedName>
    <definedName name="eAssunto">'Enviar'!$B$18</definedName>
    <definedName name="eResumo">'Enviar'!$B$6</definedName>
    <definedName name="gAcomp">'_Graf'!$B$55</definedName>
    <definedName name="gAtrasoNivel">'_Graf'!$B$50</definedName>
    <definedName name="gAval">'_Graf'!$C$38</definedName>
    <definedName name="gAvalNome">'_Graf'!$B$41</definedName>
    <definedName name="gComentarios">'_Graf'!$I$38</definedName>
    <definedName name="gDataTxt">'_Graf'!$B$42</definedName>
    <definedName name="gJanG">'_Graf'!$B$47</definedName>
    <definedName name="gJanU">'_Graf'!$B$46</definedName>
    <definedName name="gLegDif">'_Graf'!$B$43</definedName>
    <definedName name="gNG">'_Graf'!$B$48</definedName>
    <definedName name="gNGer">'_Graf'!$B$57</definedName>
    <definedName name="gNHorFim">'_Graf'!$B$49</definedName>
    <definedName name="gNok">'_Graf'!$A$38</definedName>
    <definedName name="gNokDet">'_Graf'!$E$38</definedName>
    <definedName name="gOk">'_Graf'!$B$38</definedName>
    <definedName name="gOkLista">'_Graf'!$F$38</definedName>
    <definedName name="gRefNome">'_Graf'!$B$40</definedName>
    <definedName name="gResumoHor">'_Graf'!$B$56</definedName>
    <definedName name="gSerieA">'_Graf'!$A$44</definedName>
    <definedName name="gSerieB">'_Graf'!$B$44</definedName>
    <definedName name="gTopicos">'_Graf'!$H$38</definedName>
    <definedName name="lstBatches">OFFSET('Histórico'!$B$8,0,0,MAX(1,COUNT('Histórico'!$B$8:$B$5000)),1)</definedName>
    <definedName name="lstLabs">'Configurações'!$C$62:$D$62</definedName>
    <definedName name="lstMin">'Configurações'!$C$60:$E$60</definedName>
    <definedName name="lstNivel">'Configurações'!$B$33:$B$35</definedName>
    <definedName name="lstSimNao">'Configurações'!$C$61:$D$61</definedName>
    <definedName name="mesFimG">'Dados_MES'!$B$4</definedName>
    <definedName name="mesFimU">'Dados_MES'!$B$7</definedName>
    <definedName name="mesIniG">'Dados_MES'!$B$3</definedName>
    <definedName name="mesIniU">'Dados_MES'!$B$6</definedName>
    <definedName name="mesInvalidas">'Dados_MES'!$E$5</definedName>
    <definedName name="mesPrefixo">'Dados_MES'!$E$3</definedName>
    <definedName name="mesRespG">'Dados_MES'!$E$6</definedName>
    <definedName name="mesRespU">'Dados_MES'!$E$7</definedName>
    <definedName name="mesTempo">'Dados_MES'!$E$4</definedName>
    <definedName name="padCom">'Configurações'!$C$45</definedName>
    <definedName name="padLabA">'Configurações'!$C$38</definedName>
    <definedName name="padLabB">'Configurações'!$C$39</definedName>
    <definedName name="padMin">'Configurações'!$C$41</definedName>
    <definedName name="padNHor">'Configurações'!$C$42</definedName>
    <definedName name="padRef">'Configurações'!$C$40</definedName>
    <definedName name="padSub">'Configurações'!$C$44</definedName>
    <definedName name="padTit">'Configurações'!$C$43</definedName>
    <definedName name="padTol_325">'Configurações'!$C$47</definedName>
    <definedName name="padTol_P">'Configurações'!$C$49</definedName>
    <definedName name="padTol_PPC">'Configurações'!$C$50</definedName>
    <definedName name="padTol_SE">'Configurações'!$C$46</definedName>
    <definedName name="padTol_SiO2">'Configurações'!$C$48</definedName>
    <definedName name="pArea">'Painel'!$A$6:$O$63</definedName>
    <definedName name="_xlnm.Print_Area" localSheetId="1">Batch!$A$1:$T$62</definedName>
    <definedName name="_xlnm.Print_Area" localSheetId="0">Painel!$A$6:$O$63</definedName>
    <definedName name="pSel">'Painel'!$B$3</definedName>
    <definedName name="pSt_325">'Painel'!$G$12</definedName>
    <definedName name="pSt_P">'Painel'!$G$14</definedName>
    <definedName name="pSt_PPC">'Painel'!$G$15</definedName>
    <definedName name="pSt_SE">'Painel'!$G$11</definedName>
    <definedName name="pSt_SiO2">'Painel'!$G$13</definedName>
    <definedName name="tit_325">'Configurações'!$C$54</definedName>
    <definedName name="tit_P">'Configurações'!$C$56</definedName>
    <definedName name="tit_PPC">'Configurações'!$C$57</definedName>
    <definedName name="tit_SE">'Configurações'!$C$53</definedName>
    <definedName name="tit_SiO2">'Configurações'!$C$55</definedName>
  </definedNames>
  <calcPr calcId="124519" fullCalcOnLoad="1"/>
</workbook>
</file>

<file path=xl/sharedStrings.xml><?xml version="1.0" encoding="utf-8"?>
<sst xmlns="http://schemas.openxmlformats.org/spreadsheetml/2006/main" count="519" uniqueCount="314">
  <si>
    <t>CONFIGURAÇÕES</t>
  </si>
  <si>
    <t>Tags do MES, consulta, padrões de um batch novo e títulos do report</t>
  </si>
  <si>
    <t>TAGS DO MES (UMA POR ANÁLISE E LABORATÓRIO)</t>
  </si>
  <si>
    <t>Tag em branco = análise fora da consulta (fica para lançamento manual). Servidor e mapa como no MES (padrão UBU / IP_MESVALOR). Valores fora da faixa válida são descartados.</t>
  </si>
  <si>
    <t>Análise</t>
  </si>
  <si>
    <t>Laboratório</t>
  </si>
  <si>
    <t>Tag</t>
  </si>
  <si>
    <t>Servidor</t>
  </si>
  <si>
    <t>Mapa</t>
  </si>
  <si>
    <t>Mín. válido</t>
  </si>
  <si>
    <t>Máx. válido</t>
  </si>
  <si>
    <t>Típico (simulação)</t>
  </si>
  <si>
    <t>S.E.</t>
  </si>
  <si>
    <t>Germano</t>
  </si>
  <si>
    <t>M4250010000-0017-ABLQ</t>
  </si>
  <si>
    <t>UBU</t>
  </si>
  <si>
    <t>IP_MESVALOR</t>
  </si>
  <si>
    <t>Ubu</t>
  </si>
  <si>
    <t>M4650060010-0017-HHLFU</t>
  </si>
  <si>
    <t>&lt;325#</t>
  </si>
  <si>
    <t>M4250010000-0016-ABLF</t>
  </si>
  <si>
    <t>M4650060010-0016-HHLFU</t>
  </si>
  <si>
    <t>SiO₂</t>
  </si>
  <si>
    <t>M4250010000-0004-ABLQ</t>
  </si>
  <si>
    <t>M650030010-0004-HHLQU</t>
  </si>
  <si>
    <t>P</t>
  </si>
  <si>
    <t>M4250010000-0008-ABLQ</t>
  </si>
  <si>
    <t>M650030010-0008-HHLQU</t>
  </si>
  <si>
    <t>PPC</t>
  </si>
  <si>
    <t>M4250010000-0013-ABLQ</t>
  </si>
  <si>
    <t>M650030010-0013-HHLQU</t>
  </si>
  <si>
    <t>As tags vêm das telas do MES (ex.: M650030010-0004-HHLQU). Germano e Ubu podem estar em servidores diferentes: informe o servidor de cada tag.</t>
  </si>
  <si>
    <t>CONSULTA AO MES</t>
  </si>
  <si>
    <t>Fonte dos dados</t>
  </si>
  <si>
    <t>MES</t>
  </si>
  <si>
    <t>MES ou SIMULAÇÃO (dados fictícios, para treino)</t>
  </si>
  <si>
    <t>Tempo máximo de espera (s)</t>
  </si>
  <si>
    <t>Quanto esperar a resposta do Aspen</t>
  </si>
  <si>
    <t>Formato da data para o MES</t>
  </si>
  <si>
    <t>Texto dd/mm/aaaa</t>
  </si>
  <si>
    <t>Data do Excel, Texto dd/mm/aaaa ou Texto mm/dd/aaaa</t>
  </si>
  <si>
    <t>Horário da linha após o início da janela (min)</t>
  </si>
  <si>
    <t>Janela de 2 h que começa às 11:00 aparece como 11:30 (início + 30 min)</t>
  </si>
  <si>
    <t>Grade das janelas de Ubu (hora)</t>
  </si>
  <si>
    <t>Janelas de 2 h a partir desta hora (07:00, 09:00, 11:00...). 1ª janela = 1ª completa após o início</t>
  </si>
  <si>
    <t>Grade das janelas de Germano (hora)</t>
  </si>
  <si>
    <t>Horas pares (00:00, 02:00...): os resultados de Germano (01:00, 03:00...) caem no meio da janela</t>
  </si>
  <si>
    <t>Horário de Germano após o início da janela (min)</t>
  </si>
  <si>
    <t>Janela 00:00-02:00 aparece como 01:00 (horário do resultado em Germano; só referência)</t>
  </si>
  <si>
    <t>Tipo de cálculo do Aspen</t>
  </si>
  <si>
    <t>1</t>
  </si>
  <si>
    <t>1 = média da janela (como nos relatórios do físico)</t>
  </si>
  <si>
    <t>Fase de Germano no evento do MES</t>
  </si>
  <si>
    <t>EB06</t>
  </si>
  <si>
    <t>Linha usada ao colar as Fases do Evento</t>
  </si>
  <si>
    <t>Fase de Ubu no evento do MES</t>
  </si>
  <si>
    <t>Começo do código (UBU3, UBU1...)</t>
  </si>
  <si>
    <t>NÍVEL DOS TANQUES EM UBU → ATRASO ATÉ O BATCH PREVALECER NO PROCESSO</t>
  </si>
  <si>
    <t>Horas somadas à chegada em Ubu (UBU3) para achar o início da comparação. Alto 8 h, Médio 6 h, Baixo 4 h (informado pelo laboratório).</t>
  </si>
  <si>
    <t>Alto</t>
  </si>
  <si>
    <t>Médio</t>
  </si>
  <si>
    <t>Baixo</t>
  </si>
  <si>
    <t>PADRÕES DE UM BATCH NOVO</t>
  </si>
  <si>
    <t>Laboratório A (barra azul)</t>
  </si>
  <si>
    <t>Laboratório B (barra cinza)</t>
  </si>
  <si>
    <t>Laboratório de referência</t>
  </si>
  <si>
    <t>Mineroduto</t>
  </si>
  <si>
    <t>03</t>
  </si>
  <si>
    <t>Nº de horários</t>
  </si>
  <si>
    <t>Título principal</t>
  </si>
  <si>
    <t>COMPARATIVO DE MEDIÇÕES DE QUALIDADE</t>
  </si>
  <si>
    <t>Subtítulo</t>
  </si>
  <si>
    <t>Batch bombeado e pellet feed recebido</t>
  </si>
  <si>
    <t>Comentário padrão (1º tópico)</t>
  </si>
  <si>
    <t>Ponto de amostragem do PF recebido na descarga da filtragem.</t>
  </si>
  <si>
    <t>Tolerância S.E. (±)</t>
  </si>
  <si>
    <t>Tolerância &lt;325# (±)</t>
  </si>
  <si>
    <t>Tolerância SiO₂ (±)</t>
  </si>
  <si>
    <t>Tolerância P (±)</t>
  </si>
  <si>
    <t>Tolerância PPC (±)</t>
  </si>
  <si>
    <t>TÍTULOS DOS GRÁFICOS</t>
  </si>
  <si>
    <t>Superfície Específica (S.E.)</t>
  </si>
  <si>
    <t>Granulometria &lt;325#</t>
  </si>
  <si>
    <t>Sílica (SiO₂)</t>
  </si>
  <si>
    <t>Fósforo (P)</t>
  </si>
  <si>
    <t>LISTAS</t>
  </si>
  <si>
    <t>01</t>
  </si>
  <si>
    <t>02</t>
  </si>
  <si>
    <t>Sim / Não</t>
  </si>
  <si>
    <t>Sim</t>
  </si>
  <si>
    <t>Não</t>
  </si>
  <si>
    <t>Laboratórios do batch</t>
  </si>
  <si>
    <t>DADOS DO BATCH</t>
  </si>
  <si>
    <t>①  BATCH Nº</t>
  </si>
  <si>
    <t>②  COLE AS FASES DO EVENTO (MES)</t>
  </si>
  <si>
    <t>③  NÍVEL DOS TANQUES</t>
  </si>
  <si>
    <t>GERMANO · INÍCIO (EB06)</t>
  </si>
  <si>
    <t>GERMANO · TÉRMINO</t>
  </si>
  <si>
    <t>UBU · CHEGADA (UBU3)</t>
  </si>
  <si>
    <t>UBU · TÉRMINO</t>
  </si>
  <si>
    <t>► INÍCIO NO PROCESSO</t>
  </si>
  <si>
    <t>BI-HORÁRIOS</t>
  </si>
  <si>
    <t>DEFASAGEM</t>
  </si>
  <si>
    <t>DATA DO REPORT</t>
  </si>
  <si>
    <t>MINERODUTO</t>
  </si>
  <si>
    <t>LEITURAS POR HORÁRIO  (em branco = sem análise no laboratório)</t>
  </si>
  <si>
    <t>Nº</t>
  </si>
  <si>
    <t>Horário oficial
(Ubu)</t>
  </si>
  <si>
    <t>Origem em Germano
(só referência)</t>
  </si>
  <si>
    <t>Δ S.E.</t>
  </si>
  <si>
    <t>par SE</t>
  </si>
  <si>
    <t>Δ &lt;325#</t>
  </si>
  <si>
    <t>par 325</t>
  </si>
  <si>
    <t>Δ SiO₂</t>
  </si>
  <si>
    <t>par SiO2</t>
  </si>
  <si>
    <t>Δ P</t>
  </si>
  <si>
    <t>par P</t>
  </si>
  <si>
    <t>Δ PPC</t>
  </si>
  <si>
    <t>par PPC</t>
  </si>
  <si>
    <t>MÉDIA</t>
  </si>
  <si>
    <t>Nº de leituras</t>
  </si>
  <si>
    <t>COMENTÁRIOS (CADA LINHA VIRA UM TÓPICO NO REPORT)</t>
  </si>
  <si>
    <t>Frase automática</t>
  </si>
  <si>
    <t>No report?</t>
  </si>
  <si>
    <t>Acompanhamento</t>
  </si>
  <si>
    <t>Tópico 1</t>
  </si>
  <si>
    <t>Tópico 2</t>
  </si>
  <si>
    <t>Tópico 3</t>
  </si>
  <si>
    <t>Tópico 4</t>
  </si>
  <si>
    <t>Tópico 5</t>
  </si>
  <si>
    <t>Tópico 6</t>
  </si>
  <si>
    <t>AJUSTES DO REPORT (OPCIONAL — JÁ VÊM DOS PADRÕES DA ABA CONFIGURAÇÕES)</t>
  </si>
  <si>
    <t>LABORATÓRIO A (AZUL)</t>
  </si>
  <si>
    <t>LABORATÓRIO B (CINZA)</t>
  </si>
  <si>
    <t>REFERÊNCIA</t>
  </si>
  <si>
    <t>TÍTULO PRINCIPAL</t>
  </si>
  <si>
    <t>SUBTÍTULO DO CABEÇALHO</t>
  </si>
  <si>
    <t>DIFERENÇA</t>
  </si>
  <si>
    <t>INÍCIO NO PROCESSO (AJUSTE MANUAL)</t>
  </si>
  <si>
    <t>TOLERÂNCIAS DESTE BATCH (|DIFERENÇA| MÁXIMA ACEITA) — CRITÉRIO OK/NOK DO FAROL</t>
  </si>
  <si>
    <t>S.E. (±)</t>
  </si>
  <si>
    <t>&lt;325# (±)</t>
  </si>
  <si>
    <t>SIO₂ (±)</t>
  </si>
  <si>
    <t>P (±)</t>
  </si>
  <si>
    <t>PPC (±)</t>
  </si>
  <si>
    <t>Parâmetro</t>
  </si>
  <si>
    <t>Média A</t>
  </si>
  <si>
    <t>Média B</t>
  </si>
  <si>
    <t>Diferença</t>
  </si>
  <si>
    <t>Dif. arred.</t>
  </si>
  <si>
    <t>Status</t>
  </si>
  <si>
    <t>Pares</t>
  </si>
  <si>
    <t>Tol</t>
  </si>
  <si>
    <t>Leituras A</t>
  </si>
  <si>
    <t>Leituras B</t>
  </si>
  <si>
    <t>Dif. texto</t>
  </si>
  <si>
    <t>Tol. texto</t>
  </si>
  <si>
    <t>Item NOK</t>
  </si>
  <si>
    <t>Item OK</t>
  </si>
  <si>
    <t>Nome</t>
  </si>
  <si>
    <t>Superfície Específica</t>
  </si>
  <si>
    <t>Granulometria (&lt;325#)</t>
  </si>
  <si>
    <t>Sílica</t>
  </si>
  <si>
    <t>Fósforo</t>
  </si>
  <si>
    <t>NOK</t>
  </si>
  <si>
    <t>OK</t>
  </si>
  <si>
    <t>Avaliados</t>
  </si>
  <si>
    <t>Lista NOK (nomes)</t>
  </si>
  <si>
    <t>Lista NOK (detalhe)</t>
  </si>
  <si>
    <t>Lista OK</t>
  </si>
  <si>
    <t>Comentários (tópicos)</t>
  </si>
  <si>
    <t>Referência</t>
  </si>
  <si>
    <t>Avaliado</t>
  </si>
  <si>
    <t>Data report</t>
  </si>
  <si>
    <t>Legenda dif.</t>
  </si>
  <si>
    <t>Janela Ubu</t>
  </si>
  <si>
    <t>Janela Germano</t>
  </si>
  <si>
    <t>Janelas Germano</t>
  </si>
  <si>
    <t>Bi-horários Germano</t>
  </si>
  <si>
    <t>Nº horários (término Ubu)</t>
  </si>
  <si>
    <t>Atraso pelo nível (h)</t>
  </si>
  <si>
    <t>Acomp. 1</t>
  </si>
  <si>
    <t>Acomp. 2</t>
  </si>
  <si>
    <t>Acomp. 3</t>
  </si>
  <si>
    <t>Resumo horários</t>
  </si>
  <si>
    <t>SE Rótulo</t>
  </si>
  <si>
    <t>SE A</t>
  </si>
  <si>
    <t>SE B</t>
  </si>
  <si>
    <t>SE Dif</t>
  </si>
  <si>
    <t>SE Dif média</t>
  </si>
  <si>
    <t>SE +Tol</t>
  </si>
  <si>
    <t>SE −Tol</t>
  </si>
  <si>
    <t>SE Linha</t>
  </si>
  <si>
    <t>SE k</t>
  </si>
  <si>
    <t>325 Rótulo</t>
  </si>
  <si>
    <t>325 A</t>
  </si>
  <si>
    <t>325 B</t>
  </si>
  <si>
    <t>325 Dif</t>
  </si>
  <si>
    <t>325 Dif média</t>
  </si>
  <si>
    <t>325 +Tol</t>
  </si>
  <si>
    <t>325 −Tol</t>
  </si>
  <si>
    <t>325 Linha</t>
  </si>
  <si>
    <t>325 k</t>
  </si>
  <si>
    <t>SiO2 Rótulo</t>
  </si>
  <si>
    <t>SiO2 A</t>
  </si>
  <si>
    <t>SiO2 B</t>
  </si>
  <si>
    <t>SiO2 Dif</t>
  </si>
  <si>
    <t>SiO2 Dif média</t>
  </si>
  <si>
    <t>SiO2 +Tol</t>
  </si>
  <si>
    <t>SiO2 −Tol</t>
  </si>
  <si>
    <t>SiO2 Linha</t>
  </si>
  <si>
    <t>SiO2 k</t>
  </si>
  <si>
    <t>P Rótulo</t>
  </si>
  <si>
    <t>P A</t>
  </si>
  <si>
    <t>P B</t>
  </si>
  <si>
    <t>P Dif</t>
  </si>
  <si>
    <t>P Dif média</t>
  </si>
  <si>
    <t>P +Tol</t>
  </si>
  <si>
    <t>P −Tol</t>
  </si>
  <si>
    <t>P Linha</t>
  </si>
  <si>
    <t>P k</t>
  </si>
  <si>
    <t>PPC Rótulo</t>
  </si>
  <si>
    <t>PPC A</t>
  </si>
  <si>
    <t>PPC B</t>
  </si>
  <si>
    <t>PPC Dif</t>
  </si>
  <si>
    <t>PPC Dif média</t>
  </si>
  <si>
    <t>PPC +Tol</t>
  </si>
  <si>
    <t>PPC −Tol</t>
  </si>
  <si>
    <t>PPC Linha</t>
  </si>
  <si>
    <t>PPC k</t>
  </si>
  <si>
    <t>Nao editar: series dos graficos do Painel (o VBA ajusta o tamanho das series).</t>
  </si>
  <si>
    <t>BATCH EM EXIBIÇÃO</t>
  </si>
  <si>
    <t>◂ escolha um batch salvo</t>
  </si>
  <si>
    <t>REPORT GERENCIAL</t>
  </si>
  <si>
    <t>COMENTÁRIOS</t>
  </si>
  <si>
    <t>TOLER.
(±)</t>
  </si>
  <si>
    <t>STATUS</t>
  </si>
  <si>
    <t>OK — DENTRO DA TOLERÂNCIA</t>
  </si>
  <si>
    <t>NOK — FORA DA TOLERÂNCIA</t>
  </si>
  <si>
    <t>ENVIAR REPORTE</t>
  </si>
  <si>
    <t>RESUMO PARA O CORPO DO E-MAIL</t>
  </si>
  <si>
    <t>ASSUNTO DO E-MAIL</t>
  </si>
  <si>
    <t>HISTÓRICO DE BATCHES</t>
  </si>
  <si>
    <t>Um batch por linha (tabela tbl_Batches). As leituras ficam na aba BD_Leituras (tbl_Leituras). As duas tabelas alimentam o Power BI.</t>
  </si>
  <si>
    <t>Clique em qualquer célula da linha do batch e use os botões.</t>
  </si>
  <si>
    <t>Batch</t>
  </si>
  <si>
    <t>Data do report</t>
  </si>
  <si>
    <t>Chegada Ubu (UBU3)</t>
  </si>
  <si>
    <t>Término Ubu (UBU3)</t>
  </si>
  <si>
    <t>Nível dos tanques</t>
  </si>
  <si>
    <t>Início processo (manual)</t>
  </si>
  <si>
    <t>Início Germano (EB06)</t>
  </si>
  <si>
    <t>Término Germano (EB06)</t>
  </si>
  <si>
    <t>Nº horários</t>
  </si>
  <si>
    <t>Laboratório A</t>
  </si>
  <si>
    <t>Laboratório B</t>
  </si>
  <si>
    <t>Título</t>
  </si>
  <si>
    <t>Tol S.E.</t>
  </si>
  <si>
    <t>Tol &lt;325#</t>
  </si>
  <si>
    <t>Tol SiO₂</t>
  </si>
  <si>
    <t>Tol P</t>
  </si>
  <si>
    <t>Tol PPC</t>
  </si>
  <si>
    <t>Acompanhamento no report</t>
  </si>
  <si>
    <t>Comentário 1</t>
  </si>
  <si>
    <t>Comentário 2</t>
  </si>
  <si>
    <t>Comentário 3</t>
  </si>
  <si>
    <t>Comentário 4</t>
  </si>
  <si>
    <t>Comentário 5</t>
  </si>
  <si>
    <t>Comentário 6</t>
  </si>
  <si>
    <t>S.E. média A</t>
  </si>
  <si>
    <t>S.E. média B</t>
  </si>
  <si>
    <t>S.E. diferença</t>
  </si>
  <si>
    <t>S.E. status</t>
  </si>
  <si>
    <t>&lt;325# média A</t>
  </si>
  <si>
    <t>&lt;325# média B</t>
  </si>
  <si>
    <t>&lt;325# diferença</t>
  </si>
  <si>
    <t>&lt;325# status</t>
  </si>
  <si>
    <t>SiO₂ média A</t>
  </si>
  <si>
    <t>SiO₂ média B</t>
  </si>
  <si>
    <t>SiO₂ diferença</t>
  </si>
  <si>
    <t>SiO₂ status</t>
  </si>
  <si>
    <t>P média A</t>
  </si>
  <si>
    <t>P média B</t>
  </si>
  <si>
    <t>P diferença</t>
  </si>
  <si>
    <t>P status</t>
  </si>
  <si>
    <t>PPC média A</t>
  </si>
  <si>
    <t>PPC média B</t>
  </si>
  <si>
    <t>PPC diferença</t>
  </si>
  <si>
    <t>PPC status</t>
  </si>
  <si>
    <t>Início no processo</t>
  </si>
  <si>
    <t>Defasagem (h)</t>
  </si>
  <si>
    <t>Nº NOK</t>
  </si>
  <si>
    <t>Leituras</t>
  </si>
  <si>
    <t>Salvo em</t>
  </si>
  <si>
    <t>Salvo por</t>
  </si>
  <si>
    <t>Felipe Oliveira Rodrigues</t>
  </si>
  <si>
    <t>Ordem</t>
  </si>
  <si>
    <t>Data/hora Ubu</t>
  </si>
  <si>
    <t>Data/hora Germano</t>
  </si>
  <si>
    <t>Tolerância</t>
  </si>
  <si>
    <t>Consultas ao MES (Aspen IP.21) - não editar</t>
  </si>
  <si>
    <t>Germano - início</t>
  </si>
  <si>
    <t>Germano - fim</t>
  </si>
  <si>
    <t>Ubu - início</t>
  </si>
  <si>
    <t>Ubu - fim</t>
  </si>
  <si>
    <t>Prefixo Aspen</t>
  </si>
  <si>
    <t>Última consulta</t>
  </si>
  <si>
    <t>Tags inválidas</t>
  </si>
  <si>
    <t>Resposta Germano</t>
  </si>
  <si>
    <t>Resposta Ubu</t>
  </si>
  <si>
    <t>Consulta Germano (a fórmula é escrita pelo botão Buscar no MES)</t>
  </si>
  <si>
    <t>Aguardando a primeira consulta</t>
  </si>
  <si>
    <t>Data/hora</t>
  </si>
  <si>
    <t>Consulta Ubu (a fórmula é escrita pelo botão Buscar no MES)</t>
  </si>
</sst>
</file>

<file path=xl/styles.xml><?xml version="1.0" encoding="utf-8"?>
<styleSheet xmlns="http://schemas.openxmlformats.org/spreadsheetml/2006/main">
  <numFmts count="18">
    <numFmt numFmtId="164" formatCode="&quot;Batch &quot;0"/>
    <numFmt numFmtId="165" formatCode="#,##0"/>
    <numFmt numFmtId="166" formatCode="+#,##0;&quot;−&quot;#,##0;#,##0"/>
    <numFmt numFmtId="167" formatCode="0.0"/>
    <numFmt numFmtId="168" formatCode="+0.0;&quot;−&quot;0.0;0.0"/>
    <numFmt numFmtId="169" formatCode="0.00"/>
    <numFmt numFmtId="170" formatCode="+0.00;&quot;−&quot;0.00;0.00"/>
    <numFmt numFmtId="171" formatCode="0.000"/>
    <numFmt numFmtId="172" formatCode="+0.000;&quot;−&quot;0.000;0.000"/>
    <numFmt numFmtId="173" formatCode="dd/mm hh:mm"/>
    <numFmt numFmtId="174" formatCode="&quot;atraso no processo: &quot;0.0&quot; h&quot;"/>
    <numFmt numFmtId="175" formatCode="dd/mm/yy hh:mm"/>
    <numFmt numFmtId="176" formatCode="0.0&quot; h&quot;"/>
    <numFmt numFmtId="177" formatCode="dd/mm/yyyy"/>
    <numFmt numFmtId="178" formatCode="+0;&quot;−&quot;0;0"/>
    <numFmt numFmtId="179" formatCode="dd/mm/yyyy hh:mm"/>
    <numFmt numFmtId="180" formatCode="hh:mm"/>
    <numFmt numFmtId="181" formatCode="dd/mm/yyyy hh:mm:ss"/>
  </numFmts>
  <fonts count="44">
    <font>
      <sz val="11"/>
      <color theme="1"/>
      <name val="Calibri"/>
      <family val="2"/>
      <scheme val="minor"/>
    </font>
    <font>
      <sz val="10"/>
      <color rgb="FF1A2744"/>
      <name val="Segoe UI"/>
      <family val="2"/>
    </font>
    <font>
      <b/>
      <sz val="7.5"/>
      <color rgb="FF6A7A94"/>
      <name val="Segoe UI"/>
      <family val="2"/>
    </font>
    <font>
      <b/>
      <sz val="11"/>
      <color rgb="FF1A2744"/>
      <name val="Segoe UI"/>
      <family val="2"/>
    </font>
    <font>
      <i/>
      <sz val="8"/>
      <color rgb="FF6A7A94"/>
      <name val="Segoe UI"/>
      <family val="2"/>
    </font>
    <font>
      <b/>
      <sz val="14"/>
      <color rgb="FFFFFFFF"/>
      <name val="Segoe UI"/>
      <family val="2"/>
    </font>
    <font>
      <b/>
      <sz val="11"/>
      <color rgb="FFBFC8D6"/>
      <name val="Segoe UI"/>
      <family val="2"/>
    </font>
    <font>
      <b/>
      <sz val="10"/>
      <color rgb="FFFFFFFF"/>
      <name val="Segoe UI"/>
      <family val="2"/>
    </font>
    <font>
      <b/>
      <sz val="9.5"/>
      <color rgb="FFE3E9F2"/>
      <name val="Segoe UI"/>
      <family val="2"/>
    </font>
    <font>
      <b/>
      <sz val="8"/>
      <color rgb="FF1A2744"/>
      <name val="Segoe UI"/>
      <family val="2"/>
    </font>
    <font>
      <b/>
      <sz val="7.5"/>
      <color rgb="FF3A4A66"/>
      <name val="Segoe UI"/>
      <family val="2"/>
    </font>
    <font>
      <sz val="10"/>
      <color rgb="FF3A4A66"/>
      <name val="Segoe UI"/>
      <family val="2"/>
    </font>
    <font>
      <b/>
      <sz val="10"/>
      <color rgb="FF1A2744"/>
      <name val="Segoe UI"/>
      <family val="2"/>
    </font>
    <font>
      <sz val="7"/>
      <color rgb="FF6A7A94"/>
      <name val="Segoe UI"/>
      <family val="2"/>
    </font>
    <font>
      <b/>
      <sz val="8"/>
      <color rgb="FF888888"/>
      <name val="Segoe UI"/>
      <family val="2"/>
    </font>
    <font>
      <b/>
      <sz val="10"/>
      <color rgb="FF1A3C6E"/>
      <name val="Segoe UI"/>
      <family val="2"/>
    </font>
    <font>
      <b/>
      <sz val="16"/>
      <color rgb="FF1A2744"/>
      <name val="Segoe UI"/>
      <family val="2"/>
    </font>
    <font>
      <sz val="8"/>
      <color rgb="FF1A2744"/>
      <name val="Segoe UI"/>
      <family val="2"/>
    </font>
    <font>
      <b/>
      <sz val="12"/>
      <color rgb="FF1A2744"/>
      <name val="Segoe UI"/>
      <family val="2"/>
    </font>
    <font>
      <sz val="9"/>
      <color rgb="FF3A4A66"/>
      <name val="Segoe UI"/>
      <family val="2"/>
    </font>
    <font>
      <b/>
      <sz val="8.5"/>
      <color rgb="FF0A7C50"/>
      <name val="Segoe UI"/>
      <family val="2"/>
    </font>
    <font>
      <b/>
      <sz val="7.5"/>
      <color rgb="FF0A7C50"/>
      <name val="Segoe UI"/>
      <family val="2"/>
    </font>
    <font>
      <sz val="9.5"/>
      <color rgb="FF1A2744"/>
      <name val="Segoe UI"/>
      <family val="2"/>
    </font>
    <font>
      <b/>
      <sz val="9.5"/>
      <color rgb="FF0A7C50"/>
      <name val="Segoe UI"/>
      <family val="2"/>
    </font>
    <font>
      <sz val="9.5"/>
      <color rgb="FF3A4A66"/>
      <name val="Segoe UI"/>
      <family val="2"/>
    </font>
    <font>
      <b/>
      <sz val="8.5"/>
      <color rgb="FFFFFFFF"/>
      <name val="Segoe UI"/>
      <family val="2"/>
    </font>
    <font>
      <sz val="9"/>
      <color rgb="FF6A7A94"/>
      <name val="Segoe UI"/>
      <family val="2"/>
    </font>
    <font>
      <sz val="9.5"/>
      <color rgb="FF8A5A00"/>
      <name val="Segoe UI"/>
      <family val="2"/>
    </font>
    <font>
      <b/>
      <sz val="9.5"/>
      <color rgb="FF1A2744"/>
      <name val="Segoe UI"/>
      <family val="2"/>
    </font>
    <font>
      <b/>
      <sz val="9.5"/>
      <color rgb="FF7A4A00"/>
      <name val="Segoe UI"/>
      <family val="2"/>
    </font>
    <font>
      <sz val="8.5"/>
      <color rgb="FF6A7A94"/>
      <name val="Segoe UI"/>
      <family val="2"/>
    </font>
    <font>
      <b/>
      <sz val="9"/>
      <color rgb="FF6A7A94"/>
      <name val="Segoe UI"/>
      <family val="2"/>
    </font>
    <font>
      <i/>
      <sz val="9.5"/>
      <color rgb="FF3A4A66"/>
      <name val="Segoe UI"/>
      <family val="2"/>
    </font>
    <font>
      <b/>
      <sz val="8"/>
      <color rgb="FF6A7A94"/>
      <name val="Segoe UI"/>
      <family val="2"/>
    </font>
    <font>
      <b/>
      <sz val="9"/>
      <color rgb="FF3A4A66"/>
      <name val="Segoe UI"/>
      <family val="2"/>
    </font>
    <font>
      <sz val="10.5"/>
      <color rgb="FF3A4A66"/>
      <name val="Segoe UI"/>
      <family val="2"/>
    </font>
    <font>
      <b/>
      <sz val="10"/>
      <color rgb="FF3A4A66"/>
      <name val="Segoe UI"/>
      <family val="2"/>
    </font>
    <font>
      <b/>
      <sz val="9.5"/>
      <color rgb="FFD5DEEB"/>
      <name val="Segoe UI"/>
      <family val="2"/>
    </font>
    <font>
      <i/>
      <sz val="8.5"/>
      <color rgb="FF6A7A94"/>
      <name val="Segoe UI"/>
      <family val="2"/>
    </font>
    <font>
      <sz val="9.5"/>
      <color theme="1"/>
      <name val="Segoe UI"/>
      <family val="2"/>
    </font>
    <font>
      <b/>
      <sz val="9"/>
      <color rgb="FFFFFFFF"/>
      <name val="Segoe UI"/>
      <family val="2"/>
    </font>
    <font>
      <sz val="9.5"/>
      <color rgb="FF1A2744"/>
      <name val="Consolas"/>
      <family val="2"/>
    </font>
    <font>
      <b/>
      <sz val="13"/>
      <color rgb="FF1A3C6E"/>
      <name val="Segoe UI"/>
      <family val="2"/>
    </font>
    <font>
      <b/>
      <sz val="10"/>
      <color rgb="FF6A7A94"/>
      <name val="Segoe UI"/>
      <family val="2"/>
    </font>
  </fonts>
  <fills count="20">
    <fill>
      <patternFill patternType="none"/>
    </fill>
    <fill>
      <patternFill patternType="gray125"/>
    </fill>
    <fill>
      <patternFill patternType="solid">
        <fgColor rgb="FFEEF1F5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14253D"/>
        <bgColor indexed="64"/>
      </patternFill>
    </fill>
    <fill>
      <patternFill patternType="solid">
        <fgColor rgb="FF1A3C6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2F5"/>
        <bgColor indexed="64"/>
      </patternFill>
    </fill>
    <fill>
      <patternFill patternType="solid">
        <fgColor rgb="FFE8EBF0"/>
        <bgColor indexed="64"/>
      </patternFill>
    </fill>
    <fill>
      <patternFill patternType="solid">
        <fgColor rgb="FFF8F9FB"/>
        <bgColor indexed="64"/>
      </patternFill>
    </fill>
    <fill>
      <patternFill patternType="solid">
        <fgColor rgb="FFF3F7FC"/>
        <bgColor indexed="64"/>
      </patternFill>
    </fill>
    <fill>
      <patternFill patternType="solid">
        <fgColor rgb="FFE3F4EC"/>
        <bgColor indexed="64"/>
      </patternFill>
    </fill>
    <fill>
      <patternFill patternType="solid">
        <fgColor rgb="FF2F5C9E"/>
        <bgColor indexed="64"/>
      </patternFill>
    </fill>
    <fill>
      <patternFill patternType="solid">
        <fgColor rgb="FF6B7480"/>
        <bgColor indexed="64"/>
      </patternFill>
    </fill>
    <fill>
      <patternFill patternType="solid">
        <fgColor rgb="FFB97A12"/>
        <bgColor indexed="64"/>
      </patternFill>
    </fill>
    <fill>
      <patternFill patternType="solid">
        <fgColor rgb="FFF7F9FC"/>
        <bgColor indexed="64"/>
      </patternFill>
    </fill>
    <fill>
      <patternFill patternType="solid">
        <fgColor rgb="FFFAFBFC"/>
        <bgColor indexed="64"/>
      </patternFill>
    </fill>
    <fill>
      <patternFill patternType="solid">
        <fgColor rgb="FFFFF7EA"/>
        <bgColor indexed="64"/>
      </patternFill>
    </fill>
    <fill>
      <patternFill patternType="solid">
        <fgColor rgb="FFFBE3BC"/>
        <bgColor indexed="64"/>
      </patternFill>
    </fill>
    <fill>
      <patternFill patternType="solid">
        <fgColor rgb="FFF5F8FD"/>
        <bgColor indexed="64"/>
      </patternFill>
    </fill>
  </fills>
  <borders count="14">
    <border>
      <left/>
      <right/>
      <top/>
      <bottom/>
      <diagonal/>
    </border>
    <border>
      <left style="thin">
        <color rgb="FFC8CDD6"/>
      </left>
      <right style="thin">
        <color rgb="FFC8CDD6"/>
      </right>
      <top style="thin">
        <color rgb="FFC8CDD6"/>
      </top>
      <bottom style="thin">
        <color rgb="FFC8CDD6"/>
      </bottom>
      <diagonal/>
    </border>
    <border>
      <left style="thin">
        <color rgb="FFD5D9E2"/>
      </left>
      <right style="thin">
        <color rgb="FFD5D9E2"/>
      </right>
      <top style="thin">
        <color rgb="FFD5D9E2"/>
      </top>
      <bottom style="thin">
        <color rgb="FFD5D9E2"/>
      </bottom>
      <diagonal/>
    </border>
    <border>
      <left style="thin">
        <color rgb="FFC8CDD6"/>
      </left>
      <right/>
      <top/>
      <bottom style="thin">
        <color rgb="FFC8CDD6"/>
      </bottom>
      <diagonal/>
    </border>
    <border>
      <left/>
      <right style="thin">
        <color rgb="FFC8CDD6"/>
      </right>
      <top/>
      <bottom style="thin">
        <color rgb="FFC8CDD6"/>
      </bottom>
      <diagonal/>
    </border>
    <border>
      <left style="thin">
        <color rgb="FFC8CDD6"/>
      </left>
      <right/>
      <top style="thin">
        <color rgb="FFC8CDD6"/>
      </top>
      <bottom style="thin">
        <color rgb="FFC8CDD6"/>
      </bottom>
      <diagonal/>
    </border>
    <border>
      <left/>
      <right style="thin">
        <color rgb="FFC8CDD6"/>
      </right>
      <top style="thin">
        <color rgb="FFC8CDD6"/>
      </top>
      <bottom style="thin">
        <color rgb="FFC8CDD6"/>
      </bottom>
      <diagonal/>
    </border>
    <border>
      <left/>
      <right/>
      <top/>
      <bottom style="medium">
        <color rgb="FF1A3C6E"/>
      </bottom>
      <diagonal/>
    </border>
    <border>
      <left style="dotted">
        <color rgb="FFC9A227"/>
      </left>
      <right style="dotted">
        <color rgb="FFC9A227"/>
      </right>
      <top style="dotted">
        <color rgb="FFC9A227"/>
      </top>
      <bottom style="dotted">
        <color rgb="FFC9A227"/>
      </bottom>
      <diagonal/>
    </border>
    <border>
      <left style="thin">
        <color rgb="FFE0E3EA"/>
      </left>
      <right style="thin">
        <color rgb="FFE0E3EA"/>
      </right>
      <top style="thin">
        <color rgb="FFE0E3EA"/>
      </top>
      <bottom style="thin">
        <color rgb="FFE0E3EA"/>
      </bottom>
      <diagonal/>
    </border>
    <border>
      <left style="thin">
        <color rgb="FFB9DEC9"/>
      </left>
      <right style="thin">
        <color rgb="FFB9DEC9"/>
      </right>
      <top style="thin">
        <color rgb="FFB9DEC9"/>
      </top>
      <bottom style="thin">
        <color rgb="FFB9DEC9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1A3C6E"/>
      </left>
      <right style="thin">
        <color rgb="FF1A3C6E"/>
      </right>
      <top style="thin">
        <color rgb="FF1A3C6E"/>
      </top>
      <bottom style="thin">
        <color rgb="FF1A3C6E"/>
      </bottom>
      <diagonal/>
    </border>
    <border>
      <left style="thick">
        <color rgb="FF1A3C6E"/>
      </left>
      <right/>
      <top/>
      <bottom/>
      <diagonal/>
    </border>
  </borders>
  <cellStyleXfs count="1">
    <xf numFmtId="0" fontId="0" fillId="0" borderId="0"/>
  </cellStyleXfs>
  <cellXfs count="114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4" fillId="2" borderId="0" xfId="0" applyFont="1" applyFill="1" applyAlignment="1">
      <alignment vertical="center"/>
    </xf>
    <xf numFmtId="0" fontId="1" fillId="4" borderId="0" xfId="0" applyFont="1" applyFill="1" applyAlignment="1">
      <alignment vertical="center"/>
    </xf>
    <xf numFmtId="0" fontId="5" fillId="4" borderId="0" xfId="0" applyFont="1" applyFill="1" applyAlignment="1">
      <alignment horizontal="left" vertical="center" indent="1"/>
    </xf>
    <xf numFmtId="0" fontId="5" fillId="4" borderId="0" xfId="0" applyFont="1" applyFill="1" applyAlignment="1">
      <alignment vertical="center"/>
    </xf>
    <xf numFmtId="0" fontId="6" fillId="4" borderId="0" xfId="0" applyFont="1" applyFill="1" applyAlignment="1">
      <alignment vertical="center"/>
    </xf>
    <xf numFmtId="0" fontId="1" fillId="5" borderId="0" xfId="0" applyFont="1" applyFill="1" applyAlignment="1">
      <alignment vertical="center"/>
    </xf>
    <xf numFmtId="0" fontId="7" fillId="5" borderId="0" xfId="0" applyFont="1" applyFill="1" applyAlignment="1">
      <alignment horizontal="left" vertical="center" indent="1"/>
    </xf>
    <xf numFmtId="0" fontId="8" fillId="5" borderId="0" xfId="0" applyFont="1" applyFill="1" applyAlignment="1">
      <alignment horizontal="right" vertical="center" indent="1"/>
    </xf>
    <xf numFmtId="0" fontId="7" fillId="5" borderId="0" xfId="0" applyFont="1" applyFill="1" applyAlignment="1">
      <alignment vertical="center"/>
    </xf>
    <xf numFmtId="0" fontId="1" fillId="6" borderId="0" xfId="0" applyFont="1" applyFill="1" applyAlignment="1">
      <alignment vertical="center"/>
    </xf>
    <xf numFmtId="0" fontId="9" fillId="7" borderId="1" xfId="0" applyFont="1" applyFill="1" applyBorder="1" applyAlignment="1">
      <alignment horizontal="left" vertical="center" indent="1"/>
    </xf>
    <xf numFmtId="0" fontId="10" fillId="8" borderId="1" xfId="0" applyFont="1" applyFill="1" applyBorder="1" applyAlignment="1">
      <alignment horizontal="center" vertical="center" wrapText="1"/>
    </xf>
    <xf numFmtId="0" fontId="11" fillId="0" borderId="1" xfId="0" applyFont="1" applyBorder="1" applyAlignment="1">
      <alignment vertical="top" indent="1" wrapText="1"/>
    </xf>
    <xf numFmtId="0" fontId="12" fillId="0" borderId="2" xfId="0" applyFont="1" applyBorder="1" applyAlignment="1">
      <alignment horizontal="left" vertical="center" indent="1"/>
    </xf>
    <xf numFmtId="165" fontId="1" fillId="0" borderId="2" xfId="0" applyNumberFormat="1" applyFont="1" applyBorder="1" applyAlignment="1">
      <alignment horizontal="center" vertical="center"/>
    </xf>
    <xf numFmtId="166" fontId="12" fillId="0" borderId="2" xfId="0" applyNumberFormat="1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167" fontId="1" fillId="0" borderId="2" xfId="0" applyNumberFormat="1" applyFont="1" applyBorder="1" applyAlignment="1">
      <alignment horizontal="center" vertical="center"/>
    </xf>
    <xf numFmtId="168" fontId="12" fillId="0" borderId="2" xfId="0" applyNumberFormat="1" applyFont="1" applyBorder="1" applyAlignment="1">
      <alignment horizontal="center" vertical="center"/>
    </xf>
    <xf numFmtId="169" fontId="1" fillId="0" borderId="2" xfId="0" applyNumberFormat="1" applyFont="1" applyBorder="1" applyAlignment="1">
      <alignment horizontal="center" vertical="center"/>
    </xf>
    <xf numFmtId="170" fontId="12" fillId="0" borderId="2" xfId="0" applyNumberFormat="1" applyFont="1" applyBorder="1" applyAlignment="1">
      <alignment horizontal="center" vertical="center"/>
    </xf>
    <xf numFmtId="171" fontId="1" fillId="0" borderId="2" xfId="0" applyNumberFormat="1" applyFont="1" applyBorder="1" applyAlignment="1">
      <alignment horizontal="center" vertical="center"/>
    </xf>
    <xf numFmtId="172" fontId="12" fillId="0" borderId="2" xfId="0" applyNumberFormat="1" applyFont="1" applyBorder="1" applyAlignment="1">
      <alignment horizontal="center" vertical="center"/>
    </xf>
    <xf numFmtId="0" fontId="13" fillId="0" borderId="3" xfId="0" applyFont="1" applyBorder="1" applyAlignment="1">
      <alignment horizontal="left" vertical="center" indent="1"/>
    </xf>
    <xf numFmtId="0" fontId="13" fillId="0" borderId="4" xfId="0" applyFont="1" applyBorder="1" applyAlignment="1">
      <alignment horizontal="right" vertical="center" indent="1"/>
    </xf>
    <xf numFmtId="0" fontId="9" fillId="9" borderId="5" xfId="0" applyFont="1" applyFill="1" applyBorder="1" applyAlignment="1">
      <alignment horizontal="left" vertical="center" indent="1"/>
    </xf>
    <xf numFmtId="0" fontId="14" fillId="9" borderId="6" xfId="0" applyFont="1" applyFill="1" applyBorder="1" applyAlignment="1">
      <alignment horizontal="right" vertical="center"/>
    </xf>
    <xf numFmtId="0" fontId="13" fillId="0" borderId="0" xfId="0" applyFont="1" applyAlignment="1">
      <alignment horizontal="center" vertical="center"/>
    </xf>
    <xf numFmtId="0" fontId="15" fillId="0" borderId="7" xfId="0" applyFont="1" applyBorder="1" applyAlignment="1"/>
    <xf numFmtId="0" fontId="16" fillId="3" borderId="1" xfId="0" applyFont="1" applyFill="1" applyBorder="1" applyAlignment="1" applyProtection="1">
      <alignment horizontal="center" vertical="center"/>
      <protection locked="0"/>
    </xf>
    <xf numFmtId="173" fontId="17" fillId="3" borderId="8" xfId="0" applyNumberFormat="1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horizontal="center" vertical="center"/>
      <protection locked="0"/>
    </xf>
    <xf numFmtId="174" fontId="19" fillId="0" borderId="0" xfId="0" applyNumberFormat="1" applyFont="1" applyAlignment="1">
      <alignment horizontal="center" vertical="center"/>
    </xf>
    <xf numFmtId="0" fontId="20" fillId="0" borderId="0" xfId="0" applyFont="1" applyAlignment="1">
      <alignment vertical="center"/>
    </xf>
    <xf numFmtId="0" fontId="2" fillId="0" borderId="0" xfId="0" applyFont="1" applyAlignment="1"/>
    <xf numFmtId="0" fontId="21" fillId="0" borderId="0" xfId="0" applyFont="1" applyAlignment="1"/>
    <xf numFmtId="175" fontId="22" fillId="10" borderId="9" xfId="0" applyNumberFormat="1" applyFont="1" applyFill="1" applyBorder="1" applyAlignment="1" applyProtection="1">
      <alignment horizontal="center" vertical="center"/>
      <protection locked="0"/>
    </xf>
    <xf numFmtId="175" fontId="23" fillId="11" borderId="10" xfId="0" applyNumberFormat="1" applyFont="1" applyFill="1" applyBorder="1" applyAlignment="1">
      <alignment horizontal="center" vertical="center"/>
    </xf>
    <xf numFmtId="0" fontId="22" fillId="10" borderId="9" xfId="0" applyFont="1" applyFill="1" applyBorder="1" applyAlignment="1" applyProtection="1">
      <alignment horizontal="center" vertical="center"/>
      <protection locked="0"/>
    </xf>
    <xf numFmtId="176" fontId="24" fillId="7" borderId="9" xfId="0" applyNumberFormat="1" applyFont="1" applyFill="1" applyBorder="1" applyAlignment="1">
      <alignment horizontal="center" vertical="center"/>
    </xf>
    <xf numFmtId="177" fontId="22" fillId="10" borderId="9" xfId="0" applyNumberFormat="1" applyFont="1" applyFill="1" applyBorder="1" applyAlignment="1" applyProtection="1">
      <alignment horizontal="center" vertical="center"/>
      <protection locked="0"/>
    </xf>
    <xf numFmtId="0" fontId="25" fillId="5" borderId="11" xfId="0" applyFont="1" applyFill="1" applyBorder="1" applyAlignment="1">
      <alignment horizontal="center" vertical="center" wrapText="1"/>
    </xf>
    <xf numFmtId="0" fontId="25" fillId="12" borderId="11" xfId="0" applyFont="1" applyFill="1" applyBorder="1" applyAlignment="1">
      <alignment horizontal="center" vertical="center" wrapText="1"/>
    </xf>
    <xf numFmtId="0" fontId="25" fillId="13" borderId="11" xfId="0" applyFont="1" applyFill="1" applyBorder="1" applyAlignment="1">
      <alignment horizontal="center" vertical="center" wrapText="1"/>
    </xf>
    <xf numFmtId="0" fontId="25" fillId="14" borderId="11" xfId="0" applyFont="1" applyFill="1" applyBorder="1" applyAlignment="1">
      <alignment horizontal="center" vertical="center"/>
    </xf>
    <xf numFmtId="0" fontId="26" fillId="0" borderId="9" xfId="0" applyFont="1" applyBorder="1" applyAlignment="1">
      <alignment horizontal="center" vertical="center"/>
    </xf>
    <xf numFmtId="173" fontId="22" fillId="15" borderId="9" xfId="0" applyNumberFormat="1" applyFont="1" applyFill="1" applyBorder="1" applyAlignment="1" applyProtection="1">
      <alignment horizontal="center" vertical="center"/>
      <protection locked="0"/>
    </xf>
    <xf numFmtId="173" fontId="24" fillId="0" borderId="9" xfId="0" applyNumberFormat="1" applyFont="1" applyBorder="1" applyAlignment="1">
      <alignment horizontal="center" vertical="center"/>
    </xf>
    <xf numFmtId="1" fontId="22" fillId="6" borderId="9" xfId="0" applyNumberFormat="1" applyFont="1" applyFill="1" applyBorder="1" applyAlignment="1" applyProtection="1">
      <alignment horizontal="center" vertical="center"/>
      <protection locked="0"/>
    </xf>
    <xf numFmtId="1" fontId="22" fillId="16" borderId="9" xfId="0" applyNumberFormat="1" applyFont="1" applyFill="1" applyBorder="1" applyAlignment="1" applyProtection="1">
      <alignment horizontal="center" vertical="center"/>
      <protection locked="0"/>
    </xf>
    <xf numFmtId="167" fontId="22" fillId="6" borderId="9" xfId="0" applyNumberFormat="1" applyFont="1" applyFill="1" applyBorder="1" applyAlignment="1" applyProtection="1">
      <alignment horizontal="center" vertical="center"/>
      <protection locked="0"/>
    </xf>
    <xf numFmtId="167" fontId="22" fillId="16" borderId="9" xfId="0" applyNumberFormat="1" applyFont="1" applyFill="1" applyBorder="1" applyAlignment="1" applyProtection="1">
      <alignment horizontal="center" vertical="center"/>
      <protection locked="0"/>
    </xf>
    <xf numFmtId="169" fontId="22" fillId="6" borderId="9" xfId="0" applyNumberFormat="1" applyFont="1" applyFill="1" applyBorder="1" applyAlignment="1" applyProtection="1">
      <alignment horizontal="center" vertical="center"/>
      <protection locked="0"/>
    </xf>
    <xf numFmtId="169" fontId="22" fillId="16" borderId="9" xfId="0" applyNumberFormat="1" applyFont="1" applyFill="1" applyBorder="1" applyAlignment="1" applyProtection="1">
      <alignment horizontal="center" vertical="center"/>
      <protection locked="0"/>
    </xf>
    <xf numFmtId="171" fontId="22" fillId="6" borderId="9" xfId="0" applyNumberFormat="1" applyFont="1" applyFill="1" applyBorder="1" applyAlignment="1" applyProtection="1">
      <alignment horizontal="center" vertical="center"/>
      <protection locked="0"/>
    </xf>
    <xf numFmtId="171" fontId="22" fillId="16" borderId="9" xfId="0" applyNumberFormat="1" applyFont="1" applyFill="1" applyBorder="1" applyAlignment="1" applyProtection="1">
      <alignment horizontal="center" vertical="center"/>
      <protection locked="0"/>
    </xf>
    <xf numFmtId="178" fontId="27" fillId="17" borderId="9" xfId="0" applyNumberFormat="1" applyFont="1" applyFill="1" applyBorder="1" applyAlignment="1">
      <alignment horizontal="center" vertical="center"/>
    </xf>
    <xf numFmtId="168" fontId="27" fillId="17" borderId="9" xfId="0" applyNumberFormat="1" applyFont="1" applyFill="1" applyBorder="1" applyAlignment="1">
      <alignment horizontal="center" vertical="center"/>
    </xf>
    <xf numFmtId="170" fontId="27" fillId="17" borderId="9" xfId="0" applyNumberFormat="1" applyFont="1" applyFill="1" applyBorder="1" applyAlignment="1">
      <alignment horizontal="center" vertical="center"/>
    </xf>
    <xf numFmtId="172" fontId="27" fillId="17" borderId="9" xfId="0" applyNumberFormat="1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28" fillId="8" borderId="1" xfId="0" applyFont="1" applyFill="1" applyBorder="1" applyAlignment="1">
      <alignment horizontal="center" vertical="center"/>
    </xf>
    <xf numFmtId="1" fontId="28" fillId="8" borderId="1" xfId="0" applyNumberFormat="1" applyFont="1" applyFill="1" applyBorder="1" applyAlignment="1">
      <alignment horizontal="center" vertical="center"/>
    </xf>
    <xf numFmtId="167" fontId="28" fillId="8" borderId="1" xfId="0" applyNumberFormat="1" applyFont="1" applyFill="1" applyBorder="1" applyAlignment="1">
      <alignment horizontal="center" vertical="center"/>
    </xf>
    <xf numFmtId="169" fontId="28" fillId="8" borderId="1" xfId="0" applyNumberFormat="1" applyFont="1" applyFill="1" applyBorder="1" applyAlignment="1">
      <alignment horizontal="center" vertical="center"/>
    </xf>
    <xf numFmtId="171" fontId="28" fillId="8" borderId="1" xfId="0" applyNumberFormat="1" applyFont="1" applyFill="1" applyBorder="1" applyAlignment="1">
      <alignment horizontal="center" vertical="center"/>
    </xf>
    <xf numFmtId="178" fontId="29" fillId="18" borderId="1" xfId="0" applyNumberFormat="1" applyFont="1" applyFill="1" applyBorder="1" applyAlignment="1">
      <alignment horizontal="center" vertical="center"/>
    </xf>
    <xf numFmtId="168" fontId="29" fillId="18" borderId="1" xfId="0" applyNumberFormat="1" applyFont="1" applyFill="1" applyBorder="1" applyAlignment="1">
      <alignment horizontal="center" vertical="center"/>
    </xf>
    <xf numFmtId="170" fontId="29" fillId="18" borderId="1" xfId="0" applyNumberFormat="1" applyFont="1" applyFill="1" applyBorder="1" applyAlignment="1">
      <alignment horizontal="center" vertical="center"/>
    </xf>
    <xf numFmtId="172" fontId="29" fillId="18" borderId="1" xfId="0" applyNumberFormat="1" applyFont="1" applyFill="1" applyBorder="1" applyAlignment="1">
      <alignment horizontal="center" vertical="center"/>
    </xf>
    <xf numFmtId="0" fontId="30" fillId="0" borderId="9" xfId="0" applyFont="1" applyBorder="1" applyAlignment="1">
      <alignment horizontal="center" vertical="center"/>
    </xf>
    <xf numFmtId="0" fontId="31" fillId="0" borderId="0" xfId="0" applyFont="1" applyAlignment="1">
      <alignment vertical="center"/>
    </xf>
    <xf numFmtId="0" fontId="32" fillId="7" borderId="9" xfId="0" applyFont="1" applyFill="1" applyBorder="1" applyAlignment="1">
      <alignment vertical="center" wrapText="1"/>
    </xf>
    <xf numFmtId="0" fontId="33" fillId="0" borderId="0" xfId="0" applyFont="1" applyAlignment="1">
      <alignment horizontal="right" vertical="center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vertical="center" wrapText="1"/>
      <protection locked="0"/>
    </xf>
    <xf numFmtId="0" fontId="33" fillId="0" borderId="0" xfId="0" applyFont="1" applyAlignment="1"/>
    <xf numFmtId="0" fontId="34" fillId="0" borderId="0" xfId="0" applyFont="1" applyAlignment="1">
      <alignment horizontal="center" vertical="center"/>
    </xf>
    <xf numFmtId="179" fontId="1" fillId="3" borderId="1" xfId="0" applyNumberFormat="1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vertical="center"/>
      <protection locked="0"/>
    </xf>
    <xf numFmtId="1" fontId="1" fillId="3" borderId="1" xfId="0" applyNumberFormat="1" applyFont="1" applyFill="1" applyBorder="1" applyAlignment="1" applyProtection="1">
      <alignment horizontal="center" vertical="center"/>
      <protection locked="0"/>
    </xf>
    <xf numFmtId="167" fontId="1" fillId="3" borderId="1" xfId="0" applyNumberFormat="1" applyFont="1" applyFill="1" applyBorder="1" applyAlignment="1" applyProtection="1">
      <alignment horizontal="center" vertical="center"/>
      <protection locked="0"/>
    </xf>
    <xf numFmtId="169" fontId="1" fillId="3" borderId="1" xfId="0" applyNumberFormat="1" applyFont="1" applyFill="1" applyBorder="1" applyAlignment="1" applyProtection="1">
      <alignment horizontal="center" vertical="center"/>
      <protection locked="0"/>
    </xf>
    <xf numFmtId="171" fontId="1" fillId="3" borderId="1" xfId="0" applyNumberFormat="1" applyFont="1" applyFill="1" applyBorder="1" applyAlignment="1" applyProtection="1">
      <alignment horizontal="center" vertical="center"/>
      <protection locked="0"/>
    </xf>
    <xf numFmtId="0" fontId="35" fillId="9" borderId="1" xfId="0" applyFont="1" applyFill="1" applyBorder="1" applyAlignment="1">
      <alignment vertical="top" wrapText="1"/>
    </xf>
    <xf numFmtId="0" fontId="33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7" fillId="5" borderId="0" xfId="0" applyFont="1" applyFill="1" applyAlignment="1">
      <alignment horizontal="left" vertical="center" indent="1"/>
    </xf>
    <xf numFmtId="0" fontId="38" fillId="0" borderId="0" xfId="0" applyFont="1" applyAlignment="1">
      <alignment vertical="center"/>
    </xf>
    <xf numFmtId="0" fontId="39" fillId="0" borderId="0" xfId="0" applyFont="1"/>
    <xf numFmtId="177" fontId="39" fillId="0" borderId="0" xfId="0" applyNumberFormat="1" applyFont="1" applyAlignment="1">
      <alignment horizontal="center"/>
    </xf>
    <xf numFmtId="179" fontId="39" fillId="0" borderId="0" xfId="0" applyNumberFormat="1" applyFont="1" applyAlignment="1">
      <alignment horizontal="center"/>
    </xf>
    <xf numFmtId="171" fontId="39" fillId="0" borderId="0" xfId="0" applyNumberFormat="1" applyFont="1" applyAlignment="1">
      <alignment horizontal="center"/>
    </xf>
    <xf numFmtId="0" fontId="30" fillId="0" borderId="0" xfId="0" applyFont="1" applyAlignment="1">
      <alignment vertical="center" wrapText="1"/>
    </xf>
    <xf numFmtId="0" fontId="40" fillId="5" borderId="12" xfId="0" applyFont="1" applyFill="1" applyBorder="1" applyAlignment="1">
      <alignment horizontal="center" vertical="center"/>
    </xf>
    <xf numFmtId="0" fontId="12" fillId="0" borderId="9" xfId="0" applyFont="1" applyBorder="1" applyAlignment="1">
      <alignment vertical="center"/>
    </xf>
    <xf numFmtId="0" fontId="1" fillId="0" borderId="9" xfId="0" applyFont="1" applyBorder="1" applyAlignment="1">
      <alignment horizontal="center" vertical="center"/>
    </xf>
    <xf numFmtId="0" fontId="41" fillId="3" borderId="1" xfId="0" applyFont="1" applyFill="1" applyBorder="1" applyAlignment="1" applyProtection="1">
      <alignment vertical="center"/>
      <protection locked="0"/>
    </xf>
    <xf numFmtId="0" fontId="19" fillId="19" borderId="13" xfId="0" applyFont="1" applyFill="1" applyBorder="1" applyAlignment="1">
      <alignment vertical="top" wrapText="1"/>
    </xf>
    <xf numFmtId="0" fontId="28" fillId="0" borderId="0" xfId="0" applyFont="1" applyAlignment="1">
      <alignment vertical="center"/>
    </xf>
    <xf numFmtId="180" fontId="1" fillId="3" borderId="1" xfId="0" applyNumberFormat="1" applyFont="1" applyFill="1" applyBorder="1" applyAlignment="1" applyProtection="1">
      <alignment horizontal="center" vertical="center"/>
      <protection locked="0"/>
    </xf>
    <xf numFmtId="176" fontId="1" fillId="3" borderId="1" xfId="0" applyNumberFormat="1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left" vertical="center"/>
      <protection locked="0"/>
    </xf>
    <xf numFmtId="0" fontId="1" fillId="0" borderId="0" xfId="0" applyFont="1" applyAlignment="1">
      <alignment horizontal="center" vertical="center"/>
    </xf>
    <xf numFmtId="0" fontId="42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181" fontId="1" fillId="7" borderId="0" xfId="0" applyNumberFormat="1" applyFont="1" applyFill="1" applyAlignment="1">
      <alignment horizontal="left" vertical="center"/>
    </xf>
    <xf numFmtId="0" fontId="43" fillId="0" borderId="0" xfId="0" applyFont="1" applyAlignment="1">
      <alignment vertical="center"/>
    </xf>
    <xf numFmtId="0" fontId="17" fillId="0" borderId="0" xfId="0" applyFont="1" applyAlignment="1">
      <alignment vertical="center"/>
    </xf>
  </cellXfs>
  <cellStyles count="1">
    <cellStyle name="Normal" xfId="0" builtinId="0"/>
  </cellStyles>
  <dxfs count="12">
    <dxf>
      <font>
        <b/>
        <color rgb="FFC62828"/>
      </font>
      <fill>
        <patternFill>
          <bgColor rgb="FFFBE6E6"/>
        </patternFill>
      </fill>
    </dxf>
    <dxf>
      <font>
        <color rgb="FFB0B8C4"/>
      </font>
    </dxf>
    <dxf>
      <font>
        <b/>
        <color rgb="FF0A7C50"/>
      </font>
    </dxf>
    <dxf>
      <font>
        <b/>
        <color rgb="FFC62828"/>
      </font>
      <fill>
        <patternFill>
          <bgColor rgb="FFFDF3F3"/>
        </patternFill>
      </fill>
    </dxf>
    <dxf>
      <fill>
        <patternFill>
          <bgColor rgb="FFFDF3F3"/>
        </patternFill>
      </fill>
    </dxf>
    <dxf>
      <font>
        <color rgb="FF0A7C50"/>
      </font>
    </dxf>
    <dxf>
      <font>
        <color rgb="FFC62828"/>
      </font>
    </dxf>
    <dxf/>
    <dxf>
      <numFmt numFmtId="177" formatCode="dd/mm/yyyy"/>
    </dxf>
    <dxf>
      <numFmt numFmtId="179" formatCode="dd/mm/yyyy hh:mm"/>
    </dxf>
    <dxf>
      <numFmt numFmtId="171" formatCode="0.000"/>
    </dxf>
    <dxf>
      <font>
        <b/>
        <color rgb="FF0A7C50"/>
      </font>
      <fill>
        <patternFill>
          <bgColor rgb="FFE3F4E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Relationship Id="rId11" Type="http://schemas.openxmlformats.org/officeDocument/2006/relationships/sharedStrings" Target="sharedStrings.xml"/><Relationship Id="rId1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'_Graf'!$AC$2:$AC$2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'_Graf'!$AD$2:$AD$2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10001"/>
        <c:axId val="5001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'_Graf'!$AE$2:$AE$2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'_Graf'!$AF$2:$AF$2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'_Graf'!$AG$2:$AG$2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'_Graf'!$AH$2:$AH$2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10001"/>
        <c:axId val="60010002"/>
      </c:lineChart>
      <c:catAx>
        <c:axId val="5001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10001"/>
        <c:crosses val="autoZero"/>
        <c:crossBetween val="between"/>
      </c:valAx>
      <c:valAx>
        <c:axId val="60010002"/>
        <c:scaling>
          <c:orientation val="minMax"/>
        </c:scaling>
        <c:axPos val="r"/>
        <c:numFmt formatCode="0.0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10001"/>
        <c:crosses val="max"/>
        <c:crossBetween val="between"/>
      </c:valAx>
      <c:catAx>
        <c:axId val="60010001"/>
        <c:scaling>
          <c:orientation val="minMax"/>
        </c:scaling>
        <c:delete val="1"/>
        <c:axPos val="b"/>
        <c:numFmt formatCode="General" sourceLinked="1"/>
        <c:tickLblPos val="none"/>
        <c:crossAx val="6001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'_Graf'!$T$2:$T$2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'_Graf'!$U$2:$U$2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20001"/>
        <c:axId val="5002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'_Graf'!$V$2:$V$2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'_Graf'!$W$2:$W$2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'_Graf'!$X$2:$X$2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'_Graf'!$Y$2:$Y$2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20001"/>
        <c:axId val="60020002"/>
      </c:lineChart>
      <c:catAx>
        <c:axId val="5002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20001"/>
        <c:crosses val="autoZero"/>
        <c:crossBetween val="between"/>
      </c:valAx>
      <c:valAx>
        <c:axId val="6002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20001"/>
        <c:crosses val="max"/>
        <c:crossBetween val="between"/>
      </c:valAx>
      <c:catAx>
        <c:axId val="60020001"/>
        <c:scaling>
          <c:orientation val="minMax"/>
        </c:scaling>
        <c:delete val="1"/>
        <c:axPos val="b"/>
        <c:numFmt formatCode="General" sourceLinked="1"/>
        <c:tickLblPos val="none"/>
        <c:crossAx val="6002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'_Graf'!$AL$2:$AL$2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'_Graf'!$AM$2:$AM$2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30001"/>
        <c:axId val="5003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'_Graf'!$AN$2:$AN$2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'_Graf'!$AO$2:$AO$2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'_Graf'!$AP$2:$AP$2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'_Graf'!$AQ$2:$AQ$2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30001"/>
        <c:axId val="60030002"/>
      </c:lineChart>
      <c:catAx>
        <c:axId val="5003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30001"/>
        <c:crosses val="autoZero"/>
        <c:crossBetween val="between"/>
      </c:valAx>
      <c:valAx>
        <c:axId val="6003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30001"/>
        <c:crosses val="max"/>
        <c:crossBetween val="between"/>
      </c:valAx>
      <c:catAx>
        <c:axId val="60030001"/>
        <c:scaling>
          <c:orientation val="minMax"/>
        </c:scaling>
        <c:delete val="1"/>
        <c:axPos val="b"/>
        <c:numFmt formatCode="General" sourceLinked="1"/>
        <c:tickLblPos val="none"/>
        <c:crossAx val="6003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'_Graf'!$K$2:$K$2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'_Graf'!$L$2:$L$2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40001"/>
        <c:axId val="5004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'_Graf'!$M$2:$M$2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'_Graf'!$N$2:$N$2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'_Graf'!$O$2:$O$2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'_Graf'!$P$2:$P$2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40001"/>
        <c:axId val="60040002"/>
      </c:lineChart>
      <c:catAx>
        <c:axId val="5004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40002"/>
        <c:crosses val="autoZero"/>
        <c:auto val="1"/>
        <c:lblAlgn val="ctr"/>
        <c:lblOffset val="100"/>
      </c:catAx>
      <c:valAx>
        <c:axId val="5004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40001"/>
        <c:crosses val="autoZero"/>
        <c:crossBetween val="between"/>
      </c:valAx>
      <c:valAx>
        <c:axId val="60040002"/>
        <c:scaling>
          <c:orientation val="minMax"/>
        </c:scaling>
        <c:axPos val="r"/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40001"/>
        <c:crosses val="max"/>
        <c:crossBetween val="between"/>
      </c:valAx>
      <c:catAx>
        <c:axId val="60040001"/>
        <c:scaling>
          <c:orientation val="minMax"/>
        </c:scaling>
        <c:delete val="1"/>
        <c:axPos val="b"/>
        <c:numFmt formatCode="General" sourceLinked="1"/>
        <c:tickLblPos val="none"/>
        <c:crossAx val="6004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'_Graf'!$B$2:$B$2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'_Graf'!$C$2:$C$2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50001"/>
        <c:axId val="5005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'_Graf'!$D$2:$D$2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'_Graf'!$E$2:$E$2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'_Graf'!$F$2:$F$2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'_Graf'!$G$2:$G$2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50001"/>
        <c:axId val="60050002"/>
      </c:lineChart>
      <c:catAx>
        <c:axId val="5005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50002"/>
        <c:crosses val="autoZero"/>
        <c:auto val="1"/>
        <c:lblAlgn val="ctr"/>
        <c:lblOffset val="100"/>
      </c:catAx>
      <c:valAx>
        <c:axId val="5005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50001"/>
        <c:crosses val="autoZero"/>
        <c:crossBetween val="between"/>
      </c:valAx>
      <c:valAx>
        <c:axId val="60050002"/>
        <c:scaling>
          <c:orientation val="minMax"/>
        </c:scaling>
        <c:axPos val="r"/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50001"/>
        <c:crosses val="max"/>
        <c:crossBetween val="between"/>
      </c:valAx>
      <c:catAx>
        <c:axId val="60050001"/>
        <c:scaling>
          <c:orientation val="minMax"/>
        </c:scaling>
        <c:delete val="1"/>
        <c:axPos val="b"/>
        <c:numFmt formatCode="General" sourceLinked="1"/>
        <c:tickLblPos val="none"/>
        <c:crossAx val="6005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chart" Target="../charts/chart1.xml"/><Relationship Id="rId3" Type="http://schemas.openxmlformats.org/officeDocument/2006/relationships/chart" Target="../charts/chart2.xml"/><Relationship Id="rId4" Type="http://schemas.openxmlformats.org/officeDocument/2006/relationships/chart" Target="../charts/chart3.xml"/><Relationship Id="rId5" Type="http://schemas.openxmlformats.org/officeDocument/2006/relationships/chart" Target="../charts/chart4.xml"/><Relationship Id="rId6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666750</xdr:colOff>
      <xdr:row>5</xdr:row>
      <xdr:rowOff>114300</xdr:rowOff>
    </xdr:from>
    <xdr:to>
      <xdr:col>13</xdr:col>
      <xdr:colOff>1719263</xdr:colOff>
      <xdr:row>5</xdr:row>
      <xdr:rowOff>364427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44100" y="1019175"/>
          <a:ext cx="1052513" cy="25012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18</xdr:row>
      <xdr:rowOff>0</xdr:rowOff>
    </xdr:from>
    <xdr:to>
      <xdr:col>9</xdr:col>
      <xdr:colOff>0</xdr:colOff>
      <xdr:row>30</xdr:row>
      <xdr:rowOff>171450</xdr:rowOff>
    </xdr:to>
    <xdr:graphicFrame macro="">
      <xdr:nvGraphicFramePr>
        <xdr:cNvPr id="3" name="Chart 2" descr="Gráfico P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18</xdr:row>
      <xdr:rowOff>0</xdr:rowOff>
    </xdr:from>
    <xdr:to>
      <xdr:col>14</xdr:col>
      <xdr:colOff>0</xdr:colOff>
      <xdr:row>30</xdr:row>
      <xdr:rowOff>171450</xdr:rowOff>
    </xdr:to>
    <xdr:graphicFrame macro="">
      <xdr:nvGraphicFramePr>
        <xdr:cNvPr id="4" name="Chart 3" descr="Gráfico Si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9</xdr:col>
      <xdr:colOff>0</xdr:colOff>
      <xdr:row>45</xdr:row>
      <xdr:rowOff>171450</xdr:rowOff>
    </xdr:to>
    <xdr:graphicFrame macro="">
      <xdr:nvGraphicFramePr>
        <xdr:cNvPr id="5" name="Chart 4" descr="Gráfico PPC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33</xdr:row>
      <xdr:rowOff>0</xdr:rowOff>
    </xdr:from>
    <xdr:to>
      <xdr:col>14</xdr:col>
      <xdr:colOff>0</xdr:colOff>
      <xdr:row>45</xdr:row>
      <xdr:rowOff>171450</xdr:rowOff>
    </xdr:to>
    <xdr:graphicFrame macro="">
      <xdr:nvGraphicFramePr>
        <xdr:cNvPr id="6" name="Chart 5" descr="Gráfico 3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48</xdr:row>
      <xdr:rowOff>0</xdr:rowOff>
    </xdr:from>
    <xdr:to>
      <xdr:col>14</xdr:col>
      <xdr:colOff>0</xdr:colOff>
      <xdr:row>60</xdr:row>
      <xdr:rowOff>171450</xdr:rowOff>
    </xdr:to>
    <xdr:graphicFrame macro="">
      <xdr:nvGraphicFramePr>
        <xdr:cNvPr id="7" name="Chart 6" descr="Gráfico 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4</xdr:col>
      <xdr:colOff>381000</xdr:colOff>
      <xdr:row>1</xdr:row>
      <xdr:rowOff>38100</xdr:rowOff>
    </xdr:from>
    <xdr:to>
      <xdr:col>6</xdr:col>
      <xdr:colOff>38100</xdr:colOff>
      <xdr:row>2</xdr:row>
      <xdr:rowOff>152400</xdr:rowOff>
    </xdr:to>
    <xdr:sp macro="[0]!IrBatch" textlink="">
      <xdr:nvSpPr>
        <xdr:cNvPr id="8" name="TextBox 7" descr="Botão: IrBatch"/>
        <xdr:cNvSpPr txBox="1"/>
      </xdr:nvSpPr>
      <xdr:spPr>
        <a:xfrm>
          <a:off x="2609850" y="133350"/>
          <a:ext cx="11239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✎ Editar batch</a:t>
          </a:r>
        </a:p>
      </xdr:txBody>
    </xdr:sp>
    <xdr:clientData fPrintsWithSheet="0"/>
  </xdr:twoCellAnchor>
  <xdr:twoCellAnchor editAs="absolute">
    <xdr:from>
      <xdr:col>8</xdr:col>
      <xdr:colOff>57150</xdr:colOff>
      <xdr:row>1</xdr:row>
      <xdr:rowOff>38100</xdr:rowOff>
    </xdr:from>
    <xdr:to>
      <xdr:col>9</xdr:col>
      <xdr:colOff>38100</xdr:colOff>
      <xdr:row>2</xdr:row>
      <xdr:rowOff>152400</xdr:rowOff>
    </xdr:to>
    <xdr:sp macro="[0]!AtualizarPainel" textlink="">
      <xdr:nvSpPr>
        <xdr:cNvPr id="9" name="TextBox 8" descr="Botão: AtualizarPainel"/>
        <xdr:cNvSpPr txBox="1"/>
      </xdr:nvSpPr>
      <xdr:spPr>
        <a:xfrm>
          <a:off x="4457700" y="1333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Atualizar painel</a:t>
          </a:r>
        </a:p>
      </xdr:txBody>
    </xdr:sp>
    <xdr:clientData fPrintsWithSheet="0"/>
  </xdr:twoCellAnchor>
  <xdr:twoCellAnchor editAs="absolute">
    <xdr:from>
      <xdr:col>10</xdr:col>
      <xdr:colOff>95250</xdr:colOff>
      <xdr:row>1</xdr:row>
      <xdr:rowOff>38100</xdr:rowOff>
    </xdr:from>
    <xdr:to>
      <xdr:col>10</xdr:col>
      <xdr:colOff>1200150</xdr:colOff>
      <xdr:row>2</xdr:row>
      <xdr:rowOff>152400</xdr:rowOff>
    </xdr:to>
    <xdr:sp macro="[0]!CopiarImagemPainel" textlink="">
      <xdr:nvSpPr>
        <xdr:cNvPr id="10" name="TextBox 9" descr="Botão: CopiarImagemPainel"/>
        <xdr:cNvSpPr txBox="1"/>
      </xdr:nvSpPr>
      <xdr:spPr>
        <a:xfrm>
          <a:off x="5772150" y="133350"/>
          <a:ext cx="1104900" cy="2857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  <xdr:twoCellAnchor editAs="absolute">
    <xdr:from>
      <xdr:col>10</xdr:col>
      <xdr:colOff>1257300</xdr:colOff>
      <xdr:row>1</xdr:row>
      <xdr:rowOff>38100</xdr:rowOff>
    </xdr:from>
    <xdr:to>
      <xdr:col>11</xdr:col>
      <xdr:colOff>19050</xdr:colOff>
      <xdr:row>2</xdr:row>
      <xdr:rowOff>152400</xdr:rowOff>
    </xdr:to>
    <xdr:sp macro="[0]!CopiarResumo" textlink="">
      <xdr:nvSpPr>
        <xdr:cNvPr id="11" name="TextBox 10" descr="Botão: CopiarResumo"/>
        <xdr:cNvSpPr txBox="1"/>
      </xdr:nvSpPr>
      <xdr:spPr>
        <a:xfrm>
          <a:off x="6934200" y="133350"/>
          <a:ext cx="1104900" cy="28575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resumo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57150</xdr:colOff>
      <xdr:row>3</xdr:row>
      <xdr:rowOff>38100</xdr:rowOff>
    </xdr:from>
    <xdr:to>
      <xdr:col>16</xdr:col>
      <xdr:colOff>142875</xdr:colOff>
      <xdr:row>4</xdr:row>
      <xdr:rowOff>142875</xdr:rowOff>
    </xdr:to>
    <xdr:sp macro="[0]!BuscarMES" textlink="">
      <xdr:nvSpPr>
        <xdr:cNvPr id="2" name="TextBox 1" descr="Botão: BuscarMES"/>
        <xdr:cNvSpPr txBox="1"/>
      </xdr:nvSpPr>
      <xdr:spPr>
        <a:xfrm>
          <a:off x="9458325" y="790575"/>
          <a:ext cx="1571625" cy="38100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Buscar no MES</a:t>
          </a:r>
        </a:p>
      </xdr:txBody>
    </xdr:sp>
    <xdr:clientData fPrintsWithSheet="0"/>
  </xdr:twoCellAnchor>
  <xdr:twoCellAnchor editAs="absolute">
    <xdr:from>
      <xdr:col>17</xdr:col>
      <xdr:colOff>38100</xdr:colOff>
      <xdr:row>3</xdr:row>
      <xdr:rowOff>38100</xdr:rowOff>
    </xdr:from>
    <xdr:to>
      <xdr:col>19</xdr:col>
      <xdr:colOff>323850</xdr:colOff>
      <xdr:row>4</xdr:row>
      <xdr:rowOff>142875</xdr:rowOff>
    </xdr:to>
    <xdr:sp macro="[0]!SalvarHistorico" textlink="">
      <xdr:nvSpPr>
        <xdr:cNvPr id="3" name="TextBox 2" descr="Botão: SalvarHistorico"/>
        <xdr:cNvSpPr txBox="1"/>
      </xdr:nvSpPr>
      <xdr:spPr>
        <a:xfrm>
          <a:off x="11591925" y="790575"/>
          <a:ext cx="1619250" cy="381000"/>
        </a:xfrm>
        <a:prstGeom prst="roundRect">
          <a:avLst>
            <a:gd name="adj" fmla="val 12000"/>
          </a:avLst>
        </a:prstGeom>
        <a:solidFill>
          <a:srgbClr val="0A7C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Salvar no histórico</a:t>
          </a:r>
        </a:p>
      </xdr:txBody>
    </xdr:sp>
    <xdr:clientData fPrintsWithSheet="0"/>
  </xdr:twoCellAnchor>
  <xdr:twoCellAnchor editAs="absolute">
    <xdr:from>
      <xdr:col>13</xdr:col>
      <xdr:colOff>57150</xdr:colOff>
      <xdr:row>6</xdr:row>
      <xdr:rowOff>38100</xdr:rowOff>
    </xdr:from>
    <xdr:to>
      <xdr:col>15</xdr:col>
      <xdr:colOff>228600</xdr:colOff>
      <xdr:row>7</xdr:row>
      <xdr:rowOff>85725</xdr:rowOff>
    </xdr:to>
    <xdr:sp macro="[0]!NovoBatch" textlink="">
      <xdr:nvSpPr>
        <xdr:cNvPr id="4" name="TextBox 3" descr="Botão: NovoBatch"/>
        <xdr:cNvSpPr txBox="1"/>
      </xdr:nvSpPr>
      <xdr:spPr>
        <a:xfrm>
          <a:off x="9458325" y="1466850"/>
          <a:ext cx="990600" cy="2476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＋ Novo batch</a:t>
          </a:r>
        </a:p>
      </xdr:txBody>
    </xdr:sp>
    <xdr:clientData fPrintsWithSheet="0"/>
  </xdr:twoCellAnchor>
  <xdr:twoCellAnchor editAs="absolute">
    <xdr:from>
      <xdr:col>15</xdr:col>
      <xdr:colOff>247650</xdr:colOff>
      <xdr:row>6</xdr:row>
      <xdr:rowOff>38100</xdr:rowOff>
    </xdr:from>
    <xdr:to>
      <xdr:col>17</xdr:col>
      <xdr:colOff>38100</xdr:colOff>
      <xdr:row>7</xdr:row>
      <xdr:rowOff>85725</xdr:rowOff>
    </xdr:to>
    <xdr:sp macro="[0]!LimparLeituras" textlink="">
      <xdr:nvSpPr>
        <xdr:cNvPr id="5" name="TextBox 4" descr="Botão: LimparLeituras"/>
        <xdr:cNvSpPr txBox="1"/>
      </xdr:nvSpPr>
      <xdr:spPr>
        <a:xfrm>
          <a:off x="10467975" y="1466850"/>
          <a:ext cx="1123950" cy="24765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Limpar leituras</a:t>
          </a:r>
        </a:p>
      </xdr:txBody>
    </xdr:sp>
    <xdr:clientData fPrintsWithSheet="0"/>
  </xdr:twoCellAnchor>
  <xdr:twoCellAnchor editAs="absolute">
    <xdr:from>
      <xdr:col>17</xdr:col>
      <xdr:colOff>647700</xdr:colOff>
      <xdr:row>6</xdr:row>
      <xdr:rowOff>38100</xdr:rowOff>
    </xdr:from>
    <xdr:to>
      <xdr:col>19</xdr:col>
      <xdr:colOff>323850</xdr:colOff>
      <xdr:row>7</xdr:row>
      <xdr:rowOff>85725</xdr:rowOff>
    </xdr:to>
    <xdr:sp macro="[0]!IrPainel" textlink="">
      <xdr:nvSpPr>
        <xdr:cNvPr id="6" name="TextBox 5" descr="Botão: IrPainel"/>
        <xdr:cNvSpPr txBox="1"/>
      </xdr:nvSpPr>
      <xdr:spPr>
        <a:xfrm>
          <a:off x="12201525" y="1466850"/>
          <a:ext cx="1009650" cy="24765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Ver painel →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57150</xdr:colOff>
      <xdr:row>5</xdr:row>
      <xdr:rowOff>0</xdr:rowOff>
    </xdr:from>
    <xdr:to>
      <xdr:col>3</xdr:col>
      <xdr:colOff>2152650</xdr:colOff>
      <xdr:row>7</xdr:row>
      <xdr:rowOff>0</xdr:rowOff>
    </xdr:to>
    <xdr:sp macro="[0]!CopiarResumo" textlink="">
      <xdr:nvSpPr>
        <xdr:cNvPr id="2" name="TextBox 1" descr="Botão: CopiarResumo"/>
        <xdr:cNvSpPr txBox="1"/>
      </xdr:nvSpPr>
      <xdr:spPr>
        <a:xfrm>
          <a:off x="6600825" y="1276350"/>
          <a:ext cx="2095500" cy="38100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resumo</a:t>
          </a:r>
        </a:p>
      </xdr:txBody>
    </xdr:sp>
    <xdr:clientData fPrintsWithSheet="0"/>
  </xdr:twoCellAnchor>
  <xdr:twoCellAnchor editAs="absolute">
    <xdr:from>
      <xdr:col>3</xdr:col>
      <xdr:colOff>57150</xdr:colOff>
      <xdr:row>8</xdr:row>
      <xdr:rowOff>0</xdr:rowOff>
    </xdr:from>
    <xdr:to>
      <xdr:col>3</xdr:col>
      <xdr:colOff>2152650</xdr:colOff>
      <xdr:row>10</xdr:row>
      <xdr:rowOff>0</xdr:rowOff>
    </xdr:to>
    <xdr:sp macro="[0]!CopiarImagemPainel" textlink="">
      <xdr:nvSpPr>
        <xdr:cNvPr id="3" name="TextBox 2" descr="Botão: CopiarImagemPainel"/>
        <xdr:cNvSpPr txBox="1"/>
      </xdr:nvSpPr>
      <xdr:spPr>
        <a:xfrm>
          <a:off x="6600825" y="1847850"/>
          <a:ext cx="2095500" cy="38100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painel (imagem)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38100</xdr:rowOff>
    </xdr:from>
    <xdr:to>
      <xdr:col>3</xdr:col>
      <xdr:colOff>342900</xdr:colOff>
      <xdr:row>4</xdr:row>
      <xdr:rowOff>47625</xdr:rowOff>
    </xdr:to>
    <xdr:sp macro="[0]!AbrirBatchSelecionado" textlink="">
      <xdr:nvSpPr>
        <xdr:cNvPr id="2" name="TextBox 1" descr="Botão: AbrirBatchSelecionado"/>
        <xdr:cNvSpPr txBox="1"/>
      </xdr:nvSpPr>
      <xdr:spPr>
        <a:xfrm>
          <a:off x="180975" y="933450"/>
          <a:ext cx="1905000" cy="2857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Abrir batch selecionado</a:t>
          </a:r>
        </a:p>
      </xdr:txBody>
    </xdr:sp>
    <xdr:clientData fPrintsWithSheet="0"/>
  </xdr:twoCellAnchor>
  <xdr:twoCellAnchor editAs="absolute">
    <xdr:from>
      <xdr:col>3</xdr:col>
      <xdr:colOff>571500</xdr:colOff>
      <xdr:row>3</xdr:row>
      <xdr:rowOff>38100</xdr:rowOff>
    </xdr:from>
    <xdr:to>
      <xdr:col>5</xdr:col>
      <xdr:colOff>647700</xdr:colOff>
      <xdr:row>4</xdr:row>
      <xdr:rowOff>47625</xdr:rowOff>
    </xdr:to>
    <xdr:sp macro="[0]!ExcluirBatchSelecionado" textlink="">
      <xdr:nvSpPr>
        <xdr:cNvPr id="3" name="TextBox 2" descr="Botão: ExcluirBatchSelecionado"/>
        <xdr:cNvSpPr txBox="1"/>
      </xdr:nvSpPr>
      <xdr:spPr>
        <a:xfrm>
          <a:off x="2314575" y="933450"/>
          <a:ext cx="1905000" cy="28575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Excluir batch selecionado</a:t>
          </a:r>
        </a:p>
      </xdr:txBody>
    </xdr:sp>
    <xdr:clientData fPrintsWithSheet="0"/>
  </xdr:twoCellAnchor>
  <xdr:twoCellAnchor editAs="absolute">
    <xdr:from>
      <xdr:col>7</xdr:col>
      <xdr:colOff>190500</xdr:colOff>
      <xdr:row>3</xdr:row>
      <xdr:rowOff>38100</xdr:rowOff>
    </xdr:from>
    <xdr:to>
      <xdr:col>8</xdr:col>
      <xdr:colOff>419100</xdr:colOff>
      <xdr:row>4</xdr:row>
      <xdr:rowOff>47625</xdr:rowOff>
    </xdr:to>
    <xdr:sp macro="[0]!IrPainel" textlink="">
      <xdr:nvSpPr>
        <xdr:cNvPr id="4" name="TextBox 3" descr="Botão: IrPainel"/>
        <xdr:cNvSpPr txBox="1"/>
      </xdr:nvSpPr>
      <xdr:spPr>
        <a:xfrm>
          <a:off x="5591175" y="9334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← Painel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762000</xdr:colOff>
      <xdr:row>1</xdr:row>
      <xdr:rowOff>38100</xdr:rowOff>
    </xdr:from>
    <xdr:to>
      <xdr:col>10</xdr:col>
      <xdr:colOff>1095375</xdr:colOff>
      <xdr:row>1</xdr:row>
      <xdr:rowOff>285750</xdr:rowOff>
    </xdr:to>
    <xdr:sp macro="[0]!IrBatch" textlink="">
      <xdr:nvSpPr>
        <xdr:cNvPr id="2" name="TextBox 1" descr="Botão: IrBatch"/>
        <xdr:cNvSpPr txBox="1"/>
      </xdr:nvSpPr>
      <xdr:spPr>
        <a:xfrm>
          <a:off x="9944100" y="228600"/>
          <a:ext cx="1428750" cy="24765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Voltar ao Batch</a:t>
          </a:r>
        </a:p>
      </xdr:txBody>
    </xdr:sp>
    <xdr:clientData fPrintsWithSheet="0"/>
  </xdr:twoCellAnchor>
  <xdr:twoCellAnchor editAs="absolute">
    <xdr:from>
      <xdr:col>10</xdr:col>
      <xdr:colOff>95250</xdr:colOff>
      <xdr:row>19</xdr:row>
      <xdr:rowOff>0</xdr:rowOff>
    </xdr:from>
    <xdr:to>
      <xdr:col>10</xdr:col>
      <xdr:colOff>2000250</xdr:colOff>
      <xdr:row>20</xdr:row>
      <xdr:rowOff>76200</xdr:rowOff>
    </xdr:to>
    <xdr:sp macro="[0]!MostrarDadosMES" textlink="">
      <xdr:nvSpPr>
        <xdr:cNvPr id="3" name="TextBox 2" descr="Botão: MostrarDadosMES"/>
        <xdr:cNvSpPr txBox="1"/>
      </xdr:nvSpPr>
      <xdr:spPr>
        <a:xfrm>
          <a:off x="10372725" y="4248150"/>
          <a:ext cx="1905000" cy="2667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Ver consultas (Dados_MES)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0</xdr:row>
      <xdr:rowOff>19050</xdr:rowOff>
    </xdr:from>
    <xdr:to>
      <xdr:col>7</xdr:col>
      <xdr:colOff>1905000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6896100" y="19050"/>
          <a:ext cx="1905000" cy="26670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id="1" name="tbl_Batches" displayName="tbl_Batches" ref="B7:BC8" totalsRowShown="0">
  <autoFilter ref="B7:BC8"/>
  <tableColumns count="54">
    <tableColumn id="1" name="Batch" dataDxfId="7"/>
    <tableColumn id="2" name="Data do report" dataDxfId="8"/>
    <tableColumn id="3" name="Mineroduto" dataDxfId="7"/>
    <tableColumn id="4" name="Chegada Ubu (UBU3)" dataDxfId="9"/>
    <tableColumn id="5" name="Término Ubu (UBU3)" dataDxfId="9"/>
    <tableColumn id="6" name="Nível dos tanques" dataDxfId="7"/>
    <tableColumn id="7" name="Início processo (manual)" dataDxfId="9"/>
    <tableColumn id="8" name="Início Germano (EB06)" dataDxfId="9"/>
    <tableColumn id="9" name="Término Germano (EB06)" dataDxfId="9"/>
    <tableColumn id="10" name="Nº horários" dataDxfId="7"/>
    <tableColumn id="11" name="Laboratório A" dataDxfId="7"/>
    <tableColumn id="12" name="Laboratório B" dataDxfId="7"/>
    <tableColumn id="13" name="Referência" dataDxfId="7"/>
    <tableColumn id="14" name="Título" dataDxfId="7"/>
    <tableColumn id="15" name="Subtítulo" dataDxfId="7"/>
    <tableColumn id="16" name="Tol S.E." dataDxfId="10"/>
    <tableColumn id="17" name="Tol &lt;325#" dataDxfId="10"/>
    <tableColumn id="18" name="Tol SiO₂" dataDxfId="10"/>
    <tableColumn id="19" name="Tol P" dataDxfId="10"/>
    <tableColumn id="20" name="Tol PPC" dataDxfId="10"/>
    <tableColumn id="21" name="Frase automática" dataDxfId="7"/>
    <tableColumn id="22" name="Acompanhamento no report" dataDxfId="7"/>
    <tableColumn id="23" name="Comentário 1" dataDxfId="7"/>
    <tableColumn id="24" name="Comentário 2" dataDxfId="7"/>
    <tableColumn id="25" name="Comentário 3" dataDxfId="7"/>
    <tableColumn id="26" name="Comentário 4" dataDxfId="7"/>
    <tableColumn id="27" name="Comentário 5" dataDxfId="7"/>
    <tableColumn id="28" name="Comentário 6" dataDxfId="7"/>
    <tableColumn id="29" name="S.E. média A" dataDxfId="10"/>
    <tableColumn id="30" name="S.E. média B" dataDxfId="10"/>
    <tableColumn id="31" name="S.E. diferença" dataDxfId="10"/>
    <tableColumn id="32" name="S.E. status" dataDxfId="7"/>
    <tableColumn id="33" name="&lt;325# média A" dataDxfId="10"/>
    <tableColumn id="34" name="&lt;325# média B" dataDxfId="10"/>
    <tableColumn id="35" name="&lt;325# diferença" dataDxfId="10"/>
    <tableColumn id="36" name="&lt;325# status" dataDxfId="7"/>
    <tableColumn id="37" name="SiO₂ média A" dataDxfId="10"/>
    <tableColumn id="38" name="SiO₂ média B" dataDxfId="10"/>
    <tableColumn id="39" name="SiO₂ diferença" dataDxfId="10"/>
    <tableColumn id="40" name="SiO₂ status" dataDxfId="7"/>
    <tableColumn id="41" name="P média A" dataDxfId="10"/>
    <tableColumn id="42" name="P média B" dataDxfId="10"/>
    <tableColumn id="43" name="P diferença" dataDxfId="10"/>
    <tableColumn id="44" name="P status" dataDxfId="7"/>
    <tableColumn id="45" name="PPC média A" dataDxfId="10"/>
    <tableColumn id="46" name="PPC média B" dataDxfId="10"/>
    <tableColumn id="47" name="PPC diferença" dataDxfId="10"/>
    <tableColumn id="48" name="PPC status" dataDxfId="7"/>
    <tableColumn id="49" name="Início no processo" dataDxfId="9"/>
    <tableColumn id="50" name="Defasagem (h)" dataDxfId="7"/>
    <tableColumn id="51" name="Nº NOK" dataDxfId="7"/>
    <tableColumn id="52" name="Leituras" dataDxfId="7"/>
    <tableColumn id="53" name="Salvo em" dataDxfId="9"/>
    <tableColumn id="54" name="Salvo por" dataDxfId="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bl_Leituras" displayName="tbl_Leituras" ref="A1:J60" totalsRowShown="0">
  <autoFilter ref="A1:J60"/>
  <tableColumns count="10">
    <tableColumn id="1" name="Batch" dataDxfId="7"/>
    <tableColumn id="2" name="Ordem" dataDxfId="7"/>
    <tableColumn id="3" name="Data/hora Ubu" dataDxfId="9"/>
    <tableColumn id="4" name="Data/hora Germano" dataDxfId="9"/>
    <tableColumn id="5" name="Parâmetro" dataDxfId="7"/>
    <tableColumn id="6" name="Germano" dataDxfId="10"/>
    <tableColumn id="7" name="Ubu" dataDxfId="10"/>
    <tableColumn id="8" name="Diferença" dataDxfId="10"/>
    <tableColumn id="9" name="Tolerância" dataDxfId="10"/>
    <tableColumn id="10" name="Status" dataDxfId="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table" Target="../tables/table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ainel">
    <tabColor rgb="FF1A3C6E"/>
    <pageSetUpPr fitToPage="1"/>
  </sheetPr>
  <dimension ref="A1:P63"/>
  <sheetViews>
    <sheetView showGridLines="0" tabSelected="1" workbookViewId="0"/>
  </sheetViews>
  <sheetFormatPr defaultRowHeight="15"/>
  <cols>
    <col min="1" max="1" width="1.42578125" customWidth="1"/>
    <col min="2" max="2" width="12" customWidth="1"/>
    <col min="3" max="4" width="10" customWidth="1"/>
    <col min="5" max="5" width="13.140625" customWidth="1"/>
    <col min="6" max="7" width="8.85546875" customWidth="1"/>
    <col min="8" max="8" width="1.7109375" customWidth="1"/>
    <col min="9" max="9" width="17.42578125" customWidth="1"/>
    <col min="10" max="10" width="1.7109375" customWidth="1"/>
    <col min="11" max="11" width="35.140625" customWidth="1"/>
    <col min="12" max="12" width="1.7109375" customWidth="1"/>
    <col min="13" max="13" width="17.140625" customWidth="1"/>
    <col min="14" max="14" width="28" customWidth="1"/>
    <col min="15" max="15" width="1.42578125" customWidth="1"/>
    <col min="16" max="16" width="2.85546875" customWidth="1"/>
  </cols>
  <sheetData>
    <row r="1" spans="1:16" ht="8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ht="14" customHeight="1">
      <c r="A2" s="1"/>
      <c r="B2" s="2" t="s">
        <v>231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ht="26" customHeight="1">
      <c r="A3" s="1"/>
      <c r="B3" s="3"/>
      <c r="C3" s="4"/>
      <c r="D3" s="5" t="s">
        <v>232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ht="10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6" spans="1:16" ht="38" customHeight="1">
      <c r="A6" s="6"/>
      <c r="B6" s="7">
        <f>IF(TRIM(bTit&amp;"")="","COMPARATIVO DE MEDIÇÕES DE QUALIDADE",UPPER(bTit))</f>
        <v>0</v>
      </c>
      <c r="C6" s="8"/>
      <c r="D6" s="8"/>
      <c r="E6" s="8"/>
      <c r="F6" s="8"/>
      <c r="G6" s="9">
        <f>"|    "&amp;UPPER(bSub)</f>
        <v>0</v>
      </c>
      <c r="H6" s="8"/>
      <c r="I6" s="8"/>
      <c r="J6" s="8"/>
      <c r="K6" s="8"/>
      <c r="L6" s="8"/>
      <c r="M6" s="6"/>
      <c r="N6" s="6"/>
      <c r="O6" s="6"/>
    </row>
    <row r="7" spans="1:16" ht="22" customHeight="1">
      <c r="A7" s="10"/>
      <c r="B7" s="11" t="s">
        <v>233</v>
      </c>
      <c r="C7" s="11"/>
      <c r="D7" s="11"/>
      <c r="E7" s="11"/>
      <c r="F7" s="11"/>
      <c r="G7" s="12">
        <f>"BATCH "&amp;bId&amp;"   |   "&amp;gDataTxt&amp;IF(bMin&lt;&gt;"","   |   Mineroduto "&amp;bMin,"")</f>
        <v>0</v>
      </c>
      <c r="H7" s="13"/>
      <c r="I7" s="13"/>
      <c r="J7" s="13"/>
      <c r="K7" s="13"/>
      <c r="L7" s="13"/>
      <c r="M7" s="13"/>
      <c r="N7" s="13"/>
      <c r="O7" s="10"/>
    </row>
    <row r="8" spans="1:16" ht="10" customHeight="1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</row>
    <row r="9" spans="1:16" ht="20" customHeight="1">
      <c r="B9" s="15">
        <f>UPPER("Farol — Batch "&amp;bId&amp;IF(bMin&lt;&gt;""," · Mineroduto "&amp;bMin,"")&amp;" · ref. "&amp;gRefNome)</f>
        <v>0</v>
      </c>
      <c r="C9" s="15"/>
      <c r="D9" s="15"/>
      <c r="E9" s="15"/>
      <c r="F9" s="15"/>
      <c r="G9" s="15"/>
      <c r="I9" s="15" t="s">
        <v>234</v>
      </c>
      <c r="J9" s="15"/>
      <c r="K9" s="15"/>
      <c r="L9" s="15"/>
      <c r="M9" s="15"/>
      <c r="N9" s="15"/>
    </row>
    <row r="10" spans="1:16" ht="28" customHeight="1">
      <c r="B10" s="16"/>
      <c r="C10" s="16">
        <f>UPPER(bLabA)&amp;IF(bRef=bLabA," ★","")&amp;CHAR(10)&amp;"(MÉDIA)"</f>
        <v>0</v>
      </c>
      <c r="D10" s="16">
        <f>UPPER(bLabB)&amp;IF(bRef=bLabB," ★","")&amp;CHAR(10)&amp;"(MÉDIA)"</f>
        <v>0</v>
      </c>
      <c r="E10" s="16">
        <f>"DIFERENÇA"&amp;CHAR(10)&amp;"("&amp;UPPER(gAvalNome)&amp;"−"&amp;UPPER(gRefNome)&amp;")"</f>
        <v>0</v>
      </c>
      <c r="F10" s="16" t="s">
        <v>235</v>
      </c>
      <c r="G10" s="16" t="s">
        <v>236</v>
      </c>
      <c r="I10" s="17">
        <f>gComentarios</f>
        <v>0</v>
      </c>
      <c r="J10" s="17"/>
      <c r="K10" s="17"/>
      <c r="L10" s="17"/>
      <c r="M10" s="17"/>
      <c r="N10" s="17"/>
    </row>
    <row r="11" spans="1:16" ht="21" customHeight="1">
      <c r="B11" s="18" t="s">
        <v>12</v>
      </c>
      <c r="C11" s="19">
        <f>'_Graf'!$B$31</f>
        <v>0</v>
      </c>
      <c r="D11" s="19">
        <f>'_Graf'!$C$31</f>
        <v>0</v>
      </c>
      <c r="E11" s="20">
        <f>IF(ISNUMBER('_Graf'!$D$31),'_Graf'!$E$31,"—")</f>
        <v>0</v>
      </c>
      <c r="F11" s="19">
        <f>'_Graf'!$H$31</f>
        <v>0</v>
      </c>
      <c r="G11" s="21">
        <f>'_Graf'!$F$31</f>
        <v>0</v>
      </c>
      <c r="I11" s="17"/>
      <c r="J11" s="17"/>
      <c r="K11" s="17"/>
      <c r="L11" s="17"/>
      <c r="M11" s="17"/>
      <c r="N11" s="17"/>
    </row>
    <row r="12" spans="1:16" ht="21" customHeight="1">
      <c r="B12" s="18" t="s">
        <v>19</v>
      </c>
      <c r="C12" s="22">
        <f>'_Graf'!$B$32</f>
        <v>0</v>
      </c>
      <c r="D12" s="22">
        <f>'_Graf'!$C$32</f>
        <v>0</v>
      </c>
      <c r="E12" s="23">
        <f>IF(ISNUMBER('_Graf'!$D$32),'_Graf'!$E$32,"—")</f>
        <v>0</v>
      </c>
      <c r="F12" s="22">
        <f>'_Graf'!$H$32</f>
        <v>0</v>
      </c>
      <c r="G12" s="21">
        <f>'_Graf'!$F$32</f>
        <v>0</v>
      </c>
      <c r="I12" s="17"/>
      <c r="J12" s="17"/>
      <c r="K12" s="17"/>
      <c r="L12" s="17"/>
      <c r="M12" s="17"/>
      <c r="N12" s="17"/>
    </row>
    <row r="13" spans="1:16" ht="21" customHeight="1">
      <c r="B13" s="18" t="s">
        <v>22</v>
      </c>
      <c r="C13" s="24">
        <f>'_Graf'!$B$33</f>
        <v>0</v>
      </c>
      <c r="D13" s="24">
        <f>'_Graf'!$C$33</f>
        <v>0</v>
      </c>
      <c r="E13" s="25">
        <f>IF(ISNUMBER('_Graf'!$D$33),'_Graf'!$E$33,"—")</f>
        <v>0</v>
      </c>
      <c r="F13" s="24">
        <f>'_Graf'!$H$33</f>
        <v>0</v>
      </c>
      <c r="G13" s="21">
        <f>'_Graf'!$F$33</f>
        <v>0</v>
      </c>
      <c r="I13" s="17"/>
      <c r="J13" s="17"/>
      <c r="K13" s="17"/>
      <c r="L13" s="17"/>
      <c r="M13" s="17"/>
      <c r="N13" s="17"/>
    </row>
    <row r="14" spans="1:16" ht="21" customHeight="1">
      <c r="B14" s="18" t="s">
        <v>25</v>
      </c>
      <c r="C14" s="26">
        <f>'_Graf'!$B$34</f>
        <v>0</v>
      </c>
      <c r="D14" s="26">
        <f>'_Graf'!$C$34</f>
        <v>0</v>
      </c>
      <c r="E14" s="27">
        <f>IF(ISNUMBER('_Graf'!$D$34),'_Graf'!$E$34,"—")</f>
        <v>0</v>
      </c>
      <c r="F14" s="26">
        <f>'_Graf'!$H$34</f>
        <v>0</v>
      </c>
      <c r="G14" s="21">
        <f>'_Graf'!$F$34</f>
        <v>0</v>
      </c>
      <c r="I14" s="17"/>
      <c r="J14" s="17"/>
      <c r="K14" s="17"/>
      <c r="L14" s="17"/>
      <c r="M14" s="17"/>
      <c r="N14" s="17"/>
    </row>
    <row r="15" spans="1:16" ht="21" customHeight="1">
      <c r="B15" s="18" t="s">
        <v>28</v>
      </c>
      <c r="C15" s="24">
        <f>'_Graf'!$B$35</f>
        <v>0</v>
      </c>
      <c r="D15" s="24">
        <f>'_Graf'!$C$35</f>
        <v>0</v>
      </c>
      <c r="E15" s="25">
        <f>IF(ISNUMBER('_Graf'!$D$35),'_Graf'!$E$35,"—")</f>
        <v>0</v>
      </c>
      <c r="F15" s="24">
        <f>'_Graf'!$H$35</f>
        <v>0</v>
      </c>
      <c r="G15" s="21">
        <f>'_Graf'!$F$35</f>
        <v>0</v>
      </c>
      <c r="I15" s="17"/>
      <c r="J15" s="17"/>
      <c r="K15" s="17"/>
      <c r="L15" s="17"/>
      <c r="M15" s="17"/>
      <c r="N15" s="17"/>
    </row>
    <row r="16" spans="1:16" ht="16" customHeight="1">
      <c r="B16" s="28" t="s">
        <v>237</v>
      </c>
      <c r="C16" s="28"/>
      <c r="D16" s="28"/>
      <c r="E16" s="29" t="s">
        <v>238</v>
      </c>
      <c r="F16" s="29"/>
      <c r="G16" s="29"/>
      <c r="I16" s="17"/>
      <c r="J16" s="17"/>
      <c r="K16" s="17"/>
      <c r="L16" s="17"/>
      <c r="M16" s="17"/>
      <c r="N16" s="17"/>
    </row>
    <row r="17" spans="2:14" ht="10" customHeight="1"/>
    <row r="18" spans="2:14" ht="19" customHeight="1">
      <c r="B18" s="30">
        <f>UPPER(tit_P)</f>
        <v>0</v>
      </c>
      <c r="C18" s="30"/>
      <c r="D18" s="30"/>
      <c r="E18" s="30"/>
      <c r="F18" s="30"/>
      <c r="G18" s="30"/>
      <c r="H18" s="30"/>
      <c r="I18" s="31">
        <f>IF(pSt_P="—","—  ","●  "&amp;pSt_P&amp;"  ")</f>
        <v>0</v>
      </c>
      <c r="K18" s="30">
        <f>UPPER(tit_SiO2)</f>
        <v>0</v>
      </c>
      <c r="L18" s="30"/>
      <c r="M18" s="30"/>
      <c r="N18" s="31">
        <f>IF(pSt_SiO2="—","—  ","●  "&amp;pSt_SiO2&amp;"  ")</f>
        <v>0</v>
      </c>
    </row>
    <row r="19" spans="2:14"/>
    <row r="20" spans="2:14"/>
    <row r="21" spans="2:14"/>
    <row r="22" spans="2:14"/>
    <row r="23" spans="2:14"/>
    <row r="24" spans="2:14"/>
    <row r="25" spans="2:14"/>
    <row r="26" spans="2:14"/>
    <row r="27" spans="2:14"/>
    <row r="28" spans="2:14"/>
    <row r="29" spans="2:14"/>
    <row r="30" spans="2:14"/>
    <row r="31" spans="2:14"/>
    <row r="32" spans="2:14" ht="10" customHeight="1"/>
    <row r="33" spans="2:14" ht="19" customHeight="1">
      <c r="B33" s="30">
        <f>UPPER(tit_PPC)</f>
        <v>0</v>
      </c>
      <c r="C33" s="30"/>
      <c r="D33" s="30"/>
      <c r="E33" s="30"/>
      <c r="F33" s="30"/>
      <c r="G33" s="30"/>
      <c r="H33" s="30"/>
      <c r="I33" s="31">
        <f>IF(pSt_PPC="—","—  ","●  "&amp;pSt_PPC&amp;"  ")</f>
        <v>0</v>
      </c>
      <c r="K33" s="30">
        <f>UPPER(tit_325)</f>
        <v>0</v>
      </c>
      <c r="L33" s="30"/>
      <c r="M33" s="30"/>
      <c r="N33" s="31">
        <f>IF(pSt_325="—","—  ","●  "&amp;pSt_325&amp;"  ")</f>
        <v>0</v>
      </c>
    </row>
    <row r="34" spans="2:14"/>
    <row r="35" spans="2:14"/>
    <row r="36" spans="2:14"/>
    <row r="37" spans="2:14"/>
    <row r="38" spans="2:14"/>
    <row r="39" spans="2:14"/>
    <row r="40" spans="2:14"/>
    <row r="41" spans="2:14"/>
    <row r="42" spans="2:14"/>
    <row r="43" spans="2:14"/>
    <row r="44" spans="2:14"/>
    <row r="45" spans="2:14"/>
    <row r="46" spans="2:14"/>
    <row r="47" spans="2:14" ht="10" customHeight="1"/>
    <row r="48" spans="2:14" ht="19" customHeight="1">
      <c r="B48" s="30">
        <f>UPPER(tit_SE)</f>
        <v>0</v>
      </c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1">
        <f>IF(pSt_SE="—","—  ","●  "&amp;pSt_SE&amp;"  ")</f>
        <v>0</v>
      </c>
    </row>
    <row r="49" spans="2:14"/>
    <row r="50" spans="2:14"/>
    <row r="51" spans="2:14"/>
    <row r="52" spans="2:14"/>
    <row r="53" spans="2:14"/>
    <row r="54" spans="2:14"/>
    <row r="55" spans="2:14"/>
    <row r="56" spans="2:14"/>
    <row r="57" spans="2:14"/>
    <row r="58" spans="2:14"/>
    <row r="59" spans="2:14"/>
    <row r="60" spans="2:14"/>
    <row r="61" spans="2:14"/>
    <row r="62" spans="2:14" ht="10" customHeight="1"/>
    <row r="63" spans="2:14" ht="16" customHeight="1">
      <c r="B63" s="32">
        <f>"Diferença = "&amp;gAvalNome&amp;" − "&amp;gRefNome&amp;" (referência: "&amp;gRefNome&amp;")   ·   faixa verde tracejada = tolerância   ·   ◆ = diferença das médias"</f>
        <v>0</v>
      </c>
      <c r="C63" s="32"/>
      <c r="D63" s="32"/>
      <c r="E63" s="32"/>
      <c r="F63" s="32"/>
      <c r="G63" s="32"/>
      <c r="H63" s="32"/>
      <c r="I63" s="32"/>
      <c r="J63" s="32"/>
      <c r="K63" s="32"/>
      <c r="L63" s="32"/>
      <c r="M63" s="32"/>
      <c r="N63" s="32"/>
    </row>
  </sheetData>
  <sheetProtection sheet="1" objects="1" scenarios="1" formatColumns="0" formatRows="0"/>
  <mergeCells count="17">
    <mergeCell ref="B3:C3"/>
    <mergeCell ref="B6:F6"/>
    <mergeCell ref="G6:L6"/>
    <mergeCell ref="M6:N6"/>
    <mergeCell ref="B7:F7"/>
    <mergeCell ref="G7:N7"/>
    <mergeCell ref="B9:G9"/>
    <mergeCell ref="I9:N9"/>
    <mergeCell ref="B16:D16"/>
    <mergeCell ref="E16:G16"/>
    <mergeCell ref="I10:N16"/>
    <mergeCell ref="B18:H18"/>
    <mergeCell ref="K18:M18"/>
    <mergeCell ref="B33:H33"/>
    <mergeCell ref="K33:M33"/>
    <mergeCell ref="B48:M48"/>
    <mergeCell ref="B63:N63"/>
  </mergeCells>
  <conditionalFormatting sqref="B11:F15">
    <cfRule type="expression" dxfId="4" priority="3">
      <formula>$G11="NOK"</formula>
    </cfRule>
  </conditionalFormatting>
  <conditionalFormatting sqref="G11:G15">
    <cfRule type="cellIs" dxfId="2" priority="1" operator="equal">
      <formula>"OK"</formula>
    </cfRule>
    <cfRule type="cellIs" dxfId="3" priority="2" operator="equal">
      <formula>"NOK"</formula>
    </cfRule>
  </conditionalFormatting>
  <conditionalFormatting sqref="I18">
    <cfRule type="expression" dxfId="5" priority="4">
      <formula>pSt_P="OK"</formula>
    </cfRule>
    <cfRule type="expression" dxfId="6" priority="5">
      <formula>pSt_P="NOK"</formula>
    </cfRule>
  </conditionalFormatting>
  <conditionalFormatting sqref="I33">
    <cfRule type="expression" dxfId="5" priority="8">
      <formula>pSt_PPC="OK"</formula>
    </cfRule>
    <cfRule type="expression" dxfId="6" priority="9">
      <formula>pSt_PPC="NOK"</formula>
    </cfRule>
  </conditionalFormatting>
  <conditionalFormatting sqref="N18">
    <cfRule type="expression" dxfId="5" priority="6">
      <formula>pSt_SiO2="OK"</formula>
    </cfRule>
    <cfRule type="expression" dxfId="6" priority="7">
      <formula>pSt_SiO2="NOK"</formula>
    </cfRule>
  </conditionalFormatting>
  <conditionalFormatting sqref="N33">
    <cfRule type="expression" dxfId="5" priority="10">
      <formula>pSt_325="OK"</formula>
    </cfRule>
    <cfRule type="expression" dxfId="6" priority="11">
      <formula>pSt_325="NOK"</formula>
    </cfRule>
  </conditionalFormatting>
  <conditionalFormatting sqref="N48">
    <cfRule type="expression" dxfId="5" priority="12">
      <formula>pSt_SE="OK"</formula>
    </cfRule>
    <cfRule type="expression" dxfId="6" priority="13">
      <formula>pSt_SE="NOK"</formula>
    </cfRule>
  </conditionalFormatting>
  <dataValidations count="1">
    <dataValidation type="list" errorStyle="information" allowBlank="1" showInputMessage="1" showErrorMessage="1" error="Batch não encontrado no histórico." sqref="B3">
      <formula1>lstBatches</formula1>
    </dataValidation>
  </dataValidations>
  <printOptions horizontalCentered="1"/>
  <pageMargins left="0.3" right="0.3" top="0.3" bottom="0.3" header="0.3" footer="0.3"/>
  <pageSetup paperSize="9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Batch">
    <tabColor rgb="FFFDB913"/>
    <pageSetUpPr fitToPage="1"/>
  </sheetPr>
  <dimension ref="B2:Y62"/>
  <sheetViews>
    <sheetView showGridLines="0" workbookViewId="0"/>
  </sheetViews>
  <sheetFormatPr defaultRowHeight="18" customHeight="1"/>
  <cols>
    <col min="1" max="1" width="2.28515625" customWidth="1"/>
    <col min="2" max="2" width="5.7109375" customWidth="1"/>
    <col min="3" max="3" width="25.7109375" customWidth="1"/>
    <col min="4" max="4" width="17.28515625" customWidth="1"/>
    <col min="5" max="14" width="10" customWidth="1"/>
    <col min="15" max="15" width="2.28515625" customWidth="1"/>
    <col min="16" max="20" width="10" customWidth="1"/>
    <col min="21" max="25" width="6.7109375" hidden="1" customWidth="1"/>
    <col min="26" max="26" width="2.7109375" customWidth="1"/>
  </cols>
  <sheetData>
    <row r="2" spans="2:20" ht="34" customHeight="1">
      <c r="B2" s="7" t="s">
        <v>92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</row>
    <row r="3" spans="2:20" ht="8" customHeight="1"/>
    <row r="4" spans="2:20" ht="22" customHeight="1">
      <c r="B4" s="33" t="s">
        <v>93</v>
      </c>
      <c r="C4" s="33"/>
      <c r="D4" s="33" t="s">
        <v>94</v>
      </c>
      <c r="E4" s="33"/>
      <c r="F4" s="33"/>
      <c r="G4" s="33"/>
      <c r="H4" s="33"/>
      <c r="I4" s="33"/>
      <c r="J4" s="33"/>
      <c r="K4" s="33"/>
      <c r="L4" s="33"/>
    </row>
    <row r="5" spans="2:20" ht="16" customHeight="1">
      <c r="B5" s="34"/>
      <c r="C5" s="34"/>
      <c r="D5" s="35"/>
      <c r="E5" s="35"/>
      <c r="F5" s="35"/>
      <c r="G5" s="35"/>
      <c r="H5" s="35"/>
      <c r="I5" s="35"/>
      <c r="J5" s="35"/>
      <c r="K5" s="35"/>
      <c r="L5" s="35"/>
    </row>
    <row r="6" spans="2:20" ht="16" customHeight="1">
      <c r="B6" s="34"/>
      <c r="C6" s="34"/>
      <c r="D6" s="35"/>
      <c r="E6" s="35"/>
      <c r="F6" s="35"/>
      <c r="G6" s="35"/>
      <c r="H6" s="35"/>
      <c r="I6" s="35"/>
      <c r="J6" s="35"/>
      <c r="K6" s="35"/>
      <c r="L6" s="35"/>
    </row>
    <row r="7" spans="2:20" ht="16" customHeight="1">
      <c r="B7" s="33" t="s">
        <v>95</v>
      </c>
      <c r="C7" s="33"/>
      <c r="D7" s="35"/>
      <c r="E7" s="35"/>
      <c r="F7" s="35"/>
      <c r="G7" s="35"/>
      <c r="H7" s="35"/>
      <c r="I7" s="35"/>
      <c r="J7" s="35"/>
      <c r="K7" s="35"/>
      <c r="L7" s="35"/>
    </row>
    <row r="8" spans="2:20" ht="16" customHeight="1">
      <c r="B8" s="36"/>
      <c r="C8" s="36"/>
      <c r="D8" s="35"/>
      <c r="E8" s="35"/>
      <c r="F8" s="35"/>
      <c r="G8" s="35"/>
      <c r="H8" s="35"/>
      <c r="I8" s="35"/>
      <c r="J8" s="35"/>
      <c r="K8" s="35"/>
      <c r="L8" s="35"/>
    </row>
    <row r="9" spans="2:20" ht="16" customHeight="1">
      <c r="B9" s="37">
        <f>IF(AND(ISNUMBER(bIniP),ISNUMBER(bIniU)),ROUND((bIniP-bIniU)*24,2),IF(bNivel&lt;&gt;"",gAtrasoNivel,""))</f>
        <v>0</v>
      </c>
      <c r="C9" s="37"/>
      <c r="D9" s="35"/>
      <c r="E9" s="35"/>
      <c r="F9" s="35"/>
      <c r="G9" s="35"/>
      <c r="H9" s="35"/>
      <c r="I9" s="35"/>
      <c r="J9" s="35"/>
      <c r="K9" s="35"/>
      <c r="L9" s="35"/>
    </row>
    <row r="10" spans="2:20" ht="16" customHeight="1">
      <c r="D10" s="35"/>
      <c r="E10" s="35"/>
      <c r="F10" s="35"/>
      <c r="G10" s="35"/>
      <c r="H10" s="35"/>
      <c r="I10" s="35"/>
      <c r="J10" s="35"/>
      <c r="K10" s="35"/>
      <c r="L10" s="35"/>
    </row>
    <row r="11" spans="2:20" ht="16" customHeight="1">
      <c r="D11" s="35"/>
      <c r="E11" s="35"/>
      <c r="F11" s="35"/>
      <c r="G11" s="35"/>
      <c r="H11" s="35"/>
      <c r="I11" s="35"/>
      <c r="J11" s="35"/>
      <c r="K11" s="35"/>
      <c r="L11" s="35"/>
    </row>
    <row r="12" spans="2:20" ht="18" customHeight="1">
      <c r="D12" s="38"/>
      <c r="E12" s="38"/>
      <c r="F12" s="38"/>
      <c r="G12" s="38"/>
      <c r="H12" s="38"/>
      <c r="I12" s="38"/>
      <c r="J12" s="38"/>
      <c r="K12" s="38"/>
      <c r="L12" s="38"/>
    </row>
    <row r="13" spans="2:20" ht="14" customHeight="1">
      <c r="B13" s="39" t="s">
        <v>96</v>
      </c>
      <c r="C13" s="39"/>
      <c r="D13" s="39" t="s">
        <v>97</v>
      </c>
      <c r="E13" s="39" t="s">
        <v>98</v>
      </c>
      <c r="F13" s="39"/>
      <c r="G13" s="39" t="s">
        <v>99</v>
      </c>
      <c r="H13" s="39"/>
      <c r="I13" s="40" t="s">
        <v>100</v>
      </c>
      <c r="J13" s="40"/>
      <c r="K13" s="39" t="s">
        <v>101</v>
      </c>
      <c r="L13" s="39"/>
      <c r="M13" s="39" t="s">
        <v>102</v>
      </c>
      <c r="N13" s="39"/>
      <c r="P13" s="39" t="s">
        <v>103</v>
      </c>
      <c r="Q13" s="39"/>
      <c r="R13" s="39" t="s">
        <v>104</v>
      </c>
      <c r="S13" s="39"/>
    </row>
    <row r="14" spans="2:20" ht="22" customHeight="1">
      <c r="B14" s="41"/>
      <c r="C14" s="41"/>
      <c r="D14" s="41"/>
      <c r="E14" s="41"/>
      <c r="F14" s="41"/>
      <c r="G14" s="41"/>
      <c r="H14" s="41"/>
      <c r="I14" s="42">
        <f>IF(ISNUMBER(bIniPMan),bIniPMan,IF(ISNUMBER(bIniU),bIniU+N(gAtrasoNivel)/24,""))</f>
        <v>0</v>
      </c>
      <c r="J14" s="42"/>
      <c r="K14" s="43">
        <f>IF(ISNUMBER(gNGer),gNGer,IF(ISNUMBER(gNHorFim),gNHorFim,padNHor))</f>
        <v>0</v>
      </c>
      <c r="L14" s="43"/>
      <c r="M14" s="44">
        <f>IF(AND(ISNUMBER(gJanU),ISNUMBER(gJanG)),ROUND((gJanU-gJanG)*24,2),"")</f>
        <v>0</v>
      </c>
      <c r="N14" s="44"/>
      <c r="P14" s="45">
        <f>TODAY()</f>
        <v>0</v>
      </c>
      <c r="Q14" s="45"/>
      <c r="R14" s="43" t="s">
        <v>67</v>
      </c>
      <c r="S14" s="43"/>
    </row>
    <row r="15" spans="2:20" ht="8" customHeight="1"/>
    <row r="16" spans="2:20" ht="22" customHeight="1">
      <c r="B16" s="33" t="s">
        <v>105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</row>
    <row r="17" spans="2:25" ht="28" customHeight="1">
      <c r="B17" s="46" t="s">
        <v>106</v>
      </c>
      <c r="C17" s="46" t="s">
        <v>107</v>
      </c>
      <c r="D17" s="46" t="s">
        <v>108</v>
      </c>
      <c r="E17" s="47">
        <f>"S.E."&amp;CHAR(10)&amp;bLabA</f>
        <v>0</v>
      </c>
      <c r="F17" s="48">
        <f>"S.E."&amp;CHAR(10)&amp;bLabB</f>
        <v>0</v>
      </c>
      <c r="G17" s="47">
        <f>"&lt;325#"&amp;CHAR(10)&amp;bLabA</f>
        <v>0</v>
      </c>
      <c r="H17" s="48">
        <f>"&lt;325#"&amp;CHAR(10)&amp;bLabB</f>
        <v>0</v>
      </c>
      <c r="I17" s="47">
        <f>"SiO₂"&amp;CHAR(10)&amp;bLabA</f>
        <v>0</v>
      </c>
      <c r="J17" s="48">
        <f>"SiO₂"&amp;CHAR(10)&amp;bLabB</f>
        <v>0</v>
      </c>
      <c r="K17" s="47">
        <f>"P"&amp;CHAR(10)&amp;bLabA</f>
        <v>0</v>
      </c>
      <c r="L17" s="48">
        <f>"P"&amp;CHAR(10)&amp;bLabB</f>
        <v>0</v>
      </c>
      <c r="M17" s="47">
        <f>"PPC"&amp;CHAR(10)&amp;bLabA</f>
        <v>0</v>
      </c>
      <c r="N17" s="48">
        <f>"PPC"&amp;CHAR(10)&amp;bLabB</f>
        <v>0</v>
      </c>
      <c r="P17" s="49" t="s">
        <v>109</v>
      </c>
      <c r="Q17" s="49" t="s">
        <v>111</v>
      </c>
      <c r="R17" s="49" t="s">
        <v>113</v>
      </c>
      <c r="S17" s="49" t="s">
        <v>115</v>
      </c>
      <c r="T17" s="49" t="s">
        <v>117</v>
      </c>
      <c r="U17" s="46" t="s">
        <v>110</v>
      </c>
      <c r="V17" s="46" t="s">
        <v>112</v>
      </c>
      <c r="W17" s="46" t="s">
        <v>114</v>
      </c>
      <c r="X17" s="46" t="s">
        <v>116</v>
      </c>
      <c r="Y17" s="46" t="s">
        <v>118</v>
      </c>
    </row>
    <row r="18" spans="2:25" ht="18" customHeight="1">
      <c r="B18" s="50">
        <v>1</v>
      </c>
      <c r="C18" s="51">
        <f>IF(AND(ISNUMBER(gJanU),1&lt;=bNHor),gJanU+0/12+cfgMinAntes/1440,"")</f>
        <v>0</v>
      </c>
      <c r="D18" s="52">
        <f>IF(ISNUMBER(C18),IF(ISNUMBER(gJanG),IF(1&lt;=gNG,gJanG+0/12+cfgMinG/1440,""),C18),"")</f>
        <v>0</v>
      </c>
      <c r="E18" s="53"/>
      <c r="F18" s="54"/>
      <c r="G18" s="55"/>
      <c r="H18" s="56"/>
      <c r="I18" s="57"/>
      <c r="J18" s="58"/>
      <c r="K18" s="59"/>
      <c r="L18" s="60"/>
      <c r="M18" s="57"/>
      <c r="N18" s="58"/>
      <c r="P18" s="61">
        <f>IF(AND(ISNUMBER(E18),ISNUMBER(F18)),IF(bRef=bLabA,F18-E18,E18-F18),"")</f>
        <v>0</v>
      </c>
      <c r="Q18" s="62">
        <f>IF(AND(ISNUMBER(G18),ISNUMBER(H18)),IF(bRef=bLabA,H18-G18,G18-H18),"")</f>
        <v>0</v>
      </c>
      <c r="R18" s="63">
        <f>IF(AND(ISNUMBER(I18),ISNUMBER(J18)),IF(bRef=bLabA,J18-I18,I18-J18),"")</f>
        <v>0</v>
      </c>
      <c r="S18" s="64">
        <f>IF(AND(ISNUMBER(K18),ISNUMBER(L18)),IF(bRef=bLabA,L18-K18,K18-L18),"")</f>
        <v>0</v>
      </c>
      <c r="T18" s="63">
        <f>IF(AND(ISNUMBER(M18),ISNUMBER(N18)),IF(bRef=bLabA,N18-M18,M18-N18),"")</f>
        <v>0</v>
      </c>
      <c r="U18" s="65">
        <f>IF(AND(ISNUMBER(E18),ISNUMBER(F18)),SUMPRODUCT(ISNUMBER(E$18:E18)*ISNUMBER(F$18:F18)),"")</f>
        <v>0</v>
      </c>
      <c r="V18" s="65">
        <f>IF(AND(ISNUMBER(G18),ISNUMBER(H18)),SUMPRODUCT(ISNUMBER(G$18:G18)*ISNUMBER(H$18:H18)),"")</f>
        <v>0</v>
      </c>
      <c r="W18" s="65">
        <f>IF(AND(ISNUMBER(I18),ISNUMBER(J18)),SUMPRODUCT(ISNUMBER(I$18:I18)*ISNUMBER(J$18:J18)),"")</f>
        <v>0</v>
      </c>
      <c r="X18" s="65">
        <f>IF(AND(ISNUMBER(K18),ISNUMBER(L18)),SUMPRODUCT(ISNUMBER(K$18:K18)*ISNUMBER(L$18:L18)),"")</f>
        <v>0</v>
      </c>
      <c r="Y18" s="65">
        <f>IF(AND(ISNUMBER(M18),ISNUMBER(N18)),SUMPRODUCT(ISNUMBER(M$18:M18)*ISNUMBER(N$18:N18)),"")</f>
        <v>0</v>
      </c>
    </row>
    <row r="19" spans="2:25" ht="18" customHeight="1">
      <c r="B19" s="50">
        <v>2</v>
      </c>
      <c r="C19" s="51">
        <f>IF(AND(ISNUMBER(gJanU),2&lt;=bNHor),gJanU+1/12+cfgMinAntes/1440,"")</f>
        <v>0</v>
      </c>
      <c r="D19" s="52">
        <f>IF(ISNUMBER(C19),IF(ISNUMBER(gJanG),IF(2&lt;=gNG,gJanG+1/12+cfgMinG/1440,""),C19),"")</f>
        <v>0</v>
      </c>
      <c r="E19" s="53"/>
      <c r="F19" s="54"/>
      <c r="G19" s="55"/>
      <c r="H19" s="56"/>
      <c r="I19" s="57"/>
      <c r="J19" s="58"/>
      <c r="K19" s="59"/>
      <c r="L19" s="60"/>
      <c r="M19" s="57"/>
      <c r="N19" s="58"/>
      <c r="P19" s="61">
        <f>IF(AND(ISNUMBER(E19),ISNUMBER(F19)),IF(bRef=bLabA,F19-E19,E19-F19),"")</f>
        <v>0</v>
      </c>
      <c r="Q19" s="62">
        <f>IF(AND(ISNUMBER(G19),ISNUMBER(H19)),IF(bRef=bLabA,H19-G19,G19-H19),"")</f>
        <v>0</v>
      </c>
      <c r="R19" s="63">
        <f>IF(AND(ISNUMBER(I19),ISNUMBER(J19)),IF(bRef=bLabA,J19-I19,I19-J19),"")</f>
        <v>0</v>
      </c>
      <c r="S19" s="64">
        <f>IF(AND(ISNUMBER(K19),ISNUMBER(L19)),IF(bRef=bLabA,L19-K19,K19-L19),"")</f>
        <v>0</v>
      </c>
      <c r="T19" s="63">
        <f>IF(AND(ISNUMBER(M19),ISNUMBER(N19)),IF(bRef=bLabA,N19-M19,M19-N19),"")</f>
        <v>0</v>
      </c>
      <c r="U19" s="65">
        <f>IF(AND(ISNUMBER(E19),ISNUMBER(F19)),SUMPRODUCT(ISNUMBER(E$18:E19)*ISNUMBER(F$18:F19)),"")</f>
        <v>0</v>
      </c>
      <c r="V19" s="65">
        <f>IF(AND(ISNUMBER(G19),ISNUMBER(H19)),SUMPRODUCT(ISNUMBER(G$18:G19)*ISNUMBER(H$18:H19)),"")</f>
        <v>0</v>
      </c>
      <c r="W19" s="65">
        <f>IF(AND(ISNUMBER(I19),ISNUMBER(J19)),SUMPRODUCT(ISNUMBER(I$18:I19)*ISNUMBER(J$18:J19)),"")</f>
        <v>0</v>
      </c>
      <c r="X19" s="65">
        <f>IF(AND(ISNUMBER(K19),ISNUMBER(L19)),SUMPRODUCT(ISNUMBER(K$18:K19)*ISNUMBER(L$18:L19)),"")</f>
        <v>0</v>
      </c>
      <c r="Y19" s="65">
        <f>IF(AND(ISNUMBER(M19),ISNUMBER(N19)),SUMPRODUCT(ISNUMBER(M$18:M19)*ISNUMBER(N$18:N19)),"")</f>
        <v>0</v>
      </c>
    </row>
    <row r="20" spans="2:25" ht="18" customHeight="1">
      <c r="B20" s="50">
        <v>3</v>
      </c>
      <c r="C20" s="51">
        <f>IF(AND(ISNUMBER(gJanU),3&lt;=bNHor),gJanU+2/12+cfgMinAntes/1440,"")</f>
        <v>0</v>
      </c>
      <c r="D20" s="52">
        <f>IF(ISNUMBER(C20),IF(ISNUMBER(gJanG),IF(3&lt;=gNG,gJanG+2/12+cfgMinG/1440,""),C20),"")</f>
        <v>0</v>
      </c>
      <c r="E20" s="53"/>
      <c r="F20" s="54"/>
      <c r="G20" s="55"/>
      <c r="H20" s="56"/>
      <c r="I20" s="57"/>
      <c r="J20" s="58"/>
      <c r="K20" s="59"/>
      <c r="L20" s="60"/>
      <c r="M20" s="57"/>
      <c r="N20" s="58"/>
      <c r="P20" s="61">
        <f>IF(AND(ISNUMBER(E20),ISNUMBER(F20)),IF(bRef=bLabA,F20-E20,E20-F20),"")</f>
        <v>0</v>
      </c>
      <c r="Q20" s="62">
        <f>IF(AND(ISNUMBER(G20),ISNUMBER(H20)),IF(bRef=bLabA,H20-G20,G20-H20),"")</f>
        <v>0</v>
      </c>
      <c r="R20" s="63">
        <f>IF(AND(ISNUMBER(I20),ISNUMBER(J20)),IF(bRef=bLabA,J20-I20,I20-J20),"")</f>
        <v>0</v>
      </c>
      <c r="S20" s="64">
        <f>IF(AND(ISNUMBER(K20),ISNUMBER(L20)),IF(bRef=bLabA,L20-K20,K20-L20),"")</f>
        <v>0</v>
      </c>
      <c r="T20" s="63">
        <f>IF(AND(ISNUMBER(M20),ISNUMBER(N20)),IF(bRef=bLabA,N20-M20,M20-N20),"")</f>
        <v>0</v>
      </c>
      <c r="U20" s="65">
        <f>IF(AND(ISNUMBER(E20),ISNUMBER(F20)),SUMPRODUCT(ISNUMBER(E$18:E20)*ISNUMBER(F$18:F20)),"")</f>
        <v>0</v>
      </c>
      <c r="V20" s="65">
        <f>IF(AND(ISNUMBER(G20),ISNUMBER(H20)),SUMPRODUCT(ISNUMBER(G$18:G20)*ISNUMBER(H$18:H20)),"")</f>
        <v>0</v>
      </c>
      <c r="W20" s="65">
        <f>IF(AND(ISNUMBER(I20),ISNUMBER(J20)),SUMPRODUCT(ISNUMBER(I$18:I20)*ISNUMBER(J$18:J20)),"")</f>
        <v>0</v>
      </c>
      <c r="X20" s="65">
        <f>IF(AND(ISNUMBER(K20),ISNUMBER(L20)),SUMPRODUCT(ISNUMBER(K$18:K20)*ISNUMBER(L$18:L20)),"")</f>
        <v>0</v>
      </c>
      <c r="Y20" s="65">
        <f>IF(AND(ISNUMBER(M20),ISNUMBER(N20)),SUMPRODUCT(ISNUMBER(M$18:M20)*ISNUMBER(N$18:N20)),"")</f>
        <v>0</v>
      </c>
    </row>
    <row r="21" spans="2:25" ht="18" customHeight="1">
      <c r="B21" s="50">
        <v>4</v>
      </c>
      <c r="C21" s="51">
        <f>IF(AND(ISNUMBER(gJanU),4&lt;=bNHor),gJanU+3/12+cfgMinAntes/1440,"")</f>
        <v>0</v>
      </c>
      <c r="D21" s="52">
        <f>IF(ISNUMBER(C21),IF(ISNUMBER(gJanG),IF(4&lt;=gNG,gJanG+3/12+cfgMinG/1440,""),C21),"")</f>
        <v>0</v>
      </c>
      <c r="E21" s="53"/>
      <c r="F21" s="54"/>
      <c r="G21" s="55"/>
      <c r="H21" s="56"/>
      <c r="I21" s="57"/>
      <c r="J21" s="58"/>
      <c r="K21" s="59"/>
      <c r="L21" s="60"/>
      <c r="M21" s="57"/>
      <c r="N21" s="58"/>
      <c r="P21" s="61">
        <f>IF(AND(ISNUMBER(E21),ISNUMBER(F21)),IF(bRef=bLabA,F21-E21,E21-F21),"")</f>
        <v>0</v>
      </c>
      <c r="Q21" s="62">
        <f>IF(AND(ISNUMBER(G21),ISNUMBER(H21)),IF(bRef=bLabA,H21-G21,G21-H21),"")</f>
        <v>0</v>
      </c>
      <c r="R21" s="63">
        <f>IF(AND(ISNUMBER(I21),ISNUMBER(J21)),IF(bRef=bLabA,J21-I21,I21-J21),"")</f>
        <v>0</v>
      </c>
      <c r="S21" s="64">
        <f>IF(AND(ISNUMBER(K21),ISNUMBER(L21)),IF(bRef=bLabA,L21-K21,K21-L21),"")</f>
        <v>0</v>
      </c>
      <c r="T21" s="63">
        <f>IF(AND(ISNUMBER(M21),ISNUMBER(N21)),IF(bRef=bLabA,N21-M21,M21-N21),"")</f>
        <v>0</v>
      </c>
      <c r="U21" s="65">
        <f>IF(AND(ISNUMBER(E21),ISNUMBER(F21)),SUMPRODUCT(ISNUMBER(E$18:E21)*ISNUMBER(F$18:F21)),"")</f>
        <v>0</v>
      </c>
      <c r="V21" s="65">
        <f>IF(AND(ISNUMBER(G21),ISNUMBER(H21)),SUMPRODUCT(ISNUMBER(G$18:G21)*ISNUMBER(H$18:H21)),"")</f>
        <v>0</v>
      </c>
      <c r="W21" s="65">
        <f>IF(AND(ISNUMBER(I21),ISNUMBER(J21)),SUMPRODUCT(ISNUMBER(I$18:I21)*ISNUMBER(J$18:J21)),"")</f>
        <v>0</v>
      </c>
      <c r="X21" s="65">
        <f>IF(AND(ISNUMBER(K21),ISNUMBER(L21)),SUMPRODUCT(ISNUMBER(K$18:K21)*ISNUMBER(L$18:L21)),"")</f>
        <v>0</v>
      </c>
      <c r="Y21" s="65">
        <f>IF(AND(ISNUMBER(M21),ISNUMBER(N21)),SUMPRODUCT(ISNUMBER(M$18:M21)*ISNUMBER(N$18:N21)),"")</f>
        <v>0</v>
      </c>
    </row>
    <row r="22" spans="2:25" ht="18" customHeight="1">
      <c r="B22" s="50">
        <v>5</v>
      </c>
      <c r="C22" s="51">
        <f>IF(AND(ISNUMBER(gJanU),5&lt;=bNHor),gJanU+4/12+cfgMinAntes/1440,"")</f>
        <v>0</v>
      </c>
      <c r="D22" s="52">
        <f>IF(ISNUMBER(C22),IF(ISNUMBER(gJanG),IF(5&lt;=gNG,gJanG+4/12+cfgMinG/1440,""),C22),"")</f>
        <v>0</v>
      </c>
      <c r="E22" s="53"/>
      <c r="F22" s="54"/>
      <c r="G22" s="55"/>
      <c r="H22" s="56"/>
      <c r="I22" s="57"/>
      <c r="J22" s="58"/>
      <c r="K22" s="59"/>
      <c r="L22" s="60"/>
      <c r="M22" s="57"/>
      <c r="N22" s="58"/>
      <c r="P22" s="61">
        <f>IF(AND(ISNUMBER(E22),ISNUMBER(F22)),IF(bRef=bLabA,F22-E22,E22-F22),"")</f>
        <v>0</v>
      </c>
      <c r="Q22" s="62">
        <f>IF(AND(ISNUMBER(G22),ISNUMBER(H22)),IF(bRef=bLabA,H22-G22,G22-H22),"")</f>
        <v>0</v>
      </c>
      <c r="R22" s="63">
        <f>IF(AND(ISNUMBER(I22),ISNUMBER(J22)),IF(bRef=bLabA,J22-I22,I22-J22),"")</f>
        <v>0</v>
      </c>
      <c r="S22" s="64">
        <f>IF(AND(ISNUMBER(K22),ISNUMBER(L22)),IF(bRef=bLabA,L22-K22,K22-L22),"")</f>
        <v>0</v>
      </c>
      <c r="T22" s="63">
        <f>IF(AND(ISNUMBER(M22),ISNUMBER(N22)),IF(bRef=bLabA,N22-M22,M22-N22),"")</f>
        <v>0</v>
      </c>
      <c r="U22" s="65">
        <f>IF(AND(ISNUMBER(E22),ISNUMBER(F22)),SUMPRODUCT(ISNUMBER(E$18:E22)*ISNUMBER(F$18:F22)),"")</f>
        <v>0</v>
      </c>
      <c r="V22" s="65">
        <f>IF(AND(ISNUMBER(G22),ISNUMBER(H22)),SUMPRODUCT(ISNUMBER(G$18:G22)*ISNUMBER(H$18:H22)),"")</f>
        <v>0</v>
      </c>
      <c r="W22" s="65">
        <f>IF(AND(ISNUMBER(I22),ISNUMBER(J22)),SUMPRODUCT(ISNUMBER(I$18:I22)*ISNUMBER(J$18:J22)),"")</f>
        <v>0</v>
      </c>
      <c r="X22" s="65">
        <f>IF(AND(ISNUMBER(K22),ISNUMBER(L22)),SUMPRODUCT(ISNUMBER(K$18:K22)*ISNUMBER(L$18:L22)),"")</f>
        <v>0</v>
      </c>
      <c r="Y22" s="65">
        <f>IF(AND(ISNUMBER(M22),ISNUMBER(N22)),SUMPRODUCT(ISNUMBER(M$18:M22)*ISNUMBER(N$18:N22)),"")</f>
        <v>0</v>
      </c>
    </row>
    <row r="23" spans="2:25" ht="18" customHeight="1">
      <c r="B23" s="50">
        <v>6</v>
      </c>
      <c r="C23" s="51">
        <f>IF(AND(ISNUMBER(gJanU),6&lt;=bNHor),gJanU+5/12+cfgMinAntes/1440,"")</f>
        <v>0</v>
      </c>
      <c r="D23" s="52">
        <f>IF(ISNUMBER(C23),IF(ISNUMBER(gJanG),IF(6&lt;=gNG,gJanG+5/12+cfgMinG/1440,""),C23),"")</f>
        <v>0</v>
      </c>
      <c r="E23" s="53"/>
      <c r="F23" s="54"/>
      <c r="G23" s="55"/>
      <c r="H23" s="56"/>
      <c r="I23" s="57"/>
      <c r="J23" s="58"/>
      <c r="K23" s="59"/>
      <c r="L23" s="60"/>
      <c r="M23" s="57"/>
      <c r="N23" s="58"/>
      <c r="P23" s="61">
        <f>IF(AND(ISNUMBER(E23),ISNUMBER(F23)),IF(bRef=bLabA,F23-E23,E23-F23),"")</f>
        <v>0</v>
      </c>
      <c r="Q23" s="62">
        <f>IF(AND(ISNUMBER(G23),ISNUMBER(H23)),IF(bRef=bLabA,H23-G23,G23-H23),"")</f>
        <v>0</v>
      </c>
      <c r="R23" s="63">
        <f>IF(AND(ISNUMBER(I23),ISNUMBER(J23)),IF(bRef=bLabA,J23-I23,I23-J23),"")</f>
        <v>0</v>
      </c>
      <c r="S23" s="64">
        <f>IF(AND(ISNUMBER(K23),ISNUMBER(L23)),IF(bRef=bLabA,L23-K23,K23-L23),"")</f>
        <v>0</v>
      </c>
      <c r="T23" s="63">
        <f>IF(AND(ISNUMBER(M23),ISNUMBER(N23)),IF(bRef=bLabA,N23-M23,M23-N23),"")</f>
        <v>0</v>
      </c>
      <c r="U23" s="65">
        <f>IF(AND(ISNUMBER(E23),ISNUMBER(F23)),SUMPRODUCT(ISNUMBER(E$18:E23)*ISNUMBER(F$18:F23)),"")</f>
        <v>0</v>
      </c>
      <c r="V23" s="65">
        <f>IF(AND(ISNUMBER(G23),ISNUMBER(H23)),SUMPRODUCT(ISNUMBER(G$18:G23)*ISNUMBER(H$18:H23)),"")</f>
        <v>0</v>
      </c>
      <c r="W23" s="65">
        <f>IF(AND(ISNUMBER(I23),ISNUMBER(J23)),SUMPRODUCT(ISNUMBER(I$18:I23)*ISNUMBER(J$18:J23)),"")</f>
        <v>0</v>
      </c>
      <c r="X23" s="65">
        <f>IF(AND(ISNUMBER(K23),ISNUMBER(L23)),SUMPRODUCT(ISNUMBER(K$18:K23)*ISNUMBER(L$18:L23)),"")</f>
        <v>0</v>
      </c>
      <c r="Y23" s="65">
        <f>IF(AND(ISNUMBER(M23),ISNUMBER(N23)),SUMPRODUCT(ISNUMBER(M$18:M23)*ISNUMBER(N$18:N23)),"")</f>
        <v>0</v>
      </c>
    </row>
    <row r="24" spans="2:25" ht="18" customHeight="1">
      <c r="B24" s="50">
        <v>7</v>
      </c>
      <c r="C24" s="51">
        <f>IF(AND(ISNUMBER(gJanU),7&lt;=bNHor),gJanU+6/12+cfgMinAntes/1440,"")</f>
        <v>0</v>
      </c>
      <c r="D24" s="52">
        <f>IF(ISNUMBER(C24),IF(ISNUMBER(gJanG),IF(7&lt;=gNG,gJanG+6/12+cfgMinG/1440,""),C24),"")</f>
        <v>0</v>
      </c>
      <c r="E24" s="53"/>
      <c r="F24" s="54"/>
      <c r="G24" s="55"/>
      <c r="H24" s="56"/>
      <c r="I24" s="57"/>
      <c r="J24" s="58"/>
      <c r="K24" s="59"/>
      <c r="L24" s="60"/>
      <c r="M24" s="57"/>
      <c r="N24" s="58"/>
      <c r="P24" s="61">
        <f>IF(AND(ISNUMBER(E24),ISNUMBER(F24)),IF(bRef=bLabA,F24-E24,E24-F24),"")</f>
        <v>0</v>
      </c>
      <c r="Q24" s="62">
        <f>IF(AND(ISNUMBER(G24),ISNUMBER(H24)),IF(bRef=bLabA,H24-G24,G24-H24),"")</f>
        <v>0</v>
      </c>
      <c r="R24" s="63">
        <f>IF(AND(ISNUMBER(I24),ISNUMBER(J24)),IF(bRef=bLabA,J24-I24,I24-J24),"")</f>
        <v>0</v>
      </c>
      <c r="S24" s="64">
        <f>IF(AND(ISNUMBER(K24),ISNUMBER(L24)),IF(bRef=bLabA,L24-K24,K24-L24),"")</f>
        <v>0</v>
      </c>
      <c r="T24" s="63">
        <f>IF(AND(ISNUMBER(M24),ISNUMBER(N24)),IF(bRef=bLabA,N24-M24,M24-N24),"")</f>
        <v>0</v>
      </c>
      <c r="U24" s="65">
        <f>IF(AND(ISNUMBER(E24),ISNUMBER(F24)),SUMPRODUCT(ISNUMBER(E$18:E24)*ISNUMBER(F$18:F24)),"")</f>
        <v>0</v>
      </c>
      <c r="V24" s="65">
        <f>IF(AND(ISNUMBER(G24),ISNUMBER(H24)),SUMPRODUCT(ISNUMBER(G$18:G24)*ISNUMBER(H$18:H24)),"")</f>
        <v>0</v>
      </c>
      <c r="W24" s="65">
        <f>IF(AND(ISNUMBER(I24),ISNUMBER(J24)),SUMPRODUCT(ISNUMBER(I$18:I24)*ISNUMBER(J$18:J24)),"")</f>
        <v>0</v>
      </c>
      <c r="X24" s="65">
        <f>IF(AND(ISNUMBER(K24),ISNUMBER(L24)),SUMPRODUCT(ISNUMBER(K$18:K24)*ISNUMBER(L$18:L24)),"")</f>
        <v>0</v>
      </c>
      <c r="Y24" s="65">
        <f>IF(AND(ISNUMBER(M24),ISNUMBER(N24)),SUMPRODUCT(ISNUMBER(M$18:M24)*ISNUMBER(N$18:N24)),"")</f>
        <v>0</v>
      </c>
    </row>
    <row r="25" spans="2:25" ht="18" customHeight="1">
      <c r="B25" s="50">
        <v>8</v>
      </c>
      <c r="C25" s="51">
        <f>IF(AND(ISNUMBER(gJanU),8&lt;=bNHor),gJanU+7/12+cfgMinAntes/1440,"")</f>
        <v>0</v>
      </c>
      <c r="D25" s="52">
        <f>IF(ISNUMBER(C25),IF(ISNUMBER(gJanG),IF(8&lt;=gNG,gJanG+7/12+cfgMinG/1440,""),C25),"")</f>
        <v>0</v>
      </c>
      <c r="E25" s="53"/>
      <c r="F25" s="54"/>
      <c r="G25" s="55"/>
      <c r="H25" s="56"/>
      <c r="I25" s="57"/>
      <c r="J25" s="58"/>
      <c r="K25" s="59"/>
      <c r="L25" s="60"/>
      <c r="M25" s="57"/>
      <c r="N25" s="58"/>
      <c r="P25" s="61">
        <f>IF(AND(ISNUMBER(E25),ISNUMBER(F25)),IF(bRef=bLabA,F25-E25,E25-F25),"")</f>
        <v>0</v>
      </c>
      <c r="Q25" s="62">
        <f>IF(AND(ISNUMBER(G25),ISNUMBER(H25)),IF(bRef=bLabA,H25-G25,G25-H25),"")</f>
        <v>0</v>
      </c>
      <c r="R25" s="63">
        <f>IF(AND(ISNUMBER(I25),ISNUMBER(J25)),IF(bRef=bLabA,J25-I25,I25-J25),"")</f>
        <v>0</v>
      </c>
      <c r="S25" s="64">
        <f>IF(AND(ISNUMBER(K25),ISNUMBER(L25)),IF(bRef=bLabA,L25-K25,K25-L25),"")</f>
        <v>0</v>
      </c>
      <c r="T25" s="63">
        <f>IF(AND(ISNUMBER(M25),ISNUMBER(N25)),IF(bRef=bLabA,N25-M25,M25-N25),"")</f>
        <v>0</v>
      </c>
      <c r="U25" s="65">
        <f>IF(AND(ISNUMBER(E25),ISNUMBER(F25)),SUMPRODUCT(ISNUMBER(E$18:E25)*ISNUMBER(F$18:F25)),"")</f>
        <v>0</v>
      </c>
      <c r="V25" s="65">
        <f>IF(AND(ISNUMBER(G25),ISNUMBER(H25)),SUMPRODUCT(ISNUMBER(G$18:G25)*ISNUMBER(H$18:H25)),"")</f>
        <v>0</v>
      </c>
      <c r="W25" s="65">
        <f>IF(AND(ISNUMBER(I25),ISNUMBER(J25)),SUMPRODUCT(ISNUMBER(I$18:I25)*ISNUMBER(J$18:J25)),"")</f>
        <v>0</v>
      </c>
      <c r="X25" s="65">
        <f>IF(AND(ISNUMBER(K25),ISNUMBER(L25)),SUMPRODUCT(ISNUMBER(K$18:K25)*ISNUMBER(L$18:L25)),"")</f>
        <v>0</v>
      </c>
      <c r="Y25" s="65">
        <f>IF(AND(ISNUMBER(M25),ISNUMBER(N25)),SUMPRODUCT(ISNUMBER(M$18:M25)*ISNUMBER(N$18:N25)),"")</f>
        <v>0</v>
      </c>
    </row>
    <row r="26" spans="2:25" ht="18" customHeight="1">
      <c r="B26" s="50">
        <v>9</v>
      </c>
      <c r="C26" s="51">
        <f>IF(AND(ISNUMBER(gJanU),9&lt;=bNHor),gJanU+8/12+cfgMinAntes/1440,"")</f>
        <v>0</v>
      </c>
      <c r="D26" s="52">
        <f>IF(ISNUMBER(C26),IF(ISNUMBER(gJanG),IF(9&lt;=gNG,gJanG+8/12+cfgMinG/1440,""),C26),"")</f>
        <v>0</v>
      </c>
      <c r="E26" s="53"/>
      <c r="F26" s="54"/>
      <c r="G26" s="55"/>
      <c r="H26" s="56"/>
      <c r="I26" s="57"/>
      <c r="J26" s="58"/>
      <c r="K26" s="59"/>
      <c r="L26" s="60"/>
      <c r="M26" s="57"/>
      <c r="N26" s="58"/>
      <c r="P26" s="61">
        <f>IF(AND(ISNUMBER(E26),ISNUMBER(F26)),IF(bRef=bLabA,F26-E26,E26-F26),"")</f>
        <v>0</v>
      </c>
      <c r="Q26" s="62">
        <f>IF(AND(ISNUMBER(G26),ISNUMBER(H26)),IF(bRef=bLabA,H26-G26,G26-H26),"")</f>
        <v>0</v>
      </c>
      <c r="R26" s="63">
        <f>IF(AND(ISNUMBER(I26),ISNUMBER(J26)),IF(bRef=bLabA,J26-I26,I26-J26),"")</f>
        <v>0</v>
      </c>
      <c r="S26" s="64">
        <f>IF(AND(ISNUMBER(K26),ISNUMBER(L26)),IF(bRef=bLabA,L26-K26,K26-L26),"")</f>
        <v>0</v>
      </c>
      <c r="T26" s="63">
        <f>IF(AND(ISNUMBER(M26),ISNUMBER(N26)),IF(bRef=bLabA,N26-M26,M26-N26),"")</f>
        <v>0</v>
      </c>
      <c r="U26" s="65">
        <f>IF(AND(ISNUMBER(E26),ISNUMBER(F26)),SUMPRODUCT(ISNUMBER(E$18:E26)*ISNUMBER(F$18:F26)),"")</f>
        <v>0</v>
      </c>
      <c r="V26" s="65">
        <f>IF(AND(ISNUMBER(G26),ISNUMBER(H26)),SUMPRODUCT(ISNUMBER(G$18:G26)*ISNUMBER(H$18:H26)),"")</f>
        <v>0</v>
      </c>
      <c r="W26" s="65">
        <f>IF(AND(ISNUMBER(I26),ISNUMBER(J26)),SUMPRODUCT(ISNUMBER(I$18:I26)*ISNUMBER(J$18:J26)),"")</f>
        <v>0</v>
      </c>
      <c r="X26" s="65">
        <f>IF(AND(ISNUMBER(K26),ISNUMBER(L26)),SUMPRODUCT(ISNUMBER(K$18:K26)*ISNUMBER(L$18:L26)),"")</f>
        <v>0</v>
      </c>
      <c r="Y26" s="65">
        <f>IF(AND(ISNUMBER(M26),ISNUMBER(N26)),SUMPRODUCT(ISNUMBER(M$18:M26)*ISNUMBER(N$18:N26)),"")</f>
        <v>0</v>
      </c>
    </row>
    <row r="27" spans="2:25" ht="18" customHeight="1">
      <c r="B27" s="50">
        <v>10</v>
      </c>
      <c r="C27" s="51">
        <f>IF(AND(ISNUMBER(gJanU),10&lt;=bNHor),gJanU+9/12+cfgMinAntes/1440,"")</f>
        <v>0</v>
      </c>
      <c r="D27" s="52">
        <f>IF(ISNUMBER(C27),IF(ISNUMBER(gJanG),IF(10&lt;=gNG,gJanG+9/12+cfgMinG/1440,""),C27),"")</f>
        <v>0</v>
      </c>
      <c r="E27" s="53"/>
      <c r="F27" s="54"/>
      <c r="G27" s="55"/>
      <c r="H27" s="56"/>
      <c r="I27" s="57"/>
      <c r="J27" s="58"/>
      <c r="K27" s="59"/>
      <c r="L27" s="60"/>
      <c r="M27" s="57"/>
      <c r="N27" s="58"/>
      <c r="P27" s="61">
        <f>IF(AND(ISNUMBER(E27),ISNUMBER(F27)),IF(bRef=bLabA,F27-E27,E27-F27),"")</f>
        <v>0</v>
      </c>
      <c r="Q27" s="62">
        <f>IF(AND(ISNUMBER(G27),ISNUMBER(H27)),IF(bRef=bLabA,H27-G27,G27-H27),"")</f>
        <v>0</v>
      </c>
      <c r="R27" s="63">
        <f>IF(AND(ISNUMBER(I27),ISNUMBER(J27)),IF(bRef=bLabA,J27-I27,I27-J27),"")</f>
        <v>0</v>
      </c>
      <c r="S27" s="64">
        <f>IF(AND(ISNUMBER(K27),ISNUMBER(L27)),IF(bRef=bLabA,L27-K27,K27-L27),"")</f>
        <v>0</v>
      </c>
      <c r="T27" s="63">
        <f>IF(AND(ISNUMBER(M27),ISNUMBER(N27)),IF(bRef=bLabA,N27-M27,M27-N27),"")</f>
        <v>0</v>
      </c>
      <c r="U27" s="65">
        <f>IF(AND(ISNUMBER(E27),ISNUMBER(F27)),SUMPRODUCT(ISNUMBER(E$18:E27)*ISNUMBER(F$18:F27)),"")</f>
        <v>0</v>
      </c>
      <c r="V27" s="65">
        <f>IF(AND(ISNUMBER(G27),ISNUMBER(H27)),SUMPRODUCT(ISNUMBER(G$18:G27)*ISNUMBER(H$18:H27)),"")</f>
        <v>0</v>
      </c>
      <c r="W27" s="65">
        <f>IF(AND(ISNUMBER(I27),ISNUMBER(J27)),SUMPRODUCT(ISNUMBER(I$18:I27)*ISNUMBER(J$18:J27)),"")</f>
        <v>0</v>
      </c>
      <c r="X27" s="65">
        <f>IF(AND(ISNUMBER(K27),ISNUMBER(L27)),SUMPRODUCT(ISNUMBER(K$18:K27)*ISNUMBER(L$18:L27)),"")</f>
        <v>0</v>
      </c>
      <c r="Y27" s="65">
        <f>IF(AND(ISNUMBER(M27),ISNUMBER(N27)),SUMPRODUCT(ISNUMBER(M$18:M27)*ISNUMBER(N$18:N27)),"")</f>
        <v>0</v>
      </c>
    </row>
    <row r="28" spans="2:25" ht="18" customHeight="1">
      <c r="B28" s="50">
        <v>11</v>
      </c>
      <c r="C28" s="51">
        <f>IF(AND(ISNUMBER(gJanU),11&lt;=bNHor),gJanU+10/12+cfgMinAntes/1440,"")</f>
        <v>0</v>
      </c>
      <c r="D28" s="52">
        <f>IF(ISNUMBER(C28),IF(ISNUMBER(gJanG),IF(11&lt;=gNG,gJanG+10/12+cfgMinG/1440,""),C28),"")</f>
        <v>0</v>
      </c>
      <c r="E28" s="53"/>
      <c r="F28" s="54"/>
      <c r="G28" s="55"/>
      <c r="H28" s="56"/>
      <c r="I28" s="57"/>
      <c r="J28" s="58"/>
      <c r="K28" s="59"/>
      <c r="L28" s="60"/>
      <c r="M28" s="57"/>
      <c r="N28" s="58"/>
      <c r="P28" s="61">
        <f>IF(AND(ISNUMBER(E28),ISNUMBER(F28)),IF(bRef=bLabA,F28-E28,E28-F28),"")</f>
        <v>0</v>
      </c>
      <c r="Q28" s="62">
        <f>IF(AND(ISNUMBER(G28),ISNUMBER(H28)),IF(bRef=bLabA,H28-G28,G28-H28),"")</f>
        <v>0</v>
      </c>
      <c r="R28" s="63">
        <f>IF(AND(ISNUMBER(I28),ISNUMBER(J28)),IF(bRef=bLabA,J28-I28,I28-J28),"")</f>
        <v>0</v>
      </c>
      <c r="S28" s="64">
        <f>IF(AND(ISNUMBER(K28),ISNUMBER(L28)),IF(bRef=bLabA,L28-K28,K28-L28),"")</f>
        <v>0</v>
      </c>
      <c r="T28" s="63">
        <f>IF(AND(ISNUMBER(M28),ISNUMBER(N28)),IF(bRef=bLabA,N28-M28,M28-N28),"")</f>
        <v>0</v>
      </c>
      <c r="U28" s="65">
        <f>IF(AND(ISNUMBER(E28),ISNUMBER(F28)),SUMPRODUCT(ISNUMBER(E$18:E28)*ISNUMBER(F$18:F28)),"")</f>
        <v>0</v>
      </c>
      <c r="V28" s="65">
        <f>IF(AND(ISNUMBER(G28),ISNUMBER(H28)),SUMPRODUCT(ISNUMBER(G$18:G28)*ISNUMBER(H$18:H28)),"")</f>
        <v>0</v>
      </c>
      <c r="W28" s="65">
        <f>IF(AND(ISNUMBER(I28),ISNUMBER(J28)),SUMPRODUCT(ISNUMBER(I$18:I28)*ISNUMBER(J$18:J28)),"")</f>
        <v>0</v>
      </c>
      <c r="X28" s="65">
        <f>IF(AND(ISNUMBER(K28),ISNUMBER(L28)),SUMPRODUCT(ISNUMBER(K$18:K28)*ISNUMBER(L$18:L28)),"")</f>
        <v>0</v>
      </c>
      <c r="Y28" s="65">
        <f>IF(AND(ISNUMBER(M28),ISNUMBER(N28)),SUMPRODUCT(ISNUMBER(M$18:M28)*ISNUMBER(N$18:N28)),"")</f>
        <v>0</v>
      </c>
    </row>
    <row r="29" spans="2:25" ht="18" customHeight="1">
      <c r="B29" s="50">
        <v>12</v>
      </c>
      <c r="C29" s="51">
        <f>IF(AND(ISNUMBER(gJanU),12&lt;=bNHor),gJanU+11/12+cfgMinAntes/1440,"")</f>
        <v>0</v>
      </c>
      <c r="D29" s="52">
        <f>IF(ISNUMBER(C29),IF(ISNUMBER(gJanG),IF(12&lt;=gNG,gJanG+11/12+cfgMinG/1440,""),C29),"")</f>
        <v>0</v>
      </c>
      <c r="E29" s="53"/>
      <c r="F29" s="54"/>
      <c r="G29" s="55"/>
      <c r="H29" s="56"/>
      <c r="I29" s="57"/>
      <c r="J29" s="58"/>
      <c r="K29" s="59"/>
      <c r="L29" s="60"/>
      <c r="M29" s="57"/>
      <c r="N29" s="58"/>
      <c r="P29" s="61">
        <f>IF(AND(ISNUMBER(E29),ISNUMBER(F29)),IF(bRef=bLabA,F29-E29,E29-F29),"")</f>
        <v>0</v>
      </c>
      <c r="Q29" s="62">
        <f>IF(AND(ISNUMBER(G29),ISNUMBER(H29)),IF(bRef=bLabA,H29-G29,G29-H29),"")</f>
        <v>0</v>
      </c>
      <c r="R29" s="63">
        <f>IF(AND(ISNUMBER(I29),ISNUMBER(J29)),IF(bRef=bLabA,J29-I29,I29-J29),"")</f>
        <v>0</v>
      </c>
      <c r="S29" s="64">
        <f>IF(AND(ISNUMBER(K29),ISNUMBER(L29)),IF(bRef=bLabA,L29-K29,K29-L29),"")</f>
        <v>0</v>
      </c>
      <c r="T29" s="63">
        <f>IF(AND(ISNUMBER(M29),ISNUMBER(N29)),IF(bRef=bLabA,N29-M29,M29-N29),"")</f>
        <v>0</v>
      </c>
      <c r="U29" s="65">
        <f>IF(AND(ISNUMBER(E29),ISNUMBER(F29)),SUMPRODUCT(ISNUMBER(E$18:E29)*ISNUMBER(F$18:F29)),"")</f>
        <v>0</v>
      </c>
      <c r="V29" s="65">
        <f>IF(AND(ISNUMBER(G29),ISNUMBER(H29)),SUMPRODUCT(ISNUMBER(G$18:G29)*ISNUMBER(H$18:H29)),"")</f>
        <v>0</v>
      </c>
      <c r="W29" s="65">
        <f>IF(AND(ISNUMBER(I29),ISNUMBER(J29)),SUMPRODUCT(ISNUMBER(I$18:I29)*ISNUMBER(J$18:J29)),"")</f>
        <v>0</v>
      </c>
      <c r="X29" s="65">
        <f>IF(AND(ISNUMBER(K29),ISNUMBER(L29)),SUMPRODUCT(ISNUMBER(K$18:K29)*ISNUMBER(L$18:L29)),"")</f>
        <v>0</v>
      </c>
      <c r="Y29" s="65">
        <f>IF(AND(ISNUMBER(M29),ISNUMBER(N29)),SUMPRODUCT(ISNUMBER(M$18:M29)*ISNUMBER(N$18:N29)),"")</f>
        <v>0</v>
      </c>
    </row>
    <row r="30" spans="2:25" ht="18" customHeight="1">
      <c r="B30" s="50">
        <v>13</v>
      </c>
      <c r="C30" s="51">
        <f>IF(AND(ISNUMBER(gJanU),13&lt;=bNHor),gJanU+12/12+cfgMinAntes/1440,"")</f>
        <v>0</v>
      </c>
      <c r="D30" s="52">
        <f>IF(ISNUMBER(C30),IF(ISNUMBER(gJanG),IF(13&lt;=gNG,gJanG+12/12+cfgMinG/1440,""),C30),"")</f>
        <v>0</v>
      </c>
      <c r="E30" s="53"/>
      <c r="F30" s="54"/>
      <c r="G30" s="55"/>
      <c r="H30" s="56"/>
      <c r="I30" s="57"/>
      <c r="J30" s="58"/>
      <c r="K30" s="59"/>
      <c r="L30" s="60"/>
      <c r="M30" s="57"/>
      <c r="N30" s="58"/>
      <c r="P30" s="61">
        <f>IF(AND(ISNUMBER(E30),ISNUMBER(F30)),IF(bRef=bLabA,F30-E30,E30-F30),"")</f>
        <v>0</v>
      </c>
      <c r="Q30" s="62">
        <f>IF(AND(ISNUMBER(G30),ISNUMBER(H30)),IF(bRef=bLabA,H30-G30,G30-H30),"")</f>
        <v>0</v>
      </c>
      <c r="R30" s="63">
        <f>IF(AND(ISNUMBER(I30),ISNUMBER(J30)),IF(bRef=bLabA,J30-I30,I30-J30),"")</f>
        <v>0</v>
      </c>
      <c r="S30" s="64">
        <f>IF(AND(ISNUMBER(K30),ISNUMBER(L30)),IF(bRef=bLabA,L30-K30,K30-L30),"")</f>
        <v>0</v>
      </c>
      <c r="T30" s="63">
        <f>IF(AND(ISNUMBER(M30),ISNUMBER(N30)),IF(bRef=bLabA,N30-M30,M30-N30),"")</f>
        <v>0</v>
      </c>
      <c r="U30" s="65">
        <f>IF(AND(ISNUMBER(E30),ISNUMBER(F30)),SUMPRODUCT(ISNUMBER(E$18:E30)*ISNUMBER(F$18:F30)),"")</f>
        <v>0</v>
      </c>
      <c r="V30" s="65">
        <f>IF(AND(ISNUMBER(G30),ISNUMBER(H30)),SUMPRODUCT(ISNUMBER(G$18:G30)*ISNUMBER(H$18:H30)),"")</f>
        <v>0</v>
      </c>
      <c r="W30" s="65">
        <f>IF(AND(ISNUMBER(I30),ISNUMBER(J30)),SUMPRODUCT(ISNUMBER(I$18:I30)*ISNUMBER(J$18:J30)),"")</f>
        <v>0</v>
      </c>
      <c r="X30" s="65">
        <f>IF(AND(ISNUMBER(K30),ISNUMBER(L30)),SUMPRODUCT(ISNUMBER(K$18:K30)*ISNUMBER(L$18:L30)),"")</f>
        <v>0</v>
      </c>
      <c r="Y30" s="65">
        <f>IF(AND(ISNUMBER(M30),ISNUMBER(N30)),SUMPRODUCT(ISNUMBER(M$18:M30)*ISNUMBER(N$18:N30)),"")</f>
        <v>0</v>
      </c>
    </row>
    <row r="31" spans="2:25" ht="18" customHeight="1">
      <c r="B31" s="50">
        <v>14</v>
      </c>
      <c r="C31" s="51">
        <f>IF(AND(ISNUMBER(gJanU),14&lt;=bNHor),gJanU+13/12+cfgMinAntes/1440,"")</f>
        <v>0</v>
      </c>
      <c r="D31" s="52">
        <f>IF(ISNUMBER(C31),IF(ISNUMBER(gJanG),IF(14&lt;=gNG,gJanG+13/12+cfgMinG/1440,""),C31),"")</f>
        <v>0</v>
      </c>
      <c r="E31" s="53"/>
      <c r="F31" s="54"/>
      <c r="G31" s="55"/>
      <c r="H31" s="56"/>
      <c r="I31" s="57"/>
      <c r="J31" s="58"/>
      <c r="K31" s="59"/>
      <c r="L31" s="60"/>
      <c r="M31" s="57"/>
      <c r="N31" s="58"/>
      <c r="P31" s="61">
        <f>IF(AND(ISNUMBER(E31),ISNUMBER(F31)),IF(bRef=bLabA,F31-E31,E31-F31),"")</f>
        <v>0</v>
      </c>
      <c r="Q31" s="62">
        <f>IF(AND(ISNUMBER(G31),ISNUMBER(H31)),IF(bRef=bLabA,H31-G31,G31-H31),"")</f>
        <v>0</v>
      </c>
      <c r="R31" s="63">
        <f>IF(AND(ISNUMBER(I31),ISNUMBER(J31)),IF(bRef=bLabA,J31-I31,I31-J31),"")</f>
        <v>0</v>
      </c>
      <c r="S31" s="64">
        <f>IF(AND(ISNUMBER(K31),ISNUMBER(L31)),IF(bRef=bLabA,L31-K31,K31-L31),"")</f>
        <v>0</v>
      </c>
      <c r="T31" s="63">
        <f>IF(AND(ISNUMBER(M31),ISNUMBER(N31)),IF(bRef=bLabA,N31-M31,M31-N31),"")</f>
        <v>0</v>
      </c>
      <c r="U31" s="65">
        <f>IF(AND(ISNUMBER(E31),ISNUMBER(F31)),SUMPRODUCT(ISNUMBER(E$18:E31)*ISNUMBER(F$18:F31)),"")</f>
        <v>0</v>
      </c>
      <c r="V31" s="65">
        <f>IF(AND(ISNUMBER(G31),ISNUMBER(H31)),SUMPRODUCT(ISNUMBER(G$18:G31)*ISNUMBER(H$18:H31)),"")</f>
        <v>0</v>
      </c>
      <c r="W31" s="65">
        <f>IF(AND(ISNUMBER(I31),ISNUMBER(J31)),SUMPRODUCT(ISNUMBER(I$18:I31)*ISNUMBER(J$18:J31)),"")</f>
        <v>0</v>
      </c>
      <c r="X31" s="65">
        <f>IF(AND(ISNUMBER(K31),ISNUMBER(L31)),SUMPRODUCT(ISNUMBER(K$18:K31)*ISNUMBER(L$18:L31)),"")</f>
        <v>0</v>
      </c>
      <c r="Y31" s="65">
        <f>IF(AND(ISNUMBER(M31),ISNUMBER(N31)),SUMPRODUCT(ISNUMBER(M$18:M31)*ISNUMBER(N$18:N31)),"")</f>
        <v>0</v>
      </c>
    </row>
    <row r="32" spans="2:25" ht="18" customHeight="1">
      <c r="B32" s="50">
        <v>15</v>
      </c>
      <c r="C32" s="51">
        <f>IF(AND(ISNUMBER(gJanU),15&lt;=bNHor),gJanU+14/12+cfgMinAntes/1440,"")</f>
        <v>0</v>
      </c>
      <c r="D32" s="52">
        <f>IF(ISNUMBER(C32),IF(ISNUMBER(gJanG),IF(15&lt;=gNG,gJanG+14/12+cfgMinG/1440,""),C32),"")</f>
        <v>0</v>
      </c>
      <c r="E32" s="53"/>
      <c r="F32" s="54"/>
      <c r="G32" s="55"/>
      <c r="H32" s="56"/>
      <c r="I32" s="57"/>
      <c r="J32" s="58"/>
      <c r="K32" s="59"/>
      <c r="L32" s="60"/>
      <c r="M32" s="57"/>
      <c r="N32" s="58"/>
      <c r="P32" s="61">
        <f>IF(AND(ISNUMBER(E32),ISNUMBER(F32)),IF(bRef=bLabA,F32-E32,E32-F32),"")</f>
        <v>0</v>
      </c>
      <c r="Q32" s="62">
        <f>IF(AND(ISNUMBER(G32),ISNUMBER(H32)),IF(bRef=bLabA,H32-G32,G32-H32),"")</f>
        <v>0</v>
      </c>
      <c r="R32" s="63">
        <f>IF(AND(ISNUMBER(I32),ISNUMBER(J32)),IF(bRef=bLabA,J32-I32,I32-J32),"")</f>
        <v>0</v>
      </c>
      <c r="S32" s="64">
        <f>IF(AND(ISNUMBER(K32),ISNUMBER(L32)),IF(bRef=bLabA,L32-K32,K32-L32),"")</f>
        <v>0</v>
      </c>
      <c r="T32" s="63">
        <f>IF(AND(ISNUMBER(M32),ISNUMBER(N32)),IF(bRef=bLabA,N32-M32,M32-N32),"")</f>
        <v>0</v>
      </c>
      <c r="U32" s="65">
        <f>IF(AND(ISNUMBER(E32),ISNUMBER(F32)),SUMPRODUCT(ISNUMBER(E$18:E32)*ISNUMBER(F$18:F32)),"")</f>
        <v>0</v>
      </c>
      <c r="V32" s="65">
        <f>IF(AND(ISNUMBER(G32),ISNUMBER(H32)),SUMPRODUCT(ISNUMBER(G$18:G32)*ISNUMBER(H$18:H32)),"")</f>
        <v>0</v>
      </c>
      <c r="W32" s="65">
        <f>IF(AND(ISNUMBER(I32),ISNUMBER(J32)),SUMPRODUCT(ISNUMBER(I$18:I32)*ISNUMBER(J$18:J32)),"")</f>
        <v>0</v>
      </c>
      <c r="X32" s="65">
        <f>IF(AND(ISNUMBER(K32),ISNUMBER(L32)),SUMPRODUCT(ISNUMBER(K$18:K32)*ISNUMBER(L$18:L32)),"")</f>
        <v>0</v>
      </c>
      <c r="Y32" s="65">
        <f>IF(AND(ISNUMBER(M32),ISNUMBER(N32)),SUMPRODUCT(ISNUMBER(M$18:M32)*ISNUMBER(N$18:N32)),"")</f>
        <v>0</v>
      </c>
    </row>
    <row r="33" spans="2:25" ht="18" customHeight="1">
      <c r="B33" s="50">
        <v>16</v>
      </c>
      <c r="C33" s="51">
        <f>IF(AND(ISNUMBER(gJanU),16&lt;=bNHor),gJanU+15/12+cfgMinAntes/1440,"")</f>
        <v>0</v>
      </c>
      <c r="D33" s="52">
        <f>IF(ISNUMBER(C33),IF(ISNUMBER(gJanG),IF(16&lt;=gNG,gJanG+15/12+cfgMinG/1440,""),C33),"")</f>
        <v>0</v>
      </c>
      <c r="E33" s="53"/>
      <c r="F33" s="54"/>
      <c r="G33" s="55"/>
      <c r="H33" s="56"/>
      <c r="I33" s="57"/>
      <c r="J33" s="58"/>
      <c r="K33" s="59"/>
      <c r="L33" s="60"/>
      <c r="M33" s="57"/>
      <c r="N33" s="58"/>
      <c r="P33" s="61">
        <f>IF(AND(ISNUMBER(E33),ISNUMBER(F33)),IF(bRef=bLabA,F33-E33,E33-F33),"")</f>
        <v>0</v>
      </c>
      <c r="Q33" s="62">
        <f>IF(AND(ISNUMBER(G33),ISNUMBER(H33)),IF(bRef=bLabA,H33-G33,G33-H33),"")</f>
        <v>0</v>
      </c>
      <c r="R33" s="63">
        <f>IF(AND(ISNUMBER(I33),ISNUMBER(J33)),IF(bRef=bLabA,J33-I33,I33-J33),"")</f>
        <v>0</v>
      </c>
      <c r="S33" s="64">
        <f>IF(AND(ISNUMBER(K33),ISNUMBER(L33)),IF(bRef=bLabA,L33-K33,K33-L33),"")</f>
        <v>0</v>
      </c>
      <c r="T33" s="63">
        <f>IF(AND(ISNUMBER(M33),ISNUMBER(N33)),IF(bRef=bLabA,N33-M33,M33-N33),"")</f>
        <v>0</v>
      </c>
      <c r="U33" s="65">
        <f>IF(AND(ISNUMBER(E33),ISNUMBER(F33)),SUMPRODUCT(ISNUMBER(E$18:E33)*ISNUMBER(F$18:F33)),"")</f>
        <v>0</v>
      </c>
      <c r="V33" s="65">
        <f>IF(AND(ISNUMBER(G33),ISNUMBER(H33)),SUMPRODUCT(ISNUMBER(G$18:G33)*ISNUMBER(H$18:H33)),"")</f>
        <v>0</v>
      </c>
      <c r="W33" s="65">
        <f>IF(AND(ISNUMBER(I33),ISNUMBER(J33)),SUMPRODUCT(ISNUMBER(I$18:I33)*ISNUMBER(J$18:J33)),"")</f>
        <v>0</v>
      </c>
      <c r="X33" s="65">
        <f>IF(AND(ISNUMBER(K33),ISNUMBER(L33)),SUMPRODUCT(ISNUMBER(K$18:K33)*ISNUMBER(L$18:L33)),"")</f>
        <v>0</v>
      </c>
      <c r="Y33" s="65">
        <f>IF(AND(ISNUMBER(M33),ISNUMBER(N33)),SUMPRODUCT(ISNUMBER(M$18:M33)*ISNUMBER(N$18:N33)),"")</f>
        <v>0</v>
      </c>
    </row>
    <row r="34" spans="2:25" ht="18" customHeight="1">
      <c r="B34" s="50">
        <v>17</v>
      </c>
      <c r="C34" s="51">
        <f>IF(AND(ISNUMBER(gJanU),17&lt;=bNHor),gJanU+16/12+cfgMinAntes/1440,"")</f>
        <v>0</v>
      </c>
      <c r="D34" s="52">
        <f>IF(ISNUMBER(C34),IF(ISNUMBER(gJanG),IF(17&lt;=gNG,gJanG+16/12+cfgMinG/1440,""),C34),"")</f>
        <v>0</v>
      </c>
      <c r="E34" s="53"/>
      <c r="F34" s="54"/>
      <c r="G34" s="55"/>
      <c r="H34" s="56"/>
      <c r="I34" s="57"/>
      <c r="J34" s="58"/>
      <c r="K34" s="59"/>
      <c r="L34" s="60"/>
      <c r="M34" s="57"/>
      <c r="N34" s="58"/>
      <c r="P34" s="61">
        <f>IF(AND(ISNUMBER(E34),ISNUMBER(F34)),IF(bRef=bLabA,F34-E34,E34-F34),"")</f>
        <v>0</v>
      </c>
      <c r="Q34" s="62">
        <f>IF(AND(ISNUMBER(G34),ISNUMBER(H34)),IF(bRef=bLabA,H34-G34,G34-H34),"")</f>
        <v>0</v>
      </c>
      <c r="R34" s="63">
        <f>IF(AND(ISNUMBER(I34),ISNUMBER(J34)),IF(bRef=bLabA,J34-I34,I34-J34),"")</f>
        <v>0</v>
      </c>
      <c r="S34" s="64">
        <f>IF(AND(ISNUMBER(K34),ISNUMBER(L34)),IF(bRef=bLabA,L34-K34,K34-L34),"")</f>
        <v>0</v>
      </c>
      <c r="T34" s="63">
        <f>IF(AND(ISNUMBER(M34),ISNUMBER(N34)),IF(bRef=bLabA,N34-M34,M34-N34),"")</f>
        <v>0</v>
      </c>
      <c r="U34" s="65">
        <f>IF(AND(ISNUMBER(E34),ISNUMBER(F34)),SUMPRODUCT(ISNUMBER(E$18:E34)*ISNUMBER(F$18:F34)),"")</f>
        <v>0</v>
      </c>
      <c r="V34" s="65">
        <f>IF(AND(ISNUMBER(G34),ISNUMBER(H34)),SUMPRODUCT(ISNUMBER(G$18:G34)*ISNUMBER(H$18:H34)),"")</f>
        <v>0</v>
      </c>
      <c r="W34" s="65">
        <f>IF(AND(ISNUMBER(I34),ISNUMBER(J34)),SUMPRODUCT(ISNUMBER(I$18:I34)*ISNUMBER(J$18:J34)),"")</f>
        <v>0</v>
      </c>
      <c r="X34" s="65">
        <f>IF(AND(ISNUMBER(K34),ISNUMBER(L34)),SUMPRODUCT(ISNUMBER(K$18:K34)*ISNUMBER(L$18:L34)),"")</f>
        <v>0</v>
      </c>
      <c r="Y34" s="65">
        <f>IF(AND(ISNUMBER(M34),ISNUMBER(N34)),SUMPRODUCT(ISNUMBER(M$18:M34)*ISNUMBER(N$18:N34)),"")</f>
        <v>0</v>
      </c>
    </row>
    <row r="35" spans="2:25" ht="18" customHeight="1">
      <c r="B35" s="50">
        <v>18</v>
      </c>
      <c r="C35" s="51">
        <f>IF(AND(ISNUMBER(gJanU),18&lt;=bNHor),gJanU+17/12+cfgMinAntes/1440,"")</f>
        <v>0</v>
      </c>
      <c r="D35" s="52">
        <f>IF(ISNUMBER(C35),IF(ISNUMBER(gJanG),IF(18&lt;=gNG,gJanG+17/12+cfgMinG/1440,""),C35),"")</f>
        <v>0</v>
      </c>
      <c r="E35" s="53"/>
      <c r="F35" s="54"/>
      <c r="G35" s="55"/>
      <c r="H35" s="56"/>
      <c r="I35" s="57"/>
      <c r="J35" s="58"/>
      <c r="K35" s="59"/>
      <c r="L35" s="60"/>
      <c r="M35" s="57"/>
      <c r="N35" s="58"/>
      <c r="P35" s="61">
        <f>IF(AND(ISNUMBER(E35),ISNUMBER(F35)),IF(bRef=bLabA,F35-E35,E35-F35),"")</f>
        <v>0</v>
      </c>
      <c r="Q35" s="62">
        <f>IF(AND(ISNUMBER(G35),ISNUMBER(H35)),IF(bRef=bLabA,H35-G35,G35-H35),"")</f>
        <v>0</v>
      </c>
      <c r="R35" s="63">
        <f>IF(AND(ISNUMBER(I35),ISNUMBER(J35)),IF(bRef=bLabA,J35-I35,I35-J35),"")</f>
        <v>0</v>
      </c>
      <c r="S35" s="64">
        <f>IF(AND(ISNUMBER(K35),ISNUMBER(L35)),IF(bRef=bLabA,L35-K35,K35-L35),"")</f>
        <v>0</v>
      </c>
      <c r="T35" s="63">
        <f>IF(AND(ISNUMBER(M35),ISNUMBER(N35)),IF(bRef=bLabA,N35-M35,M35-N35),"")</f>
        <v>0</v>
      </c>
      <c r="U35" s="65">
        <f>IF(AND(ISNUMBER(E35),ISNUMBER(F35)),SUMPRODUCT(ISNUMBER(E$18:E35)*ISNUMBER(F$18:F35)),"")</f>
        <v>0</v>
      </c>
      <c r="V35" s="65">
        <f>IF(AND(ISNUMBER(G35),ISNUMBER(H35)),SUMPRODUCT(ISNUMBER(G$18:G35)*ISNUMBER(H$18:H35)),"")</f>
        <v>0</v>
      </c>
      <c r="W35" s="65">
        <f>IF(AND(ISNUMBER(I35),ISNUMBER(J35)),SUMPRODUCT(ISNUMBER(I$18:I35)*ISNUMBER(J$18:J35)),"")</f>
        <v>0</v>
      </c>
      <c r="X35" s="65">
        <f>IF(AND(ISNUMBER(K35),ISNUMBER(L35)),SUMPRODUCT(ISNUMBER(K$18:K35)*ISNUMBER(L$18:L35)),"")</f>
        <v>0</v>
      </c>
      <c r="Y35" s="65">
        <f>IF(AND(ISNUMBER(M35),ISNUMBER(N35)),SUMPRODUCT(ISNUMBER(M$18:M35)*ISNUMBER(N$18:N35)),"")</f>
        <v>0</v>
      </c>
    </row>
    <row r="36" spans="2:25" ht="18" customHeight="1">
      <c r="B36" s="50">
        <v>19</v>
      </c>
      <c r="C36" s="51">
        <f>IF(AND(ISNUMBER(gJanU),19&lt;=bNHor),gJanU+18/12+cfgMinAntes/1440,"")</f>
        <v>0</v>
      </c>
      <c r="D36" s="52">
        <f>IF(ISNUMBER(C36),IF(ISNUMBER(gJanG),IF(19&lt;=gNG,gJanG+18/12+cfgMinG/1440,""),C36),"")</f>
        <v>0</v>
      </c>
      <c r="E36" s="53"/>
      <c r="F36" s="54"/>
      <c r="G36" s="55"/>
      <c r="H36" s="56"/>
      <c r="I36" s="57"/>
      <c r="J36" s="58"/>
      <c r="K36" s="59"/>
      <c r="L36" s="60"/>
      <c r="M36" s="57"/>
      <c r="N36" s="58"/>
      <c r="P36" s="61">
        <f>IF(AND(ISNUMBER(E36),ISNUMBER(F36)),IF(bRef=bLabA,F36-E36,E36-F36),"")</f>
        <v>0</v>
      </c>
      <c r="Q36" s="62">
        <f>IF(AND(ISNUMBER(G36),ISNUMBER(H36)),IF(bRef=bLabA,H36-G36,G36-H36),"")</f>
        <v>0</v>
      </c>
      <c r="R36" s="63">
        <f>IF(AND(ISNUMBER(I36),ISNUMBER(J36)),IF(bRef=bLabA,J36-I36,I36-J36),"")</f>
        <v>0</v>
      </c>
      <c r="S36" s="64">
        <f>IF(AND(ISNUMBER(K36),ISNUMBER(L36)),IF(bRef=bLabA,L36-K36,K36-L36),"")</f>
        <v>0</v>
      </c>
      <c r="T36" s="63">
        <f>IF(AND(ISNUMBER(M36),ISNUMBER(N36)),IF(bRef=bLabA,N36-M36,M36-N36),"")</f>
        <v>0</v>
      </c>
      <c r="U36" s="65">
        <f>IF(AND(ISNUMBER(E36),ISNUMBER(F36)),SUMPRODUCT(ISNUMBER(E$18:E36)*ISNUMBER(F$18:F36)),"")</f>
        <v>0</v>
      </c>
      <c r="V36" s="65">
        <f>IF(AND(ISNUMBER(G36),ISNUMBER(H36)),SUMPRODUCT(ISNUMBER(G$18:G36)*ISNUMBER(H$18:H36)),"")</f>
        <v>0</v>
      </c>
      <c r="W36" s="65">
        <f>IF(AND(ISNUMBER(I36),ISNUMBER(J36)),SUMPRODUCT(ISNUMBER(I$18:I36)*ISNUMBER(J$18:J36)),"")</f>
        <v>0</v>
      </c>
      <c r="X36" s="65">
        <f>IF(AND(ISNUMBER(K36),ISNUMBER(L36)),SUMPRODUCT(ISNUMBER(K$18:K36)*ISNUMBER(L$18:L36)),"")</f>
        <v>0</v>
      </c>
      <c r="Y36" s="65">
        <f>IF(AND(ISNUMBER(M36),ISNUMBER(N36)),SUMPRODUCT(ISNUMBER(M$18:M36)*ISNUMBER(N$18:N36)),"")</f>
        <v>0</v>
      </c>
    </row>
    <row r="37" spans="2:25" ht="18" customHeight="1">
      <c r="B37" s="50">
        <v>20</v>
      </c>
      <c r="C37" s="51">
        <f>IF(AND(ISNUMBER(gJanU),20&lt;=bNHor),gJanU+19/12+cfgMinAntes/1440,"")</f>
        <v>0</v>
      </c>
      <c r="D37" s="52">
        <f>IF(ISNUMBER(C37),IF(ISNUMBER(gJanG),IF(20&lt;=gNG,gJanG+19/12+cfgMinG/1440,""),C37),"")</f>
        <v>0</v>
      </c>
      <c r="E37" s="53"/>
      <c r="F37" s="54"/>
      <c r="G37" s="55"/>
      <c r="H37" s="56"/>
      <c r="I37" s="57"/>
      <c r="J37" s="58"/>
      <c r="K37" s="59"/>
      <c r="L37" s="60"/>
      <c r="M37" s="57"/>
      <c r="N37" s="58"/>
      <c r="P37" s="61">
        <f>IF(AND(ISNUMBER(E37),ISNUMBER(F37)),IF(bRef=bLabA,F37-E37,E37-F37),"")</f>
        <v>0</v>
      </c>
      <c r="Q37" s="62">
        <f>IF(AND(ISNUMBER(G37),ISNUMBER(H37)),IF(bRef=bLabA,H37-G37,G37-H37),"")</f>
        <v>0</v>
      </c>
      <c r="R37" s="63">
        <f>IF(AND(ISNUMBER(I37),ISNUMBER(J37)),IF(bRef=bLabA,J37-I37,I37-J37),"")</f>
        <v>0</v>
      </c>
      <c r="S37" s="64">
        <f>IF(AND(ISNUMBER(K37),ISNUMBER(L37)),IF(bRef=bLabA,L37-K37,K37-L37),"")</f>
        <v>0</v>
      </c>
      <c r="T37" s="63">
        <f>IF(AND(ISNUMBER(M37),ISNUMBER(N37)),IF(bRef=bLabA,N37-M37,M37-N37),"")</f>
        <v>0</v>
      </c>
      <c r="U37" s="65">
        <f>IF(AND(ISNUMBER(E37),ISNUMBER(F37)),SUMPRODUCT(ISNUMBER(E$18:E37)*ISNUMBER(F$18:F37)),"")</f>
        <v>0</v>
      </c>
      <c r="V37" s="65">
        <f>IF(AND(ISNUMBER(G37),ISNUMBER(H37)),SUMPRODUCT(ISNUMBER(G$18:G37)*ISNUMBER(H$18:H37)),"")</f>
        <v>0</v>
      </c>
      <c r="W37" s="65">
        <f>IF(AND(ISNUMBER(I37),ISNUMBER(J37)),SUMPRODUCT(ISNUMBER(I$18:I37)*ISNUMBER(J$18:J37)),"")</f>
        <v>0</v>
      </c>
      <c r="X37" s="65">
        <f>IF(AND(ISNUMBER(K37),ISNUMBER(L37)),SUMPRODUCT(ISNUMBER(K$18:K37)*ISNUMBER(L$18:L37)),"")</f>
        <v>0</v>
      </c>
      <c r="Y37" s="65">
        <f>IF(AND(ISNUMBER(M37),ISNUMBER(N37)),SUMPRODUCT(ISNUMBER(M$18:M37)*ISNUMBER(N$18:N37)),"")</f>
        <v>0</v>
      </c>
    </row>
    <row r="38" spans="2:25" ht="18" customHeight="1">
      <c r="B38" s="50">
        <v>21</v>
      </c>
      <c r="C38" s="51">
        <f>IF(AND(ISNUMBER(gJanU),21&lt;=bNHor),gJanU+20/12+cfgMinAntes/1440,"")</f>
        <v>0</v>
      </c>
      <c r="D38" s="52">
        <f>IF(ISNUMBER(C38),IF(ISNUMBER(gJanG),IF(21&lt;=gNG,gJanG+20/12+cfgMinG/1440,""),C38),"")</f>
        <v>0</v>
      </c>
      <c r="E38" s="53"/>
      <c r="F38" s="54"/>
      <c r="G38" s="55"/>
      <c r="H38" s="56"/>
      <c r="I38" s="57"/>
      <c r="J38" s="58"/>
      <c r="K38" s="59"/>
      <c r="L38" s="60"/>
      <c r="M38" s="57"/>
      <c r="N38" s="58"/>
      <c r="P38" s="61">
        <f>IF(AND(ISNUMBER(E38),ISNUMBER(F38)),IF(bRef=bLabA,F38-E38,E38-F38),"")</f>
        <v>0</v>
      </c>
      <c r="Q38" s="62">
        <f>IF(AND(ISNUMBER(G38),ISNUMBER(H38)),IF(bRef=bLabA,H38-G38,G38-H38),"")</f>
        <v>0</v>
      </c>
      <c r="R38" s="63">
        <f>IF(AND(ISNUMBER(I38),ISNUMBER(J38)),IF(bRef=bLabA,J38-I38,I38-J38),"")</f>
        <v>0</v>
      </c>
      <c r="S38" s="64">
        <f>IF(AND(ISNUMBER(K38),ISNUMBER(L38)),IF(bRef=bLabA,L38-K38,K38-L38),"")</f>
        <v>0</v>
      </c>
      <c r="T38" s="63">
        <f>IF(AND(ISNUMBER(M38),ISNUMBER(N38)),IF(bRef=bLabA,N38-M38,M38-N38),"")</f>
        <v>0</v>
      </c>
      <c r="U38" s="65">
        <f>IF(AND(ISNUMBER(E38),ISNUMBER(F38)),SUMPRODUCT(ISNUMBER(E$18:E38)*ISNUMBER(F$18:F38)),"")</f>
        <v>0</v>
      </c>
      <c r="V38" s="65">
        <f>IF(AND(ISNUMBER(G38),ISNUMBER(H38)),SUMPRODUCT(ISNUMBER(G$18:G38)*ISNUMBER(H$18:H38)),"")</f>
        <v>0</v>
      </c>
      <c r="W38" s="65">
        <f>IF(AND(ISNUMBER(I38),ISNUMBER(J38)),SUMPRODUCT(ISNUMBER(I$18:I38)*ISNUMBER(J$18:J38)),"")</f>
        <v>0</v>
      </c>
      <c r="X38" s="65">
        <f>IF(AND(ISNUMBER(K38),ISNUMBER(L38)),SUMPRODUCT(ISNUMBER(K$18:K38)*ISNUMBER(L$18:L38)),"")</f>
        <v>0</v>
      </c>
      <c r="Y38" s="65">
        <f>IF(AND(ISNUMBER(M38),ISNUMBER(N38)),SUMPRODUCT(ISNUMBER(M$18:M38)*ISNUMBER(N$18:N38)),"")</f>
        <v>0</v>
      </c>
    </row>
    <row r="39" spans="2:25" ht="18" customHeight="1">
      <c r="B39" s="50">
        <v>22</v>
      </c>
      <c r="C39" s="51">
        <f>IF(AND(ISNUMBER(gJanU),22&lt;=bNHor),gJanU+21/12+cfgMinAntes/1440,"")</f>
        <v>0</v>
      </c>
      <c r="D39" s="52">
        <f>IF(ISNUMBER(C39),IF(ISNUMBER(gJanG),IF(22&lt;=gNG,gJanG+21/12+cfgMinG/1440,""),C39),"")</f>
        <v>0</v>
      </c>
      <c r="E39" s="53"/>
      <c r="F39" s="54"/>
      <c r="G39" s="55"/>
      <c r="H39" s="56"/>
      <c r="I39" s="57"/>
      <c r="J39" s="58"/>
      <c r="K39" s="59"/>
      <c r="L39" s="60"/>
      <c r="M39" s="57"/>
      <c r="N39" s="58"/>
      <c r="P39" s="61">
        <f>IF(AND(ISNUMBER(E39),ISNUMBER(F39)),IF(bRef=bLabA,F39-E39,E39-F39),"")</f>
        <v>0</v>
      </c>
      <c r="Q39" s="62">
        <f>IF(AND(ISNUMBER(G39),ISNUMBER(H39)),IF(bRef=bLabA,H39-G39,G39-H39),"")</f>
        <v>0</v>
      </c>
      <c r="R39" s="63">
        <f>IF(AND(ISNUMBER(I39),ISNUMBER(J39)),IF(bRef=bLabA,J39-I39,I39-J39),"")</f>
        <v>0</v>
      </c>
      <c r="S39" s="64">
        <f>IF(AND(ISNUMBER(K39),ISNUMBER(L39)),IF(bRef=bLabA,L39-K39,K39-L39),"")</f>
        <v>0</v>
      </c>
      <c r="T39" s="63">
        <f>IF(AND(ISNUMBER(M39),ISNUMBER(N39)),IF(bRef=bLabA,N39-M39,M39-N39),"")</f>
        <v>0</v>
      </c>
      <c r="U39" s="65">
        <f>IF(AND(ISNUMBER(E39),ISNUMBER(F39)),SUMPRODUCT(ISNUMBER(E$18:E39)*ISNUMBER(F$18:F39)),"")</f>
        <v>0</v>
      </c>
      <c r="V39" s="65">
        <f>IF(AND(ISNUMBER(G39),ISNUMBER(H39)),SUMPRODUCT(ISNUMBER(G$18:G39)*ISNUMBER(H$18:H39)),"")</f>
        <v>0</v>
      </c>
      <c r="W39" s="65">
        <f>IF(AND(ISNUMBER(I39),ISNUMBER(J39)),SUMPRODUCT(ISNUMBER(I$18:I39)*ISNUMBER(J$18:J39)),"")</f>
        <v>0</v>
      </c>
      <c r="X39" s="65">
        <f>IF(AND(ISNUMBER(K39),ISNUMBER(L39)),SUMPRODUCT(ISNUMBER(K$18:K39)*ISNUMBER(L$18:L39)),"")</f>
        <v>0</v>
      </c>
      <c r="Y39" s="65">
        <f>IF(AND(ISNUMBER(M39),ISNUMBER(N39)),SUMPRODUCT(ISNUMBER(M$18:M39)*ISNUMBER(N$18:N39)),"")</f>
        <v>0</v>
      </c>
    </row>
    <row r="40" spans="2:25" ht="18" customHeight="1">
      <c r="B40" s="50">
        <v>23</v>
      </c>
      <c r="C40" s="51">
        <f>IF(AND(ISNUMBER(gJanU),23&lt;=bNHor),gJanU+22/12+cfgMinAntes/1440,"")</f>
        <v>0</v>
      </c>
      <c r="D40" s="52">
        <f>IF(ISNUMBER(C40),IF(ISNUMBER(gJanG),IF(23&lt;=gNG,gJanG+22/12+cfgMinG/1440,""),C40),"")</f>
        <v>0</v>
      </c>
      <c r="E40" s="53"/>
      <c r="F40" s="54"/>
      <c r="G40" s="55"/>
      <c r="H40" s="56"/>
      <c r="I40" s="57"/>
      <c r="J40" s="58"/>
      <c r="K40" s="59"/>
      <c r="L40" s="60"/>
      <c r="M40" s="57"/>
      <c r="N40" s="58"/>
      <c r="P40" s="61">
        <f>IF(AND(ISNUMBER(E40),ISNUMBER(F40)),IF(bRef=bLabA,F40-E40,E40-F40),"")</f>
        <v>0</v>
      </c>
      <c r="Q40" s="62">
        <f>IF(AND(ISNUMBER(G40),ISNUMBER(H40)),IF(bRef=bLabA,H40-G40,G40-H40),"")</f>
        <v>0</v>
      </c>
      <c r="R40" s="63">
        <f>IF(AND(ISNUMBER(I40),ISNUMBER(J40)),IF(bRef=bLabA,J40-I40,I40-J40),"")</f>
        <v>0</v>
      </c>
      <c r="S40" s="64">
        <f>IF(AND(ISNUMBER(K40),ISNUMBER(L40)),IF(bRef=bLabA,L40-K40,K40-L40),"")</f>
        <v>0</v>
      </c>
      <c r="T40" s="63">
        <f>IF(AND(ISNUMBER(M40),ISNUMBER(N40)),IF(bRef=bLabA,N40-M40,M40-N40),"")</f>
        <v>0</v>
      </c>
      <c r="U40" s="65">
        <f>IF(AND(ISNUMBER(E40),ISNUMBER(F40)),SUMPRODUCT(ISNUMBER(E$18:E40)*ISNUMBER(F$18:F40)),"")</f>
        <v>0</v>
      </c>
      <c r="V40" s="65">
        <f>IF(AND(ISNUMBER(G40),ISNUMBER(H40)),SUMPRODUCT(ISNUMBER(G$18:G40)*ISNUMBER(H$18:H40)),"")</f>
        <v>0</v>
      </c>
      <c r="W40" s="65">
        <f>IF(AND(ISNUMBER(I40),ISNUMBER(J40)),SUMPRODUCT(ISNUMBER(I$18:I40)*ISNUMBER(J$18:J40)),"")</f>
        <v>0</v>
      </c>
      <c r="X40" s="65">
        <f>IF(AND(ISNUMBER(K40),ISNUMBER(L40)),SUMPRODUCT(ISNUMBER(K$18:K40)*ISNUMBER(L$18:L40)),"")</f>
        <v>0</v>
      </c>
      <c r="Y40" s="65">
        <f>IF(AND(ISNUMBER(M40),ISNUMBER(N40)),SUMPRODUCT(ISNUMBER(M$18:M40)*ISNUMBER(N$18:N40)),"")</f>
        <v>0</v>
      </c>
    </row>
    <row r="41" spans="2:25" ht="18" customHeight="1">
      <c r="B41" s="50">
        <v>24</v>
      </c>
      <c r="C41" s="51">
        <f>IF(AND(ISNUMBER(gJanU),24&lt;=bNHor),gJanU+23/12+cfgMinAntes/1440,"")</f>
        <v>0</v>
      </c>
      <c r="D41" s="52">
        <f>IF(ISNUMBER(C41),IF(ISNUMBER(gJanG),IF(24&lt;=gNG,gJanG+23/12+cfgMinG/1440,""),C41),"")</f>
        <v>0</v>
      </c>
      <c r="E41" s="53"/>
      <c r="F41" s="54"/>
      <c r="G41" s="55"/>
      <c r="H41" s="56"/>
      <c r="I41" s="57"/>
      <c r="J41" s="58"/>
      <c r="K41" s="59"/>
      <c r="L41" s="60"/>
      <c r="M41" s="57"/>
      <c r="N41" s="58"/>
      <c r="P41" s="61">
        <f>IF(AND(ISNUMBER(E41),ISNUMBER(F41)),IF(bRef=bLabA,F41-E41,E41-F41),"")</f>
        <v>0</v>
      </c>
      <c r="Q41" s="62">
        <f>IF(AND(ISNUMBER(G41),ISNUMBER(H41)),IF(bRef=bLabA,H41-G41,G41-H41),"")</f>
        <v>0</v>
      </c>
      <c r="R41" s="63">
        <f>IF(AND(ISNUMBER(I41),ISNUMBER(J41)),IF(bRef=bLabA,J41-I41,I41-J41),"")</f>
        <v>0</v>
      </c>
      <c r="S41" s="64">
        <f>IF(AND(ISNUMBER(K41),ISNUMBER(L41)),IF(bRef=bLabA,L41-K41,K41-L41),"")</f>
        <v>0</v>
      </c>
      <c r="T41" s="63">
        <f>IF(AND(ISNUMBER(M41),ISNUMBER(N41)),IF(bRef=bLabA,N41-M41,M41-N41),"")</f>
        <v>0</v>
      </c>
      <c r="U41" s="65">
        <f>IF(AND(ISNUMBER(E41),ISNUMBER(F41)),SUMPRODUCT(ISNUMBER(E$18:E41)*ISNUMBER(F$18:F41)),"")</f>
        <v>0</v>
      </c>
      <c r="V41" s="65">
        <f>IF(AND(ISNUMBER(G41),ISNUMBER(H41)),SUMPRODUCT(ISNUMBER(G$18:G41)*ISNUMBER(H$18:H41)),"")</f>
        <v>0</v>
      </c>
      <c r="W41" s="65">
        <f>IF(AND(ISNUMBER(I41),ISNUMBER(J41)),SUMPRODUCT(ISNUMBER(I$18:I41)*ISNUMBER(J$18:J41)),"")</f>
        <v>0</v>
      </c>
      <c r="X41" s="65">
        <f>IF(AND(ISNUMBER(K41),ISNUMBER(L41)),SUMPRODUCT(ISNUMBER(K$18:K41)*ISNUMBER(L$18:L41)),"")</f>
        <v>0</v>
      </c>
      <c r="Y41" s="65">
        <f>IF(AND(ISNUMBER(M41),ISNUMBER(N41)),SUMPRODUCT(ISNUMBER(M$18:M41)*ISNUMBER(N$18:N41)),"")</f>
        <v>0</v>
      </c>
    </row>
    <row r="42" spans="2:25" ht="18" customHeight="1">
      <c r="B42" s="66" t="s">
        <v>119</v>
      </c>
      <c r="C42" s="66"/>
      <c r="D42" s="66"/>
      <c r="E42" s="67">
        <f>IF(COUNT(E18:E41)=0,"",AVERAGE(E18:E41))</f>
        <v>0</v>
      </c>
      <c r="F42" s="67">
        <f>IF(COUNT(F18:F41)=0,"",AVERAGE(F18:F41))</f>
        <v>0</v>
      </c>
      <c r="G42" s="68">
        <f>IF(COUNT(G18:G41)=0,"",AVERAGE(G18:G41))</f>
        <v>0</v>
      </c>
      <c r="H42" s="68">
        <f>IF(COUNT(H18:H41)=0,"",AVERAGE(H18:H41))</f>
        <v>0</v>
      </c>
      <c r="I42" s="69">
        <f>IF(COUNT(I18:I41)=0,"",AVERAGE(I18:I41))</f>
        <v>0</v>
      </c>
      <c r="J42" s="69">
        <f>IF(COUNT(J18:J41)=0,"",AVERAGE(J18:J41))</f>
        <v>0</v>
      </c>
      <c r="K42" s="70">
        <f>IF(COUNT(K18:K41)=0,"",AVERAGE(K18:K41))</f>
        <v>0</v>
      </c>
      <c r="L42" s="70">
        <f>IF(COUNT(L18:L41)=0,"",AVERAGE(L18:L41))</f>
        <v>0</v>
      </c>
      <c r="M42" s="69">
        <f>IF(COUNT(M18:M41)=0,"",AVERAGE(M18:M41))</f>
        <v>0</v>
      </c>
      <c r="N42" s="69">
        <f>IF(COUNT(N18:N41)=0,"",AVERAGE(N18:N41))</f>
        <v>0</v>
      </c>
      <c r="P42" s="71">
        <f>IF(AND(ISNUMBER(E42),ISNUMBER(F42)),IF(bRef=bLabA,F42-E42,E42-F42),"")</f>
        <v>0</v>
      </c>
      <c r="Q42" s="72">
        <f>IF(AND(ISNUMBER(G42),ISNUMBER(H42)),IF(bRef=bLabA,H42-G42,G42-H42),"")</f>
        <v>0</v>
      </c>
      <c r="R42" s="73">
        <f>IF(AND(ISNUMBER(I42),ISNUMBER(J42)),IF(bRef=bLabA,J42-I42,I42-J42),"")</f>
        <v>0</v>
      </c>
      <c r="S42" s="74">
        <f>IF(AND(ISNUMBER(K42),ISNUMBER(L42)),IF(bRef=bLabA,L42-K42,K42-L42),"")</f>
        <v>0</v>
      </c>
      <c r="T42" s="73">
        <f>IF(AND(ISNUMBER(M42),ISNUMBER(N42)),IF(bRef=bLabA,N42-M42,M42-N42),"")</f>
        <v>0</v>
      </c>
    </row>
    <row r="43" spans="2:25" ht="18" customHeight="1">
      <c r="B43" s="75" t="s">
        <v>120</v>
      </c>
      <c r="C43" s="75"/>
      <c r="D43" s="75"/>
      <c r="E43" s="75">
        <f>COUNT(E18:E41)</f>
        <v>0</v>
      </c>
      <c r="F43" s="75">
        <f>COUNT(F18:F41)</f>
        <v>0</v>
      </c>
      <c r="G43" s="75">
        <f>COUNT(G18:G41)</f>
        <v>0</v>
      </c>
      <c r="H43" s="75">
        <f>COUNT(H18:H41)</f>
        <v>0</v>
      </c>
      <c r="I43" s="75">
        <f>COUNT(I18:I41)</f>
        <v>0</v>
      </c>
      <c r="J43" s="75">
        <f>COUNT(J18:J41)</f>
        <v>0</v>
      </c>
      <c r="K43" s="75">
        <f>COUNT(K18:K41)</f>
        <v>0</v>
      </c>
      <c r="L43" s="75">
        <f>COUNT(L18:L41)</f>
        <v>0</v>
      </c>
      <c r="M43" s="75">
        <f>COUNT(M18:M41)</f>
        <v>0</v>
      </c>
      <c r="N43" s="75">
        <f>COUNT(N18:N41)</f>
        <v>0</v>
      </c>
      <c r="P43" s="75">
        <f>COUNT(P18:P41)</f>
        <v>0</v>
      </c>
      <c r="Q43" s="75">
        <f>COUNT(Q18:Q41)</f>
        <v>0</v>
      </c>
      <c r="R43" s="75">
        <f>COUNT(R18:R41)</f>
        <v>0</v>
      </c>
      <c r="S43" s="75">
        <f>COUNT(S18:S41)</f>
        <v>0</v>
      </c>
      <c r="T43" s="75">
        <f>COUNT(T18:T41)</f>
        <v>0</v>
      </c>
    </row>
    <row r="45" spans="2:25" ht="22" customHeight="1">
      <c r="B45" s="33" t="s">
        <v>121</v>
      </c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</row>
    <row r="46" spans="2:25" ht="28" customHeight="1">
      <c r="B46" s="76" t="s">
        <v>122</v>
      </c>
      <c r="C46" s="76"/>
      <c r="D46" s="77">
        <f>_Graf!$G$38</f>
        <v>0</v>
      </c>
      <c r="E46" s="77"/>
      <c r="F46" s="77"/>
      <c r="G46" s="77"/>
      <c r="H46" s="77"/>
      <c r="I46" s="77"/>
      <c r="J46" s="77"/>
      <c r="K46" s="77"/>
      <c r="L46" s="77"/>
      <c r="M46" s="78" t="s">
        <v>123</v>
      </c>
      <c r="N46" s="79" t="s">
        <v>89</v>
      </c>
    </row>
    <row r="47" spans="2:25" ht="28" customHeight="1">
      <c r="B47" s="76" t="s">
        <v>124</v>
      </c>
      <c r="C47" s="76"/>
      <c r="D47" s="77">
        <f>gAcomp</f>
        <v>0</v>
      </c>
      <c r="E47" s="77"/>
      <c r="F47" s="77"/>
      <c r="G47" s="77"/>
      <c r="H47" s="77"/>
      <c r="I47" s="77"/>
      <c r="J47" s="77"/>
      <c r="K47" s="77"/>
      <c r="L47" s="77"/>
      <c r="M47" s="78" t="s">
        <v>123</v>
      </c>
      <c r="N47" s="79" t="s">
        <v>89</v>
      </c>
    </row>
    <row r="48" spans="2:25" ht="18" customHeight="1">
      <c r="B48" s="76" t="s">
        <v>125</v>
      </c>
      <c r="C48" s="76"/>
      <c r="D48" s="80" t="s">
        <v>74</v>
      </c>
      <c r="E48" s="80"/>
      <c r="F48" s="80"/>
      <c r="G48" s="80"/>
      <c r="H48" s="80"/>
      <c r="I48" s="80"/>
      <c r="J48" s="80"/>
      <c r="K48" s="80"/>
      <c r="L48" s="80"/>
      <c r="M48" s="80"/>
      <c r="N48" s="80"/>
    </row>
    <row r="49" spans="2:14" ht="18" customHeight="1">
      <c r="B49" s="76" t="s">
        <v>126</v>
      </c>
      <c r="C49" s="76"/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</row>
    <row r="50" spans="2:14" ht="18" customHeight="1">
      <c r="B50" s="76" t="s">
        <v>127</v>
      </c>
      <c r="C50" s="76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</row>
    <row r="51" spans="2:14" ht="18" customHeight="1">
      <c r="B51" s="76" t="s">
        <v>128</v>
      </c>
      <c r="C51" s="76"/>
      <c r="D51" s="80"/>
      <c r="E51" s="80"/>
      <c r="F51" s="80"/>
      <c r="G51" s="80"/>
      <c r="H51" s="80"/>
      <c r="I51" s="80"/>
      <c r="J51" s="80"/>
      <c r="K51" s="80"/>
      <c r="L51" s="80"/>
      <c r="M51" s="80"/>
      <c r="N51" s="80"/>
    </row>
    <row r="52" spans="2:14" ht="18" customHeight="1">
      <c r="B52" s="76" t="s">
        <v>129</v>
      </c>
      <c r="C52" s="76"/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</row>
    <row r="53" spans="2:14" ht="18" customHeight="1">
      <c r="B53" s="76" t="s">
        <v>130</v>
      </c>
      <c r="C53" s="76"/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</row>
    <row r="55" spans="2:14" ht="22" customHeight="1">
      <c r="B55" s="33" t="s">
        <v>131</v>
      </c>
      <c r="C55" s="33"/>
      <c r="D55" s="33"/>
      <c r="E55" s="33"/>
      <c r="F55" s="33"/>
      <c r="G55" s="33"/>
      <c r="H55" s="33"/>
      <c r="I55" s="33"/>
      <c r="J55" s="33"/>
      <c r="K55" s="33"/>
      <c r="L55" s="33"/>
      <c r="M55" s="33"/>
      <c r="N55" s="33"/>
    </row>
    <row r="56" spans="2:14" ht="18" customHeight="1">
      <c r="B56" s="81" t="s">
        <v>132</v>
      </c>
      <c r="C56" s="81"/>
      <c r="D56" s="81" t="s">
        <v>133</v>
      </c>
      <c r="E56" s="81" t="s">
        <v>134</v>
      </c>
      <c r="F56" s="81"/>
      <c r="G56" s="81" t="s">
        <v>137</v>
      </c>
      <c r="H56" s="81"/>
      <c r="I56" s="81" t="s">
        <v>138</v>
      </c>
      <c r="J56" s="81"/>
      <c r="K56" s="81"/>
    </row>
    <row r="57" spans="2:14" ht="18" customHeight="1">
      <c r="B57" s="79">
        <f>padLabA</f>
        <v>0</v>
      </c>
      <c r="C57" s="79"/>
      <c r="D57" s="79">
        <f>padLabB</f>
        <v>0</v>
      </c>
      <c r="E57" s="79">
        <f>padRef</f>
        <v>0</v>
      </c>
      <c r="F57" s="79"/>
      <c r="G57" s="82">
        <f>IF(bRef=bLabA,bLabB&amp;" − "&amp;bLabA,bLabA&amp;" − "&amp;bLabB)</f>
        <v>0</v>
      </c>
      <c r="H57" s="82"/>
      <c r="I57" s="83"/>
      <c r="J57" s="83"/>
      <c r="K57" s="83"/>
    </row>
    <row r="58" spans="2:14" ht="18" customHeight="1">
      <c r="B58" s="81" t="s">
        <v>135</v>
      </c>
      <c r="C58" s="81"/>
      <c r="D58" s="81"/>
      <c r="E58" s="81"/>
      <c r="F58" s="81"/>
      <c r="G58" s="81" t="s">
        <v>136</v>
      </c>
      <c r="H58" s="81"/>
      <c r="I58" s="81"/>
      <c r="J58" s="81"/>
      <c r="K58" s="81"/>
      <c r="L58" s="81"/>
      <c r="M58" s="81"/>
      <c r="N58" s="81"/>
    </row>
    <row r="59" spans="2:14" ht="18" customHeight="1">
      <c r="B59" s="84">
        <f>padTit</f>
        <v>0</v>
      </c>
      <c r="C59" s="84"/>
      <c r="D59" s="84"/>
      <c r="E59" s="84"/>
      <c r="F59" s="84"/>
      <c r="G59" s="84">
        <f>padSub</f>
        <v>0</v>
      </c>
      <c r="H59" s="84"/>
      <c r="I59" s="84"/>
      <c r="J59" s="84"/>
      <c r="K59" s="84"/>
      <c r="L59" s="84"/>
      <c r="M59" s="84"/>
      <c r="N59" s="84"/>
    </row>
    <row r="60" spans="2:14" ht="18" customHeight="1">
      <c r="B60" s="81" t="s">
        <v>139</v>
      </c>
      <c r="C60" s="81"/>
      <c r="D60" s="81"/>
      <c r="E60" s="81"/>
      <c r="F60" s="81"/>
      <c r="G60" s="81"/>
      <c r="H60" s="81"/>
      <c r="I60" s="81"/>
      <c r="J60" s="81"/>
      <c r="K60" s="81"/>
      <c r="L60" s="81"/>
      <c r="M60" s="81"/>
      <c r="N60" s="81"/>
    </row>
    <row r="61" spans="2:14" ht="18" customHeight="1">
      <c r="B61" s="81" t="s">
        <v>140</v>
      </c>
      <c r="C61" s="81"/>
      <c r="D61" s="81" t="s">
        <v>141</v>
      </c>
      <c r="E61" s="81" t="s">
        <v>142</v>
      </c>
      <c r="F61" s="81"/>
      <c r="G61" s="81" t="s">
        <v>143</v>
      </c>
      <c r="H61" s="81"/>
      <c r="I61" s="81" t="s">
        <v>144</v>
      </c>
      <c r="J61" s="81"/>
    </row>
    <row r="62" spans="2:14" ht="18" customHeight="1">
      <c r="B62" s="85">
        <f>padTol_SE</f>
        <v>0</v>
      </c>
      <c r="C62" s="85"/>
      <c r="D62" s="86">
        <f>padTol_325</f>
        <v>0</v>
      </c>
      <c r="E62" s="87">
        <f>padTol_SiO2</f>
        <v>0</v>
      </c>
      <c r="F62" s="87"/>
      <c r="G62" s="88">
        <f>padTol_P</f>
        <v>0</v>
      </c>
      <c r="H62" s="88"/>
      <c r="I62" s="87">
        <f>padTol_PPC</f>
        <v>0</v>
      </c>
      <c r="J62" s="87"/>
    </row>
  </sheetData>
  <sheetProtection sheet="1" objects="1" scenarios="1" formatColumns="0" formatRows="0"/>
  <mergeCells count="66">
    <mergeCell ref="B2:T2"/>
    <mergeCell ref="B4:C4"/>
    <mergeCell ref="D4:L4"/>
    <mergeCell ref="B5:C6"/>
    <mergeCell ref="B7:C7"/>
    <mergeCell ref="B8:C8"/>
    <mergeCell ref="B9:C9"/>
    <mergeCell ref="D12:L12"/>
    <mergeCell ref="B13:C13"/>
    <mergeCell ref="B14:C14"/>
    <mergeCell ref="E13:F13"/>
    <mergeCell ref="E14:F14"/>
    <mergeCell ref="G13:H13"/>
    <mergeCell ref="G14:H14"/>
    <mergeCell ref="I13:J13"/>
    <mergeCell ref="I14:J14"/>
    <mergeCell ref="K13:L13"/>
    <mergeCell ref="K14:L14"/>
    <mergeCell ref="M13:N13"/>
    <mergeCell ref="M14:N14"/>
    <mergeCell ref="P13:Q13"/>
    <mergeCell ref="P14:Q14"/>
    <mergeCell ref="R13:S13"/>
    <mergeCell ref="R14:S14"/>
    <mergeCell ref="B16:T16"/>
    <mergeCell ref="B42:D42"/>
    <mergeCell ref="B43:D43"/>
    <mergeCell ref="B45:N45"/>
    <mergeCell ref="B46:C46"/>
    <mergeCell ref="D46:L46"/>
    <mergeCell ref="B47:C47"/>
    <mergeCell ref="D47:L47"/>
    <mergeCell ref="B48:C48"/>
    <mergeCell ref="D48:N48"/>
    <mergeCell ref="B49:C49"/>
    <mergeCell ref="D49:N49"/>
    <mergeCell ref="B50:C50"/>
    <mergeCell ref="D50:N50"/>
    <mergeCell ref="B51:C51"/>
    <mergeCell ref="D51:N51"/>
    <mergeCell ref="B52:C52"/>
    <mergeCell ref="D52:N52"/>
    <mergeCell ref="B53:C53"/>
    <mergeCell ref="D53:N53"/>
    <mergeCell ref="B55:N55"/>
    <mergeCell ref="B56:C56"/>
    <mergeCell ref="B57:C57"/>
    <mergeCell ref="E56:F56"/>
    <mergeCell ref="E57:F57"/>
    <mergeCell ref="B58:F58"/>
    <mergeCell ref="B59:F59"/>
    <mergeCell ref="G58:N58"/>
    <mergeCell ref="G59:N59"/>
    <mergeCell ref="G56:H56"/>
    <mergeCell ref="G57:H57"/>
    <mergeCell ref="I56:K56"/>
    <mergeCell ref="I57:K57"/>
    <mergeCell ref="B60:N60"/>
    <mergeCell ref="B61:C61"/>
    <mergeCell ref="B62:C62"/>
    <mergeCell ref="E61:F61"/>
    <mergeCell ref="E62:F62"/>
    <mergeCell ref="G61:H61"/>
    <mergeCell ref="G62:H62"/>
    <mergeCell ref="I61:J61"/>
    <mergeCell ref="I62:J62"/>
  </mergeCells>
  <conditionalFormatting sqref="B18:D41">
    <cfRule type="expression" dxfId="1" priority="6">
      <formula>$B18&gt;bNHor</formula>
    </cfRule>
  </conditionalFormatting>
  <conditionalFormatting sqref="P18:P42">
    <cfRule type="expression" dxfId="0" priority="1">
      <formula>AND(ISNUMBER(P18),ABS(ROUND(P18,0))&gt;bTol_SE+1E-9)</formula>
    </cfRule>
  </conditionalFormatting>
  <conditionalFormatting sqref="Q18:Q42">
    <cfRule type="expression" dxfId="0" priority="2">
      <formula>AND(ISNUMBER(Q18),ABS(ROUND(Q18,1))&gt;bTol_325+1E-9)</formula>
    </cfRule>
  </conditionalFormatting>
  <conditionalFormatting sqref="R18:R42">
    <cfRule type="expression" dxfId="0" priority="3">
      <formula>AND(ISNUMBER(R18),ABS(ROUND(R18,2))&gt;bTol_SiO2+1E-9)</formula>
    </cfRule>
  </conditionalFormatting>
  <conditionalFormatting sqref="S18:S42">
    <cfRule type="expression" dxfId="0" priority="4">
      <formula>AND(ISNUMBER(S18),ABS(ROUND(S18,3))&gt;bTol_P+1E-9)</formula>
    </cfRule>
  </conditionalFormatting>
  <conditionalFormatting sqref="T18:T42">
    <cfRule type="expression" dxfId="0" priority="5">
      <formula>AND(ISNUMBER(T18),ABS(ROUND(T18,2))&gt;bTol_PPC+1E-9)</formula>
    </cfRule>
  </conditionalFormatting>
  <dataValidations count="6">
    <dataValidation type="list" allowBlank="1" showInputMessage="1" showErrorMessage="1" sqref="B8">
      <formula1>lstNivel</formula1>
    </dataValidation>
    <dataValidation type="whole" allowBlank="1" showInputMessage="1" showErrorMessage="1" error="Entre 1 e 24 horários." sqref="K14">
      <formula1>1</formula1>
      <formula2>24</formula2>
    </dataValidation>
    <dataValidation type="list" allowBlank="1" showInputMessage="1" showErrorMessage="1" sqref="R14">
      <formula1>lstMin</formula1>
    </dataValidation>
    <dataValidation type="list" allowBlank="1" showInputMessage="1" showErrorMessage="1" sqref="N46">
      <formula1>lstSimNao</formula1>
    </dataValidation>
    <dataValidation type="list" allowBlank="1" showInputMessage="1" showErrorMessage="1" sqref="N47">
      <formula1>lstSimNao</formula1>
    </dataValidation>
    <dataValidation type="list" allowBlank="1" showInputMessage="1" showErrorMessage="1" sqref="E57">
      <formula1>lstLabs</formula1>
    </dataValidation>
  </dataValidations>
  <pageMargins left="0.3" right="0.3" top="0.4" bottom="0.4" header="0.3" footer="0.3"/>
  <pageSetup paperSize="9" fitToHeight="0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nviar">
    <tabColor rgb="FF2F5C9E"/>
  </sheetPr>
  <dimension ref="A2:D18"/>
  <sheetViews>
    <sheetView showGridLines="0" workbookViewId="0"/>
  </sheetViews>
  <sheetFormatPr defaultRowHeight="15"/>
  <cols>
    <col min="1" max="1" width="2.7109375" customWidth="1"/>
    <col min="2" max="2" width="92.7109375" customWidth="1"/>
    <col min="3" max="3" width="2.7109375" customWidth="1"/>
    <col min="4" max="4" width="34.7109375" customWidth="1"/>
  </cols>
  <sheetData>
    <row r="2" spans="2:4" ht="34" customHeight="1">
      <c r="B2" s="7" t="s">
        <v>239</v>
      </c>
      <c r="C2" s="7"/>
      <c r="D2" s="7"/>
    </row>
    <row r="5" spans="2:4" ht="22" customHeight="1">
      <c r="B5" s="33" t="s">
        <v>240</v>
      </c>
    </row>
    <row r="6" spans="2:4">
      <c r="B6" s="89">
        <f>"Comparativo "&amp;bLabA&amp;" × "&amp;bLabB&amp;" — Batch "&amp;bId&amp;IF(bMin&lt;&gt;""," (mineroduto "&amp;bMin&amp;")","")&amp;" · "&amp;gDataTxt&amp;CHAR(10)&amp;IF(gAval=0,"Sem pares "&amp;bLabA&amp;"/"&amp;bLabB&amp;" para avaliar.",IF(gNok=0,"Todos os parâmetros dentro da tolerância.",gNok&amp;" de "&amp;gAval&amp;" fora da tolerância: "&amp;gNokDet&amp;"."))&amp;IF(TRIM(bCom1&amp;"")&lt;&gt;"",CHAR(10)&amp;"•  "&amp;TRIM(bCom1&amp;""),"")&amp;IF(TRIM(bCom2&amp;"")&lt;&gt;"",CHAR(10)&amp;"•  "&amp;TRIM(bCom2&amp;""),"")&amp;IF(TRIM(bCom3&amp;"")&lt;&gt;"",CHAR(10)&amp;"•  "&amp;TRIM(bCom3&amp;""),"")&amp;IF(TRIM(bCom4&amp;"")&lt;&gt;"",CHAR(10)&amp;"•  "&amp;TRIM(bCom4&amp;""),"")&amp;IF(TRIM(bCom5&amp;"")&lt;&gt;"",CHAR(10)&amp;"•  "&amp;TRIM(bCom5&amp;""),"")&amp;IF(TRIM(bCom6&amp;"")&lt;&gt;"",CHAR(10)&amp;"•  "&amp;TRIM(bCom6&amp;""),"")</f>
        <v>0</v>
      </c>
    </row>
    <row r="7" spans="2:4">
      <c r="B7" s="89"/>
    </row>
    <row r="8" spans="2:4">
      <c r="B8" s="89"/>
    </row>
    <row r="9" spans="2:4">
      <c r="B9" s="89"/>
    </row>
    <row r="10" spans="2:4">
      <c r="B10" s="89"/>
    </row>
    <row r="11" spans="2:4">
      <c r="B11" s="89"/>
    </row>
    <row r="12" spans="2:4">
      <c r="B12" s="89"/>
    </row>
    <row r="13" spans="2:4">
      <c r="B13" s="89"/>
    </row>
    <row r="14" spans="2:4">
      <c r="B14" s="89"/>
    </row>
    <row r="15" spans="2:4">
      <c r="B15" s="89"/>
    </row>
    <row r="17" spans="2:2">
      <c r="B17" s="90" t="s">
        <v>241</v>
      </c>
    </row>
    <row r="18" spans="2:2">
      <c r="B18" s="91">
        <f>"Comparativo Germano × Ubu — Batch "&amp;bId&amp;" — "&amp;gDataTxt</f>
        <v>0</v>
      </c>
    </row>
  </sheetData>
  <sheetProtection sheet="1" objects="1" scenarios="1" formatColumns="0" formatRows="0"/>
  <mergeCells count="2">
    <mergeCell ref="B2:D2"/>
    <mergeCell ref="B6:B15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Hist">
    <tabColor rgb="FF0A7C50"/>
  </sheetPr>
  <dimension ref="A2:BC8"/>
  <sheetViews>
    <sheetView showGridLines="0" workbookViewId="0">
      <pane xSplit="2" ySplit="7" topLeftCell="C8" activePane="bottomRight" state="frozen"/>
      <selection pane="topRight" activeCell="C1" sqref="C1"/>
      <selection pane="bottomLeft" activeCell="A8" sqref="A8"/>
      <selection pane="bottomRight"/>
    </sheetView>
  </sheetViews>
  <sheetFormatPr defaultRowHeight="15"/>
  <cols>
    <col min="1" max="1" width="2.7109375" customWidth="1"/>
    <col min="2" max="2" width="9.7109375" customWidth="1"/>
    <col min="3" max="10" width="13.7109375" customWidth="1"/>
    <col min="11" max="12" width="30.7109375" customWidth="1"/>
    <col min="13" max="18" width="13.7109375" customWidth="1"/>
    <col min="19" max="24" width="30.7109375" customWidth="1"/>
    <col min="25" max="55" width="13.7109375" customWidth="1"/>
  </cols>
  <sheetData>
    <row r="2" spans="2:55" ht="34" customHeight="1">
      <c r="B2" s="7" t="s">
        <v>242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</row>
    <row r="3" spans="2:55" ht="22" customHeight="1">
      <c r="B3" s="92" t="s">
        <v>243</v>
      </c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</row>
    <row r="4" spans="2:55" ht="22" customHeight="1"/>
    <row r="5" spans="2:55" ht="18" customHeight="1">
      <c r="K5" s="93" t="s">
        <v>244</v>
      </c>
    </row>
    <row r="7" spans="2:55" ht="30" customHeight="1">
      <c r="B7" t="s">
        <v>245</v>
      </c>
      <c r="C7" t="s">
        <v>246</v>
      </c>
      <c r="D7" t="s">
        <v>66</v>
      </c>
      <c r="E7" t="s">
        <v>247</v>
      </c>
      <c r="F7" t="s">
        <v>248</v>
      </c>
      <c r="G7" t="s">
        <v>249</v>
      </c>
      <c r="H7" t="s">
        <v>250</v>
      </c>
      <c r="I7" t="s">
        <v>251</v>
      </c>
      <c r="J7" t="s">
        <v>252</v>
      </c>
      <c r="K7" t="s">
        <v>253</v>
      </c>
      <c r="L7" t="s">
        <v>254</v>
      </c>
      <c r="M7" t="s">
        <v>255</v>
      </c>
      <c r="N7" t="s">
        <v>171</v>
      </c>
      <c r="O7" t="s">
        <v>256</v>
      </c>
      <c r="P7" t="s">
        <v>71</v>
      </c>
      <c r="Q7" t="s">
        <v>257</v>
      </c>
      <c r="R7" t="s">
        <v>258</v>
      </c>
      <c r="S7" t="s">
        <v>259</v>
      </c>
      <c r="T7" t="s">
        <v>260</v>
      </c>
      <c r="U7" t="s">
        <v>261</v>
      </c>
      <c r="V7" t="s">
        <v>122</v>
      </c>
      <c r="W7" t="s">
        <v>262</v>
      </c>
      <c r="X7" t="s">
        <v>263</v>
      </c>
      <c r="Y7" t="s">
        <v>264</v>
      </c>
      <c r="Z7" t="s">
        <v>265</v>
      </c>
      <c r="AA7" t="s">
        <v>266</v>
      </c>
      <c r="AB7" t="s">
        <v>267</v>
      </c>
      <c r="AC7" t="s">
        <v>268</v>
      </c>
      <c r="AD7" t="s">
        <v>269</v>
      </c>
      <c r="AE7" t="s">
        <v>270</v>
      </c>
      <c r="AF7" t="s">
        <v>271</v>
      </c>
      <c r="AG7" t="s">
        <v>272</v>
      </c>
      <c r="AH7" t="s">
        <v>273</v>
      </c>
      <c r="AI7" t="s">
        <v>274</v>
      </c>
      <c r="AJ7" t="s">
        <v>275</v>
      </c>
      <c r="AK7" t="s">
        <v>276</v>
      </c>
      <c r="AL7" t="s">
        <v>277</v>
      </c>
      <c r="AM7" t="s">
        <v>278</v>
      </c>
      <c r="AN7" t="s">
        <v>279</v>
      </c>
      <c r="AO7" t="s">
        <v>280</v>
      </c>
      <c r="AP7" t="s">
        <v>281</v>
      </c>
      <c r="AQ7" t="s">
        <v>282</v>
      </c>
      <c r="AR7" t="s">
        <v>283</v>
      </c>
      <c r="AS7" t="s">
        <v>284</v>
      </c>
      <c r="AT7" t="s">
        <v>285</v>
      </c>
      <c r="AU7" t="s">
        <v>286</v>
      </c>
      <c r="AV7" t="s">
        <v>287</v>
      </c>
      <c r="AW7" t="s">
        <v>288</v>
      </c>
      <c r="AX7" t="s">
        <v>289</v>
      </c>
      <c r="AY7" t="s">
        <v>290</v>
      </c>
      <c r="AZ7" t="s">
        <v>291</v>
      </c>
      <c r="BA7" t="s">
        <v>292</v>
      </c>
      <c r="BB7" t="s">
        <v>293</v>
      </c>
      <c r="BC7" t="s">
        <v>294</v>
      </c>
    </row>
    <row r="8" spans="2:55">
      <c r="B8" s="94">
        <v>284</v>
      </c>
      <c r="C8" s="95">
        <v>46309</v>
      </c>
      <c r="D8" s="94" t="s">
        <v>67</v>
      </c>
      <c r="E8" s="96">
        <v>46307.40486111111</v>
      </c>
      <c r="F8" s="96">
        <v>46308.3875</v>
      </c>
      <c r="G8" s="94" t="s">
        <v>61</v>
      </c>
      <c r="H8" s="96"/>
      <c r="I8" s="96">
        <v>46305</v>
      </c>
      <c r="J8" s="96">
        <v>46305.99930555555</v>
      </c>
      <c r="K8" s="94">
        <v>12</v>
      </c>
      <c r="L8" s="94" t="s">
        <v>13</v>
      </c>
      <c r="M8" s="94" t="s">
        <v>17</v>
      </c>
      <c r="N8" s="94" t="s">
        <v>13</v>
      </c>
      <c r="O8" s="94" t="s">
        <v>70</v>
      </c>
      <c r="P8" s="94" t="s">
        <v>72</v>
      </c>
      <c r="Q8" s="97">
        <v>150</v>
      </c>
      <c r="R8" s="97">
        <v>1</v>
      </c>
      <c r="S8" s="97">
        <v>0.19</v>
      </c>
      <c r="T8" s="97">
        <v>0.003</v>
      </c>
      <c r="U8" s="97">
        <v>0.08</v>
      </c>
      <c r="V8" s="94" t="s">
        <v>89</v>
      </c>
      <c r="W8" s="94" t="s">
        <v>89</v>
      </c>
      <c r="X8" s="94" t="s">
        <v>74</v>
      </c>
      <c r="Y8" s="94"/>
      <c r="Z8" s="94"/>
      <c r="AA8" s="94"/>
      <c r="AB8" s="94"/>
      <c r="AC8" s="94"/>
      <c r="AD8" s="97">
        <v>1979.681818181818</v>
      </c>
      <c r="AE8" s="97">
        <v>1809.083333333333</v>
      </c>
      <c r="AF8" s="97">
        <v>-170.598484848485</v>
      </c>
      <c r="AG8" s="94" t="s">
        <v>164</v>
      </c>
      <c r="AH8" s="97">
        <v>84.90863626653498</v>
      </c>
      <c r="AI8" s="97">
        <v>84.79999923706055</v>
      </c>
      <c r="AJ8" s="97">
        <v>-0.108637029474437</v>
      </c>
      <c r="AK8" s="94" t="s">
        <v>165</v>
      </c>
      <c r="AL8" s="97">
        <v>1.433181811462749</v>
      </c>
      <c r="AM8" s="97">
        <v>1.807500004768372</v>
      </c>
      <c r="AN8" s="97">
        <v>0.3743181933056225</v>
      </c>
      <c r="AO8" s="94" t="s">
        <v>164</v>
      </c>
      <c r="AP8" s="97">
        <v>0.05772727236829021</v>
      </c>
      <c r="AQ8" s="97">
        <v>0.0593333321933945</v>
      </c>
      <c r="AR8" s="97">
        <v>0.001606059825104297</v>
      </c>
      <c r="AS8" s="94" t="s">
        <v>165</v>
      </c>
      <c r="AT8" s="97">
        <v>3.989090908657421</v>
      </c>
      <c r="AU8" s="97">
        <v>3.804999987284342</v>
      </c>
      <c r="AV8" s="97">
        <v>-0.1840909213730786</v>
      </c>
      <c r="AW8" s="94" t="s">
        <v>164</v>
      </c>
      <c r="AX8" s="96">
        <v>46307.57152777778</v>
      </c>
      <c r="AY8" s="94">
        <v>62</v>
      </c>
      <c r="AZ8" s="94">
        <v>3</v>
      </c>
      <c r="BA8" s="94">
        <v>107</v>
      </c>
      <c r="BB8" s="96">
        <v>46309.69020833333</v>
      </c>
      <c r="BC8" s="94" t="s">
        <v>295</v>
      </c>
    </row>
  </sheetData>
  <mergeCells count="2">
    <mergeCell ref="B2:O2"/>
    <mergeCell ref="B3:O3"/>
  </mergeCells>
  <conditionalFormatting sqref="AG8:AG2007">
    <cfRule type="cellIs" dxfId="0" priority="1" operator="equal">
      <formula>"NOK"</formula>
    </cfRule>
    <cfRule type="cellIs" dxfId="11" priority="2" operator="equal">
      <formula>"OK"</formula>
    </cfRule>
  </conditionalFormatting>
  <conditionalFormatting sqref="AK8:AK2007">
    <cfRule type="cellIs" dxfId="0" priority="3" operator="equal">
      <formula>"NOK"</formula>
    </cfRule>
    <cfRule type="cellIs" dxfId="11" priority="4" operator="equal">
      <formula>"OK"</formula>
    </cfRule>
  </conditionalFormatting>
  <conditionalFormatting sqref="AO8:AO2007">
    <cfRule type="cellIs" dxfId="0" priority="5" operator="equal">
      <formula>"NOK"</formula>
    </cfRule>
    <cfRule type="cellIs" dxfId="11" priority="6" operator="equal">
      <formula>"OK"</formula>
    </cfRule>
  </conditionalFormatting>
  <conditionalFormatting sqref="AS8:AS2007">
    <cfRule type="cellIs" dxfId="0" priority="7" operator="equal">
      <formula>"NOK"</formula>
    </cfRule>
    <cfRule type="cellIs" dxfId="11" priority="8" operator="equal">
      <formula>"OK"</formula>
    </cfRule>
  </conditionalFormatting>
  <conditionalFormatting sqref="AW8:AW2007">
    <cfRule type="cellIs" dxfId="0" priority="9" operator="equal">
      <formula>"NOK"</formula>
    </cfRule>
    <cfRule type="cellIs" dxfId="11" priority="10" operator="equal">
      <formula>"OK"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Leituras">
    <tabColor rgb="FF6A7A94"/>
  </sheetPr>
  <dimension ref="A1:J60"/>
  <sheetViews>
    <sheetView workbookViewId="0">
      <pane ySplit="1" topLeftCell="A2" activePane="bottomLeft" state="frozen"/>
      <selection pane="bottomLeft"/>
    </sheetView>
  </sheetViews>
  <sheetFormatPr defaultRowHeight="15"/>
  <cols>
    <col min="1" max="2" width="10.7109375" customWidth="1"/>
    <col min="3" max="4" width="18.7109375" customWidth="1"/>
    <col min="5" max="10" width="12.7109375" customWidth="1"/>
  </cols>
  <sheetData>
    <row r="1" spans="1:10">
      <c r="A1" t="s">
        <v>245</v>
      </c>
      <c r="B1" t="s">
        <v>296</v>
      </c>
      <c r="C1" t="s">
        <v>297</v>
      </c>
      <c r="D1" t="s">
        <v>298</v>
      </c>
      <c r="E1" t="s">
        <v>145</v>
      </c>
      <c r="F1" t="s">
        <v>13</v>
      </c>
      <c r="G1" t="s">
        <v>17</v>
      </c>
      <c r="H1" t="s">
        <v>148</v>
      </c>
      <c r="I1" t="s">
        <v>299</v>
      </c>
      <c r="J1" t="s">
        <v>150</v>
      </c>
    </row>
    <row r="2" spans="1:10">
      <c r="A2" s="94">
        <v>284</v>
      </c>
      <c r="B2" s="94">
        <v>1</v>
      </c>
      <c r="C2" s="96">
        <v>46307.64583333334</v>
      </c>
      <c r="D2" s="96">
        <v>46305.0625</v>
      </c>
      <c r="E2" s="94" t="s">
        <v>12</v>
      </c>
      <c r="F2" s="97"/>
      <c r="G2" s="97">
        <v>1822</v>
      </c>
      <c r="H2" s="97"/>
      <c r="I2" s="97">
        <v>150</v>
      </c>
      <c r="J2" s="94"/>
    </row>
    <row r="3" spans="1:10">
      <c r="A3" s="94">
        <v>284</v>
      </c>
      <c r="B3" s="94">
        <v>1</v>
      </c>
      <c r="C3" s="96">
        <v>46307.64583333334</v>
      </c>
      <c r="D3" s="96">
        <v>46305.0625</v>
      </c>
      <c r="E3" s="94" t="s">
        <v>22</v>
      </c>
      <c r="F3" s="97"/>
      <c r="G3" s="97">
        <v>1.870000004768372</v>
      </c>
      <c r="H3" s="97"/>
      <c r="I3" s="97">
        <v>0.19</v>
      </c>
      <c r="J3" s="94"/>
    </row>
    <row r="4" spans="1:10">
      <c r="A4" s="94">
        <v>284</v>
      </c>
      <c r="B4" s="94">
        <v>1</v>
      </c>
      <c r="C4" s="96">
        <v>46307.64583333334</v>
      </c>
      <c r="D4" s="96">
        <v>46305.0625</v>
      </c>
      <c r="E4" s="94" t="s">
        <v>25</v>
      </c>
      <c r="F4" s="97"/>
      <c r="G4" s="97">
        <v>0.05900000035762787</v>
      </c>
      <c r="H4" s="97"/>
      <c r="I4" s="97">
        <v>0.003</v>
      </c>
      <c r="J4" s="94"/>
    </row>
    <row r="5" spans="1:10">
      <c r="A5" s="94">
        <v>284</v>
      </c>
      <c r="B5" s="94">
        <v>1</v>
      </c>
      <c r="C5" s="96">
        <v>46307.64583333334</v>
      </c>
      <c r="D5" s="96">
        <v>46305.0625</v>
      </c>
      <c r="E5" s="94" t="s">
        <v>28</v>
      </c>
      <c r="F5" s="97"/>
      <c r="G5" s="97">
        <v>3.839999914169312</v>
      </c>
      <c r="H5" s="97"/>
      <c r="I5" s="97">
        <v>0.08</v>
      </c>
      <c r="J5" s="94"/>
    </row>
    <row r="6" spans="1:10">
      <c r="A6" s="94">
        <v>284</v>
      </c>
      <c r="B6" s="94">
        <v>2</v>
      </c>
      <c r="C6" s="96">
        <v>46307.72916666666</v>
      </c>
      <c r="D6" s="96">
        <v>46305.14583333334</v>
      </c>
      <c r="E6" s="94" t="s">
        <v>12</v>
      </c>
      <c r="F6" s="97">
        <v>1933</v>
      </c>
      <c r="G6" s="97">
        <v>1780</v>
      </c>
      <c r="H6" s="97">
        <v>-153</v>
      </c>
      <c r="I6" s="97">
        <v>150</v>
      </c>
      <c r="J6" s="94" t="s">
        <v>164</v>
      </c>
    </row>
    <row r="7" spans="1:10">
      <c r="A7" s="94">
        <v>284</v>
      </c>
      <c r="B7" s="94">
        <v>2</v>
      </c>
      <c r="C7" s="96">
        <v>46307.72916666666</v>
      </c>
      <c r="D7" s="96">
        <v>46305.14583333334</v>
      </c>
      <c r="E7" s="94" t="s">
        <v>19</v>
      </c>
      <c r="F7" s="97">
        <v>85.91999816894531</v>
      </c>
      <c r="G7" s="97"/>
      <c r="H7" s="97"/>
      <c r="I7" s="97">
        <v>1</v>
      </c>
      <c r="J7" s="94"/>
    </row>
    <row r="8" spans="1:10">
      <c r="A8" s="94">
        <v>284</v>
      </c>
      <c r="B8" s="94">
        <v>2</v>
      </c>
      <c r="C8" s="96">
        <v>46307.72916666666</v>
      </c>
      <c r="D8" s="96">
        <v>46305.14583333334</v>
      </c>
      <c r="E8" s="94" t="s">
        <v>22</v>
      </c>
      <c r="F8" s="97">
        <v>1.309999942779541</v>
      </c>
      <c r="G8" s="97">
        <v>1.809999942779541</v>
      </c>
      <c r="H8" s="97">
        <v>0.5</v>
      </c>
      <c r="I8" s="97">
        <v>0.19</v>
      </c>
      <c r="J8" s="94" t="s">
        <v>164</v>
      </c>
    </row>
    <row r="9" spans="1:10">
      <c r="A9" s="94">
        <v>284</v>
      </c>
      <c r="B9" s="94">
        <v>2</v>
      </c>
      <c r="C9" s="96">
        <v>46307.72916666666</v>
      </c>
      <c r="D9" s="96">
        <v>46305.14583333334</v>
      </c>
      <c r="E9" s="94" t="s">
        <v>25</v>
      </c>
      <c r="F9" s="97">
        <v>0.05900000035762787</v>
      </c>
      <c r="G9" s="97">
        <v>0.05799999833106995</v>
      </c>
      <c r="H9" s="97">
        <v>-0.001000002026557922</v>
      </c>
      <c r="I9" s="97">
        <v>0.003</v>
      </c>
      <c r="J9" s="94" t="s">
        <v>165</v>
      </c>
    </row>
    <row r="10" spans="1:10">
      <c r="A10" s="94">
        <v>284</v>
      </c>
      <c r="B10" s="94">
        <v>2</v>
      </c>
      <c r="C10" s="96">
        <v>46307.72916666666</v>
      </c>
      <c r="D10" s="96">
        <v>46305.14583333334</v>
      </c>
      <c r="E10" s="94" t="s">
        <v>28</v>
      </c>
      <c r="F10" s="97">
        <v>4.139999866485596</v>
      </c>
      <c r="G10" s="97">
        <v>3.730000019073486</v>
      </c>
      <c r="H10" s="97">
        <v>-0.4099998474121094</v>
      </c>
      <c r="I10" s="97">
        <v>0.08</v>
      </c>
      <c r="J10" s="94" t="s">
        <v>164</v>
      </c>
    </row>
    <row r="11" spans="1:10">
      <c r="A11" s="94">
        <v>284</v>
      </c>
      <c r="B11" s="94">
        <v>3</v>
      </c>
      <c r="C11" s="96">
        <v>46307.8125</v>
      </c>
      <c r="D11" s="96">
        <v>46305.22916666666</v>
      </c>
      <c r="E11" s="94" t="s">
        <v>12</v>
      </c>
      <c r="F11" s="97">
        <v>2053</v>
      </c>
      <c r="G11" s="97">
        <v>1787</v>
      </c>
      <c r="H11" s="97">
        <v>-266</v>
      </c>
      <c r="I11" s="97">
        <v>150</v>
      </c>
      <c r="J11" s="94" t="s">
        <v>164</v>
      </c>
    </row>
    <row r="12" spans="1:10">
      <c r="A12" s="94">
        <v>284</v>
      </c>
      <c r="B12" s="94">
        <v>3</v>
      </c>
      <c r="C12" s="96">
        <v>46307.8125</v>
      </c>
      <c r="D12" s="96">
        <v>46305.22916666666</v>
      </c>
      <c r="E12" s="94" t="s">
        <v>19</v>
      </c>
      <c r="F12" s="97">
        <v>86.30999755859375</v>
      </c>
      <c r="G12" s="97">
        <v>85</v>
      </c>
      <c r="H12" s="97">
        <v>-1.30999755859375</v>
      </c>
      <c r="I12" s="97">
        <v>1</v>
      </c>
      <c r="J12" s="94" t="s">
        <v>164</v>
      </c>
    </row>
    <row r="13" spans="1:10">
      <c r="A13" s="94">
        <v>284</v>
      </c>
      <c r="B13" s="94">
        <v>3</v>
      </c>
      <c r="C13" s="96">
        <v>46307.8125</v>
      </c>
      <c r="D13" s="96">
        <v>46305.22916666666</v>
      </c>
      <c r="E13" s="94" t="s">
        <v>22</v>
      </c>
      <c r="F13" s="97">
        <v>1.309999942779541</v>
      </c>
      <c r="G13" s="97">
        <v>1.809999942779541</v>
      </c>
      <c r="H13" s="97">
        <v>0.5</v>
      </c>
      <c r="I13" s="97">
        <v>0.19</v>
      </c>
      <c r="J13" s="94" t="s">
        <v>164</v>
      </c>
    </row>
    <row r="14" spans="1:10">
      <c r="A14" s="94">
        <v>284</v>
      </c>
      <c r="B14" s="94">
        <v>3</v>
      </c>
      <c r="C14" s="96">
        <v>46307.8125</v>
      </c>
      <c r="D14" s="96">
        <v>46305.22916666666</v>
      </c>
      <c r="E14" s="94" t="s">
        <v>25</v>
      </c>
      <c r="F14" s="97">
        <v>0.05799999833106995</v>
      </c>
      <c r="G14" s="97">
        <v>0.05799999833106995</v>
      </c>
      <c r="H14" s="97">
        <v>0</v>
      </c>
      <c r="I14" s="97">
        <v>0.003</v>
      </c>
      <c r="J14" s="94" t="s">
        <v>165</v>
      </c>
    </row>
    <row r="15" spans="1:10">
      <c r="A15" s="94">
        <v>284</v>
      </c>
      <c r="B15" s="94">
        <v>3</v>
      </c>
      <c r="C15" s="96">
        <v>46307.8125</v>
      </c>
      <c r="D15" s="96">
        <v>46305.22916666666</v>
      </c>
      <c r="E15" s="94" t="s">
        <v>28</v>
      </c>
      <c r="F15" s="97">
        <v>4.159999847412109</v>
      </c>
      <c r="G15" s="97">
        <v>3.730000019073486</v>
      </c>
      <c r="H15" s="97">
        <v>-0.429999828338623</v>
      </c>
      <c r="I15" s="97">
        <v>0.08</v>
      </c>
      <c r="J15" s="94" t="s">
        <v>164</v>
      </c>
    </row>
    <row r="16" spans="1:10">
      <c r="A16" s="94">
        <v>284</v>
      </c>
      <c r="B16" s="94">
        <v>4</v>
      </c>
      <c r="C16" s="96">
        <v>46307.89583333334</v>
      </c>
      <c r="D16" s="96">
        <v>46305.3125</v>
      </c>
      <c r="E16" s="94" t="s">
        <v>12</v>
      </c>
      <c r="F16" s="97">
        <v>2061</v>
      </c>
      <c r="G16" s="97">
        <v>1757</v>
      </c>
      <c r="H16" s="97">
        <v>-304</v>
      </c>
      <c r="I16" s="97">
        <v>150</v>
      </c>
      <c r="J16" s="94" t="s">
        <v>164</v>
      </c>
    </row>
    <row r="17" spans="1:10">
      <c r="A17" s="94">
        <v>284</v>
      </c>
      <c r="B17" s="94">
        <v>4</v>
      </c>
      <c r="C17" s="96">
        <v>46307.89583333334</v>
      </c>
      <c r="D17" s="96">
        <v>46305.3125</v>
      </c>
      <c r="E17" s="94" t="s">
        <v>19</v>
      </c>
      <c r="F17" s="97">
        <v>83.43000030517578</v>
      </c>
      <c r="G17" s="97"/>
      <c r="H17" s="97"/>
      <c r="I17" s="97">
        <v>1</v>
      </c>
      <c r="J17" s="94"/>
    </row>
    <row r="18" spans="1:10">
      <c r="A18" s="94">
        <v>284</v>
      </c>
      <c r="B18" s="94">
        <v>4</v>
      </c>
      <c r="C18" s="96">
        <v>46307.89583333334</v>
      </c>
      <c r="D18" s="96">
        <v>46305.3125</v>
      </c>
      <c r="E18" s="94" t="s">
        <v>22</v>
      </c>
      <c r="F18" s="97">
        <v>1.299999952316284</v>
      </c>
      <c r="G18" s="97">
        <v>1.769999980926514</v>
      </c>
      <c r="H18" s="97">
        <v>0.4700000286102295</v>
      </c>
      <c r="I18" s="97">
        <v>0.19</v>
      </c>
      <c r="J18" s="94" t="s">
        <v>164</v>
      </c>
    </row>
    <row r="19" spans="1:10">
      <c r="A19" s="94">
        <v>284</v>
      </c>
      <c r="B19" s="94">
        <v>4</v>
      </c>
      <c r="C19" s="96">
        <v>46307.89583333334</v>
      </c>
      <c r="D19" s="96">
        <v>46305.3125</v>
      </c>
      <c r="E19" s="94" t="s">
        <v>25</v>
      </c>
      <c r="F19" s="97">
        <v>0.05999999865889549</v>
      </c>
      <c r="G19" s="97">
        <v>0.05999999865889549</v>
      </c>
      <c r="H19" s="97">
        <v>0</v>
      </c>
      <c r="I19" s="97">
        <v>0.003</v>
      </c>
      <c r="J19" s="94" t="s">
        <v>165</v>
      </c>
    </row>
    <row r="20" spans="1:10">
      <c r="A20" s="94">
        <v>284</v>
      </c>
      <c r="B20" s="94">
        <v>4</v>
      </c>
      <c r="C20" s="96">
        <v>46307.89583333334</v>
      </c>
      <c r="D20" s="96">
        <v>46305.3125</v>
      </c>
      <c r="E20" s="94" t="s">
        <v>28</v>
      </c>
      <c r="F20" s="97">
        <v>4.260000228881836</v>
      </c>
      <c r="G20" s="97">
        <v>3.779999971389771</v>
      </c>
      <c r="H20" s="97">
        <v>-0.4800002574920654</v>
      </c>
      <c r="I20" s="97">
        <v>0.08</v>
      </c>
      <c r="J20" s="94" t="s">
        <v>164</v>
      </c>
    </row>
    <row r="21" spans="1:10">
      <c r="A21" s="94">
        <v>284</v>
      </c>
      <c r="B21" s="94">
        <v>5</v>
      </c>
      <c r="C21" s="96">
        <v>46307.97916666666</v>
      </c>
      <c r="D21" s="96">
        <v>46305.39583333334</v>
      </c>
      <c r="E21" s="94" t="s">
        <v>12</v>
      </c>
      <c r="F21" s="97">
        <v>1895</v>
      </c>
      <c r="G21" s="97">
        <v>1810</v>
      </c>
      <c r="H21" s="97">
        <v>-85</v>
      </c>
      <c r="I21" s="97">
        <v>150</v>
      </c>
      <c r="J21" s="94" t="s">
        <v>165</v>
      </c>
    </row>
    <row r="22" spans="1:10">
      <c r="A22" s="94">
        <v>284</v>
      </c>
      <c r="B22" s="94">
        <v>5</v>
      </c>
      <c r="C22" s="96">
        <v>46307.97916666666</v>
      </c>
      <c r="D22" s="96">
        <v>46305.39583333334</v>
      </c>
      <c r="E22" s="94" t="s">
        <v>19</v>
      </c>
      <c r="F22" s="97">
        <v>84.44000244140625</v>
      </c>
      <c r="G22" s="97"/>
      <c r="H22" s="97"/>
      <c r="I22" s="97">
        <v>1</v>
      </c>
      <c r="J22" s="94"/>
    </row>
    <row r="23" spans="1:10">
      <c r="A23" s="94">
        <v>284</v>
      </c>
      <c r="B23" s="94">
        <v>5</v>
      </c>
      <c r="C23" s="96">
        <v>46307.97916666666</v>
      </c>
      <c r="D23" s="96">
        <v>46305.39583333334</v>
      </c>
      <c r="E23" s="94" t="s">
        <v>22</v>
      </c>
      <c r="F23" s="97">
        <v>1.360000014305115</v>
      </c>
      <c r="G23" s="97">
        <v>1.769999980926514</v>
      </c>
      <c r="H23" s="97">
        <v>0.4099999666213989</v>
      </c>
      <c r="I23" s="97">
        <v>0.19</v>
      </c>
      <c r="J23" s="94" t="s">
        <v>164</v>
      </c>
    </row>
    <row r="24" spans="1:10">
      <c r="A24" s="94">
        <v>284</v>
      </c>
      <c r="B24" s="94">
        <v>5</v>
      </c>
      <c r="C24" s="96">
        <v>46307.97916666666</v>
      </c>
      <c r="D24" s="96">
        <v>46305.39583333334</v>
      </c>
      <c r="E24" s="94" t="s">
        <v>25</v>
      </c>
      <c r="F24" s="97">
        <v>0.05900000035762787</v>
      </c>
      <c r="G24" s="97">
        <v>0.05999999865889549</v>
      </c>
      <c r="H24" s="97">
        <v>0.0009999983012676239</v>
      </c>
      <c r="I24" s="97">
        <v>0.003</v>
      </c>
      <c r="J24" s="94" t="s">
        <v>165</v>
      </c>
    </row>
    <row r="25" spans="1:10">
      <c r="A25" s="94">
        <v>284</v>
      </c>
      <c r="B25" s="94">
        <v>5</v>
      </c>
      <c r="C25" s="96">
        <v>46307.97916666666</v>
      </c>
      <c r="D25" s="96">
        <v>46305.39583333334</v>
      </c>
      <c r="E25" s="94" t="s">
        <v>28</v>
      </c>
      <c r="F25" s="97">
        <v>4.059999942779541</v>
      </c>
      <c r="G25" s="97">
        <v>3.779999971389771</v>
      </c>
      <c r="H25" s="97">
        <v>-0.2799999713897705</v>
      </c>
      <c r="I25" s="97">
        <v>0.08</v>
      </c>
      <c r="J25" s="94" t="s">
        <v>164</v>
      </c>
    </row>
    <row r="26" spans="1:10">
      <c r="A26" s="94">
        <v>284</v>
      </c>
      <c r="B26" s="94">
        <v>6</v>
      </c>
      <c r="C26" s="96">
        <v>46308.0625</v>
      </c>
      <c r="D26" s="96">
        <v>46305.47916666666</v>
      </c>
      <c r="E26" s="94" t="s">
        <v>12</v>
      </c>
      <c r="F26" s="97">
        <v>2047</v>
      </c>
      <c r="G26" s="97">
        <v>1776</v>
      </c>
      <c r="H26" s="97">
        <v>-271</v>
      </c>
      <c r="I26" s="97">
        <v>150</v>
      </c>
      <c r="J26" s="94" t="s">
        <v>164</v>
      </c>
    </row>
    <row r="27" spans="1:10">
      <c r="A27" s="94">
        <v>284</v>
      </c>
      <c r="B27" s="94">
        <v>6</v>
      </c>
      <c r="C27" s="96">
        <v>46308.0625</v>
      </c>
      <c r="D27" s="96">
        <v>46305.47916666666</v>
      </c>
      <c r="E27" s="94" t="s">
        <v>19</v>
      </c>
      <c r="F27" s="97">
        <v>83.62999725341797</v>
      </c>
      <c r="G27" s="97">
        <v>84.19999694824219</v>
      </c>
      <c r="H27" s="97">
        <v>0.5699996948242188</v>
      </c>
      <c r="I27" s="97">
        <v>1</v>
      </c>
      <c r="J27" s="94" t="s">
        <v>165</v>
      </c>
    </row>
    <row r="28" spans="1:10">
      <c r="A28" s="94">
        <v>284</v>
      </c>
      <c r="B28" s="94">
        <v>6</v>
      </c>
      <c r="C28" s="96">
        <v>46308.0625</v>
      </c>
      <c r="D28" s="96">
        <v>46305.47916666666</v>
      </c>
      <c r="E28" s="94" t="s">
        <v>22</v>
      </c>
      <c r="F28" s="97">
        <v>1.340000033378601</v>
      </c>
      <c r="G28" s="97">
        <v>1.740000009536743</v>
      </c>
      <c r="H28" s="97">
        <v>0.3999999761581421</v>
      </c>
      <c r="I28" s="97">
        <v>0.19</v>
      </c>
      <c r="J28" s="94" t="s">
        <v>164</v>
      </c>
    </row>
    <row r="29" spans="1:10">
      <c r="A29" s="94">
        <v>284</v>
      </c>
      <c r="B29" s="94">
        <v>6</v>
      </c>
      <c r="C29" s="96">
        <v>46308.0625</v>
      </c>
      <c r="D29" s="96">
        <v>46305.47916666666</v>
      </c>
      <c r="E29" s="94" t="s">
        <v>25</v>
      </c>
      <c r="F29" s="97">
        <v>0.05999999865889549</v>
      </c>
      <c r="G29" s="97">
        <v>0.05799999833106995</v>
      </c>
      <c r="H29" s="97">
        <v>-0.002000000327825546</v>
      </c>
      <c r="I29" s="97">
        <v>0.003</v>
      </c>
      <c r="J29" s="94" t="s">
        <v>165</v>
      </c>
    </row>
    <row r="30" spans="1:10">
      <c r="A30" s="94">
        <v>284</v>
      </c>
      <c r="B30" s="94">
        <v>6</v>
      </c>
      <c r="C30" s="96">
        <v>46308.0625</v>
      </c>
      <c r="D30" s="96">
        <v>46305.47916666666</v>
      </c>
      <c r="E30" s="94" t="s">
        <v>28</v>
      </c>
      <c r="F30" s="97">
        <v>4</v>
      </c>
      <c r="G30" s="97">
        <v>3.829999923706055</v>
      </c>
      <c r="H30" s="97">
        <v>-0.1700000762939453</v>
      </c>
      <c r="I30" s="97">
        <v>0.08</v>
      </c>
      <c r="J30" s="94" t="s">
        <v>164</v>
      </c>
    </row>
    <row r="31" spans="1:10">
      <c r="A31" s="94">
        <v>284</v>
      </c>
      <c r="B31" s="94">
        <v>7</v>
      </c>
      <c r="C31" s="96">
        <v>46308.14583333334</v>
      </c>
      <c r="D31" s="96">
        <v>46305.5625</v>
      </c>
      <c r="E31" s="94" t="s">
        <v>12</v>
      </c>
      <c r="F31" s="97">
        <v>1872</v>
      </c>
      <c r="G31" s="97">
        <v>1792</v>
      </c>
      <c r="H31" s="97">
        <v>-80</v>
      </c>
      <c r="I31" s="97">
        <v>150</v>
      </c>
      <c r="J31" s="94" t="s">
        <v>165</v>
      </c>
    </row>
    <row r="32" spans="1:10">
      <c r="A32" s="94">
        <v>284</v>
      </c>
      <c r="B32" s="94">
        <v>7</v>
      </c>
      <c r="C32" s="96">
        <v>46308.14583333334</v>
      </c>
      <c r="D32" s="96">
        <v>46305.5625</v>
      </c>
      <c r="E32" s="94" t="s">
        <v>19</v>
      </c>
      <c r="F32" s="97">
        <v>83.88999938964844</v>
      </c>
      <c r="G32" s="97"/>
      <c r="H32" s="97"/>
      <c r="I32" s="97">
        <v>1</v>
      </c>
      <c r="J32" s="94"/>
    </row>
    <row r="33" spans="1:10">
      <c r="A33" s="94">
        <v>284</v>
      </c>
      <c r="B33" s="94">
        <v>7</v>
      </c>
      <c r="C33" s="96">
        <v>46308.14583333334</v>
      </c>
      <c r="D33" s="96">
        <v>46305.5625</v>
      </c>
      <c r="E33" s="94" t="s">
        <v>22</v>
      </c>
      <c r="F33" s="97">
        <v>1.389999985694885</v>
      </c>
      <c r="G33" s="97">
        <v>1.740000009536743</v>
      </c>
      <c r="H33" s="97">
        <v>0.3500000238418579</v>
      </c>
      <c r="I33" s="97">
        <v>0.19</v>
      </c>
      <c r="J33" s="94" t="s">
        <v>164</v>
      </c>
    </row>
    <row r="34" spans="1:10">
      <c r="A34" s="94">
        <v>284</v>
      </c>
      <c r="B34" s="94">
        <v>7</v>
      </c>
      <c r="C34" s="96">
        <v>46308.14583333334</v>
      </c>
      <c r="D34" s="96">
        <v>46305.5625</v>
      </c>
      <c r="E34" s="94" t="s">
        <v>25</v>
      </c>
      <c r="F34" s="97">
        <v>0.05700000002980232</v>
      </c>
      <c r="G34" s="97">
        <v>0.05799999833106995</v>
      </c>
      <c r="H34" s="97">
        <v>0.0009999983012676239</v>
      </c>
      <c r="I34" s="97">
        <v>0.003</v>
      </c>
      <c r="J34" s="94" t="s">
        <v>165</v>
      </c>
    </row>
    <row r="35" spans="1:10">
      <c r="A35" s="94">
        <v>284</v>
      </c>
      <c r="B35" s="94">
        <v>7</v>
      </c>
      <c r="C35" s="96">
        <v>46308.14583333334</v>
      </c>
      <c r="D35" s="96">
        <v>46305.5625</v>
      </c>
      <c r="E35" s="94" t="s">
        <v>28</v>
      </c>
      <c r="F35" s="97">
        <v>3.839999914169312</v>
      </c>
      <c r="G35" s="97">
        <v>3.829999923706055</v>
      </c>
      <c r="H35" s="97">
        <v>-0.009999990463256836</v>
      </c>
      <c r="I35" s="97">
        <v>0.08</v>
      </c>
      <c r="J35" s="94" t="s">
        <v>165</v>
      </c>
    </row>
    <row r="36" spans="1:10">
      <c r="A36" s="94">
        <v>284</v>
      </c>
      <c r="B36" s="94">
        <v>8</v>
      </c>
      <c r="C36" s="96">
        <v>46308.22916666666</v>
      </c>
      <c r="D36" s="96">
        <v>46305.64583333334</v>
      </c>
      <c r="E36" s="94" t="s">
        <v>12</v>
      </c>
      <c r="F36" s="97">
        <v>1935</v>
      </c>
      <c r="G36" s="97">
        <v>1809</v>
      </c>
      <c r="H36" s="97">
        <v>-126</v>
      </c>
      <c r="I36" s="97">
        <v>150</v>
      </c>
      <c r="J36" s="94" t="s">
        <v>165</v>
      </c>
    </row>
    <row r="37" spans="1:10">
      <c r="A37" s="94">
        <v>284</v>
      </c>
      <c r="B37" s="94">
        <v>8</v>
      </c>
      <c r="C37" s="96">
        <v>46308.22916666666</v>
      </c>
      <c r="D37" s="96">
        <v>46305.64583333334</v>
      </c>
      <c r="E37" s="94" t="s">
        <v>19</v>
      </c>
      <c r="F37" s="97">
        <v>84.77999877929688</v>
      </c>
      <c r="G37" s="97"/>
      <c r="H37" s="97"/>
      <c r="I37" s="97">
        <v>1</v>
      </c>
      <c r="J37" s="94"/>
    </row>
    <row r="38" spans="1:10">
      <c r="A38" s="94">
        <v>284</v>
      </c>
      <c r="B38" s="94">
        <v>8</v>
      </c>
      <c r="C38" s="96">
        <v>46308.22916666666</v>
      </c>
      <c r="D38" s="96">
        <v>46305.64583333334</v>
      </c>
      <c r="E38" s="94" t="s">
        <v>22</v>
      </c>
      <c r="F38" s="97">
        <v>1.379999995231628</v>
      </c>
      <c r="G38" s="97">
        <v>1.820000052452087</v>
      </c>
      <c r="H38" s="97">
        <v>0.440000057220459</v>
      </c>
      <c r="I38" s="97">
        <v>0.19</v>
      </c>
      <c r="J38" s="94" t="s">
        <v>164</v>
      </c>
    </row>
    <row r="39" spans="1:10">
      <c r="A39" s="94">
        <v>284</v>
      </c>
      <c r="B39" s="94">
        <v>8</v>
      </c>
      <c r="C39" s="96">
        <v>46308.22916666666</v>
      </c>
      <c r="D39" s="96">
        <v>46305.64583333334</v>
      </c>
      <c r="E39" s="94" t="s">
        <v>25</v>
      </c>
      <c r="F39" s="97">
        <v>0.05799999833106995</v>
      </c>
      <c r="G39" s="97">
        <v>0.05999999865889549</v>
      </c>
      <c r="H39" s="97">
        <v>0.002000000327825546</v>
      </c>
      <c r="I39" s="97">
        <v>0.003</v>
      </c>
      <c r="J39" s="94" t="s">
        <v>165</v>
      </c>
    </row>
    <row r="40" spans="1:10">
      <c r="A40" s="94">
        <v>284</v>
      </c>
      <c r="B40" s="94">
        <v>8</v>
      </c>
      <c r="C40" s="96">
        <v>46308.22916666666</v>
      </c>
      <c r="D40" s="96">
        <v>46305.64583333334</v>
      </c>
      <c r="E40" s="94" t="s">
        <v>28</v>
      </c>
      <c r="F40" s="97">
        <v>4</v>
      </c>
      <c r="G40" s="97">
        <v>3.880000114440918</v>
      </c>
      <c r="H40" s="97">
        <v>-0.119999885559082</v>
      </c>
      <c r="I40" s="97">
        <v>0.08</v>
      </c>
      <c r="J40" s="94" t="s">
        <v>164</v>
      </c>
    </row>
    <row r="41" spans="1:10">
      <c r="A41" s="94">
        <v>284</v>
      </c>
      <c r="B41" s="94">
        <v>9</v>
      </c>
      <c r="C41" s="96">
        <v>46308.3125</v>
      </c>
      <c r="D41" s="96">
        <v>46305.72916666666</v>
      </c>
      <c r="E41" s="94" t="s">
        <v>12</v>
      </c>
      <c r="F41" s="97">
        <v>1996</v>
      </c>
      <c r="G41" s="97">
        <v>1923</v>
      </c>
      <c r="H41" s="97">
        <v>-73</v>
      </c>
      <c r="I41" s="97">
        <v>150</v>
      </c>
      <c r="J41" s="94" t="s">
        <v>165</v>
      </c>
    </row>
    <row r="42" spans="1:10">
      <c r="A42" s="94">
        <v>284</v>
      </c>
      <c r="B42" s="94">
        <v>9</v>
      </c>
      <c r="C42" s="96">
        <v>46308.3125</v>
      </c>
      <c r="D42" s="96">
        <v>46305.72916666666</v>
      </c>
      <c r="E42" s="94" t="s">
        <v>19</v>
      </c>
      <c r="F42" s="97">
        <v>83.04000091552734</v>
      </c>
      <c r="G42" s="97">
        <v>85</v>
      </c>
      <c r="H42" s="97">
        <v>1.959999084472656</v>
      </c>
      <c r="I42" s="97">
        <v>1</v>
      </c>
      <c r="J42" s="94" t="s">
        <v>164</v>
      </c>
    </row>
    <row r="43" spans="1:10">
      <c r="A43" s="94">
        <v>284</v>
      </c>
      <c r="B43" s="94">
        <v>9</v>
      </c>
      <c r="C43" s="96">
        <v>46308.3125</v>
      </c>
      <c r="D43" s="96">
        <v>46305.72916666666</v>
      </c>
      <c r="E43" s="94" t="s">
        <v>22</v>
      </c>
      <c r="F43" s="97">
        <v>1.580000042915344</v>
      </c>
      <c r="G43" s="97">
        <v>1.820000052452087</v>
      </c>
      <c r="H43" s="97">
        <v>0.2400000095367432</v>
      </c>
      <c r="I43" s="97">
        <v>0.19</v>
      </c>
      <c r="J43" s="94" t="s">
        <v>164</v>
      </c>
    </row>
    <row r="44" spans="1:10">
      <c r="A44" s="94">
        <v>284</v>
      </c>
      <c r="B44" s="94">
        <v>9</v>
      </c>
      <c r="C44" s="96">
        <v>46308.3125</v>
      </c>
      <c r="D44" s="96">
        <v>46305.72916666666</v>
      </c>
      <c r="E44" s="94" t="s">
        <v>25</v>
      </c>
      <c r="F44" s="97">
        <v>0.05900000035762787</v>
      </c>
      <c r="G44" s="97">
        <v>0.05999999865889549</v>
      </c>
      <c r="H44" s="97">
        <v>0.0009999983012676239</v>
      </c>
      <c r="I44" s="97">
        <v>0.003</v>
      </c>
      <c r="J44" s="94" t="s">
        <v>165</v>
      </c>
    </row>
    <row r="45" spans="1:10">
      <c r="A45" s="94">
        <v>284</v>
      </c>
      <c r="B45" s="94">
        <v>9</v>
      </c>
      <c r="C45" s="96">
        <v>46308.3125</v>
      </c>
      <c r="D45" s="96">
        <v>46305.72916666666</v>
      </c>
      <c r="E45" s="94" t="s">
        <v>28</v>
      </c>
      <c r="F45" s="97">
        <v>4.050000190734863</v>
      </c>
      <c r="G45" s="97">
        <v>3.880000114440918</v>
      </c>
      <c r="H45" s="97">
        <v>-0.1700000762939453</v>
      </c>
      <c r="I45" s="97">
        <v>0.08</v>
      </c>
      <c r="J45" s="94" t="s">
        <v>164</v>
      </c>
    </row>
    <row r="46" spans="1:10">
      <c r="A46" s="94">
        <v>284</v>
      </c>
      <c r="B46" s="94">
        <v>10</v>
      </c>
      <c r="C46" s="96">
        <v>46308.39583333334</v>
      </c>
      <c r="D46" s="96">
        <v>46305.8125</v>
      </c>
      <c r="E46" s="94" t="s">
        <v>12</v>
      </c>
      <c r="F46" s="97">
        <v>1981</v>
      </c>
      <c r="G46" s="97">
        <v>1820</v>
      </c>
      <c r="H46" s="97">
        <v>-161</v>
      </c>
      <c r="I46" s="97">
        <v>150</v>
      </c>
      <c r="J46" s="94" t="s">
        <v>164</v>
      </c>
    </row>
    <row r="47" spans="1:10">
      <c r="A47" s="94">
        <v>284</v>
      </c>
      <c r="B47" s="94">
        <v>10</v>
      </c>
      <c r="C47" s="96">
        <v>46308.39583333334</v>
      </c>
      <c r="D47" s="96">
        <v>46305.8125</v>
      </c>
      <c r="E47" s="94" t="s">
        <v>19</v>
      </c>
      <c r="F47" s="97">
        <v>84.27999877929688</v>
      </c>
      <c r="G47" s="97"/>
      <c r="H47" s="97"/>
      <c r="I47" s="97">
        <v>1</v>
      </c>
      <c r="J47" s="94"/>
    </row>
    <row r="48" spans="1:10">
      <c r="A48" s="94">
        <v>284</v>
      </c>
      <c r="B48" s="94">
        <v>10</v>
      </c>
      <c r="C48" s="96">
        <v>46308.39583333334</v>
      </c>
      <c r="D48" s="96">
        <v>46305.8125</v>
      </c>
      <c r="E48" s="94" t="s">
        <v>22</v>
      </c>
      <c r="F48" s="97">
        <v>1.809999942779541</v>
      </c>
      <c r="G48" s="97">
        <v>1.860000014305115</v>
      </c>
      <c r="H48" s="97">
        <v>0.05000007152557373</v>
      </c>
      <c r="I48" s="97">
        <v>0.19</v>
      </c>
      <c r="J48" s="94" t="s">
        <v>165</v>
      </c>
    </row>
    <row r="49" spans="1:10">
      <c r="A49" s="94">
        <v>284</v>
      </c>
      <c r="B49" s="94">
        <v>10</v>
      </c>
      <c r="C49" s="96">
        <v>46308.39583333334</v>
      </c>
      <c r="D49" s="96">
        <v>46305.8125</v>
      </c>
      <c r="E49" s="94" t="s">
        <v>25</v>
      </c>
      <c r="F49" s="97">
        <v>0.05499999970197678</v>
      </c>
      <c r="G49" s="97">
        <v>0.05999999865889549</v>
      </c>
      <c r="H49" s="97">
        <v>0.004999998956918716</v>
      </c>
      <c r="I49" s="97">
        <v>0.003</v>
      </c>
      <c r="J49" s="94" t="s">
        <v>164</v>
      </c>
    </row>
    <row r="50" spans="1:10">
      <c r="A50" s="94">
        <v>284</v>
      </c>
      <c r="B50" s="94">
        <v>10</v>
      </c>
      <c r="C50" s="96">
        <v>46308.39583333334</v>
      </c>
      <c r="D50" s="96">
        <v>46305.8125</v>
      </c>
      <c r="E50" s="94" t="s">
        <v>28</v>
      </c>
      <c r="F50" s="97">
        <v>3.900000095367432</v>
      </c>
      <c r="G50" s="97">
        <v>3.839999914169312</v>
      </c>
      <c r="H50" s="97">
        <v>-0.06000018119812012</v>
      </c>
      <c r="I50" s="97">
        <v>0.08</v>
      </c>
      <c r="J50" s="94" t="s">
        <v>165</v>
      </c>
    </row>
    <row r="51" spans="1:10">
      <c r="A51" s="94">
        <v>284</v>
      </c>
      <c r="B51" s="94">
        <v>11</v>
      </c>
      <c r="C51" s="96">
        <v>46308.47916666666</v>
      </c>
      <c r="D51" s="96">
        <v>46305.89583333334</v>
      </c>
      <c r="E51" s="94" t="s">
        <v>12</v>
      </c>
      <c r="F51" s="97">
        <v>2079</v>
      </c>
      <c r="G51" s="97">
        <v>1842</v>
      </c>
      <c r="H51" s="97">
        <v>-237</v>
      </c>
      <c r="I51" s="97">
        <v>150</v>
      </c>
      <c r="J51" s="94" t="s">
        <v>164</v>
      </c>
    </row>
    <row r="52" spans="1:10">
      <c r="A52" s="94">
        <v>284</v>
      </c>
      <c r="B52" s="94">
        <v>11</v>
      </c>
      <c r="C52" s="96">
        <v>46308.47916666666</v>
      </c>
      <c r="D52" s="96">
        <v>46305.89583333334</v>
      </c>
      <c r="E52" s="94" t="s">
        <v>19</v>
      </c>
      <c r="F52" s="97">
        <v>87.16000366210938</v>
      </c>
      <c r="G52" s="97"/>
      <c r="H52" s="97"/>
      <c r="I52" s="97">
        <v>1</v>
      </c>
      <c r="J52" s="94"/>
    </row>
    <row r="53" spans="1:10">
      <c r="A53" s="94">
        <v>284</v>
      </c>
      <c r="B53" s="94">
        <v>11</v>
      </c>
      <c r="C53" s="96">
        <v>46308.47916666666</v>
      </c>
      <c r="D53" s="96">
        <v>46305.89583333334</v>
      </c>
      <c r="E53" s="94" t="s">
        <v>22</v>
      </c>
      <c r="F53" s="97">
        <v>1.570000052452087</v>
      </c>
      <c r="G53" s="97">
        <v>1.860000014305115</v>
      </c>
      <c r="H53" s="97">
        <v>0.2899999618530273</v>
      </c>
      <c r="I53" s="97">
        <v>0.19</v>
      </c>
      <c r="J53" s="94" t="s">
        <v>164</v>
      </c>
    </row>
    <row r="54" spans="1:10">
      <c r="A54" s="94">
        <v>284</v>
      </c>
      <c r="B54" s="94">
        <v>11</v>
      </c>
      <c r="C54" s="96">
        <v>46308.47916666666</v>
      </c>
      <c r="D54" s="96">
        <v>46305.89583333334</v>
      </c>
      <c r="E54" s="94" t="s">
        <v>25</v>
      </c>
      <c r="F54" s="97">
        <v>0.05499999970197678</v>
      </c>
      <c r="G54" s="97">
        <v>0.05999999865889549</v>
      </c>
      <c r="H54" s="97">
        <v>0.004999998956918716</v>
      </c>
      <c r="I54" s="97">
        <v>0.003</v>
      </c>
      <c r="J54" s="94" t="s">
        <v>164</v>
      </c>
    </row>
    <row r="55" spans="1:10">
      <c r="A55" s="94">
        <v>284</v>
      </c>
      <c r="B55" s="94">
        <v>11</v>
      </c>
      <c r="C55" s="96">
        <v>46308.47916666666</v>
      </c>
      <c r="D55" s="96">
        <v>46305.89583333334</v>
      </c>
      <c r="E55" s="94" t="s">
        <v>28</v>
      </c>
      <c r="F55" s="97">
        <v>3.779999971389771</v>
      </c>
      <c r="G55" s="97">
        <v>3.839999914169312</v>
      </c>
      <c r="H55" s="97">
        <v>0.05999994277954102</v>
      </c>
      <c r="I55" s="97">
        <v>0.08</v>
      </c>
      <c r="J55" s="94" t="s">
        <v>165</v>
      </c>
    </row>
    <row r="56" spans="1:10">
      <c r="A56" s="94">
        <v>284</v>
      </c>
      <c r="B56" s="94">
        <v>12</v>
      </c>
      <c r="C56" s="96">
        <v>46308.5625</v>
      </c>
      <c r="D56" s="96">
        <v>46305.97916666666</v>
      </c>
      <c r="E56" s="94" t="s">
        <v>12</v>
      </c>
      <c r="F56" s="97">
        <v>1924.5</v>
      </c>
      <c r="G56" s="97">
        <v>1791</v>
      </c>
      <c r="H56" s="97">
        <v>-133.5</v>
      </c>
      <c r="I56" s="97">
        <v>150</v>
      </c>
      <c r="J56" s="94" t="s">
        <v>165</v>
      </c>
    </row>
    <row r="57" spans="1:10">
      <c r="A57" s="94">
        <v>284</v>
      </c>
      <c r="B57" s="94">
        <v>12</v>
      </c>
      <c r="C57" s="96">
        <v>46308.5625</v>
      </c>
      <c r="D57" s="96">
        <v>46305.97916666666</v>
      </c>
      <c r="E57" s="94" t="s">
        <v>19</v>
      </c>
      <c r="F57" s="97">
        <v>87.1150016784668</v>
      </c>
      <c r="G57" s="97">
        <v>85</v>
      </c>
      <c r="H57" s="97">
        <v>-2.115001678466797</v>
      </c>
      <c r="I57" s="97">
        <v>1</v>
      </c>
      <c r="J57" s="94" t="s">
        <v>164</v>
      </c>
    </row>
    <row r="58" spans="1:10">
      <c r="A58" s="94">
        <v>284</v>
      </c>
      <c r="B58" s="94">
        <v>12</v>
      </c>
      <c r="C58" s="96">
        <v>46308.5625</v>
      </c>
      <c r="D58" s="96">
        <v>46305.97916666666</v>
      </c>
      <c r="E58" s="94" t="s">
        <v>22</v>
      </c>
      <c r="F58" s="97">
        <v>1.415000021457672</v>
      </c>
      <c r="G58" s="97">
        <v>1.820000052452087</v>
      </c>
      <c r="H58" s="97">
        <v>0.4050000309944153</v>
      </c>
      <c r="I58" s="97">
        <v>0.19</v>
      </c>
      <c r="J58" s="94" t="s">
        <v>164</v>
      </c>
    </row>
    <row r="59" spans="1:10">
      <c r="A59" s="94">
        <v>284</v>
      </c>
      <c r="B59" s="94">
        <v>12</v>
      </c>
      <c r="C59" s="96">
        <v>46308.5625</v>
      </c>
      <c r="D59" s="96">
        <v>46305.97916666666</v>
      </c>
      <c r="E59" s="94" t="s">
        <v>25</v>
      </c>
      <c r="F59" s="97">
        <v>0.05500000156462193</v>
      </c>
      <c r="G59" s="97">
        <v>0.06100000068545341</v>
      </c>
      <c r="H59" s="97">
        <v>0.00599999912083149</v>
      </c>
      <c r="I59" s="97">
        <v>0.003</v>
      </c>
      <c r="J59" s="94" t="s">
        <v>164</v>
      </c>
    </row>
    <row r="60" spans="1:10">
      <c r="A60" s="94">
        <v>284</v>
      </c>
      <c r="B60" s="94">
        <v>12</v>
      </c>
      <c r="C60" s="96">
        <v>46308.5625</v>
      </c>
      <c r="D60" s="96">
        <v>46305.97916666666</v>
      </c>
      <c r="E60" s="94" t="s">
        <v>28</v>
      </c>
      <c r="F60" s="97">
        <v>3.689999938011169</v>
      </c>
      <c r="G60" s="97">
        <v>3.700000047683716</v>
      </c>
      <c r="H60" s="97">
        <v>0.01000010967254639</v>
      </c>
      <c r="I60" s="97">
        <v>0.08</v>
      </c>
      <c r="J60" s="94" t="s">
        <v>165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Config">
    <tabColor rgb="FF9AA3AD"/>
  </sheetPr>
  <dimension ref="A2:K62"/>
  <sheetViews>
    <sheetView showGridLines="0" workbookViewId="0"/>
  </sheetViews>
  <sheetFormatPr defaultRowHeight="15"/>
  <cols>
    <col min="1" max="1" width="2.7109375" customWidth="1"/>
    <col min="2" max="2" width="30.7109375" customWidth="1"/>
    <col min="3" max="3" width="14.7109375" customWidth="1"/>
    <col min="4" max="4" width="30.7109375" customWidth="1"/>
    <col min="5" max="6" width="15.7109375" customWidth="1"/>
    <col min="7" max="9" width="13.7109375" customWidth="1"/>
    <col min="10" max="10" width="2.7109375" customWidth="1"/>
    <col min="11" max="11" width="60.7109375" customWidth="1"/>
  </cols>
  <sheetData>
    <row r="2" spans="2:11" ht="34" customHeight="1">
      <c r="B2" s="7" t="s">
        <v>0</v>
      </c>
      <c r="C2" s="7"/>
      <c r="D2" s="7"/>
      <c r="E2" s="7"/>
      <c r="F2" s="7"/>
      <c r="G2" s="7"/>
      <c r="H2" s="7"/>
      <c r="I2" s="7"/>
      <c r="J2" s="7"/>
      <c r="K2" s="7"/>
    </row>
    <row r="3" spans="2:11" ht="22" customHeight="1">
      <c r="B3" s="92" t="s">
        <v>1</v>
      </c>
      <c r="C3" s="92"/>
      <c r="D3" s="92"/>
      <c r="E3" s="92"/>
      <c r="F3" s="92"/>
      <c r="G3" s="92"/>
      <c r="H3" s="92"/>
      <c r="I3" s="92"/>
      <c r="J3" s="92"/>
      <c r="K3" s="92"/>
    </row>
    <row r="5" spans="2:11" ht="22" customHeight="1">
      <c r="B5" s="33" t="s">
        <v>2</v>
      </c>
      <c r="C5" s="33"/>
      <c r="D5" s="33"/>
      <c r="E5" s="33"/>
      <c r="F5" s="33"/>
      <c r="G5" s="33"/>
      <c r="H5" s="33"/>
      <c r="I5" s="33"/>
    </row>
    <row r="6" spans="2:11" ht="26" customHeight="1">
      <c r="B6" s="98" t="s">
        <v>3</v>
      </c>
      <c r="C6" s="98"/>
      <c r="D6" s="98"/>
      <c r="E6" s="98"/>
      <c r="F6" s="98"/>
      <c r="G6" s="98"/>
      <c r="H6" s="98"/>
      <c r="I6" s="98"/>
    </row>
    <row r="7" spans="2:11">
      <c r="B7" s="99" t="s">
        <v>4</v>
      </c>
      <c r="C7" s="99" t="s">
        <v>5</v>
      </c>
      <c r="D7" s="99" t="s">
        <v>6</v>
      </c>
      <c r="E7" s="99" t="s">
        <v>7</v>
      </c>
      <c r="F7" s="99" t="s">
        <v>8</v>
      </c>
      <c r="G7" s="99" t="s">
        <v>9</v>
      </c>
      <c r="H7" s="99" t="s">
        <v>10</v>
      </c>
      <c r="I7" s="99" t="s">
        <v>11</v>
      </c>
    </row>
    <row r="8" spans="2:11">
      <c r="B8" s="100" t="s">
        <v>12</v>
      </c>
      <c r="C8" s="101" t="s">
        <v>13</v>
      </c>
      <c r="D8" s="102" t="s">
        <v>14</v>
      </c>
      <c r="E8" s="79" t="s">
        <v>15</v>
      </c>
      <c r="F8" s="79" t="s">
        <v>16</v>
      </c>
      <c r="G8" s="79">
        <v>300</v>
      </c>
      <c r="H8" s="79">
        <v>5000</v>
      </c>
      <c r="I8" s="79">
        <v>2000</v>
      </c>
      <c r="K8" s="103" t="s">
        <v>31</v>
      </c>
    </row>
    <row r="9" spans="2:11">
      <c r="B9" s="100" t="s">
        <v>12</v>
      </c>
      <c r="C9" s="101" t="s">
        <v>17</v>
      </c>
      <c r="D9" s="102" t="s">
        <v>18</v>
      </c>
      <c r="E9" s="79" t="s">
        <v>15</v>
      </c>
      <c r="F9" s="79" t="s">
        <v>16</v>
      </c>
      <c r="G9" s="79">
        <v>300</v>
      </c>
      <c r="H9" s="79">
        <v>5000</v>
      </c>
      <c r="I9" s="79">
        <v>1900</v>
      </c>
      <c r="K9" s="103"/>
    </row>
    <row r="10" spans="2:11">
      <c r="B10" s="100" t="s">
        <v>19</v>
      </c>
      <c r="C10" s="101" t="s">
        <v>13</v>
      </c>
      <c r="D10" s="102" t="s">
        <v>20</v>
      </c>
      <c r="E10" s="79" t="s">
        <v>15</v>
      </c>
      <c r="F10" s="79" t="s">
        <v>16</v>
      </c>
      <c r="G10" s="79">
        <v>40</v>
      </c>
      <c r="H10" s="79">
        <v>100</v>
      </c>
      <c r="I10" s="79">
        <v>87.5</v>
      </c>
      <c r="K10" s="103"/>
    </row>
    <row r="11" spans="2:11">
      <c r="B11" s="100" t="s">
        <v>19</v>
      </c>
      <c r="C11" s="101" t="s">
        <v>17</v>
      </c>
      <c r="D11" s="102" t="s">
        <v>21</v>
      </c>
      <c r="E11" s="79" t="s">
        <v>15</v>
      </c>
      <c r="F11" s="79" t="s">
        <v>16</v>
      </c>
      <c r="G11" s="79">
        <v>40</v>
      </c>
      <c r="H11" s="79">
        <v>100</v>
      </c>
      <c r="I11" s="79">
        <v>87</v>
      </c>
      <c r="K11" s="103"/>
    </row>
    <row r="12" spans="2:11">
      <c r="B12" s="100" t="s">
        <v>22</v>
      </c>
      <c r="C12" s="101" t="s">
        <v>13</v>
      </c>
      <c r="D12" s="102" t="s">
        <v>23</v>
      </c>
      <c r="E12" s="79" t="s">
        <v>15</v>
      </c>
      <c r="F12" s="79" t="s">
        <v>16</v>
      </c>
      <c r="G12" s="79">
        <v>0</v>
      </c>
      <c r="H12" s="79">
        <v>20</v>
      </c>
      <c r="I12" s="79">
        <v>1.95</v>
      </c>
    </row>
    <row r="13" spans="2:11">
      <c r="B13" s="100" t="s">
        <v>22</v>
      </c>
      <c r="C13" s="101" t="s">
        <v>17</v>
      </c>
      <c r="D13" s="102" t="s">
        <v>24</v>
      </c>
      <c r="E13" s="79" t="s">
        <v>15</v>
      </c>
      <c r="F13" s="79" t="s">
        <v>16</v>
      </c>
      <c r="G13" s="79">
        <v>0</v>
      </c>
      <c r="H13" s="79">
        <v>20</v>
      </c>
      <c r="I13" s="79">
        <v>1.93</v>
      </c>
    </row>
    <row r="14" spans="2:11">
      <c r="B14" s="100" t="s">
        <v>25</v>
      </c>
      <c r="C14" s="101" t="s">
        <v>13</v>
      </c>
      <c r="D14" s="102" t="s">
        <v>26</v>
      </c>
      <c r="E14" s="79" t="s">
        <v>15</v>
      </c>
      <c r="F14" s="79" t="s">
        <v>16</v>
      </c>
      <c r="G14" s="79">
        <v>0</v>
      </c>
      <c r="H14" s="79">
        <v>1</v>
      </c>
      <c r="I14" s="79">
        <v>0.058</v>
      </c>
    </row>
    <row r="15" spans="2:11">
      <c r="B15" s="100" t="s">
        <v>25</v>
      </c>
      <c r="C15" s="101" t="s">
        <v>17</v>
      </c>
      <c r="D15" s="102" t="s">
        <v>27</v>
      </c>
      <c r="E15" s="79" t="s">
        <v>15</v>
      </c>
      <c r="F15" s="79" t="s">
        <v>16</v>
      </c>
      <c r="G15" s="79">
        <v>0</v>
      </c>
      <c r="H15" s="79">
        <v>1</v>
      </c>
      <c r="I15" s="79">
        <v>0.057</v>
      </c>
    </row>
    <row r="16" spans="2:11">
      <c r="B16" s="100" t="s">
        <v>28</v>
      </c>
      <c r="C16" s="101" t="s">
        <v>13</v>
      </c>
      <c r="D16" s="102" t="s">
        <v>29</v>
      </c>
      <c r="E16" s="79" t="s">
        <v>15</v>
      </c>
      <c r="F16" s="79" t="s">
        <v>16</v>
      </c>
      <c r="G16" s="79">
        <v>0</v>
      </c>
      <c r="H16" s="79">
        <v>15</v>
      </c>
      <c r="I16" s="79">
        <v>3.6</v>
      </c>
    </row>
    <row r="17" spans="2:9">
      <c r="B17" s="100" t="s">
        <v>28</v>
      </c>
      <c r="C17" s="101" t="s">
        <v>17</v>
      </c>
      <c r="D17" s="102" t="s">
        <v>30</v>
      </c>
      <c r="E17" s="79" t="s">
        <v>15</v>
      </c>
      <c r="F17" s="79" t="s">
        <v>16</v>
      </c>
      <c r="G17" s="79">
        <v>0</v>
      </c>
      <c r="H17" s="79">
        <v>15</v>
      </c>
      <c r="I17" s="79">
        <v>3.55</v>
      </c>
    </row>
    <row r="19" spans="2:9" ht="22" customHeight="1">
      <c r="B19" s="33" t="s">
        <v>32</v>
      </c>
      <c r="C19" s="33"/>
      <c r="D19" s="33"/>
      <c r="E19" s="33"/>
      <c r="F19" s="33"/>
      <c r="G19" s="33"/>
      <c r="H19" s="33"/>
      <c r="I19" s="33"/>
    </row>
    <row r="20" spans="2:9">
      <c r="B20" s="104" t="s">
        <v>33</v>
      </c>
      <c r="C20" s="79" t="s">
        <v>34</v>
      </c>
      <c r="D20" s="79"/>
      <c r="E20" s="98" t="s">
        <v>35</v>
      </c>
      <c r="F20" s="98"/>
      <c r="G20" s="98"/>
      <c r="H20" s="98"/>
      <c r="I20" s="98"/>
    </row>
    <row r="21" spans="2:9">
      <c r="B21" s="104" t="s">
        <v>36</v>
      </c>
      <c r="C21" s="79">
        <v>120</v>
      </c>
      <c r="D21" s="79"/>
      <c r="E21" s="98" t="s">
        <v>37</v>
      </c>
      <c r="F21" s="98"/>
      <c r="G21" s="98"/>
      <c r="H21" s="98"/>
      <c r="I21" s="98"/>
    </row>
    <row r="22" spans="2:9">
      <c r="B22" s="104" t="s">
        <v>38</v>
      </c>
      <c r="C22" s="79" t="s">
        <v>39</v>
      </c>
      <c r="D22" s="79"/>
      <c r="E22" s="98" t="s">
        <v>40</v>
      </c>
      <c r="F22" s="98"/>
      <c r="G22" s="98"/>
      <c r="H22" s="98"/>
      <c r="I22" s="98"/>
    </row>
    <row r="23" spans="2:9">
      <c r="B23" s="104" t="s">
        <v>41</v>
      </c>
      <c r="C23" s="79">
        <v>30</v>
      </c>
      <c r="D23" s="79"/>
      <c r="E23" s="98" t="s">
        <v>42</v>
      </c>
      <c r="F23" s="98"/>
      <c r="G23" s="98"/>
      <c r="H23" s="98"/>
      <c r="I23" s="98"/>
    </row>
    <row r="24" spans="2:9">
      <c r="B24" s="104" t="s">
        <v>43</v>
      </c>
      <c r="C24" s="105">
        <v>0.2916666666666667</v>
      </c>
      <c r="D24" s="79"/>
      <c r="E24" s="98" t="s">
        <v>44</v>
      </c>
      <c r="F24" s="98"/>
      <c r="G24" s="98"/>
      <c r="H24" s="98"/>
      <c r="I24" s="98"/>
    </row>
    <row r="25" spans="2:9">
      <c r="B25" s="104" t="s">
        <v>45</v>
      </c>
      <c r="C25" s="105">
        <v>0</v>
      </c>
      <c r="D25" s="79"/>
      <c r="E25" s="98" t="s">
        <v>46</v>
      </c>
      <c r="F25" s="98"/>
      <c r="G25" s="98"/>
      <c r="H25" s="98"/>
      <c r="I25" s="98"/>
    </row>
    <row r="26" spans="2:9">
      <c r="B26" s="104" t="s">
        <v>47</v>
      </c>
      <c r="C26" s="79">
        <v>60</v>
      </c>
      <c r="D26" s="79"/>
      <c r="E26" s="98" t="s">
        <v>48</v>
      </c>
      <c r="F26" s="98"/>
      <c r="G26" s="98"/>
      <c r="H26" s="98"/>
      <c r="I26" s="98"/>
    </row>
    <row r="27" spans="2:9">
      <c r="B27" s="104" t="s">
        <v>49</v>
      </c>
      <c r="C27" s="79" t="s">
        <v>50</v>
      </c>
      <c r="D27" s="79"/>
      <c r="E27" s="98" t="s">
        <v>51</v>
      </c>
      <c r="F27" s="98"/>
      <c r="G27" s="98"/>
      <c r="H27" s="98"/>
      <c r="I27" s="98"/>
    </row>
    <row r="28" spans="2:9">
      <c r="B28" s="104" t="s">
        <v>52</v>
      </c>
      <c r="C28" s="79" t="s">
        <v>53</v>
      </c>
      <c r="D28" s="79"/>
      <c r="E28" s="98" t="s">
        <v>54</v>
      </c>
      <c r="F28" s="98"/>
      <c r="G28" s="98"/>
      <c r="H28" s="98"/>
      <c r="I28" s="98"/>
    </row>
    <row r="29" spans="2:9">
      <c r="B29" s="104" t="s">
        <v>55</v>
      </c>
      <c r="C29" s="79" t="s">
        <v>15</v>
      </c>
      <c r="D29" s="79"/>
      <c r="E29" s="98" t="s">
        <v>56</v>
      </c>
      <c r="F29" s="98"/>
      <c r="G29" s="98"/>
      <c r="H29" s="98"/>
      <c r="I29" s="98"/>
    </row>
    <row r="31" spans="2:9" ht="22" customHeight="1">
      <c r="B31" s="33" t="s">
        <v>57</v>
      </c>
      <c r="C31" s="33"/>
      <c r="D31" s="33"/>
      <c r="E31" s="33"/>
      <c r="F31" s="33"/>
      <c r="G31" s="33"/>
      <c r="H31" s="33"/>
      <c r="I31" s="33"/>
    </row>
    <row r="32" spans="2:9" ht="24" customHeight="1">
      <c r="B32" s="98" t="s">
        <v>58</v>
      </c>
      <c r="C32" s="98"/>
      <c r="D32" s="98"/>
      <c r="E32" s="98"/>
      <c r="F32" s="98"/>
      <c r="G32" s="98"/>
      <c r="H32" s="98"/>
      <c r="I32" s="98"/>
    </row>
    <row r="33" spans="2:9">
      <c r="B33" s="104" t="s">
        <v>59</v>
      </c>
      <c r="C33" s="106">
        <v>8</v>
      </c>
    </row>
    <row r="34" spans="2:9">
      <c r="B34" s="104" t="s">
        <v>60</v>
      </c>
      <c r="C34" s="106">
        <v>6</v>
      </c>
    </row>
    <row r="35" spans="2:9">
      <c r="B35" s="104" t="s">
        <v>61</v>
      </c>
      <c r="C35" s="106">
        <v>4</v>
      </c>
    </row>
    <row r="37" spans="2:9" ht="22" customHeight="1">
      <c r="B37" s="33" t="s">
        <v>62</v>
      </c>
      <c r="C37" s="33"/>
      <c r="D37" s="33"/>
      <c r="E37" s="33"/>
      <c r="F37" s="33"/>
      <c r="G37" s="33"/>
      <c r="H37" s="33"/>
      <c r="I37" s="33"/>
    </row>
    <row r="38" spans="2:9">
      <c r="B38" s="104" t="s">
        <v>63</v>
      </c>
      <c r="C38" s="84" t="s">
        <v>13</v>
      </c>
      <c r="D38" s="84"/>
      <c r="E38" s="84"/>
      <c r="F38" s="84"/>
    </row>
    <row r="39" spans="2:9">
      <c r="B39" s="104" t="s">
        <v>64</v>
      </c>
      <c r="C39" s="84" t="s">
        <v>17</v>
      </c>
      <c r="D39" s="84"/>
      <c r="E39" s="84"/>
      <c r="F39" s="84"/>
    </row>
    <row r="40" spans="2:9">
      <c r="B40" s="104" t="s">
        <v>65</v>
      </c>
      <c r="C40" s="84" t="s">
        <v>13</v>
      </c>
      <c r="D40" s="84"/>
      <c r="E40" s="84"/>
      <c r="F40" s="84"/>
    </row>
    <row r="41" spans="2:9">
      <c r="B41" s="104" t="s">
        <v>66</v>
      </c>
      <c r="C41" s="84" t="s">
        <v>67</v>
      </c>
      <c r="D41" s="84"/>
      <c r="E41" s="84"/>
      <c r="F41" s="84"/>
    </row>
    <row r="42" spans="2:9">
      <c r="B42" s="104" t="s">
        <v>68</v>
      </c>
      <c r="C42" s="107">
        <v>14</v>
      </c>
      <c r="D42" s="84"/>
      <c r="E42" s="84"/>
      <c r="F42" s="84"/>
    </row>
    <row r="43" spans="2:9">
      <c r="B43" s="104" t="s">
        <v>69</v>
      </c>
      <c r="C43" s="84" t="s">
        <v>70</v>
      </c>
      <c r="D43" s="84"/>
      <c r="E43" s="84"/>
      <c r="F43" s="84"/>
    </row>
    <row r="44" spans="2:9">
      <c r="B44" s="104" t="s">
        <v>71</v>
      </c>
      <c r="C44" s="84" t="s">
        <v>72</v>
      </c>
      <c r="D44" s="84"/>
      <c r="E44" s="84"/>
      <c r="F44" s="84"/>
    </row>
    <row r="45" spans="2:9">
      <c r="B45" s="104" t="s">
        <v>73</v>
      </c>
      <c r="C45" s="84" t="s">
        <v>74</v>
      </c>
      <c r="D45" s="84"/>
      <c r="E45" s="84"/>
      <c r="F45" s="84"/>
    </row>
    <row r="46" spans="2:9">
      <c r="B46" s="104" t="s">
        <v>75</v>
      </c>
      <c r="C46" s="107">
        <v>150</v>
      </c>
      <c r="D46" s="84"/>
      <c r="E46" s="84"/>
      <c r="F46" s="84"/>
    </row>
    <row r="47" spans="2:9">
      <c r="B47" s="104" t="s">
        <v>76</v>
      </c>
      <c r="C47" s="107">
        <v>1</v>
      </c>
      <c r="D47" s="84"/>
      <c r="E47" s="84"/>
      <c r="F47" s="84"/>
    </row>
    <row r="48" spans="2:9">
      <c r="B48" s="104" t="s">
        <v>77</v>
      </c>
      <c r="C48" s="107">
        <v>0.19</v>
      </c>
      <c r="D48" s="84"/>
      <c r="E48" s="84"/>
      <c r="F48" s="84"/>
    </row>
    <row r="49" spans="2:9">
      <c r="B49" s="104" t="s">
        <v>78</v>
      </c>
      <c r="C49" s="107">
        <v>0.003</v>
      </c>
      <c r="D49" s="84"/>
      <c r="E49" s="84"/>
      <c r="F49" s="84"/>
    </row>
    <row r="50" spans="2:9">
      <c r="B50" s="104" t="s">
        <v>79</v>
      </c>
      <c r="C50" s="107">
        <v>0.08</v>
      </c>
      <c r="D50" s="84"/>
      <c r="E50" s="84"/>
      <c r="F50" s="84"/>
    </row>
    <row r="52" spans="2:9" ht="22" customHeight="1">
      <c r="B52" s="33" t="s">
        <v>80</v>
      </c>
      <c r="C52" s="33"/>
      <c r="D52" s="33"/>
      <c r="E52" s="33"/>
      <c r="F52" s="33"/>
      <c r="G52" s="33"/>
      <c r="H52" s="33"/>
      <c r="I52" s="33"/>
    </row>
    <row r="53" spans="2:9">
      <c r="B53" s="104" t="s">
        <v>12</v>
      </c>
      <c r="C53" s="84" t="s">
        <v>81</v>
      </c>
      <c r="D53" s="84"/>
      <c r="E53" s="84"/>
      <c r="F53" s="84"/>
    </row>
    <row r="54" spans="2:9">
      <c r="B54" s="104" t="s">
        <v>19</v>
      </c>
      <c r="C54" s="84" t="s">
        <v>82</v>
      </c>
      <c r="D54" s="84"/>
      <c r="E54" s="84"/>
      <c r="F54" s="84"/>
    </row>
    <row r="55" spans="2:9">
      <c r="B55" s="104" t="s">
        <v>22</v>
      </c>
      <c r="C55" s="84" t="s">
        <v>83</v>
      </c>
      <c r="D55" s="84"/>
      <c r="E55" s="84"/>
      <c r="F55" s="84"/>
    </row>
    <row r="56" spans="2:9">
      <c r="B56" s="104" t="s">
        <v>25</v>
      </c>
      <c r="C56" s="84" t="s">
        <v>84</v>
      </c>
      <c r="D56" s="84"/>
      <c r="E56" s="84"/>
      <c r="F56" s="84"/>
    </row>
    <row r="57" spans="2:9">
      <c r="B57" s="104" t="s">
        <v>28</v>
      </c>
      <c r="C57" s="84" t="s">
        <v>28</v>
      </c>
      <c r="D57" s="84"/>
      <c r="E57" s="84"/>
      <c r="F57" s="84"/>
    </row>
    <row r="59" spans="2:9" ht="22" customHeight="1">
      <c r="B59" s="33" t="s">
        <v>85</v>
      </c>
      <c r="C59" s="33"/>
      <c r="D59" s="33"/>
      <c r="E59" s="33"/>
      <c r="F59" s="33"/>
      <c r="G59" s="33"/>
      <c r="H59" s="33"/>
      <c r="I59" s="33"/>
    </row>
    <row r="60" spans="2:9">
      <c r="B60" s="104" t="s">
        <v>66</v>
      </c>
      <c r="C60" s="79" t="s">
        <v>86</v>
      </c>
      <c r="D60" s="79" t="s">
        <v>87</v>
      </c>
      <c r="E60" s="79" t="s">
        <v>67</v>
      </c>
    </row>
    <row r="61" spans="2:9">
      <c r="B61" s="104" t="s">
        <v>88</v>
      </c>
      <c r="C61" s="108" t="s">
        <v>89</v>
      </c>
      <c r="D61" s="108" t="s">
        <v>90</v>
      </c>
    </row>
    <row r="62" spans="2:9">
      <c r="B62" s="104" t="s">
        <v>91</v>
      </c>
      <c r="C62" s="108">
        <f>bLabA</f>
        <v>0</v>
      </c>
      <c r="D62" s="108">
        <f>bLabB</f>
        <v>0</v>
      </c>
    </row>
  </sheetData>
  <sheetProtection sheet="1" objects="1" scenarios="1" formatColumns="0" formatRows="0"/>
  <mergeCells count="49">
    <mergeCell ref="B2:K2"/>
    <mergeCell ref="B3:K3"/>
    <mergeCell ref="B5:I5"/>
    <mergeCell ref="B6:I6"/>
    <mergeCell ref="K8:K11"/>
    <mergeCell ref="B19:I19"/>
    <mergeCell ref="C20:D20"/>
    <mergeCell ref="E20:I20"/>
    <mergeCell ref="C21:D21"/>
    <mergeCell ref="E21:I21"/>
    <mergeCell ref="C22:D22"/>
    <mergeCell ref="E22:I22"/>
    <mergeCell ref="C23:D23"/>
    <mergeCell ref="E23:I23"/>
    <mergeCell ref="C24:D24"/>
    <mergeCell ref="E24:I24"/>
    <mergeCell ref="C25:D25"/>
    <mergeCell ref="E25:I25"/>
    <mergeCell ref="C26:D26"/>
    <mergeCell ref="E26:I26"/>
    <mergeCell ref="C27:D27"/>
    <mergeCell ref="E27:I27"/>
    <mergeCell ref="C28:D28"/>
    <mergeCell ref="E28:I28"/>
    <mergeCell ref="C29:D29"/>
    <mergeCell ref="E29:I29"/>
    <mergeCell ref="B31:I31"/>
    <mergeCell ref="B32:I32"/>
    <mergeCell ref="B37:I37"/>
    <mergeCell ref="C38:F38"/>
    <mergeCell ref="C39:F39"/>
    <mergeCell ref="C40:F40"/>
    <mergeCell ref="C41:F41"/>
    <mergeCell ref="C42:F42"/>
    <mergeCell ref="C43:F43"/>
    <mergeCell ref="C44:F44"/>
    <mergeCell ref="C45:F45"/>
    <mergeCell ref="C46:F46"/>
    <mergeCell ref="C47:F47"/>
    <mergeCell ref="C48:F48"/>
    <mergeCell ref="C49:F49"/>
    <mergeCell ref="C50:F50"/>
    <mergeCell ref="B52:I52"/>
    <mergeCell ref="C53:F53"/>
    <mergeCell ref="C54:F54"/>
    <mergeCell ref="C55:F55"/>
    <mergeCell ref="C56:F56"/>
    <mergeCell ref="C57:F57"/>
    <mergeCell ref="B59:I59"/>
  </mergeCells>
  <dataValidations count="2">
    <dataValidation type="list" allowBlank="1" showInputMessage="1" showErrorMessage="1" sqref="C20">
      <formula1>"MES,SIMULAÇÃO"</formula1>
    </dataValidation>
    <dataValidation type="list" allowBlank="1" showInputMessage="1" showErrorMessage="1" sqref="C22">
      <formula1>"Data do Excel,Texto dd/mm/aaaa,Texto mm/dd/aaaa"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DadosMES"/>
  <dimension ref="A1:F41"/>
  <sheetViews>
    <sheetView workbookViewId="0"/>
  </sheetViews>
  <sheetFormatPr defaultRowHeight="15"/>
  <cols>
    <col min="1" max="1" width="20.7109375" customWidth="1"/>
    <col min="2" max="6" width="14.7109375" customWidth="1"/>
    <col min="8" max="9" width="30.7109375" customWidth="1"/>
  </cols>
  <sheetData>
    <row r="1" spans="1:6">
      <c r="A1" s="109" t="s">
        <v>300</v>
      </c>
    </row>
    <row r="3" spans="1:6">
      <c r="A3" s="110" t="s">
        <v>301</v>
      </c>
      <c r="B3" s="111"/>
      <c r="D3" s="110" t="s">
        <v>305</v>
      </c>
    </row>
    <row r="4" spans="1:6">
      <c r="A4" s="110" t="s">
        <v>302</v>
      </c>
      <c r="B4" s="111"/>
      <c r="D4" s="110" t="s">
        <v>306</v>
      </c>
    </row>
    <row r="5" spans="1:6">
      <c r="D5" s="110" t="s">
        <v>307</v>
      </c>
    </row>
    <row r="6" spans="1:6">
      <c r="A6" s="110" t="s">
        <v>303</v>
      </c>
      <c r="B6" s="111"/>
      <c r="D6" s="110" t="s">
        <v>308</v>
      </c>
    </row>
    <row r="7" spans="1:6">
      <c r="A7" s="110" t="s">
        <v>304</v>
      </c>
      <c r="B7" s="111"/>
      <c r="D7" s="110" t="s">
        <v>309</v>
      </c>
    </row>
    <row r="9" spans="1:6">
      <c r="A9" s="112" t="s">
        <v>310</v>
      </c>
    </row>
    <row r="10" spans="1:6">
      <c r="A10" s="113" t="s">
        <v>311</v>
      </c>
    </row>
    <row r="11" spans="1:6">
      <c r="A11" s="13" t="s">
        <v>312</v>
      </c>
      <c r="B11" s="13" t="s">
        <v>12</v>
      </c>
      <c r="C11" s="13" t="s">
        <v>19</v>
      </c>
      <c r="D11" s="13" t="s">
        <v>22</v>
      </c>
      <c r="E11" s="13" t="s">
        <v>25</v>
      </c>
      <c r="F11" s="13" t="s">
        <v>28</v>
      </c>
    </row>
    <row r="39" spans="1:6">
      <c r="A39" s="112" t="s">
        <v>313</v>
      </c>
    </row>
    <row r="40" spans="1:6">
      <c r="A40" s="113" t="s">
        <v>311</v>
      </c>
    </row>
    <row r="41" spans="1:6">
      <c r="A41" s="13" t="s">
        <v>312</v>
      </c>
      <c r="B41" s="13" t="s">
        <v>12</v>
      </c>
      <c r="C41" s="13" t="s">
        <v>19</v>
      </c>
      <c r="D41" s="13" t="s">
        <v>22</v>
      </c>
      <c r="E41" s="13" t="s">
        <v>25</v>
      </c>
      <c r="F41" s="13" t="s">
        <v>28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Graf"/>
  <dimension ref="A1:AS57"/>
  <sheetViews>
    <sheetView workbookViewId="0"/>
  </sheetViews>
  <sheetFormatPr defaultRowHeight="15"/>
  <sheetData>
    <row r="1" spans="1:45">
      <c r="A1" t="s">
        <v>185</v>
      </c>
      <c r="B1" t="s">
        <v>186</v>
      </c>
      <c r="C1" t="s">
        <v>187</v>
      </c>
      <c r="D1" t="s">
        <v>188</v>
      </c>
      <c r="E1" t="s">
        <v>189</v>
      </c>
      <c r="F1" t="s">
        <v>190</v>
      </c>
      <c r="G1" t="s">
        <v>191</v>
      </c>
      <c r="H1" t="s">
        <v>192</v>
      </c>
      <c r="I1" t="s">
        <v>193</v>
      </c>
      <c r="J1" t="s">
        <v>194</v>
      </c>
      <c r="K1" t="s">
        <v>195</v>
      </c>
      <c r="L1" t="s">
        <v>196</v>
      </c>
      <c r="M1" t="s">
        <v>197</v>
      </c>
      <c r="N1" t="s">
        <v>198</v>
      </c>
      <c r="O1" t="s">
        <v>199</v>
      </c>
      <c r="P1" t="s">
        <v>200</v>
      </c>
      <c r="Q1" t="s">
        <v>201</v>
      </c>
      <c r="R1" t="s">
        <v>202</v>
      </c>
      <c r="S1" t="s">
        <v>203</v>
      </c>
      <c r="T1" t="s">
        <v>204</v>
      </c>
      <c r="U1" t="s">
        <v>205</v>
      </c>
      <c r="V1" t="s">
        <v>206</v>
      </c>
      <c r="W1" t="s">
        <v>207</v>
      </c>
      <c r="X1" t="s">
        <v>208</v>
      </c>
      <c r="Y1" t="s">
        <v>209</v>
      </c>
      <c r="Z1" t="s">
        <v>210</v>
      </c>
      <c r="AA1" t="s">
        <v>211</v>
      </c>
      <c r="AB1" t="s">
        <v>212</v>
      </c>
      <c r="AC1" t="s">
        <v>213</v>
      </c>
      <c r="AD1" t="s">
        <v>214</v>
      </c>
      <c r="AE1" t="s">
        <v>215</v>
      </c>
      <c r="AF1" t="s">
        <v>216</v>
      </c>
      <c r="AG1" t="s">
        <v>217</v>
      </c>
      <c r="AH1" t="s">
        <v>218</v>
      </c>
      <c r="AI1" t="s">
        <v>219</v>
      </c>
      <c r="AJ1" t="s">
        <v>220</v>
      </c>
      <c r="AK1" t="s">
        <v>221</v>
      </c>
      <c r="AL1" t="s">
        <v>222</v>
      </c>
      <c r="AM1" t="s">
        <v>223</v>
      </c>
      <c r="AN1" t="s">
        <v>224</v>
      </c>
      <c r="AO1" t="s">
        <v>225</v>
      </c>
      <c r="AP1" t="s">
        <v>226</v>
      </c>
      <c r="AQ1" t="s">
        <v>227</v>
      </c>
      <c r="AR1" t="s">
        <v>228</v>
      </c>
      <c r="AS1" t="s">
        <v>229</v>
      </c>
    </row>
    <row r="2" spans="1:45">
      <c r="A2">
        <f>IF(1&lt;=$G$31,TEXT(HOUR(INDEX('Batch'!$C$18:$C$41,H2)),"00")&amp;":"&amp;TEXT(MINUTE(INDEX('Batch'!$C$18:$C$41,H2)),"00")&amp;CHAR(10)&amp;TEXT(DAY(INDEX('Batch'!$C$18:$C$41,H2)),"00")&amp;"/"&amp;TEXT(MONTH(INDEX('Batch'!$C$18:$C$41,H2)),"00"),IF(1=$G$31+1,"Média",""))</f>
        <v>0</v>
      </c>
      <c r="B2">
        <f>IF(1&lt;=$G$31,INDEX('Batch'!$E$18:$E$41,H2),IF(AND(1=$G$31+1,ISNUMBER($B$31)),$B$31,NA()))</f>
        <v>0</v>
      </c>
      <c r="C2">
        <f>IF(1&lt;=$G$31,INDEX('Batch'!$F$18:$F$41,H2),IF(AND(1=$G$31+1,ISNUMBER($C$31)),$C$31,NA()))</f>
        <v>0</v>
      </c>
      <c r="D2">
        <f>IF(1&lt;=$G$31,INDEX('Batch'!$P$18:$P$41,H2),NA())</f>
        <v>0</v>
      </c>
      <c r="E2">
        <f>IF(AND(1=$G$31+1,ISNUMBER($D$31)),$D$31,NA())</f>
        <v>0</v>
      </c>
      <c r="F2">
        <f>IF(1&lt;=$G$31+1,$H$31,NA())</f>
        <v>0</v>
      </c>
      <c r="G2">
        <f>IF(1&lt;=$G$31+1,-$H$31,NA())</f>
        <v>0</v>
      </c>
      <c r="H2">
        <f>IF(1&lt;=$G$31,MATCH(1,'Batch'!$U$18:$U$41,0),"")</f>
        <v>0</v>
      </c>
      <c r="I2">
        <v>1</v>
      </c>
      <c r="J2">
        <f>IF(1&lt;=$G$32,TEXT(HOUR(INDEX('Batch'!$C$18:$C$41,Q2)),"00")&amp;":"&amp;TEXT(MINUTE(INDEX('Batch'!$C$18:$C$41,Q2)),"00")&amp;CHAR(10)&amp;TEXT(DAY(INDEX('Batch'!$C$18:$C$41,Q2)),"00")&amp;"/"&amp;TEXT(MONTH(INDEX('Batch'!$C$18:$C$41,Q2)),"00"),IF(1=$G$32+1,"Média",""))</f>
        <v>0</v>
      </c>
      <c r="K2">
        <f>IF(1&lt;=$G$32,INDEX('Batch'!$G$18:$G$41,Q2),IF(AND(1=$G$32+1,ISNUMBER($B$32)),$B$32,NA()))</f>
        <v>0</v>
      </c>
      <c r="L2">
        <f>IF(1&lt;=$G$32,INDEX('Batch'!$H$18:$H$41,Q2),IF(AND(1=$G$32+1,ISNUMBER($C$32)),$C$32,NA()))</f>
        <v>0</v>
      </c>
      <c r="M2">
        <f>IF(1&lt;=$G$32,INDEX('Batch'!$Q$18:$Q$41,Q2),NA())</f>
        <v>0</v>
      </c>
      <c r="N2">
        <f>IF(AND(1=$G$32+1,ISNUMBER($D$32)),$D$32,NA())</f>
        <v>0</v>
      </c>
      <c r="O2">
        <f>IF(1&lt;=$G$32+1,$H$32,NA())</f>
        <v>0</v>
      </c>
      <c r="P2">
        <f>IF(1&lt;=$G$32+1,-$H$32,NA())</f>
        <v>0</v>
      </c>
      <c r="Q2">
        <f>IF(1&lt;=$G$32,MATCH(1,'Batch'!$V$18:$V$41,0),"")</f>
        <v>0</v>
      </c>
      <c r="R2">
        <v>1</v>
      </c>
      <c r="S2">
        <f>IF(1&lt;=$G$33,TEXT(HOUR(INDEX('Batch'!$C$18:$C$41,Z2)),"00")&amp;":"&amp;TEXT(MINUTE(INDEX('Batch'!$C$18:$C$41,Z2)),"00")&amp;CHAR(10)&amp;TEXT(DAY(INDEX('Batch'!$C$18:$C$41,Z2)),"00")&amp;"/"&amp;TEXT(MONTH(INDEX('Batch'!$C$18:$C$41,Z2)),"00"),IF(1=$G$33+1,"Média",""))</f>
        <v>0</v>
      </c>
      <c r="T2">
        <f>IF(1&lt;=$G$33,INDEX('Batch'!$I$18:$I$41,Z2),IF(AND(1=$G$33+1,ISNUMBER($B$33)),$B$33,NA()))</f>
        <v>0</v>
      </c>
      <c r="U2">
        <f>IF(1&lt;=$G$33,INDEX('Batch'!$J$18:$J$41,Z2),IF(AND(1=$G$33+1,ISNUMBER($C$33)),$C$33,NA()))</f>
        <v>0</v>
      </c>
      <c r="V2">
        <f>IF(1&lt;=$G$33,INDEX('Batch'!$R$18:$R$41,Z2),NA())</f>
        <v>0</v>
      </c>
      <c r="W2">
        <f>IF(AND(1=$G$33+1,ISNUMBER($D$33)),$D$33,NA())</f>
        <v>0</v>
      </c>
      <c r="X2">
        <f>IF(1&lt;=$G$33+1,$H$33,NA())</f>
        <v>0</v>
      </c>
      <c r="Y2">
        <f>IF(1&lt;=$G$33+1,-$H$33,NA())</f>
        <v>0</v>
      </c>
      <c r="Z2">
        <f>IF(1&lt;=$G$33,MATCH(1,'Batch'!$W$18:$W$41,0),"")</f>
        <v>0</v>
      </c>
      <c r="AA2">
        <v>1</v>
      </c>
      <c r="AB2">
        <f>IF(1&lt;=$G$34,TEXT(HOUR(INDEX('Batch'!$C$18:$C$41,AI2)),"00")&amp;":"&amp;TEXT(MINUTE(INDEX('Batch'!$C$18:$C$41,AI2)),"00")&amp;CHAR(10)&amp;TEXT(DAY(INDEX('Batch'!$C$18:$C$41,AI2)),"00")&amp;"/"&amp;TEXT(MONTH(INDEX('Batch'!$C$18:$C$41,AI2)),"00"),IF(1=$G$34+1,"Média",""))</f>
        <v>0</v>
      </c>
      <c r="AC2">
        <f>IF(1&lt;=$G$34,INDEX('Batch'!$K$18:$K$41,AI2),IF(AND(1=$G$34+1,ISNUMBER($B$34)),$B$34,NA()))</f>
        <v>0</v>
      </c>
      <c r="AD2">
        <f>IF(1&lt;=$G$34,INDEX('Batch'!$L$18:$L$41,AI2),IF(AND(1=$G$34+1,ISNUMBER($C$34)),$C$34,NA()))</f>
        <v>0</v>
      </c>
      <c r="AE2">
        <f>IF(1&lt;=$G$34,INDEX('Batch'!$S$18:$S$41,AI2),NA())</f>
        <v>0</v>
      </c>
      <c r="AF2">
        <f>IF(AND(1=$G$34+1,ISNUMBER($D$34)),$D$34,NA())</f>
        <v>0</v>
      </c>
      <c r="AG2">
        <f>IF(1&lt;=$G$34+1,$H$34,NA())</f>
        <v>0</v>
      </c>
      <c r="AH2">
        <f>IF(1&lt;=$G$34+1,-$H$34,NA())</f>
        <v>0</v>
      </c>
      <c r="AI2">
        <f>IF(1&lt;=$G$34,MATCH(1,'Batch'!$X$18:$X$41,0),"")</f>
        <v>0</v>
      </c>
      <c r="AJ2">
        <v>1</v>
      </c>
      <c r="AK2">
        <f>IF(1&lt;=$G$35,TEXT(HOUR(INDEX('Batch'!$C$18:$C$41,AR2)),"00")&amp;":"&amp;TEXT(MINUTE(INDEX('Batch'!$C$18:$C$41,AR2)),"00")&amp;CHAR(10)&amp;TEXT(DAY(INDEX('Batch'!$C$18:$C$41,AR2)),"00")&amp;"/"&amp;TEXT(MONTH(INDEX('Batch'!$C$18:$C$41,AR2)),"00"),IF(1=$G$35+1,"Média",""))</f>
        <v>0</v>
      </c>
      <c r="AL2">
        <f>IF(1&lt;=$G$35,INDEX('Batch'!$M$18:$M$41,AR2),IF(AND(1=$G$35+1,ISNUMBER($B$35)),$B$35,NA()))</f>
        <v>0</v>
      </c>
      <c r="AM2">
        <f>IF(1&lt;=$G$35,INDEX('Batch'!$N$18:$N$41,AR2),IF(AND(1=$G$35+1,ISNUMBER($C$35)),$C$35,NA()))</f>
        <v>0</v>
      </c>
      <c r="AN2">
        <f>IF(1&lt;=$G$35,INDEX('Batch'!$T$18:$T$41,AR2),NA())</f>
        <v>0</v>
      </c>
      <c r="AO2">
        <f>IF(AND(1=$G$35+1,ISNUMBER($D$35)),$D$35,NA())</f>
        <v>0</v>
      </c>
      <c r="AP2">
        <f>IF(1&lt;=$G$35+1,$H$35,NA())</f>
        <v>0</v>
      </c>
      <c r="AQ2">
        <f>IF(1&lt;=$G$35+1,-$H$35,NA())</f>
        <v>0</v>
      </c>
      <c r="AR2">
        <f>IF(1&lt;=$G$35,MATCH(1,'Batch'!$Y$18:$Y$41,0),"")</f>
        <v>0</v>
      </c>
      <c r="AS2">
        <v>1</v>
      </c>
    </row>
    <row r="3" spans="1:45">
      <c r="A3">
        <f>IF(2&lt;=$G$31,TEXT(HOUR(INDEX('Batch'!$C$18:$C$41,H3)),"00")&amp;":"&amp;TEXT(MINUTE(INDEX('Batch'!$C$18:$C$41,H3)),"00")&amp;CHAR(10)&amp;TEXT(DAY(INDEX('Batch'!$C$18:$C$41,H3)),"00")&amp;"/"&amp;TEXT(MONTH(INDEX('Batch'!$C$18:$C$41,H3)),"00"),IF(2=$G$31+1,"Média",""))</f>
        <v>0</v>
      </c>
      <c r="B3">
        <f>IF(2&lt;=$G$31,INDEX('Batch'!$E$18:$E$41,H3),IF(AND(2=$G$31+1,ISNUMBER($B$31)),$B$31,NA()))</f>
        <v>0</v>
      </c>
      <c r="C3">
        <f>IF(2&lt;=$G$31,INDEX('Batch'!$F$18:$F$41,H3),IF(AND(2=$G$31+1,ISNUMBER($C$31)),$C$31,NA()))</f>
        <v>0</v>
      </c>
      <c r="D3">
        <f>IF(2&lt;=$G$31,INDEX('Batch'!$P$18:$P$41,H3),NA())</f>
        <v>0</v>
      </c>
      <c r="E3">
        <f>IF(AND(2=$G$31+1,ISNUMBER($D$31)),$D$31,NA())</f>
        <v>0</v>
      </c>
      <c r="F3">
        <f>IF(2&lt;=$G$31+1,$H$31,NA())</f>
        <v>0</v>
      </c>
      <c r="G3">
        <f>IF(2&lt;=$G$31+1,-$H$31,NA())</f>
        <v>0</v>
      </c>
      <c r="H3">
        <f>IF(2&lt;=$G$31,MATCH(2,'Batch'!$U$18:$U$41,0),"")</f>
        <v>0</v>
      </c>
      <c r="I3">
        <v>2</v>
      </c>
      <c r="J3">
        <f>IF(2&lt;=$G$32,TEXT(HOUR(INDEX('Batch'!$C$18:$C$41,Q3)),"00")&amp;":"&amp;TEXT(MINUTE(INDEX('Batch'!$C$18:$C$41,Q3)),"00")&amp;CHAR(10)&amp;TEXT(DAY(INDEX('Batch'!$C$18:$C$41,Q3)),"00")&amp;"/"&amp;TEXT(MONTH(INDEX('Batch'!$C$18:$C$41,Q3)),"00"),IF(2=$G$32+1,"Média",""))</f>
        <v>0</v>
      </c>
      <c r="K3">
        <f>IF(2&lt;=$G$32,INDEX('Batch'!$G$18:$G$41,Q3),IF(AND(2=$G$32+1,ISNUMBER($B$32)),$B$32,NA()))</f>
        <v>0</v>
      </c>
      <c r="L3">
        <f>IF(2&lt;=$G$32,INDEX('Batch'!$H$18:$H$41,Q3),IF(AND(2=$G$32+1,ISNUMBER($C$32)),$C$32,NA()))</f>
        <v>0</v>
      </c>
      <c r="M3">
        <f>IF(2&lt;=$G$32,INDEX('Batch'!$Q$18:$Q$41,Q3),NA())</f>
        <v>0</v>
      </c>
      <c r="N3">
        <f>IF(AND(2=$G$32+1,ISNUMBER($D$32)),$D$32,NA())</f>
        <v>0</v>
      </c>
      <c r="O3">
        <f>IF(2&lt;=$G$32+1,$H$32,NA())</f>
        <v>0</v>
      </c>
      <c r="P3">
        <f>IF(2&lt;=$G$32+1,-$H$32,NA())</f>
        <v>0</v>
      </c>
      <c r="Q3">
        <f>IF(2&lt;=$G$32,MATCH(2,'Batch'!$V$18:$V$41,0),"")</f>
        <v>0</v>
      </c>
      <c r="R3">
        <v>2</v>
      </c>
      <c r="S3">
        <f>IF(2&lt;=$G$33,TEXT(HOUR(INDEX('Batch'!$C$18:$C$41,Z3)),"00")&amp;":"&amp;TEXT(MINUTE(INDEX('Batch'!$C$18:$C$41,Z3)),"00")&amp;CHAR(10)&amp;TEXT(DAY(INDEX('Batch'!$C$18:$C$41,Z3)),"00")&amp;"/"&amp;TEXT(MONTH(INDEX('Batch'!$C$18:$C$41,Z3)),"00"),IF(2=$G$33+1,"Média",""))</f>
        <v>0</v>
      </c>
      <c r="T3">
        <f>IF(2&lt;=$G$33,INDEX('Batch'!$I$18:$I$41,Z3),IF(AND(2=$G$33+1,ISNUMBER($B$33)),$B$33,NA()))</f>
        <v>0</v>
      </c>
      <c r="U3">
        <f>IF(2&lt;=$G$33,INDEX('Batch'!$J$18:$J$41,Z3),IF(AND(2=$G$33+1,ISNUMBER($C$33)),$C$33,NA()))</f>
        <v>0</v>
      </c>
      <c r="V3">
        <f>IF(2&lt;=$G$33,INDEX('Batch'!$R$18:$R$41,Z3),NA())</f>
        <v>0</v>
      </c>
      <c r="W3">
        <f>IF(AND(2=$G$33+1,ISNUMBER($D$33)),$D$33,NA())</f>
        <v>0</v>
      </c>
      <c r="X3">
        <f>IF(2&lt;=$G$33+1,$H$33,NA())</f>
        <v>0</v>
      </c>
      <c r="Y3">
        <f>IF(2&lt;=$G$33+1,-$H$33,NA())</f>
        <v>0</v>
      </c>
      <c r="Z3">
        <f>IF(2&lt;=$G$33,MATCH(2,'Batch'!$W$18:$W$41,0),"")</f>
        <v>0</v>
      </c>
      <c r="AA3">
        <v>2</v>
      </c>
      <c r="AB3">
        <f>IF(2&lt;=$G$34,TEXT(HOUR(INDEX('Batch'!$C$18:$C$41,AI3)),"00")&amp;":"&amp;TEXT(MINUTE(INDEX('Batch'!$C$18:$C$41,AI3)),"00")&amp;CHAR(10)&amp;TEXT(DAY(INDEX('Batch'!$C$18:$C$41,AI3)),"00")&amp;"/"&amp;TEXT(MONTH(INDEX('Batch'!$C$18:$C$41,AI3)),"00"),IF(2=$G$34+1,"Média",""))</f>
        <v>0</v>
      </c>
      <c r="AC3">
        <f>IF(2&lt;=$G$34,INDEX('Batch'!$K$18:$K$41,AI3),IF(AND(2=$G$34+1,ISNUMBER($B$34)),$B$34,NA()))</f>
        <v>0</v>
      </c>
      <c r="AD3">
        <f>IF(2&lt;=$G$34,INDEX('Batch'!$L$18:$L$41,AI3),IF(AND(2=$G$34+1,ISNUMBER($C$34)),$C$34,NA()))</f>
        <v>0</v>
      </c>
      <c r="AE3">
        <f>IF(2&lt;=$G$34,INDEX('Batch'!$S$18:$S$41,AI3),NA())</f>
        <v>0</v>
      </c>
      <c r="AF3">
        <f>IF(AND(2=$G$34+1,ISNUMBER($D$34)),$D$34,NA())</f>
        <v>0</v>
      </c>
      <c r="AG3">
        <f>IF(2&lt;=$G$34+1,$H$34,NA())</f>
        <v>0</v>
      </c>
      <c r="AH3">
        <f>IF(2&lt;=$G$34+1,-$H$34,NA())</f>
        <v>0</v>
      </c>
      <c r="AI3">
        <f>IF(2&lt;=$G$34,MATCH(2,'Batch'!$X$18:$X$41,0),"")</f>
        <v>0</v>
      </c>
      <c r="AJ3">
        <v>2</v>
      </c>
      <c r="AK3">
        <f>IF(2&lt;=$G$35,TEXT(HOUR(INDEX('Batch'!$C$18:$C$41,AR3)),"00")&amp;":"&amp;TEXT(MINUTE(INDEX('Batch'!$C$18:$C$41,AR3)),"00")&amp;CHAR(10)&amp;TEXT(DAY(INDEX('Batch'!$C$18:$C$41,AR3)),"00")&amp;"/"&amp;TEXT(MONTH(INDEX('Batch'!$C$18:$C$41,AR3)),"00"),IF(2=$G$35+1,"Média",""))</f>
        <v>0</v>
      </c>
      <c r="AL3">
        <f>IF(2&lt;=$G$35,INDEX('Batch'!$M$18:$M$41,AR3),IF(AND(2=$G$35+1,ISNUMBER($B$35)),$B$35,NA()))</f>
        <v>0</v>
      </c>
      <c r="AM3">
        <f>IF(2&lt;=$G$35,INDEX('Batch'!$N$18:$N$41,AR3),IF(AND(2=$G$35+1,ISNUMBER($C$35)),$C$35,NA()))</f>
        <v>0</v>
      </c>
      <c r="AN3">
        <f>IF(2&lt;=$G$35,INDEX('Batch'!$T$18:$T$41,AR3),NA())</f>
        <v>0</v>
      </c>
      <c r="AO3">
        <f>IF(AND(2=$G$35+1,ISNUMBER($D$35)),$D$35,NA())</f>
        <v>0</v>
      </c>
      <c r="AP3">
        <f>IF(2&lt;=$G$35+1,$H$35,NA())</f>
        <v>0</v>
      </c>
      <c r="AQ3">
        <f>IF(2&lt;=$G$35+1,-$H$35,NA())</f>
        <v>0</v>
      </c>
      <c r="AR3">
        <f>IF(2&lt;=$G$35,MATCH(2,'Batch'!$Y$18:$Y$41,0),"")</f>
        <v>0</v>
      </c>
      <c r="AS3">
        <v>2</v>
      </c>
    </row>
    <row r="4" spans="1:45">
      <c r="A4">
        <f>IF(3&lt;=$G$31,TEXT(HOUR(INDEX('Batch'!$C$18:$C$41,H4)),"00")&amp;":"&amp;TEXT(MINUTE(INDEX('Batch'!$C$18:$C$41,H4)),"00")&amp;CHAR(10)&amp;TEXT(DAY(INDEX('Batch'!$C$18:$C$41,H4)),"00")&amp;"/"&amp;TEXT(MONTH(INDEX('Batch'!$C$18:$C$41,H4)),"00"),IF(3=$G$31+1,"Média",""))</f>
        <v>0</v>
      </c>
      <c r="B4">
        <f>IF(3&lt;=$G$31,INDEX('Batch'!$E$18:$E$41,H4),IF(AND(3=$G$31+1,ISNUMBER($B$31)),$B$31,NA()))</f>
        <v>0</v>
      </c>
      <c r="C4">
        <f>IF(3&lt;=$G$31,INDEX('Batch'!$F$18:$F$41,H4),IF(AND(3=$G$31+1,ISNUMBER($C$31)),$C$31,NA()))</f>
        <v>0</v>
      </c>
      <c r="D4">
        <f>IF(3&lt;=$G$31,INDEX('Batch'!$P$18:$P$41,H4),NA())</f>
        <v>0</v>
      </c>
      <c r="E4">
        <f>IF(AND(3=$G$31+1,ISNUMBER($D$31)),$D$31,NA())</f>
        <v>0</v>
      </c>
      <c r="F4">
        <f>IF(3&lt;=$G$31+1,$H$31,NA())</f>
        <v>0</v>
      </c>
      <c r="G4">
        <f>IF(3&lt;=$G$31+1,-$H$31,NA())</f>
        <v>0</v>
      </c>
      <c r="H4">
        <f>IF(3&lt;=$G$31,MATCH(3,'Batch'!$U$18:$U$41,0),"")</f>
        <v>0</v>
      </c>
      <c r="I4">
        <v>3</v>
      </c>
      <c r="J4">
        <f>IF(3&lt;=$G$32,TEXT(HOUR(INDEX('Batch'!$C$18:$C$41,Q4)),"00")&amp;":"&amp;TEXT(MINUTE(INDEX('Batch'!$C$18:$C$41,Q4)),"00")&amp;CHAR(10)&amp;TEXT(DAY(INDEX('Batch'!$C$18:$C$41,Q4)),"00")&amp;"/"&amp;TEXT(MONTH(INDEX('Batch'!$C$18:$C$41,Q4)),"00"),IF(3=$G$32+1,"Média",""))</f>
        <v>0</v>
      </c>
      <c r="K4">
        <f>IF(3&lt;=$G$32,INDEX('Batch'!$G$18:$G$41,Q4),IF(AND(3=$G$32+1,ISNUMBER($B$32)),$B$32,NA()))</f>
        <v>0</v>
      </c>
      <c r="L4">
        <f>IF(3&lt;=$G$32,INDEX('Batch'!$H$18:$H$41,Q4),IF(AND(3=$G$32+1,ISNUMBER($C$32)),$C$32,NA()))</f>
        <v>0</v>
      </c>
      <c r="M4">
        <f>IF(3&lt;=$G$32,INDEX('Batch'!$Q$18:$Q$41,Q4),NA())</f>
        <v>0</v>
      </c>
      <c r="N4">
        <f>IF(AND(3=$G$32+1,ISNUMBER($D$32)),$D$32,NA())</f>
        <v>0</v>
      </c>
      <c r="O4">
        <f>IF(3&lt;=$G$32+1,$H$32,NA())</f>
        <v>0</v>
      </c>
      <c r="P4">
        <f>IF(3&lt;=$G$32+1,-$H$32,NA())</f>
        <v>0</v>
      </c>
      <c r="Q4">
        <f>IF(3&lt;=$G$32,MATCH(3,'Batch'!$V$18:$V$41,0),"")</f>
        <v>0</v>
      </c>
      <c r="R4">
        <v>3</v>
      </c>
      <c r="S4">
        <f>IF(3&lt;=$G$33,TEXT(HOUR(INDEX('Batch'!$C$18:$C$41,Z4)),"00")&amp;":"&amp;TEXT(MINUTE(INDEX('Batch'!$C$18:$C$41,Z4)),"00")&amp;CHAR(10)&amp;TEXT(DAY(INDEX('Batch'!$C$18:$C$41,Z4)),"00")&amp;"/"&amp;TEXT(MONTH(INDEX('Batch'!$C$18:$C$41,Z4)),"00"),IF(3=$G$33+1,"Média",""))</f>
        <v>0</v>
      </c>
      <c r="T4">
        <f>IF(3&lt;=$G$33,INDEX('Batch'!$I$18:$I$41,Z4),IF(AND(3=$G$33+1,ISNUMBER($B$33)),$B$33,NA()))</f>
        <v>0</v>
      </c>
      <c r="U4">
        <f>IF(3&lt;=$G$33,INDEX('Batch'!$J$18:$J$41,Z4),IF(AND(3=$G$33+1,ISNUMBER($C$33)),$C$33,NA()))</f>
        <v>0</v>
      </c>
      <c r="V4">
        <f>IF(3&lt;=$G$33,INDEX('Batch'!$R$18:$R$41,Z4),NA())</f>
        <v>0</v>
      </c>
      <c r="W4">
        <f>IF(AND(3=$G$33+1,ISNUMBER($D$33)),$D$33,NA())</f>
        <v>0</v>
      </c>
      <c r="X4">
        <f>IF(3&lt;=$G$33+1,$H$33,NA())</f>
        <v>0</v>
      </c>
      <c r="Y4">
        <f>IF(3&lt;=$G$33+1,-$H$33,NA())</f>
        <v>0</v>
      </c>
      <c r="Z4">
        <f>IF(3&lt;=$G$33,MATCH(3,'Batch'!$W$18:$W$41,0),"")</f>
        <v>0</v>
      </c>
      <c r="AA4">
        <v>3</v>
      </c>
      <c r="AB4">
        <f>IF(3&lt;=$G$34,TEXT(HOUR(INDEX('Batch'!$C$18:$C$41,AI4)),"00")&amp;":"&amp;TEXT(MINUTE(INDEX('Batch'!$C$18:$C$41,AI4)),"00")&amp;CHAR(10)&amp;TEXT(DAY(INDEX('Batch'!$C$18:$C$41,AI4)),"00")&amp;"/"&amp;TEXT(MONTH(INDEX('Batch'!$C$18:$C$41,AI4)),"00"),IF(3=$G$34+1,"Média",""))</f>
        <v>0</v>
      </c>
      <c r="AC4">
        <f>IF(3&lt;=$G$34,INDEX('Batch'!$K$18:$K$41,AI4),IF(AND(3=$G$34+1,ISNUMBER($B$34)),$B$34,NA()))</f>
        <v>0</v>
      </c>
      <c r="AD4">
        <f>IF(3&lt;=$G$34,INDEX('Batch'!$L$18:$L$41,AI4),IF(AND(3=$G$34+1,ISNUMBER($C$34)),$C$34,NA()))</f>
        <v>0</v>
      </c>
      <c r="AE4">
        <f>IF(3&lt;=$G$34,INDEX('Batch'!$S$18:$S$41,AI4),NA())</f>
        <v>0</v>
      </c>
      <c r="AF4">
        <f>IF(AND(3=$G$34+1,ISNUMBER($D$34)),$D$34,NA())</f>
        <v>0</v>
      </c>
      <c r="AG4">
        <f>IF(3&lt;=$G$34+1,$H$34,NA())</f>
        <v>0</v>
      </c>
      <c r="AH4">
        <f>IF(3&lt;=$G$34+1,-$H$34,NA())</f>
        <v>0</v>
      </c>
      <c r="AI4">
        <f>IF(3&lt;=$G$34,MATCH(3,'Batch'!$X$18:$X$41,0),"")</f>
        <v>0</v>
      </c>
      <c r="AJ4">
        <v>3</v>
      </c>
      <c r="AK4">
        <f>IF(3&lt;=$G$35,TEXT(HOUR(INDEX('Batch'!$C$18:$C$41,AR4)),"00")&amp;":"&amp;TEXT(MINUTE(INDEX('Batch'!$C$18:$C$41,AR4)),"00")&amp;CHAR(10)&amp;TEXT(DAY(INDEX('Batch'!$C$18:$C$41,AR4)),"00")&amp;"/"&amp;TEXT(MONTH(INDEX('Batch'!$C$18:$C$41,AR4)),"00"),IF(3=$G$35+1,"Média",""))</f>
        <v>0</v>
      </c>
      <c r="AL4">
        <f>IF(3&lt;=$G$35,INDEX('Batch'!$M$18:$M$41,AR4),IF(AND(3=$G$35+1,ISNUMBER($B$35)),$B$35,NA()))</f>
        <v>0</v>
      </c>
      <c r="AM4">
        <f>IF(3&lt;=$G$35,INDEX('Batch'!$N$18:$N$41,AR4),IF(AND(3=$G$35+1,ISNUMBER($C$35)),$C$35,NA()))</f>
        <v>0</v>
      </c>
      <c r="AN4">
        <f>IF(3&lt;=$G$35,INDEX('Batch'!$T$18:$T$41,AR4),NA())</f>
        <v>0</v>
      </c>
      <c r="AO4">
        <f>IF(AND(3=$G$35+1,ISNUMBER($D$35)),$D$35,NA())</f>
        <v>0</v>
      </c>
      <c r="AP4">
        <f>IF(3&lt;=$G$35+1,$H$35,NA())</f>
        <v>0</v>
      </c>
      <c r="AQ4">
        <f>IF(3&lt;=$G$35+1,-$H$35,NA())</f>
        <v>0</v>
      </c>
      <c r="AR4">
        <f>IF(3&lt;=$G$35,MATCH(3,'Batch'!$Y$18:$Y$41,0),"")</f>
        <v>0</v>
      </c>
      <c r="AS4">
        <v>3</v>
      </c>
    </row>
    <row r="5" spans="1:45">
      <c r="A5">
        <f>IF(4&lt;=$G$31,TEXT(HOUR(INDEX('Batch'!$C$18:$C$41,H5)),"00")&amp;":"&amp;TEXT(MINUTE(INDEX('Batch'!$C$18:$C$41,H5)),"00")&amp;CHAR(10)&amp;TEXT(DAY(INDEX('Batch'!$C$18:$C$41,H5)),"00")&amp;"/"&amp;TEXT(MONTH(INDEX('Batch'!$C$18:$C$41,H5)),"00"),IF(4=$G$31+1,"Média",""))</f>
        <v>0</v>
      </c>
      <c r="B5">
        <f>IF(4&lt;=$G$31,INDEX('Batch'!$E$18:$E$41,H5),IF(AND(4=$G$31+1,ISNUMBER($B$31)),$B$31,NA()))</f>
        <v>0</v>
      </c>
      <c r="C5">
        <f>IF(4&lt;=$G$31,INDEX('Batch'!$F$18:$F$41,H5),IF(AND(4=$G$31+1,ISNUMBER($C$31)),$C$31,NA()))</f>
        <v>0</v>
      </c>
      <c r="D5">
        <f>IF(4&lt;=$G$31,INDEX('Batch'!$P$18:$P$41,H5),NA())</f>
        <v>0</v>
      </c>
      <c r="E5">
        <f>IF(AND(4=$G$31+1,ISNUMBER($D$31)),$D$31,NA())</f>
        <v>0</v>
      </c>
      <c r="F5">
        <f>IF(4&lt;=$G$31+1,$H$31,NA())</f>
        <v>0</v>
      </c>
      <c r="G5">
        <f>IF(4&lt;=$G$31+1,-$H$31,NA())</f>
        <v>0</v>
      </c>
      <c r="H5">
        <f>IF(4&lt;=$G$31,MATCH(4,'Batch'!$U$18:$U$41,0),"")</f>
        <v>0</v>
      </c>
      <c r="I5">
        <v>4</v>
      </c>
      <c r="J5">
        <f>IF(4&lt;=$G$32,TEXT(HOUR(INDEX('Batch'!$C$18:$C$41,Q5)),"00")&amp;":"&amp;TEXT(MINUTE(INDEX('Batch'!$C$18:$C$41,Q5)),"00")&amp;CHAR(10)&amp;TEXT(DAY(INDEX('Batch'!$C$18:$C$41,Q5)),"00")&amp;"/"&amp;TEXT(MONTH(INDEX('Batch'!$C$18:$C$41,Q5)),"00"),IF(4=$G$32+1,"Média",""))</f>
        <v>0</v>
      </c>
      <c r="K5">
        <f>IF(4&lt;=$G$32,INDEX('Batch'!$G$18:$G$41,Q5),IF(AND(4=$G$32+1,ISNUMBER($B$32)),$B$32,NA()))</f>
        <v>0</v>
      </c>
      <c r="L5">
        <f>IF(4&lt;=$G$32,INDEX('Batch'!$H$18:$H$41,Q5),IF(AND(4=$G$32+1,ISNUMBER($C$32)),$C$32,NA()))</f>
        <v>0</v>
      </c>
      <c r="M5">
        <f>IF(4&lt;=$G$32,INDEX('Batch'!$Q$18:$Q$41,Q5),NA())</f>
        <v>0</v>
      </c>
      <c r="N5">
        <f>IF(AND(4=$G$32+1,ISNUMBER($D$32)),$D$32,NA())</f>
        <v>0</v>
      </c>
      <c r="O5">
        <f>IF(4&lt;=$G$32+1,$H$32,NA())</f>
        <v>0</v>
      </c>
      <c r="P5">
        <f>IF(4&lt;=$G$32+1,-$H$32,NA())</f>
        <v>0</v>
      </c>
      <c r="Q5">
        <f>IF(4&lt;=$G$32,MATCH(4,'Batch'!$V$18:$V$41,0),"")</f>
        <v>0</v>
      </c>
      <c r="R5">
        <v>4</v>
      </c>
      <c r="S5">
        <f>IF(4&lt;=$G$33,TEXT(HOUR(INDEX('Batch'!$C$18:$C$41,Z5)),"00")&amp;":"&amp;TEXT(MINUTE(INDEX('Batch'!$C$18:$C$41,Z5)),"00")&amp;CHAR(10)&amp;TEXT(DAY(INDEX('Batch'!$C$18:$C$41,Z5)),"00")&amp;"/"&amp;TEXT(MONTH(INDEX('Batch'!$C$18:$C$41,Z5)),"00"),IF(4=$G$33+1,"Média",""))</f>
        <v>0</v>
      </c>
      <c r="T5">
        <f>IF(4&lt;=$G$33,INDEX('Batch'!$I$18:$I$41,Z5),IF(AND(4=$G$33+1,ISNUMBER($B$33)),$B$33,NA()))</f>
        <v>0</v>
      </c>
      <c r="U5">
        <f>IF(4&lt;=$G$33,INDEX('Batch'!$J$18:$J$41,Z5),IF(AND(4=$G$33+1,ISNUMBER($C$33)),$C$33,NA()))</f>
        <v>0</v>
      </c>
      <c r="V5">
        <f>IF(4&lt;=$G$33,INDEX('Batch'!$R$18:$R$41,Z5),NA())</f>
        <v>0</v>
      </c>
      <c r="W5">
        <f>IF(AND(4=$G$33+1,ISNUMBER($D$33)),$D$33,NA())</f>
        <v>0</v>
      </c>
      <c r="X5">
        <f>IF(4&lt;=$G$33+1,$H$33,NA())</f>
        <v>0</v>
      </c>
      <c r="Y5">
        <f>IF(4&lt;=$G$33+1,-$H$33,NA())</f>
        <v>0</v>
      </c>
      <c r="Z5">
        <f>IF(4&lt;=$G$33,MATCH(4,'Batch'!$W$18:$W$41,0),"")</f>
        <v>0</v>
      </c>
      <c r="AA5">
        <v>4</v>
      </c>
      <c r="AB5">
        <f>IF(4&lt;=$G$34,TEXT(HOUR(INDEX('Batch'!$C$18:$C$41,AI5)),"00")&amp;":"&amp;TEXT(MINUTE(INDEX('Batch'!$C$18:$C$41,AI5)),"00")&amp;CHAR(10)&amp;TEXT(DAY(INDEX('Batch'!$C$18:$C$41,AI5)),"00")&amp;"/"&amp;TEXT(MONTH(INDEX('Batch'!$C$18:$C$41,AI5)),"00"),IF(4=$G$34+1,"Média",""))</f>
        <v>0</v>
      </c>
      <c r="AC5">
        <f>IF(4&lt;=$G$34,INDEX('Batch'!$K$18:$K$41,AI5),IF(AND(4=$G$34+1,ISNUMBER($B$34)),$B$34,NA()))</f>
        <v>0</v>
      </c>
      <c r="AD5">
        <f>IF(4&lt;=$G$34,INDEX('Batch'!$L$18:$L$41,AI5),IF(AND(4=$G$34+1,ISNUMBER($C$34)),$C$34,NA()))</f>
        <v>0</v>
      </c>
      <c r="AE5">
        <f>IF(4&lt;=$G$34,INDEX('Batch'!$S$18:$S$41,AI5),NA())</f>
        <v>0</v>
      </c>
      <c r="AF5">
        <f>IF(AND(4=$G$34+1,ISNUMBER($D$34)),$D$34,NA())</f>
        <v>0</v>
      </c>
      <c r="AG5">
        <f>IF(4&lt;=$G$34+1,$H$34,NA())</f>
        <v>0</v>
      </c>
      <c r="AH5">
        <f>IF(4&lt;=$G$34+1,-$H$34,NA())</f>
        <v>0</v>
      </c>
      <c r="AI5">
        <f>IF(4&lt;=$G$34,MATCH(4,'Batch'!$X$18:$X$41,0),"")</f>
        <v>0</v>
      </c>
      <c r="AJ5">
        <v>4</v>
      </c>
      <c r="AK5">
        <f>IF(4&lt;=$G$35,TEXT(HOUR(INDEX('Batch'!$C$18:$C$41,AR5)),"00")&amp;":"&amp;TEXT(MINUTE(INDEX('Batch'!$C$18:$C$41,AR5)),"00")&amp;CHAR(10)&amp;TEXT(DAY(INDEX('Batch'!$C$18:$C$41,AR5)),"00")&amp;"/"&amp;TEXT(MONTH(INDEX('Batch'!$C$18:$C$41,AR5)),"00"),IF(4=$G$35+1,"Média",""))</f>
        <v>0</v>
      </c>
      <c r="AL5">
        <f>IF(4&lt;=$G$35,INDEX('Batch'!$M$18:$M$41,AR5),IF(AND(4=$G$35+1,ISNUMBER($B$35)),$B$35,NA()))</f>
        <v>0</v>
      </c>
      <c r="AM5">
        <f>IF(4&lt;=$G$35,INDEX('Batch'!$N$18:$N$41,AR5),IF(AND(4=$G$35+1,ISNUMBER($C$35)),$C$35,NA()))</f>
        <v>0</v>
      </c>
      <c r="AN5">
        <f>IF(4&lt;=$G$35,INDEX('Batch'!$T$18:$T$41,AR5),NA())</f>
        <v>0</v>
      </c>
      <c r="AO5">
        <f>IF(AND(4=$G$35+1,ISNUMBER($D$35)),$D$35,NA())</f>
        <v>0</v>
      </c>
      <c r="AP5">
        <f>IF(4&lt;=$G$35+1,$H$35,NA())</f>
        <v>0</v>
      </c>
      <c r="AQ5">
        <f>IF(4&lt;=$G$35+1,-$H$35,NA())</f>
        <v>0</v>
      </c>
      <c r="AR5">
        <f>IF(4&lt;=$G$35,MATCH(4,'Batch'!$Y$18:$Y$41,0),"")</f>
        <v>0</v>
      </c>
      <c r="AS5">
        <v>4</v>
      </c>
    </row>
    <row r="6" spans="1:45">
      <c r="A6">
        <f>IF(5&lt;=$G$31,TEXT(HOUR(INDEX('Batch'!$C$18:$C$41,H6)),"00")&amp;":"&amp;TEXT(MINUTE(INDEX('Batch'!$C$18:$C$41,H6)),"00")&amp;CHAR(10)&amp;TEXT(DAY(INDEX('Batch'!$C$18:$C$41,H6)),"00")&amp;"/"&amp;TEXT(MONTH(INDEX('Batch'!$C$18:$C$41,H6)),"00"),IF(5=$G$31+1,"Média",""))</f>
        <v>0</v>
      </c>
      <c r="B6">
        <f>IF(5&lt;=$G$31,INDEX('Batch'!$E$18:$E$41,H6),IF(AND(5=$G$31+1,ISNUMBER($B$31)),$B$31,NA()))</f>
        <v>0</v>
      </c>
      <c r="C6">
        <f>IF(5&lt;=$G$31,INDEX('Batch'!$F$18:$F$41,H6),IF(AND(5=$G$31+1,ISNUMBER($C$31)),$C$31,NA()))</f>
        <v>0</v>
      </c>
      <c r="D6">
        <f>IF(5&lt;=$G$31,INDEX('Batch'!$P$18:$P$41,H6),NA())</f>
        <v>0</v>
      </c>
      <c r="E6">
        <f>IF(AND(5=$G$31+1,ISNUMBER($D$31)),$D$31,NA())</f>
        <v>0</v>
      </c>
      <c r="F6">
        <f>IF(5&lt;=$G$31+1,$H$31,NA())</f>
        <v>0</v>
      </c>
      <c r="G6">
        <f>IF(5&lt;=$G$31+1,-$H$31,NA())</f>
        <v>0</v>
      </c>
      <c r="H6">
        <f>IF(5&lt;=$G$31,MATCH(5,'Batch'!$U$18:$U$41,0),"")</f>
        <v>0</v>
      </c>
      <c r="I6">
        <v>5</v>
      </c>
      <c r="J6">
        <f>IF(5&lt;=$G$32,TEXT(HOUR(INDEX('Batch'!$C$18:$C$41,Q6)),"00")&amp;":"&amp;TEXT(MINUTE(INDEX('Batch'!$C$18:$C$41,Q6)),"00")&amp;CHAR(10)&amp;TEXT(DAY(INDEX('Batch'!$C$18:$C$41,Q6)),"00")&amp;"/"&amp;TEXT(MONTH(INDEX('Batch'!$C$18:$C$41,Q6)),"00"),IF(5=$G$32+1,"Média",""))</f>
        <v>0</v>
      </c>
      <c r="K6">
        <f>IF(5&lt;=$G$32,INDEX('Batch'!$G$18:$G$41,Q6),IF(AND(5=$G$32+1,ISNUMBER($B$32)),$B$32,NA()))</f>
        <v>0</v>
      </c>
      <c r="L6">
        <f>IF(5&lt;=$G$32,INDEX('Batch'!$H$18:$H$41,Q6),IF(AND(5=$G$32+1,ISNUMBER($C$32)),$C$32,NA()))</f>
        <v>0</v>
      </c>
      <c r="M6">
        <f>IF(5&lt;=$G$32,INDEX('Batch'!$Q$18:$Q$41,Q6),NA())</f>
        <v>0</v>
      </c>
      <c r="N6">
        <f>IF(AND(5=$G$32+1,ISNUMBER($D$32)),$D$32,NA())</f>
        <v>0</v>
      </c>
      <c r="O6">
        <f>IF(5&lt;=$G$32+1,$H$32,NA())</f>
        <v>0</v>
      </c>
      <c r="P6">
        <f>IF(5&lt;=$G$32+1,-$H$32,NA())</f>
        <v>0</v>
      </c>
      <c r="Q6">
        <f>IF(5&lt;=$G$32,MATCH(5,'Batch'!$V$18:$V$41,0),"")</f>
        <v>0</v>
      </c>
      <c r="R6">
        <v>5</v>
      </c>
      <c r="S6">
        <f>IF(5&lt;=$G$33,TEXT(HOUR(INDEX('Batch'!$C$18:$C$41,Z6)),"00")&amp;":"&amp;TEXT(MINUTE(INDEX('Batch'!$C$18:$C$41,Z6)),"00")&amp;CHAR(10)&amp;TEXT(DAY(INDEX('Batch'!$C$18:$C$41,Z6)),"00")&amp;"/"&amp;TEXT(MONTH(INDEX('Batch'!$C$18:$C$41,Z6)),"00"),IF(5=$G$33+1,"Média",""))</f>
        <v>0</v>
      </c>
      <c r="T6">
        <f>IF(5&lt;=$G$33,INDEX('Batch'!$I$18:$I$41,Z6),IF(AND(5=$G$33+1,ISNUMBER($B$33)),$B$33,NA()))</f>
        <v>0</v>
      </c>
      <c r="U6">
        <f>IF(5&lt;=$G$33,INDEX('Batch'!$J$18:$J$41,Z6),IF(AND(5=$G$33+1,ISNUMBER($C$33)),$C$33,NA()))</f>
        <v>0</v>
      </c>
      <c r="V6">
        <f>IF(5&lt;=$G$33,INDEX('Batch'!$R$18:$R$41,Z6),NA())</f>
        <v>0</v>
      </c>
      <c r="W6">
        <f>IF(AND(5=$G$33+1,ISNUMBER($D$33)),$D$33,NA())</f>
        <v>0</v>
      </c>
      <c r="X6">
        <f>IF(5&lt;=$G$33+1,$H$33,NA())</f>
        <v>0</v>
      </c>
      <c r="Y6">
        <f>IF(5&lt;=$G$33+1,-$H$33,NA())</f>
        <v>0</v>
      </c>
      <c r="Z6">
        <f>IF(5&lt;=$G$33,MATCH(5,'Batch'!$W$18:$W$41,0),"")</f>
        <v>0</v>
      </c>
      <c r="AA6">
        <v>5</v>
      </c>
      <c r="AB6">
        <f>IF(5&lt;=$G$34,TEXT(HOUR(INDEX('Batch'!$C$18:$C$41,AI6)),"00")&amp;":"&amp;TEXT(MINUTE(INDEX('Batch'!$C$18:$C$41,AI6)),"00")&amp;CHAR(10)&amp;TEXT(DAY(INDEX('Batch'!$C$18:$C$41,AI6)),"00")&amp;"/"&amp;TEXT(MONTH(INDEX('Batch'!$C$18:$C$41,AI6)),"00"),IF(5=$G$34+1,"Média",""))</f>
        <v>0</v>
      </c>
      <c r="AC6">
        <f>IF(5&lt;=$G$34,INDEX('Batch'!$K$18:$K$41,AI6),IF(AND(5=$G$34+1,ISNUMBER($B$34)),$B$34,NA()))</f>
        <v>0</v>
      </c>
      <c r="AD6">
        <f>IF(5&lt;=$G$34,INDEX('Batch'!$L$18:$L$41,AI6),IF(AND(5=$G$34+1,ISNUMBER($C$34)),$C$34,NA()))</f>
        <v>0</v>
      </c>
      <c r="AE6">
        <f>IF(5&lt;=$G$34,INDEX('Batch'!$S$18:$S$41,AI6),NA())</f>
        <v>0</v>
      </c>
      <c r="AF6">
        <f>IF(AND(5=$G$34+1,ISNUMBER($D$34)),$D$34,NA())</f>
        <v>0</v>
      </c>
      <c r="AG6">
        <f>IF(5&lt;=$G$34+1,$H$34,NA())</f>
        <v>0</v>
      </c>
      <c r="AH6">
        <f>IF(5&lt;=$G$34+1,-$H$34,NA())</f>
        <v>0</v>
      </c>
      <c r="AI6">
        <f>IF(5&lt;=$G$34,MATCH(5,'Batch'!$X$18:$X$41,0),"")</f>
        <v>0</v>
      </c>
      <c r="AJ6">
        <v>5</v>
      </c>
      <c r="AK6">
        <f>IF(5&lt;=$G$35,TEXT(HOUR(INDEX('Batch'!$C$18:$C$41,AR6)),"00")&amp;":"&amp;TEXT(MINUTE(INDEX('Batch'!$C$18:$C$41,AR6)),"00")&amp;CHAR(10)&amp;TEXT(DAY(INDEX('Batch'!$C$18:$C$41,AR6)),"00")&amp;"/"&amp;TEXT(MONTH(INDEX('Batch'!$C$18:$C$41,AR6)),"00"),IF(5=$G$35+1,"Média",""))</f>
        <v>0</v>
      </c>
      <c r="AL6">
        <f>IF(5&lt;=$G$35,INDEX('Batch'!$M$18:$M$41,AR6),IF(AND(5=$G$35+1,ISNUMBER($B$35)),$B$35,NA()))</f>
        <v>0</v>
      </c>
      <c r="AM6">
        <f>IF(5&lt;=$G$35,INDEX('Batch'!$N$18:$N$41,AR6),IF(AND(5=$G$35+1,ISNUMBER($C$35)),$C$35,NA()))</f>
        <v>0</v>
      </c>
      <c r="AN6">
        <f>IF(5&lt;=$G$35,INDEX('Batch'!$T$18:$T$41,AR6),NA())</f>
        <v>0</v>
      </c>
      <c r="AO6">
        <f>IF(AND(5=$G$35+1,ISNUMBER($D$35)),$D$35,NA())</f>
        <v>0</v>
      </c>
      <c r="AP6">
        <f>IF(5&lt;=$G$35+1,$H$35,NA())</f>
        <v>0</v>
      </c>
      <c r="AQ6">
        <f>IF(5&lt;=$G$35+1,-$H$35,NA())</f>
        <v>0</v>
      </c>
      <c r="AR6">
        <f>IF(5&lt;=$G$35,MATCH(5,'Batch'!$Y$18:$Y$41,0),"")</f>
        <v>0</v>
      </c>
      <c r="AS6">
        <v>5</v>
      </c>
    </row>
    <row r="7" spans="1:45">
      <c r="A7">
        <f>IF(6&lt;=$G$31,TEXT(HOUR(INDEX('Batch'!$C$18:$C$41,H7)),"00")&amp;":"&amp;TEXT(MINUTE(INDEX('Batch'!$C$18:$C$41,H7)),"00")&amp;CHAR(10)&amp;TEXT(DAY(INDEX('Batch'!$C$18:$C$41,H7)),"00")&amp;"/"&amp;TEXT(MONTH(INDEX('Batch'!$C$18:$C$41,H7)),"00"),IF(6=$G$31+1,"Média",""))</f>
        <v>0</v>
      </c>
      <c r="B7">
        <f>IF(6&lt;=$G$31,INDEX('Batch'!$E$18:$E$41,H7),IF(AND(6=$G$31+1,ISNUMBER($B$31)),$B$31,NA()))</f>
        <v>0</v>
      </c>
      <c r="C7">
        <f>IF(6&lt;=$G$31,INDEX('Batch'!$F$18:$F$41,H7),IF(AND(6=$G$31+1,ISNUMBER($C$31)),$C$31,NA()))</f>
        <v>0</v>
      </c>
      <c r="D7">
        <f>IF(6&lt;=$G$31,INDEX('Batch'!$P$18:$P$41,H7),NA())</f>
        <v>0</v>
      </c>
      <c r="E7">
        <f>IF(AND(6=$G$31+1,ISNUMBER($D$31)),$D$31,NA())</f>
        <v>0</v>
      </c>
      <c r="F7">
        <f>IF(6&lt;=$G$31+1,$H$31,NA())</f>
        <v>0</v>
      </c>
      <c r="G7">
        <f>IF(6&lt;=$G$31+1,-$H$31,NA())</f>
        <v>0</v>
      </c>
      <c r="H7">
        <f>IF(6&lt;=$G$31,MATCH(6,'Batch'!$U$18:$U$41,0),"")</f>
        <v>0</v>
      </c>
      <c r="I7">
        <v>6</v>
      </c>
      <c r="J7">
        <f>IF(6&lt;=$G$32,TEXT(HOUR(INDEX('Batch'!$C$18:$C$41,Q7)),"00")&amp;":"&amp;TEXT(MINUTE(INDEX('Batch'!$C$18:$C$41,Q7)),"00")&amp;CHAR(10)&amp;TEXT(DAY(INDEX('Batch'!$C$18:$C$41,Q7)),"00")&amp;"/"&amp;TEXT(MONTH(INDEX('Batch'!$C$18:$C$41,Q7)),"00"),IF(6=$G$32+1,"Média",""))</f>
        <v>0</v>
      </c>
      <c r="K7">
        <f>IF(6&lt;=$G$32,INDEX('Batch'!$G$18:$G$41,Q7),IF(AND(6=$G$32+1,ISNUMBER($B$32)),$B$32,NA()))</f>
        <v>0</v>
      </c>
      <c r="L7">
        <f>IF(6&lt;=$G$32,INDEX('Batch'!$H$18:$H$41,Q7),IF(AND(6=$G$32+1,ISNUMBER($C$32)),$C$32,NA()))</f>
        <v>0</v>
      </c>
      <c r="M7">
        <f>IF(6&lt;=$G$32,INDEX('Batch'!$Q$18:$Q$41,Q7),NA())</f>
        <v>0</v>
      </c>
      <c r="N7">
        <f>IF(AND(6=$G$32+1,ISNUMBER($D$32)),$D$32,NA())</f>
        <v>0</v>
      </c>
      <c r="O7">
        <f>IF(6&lt;=$G$32+1,$H$32,NA())</f>
        <v>0</v>
      </c>
      <c r="P7">
        <f>IF(6&lt;=$G$32+1,-$H$32,NA())</f>
        <v>0</v>
      </c>
      <c r="Q7">
        <f>IF(6&lt;=$G$32,MATCH(6,'Batch'!$V$18:$V$41,0),"")</f>
        <v>0</v>
      </c>
      <c r="R7">
        <v>6</v>
      </c>
      <c r="S7">
        <f>IF(6&lt;=$G$33,TEXT(HOUR(INDEX('Batch'!$C$18:$C$41,Z7)),"00")&amp;":"&amp;TEXT(MINUTE(INDEX('Batch'!$C$18:$C$41,Z7)),"00")&amp;CHAR(10)&amp;TEXT(DAY(INDEX('Batch'!$C$18:$C$41,Z7)),"00")&amp;"/"&amp;TEXT(MONTH(INDEX('Batch'!$C$18:$C$41,Z7)),"00"),IF(6=$G$33+1,"Média",""))</f>
        <v>0</v>
      </c>
      <c r="T7">
        <f>IF(6&lt;=$G$33,INDEX('Batch'!$I$18:$I$41,Z7),IF(AND(6=$G$33+1,ISNUMBER($B$33)),$B$33,NA()))</f>
        <v>0</v>
      </c>
      <c r="U7">
        <f>IF(6&lt;=$G$33,INDEX('Batch'!$J$18:$J$41,Z7),IF(AND(6=$G$33+1,ISNUMBER($C$33)),$C$33,NA()))</f>
        <v>0</v>
      </c>
      <c r="V7">
        <f>IF(6&lt;=$G$33,INDEX('Batch'!$R$18:$R$41,Z7),NA())</f>
        <v>0</v>
      </c>
      <c r="W7">
        <f>IF(AND(6=$G$33+1,ISNUMBER($D$33)),$D$33,NA())</f>
        <v>0</v>
      </c>
      <c r="X7">
        <f>IF(6&lt;=$G$33+1,$H$33,NA())</f>
        <v>0</v>
      </c>
      <c r="Y7">
        <f>IF(6&lt;=$G$33+1,-$H$33,NA())</f>
        <v>0</v>
      </c>
      <c r="Z7">
        <f>IF(6&lt;=$G$33,MATCH(6,'Batch'!$W$18:$W$41,0),"")</f>
        <v>0</v>
      </c>
      <c r="AA7">
        <v>6</v>
      </c>
      <c r="AB7">
        <f>IF(6&lt;=$G$34,TEXT(HOUR(INDEX('Batch'!$C$18:$C$41,AI7)),"00")&amp;":"&amp;TEXT(MINUTE(INDEX('Batch'!$C$18:$C$41,AI7)),"00")&amp;CHAR(10)&amp;TEXT(DAY(INDEX('Batch'!$C$18:$C$41,AI7)),"00")&amp;"/"&amp;TEXT(MONTH(INDEX('Batch'!$C$18:$C$41,AI7)),"00"),IF(6=$G$34+1,"Média",""))</f>
        <v>0</v>
      </c>
      <c r="AC7">
        <f>IF(6&lt;=$G$34,INDEX('Batch'!$K$18:$K$41,AI7),IF(AND(6=$G$34+1,ISNUMBER($B$34)),$B$34,NA()))</f>
        <v>0</v>
      </c>
      <c r="AD7">
        <f>IF(6&lt;=$G$34,INDEX('Batch'!$L$18:$L$41,AI7),IF(AND(6=$G$34+1,ISNUMBER($C$34)),$C$34,NA()))</f>
        <v>0</v>
      </c>
      <c r="AE7">
        <f>IF(6&lt;=$G$34,INDEX('Batch'!$S$18:$S$41,AI7),NA())</f>
        <v>0</v>
      </c>
      <c r="AF7">
        <f>IF(AND(6=$G$34+1,ISNUMBER($D$34)),$D$34,NA())</f>
        <v>0</v>
      </c>
      <c r="AG7">
        <f>IF(6&lt;=$G$34+1,$H$34,NA())</f>
        <v>0</v>
      </c>
      <c r="AH7">
        <f>IF(6&lt;=$G$34+1,-$H$34,NA())</f>
        <v>0</v>
      </c>
      <c r="AI7">
        <f>IF(6&lt;=$G$34,MATCH(6,'Batch'!$X$18:$X$41,0),"")</f>
        <v>0</v>
      </c>
      <c r="AJ7">
        <v>6</v>
      </c>
      <c r="AK7">
        <f>IF(6&lt;=$G$35,TEXT(HOUR(INDEX('Batch'!$C$18:$C$41,AR7)),"00")&amp;":"&amp;TEXT(MINUTE(INDEX('Batch'!$C$18:$C$41,AR7)),"00")&amp;CHAR(10)&amp;TEXT(DAY(INDEX('Batch'!$C$18:$C$41,AR7)),"00")&amp;"/"&amp;TEXT(MONTH(INDEX('Batch'!$C$18:$C$41,AR7)),"00"),IF(6=$G$35+1,"Média",""))</f>
        <v>0</v>
      </c>
      <c r="AL7">
        <f>IF(6&lt;=$G$35,INDEX('Batch'!$M$18:$M$41,AR7),IF(AND(6=$G$35+1,ISNUMBER($B$35)),$B$35,NA()))</f>
        <v>0</v>
      </c>
      <c r="AM7">
        <f>IF(6&lt;=$G$35,INDEX('Batch'!$N$18:$N$41,AR7),IF(AND(6=$G$35+1,ISNUMBER($C$35)),$C$35,NA()))</f>
        <v>0</v>
      </c>
      <c r="AN7">
        <f>IF(6&lt;=$G$35,INDEX('Batch'!$T$18:$T$41,AR7),NA())</f>
        <v>0</v>
      </c>
      <c r="AO7">
        <f>IF(AND(6=$G$35+1,ISNUMBER($D$35)),$D$35,NA())</f>
        <v>0</v>
      </c>
      <c r="AP7">
        <f>IF(6&lt;=$G$35+1,$H$35,NA())</f>
        <v>0</v>
      </c>
      <c r="AQ7">
        <f>IF(6&lt;=$G$35+1,-$H$35,NA())</f>
        <v>0</v>
      </c>
      <c r="AR7">
        <f>IF(6&lt;=$G$35,MATCH(6,'Batch'!$Y$18:$Y$41,0),"")</f>
        <v>0</v>
      </c>
      <c r="AS7">
        <v>6</v>
      </c>
    </row>
    <row r="8" spans="1:45">
      <c r="A8">
        <f>IF(7&lt;=$G$31,TEXT(HOUR(INDEX('Batch'!$C$18:$C$41,H8)),"00")&amp;":"&amp;TEXT(MINUTE(INDEX('Batch'!$C$18:$C$41,H8)),"00")&amp;CHAR(10)&amp;TEXT(DAY(INDEX('Batch'!$C$18:$C$41,H8)),"00")&amp;"/"&amp;TEXT(MONTH(INDEX('Batch'!$C$18:$C$41,H8)),"00"),IF(7=$G$31+1,"Média",""))</f>
        <v>0</v>
      </c>
      <c r="B8">
        <f>IF(7&lt;=$G$31,INDEX('Batch'!$E$18:$E$41,H8),IF(AND(7=$G$31+1,ISNUMBER($B$31)),$B$31,NA()))</f>
        <v>0</v>
      </c>
      <c r="C8">
        <f>IF(7&lt;=$G$31,INDEX('Batch'!$F$18:$F$41,H8),IF(AND(7=$G$31+1,ISNUMBER($C$31)),$C$31,NA()))</f>
        <v>0</v>
      </c>
      <c r="D8">
        <f>IF(7&lt;=$G$31,INDEX('Batch'!$P$18:$P$41,H8),NA())</f>
        <v>0</v>
      </c>
      <c r="E8">
        <f>IF(AND(7=$G$31+1,ISNUMBER($D$31)),$D$31,NA())</f>
        <v>0</v>
      </c>
      <c r="F8">
        <f>IF(7&lt;=$G$31+1,$H$31,NA())</f>
        <v>0</v>
      </c>
      <c r="G8">
        <f>IF(7&lt;=$G$31+1,-$H$31,NA())</f>
        <v>0</v>
      </c>
      <c r="H8">
        <f>IF(7&lt;=$G$31,MATCH(7,'Batch'!$U$18:$U$41,0),"")</f>
        <v>0</v>
      </c>
      <c r="I8">
        <v>7</v>
      </c>
      <c r="J8">
        <f>IF(7&lt;=$G$32,TEXT(HOUR(INDEX('Batch'!$C$18:$C$41,Q8)),"00")&amp;":"&amp;TEXT(MINUTE(INDEX('Batch'!$C$18:$C$41,Q8)),"00")&amp;CHAR(10)&amp;TEXT(DAY(INDEX('Batch'!$C$18:$C$41,Q8)),"00")&amp;"/"&amp;TEXT(MONTH(INDEX('Batch'!$C$18:$C$41,Q8)),"00"),IF(7=$G$32+1,"Média",""))</f>
        <v>0</v>
      </c>
      <c r="K8">
        <f>IF(7&lt;=$G$32,INDEX('Batch'!$G$18:$G$41,Q8),IF(AND(7=$G$32+1,ISNUMBER($B$32)),$B$32,NA()))</f>
        <v>0</v>
      </c>
      <c r="L8">
        <f>IF(7&lt;=$G$32,INDEX('Batch'!$H$18:$H$41,Q8),IF(AND(7=$G$32+1,ISNUMBER($C$32)),$C$32,NA()))</f>
        <v>0</v>
      </c>
      <c r="M8">
        <f>IF(7&lt;=$G$32,INDEX('Batch'!$Q$18:$Q$41,Q8),NA())</f>
        <v>0</v>
      </c>
      <c r="N8">
        <f>IF(AND(7=$G$32+1,ISNUMBER($D$32)),$D$32,NA())</f>
        <v>0</v>
      </c>
      <c r="O8">
        <f>IF(7&lt;=$G$32+1,$H$32,NA())</f>
        <v>0</v>
      </c>
      <c r="P8">
        <f>IF(7&lt;=$G$32+1,-$H$32,NA())</f>
        <v>0</v>
      </c>
      <c r="Q8">
        <f>IF(7&lt;=$G$32,MATCH(7,'Batch'!$V$18:$V$41,0),"")</f>
        <v>0</v>
      </c>
      <c r="R8">
        <v>7</v>
      </c>
      <c r="S8">
        <f>IF(7&lt;=$G$33,TEXT(HOUR(INDEX('Batch'!$C$18:$C$41,Z8)),"00")&amp;":"&amp;TEXT(MINUTE(INDEX('Batch'!$C$18:$C$41,Z8)),"00")&amp;CHAR(10)&amp;TEXT(DAY(INDEX('Batch'!$C$18:$C$41,Z8)),"00")&amp;"/"&amp;TEXT(MONTH(INDEX('Batch'!$C$18:$C$41,Z8)),"00"),IF(7=$G$33+1,"Média",""))</f>
        <v>0</v>
      </c>
      <c r="T8">
        <f>IF(7&lt;=$G$33,INDEX('Batch'!$I$18:$I$41,Z8),IF(AND(7=$G$33+1,ISNUMBER($B$33)),$B$33,NA()))</f>
        <v>0</v>
      </c>
      <c r="U8">
        <f>IF(7&lt;=$G$33,INDEX('Batch'!$J$18:$J$41,Z8),IF(AND(7=$G$33+1,ISNUMBER($C$33)),$C$33,NA()))</f>
        <v>0</v>
      </c>
      <c r="V8">
        <f>IF(7&lt;=$G$33,INDEX('Batch'!$R$18:$R$41,Z8),NA())</f>
        <v>0</v>
      </c>
      <c r="W8">
        <f>IF(AND(7=$G$33+1,ISNUMBER($D$33)),$D$33,NA())</f>
        <v>0</v>
      </c>
      <c r="X8">
        <f>IF(7&lt;=$G$33+1,$H$33,NA())</f>
        <v>0</v>
      </c>
      <c r="Y8">
        <f>IF(7&lt;=$G$33+1,-$H$33,NA())</f>
        <v>0</v>
      </c>
      <c r="Z8">
        <f>IF(7&lt;=$G$33,MATCH(7,'Batch'!$W$18:$W$41,0),"")</f>
        <v>0</v>
      </c>
      <c r="AA8">
        <v>7</v>
      </c>
      <c r="AB8">
        <f>IF(7&lt;=$G$34,TEXT(HOUR(INDEX('Batch'!$C$18:$C$41,AI8)),"00")&amp;":"&amp;TEXT(MINUTE(INDEX('Batch'!$C$18:$C$41,AI8)),"00")&amp;CHAR(10)&amp;TEXT(DAY(INDEX('Batch'!$C$18:$C$41,AI8)),"00")&amp;"/"&amp;TEXT(MONTH(INDEX('Batch'!$C$18:$C$41,AI8)),"00"),IF(7=$G$34+1,"Média",""))</f>
        <v>0</v>
      </c>
      <c r="AC8">
        <f>IF(7&lt;=$G$34,INDEX('Batch'!$K$18:$K$41,AI8),IF(AND(7=$G$34+1,ISNUMBER($B$34)),$B$34,NA()))</f>
        <v>0</v>
      </c>
      <c r="AD8">
        <f>IF(7&lt;=$G$34,INDEX('Batch'!$L$18:$L$41,AI8),IF(AND(7=$G$34+1,ISNUMBER($C$34)),$C$34,NA()))</f>
        <v>0</v>
      </c>
      <c r="AE8">
        <f>IF(7&lt;=$G$34,INDEX('Batch'!$S$18:$S$41,AI8),NA())</f>
        <v>0</v>
      </c>
      <c r="AF8">
        <f>IF(AND(7=$G$34+1,ISNUMBER($D$34)),$D$34,NA())</f>
        <v>0</v>
      </c>
      <c r="AG8">
        <f>IF(7&lt;=$G$34+1,$H$34,NA())</f>
        <v>0</v>
      </c>
      <c r="AH8">
        <f>IF(7&lt;=$G$34+1,-$H$34,NA())</f>
        <v>0</v>
      </c>
      <c r="AI8">
        <f>IF(7&lt;=$G$34,MATCH(7,'Batch'!$X$18:$X$41,0),"")</f>
        <v>0</v>
      </c>
      <c r="AJ8">
        <v>7</v>
      </c>
      <c r="AK8">
        <f>IF(7&lt;=$G$35,TEXT(HOUR(INDEX('Batch'!$C$18:$C$41,AR8)),"00")&amp;":"&amp;TEXT(MINUTE(INDEX('Batch'!$C$18:$C$41,AR8)),"00")&amp;CHAR(10)&amp;TEXT(DAY(INDEX('Batch'!$C$18:$C$41,AR8)),"00")&amp;"/"&amp;TEXT(MONTH(INDEX('Batch'!$C$18:$C$41,AR8)),"00"),IF(7=$G$35+1,"Média",""))</f>
        <v>0</v>
      </c>
      <c r="AL8">
        <f>IF(7&lt;=$G$35,INDEX('Batch'!$M$18:$M$41,AR8),IF(AND(7=$G$35+1,ISNUMBER($B$35)),$B$35,NA()))</f>
        <v>0</v>
      </c>
      <c r="AM8">
        <f>IF(7&lt;=$G$35,INDEX('Batch'!$N$18:$N$41,AR8),IF(AND(7=$G$35+1,ISNUMBER($C$35)),$C$35,NA()))</f>
        <v>0</v>
      </c>
      <c r="AN8">
        <f>IF(7&lt;=$G$35,INDEX('Batch'!$T$18:$T$41,AR8),NA())</f>
        <v>0</v>
      </c>
      <c r="AO8">
        <f>IF(AND(7=$G$35+1,ISNUMBER($D$35)),$D$35,NA())</f>
        <v>0</v>
      </c>
      <c r="AP8">
        <f>IF(7&lt;=$G$35+1,$H$35,NA())</f>
        <v>0</v>
      </c>
      <c r="AQ8">
        <f>IF(7&lt;=$G$35+1,-$H$35,NA())</f>
        <v>0</v>
      </c>
      <c r="AR8">
        <f>IF(7&lt;=$G$35,MATCH(7,'Batch'!$Y$18:$Y$41,0),"")</f>
        <v>0</v>
      </c>
      <c r="AS8">
        <v>7</v>
      </c>
    </row>
    <row r="9" spans="1:45">
      <c r="A9">
        <f>IF(8&lt;=$G$31,TEXT(HOUR(INDEX('Batch'!$C$18:$C$41,H9)),"00")&amp;":"&amp;TEXT(MINUTE(INDEX('Batch'!$C$18:$C$41,H9)),"00")&amp;CHAR(10)&amp;TEXT(DAY(INDEX('Batch'!$C$18:$C$41,H9)),"00")&amp;"/"&amp;TEXT(MONTH(INDEX('Batch'!$C$18:$C$41,H9)),"00"),IF(8=$G$31+1,"Média",""))</f>
        <v>0</v>
      </c>
      <c r="B9">
        <f>IF(8&lt;=$G$31,INDEX('Batch'!$E$18:$E$41,H9),IF(AND(8=$G$31+1,ISNUMBER($B$31)),$B$31,NA()))</f>
        <v>0</v>
      </c>
      <c r="C9">
        <f>IF(8&lt;=$G$31,INDEX('Batch'!$F$18:$F$41,H9),IF(AND(8=$G$31+1,ISNUMBER($C$31)),$C$31,NA()))</f>
        <v>0</v>
      </c>
      <c r="D9">
        <f>IF(8&lt;=$G$31,INDEX('Batch'!$P$18:$P$41,H9),NA())</f>
        <v>0</v>
      </c>
      <c r="E9">
        <f>IF(AND(8=$G$31+1,ISNUMBER($D$31)),$D$31,NA())</f>
        <v>0</v>
      </c>
      <c r="F9">
        <f>IF(8&lt;=$G$31+1,$H$31,NA())</f>
        <v>0</v>
      </c>
      <c r="G9">
        <f>IF(8&lt;=$G$31+1,-$H$31,NA())</f>
        <v>0</v>
      </c>
      <c r="H9">
        <f>IF(8&lt;=$G$31,MATCH(8,'Batch'!$U$18:$U$41,0),"")</f>
        <v>0</v>
      </c>
      <c r="I9">
        <v>8</v>
      </c>
      <c r="J9">
        <f>IF(8&lt;=$G$32,TEXT(HOUR(INDEX('Batch'!$C$18:$C$41,Q9)),"00")&amp;":"&amp;TEXT(MINUTE(INDEX('Batch'!$C$18:$C$41,Q9)),"00")&amp;CHAR(10)&amp;TEXT(DAY(INDEX('Batch'!$C$18:$C$41,Q9)),"00")&amp;"/"&amp;TEXT(MONTH(INDEX('Batch'!$C$18:$C$41,Q9)),"00"),IF(8=$G$32+1,"Média",""))</f>
        <v>0</v>
      </c>
      <c r="K9">
        <f>IF(8&lt;=$G$32,INDEX('Batch'!$G$18:$G$41,Q9),IF(AND(8=$G$32+1,ISNUMBER($B$32)),$B$32,NA()))</f>
        <v>0</v>
      </c>
      <c r="L9">
        <f>IF(8&lt;=$G$32,INDEX('Batch'!$H$18:$H$41,Q9),IF(AND(8=$G$32+1,ISNUMBER($C$32)),$C$32,NA()))</f>
        <v>0</v>
      </c>
      <c r="M9">
        <f>IF(8&lt;=$G$32,INDEX('Batch'!$Q$18:$Q$41,Q9),NA())</f>
        <v>0</v>
      </c>
      <c r="N9">
        <f>IF(AND(8=$G$32+1,ISNUMBER($D$32)),$D$32,NA())</f>
        <v>0</v>
      </c>
      <c r="O9">
        <f>IF(8&lt;=$G$32+1,$H$32,NA())</f>
        <v>0</v>
      </c>
      <c r="P9">
        <f>IF(8&lt;=$G$32+1,-$H$32,NA())</f>
        <v>0</v>
      </c>
      <c r="Q9">
        <f>IF(8&lt;=$G$32,MATCH(8,'Batch'!$V$18:$V$41,0),"")</f>
        <v>0</v>
      </c>
      <c r="R9">
        <v>8</v>
      </c>
      <c r="S9">
        <f>IF(8&lt;=$G$33,TEXT(HOUR(INDEX('Batch'!$C$18:$C$41,Z9)),"00")&amp;":"&amp;TEXT(MINUTE(INDEX('Batch'!$C$18:$C$41,Z9)),"00")&amp;CHAR(10)&amp;TEXT(DAY(INDEX('Batch'!$C$18:$C$41,Z9)),"00")&amp;"/"&amp;TEXT(MONTH(INDEX('Batch'!$C$18:$C$41,Z9)),"00"),IF(8=$G$33+1,"Média",""))</f>
        <v>0</v>
      </c>
      <c r="T9">
        <f>IF(8&lt;=$G$33,INDEX('Batch'!$I$18:$I$41,Z9),IF(AND(8=$G$33+1,ISNUMBER($B$33)),$B$33,NA()))</f>
        <v>0</v>
      </c>
      <c r="U9">
        <f>IF(8&lt;=$G$33,INDEX('Batch'!$J$18:$J$41,Z9),IF(AND(8=$G$33+1,ISNUMBER($C$33)),$C$33,NA()))</f>
        <v>0</v>
      </c>
      <c r="V9">
        <f>IF(8&lt;=$G$33,INDEX('Batch'!$R$18:$R$41,Z9),NA())</f>
        <v>0</v>
      </c>
      <c r="W9">
        <f>IF(AND(8=$G$33+1,ISNUMBER($D$33)),$D$33,NA())</f>
        <v>0</v>
      </c>
      <c r="X9">
        <f>IF(8&lt;=$G$33+1,$H$33,NA())</f>
        <v>0</v>
      </c>
      <c r="Y9">
        <f>IF(8&lt;=$G$33+1,-$H$33,NA())</f>
        <v>0</v>
      </c>
      <c r="Z9">
        <f>IF(8&lt;=$G$33,MATCH(8,'Batch'!$W$18:$W$41,0),"")</f>
        <v>0</v>
      </c>
      <c r="AA9">
        <v>8</v>
      </c>
      <c r="AB9">
        <f>IF(8&lt;=$G$34,TEXT(HOUR(INDEX('Batch'!$C$18:$C$41,AI9)),"00")&amp;":"&amp;TEXT(MINUTE(INDEX('Batch'!$C$18:$C$41,AI9)),"00")&amp;CHAR(10)&amp;TEXT(DAY(INDEX('Batch'!$C$18:$C$41,AI9)),"00")&amp;"/"&amp;TEXT(MONTH(INDEX('Batch'!$C$18:$C$41,AI9)),"00"),IF(8=$G$34+1,"Média",""))</f>
        <v>0</v>
      </c>
      <c r="AC9">
        <f>IF(8&lt;=$G$34,INDEX('Batch'!$K$18:$K$41,AI9),IF(AND(8=$G$34+1,ISNUMBER($B$34)),$B$34,NA()))</f>
        <v>0</v>
      </c>
      <c r="AD9">
        <f>IF(8&lt;=$G$34,INDEX('Batch'!$L$18:$L$41,AI9),IF(AND(8=$G$34+1,ISNUMBER($C$34)),$C$34,NA()))</f>
        <v>0</v>
      </c>
      <c r="AE9">
        <f>IF(8&lt;=$G$34,INDEX('Batch'!$S$18:$S$41,AI9),NA())</f>
        <v>0</v>
      </c>
      <c r="AF9">
        <f>IF(AND(8=$G$34+1,ISNUMBER($D$34)),$D$34,NA())</f>
        <v>0</v>
      </c>
      <c r="AG9">
        <f>IF(8&lt;=$G$34+1,$H$34,NA())</f>
        <v>0</v>
      </c>
      <c r="AH9">
        <f>IF(8&lt;=$G$34+1,-$H$34,NA())</f>
        <v>0</v>
      </c>
      <c r="AI9">
        <f>IF(8&lt;=$G$34,MATCH(8,'Batch'!$X$18:$X$41,0),"")</f>
        <v>0</v>
      </c>
      <c r="AJ9">
        <v>8</v>
      </c>
      <c r="AK9">
        <f>IF(8&lt;=$G$35,TEXT(HOUR(INDEX('Batch'!$C$18:$C$41,AR9)),"00")&amp;":"&amp;TEXT(MINUTE(INDEX('Batch'!$C$18:$C$41,AR9)),"00")&amp;CHAR(10)&amp;TEXT(DAY(INDEX('Batch'!$C$18:$C$41,AR9)),"00")&amp;"/"&amp;TEXT(MONTH(INDEX('Batch'!$C$18:$C$41,AR9)),"00"),IF(8=$G$35+1,"Média",""))</f>
        <v>0</v>
      </c>
      <c r="AL9">
        <f>IF(8&lt;=$G$35,INDEX('Batch'!$M$18:$M$41,AR9),IF(AND(8=$G$35+1,ISNUMBER($B$35)),$B$35,NA()))</f>
        <v>0</v>
      </c>
      <c r="AM9">
        <f>IF(8&lt;=$G$35,INDEX('Batch'!$N$18:$N$41,AR9),IF(AND(8=$G$35+1,ISNUMBER($C$35)),$C$35,NA()))</f>
        <v>0</v>
      </c>
      <c r="AN9">
        <f>IF(8&lt;=$G$35,INDEX('Batch'!$T$18:$T$41,AR9),NA())</f>
        <v>0</v>
      </c>
      <c r="AO9">
        <f>IF(AND(8=$G$35+1,ISNUMBER($D$35)),$D$35,NA())</f>
        <v>0</v>
      </c>
      <c r="AP9">
        <f>IF(8&lt;=$G$35+1,$H$35,NA())</f>
        <v>0</v>
      </c>
      <c r="AQ9">
        <f>IF(8&lt;=$G$35+1,-$H$35,NA())</f>
        <v>0</v>
      </c>
      <c r="AR9">
        <f>IF(8&lt;=$G$35,MATCH(8,'Batch'!$Y$18:$Y$41,0),"")</f>
        <v>0</v>
      </c>
      <c r="AS9">
        <v>8</v>
      </c>
    </row>
    <row r="10" spans="1:45">
      <c r="A10">
        <f>IF(9&lt;=$G$31,TEXT(HOUR(INDEX('Batch'!$C$18:$C$41,H10)),"00")&amp;":"&amp;TEXT(MINUTE(INDEX('Batch'!$C$18:$C$41,H10)),"00")&amp;CHAR(10)&amp;TEXT(DAY(INDEX('Batch'!$C$18:$C$41,H10)),"00")&amp;"/"&amp;TEXT(MONTH(INDEX('Batch'!$C$18:$C$41,H10)),"00"),IF(9=$G$31+1,"Média",""))</f>
        <v>0</v>
      </c>
      <c r="B10">
        <f>IF(9&lt;=$G$31,INDEX('Batch'!$E$18:$E$41,H10),IF(AND(9=$G$31+1,ISNUMBER($B$31)),$B$31,NA()))</f>
        <v>0</v>
      </c>
      <c r="C10">
        <f>IF(9&lt;=$G$31,INDEX('Batch'!$F$18:$F$41,H10),IF(AND(9=$G$31+1,ISNUMBER($C$31)),$C$31,NA()))</f>
        <v>0</v>
      </c>
      <c r="D10">
        <f>IF(9&lt;=$G$31,INDEX('Batch'!$P$18:$P$41,H10),NA())</f>
        <v>0</v>
      </c>
      <c r="E10">
        <f>IF(AND(9=$G$31+1,ISNUMBER($D$31)),$D$31,NA())</f>
        <v>0</v>
      </c>
      <c r="F10">
        <f>IF(9&lt;=$G$31+1,$H$31,NA())</f>
        <v>0</v>
      </c>
      <c r="G10">
        <f>IF(9&lt;=$G$31+1,-$H$31,NA())</f>
        <v>0</v>
      </c>
      <c r="H10">
        <f>IF(9&lt;=$G$31,MATCH(9,'Batch'!$U$18:$U$41,0),"")</f>
        <v>0</v>
      </c>
      <c r="I10">
        <v>9</v>
      </c>
      <c r="J10">
        <f>IF(9&lt;=$G$32,TEXT(HOUR(INDEX('Batch'!$C$18:$C$41,Q10)),"00")&amp;":"&amp;TEXT(MINUTE(INDEX('Batch'!$C$18:$C$41,Q10)),"00")&amp;CHAR(10)&amp;TEXT(DAY(INDEX('Batch'!$C$18:$C$41,Q10)),"00")&amp;"/"&amp;TEXT(MONTH(INDEX('Batch'!$C$18:$C$41,Q10)),"00"),IF(9=$G$32+1,"Média",""))</f>
        <v>0</v>
      </c>
      <c r="K10">
        <f>IF(9&lt;=$G$32,INDEX('Batch'!$G$18:$G$41,Q10),IF(AND(9=$G$32+1,ISNUMBER($B$32)),$B$32,NA()))</f>
        <v>0</v>
      </c>
      <c r="L10">
        <f>IF(9&lt;=$G$32,INDEX('Batch'!$H$18:$H$41,Q10),IF(AND(9=$G$32+1,ISNUMBER($C$32)),$C$32,NA()))</f>
        <v>0</v>
      </c>
      <c r="M10">
        <f>IF(9&lt;=$G$32,INDEX('Batch'!$Q$18:$Q$41,Q10),NA())</f>
        <v>0</v>
      </c>
      <c r="N10">
        <f>IF(AND(9=$G$32+1,ISNUMBER($D$32)),$D$32,NA())</f>
        <v>0</v>
      </c>
      <c r="O10">
        <f>IF(9&lt;=$G$32+1,$H$32,NA())</f>
        <v>0</v>
      </c>
      <c r="P10">
        <f>IF(9&lt;=$G$32+1,-$H$32,NA())</f>
        <v>0</v>
      </c>
      <c r="Q10">
        <f>IF(9&lt;=$G$32,MATCH(9,'Batch'!$V$18:$V$41,0),"")</f>
        <v>0</v>
      </c>
      <c r="R10">
        <v>9</v>
      </c>
      <c r="S10">
        <f>IF(9&lt;=$G$33,TEXT(HOUR(INDEX('Batch'!$C$18:$C$41,Z10)),"00")&amp;":"&amp;TEXT(MINUTE(INDEX('Batch'!$C$18:$C$41,Z10)),"00")&amp;CHAR(10)&amp;TEXT(DAY(INDEX('Batch'!$C$18:$C$41,Z10)),"00")&amp;"/"&amp;TEXT(MONTH(INDEX('Batch'!$C$18:$C$41,Z10)),"00"),IF(9=$G$33+1,"Média",""))</f>
        <v>0</v>
      </c>
      <c r="T10">
        <f>IF(9&lt;=$G$33,INDEX('Batch'!$I$18:$I$41,Z10),IF(AND(9=$G$33+1,ISNUMBER($B$33)),$B$33,NA()))</f>
        <v>0</v>
      </c>
      <c r="U10">
        <f>IF(9&lt;=$G$33,INDEX('Batch'!$J$18:$J$41,Z10),IF(AND(9=$G$33+1,ISNUMBER($C$33)),$C$33,NA()))</f>
        <v>0</v>
      </c>
      <c r="V10">
        <f>IF(9&lt;=$G$33,INDEX('Batch'!$R$18:$R$41,Z10),NA())</f>
        <v>0</v>
      </c>
      <c r="W10">
        <f>IF(AND(9=$G$33+1,ISNUMBER($D$33)),$D$33,NA())</f>
        <v>0</v>
      </c>
      <c r="X10">
        <f>IF(9&lt;=$G$33+1,$H$33,NA())</f>
        <v>0</v>
      </c>
      <c r="Y10">
        <f>IF(9&lt;=$G$33+1,-$H$33,NA())</f>
        <v>0</v>
      </c>
      <c r="Z10">
        <f>IF(9&lt;=$G$33,MATCH(9,'Batch'!$W$18:$W$41,0),"")</f>
        <v>0</v>
      </c>
      <c r="AA10">
        <v>9</v>
      </c>
      <c r="AB10">
        <f>IF(9&lt;=$G$34,TEXT(HOUR(INDEX('Batch'!$C$18:$C$41,AI10)),"00")&amp;":"&amp;TEXT(MINUTE(INDEX('Batch'!$C$18:$C$41,AI10)),"00")&amp;CHAR(10)&amp;TEXT(DAY(INDEX('Batch'!$C$18:$C$41,AI10)),"00")&amp;"/"&amp;TEXT(MONTH(INDEX('Batch'!$C$18:$C$41,AI10)),"00"),IF(9=$G$34+1,"Média",""))</f>
        <v>0</v>
      </c>
      <c r="AC10">
        <f>IF(9&lt;=$G$34,INDEX('Batch'!$K$18:$K$41,AI10),IF(AND(9=$G$34+1,ISNUMBER($B$34)),$B$34,NA()))</f>
        <v>0</v>
      </c>
      <c r="AD10">
        <f>IF(9&lt;=$G$34,INDEX('Batch'!$L$18:$L$41,AI10),IF(AND(9=$G$34+1,ISNUMBER($C$34)),$C$34,NA()))</f>
        <v>0</v>
      </c>
      <c r="AE10">
        <f>IF(9&lt;=$G$34,INDEX('Batch'!$S$18:$S$41,AI10),NA())</f>
        <v>0</v>
      </c>
      <c r="AF10">
        <f>IF(AND(9=$G$34+1,ISNUMBER($D$34)),$D$34,NA())</f>
        <v>0</v>
      </c>
      <c r="AG10">
        <f>IF(9&lt;=$G$34+1,$H$34,NA())</f>
        <v>0</v>
      </c>
      <c r="AH10">
        <f>IF(9&lt;=$G$34+1,-$H$34,NA())</f>
        <v>0</v>
      </c>
      <c r="AI10">
        <f>IF(9&lt;=$G$34,MATCH(9,'Batch'!$X$18:$X$41,0),"")</f>
        <v>0</v>
      </c>
      <c r="AJ10">
        <v>9</v>
      </c>
      <c r="AK10">
        <f>IF(9&lt;=$G$35,TEXT(HOUR(INDEX('Batch'!$C$18:$C$41,AR10)),"00")&amp;":"&amp;TEXT(MINUTE(INDEX('Batch'!$C$18:$C$41,AR10)),"00")&amp;CHAR(10)&amp;TEXT(DAY(INDEX('Batch'!$C$18:$C$41,AR10)),"00")&amp;"/"&amp;TEXT(MONTH(INDEX('Batch'!$C$18:$C$41,AR10)),"00"),IF(9=$G$35+1,"Média",""))</f>
        <v>0</v>
      </c>
      <c r="AL10">
        <f>IF(9&lt;=$G$35,INDEX('Batch'!$M$18:$M$41,AR10),IF(AND(9=$G$35+1,ISNUMBER($B$35)),$B$35,NA()))</f>
        <v>0</v>
      </c>
      <c r="AM10">
        <f>IF(9&lt;=$G$35,INDEX('Batch'!$N$18:$N$41,AR10),IF(AND(9=$G$35+1,ISNUMBER($C$35)),$C$35,NA()))</f>
        <v>0</v>
      </c>
      <c r="AN10">
        <f>IF(9&lt;=$G$35,INDEX('Batch'!$T$18:$T$41,AR10),NA())</f>
        <v>0</v>
      </c>
      <c r="AO10">
        <f>IF(AND(9=$G$35+1,ISNUMBER($D$35)),$D$35,NA())</f>
        <v>0</v>
      </c>
      <c r="AP10">
        <f>IF(9&lt;=$G$35+1,$H$35,NA())</f>
        <v>0</v>
      </c>
      <c r="AQ10">
        <f>IF(9&lt;=$G$35+1,-$H$35,NA())</f>
        <v>0</v>
      </c>
      <c r="AR10">
        <f>IF(9&lt;=$G$35,MATCH(9,'Batch'!$Y$18:$Y$41,0),"")</f>
        <v>0</v>
      </c>
      <c r="AS10">
        <v>9</v>
      </c>
    </row>
    <row r="11" spans="1:45">
      <c r="A11">
        <f>IF(10&lt;=$G$31,TEXT(HOUR(INDEX('Batch'!$C$18:$C$41,H11)),"00")&amp;":"&amp;TEXT(MINUTE(INDEX('Batch'!$C$18:$C$41,H11)),"00")&amp;CHAR(10)&amp;TEXT(DAY(INDEX('Batch'!$C$18:$C$41,H11)),"00")&amp;"/"&amp;TEXT(MONTH(INDEX('Batch'!$C$18:$C$41,H11)),"00"),IF(10=$G$31+1,"Média",""))</f>
        <v>0</v>
      </c>
      <c r="B11">
        <f>IF(10&lt;=$G$31,INDEX('Batch'!$E$18:$E$41,H11),IF(AND(10=$G$31+1,ISNUMBER($B$31)),$B$31,NA()))</f>
        <v>0</v>
      </c>
      <c r="C11">
        <f>IF(10&lt;=$G$31,INDEX('Batch'!$F$18:$F$41,H11),IF(AND(10=$G$31+1,ISNUMBER($C$31)),$C$31,NA()))</f>
        <v>0</v>
      </c>
      <c r="D11">
        <f>IF(10&lt;=$G$31,INDEX('Batch'!$P$18:$P$41,H11),NA())</f>
        <v>0</v>
      </c>
      <c r="E11">
        <f>IF(AND(10=$G$31+1,ISNUMBER($D$31)),$D$31,NA())</f>
        <v>0</v>
      </c>
      <c r="F11">
        <f>IF(10&lt;=$G$31+1,$H$31,NA())</f>
        <v>0</v>
      </c>
      <c r="G11">
        <f>IF(10&lt;=$G$31+1,-$H$31,NA())</f>
        <v>0</v>
      </c>
      <c r="H11">
        <f>IF(10&lt;=$G$31,MATCH(10,'Batch'!$U$18:$U$41,0),"")</f>
        <v>0</v>
      </c>
      <c r="I11">
        <v>10</v>
      </c>
      <c r="J11">
        <f>IF(10&lt;=$G$32,TEXT(HOUR(INDEX('Batch'!$C$18:$C$41,Q11)),"00")&amp;":"&amp;TEXT(MINUTE(INDEX('Batch'!$C$18:$C$41,Q11)),"00")&amp;CHAR(10)&amp;TEXT(DAY(INDEX('Batch'!$C$18:$C$41,Q11)),"00")&amp;"/"&amp;TEXT(MONTH(INDEX('Batch'!$C$18:$C$41,Q11)),"00"),IF(10=$G$32+1,"Média",""))</f>
        <v>0</v>
      </c>
      <c r="K11">
        <f>IF(10&lt;=$G$32,INDEX('Batch'!$G$18:$G$41,Q11),IF(AND(10=$G$32+1,ISNUMBER($B$32)),$B$32,NA()))</f>
        <v>0</v>
      </c>
      <c r="L11">
        <f>IF(10&lt;=$G$32,INDEX('Batch'!$H$18:$H$41,Q11),IF(AND(10=$G$32+1,ISNUMBER($C$32)),$C$32,NA()))</f>
        <v>0</v>
      </c>
      <c r="M11">
        <f>IF(10&lt;=$G$32,INDEX('Batch'!$Q$18:$Q$41,Q11),NA())</f>
        <v>0</v>
      </c>
      <c r="N11">
        <f>IF(AND(10=$G$32+1,ISNUMBER($D$32)),$D$32,NA())</f>
        <v>0</v>
      </c>
      <c r="O11">
        <f>IF(10&lt;=$G$32+1,$H$32,NA())</f>
        <v>0</v>
      </c>
      <c r="P11">
        <f>IF(10&lt;=$G$32+1,-$H$32,NA())</f>
        <v>0</v>
      </c>
      <c r="Q11">
        <f>IF(10&lt;=$G$32,MATCH(10,'Batch'!$V$18:$V$41,0),"")</f>
        <v>0</v>
      </c>
      <c r="R11">
        <v>10</v>
      </c>
      <c r="S11">
        <f>IF(10&lt;=$G$33,TEXT(HOUR(INDEX('Batch'!$C$18:$C$41,Z11)),"00")&amp;":"&amp;TEXT(MINUTE(INDEX('Batch'!$C$18:$C$41,Z11)),"00")&amp;CHAR(10)&amp;TEXT(DAY(INDEX('Batch'!$C$18:$C$41,Z11)),"00")&amp;"/"&amp;TEXT(MONTH(INDEX('Batch'!$C$18:$C$41,Z11)),"00"),IF(10=$G$33+1,"Média",""))</f>
        <v>0</v>
      </c>
      <c r="T11">
        <f>IF(10&lt;=$G$33,INDEX('Batch'!$I$18:$I$41,Z11),IF(AND(10=$G$33+1,ISNUMBER($B$33)),$B$33,NA()))</f>
        <v>0</v>
      </c>
      <c r="U11">
        <f>IF(10&lt;=$G$33,INDEX('Batch'!$J$18:$J$41,Z11),IF(AND(10=$G$33+1,ISNUMBER($C$33)),$C$33,NA()))</f>
        <v>0</v>
      </c>
      <c r="V11">
        <f>IF(10&lt;=$G$33,INDEX('Batch'!$R$18:$R$41,Z11),NA())</f>
        <v>0</v>
      </c>
      <c r="W11">
        <f>IF(AND(10=$G$33+1,ISNUMBER($D$33)),$D$33,NA())</f>
        <v>0</v>
      </c>
      <c r="X11">
        <f>IF(10&lt;=$G$33+1,$H$33,NA())</f>
        <v>0</v>
      </c>
      <c r="Y11">
        <f>IF(10&lt;=$G$33+1,-$H$33,NA())</f>
        <v>0</v>
      </c>
      <c r="Z11">
        <f>IF(10&lt;=$G$33,MATCH(10,'Batch'!$W$18:$W$41,0),"")</f>
        <v>0</v>
      </c>
      <c r="AA11">
        <v>10</v>
      </c>
      <c r="AB11">
        <f>IF(10&lt;=$G$34,TEXT(HOUR(INDEX('Batch'!$C$18:$C$41,AI11)),"00")&amp;":"&amp;TEXT(MINUTE(INDEX('Batch'!$C$18:$C$41,AI11)),"00")&amp;CHAR(10)&amp;TEXT(DAY(INDEX('Batch'!$C$18:$C$41,AI11)),"00")&amp;"/"&amp;TEXT(MONTH(INDEX('Batch'!$C$18:$C$41,AI11)),"00"),IF(10=$G$34+1,"Média",""))</f>
        <v>0</v>
      </c>
      <c r="AC11">
        <f>IF(10&lt;=$G$34,INDEX('Batch'!$K$18:$K$41,AI11),IF(AND(10=$G$34+1,ISNUMBER($B$34)),$B$34,NA()))</f>
        <v>0</v>
      </c>
      <c r="AD11">
        <f>IF(10&lt;=$G$34,INDEX('Batch'!$L$18:$L$41,AI11),IF(AND(10=$G$34+1,ISNUMBER($C$34)),$C$34,NA()))</f>
        <v>0</v>
      </c>
      <c r="AE11">
        <f>IF(10&lt;=$G$34,INDEX('Batch'!$S$18:$S$41,AI11),NA())</f>
        <v>0</v>
      </c>
      <c r="AF11">
        <f>IF(AND(10=$G$34+1,ISNUMBER($D$34)),$D$34,NA())</f>
        <v>0</v>
      </c>
      <c r="AG11">
        <f>IF(10&lt;=$G$34+1,$H$34,NA())</f>
        <v>0</v>
      </c>
      <c r="AH11">
        <f>IF(10&lt;=$G$34+1,-$H$34,NA())</f>
        <v>0</v>
      </c>
      <c r="AI11">
        <f>IF(10&lt;=$G$34,MATCH(10,'Batch'!$X$18:$X$41,0),"")</f>
        <v>0</v>
      </c>
      <c r="AJ11">
        <v>10</v>
      </c>
      <c r="AK11">
        <f>IF(10&lt;=$G$35,TEXT(HOUR(INDEX('Batch'!$C$18:$C$41,AR11)),"00")&amp;":"&amp;TEXT(MINUTE(INDEX('Batch'!$C$18:$C$41,AR11)),"00")&amp;CHAR(10)&amp;TEXT(DAY(INDEX('Batch'!$C$18:$C$41,AR11)),"00")&amp;"/"&amp;TEXT(MONTH(INDEX('Batch'!$C$18:$C$41,AR11)),"00"),IF(10=$G$35+1,"Média",""))</f>
        <v>0</v>
      </c>
      <c r="AL11">
        <f>IF(10&lt;=$G$35,INDEX('Batch'!$M$18:$M$41,AR11),IF(AND(10=$G$35+1,ISNUMBER($B$35)),$B$35,NA()))</f>
        <v>0</v>
      </c>
      <c r="AM11">
        <f>IF(10&lt;=$G$35,INDEX('Batch'!$N$18:$N$41,AR11),IF(AND(10=$G$35+1,ISNUMBER($C$35)),$C$35,NA()))</f>
        <v>0</v>
      </c>
      <c r="AN11">
        <f>IF(10&lt;=$G$35,INDEX('Batch'!$T$18:$T$41,AR11),NA())</f>
        <v>0</v>
      </c>
      <c r="AO11">
        <f>IF(AND(10=$G$35+1,ISNUMBER($D$35)),$D$35,NA())</f>
        <v>0</v>
      </c>
      <c r="AP11">
        <f>IF(10&lt;=$G$35+1,$H$35,NA())</f>
        <v>0</v>
      </c>
      <c r="AQ11">
        <f>IF(10&lt;=$G$35+1,-$H$35,NA())</f>
        <v>0</v>
      </c>
      <c r="AR11">
        <f>IF(10&lt;=$G$35,MATCH(10,'Batch'!$Y$18:$Y$41,0),"")</f>
        <v>0</v>
      </c>
      <c r="AS11">
        <v>10</v>
      </c>
    </row>
    <row r="12" spans="1:45">
      <c r="A12">
        <f>IF(11&lt;=$G$31,TEXT(HOUR(INDEX('Batch'!$C$18:$C$41,H12)),"00")&amp;":"&amp;TEXT(MINUTE(INDEX('Batch'!$C$18:$C$41,H12)),"00")&amp;CHAR(10)&amp;TEXT(DAY(INDEX('Batch'!$C$18:$C$41,H12)),"00")&amp;"/"&amp;TEXT(MONTH(INDEX('Batch'!$C$18:$C$41,H12)),"00"),IF(11=$G$31+1,"Média",""))</f>
        <v>0</v>
      </c>
      <c r="B12">
        <f>IF(11&lt;=$G$31,INDEX('Batch'!$E$18:$E$41,H12),IF(AND(11=$G$31+1,ISNUMBER($B$31)),$B$31,NA()))</f>
        <v>0</v>
      </c>
      <c r="C12">
        <f>IF(11&lt;=$G$31,INDEX('Batch'!$F$18:$F$41,H12),IF(AND(11=$G$31+1,ISNUMBER($C$31)),$C$31,NA()))</f>
        <v>0</v>
      </c>
      <c r="D12">
        <f>IF(11&lt;=$G$31,INDEX('Batch'!$P$18:$P$41,H12),NA())</f>
        <v>0</v>
      </c>
      <c r="E12">
        <f>IF(AND(11=$G$31+1,ISNUMBER($D$31)),$D$31,NA())</f>
        <v>0</v>
      </c>
      <c r="F12">
        <f>IF(11&lt;=$G$31+1,$H$31,NA())</f>
        <v>0</v>
      </c>
      <c r="G12">
        <f>IF(11&lt;=$G$31+1,-$H$31,NA())</f>
        <v>0</v>
      </c>
      <c r="H12">
        <f>IF(11&lt;=$G$31,MATCH(11,'Batch'!$U$18:$U$41,0),"")</f>
        <v>0</v>
      </c>
      <c r="I12">
        <v>11</v>
      </c>
      <c r="J12">
        <f>IF(11&lt;=$G$32,TEXT(HOUR(INDEX('Batch'!$C$18:$C$41,Q12)),"00")&amp;":"&amp;TEXT(MINUTE(INDEX('Batch'!$C$18:$C$41,Q12)),"00")&amp;CHAR(10)&amp;TEXT(DAY(INDEX('Batch'!$C$18:$C$41,Q12)),"00")&amp;"/"&amp;TEXT(MONTH(INDEX('Batch'!$C$18:$C$41,Q12)),"00"),IF(11=$G$32+1,"Média",""))</f>
        <v>0</v>
      </c>
      <c r="K12">
        <f>IF(11&lt;=$G$32,INDEX('Batch'!$G$18:$G$41,Q12),IF(AND(11=$G$32+1,ISNUMBER($B$32)),$B$32,NA()))</f>
        <v>0</v>
      </c>
      <c r="L12">
        <f>IF(11&lt;=$G$32,INDEX('Batch'!$H$18:$H$41,Q12),IF(AND(11=$G$32+1,ISNUMBER($C$32)),$C$32,NA()))</f>
        <v>0</v>
      </c>
      <c r="M12">
        <f>IF(11&lt;=$G$32,INDEX('Batch'!$Q$18:$Q$41,Q12),NA())</f>
        <v>0</v>
      </c>
      <c r="N12">
        <f>IF(AND(11=$G$32+1,ISNUMBER($D$32)),$D$32,NA())</f>
        <v>0</v>
      </c>
      <c r="O12">
        <f>IF(11&lt;=$G$32+1,$H$32,NA())</f>
        <v>0</v>
      </c>
      <c r="P12">
        <f>IF(11&lt;=$G$32+1,-$H$32,NA())</f>
        <v>0</v>
      </c>
      <c r="Q12">
        <f>IF(11&lt;=$G$32,MATCH(11,'Batch'!$V$18:$V$41,0),"")</f>
        <v>0</v>
      </c>
      <c r="R12">
        <v>11</v>
      </c>
      <c r="S12">
        <f>IF(11&lt;=$G$33,TEXT(HOUR(INDEX('Batch'!$C$18:$C$41,Z12)),"00")&amp;":"&amp;TEXT(MINUTE(INDEX('Batch'!$C$18:$C$41,Z12)),"00")&amp;CHAR(10)&amp;TEXT(DAY(INDEX('Batch'!$C$18:$C$41,Z12)),"00")&amp;"/"&amp;TEXT(MONTH(INDEX('Batch'!$C$18:$C$41,Z12)),"00"),IF(11=$G$33+1,"Média",""))</f>
        <v>0</v>
      </c>
      <c r="T12">
        <f>IF(11&lt;=$G$33,INDEX('Batch'!$I$18:$I$41,Z12),IF(AND(11=$G$33+1,ISNUMBER($B$33)),$B$33,NA()))</f>
        <v>0</v>
      </c>
      <c r="U12">
        <f>IF(11&lt;=$G$33,INDEX('Batch'!$J$18:$J$41,Z12),IF(AND(11=$G$33+1,ISNUMBER($C$33)),$C$33,NA()))</f>
        <v>0</v>
      </c>
      <c r="V12">
        <f>IF(11&lt;=$G$33,INDEX('Batch'!$R$18:$R$41,Z12),NA())</f>
        <v>0</v>
      </c>
      <c r="W12">
        <f>IF(AND(11=$G$33+1,ISNUMBER($D$33)),$D$33,NA())</f>
        <v>0</v>
      </c>
      <c r="X12">
        <f>IF(11&lt;=$G$33+1,$H$33,NA())</f>
        <v>0</v>
      </c>
      <c r="Y12">
        <f>IF(11&lt;=$G$33+1,-$H$33,NA())</f>
        <v>0</v>
      </c>
      <c r="Z12">
        <f>IF(11&lt;=$G$33,MATCH(11,'Batch'!$W$18:$W$41,0),"")</f>
        <v>0</v>
      </c>
      <c r="AA12">
        <v>11</v>
      </c>
      <c r="AB12">
        <f>IF(11&lt;=$G$34,TEXT(HOUR(INDEX('Batch'!$C$18:$C$41,AI12)),"00")&amp;":"&amp;TEXT(MINUTE(INDEX('Batch'!$C$18:$C$41,AI12)),"00")&amp;CHAR(10)&amp;TEXT(DAY(INDEX('Batch'!$C$18:$C$41,AI12)),"00")&amp;"/"&amp;TEXT(MONTH(INDEX('Batch'!$C$18:$C$41,AI12)),"00"),IF(11=$G$34+1,"Média",""))</f>
        <v>0</v>
      </c>
      <c r="AC12">
        <f>IF(11&lt;=$G$34,INDEX('Batch'!$K$18:$K$41,AI12),IF(AND(11=$G$34+1,ISNUMBER($B$34)),$B$34,NA()))</f>
        <v>0</v>
      </c>
      <c r="AD12">
        <f>IF(11&lt;=$G$34,INDEX('Batch'!$L$18:$L$41,AI12),IF(AND(11=$G$34+1,ISNUMBER($C$34)),$C$34,NA()))</f>
        <v>0</v>
      </c>
      <c r="AE12">
        <f>IF(11&lt;=$G$34,INDEX('Batch'!$S$18:$S$41,AI12),NA())</f>
        <v>0</v>
      </c>
      <c r="AF12">
        <f>IF(AND(11=$G$34+1,ISNUMBER($D$34)),$D$34,NA())</f>
        <v>0</v>
      </c>
      <c r="AG12">
        <f>IF(11&lt;=$G$34+1,$H$34,NA())</f>
        <v>0</v>
      </c>
      <c r="AH12">
        <f>IF(11&lt;=$G$34+1,-$H$34,NA())</f>
        <v>0</v>
      </c>
      <c r="AI12">
        <f>IF(11&lt;=$G$34,MATCH(11,'Batch'!$X$18:$X$41,0),"")</f>
        <v>0</v>
      </c>
      <c r="AJ12">
        <v>11</v>
      </c>
      <c r="AK12">
        <f>IF(11&lt;=$G$35,TEXT(HOUR(INDEX('Batch'!$C$18:$C$41,AR12)),"00")&amp;":"&amp;TEXT(MINUTE(INDEX('Batch'!$C$18:$C$41,AR12)),"00")&amp;CHAR(10)&amp;TEXT(DAY(INDEX('Batch'!$C$18:$C$41,AR12)),"00")&amp;"/"&amp;TEXT(MONTH(INDEX('Batch'!$C$18:$C$41,AR12)),"00"),IF(11=$G$35+1,"Média",""))</f>
        <v>0</v>
      </c>
      <c r="AL12">
        <f>IF(11&lt;=$G$35,INDEX('Batch'!$M$18:$M$41,AR12),IF(AND(11=$G$35+1,ISNUMBER($B$35)),$B$35,NA()))</f>
        <v>0</v>
      </c>
      <c r="AM12">
        <f>IF(11&lt;=$G$35,INDEX('Batch'!$N$18:$N$41,AR12),IF(AND(11=$G$35+1,ISNUMBER($C$35)),$C$35,NA()))</f>
        <v>0</v>
      </c>
      <c r="AN12">
        <f>IF(11&lt;=$G$35,INDEX('Batch'!$T$18:$T$41,AR12),NA())</f>
        <v>0</v>
      </c>
      <c r="AO12">
        <f>IF(AND(11=$G$35+1,ISNUMBER($D$35)),$D$35,NA())</f>
        <v>0</v>
      </c>
      <c r="AP12">
        <f>IF(11&lt;=$G$35+1,$H$35,NA())</f>
        <v>0</v>
      </c>
      <c r="AQ12">
        <f>IF(11&lt;=$G$35+1,-$H$35,NA())</f>
        <v>0</v>
      </c>
      <c r="AR12">
        <f>IF(11&lt;=$G$35,MATCH(11,'Batch'!$Y$18:$Y$41,0),"")</f>
        <v>0</v>
      </c>
      <c r="AS12">
        <v>11</v>
      </c>
    </row>
    <row r="13" spans="1:45">
      <c r="A13">
        <f>IF(12&lt;=$G$31,TEXT(HOUR(INDEX('Batch'!$C$18:$C$41,H13)),"00")&amp;":"&amp;TEXT(MINUTE(INDEX('Batch'!$C$18:$C$41,H13)),"00")&amp;CHAR(10)&amp;TEXT(DAY(INDEX('Batch'!$C$18:$C$41,H13)),"00")&amp;"/"&amp;TEXT(MONTH(INDEX('Batch'!$C$18:$C$41,H13)),"00"),IF(12=$G$31+1,"Média",""))</f>
        <v>0</v>
      </c>
      <c r="B13">
        <f>IF(12&lt;=$G$31,INDEX('Batch'!$E$18:$E$41,H13),IF(AND(12=$G$31+1,ISNUMBER($B$31)),$B$31,NA()))</f>
        <v>0</v>
      </c>
      <c r="C13">
        <f>IF(12&lt;=$G$31,INDEX('Batch'!$F$18:$F$41,H13),IF(AND(12=$G$31+1,ISNUMBER($C$31)),$C$31,NA()))</f>
        <v>0</v>
      </c>
      <c r="D13">
        <f>IF(12&lt;=$G$31,INDEX('Batch'!$P$18:$P$41,H13),NA())</f>
        <v>0</v>
      </c>
      <c r="E13">
        <f>IF(AND(12=$G$31+1,ISNUMBER($D$31)),$D$31,NA())</f>
        <v>0</v>
      </c>
      <c r="F13">
        <f>IF(12&lt;=$G$31+1,$H$31,NA())</f>
        <v>0</v>
      </c>
      <c r="G13">
        <f>IF(12&lt;=$G$31+1,-$H$31,NA())</f>
        <v>0</v>
      </c>
      <c r="H13">
        <f>IF(12&lt;=$G$31,MATCH(12,'Batch'!$U$18:$U$41,0),"")</f>
        <v>0</v>
      </c>
      <c r="I13">
        <v>12</v>
      </c>
      <c r="J13">
        <f>IF(12&lt;=$G$32,TEXT(HOUR(INDEX('Batch'!$C$18:$C$41,Q13)),"00")&amp;":"&amp;TEXT(MINUTE(INDEX('Batch'!$C$18:$C$41,Q13)),"00")&amp;CHAR(10)&amp;TEXT(DAY(INDEX('Batch'!$C$18:$C$41,Q13)),"00")&amp;"/"&amp;TEXT(MONTH(INDEX('Batch'!$C$18:$C$41,Q13)),"00"),IF(12=$G$32+1,"Média",""))</f>
        <v>0</v>
      </c>
      <c r="K13">
        <f>IF(12&lt;=$G$32,INDEX('Batch'!$G$18:$G$41,Q13),IF(AND(12=$G$32+1,ISNUMBER($B$32)),$B$32,NA()))</f>
        <v>0</v>
      </c>
      <c r="L13">
        <f>IF(12&lt;=$G$32,INDEX('Batch'!$H$18:$H$41,Q13),IF(AND(12=$G$32+1,ISNUMBER($C$32)),$C$32,NA()))</f>
        <v>0</v>
      </c>
      <c r="M13">
        <f>IF(12&lt;=$G$32,INDEX('Batch'!$Q$18:$Q$41,Q13),NA())</f>
        <v>0</v>
      </c>
      <c r="N13">
        <f>IF(AND(12=$G$32+1,ISNUMBER($D$32)),$D$32,NA())</f>
        <v>0</v>
      </c>
      <c r="O13">
        <f>IF(12&lt;=$G$32+1,$H$32,NA())</f>
        <v>0</v>
      </c>
      <c r="P13">
        <f>IF(12&lt;=$G$32+1,-$H$32,NA())</f>
        <v>0</v>
      </c>
      <c r="Q13">
        <f>IF(12&lt;=$G$32,MATCH(12,'Batch'!$V$18:$V$41,0),"")</f>
        <v>0</v>
      </c>
      <c r="R13">
        <v>12</v>
      </c>
      <c r="S13">
        <f>IF(12&lt;=$G$33,TEXT(HOUR(INDEX('Batch'!$C$18:$C$41,Z13)),"00")&amp;":"&amp;TEXT(MINUTE(INDEX('Batch'!$C$18:$C$41,Z13)),"00")&amp;CHAR(10)&amp;TEXT(DAY(INDEX('Batch'!$C$18:$C$41,Z13)),"00")&amp;"/"&amp;TEXT(MONTH(INDEX('Batch'!$C$18:$C$41,Z13)),"00"),IF(12=$G$33+1,"Média",""))</f>
        <v>0</v>
      </c>
      <c r="T13">
        <f>IF(12&lt;=$G$33,INDEX('Batch'!$I$18:$I$41,Z13),IF(AND(12=$G$33+1,ISNUMBER($B$33)),$B$33,NA()))</f>
        <v>0</v>
      </c>
      <c r="U13">
        <f>IF(12&lt;=$G$33,INDEX('Batch'!$J$18:$J$41,Z13),IF(AND(12=$G$33+1,ISNUMBER($C$33)),$C$33,NA()))</f>
        <v>0</v>
      </c>
      <c r="V13">
        <f>IF(12&lt;=$G$33,INDEX('Batch'!$R$18:$R$41,Z13),NA())</f>
        <v>0</v>
      </c>
      <c r="W13">
        <f>IF(AND(12=$G$33+1,ISNUMBER($D$33)),$D$33,NA())</f>
        <v>0</v>
      </c>
      <c r="X13">
        <f>IF(12&lt;=$G$33+1,$H$33,NA())</f>
        <v>0</v>
      </c>
      <c r="Y13">
        <f>IF(12&lt;=$G$33+1,-$H$33,NA())</f>
        <v>0</v>
      </c>
      <c r="Z13">
        <f>IF(12&lt;=$G$33,MATCH(12,'Batch'!$W$18:$W$41,0),"")</f>
        <v>0</v>
      </c>
      <c r="AA13">
        <v>12</v>
      </c>
      <c r="AB13">
        <f>IF(12&lt;=$G$34,TEXT(HOUR(INDEX('Batch'!$C$18:$C$41,AI13)),"00")&amp;":"&amp;TEXT(MINUTE(INDEX('Batch'!$C$18:$C$41,AI13)),"00")&amp;CHAR(10)&amp;TEXT(DAY(INDEX('Batch'!$C$18:$C$41,AI13)),"00")&amp;"/"&amp;TEXT(MONTH(INDEX('Batch'!$C$18:$C$41,AI13)),"00"),IF(12=$G$34+1,"Média",""))</f>
        <v>0</v>
      </c>
      <c r="AC13">
        <f>IF(12&lt;=$G$34,INDEX('Batch'!$K$18:$K$41,AI13),IF(AND(12=$G$34+1,ISNUMBER($B$34)),$B$34,NA()))</f>
        <v>0</v>
      </c>
      <c r="AD13">
        <f>IF(12&lt;=$G$34,INDEX('Batch'!$L$18:$L$41,AI13),IF(AND(12=$G$34+1,ISNUMBER($C$34)),$C$34,NA()))</f>
        <v>0</v>
      </c>
      <c r="AE13">
        <f>IF(12&lt;=$G$34,INDEX('Batch'!$S$18:$S$41,AI13),NA())</f>
        <v>0</v>
      </c>
      <c r="AF13">
        <f>IF(AND(12=$G$34+1,ISNUMBER($D$34)),$D$34,NA())</f>
        <v>0</v>
      </c>
      <c r="AG13">
        <f>IF(12&lt;=$G$34+1,$H$34,NA())</f>
        <v>0</v>
      </c>
      <c r="AH13">
        <f>IF(12&lt;=$G$34+1,-$H$34,NA())</f>
        <v>0</v>
      </c>
      <c r="AI13">
        <f>IF(12&lt;=$G$34,MATCH(12,'Batch'!$X$18:$X$41,0),"")</f>
        <v>0</v>
      </c>
      <c r="AJ13">
        <v>12</v>
      </c>
      <c r="AK13">
        <f>IF(12&lt;=$G$35,TEXT(HOUR(INDEX('Batch'!$C$18:$C$41,AR13)),"00")&amp;":"&amp;TEXT(MINUTE(INDEX('Batch'!$C$18:$C$41,AR13)),"00")&amp;CHAR(10)&amp;TEXT(DAY(INDEX('Batch'!$C$18:$C$41,AR13)),"00")&amp;"/"&amp;TEXT(MONTH(INDEX('Batch'!$C$18:$C$41,AR13)),"00"),IF(12=$G$35+1,"Média",""))</f>
        <v>0</v>
      </c>
      <c r="AL13">
        <f>IF(12&lt;=$G$35,INDEX('Batch'!$M$18:$M$41,AR13),IF(AND(12=$G$35+1,ISNUMBER($B$35)),$B$35,NA()))</f>
        <v>0</v>
      </c>
      <c r="AM13">
        <f>IF(12&lt;=$G$35,INDEX('Batch'!$N$18:$N$41,AR13),IF(AND(12=$G$35+1,ISNUMBER($C$35)),$C$35,NA()))</f>
        <v>0</v>
      </c>
      <c r="AN13">
        <f>IF(12&lt;=$G$35,INDEX('Batch'!$T$18:$T$41,AR13),NA())</f>
        <v>0</v>
      </c>
      <c r="AO13">
        <f>IF(AND(12=$G$35+1,ISNUMBER($D$35)),$D$35,NA())</f>
        <v>0</v>
      </c>
      <c r="AP13">
        <f>IF(12&lt;=$G$35+1,$H$35,NA())</f>
        <v>0</v>
      </c>
      <c r="AQ13">
        <f>IF(12&lt;=$G$35+1,-$H$35,NA())</f>
        <v>0</v>
      </c>
      <c r="AR13">
        <f>IF(12&lt;=$G$35,MATCH(12,'Batch'!$Y$18:$Y$41,0),"")</f>
        <v>0</v>
      </c>
      <c r="AS13">
        <v>12</v>
      </c>
    </row>
    <row r="14" spans="1:45">
      <c r="A14">
        <f>IF(13&lt;=$G$31,TEXT(HOUR(INDEX('Batch'!$C$18:$C$41,H14)),"00")&amp;":"&amp;TEXT(MINUTE(INDEX('Batch'!$C$18:$C$41,H14)),"00")&amp;CHAR(10)&amp;TEXT(DAY(INDEX('Batch'!$C$18:$C$41,H14)),"00")&amp;"/"&amp;TEXT(MONTH(INDEX('Batch'!$C$18:$C$41,H14)),"00"),IF(13=$G$31+1,"Média",""))</f>
        <v>0</v>
      </c>
      <c r="B14">
        <f>IF(13&lt;=$G$31,INDEX('Batch'!$E$18:$E$41,H14),IF(AND(13=$G$31+1,ISNUMBER($B$31)),$B$31,NA()))</f>
        <v>0</v>
      </c>
      <c r="C14">
        <f>IF(13&lt;=$G$31,INDEX('Batch'!$F$18:$F$41,H14),IF(AND(13=$G$31+1,ISNUMBER($C$31)),$C$31,NA()))</f>
        <v>0</v>
      </c>
      <c r="D14">
        <f>IF(13&lt;=$G$31,INDEX('Batch'!$P$18:$P$41,H14),NA())</f>
        <v>0</v>
      </c>
      <c r="E14">
        <f>IF(AND(13=$G$31+1,ISNUMBER($D$31)),$D$31,NA())</f>
        <v>0</v>
      </c>
      <c r="F14">
        <f>IF(13&lt;=$G$31+1,$H$31,NA())</f>
        <v>0</v>
      </c>
      <c r="G14">
        <f>IF(13&lt;=$G$31+1,-$H$31,NA())</f>
        <v>0</v>
      </c>
      <c r="H14">
        <f>IF(13&lt;=$G$31,MATCH(13,'Batch'!$U$18:$U$41,0),"")</f>
        <v>0</v>
      </c>
      <c r="I14">
        <v>13</v>
      </c>
      <c r="J14">
        <f>IF(13&lt;=$G$32,TEXT(HOUR(INDEX('Batch'!$C$18:$C$41,Q14)),"00")&amp;":"&amp;TEXT(MINUTE(INDEX('Batch'!$C$18:$C$41,Q14)),"00")&amp;CHAR(10)&amp;TEXT(DAY(INDEX('Batch'!$C$18:$C$41,Q14)),"00")&amp;"/"&amp;TEXT(MONTH(INDEX('Batch'!$C$18:$C$41,Q14)),"00"),IF(13=$G$32+1,"Média",""))</f>
        <v>0</v>
      </c>
      <c r="K14">
        <f>IF(13&lt;=$G$32,INDEX('Batch'!$G$18:$G$41,Q14),IF(AND(13=$G$32+1,ISNUMBER($B$32)),$B$32,NA()))</f>
        <v>0</v>
      </c>
      <c r="L14">
        <f>IF(13&lt;=$G$32,INDEX('Batch'!$H$18:$H$41,Q14),IF(AND(13=$G$32+1,ISNUMBER($C$32)),$C$32,NA()))</f>
        <v>0</v>
      </c>
      <c r="M14">
        <f>IF(13&lt;=$G$32,INDEX('Batch'!$Q$18:$Q$41,Q14),NA())</f>
        <v>0</v>
      </c>
      <c r="N14">
        <f>IF(AND(13=$G$32+1,ISNUMBER($D$32)),$D$32,NA())</f>
        <v>0</v>
      </c>
      <c r="O14">
        <f>IF(13&lt;=$G$32+1,$H$32,NA())</f>
        <v>0</v>
      </c>
      <c r="P14">
        <f>IF(13&lt;=$G$32+1,-$H$32,NA())</f>
        <v>0</v>
      </c>
      <c r="Q14">
        <f>IF(13&lt;=$G$32,MATCH(13,'Batch'!$V$18:$V$41,0),"")</f>
        <v>0</v>
      </c>
      <c r="R14">
        <v>13</v>
      </c>
      <c r="S14">
        <f>IF(13&lt;=$G$33,TEXT(HOUR(INDEX('Batch'!$C$18:$C$41,Z14)),"00")&amp;":"&amp;TEXT(MINUTE(INDEX('Batch'!$C$18:$C$41,Z14)),"00")&amp;CHAR(10)&amp;TEXT(DAY(INDEX('Batch'!$C$18:$C$41,Z14)),"00")&amp;"/"&amp;TEXT(MONTH(INDEX('Batch'!$C$18:$C$41,Z14)),"00"),IF(13=$G$33+1,"Média",""))</f>
        <v>0</v>
      </c>
      <c r="T14">
        <f>IF(13&lt;=$G$33,INDEX('Batch'!$I$18:$I$41,Z14),IF(AND(13=$G$33+1,ISNUMBER($B$33)),$B$33,NA()))</f>
        <v>0</v>
      </c>
      <c r="U14">
        <f>IF(13&lt;=$G$33,INDEX('Batch'!$J$18:$J$41,Z14),IF(AND(13=$G$33+1,ISNUMBER($C$33)),$C$33,NA()))</f>
        <v>0</v>
      </c>
      <c r="V14">
        <f>IF(13&lt;=$G$33,INDEX('Batch'!$R$18:$R$41,Z14),NA())</f>
        <v>0</v>
      </c>
      <c r="W14">
        <f>IF(AND(13=$G$33+1,ISNUMBER($D$33)),$D$33,NA())</f>
        <v>0</v>
      </c>
      <c r="X14">
        <f>IF(13&lt;=$G$33+1,$H$33,NA())</f>
        <v>0</v>
      </c>
      <c r="Y14">
        <f>IF(13&lt;=$G$33+1,-$H$33,NA())</f>
        <v>0</v>
      </c>
      <c r="Z14">
        <f>IF(13&lt;=$G$33,MATCH(13,'Batch'!$W$18:$W$41,0),"")</f>
        <v>0</v>
      </c>
      <c r="AA14">
        <v>13</v>
      </c>
      <c r="AB14">
        <f>IF(13&lt;=$G$34,TEXT(HOUR(INDEX('Batch'!$C$18:$C$41,AI14)),"00")&amp;":"&amp;TEXT(MINUTE(INDEX('Batch'!$C$18:$C$41,AI14)),"00")&amp;CHAR(10)&amp;TEXT(DAY(INDEX('Batch'!$C$18:$C$41,AI14)),"00")&amp;"/"&amp;TEXT(MONTH(INDEX('Batch'!$C$18:$C$41,AI14)),"00"),IF(13=$G$34+1,"Média",""))</f>
        <v>0</v>
      </c>
      <c r="AC14">
        <f>IF(13&lt;=$G$34,INDEX('Batch'!$K$18:$K$41,AI14),IF(AND(13=$G$34+1,ISNUMBER($B$34)),$B$34,NA()))</f>
        <v>0</v>
      </c>
      <c r="AD14">
        <f>IF(13&lt;=$G$34,INDEX('Batch'!$L$18:$L$41,AI14),IF(AND(13=$G$34+1,ISNUMBER($C$34)),$C$34,NA()))</f>
        <v>0</v>
      </c>
      <c r="AE14">
        <f>IF(13&lt;=$G$34,INDEX('Batch'!$S$18:$S$41,AI14),NA())</f>
        <v>0</v>
      </c>
      <c r="AF14">
        <f>IF(AND(13=$G$34+1,ISNUMBER($D$34)),$D$34,NA())</f>
        <v>0</v>
      </c>
      <c r="AG14">
        <f>IF(13&lt;=$G$34+1,$H$34,NA())</f>
        <v>0</v>
      </c>
      <c r="AH14">
        <f>IF(13&lt;=$G$34+1,-$H$34,NA())</f>
        <v>0</v>
      </c>
      <c r="AI14">
        <f>IF(13&lt;=$G$34,MATCH(13,'Batch'!$X$18:$X$41,0),"")</f>
        <v>0</v>
      </c>
      <c r="AJ14">
        <v>13</v>
      </c>
      <c r="AK14">
        <f>IF(13&lt;=$G$35,TEXT(HOUR(INDEX('Batch'!$C$18:$C$41,AR14)),"00")&amp;":"&amp;TEXT(MINUTE(INDEX('Batch'!$C$18:$C$41,AR14)),"00")&amp;CHAR(10)&amp;TEXT(DAY(INDEX('Batch'!$C$18:$C$41,AR14)),"00")&amp;"/"&amp;TEXT(MONTH(INDEX('Batch'!$C$18:$C$41,AR14)),"00"),IF(13=$G$35+1,"Média",""))</f>
        <v>0</v>
      </c>
      <c r="AL14">
        <f>IF(13&lt;=$G$35,INDEX('Batch'!$M$18:$M$41,AR14),IF(AND(13=$G$35+1,ISNUMBER($B$35)),$B$35,NA()))</f>
        <v>0</v>
      </c>
      <c r="AM14">
        <f>IF(13&lt;=$G$35,INDEX('Batch'!$N$18:$N$41,AR14),IF(AND(13=$G$35+1,ISNUMBER($C$35)),$C$35,NA()))</f>
        <v>0</v>
      </c>
      <c r="AN14">
        <f>IF(13&lt;=$G$35,INDEX('Batch'!$T$18:$T$41,AR14),NA())</f>
        <v>0</v>
      </c>
      <c r="AO14">
        <f>IF(AND(13=$G$35+1,ISNUMBER($D$35)),$D$35,NA())</f>
        <v>0</v>
      </c>
      <c r="AP14">
        <f>IF(13&lt;=$G$35+1,$H$35,NA())</f>
        <v>0</v>
      </c>
      <c r="AQ14">
        <f>IF(13&lt;=$G$35+1,-$H$35,NA())</f>
        <v>0</v>
      </c>
      <c r="AR14">
        <f>IF(13&lt;=$G$35,MATCH(13,'Batch'!$Y$18:$Y$41,0),"")</f>
        <v>0</v>
      </c>
      <c r="AS14">
        <v>13</v>
      </c>
    </row>
    <row r="15" spans="1:45">
      <c r="A15">
        <f>IF(14&lt;=$G$31,TEXT(HOUR(INDEX('Batch'!$C$18:$C$41,H15)),"00")&amp;":"&amp;TEXT(MINUTE(INDEX('Batch'!$C$18:$C$41,H15)),"00")&amp;CHAR(10)&amp;TEXT(DAY(INDEX('Batch'!$C$18:$C$41,H15)),"00")&amp;"/"&amp;TEXT(MONTH(INDEX('Batch'!$C$18:$C$41,H15)),"00"),IF(14=$G$31+1,"Média",""))</f>
        <v>0</v>
      </c>
      <c r="B15">
        <f>IF(14&lt;=$G$31,INDEX('Batch'!$E$18:$E$41,H15),IF(AND(14=$G$31+1,ISNUMBER($B$31)),$B$31,NA()))</f>
        <v>0</v>
      </c>
      <c r="C15">
        <f>IF(14&lt;=$G$31,INDEX('Batch'!$F$18:$F$41,H15),IF(AND(14=$G$31+1,ISNUMBER($C$31)),$C$31,NA()))</f>
        <v>0</v>
      </c>
      <c r="D15">
        <f>IF(14&lt;=$G$31,INDEX('Batch'!$P$18:$P$41,H15),NA())</f>
        <v>0</v>
      </c>
      <c r="E15">
        <f>IF(AND(14=$G$31+1,ISNUMBER($D$31)),$D$31,NA())</f>
        <v>0</v>
      </c>
      <c r="F15">
        <f>IF(14&lt;=$G$31+1,$H$31,NA())</f>
        <v>0</v>
      </c>
      <c r="G15">
        <f>IF(14&lt;=$G$31+1,-$H$31,NA())</f>
        <v>0</v>
      </c>
      <c r="H15">
        <f>IF(14&lt;=$G$31,MATCH(14,'Batch'!$U$18:$U$41,0),"")</f>
        <v>0</v>
      </c>
      <c r="I15">
        <v>14</v>
      </c>
      <c r="J15">
        <f>IF(14&lt;=$G$32,TEXT(HOUR(INDEX('Batch'!$C$18:$C$41,Q15)),"00")&amp;":"&amp;TEXT(MINUTE(INDEX('Batch'!$C$18:$C$41,Q15)),"00")&amp;CHAR(10)&amp;TEXT(DAY(INDEX('Batch'!$C$18:$C$41,Q15)),"00")&amp;"/"&amp;TEXT(MONTH(INDEX('Batch'!$C$18:$C$41,Q15)),"00"),IF(14=$G$32+1,"Média",""))</f>
        <v>0</v>
      </c>
      <c r="K15">
        <f>IF(14&lt;=$G$32,INDEX('Batch'!$G$18:$G$41,Q15),IF(AND(14=$G$32+1,ISNUMBER($B$32)),$B$32,NA()))</f>
        <v>0</v>
      </c>
      <c r="L15">
        <f>IF(14&lt;=$G$32,INDEX('Batch'!$H$18:$H$41,Q15),IF(AND(14=$G$32+1,ISNUMBER($C$32)),$C$32,NA()))</f>
        <v>0</v>
      </c>
      <c r="M15">
        <f>IF(14&lt;=$G$32,INDEX('Batch'!$Q$18:$Q$41,Q15),NA())</f>
        <v>0</v>
      </c>
      <c r="N15">
        <f>IF(AND(14=$G$32+1,ISNUMBER($D$32)),$D$32,NA())</f>
        <v>0</v>
      </c>
      <c r="O15">
        <f>IF(14&lt;=$G$32+1,$H$32,NA())</f>
        <v>0</v>
      </c>
      <c r="P15">
        <f>IF(14&lt;=$G$32+1,-$H$32,NA())</f>
        <v>0</v>
      </c>
      <c r="Q15">
        <f>IF(14&lt;=$G$32,MATCH(14,'Batch'!$V$18:$V$41,0),"")</f>
        <v>0</v>
      </c>
      <c r="R15">
        <v>14</v>
      </c>
      <c r="S15">
        <f>IF(14&lt;=$G$33,TEXT(HOUR(INDEX('Batch'!$C$18:$C$41,Z15)),"00")&amp;":"&amp;TEXT(MINUTE(INDEX('Batch'!$C$18:$C$41,Z15)),"00")&amp;CHAR(10)&amp;TEXT(DAY(INDEX('Batch'!$C$18:$C$41,Z15)),"00")&amp;"/"&amp;TEXT(MONTH(INDEX('Batch'!$C$18:$C$41,Z15)),"00"),IF(14=$G$33+1,"Média",""))</f>
        <v>0</v>
      </c>
      <c r="T15">
        <f>IF(14&lt;=$G$33,INDEX('Batch'!$I$18:$I$41,Z15),IF(AND(14=$G$33+1,ISNUMBER($B$33)),$B$33,NA()))</f>
        <v>0</v>
      </c>
      <c r="U15">
        <f>IF(14&lt;=$G$33,INDEX('Batch'!$J$18:$J$41,Z15),IF(AND(14=$G$33+1,ISNUMBER($C$33)),$C$33,NA()))</f>
        <v>0</v>
      </c>
      <c r="V15">
        <f>IF(14&lt;=$G$33,INDEX('Batch'!$R$18:$R$41,Z15),NA())</f>
        <v>0</v>
      </c>
      <c r="W15">
        <f>IF(AND(14=$G$33+1,ISNUMBER($D$33)),$D$33,NA())</f>
        <v>0</v>
      </c>
      <c r="X15">
        <f>IF(14&lt;=$G$33+1,$H$33,NA())</f>
        <v>0</v>
      </c>
      <c r="Y15">
        <f>IF(14&lt;=$G$33+1,-$H$33,NA())</f>
        <v>0</v>
      </c>
      <c r="Z15">
        <f>IF(14&lt;=$G$33,MATCH(14,'Batch'!$W$18:$W$41,0),"")</f>
        <v>0</v>
      </c>
      <c r="AA15">
        <v>14</v>
      </c>
      <c r="AB15">
        <f>IF(14&lt;=$G$34,TEXT(HOUR(INDEX('Batch'!$C$18:$C$41,AI15)),"00")&amp;":"&amp;TEXT(MINUTE(INDEX('Batch'!$C$18:$C$41,AI15)),"00")&amp;CHAR(10)&amp;TEXT(DAY(INDEX('Batch'!$C$18:$C$41,AI15)),"00")&amp;"/"&amp;TEXT(MONTH(INDEX('Batch'!$C$18:$C$41,AI15)),"00"),IF(14=$G$34+1,"Média",""))</f>
        <v>0</v>
      </c>
      <c r="AC15">
        <f>IF(14&lt;=$G$34,INDEX('Batch'!$K$18:$K$41,AI15),IF(AND(14=$G$34+1,ISNUMBER($B$34)),$B$34,NA()))</f>
        <v>0</v>
      </c>
      <c r="AD15">
        <f>IF(14&lt;=$G$34,INDEX('Batch'!$L$18:$L$41,AI15),IF(AND(14=$G$34+1,ISNUMBER($C$34)),$C$34,NA()))</f>
        <v>0</v>
      </c>
      <c r="AE15">
        <f>IF(14&lt;=$G$34,INDEX('Batch'!$S$18:$S$41,AI15),NA())</f>
        <v>0</v>
      </c>
      <c r="AF15">
        <f>IF(AND(14=$G$34+1,ISNUMBER($D$34)),$D$34,NA())</f>
        <v>0</v>
      </c>
      <c r="AG15">
        <f>IF(14&lt;=$G$34+1,$H$34,NA())</f>
        <v>0</v>
      </c>
      <c r="AH15">
        <f>IF(14&lt;=$G$34+1,-$H$34,NA())</f>
        <v>0</v>
      </c>
      <c r="AI15">
        <f>IF(14&lt;=$G$34,MATCH(14,'Batch'!$X$18:$X$41,0),"")</f>
        <v>0</v>
      </c>
      <c r="AJ15">
        <v>14</v>
      </c>
      <c r="AK15">
        <f>IF(14&lt;=$G$35,TEXT(HOUR(INDEX('Batch'!$C$18:$C$41,AR15)),"00")&amp;":"&amp;TEXT(MINUTE(INDEX('Batch'!$C$18:$C$41,AR15)),"00")&amp;CHAR(10)&amp;TEXT(DAY(INDEX('Batch'!$C$18:$C$41,AR15)),"00")&amp;"/"&amp;TEXT(MONTH(INDEX('Batch'!$C$18:$C$41,AR15)),"00"),IF(14=$G$35+1,"Média",""))</f>
        <v>0</v>
      </c>
      <c r="AL15">
        <f>IF(14&lt;=$G$35,INDEX('Batch'!$M$18:$M$41,AR15),IF(AND(14=$G$35+1,ISNUMBER($B$35)),$B$35,NA()))</f>
        <v>0</v>
      </c>
      <c r="AM15">
        <f>IF(14&lt;=$G$35,INDEX('Batch'!$N$18:$N$41,AR15),IF(AND(14=$G$35+1,ISNUMBER($C$35)),$C$35,NA()))</f>
        <v>0</v>
      </c>
      <c r="AN15">
        <f>IF(14&lt;=$G$35,INDEX('Batch'!$T$18:$T$41,AR15),NA())</f>
        <v>0</v>
      </c>
      <c r="AO15">
        <f>IF(AND(14=$G$35+1,ISNUMBER($D$35)),$D$35,NA())</f>
        <v>0</v>
      </c>
      <c r="AP15">
        <f>IF(14&lt;=$G$35+1,$H$35,NA())</f>
        <v>0</v>
      </c>
      <c r="AQ15">
        <f>IF(14&lt;=$G$35+1,-$H$35,NA())</f>
        <v>0</v>
      </c>
      <c r="AR15">
        <f>IF(14&lt;=$G$35,MATCH(14,'Batch'!$Y$18:$Y$41,0),"")</f>
        <v>0</v>
      </c>
      <c r="AS15">
        <v>14</v>
      </c>
    </row>
    <row r="16" spans="1:45">
      <c r="A16">
        <f>IF(15&lt;=$G$31,TEXT(HOUR(INDEX('Batch'!$C$18:$C$41,H16)),"00")&amp;":"&amp;TEXT(MINUTE(INDEX('Batch'!$C$18:$C$41,H16)),"00")&amp;CHAR(10)&amp;TEXT(DAY(INDEX('Batch'!$C$18:$C$41,H16)),"00")&amp;"/"&amp;TEXT(MONTH(INDEX('Batch'!$C$18:$C$41,H16)),"00"),IF(15=$G$31+1,"Média",""))</f>
        <v>0</v>
      </c>
      <c r="B16">
        <f>IF(15&lt;=$G$31,INDEX('Batch'!$E$18:$E$41,H16),IF(AND(15=$G$31+1,ISNUMBER($B$31)),$B$31,NA()))</f>
        <v>0</v>
      </c>
      <c r="C16">
        <f>IF(15&lt;=$G$31,INDEX('Batch'!$F$18:$F$41,H16),IF(AND(15=$G$31+1,ISNUMBER($C$31)),$C$31,NA()))</f>
        <v>0</v>
      </c>
      <c r="D16">
        <f>IF(15&lt;=$G$31,INDEX('Batch'!$P$18:$P$41,H16),NA())</f>
        <v>0</v>
      </c>
      <c r="E16">
        <f>IF(AND(15=$G$31+1,ISNUMBER($D$31)),$D$31,NA())</f>
        <v>0</v>
      </c>
      <c r="F16">
        <f>IF(15&lt;=$G$31+1,$H$31,NA())</f>
        <v>0</v>
      </c>
      <c r="G16">
        <f>IF(15&lt;=$G$31+1,-$H$31,NA())</f>
        <v>0</v>
      </c>
      <c r="H16">
        <f>IF(15&lt;=$G$31,MATCH(15,'Batch'!$U$18:$U$41,0),"")</f>
        <v>0</v>
      </c>
      <c r="I16">
        <v>15</v>
      </c>
      <c r="J16">
        <f>IF(15&lt;=$G$32,TEXT(HOUR(INDEX('Batch'!$C$18:$C$41,Q16)),"00")&amp;":"&amp;TEXT(MINUTE(INDEX('Batch'!$C$18:$C$41,Q16)),"00")&amp;CHAR(10)&amp;TEXT(DAY(INDEX('Batch'!$C$18:$C$41,Q16)),"00")&amp;"/"&amp;TEXT(MONTH(INDEX('Batch'!$C$18:$C$41,Q16)),"00"),IF(15=$G$32+1,"Média",""))</f>
        <v>0</v>
      </c>
      <c r="K16">
        <f>IF(15&lt;=$G$32,INDEX('Batch'!$G$18:$G$41,Q16),IF(AND(15=$G$32+1,ISNUMBER($B$32)),$B$32,NA()))</f>
        <v>0</v>
      </c>
      <c r="L16">
        <f>IF(15&lt;=$G$32,INDEX('Batch'!$H$18:$H$41,Q16),IF(AND(15=$G$32+1,ISNUMBER($C$32)),$C$32,NA()))</f>
        <v>0</v>
      </c>
      <c r="M16">
        <f>IF(15&lt;=$G$32,INDEX('Batch'!$Q$18:$Q$41,Q16),NA())</f>
        <v>0</v>
      </c>
      <c r="N16">
        <f>IF(AND(15=$G$32+1,ISNUMBER($D$32)),$D$32,NA())</f>
        <v>0</v>
      </c>
      <c r="O16">
        <f>IF(15&lt;=$G$32+1,$H$32,NA())</f>
        <v>0</v>
      </c>
      <c r="P16">
        <f>IF(15&lt;=$G$32+1,-$H$32,NA())</f>
        <v>0</v>
      </c>
      <c r="Q16">
        <f>IF(15&lt;=$G$32,MATCH(15,'Batch'!$V$18:$V$41,0),"")</f>
        <v>0</v>
      </c>
      <c r="R16">
        <v>15</v>
      </c>
      <c r="S16">
        <f>IF(15&lt;=$G$33,TEXT(HOUR(INDEX('Batch'!$C$18:$C$41,Z16)),"00")&amp;":"&amp;TEXT(MINUTE(INDEX('Batch'!$C$18:$C$41,Z16)),"00")&amp;CHAR(10)&amp;TEXT(DAY(INDEX('Batch'!$C$18:$C$41,Z16)),"00")&amp;"/"&amp;TEXT(MONTH(INDEX('Batch'!$C$18:$C$41,Z16)),"00"),IF(15=$G$33+1,"Média",""))</f>
        <v>0</v>
      </c>
      <c r="T16">
        <f>IF(15&lt;=$G$33,INDEX('Batch'!$I$18:$I$41,Z16),IF(AND(15=$G$33+1,ISNUMBER($B$33)),$B$33,NA()))</f>
        <v>0</v>
      </c>
      <c r="U16">
        <f>IF(15&lt;=$G$33,INDEX('Batch'!$J$18:$J$41,Z16),IF(AND(15=$G$33+1,ISNUMBER($C$33)),$C$33,NA()))</f>
        <v>0</v>
      </c>
      <c r="V16">
        <f>IF(15&lt;=$G$33,INDEX('Batch'!$R$18:$R$41,Z16),NA())</f>
        <v>0</v>
      </c>
      <c r="W16">
        <f>IF(AND(15=$G$33+1,ISNUMBER($D$33)),$D$33,NA())</f>
        <v>0</v>
      </c>
      <c r="X16">
        <f>IF(15&lt;=$G$33+1,$H$33,NA())</f>
        <v>0</v>
      </c>
      <c r="Y16">
        <f>IF(15&lt;=$G$33+1,-$H$33,NA())</f>
        <v>0</v>
      </c>
      <c r="Z16">
        <f>IF(15&lt;=$G$33,MATCH(15,'Batch'!$W$18:$W$41,0),"")</f>
        <v>0</v>
      </c>
      <c r="AA16">
        <v>15</v>
      </c>
      <c r="AB16">
        <f>IF(15&lt;=$G$34,TEXT(HOUR(INDEX('Batch'!$C$18:$C$41,AI16)),"00")&amp;":"&amp;TEXT(MINUTE(INDEX('Batch'!$C$18:$C$41,AI16)),"00")&amp;CHAR(10)&amp;TEXT(DAY(INDEX('Batch'!$C$18:$C$41,AI16)),"00")&amp;"/"&amp;TEXT(MONTH(INDEX('Batch'!$C$18:$C$41,AI16)),"00"),IF(15=$G$34+1,"Média",""))</f>
        <v>0</v>
      </c>
      <c r="AC16">
        <f>IF(15&lt;=$G$34,INDEX('Batch'!$K$18:$K$41,AI16),IF(AND(15=$G$34+1,ISNUMBER($B$34)),$B$34,NA()))</f>
        <v>0</v>
      </c>
      <c r="AD16">
        <f>IF(15&lt;=$G$34,INDEX('Batch'!$L$18:$L$41,AI16),IF(AND(15=$G$34+1,ISNUMBER($C$34)),$C$34,NA()))</f>
        <v>0</v>
      </c>
      <c r="AE16">
        <f>IF(15&lt;=$G$34,INDEX('Batch'!$S$18:$S$41,AI16),NA())</f>
        <v>0</v>
      </c>
      <c r="AF16">
        <f>IF(AND(15=$G$34+1,ISNUMBER($D$34)),$D$34,NA())</f>
        <v>0</v>
      </c>
      <c r="AG16">
        <f>IF(15&lt;=$G$34+1,$H$34,NA())</f>
        <v>0</v>
      </c>
      <c r="AH16">
        <f>IF(15&lt;=$G$34+1,-$H$34,NA())</f>
        <v>0</v>
      </c>
      <c r="AI16">
        <f>IF(15&lt;=$G$34,MATCH(15,'Batch'!$X$18:$X$41,0),"")</f>
        <v>0</v>
      </c>
      <c r="AJ16">
        <v>15</v>
      </c>
      <c r="AK16">
        <f>IF(15&lt;=$G$35,TEXT(HOUR(INDEX('Batch'!$C$18:$C$41,AR16)),"00")&amp;":"&amp;TEXT(MINUTE(INDEX('Batch'!$C$18:$C$41,AR16)),"00")&amp;CHAR(10)&amp;TEXT(DAY(INDEX('Batch'!$C$18:$C$41,AR16)),"00")&amp;"/"&amp;TEXT(MONTH(INDEX('Batch'!$C$18:$C$41,AR16)),"00"),IF(15=$G$35+1,"Média",""))</f>
        <v>0</v>
      </c>
      <c r="AL16">
        <f>IF(15&lt;=$G$35,INDEX('Batch'!$M$18:$M$41,AR16),IF(AND(15=$G$35+1,ISNUMBER($B$35)),$B$35,NA()))</f>
        <v>0</v>
      </c>
      <c r="AM16">
        <f>IF(15&lt;=$G$35,INDEX('Batch'!$N$18:$N$41,AR16),IF(AND(15=$G$35+1,ISNUMBER($C$35)),$C$35,NA()))</f>
        <v>0</v>
      </c>
      <c r="AN16">
        <f>IF(15&lt;=$G$35,INDEX('Batch'!$T$18:$T$41,AR16),NA())</f>
        <v>0</v>
      </c>
      <c r="AO16">
        <f>IF(AND(15=$G$35+1,ISNUMBER($D$35)),$D$35,NA())</f>
        <v>0</v>
      </c>
      <c r="AP16">
        <f>IF(15&lt;=$G$35+1,$H$35,NA())</f>
        <v>0</v>
      </c>
      <c r="AQ16">
        <f>IF(15&lt;=$G$35+1,-$H$35,NA())</f>
        <v>0</v>
      </c>
      <c r="AR16">
        <f>IF(15&lt;=$G$35,MATCH(15,'Batch'!$Y$18:$Y$41,0),"")</f>
        <v>0</v>
      </c>
      <c r="AS16">
        <v>15</v>
      </c>
    </row>
    <row r="17" spans="1:45">
      <c r="A17">
        <f>IF(16&lt;=$G$31,TEXT(HOUR(INDEX('Batch'!$C$18:$C$41,H17)),"00")&amp;":"&amp;TEXT(MINUTE(INDEX('Batch'!$C$18:$C$41,H17)),"00")&amp;CHAR(10)&amp;TEXT(DAY(INDEX('Batch'!$C$18:$C$41,H17)),"00")&amp;"/"&amp;TEXT(MONTH(INDEX('Batch'!$C$18:$C$41,H17)),"00"),IF(16=$G$31+1,"Média",""))</f>
        <v>0</v>
      </c>
      <c r="B17">
        <f>IF(16&lt;=$G$31,INDEX('Batch'!$E$18:$E$41,H17),IF(AND(16=$G$31+1,ISNUMBER($B$31)),$B$31,NA()))</f>
        <v>0</v>
      </c>
      <c r="C17">
        <f>IF(16&lt;=$G$31,INDEX('Batch'!$F$18:$F$41,H17),IF(AND(16=$G$31+1,ISNUMBER($C$31)),$C$31,NA()))</f>
        <v>0</v>
      </c>
      <c r="D17">
        <f>IF(16&lt;=$G$31,INDEX('Batch'!$P$18:$P$41,H17),NA())</f>
        <v>0</v>
      </c>
      <c r="E17">
        <f>IF(AND(16=$G$31+1,ISNUMBER($D$31)),$D$31,NA())</f>
        <v>0</v>
      </c>
      <c r="F17">
        <f>IF(16&lt;=$G$31+1,$H$31,NA())</f>
        <v>0</v>
      </c>
      <c r="G17">
        <f>IF(16&lt;=$G$31+1,-$H$31,NA())</f>
        <v>0</v>
      </c>
      <c r="H17">
        <f>IF(16&lt;=$G$31,MATCH(16,'Batch'!$U$18:$U$41,0),"")</f>
        <v>0</v>
      </c>
      <c r="I17">
        <v>16</v>
      </c>
      <c r="J17">
        <f>IF(16&lt;=$G$32,TEXT(HOUR(INDEX('Batch'!$C$18:$C$41,Q17)),"00")&amp;":"&amp;TEXT(MINUTE(INDEX('Batch'!$C$18:$C$41,Q17)),"00")&amp;CHAR(10)&amp;TEXT(DAY(INDEX('Batch'!$C$18:$C$41,Q17)),"00")&amp;"/"&amp;TEXT(MONTH(INDEX('Batch'!$C$18:$C$41,Q17)),"00"),IF(16=$G$32+1,"Média",""))</f>
        <v>0</v>
      </c>
      <c r="K17">
        <f>IF(16&lt;=$G$32,INDEX('Batch'!$G$18:$G$41,Q17),IF(AND(16=$G$32+1,ISNUMBER($B$32)),$B$32,NA()))</f>
        <v>0</v>
      </c>
      <c r="L17">
        <f>IF(16&lt;=$G$32,INDEX('Batch'!$H$18:$H$41,Q17),IF(AND(16=$G$32+1,ISNUMBER($C$32)),$C$32,NA()))</f>
        <v>0</v>
      </c>
      <c r="M17">
        <f>IF(16&lt;=$G$32,INDEX('Batch'!$Q$18:$Q$41,Q17),NA())</f>
        <v>0</v>
      </c>
      <c r="N17">
        <f>IF(AND(16=$G$32+1,ISNUMBER($D$32)),$D$32,NA())</f>
        <v>0</v>
      </c>
      <c r="O17">
        <f>IF(16&lt;=$G$32+1,$H$32,NA())</f>
        <v>0</v>
      </c>
      <c r="P17">
        <f>IF(16&lt;=$G$32+1,-$H$32,NA())</f>
        <v>0</v>
      </c>
      <c r="Q17">
        <f>IF(16&lt;=$G$32,MATCH(16,'Batch'!$V$18:$V$41,0),"")</f>
        <v>0</v>
      </c>
      <c r="R17">
        <v>16</v>
      </c>
      <c r="S17">
        <f>IF(16&lt;=$G$33,TEXT(HOUR(INDEX('Batch'!$C$18:$C$41,Z17)),"00")&amp;":"&amp;TEXT(MINUTE(INDEX('Batch'!$C$18:$C$41,Z17)),"00")&amp;CHAR(10)&amp;TEXT(DAY(INDEX('Batch'!$C$18:$C$41,Z17)),"00")&amp;"/"&amp;TEXT(MONTH(INDEX('Batch'!$C$18:$C$41,Z17)),"00"),IF(16=$G$33+1,"Média",""))</f>
        <v>0</v>
      </c>
      <c r="T17">
        <f>IF(16&lt;=$G$33,INDEX('Batch'!$I$18:$I$41,Z17),IF(AND(16=$G$33+1,ISNUMBER($B$33)),$B$33,NA()))</f>
        <v>0</v>
      </c>
      <c r="U17">
        <f>IF(16&lt;=$G$33,INDEX('Batch'!$J$18:$J$41,Z17),IF(AND(16=$G$33+1,ISNUMBER($C$33)),$C$33,NA()))</f>
        <v>0</v>
      </c>
      <c r="V17">
        <f>IF(16&lt;=$G$33,INDEX('Batch'!$R$18:$R$41,Z17),NA())</f>
        <v>0</v>
      </c>
      <c r="W17">
        <f>IF(AND(16=$G$33+1,ISNUMBER($D$33)),$D$33,NA())</f>
        <v>0</v>
      </c>
      <c r="X17">
        <f>IF(16&lt;=$G$33+1,$H$33,NA())</f>
        <v>0</v>
      </c>
      <c r="Y17">
        <f>IF(16&lt;=$G$33+1,-$H$33,NA())</f>
        <v>0</v>
      </c>
      <c r="Z17">
        <f>IF(16&lt;=$G$33,MATCH(16,'Batch'!$W$18:$W$41,0),"")</f>
        <v>0</v>
      </c>
      <c r="AA17">
        <v>16</v>
      </c>
      <c r="AB17">
        <f>IF(16&lt;=$G$34,TEXT(HOUR(INDEX('Batch'!$C$18:$C$41,AI17)),"00")&amp;":"&amp;TEXT(MINUTE(INDEX('Batch'!$C$18:$C$41,AI17)),"00")&amp;CHAR(10)&amp;TEXT(DAY(INDEX('Batch'!$C$18:$C$41,AI17)),"00")&amp;"/"&amp;TEXT(MONTH(INDEX('Batch'!$C$18:$C$41,AI17)),"00"),IF(16=$G$34+1,"Média",""))</f>
        <v>0</v>
      </c>
      <c r="AC17">
        <f>IF(16&lt;=$G$34,INDEX('Batch'!$K$18:$K$41,AI17),IF(AND(16=$G$34+1,ISNUMBER($B$34)),$B$34,NA()))</f>
        <v>0</v>
      </c>
      <c r="AD17">
        <f>IF(16&lt;=$G$34,INDEX('Batch'!$L$18:$L$41,AI17),IF(AND(16=$G$34+1,ISNUMBER($C$34)),$C$34,NA()))</f>
        <v>0</v>
      </c>
      <c r="AE17">
        <f>IF(16&lt;=$G$34,INDEX('Batch'!$S$18:$S$41,AI17),NA())</f>
        <v>0</v>
      </c>
      <c r="AF17">
        <f>IF(AND(16=$G$34+1,ISNUMBER($D$34)),$D$34,NA())</f>
        <v>0</v>
      </c>
      <c r="AG17">
        <f>IF(16&lt;=$G$34+1,$H$34,NA())</f>
        <v>0</v>
      </c>
      <c r="AH17">
        <f>IF(16&lt;=$G$34+1,-$H$34,NA())</f>
        <v>0</v>
      </c>
      <c r="AI17">
        <f>IF(16&lt;=$G$34,MATCH(16,'Batch'!$X$18:$X$41,0),"")</f>
        <v>0</v>
      </c>
      <c r="AJ17">
        <v>16</v>
      </c>
      <c r="AK17">
        <f>IF(16&lt;=$G$35,TEXT(HOUR(INDEX('Batch'!$C$18:$C$41,AR17)),"00")&amp;":"&amp;TEXT(MINUTE(INDEX('Batch'!$C$18:$C$41,AR17)),"00")&amp;CHAR(10)&amp;TEXT(DAY(INDEX('Batch'!$C$18:$C$41,AR17)),"00")&amp;"/"&amp;TEXT(MONTH(INDEX('Batch'!$C$18:$C$41,AR17)),"00"),IF(16=$G$35+1,"Média",""))</f>
        <v>0</v>
      </c>
      <c r="AL17">
        <f>IF(16&lt;=$G$35,INDEX('Batch'!$M$18:$M$41,AR17),IF(AND(16=$G$35+1,ISNUMBER($B$35)),$B$35,NA()))</f>
        <v>0</v>
      </c>
      <c r="AM17">
        <f>IF(16&lt;=$G$35,INDEX('Batch'!$N$18:$N$41,AR17),IF(AND(16=$G$35+1,ISNUMBER($C$35)),$C$35,NA()))</f>
        <v>0</v>
      </c>
      <c r="AN17">
        <f>IF(16&lt;=$G$35,INDEX('Batch'!$T$18:$T$41,AR17),NA())</f>
        <v>0</v>
      </c>
      <c r="AO17">
        <f>IF(AND(16=$G$35+1,ISNUMBER($D$35)),$D$35,NA())</f>
        <v>0</v>
      </c>
      <c r="AP17">
        <f>IF(16&lt;=$G$35+1,$H$35,NA())</f>
        <v>0</v>
      </c>
      <c r="AQ17">
        <f>IF(16&lt;=$G$35+1,-$H$35,NA())</f>
        <v>0</v>
      </c>
      <c r="AR17">
        <f>IF(16&lt;=$G$35,MATCH(16,'Batch'!$Y$18:$Y$41,0),"")</f>
        <v>0</v>
      </c>
      <c r="AS17">
        <v>16</v>
      </c>
    </row>
    <row r="18" spans="1:45">
      <c r="A18">
        <f>IF(17&lt;=$G$31,TEXT(HOUR(INDEX('Batch'!$C$18:$C$41,H18)),"00")&amp;":"&amp;TEXT(MINUTE(INDEX('Batch'!$C$18:$C$41,H18)),"00")&amp;CHAR(10)&amp;TEXT(DAY(INDEX('Batch'!$C$18:$C$41,H18)),"00")&amp;"/"&amp;TEXT(MONTH(INDEX('Batch'!$C$18:$C$41,H18)),"00"),IF(17=$G$31+1,"Média",""))</f>
        <v>0</v>
      </c>
      <c r="B18">
        <f>IF(17&lt;=$G$31,INDEX('Batch'!$E$18:$E$41,H18),IF(AND(17=$G$31+1,ISNUMBER($B$31)),$B$31,NA()))</f>
        <v>0</v>
      </c>
      <c r="C18">
        <f>IF(17&lt;=$G$31,INDEX('Batch'!$F$18:$F$41,H18),IF(AND(17=$G$31+1,ISNUMBER($C$31)),$C$31,NA()))</f>
        <v>0</v>
      </c>
      <c r="D18">
        <f>IF(17&lt;=$G$31,INDEX('Batch'!$P$18:$P$41,H18),NA())</f>
        <v>0</v>
      </c>
      <c r="E18">
        <f>IF(AND(17=$G$31+1,ISNUMBER($D$31)),$D$31,NA())</f>
        <v>0</v>
      </c>
      <c r="F18">
        <f>IF(17&lt;=$G$31+1,$H$31,NA())</f>
        <v>0</v>
      </c>
      <c r="G18">
        <f>IF(17&lt;=$G$31+1,-$H$31,NA())</f>
        <v>0</v>
      </c>
      <c r="H18">
        <f>IF(17&lt;=$G$31,MATCH(17,'Batch'!$U$18:$U$41,0),"")</f>
        <v>0</v>
      </c>
      <c r="I18">
        <v>17</v>
      </c>
      <c r="J18">
        <f>IF(17&lt;=$G$32,TEXT(HOUR(INDEX('Batch'!$C$18:$C$41,Q18)),"00")&amp;":"&amp;TEXT(MINUTE(INDEX('Batch'!$C$18:$C$41,Q18)),"00")&amp;CHAR(10)&amp;TEXT(DAY(INDEX('Batch'!$C$18:$C$41,Q18)),"00")&amp;"/"&amp;TEXT(MONTH(INDEX('Batch'!$C$18:$C$41,Q18)),"00"),IF(17=$G$32+1,"Média",""))</f>
        <v>0</v>
      </c>
      <c r="K18">
        <f>IF(17&lt;=$G$32,INDEX('Batch'!$G$18:$G$41,Q18),IF(AND(17=$G$32+1,ISNUMBER($B$32)),$B$32,NA()))</f>
        <v>0</v>
      </c>
      <c r="L18">
        <f>IF(17&lt;=$G$32,INDEX('Batch'!$H$18:$H$41,Q18),IF(AND(17=$G$32+1,ISNUMBER($C$32)),$C$32,NA()))</f>
        <v>0</v>
      </c>
      <c r="M18">
        <f>IF(17&lt;=$G$32,INDEX('Batch'!$Q$18:$Q$41,Q18),NA())</f>
        <v>0</v>
      </c>
      <c r="N18">
        <f>IF(AND(17=$G$32+1,ISNUMBER($D$32)),$D$32,NA())</f>
        <v>0</v>
      </c>
      <c r="O18">
        <f>IF(17&lt;=$G$32+1,$H$32,NA())</f>
        <v>0</v>
      </c>
      <c r="P18">
        <f>IF(17&lt;=$G$32+1,-$H$32,NA())</f>
        <v>0</v>
      </c>
      <c r="Q18">
        <f>IF(17&lt;=$G$32,MATCH(17,'Batch'!$V$18:$V$41,0),"")</f>
        <v>0</v>
      </c>
      <c r="R18">
        <v>17</v>
      </c>
      <c r="S18">
        <f>IF(17&lt;=$G$33,TEXT(HOUR(INDEX('Batch'!$C$18:$C$41,Z18)),"00")&amp;":"&amp;TEXT(MINUTE(INDEX('Batch'!$C$18:$C$41,Z18)),"00")&amp;CHAR(10)&amp;TEXT(DAY(INDEX('Batch'!$C$18:$C$41,Z18)),"00")&amp;"/"&amp;TEXT(MONTH(INDEX('Batch'!$C$18:$C$41,Z18)),"00"),IF(17=$G$33+1,"Média",""))</f>
        <v>0</v>
      </c>
      <c r="T18">
        <f>IF(17&lt;=$G$33,INDEX('Batch'!$I$18:$I$41,Z18),IF(AND(17=$G$33+1,ISNUMBER($B$33)),$B$33,NA()))</f>
        <v>0</v>
      </c>
      <c r="U18">
        <f>IF(17&lt;=$G$33,INDEX('Batch'!$J$18:$J$41,Z18),IF(AND(17=$G$33+1,ISNUMBER($C$33)),$C$33,NA()))</f>
        <v>0</v>
      </c>
      <c r="V18">
        <f>IF(17&lt;=$G$33,INDEX('Batch'!$R$18:$R$41,Z18),NA())</f>
        <v>0</v>
      </c>
      <c r="W18">
        <f>IF(AND(17=$G$33+1,ISNUMBER($D$33)),$D$33,NA())</f>
        <v>0</v>
      </c>
      <c r="X18">
        <f>IF(17&lt;=$G$33+1,$H$33,NA())</f>
        <v>0</v>
      </c>
      <c r="Y18">
        <f>IF(17&lt;=$G$33+1,-$H$33,NA())</f>
        <v>0</v>
      </c>
      <c r="Z18">
        <f>IF(17&lt;=$G$33,MATCH(17,'Batch'!$W$18:$W$41,0),"")</f>
        <v>0</v>
      </c>
      <c r="AA18">
        <v>17</v>
      </c>
      <c r="AB18">
        <f>IF(17&lt;=$G$34,TEXT(HOUR(INDEX('Batch'!$C$18:$C$41,AI18)),"00")&amp;":"&amp;TEXT(MINUTE(INDEX('Batch'!$C$18:$C$41,AI18)),"00")&amp;CHAR(10)&amp;TEXT(DAY(INDEX('Batch'!$C$18:$C$41,AI18)),"00")&amp;"/"&amp;TEXT(MONTH(INDEX('Batch'!$C$18:$C$41,AI18)),"00"),IF(17=$G$34+1,"Média",""))</f>
        <v>0</v>
      </c>
      <c r="AC18">
        <f>IF(17&lt;=$G$34,INDEX('Batch'!$K$18:$K$41,AI18),IF(AND(17=$G$34+1,ISNUMBER($B$34)),$B$34,NA()))</f>
        <v>0</v>
      </c>
      <c r="AD18">
        <f>IF(17&lt;=$G$34,INDEX('Batch'!$L$18:$L$41,AI18),IF(AND(17=$G$34+1,ISNUMBER($C$34)),$C$34,NA()))</f>
        <v>0</v>
      </c>
      <c r="AE18">
        <f>IF(17&lt;=$G$34,INDEX('Batch'!$S$18:$S$41,AI18),NA())</f>
        <v>0</v>
      </c>
      <c r="AF18">
        <f>IF(AND(17=$G$34+1,ISNUMBER($D$34)),$D$34,NA())</f>
        <v>0</v>
      </c>
      <c r="AG18">
        <f>IF(17&lt;=$G$34+1,$H$34,NA())</f>
        <v>0</v>
      </c>
      <c r="AH18">
        <f>IF(17&lt;=$G$34+1,-$H$34,NA())</f>
        <v>0</v>
      </c>
      <c r="AI18">
        <f>IF(17&lt;=$G$34,MATCH(17,'Batch'!$X$18:$X$41,0),"")</f>
        <v>0</v>
      </c>
      <c r="AJ18">
        <v>17</v>
      </c>
      <c r="AK18">
        <f>IF(17&lt;=$G$35,TEXT(HOUR(INDEX('Batch'!$C$18:$C$41,AR18)),"00")&amp;":"&amp;TEXT(MINUTE(INDEX('Batch'!$C$18:$C$41,AR18)),"00")&amp;CHAR(10)&amp;TEXT(DAY(INDEX('Batch'!$C$18:$C$41,AR18)),"00")&amp;"/"&amp;TEXT(MONTH(INDEX('Batch'!$C$18:$C$41,AR18)),"00"),IF(17=$G$35+1,"Média",""))</f>
        <v>0</v>
      </c>
      <c r="AL18">
        <f>IF(17&lt;=$G$35,INDEX('Batch'!$M$18:$M$41,AR18),IF(AND(17=$G$35+1,ISNUMBER($B$35)),$B$35,NA()))</f>
        <v>0</v>
      </c>
      <c r="AM18">
        <f>IF(17&lt;=$G$35,INDEX('Batch'!$N$18:$N$41,AR18),IF(AND(17=$G$35+1,ISNUMBER($C$35)),$C$35,NA()))</f>
        <v>0</v>
      </c>
      <c r="AN18">
        <f>IF(17&lt;=$G$35,INDEX('Batch'!$T$18:$T$41,AR18),NA())</f>
        <v>0</v>
      </c>
      <c r="AO18">
        <f>IF(AND(17=$G$35+1,ISNUMBER($D$35)),$D$35,NA())</f>
        <v>0</v>
      </c>
      <c r="AP18">
        <f>IF(17&lt;=$G$35+1,$H$35,NA())</f>
        <v>0</v>
      </c>
      <c r="AQ18">
        <f>IF(17&lt;=$G$35+1,-$H$35,NA())</f>
        <v>0</v>
      </c>
      <c r="AR18">
        <f>IF(17&lt;=$G$35,MATCH(17,'Batch'!$Y$18:$Y$41,0),"")</f>
        <v>0</v>
      </c>
      <c r="AS18">
        <v>17</v>
      </c>
    </row>
    <row r="19" spans="1:45">
      <c r="A19">
        <f>IF(18&lt;=$G$31,TEXT(HOUR(INDEX('Batch'!$C$18:$C$41,H19)),"00")&amp;":"&amp;TEXT(MINUTE(INDEX('Batch'!$C$18:$C$41,H19)),"00")&amp;CHAR(10)&amp;TEXT(DAY(INDEX('Batch'!$C$18:$C$41,H19)),"00")&amp;"/"&amp;TEXT(MONTH(INDEX('Batch'!$C$18:$C$41,H19)),"00"),IF(18=$G$31+1,"Média",""))</f>
        <v>0</v>
      </c>
      <c r="B19">
        <f>IF(18&lt;=$G$31,INDEX('Batch'!$E$18:$E$41,H19),IF(AND(18=$G$31+1,ISNUMBER($B$31)),$B$31,NA()))</f>
        <v>0</v>
      </c>
      <c r="C19">
        <f>IF(18&lt;=$G$31,INDEX('Batch'!$F$18:$F$41,H19),IF(AND(18=$G$31+1,ISNUMBER($C$31)),$C$31,NA()))</f>
        <v>0</v>
      </c>
      <c r="D19">
        <f>IF(18&lt;=$G$31,INDEX('Batch'!$P$18:$P$41,H19),NA())</f>
        <v>0</v>
      </c>
      <c r="E19">
        <f>IF(AND(18=$G$31+1,ISNUMBER($D$31)),$D$31,NA())</f>
        <v>0</v>
      </c>
      <c r="F19">
        <f>IF(18&lt;=$G$31+1,$H$31,NA())</f>
        <v>0</v>
      </c>
      <c r="G19">
        <f>IF(18&lt;=$G$31+1,-$H$31,NA())</f>
        <v>0</v>
      </c>
      <c r="H19">
        <f>IF(18&lt;=$G$31,MATCH(18,'Batch'!$U$18:$U$41,0),"")</f>
        <v>0</v>
      </c>
      <c r="I19">
        <v>18</v>
      </c>
      <c r="J19">
        <f>IF(18&lt;=$G$32,TEXT(HOUR(INDEX('Batch'!$C$18:$C$41,Q19)),"00")&amp;":"&amp;TEXT(MINUTE(INDEX('Batch'!$C$18:$C$41,Q19)),"00")&amp;CHAR(10)&amp;TEXT(DAY(INDEX('Batch'!$C$18:$C$41,Q19)),"00")&amp;"/"&amp;TEXT(MONTH(INDEX('Batch'!$C$18:$C$41,Q19)),"00"),IF(18=$G$32+1,"Média",""))</f>
        <v>0</v>
      </c>
      <c r="K19">
        <f>IF(18&lt;=$G$32,INDEX('Batch'!$G$18:$G$41,Q19),IF(AND(18=$G$32+1,ISNUMBER($B$32)),$B$32,NA()))</f>
        <v>0</v>
      </c>
      <c r="L19">
        <f>IF(18&lt;=$G$32,INDEX('Batch'!$H$18:$H$41,Q19),IF(AND(18=$G$32+1,ISNUMBER($C$32)),$C$32,NA()))</f>
        <v>0</v>
      </c>
      <c r="M19">
        <f>IF(18&lt;=$G$32,INDEX('Batch'!$Q$18:$Q$41,Q19),NA())</f>
        <v>0</v>
      </c>
      <c r="N19">
        <f>IF(AND(18=$G$32+1,ISNUMBER($D$32)),$D$32,NA())</f>
        <v>0</v>
      </c>
      <c r="O19">
        <f>IF(18&lt;=$G$32+1,$H$32,NA())</f>
        <v>0</v>
      </c>
      <c r="P19">
        <f>IF(18&lt;=$G$32+1,-$H$32,NA())</f>
        <v>0</v>
      </c>
      <c r="Q19">
        <f>IF(18&lt;=$G$32,MATCH(18,'Batch'!$V$18:$V$41,0),"")</f>
        <v>0</v>
      </c>
      <c r="R19">
        <v>18</v>
      </c>
      <c r="S19">
        <f>IF(18&lt;=$G$33,TEXT(HOUR(INDEX('Batch'!$C$18:$C$41,Z19)),"00")&amp;":"&amp;TEXT(MINUTE(INDEX('Batch'!$C$18:$C$41,Z19)),"00")&amp;CHAR(10)&amp;TEXT(DAY(INDEX('Batch'!$C$18:$C$41,Z19)),"00")&amp;"/"&amp;TEXT(MONTH(INDEX('Batch'!$C$18:$C$41,Z19)),"00"),IF(18=$G$33+1,"Média",""))</f>
        <v>0</v>
      </c>
      <c r="T19">
        <f>IF(18&lt;=$G$33,INDEX('Batch'!$I$18:$I$41,Z19),IF(AND(18=$G$33+1,ISNUMBER($B$33)),$B$33,NA()))</f>
        <v>0</v>
      </c>
      <c r="U19">
        <f>IF(18&lt;=$G$33,INDEX('Batch'!$J$18:$J$41,Z19),IF(AND(18=$G$33+1,ISNUMBER($C$33)),$C$33,NA()))</f>
        <v>0</v>
      </c>
      <c r="V19">
        <f>IF(18&lt;=$G$33,INDEX('Batch'!$R$18:$R$41,Z19),NA())</f>
        <v>0</v>
      </c>
      <c r="W19">
        <f>IF(AND(18=$G$33+1,ISNUMBER($D$33)),$D$33,NA())</f>
        <v>0</v>
      </c>
      <c r="X19">
        <f>IF(18&lt;=$G$33+1,$H$33,NA())</f>
        <v>0</v>
      </c>
      <c r="Y19">
        <f>IF(18&lt;=$G$33+1,-$H$33,NA())</f>
        <v>0</v>
      </c>
      <c r="Z19">
        <f>IF(18&lt;=$G$33,MATCH(18,'Batch'!$W$18:$W$41,0),"")</f>
        <v>0</v>
      </c>
      <c r="AA19">
        <v>18</v>
      </c>
      <c r="AB19">
        <f>IF(18&lt;=$G$34,TEXT(HOUR(INDEX('Batch'!$C$18:$C$41,AI19)),"00")&amp;":"&amp;TEXT(MINUTE(INDEX('Batch'!$C$18:$C$41,AI19)),"00")&amp;CHAR(10)&amp;TEXT(DAY(INDEX('Batch'!$C$18:$C$41,AI19)),"00")&amp;"/"&amp;TEXT(MONTH(INDEX('Batch'!$C$18:$C$41,AI19)),"00"),IF(18=$G$34+1,"Média",""))</f>
        <v>0</v>
      </c>
      <c r="AC19">
        <f>IF(18&lt;=$G$34,INDEX('Batch'!$K$18:$K$41,AI19),IF(AND(18=$G$34+1,ISNUMBER($B$34)),$B$34,NA()))</f>
        <v>0</v>
      </c>
      <c r="AD19">
        <f>IF(18&lt;=$G$34,INDEX('Batch'!$L$18:$L$41,AI19),IF(AND(18=$G$34+1,ISNUMBER($C$34)),$C$34,NA()))</f>
        <v>0</v>
      </c>
      <c r="AE19">
        <f>IF(18&lt;=$G$34,INDEX('Batch'!$S$18:$S$41,AI19),NA())</f>
        <v>0</v>
      </c>
      <c r="AF19">
        <f>IF(AND(18=$G$34+1,ISNUMBER($D$34)),$D$34,NA())</f>
        <v>0</v>
      </c>
      <c r="AG19">
        <f>IF(18&lt;=$G$34+1,$H$34,NA())</f>
        <v>0</v>
      </c>
      <c r="AH19">
        <f>IF(18&lt;=$G$34+1,-$H$34,NA())</f>
        <v>0</v>
      </c>
      <c r="AI19">
        <f>IF(18&lt;=$G$34,MATCH(18,'Batch'!$X$18:$X$41,0),"")</f>
        <v>0</v>
      </c>
      <c r="AJ19">
        <v>18</v>
      </c>
      <c r="AK19">
        <f>IF(18&lt;=$G$35,TEXT(HOUR(INDEX('Batch'!$C$18:$C$41,AR19)),"00")&amp;":"&amp;TEXT(MINUTE(INDEX('Batch'!$C$18:$C$41,AR19)),"00")&amp;CHAR(10)&amp;TEXT(DAY(INDEX('Batch'!$C$18:$C$41,AR19)),"00")&amp;"/"&amp;TEXT(MONTH(INDEX('Batch'!$C$18:$C$41,AR19)),"00"),IF(18=$G$35+1,"Média",""))</f>
        <v>0</v>
      </c>
      <c r="AL19">
        <f>IF(18&lt;=$G$35,INDEX('Batch'!$M$18:$M$41,AR19),IF(AND(18=$G$35+1,ISNUMBER($B$35)),$B$35,NA()))</f>
        <v>0</v>
      </c>
      <c r="AM19">
        <f>IF(18&lt;=$G$35,INDEX('Batch'!$N$18:$N$41,AR19),IF(AND(18=$G$35+1,ISNUMBER($C$35)),$C$35,NA()))</f>
        <v>0</v>
      </c>
      <c r="AN19">
        <f>IF(18&lt;=$G$35,INDEX('Batch'!$T$18:$T$41,AR19),NA())</f>
        <v>0</v>
      </c>
      <c r="AO19">
        <f>IF(AND(18=$G$35+1,ISNUMBER($D$35)),$D$35,NA())</f>
        <v>0</v>
      </c>
      <c r="AP19">
        <f>IF(18&lt;=$G$35+1,$H$35,NA())</f>
        <v>0</v>
      </c>
      <c r="AQ19">
        <f>IF(18&lt;=$G$35+1,-$H$35,NA())</f>
        <v>0</v>
      </c>
      <c r="AR19">
        <f>IF(18&lt;=$G$35,MATCH(18,'Batch'!$Y$18:$Y$41,0),"")</f>
        <v>0</v>
      </c>
      <c r="AS19">
        <v>18</v>
      </c>
    </row>
    <row r="20" spans="1:45">
      <c r="A20">
        <f>IF(19&lt;=$G$31,TEXT(HOUR(INDEX('Batch'!$C$18:$C$41,H20)),"00")&amp;":"&amp;TEXT(MINUTE(INDEX('Batch'!$C$18:$C$41,H20)),"00")&amp;CHAR(10)&amp;TEXT(DAY(INDEX('Batch'!$C$18:$C$41,H20)),"00")&amp;"/"&amp;TEXT(MONTH(INDEX('Batch'!$C$18:$C$41,H20)),"00"),IF(19=$G$31+1,"Média",""))</f>
        <v>0</v>
      </c>
      <c r="B20">
        <f>IF(19&lt;=$G$31,INDEX('Batch'!$E$18:$E$41,H20),IF(AND(19=$G$31+1,ISNUMBER($B$31)),$B$31,NA()))</f>
        <v>0</v>
      </c>
      <c r="C20">
        <f>IF(19&lt;=$G$31,INDEX('Batch'!$F$18:$F$41,H20),IF(AND(19=$G$31+1,ISNUMBER($C$31)),$C$31,NA()))</f>
        <v>0</v>
      </c>
      <c r="D20">
        <f>IF(19&lt;=$G$31,INDEX('Batch'!$P$18:$P$41,H20),NA())</f>
        <v>0</v>
      </c>
      <c r="E20">
        <f>IF(AND(19=$G$31+1,ISNUMBER($D$31)),$D$31,NA())</f>
        <v>0</v>
      </c>
      <c r="F20">
        <f>IF(19&lt;=$G$31+1,$H$31,NA())</f>
        <v>0</v>
      </c>
      <c r="G20">
        <f>IF(19&lt;=$G$31+1,-$H$31,NA())</f>
        <v>0</v>
      </c>
      <c r="H20">
        <f>IF(19&lt;=$G$31,MATCH(19,'Batch'!$U$18:$U$41,0),"")</f>
        <v>0</v>
      </c>
      <c r="I20">
        <v>19</v>
      </c>
      <c r="J20">
        <f>IF(19&lt;=$G$32,TEXT(HOUR(INDEX('Batch'!$C$18:$C$41,Q20)),"00")&amp;":"&amp;TEXT(MINUTE(INDEX('Batch'!$C$18:$C$41,Q20)),"00")&amp;CHAR(10)&amp;TEXT(DAY(INDEX('Batch'!$C$18:$C$41,Q20)),"00")&amp;"/"&amp;TEXT(MONTH(INDEX('Batch'!$C$18:$C$41,Q20)),"00"),IF(19=$G$32+1,"Média",""))</f>
        <v>0</v>
      </c>
      <c r="K20">
        <f>IF(19&lt;=$G$32,INDEX('Batch'!$G$18:$G$41,Q20),IF(AND(19=$G$32+1,ISNUMBER($B$32)),$B$32,NA()))</f>
        <v>0</v>
      </c>
      <c r="L20">
        <f>IF(19&lt;=$G$32,INDEX('Batch'!$H$18:$H$41,Q20),IF(AND(19=$G$32+1,ISNUMBER($C$32)),$C$32,NA()))</f>
        <v>0</v>
      </c>
      <c r="M20">
        <f>IF(19&lt;=$G$32,INDEX('Batch'!$Q$18:$Q$41,Q20),NA())</f>
        <v>0</v>
      </c>
      <c r="N20">
        <f>IF(AND(19=$G$32+1,ISNUMBER($D$32)),$D$32,NA())</f>
        <v>0</v>
      </c>
      <c r="O20">
        <f>IF(19&lt;=$G$32+1,$H$32,NA())</f>
        <v>0</v>
      </c>
      <c r="P20">
        <f>IF(19&lt;=$G$32+1,-$H$32,NA())</f>
        <v>0</v>
      </c>
      <c r="Q20">
        <f>IF(19&lt;=$G$32,MATCH(19,'Batch'!$V$18:$V$41,0),"")</f>
        <v>0</v>
      </c>
      <c r="R20">
        <v>19</v>
      </c>
      <c r="S20">
        <f>IF(19&lt;=$G$33,TEXT(HOUR(INDEX('Batch'!$C$18:$C$41,Z20)),"00")&amp;":"&amp;TEXT(MINUTE(INDEX('Batch'!$C$18:$C$41,Z20)),"00")&amp;CHAR(10)&amp;TEXT(DAY(INDEX('Batch'!$C$18:$C$41,Z20)),"00")&amp;"/"&amp;TEXT(MONTH(INDEX('Batch'!$C$18:$C$41,Z20)),"00"),IF(19=$G$33+1,"Média",""))</f>
        <v>0</v>
      </c>
      <c r="T20">
        <f>IF(19&lt;=$G$33,INDEX('Batch'!$I$18:$I$41,Z20),IF(AND(19=$G$33+1,ISNUMBER($B$33)),$B$33,NA()))</f>
        <v>0</v>
      </c>
      <c r="U20">
        <f>IF(19&lt;=$G$33,INDEX('Batch'!$J$18:$J$41,Z20),IF(AND(19=$G$33+1,ISNUMBER($C$33)),$C$33,NA()))</f>
        <v>0</v>
      </c>
      <c r="V20">
        <f>IF(19&lt;=$G$33,INDEX('Batch'!$R$18:$R$41,Z20),NA())</f>
        <v>0</v>
      </c>
      <c r="W20">
        <f>IF(AND(19=$G$33+1,ISNUMBER($D$33)),$D$33,NA())</f>
        <v>0</v>
      </c>
      <c r="X20">
        <f>IF(19&lt;=$G$33+1,$H$33,NA())</f>
        <v>0</v>
      </c>
      <c r="Y20">
        <f>IF(19&lt;=$G$33+1,-$H$33,NA())</f>
        <v>0</v>
      </c>
      <c r="Z20">
        <f>IF(19&lt;=$G$33,MATCH(19,'Batch'!$W$18:$W$41,0),"")</f>
        <v>0</v>
      </c>
      <c r="AA20">
        <v>19</v>
      </c>
      <c r="AB20">
        <f>IF(19&lt;=$G$34,TEXT(HOUR(INDEX('Batch'!$C$18:$C$41,AI20)),"00")&amp;":"&amp;TEXT(MINUTE(INDEX('Batch'!$C$18:$C$41,AI20)),"00")&amp;CHAR(10)&amp;TEXT(DAY(INDEX('Batch'!$C$18:$C$41,AI20)),"00")&amp;"/"&amp;TEXT(MONTH(INDEX('Batch'!$C$18:$C$41,AI20)),"00"),IF(19=$G$34+1,"Média",""))</f>
        <v>0</v>
      </c>
      <c r="AC20">
        <f>IF(19&lt;=$G$34,INDEX('Batch'!$K$18:$K$41,AI20),IF(AND(19=$G$34+1,ISNUMBER($B$34)),$B$34,NA()))</f>
        <v>0</v>
      </c>
      <c r="AD20">
        <f>IF(19&lt;=$G$34,INDEX('Batch'!$L$18:$L$41,AI20),IF(AND(19=$G$34+1,ISNUMBER($C$34)),$C$34,NA()))</f>
        <v>0</v>
      </c>
      <c r="AE20">
        <f>IF(19&lt;=$G$34,INDEX('Batch'!$S$18:$S$41,AI20),NA())</f>
        <v>0</v>
      </c>
      <c r="AF20">
        <f>IF(AND(19=$G$34+1,ISNUMBER($D$34)),$D$34,NA())</f>
        <v>0</v>
      </c>
      <c r="AG20">
        <f>IF(19&lt;=$G$34+1,$H$34,NA())</f>
        <v>0</v>
      </c>
      <c r="AH20">
        <f>IF(19&lt;=$G$34+1,-$H$34,NA())</f>
        <v>0</v>
      </c>
      <c r="AI20">
        <f>IF(19&lt;=$G$34,MATCH(19,'Batch'!$X$18:$X$41,0),"")</f>
        <v>0</v>
      </c>
      <c r="AJ20">
        <v>19</v>
      </c>
      <c r="AK20">
        <f>IF(19&lt;=$G$35,TEXT(HOUR(INDEX('Batch'!$C$18:$C$41,AR20)),"00")&amp;":"&amp;TEXT(MINUTE(INDEX('Batch'!$C$18:$C$41,AR20)),"00")&amp;CHAR(10)&amp;TEXT(DAY(INDEX('Batch'!$C$18:$C$41,AR20)),"00")&amp;"/"&amp;TEXT(MONTH(INDEX('Batch'!$C$18:$C$41,AR20)),"00"),IF(19=$G$35+1,"Média",""))</f>
        <v>0</v>
      </c>
      <c r="AL20">
        <f>IF(19&lt;=$G$35,INDEX('Batch'!$M$18:$M$41,AR20),IF(AND(19=$G$35+1,ISNUMBER($B$35)),$B$35,NA()))</f>
        <v>0</v>
      </c>
      <c r="AM20">
        <f>IF(19&lt;=$G$35,INDEX('Batch'!$N$18:$N$41,AR20),IF(AND(19=$G$35+1,ISNUMBER($C$35)),$C$35,NA()))</f>
        <v>0</v>
      </c>
      <c r="AN20">
        <f>IF(19&lt;=$G$35,INDEX('Batch'!$T$18:$T$41,AR20),NA())</f>
        <v>0</v>
      </c>
      <c r="AO20">
        <f>IF(AND(19=$G$35+1,ISNUMBER($D$35)),$D$35,NA())</f>
        <v>0</v>
      </c>
      <c r="AP20">
        <f>IF(19&lt;=$G$35+1,$H$35,NA())</f>
        <v>0</v>
      </c>
      <c r="AQ20">
        <f>IF(19&lt;=$G$35+1,-$H$35,NA())</f>
        <v>0</v>
      </c>
      <c r="AR20">
        <f>IF(19&lt;=$G$35,MATCH(19,'Batch'!$Y$18:$Y$41,0),"")</f>
        <v>0</v>
      </c>
      <c r="AS20">
        <v>19</v>
      </c>
    </row>
    <row r="21" spans="1:45">
      <c r="A21">
        <f>IF(20&lt;=$G$31,TEXT(HOUR(INDEX('Batch'!$C$18:$C$41,H21)),"00")&amp;":"&amp;TEXT(MINUTE(INDEX('Batch'!$C$18:$C$41,H21)),"00")&amp;CHAR(10)&amp;TEXT(DAY(INDEX('Batch'!$C$18:$C$41,H21)),"00")&amp;"/"&amp;TEXT(MONTH(INDEX('Batch'!$C$18:$C$41,H21)),"00"),IF(20=$G$31+1,"Média",""))</f>
        <v>0</v>
      </c>
      <c r="B21">
        <f>IF(20&lt;=$G$31,INDEX('Batch'!$E$18:$E$41,H21),IF(AND(20=$G$31+1,ISNUMBER($B$31)),$B$31,NA()))</f>
        <v>0</v>
      </c>
      <c r="C21">
        <f>IF(20&lt;=$G$31,INDEX('Batch'!$F$18:$F$41,H21),IF(AND(20=$G$31+1,ISNUMBER($C$31)),$C$31,NA()))</f>
        <v>0</v>
      </c>
      <c r="D21">
        <f>IF(20&lt;=$G$31,INDEX('Batch'!$P$18:$P$41,H21),NA())</f>
        <v>0</v>
      </c>
      <c r="E21">
        <f>IF(AND(20=$G$31+1,ISNUMBER($D$31)),$D$31,NA())</f>
        <v>0</v>
      </c>
      <c r="F21">
        <f>IF(20&lt;=$G$31+1,$H$31,NA())</f>
        <v>0</v>
      </c>
      <c r="G21">
        <f>IF(20&lt;=$G$31+1,-$H$31,NA())</f>
        <v>0</v>
      </c>
      <c r="H21">
        <f>IF(20&lt;=$G$31,MATCH(20,'Batch'!$U$18:$U$41,0),"")</f>
        <v>0</v>
      </c>
      <c r="I21">
        <v>20</v>
      </c>
      <c r="J21">
        <f>IF(20&lt;=$G$32,TEXT(HOUR(INDEX('Batch'!$C$18:$C$41,Q21)),"00")&amp;":"&amp;TEXT(MINUTE(INDEX('Batch'!$C$18:$C$41,Q21)),"00")&amp;CHAR(10)&amp;TEXT(DAY(INDEX('Batch'!$C$18:$C$41,Q21)),"00")&amp;"/"&amp;TEXT(MONTH(INDEX('Batch'!$C$18:$C$41,Q21)),"00"),IF(20=$G$32+1,"Média",""))</f>
        <v>0</v>
      </c>
      <c r="K21">
        <f>IF(20&lt;=$G$32,INDEX('Batch'!$G$18:$G$41,Q21),IF(AND(20=$G$32+1,ISNUMBER($B$32)),$B$32,NA()))</f>
        <v>0</v>
      </c>
      <c r="L21">
        <f>IF(20&lt;=$G$32,INDEX('Batch'!$H$18:$H$41,Q21),IF(AND(20=$G$32+1,ISNUMBER($C$32)),$C$32,NA()))</f>
        <v>0</v>
      </c>
      <c r="M21">
        <f>IF(20&lt;=$G$32,INDEX('Batch'!$Q$18:$Q$41,Q21),NA())</f>
        <v>0</v>
      </c>
      <c r="N21">
        <f>IF(AND(20=$G$32+1,ISNUMBER($D$32)),$D$32,NA())</f>
        <v>0</v>
      </c>
      <c r="O21">
        <f>IF(20&lt;=$G$32+1,$H$32,NA())</f>
        <v>0</v>
      </c>
      <c r="P21">
        <f>IF(20&lt;=$G$32+1,-$H$32,NA())</f>
        <v>0</v>
      </c>
      <c r="Q21">
        <f>IF(20&lt;=$G$32,MATCH(20,'Batch'!$V$18:$V$41,0),"")</f>
        <v>0</v>
      </c>
      <c r="R21">
        <v>20</v>
      </c>
      <c r="S21">
        <f>IF(20&lt;=$G$33,TEXT(HOUR(INDEX('Batch'!$C$18:$C$41,Z21)),"00")&amp;":"&amp;TEXT(MINUTE(INDEX('Batch'!$C$18:$C$41,Z21)),"00")&amp;CHAR(10)&amp;TEXT(DAY(INDEX('Batch'!$C$18:$C$41,Z21)),"00")&amp;"/"&amp;TEXT(MONTH(INDEX('Batch'!$C$18:$C$41,Z21)),"00"),IF(20=$G$33+1,"Média",""))</f>
        <v>0</v>
      </c>
      <c r="T21">
        <f>IF(20&lt;=$G$33,INDEX('Batch'!$I$18:$I$41,Z21),IF(AND(20=$G$33+1,ISNUMBER($B$33)),$B$33,NA()))</f>
        <v>0</v>
      </c>
      <c r="U21">
        <f>IF(20&lt;=$G$33,INDEX('Batch'!$J$18:$J$41,Z21),IF(AND(20=$G$33+1,ISNUMBER($C$33)),$C$33,NA()))</f>
        <v>0</v>
      </c>
      <c r="V21">
        <f>IF(20&lt;=$G$33,INDEX('Batch'!$R$18:$R$41,Z21),NA())</f>
        <v>0</v>
      </c>
      <c r="W21">
        <f>IF(AND(20=$G$33+1,ISNUMBER($D$33)),$D$33,NA())</f>
        <v>0</v>
      </c>
      <c r="X21">
        <f>IF(20&lt;=$G$33+1,$H$33,NA())</f>
        <v>0</v>
      </c>
      <c r="Y21">
        <f>IF(20&lt;=$G$33+1,-$H$33,NA())</f>
        <v>0</v>
      </c>
      <c r="Z21">
        <f>IF(20&lt;=$G$33,MATCH(20,'Batch'!$W$18:$W$41,0),"")</f>
        <v>0</v>
      </c>
      <c r="AA21">
        <v>20</v>
      </c>
      <c r="AB21">
        <f>IF(20&lt;=$G$34,TEXT(HOUR(INDEX('Batch'!$C$18:$C$41,AI21)),"00")&amp;":"&amp;TEXT(MINUTE(INDEX('Batch'!$C$18:$C$41,AI21)),"00")&amp;CHAR(10)&amp;TEXT(DAY(INDEX('Batch'!$C$18:$C$41,AI21)),"00")&amp;"/"&amp;TEXT(MONTH(INDEX('Batch'!$C$18:$C$41,AI21)),"00"),IF(20=$G$34+1,"Média",""))</f>
        <v>0</v>
      </c>
      <c r="AC21">
        <f>IF(20&lt;=$G$34,INDEX('Batch'!$K$18:$K$41,AI21),IF(AND(20=$G$34+1,ISNUMBER($B$34)),$B$34,NA()))</f>
        <v>0</v>
      </c>
      <c r="AD21">
        <f>IF(20&lt;=$G$34,INDEX('Batch'!$L$18:$L$41,AI21),IF(AND(20=$G$34+1,ISNUMBER($C$34)),$C$34,NA()))</f>
        <v>0</v>
      </c>
      <c r="AE21">
        <f>IF(20&lt;=$G$34,INDEX('Batch'!$S$18:$S$41,AI21),NA())</f>
        <v>0</v>
      </c>
      <c r="AF21">
        <f>IF(AND(20=$G$34+1,ISNUMBER($D$34)),$D$34,NA())</f>
        <v>0</v>
      </c>
      <c r="AG21">
        <f>IF(20&lt;=$G$34+1,$H$34,NA())</f>
        <v>0</v>
      </c>
      <c r="AH21">
        <f>IF(20&lt;=$G$34+1,-$H$34,NA())</f>
        <v>0</v>
      </c>
      <c r="AI21">
        <f>IF(20&lt;=$G$34,MATCH(20,'Batch'!$X$18:$X$41,0),"")</f>
        <v>0</v>
      </c>
      <c r="AJ21">
        <v>20</v>
      </c>
      <c r="AK21">
        <f>IF(20&lt;=$G$35,TEXT(HOUR(INDEX('Batch'!$C$18:$C$41,AR21)),"00")&amp;":"&amp;TEXT(MINUTE(INDEX('Batch'!$C$18:$C$41,AR21)),"00")&amp;CHAR(10)&amp;TEXT(DAY(INDEX('Batch'!$C$18:$C$41,AR21)),"00")&amp;"/"&amp;TEXT(MONTH(INDEX('Batch'!$C$18:$C$41,AR21)),"00"),IF(20=$G$35+1,"Média",""))</f>
        <v>0</v>
      </c>
      <c r="AL21">
        <f>IF(20&lt;=$G$35,INDEX('Batch'!$M$18:$M$41,AR21),IF(AND(20=$G$35+1,ISNUMBER($B$35)),$B$35,NA()))</f>
        <v>0</v>
      </c>
      <c r="AM21">
        <f>IF(20&lt;=$G$35,INDEX('Batch'!$N$18:$N$41,AR21),IF(AND(20=$G$35+1,ISNUMBER($C$35)),$C$35,NA()))</f>
        <v>0</v>
      </c>
      <c r="AN21">
        <f>IF(20&lt;=$G$35,INDEX('Batch'!$T$18:$T$41,AR21),NA())</f>
        <v>0</v>
      </c>
      <c r="AO21">
        <f>IF(AND(20=$G$35+1,ISNUMBER($D$35)),$D$35,NA())</f>
        <v>0</v>
      </c>
      <c r="AP21">
        <f>IF(20&lt;=$G$35+1,$H$35,NA())</f>
        <v>0</v>
      </c>
      <c r="AQ21">
        <f>IF(20&lt;=$G$35+1,-$H$35,NA())</f>
        <v>0</v>
      </c>
      <c r="AR21">
        <f>IF(20&lt;=$G$35,MATCH(20,'Batch'!$Y$18:$Y$41,0),"")</f>
        <v>0</v>
      </c>
      <c r="AS21">
        <v>20</v>
      </c>
    </row>
    <row r="22" spans="1:45">
      <c r="A22">
        <f>IF(21&lt;=$G$31,TEXT(HOUR(INDEX('Batch'!$C$18:$C$41,H22)),"00")&amp;":"&amp;TEXT(MINUTE(INDEX('Batch'!$C$18:$C$41,H22)),"00")&amp;CHAR(10)&amp;TEXT(DAY(INDEX('Batch'!$C$18:$C$41,H22)),"00")&amp;"/"&amp;TEXT(MONTH(INDEX('Batch'!$C$18:$C$41,H22)),"00"),IF(21=$G$31+1,"Média",""))</f>
        <v>0</v>
      </c>
      <c r="B22">
        <f>IF(21&lt;=$G$31,INDEX('Batch'!$E$18:$E$41,H22),IF(AND(21=$G$31+1,ISNUMBER($B$31)),$B$31,NA()))</f>
        <v>0</v>
      </c>
      <c r="C22">
        <f>IF(21&lt;=$G$31,INDEX('Batch'!$F$18:$F$41,H22),IF(AND(21=$G$31+1,ISNUMBER($C$31)),$C$31,NA()))</f>
        <v>0</v>
      </c>
      <c r="D22">
        <f>IF(21&lt;=$G$31,INDEX('Batch'!$P$18:$P$41,H22),NA())</f>
        <v>0</v>
      </c>
      <c r="E22">
        <f>IF(AND(21=$G$31+1,ISNUMBER($D$31)),$D$31,NA())</f>
        <v>0</v>
      </c>
      <c r="F22">
        <f>IF(21&lt;=$G$31+1,$H$31,NA())</f>
        <v>0</v>
      </c>
      <c r="G22">
        <f>IF(21&lt;=$G$31+1,-$H$31,NA())</f>
        <v>0</v>
      </c>
      <c r="H22">
        <f>IF(21&lt;=$G$31,MATCH(21,'Batch'!$U$18:$U$41,0),"")</f>
        <v>0</v>
      </c>
      <c r="I22">
        <v>21</v>
      </c>
      <c r="J22">
        <f>IF(21&lt;=$G$32,TEXT(HOUR(INDEX('Batch'!$C$18:$C$41,Q22)),"00")&amp;":"&amp;TEXT(MINUTE(INDEX('Batch'!$C$18:$C$41,Q22)),"00")&amp;CHAR(10)&amp;TEXT(DAY(INDEX('Batch'!$C$18:$C$41,Q22)),"00")&amp;"/"&amp;TEXT(MONTH(INDEX('Batch'!$C$18:$C$41,Q22)),"00"),IF(21=$G$32+1,"Média",""))</f>
        <v>0</v>
      </c>
      <c r="K22">
        <f>IF(21&lt;=$G$32,INDEX('Batch'!$G$18:$G$41,Q22),IF(AND(21=$G$32+1,ISNUMBER($B$32)),$B$32,NA()))</f>
        <v>0</v>
      </c>
      <c r="L22">
        <f>IF(21&lt;=$G$32,INDEX('Batch'!$H$18:$H$41,Q22),IF(AND(21=$G$32+1,ISNUMBER($C$32)),$C$32,NA()))</f>
        <v>0</v>
      </c>
      <c r="M22">
        <f>IF(21&lt;=$G$32,INDEX('Batch'!$Q$18:$Q$41,Q22),NA())</f>
        <v>0</v>
      </c>
      <c r="N22">
        <f>IF(AND(21=$G$32+1,ISNUMBER($D$32)),$D$32,NA())</f>
        <v>0</v>
      </c>
      <c r="O22">
        <f>IF(21&lt;=$G$32+1,$H$32,NA())</f>
        <v>0</v>
      </c>
      <c r="P22">
        <f>IF(21&lt;=$G$32+1,-$H$32,NA())</f>
        <v>0</v>
      </c>
      <c r="Q22">
        <f>IF(21&lt;=$G$32,MATCH(21,'Batch'!$V$18:$V$41,0),"")</f>
        <v>0</v>
      </c>
      <c r="R22">
        <v>21</v>
      </c>
      <c r="S22">
        <f>IF(21&lt;=$G$33,TEXT(HOUR(INDEX('Batch'!$C$18:$C$41,Z22)),"00")&amp;":"&amp;TEXT(MINUTE(INDEX('Batch'!$C$18:$C$41,Z22)),"00")&amp;CHAR(10)&amp;TEXT(DAY(INDEX('Batch'!$C$18:$C$41,Z22)),"00")&amp;"/"&amp;TEXT(MONTH(INDEX('Batch'!$C$18:$C$41,Z22)),"00"),IF(21=$G$33+1,"Média",""))</f>
        <v>0</v>
      </c>
      <c r="T22">
        <f>IF(21&lt;=$G$33,INDEX('Batch'!$I$18:$I$41,Z22),IF(AND(21=$G$33+1,ISNUMBER($B$33)),$B$33,NA()))</f>
        <v>0</v>
      </c>
      <c r="U22">
        <f>IF(21&lt;=$G$33,INDEX('Batch'!$J$18:$J$41,Z22),IF(AND(21=$G$33+1,ISNUMBER($C$33)),$C$33,NA()))</f>
        <v>0</v>
      </c>
      <c r="V22">
        <f>IF(21&lt;=$G$33,INDEX('Batch'!$R$18:$R$41,Z22),NA())</f>
        <v>0</v>
      </c>
      <c r="W22">
        <f>IF(AND(21=$G$33+1,ISNUMBER($D$33)),$D$33,NA())</f>
        <v>0</v>
      </c>
      <c r="X22">
        <f>IF(21&lt;=$G$33+1,$H$33,NA())</f>
        <v>0</v>
      </c>
      <c r="Y22">
        <f>IF(21&lt;=$G$33+1,-$H$33,NA())</f>
        <v>0</v>
      </c>
      <c r="Z22">
        <f>IF(21&lt;=$G$33,MATCH(21,'Batch'!$W$18:$W$41,0),"")</f>
        <v>0</v>
      </c>
      <c r="AA22">
        <v>21</v>
      </c>
      <c r="AB22">
        <f>IF(21&lt;=$G$34,TEXT(HOUR(INDEX('Batch'!$C$18:$C$41,AI22)),"00")&amp;":"&amp;TEXT(MINUTE(INDEX('Batch'!$C$18:$C$41,AI22)),"00")&amp;CHAR(10)&amp;TEXT(DAY(INDEX('Batch'!$C$18:$C$41,AI22)),"00")&amp;"/"&amp;TEXT(MONTH(INDEX('Batch'!$C$18:$C$41,AI22)),"00"),IF(21=$G$34+1,"Média",""))</f>
        <v>0</v>
      </c>
      <c r="AC22">
        <f>IF(21&lt;=$G$34,INDEX('Batch'!$K$18:$K$41,AI22),IF(AND(21=$G$34+1,ISNUMBER($B$34)),$B$34,NA()))</f>
        <v>0</v>
      </c>
      <c r="AD22">
        <f>IF(21&lt;=$G$34,INDEX('Batch'!$L$18:$L$41,AI22),IF(AND(21=$G$34+1,ISNUMBER($C$34)),$C$34,NA()))</f>
        <v>0</v>
      </c>
      <c r="AE22">
        <f>IF(21&lt;=$G$34,INDEX('Batch'!$S$18:$S$41,AI22),NA())</f>
        <v>0</v>
      </c>
      <c r="AF22">
        <f>IF(AND(21=$G$34+1,ISNUMBER($D$34)),$D$34,NA())</f>
        <v>0</v>
      </c>
      <c r="AG22">
        <f>IF(21&lt;=$G$34+1,$H$34,NA())</f>
        <v>0</v>
      </c>
      <c r="AH22">
        <f>IF(21&lt;=$G$34+1,-$H$34,NA())</f>
        <v>0</v>
      </c>
      <c r="AI22">
        <f>IF(21&lt;=$G$34,MATCH(21,'Batch'!$X$18:$X$41,0),"")</f>
        <v>0</v>
      </c>
      <c r="AJ22">
        <v>21</v>
      </c>
      <c r="AK22">
        <f>IF(21&lt;=$G$35,TEXT(HOUR(INDEX('Batch'!$C$18:$C$41,AR22)),"00")&amp;":"&amp;TEXT(MINUTE(INDEX('Batch'!$C$18:$C$41,AR22)),"00")&amp;CHAR(10)&amp;TEXT(DAY(INDEX('Batch'!$C$18:$C$41,AR22)),"00")&amp;"/"&amp;TEXT(MONTH(INDEX('Batch'!$C$18:$C$41,AR22)),"00"),IF(21=$G$35+1,"Média",""))</f>
        <v>0</v>
      </c>
      <c r="AL22">
        <f>IF(21&lt;=$G$35,INDEX('Batch'!$M$18:$M$41,AR22),IF(AND(21=$G$35+1,ISNUMBER($B$35)),$B$35,NA()))</f>
        <v>0</v>
      </c>
      <c r="AM22">
        <f>IF(21&lt;=$G$35,INDEX('Batch'!$N$18:$N$41,AR22),IF(AND(21=$G$35+1,ISNUMBER($C$35)),$C$35,NA()))</f>
        <v>0</v>
      </c>
      <c r="AN22">
        <f>IF(21&lt;=$G$35,INDEX('Batch'!$T$18:$T$41,AR22),NA())</f>
        <v>0</v>
      </c>
      <c r="AO22">
        <f>IF(AND(21=$G$35+1,ISNUMBER($D$35)),$D$35,NA())</f>
        <v>0</v>
      </c>
      <c r="AP22">
        <f>IF(21&lt;=$G$35+1,$H$35,NA())</f>
        <v>0</v>
      </c>
      <c r="AQ22">
        <f>IF(21&lt;=$G$35+1,-$H$35,NA())</f>
        <v>0</v>
      </c>
      <c r="AR22">
        <f>IF(21&lt;=$G$35,MATCH(21,'Batch'!$Y$18:$Y$41,0),"")</f>
        <v>0</v>
      </c>
      <c r="AS22">
        <v>21</v>
      </c>
    </row>
    <row r="23" spans="1:45">
      <c r="A23">
        <f>IF(22&lt;=$G$31,TEXT(HOUR(INDEX('Batch'!$C$18:$C$41,H23)),"00")&amp;":"&amp;TEXT(MINUTE(INDEX('Batch'!$C$18:$C$41,H23)),"00")&amp;CHAR(10)&amp;TEXT(DAY(INDEX('Batch'!$C$18:$C$41,H23)),"00")&amp;"/"&amp;TEXT(MONTH(INDEX('Batch'!$C$18:$C$41,H23)),"00"),IF(22=$G$31+1,"Média",""))</f>
        <v>0</v>
      </c>
      <c r="B23">
        <f>IF(22&lt;=$G$31,INDEX('Batch'!$E$18:$E$41,H23),IF(AND(22=$G$31+1,ISNUMBER($B$31)),$B$31,NA()))</f>
        <v>0</v>
      </c>
      <c r="C23">
        <f>IF(22&lt;=$G$31,INDEX('Batch'!$F$18:$F$41,H23),IF(AND(22=$G$31+1,ISNUMBER($C$31)),$C$31,NA()))</f>
        <v>0</v>
      </c>
      <c r="D23">
        <f>IF(22&lt;=$G$31,INDEX('Batch'!$P$18:$P$41,H23),NA())</f>
        <v>0</v>
      </c>
      <c r="E23">
        <f>IF(AND(22=$G$31+1,ISNUMBER($D$31)),$D$31,NA())</f>
        <v>0</v>
      </c>
      <c r="F23">
        <f>IF(22&lt;=$G$31+1,$H$31,NA())</f>
        <v>0</v>
      </c>
      <c r="G23">
        <f>IF(22&lt;=$G$31+1,-$H$31,NA())</f>
        <v>0</v>
      </c>
      <c r="H23">
        <f>IF(22&lt;=$G$31,MATCH(22,'Batch'!$U$18:$U$41,0),"")</f>
        <v>0</v>
      </c>
      <c r="I23">
        <v>22</v>
      </c>
      <c r="J23">
        <f>IF(22&lt;=$G$32,TEXT(HOUR(INDEX('Batch'!$C$18:$C$41,Q23)),"00")&amp;":"&amp;TEXT(MINUTE(INDEX('Batch'!$C$18:$C$41,Q23)),"00")&amp;CHAR(10)&amp;TEXT(DAY(INDEX('Batch'!$C$18:$C$41,Q23)),"00")&amp;"/"&amp;TEXT(MONTH(INDEX('Batch'!$C$18:$C$41,Q23)),"00"),IF(22=$G$32+1,"Média",""))</f>
        <v>0</v>
      </c>
      <c r="K23">
        <f>IF(22&lt;=$G$32,INDEX('Batch'!$G$18:$G$41,Q23),IF(AND(22=$G$32+1,ISNUMBER($B$32)),$B$32,NA()))</f>
        <v>0</v>
      </c>
      <c r="L23">
        <f>IF(22&lt;=$G$32,INDEX('Batch'!$H$18:$H$41,Q23),IF(AND(22=$G$32+1,ISNUMBER($C$32)),$C$32,NA()))</f>
        <v>0</v>
      </c>
      <c r="M23">
        <f>IF(22&lt;=$G$32,INDEX('Batch'!$Q$18:$Q$41,Q23),NA())</f>
        <v>0</v>
      </c>
      <c r="N23">
        <f>IF(AND(22=$G$32+1,ISNUMBER($D$32)),$D$32,NA())</f>
        <v>0</v>
      </c>
      <c r="O23">
        <f>IF(22&lt;=$G$32+1,$H$32,NA())</f>
        <v>0</v>
      </c>
      <c r="P23">
        <f>IF(22&lt;=$G$32+1,-$H$32,NA())</f>
        <v>0</v>
      </c>
      <c r="Q23">
        <f>IF(22&lt;=$G$32,MATCH(22,'Batch'!$V$18:$V$41,0),"")</f>
        <v>0</v>
      </c>
      <c r="R23">
        <v>22</v>
      </c>
      <c r="S23">
        <f>IF(22&lt;=$G$33,TEXT(HOUR(INDEX('Batch'!$C$18:$C$41,Z23)),"00")&amp;":"&amp;TEXT(MINUTE(INDEX('Batch'!$C$18:$C$41,Z23)),"00")&amp;CHAR(10)&amp;TEXT(DAY(INDEX('Batch'!$C$18:$C$41,Z23)),"00")&amp;"/"&amp;TEXT(MONTH(INDEX('Batch'!$C$18:$C$41,Z23)),"00"),IF(22=$G$33+1,"Média",""))</f>
        <v>0</v>
      </c>
      <c r="T23">
        <f>IF(22&lt;=$G$33,INDEX('Batch'!$I$18:$I$41,Z23),IF(AND(22=$G$33+1,ISNUMBER($B$33)),$B$33,NA()))</f>
        <v>0</v>
      </c>
      <c r="U23">
        <f>IF(22&lt;=$G$33,INDEX('Batch'!$J$18:$J$41,Z23),IF(AND(22=$G$33+1,ISNUMBER($C$33)),$C$33,NA()))</f>
        <v>0</v>
      </c>
      <c r="V23">
        <f>IF(22&lt;=$G$33,INDEX('Batch'!$R$18:$R$41,Z23),NA())</f>
        <v>0</v>
      </c>
      <c r="W23">
        <f>IF(AND(22=$G$33+1,ISNUMBER($D$33)),$D$33,NA())</f>
        <v>0</v>
      </c>
      <c r="X23">
        <f>IF(22&lt;=$G$33+1,$H$33,NA())</f>
        <v>0</v>
      </c>
      <c r="Y23">
        <f>IF(22&lt;=$G$33+1,-$H$33,NA())</f>
        <v>0</v>
      </c>
      <c r="Z23">
        <f>IF(22&lt;=$G$33,MATCH(22,'Batch'!$W$18:$W$41,0),"")</f>
        <v>0</v>
      </c>
      <c r="AA23">
        <v>22</v>
      </c>
      <c r="AB23">
        <f>IF(22&lt;=$G$34,TEXT(HOUR(INDEX('Batch'!$C$18:$C$41,AI23)),"00")&amp;":"&amp;TEXT(MINUTE(INDEX('Batch'!$C$18:$C$41,AI23)),"00")&amp;CHAR(10)&amp;TEXT(DAY(INDEX('Batch'!$C$18:$C$41,AI23)),"00")&amp;"/"&amp;TEXT(MONTH(INDEX('Batch'!$C$18:$C$41,AI23)),"00"),IF(22=$G$34+1,"Média",""))</f>
        <v>0</v>
      </c>
      <c r="AC23">
        <f>IF(22&lt;=$G$34,INDEX('Batch'!$K$18:$K$41,AI23),IF(AND(22=$G$34+1,ISNUMBER($B$34)),$B$34,NA()))</f>
        <v>0</v>
      </c>
      <c r="AD23">
        <f>IF(22&lt;=$G$34,INDEX('Batch'!$L$18:$L$41,AI23),IF(AND(22=$G$34+1,ISNUMBER($C$34)),$C$34,NA()))</f>
        <v>0</v>
      </c>
      <c r="AE23">
        <f>IF(22&lt;=$G$34,INDEX('Batch'!$S$18:$S$41,AI23),NA())</f>
        <v>0</v>
      </c>
      <c r="AF23">
        <f>IF(AND(22=$G$34+1,ISNUMBER($D$34)),$D$34,NA())</f>
        <v>0</v>
      </c>
      <c r="AG23">
        <f>IF(22&lt;=$G$34+1,$H$34,NA())</f>
        <v>0</v>
      </c>
      <c r="AH23">
        <f>IF(22&lt;=$G$34+1,-$H$34,NA())</f>
        <v>0</v>
      </c>
      <c r="AI23">
        <f>IF(22&lt;=$G$34,MATCH(22,'Batch'!$X$18:$X$41,0),"")</f>
        <v>0</v>
      </c>
      <c r="AJ23">
        <v>22</v>
      </c>
      <c r="AK23">
        <f>IF(22&lt;=$G$35,TEXT(HOUR(INDEX('Batch'!$C$18:$C$41,AR23)),"00")&amp;":"&amp;TEXT(MINUTE(INDEX('Batch'!$C$18:$C$41,AR23)),"00")&amp;CHAR(10)&amp;TEXT(DAY(INDEX('Batch'!$C$18:$C$41,AR23)),"00")&amp;"/"&amp;TEXT(MONTH(INDEX('Batch'!$C$18:$C$41,AR23)),"00"),IF(22=$G$35+1,"Média",""))</f>
        <v>0</v>
      </c>
      <c r="AL23">
        <f>IF(22&lt;=$G$35,INDEX('Batch'!$M$18:$M$41,AR23),IF(AND(22=$G$35+1,ISNUMBER($B$35)),$B$35,NA()))</f>
        <v>0</v>
      </c>
      <c r="AM23">
        <f>IF(22&lt;=$G$35,INDEX('Batch'!$N$18:$N$41,AR23),IF(AND(22=$G$35+1,ISNUMBER($C$35)),$C$35,NA()))</f>
        <v>0</v>
      </c>
      <c r="AN23">
        <f>IF(22&lt;=$G$35,INDEX('Batch'!$T$18:$T$41,AR23),NA())</f>
        <v>0</v>
      </c>
      <c r="AO23">
        <f>IF(AND(22=$G$35+1,ISNUMBER($D$35)),$D$35,NA())</f>
        <v>0</v>
      </c>
      <c r="AP23">
        <f>IF(22&lt;=$G$35+1,$H$35,NA())</f>
        <v>0</v>
      </c>
      <c r="AQ23">
        <f>IF(22&lt;=$G$35+1,-$H$35,NA())</f>
        <v>0</v>
      </c>
      <c r="AR23">
        <f>IF(22&lt;=$G$35,MATCH(22,'Batch'!$Y$18:$Y$41,0),"")</f>
        <v>0</v>
      </c>
      <c r="AS23">
        <v>22</v>
      </c>
    </row>
    <row r="24" spans="1:45">
      <c r="A24">
        <f>IF(23&lt;=$G$31,TEXT(HOUR(INDEX('Batch'!$C$18:$C$41,H24)),"00")&amp;":"&amp;TEXT(MINUTE(INDEX('Batch'!$C$18:$C$41,H24)),"00")&amp;CHAR(10)&amp;TEXT(DAY(INDEX('Batch'!$C$18:$C$41,H24)),"00")&amp;"/"&amp;TEXT(MONTH(INDEX('Batch'!$C$18:$C$41,H24)),"00"),IF(23=$G$31+1,"Média",""))</f>
        <v>0</v>
      </c>
      <c r="B24">
        <f>IF(23&lt;=$G$31,INDEX('Batch'!$E$18:$E$41,H24),IF(AND(23=$G$31+1,ISNUMBER($B$31)),$B$31,NA()))</f>
        <v>0</v>
      </c>
      <c r="C24">
        <f>IF(23&lt;=$G$31,INDEX('Batch'!$F$18:$F$41,H24),IF(AND(23=$G$31+1,ISNUMBER($C$31)),$C$31,NA()))</f>
        <v>0</v>
      </c>
      <c r="D24">
        <f>IF(23&lt;=$G$31,INDEX('Batch'!$P$18:$P$41,H24),NA())</f>
        <v>0</v>
      </c>
      <c r="E24">
        <f>IF(AND(23=$G$31+1,ISNUMBER($D$31)),$D$31,NA())</f>
        <v>0</v>
      </c>
      <c r="F24">
        <f>IF(23&lt;=$G$31+1,$H$31,NA())</f>
        <v>0</v>
      </c>
      <c r="G24">
        <f>IF(23&lt;=$G$31+1,-$H$31,NA())</f>
        <v>0</v>
      </c>
      <c r="H24">
        <f>IF(23&lt;=$G$31,MATCH(23,'Batch'!$U$18:$U$41,0),"")</f>
        <v>0</v>
      </c>
      <c r="I24">
        <v>23</v>
      </c>
      <c r="J24">
        <f>IF(23&lt;=$G$32,TEXT(HOUR(INDEX('Batch'!$C$18:$C$41,Q24)),"00")&amp;":"&amp;TEXT(MINUTE(INDEX('Batch'!$C$18:$C$41,Q24)),"00")&amp;CHAR(10)&amp;TEXT(DAY(INDEX('Batch'!$C$18:$C$41,Q24)),"00")&amp;"/"&amp;TEXT(MONTH(INDEX('Batch'!$C$18:$C$41,Q24)),"00"),IF(23=$G$32+1,"Média",""))</f>
        <v>0</v>
      </c>
      <c r="K24">
        <f>IF(23&lt;=$G$32,INDEX('Batch'!$G$18:$G$41,Q24),IF(AND(23=$G$32+1,ISNUMBER($B$32)),$B$32,NA()))</f>
        <v>0</v>
      </c>
      <c r="L24">
        <f>IF(23&lt;=$G$32,INDEX('Batch'!$H$18:$H$41,Q24),IF(AND(23=$G$32+1,ISNUMBER($C$32)),$C$32,NA()))</f>
        <v>0</v>
      </c>
      <c r="M24">
        <f>IF(23&lt;=$G$32,INDEX('Batch'!$Q$18:$Q$41,Q24),NA())</f>
        <v>0</v>
      </c>
      <c r="N24">
        <f>IF(AND(23=$G$32+1,ISNUMBER($D$32)),$D$32,NA())</f>
        <v>0</v>
      </c>
      <c r="O24">
        <f>IF(23&lt;=$G$32+1,$H$32,NA())</f>
        <v>0</v>
      </c>
      <c r="P24">
        <f>IF(23&lt;=$G$32+1,-$H$32,NA())</f>
        <v>0</v>
      </c>
      <c r="Q24">
        <f>IF(23&lt;=$G$32,MATCH(23,'Batch'!$V$18:$V$41,0),"")</f>
        <v>0</v>
      </c>
      <c r="R24">
        <v>23</v>
      </c>
      <c r="S24">
        <f>IF(23&lt;=$G$33,TEXT(HOUR(INDEX('Batch'!$C$18:$C$41,Z24)),"00")&amp;":"&amp;TEXT(MINUTE(INDEX('Batch'!$C$18:$C$41,Z24)),"00")&amp;CHAR(10)&amp;TEXT(DAY(INDEX('Batch'!$C$18:$C$41,Z24)),"00")&amp;"/"&amp;TEXT(MONTH(INDEX('Batch'!$C$18:$C$41,Z24)),"00"),IF(23=$G$33+1,"Média",""))</f>
        <v>0</v>
      </c>
      <c r="T24">
        <f>IF(23&lt;=$G$33,INDEX('Batch'!$I$18:$I$41,Z24),IF(AND(23=$G$33+1,ISNUMBER($B$33)),$B$33,NA()))</f>
        <v>0</v>
      </c>
      <c r="U24">
        <f>IF(23&lt;=$G$33,INDEX('Batch'!$J$18:$J$41,Z24),IF(AND(23=$G$33+1,ISNUMBER($C$33)),$C$33,NA()))</f>
        <v>0</v>
      </c>
      <c r="V24">
        <f>IF(23&lt;=$G$33,INDEX('Batch'!$R$18:$R$41,Z24),NA())</f>
        <v>0</v>
      </c>
      <c r="W24">
        <f>IF(AND(23=$G$33+1,ISNUMBER($D$33)),$D$33,NA())</f>
        <v>0</v>
      </c>
      <c r="X24">
        <f>IF(23&lt;=$G$33+1,$H$33,NA())</f>
        <v>0</v>
      </c>
      <c r="Y24">
        <f>IF(23&lt;=$G$33+1,-$H$33,NA())</f>
        <v>0</v>
      </c>
      <c r="Z24">
        <f>IF(23&lt;=$G$33,MATCH(23,'Batch'!$W$18:$W$41,0),"")</f>
        <v>0</v>
      </c>
      <c r="AA24">
        <v>23</v>
      </c>
      <c r="AB24">
        <f>IF(23&lt;=$G$34,TEXT(HOUR(INDEX('Batch'!$C$18:$C$41,AI24)),"00")&amp;":"&amp;TEXT(MINUTE(INDEX('Batch'!$C$18:$C$41,AI24)),"00")&amp;CHAR(10)&amp;TEXT(DAY(INDEX('Batch'!$C$18:$C$41,AI24)),"00")&amp;"/"&amp;TEXT(MONTH(INDEX('Batch'!$C$18:$C$41,AI24)),"00"),IF(23=$G$34+1,"Média",""))</f>
        <v>0</v>
      </c>
      <c r="AC24">
        <f>IF(23&lt;=$G$34,INDEX('Batch'!$K$18:$K$41,AI24),IF(AND(23=$G$34+1,ISNUMBER($B$34)),$B$34,NA()))</f>
        <v>0</v>
      </c>
      <c r="AD24">
        <f>IF(23&lt;=$G$34,INDEX('Batch'!$L$18:$L$41,AI24),IF(AND(23=$G$34+1,ISNUMBER($C$34)),$C$34,NA()))</f>
        <v>0</v>
      </c>
      <c r="AE24">
        <f>IF(23&lt;=$G$34,INDEX('Batch'!$S$18:$S$41,AI24),NA())</f>
        <v>0</v>
      </c>
      <c r="AF24">
        <f>IF(AND(23=$G$34+1,ISNUMBER($D$34)),$D$34,NA())</f>
        <v>0</v>
      </c>
      <c r="AG24">
        <f>IF(23&lt;=$G$34+1,$H$34,NA())</f>
        <v>0</v>
      </c>
      <c r="AH24">
        <f>IF(23&lt;=$G$34+1,-$H$34,NA())</f>
        <v>0</v>
      </c>
      <c r="AI24">
        <f>IF(23&lt;=$G$34,MATCH(23,'Batch'!$X$18:$X$41,0),"")</f>
        <v>0</v>
      </c>
      <c r="AJ24">
        <v>23</v>
      </c>
      <c r="AK24">
        <f>IF(23&lt;=$G$35,TEXT(HOUR(INDEX('Batch'!$C$18:$C$41,AR24)),"00")&amp;":"&amp;TEXT(MINUTE(INDEX('Batch'!$C$18:$C$41,AR24)),"00")&amp;CHAR(10)&amp;TEXT(DAY(INDEX('Batch'!$C$18:$C$41,AR24)),"00")&amp;"/"&amp;TEXT(MONTH(INDEX('Batch'!$C$18:$C$41,AR24)),"00"),IF(23=$G$35+1,"Média",""))</f>
        <v>0</v>
      </c>
      <c r="AL24">
        <f>IF(23&lt;=$G$35,INDEX('Batch'!$M$18:$M$41,AR24),IF(AND(23=$G$35+1,ISNUMBER($B$35)),$B$35,NA()))</f>
        <v>0</v>
      </c>
      <c r="AM24">
        <f>IF(23&lt;=$G$35,INDEX('Batch'!$N$18:$N$41,AR24),IF(AND(23=$G$35+1,ISNUMBER($C$35)),$C$35,NA()))</f>
        <v>0</v>
      </c>
      <c r="AN24">
        <f>IF(23&lt;=$G$35,INDEX('Batch'!$T$18:$T$41,AR24),NA())</f>
        <v>0</v>
      </c>
      <c r="AO24">
        <f>IF(AND(23=$G$35+1,ISNUMBER($D$35)),$D$35,NA())</f>
        <v>0</v>
      </c>
      <c r="AP24">
        <f>IF(23&lt;=$G$35+1,$H$35,NA())</f>
        <v>0</v>
      </c>
      <c r="AQ24">
        <f>IF(23&lt;=$G$35+1,-$H$35,NA())</f>
        <v>0</v>
      </c>
      <c r="AR24">
        <f>IF(23&lt;=$G$35,MATCH(23,'Batch'!$Y$18:$Y$41,0),"")</f>
        <v>0</v>
      </c>
      <c r="AS24">
        <v>23</v>
      </c>
    </row>
    <row r="25" spans="1:45">
      <c r="A25">
        <f>IF(24&lt;=$G$31,TEXT(HOUR(INDEX('Batch'!$C$18:$C$41,H25)),"00")&amp;":"&amp;TEXT(MINUTE(INDEX('Batch'!$C$18:$C$41,H25)),"00")&amp;CHAR(10)&amp;TEXT(DAY(INDEX('Batch'!$C$18:$C$41,H25)),"00")&amp;"/"&amp;TEXT(MONTH(INDEX('Batch'!$C$18:$C$41,H25)),"00"),IF(24=$G$31+1,"Média",""))</f>
        <v>0</v>
      </c>
      <c r="B25">
        <f>IF(24&lt;=$G$31,INDEX('Batch'!$E$18:$E$41,H25),IF(AND(24=$G$31+1,ISNUMBER($B$31)),$B$31,NA()))</f>
        <v>0</v>
      </c>
      <c r="C25">
        <f>IF(24&lt;=$G$31,INDEX('Batch'!$F$18:$F$41,H25),IF(AND(24=$G$31+1,ISNUMBER($C$31)),$C$31,NA()))</f>
        <v>0</v>
      </c>
      <c r="D25">
        <f>IF(24&lt;=$G$31,INDEX('Batch'!$P$18:$P$41,H25),NA())</f>
        <v>0</v>
      </c>
      <c r="E25">
        <f>IF(AND(24=$G$31+1,ISNUMBER($D$31)),$D$31,NA())</f>
        <v>0</v>
      </c>
      <c r="F25">
        <f>IF(24&lt;=$G$31+1,$H$31,NA())</f>
        <v>0</v>
      </c>
      <c r="G25">
        <f>IF(24&lt;=$G$31+1,-$H$31,NA())</f>
        <v>0</v>
      </c>
      <c r="H25">
        <f>IF(24&lt;=$G$31,MATCH(24,'Batch'!$U$18:$U$41,0),"")</f>
        <v>0</v>
      </c>
      <c r="I25">
        <v>24</v>
      </c>
      <c r="J25">
        <f>IF(24&lt;=$G$32,TEXT(HOUR(INDEX('Batch'!$C$18:$C$41,Q25)),"00")&amp;":"&amp;TEXT(MINUTE(INDEX('Batch'!$C$18:$C$41,Q25)),"00")&amp;CHAR(10)&amp;TEXT(DAY(INDEX('Batch'!$C$18:$C$41,Q25)),"00")&amp;"/"&amp;TEXT(MONTH(INDEX('Batch'!$C$18:$C$41,Q25)),"00"),IF(24=$G$32+1,"Média",""))</f>
        <v>0</v>
      </c>
      <c r="K25">
        <f>IF(24&lt;=$G$32,INDEX('Batch'!$G$18:$G$41,Q25),IF(AND(24=$G$32+1,ISNUMBER($B$32)),$B$32,NA()))</f>
        <v>0</v>
      </c>
      <c r="L25">
        <f>IF(24&lt;=$G$32,INDEX('Batch'!$H$18:$H$41,Q25),IF(AND(24=$G$32+1,ISNUMBER($C$32)),$C$32,NA()))</f>
        <v>0</v>
      </c>
      <c r="M25">
        <f>IF(24&lt;=$G$32,INDEX('Batch'!$Q$18:$Q$41,Q25),NA())</f>
        <v>0</v>
      </c>
      <c r="N25">
        <f>IF(AND(24=$G$32+1,ISNUMBER($D$32)),$D$32,NA())</f>
        <v>0</v>
      </c>
      <c r="O25">
        <f>IF(24&lt;=$G$32+1,$H$32,NA())</f>
        <v>0</v>
      </c>
      <c r="P25">
        <f>IF(24&lt;=$G$32+1,-$H$32,NA())</f>
        <v>0</v>
      </c>
      <c r="Q25">
        <f>IF(24&lt;=$G$32,MATCH(24,'Batch'!$V$18:$V$41,0),"")</f>
        <v>0</v>
      </c>
      <c r="R25">
        <v>24</v>
      </c>
      <c r="S25">
        <f>IF(24&lt;=$G$33,TEXT(HOUR(INDEX('Batch'!$C$18:$C$41,Z25)),"00")&amp;":"&amp;TEXT(MINUTE(INDEX('Batch'!$C$18:$C$41,Z25)),"00")&amp;CHAR(10)&amp;TEXT(DAY(INDEX('Batch'!$C$18:$C$41,Z25)),"00")&amp;"/"&amp;TEXT(MONTH(INDEX('Batch'!$C$18:$C$41,Z25)),"00"),IF(24=$G$33+1,"Média",""))</f>
        <v>0</v>
      </c>
      <c r="T25">
        <f>IF(24&lt;=$G$33,INDEX('Batch'!$I$18:$I$41,Z25),IF(AND(24=$G$33+1,ISNUMBER($B$33)),$B$33,NA()))</f>
        <v>0</v>
      </c>
      <c r="U25">
        <f>IF(24&lt;=$G$33,INDEX('Batch'!$J$18:$J$41,Z25),IF(AND(24=$G$33+1,ISNUMBER($C$33)),$C$33,NA()))</f>
        <v>0</v>
      </c>
      <c r="V25">
        <f>IF(24&lt;=$G$33,INDEX('Batch'!$R$18:$R$41,Z25),NA())</f>
        <v>0</v>
      </c>
      <c r="W25">
        <f>IF(AND(24=$G$33+1,ISNUMBER($D$33)),$D$33,NA())</f>
        <v>0</v>
      </c>
      <c r="X25">
        <f>IF(24&lt;=$G$33+1,$H$33,NA())</f>
        <v>0</v>
      </c>
      <c r="Y25">
        <f>IF(24&lt;=$G$33+1,-$H$33,NA())</f>
        <v>0</v>
      </c>
      <c r="Z25">
        <f>IF(24&lt;=$G$33,MATCH(24,'Batch'!$W$18:$W$41,0),"")</f>
        <v>0</v>
      </c>
      <c r="AA25">
        <v>24</v>
      </c>
      <c r="AB25">
        <f>IF(24&lt;=$G$34,TEXT(HOUR(INDEX('Batch'!$C$18:$C$41,AI25)),"00")&amp;":"&amp;TEXT(MINUTE(INDEX('Batch'!$C$18:$C$41,AI25)),"00")&amp;CHAR(10)&amp;TEXT(DAY(INDEX('Batch'!$C$18:$C$41,AI25)),"00")&amp;"/"&amp;TEXT(MONTH(INDEX('Batch'!$C$18:$C$41,AI25)),"00"),IF(24=$G$34+1,"Média",""))</f>
        <v>0</v>
      </c>
      <c r="AC25">
        <f>IF(24&lt;=$G$34,INDEX('Batch'!$K$18:$K$41,AI25),IF(AND(24=$G$34+1,ISNUMBER($B$34)),$B$34,NA()))</f>
        <v>0</v>
      </c>
      <c r="AD25">
        <f>IF(24&lt;=$G$34,INDEX('Batch'!$L$18:$L$41,AI25),IF(AND(24=$G$34+1,ISNUMBER($C$34)),$C$34,NA()))</f>
        <v>0</v>
      </c>
      <c r="AE25">
        <f>IF(24&lt;=$G$34,INDEX('Batch'!$S$18:$S$41,AI25),NA())</f>
        <v>0</v>
      </c>
      <c r="AF25">
        <f>IF(AND(24=$G$34+1,ISNUMBER($D$34)),$D$34,NA())</f>
        <v>0</v>
      </c>
      <c r="AG25">
        <f>IF(24&lt;=$G$34+1,$H$34,NA())</f>
        <v>0</v>
      </c>
      <c r="AH25">
        <f>IF(24&lt;=$G$34+1,-$H$34,NA())</f>
        <v>0</v>
      </c>
      <c r="AI25">
        <f>IF(24&lt;=$G$34,MATCH(24,'Batch'!$X$18:$X$41,0),"")</f>
        <v>0</v>
      </c>
      <c r="AJ25">
        <v>24</v>
      </c>
      <c r="AK25">
        <f>IF(24&lt;=$G$35,TEXT(HOUR(INDEX('Batch'!$C$18:$C$41,AR25)),"00")&amp;":"&amp;TEXT(MINUTE(INDEX('Batch'!$C$18:$C$41,AR25)),"00")&amp;CHAR(10)&amp;TEXT(DAY(INDEX('Batch'!$C$18:$C$41,AR25)),"00")&amp;"/"&amp;TEXT(MONTH(INDEX('Batch'!$C$18:$C$41,AR25)),"00"),IF(24=$G$35+1,"Média",""))</f>
        <v>0</v>
      </c>
      <c r="AL25">
        <f>IF(24&lt;=$G$35,INDEX('Batch'!$M$18:$M$41,AR25),IF(AND(24=$G$35+1,ISNUMBER($B$35)),$B$35,NA()))</f>
        <v>0</v>
      </c>
      <c r="AM25">
        <f>IF(24&lt;=$G$35,INDEX('Batch'!$N$18:$N$41,AR25),IF(AND(24=$G$35+1,ISNUMBER($C$35)),$C$35,NA()))</f>
        <v>0</v>
      </c>
      <c r="AN25">
        <f>IF(24&lt;=$G$35,INDEX('Batch'!$T$18:$T$41,AR25),NA())</f>
        <v>0</v>
      </c>
      <c r="AO25">
        <f>IF(AND(24=$G$35+1,ISNUMBER($D$35)),$D$35,NA())</f>
        <v>0</v>
      </c>
      <c r="AP25">
        <f>IF(24&lt;=$G$35+1,$H$35,NA())</f>
        <v>0</v>
      </c>
      <c r="AQ25">
        <f>IF(24&lt;=$G$35+1,-$H$35,NA())</f>
        <v>0</v>
      </c>
      <c r="AR25">
        <f>IF(24&lt;=$G$35,MATCH(24,'Batch'!$Y$18:$Y$41,0),"")</f>
        <v>0</v>
      </c>
      <c r="AS25">
        <v>24</v>
      </c>
    </row>
    <row r="26" spans="1:45">
      <c r="A26">
        <f>IF(25&lt;=$G$31,TEXT(HOUR(INDEX('Batch'!$C$18:$C$41,H26)),"00")&amp;":"&amp;TEXT(MINUTE(INDEX('Batch'!$C$18:$C$41,H26)),"00")&amp;CHAR(10)&amp;TEXT(DAY(INDEX('Batch'!$C$18:$C$41,H26)),"00")&amp;"/"&amp;TEXT(MONTH(INDEX('Batch'!$C$18:$C$41,H26)),"00"),IF(25=$G$31+1,"Média",""))</f>
        <v>0</v>
      </c>
      <c r="B26">
        <f>IF(25&lt;=$G$31,INDEX('Batch'!$E$18:$E$41,H26),IF(AND(25=$G$31+1,ISNUMBER($B$31)),$B$31,NA()))</f>
        <v>0</v>
      </c>
      <c r="C26">
        <f>IF(25&lt;=$G$31,INDEX('Batch'!$F$18:$F$41,H26),IF(AND(25=$G$31+1,ISNUMBER($C$31)),$C$31,NA()))</f>
        <v>0</v>
      </c>
      <c r="D26">
        <f>IF(25&lt;=$G$31,INDEX('Batch'!$P$18:$P$41,H26),NA())</f>
        <v>0</v>
      </c>
      <c r="E26">
        <f>IF(AND(25=$G$31+1,ISNUMBER($D$31)),$D$31,NA())</f>
        <v>0</v>
      </c>
      <c r="F26">
        <f>IF(25&lt;=$G$31+1,$H$31,NA())</f>
        <v>0</v>
      </c>
      <c r="G26">
        <f>IF(25&lt;=$G$31+1,-$H$31,NA())</f>
        <v>0</v>
      </c>
      <c r="H26">
        <f>IF(25&lt;=$G$31,MATCH(25,'Batch'!$U$18:$U$41,0),"")</f>
        <v>0</v>
      </c>
      <c r="I26">
        <v>25</v>
      </c>
      <c r="J26">
        <f>IF(25&lt;=$G$32,TEXT(HOUR(INDEX('Batch'!$C$18:$C$41,Q26)),"00")&amp;":"&amp;TEXT(MINUTE(INDEX('Batch'!$C$18:$C$41,Q26)),"00")&amp;CHAR(10)&amp;TEXT(DAY(INDEX('Batch'!$C$18:$C$41,Q26)),"00")&amp;"/"&amp;TEXT(MONTH(INDEX('Batch'!$C$18:$C$41,Q26)),"00"),IF(25=$G$32+1,"Média",""))</f>
        <v>0</v>
      </c>
      <c r="K26">
        <f>IF(25&lt;=$G$32,INDEX('Batch'!$G$18:$G$41,Q26),IF(AND(25=$G$32+1,ISNUMBER($B$32)),$B$32,NA()))</f>
        <v>0</v>
      </c>
      <c r="L26">
        <f>IF(25&lt;=$G$32,INDEX('Batch'!$H$18:$H$41,Q26),IF(AND(25=$G$32+1,ISNUMBER($C$32)),$C$32,NA()))</f>
        <v>0</v>
      </c>
      <c r="M26">
        <f>IF(25&lt;=$G$32,INDEX('Batch'!$Q$18:$Q$41,Q26),NA())</f>
        <v>0</v>
      </c>
      <c r="N26">
        <f>IF(AND(25=$G$32+1,ISNUMBER($D$32)),$D$32,NA())</f>
        <v>0</v>
      </c>
      <c r="O26">
        <f>IF(25&lt;=$G$32+1,$H$32,NA())</f>
        <v>0</v>
      </c>
      <c r="P26">
        <f>IF(25&lt;=$G$32+1,-$H$32,NA())</f>
        <v>0</v>
      </c>
      <c r="Q26">
        <f>IF(25&lt;=$G$32,MATCH(25,'Batch'!$V$18:$V$41,0),"")</f>
        <v>0</v>
      </c>
      <c r="R26">
        <v>25</v>
      </c>
      <c r="S26">
        <f>IF(25&lt;=$G$33,TEXT(HOUR(INDEX('Batch'!$C$18:$C$41,Z26)),"00")&amp;":"&amp;TEXT(MINUTE(INDEX('Batch'!$C$18:$C$41,Z26)),"00")&amp;CHAR(10)&amp;TEXT(DAY(INDEX('Batch'!$C$18:$C$41,Z26)),"00")&amp;"/"&amp;TEXT(MONTH(INDEX('Batch'!$C$18:$C$41,Z26)),"00"),IF(25=$G$33+1,"Média",""))</f>
        <v>0</v>
      </c>
      <c r="T26">
        <f>IF(25&lt;=$G$33,INDEX('Batch'!$I$18:$I$41,Z26),IF(AND(25=$G$33+1,ISNUMBER($B$33)),$B$33,NA()))</f>
        <v>0</v>
      </c>
      <c r="U26">
        <f>IF(25&lt;=$G$33,INDEX('Batch'!$J$18:$J$41,Z26),IF(AND(25=$G$33+1,ISNUMBER($C$33)),$C$33,NA()))</f>
        <v>0</v>
      </c>
      <c r="V26">
        <f>IF(25&lt;=$G$33,INDEX('Batch'!$R$18:$R$41,Z26),NA())</f>
        <v>0</v>
      </c>
      <c r="W26">
        <f>IF(AND(25=$G$33+1,ISNUMBER($D$33)),$D$33,NA())</f>
        <v>0</v>
      </c>
      <c r="X26">
        <f>IF(25&lt;=$G$33+1,$H$33,NA())</f>
        <v>0</v>
      </c>
      <c r="Y26">
        <f>IF(25&lt;=$G$33+1,-$H$33,NA())</f>
        <v>0</v>
      </c>
      <c r="Z26">
        <f>IF(25&lt;=$G$33,MATCH(25,'Batch'!$W$18:$W$41,0),"")</f>
        <v>0</v>
      </c>
      <c r="AA26">
        <v>25</v>
      </c>
      <c r="AB26">
        <f>IF(25&lt;=$G$34,TEXT(HOUR(INDEX('Batch'!$C$18:$C$41,AI26)),"00")&amp;":"&amp;TEXT(MINUTE(INDEX('Batch'!$C$18:$C$41,AI26)),"00")&amp;CHAR(10)&amp;TEXT(DAY(INDEX('Batch'!$C$18:$C$41,AI26)),"00")&amp;"/"&amp;TEXT(MONTH(INDEX('Batch'!$C$18:$C$41,AI26)),"00"),IF(25=$G$34+1,"Média",""))</f>
        <v>0</v>
      </c>
      <c r="AC26">
        <f>IF(25&lt;=$G$34,INDEX('Batch'!$K$18:$K$41,AI26),IF(AND(25=$G$34+1,ISNUMBER($B$34)),$B$34,NA()))</f>
        <v>0</v>
      </c>
      <c r="AD26">
        <f>IF(25&lt;=$G$34,INDEX('Batch'!$L$18:$L$41,AI26),IF(AND(25=$G$34+1,ISNUMBER($C$34)),$C$34,NA()))</f>
        <v>0</v>
      </c>
      <c r="AE26">
        <f>IF(25&lt;=$G$34,INDEX('Batch'!$S$18:$S$41,AI26),NA())</f>
        <v>0</v>
      </c>
      <c r="AF26">
        <f>IF(AND(25=$G$34+1,ISNUMBER($D$34)),$D$34,NA())</f>
        <v>0</v>
      </c>
      <c r="AG26">
        <f>IF(25&lt;=$G$34+1,$H$34,NA())</f>
        <v>0</v>
      </c>
      <c r="AH26">
        <f>IF(25&lt;=$G$34+1,-$H$34,NA())</f>
        <v>0</v>
      </c>
      <c r="AI26">
        <f>IF(25&lt;=$G$34,MATCH(25,'Batch'!$X$18:$X$41,0),"")</f>
        <v>0</v>
      </c>
      <c r="AJ26">
        <v>25</v>
      </c>
      <c r="AK26">
        <f>IF(25&lt;=$G$35,TEXT(HOUR(INDEX('Batch'!$C$18:$C$41,AR26)),"00")&amp;":"&amp;TEXT(MINUTE(INDEX('Batch'!$C$18:$C$41,AR26)),"00")&amp;CHAR(10)&amp;TEXT(DAY(INDEX('Batch'!$C$18:$C$41,AR26)),"00")&amp;"/"&amp;TEXT(MONTH(INDEX('Batch'!$C$18:$C$41,AR26)),"00"),IF(25=$G$35+1,"Média",""))</f>
        <v>0</v>
      </c>
      <c r="AL26">
        <f>IF(25&lt;=$G$35,INDEX('Batch'!$M$18:$M$41,AR26),IF(AND(25=$G$35+1,ISNUMBER($B$35)),$B$35,NA()))</f>
        <v>0</v>
      </c>
      <c r="AM26">
        <f>IF(25&lt;=$G$35,INDEX('Batch'!$N$18:$N$41,AR26),IF(AND(25=$G$35+1,ISNUMBER($C$35)),$C$35,NA()))</f>
        <v>0</v>
      </c>
      <c r="AN26">
        <f>IF(25&lt;=$G$35,INDEX('Batch'!$T$18:$T$41,AR26),NA())</f>
        <v>0</v>
      </c>
      <c r="AO26">
        <f>IF(AND(25=$G$35+1,ISNUMBER($D$35)),$D$35,NA())</f>
        <v>0</v>
      </c>
      <c r="AP26">
        <f>IF(25&lt;=$G$35+1,$H$35,NA())</f>
        <v>0</v>
      </c>
      <c r="AQ26">
        <f>IF(25&lt;=$G$35+1,-$H$35,NA())</f>
        <v>0</v>
      </c>
      <c r="AR26">
        <f>IF(25&lt;=$G$35,MATCH(25,'Batch'!$Y$18:$Y$41,0),"")</f>
        <v>0</v>
      </c>
      <c r="AS26">
        <v>25</v>
      </c>
    </row>
    <row r="28" spans="1:45">
      <c r="A28" t="s">
        <v>230</v>
      </c>
    </row>
    <row r="30" spans="1:45">
      <c r="A30" t="s">
        <v>145</v>
      </c>
      <c r="B30" t="s">
        <v>146</v>
      </c>
      <c r="C30" t="s">
        <v>147</v>
      </c>
      <c r="D30" t="s">
        <v>148</v>
      </c>
      <c r="E30" t="s">
        <v>149</v>
      </c>
      <c r="F30" t="s">
        <v>150</v>
      </c>
      <c r="G30" t="s">
        <v>151</v>
      </c>
      <c r="H30" t="s">
        <v>152</v>
      </c>
      <c r="I30" t="s">
        <v>153</v>
      </c>
      <c r="J30" t="s">
        <v>154</v>
      </c>
      <c r="K30" t="s">
        <v>155</v>
      </c>
      <c r="L30" t="s">
        <v>156</v>
      </c>
      <c r="M30" t="s">
        <v>157</v>
      </c>
      <c r="N30" t="s">
        <v>158</v>
      </c>
      <c r="O30" t="s">
        <v>159</v>
      </c>
    </row>
    <row r="31" spans="1:45">
      <c r="A31" t="s">
        <v>12</v>
      </c>
      <c r="B31">
        <f>IF(COUNT('Batch'!$E$18:$E$41)=0,"",AVERAGE('Batch'!$E$18:$E$41))</f>
        <v>0</v>
      </c>
      <c r="C31">
        <f>IF(COUNT('Batch'!$F$18:$F$41)=0,"",AVERAGE('Batch'!$F$18:$F$41))</f>
        <v>0</v>
      </c>
      <c r="D31">
        <f>IF(AND(ISNUMBER(B31),ISNUMBER(C31)),IF(bRef=bLabA,C31-B31,B31-C31),"")</f>
        <v>0</v>
      </c>
      <c r="E31">
        <f>IF(ISNUMBER(D31),ROUND(D31,0),"")</f>
        <v>0</v>
      </c>
      <c r="F31">
        <f>IF(ISNUMBER(D31),IF(ABS(E31)&lt;=H31+1E-9,"OK","NOK"),"—")</f>
        <v>0</v>
      </c>
      <c r="G31">
        <f>MAX(0,'Batch'!$U$18:$U$41)</f>
        <v>0</v>
      </c>
      <c r="H31">
        <f>bTol_SE</f>
        <v>0</v>
      </c>
      <c r="I31">
        <f>COUNT('Batch'!$E$18:$E$41)</f>
        <v>0</v>
      </c>
      <c r="J31">
        <f>COUNT('Batch'!$F$18:$F$41)</f>
        <v>0</v>
      </c>
      <c r="K31">
        <f>IF(ISNUMBER(D31),IF(E31&gt;0,"+",IF(E31&lt;0,"−",""))&amp;FIXED(ABS(E31),0),"—")</f>
        <v>0</v>
      </c>
      <c r="L31">
        <f>FIXED(H31,0)</f>
        <v>0</v>
      </c>
      <c r="M31">
        <f>"S.E. (dif "&amp;K31&amp;", tol ±"&amp;L31&amp;")"</f>
        <v>0</v>
      </c>
      <c r="N31">
        <f>"S.E."</f>
        <v>0</v>
      </c>
      <c r="O31" t="s">
        <v>160</v>
      </c>
    </row>
    <row r="32" spans="1:45">
      <c r="A32" t="s">
        <v>19</v>
      </c>
      <c r="B32">
        <f>IF(COUNT('Batch'!$G$18:$G$41)=0,"",AVERAGE('Batch'!$G$18:$G$41))</f>
        <v>0</v>
      </c>
      <c r="C32">
        <f>IF(COUNT('Batch'!$H$18:$H$41)=0,"",AVERAGE('Batch'!$H$18:$H$41))</f>
        <v>0</v>
      </c>
      <c r="D32">
        <f>IF(AND(ISNUMBER(B32),ISNUMBER(C32)),IF(bRef=bLabA,C32-B32,B32-C32),"")</f>
        <v>0</v>
      </c>
      <c r="E32">
        <f>IF(ISNUMBER(D32),ROUND(D32,1),"")</f>
        <v>0</v>
      </c>
      <c r="F32">
        <f>IF(ISNUMBER(D32),IF(ABS(E32)&lt;=H32+1E-9,"OK","NOK"),"—")</f>
        <v>0</v>
      </c>
      <c r="G32">
        <f>MAX(0,'Batch'!$V$18:$V$41)</f>
        <v>0</v>
      </c>
      <c r="H32">
        <f>bTol_325</f>
        <v>0</v>
      </c>
      <c r="I32">
        <f>COUNT('Batch'!$G$18:$G$41)</f>
        <v>0</v>
      </c>
      <c r="J32">
        <f>COUNT('Batch'!$H$18:$H$41)</f>
        <v>0</v>
      </c>
      <c r="K32">
        <f>IF(ISNUMBER(D32),IF(E32&gt;0,"+",IF(E32&lt;0,"−",""))&amp;FIXED(ABS(E32),1),"—")</f>
        <v>0</v>
      </c>
      <c r="L32">
        <f>FIXED(H32,1)</f>
        <v>0</v>
      </c>
      <c r="M32">
        <f>"&lt;325# (dif "&amp;K32&amp;", tol ±"&amp;L32&amp;")"</f>
        <v>0</v>
      </c>
      <c r="N32">
        <f>"&lt;325#"</f>
        <v>0</v>
      </c>
      <c r="O32" t="s">
        <v>161</v>
      </c>
    </row>
    <row r="33" spans="1:15">
      <c r="A33" t="s">
        <v>22</v>
      </c>
      <c r="B33">
        <f>IF(COUNT('Batch'!$I$18:$I$41)=0,"",AVERAGE('Batch'!$I$18:$I$41))</f>
        <v>0</v>
      </c>
      <c r="C33">
        <f>IF(COUNT('Batch'!$J$18:$J$41)=0,"",AVERAGE('Batch'!$J$18:$J$41))</f>
        <v>0</v>
      </c>
      <c r="D33">
        <f>IF(AND(ISNUMBER(B33),ISNUMBER(C33)),IF(bRef=bLabA,C33-B33,B33-C33),"")</f>
        <v>0</v>
      </c>
      <c r="E33">
        <f>IF(ISNUMBER(D33),ROUND(D33,2),"")</f>
        <v>0</v>
      </c>
      <c r="F33">
        <f>IF(ISNUMBER(D33),IF(ABS(E33)&lt;=H33+1E-9,"OK","NOK"),"—")</f>
        <v>0</v>
      </c>
      <c r="G33">
        <f>MAX(0,'Batch'!$W$18:$W$41)</f>
        <v>0</v>
      </c>
      <c r="H33">
        <f>bTol_SiO2</f>
        <v>0</v>
      </c>
      <c r="I33">
        <f>COUNT('Batch'!$I$18:$I$41)</f>
        <v>0</v>
      </c>
      <c r="J33">
        <f>COUNT('Batch'!$J$18:$J$41)</f>
        <v>0</v>
      </c>
      <c r="K33">
        <f>IF(ISNUMBER(D33),IF(E33&gt;0,"+",IF(E33&lt;0,"−",""))&amp;FIXED(ABS(E33),2),"—")</f>
        <v>0</v>
      </c>
      <c r="L33">
        <f>FIXED(H33,2)</f>
        <v>0</v>
      </c>
      <c r="M33">
        <f>"SiO₂ (dif "&amp;K33&amp;", tol ±"&amp;L33&amp;")"</f>
        <v>0</v>
      </c>
      <c r="N33">
        <f>"SiO₂"</f>
        <v>0</v>
      </c>
      <c r="O33" t="s">
        <v>162</v>
      </c>
    </row>
    <row r="34" spans="1:15">
      <c r="A34" t="s">
        <v>25</v>
      </c>
      <c r="B34">
        <f>IF(COUNT('Batch'!$K$18:$K$41)=0,"",AVERAGE('Batch'!$K$18:$K$41))</f>
        <v>0</v>
      </c>
      <c r="C34">
        <f>IF(COUNT('Batch'!$L$18:$L$41)=0,"",AVERAGE('Batch'!$L$18:$L$41))</f>
        <v>0</v>
      </c>
      <c r="D34">
        <f>IF(AND(ISNUMBER(B34),ISNUMBER(C34)),IF(bRef=bLabA,C34-B34,B34-C34),"")</f>
        <v>0</v>
      </c>
      <c r="E34">
        <f>IF(ISNUMBER(D34),ROUND(D34,3),"")</f>
        <v>0</v>
      </c>
      <c r="F34">
        <f>IF(ISNUMBER(D34),IF(ABS(E34)&lt;=H34+1E-9,"OK","NOK"),"—")</f>
        <v>0</v>
      </c>
      <c r="G34">
        <f>MAX(0,'Batch'!$X$18:$X$41)</f>
        <v>0</v>
      </c>
      <c r="H34">
        <f>bTol_P</f>
        <v>0</v>
      </c>
      <c r="I34">
        <f>COUNT('Batch'!$K$18:$K$41)</f>
        <v>0</v>
      </c>
      <c r="J34">
        <f>COUNT('Batch'!$L$18:$L$41)</f>
        <v>0</v>
      </c>
      <c r="K34">
        <f>IF(ISNUMBER(D34),IF(E34&gt;0,"+",IF(E34&lt;0,"−",""))&amp;FIXED(ABS(E34),3),"—")</f>
        <v>0</v>
      </c>
      <c r="L34">
        <f>FIXED(H34,3)</f>
        <v>0</v>
      </c>
      <c r="M34">
        <f>"P (dif "&amp;K34&amp;", tol ±"&amp;L34&amp;")"</f>
        <v>0</v>
      </c>
      <c r="N34">
        <f>"P"</f>
        <v>0</v>
      </c>
      <c r="O34" t="s">
        <v>163</v>
      </c>
    </row>
    <row r="35" spans="1:15">
      <c r="A35" t="s">
        <v>28</v>
      </c>
      <c r="B35">
        <f>IF(COUNT('Batch'!$M$18:$M$41)=0,"",AVERAGE('Batch'!$M$18:$M$41))</f>
        <v>0</v>
      </c>
      <c r="C35">
        <f>IF(COUNT('Batch'!$N$18:$N$41)=0,"",AVERAGE('Batch'!$N$18:$N$41))</f>
        <v>0</v>
      </c>
      <c r="D35">
        <f>IF(AND(ISNUMBER(B35),ISNUMBER(C35)),IF(bRef=bLabA,C35-B35,B35-C35),"")</f>
        <v>0</v>
      </c>
      <c r="E35">
        <f>IF(ISNUMBER(D35),ROUND(D35,2),"")</f>
        <v>0</v>
      </c>
      <c r="F35">
        <f>IF(ISNUMBER(D35),IF(ABS(E35)&lt;=H35+1E-9,"OK","NOK"),"—")</f>
        <v>0</v>
      </c>
      <c r="G35">
        <f>MAX(0,'Batch'!$Y$18:$Y$41)</f>
        <v>0</v>
      </c>
      <c r="H35">
        <f>bTol_PPC</f>
        <v>0</v>
      </c>
      <c r="I35">
        <f>COUNT('Batch'!$M$18:$M$41)</f>
        <v>0</v>
      </c>
      <c r="J35">
        <f>COUNT('Batch'!$N$18:$N$41)</f>
        <v>0</v>
      </c>
      <c r="K35">
        <f>IF(ISNUMBER(D35),IF(E35&gt;0,"+",IF(E35&lt;0,"−",""))&amp;FIXED(ABS(E35),2),"—")</f>
        <v>0</v>
      </c>
      <c r="L35">
        <f>FIXED(H35,2)</f>
        <v>0</v>
      </c>
      <c r="M35">
        <f>"PPC (dif "&amp;K35&amp;", tol ±"&amp;L35&amp;")"</f>
        <v>0</v>
      </c>
      <c r="N35">
        <f>"PPC"</f>
        <v>0</v>
      </c>
      <c r="O35" t="s">
        <v>28</v>
      </c>
    </row>
    <row r="37" spans="1:15">
      <c r="A37" t="s">
        <v>164</v>
      </c>
      <c r="B37" t="s">
        <v>165</v>
      </c>
      <c r="C37" t="s">
        <v>166</v>
      </c>
      <c r="D37" t="s">
        <v>167</v>
      </c>
      <c r="E37" t="s">
        <v>168</v>
      </c>
      <c r="F37" t="s">
        <v>169</v>
      </c>
      <c r="G37" t="s">
        <v>122</v>
      </c>
      <c r="H37" t="s">
        <v>170</v>
      </c>
    </row>
    <row r="38" spans="1:15">
      <c r="A38">
        <f>COUNTIF($F$31:$F$35,"NOK")</f>
        <v>0</v>
      </c>
      <c r="B38">
        <f>COUNTIF($F$31:$F$35,"OK")</f>
        <v>0</v>
      </c>
      <c r="C38">
        <f>A38+B38</f>
        <v>0</v>
      </c>
      <c r="D38">
        <f>IF(A38=0,"",IF(A38=1,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SUBSTITUTE(SUBSTITUTE(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"|"," e ",A38-1),"|",", ")))</f>
        <v>0</v>
      </c>
      <c r="E38">
        <f>IF(A38=0,"",IF(A38=1,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SUBSTITUTE(SUBSTITUTE(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"|","; ",A38-1),"|","; ")))</f>
        <v>0</v>
      </c>
      <c r="F38">
        <f>IF(B38=0,"",IF(B38=1,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SUBSTITUTE(SUBSTITUTE(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"|",", ",B38-1),"|",", ")))</f>
        <v>0</v>
      </c>
      <c r="G38">
        <f>IF(A38=0,"",IF(A38=1,"O parâmetro de "&amp;D38&amp;" apresentou resultado","Os parâmetros de "&amp;D38&amp;" apresentaram resultados")&amp;" fora da tolerância estabelecida.")</f>
        <v>0</v>
      </c>
      <c r="H38">
        <f>IF(AND(bIncFrase="Sim",bFrase&lt;&gt;""),"•  "&amp;bFrase&amp;CHAR(10),"")&amp;IF(AND(bIncAcomp="Sim",gAcomp&lt;&gt;""),"•  "&amp;gAcomp&amp;CHAR(10),"")&amp;IF(TRIM(bCom1&amp;"")&lt;&gt;"","•  "&amp;TRIM(bCom1&amp;"")&amp;CHAR(10),"")&amp;IF(TRIM(bCom2&amp;"")&lt;&gt;"","•  "&amp;TRIM(bCom2&amp;"")&amp;CHAR(10),"")&amp;IF(TRIM(bCom3&amp;"")&lt;&gt;"","•  "&amp;TRIM(bCom3&amp;"")&amp;CHAR(10),"")&amp;IF(TRIM(bCom4&amp;"")&lt;&gt;"","•  "&amp;TRIM(bCom4&amp;"")&amp;CHAR(10),"")&amp;IF(TRIM(bCom5&amp;"")&lt;&gt;"","•  "&amp;TRIM(bCom5&amp;"")&amp;CHAR(10),"")&amp;IF(TRIM(bCom6&amp;"")&lt;&gt;"","•  "&amp;TRIM(bCom6&amp;"")&amp;CHAR(10),"")</f>
        <v>0</v>
      </c>
      <c r="I38">
        <f>IF(H38="","Sem observações.",LEFT(H38,LEN(H38)-1))</f>
        <v>0</v>
      </c>
    </row>
    <row r="40" spans="1:15">
      <c r="A40" t="s">
        <v>171</v>
      </c>
      <c r="B40">
        <f>IF(bRef=bLabB,bLabB,bLabA)</f>
        <v>0</v>
      </c>
    </row>
    <row r="41" spans="1:15">
      <c r="A41" t="s">
        <v>172</v>
      </c>
      <c r="B41">
        <f>IF(bRef=bLabB,bLabA,bLabB)</f>
        <v>0</v>
      </c>
    </row>
    <row r="42" spans="1:15">
      <c r="A42" t="s">
        <v>173</v>
      </c>
      <c r="B42">
        <f>IF(ISNUMBER(bData),TEXT(DAY(bData),"00")&amp;"/"&amp;TEXT(MONTH(bData),"00")&amp;"/"&amp;YEAR(bData),"")</f>
        <v>0</v>
      </c>
    </row>
    <row r="43" spans="1:15">
      <c r="A43" t="s">
        <v>174</v>
      </c>
      <c r="B43">
        <f>"Diferença ("&amp;B41&amp;" − "&amp;B40&amp;")"</f>
        <v>0</v>
      </c>
    </row>
    <row r="44" spans="1:15">
      <c r="A44">
        <f>bLabA&amp;IF(bRef=bLabA," (ref.)","")</f>
        <v>0</v>
      </c>
      <c r="B44">
        <f>bLabB&amp;IF(bRef=bLabB," (ref.)","")</f>
        <v>0</v>
      </c>
    </row>
    <row r="46" spans="1:15">
      <c r="A46" t="s">
        <v>175</v>
      </c>
      <c r="B46">
        <f>IF(ISNUMBER(bIniP),cfgGradeU+ROUNDUP((bIniP-cfgGradeU)*12-0.000001,0)/12,"")</f>
        <v>0</v>
      </c>
    </row>
    <row r="47" spans="1:15">
      <c r="A47" t="s">
        <v>176</v>
      </c>
      <c r="B47">
        <f>IF(ISNUMBER(bIniG),cfgGradeG+ROUNDUP((bIniG-cfgGradeG)*12-0.000001,0)/12,"")</f>
        <v>0</v>
      </c>
    </row>
    <row r="48" spans="1:15">
      <c r="A48" t="s">
        <v>177</v>
      </c>
      <c r="B48">
        <f>IF(ISNUMBER(B57),MIN(bNHor,B57),bNHor)</f>
        <v>0</v>
      </c>
    </row>
    <row r="49" spans="1:2">
      <c r="A49" t="s">
        <v>179</v>
      </c>
      <c r="B49">
        <f>IF(AND(ISNUMBER(B46),ISNUMBER(bFimU)),MIN(24,MAX(1,ROUNDUP((bFimU+IF(ISNUMBER(bIniU),bIniP-bIniU,0)-B46)*12-0.000001,0))),"")</f>
        <v>0</v>
      </c>
    </row>
    <row r="50" spans="1:2">
      <c r="A50" t="s">
        <v>180</v>
      </c>
      <c r="B50">
        <f>IF(bNivel="",0,IFERROR(INDEX(cfgAtrasoH,MATCH(bNivel,cfgAtrasoN,0)),0))</f>
        <v>0</v>
      </c>
    </row>
    <row r="51" spans="1:2">
      <c r="A51" t="s">
        <v>181</v>
      </c>
      <c r="B51">
        <f>IF(ISNUMBER(bIniU),"chegada em Ubu "&amp;TEXT(DAY(bIniU),"00")&amp;"/"&amp;TEXT(MONTH(bIniU),"00")&amp;" "&amp;TEXT(HOUR(bIniU),"00")&amp;":"&amp;TEXT(MINUTE(bIniU),"00")&amp;" · ","")</f>
        <v>0</v>
      </c>
    </row>
    <row r="52" spans="1:2">
      <c r="A52" t="s">
        <v>182</v>
      </c>
      <c r="B52">
        <f>IF(bNivel&lt;&gt;"","nível dos tanques "&amp;LOWER(bNivel)&amp;" · ","")</f>
        <v>0</v>
      </c>
    </row>
    <row r="53" spans="1:2">
      <c r="A53" t="s">
        <v>183</v>
      </c>
      <c r="B53">
        <f>IF(ISNUMBER(gJanU),"comparação a partir de "&amp;TEXT(DAY(gJanU+cfgMinAntes/1440),"00")&amp;"/"&amp;TEXT(MONTH(gJanU+cfgMinAntes/1440),"00")&amp;" "&amp;TEXT(HOUR(gJanU+cfgMinAntes/1440),"00")&amp;":"&amp;TEXT(MINUTE(gJanU+cfgMinAntes/1440),"00")&amp;" · ","")</f>
        <v>0</v>
      </c>
    </row>
    <row r="55" spans="1:2">
      <c r="A55" t="s">
        <v>124</v>
      </c>
      <c r="B55">
        <f>IF((B51&amp;B52&amp;B53)="","",UPPER(LEFT(B51&amp;B52&amp;B53,1))&amp;MID(LEFT(B51&amp;B52&amp;B53,LEN(B51&amp;B52&amp;B53)-3),2,500)&amp;".")</f>
        <v>0</v>
      </c>
    </row>
    <row r="56" spans="1:2">
      <c r="A56" t="s">
        <v>184</v>
      </c>
      <c r="B56">
        <f>IF(ISNUMBER(gJanU),"→ Ubu: "&amp;bNHor&amp;" horários a partir de "&amp;TEXT(DAY(gJanU+cfgMinAntes/1440),"00")&amp;"/"&amp;TEXT(MONTH(gJanU+cfgMinAntes/1440),"00")&amp;" "&amp;TEXT(HOUR(gJanU+cfgMinAntes/1440),"00")&amp;":"&amp;TEXT(MINUTE(gJanU+cfgMinAntes/1440),"00")&amp;IF(ISNUMBER(gJanG),"   ·   Germano: "&amp;gNG&amp;" a partir de "&amp;TEXT(DAY(gJanG+cfgMinG/1440),"00")&amp;"/"&amp;TEXT(MONTH(gJanG+cfgMinG/1440),"00")&amp;" "&amp;TEXT(HOUR(gJanG+cfgMinG/1440),"00")&amp;":"&amp;TEXT(MINUTE(gJanG+cfgMinG/1440),"00"),"   ·   Germano: mesmos horários"),"→ Cole as fases do evento (passo ②) para calcular os horários.")</f>
        <v>0</v>
      </c>
    </row>
    <row r="57" spans="1:2">
      <c r="A57" t="s">
        <v>178</v>
      </c>
      <c r="B57">
        <f>IF(AND(ISNUMBER(B47),ISNUMBER(bFimG)),MIN(24,MAX(1,ROUNDUP((bFimG-B47)*12-0.000001,0))),"")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115</vt:i4>
      </vt:variant>
    </vt:vector>
  </HeadingPairs>
  <TitlesOfParts>
    <vt:vector size="123" baseType="lpstr">
      <vt:lpstr>Painel</vt:lpstr>
      <vt:lpstr>Batch</vt:lpstr>
      <vt:lpstr>Enviar</vt:lpstr>
      <vt:lpstr>Histórico</vt:lpstr>
      <vt:lpstr>BD_Leituras</vt:lpstr>
      <vt:lpstr>Configurações</vt:lpstr>
      <vt:lpstr>Dados_MES</vt:lpstr>
      <vt:lpstr>_Graf</vt:lpstr>
      <vt:lpstr>bAcomp</vt:lpstr>
      <vt:lpstr>bAtraso</vt:lpstr>
      <vt:lpstr>bCom1</vt:lpstr>
      <vt:lpstr>bCom2</vt:lpstr>
      <vt:lpstr>bCom3</vt:lpstr>
      <vt:lpstr>bCom4</vt:lpstr>
      <vt:lpstr>bCom5</vt:lpstr>
      <vt:lpstr>bCom6</vt:lpstr>
      <vt:lpstr>bData</vt:lpstr>
      <vt:lpstr>bDef</vt:lpstr>
      <vt:lpstr>bFases</vt:lpstr>
      <vt:lpstr>bFasesMsg</vt:lpstr>
      <vt:lpstr>bFimG</vt:lpstr>
      <vt:lpstr>bFimU</vt:lpstr>
      <vt:lpstr>bFrase</vt:lpstr>
      <vt:lpstr>bGrade</vt:lpstr>
      <vt:lpstr>bHorasU</vt:lpstr>
      <vt:lpstr>bId</vt:lpstr>
      <vt:lpstr>bIncAcomp</vt:lpstr>
      <vt:lpstr>bIncFrase</vt:lpstr>
      <vt:lpstr>bIniG</vt:lpstr>
      <vt:lpstr>bIniP</vt:lpstr>
      <vt:lpstr>bIniPMan</vt:lpstr>
      <vt:lpstr>bIniU</vt:lpstr>
      <vt:lpstr>bLabA</vt:lpstr>
      <vt:lpstr>bLabB</vt:lpstr>
      <vt:lpstr>bMin</vt:lpstr>
      <vt:lpstr>bNHor</vt:lpstr>
      <vt:lpstr>bNivel</vt:lpstr>
      <vt:lpstr>bRef</vt:lpstr>
      <vt:lpstr>bSub</vt:lpstr>
      <vt:lpstr>bTit</vt:lpstr>
      <vt:lpstr>bTol_325</vt:lpstr>
      <vt:lpstr>bTol_P</vt:lpstr>
      <vt:lpstr>bTol_PPC</vt:lpstr>
      <vt:lpstr>bTol_SE</vt:lpstr>
      <vt:lpstr>bTol_SiO2</vt:lpstr>
      <vt:lpstr>bValores</vt:lpstr>
      <vt:lpstr>cfgAtrasoH</vt:lpstr>
      <vt:lpstr>cfgAtrasoN</vt:lpstr>
      <vt:lpstr>cfgCalc</vt:lpstr>
      <vt:lpstr>cfgFaseG</vt:lpstr>
      <vt:lpstr>cfgFaseU</vt:lpstr>
      <vt:lpstr>cfgFonte</vt:lpstr>
      <vt:lpstr>cfgFormatoData</vt:lpstr>
      <vt:lpstr>cfgGradeG</vt:lpstr>
      <vt:lpstr>cfgGradeU</vt:lpstr>
      <vt:lpstr>cfgMinAntes</vt:lpstr>
      <vt:lpstr>cfgMinG</vt:lpstr>
      <vt:lpstr>cfgTags</vt:lpstr>
      <vt:lpstr>cfgTimeout</vt:lpstr>
      <vt:lpstr>eAssunto</vt:lpstr>
      <vt:lpstr>eResumo</vt:lpstr>
      <vt:lpstr>gAcomp</vt:lpstr>
      <vt:lpstr>gAtrasoNivel</vt:lpstr>
      <vt:lpstr>gAval</vt:lpstr>
      <vt:lpstr>gAvalNome</vt:lpstr>
      <vt:lpstr>gComentarios</vt:lpstr>
      <vt:lpstr>gDataTxt</vt:lpstr>
      <vt:lpstr>gJanG</vt:lpstr>
      <vt:lpstr>gJanU</vt:lpstr>
      <vt:lpstr>gLegDif</vt:lpstr>
      <vt:lpstr>gNG</vt:lpstr>
      <vt:lpstr>gNGer</vt:lpstr>
      <vt:lpstr>gNHorFim</vt:lpstr>
      <vt:lpstr>gNok</vt:lpstr>
      <vt:lpstr>gNokDet</vt:lpstr>
      <vt:lpstr>gOk</vt:lpstr>
      <vt:lpstr>gOkLista</vt:lpstr>
      <vt:lpstr>gRefNome</vt:lpstr>
      <vt:lpstr>gResumoHor</vt:lpstr>
      <vt:lpstr>gSerieA</vt:lpstr>
      <vt:lpstr>gSerieB</vt:lpstr>
      <vt:lpstr>gTopicos</vt:lpstr>
      <vt:lpstr>lstBatches</vt:lpstr>
      <vt:lpstr>lstLabs</vt:lpstr>
      <vt:lpstr>lstMin</vt:lpstr>
      <vt:lpstr>lstNivel</vt:lpstr>
      <vt:lpstr>lstSimNao</vt:lpstr>
      <vt:lpstr>mesFimG</vt:lpstr>
      <vt:lpstr>mesFimU</vt:lpstr>
      <vt:lpstr>mesIniG</vt:lpstr>
      <vt:lpstr>mesIniU</vt:lpstr>
      <vt:lpstr>mesInvalidas</vt:lpstr>
      <vt:lpstr>mesPrefixo</vt:lpstr>
      <vt:lpstr>mesRespG</vt:lpstr>
      <vt:lpstr>mesRespU</vt:lpstr>
      <vt:lpstr>mesTempo</vt:lpstr>
      <vt:lpstr>padCom</vt:lpstr>
      <vt:lpstr>padLabA</vt:lpstr>
      <vt:lpstr>padLabB</vt:lpstr>
      <vt:lpstr>padMin</vt:lpstr>
      <vt:lpstr>padNHor</vt:lpstr>
      <vt:lpstr>padRef</vt:lpstr>
      <vt:lpstr>padSub</vt:lpstr>
      <vt:lpstr>padTit</vt:lpstr>
      <vt:lpstr>padTol_325</vt:lpstr>
      <vt:lpstr>padTol_P</vt:lpstr>
      <vt:lpstr>padTol_PPC</vt:lpstr>
      <vt:lpstr>padTol_SE</vt:lpstr>
      <vt:lpstr>padTol_SiO2</vt:lpstr>
      <vt:lpstr>pArea</vt:lpstr>
      <vt:lpstr>Batch!Print_Area</vt:lpstr>
      <vt:lpstr>Painel!Print_Area</vt:lpstr>
      <vt:lpstr>pSel</vt:lpstr>
      <vt:lpstr>pSt_325</vt:lpstr>
      <vt:lpstr>pSt_P</vt:lpstr>
      <vt:lpstr>pSt_PPC</vt:lpstr>
      <vt:lpstr>pSt_SE</vt:lpstr>
      <vt:lpstr>pSt_SiO2</vt:lpstr>
      <vt:lpstr>tit_325</vt:lpstr>
      <vt:lpstr>tit_P</vt:lpstr>
      <vt:lpstr>tit_PPC</vt:lpstr>
      <vt:lpstr>tit_SE</vt:lpstr>
      <vt:lpstr>tit_SiO2</vt:lpstr>
    </vt:vector>
  </TitlesOfParts>
  <Company>Samarco - Laboratório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Comparativo de Medições de Qualidade - Germano x Ubu</dc:title>
  <dc:creator/>
  <cp:lastModifiedBy/>
  <dcterms:created xsi:type="dcterms:W3CDTF">2026-10-14T20:37:43Z</dcterms:created>
  <dcterms:modified xsi:type="dcterms:W3CDTF">2026-10-14T20:37:43Z</dcterms:modified>
</cp:coreProperties>
</file>