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Batch" sheetId="2" r:id="rId2"/>
    <sheet name="Painel" sheetId="3" state="hidden" r:id="rId3"/>
    <sheet name="Histórico" sheetId="4" state="hidden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'Preenchimento'!$D$36</definedName>
    <definedName name="bAtraso">'Preenchimento'!$D$8</definedName>
    <definedName name="bCom1">'Preenchimento'!$D$37</definedName>
    <definedName name="bCom2">'Preenchimento'!$D$38</definedName>
    <definedName name="bCom3">'Preenchimento'!$D$39</definedName>
    <definedName name="bCom4">'Preenchimento'!$D$40</definedName>
    <definedName name="bCom5">'Preenchimento'!$D$41</definedName>
    <definedName name="bCom6">'Preenchimento'!$D$42</definedName>
    <definedName name="bData">'Preenchimento'!$M$21</definedName>
    <definedName name="bDef">'Preenchimento'!$L$21</definedName>
    <definedName name="bExtH">'Preenchimento'!$G$7</definedName>
    <definedName name="bFases">'Preenchimento'!$D$11:$I$17</definedName>
    <definedName name="bFasesMsg">'Preenchimento'!$B$16</definedName>
    <definedName name="bFimG">'Preenchimento'!$D$21</definedName>
    <definedName name="bFimU">'Preenchimento'!$G$21</definedName>
    <definedName name="bFrase">'Preenchimento'!$D$35</definedName>
    <definedName name="bGrade">'Preenchimento'!$B$46:$Y$69</definedName>
    <definedName name="bHorasU">'Preenchimento'!$C$46:$C$69</definedName>
    <definedName name="bId">'Preenchimento'!$B$7</definedName>
    <definedName name="bIncAcomp">'Preenchimento'!$N$36</definedName>
    <definedName name="bIncFrase">'Preenchimento'!$N$35</definedName>
    <definedName name="bIniG">'Preenchimento'!$B$21</definedName>
    <definedName name="bIniP">'Preenchimento'!$I$21</definedName>
    <definedName name="bIniPMan">'Preenchimento'!$E$7</definedName>
    <definedName name="bIniU">'Preenchimento'!$E$21</definedName>
    <definedName name="bLabA">'Preenchimento'!$B$75</definedName>
    <definedName name="bLabB">'Preenchimento'!$D$75</definedName>
    <definedName name="bMin">'Preenchimento'!$N$21</definedName>
    <definedName name="bModo">'Preenchimento'!$P$7</definedName>
    <definedName name="bNHor">'Preenchimento'!$K$21</definedName>
    <definedName name="bNivel">'Preenchimento'!$D$7</definedName>
    <definedName name="bPfData">'Preenchimento'!$B$32</definedName>
    <definedName name="bPfFe">'Preenchimento'!$D$32</definedName>
    <definedName name="bPfMsg">'Preenchimento'!$H$32</definedName>
    <definedName name="bPfP">'Preenchimento'!$F$32</definedName>
    <definedName name="bPfSE">'Preenchimento'!$G$32</definedName>
    <definedName name="bPfSiO2">'Preenchimento'!$E$32</definedName>
    <definedName name="bRef">'Preenchimento'!$E$75</definedName>
    <definedName name="bSub">'Preenchimento'!$G$77</definedName>
    <definedName name="bTit">'Preenchimento'!$B$77</definedName>
    <definedName name="bTol_325">'Preenchimento'!$D$80</definedName>
    <definedName name="bTol_P">'Preenchimento'!$G$80</definedName>
    <definedName name="bTol_PPC">'Preenchimento'!$I$80</definedName>
    <definedName name="bTol_SE">'Preenchimento'!$B$80</definedName>
    <definedName name="bTol_SiO2">'Preenchimento'!$E$80</definedName>
    <definedName name="bUltimos">'Preenchimento'!$B$25:$N$28</definedName>
    <definedName name="bValores">'Preenchimento'!$E$46:$N$69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2">Painel!$A$6:$O$63</definedName>
    <definedName name="_xlnm.Print_Area" localSheetId="0">Preenchimento!$A$1:$N$29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<sst xmlns="http://schemas.openxmlformats.org/spreadsheetml/2006/main" count="498" uniqueCount="377">
  <si>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</si>
  <si>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</si>
  <si>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</si>
  <si>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</si>
  <si>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</si>
  <si>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</si>
  <si>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</si>
  <si>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</si>
  <si>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</si>
  <si>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</si>
  <si>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</si>
  <si>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</si>
  <si>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</si>
  <si>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</si>
  <si>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</si>
  <si>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</si>
  <si>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</si>
  <si>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</si>
  <si>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</si>
  <si>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</si>
  <si>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</si>
  <si>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</si>
  <si>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</si>
  <si>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</si>
  <si>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</si>
  <si>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</si>
  <si>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</si>
  <si>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</si>
  <si>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</si>
  <si>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</si>
  <si>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</si>
  <si>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</si>
  <si>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</si>
  <si>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</si>
  <si>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</si>
  <si>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</si>
  <si>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</si>
  <si>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</si>
  <si>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</si>
  <si>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</si>
  <si>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</si>
  <si>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</si>
  <si>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</si>
  <si>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</si>
  <si>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</si>
  <si>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</si>
  <si>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</si>
  <si>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</si>
  <si>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</si>
  <si>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</si>
  <si>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</si>
  <si>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</si>
  <si>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</si>
  <si>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</si>
  <si>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</si>
  <si>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</si>
  <si>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</si>
  <si>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</si>
  <si>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</si>
  <si>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</si>
  <si>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</si>
  <si>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</si>
  <si>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</si>
  <si>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</si>
  <si>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</si>
  <si>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</si>
  <si>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</si>
  <si>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</si>
  <si>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</si>
  <si>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</si>
  <si>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</si>
  <si>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</si>
  <si>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</si>
  <si>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</si>
  <si>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</si>
  <si>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</si>
  <si>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</si>
  <si>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</si>
  <si>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</si>
  <si>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</si>
  <si>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</si>
  <si>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</si>
  <si>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</si>
  <si>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</si>
  <si>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</si>
  <si>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</si>
  <si>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</si>
  <si>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</si>
  <si>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</si>
  <si>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</si>
  <si>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</si>
  <si>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</si>
  <si>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</si>
  <si>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</si>
  <si>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</si>
  <si>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</si>
  <si>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</si>
  <si>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</si>
  <si>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</si>
  <si>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</si>
  <si>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</si>
  <si>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</si>
  <si>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</si>
  <si>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</si>
  <si>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</si>
  <si>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</si>
  <si>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</si>
  <si>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</si>
  <si>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</si>
  <si>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</si>
  <si>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</si>
  <si>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</si>
  <si>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</si>
  <si>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</si>
  <si>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</si>
  <si>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</si>
  <si>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</si>
  <si>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</si>
  <si>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</si>
  <si>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</si>
  <si>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</si>
  <si>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· BATCH EM PROCESSAMENTO</t>
  </si>
  <si>
    <t>1 · IDENTIFICAÇÃO DO BATCH</t>
  </si>
  <si>
    <t>AÇÕES</t>
  </si>
  <si>
    <t>BATCH Nº</t>
  </si>
  <si>
    <t>NÍVEL DOS TANQUES</t>
  </si>
  <si>
    <t>INÍCIO NO PROCESSO (MANUAL)</t>
  </si>
  <si>
    <t>ESTENDER O BATCH (HORAS)</t>
  </si>
  <si>
    <t>número do batch no MES</t>
  </si>
  <si>
    <t>use o nível OU o início manual (um apaga o outro)</t>
  </si>
  <si>
    <t>Acompanhamento (em processamento)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</si>
  <si>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</si>
  <si>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</si>
  <si>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</si>
  <si>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</si>
  <si>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</si>
  <si>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</si>
  <si>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</si>
  <si>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</si>
  <si>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</si>
  <si>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</si>
  <si>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</si>
  <si>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</si>
  <si>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</si>
  <si>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</si>
  <si>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</si>
  <si>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</si>
  <si>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</si>
  <si>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</si>
  <si>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</si>
  <si>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</si>
  <si>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</si>
  <si>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</si>
  <si>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</si>
  <si>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</si>
  <si>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</si>
  <si>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</si>
  <si>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</si>
  <si>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</si>
  <si>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</si>
  <si>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</si>
  <si>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</si>
  <si>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</si>
  <si>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</si>
  <si>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</si>
  <si>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</si>
  <si>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</si>
  <si>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</si>
  <si>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</si>
  <si>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</si>
  <si>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</si>
  <si>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</si>
  <si>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</si>
  <si>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</si>
  <si>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</si>
  <si>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</si>
  <si>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</si>
  <si>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</si>
  <si>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</si>
  <si>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</si>
  <si>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</si>
  <si>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</si>
  <si>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</si>
  <si>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</si>
  <si>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</si>
  <si>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</si>
  <si>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</si>
  <si>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</si>
  <si>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</si>
  <si>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</si>
  <si>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</si>
  <si>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</si>
  <si>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resultados de Germano e de Ubu do batch, que vão para o bloco dele na aba Batch (5 batches por planilha).  Próximo batch: limpa esta aba; o que foi lançado na aba Batch fica.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</si>
  <si>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</si>
  <si>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</si>
  <si>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</si>
  <si>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</si>
  <si>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</si>
  <si>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</si>
  <si>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</si>
  <si>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</si>
  <si>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</si>
  <si>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</si>
  <si>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</si>
  <si>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</si>
  <si>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</si>
  <si>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</si>
  <si>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</si>
  <si>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</si>
  <si>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</si>
  <si>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</si>
  <si>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</si>
  <si>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</si>
  <si>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</si>
  <si>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</si>
  <si>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</si>
  <si>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</si>
  <si>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</si>
  <si>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</si>
  <si>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</si>
  <si>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</si>
  <si>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</si>
  <si>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</si>
  <si>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</si>
  <si>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</si>
  <si>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</si>
  <si>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</si>
  <si>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</si>
  <si>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</si>
  <si>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</si>
  <si>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</si>
  <si>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</si>
  <si>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</si>
  <si>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</si>
  <si>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</si>
  <si>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</si>
  <si>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</si>
  <si>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</si>
  <si>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</si>
  <si>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</si>
  <si>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</si>
  <si>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</si>
  <si>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</si>
  <si>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</si>
  <si>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</si>
  <si>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</si>
  <si>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</si>
  <si>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</si>
  <si>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</si>
  <si>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</si>
  <si>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</si>
  <si>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</si>
  <si>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</si>
  <si>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</si>
  <si>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</si>
  <si>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</si>
  <si>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</si>
  <si>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</si>
  <si>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</si>
  <si>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</si>
  <si>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</si>
  <si>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</si>
  <si>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</si>
  <si>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</si>
  <si>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</si>
  <si>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</si>
  <si>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</si>
  <si>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</si>
  <si>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</si>
  <si>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</si>
  <si>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</si>
  <si>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</si>
  <si>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</si>
  <si>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</si>
  <si>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</si>
  <si>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</si>
  <si>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</si>
  <si>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</si>
  <si>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</si>
  <si>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</si>
  <si>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</si>
  <si>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</si>
  <si>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</si>
  <si>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</si>
  <si>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</si>
  <si>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</si>
  <si>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</si>
  <si>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</si>
  <si>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</si>
  <si>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</si>
  <si>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</si>
  <si>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</si>
  <si>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</si>
  <si>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</si>
  <si>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</si>
  <si>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</si>
  <si>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</si>
  <si>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</si>
  <si>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</si>
  <si>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</si>
  <si>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</si>
  <si>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</si>
  <si>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</si>
  <si>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</si>
  <si>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</si>
  <si>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</si>
  <si>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</si>
  <si>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</si>
  <si>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</si>
  <si>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</si>
  <si>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</si>
  <si>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</si>
  <si>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</si>
  <si>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</si>
  <si>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</si>
  <si>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</si>
  <si>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</si>
  <si>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</si>
  <si>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</si>
  <si>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</si>
  <si>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</si>
  <si>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</si>
  <si>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</si>
  <si>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</si>
  <si>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</si>
  <si>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</si>
  <si>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</si>
  <si>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</si>
  <si>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</si>
  <si>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</si>
  <si>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</si>
  <si>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</si>
  <si>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</si>
  <si>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</si>
  <si>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</si>
  <si>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</si>
  <si>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</si>
  <si>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</si>
  <si>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</si>
  <si>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</si>
  <si>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</si>
  <si>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</si>
  <si>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</si>
  <si>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</si>
  <si>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</si>
  <si>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</si>
  <si>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</si>
  <si>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</si>
  <si>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</si>
  <si>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</si>
  <si>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</si>
  <si>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</si>
  <si>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</si>
  <si>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</si>
  <si>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</si>
  <si>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</si>
  <si>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</si>
  <si>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</si>
  <si>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</si>
  <si>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</si>
  <si>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</si>
  <si>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</si>
  <si>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</si>
  <si>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</si>
  <si>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</si>
  <si>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</si>
  <si>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</si>
  <si>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</si>
  <si>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</si>
  <si>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</si>
  <si>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</si>
  <si>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DOS BATCHES EM PROCESSAMENTO</t>
  </si>
  <si>
    <t>LIVRE   ·   o próximo batch buscado na aba Preenchimento entra aqui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</si>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</sst>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dd/mm/yy hh:mm"/>
    <numFmt numFmtId="165" formatCode="0&quot; h&quot;"/>
    <numFmt numFmtId="166" formatCode="&quot;atraso: &quot;0.0&quot; h&quot;;;;&quot;Alto / Médio / Baixo&quot;"/>
    <numFmt numFmtId="167" formatCode="dd/mm hh:mm"/>
    <numFmt numFmtId="168" formatCode="0.0&quot; h&quot;"/>
    <numFmt numFmtId="169" formatCode="dd/mm/yy"/>
    <numFmt numFmtId="170" formatCode="dd/mm/yyyy"/>
    <numFmt numFmtId="171" formatCode="0.00"/>
    <numFmt numFmtId="172" formatCode="0.000"/>
    <numFmt numFmtId="173" formatCode="0.0"/>
    <numFmt numFmtId="174" formatCode="+0;&quot;−&quot;0;0"/>
    <numFmt numFmtId="175" formatCode="+0.0;&quot;−&quot;0.0;0.0"/>
    <numFmt numFmtId="176" formatCode="+0.00;&quot;−&quot;0.00;0.00"/>
    <numFmt numFmtId="177" formatCode="+0.000;&quot;−&quot;0.000;0.000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4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2"/>
      <color rgb="FF1D2B36"/>
      <name val="Segoe UI"/>
      <family val="2"/>
    </font>
    <font>
      <b/>
      <sz val="11"/>
      <color rgb="FF1D2B36"/>
      <name val="Segoe UI"/>
      <family val="2"/>
    </font>
    <font>
      <sz val="10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sz val="8"/>
      <color rgb="FF1D2B3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"/>
      <color rgb="FF5B6B77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9.5"/>
      <color rgb="FFFFFFFF"/>
      <name val="Segoe UI"/>
      <family val="2"/>
    </font>
    <font>
      <b/>
      <sz val="9.5"/>
      <color rgb="FFD5DEEB"/>
      <name val="Segoe UI"/>
      <family val="2"/>
    </font>
    <font>
      <b/>
      <sz val="10"/>
      <color rgb="FF5B6B77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i/>
      <sz val="8.5"/>
      <color rgb="FF5B6B77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/>
      <right/>
      <top/>
      <bottom style="medium">
        <color rgb="FFFFC000"/>
      </bottom>
      <diagonal/>
    </border>
    <border>
      <left style="thick">
        <color rgb="FFFFFFFF"/>
      </left>
      <right style="thick">
        <color rgb="FFFFFFFF"/>
      </right>
      <top style="thin">
        <color rgb="FFC9A227"/>
      </top>
      <bottom style="thin">
        <color rgb="FFC9A227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2" xfId="0" applyFont="1" applyBorder="1" applyAlignment="1"/>
    <xf numFmtId="0" fontId="3" fillId="0" borderId="0" xfId="0" applyFont="1" applyAlignment="1"/>
    <xf numFmtId="0" fontId="4" fillId="3" borderId="3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164" fontId="6" fillId="3" borderId="3" xfId="0" applyNumberFormat="1" applyFont="1" applyFill="1" applyBorder="1" applyAlignment="1" applyProtection="1">
      <alignment horizontal="center" vertical="center"/>
      <protection locked="0"/>
    </xf>
    <xf numFmtId="165" fontId="5" fillId="3" borderId="3" xfId="0" applyNumberFormat="1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vertical="center"/>
      <protection locked="0"/>
    </xf>
    <xf numFmtId="0" fontId="8" fillId="0" borderId="0" xfId="0" applyFont="1" applyAlignment="1">
      <alignment vertical="top" wrapText="1"/>
    </xf>
    <xf numFmtId="166" fontId="8" fillId="0" borderId="0" xfId="0" applyNumberFormat="1" applyFont="1" applyAlignment="1">
      <alignment vertical="top"/>
    </xf>
    <xf numFmtId="0" fontId="9" fillId="4" borderId="5" xfId="0" applyFont="1" applyFill="1" applyBorder="1" applyAlignment="1">
      <alignment vertical="top" wrapText="1"/>
    </xf>
    <xf numFmtId="167" fontId="10" fillId="3" borderId="6" xfId="0" applyNumberFormat="1" applyFont="1" applyFill="1" applyBorder="1" applyAlignment="1" applyProtection="1">
      <alignment vertical="center"/>
      <protection locked="0"/>
    </xf>
    <xf numFmtId="167" fontId="10" fillId="0" borderId="0" xfId="0" applyNumberFormat="1" applyFont="1" applyAlignment="1" applyProtection="1">
      <alignment vertical="center"/>
      <protection locked="0"/>
    </xf>
    <xf numFmtId="0" fontId="11" fillId="0" borderId="0" xfId="0" applyFont="1" applyAlignment="1">
      <alignment vertical="top" wrapText="1"/>
    </xf>
    <xf numFmtId="0" fontId="12" fillId="0" borderId="0" xfId="0" applyFont="1" applyAlignment="1"/>
    <xf numFmtId="164" fontId="13" fillId="5" borderId="7" xfId="0" applyNumberFormat="1" applyFont="1" applyFill="1" applyBorder="1" applyAlignment="1" applyProtection="1">
      <alignment horizontal="center" vertical="center"/>
      <protection locked="0"/>
    </xf>
    <xf numFmtId="164" fontId="14" fillId="6" borderId="8" xfId="0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  <protection locked="0"/>
    </xf>
    <xf numFmtId="168" fontId="15" fillId="4" borderId="5" xfId="0" applyNumberFormat="1" applyFont="1" applyFill="1" applyBorder="1" applyAlignment="1">
      <alignment horizontal="center" vertical="center"/>
    </xf>
    <xf numFmtId="169" fontId="13" fillId="5" borderId="7" xfId="0" applyNumberFormat="1" applyFont="1" applyFill="1" applyBorder="1" applyAlignment="1" applyProtection="1">
      <alignment horizontal="center" vertical="center"/>
      <protection locked="0"/>
    </xf>
    <xf numFmtId="0" fontId="16" fillId="7" borderId="5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164" fontId="17" fillId="7" borderId="5" xfId="0" applyNumberFormat="1" applyFont="1" applyFill="1" applyBorder="1" applyAlignment="1">
      <alignment horizontal="center" vertical="center"/>
    </xf>
    <xf numFmtId="168" fontId="17" fillId="7" borderId="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170" fontId="13" fillId="5" borderId="7" xfId="0" applyNumberFormat="1" applyFont="1" applyFill="1" applyBorder="1" applyAlignment="1" applyProtection="1">
      <alignment horizontal="center" vertical="center"/>
      <protection locked="0"/>
    </xf>
    <xf numFmtId="171" fontId="13" fillId="3" borderId="4" xfId="0" applyNumberFormat="1" applyFont="1" applyFill="1" applyBorder="1" applyAlignment="1" applyProtection="1">
      <alignment horizontal="center" vertical="center"/>
      <protection locked="0"/>
    </xf>
    <xf numFmtId="172" fontId="13" fillId="3" borderId="4" xfId="0" applyNumberFormat="1" applyFont="1" applyFill="1" applyBorder="1" applyAlignment="1" applyProtection="1">
      <alignment horizontal="center" vertical="center"/>
      <protection locked="0"/>
    </xf>
    <xf numFmtId="1" fontId="13" fillId="3" borderId="4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 wrapText="1"/>
    </xf>
    <xf numFmtId="0" fontId="18" fillId="0" borderId="0" xfId="0" applyFont="1" applyAlignment="1">
      <alignment vertical="center"/>
    </xf>
    <xf numFmtId="0" fontId="19" fillId="5" borderId="4" xfId="0" applyFont="1" applyFill="1" applyBorder="1" applyAlignment="1" applyProtection="1">
      <alignment vertical="center" wrapText="1"/>
      <protection locked="0"/>
    </xf>
    <xf numFmtId="0" fontId="20" fillId="0" borderId="0" xfId="0" applyFont="1" applyAlignment="1">
      <alignment horizontal="right" vertical="center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vertical="center" wrapText="1"/>
      <protection locked="0"/>
    </xf>
    <xf numFmtId="0" fontId="21" fillId="8" borderId="9" xfId="0" applyFont="1" applyFill="1" applyBorder="1" applyAlignment="1">
      <alignment horizontal="center" vertical="center" wrapText="1"/>
    </xf>
    <xf numFmtId="0" fontId="21" fillId="9" borderId="9" xfId="0" applyFont="1" applyFill="1" applyBorder="1" applyAlignment="1">
      <alignment horizontal="center" vertical="center" wrapText="1"/>
    </xf>
    <xf numFmtId="0" fontId="21" fillId="10" borderId="9" xfId="0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167" fontId="13" fillId="11" borderId="5" xfId="0" applyNumberFormat="1" applyFont="1" applyFill="1" applyBorder="1" applyAlignment="1" applyProtection="1">
      <alignment horizontal="center" vertical="center"/>
      <protection locked="0"/>
    </xf>
    <xf numFmtId="167" fontId="15" fillId="0" borderId="5" xfId="0" applyNumberFormat="1" applyFont="1" applyBorder="1" applyAlignment="1">
      <alignment horizontal="center" vertical="center"/>
    </xf>
    <xf numFmtId="1" fontId="13" fillId="12" borderId="5" xfId="0" applyNumberFormat="1" applyFont="1" applyFill="1" applyBorder="1" applyAlignment="1" applyProtection="1">
      <alignment horizontal="center" vertical="center"/>
      <protection locked="0"/>
    </xf>
    <xf numFmtId="1" fontId="13" fillId="7" borderId="5" xfId="0" applyNumberFormat="1" applyFont="1" applyFill="1" applyBorder="1" applyAlignment="1" applyProtection="1">
      <alignment horizontal="center" vertical="center"/>
      <protection locked="0"/>
    </xf>
    <xf numFmtId="173" fontId="13" fillId="12" borderId="5" xfId="0" applyNumberFormat="1" applyFont="1" applyFill="1" applyBorder="1" applyAlignment="1" applyProtection="1">
      <alignment horizontal="center" vertical="center"/>
      <protection locked="0"/>
    </xf>
    <xf numFmtId="173" fontId="13" fillId="7" borderId="5" xfId="0" applyNumberFormat="1" applyFont="1" applyFill="1" applyBorder="1" applyAlignment="1" applyProtection="1">
      <alignment horizontal="center" vertical="center"/>
      <protection locked="0"/>
    </xf>
    <xf numFmtId="171" fontId="13" fillId="12" borderId="5" xfId="0" applyNumberFormat="1" applyFont="1" applyFill="1" applyBorder="1" applyAlignment="1" applyProtection="1">
      <alignment horizontal="center" vertical="center"/>
      <protection locked="0"/>
    </xf>
    <xf numFmtId="171" fontId="13" fillId="7" borderId="5" xfId="0" applyNumberFormat="1" applyFont="1" applyFill="1" applyBorder="1" applyAlignment="1" applyProtection="1">
      <alignment horizontal="center" vertical="center"/>
      <protection locked="0"/>
    </xf>
    <xf numFmtId="172" fontId="13" fillId="12" borderId="5" xfId="0" applyNumberFormat="1" applyFont="1" applyFill="1" applyBorder="1" applyAlignment="1" applyProtection="1">
      <alignment horizontal="center" vertical="center"/>
      <protection locked="0"/>
    </xf>
    <xf numFmtId="172" fontId="13" fillId="7" borderId="5" xfId="0" applyNumberFormat="1" applyFont="1" applyFill="1" applyBorder="1" applyAlignment="1" applyProtection="1">
      <alignment horizontal="center" vertical="center"/>
      <protection locked="0"/>
    </xf>
    <xf numFmtId="174" fontId="23" fillId="13" borderId="5" xfId="0" applyNumberFormat="1" applyFont="1" applyFill="1" applyBorder="1" applyAlignment="1">
      <alignment horizontal="center" vertical="center"/>
    </xf>
    <xf numFmtId="175" fontId="23" fillId="13" borderId="5" xfId="0" applyNumberFormat="1" applyFont="1" applyFill="1" applyBorder="1" applyAlignment="1">
      <alignment horizontal="center" vertical="center"/>
    </xf>
    <xf numFmtId="176" fontId="23" fillId="13" borderId="5" xfId="0" applyNumberFormat="1" applyFont="1" applyFill="1" applyBorder="1" applyAlignment="1">
      <alignment horizontal="center" vertical="center"/>
    </xf>
    <xf numFmtId="177" fontId="23" fillId="13" borderId="5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6" fillId="14" borderId="10" xfId="0" applyFont="1" applyFill="1" applyBorder="1" applyAlignment="1">
      <alignment horizontal="center" vertical="center"/>
    </xf>
    <xf numFmtId="1" fontId="16" fillId="14" borderId="10" xfId="0" applyNumberFormat="1" applyFont="1" applyFill="1" applyBorder="1" applyAlignment="1">
      <alignment horizontal="center" vertical="center"/>
    </xf>
    <xf numFmtId="173" fontId="16" fillId="14" borderId="10" xfId="0" applyNumberFormat="1" applyFont="1" applyFill="1" applyBorder="1" applyAlignment="1">
      <alignment horizontal="center" vertical="center"/>
    </xf>
    <xf numFmtId="171" fontId="16" fillId="14" borderId="10" xfId="0" applyNumberFormat="1" applyFont="1" applyFill="1" applyBorder="1" applyAlignment="1">
      <alignment horizontal="center" vertical="center"/>
    </xf>
    <xf numFmtId="172" fontId="16" fillId="14" borderId="10" xfId="0" applyNumberFormat="1" applyFont="1" applyFill="1" applyBorder="1" applyAlignment="1">
      <alignment horizontal="center" vertical="center"/>
    </xf>
    <xf numFmtId="174" fontId="24" fillId="15" borderId="10" xfId="0" applyNumberFormat="1" applyFont="1" applyFill="1" applyBorder="1" applyAlignment="1">
      <alignment horizontal="center" vertical="center"/>
    </xf>
    <xf numFmtId="175" fontId="24" fillId="15" borderId="10" xfId="0" applyNumberFormat="1" applyFont="1" applyFill="1" applyBorder="1" applyAlignment="1">
      <alignment horizontal="center" vertical="center"/>
    </xf>
    <xf numFmtId="176" fontId="24" fillId="15" borderId="10" xfId="0" applyNumberFormat="1" applyFont="1" applyFill="1" applyBorder="1" applyAlignment="1">
      <alignment horizontal="center" vertical="center"/>
    </xf>
    <xf numFmtId="177" fontId="24" fillId="15" borderId="10" xfId="0" applyNumberFormat="1" applyFont="1" applyFill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0" fillId="0" borderId="0" xfId="0" applyFont="1" applyAlignment="1"/>
    <xf numFmtId="0" fontId="26" fillId="0" borderId="0" xfId="0" applyFont="1" applyAlignment="1">
      <alignment horizontal="center" vertical="center"/>
    </xf>
    <xf numFmtId="1" fontId="7" fillId="3" borderId="4" xfId="0" applyNumberFormat="1" applyFont="1" applyFill="1" applyBorder="1" applyAlignment="1" applyProtection="1">
      <alignment horizontal="center" vertical="center"/>
      <protection locked="0"/>
    </xf>
    <xf numFmtId="173" fontId="7" fillId="3" borderId="4" xfId="0" applyNumberFormat="1" applyFont="1" applyFill="1" applyBorder="1" applyAlignment="1" applyProtection="1">
      <alignment horizontal="center" vertical="center"/>
      <protection locked="0"/>
    </xf>
    <xf numFmtId="171" fontId="7" fillId="3" borderId="4" xfId="0" applyNumberFormat="1" applyFont="1" applyFill="1" applyBorder="1" applyAlignment="1" applyProtection="1">
      <alignment horizontal="center" vertical="center"/>
      <protection locked="0"/>
    </xf>
    <xf numFmtId="172" fontId="7" fillId="3" borderId="4" xfId="0" applyNumberFormat="1" applyFont="1" applyFill="1" applyBorder="1" applyAlignment="1" applyProtection="1">
      <alignment horizontal="center" vertical="center"/>
      <protection locked="0"/>
    </xf>
    <xf numFmtId="0" fontId="27" fillId="8" borderId="0" xfId="0" applyFont="1" applyFill="1" applyAlignment="1">
      <alignment horizontal="left" vertical="center" indent="1"/>
    </xf>
    <xf numFmtId="0" fontId="28" fillId="8" borderId="0" xfId="0" applyFont="1" applyFill="1" applyAlignment="1">
      <alignment horizontal="left" vertical="center" indent="1"/>
    </xf>
    <xf numFmtId="0" fontId="29" fillId="4" borderId="5" xfId="0" applyFont="1" applyFill="1" applyBorder="1" applyAlignment="1">
      <alignment horizontal="left" vertical="center" indent="1"/>
    </xf>
    <xf numFmtId="0" fontId="7" fillId="4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178" fontId="6" fillId="3" borderId="10" xfId="0" applyNumberFormat="1" applyFont="1" applyFill="1" applyBorder="1" applyAlignment="1" applyProtection="1">
      <alignment horizontal="center" vertical="center"/>
      <protection locked="0"/>
    </xf>
    <xf numFmtId="0" fontId="6" fillId="3" borderId="10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30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7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left" vertical="center" indent="1"/>
    </xf>
    <xf numFmtId="0" fontId="27" fillId="8" borderId="1" xfId="0" applyFont="1" applyFill="1" applyBorder="1" applyAlignment="1">
      <alignment horizontal="right" vertical="center" indent="1"/>
    </xf>
    <xf numFmtId="0" fontId="32" fillId="8" borderId="1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0" fontId="33" fillId="4" borderId="10" xfId="0" applyFont="1" applyFill="1" applyBorder="1" applyAlignment="1">
      <alignment horizontal="left" vertical="center" indent="1"/>
    </xf>
    <xf numFmtId="0" fontId="34" fillId="14" borderId="10" xfId="0" applyFont="1" applyFill="1" applyBorder="1" applyAlignment="1">
      <alignment horizontal="center" vertical="center" wrapText="1"/>
    </xf>
    <xf numFmtId="0" fontId="35" fillId="0" borderId="10" xfId="0" applyFont="1" applyBorder="1" applyAlignment="1">
      <alignment vertical="top" indent="1" wrapText="1"/>
    </xf>
    <xf numFmtId="0" fontId="34" fillId="4" borderId="11" xfId="0" applyFont="1" applyFill="1" applyBorder="1" applyAlignment="1">
      <alignment horizontal="center" vertical="center"/>
    </xf>
    <xf numFmtId="0" fontId="36" fillId="0" borderId="12" xfId="0" applyFont="1" applyBorder="1" applyAlignment="1">
      <alignment horizontal="left" vertical="center" indent="1"/>
    </xf>
    <xf numFmtId="179" fontId="7" fillId="0" borderId="12" xfId="0" applyNumberFormat="1" applyFont="1" applyBorder="1" applyAlignment="1">
      <alignment horizontal="center" vertical="center"/>
    </xf>
    <xf numFmtId="180" fontId="36" fillId="0" borderId="12" xfId="0" applyNumberFormat="1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171" fontId="7" fillId="0" borderId="12" xfId="0" applyNumberFormat="1" applyFont="1" applyBorder="1" applyAlignment="1">
      <alignment horizontal="center" vertical="center"/>
    </xf>
    <xf numFmtId="173" fontId="7" fillId="0" borderId="12" xfId="0" applyNumberFormat="1" applyFont="1" applyBorder="1" applyAlignment="1">
      <alignment horizontal="center" vertical="center"/>
    </xf>
    <xf numFmtId="175" fontId="36" fillId="0" borderId="12" xfId="0" applyNumberFormat="1" applyFont="1" applyBorder="1" applyAlignment="1">
      <alignment horizontal="center" vertical="center"/>
    </xf>
    <xf numFmtId="176" fontId="36" fillId="0" borderId="12" xfId="0" applyNumberFormat="1" applyFont="1" applyBorder="1" applyAlignment="1">
      <alignment horizontal="center" vertical="center"/>
    </xf>
    <xf numFmtId="172" fontId="7" fillId="0" borderId="12" xfId="0" applyNumberFormat="1" applyFont="1" applyBorder="1" applyAlignment="1">
      <alignment horizontal="center" vertical="center"/>
    </xf>
    <xf numFmtId="177" fontId="36" fillId="0" borderId="12" xfId="0" applyNumberFormat="1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37" fillId="0" borderId="15" xfId="0" applyFont="1" applyBorder="1" applyAlignment="1">
      <alignment horizontal="left" vertical="center" indent="1"/>
    </xf>
    <xf numFmtId="0" fontId="37" fillId="0" borderId="16" xfId="0" applyFont="1" applyBorder="1" applyAlignment="1">
      <alignment horizontal="right" vertical="center" indent="1"/>
    </xf>
    <xf numFmtId="0" fontId="7" fillId="0" borderId="15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33" fillId="16" borderId="17" xfId="0" applyFont="1" applyFill="1" applyBorder="1" applyAlignment="1">
      <alignment horizontal="left" vertical="center" indent="1"/>
    </xf>
    <xf numFmtId="0" fontId="38" fillId="16" borderId="18" xfId="0" applyFont="1" applyFill="1" applyBorder="1" applyAlignment="1">
      <alignment horizontal="right" vertical="center"/>
    </xf>
    <xf numFmtId="0" fontId="37" fillId="0" borderId="0" xfId="0" applyFont="1" applyAlignment="1">
      <alignment horizontal="center" vertical="center"/>
    </xf>
    <xf numFmtId="0" fontId="39" fillId="0" borderId="0" xfId="0" applyFont="1" applyAlignment="1">
      <alignment vertical="center"/>
    </xf>
    <xf numFmtId="0" fontId="25" fillId="0" borderId="0" xfId="0" applyFont="1" applyAlignment="1">
      <alignment vertical="center" wrapText="1"/>
    </xf>
    <xf numFmtId="0" fontId="40" fillId="8" borderId="19" xfId="0" applyFont="1" applyFill="1" applyBorder="1" applyAlignment="1">
      <alignment horizontal="center" vertical="center"/>
    </xf>
    <xf numFmtId="0" fontId="36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41" fillId="3" borderId="4" xfId="0" applyFont="1" applyFill="1" applyBorder="1" applyAlignment="1" applyProtection="1">
      <alignment vertical="center"/>
      <protection locked="0"/>
    </xf>
    <xf numFmtId="181" fontId="7" fillId="3" borderId="4" xfId="0" applyNumberFormat="1" applyFont="1" applyFill="1" applyBorder="1" applyAlignment="1" applyProtection="1">
      <alignment horizontal="center" vertical="center"/>
      <protection locked="0"/>
    </xf>
    <xf numFmtId="0" fontId="42" fillId="17" borderId="20" xfId="0" applyFont="1" applyFill="1" applyBorder="1" applyAlignment="1">
      <alignment vertical="top" wrapText="1"/>
    </xf>
    <xf numFmtId="0" fontId="25" fillId="0" borderId="5" xfId="0" applyFont="1" applyBorder="1" applyAlignment="1">
      <alignment vertical="center"/>
    </xf>
    <xf numFmtId="0" fontId="16" fillId="0" borderId="0" xfId="0" applyFont="1" applyAlignment="1">
      <alignment vertical="center"/>
    </xf>
    <xf numFmtId="168" fontId="7" fillId="3" borderId="4" xfId="0" applyNumberFormat="1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182" fontId="7" fillId="4" borderId="0" xfId="0" applyNumberFormat="1" applyFont="1" applyFill="1" applyAlignment="1">
      <alignment horizontal="left" vertical="center"/>
    </xf>
    <xf numFmtId="0" fontId="2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32" fillId="8" borderId="0" xfId="0" applyFont="1" applyFill="1" applyAlignment="1">
      <alignment vertical="center"/>
    </xf>
  </cellXfs>
  <cellStyles count="1">
    <cellStyle name="Normal" xfId="0" builtinId="0"/>
  </cellStyles>
  <dxfs count="13">
    <dxf>
      <font>
        <color rgb="FF9AA3AD"/>
      </font>
      <fill>
        <patternFill>
          <bgColor rgb="FFEEF0F2"/>
        </patternFill>
      </fill>
    </dxf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0" formatCode="dd/mm/yyyy"/>
    </dxf>
    <dxf>
      <numFmt numFmtId="183" formatCode="dd/mm/yyyy hh:mm"/>
    </dxf>
    <dxf>
      <numFmt numFmtId="172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2" name="TextBox 1" descr="Botão: BuscarMES"/>
        <xdr:cNvSpPr txBox="1"/>
      </xdr:nvSpPr>
      <xdr:spPr>
        <a:xfrm>
          <a:off x="7477125" y="116205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ProximoBatchAcomp" textlink="">
      <xdr:nvSpPr>
        <xdr:cNvPr id="3" name="TextBox 2" descr="Botão: ProximoBatchAcomp"/>
        <xdr:cNvSpPr txBox="1"/>
      </xdr:nvSpPr>
      <xdr:spPr>
        <a:xfrm>
          <a:off x="7477125" y="2095500"/>
          <a:ext cx="2495550" cy="3238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Próximo batch (limpar esta aba)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← Preenchimento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8"/>
    <tableColumn id="2" name="Data do report" dataDxfId="9"/>
    <tableColumn id="3" name="Mineroduto" dataDxfId="8"/>
    <tableColumn id="4" name="Chegada Ubu (UBU3)" dataDxfId="10"/>
    <tableColumn id="5" name="Término Ubu (UBU3)" dataDxfId="10"/>
    <tableColumn id="6" name="Nível dos tanques" dataDxfId="8"/>
    <tableColumn id="7" name="Início processo (manual)" dataDxfId="10"/>
    <tableColumn id="8" name="Início Germano (EB06)" dataDxfId="10"/>
    <tableColumn id="9" name="Término Germano (EB06)" dataDxfId="10"/>
    <tableColumn id="10" name="Nº horários" dataDxfId="8"/>
    <tableColumn id="11" name="Laboratório A" dataDxfId="8"/>
    <tableColumn id="12" name="Laboratório B" dataDxfId="8"/>
    <tableColumn id="13" name="Referência" dataDxfId="8"/>
    <tableColumn id="14" name="Título" dataDxfId="8"/>
    <tableColumn id="15" name="Subtítulo" dataDxfId="8"/>
    <tableColumn id="16" name="Tol S.E." dataDxfId="11"/>
    <tableColumn id="17" name="Tol &lt;325#" dataDxfId="11"/>
    <tableColumn id="18" name="Tol SiO₂" dataDxfId="11"/>
    <tableColumn id="19" name="Tol P" dataDxfId="11"/>
    <tableColumn id="20" name="Tol PPC" dataDxfId="11"/>
    <tableColumn id="21" name="Frase automática" dataDxfId="8"/>
    <tableColumn id="22" name="Acompanhamento no report" dataDxfId="8"/>
    <tableColumn id="23" name="Texto parâmetros fora" dataDxfId="8"/>
    <tableColumn id="24" name="Texto acompanhamento" dataDxfId="8"/>
    <tableColumn id="25" name="Comentário 1" dataDxfId="8"/>
    <tableColumn id="26" name="Comentário 2" dataDxfId="8"/>
    <tableColumn id="27" name="Comentário 3" dataDxfId="8"/>
    <tableColumn id="28" name="Comentário 4" dataDxfId="8"/>
    <tableColumn id="29" name="Comentário 5" dataDxfId="8"/>
    <tableColumn id="30" name="Comentário 6" dataDxfId="8"/>
    <tableColumn id="31" name="PFUF data do composto" dataDxfId="11"/>
    <tableColumn id="32" name="PFUF Fe" dataDxfId="11"/>
    <tableColumn id="33" name="PFUF SiO₂" dataDxfId="11"/>
    <tableColumn id="34" name="PFUF P" dataDxfId="11"/>
    <tableColumn id="35" name="PFUF S.E." dataDxfId="11"/>
    <tableColumn id="36" name="S.E. média A" dataDxfId="11"/>
    <tableColumn id="37" name="S.E. média B" dataDxfId="11"/>
    <tableColumn id="38" name="S.E. diferença" dataDxfId="11"/>
    <tableColumn id="39" name="S.E. status" dataDxfId="8"/>
    <tableColumn id="40" name="&lt;325# média A" dataDxfId="11"/>
    <tableColumn id="41" name="&lt;325# média B" dataDxfId="11"/>
    <tableColumn id="42" name="&lt;325# diferença" dataDxfId="11"/>
    <tableColumn id="43" name="&lt;325# status" dataDxfId="8"/>
    <tableColumn id="44" name="SiO₂ média A" dataDxfId="11"/>
    <tableColumn id="45" name="SiO₂ média B" dataDxfId="11"/>
    <tableColumn id="46" name="SiO₂ diferença" dataDxfId="11"/>
    <tableColumn id="47" name="SiO₂ status" dataDxfId="8"/>
    <tableColumn id="48" name="P média A" dataDxfId="11"/>
    <tableColumn id="49" name="P média B" dataDxfId="11"/>
    <tableColumn id="50" name="P diferença" dataDxfId="11"/>
    <tableColumn id="51" name="P status" dataDxfId="8"/>
    <tableColumn id="52" name="PPC média A" dataDxfId="11"/>
    <tableColumn id="53" name="PPC média B" dataDxfId="11"/>
    <tableColumn id="54" name="PPC diferença" dataDxfId="11"/>
    <tableColumn id="55" name="PPC status" dataDxfId="8"/>
    <tableColumn id="56" name="Início no processo" dataDxfId="10"/>
    <tableColumn id="57" name="Defasagem (h)" dataDxfId="8"/>
    <tableColumn id="58" name="Nº NOK" dataDxfId="8"/>
    <tableColumn id="59" name="Leituras" dataDxfId="8"/>
    <tableColumn id="60" name="Salvo em" dataDxfId="10"/>
    <tableColumn id="61" name="Salvo por" dataDxfId="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2" totalsRowShown="0">
  <autoFilter ref="A1:J2"/>
  <tableColumns count="10">
    <tableColumn id="1" name="Batch" dataDxfId="8"/>
    <tableColumn id="2" name="Ordem" dataDxfId="8"/>
    <tableColumn id="3" name="Data/hora Ubu" dataDxfId="10"/>
    <tableColumn id="4" name="Data/hora Germano" dataDxfId="10"/>
    <tableColumn id="5" name="Parâmetro" dataDxfId="8"/>
    <tableColumn id="6" name="Germano" dataDxfId="11"/>
    <tableColumn id="7" name="Ubu" dataDxfId="11"/>
    <tableColumn id="8" name="Diferença" dataDxfId="11"/>
    <tableColumn id="9" name="Tolerância" dataDxfId="11"/>
    <tableColumn id="10" name="Status" dataDxfId="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80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6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6" ht="6" customHeight="1"/>
    <row r="4" spans="2:16" ht="8" customHeight="1"/>
    <row r="5" spans="2:16" ht="22" customHeight="1">
      <c r="B5" s="2" t="s">
        <v>122</v>
      </c>
      <c r="C5" s="2"/>
      <c r="D5" s="2"/>
      <c r="E5" s="2"/>
      <c r="F5" s="2"/>
      <c r="G5" s="2"/>
      <c r="H5" s="2"/>
      <c r="I5" s="2"/>
      <c r="K5" s="2" t="s">
        <v>123</v>
      </c>
      <c r="L5" s="2"/>
      <c r="M5" s="2"/>
      <c r="N5" s="2"/>
    </row>
    <row r="6" spans="2:16" ht="14" customHeight="1">
      <c r="B6" s="3" t="s">
        <v>124</v>
      </c>
      <c r="C6" s="3"/>
      <c r="D6" s="3" t="s">
        <v>125</v>
      </c>
      <c r="E6" s="3" t="s">
        <v>126</v>
      </c>
      <c r="F6" s="3"/>
      <c r="G6" s="3" t="s">
        <v>127</v>
      </c>
      <c r="H6" s="3"/>
    </row>
    <row r="7" spans="2:16" ht="30" customHeight="1">
      <c r="B7" s="4"/>
      <c r="C7" s="4"/>
      <c r="D7" s="5"/>
      <c r="E7" s="6"/>
      <c r="F7" s="6"/>
      <c r="G7" s="7"/>
      <c r="H7" s="7"/>
      <c r="P7" s="8" t="s">
        <v>130</v>
      </c>
    </row>
    <row r="8" spans="2:16" ht="24" customHeight="1">
      <c r="B8" s="9" t="s">
        <v>128</v>
      </c>
      <c r="C8" s="9"/>
      <c r="D8" s="10">
        <f>IF(AND(ISNUMBER(bIniP),ISNUMBER(bIniU)),ROUND((bIniP-bIniU)*24,2),IF(bNivel&lt;&gt;"",gAtrasoNivel,""))</f>
        <v>0</v>
      </c>
      <c r="E8" s="9" t="s">
        <v>129</v>
      </c>
      <c r="F8" s="9"/>
      <c r="G8" s="9">
        <f>IF(N(bExtH)&gt;0,"+"&amp;ROUND(N(bExtH)/2,0)&amp;" bi-horários · Germano = média do MES","em branco = só os resultados do MES")</f>
        <v>0</v>
      </c>
      <c r="H8" s="9"/>
    </row>
    <row r="9" spans="2:16" ht="8" customHeight="1"/>
    <row r="10" spans="2:16" ht="22" customHeight="1">
      <c r="B10" s="2" t="s">
        <v>131</v>
      </c>
      <c r="C10" s="2"/>
      <c r="D10" s="2"/>
      <c r="E10" s="2"/>
      <c r="F10" s="2"/>
      <c r="G10" s="2"/>
      <c r="H10" s="2"/>
      <c r="I10" s="2"/>
    </row>
    <row r="11" spans="2:16" ht="20" customHeight="1">
      <c r="B11" s="11" t="s">
        <v>132</v>
      </c>
      <c r="C11" s="11"/>
      <c r="D11" s="12"/>
      <c r="E11" s="12"/>
      <c r="F11" s="12"/>
      <c r="G11" s="12"/>
      <c r="H11" s="13"/>
      <c r="I11" s="13"/>
    </row>
    <row r="12" spans="2:16" ht="20" customHeight="1">
      <c r="B12" s="11"/>
      <c r="C12" s="11"/>
      <c r="D12" s="12"/>
      <c r="E12" s="12"/>
      <c r="F12" s="12"/>
      <c r="G12" s="12"/>
      <c r="H12" s="13"/>
      <c r="I12" s="13"/>
    </row>
    <row r="13" spans="2:16" ht="20" customHeight="1">
      <c r="B13" s="11"/>
      <c r="C13" s="11"/>
      <c r="D13" s="12"/>
      <c r="E13" s="12"/>
      <c r="F13" s="12"/>
      <c r="G13" s="12"/>
      <c r="H13" s="13"/>
      <c r="I13" s="13"/>
      <c r="K13" s="9" t="s">
        <v>192</v>
      </c>
      <c r="L13" s="9"/>
      <c r="M13" s="9"/>
      <c r="N13" s="9"/>
    </row>
    <row r="14" spans="2:16" ht="10" customHeight="1">
      <c r="B14" s="11"/>
      <c r="C14" s="11"/>
      <c r="D14" s="13"/>
      <c r="E14" s="13"/>
      <c r="F14" s="13"/>
      <c r="G14" s="13"/>
      <c r="H14" s="13"/>
      <c r="I14" s="13"/>
      <c r="K14" s="9"/>
      <c r="L14" s="9"/>
      <c r="M14" s="9"/>
      <c r="N14" s="9"/>
    </row>
    <row r="15" spans="2:16" ht="10" customHeight="1">
      <c r="B15" s="11"/>
      <c r="C15" s="11"/>
      <c r="D15" s="13"/>
      <c r="E15" s="13"/>
      <c r="F15" s="13"/>
      <c r="G15" s="13"/>
      <c r="H15" s="13"/>
      <c r="I15" s="13"/>
      <c r="K15" s="9"/>
      <c r="L15" s="9"/>
      <c r="M15" s="9"/>
      <c r="N15" s="9"/>
    </row>
    <row r="16" spans="2:16" ht="16" customHeight="1">
      <c r="B16" s="14"/>
      <c r="C16" s="14"/>
      <c r="D16" s="13"/>
      <c r="E16" s="13"/>
      <c r="F16" s="13"/>
      <c r="G16" s="13"/>
      <c r="H16" s="13"/>
      <c r="I16" s="13"/>
      <c r="K16" s="9"/>
      <c r="L16" s="9"/>
      <c r="M16" s="9"/>
      <c r="N16" s="9"/>
    </row>
    <row r="17" spans="2:14" ht="16" customHeight="1">
      <c r="B17" s="14"/>
      <c r="C17" s="14"/>
      <c r="D17" s="13"/>
      <c r="E17" s="13"/>
      <c r="F17" s="13"/>
      <c r="G17" s="13"/>
      <c r="H17" s="13"/>
      <c r="I17" s="13"/>
      <c r="K17" s="9"/>
      <c r="L17" s="9"/>
      <c r="M17" s="9"/>
      <c r="N17" s="9"/>
    </row>
    <row r="18" spans="2:14" ht="8" customHeight="1"/>
    <row r="19" spans="2:14" ht="22" customHeight="1">
      <c r="B19" s="2" t="s">
        <v>133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2:14" ht="14" customHeight="1">
      <c r="B20" s="3" t="s">
        <v>134</v>
      </c>
      <c r="C20" s="3"/>
      <c r="D20" s="3" t="s">
        <v>135</v>
      </c>
      <c r="E20" s="3" t="s">
        <v>136</v>
      </c>
      <c r="F20" s="3"/>
      <c r="G20" s="3" t="s">
        <v>137</v>
      </c>
      <c r="H20" s="3"/>
      <c r="I20" s="15" t="s">
        <v>138</v>
      </c>
      <c r="J20" s="15"/>
      <c r="K20" s="3" t="s">
        <v>139</v>
      </c>
      <c r="L20" s="3" t="s">
        <v>140</v>
      </c>
      <c r="M20" s="3" t="s">
        <v>141</v>
      </c>
      <c r="N20" s="3" t="s">
        <v>142</v>
      </c>
    </row>
    <row r="21" spans="2:14" ht="22" customHeight="1">
      <c r="B21" s="16"/>
      <c r="C21" s="16"/>
      <c r="D21" s="16"/>
      <c r="E21" s="16"/>
      <c r="F21" s="16"/>
      <c r="G21" s="16"/>
      <c r="H21" s="16"/>
      <c r="I21" s="17">
        <f>IF(ISNUMBER(bIniPMan),bIniPMan,IF(ISNUMBER(bIniU),bIniU+N(gAtrasoNivel)/24,""))</f>
        <v>0</v>
      </c>
      <c r="J21" s="17"/>
      <c r="K21" s="18">
        <f>IF(ISNUMBER(gNGer),gNGer,IF(ISNUMBER(gNHorFim),gNHorFim,padNHor))</f>
        <v>0</v>
      </c>
      <c r="L21" s="19">
        <f>IF(AND(ISNUMBER(gJanU),ISNUMBER(gJanG)),ROUND((gJanU-gJanG)*24,2),"")</f>
        <v>0</v>
      </c>
      <c r="M21" s="20">
        <f>TODAY()</f>
        <v>0</v>
      </c>
      <c r="N21" s="18" t="s">
        <v>95</v>
      </c>
    </row>
    <row r="22" spans="2:14" ht="8" customHeight="1"/>
    <row r="23" spans="2:14" ht="22" customHeight="1">
      <c r="B23" s="2" t="s">
        <v>143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2:14" ht="14" customHeight="1">
      <c r="B24" s="3" t="s">
        <v>144</v>
      </c>
      <c r="C24" s="3"/>
      <c r="D24" s="3" t="s">
        <v>145</v>
      </c>
      <c r="E24" s="3" t="s">
        <v>136</v>
      </c>
      <c r="F24" s="3"/>
      <c r="G24" s="3" t="s">
        <v>137</v>
      </c>
      <c r="H24" s="3"/>
      <c r="I24" s="3" t="s">
        <v>146</v>
      </c>
      <c r="J24" s="3"/>
      <c r="K24" s="3" t="s">
        <v>147</v>
      </c>
      <c r="L24" s="3"/>
      <c r="M24" s="3" t="s">
        <v>148</v>
      </c>
      <c r="N24" s="3"/>
    </row>
    <row r="25" spans="2:14" ht="17" customHeight="1">
      <c r="B25" s="21"/>
      <c r="C25" s="21"/>
      <c r="D25" s="22"/>
      <c r="E25" s="23"/>
      <c r="F25" s="23"/>
      <c r="G25" s="23"/>
      <c r="H25" s="23"/>
      <c r="I25" s="23"/>
      <c r="J25" s="23"/>
      <c r="K25" s="24"/>
      <c r="L25" s="24"/>
      <c r="M25" s="22"/>
      <c r="N25" s="22"/>
    </row>
    <row r="26" spans="2:14" ht="17" customHeight="1">
      <c r="B26" s="21"/>
      <c r="C26" s="21"/>
      <c r="D26" s="22"/>
      <c r="E26" s="23"/>
      <c r="F26" s="23"/>
      <c r="G26" s="23"/>
      <c r="H26" s="23"/>
      <c r="I26" s="23"/>
      <c r="J26" s="23"/>
      <c r="K26" s="24"/>
      <c r="L26" s="24"/>
      <c r="M26" s="22"/>
      <c r="N26" s="22"/>
    </row>
    <row r="27" spans="2:14" ht="17" customHeight="1">
      <c r="B27" s="21"/>
      <c r="C27" s="21"/>
      <c r="D27" s="22"/>
      <c r="E27" s="23"/>
      <c r="F27" s="23"/>
      <c r="G27" s="23"/>
      <c r="H27" s="23"/>
      <c r="I27" s="23"/>
      <c r="J27" s="23"/>
      <c r="K27" s="24"/>
      <c r="L27" s="24"/>
      <c r="M27" s="22"/>
      <c r="N27" s="22"/>
    </row>
    <row r="28" spans="2:14" ht="17" customHeight="1">
      <c r="B28" s="21"/>
      <c r="C28" s="21"/>
      <c r="D28" s="22"/>
      <c r="E28" s="23"/>
      <c r="F28" s="23"/>
      <c r="G28" s="23"/>
      <c r="H28" s="23"/>
      <c r="I28" s="23"/>
      <c r="J28" s="23"/>
      <c r="K28" s="24"/>
      <c r="L28" s="24"/>
      <c r="M28" s="22"/>
      <c r="N28" s="22"/>
    </row>
    <row r="29" spans="2:14" ht="8" customHeight="1"/>
    <row r="30" spans="2:14" ht="18" hidden="1" customHeight="1">
      <c r="B30" s="2" t="s">
        <v>149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2:14" ht="18" hidden="1" customHeight="1">
      <c r="B31" s="3" t="s">
        <v>150</v>
      </c>
      <c r="C31" s="3"/>
      <c r="D31" s="25" t="s">
        <v>151</v>
      </c>
      <c r="E31" s="25" t="s">
        <v>152</v>
      </c>
      <c r="F31" s="25" t="s">
        <v>27</v>
      </c>
      <c r="G31" s="25" t="s">
        <v>14</v>
      </c>
    </row>
    <row r="32" spans="2:14" ht="18" hidden="1" customHeight="1">
      <c r="B32" s="26">
        <f>IF(ISNUMBER(bData),bData-cfgPfDias,"")</f>
        <v>0</v>
      </c>
      <c r="C32" s="26"/>
      <c r="D32" s="27"/>
      <c r="E32" s="27"/>
      <c r="F32" s="28"/>
      <c r="G32" s="29"/>
      <c r="H32" s="30"/>
      <c r="I32" s="30"/>
      <c r="J32" s="30"/>
      <c r="K32" s="30"/>
      <c r="L32" s="30"/>
      <c r="M32" s="30"/>
      <c r="N32" s="30"/>
    </row>
    <row r="33" spans="2:25" ht="18" hidden="1" customHeight="1"/>
    <row r="34" spans="2:25" ht="18" hidden="1" customHeight="1">
      <c r="B34" s="2" t="s">
        <v>153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2:25" ht="18" hidden="1" customHeight="1">
      <c r="B35" s="31" t="s">
        <v>154</v>
      </c>
      <c r="C35" s="31"/>
      <c r="D35" s="32">
        <f>gFrase</f>
        <v>0</v>
      </c>
      <c r="E35" s="32"/>
      <c r="F35" s="32"/>
      <c r="G35" s="32"/>
      <c r="H35" s="32"/>
      <c r="I35" s="32"/>
      <c r="J35" s="32"/>
      <c r="K35" s="32"/>
      <c r="L35" s="32"/>
      <c r="M35" s="33" t="s">
        <v>155</v>
      </c>
      <c r="N35" s="34" t="s">
        <v>75</v>
      </c>
    </row>
    <row r="36" spans="2:25" ht="18" hidden="1" customHeight="1">
      <c r="B36" s="31" t="s">
        <v>156</v>
      </c>
      <c r="C36" s="31"/>
      <c r="D36" s="32">
        <f>gAcomp</f>
        <v>0</v>
      </c>
      <c r="E36" s="32"/>
      <c r="F36" s="32"/>
      <c r="G36" s="32"/>
      <c r="H36" s="32"/>
      <c r="I36" s="32"/>
      <c r="J36" s="32"/>
      <c r="K36" s="32"/>
      <c r="L36" s="32"/>
      <c r="M36" s="33" t="s">
        <v>155</v>
      </c>
      <c r="N36" s="34" t="s">
        <v>75</v>
      </c>
    </row>
    <row r="37" spans="2:25" ht="18" hidden="1" customHeight="1">
      <c r="B37" s="31" t="s">
        <v>157</v>
      </c>
      <c r="C37" s="31"/>
      <c r="D37" s="35" t="s">
        <v>104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</row>
    <row r="38" spans="2:25" ht="18" hidden="1" customHeight="1">
      <c r="B38" s="31" t="s">
        <v>158</v>
      </c>
      <c r="C38" s="31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</row>
    <row r="39" spans="2:25" ht="18" hidden="1" customHeight="1">
      <c r="B39" s="31" t="s">
        <v>159</v>
      </c>
      <c r="C39" s="31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</row>
    <row r="40" spans="2:25" ht="18" hidden="1" customHeight="1">
      <c r="B40" s="31" t="s">
        <v>160</v>
      </c>
      <c r="C40" s="31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</row>
    <row r="41" spans="2:25" ht="18" hidden="1" customHeight="1">
      <c r="B41" s="31" t="s">
        <v>161</v>
      </c>
      <c r="C41" s="31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2:25" ht="18" hidden="1" customHeight="1">
      <c r="B42" s="31" t="s">
        <v>162</v>
      </c>
      <c r="C42" s="31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</row>
    <row r="43" spans="2:25" ht="18" hidden="1" customHeight="1"/>
    <row r="44" spans="2:25" ht="18" hidden="1" customHeight="1">
      <c r="B44" s="2" t="s">
        <v>163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2:25" ht="18" hidden="1" customHeight="1">
      <c r="B45" s="36" t="s">
        <v>164</v>
      </c>
      <c r="C45" s="36" t="s">
        <v>165</v>
      </c>
      <c r="D45" s="36" t="s">
        <v>166</v>
      </c>
      <c r="E45" s="36">
        <f>"S.E."&amp;CHAR(10)&amp;bLabA</f>
        <v>0</v>
      </c>
      <c r="F45" s="37">
        <f>"S.E."&amp;CHAR(10)&amp;bLabB</f>
        <v>0</v>
      </c>
      <c r="G45" s="36">
        <f>"&lt;325#"&amp;CHAR(10)&amp;bLabA</f>
        <v>0</v>
      </c>
      <c r="H45" s="37">
        <f>"&lt;325#"&amp;CHAR(10)&amp;bLabB</f>
        <v>0</v>
      </c>
      <c r="I45" s="36">
        <f>"SiO₂"&amp;CHAR(10)&amp;bLabA</f>
        <v>0</v>
      </c>
      <c r="J45" s="37">
        <f>"SiO₂"&amp;CHAR(10)&amp;bLabB</f>
        <v>0</v>
      </c>
      <c r="K45" s="36">
        <f>"P"&amp;CHAR(10)&amp;bLabA</f>
        <v>0</v>
      </c>
      <c r="L45" s="37">
        <f>"P"&amp;CHAR(10)&amp;bLabB</f>
        <v>0</v>
      </c>
      <c r="M45" s="36">
        <f>"PPC"&amp;CHAR(10)&amp;bLabA</f>
        <v>0</v>
      </c>
      <c r="N45" s="37">
        <f>"PPC"&amp;CHAR(10)&amp;bLabB</f>
        <v>0</v>
      </c>
      <c r="P45" s="38" t="s">
        <v>167</v>
      </c>
      <c r="Q45" s="38" t="s">
        <v>169</v>
      </c>
      <c r="R45" s="38" t="s">
        <v>171</v>
      </c>
      <c r="S45" s="38" t="s">
        <v>173</v>
      </c>
      <c r="T45" s="38" t="s">
        <v>175</v>
      </c>
      <c r="U45" s="36" t="s">
        <v>168</v>
      </c>
      <c r="V45" s="36" t="s">
        <v>170</v>
      </c>
      <c r="W45" s="36" t="s">
        <v>172</v>
      </c>
      <c r="X45" s="36" t="s">
        <v>174</v>
      </c>
      <c r="Y45" s="36" t="s">
        <v>176</v>
      </c>
    </row>
    <row r="46" spans="2:25" ht="18" hidden="1" customHeight="1">
      <c r="B46" s="39">
        <v>1</v>
      </c>
      <c r="C46" s="40">
        <f>IF(AND(ISNUMBER(gJanU),1&lt;=bNHor),gJanU+0/12+cfgMinAntes/1440,"")</f>
        <v>0</v>
      </c>
      <c r="D46" s="41">
        <f>IF(ISNUMBER(C46),IF(ISNUMBER(gJanG),IF(1&lt;=gNG,gJanG+0/12+cfgMinG/1440,""),C46),"")</f>
        <v>0</v>
      </c>
      <c r="E46" s="42"/>
      <c r="F46" s="43"/>
      <c r="G46" s="44"/>
      <c r="H46" s="45"/>
      <c r="I46" s="46"/>
      <c r="J46" s="47"/>
      <c r="K46" s="48"/>
      <c r="L46" s="49"/>
      <c r="M46" s="46"/>
      <c r="N46" s="47"/>
      <c r="P46" s="50">
        <f>IF(AND(ISNUMBER(E46),ISNUMBER(F46)),IF(bRef=bLabA,F46-E46,E46-F46),"")</f>
        <v>0</v>
      </c>
      <c r="Q46" s="51">
        <f>IF(AND(ISNUMBER(G46),ISNUMBER(H46)),IF(bRef=bLabA,H46-G46,G46-H46),"")</f>
        <v>0</v>
      </c>
      <c r="R46" s="52">
        <f>IF(AND(ISNUMBER(I46),ISNUMBER(J46)),IF(bRef=bLabA,J46-I46,I46-J46),"")</f>
        <v>0</v>
      </c>
      <c r="S46" s="53">
        <f>IF(AND(ISNUMBER(K46),ISNUMBER(L46)),IF(bRef=bLabA,L46-K46,K46-L46),"")</f>
        <v>0</v>
      </c>
      <c r="T46" s="52">
        <f>IF(AND(ISNUMBER(M46),ISNUMBER(N46)),IF(bRef=bLabA,N46-M46,M46-N46),"")</f>
        <v>0</v>
      </c>
      <c r="U46" s="54">
        <f>IF(AND(ISNUMBER(E46),ISNUMBER(F46)),SUMPRODUCT(ISNUMBER(E$46:E46)*ISNUMBER(F$46:F46)),"")</f>
        <v>0</v>
      </c>
      <c r="V46" s="54">
        <f>IF(AND(ISNUMBER(G46),ISNUMBER(H46)),SUMPRODUCT(ISNUMBER(G$46:G46)*ISNUMBER(H$46:H46)),"")</f>
        <v>0</v>
      </c>
      <c r="W46" s="54">
        <f>IF(AND(ISNUMBER(I46),ISNUMBER(J46)),SUMPRODUCT(ISNUMBER(I$46:I46)*ISNUMBER(J$46:J46)),"")</f>
        <v>0</v>
      </c>
      <c r="X46" s="54">
        <f>IF(AND(ISNUMBER(K46),ISNUMBER(L46)),SUMPRODUCT(ISNUMBER(K$46:K46)*ISNUMBER(L$46:L46)),"")</f>
        <v>0</v>
      </c>
      <c r="Y46" s="54">
        <f>IF(AND(ISNUMBER(M46),ISNUMBER(N46)),SUMPRODUCT(ISNUMBER(M$46:M46)*ISNUMBER(N$46:N46)),"")</f>
        <v>0</v>
      </c>
    </row>
    <row r="47" spans="2:25" ht="18" hidden="1" customHeight="1">
      <c r="B47" s="39">
        <v>2</v>
      </c>
      <c r="C47" s="40">
        <f>IF(AND(ISNUMBER(gJanU),2&lt;=bNHor),gJanU+1/12+cfgMinAntes/1440,"")</f>
        <v>0</v>
      </c>
      <c r="D47" s="41">
        <f>IF(ISNUMBER(C47),IF(ISNUMBER(gJanG),IF(2&lt;=gNG,gJanG+1/12+cfgMinG/1440,""),C47),"")</f>
        <v>0</v>
      </c>
      <c r="E47" s="42"/>
      <c r="F47" s="43"/>
      <c r="G47" s="44"/>
      <c r="H47" s="45"/>
      <c r="I47" s="46"/>
      <c r="J47" s="47"/>
      <c r="K47" s="48"/>
      <c r="L47" s="49"/>
      <c r="M47" s="46"/>
      <c r="N47" s="47"/>
      <c r="P47" s="50">
        <f>IF(AND(ISNUMBER(E47),ISNUMBER(F47)),IF(bRef=bLabA,F47-E47,E47-F47),"")</f>
        <v>0</v>
      </c>
      <c r="Q47" s="51">
        <f>IF(AND(ISNUMBER(G47),ISNUMBER(H47)),IF(bRef=bLabA,H47-G47,G47-H47),"")</f>
        <v>0</v>
      </c>
      <c r="R47" s="52">
        <f>IF(AND(ISNUMBER(I47),ISNUMBER(J47)),IF(bRef=bLabA,J47-I47,I47-J47),"")</f>
        <v>0</v>
      </c>
      <c r="S47" s="53">
        <f>IF(AND(ISNUMBER(K47),ISNUMBER(L47)),IF(bRef=bLabA,L47-K47,K47-L47),"")</f>
        <v>0</v>
      </c>
      <c r="T47" s="52">
        <f>IF(AND(ISNUMBER(M47),ISNUMBER(N47)),IF(bRef=bLabA,N47-M47,M47-N47),"")</f>
        <v>0</v>
      </c>
      <c r="U47" s="54">
        <f>IF(AND(ISNUMBER(E47),ISNUMBER(F47)),SUMPRODUCT(ISNUMBER(E$46:E47)*ISNUMBER(F$46:F47)),"")</f>
        <v>0</v>
      </c>
      <c r="V47" s="54">
        <f>IF(AND(ISNUMBER(G47),ISNUMBER(H47)),SUMPRODUCT(ISNUMBER(G$46:G47)*ISNUMBER(H$46:H47)),"")</f>
        <v>0</v>
      </c>
      <c r="W47" s="54">
        <f>IF(AND(ISNUMBER(I47),ISNUMBER(J47)),SUMPRODUCT(ISNUMBER(I$46:I47)*ISNUMBER(J$46:J47)),"")</f>
        <v>0</v>
      </c>
      <c r="X47" s="54">
        <f>IF(AND(ISNUMBER(K47),ISNUMBER(L47)),SUMPRODUCT(ISNUMBER(K$46:K47)*ISNUMBER(L$46:L47)),"")</f>
        <v>0</v>
      </c>
      <c r="Y47" s="54">
        <f>IF(AND(ISNUMBER(M47),ISNUMBER(N47)),SUMPRODUCT(ISNUMBER(M$46:M47)*ISNUMBER(N$46:N47)),"")</f>
        <v>0</v>
      </c>
    </row>
    <row r="48" spans="2:25" ht="18" hidden="1" customHeight="1">
      <c r="B48" s="39">
        <v>3</v>
      </c>
      <c r="C48" s="40">
        <f>IF(AND(ISNUMBER(gJanU),3&lt;=bNHor),gJanU+2/12+cfgMinAntes/1440,"")</f>
        <v>0</v>
      </c>
      <c r="D48" s="41">
        <f>IF(ISNUMBER(C48),IF(ISNUMBER(gJanG),IF(3&lt;=gNG,gJanG+2/12+cfgMinG/1440,""),C48),"")</f>
        <v>0</v>
      </c>
      <c r="E48" s="42"/>
      <c r="F48" s="43"/>
      <c r="G48" s="44"/>
      <c r="H48" s="45"/>
      <c r="I48" s="46"/>
      <c r="J48" s="47"/>
      <c r="K48" s="48"/>
      <c r="L48" s="49"/>
      <c r="M48" s="46"/>
      <c r="N48" s="47"/>
      <c r="P48" s="50">
        <f>IF(AND(ISNUMBER(E48),ISNUMBER(F48)),IF(bRef=bLabA,F48-E48,E48-F48),"")</f>
        <v>0</v>
      </c>
      <c r="Q48" s="51">
        <f>IF(AND(ISNUMBER(G48),ISNUMBER(H48)),IF(bRef=bLabA,H48-G48,G48-H48),"")</f>
        <v>0</v>
      </c>
      <c r="R48" s="52">
        <f>IF(AND(ISNUMBER(I48),ISNUMBER(J48)),IF(bRef=bLabA,J48-I48,I48-J48),"")</f>
        <v>0</v>
      </c>
      <c r="S48" s="53">
        <f>IF(AND(ISNUMBER(K48),ISNUMBER(L48)),IF(bRef=bLabA,L48-K48,K48-L48),"")</f>
        <v>0</v>
      </c>
      <c r="T48" s="52">
        <f>IF(AND(ISNUMBER(M48),ISNUMBER(N48)),IF(bRef=bLabA,N48-M48,M48-N48),"")</f>
        <v>0</v>
      </c>
      <c r="U48" s="54">
        <f>IF(AND(ISNUMBER(E48),ISNUMBER(F48)),SUMPRODUCT(ISNUMBER(E$46:E48)*ISNUMBER(F$46:F48)),"")</f>
        <v>0</v>
      </c>
      <c r="V48" s="54">
        <f>IF(AND(ISNUMBER(G48),ISNUMBER(H48)),SUMPRODUCT(ISNUMBER(G$46:G48)*ISNUMBER(H$46:H48)),"")</f>
        <v>0</v>
      </c>
      <c r="W48" s="54">
        <f>IF(AND(ISNUMBER(I48),ISNUMBER(J48)),SUMPRODUCT(ISNUMBER(I$46:I48)*ISNUMBER(J$46:J48)),"")</f>
        <v>0</v>
      </c>
      <c r="X48" s="54">
        <f>IF(AND(ISNUMBER(K48),ISNUMBER(L48)),SUMPRODUCT(ISNUMBER(K$46:K48)*ISNUMBER(L$46:L48)),"")</f>
        <v>0</v>
      </c>
      <c r="Y48" s="54">
        <f>IF(AND(ISNUMBER(M48),ISNUMBER(N48)),SUMPRODUCT(ISNUMBER(M$46:M48)*ISNUMBER(N$46:N48)),"")</f>
        <v>0</v>
      </c>
    </row>
    <row r="49" spans="2:25" ht="18" hidden="1" customHeight="1">
      <c r="B49" s="39">
        <v>4</v>
      </c>
      <c r="C49" s="40">
        <f>IF(AND(ISNUMBER(gJanU),4&lt;=bNHor),gJanU+3/12+cfgMinAntes/1440,"")</f>
        <v>0</v>
      </c>
      <c r="D49" s="41">
        <f>IF(ISNUMBER(C49),IF(ISNUMBER(gJanG),IF(4&lt;=gNG,gJanG+3/12+cfgMinG/1440,""),C49),"")</f>
        <v>0</v>
      </c>
      <c r="E49" s="42"/>
      <c r="F49" s="43"/>
      <c r="G49" s="44"/>
      <c r="H49" s="45"/>
      <c r="I49" s="46"/>
      <c r="J49" s="47"/>
      <c r="K49" s="48"/>
      <c r="L49" s="49"/>
      <c r="M49" s="46"/>
      <c r="N49" s="47"/>
      <c r="P49" s="50">
        <f>IF(AND(ISNUMBER(E49),ISNUMBER(F49)),IF(bRef=bLabA,F49-E49,E49-F49),"")</f>
        <v>0</v>
      </c>
      <c r="Q49" s="51">
        <f>IF(AND(ISNUMBER(G49),ISNUMBER(H49)),IF(bRef=bLabA,H49-G49,G49-H49),"")</f>
        <v>0</v>
      </c>
      <c r="R49" s="52">
        <f>IF(AND(ISNUMBER(I49),ISNUMBER(J49)),IF(bRef=bLabA,J49-I49,I49-J49),"")</f>
        <v>0</v>
      </c>
      <c r="S49" s="53">
        <f>IF(AND(ISNUMBER(K49),ISNUMBER(L49)),IF(bRef=bLabA,L49-K49,K49-L49),"")</f>
        <v>0</v>
      </c>
      <c r="T49" s="52">
        <f>IF(AND(ISNUMBER(M49),ISNUMBER(N49)),IF(bRef=bLabA,N49-M49,M49-N49),"")</f>
        <v>0</v>
      </c>
      <c r="U49" s="54">
        <f>IF(AND(ISNUMBER(E49),ISNUMBER(F49)),SUMPRODUCT(ISNUMBER(E$46:E49)*ISNUMBER(F$46:F49)),"")</f>
        <v>0</v>
      </c>
      <c r="V49" s="54">
        <f>IF(AND(ISNUMBER(G49),ISNUMBER(H49)),SUMPRODUCT(ISNUMBER(G$46:G49)*ISNUMBER(H$46:H49)),"")</f>
        <v>0</v>
      </c>
      <c r="W49" s="54">
        <f>IF(AND(ISNUMBER(I49),ISNUMBER(J49)),SUMPRODUCT(ISNUMBER(I$46:I49)*ISNUMBER(J$46:J49)),"")</f>
        <v>0</v>
      </c>
      <c r="X49" s="54">
        <f>IF(AND(ISNUMBER(K49),ISNUMBER(L49)),SUMPRODUCT(ISNUMBER(K$46:K49)*ISNUMBER(L$46:L49)),"")</f>
        <v>0</v>
      </c>
      <c r="Y49" s="54">
        <f>IF(AND(ISNUMBER(M49),ISNUMBER(N49)),SUMPRODUCT(ISNUMBER(M$46:M49)*ISNUMBER(N$46:N49)),"")</f>
        <v>0</v>
      </c>
    </row>
    <row r="50" spans="2:25" ht="18" hidden="1" customHeight="1">
      <c r="B50" s="39">
        <v>5</v>
      </c>
      <c r="C50" s="40">
        <f>IF(AND(ISNUMBER(gJanU),5&lt;=bNHor),gJanU+4/12+cfgMinAntes/1440,"")</f>
        <v>0</v>
      </c>
      <c r="D50" s="41">
        <f>IF(ISNUMBER(C50),IF(ISNUMBER(gJanG),IF(5&lt;=gNG,gJanG+4/12+cfgMinG/1440,""),C50),"")</f>
        <v>0</v>
      </c>
      <c r="E50" s="42"/>
      <c r="F50" s="43"/>
      <c r="G50" s="44"/>
      <c r="H50" s="45"/>
      <c r="I50" s="46"/>
      <c r="J50" s="47"/>
      <c r="K50" s="48"/>
      <c r="L50" s="49"/>
      <c r="M50" s="46"/>
      <c r="N50" s="47"/>
      <c r="P50" s="50">
        <f>IF(AND(ISNUMBER(E50),ISNUMBER(F50)),IF(bRef=bLabA,F50-E50,E50-F50),"")</f>
        <v>0</v>
      </c>
      <c r="Q50" s="51">
        <f>IF(AND(ISNUMBER(G50),ISNUMBER(H50)),IF(bRef=bLabA,H50-G50,G50-H50),"")</f>
        <v>0</v>
      </c>
      <c r="R50" s="52">
        <f>IF(AND(ISNUMBER(I50),ISNUMBER(J50)),IF(bRef=bLabA,J50-I50,I50-J50),"")</f>
        <v>0</v>
      </c>
      <c r="S50" s="53">
        <f>IF(AND(ISNUMBER(K50),ISNUMBER(L50)),IF(bRef=bLabA,L50-K50,K50-L50),"")</f>
        <v>0</v>
      </c>
      <c r="T50" s="52">
        <f>IF(AND(ISNUMBER(M50),ISNUMBER(N50)),IF(bRef=bLabA,N50-M50,M50-N50),"")</f>
        <v>0</v>
      </c>
      <c r="U50" s="54">
        <f>IF(AND(ISNUMBER(E50),ISNUMBER(F50)),SUMPRODUCT(ISNUMBER(E$46:E50)*ISNUMBER(F$46:F50)),"")</f>
        <v>0</v>
      </c>
      <c r="V50" s="54">
        <f>IF(AND(ISNUMBER(G50),ISNUMBER(H50)),SUMPRODUCT(ISNUMBER(G$46:G50)*ISNUMBER(H$46:H50)),"")</f>
        <v>0</v>
      </c>
      <c r="W50" s="54">
        <f>IF(AND(ISNUMBER(I50),ISNUMBER(J50)),SUMPRODUCT(ISNUMBER(I$46:I50)*ISNUMBER(J$46:J50)),"")</f>
        <v>0</v>
      </c>
      <c r="X50" s="54">
        <f>IF(AND(ISNUMBER(K50),ISNUMBER(L50)),SUMPRODUCT(ISNUMBER(K$46:K50)*ISNUMBER(L$46:L50)),"")</f>
        <v>0</v>
      </c>
      <c r="Y50" s="54">
        <f>IF(AND(ISNUMBER(M50),ISNUMBER(N50)),SUMPRODUCT(ISNUMBER(M$46:M50)*ISNUMBER(N$46:N50)),"")</f>
        <v>0</v>
      </c>
    </row>
    <row r="51" spans="2:25" ht="18" hidden="1" customHeight="1">
      <c r="B51" s="39">
        <v>6</v>
      </c>
      <c r="C51" s="40">
        <f>IF(AND(ISNUMBER(gJanU),6&lt;=bNHor),gJanU+5/12+cfgMinAntes/1440,"")</f>
        <v>0</v>
      </c>
      <c r="D51" s="41">
        <f>IF(ISNUMBER(C51),IF(ISNUMBER(gJanG),IF(6&lt;=gNG,gJanG+5/12+cfgMinG/1440,""),C51),"")</f>
        <v>0</v>
      </c>
      <c r="E51" s="42"/>
      <c r="F51" s="43"/>
      <c r="G51" s="44"/>
      <c r="H51" s="45"/>
      <c r="I51" s="46"/>
      <c r="J51" s="47"/>
      <c r="K51" s="48"/>
      <c r="L51" s="49"/>
      <c r="M51" s="46"/>
      <c r="N51" s="47"/>
      <c r="P51" s="50">
        <f>IF(AND(ISNUMBER(E51),ISNUMBER(F51)),IF(bRef=bLabA,F51-E51,E51-F51),"")</f>
        <v>0</v>
      </c>
      <c r="Q51" s="51">
        <f>IF(AND(ISNUMBER(G51),ISNUMBER(H51)),IF(bRef=bLabA,H51-G51,G51-H51),"")</f>
        <v>0</v>
      </c>
      <c r="R51" s="52">
        <f>IF(AND(ISNUMBER(I51),ISNUMBER(J51)),IF(bRef=bLabA,J51-I51,I51-J51),"")</f>
        <v>0</v>
      </c>
      <c r="S51" s="53">
        <f>IF(AND(ISNUMBER(K51),ISNUMBER(L51)),IF(bRef=bLabA,L51-K51,K51-L51),"")</f>
        <v>0</v>
      </c>
      <c r="T51" s="52">
        <f>IF(AND(ISNUMBER(M51),ISNUMBER(N51)),IF(bRef=bLabA,N51-M51,M51-N51),"")</f>
        <v>0</v>
      </c>
      <c r="U51" s="54">
        <f>IF(AND(ISNUMBER(E51),ISNUMBER(F51)),SUMPRODUCT(ISNUMBER(E$46:E51)*ISNUMBER(F$46:F51)),"")</f>
        <v>0</v>
      </c>
      <c r="V51" s="54">
        <f>IF(AND(ISNUMBER(G51),ISNUMBER(H51)),SUMPRODUCT(ISNUMBER(G$46:G51)*ISNUMBER(H$46:H51)),"")</f>
        <v>0</v>
      </c>
      <c r="W51" s="54">
        <f>IF(AND(ISNUMBER(I51),ISNUMBER(J51)),SUMPRODUCT(ISNUMBER(I$46:I51)*ISNUMBER(J$46:J51)),"")</f>
        <v>0</v>
      </c>
      <c r="X51" s="54">
        <f>IF(AND(ISNUMBER(K51),ISNUMBER(L51)),SUMPRODUCT(ISNUMBER(K$46:K51)*ISNUMBER(L$46:L51)),"")</f>
        <v>0</v>
      </c>
      <c r="Y51" s="54">
        <f>IF(AND(ISNUMBER(M51),ISNUMBER(N51)),SUMPRODUCT(ISNUMBER(M$46:M51)*ISNUMBER(N$46:N51)),"")</f>
        <v>0</v>
      </c>
    </row>
    <row r="52" spans="2:25" ht="18" hidden="1" customHeight="1">
      <c r="B52" s="39">
        <v>7</v>
      </c>
      <c r="C52" s="40">
        <f>IF(AND(ISNUMBER(gJanU),7&lt;=bNHor),gJanU+6/12+cfgMinAntes/1440,"")</f>
        <v>0</v>
      </c>
      <c r="D52" s="41">
        <f>IF(ISNUMBER(C52),IF(ISNUMBER(gJanG),IF(7&lt;=gNG,gJanG+6/12+cfgMinG/1440,""),C52),"")</f>
        <v>0</v>
      </c>
      <c r="E52" s="42"/>
      <c r="F52" s="43"/>
      <c r="G52" s="44"/>
      <c r="H52" s="45"/>
      <c r="I52" s="46"/>
      <c r="J52" s="47"/>
      <c r="K52" s="48"/>
      <c r="L52" s="49"/>
      <c r="M52" s="46"/>
      <c r="N52" s="47"/>
      <c r="P52" s="50">
        <f>IF(AND(ISNUMBER(E52),ISNUMBER(F52)),IF(bRef=bLabA,F52-E52,E52-F52),"")</f>
        <v>0</v>
      </c>
      <c r="Q52" s="51">
        <f>IF(AND(ISNUMBER(G52),ISNUMBER(H52)),IF(bRef=bLabA,H52-G52,G52-H52),"")</f>
        <v>0</v>
      </c>
      <c r="R52" s="52">
        <f>IF(AND(ISNUMBER(I52),ISNUMBER(J52)),IF(bRef=bLabA,J52-I52,I52-J52),"")</f>
        <v>0</v>
      </c>
      <c r="S52" s="53">
        <f>IF(AND(ISNUMBER(K52),ISNUMBER(L52)),IF(bRef=bLabA,L52-K52,K52-L52),"")</f>
        <v>0</v>
      </c>
      <c r="T52" s="52">
        <f>IF(AND(ISNUMBER(M52),ISNUMBER(N52)),IF(bRef=bLabA,N52-M52,M52-N52),"")</f>
        <v>0</v>
      </c>
      <c r="U52" s="54">
        <f>IF(AND(ISNUMBER(E52),ISNUMBER(F52)),SUMPRODUCT(ISNUMBER(E$46:E52)*ISNUMBER(F$46:F52)),"")</f>
        <v>0</v>
      </c>
      <c r="V52" s="54">
        <f>IF(AND(ISNUMBER(G52),ISNUMBER(H52)),SUMPRODUCT(ISNUMBER(G$46:G52)*ISNUMBER(H$46:H52)),"")</f>
        <v>0</v>
      </c>
      <c r="W52" s="54">
        <f>IF(AND(ISNUMBER(I52),ISNUMBER(J52)),SUMPRODUCT(ISNUMBER(I$46:I52)*ISNUMBER(J$46:J52)),"")</f>
        <v>0</v>
      </c>
      <c r="X52" s="54">
        <f>IF(AND(ISNUMBER(K52),ISNUMBER(L52)),SUMPRODUCT(ISNUMBER(K$46:K52)*ISNUMBER(L$46:L52)),"")</f>
        <v>0</v>
      </c>
      <c r="Y52" s="54">
        <f>IF(AND(ISNUMBER(M52),ISNUMBER(N52)),SUMPRODUCT(ISNUMBER(M$46:M52)*ISNUMBER(N$46:N52)),"")</f>
        <v>0</v>
      </c>
    </row>
    <row r="53" spans="2:25" ht="18" hidden="1" customHeight="1">
      <c r="B53" s="39">
        <v>8</v>
      </c>
      <c r="C53" s="40">
        <f>IF(AND(ISNUMBER(gJanU),8&lt;=bNHor),gJanU+7/12+cfgMinAntes/1440,"")</f>
        <v>0</v>
      </c>
      <c r="D53" s="41">
        <f>IF(ISNUMBER(C53),IF(ISNUMBER(gJanG),IF(8&lt;=gNG,gJanG+7/12+cfgMinG/1440,""),C53),"")</f>
        <v>0</v>
      </c>
      <c r="E53" s="42"/>
      <c r="F53" s="43"/>
      <c r="G53" s="44"/>
      <c r="H53" s="45"/>
      <c r="I53" s="46"/>
      <c r="J53" s="47"/>
      <c r="K53" s="48"/>
      <c r="L53" s="49"/>
      <c r="M53" s="46"/>
      <c r="N53" s="47"/>
      <c r="P53" s="50">
        <f>IF(AND(ISNUMBER(E53),ISNUMBER(F53)),IF(bRef=bLabA,F53-E53,E53-F53),"")</f>
        <v>0</v>
      </c>
      <c r="Q53" s="51">
        <f>IF(AND(ISNUMBER(G53),ISNUMBER(H53)),IF(bRef=bLabA,H53-G53,G53-H53),"")</f>
        <v>0</v>
      </c>
      <c r="R53" s="52">
        <f>IF(AND(ISNUMBER(I53),ISNUMBER(J53)),IF(bRef=bLabA,J53-I53,I53-J53),"")</f>
        <v>0</v>
      </c>
      <c r="S53" s="53">
        <f>IF(AND(ISNUMBER(K53),ISNUMBER(L53)),IF(bRef=bLabA,L53-K53,K53-L53),"")</f>
        <v>0</v>
      </c>
      <c r="T53" s="52">
        <f>IF(AND(ISNUMBER(M53),ISNUMBER(N53)),IF(bRef=bLabA,N53-M53,M53-N53),"")</f>
        <v>0</v>
      </c>
      <c r="U53" s="54">
        <f>IF(AND(ISNUMBER(E53),ISNUMBER(F53)),SUMPRODUCT(ISNUMBER(E$46:E53)*ISNUMBER(F$46:F53)),"")</f>
        <v>0</v>
      </c>
      <c r="V53" s="54">
        <f>IF(AND(ISNUMBER(G53),ISNUMBER(H53)),SUMPRODUCT(ISNUMBER(G$46:G53)*ISNUMBER(H$46:H53)),"")</f>
        <v>0</v>
      </c>
      <c r="W53" s="54">
        <f>IF(AND(ISNUMBER(I53),ISNUMBER(J53)),SUMPRODUCT(ISNUMBER(I$46:I53)*ISNUMBER(J$46:J53)),"")</f>
        <v>0</v>
      </c>
      <c r="X53" s="54">
        <f>IF(AND(ISNUMBER(K53),ISNUMBER(L53)),SUMPRODUCT(ISNUMBER(K$46:K53)*ISNUMBER(L$46:L53)),"")</f>
        <v>0</v>
      </c>
      <c r="Y53" s="54">
        <f>IF(AND(ISNUMBER(M53),ISNUMBER(N53)),SUMPRODUCT(ISNUMBER(M$46:M53)*ISNUMBER(N$46:N53)),"")</f>
        <v>0</v>
      </c>
    </row>
    <row r="54" spans="2:25" ht="18" hidden="1" customHeight="1">
      <c r="B54" s="39">
        <v>9</v>
      </c>
      <c r="C54" s="40">
        <f>IF(AND(ISNUMBER(gJanU),9&lt;=bNHor),gJanU+8/12+cfgMinAntes/1440,"")</f>
        <v>0</v>
      </c>
      <c r="D54" s="41">
        <f>IF(ISNUMBER(C54),IF(ISNUMBER(gJanG),IF(9&lt;=gNG,gJanG+8/12+cfgMinG/1440,""),C54),"")</f>
        <v>0</v>
      </c>
      <c r="E54" s="42"/>
      <c r="F54" s="43"/>
      <c r="G54" s="44"/>
      <c r="H54" s="45"/>
      <c r="I54" s="46"/>
      <c r="J54" s="47"/>
      <c r="K54" s="48"/>
      <c r="L54" s="49"/>
      <c r="M54" s="46"/>
      <c r="N54" s="47"/>
      <c r="P54" s="50">
        <f>IF(AND(ISNUMBER(E54),ISNUMBER(F54)),IF(bRef=bLabA,F54-E54,E54-F54),"")</f>
        <v>0</v>
      </c>
      <c r="Q54" s="51">
        <f>IF(AND(ISNUMBER(G54),ISNUMBER(H54)),IF(bRef=bLabA,H54-G54,G54-H54),"")</f>
        <v>0</v>
      </c>
      <c r="R54" s="52">
        <f>IF(AND(ISNUMBER(I54),ISNUMBER(J54)),IF(bRef=bLabA,J54-I54,I54-J54),"")</f>
        <v>0</v>
      </c>
      <c r="S54" s="53">
        <f>IF(AND(ISNUMBER(K54),ISNUMBER(L54)),IF(bRef=bLabA,L54-K54,K54-L54),"")</f>
        <v>0</v>
      </c>
      <c r="T54" s="52">
        <f>IF(AND(ISNUMBER(M54),ISNUMBER(N54)),IF(bRef=bLabA,N54-M54,M54-N54),"")</f>
        <v>0</v>
      </c>
      <c r="U54" s="54">
        <f>IF(AND(ISNUMBER(E54),ISNUMBER(F54)),SUMPRODUCT(ISNUMBER(E$46:E54)*ISNUMBER(F$46:F54)),"")</f>
        <v>0</v>
      </c>
      <c r="V54" s="54">
        <f>IF(AND(ISNUMBER(G54),ISNUMBER(H54)),SUMPRODUCT(ISNUMBER(G$46:G54)*ISNUMBER(H$46:H54)),"")</f>
        <v>0</v>
      </c>
      <c r="W54" s="54">
        <f>IF(AND(ISNUMBER(I54),ISNUMBER(J54)),SUMPRODUCT(ISNUMBER(I$46:I54)*ISNUMBER(J$46:J54)),"")</f>
        <v>0</v>
      </c>
      <c r="X54" s="54">
        <f>IF(AND(ISNUMBER(K54),ISNUMBER(L54)),SUMPRODUCT(ISNUMBER(K$46:K54)*ISNUMBER(L$46:L54)),"")</f>
        <v>0</v>
      </c>
      <c r="Y54" s="54">
        <f>IF(AND(ISNUMBER(M54),ISNUMBER(N54)),SUMPRODUCT(ISNUMBER(M$46:M54)*ISNUMBER(N$46:N54)),"")</f>
        <v>0</v>
      </c>
    </row>
    <row r="55" spans="2:25" ht="18" hidden="1" customHeight="1">
      <c r="B55" s="39">
        <v>10</v>
      </c>
      <c r="C55" s="40">
        <f>IF(AND(ISNUMBER(gJanU),10&lt;=bNHor),gJanU+9/12+cfgMinAntes/1440,"")</f>
        <v>0</v>
      </c>
      <c r="D55" s="41">
        <f>IF(ISNUMBER(C55),IF(ISNUMBER(gJanG),IF(10&lt;=gNG,gJanG+9/12+cfgMinG/1440,""),C55),"")</f>
        <v>0</v>
      </c>
      <c r="E55" s="42"/>
      <c r="F55" s="43"/>
      <c r="G55" s="44"/>
      <c r="H55" s="45"/>
      <c r="I55" s="46"/>
      <c r="J55" s="47"/>
      <c r="K55" s="48"/>
      <c r="L55" s="49"/>
      <c r="M55" s="46"/>
      <c r="N55" s="47"/>
      <c r="P55" s="50">
        <f>IF(AND(ISNUMBER(E55),ISNUMBER(F55)),IF(bRef=bLabA,F55-E55,E55-F55),"")</f>
        <v>0</v>
      </c>
      <c r="Q55" s="51">
        <f>IF(AND(ISNUMBER(G55),ISNUMBER(H55)),IF(bRef=bLabA,H55-G55,G55-H55),"")</f>
        <v>0</v>
      </c>
      <c r="R55" s="52">
        <f>IF(AND(ISNUMBER(I55),ISNUMBER(J55)),IF(bRef=bLabA,J55-I55,I55-J55),"")</f>
        <v>0</v>
      </c>
      <c r="S55" s="53">
        <f>IF(AND(ISNUMBER(K55),ISNUMBER(L55)),IF(bRef=bLabA,L55-K55,K55-L55),"")</f>
        <v>0</v>
      </c>
      <c r="T55" s="52">
        <f>IF(AND(ISNUMBER(M55),ISNUMBER(N55)),IF(bRef=bLabA,N55-M55,M55-N55),"")</f>
        <v>0</v>
      </c>
      <c r="U55" s="54">
        <f>IF(AND(ISNUMBER(E55),ISNUMBER(F55)),SUMPRODUCT(ISNUMBER(E$46:E55)*ISNUMBER(F$46:F55)),"")</f>
        <v>0</v>
      </c>
      <c r="V55" s="54">
        <f>IF(AND(ISNUMBER(G55),ISNUMBER(H55)),SUMPRODUCT(ISNUMBER(G$46:G55)*ISNUMBER(H$46:H55)),"")</f>
        <v>0</v>
      </c>
      <c r="W55" s="54">
        <f>IF(AND(ISNUMBER(I55),ISNUMBER(J55)),SUMPRODUCT(ISNUMBER(I$46:I55)*ISNUMBER(J$46:J55)),"")</f>
        <v>0</v>
      </c>
      <c r="X55" s="54">
        <f>IF(AND(ISNUMBER(K55),ISNUMBER(L55)),SUMPRODUCT(ISNUMBER(K$46:K55)*ISNUMBER(L$46:L55)),"")</f>
        <v>0</v>
      </c>
      <c r="Y55" s="54">
        <f>IF(AND(ISNUMBER(M55),ISNUMBER(N55)),SUMPRODUCT(ISNUMBER(M$46:M55)*ISNUMBER(N$46:N55)),"")</f>
        <v>0</v>
      </c>
    </row>
    <row r="56" spans="2:25" ht="18" hidden="1" customHeight="1">
      <c r="B56" s="39">
        <v>11</v>
      </c>
      <c r="C56" s="40">
        <f>IF(AND(ISNUMBER(gJanU),11&lt;=bNHor),gJanU+10/12+cfgMinAntes/1440,"")</f>
        <v>0</v>
      </c>
      <c r="D56" s="41">
        <f>IF(ISNUMBER(C56),IF(ISNUMBER(gJanG),IF(11&lt;=gNG,gJanG+10/12+cfgMinG/1440,""),C56),"")</f>
        <v>0</v>
      </c>
      <c r="E56" s="42"/>
      <c r="F56" s="43"/>
      <c r="G56" s="44"/>
      <c r="H56" s="45"/>
      <c r="I56" s="46"/>
      <c r="J56" s="47"/>
      <c r="K56" s="48"/>
      <c r="L56" s="49"/>
      <c r="M56" s="46"/>
      <c r="N56" s="47"/>
      <c r="P56" s="50">
        <f>IF(AND(ISNUMBER(E56),ISNUMBER(F56)),IF(bRef=bLabA,F56-E56,E56-F56),"")</f>
        <v>0</v>
      </c>
      <c r="Q56" s="51">
        <f>IF(AND(ISNUMBER(G56),ISNUMBER(H56)),IF(bRef=bLabA,H56-G56,G56-H56),"")</f>
        <v>0</v>
      </c>
      <c r="R56" s="52">
        <f>IF(AND(ISNUMBER(I56),ISNUMBER(J56)),IF(bRef=bLabA,J56-I56,I56-J56),"")</f>
        <v>0</v>
      </c>
      <c r="S56" s="53">
        <f>IF(AND(ISNUMBER(K56),ISNUMBER(L56)),IF(bRef=bLabA,L56-K56,K56-L56),"")</f>
        <v>0</v>
      </c>
      <c r="T56" s="52">
        <f>IF(AND(ISNUMBER(M56),ISNUMBER(N56)),IF(bRef=bLabA,N56-M56,M56-N56),"")</f>
        <v>0</v>
      </c>
      <c r="U56" s="54">
        <f>IF(AND(ISNUMBER(E56),ISNUMBER(F56)),SUMPRODUCT(ISNUMBER(E$46:E56)*ISNUMBER(F$46:F56)),"")</f>
        <v>0</v>
      </c>
      <c r="V56" s="54">
        <f>IF(AND(ISNUMBER(G56),ISNUMBER(H56)),SUMPRODUCT(ISNUMBER(G$46:G56)*ISNUMBER(H$46:H56)),"")</f>
        <v>0</v>
      </c>
      <c r="W56" s="54">
        <f>IF(AND(ISNUMBER(I56),ISNUMBER(J56)),SUMPRODUCT(ISNUMBER(I$46:I56)*ISNUMBER(J$46:J56)),"")</f>
        <v>0</v>
      </c>
      <c r="X56" s="54">
        <f>IF(AND(ISNUMBER(K56),ISNUMBER(L56)),SUMPRODUCT(ISNUMBER(K$46:K56)*ISNUMBER(L$46:L56)),"")</f>
        <v>0</v>
      </c>
      <c r="Y56" s="54">
        <f>IF(AND(ISNUMBER(M56),ISNUMBER(N56)),SUMPRODUCT(ISNUMBER(M$46:M56)*ISNUMBER(N$46:N56)),"")</f>
        <v>0</v>
      </c>
    </row>
    <row r="57" spans="2:25" ht="18" hidden="1" customHeight="1">
      <c r="B57" s="39">
        <v>12</v>
      </c>
      <c r="C57" s="40">
        <f>IF(AND(ISNUMBER(gJanU),12&lt;=bNHor),gJanU+11/12+cfgMinAntes/1440,"")</f>
        <v>0</v>
      </c>
      <c r="D57" s="41">
        <f>IF(ISNUMBER(C57),IF(ISNUMBER(gJanG),IF(12&lt;=gNG,gJanG+11/12+cfgMinG/1440,""),C57),"")</f>
        <v>0</v>
      </c>
      <c r="E57" s="42"/>
      <c r="F57" s="43"/>
      <c r="G57" s="44"/>
      <c r="H57" s="45"/>
      <c r="I57" s="46"/>
      <c r="J57" s="47"/>
      <c r="K57" s="48"/>
      <c r="L57" s="49"/>
      <c r="M57" s="46"/>
      <c r="N57" s="47"/>
      <c r="P57" s="50">
        <f>IF(AND(ISNUMBER(E57),ISNUMBER(F57)),IF(bRef=bLabA,F57-E57,E57-F57),"")</f>
        <v>0</v>
      </c>
      <c r="Q57" s="51">
        <f>IF(AND(ISNUMBER(G57),ISNUMBER(H57)),IF(bRef=bLabA,H57-G57,G57-H57),"")</f>
        <v>0</v>
      </c>
      <c r="R57" s="52">
        <f>IF(AND(ISNUMBER(I57),ISNUMBER(J57)),IF(bRef=bLabA,J57-I57,I57-J57),"")</f>
        <v>0</v>
      </c>
      <c r="S57" s="53">
        <f>IF(AND(ISNUMBER(K57),ISNUMBER(L57)),IF(bRef=bLabA,L57-K57,K57-L57),"")</f>
        <v>0</v>
      </c>
      <c r="T57" s="52">
        <f>IF(AND(ISNUMBER(M57),ISNUMBER(N57)),IF(bRef=bLabA,N57-M57,M57-N57),"")</f>
        <v>0</v>
      </c>
      <c r="U57" s="54">
        <f>IF(AND(ISNUMBER(E57),ISNUMBER(F57)),SUMPRODUCT(ISNUMBER(E$46:E57)*ISNUMBER(F$46:F57)),"")</f>
        <v>0</v>
      </c>
      <c r="V57" s="54">
        <f>IF(AND(ISNUMBER(G57),ISNUMBER(H57)),SUMPRODUCT(ISNUMBER(G$46:G57)*ISNUMBER(H$46:H57)),"")</f>
        <v>0</v>
      </c>
      <c r="W57" s="54">
        <f>IF(AND(ISNUMBER(I57),ISNUMBER(J57)),SUMPRODUCT(ISNUMBER(I$46:I57)*ISNUMBER(J$46:J57)),"")</f>
        <v>0</v>
      </c>
      <c r="X57" s="54">
        <f>IF(AND(ISNUMBER(K57),ISNUMBER(L57)),SUMPRODUCT(ISNUMBER(K$46:K57)*ISNUMBER(L$46:L57)),"")</f>
        <v>0</v>
      </c>
      <c r="Y57" s="54">
        <f>IF(AND(ISNUMBER(M57),ISNUMBER(N57)),SUMPRODUCT(ISNUMBER(M$46:M57)*ISNUMBER(N$46:N57)),"")</f>
        <v>0</v>
      </c>
    </row>
    <row r="58" spans="2:25" ht="18" hidden="1" customHeight="1">
      <c r="B58" s="39">
        <v>13</v>
      </c>
      <c r="C58" s="40">
        <f>IF(AND(ISNUMBER(gJanU),13&lt;=bNHor),gJanU+12/12+cfgMinAntes/1440,"")</f>
        <v>0</v>
      </c>
      <c r="D58" s="41">
        <f>IF(ISNUMBER(C58),IF(ISNUMBER(gJanG),IF(13&lt;=gNG,gJanG+12/12+cfgMinG/1440,""),C58),"")</f>
        <v>0</v>
      </c>
      <c r="E58" s="42"/>
      <c r="F58" s="43"/>
      <c r="G58" s="44"/>
      <c r="H58" s="45"/>
      <c r="I58" s="46"/>
      <c r="J58" s="47"/>
      <c r="K58" s="48"/>
      <c r="L58" s="49"/>
      <c r="M58" s="46"/>
      <c r="N58" s="47"/>
      <c r="P58" s="50">
        <f>IF(AND(ISNUMBER(E58),ISNUMBER(F58)),IF(bRef=bLabA,F58-E58,E58-F58),"")</f>
        <v>0</v>
      </c>
      <c r="Q58" s="51">
        <f>IF(AND(ISNUMBER(G58),ISNUMBER(H58)),IF(bRef=bLabA,H58-G58,G58-H58),"")</f>
        <v>0</v>
      </c>
      <c r="R58" s="52">
        <f>IF(AND(ISNUMBER(I58),ISNUMBER(J58)),IF(bRef=bLabA,J58-I58,I58-J58),"")</f>
        <v>0</v>
      </c>
      <c r="S58" s="53">
        <f>IF(AND(ISNUMBER(K58),ISNUMBER(L58)),IF(bRef=bLabA,L58-K58,K58-L58),"")</f>
        <v>0</v>
      </c>
      <c r="T58" s="52">
        <f>IF(AND(ISNUMBER(M58),ISNUMBER(N58)),IF(bRef=bLabA,N58-M58,M58-N58),"")</f>
        <v>0</v>
      </c>
      <c r="U58" s="54">
        <f>IF(AND(ISNUMBER(E58),ISNUMBER(F58)),SUMPRODUCT(ISNUMBER(E$46:E58)*ISNUMBER(F$46:F58)),"")</f>
        <v>0</v>
      </c>
      <c r="V58" s="54">
        <f>IF(AND(ISNUMBER(G58),ISNUMBER(H58)),SUMPRODUCT(ISNUMBER(G$46:G58)*ISNUMBER(H$46:H58)),"")</f>
        <v>0</v>
      </c>
      <c r="W58" s="54">
        <f>IF(AND(ISNUMBER(I58),ISNUMBER(J58)),SUMPRODUCT(ISNUMBER(I$46:I58)*ISNUMBER(J$46:J58)),"")</f>
        <v>0</v>
      </c>
      <c r="X58" s="54">
        <f>IF(AND(ISNUMBER(K58),ISNUMBER(L58)),SUMPRODUCT(ISNUMBER(K$46:K58)*ISNUMBER(L$46:L58)),"")</f>
        <v>0</v>
      </c>
      <c r="Y58" s="54">
        <f>IF(AND(ISNUMBER(M58),ISNUMBER(N58)),SUMPRODUCT(ISNUMBER(M$46:M58)*ISNUMBER(N$46:N58)),"")</f>
        <v>0</v>
      </c>
    </row>
    <row r="59" spans="2:25" ht="18" hidden="1" customHeight="1">
      <c r="B59" s="39">
        <v>14</v>
      </c>
      <c r="C59" s="40">
        <f>IF(AND(ISNUMBER(gJanU),14&lt;=bNHor),gJanU+13/12+cfgMinAntes/1440,"")</f>
        <v>0</v>
      </c>
      <c r="D59" s="41">
        <f>IF(ISNUMBER(C59),IF(ISNUMBER(gJanG),IF(14&lt;=gNG,gJanG+13/12+cfgMinG/1440,""),C59),"")</f>
        <v>0</v>
      </c>
      <c r="E59" s="42"/>
      <c r="F59" s="43"/>
      <c r="G59" s="44"/>
      <c r="H59" s="45"/>
      <c r="I59" s="46"/>
      <c r="J59" s="47"/>
      <c r="K59" s="48"/>
      <c r="L59" s="49"/>
      <c r="M59" s="46"/>
      <c r="N59" s="47"/>
      <c r="P59" s="50">
        <f>IF(AND(ISNUMBER(E59),ISNUMBER(F59)),IF(bRef=bLabA,F59-E59,E59-F59),"")</f>
        <v>0</v>
      </c>
      <c r="Q59" s="51">
        <f>IF(AND(ISNUMBER(G59),ISNUMBER(H59)),IF(bRef=bLabA,H59-G59,G59-H59),"")</f>
        <v>0</v>
      </c>
      <c r="R59" s="52">
        <f>IF(AND(ISNUMBER(I59),ISNUMBER(J59)),IF(bRef=bLabA,J59-I59,I59-J59),"")</f>
        <v>0</v>
      </c>
      <c r="S59" s="53">
        <f>IF(AND(ISNUMBER(K59),ISNUMBER(L59)),IF(bRef=bLabA,L59-K59,K59-L59),"")</f>
        <v>0</v>
      </c>
      <c r="T59" s="52">
        <f>IF(AND(ISNUMBER(M59),ISNUMBER(N59)),IF(bRef=bLabA,N59-M59,M59-N59),"")</f>
        <v>0</v>
      </c>
      <c r="U59" s="54">
        <f>IF(AND(ISNUMBER(E59),ISNUMBER(F59)),SUMPRODUCT(ISNUMBER(E$46:E59)*ISNUMBER(F$46:F59)),"")</f>
        <v>0</v>
      </c>
      <c r="V59" s="54">
        <f>IF(AND(ISNUMBER(G59),ISNUMBER(H59)),SUMPRODUCT(ISNUMBER(G$46:G59)*ISNUMBER(H$46:H59)),"")</f>
        <v>0</v>
      </c>
      <c r="W59" s="54">
        <f>IF(AND(ISNUMBER(I59),ISNUMBER(J59)),SUMPRODUCT(ISNUMBER(I$46:I59)*ISNUMBER(J$46:J59)),"")</f>
        <v>0</v>
      </c>
      <c r="X59" s="54">
        <f>IF(AND(ISNUMBER(K59),ISNUMBER(L59)),SUMPRODUCT(ISNUMBER(K$46:K59)*ISNUMBER(L$46:L59)),"")</f>
        <v>0</v>
      </c>
      <c r="Y59" s="54">
        <f>IF(AND(ISNUMBER(M59),ISNUMBER(N59)),SUMPRODUCT(ISNUMBER(M$46:M59)*ISNUMBER(N$46:N59)),"")</f>
        <v>0</v>
      </c>
    </row>
    <row r="60" spans="2:25" ht="18" hidden="1" customHeight="1">
      <c r="B60" s="39">
        <v>15</v>
      </c>
      <c r="C60" s="40">
        <f>IF(AND(ISNUMBER(gJanU),15&lt;=bNHor),gJanU+14/12+cfgMinAntes/1440,"")</f>
        <v>0</v>
      </c>
      <c r="D60" s="41">
        <f>IF(ISNUMBER(C60),IF(ISNUMBER(gJanG),IF(15&lt;=gNG,gJanG+14/12+cfgMinG/1440,""),C60),"")</f>
        <v>0</v>
      </c>
      <c r="E60" s="42"/>
      <c r="F60" s="43"/>
      <c r="G60" s="44"/>
      <c r="H60" s="45"/>
      <c r="I60" s="46"/>
      <c r="J60" s="47"/>
      <c r="K60" s="48"/>
      <c r="L60" s="49"/>
      <c r="M60" s="46"/>
      <c r="N60" s="47"/>
      <c r="P60" s="50">
        <f>IF(AND(ISNUMBER(E60),ISNUMBER(F60)),IF(bRef=bLabA,F60-E60,E60-F60),"")</f>
        <v>0</v>
      </c>
      <c r="Q60" s="51">
        <f>IF(AND(ISNUMBER(G60),ISNUMBER(H60)),IF(bRef=bLabA,H60-G60,G60-H60),"")</f>
        <v>0</v>
      </c>
      <c r="R60" s="52">
        <f>IF(AND(ISNUMBER(I60),ISNUMBER(J60)),IF(bRef=bLabA,J60-I60,I60-J60),"")</f>
        <v>0</v>
      </c>
      <c r="S60" s="53">
        <f>IF(AND(ISNUMBER(K60),ISNUMBER(L60)),IF(bRef=bLabA,L60-K60,K60-L60),"")</f>
        <v>0</v>
      </c>
      <c r="T60" s="52">
        <f>IF(AND(ISNUMBER(M60),ISNUMBER(N60)),IF(bRef=bLabA,N60-M60,M60-N60),"")</f>
        <v>0</v>
      </c>
      <c r="U60" s="54">
        <f>IF(AND(ISNUMBER(E60),ISNUMBER(F60)),SUMPRODUCT(ISNUMBER(E$46:E60)*ISNUMBER(F$46:F60)),"")</f>
        <v>0</v>
      </c>
      <c r="V60" s="54">
        <f>IF(AND(ISNUMBER(G60),ISNUMBER(H60)),SUMPRODUCT(ISNUMBER(G$46:G60)*ISNUMBER(H$46:H60)),"")</f>
        <v>0</v>
      </c>
      <c r="W60" s="54">
        <f>IF(AND(ISNUMBER(I60),ISNUMBER(J60)),SUMPRODUCT(ISNUMBER(I$46:I60)*ISNUMBER(J$46:J60)),"")</f>
        <v>0</v>
      </c>
      <c r="X60" s="54">
        <f>IF(AND(ISNUMBER(K60),ISNUMBER(L60)),SUMPRODUCT(ISNUMBER(K$46:K60)*ISNUMBER(L$46:L60)),"")</f>
        <v>0</v>
      </c>
      <c r="Y60" s="54">
        <f>IF(AND(ISNUMBER(M60),ISNUMBER(N60)),SUMPRODUCT(ISNUMBER(M$46:M60)*ISNUMBER(N$46:N60)),"")</f>
        <v>0</v>
      </c>
    </row>
    <row r="61" spans="2:25" ht="18" hidden="1" customHeight="1">
      <c r="B61" s="39">
        <v>16</v>
      </c>
      <c r="C61" s="40">
        <f>IF(AND(ISNUMBER(gJanU),16&lt;=bNHor),gJanU+15/12+cfgMinAntes/1440,"")</f>
        <v>0</v>
      </c>
      <c r="D61" s="41">
        <f>IF(ISNUMBER(C61),IF(ISNUMBER(gJanG),IF(16&lt;=gNG,gJanG+15/12+cfgMinG/1440,""),C61),"")</f>
        <v>0</v>
      </c>
      <c r="E61" s="42"/>
      <c r="F61" s="43"/>
      <c r="G61" s="44"/>
      <c r="H61" s="45"/>
      <c r="I61" s="46"/>
      <c r="J61" s="47"/>
      <c r="K61" s="48"/>
      <c r="L61" s="49"/>
      <c r="M61" s="46"/>
      <c r="N61" s="47"/>
      <c r="P61" s="50">
        <f>IF(AND(ISNUMBER(E61),ISNUMBER(F61)),IF(bRef=bLabA,F61-E61,E61-F61),"")</f>
        <v>0</v>
      </c>
      <c r="Q61" s="51">
        <f>IF(AND(ISNUMBER(G61),ISNUMBER(H61)),IF(bRef=bLabA,H61-G61,G61-H61),"")</f>
        <v>0</v>
      </c>
      <c r="R61" s="52">
        <f>IF(AND(ISNUMBER(I61),ISNUMBER(J61)),IF(bRef=bLabA,J61-I61,I61-J61),"")</f>
        <v>0</v>
      </c>
      <c r="S61" s="53">
        <f>IF(AND(ISNUMBER(K61),ISNUMBER(L61)),IF(bRef=bLabA,L61-K61,K61-L61),"")</f>
        <v>0</v>
      </c>
      <c r="T61" s="52">
        <f>IF(AND(ISNUMBER(M61),ISNUMBER(N61)),IF(bRef=bLabA,N61-M61,M61-N61),"")</f>
        <v>0</v>
      </c>
      <c r="U61" s="54">
        <f>IF(AND(ISNUMBER(E61),ISNUMBER(F61)),SUMPRODUCT(ISNUMBER(E$46:E61)*ISNUMBER(F$46:F61)),"")</f>
        <v>0</v>
      </c>
      <c r="V61" s="54">
        <f>IF(AND(ISNUMBER(G61),ISNUMBER(H61)),SUMPRODUCT(ISNUMBER(G$46:G61)*ISNUMBER(H$46:H61)),"")</f>
        <v>0</v>
      </c>
      <c r="W61" s="54">
        <f>IF(AND(ISNUMBER(I61),ISNUMBER(J61)),SUMPRODUCT(ISNUMBER(I$46:I61)*ISNUMBER(J$46:J61)),"")</f>
        <v>0</v>
      </c>
      <c r="X61" s="54">
        <f>IF(AND(ISNUMBER(K61),ISNUMBER(L61)),SUMPRODUCT(ISNUMBER(K$46:K61)*ISNUMBER(L$46:L61)),"")</f>
        <v>0</v>
      </c>
      <c r="Y61" s="54">
        <f>IF(AND(ISNUMBER(M61),ISNUMBER(N61)),SUMPRODUCT(ISNUMBER(M$46:M61)*ISNUMBER(N$46:N61)),"")</f>
        <v>0</v>
      </c>
    </row>
    <row r="62" spans="2:25" ht="18" hidden="1" customHeight="1">
      <c r="B62" s="39">
        <v>17</v>
      </c>
      <c r="C62" s="40">
        <f>IF(AND(ISNUMBER(gJanU),17&lt;=bNHor),gJanU+16/12+cfgMinAntes/1440,"")</f>
        <v>0</v>
      </c>
      <c r="D62" s="41">
        <f>IF(ISNUMBER(C62),IF(ISNUMBER(gJanG),IF(17&lt;=gNG,gJanG+16/12+cfgMinG/1440,""),C62),"")</f>
        <v>0</v>
      </c>
      <c r="E62" s="42"/>
      <c r="F62" s="43"/>
      <c r="G62" s="44"/>
      <c r="H62" s="45"/>
      <c r="I62" s="46"/>
      <c r="J62" s="47"/>
      <c r="K62" s="48"/>
      <c r="L62" s="49"/>
      <c r="M62" s="46"/>
      <c r="N62" s="47"/>
      <c r="P62" s="50">
        <f>IF(AND(ISNUMBER(E62),ISNUMBER(F62)),IF(bRef=bLabA,F62-E62,E62-F62),"")</f>
        <v>0</v>
      </c>
      <c r="Q62" s="51">
        <f>IF(AND(ISNUMBER(G62),ISNUMBER(H62)),IF(bRef=bLabA,H62-G62,G62-H62),"")</f>
        <v>0</v>
      </c>
      <c r="R62" s="52">
        <f>IF(AND(ISNUMBER(I62),ISNUMBER(J62)),IF(bRef=bLabA,J62-I62,I62-J62),"")</f>
        <v>0</v>
      </c>
      <c r="S62" s="53">
        <f>IF(AND(ISNUMBER(K62),ISNUMBER(L62)),IF(bRef=bLabA,L62-K62,K62-L62),"")</f>
        <v>0</v>
      </c>
      <c r="T62" s="52">
        <f>IF(AND(ISNUMBER(M62),ISNUMBER(N62)),IF(bRef=bLabA,N62-M62,M62-N62),"")</f>
        <v>0</v>
      </c>
      <c r="U62" s="54">
        <f>IF(AND(ISNUMBER(E62),ISNUMBER(F62)),SUMPRODUCT(ISNUMBER(E$46:E62)*ISNUMBER(F$46:F62)),"")</f>
        <v>0</v>
      </c>
      <c r="V62" s="54">
        <f>IF(AND(ISNUMBER(G62),ISNUMBER(H62)),SUMPRODUCT(ISNUMBER(G$46:G62)*ISNUMBER(H$46:H62)),"")</f>
        <v>0</v>
      </c>
      <c r="W62" s="54">
        <f>IF(AND(ISNUMBER(I62),ISNUMBER(J62)),SUMPRODUCT(ISNUMBER(I$46:I62)*ISNUMBER(J$46:J62)),"")</f>
        <v>0</v>
      </c>
      <c r="X62" s="54">
        <f>IF(AND(ISNUMBER(K62),ISNUMBER(L62)),SUMPRODUCT(ISNUMBER(K$46:K62)*ISNUMBER(L$46:L62)),"")</f>
        <v>0</v>
      </c>
      <c r="Y62" s="54">
        <f>IF(AND(ISNUMBER(M62),ISNUMBER(N62)),SUMPRODUCT(ISNUMBER(M$46:M62)*ISNUMBER(N$46:N62)),"")</f>
        <v>0</v>
      </c>
    </row>
    <row r="63" spans="2:25" ht="18" hidden="1" customHeight="1">
      <c r="B63" s="39">
        <v>18</v>
      </c>
      <c r="C63" s="40">
        <f>IF(AND(ISNUMBER(gJanU),18&lt;=bNHor),gJanU+17/12+cfgMinAntes/1440,"")</f>
        <v>0</v>
      </c>
      <c r="D63" s="41">
        <f>IF(ISNUMBER(C63),IF(ISNUMBER(gJanG),IF(18&lt;=gNG,gJanG+17/12+cfgMinG/1440,""),C63),"")</f>
        <v>0</v>
      </c>
      <c r="E63" s="42"/>
      <c r="F63" s="43"/>
      <c r="G63" s="44"/>
      <c r="H63" s="45"/>
      <c r="I63" s="46"/>
      <c r="J63" s="47"/>
      <c r="K63" s="48"/>
      <c r="L63" s="49"/>
      <c r="M63" s="46"/>
      <c r="N63" s="47"/>
      <c r="P63" s="50">
        <f>IF(AND(ISNUMBER(E63),ISNUMBER(F63)),IF(bRef=bLabA,F63-E63,E63-F63),"")</f>
        <v>0</v>
      </c>
      <c r="Q63" s="51">
        <f>IF(AND(ISNUMBER(G63),ISNUMBER(H63)),IF(bRef=bLabA,H63-G63,G63-H63),"")</f>
        <v>0</v>
      </c>
      <c r="R63" s="52">
        <f>IF(AND(ISNUMBER(I63),ISNUMBER(J63)),IF(bRef=bLabA,J63-I63,I63-J63),"")</f>
        <v>0</v>
      </c>
      <c r="S63" s="53">
        <f>IF(AND(ISNUMBER(K63),ISNUMBER(L63)),IF(bRef=bLabA,L63-K63,K63-L63),"")</f>
        <v>0</v>
      </c>
      <c r="T63" s="52">
        <f>IF(AND(ISNUMBER(M63),ISNUMBER(N63)),IF(bRef=bLabA,N63-M63,M63-N63),"")</f>
        <v>0</v>
      </c>
      <c r="U63" s="54">
        <f>IF(AND(ISNUMBER(E63),ISNUMBER(F63)),SUMPRODUCT(ISNUMBER(E$46:E63)*ISNUMBER(F$46:F63)),"")</f>
        <v>0</v>
      </c>
      <c r="V63" s="54">
        <f>IF(AND(ISNUMBER(G63),ISNUMBER(H63)),SUMPRODUCT(ISNUMBER(G$46:G63)*ISNUMBER(H$46:H63)),"")</f>
        <v>0</v>
      </c>
      <c r="W63" s="54">
        <f>IF(AND(ISNUMBER(I63),ISNUMBER(J63)),SUMPRODUCT(ISNUMBER(I$46:I63)*ISNUMBER(J$46:J63)),"")</f>
        <v>0</v>
      </c>
      <c r="X63" s="54">
        <f>IF(AND(ISNUMBER(K63),ISNUMBER(L63)),SUMPRODUCT(ISNUMBER(K$46:K63)*ISNUMBER(L$46:L63)),"")</f>
        <v>0</v>
      </c>
      <c r="Y63" s="54">
        <f>IF(AND(ISNUMBER(M63),ISNUMBER(N63)),SUMPRODUCT(ISNUMBER(M$46:M63)*ISNUMBER(N$46:N63)),"")</f>
        <v>0</v>
      </c>
    </row>
    <row r="64" spans="2:25" ht="18" hidden="1" customHeight="1">
      <c r="B64" s="39">
        <v>19</v>
      </c>
      <c r="C64" s="40">
        <f>IF(AND(ISNUMBER(gJanU),19&lt;=bNHor),gJanU+18/12+cfgMinAntes/1440,"")</f>
        <v>0</v>
      </c>
      <c r="D64" s="41">
        <f>IF(ISNUMBER(C64),IF(ISNUMBER(gJanG),IF(19&lt;=gNG,gJanG+18/12+cfgMinG/1440,""),C64),"")</f>
        <v>0</v>
      </c>
      <c r="E64" s="42"/>
      <c r="F64" s="43"/>
      <c r="G64" s="44"/>
      <c r="H64" s="45"/>
      <c r="I64" s="46"/>
      <c r="J64" s="47"/>
      <c r="K64" s="48"/>
      <c r="L64" s="49"/>
      <c r="M64" s="46"/>
      <c r="N64" s="47"/>
      <c r="P64" s="50">
        <f>IF(AND(ISNUMBER(E64),ISNUMBER(F64)),IF(bRef=bLabA,F64-E64,E64-F64),"")</f>
        <v>0</v>
      </c>
      <c r="Q64" s="51">
        <f>IF(AND(ISNUMBER(G64),ISNUMBER(H64)),IF(bRef=bLabA,H64-G64,G64-H64),"")</f>
        <v>0</v>
      </c>
      <c r="R64" s="52">
        <f>IF(AND(ISNUMBER(I64),ISNUMBER(J64)),IF(bRef=bLabA,J64-I64,I64-J64),"")</f>
        <v>0</v>
      </c>
      <c r="S64" s="53">
        <f>IF(AND(ISNUMBER(K64),ISNUMBER(L64)),IF(bRef=bLabA,L64-K64,K64-L64),"")</f>
        <v>0</v>
      </c>
      <c r="T64" s="52">
        <f>IF(AND(ISNUMBER(M64),ISNUMBER(N64)),IF(bRef=bLabA,N64-M64,M64-N64),"")</f>
        <v>0</v>
      </c>
      <c r="U64" s="54">
        <f>IF(AND(ISNUMBER(E64),ISNUMBER(F64)),SUMPRODUCT(ISNUMBER(E$46:E64)*ISNUMBER(F$46:F64)),"")</f>
        <v>0</v>
      </c>
      <c r="V64" s="54">
        <f>IF(AND(ISNUMBER(G64),ISNUMBER(H64)),SUMPRODUCT(ISNUMBER(G$46:G64)*ISNUMBER(H$46:H64)),"")</f>
        <v>0</v>
      </c>
      <c r="W64" s="54">
        <f>IF(AND(ISNUMBER(I64),ISNUMBER(J64)),SUMPRODUCT(ISNUMBER(I$46:I64)*ISNUMBER(J$46:J64)),"")</f>
        <v>0</v>
      </c>
      <c r="X64" s="54">
        <f>IF(AND(ISNUMBER(K64),ISNUMBER(L64)),SUMPRODUCT(ISNUMBER(K$46:K64)*ISNUMBER(L$46:L64)),"")</f>
        <v>0</v>
      </c>
      <c r="Y64" s="54">
        <f>IF(AND(ISNUMBER(M64),ISNUMBER(N64)),SUMPRODUCT(ISNUMBER(M$46:M64)*ISNUMBER(N$46:N64)),"")</f>
        <v>0</v>
      </c>
    </row>
    <row r="65" spans="2:25" ht="18" hidden="1" customHeight="1">
      <c r="B65" s="39">
        <v>20</v>
      </c>
      <c r="C65" s="40">
        <f>IF(AND(ISNUMBER(gJanU),20&lt;=bNHor),gJanU+19/12+cfgMinAntes/1440,"")</f>
        <v>0</v>
      </c>
      <c r="D65" s="41">
        <f>IF(ISNUMBER(C65),IF(ISNUMBER(gJanG),IF(20&lt;=gNG,gJanG+19/12+cfgMinG/1440,""),C65),"")</f>
        <v>0</v>
      </c>
      <c r="E65" s="42"/>
      <c r="F65" s="43"/>
      <c r="G65" s="44"/>
      <c r="H65" s="45"/>
      <c r="I65" s="46"/>
      <c r="J65" s="47"/>
      <c r="K65" s="48"/>
      <c r="L65" s="49"/>
      <c r="M65" s="46"/>
      <c r="N65" s="47"/>
      <c r="P65" s="50">
        <f>IF(AND(ISNUMBER(E65),ISNUMBER(F65)),IF(bRef=bLabA,F65-E65,E65-F65),"")</f>
        <v>0</v>
      </c>
      <c r="Q65" s="51">
        <f>IF(AND(ISNUMBER(G65),ISNUMBER(H65)),IF(bRef=bLabA,H65-G65,G65-H65),"")</f>
        <v>0</v>
      </c>
      <c r="R65" s="52">
        <f>IF(AND(ISNUMBER(I65),ISNUMBER(J65)),IF(bRef=bLabA,J65-I65,I65-J65),"")</f>
        <v>0</v>
      </c>
      <c r="S65" s="53">
        <f>IF(AND(ISNUMBER(K65),ISNUMBER(L65)),IF(bRef=bLabA,L65-K65,K65-L65),"")</f>
        <v>0</v>
      </c>
      <c r="T65" s="52">
        <f>IF(AND(ISNUMBER(M65),ISNUMBER(N65)),IF(bRef=bLabA,N65-M65,M65-N65),"")</f>
        <v>0</v>
      </c>
      <c r="U65" s="54">
        <f>IF(AND(ISNUMBER(E65),ISNUMBER(F65)),SUMPRODUCT(ISNUMBER(E$46:E65)*ISNUMBER(F$46:F65)),"")</f>
        <v>0</v>
      </c>
      <c r="V65" s="54">
        <f>IF(AND(ISNUMBER(G65),ISNUMBER(H65)),SUMPRODUCT(ISNUMBER(G$46:G65)*ISNUMBER(H$46:H65)),"")</f>
        <v>0</v>
      </c>
      <c r="W65" s="54">
        <f>IF(AND(ISNUMBER(I65),ISNUMBER(J65)),SUMPRODUCT(ISNUMBER(I$46:I65)*ISNUMBER(J$46:J65)),"")</f>
        <v>0</v>
      </c>
      <c r="X65" s="54">
        <f>IF(AND(ISNUMBER(K65),ISNUMBER(L65)),SUMPRODUCT(ISNUMBER(K$46:K65)*ISNUMBER(L$46:L65)),"")</f>
        <v>0</v>
      </c>
      <c r="Y65" s="54">
        <f>IF(AND(ISNUMBER(M65),ISNUMBER(N65)),SUMPRODUCT(ISNUMBER(M$46:M65)*ISNUMBER(N$46:N65)),"")</f>
        <v>0</v>
      </c>
    </row>
    <row r="66" spans="2:25" ht="18" hidden="1" customHeight="1">
      <c r="B66" s="39">
        <v>21</v>
      </c>
      <c r="C66" s="40">
        <f>IF(AND(ISNUMBER(gJanU),21&lt;=bNHor),gJanU+20/12+cfgMinAntes/1440,"")</f>
        <v>0</v>
      </c>
      <c r="D66" s="41">
        <f>IF(ISNUMBER(C66),IF(ISNUMBER(gJanG),IF(21&lt;=gNG,gJanG+20/12+cfgMinG/1440,""),C66),"")</f>
        <v>0</v>
      </c>
      <c r="E66" s="42"/>
      <c r="F66" s="43"/>
      <c r="G66" s="44"/>
      <c r="H66" s="45"/>
      <c r="I66" s="46"/>
      <c r="J66" s="47"/>
      <c r="K66" s="48"/>
      <c r="L66" s="49"/>
      <c r="M66" s="46"/>
      <c r="N66" s="47"/>
      <c r="P66" s="50">
        <f>IF(AND(ISNUMBER(E66),ISNUMBER(F66)),IF(bRef=bLabA,F66-E66,E66-F66),"")</f>
        <v>0</v>
      </c>
      <c r="Q66" s="51">
        <f>IF(AND(ISNUMBER(G66),ISNUMBER(H66)),IF(bRef=bLabA,H66-G66,G66-H66),"")</f>
        <v>0</v>
      </c>
      <c r="R66" s="52">
        <f>IF(AND(ISNUMBER(I66),ISNUMBER(J66)),IF(bRef=bLabA,J66-I66,I66-J66),"")</f>
        <v>0</v>
      </c>
      <c r="S66" s="53">
        <f>IF(AND(ISNUMBER(K66),ISNUMBER(L66)),IF(bRef=bLabA,L66-K66,K66-L66),"")</f>
        <v>0</v>
      </c>
      <c r="T66" s="52">
        <f>IF(AND(ISNUMBER(M66),ISNUMBER(N66)),IF(bRef=bLabA,N66-M66,M66-N66),"")</f>
        <v>0</v>
      </c>
      <c r="U66" s="54">
        <f>IF(AND(ISNUMBER(E66),ISNUMBER(F66)),SUMPRODUCT(ISNUMBER(E$46:E66)*ISNUMBER(F$46:F66)),"")</f>
        <v>0</v>
      </c>
      <c r="V66" s="54">
        <f>IF(AND(ISNUMBER(G66),ISNUMBER(H66)),SUMPRODUCT(ISNUMBER(G$46:G66)*ISNUMBER(H$46:H66)),"")</f>
        <v>0</v>
      </c>
      <c r="W66" s="54">
        <f>IF(AND(ISNUMBER(I66),ISNUMBER(J66)),SUMPRODUCT(ISNUMBER(I$46:I66)*ISNUMBER(J$46:J66)),"")</f>
        <v>0</v>
      </c>
      <c r="X66" s="54">
        <f>IF(AND(ISNUMBER(K66),ISNUMBER(L66)),SUMPRODUCT(ISNUMBER(K$46:K66)*ISNUMBER(L$46:L66)),"")</f>
        <v>0</v>
      </c>
      <c r="Y66" s="54">
        <f>IF(AND(ISNUMBER(M66),ISNUMBER(N66)),SUMPRODUCT(ISNUMBER(M$46:M66)*ISNUMBER(N$46:N66)),"")</f>
        <v>0</v>
      </c>
    </row>
    <row r="67" spans="2:25" ht="18" hidden="1" customHeight="1">
      <c r="B67" s="39">
        <v>22</v>
      </c>
      <c r="C67" s="40">
        <f>IF(AND(ISNUMBER(gJanU),22&lt;=bNHor),gJanU+21/12+cfgMinAntes/1440,"")</f>
        <v>0</v>
      </c>
      <c r="D67" s="41">
        <f>IF(ISNUMBER(C67),IF(ISNUMBER(gJanG),IF(22&lt;=gNG,gJanG+21/12+cfgMinG/1440,""),C67),"")</f>
        <v>0</v>
      </c>
      <c r="E67" s="42"/>
      <c r="F67" s="43"/>
      <c r="G67" s="44"/>
      <c r="H67" s="45"/>
      <c r="I67" s="46"/>
      <c r="J67" s="47"/>
      <c r="K67" s="48"/>
      <c r="L67" s="49"/>
      <c r="M67" s="46"/>
      <c r="N67" s="47"/>
      <c r="P67" s="50">
        <f>IF(AND(ISNUMBER(E67),ISNUMBER(F67)),IF(bRef=bLabA,F67-E67,E67-F67),"")</f>
        <v>0</v>
      </c>
      <c r="Q67" s="51">
        <f>IF(AND(ISNUMBER(G67),ISNUMBER(H67)),IF(bRef=bLabA,H67-G67,G67-H67),"")</f>
        <v>0</v>
      </c>
      <c r="R67" s="52">
        <f>IF(AND(ISNUMBER(I67),ISNUMBER(J67)),IF(bRef=bLabA,J67-I67,I67-J67),"")</f>
        <v>0</v>
      </c>
      <c r="S67" s="53">
        <f>IF(AND(ISNUMBER(K67),ISNUMBER(L67)),IF(bRef=bLabA,L67-K67,K67-L67),"")</f>
        <v>0</v>
      </c>
      <c r="T67" s="52">
        <f>IF(AND(ISNUMBER(M67),ISNUMBER(N67)),IF(bRef=bLabA,N67-M67,M67-N67),"")</f>
        <v>0</v>
      </c>
      <c r="U67" s="54">
        <f>IF(AND(ISNUMBER(E67),ISNUMBER(F67)),SUMPRODUCT(ISNUMBER(E$46:E67)*ISNUMBER(F$46:F67)),"")</f>
        <v>0</v>
      </c>
      <c r="V67" s="54">
        <f>IF(AND(ISNUMBER(G67),ISNUMBER(H67)),SUMPRODUCT(ISNUMBER(G$46:G67)*ISNUMBER(H$46:H67)),"")</f>
        <v>0</v>
      </c>
      <c r="W67" s="54">
        <f>IF(AND(ISNUMBER(I67),ISNUMBER(J67)),SUMPRODUCT(ISNUMBER(I$46:I67)*ISNUMBER(J$46:J67)),"")</f>
        <v>0</v>
      </c>
      <c r="X67" s="54">
        <f>IF(AND(ISNUMBER(K67),ISNUMBER(L67)),SUMPRODUCT(ISNUMBER(K$46:K67)*ISNUMBER(L$46:L67)),"")</f>
        <v>0</v>
      </c>
      <c r="Y67" s="54">
        <f>IF(AND(ISNUMBER(M67),ISNUMBER(N67)),SUMPRODUCT(ISNUMBER(M$46:M67)*ISNUMBER(N$46:N67)),"")</f>
        <v>0</v>
      </c>
    </row>
    <row r="68" spans="2:25" ht="18" hidden="1" customHeight="1">
      <c r="B68" s="39">
        <v>23</v>
      </c>
      <c r="C68" s="40">
        <f>IF(AND(ISNUMBER(gJanU),23&lt;=bNHor),gJanU+22/12+cfgMinAntes/1440,"")</f>
        <v>0</v>
      </c>
      <c r="D68" s="41">
        <f>IF(ISNUMBER(C68),IF(ISNUMBER(gJanG),IF(23&lt;=gNG,gJanG+22/12+cfgMinG/1440,""),C68),"")</f>
        <v>0</v>
      </c>
      <c r="E68" s="42"/>
      <c r="F68" s="43"/>
      <c r="G68" s="44"/>
      <c r="H68" s="45"/>
      <c r="I68" s="46"/>
      <c r="J68" s="47"/>
      <c r="K68" s="48"/>
      <c r="L68" s="49"/>
      <c r="M68" s="46"/>
      <c r="N68" s="47"/>
      <c r="P68" s="50">
        <f>IF(AND(ISNUMBER(E68),ISNUMBER(F68)),IF(bRef=bLabA,F68-E68,E68-F68),"")</f>
        <v>0</v>
      </c>
      <c r="Q68" s="51">
        <f>IF(AND(ISNUMBER(G68),ISNUMBER(H68)),IF(bRef=bLabA,H68-G68,G68-H68),"")</f>
        <v>0</v>
      </c>
      <c r="R68" s="52">
        <f>IF(AND(ISNUMBER(I68),ISNUMBER(J68)),IF(bRef=bLabA,J68-I68,I68-J68),"")</f>
        <v>0</v>
      </c>
      <c r="S68" s="53">
        <f>IF(AND(ISNUMBER(K68),ISNUMBER(L68)),IF(bRef=bLabA,L68-K68,K68-L68),"")</f>
        <v>0</v>
      </c>
      <c r="T68" s="52">
        <f>IF(AND(ISNUMBER(M68),ISNUMBER(N68)),IF(bRef=bLabA,N68-M68,M68-N68),"")</f>
        <v>0</v>
      </c>
      <c r="U68" s="54">
        <f>IF(AND(ISNUMBER(E68),ISNUMBER(F68)),SUMPRODUCT(ISNUMBER(E$46:E68)*ISNUMBER(F$46:F68)),"")</f>
        <v>0</v>
      </c>
      <c r="V68" s="54">
        <f>IF(AND(ISNUMBER(G68),ISNUMBER(H68)),SUMPRODUCT(ISNUMBER(G$46:G68)*ISNUMBER(H$46:H68)),"")</f>
        <v>0</v>
      </c>
      <c r="W68" s="54">
        <f>IF(AND(ISNUMBER(I68),ISNUMBER(J68)),SUMPRODUCT(ISNUMBER(I$46:I68)*ISNUMBER(J$46:J68)),"")</f>
        <v>0</v>
      </c>
      <c r="X68" s="54">
        <f>IF(AND(ISNUMBER(K68),ISNUMBER(L68)),SUMPRODUCT(ISNUMBER(K$46:K68)*ISNUMBER(L$46:L68)),"")</f>
        <v>0</v>
      </c>
      <c r="Y68" s="54">
        <f>IF(AND(ISNUMBER(M68),ISNUMBER(N68)),SUMPRODUCT(ISNUMBER(M$46:M68)*ISNUMBER(N$46:N68)),"")</f>
        <v>0</v>
      </c>
    </row>
    <row r="69" spans="2:25" ht="18" hidden="1" customHeight="1">
      <c r="B69" s="39">
        <v>24</v>
      </c>
      <c r="C69" s="40">
        <f>IF(AND(ISNUMBER(gJanU),24&lt;=bNHor),gJanU+23/12+cfgMinAntes/1440,"")</f>
        <v>0</v>
      </c>
      <c r="D69" s="41">
        <f>IF(ISNUMBER(C69),IF(ISNUMBER(gJanG),IF(24&lt;=gNG,gJanG+23/12+cfgMinG/1440,""),C69),"")</f>
        <v>0</v>
      </c>
      <c r="E69" s="42"/>
      <c r="F69" s="43"/>
      <c r="G69" s="44"/>
      <c r="H69" s="45"/>
      <c r="I69" s="46"/>
      <c r="J69" s="47"/>
      <c r="K69" s="48"/>
      <c r="L69" s="49"/>
      <c r="M69" s="46"/>
      <c r="N69" s="47"/>
      <c r="P69" s="50">
        <f>IF(AND(ISNUMBER(E69),ISNUMBER(F69)),IF(bRef=bLabA,F69-E69,E69-F69),"")</f>
        <v>0</v>
      </c>
      <c r="Q69" s="51">
        <f>IF(AND(ISNUMBER(G69),ISNUMBER(H69)),IF(bRef=bLabA,H69-G69,G69-H69),"")</f>
        <v>0</v>
      </c>
      <c r="R69" s="52">
        <f>IF(AND(ISNUMBER(I69),ISNUMBER(J69)),IF(bRef=bLabA,J69-I69,I69-J69),"")</f>
        <v>0</v>
      </c>
      <c r="S69" s="53">
        <f>IF(AND(ISNUMBER(K69),ISNUMBER(L69)),IF(bRef=bLabA,L69-K69,K69-L69),"")</f>
        <v>0</v>
      </c>
      <c r="T69" s="52">
        <f>IF(AND(ISNUMBER(M69),ISNUMBER(N69)),IF(bRef=bLabA,N69-M69,M69-N69),"")</f>
        <v>0</v>
      </c>
      <c r="U69" s="54">
        <f>IF(AND(ISNUMBER(E69),ISNUMBER(F69)),SUMPRODUCT(ISNUMBER(E$46:E69)*ISNUMBER(F$46:F69)),"")</f>
        <v>0</v>
      </c>
      <c r="V69" s="54">
        <f>IF(AND(ISNUMBER(G69),ISNUMBER(H69)),SUMPRODUCT(ISNUMBER(G$46:G69)*ISNUMBER(H$46:H69)),"")</f>
        <v>0</v>
      </c>
      <c r="W69" s="54">
        <f>IF(AND(ISNUMBER(I69),ISNUMBER(J69)),SUMPRODUCT(ISNUMBER(I$46:I69)*ISNUMBER(J$46:J69)),"")</f>
        <v>0</v>
      </c>
      <c r="X69" s="54">
        <f>IF(AND(ISNUMBER(K69),ISNUMBER(L69)),SUMPRODUCT(ISNUMBER(K$46:K69)*ISNUMBER(L$46:L69)),"")</f>
        <v>0</v>
      </c>
      <c r="Y69" s="54">
        <f>IF(AND(ISNUMBER(M69),ISNUMBER(N69)),SUMPRODUCT(ISNUMBER(M$46:M69)*ISNUMBER(N$46:N69)),"")</f>
        <v>0</v>
      </c>
    </row>
    <row r="70" spans="2:25" ht="18" hidden="1" customHeight="1">
      <c r="B70" s="55" t="s">
        <v>177</v>
      </c>
      <c r="C70" s="55"/>
      <c r="D70" s="55"/>
      <c r="E70" s="56">
        <f>IF(COUNT(E46:E69)=0,"",AVERAGE(E46:E69))</f>
        <v>0</v>
      </c>
      <c r="F70" s="56">
        <f>IF(COUNT(F46:F69)=0,"",AVERAGE(F46:F69))</f>
        <v>0</v>
      </c>
      <c r="G70" s="57">
        <f>IF(COUNT(G46:G69)=0,"",AVERAGE(G46:G69))</f>
        <v>0</v>
      </c>
      <c r="H70" s="57">
        <f>IF(COUNT(H46:H69)=0,"",AVERAGE(H46:H69))</f>
        <v>0</v>
      </c>
      <c r="I70" s="58">
        <f>IF(COUNT(I46:I69)=0,"",AVERAGE(I46:I69))</f>
        <v>0</v>
      </c>
      <c r="J70" s="58">
        <f>IF(COUNT(J46:J69)=0,"",AVERAGE(J46:J69))</f>
        <v>0</v>
      </c>
      <c r="K70" s="59">
        <f>IF(COUNT(K46:K69)=0,"",AVERAGE(K46:K69))</f>
        <v>0</v>
      </c>
      <c r="L70" s="59">
        <f>IF(COUNT(L46:L69)=0,"",AVERAGE(L46:L69))</f>
        <v>0</v>
      </c>
      <c r="M70" s="58">
        <f>IF(COUNT(M46:M69)=0,"",AVERAGE(M46:M69))</f>
        <v>0</v>
      </c>
      <c r="N70" s="58">
        <f>IF(COUNT(N46:N69)=0,"",AVERAGE(N46:N69))</f>
        <v>0</v>
      </c>
      <c r="P70" s="60">
        <f>IF(AND(ISNUMBER(E70),ISNUMBER(F70)),IF(bRef=bLabA,F70-E70,E70-F70),"")</f>
        <v>0</v>
      </c>
      <c r="Q70" s="61">
        <f>IF(AND(ISNUMBER(G70),ISNUMBER(H70)),IF(bRef=bLabA,H70-G70,G70-H70),"")</f>
        <v>0</v>
      </c>
      <c r="R70" s="62">
        <f>IF(AND(ISNUMBER(I70),ISNUMBER(J70)),IF(bRef=bLabA,J70-I70,I70-J70),"")</f>
        <v>0</v>
      </c>
      <c r="S70" s="63">
        <f>IF(AND(ISNUMBER(K70),ISNUMBER(L70)),IF(bRef=bLabA,L70-K70,K70-L70),"")</f>
        <v>0</v>
      </c>
      <c r="T70" s="62">
        <f>IF(AND(ISNUMBER(M70),ISNUMBER(N70)),IF(bRef=bLabA,N70-M70,M70-N70),"")</f>
        <v>0</v>
      </c>
    </row>
    <row r="71" spans="2:25" ht="18" hidden="1" customHeight="1">
      <c r="B71" s="64" t="s">
        <v>178</v>
      </c>
      <c r="C71" s="64"/>
      <c r="D71" s="64"/>
      <c r="E71" s="64">
        <f>COUNT(E46:E69)</f>
        <v>0</v>
      </c>
      <c r="F71" s="64">
        <f>COUNT(F46:F69)</f>
        <v>0</v>
      </c>
      <c r="G71" s="64">
        <f>COUNT(G46:G69)</f>
        <v>0</v>
      </c>
      <c r="H71" s="64">
        <f>COUNT(H46:H69)</f>
        <v>0</v>
      </c>
      <c r="I71" s="64">
        <f>COUNT(I46:I69)</f>
        <v>0</v>
      </c>
      <c r="J71" s="64">
        <f>COUNT(J46:J69)</f>
        <v>0</v>
      </c>
      <c r="K71" s="64">
        <f>COUNT(K46:K69)</f>
        <v>0</v>
      </c>
      <c r="L71" s="64">
        <f>COUNT(L46:L69)</f>
        <v>0</v>
      </c>
      <c r="M71" s="64">
        <f>COUNT(M46:M69)</f>
        <v>0</v>
      </c>
      <c r="N71" s="64">
        <f>COUNT(N46:N69)</f>
        <v>0</v>
      </c>
      <c r="P71" s="64">
        <f>COUNT(P46:P69)</f>
        <v>0</v>
      </c>
      <c r="Q71" s="64">
        <f>COUNT(Q46:Q69)</f>
        <v>0</v>
      </c>
      <c r="R71" s="64">
        <f>COUNT(R46:R69)</f>
        <v>0</v>
      </c>
      <c r="S71" s="64">
        <f>COUNT(S46:S69)</f>
        <v>0</v>
      </c>
      <c r="T71" s="64">
        <f>COUNT(T46:T69)</f>
        <v>0</v>
      </c>
    </row>
    <row r="72" spans="2:25" ht="18" hidden="1" customHeight="1"/>
    <row r="73" spans="2:25" ht="18" hidden="1" customHeight="1">
      <c r="B73" s="2" t="s">
        <v>179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2:25" ht="18" hidden="1" customHeight="1">
      <c r="B74" s="65" t="s">
        <v>180</v>
      </c>
      <c r="C74" s="65"/>
      <c r="D74" s="65" t="s">
        <v>181</v>
      </c>
      <c r="E74" s="65" t="s">
        <v>182</v>
      </c>
      <c r="F74" s="65"/>
      <c r="G74" s="65" t="s">
        <v>185</v>
      </c>
      <c r="H74" s="65"/>
    </row>
    <row r="75" spans="2:25" ht="18" hidden="1" customHeight="1">
      <c r="B75" s="34">
        <f>padLabA</f>
        <v>0</v>
      </c>
      <c r="C75" s="34"/>
      <c r="D75" s="34">
        <f>padLabB</f>
        <v>0</v>
      </c>
      <c r="E75" s="34">
        <f>padRef</f>
        <v>0</v>
      </c>
      <c r="F75" s="34"/>
      <c r="G75" s="66">
        <f>IF(bRef=bLabA,bLabB&amp;" − "&amp;bLabA,bLabA&amp;" − "&amp;bLabB)</f>
        <v>0</v>
      </c>
      <c r="H75" s="66"/>
    </row>
    <row r="76" spans="2:25" ht="18" hidden="1" customHeight="1">
      <c r="B76" s="65" t="s">
        <v>183</v>
      </c>
      <c r="C76" s="65"/>
      <c r="D76" s="65"/>
      <c r="E76" s="65"/>
      <c r="F76" s="65"/>
      <c r="G76" s="65" t="s">
        <v>184</v>
      </c>
      <c r="H76" s="65"/>
      <c r="I76" s="65"/>
      <c r="J76" s="65"/>
      <c r="K76" s="65"/>
      <c r="L76" s="65"/>
      <c r="M76" s="65"/>
      <c r="N76" s="65"/>
    </row>
    <row r="77" spans="2:25" ht="18" hidden="1" customHeight="1">
      <c r="B77" s="8">
        <f>padTit</f>
        <v>0</v>
      </c>
      <c r="C77" s="8"/>
      <c r="D77" s="8"/>
      <c r="E77" s="8"/>
      <c r="F77" s="8"/>
      <c r="G77" s="8">
        <f>padSub</f>
        <v>0</v>
      </c>
      <c r="H77" s="8"/>
      <c r="I77" s="8"/>
      <c r="J77" s="8"/>
      <c r="K77" s="8"/>
      <c r="L77" s="8"/>
      <c r="M77" s="8"/>
      <c r="N77" s="8"/>
    </row>
    <row r="78" spans="2:25" ht="18" hidden="1" customHeight="1">
      <c r="B78" s="65" t="s">
        <v>186</v>
      </c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</row>
    <row r="79" spans="2:25" ht="18" hidden="1" customHeight="1">
      <c r="B79" s="65" t="s">
        <v>187</v>
      </c>
      <c r="C79" s="65"/>
      <c r="D79" s="65" t="s">
        <v>188</v>
      </c>
      <c r="E79" s="65" t="s">
        <v>189</v>
      </c>
      <c r="F79" s="65"/>
      <c r="G79" s="65" t="s">
        <v>190</v>
      </c>
      <c r="H79" s="65"/>
      <c r="I79" s="65" t="s">
        <v>191</v>
      </c>
      <c r="J79" s="65"/>
    </row>
    <row r="80" spans="2:25" ht="18" hidden="1" customHeight="1">
      <c r="B80" s="67">
        <f>padTol_SE</f>
        <v>0</v>
      </c>
      <c r="C80" s="67"/>
      <c r="D80" s="68">
        <f>padTol_325</f>
        <v>0</v>
      </c>
      <c r="E80" s="69">
        <f>padTol_SiO2</f>
        <v>0</v>
      </c>
      <c r="F80" s="69"/>
      <c r="G80" s="70">
        <f>padTol_P</f>
        <v>0</v>
      </c>
      <c r="H80" s="70"/>
      <c r="I80" s="69">
        <f>padTol_PPC</f>
        <v>0</v>
      </c>
      <c r="J80" s="69"/>
    </row>
  </sheetData>
  <sheetProtection password="A71E" sheet="1" objects="1" scenarios="1" formatColumns="0" formatRows="0"/>
  <mergeCells count="100">
    <mergeCell ref="B2:N2"/>
    <mergeCell ref="B5:I5"/>
    <mergeCell ref="K5:N5"/>
    <mergeCell ref="B6:C6"/>
    <mergeCell ref="E6:F6"/>
    <mergeCell ref="G6:H6"/>
    <mergeCell ref="B7:C7"/>
    <mergeCell ref="E7:F7"/>
    <mergeCell ref="B8:C8"/>
    <mergeCell ref="E8:F8"/>
    <mergeCell ref="G7:H7"/>
    <mergeCell ref="G8:H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B28:C28"/>
    <mergeCell ref="E24:F24"/>
    <mergeCell ref="E25:F25"/>
    <mergeCell ref="E26:F26"/>
    <mergeCell ref="E27:F27"/>
    <mergeCell ref="E28:F28"/>
    <mergeCell ref="G24:H24"/>
    <mergeCell ref="G25:H25"/>
    <mergeCell ref="G26:H26"/>
    <mergeCell ref="G27:H27"/>
    <mergeCell ref="G28:H28"/>
    <mergeCell ref="I24:J24"/>
    <mergeCell ref="I25:J25"/>
    <mergeCell ref="I26:J26"/>
    <mergeCell ref="I27:J27"/>
    <mergeCell ref="I28:J28"/>
    <mergeCell ref="K24:L24"/>
    <mergeCell ref="K25:L25"/>
    <mergeCell ref="K26:L26"/>
    <mergeCell ref="K27:L27"/>
    <mergeCell ref="K28:L28"/>
    <mergeCell ref="M24:N24"/>
    <mergeCell ref="M25:N25"/>
    <mergeCell ref="M26:N26"/>
    <mergeCell ref="M27:N27"/>
    <mergeCell ref="M28:N28"/>
    <mergeCell ref="B30:N30"/>
    <mergeCell ref="B31:C31"/>
    <mergeCell ref="B32:C32"/>
    <mergeCell ref="H32:N32"/>
    <mergeCell ref="B34:N34"/>
    <mergeCell ref="B35:C35"/>
    <mergeCell ref="D35:L35"/>
    <mergeCell ref="B36:C36"/>
    <mergeCell ref="D36:L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4:N44"/>
    <mergeCell ref="B70:D70"/>
    <mergeCell ref="B71:D71"/>
    <mergeCell ref="B73:N73"/>
    <mergeCell ref="B74:C74"/>
    <mergeCell ref="B75:C75"/>
    <mergeCell ref="E74:F74"/>
    <mergeCell ref="E75:F75"/>
    <mergeCell ref="B76:F76"/>
    <mergeCell ref="B77:F77"/>
    <mergeCell ref="G76:N76"/>
    <mergeCell ref="G77:N77"/>
    <mergeCell ref="G74:H74"/>
    <mergeCell ref="G75:H75"/>
    <mergeCell ref="B78:N78"/>
    <mergeCell ref="B79:C79"/>
    <mergeCell ref="B80:C80"/>
    <mergeCell ref="E79:F79"/>
    <mergeCell ref="E80:F80"/>
    <mergeCell ref="G79:H79"/>
    <mergeCell ref="G80:H80"/>
    <mergeCell ref="I79:J79"/>
    <mergeCell ref="I80:J80"/>
    <mergeCell ref="K13:N17"/>
  </mergeCells>
  <conditionalFormatting sqref="B46:D69">
    <cfRule type="expression" dxfId="2" priority="8">
      <formula>$B46&gt;bNHor</formula>
    </cfRule>
  </conditionalFormatting>
  <conditionalFormatting sqref="D7">
    <cfRule type="expression" dxfId="0" priority="1">
      <formula>$E$7&lt;&gt;""</formula>
    </cfRule>
  </conditionalFormatting>
  <conditionalFormatting sqref="E7:F7">
    <cfRule type="expression" dxfId="0" priority="2">
      <formula>$D$7&lt;&gt;""</formula>
    </cfRule>
  </conditionalFormatting>
  <conditionalFormatting sqref="P46:P70">
    <cfRule type="expression" dxfId="1" priority="3">
      <formula>AND(ISNUMBER(P46),ABS(ROUND(P46,0))&gt;bTol_SE+1E-9)</formula>
    </cfRule>
  </conditionalFormatting>
  <conditionalFormatting sqref="Q46:Q70">
    <cfRule type="expression" dxfId="1" priority="4">
      <formula>AND(ISNUMBER(Q46),ABS(ROUND(Q46,1))&gt;bTol_325+1E-9)</formula>
    </cfRule>
  </conditionalFormatting>
  <conditionalFormatting sqref="R46:R70">
    <cfRule type="expression" dxfId="1" priority="5">
      <formula>AND(ISNUMBER(R46),ABS(ROUND(R46,2))&gt;bTol_SiO2+1E-9)</formula>
    </cfRule>
  </conditionalFormatting>
  <conditionalFormatting sqref="S46:S70">
    <cfRule type="expression" dxfId="1" priority="6">
      <formula>AND(ISNUMBER(S46),ABS(ROUND(S46,3))&gt;bTol_P+1E-9)</formula>
    </cfRule>
  </conditionalFormatting>
  <conditionalFormatting sqref="T46:T70">
    <cfRule type="expression" dxfId="1" priority="7">
      <formula>AND(ISNUMBER(T46),ABS(ROUND(T46,2))&gt;bTol_PPC+1E-9)</formula>
    </cfRule>
  </conditionalFormatting>
  <dataValidations count="8">
    <dataValidation type="list" allowBlank="1" showInputMessage="1" showErrorMessage="1" sqref="D7">
      <formula1>lstNivel</formula1>
    </dataValidation>
    <dataValidation allowBlank="1" showInputMessage="1" showErrorMessage="1" promptTitle="Início no processo (manual)" prompt="Use o nível dos tanques OU o início manual (preencher um apaga o outro). Ex.: 26/10/26 14:00." sqref="E7"/>
    <dataValidation type="whole" allowBlank="1" showInputMessage="1" showErrorMessage="1" error="Informe as horas (0 a 48)." promptTitle="Estender o batch" prompt="Horas a mais além dos resultados do MES (2 h = 1 bi-horário). Germano nesses horários = média dos resultados do MES." sqref="G7">
      <formula1>0</formula1>
      <formula2>48</formula2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N36">
      <formula1>lstSimNao</formula1>
    </dataValidation>
    <dataValidation type="list" allowBlank="1" showInputMessage="1" showErrorMessage="1" sqref="E75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1:U146"/>
  <sheetViews>
    <sheetView showGridLines="0" workbookViewId="0">
      <pane ySplit="4" topLeftCell="A5" activePane="bottomLeft" state="frozen"/>
      <selection pane="bottomLeft"/>
    </sheetView>
  </sheetViews>
  <sheetFormatPr defaultRowHeight="15" zeroHeight="1"/>
  <cols>
    <col min="1" max="1" width="2.28515625" customWidth="1"/>
    <col min="2" max="2" width="9.7109375" customWidth="1"/>
    <col min="3" max="3" width="17.7109375" customWidth="1"/>
    <col min="4" max="22" width="8.28515625" customWidth="1"/>
    <col min="23" max="16384" width="0" hidden="1" customWidth="1"/>
  </cols>
  <sheetData>
    <row r="1" spans="2:21"/>
    <row r="2" spans="2:21" ht="34" customHeight="1">
      <c r="B2" s="1" t="s">
        <v>371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22" customHeight="1">
      <c r="B3" s="71">
        <f>"Germano e "&amp;padNomeUbuAcomp&amp;" vêm do MES (aba Preenchimento &gt; Buscar no MES); onde "&amp;padNomeUbuAcomp&amp;" não vier, lançar a cada 2 h nas células amarelas (✎).  5 batches por planilha: com os 5 preenchidos, comece uma planilha padrão limpa."</f>
        <v>0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</row>
    <row r="4" spans="2:21"/>
    <row r="5" spans="2:21"/>
    <row r="6" spans="2:21" ht="30" customHeight="1">
      <c r="B6" s="73" t="s">
        <v>372</v>
      </c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</row>
    <row r="40" spans="2:21"/>
    <row r="41" spans="2:21" ht="30" customHeight="1">
      <c r="B41" s="73" t="s">
        <v>372</v>
      </c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</row>
    <row r="75" spans="2:21"/>
    <row r="76" spans="2:21" ht="30" customHeight="1">
      <c r="B76" s="73" t="s">
        <v>372</v>
      </c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</row>
    <row r="110" spans="2:21"/>
    <row r="111" spans="2:21" ht="30" customHeight="1">
      <c r="B111" s="73" t="s">
        <v>372</v>
      </c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</row>
    <row r="145" spans="2:21"/>
    <row r="146" spans="2:21" ht="30" customHeight="1">
      <c r="B146" s="73" t="s">
        <v>372</v>
      </c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</row>
  </sheetData>
  <sheetProtection password="A71E" sheet="1" objects="1" scenarios="1" formatColumns="0" formatRows="0"/>
  <mergeCells count="7">
    <mergeCell ref="B2:U2"/>
    <mergeCell ref="B3:U3"/>
    <mergeCell ref="B6:U6"/>
    <mergeCell ref="B41:U41"/>
    <mergeCell ref="B76:U76"/>
    <mergeCell ref="B111:U111"/>
    <mergeCell ref="B146:U14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</row>
    <row r="2" spans="1:16" ht="14" customHeight="1">
      <c r="A2" s="74"/>
      <c r="B2" s="75" t="s">
        <v>279</v>
      </c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</row>
    <row r="3" spans="1:16" ht="26" customHeight="1">
      <c r="A3" s="74"/>
      <c r="B3" s="76"/>
      <c r="C3" s="77"/>
      <c r="D3" s="78" t="s">
        <v>280</v>
      </c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ht="10" customHeight="1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6" spans="1:16" ht="38" customHeight="1">
      <c r="A6" s="79"/>
      <c r="B6" s="80">
        <f>IF(TRIM(bTit&amp;"")="","COMPARATIVO DE MEDIÇÕES DE QUALIDADE",UPPER(bTit))</f>
        <v>0</v>
      </c>
      <c r="C6" s="81"/>
      <c r="D6" s="81"/>
      <c r="E6" s="81"/>
      <c r="F6" s="81"/>
      <c r="G6" s="82">
        <f>"|    "&amp;UPPER(bSub)</f>
        <v>0</v>
      </c>
      <c r="H6" s="81"/>
      <c r="I6" s="81"/>
      <c r="J6" s="81"/>
      <c r="K6" s="81"/>
      <c r="L6" s="81"/>
      <c r="M6" s="79"/>
      <c r="N6" s="79"/>
      <c r="O6" s="79"/>
    </row>
    <row r="7" spans="1:16" ht="22" customHeight="1">
      <c r="A7" s="83"/>
      <c r="B7" s="84" t="s">
        <v>281</v>
      </c>
      <c r="C7" s="84"/>
      <c r="D7" s="84"/>
      <c r="E7" s="84"/>
      <c r="F7" s="84"/>
      <c r="G7" s="85">
        <f>"BATCH "&amp;bId&amp;"   |   "&amp;gDataTxt&amp;IF(bMin&lt;&gt;"","   |   Mineroduto "&amp;bMin,"")</f>
        <v>0</v>
      </c>
      <c r="H7" s="86"/>
      <c r="I7" s="86"/>
      <c r="J7" s="86"/>
      <c r="K7" s="86"/>
      <c r="L7" s="86"/>
      <c r="M7" s="86"/>
      <c r="N7" s="86"/>
      <c r="O7" s="83"/>
    </row>
    <row r="8" spans="1:16" ht="10" customHeight="1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6" ht="20" customHeight="1">
      <c r="B9" s="88">
        <f>UPPER("Batch "&amp;bId&amp;IF(bMin&lt;&gt;""," - Mineroduto "&amp;bMin,""))</f>
        <v>0</v>
      </c>
      <c r="C9" s="88"/>
      <c r="D9" s="88"/>
      <c r="E9" s="88"/>
      <c r="F9" s="88"/>
      <c r="G9" s="88"/>
      <c r="I9" s="88" t="s">
        <v>282</v>
      </c>
      <c r="J9" s="88"/>
      <c r="K9" s="88"/>
      <c r="M9" s="88" t="s">
        <v>283</v>
      </c>
      <c r="N9" s="88"/>
    </row>
    <row r="10" spans="1:16" ht="28" customHeight="1">
      <c r="B10" s="89"/>
      <c r="C10" s="89">
        <f>UPPER(bLabA)&amp;IF(bRef=bLabA," ★","")&amp;CHAR(10)&amp;"(MÉDIA)"</f>
        <v>0</v>
      </c>
      <c r="D10" s="89">
        <f>UPPER(bLabB)&amp;IF(bRef=bLabB," ★","")&amp;CHAR(10)&amp;"(MÉDIA)"</f>
        <v>0</v>
      </c>
      <c r="E10" s="89">
        <f>"DIFERENÇA"&amp;CHAR(10)&amp;"("&amp;UPPER(gAvalNome)&amp;"−"&amp;UPPER(gRefNome)&amp;")"</f>
        <v>0</v>
      </c>
      <c r="F10" s="89" t="s">
        <v>284</v>
      </c>
      <c r="G10" s="89" t="s">
        <v>285</v>
      </c>
      <c r="I10" s="90">
        <f>gComentarios</f>
        <v>0</v>
      </c>
      <c r="J10" s="90"/>
      <c r="K10" s="90"/>
      <c r="M10" s="91">
        <f>"COMPOSTO DIÁRIO — PFUF"&amp;IF(ISNUMBER(bPfData)," · "&amp;TEXT(DAY(bPfData),"00")&amp;"/"&amp;TEXT(MONTH(bPfData),"00")&amp;"/"&amp;RIGHT(YEAR(bPfData),2),"")</f>
        <v>0</v>
      </c>
      <c r="N10" s="91"/>
    </row>
    <row r="11" spans="1:16" ht="21" customHeight="1">
      <c r="B11" s="92" t="s">
        <v>14</v>
      </c>
      <c r="C11" s="93">
        <f>'_Graf'!$B$31</f>
        <v>0</v>
      </c>
      <c r="D11" s="93">
        <f>'_Graf'!$C$31</f>
        <v>0</v>
      </c>
      <c r="E11" s="94">
        <f>IF(ISNUMBER('_Graf'!$D$31),'_Graf'!$E$31,"—")</f>
        <v>0</v>
      </c>
      <c r="F11" s="93">
        <f>'_Graf'!$H$31</f>
        <v>0</v>
      </c>
      <c r="G11" s="95">
        <f>'_Graf'!$F$31</f>
        <v>0</v>
      </c>
      <c r="I11" s="90"/>
      <c r="J11" s="90"/>
      <c r="K11" s="90"/>
      <c r="M11" s="92">
        <f>IF(TRIM('Configurações'!$C$21&amp;"")="","Fe",'Configurações'!$C$21)</f>
        <v>0</v>
      </c>
      <c r="N11" s="96">
        <f>IF(ISNUMBER(bPfFe),bPfFe,"—")</f>
        <v>0</v>
      </c>
    </row>
    <row r="12" spans="1:16" ht="21" customHeight="1">
      <c r="B12" s="92" t="s">
        <v>21</v>
      </c>
      <c r="C12" s="97">
        <f>'_Graf'!$B$32</f>
        <v>0</v>
      </c>
      <c r="D12" s="97">
        <f>'_Graf'!$C$32</f>
        <v>0</v>
      </c>
      <c r="E12" s="98">
        <f>IF(ISNUMBER('_Graf'!$D$32),'_Graf'!$E$32,"—")</f>
        <v>0</v>
      </c>
      <c r="F12" s="97">
        <f>'_Graf'!$H$32</f>
        <v>0</v>
      </c>
      <c r="G12" s="95">
        <f>'_Graf'!$F$32</f>
        <v>0</v>
      </c>
      <c r="I12" s="90"/>
      <c r="J12" s="90"/>
      <c r="K12" s="90"/>
      <c r="M12" s="92">
        <f>IF(TRIM('Configurações'!$C$22&amp;"")="","SiO₂",'Configurações'!$C$22)</f>
        <v>0</v>
      </c>
      <c r="N12" s="96">
        <f>IF(ISNUMBER(bPfSiO2),bPfSiO2,"—")</f>
        <v>0</v>
      </c>
    </row>
    <row r="13" spans="1:16" ht="21" customHeight="1">
      <c r="B13" s="92" t="s">
        <v>24</v>
      </c>
      <c r="C13" s="96">
        <f>'_Graf'!$B$33</f>
        <v>0</v>
      </c>
      <c r="D13" s="96">
        <f>'_Graf'!$C$33</f>
        <v>0</v>
      </c>
      <c r="E13" s="99">
        <f>IF(ISNUMBER('_Graf'!$D$33),'_Graf'!$E$33,"—")</f>
        <v>0</v>
      </c>
      <c r="F13" s="96">
        <f>'_Graf'!$H$33</f>
        <v>0</v>
      </c>
      <c r="G13" s="95">
        <f>'_Graf'!$F$33</f>
        <v>0</v>
      </c>
      <c r="I13" s="90"/>
      <c r="J13" s="90"/>
      <c r="K13" s="90"/>
      <c r="M13" s="92">
        <f>IF(TRIM('Configurações'!$C$23&amp;"")="","P",'Configurações'!$C$23)</f>
        <v>0</v>
      </c>
      <c r="N13" s="100">
        <f>IF(ISNUMBER(bPfP),bPfP,"—")</f>
        <v>0</v>
      </c>
    </row>
    <row r="14" spans="1:16" ht="21" customHeight="1">
      <c r="B14" s="92" t="s">
        <v>27</v>
      </c>
      <c r="C14" s="100">
        <f>'_Graf'!$B$34</f>
        <v>0</v>
      </c>
      <c r="D14" s="100">
        <f>'_Graf'!$C$34</f>
        <v>0</v>
      </c>
      <c r="E14" s="101">
        <f>IF(ISNUMBER('_Graf'!$D$34),'_Graf'!$E$34,"—")</f>
        <v>0</v>
      </c>
      <c r="F14" s="100">
        <f>'_Graf'!$H$34</f>
        <v>0</v>
      </c>
      <c r="G14" s="95">
        <f>'_Graf'!$F$34</f>
        <v>0</v>
      </c>
      <c r="I14" s="90"/>
      <c r="J14" s="90"/>
      <c r="K14" s="90"/>
      <c r="M14" s="92">
        <f>IF(TRIM('Configurações'!$C$24&amp;"")="","S.E.",'Configurações'!$C$24)</f>
        <v>0</v>
      </c>
      <c r="N14" s="102">
        <f>IF(ISNUMBER(bPfSE),bPfSE,"—")</f>
        <v>0</v>
      </c>
    </row>
    <row r="15" spans="1:16" ht="21" customHeight="1">
      <c r="B15" s="92" t="s">
        <v>30</v>
      </c>
      <c r="C15" s="96">
        <f>'_Graf'!$B$35</f>
        <v>0</v>
      </c>
      <c r="D15" s="96">
        <f>'_Graf'!$C$35</f>
        <v>0</v>
      </c>
      <c r="E15" s="99">
        <f>IF(ISNUMBER('_Graf'!$D$35),'_Graf'!$E$35,"—")</f>
        <v>0</v>
      </c>
      <c r="F15" s="96">
        <f>'_Graf'!$H$35</f>
        <v>0</v>
      </c>
      <c r="G15" s="95">
        <f>'_Graf'!$F$35</f>
        <v>0</v>
      </c>
      <c r="I15" s="90"/>
      <c r="J15" s="90"/>
      <c r="K15" s="90"/>
      <c r="M15" s="103"/>
      <c r="N15" s="104"/>
    </row>
    <row r="16" spans="1:16" ht="16" customHeight="1">
      <c r="B16" s="105" t="s">
        <v>286</v>
      </c>
      <c r="C16" s="105"/>
      <c r="D16" s="105"/>
      <c r="E16" s="106" t="s">
        <v>287</v>
      </c>
      <c r="F16" s="106"/>
      <c r="G16" s="106"/>
      <c r="I16" s="90"/>
      <c r="J16" s="90"/>
      <c r="K16" s="90"/>
      <c r="M16" s="107"/>
      <c r="N16" s="108"/>
    </row>
    <row r="17" spans="2:14" ht="10" customHeight="1"/>
    <row r="18" spans="2:14" ht="19" customHeight="1">
      <c r="B18" s="109">
        <f>UPPER(tit_P)</f>
        <v>0</v>
      </c>
      <c r="C18" s="109"/>
      <c r="D18" s="109"/>
      <c r="E18" s="109"/>
      <c r="F18" s="109"/>
      <c r="G18" s="109"/>
      <c r="H18" s="109"/>
      <c r="I18" s="110">
        <f>IF(pSt_P="—","—  ","●  "&amp;pSt_P&amp;"  ")</f>
        <v>0</v>
      </c>
      <c r="K18" s="109">
        <f>UPPER(tit_SiO2)</f>
        <v>0</v>
      </c>
      <c r="L18" s="109"/>
      <c r="M18" s="109"/>
      <c r="N18" s="110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9">
        <f>UPPER(tit_PPC)</f>
        <v>0</v>
      </c>
      <c r="C33" s="109"/>
      <c r="D33" s="109"/>
      <c r="E33" s="109"/>
      <c r="F33" s="109"/>
      <c r="G33" s="109"/>
      <c r="H33" s="109"/>
      <c r="I33" s="110">
        <f>IF(pSt_PPC="—","—  ","●  "&amp;pSt_PPC&amp;"  ")</f>
        <v>0</v>
      </c>
      <c r="K33" s="109">
        <f>UPPER(tit_325)</f>
        <v>0</v>
      </c>
      <c r="L33" s="109"/>
      <c r="M33" s="109"/>
      <c r="N33" s="110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9">
        <f>UPPER(tit_SE)</f>
        <v>0</v>
      </c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10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11">
        <f>"Diferença = "&amp;gAvalNome&amp;" − "&amp;gRefNome&amp;" (referência: "&amp;gRefNome&amp;")   ·   faixa verde tracejada = tolerância   ·   ◆ = diferença das médias"</f>
        <v>0</v>
      </c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5" priority="3">
      <formula>$G11="NOK"</formula>
    </cfRule>
  </conditionalFormatting>
  <conditionalFormatting sqref="G11:G15">
    <cfRule type="cellIs" dxfId="3" priority="1" operator="equal">
      <formula>"OK"</formula>
    </cfRule>
    <cfRule type="cellIs" dxfId="4" priority="2" operator="equal">
      <formula>"NOK"</formula>
    </cfRule>
  </conditionalFormatting>
  <conditionalFormatting sqref="I18">
    <cfRule type="expression" dxfId="6" priority="4">
      <formula>pSt_P="OK"</formula>
    </cfRule>
    <cfRule type="expression" dxfId="7" priority="5">
      <formula>pSt_P="NOK"</formula>
    </cfRule>
  </conditionalFormatting>
  <conditionalFormatting sqref="I33">
    <cfRule type="expression" dxfId="6" priority="8">
      <formula>pSt_PPC="OK"</formula>
    </cfRule>
    <cfRule type="expression" dxfId="7" priority="9">
      <formula>pSt_PPC="NOK"</formula>
    </cfRule>
  </conditionalFormatting>
  <conditionalFormatting sqref="N18">
    <cfRule type="expression" dxfId="6" priority="6">
      <formula>pSt_SiO2="OK"</formula>
    </cfRule>
    <cfRule type="expression" dxfId="7" priority="7">
      <formula>pSt_SiO2="NOK"</formula>
    </cfRule>
  </conditionalFormatting>
  <conditionalFormatting sqref="N33">
    <cfRule type="expression" dxfId="6" priority="10">
      <formula>pSt_325="OK"</formula>
    </cfRule>
    <cfRule type="expression" dxfId="7" priority="11">
      <formula>pSt_325="NOK"</formula>
    </cfRule>
  </conditionalFormatting>
  <conditionalFormatting sqref="N48">
    <cfRule type="expression" dxfId="6" priority="12">
      <formula>pSt_SE="OK"</formula>
    </cfRule>
    <cfRule type="expression" dxfId="7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289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72" t="s">
        <v>290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</row>
    <row r="4" spans="2:62" ht="22" customHeight="1"/>
    <row r="5" spans="2:62" ht="18" customHeight="1">
      <c r="K5" s="112" t="s">
        <v>291</v>
      </c>
    </row>
    <row r="7" spans="2:62" ht="30" customHeight="1">
      <c r="B7" t="s">
        <v>292</v>
      </c>
      <c r="C7" t="s">
        <v>293</v>
      </c>
      <c r="D7" t="s">
        <v>94</v>
      </c>
      <c r="E7" t="s">
        <v>294</v>
      </c>
      <c r="F7" t="s">
        <v>295</v>
      </c>
      <c r="G7" t="s">
        <v>296</v>
      </c>
      <c r="H7" t="s">
        <v>297</v>
      </c>
      <c r="I7" t="s">
        <v>298</v>
      </c>
      <c r="J7" t="s">
        <v>299</v>
      </c>
      <c r="K7" t="s">
        <v>300</v>
      </c>
      <c r="L7" t="s">
        <v>301</v>
      </c>
      <c r="M7" t="s">
        <v>302</v>
      </c>
      <c r="N7" t="s">
        <v>219</v>
      </c>
      <c r="O7" t="s">
        <v>303</v>
      </c>
      <c r="P7" t="s">
        <v>101</v>
      </c>
      <c r="Q7" t="s">
        <v>304</v>
      </c>
      <c r="R7" t="s">
        <v>305</v>
      </c>
      <c r="S7" t="s">
        <v>306</v>
      </c>
      <c r="T7" t="s">
        <v>307</v>
      </c>
      <c r="U7" t="s">
        <v>308</v>
      </c>
      <c r="V7" t="s">
        <v>217</v>
      </c>
      <c r="W7" t="s">
        <v>309</v>
      </c>
      <c r="X7" t="s">
        <v>310</v>
      </c>
      <c r="Y7" t="s">
        <v>311</v>
      </c>
      <c r="Z7" t="s">
        <v>312</v>
      </c>
      <c r="AA7" t="s">
        <v>313</v>
      </c>
      <c r="AB7" t="s">
        <v>314</v>
      </c>
      <c r="AC7" t="s">
        <v>315</v>
      </c>
      <c r="AD7" t="s">
        <v>316</v>
      </c>
      <c r="AE7" t="s">
        <v>317</v>
      </c>
      <c r="AF7" t="s">
        <v>318</v>
      </c>
      <c r="AG7" t="s">
        <v>319</v>
      </c>
      <c r="AH7" t="s">
        <v>320</v>
      </c>
      <c r="AI7" t="s">
        <v>321</v>
      </c>
      <c r="AJ7" t="s">
        <v>322</v>
      </c>
      <c r="AK7" t="s">
        <v>323</v>
      </c>
      <c r="AL7" t="s">
        <v>324</v>
      </c>
      <c r="AM7" t="s">
        <v>325</v>
      </c>
      <c r="AN7" t="s">
        <v>326</v>
      </c>
      <c r="AO7" t="s">
        <v>327</v>
      </c>
      <c r="AP7" t="s">
        <v>328</v>
      </c>
      <c r="AQ7" t="s">
        <v>329</v>
      </c>
      <c r="AR7" t="s">
        <v>330</v>
      </c>
      <c r="AS7" t="s">
        <v>331</v>
      </c>
      <c r="AT7" t="s">
        <v>332</v>
      </c>
      <c r="AU7" t="s">
        <v>333</v>
      </c>
      <c r="AV7" t="s">
        <v>334</v>
      </c>
      <c r="AW7" t="s">
        <v>335</v>
      </c>
      <c r="AX7" t="s">
        <v>336</v>
      </c>
      <c r="AY7" t="s">
        <v>337</v>
      </c>
      <c r="AZ7" t="s">
        <v>338</v>
      </c>
      <c r="BA7" t="s">
        <v>339</v>
      </c>
      <c r="BB7" t="s">
        <v>340</v>
      </c>
      <c r="BC7" t="s">
        <v>341</v>
      </c>
      <c r="BD7" t="s">
        <v>342</v>
      </c>
      <c r="BE7" t="s">
        <v>343</v>
      </c>
      <c r="BF7" t="s">
        <v>344</v>
      </c>
      <c r="BG7" t="s">
        <v>345</v>
      </c>
      <c r="BH7" t="s">
        <v>346</v>
      </c>
      <c r="BI7" t="s">
        <v>347</v>
      </c>
      <c r="BJ7" t="s">
        <v>348</v>
      </c>
    </row>
  </sheetData>
  <mergeCells count="2">
    <mergeCell ref="B2:O2"/>
    <mergeCell ref="B3:O3"/>
  </mergeCells>
  <conditionalFormatting sqref="AN8:AN2007">
    <cfRule type="cellIs" dxfId="1" priority="1" operator="equal">
      <formula>"NOK"</formula>
    </cfRule>
    <cfRule type="cellIs" dxfId="12" priority="2" operator="equal">
      <formula>"OK"</formula>
    </cfRule>
  </conditionalFormatting>
  <conditionalFormatting sqref="AR8:AR2007">
    <cfRule type="cellIs" dxfId="1" priority="3" operator="equal">
      <formula>"NOK"</formula>
    </cfRule>
    <cfRule type="cellIs" dxfId="12" priority="4" operator="equal">
      <formula>"OK"</formula>
    </cfRule>
  </conditionalFormatting>
  <conditionalFormatting sqref="AV8:AV2007">
    <cfRule type="cellIs" dxfId="1" priority="5" operator="equal">
      <formula>"NOK"</formula>
    </cfRule>
    <cfRule type="cellIs" dxfId="12" priority="6" operator="equal">
      <formula>"OK"</formula>
    </cfRule>
  </conditionalFormatting>
  <conditionalFormatting sqref="AZ8:AZ2007">
    <cfRule type="cellIs" dxfId="1" priority="7" operator="equal">
      <formula>"NOK"</formula>
    </cfRule>
    <cfRule type="cellIs" dxfId="12" priority="8" operator="equal">
      <formula>"OK"</formula>
    </cfRule>
  </conditionalFormatting>
  <conditionalFormatting sqref="BD8:BD2007">
    <cfRule type="cellIs" dxfId="1" priority="9" operator="equal">
      <formula>"NOK"</formula>
    </cfRule>
    <cfRule type="cellIs" dxfId="12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292</v>
      </c>
      <c r="B1" t="s">
        <v>349</v>
      </c>
      <c r="C1" t="s">
        <v>350</v>
      </c>
      <c r="D1" t="s">
        <v>351</v>
      </c>
      <c r="E1" t="s">
        <v>193</v>
      </c>
      <c r="F1" t="s">
        <v>15</v>
      </c>
      <c r="G1" t="s">
        <v>19</v>
      </c>
      <c r="H1" t="s">
        <v>196</v>
      </c>
      <c r="I1" t="s">
        <v>352</v>
      </c>
      <c r="J1" t="s">
        <v>198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72" t="s">
        <v>1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</row>
    <row r="5" spans="2:13" ht="22" customHeight="1">
      <c r="B5" s="2" t="s">
        <v>2</v>
      </c>
      <c r="C5" s="2"/>
      <c r="D5" s="2"/>
      <c r="E5" s="2"/>
      <c r="F5" s="2"/>
      <c r="G5" s="2"/>
      <c r="H5" s="2"/>
      <c r="I5" s="2"/>
      <c r="J5" s="2"/>
      <c r="K5" s="2"/>
    </row>
    <row r="6" spans="2:13" ht="26" customHeight="1">
      <c r="B6" s="113" t="s">
        <v>3</v>
      </c>
      <c r="C6" s="113"/>
      <c r="D6" s="113"/>
      <c r="E6" s="113"/>
      <c r="F6" s="113"/>
      <c r="G6" s="113"/>
      <c r="H6" s="113"/>
      <c r="I6" s="113"/>
      <c r="J6" s="113"/>
      <c r="K6" s="113"/>
    </row>
    <row r="7" spans="2:13">
      <c r="B7" s="114" t="s">
        <v>4</v>
      </c>
      <c r="C7" s="114" t="s">
        <v>5</v>
      </c>
      <c r="D7" s="114" t="s">
        <v>6</v>
      </c>
      <c r="E7" s="114" t="s">
        <v>7</v>
      </c>
      <c r="F7" s="114" t="s">
        <v>8</v>
      </c>
      <c r="G7" s="114" t="s">
        <v>9</v>
      </c>
      <c r="H7" s="114" t="s">
        <v>10</v>
      </c>
      <c r="I7" s="114" t="s">
        <v>11</v>
      </c>
      <c r="J7" s="114" t="s">
        <v>12</v>
      </c>
      <c r="K7" s="114" t="s">
        <v>13</v>
      </c>
    </row>
    <row r="8" spans="2:13">
      <c r="B8" s="115" t="s">
        <v>14</v>
      </c>
      <c r="C8" s="116" t="s">
        <v>15</v>
      </c>
      <c r="D8" s="117" t="s">
        <v>16</v>
      </c>
      <c r="E8" s="34" t="s">
        <v>17</v>
      </c>
      <c r="F8" s="34" t="s">
        <v>18</v>
      </c>
      <c r="G8" s="34">
        <v>300</v>
      </c>
      <c r="H8" s="34">
        <v>5000</v>
      </c>
      <c r="I8" s="34">
        <v>2000</v>
      </c>
      <c r="J8" s="34">
        <v>2</v>
      </c>
      <c r="K8" s="118"/>
      <c r="M8" s="119" t="s">
        <v>33</v>
      </c>
    </row>
    <row r="9" spans="2:13">
      <c r="B9" s="115" t="s">
        <v>14</v>
      </c>
      <c r="C9" s="116" t="s">
        <v>19</v>
      </c>
      <c r="D9" s="117" t="s">
        <v>20</v>
      </c>
      <c r="E9" s="34" t="s">
        <v>17</v>
      </c>
      <c r="F9" s="34" t="s">
        <v>18</v>
      </c>
      <c r="G9" s="34">
        <v>300</v>
      </c>
      <c r="H9" s="34">
        <v>5000</v>
      </c>
      <c r="I9" s="34">
        <v>1900</v>
      </c>
      <c r="J9" s="34">
        <v>2</v>
      </c>
      <c r="K9" s="118"/>
      <c r="M9" s="119"/>
    </row>
    <row r="10" spans="2:13">
      <c r="B10" s="115" t="s">
        <v>21</v>
      </c>
      <c r="C10" s="116" t="s">
        <v>15</v>
      </c>
      <c r="D10" s="117" t="s">
        <v>22</v>
      </c>
      <c r="E10" s="34" t="s">
        <v>17</v>
      </c>
      <c r="F10" s="34" t="s">
        <v>18</v>
      </c>
      <c r="G10" s="34">
        <v>40</v>
      </c>
      <c r="H10" s="34">
        <v>100</v>
      </c>
      <c r="I10" s="34">
        <v>87.5</v>
      </c>
      <c r="J10" s="34">
        <v>2</v>
      </c>
      <c r="K10" s="118"/>
      <c r="M10" s="119"/>
    </row>
    <row r="11" spans="2:13">
      <c r="B11" s="115" t="s">
        <v>21</v>
      </c>
      <c r="C11" s="116" t="s">
        <v>19</v>
      </c>
      <c r="D11" s="117" t="s">
        <v>23</v>
      </c>
      <c r="E11" s="34" t="s">
        <v>17</v>
      </c>
      <c r="F11" s="34" t="s">
        <v>18</v>
      </c>
      <c r="G11" s="34">
        <v>40</v>
      </c>
      <c r="H11" s="34">
        <v>100</v>
      </c>
      <c r="I11" s="34">
        <v>87</v>
      </c>
      <c r="J11" s="34">
        <v>2</v>
      </c>
      <c r="K11" s="118"/>
      <c r="M11" s="119"/>
    </row>
    <row r="12" spans="2:13">
      <c r="B12" s="115" t="s">
        <v>24</v>
      </c>
      <c r="C12" s="116" t="s">
        <v>15</v>
      </c>
      <c r="D12" s="117" t="s">
        <v>25</v>
      </c>
      <c r="E12" s="34" t="s">
        <v>17</v>
      </c>
      <c r="F12" s="34" t="s">
        <v>18</v>
      </c>
      <c r="G12" s="34">
        <v>0</v>
      </c>
      <c r="H12" s="34">
        <v>20</v>
      </c>
      <c r="I12" s="34">
        <v>1.95</v>
      </c>
      <c r="J12" s="34">
        <v>2</v>
      </c>
      <c r="K12" s="118"/>
    </row>
    <row r="13" spans="2:13">
      <c r="B13" s="115" t="s">
        <v>24</v>
      </c>
      <c r="C13" s="116" t="s">
        <v>19</v>
      </c>
      <c r="D13" s="117" t="s">
        <v>26</v>
      </c>
      <c r="E13" s="34" t="s">
        <v>17</v>
      </c>
      <c r="F13" s="34" t="s">
        <v>18</v>
      </c>
      <c r="G13" s="34">
        <v>0</v>
      </c>
      <c r="H13" s="34">
        <v>20</v>
      </c>
      <c r="I13" s="34">
        <v>1.93</v>
      </c>
      <c r="J13" s="34">
        <v>4</v>
      </c>
      <c r="K13" s="118">
        <v>0.1458333333333333</v>
      </c>
    </row>
    <row r="14" spans="2:13">
      <c r="B14" s="115" t="s">
        <v>27</v>
      </c>
      <c r="C14" s="116" t="s">
        <v>15</v>
      </c>
      <c r="D14" s="117" t="s">
        <v>28</v>
      </c>
      <c r="E14" s="34" t="s">
        <v>17</v>
      </c>
      <c r="F14" s="34" t="s">
        <v>18</v>
      </c>
      <c r="G14" s="34">
        <v>0</v>
      </c>
      <c r="H14" s="34">
        <v>1</v>
      </c>
      <c r="I14" s="34">
        <v>0.058</v>
      </c>
      <c r="J14" s="34">
        <v>2</v>
      </c>
      <c r="K14" s="118"/>
    </row>
    <row r="15" spans="2:13">
      <c r="B15" s="115" t="s">
        <v>27</v>
      </c>
      <c r="C15" s="116" t="s">
        <v>19</v>
      </c>
      <c r="D15" s="117" t="s">
        <v>29</v>
      </c>
      <c r="E15" s="34" t="s">
        <v>17</v>
      </c>
      <c r="F15" s="34" t="s">
        <v>18</v>
      </c>
      <c r="G15" s="34">
        <v>0</v>
      </c>
      <c r="H15" s="34">
        <v>1</v>
      </c>
      <c r="I15" s="34">
        <v>0.057</v>
      </c>
      <c r="J15" s="34">
        <v>4</v>
      </c>
      <c r="K15" s="118">
        <v>0.1458333333333333</v>
      </c>
    </row>
    <row r="16" spans="2:13">
      <c r="B16" s="115" t="s">
        <v>30</v>
      </c>
      <c r="C16" s="116" t="s">
        <v>15</v>
      </c>
      <c r="D16" s="117" t="s">
        <v>31</v>
      </c>
      <c r="E16" s="34" t="s">
        <v>17</v>
      </c>
      <c r="F16" s="34" t="s">
        <v>18</v>
      </c>
      <c r="G16" s="34">
        <v>0</v>
      </c>
      <c r="H16" s="34">
        <v>15</v>
      </c>
      <c r="I16" s="34">
        <v>3.6</v>
      </c>
      <c r="J16" s="34">
        <v>2</v>
      </c>
      <c r="K16" s="118"/>
    </row>
    <row r="17" spans="2:11">
      <c r="B17" s="115" t="s">
        <v>30</v>
      </c>
      <c r="C17" s="116" t="s">
        <v>19</v>
      </c>
      <c r="D17" s="117" t="s">
        <v>32</v>
      </c>
      <c r="E17" s="34" t="s">
        <v>17</v>
      </c>
      <c r="F17" s="34" t="s">
        <v>18</v>
      </c>
      <c r="G17" s="34">
        <v>0</v>
      </c>
      <c r="H17" s="34">
        <v>15</v>
      </c>
      <c r="I17" s="34">
        <v>3.55</v>
      </c>
      <c r="J17" s="34">
        <v>4</v>
      </c>
      <c r="K17" s="118">
        <v>0.1458333333333333</v>
      </c>
    </row>
    <row r="19" spans="2:11" ht="22" customHeight="1">
      <c r="B19" s="2" t="s">
        <v>34</v>
      </c>
      <c r="C19" s="2"/>
      <c r="D19" s="2"/>
      <c r="E19" s="2"/>
      <c r="F19" s="2"/>
      <c r="G19" s="2"/>
      <c r="H19" s="2"/>
      <c r="I19" s="2"/>
      <c r="J19" s="2"/>
      <c r="K19" s="2"/>
    </row>
    <row r="20" spans="2:11">
      <c r="B20" s="114" t="s">
        <v>4</v>
      </c>
      <c r="C20" s="114" t="s">
        <v>35</v>
      </c>
      <c r="D20" s="114" t="s">
        <v>6</v>
      </c>
      <c r="E20" s="114" t="s">
        <v>7</v>
      </c>
      <c r="F20" s="114" t="s">
        <v>8</v>
      </c>
      <c r="G20" s="114" t="s">
        <v>9</v>
      </c>
      <c r="H20" s="114" t="s">
        <v>10</v>
      </c>
      <c r="I20" s="114" t="s">
        <v>11</v>
      </c>
      <c r="J20" s="114" t="s">
        <v>36</v>
      </c>
      <c r="K20" s="114"/>
    </row>
    <row r="21" spans="2:11">
      <c r="B21" s="115" t="s">
        <v>37</v>
      </c>
      <c r="C21" s="34" t="s">
        <v>38</v>
      </c>
      <c r="D21" s="117" t="s">
        <v>39</v>
      </c>
      <c r="E21" s="34" t="s">
        <v>17</v>
      </c>
      <c r="F21" s="34" t="s">
        <v>40</v>
      </c>
      <c r="G21" s="34">
        <v>0</v>
      </c>
      <c r="H21" s="34">
        <v>80</v>
      </c>
      <c r="I21" s="34">
        <v>67.5</v>
      </c>
      <c r="J21" s="120" t="s">
        <v>41</v>
      </c>
      <c r="K21" s="120"/>
    </row>
    <row r="22" spans="2:11">
      <c r="B22" s="115" t="s">
        <v>42</v>
      </c>
      <c r="C22" s="34" t="s">
        <v>24</v>
      </c>
      <c r="D22" s="117" t="s">
        <v>43</v>
      </c>
      <c r="E22" s="34" t="s">
        <v>17</v>
      </c>
      <c r="F22" s="34" t="s">
        <v>40</v>
      </c>
      <c r="G22" s="34">
        <v>0</v>
      </c>
      <c r="H22" s="34">
        <v>20</v>
      </c>
      <c r="I22" s="34">
        <v>1.3</v>
      </c>
      <c r="J22" s="120" t="s">
        <v>44</v>
      </c>
      <c r="K22" s="120"/>
    </row>
    <row r="23" spans="2:11">
      <c r="B23" s="115" t="s">
        <v>27</v>
      </c>
      <c r="C23" s="34" t="s">
        <v>27</v>
      </c>
      <c r="D23" s="117" t="s">
        <v>45</v>
      </c>
      <c r="E23" s="34" t="s">
        <v>17</v>
      </c>
      <c r="F23" s="34" t="s">
        <v>40</v>
      </c>
      <c r="G23" s="34">
        <v>0</v>
      </c>
      <c r="H23" s="34">
        <v>1</v>
      </c>
      <c r="I23" s="34">
        <v>0.035</v>
      </c>
      <c r="J23" s="120" t="s">
        <v>46</v>
      </c>
      <c r="K23" s="120"/>
    </row>
    <row r="24" spans="2:11">
      <c r="B24" s="115" t="s">
        <v>47</v>
      </c>
      <c r="C24" s="34" t="s">
        <v>14</v>
      </c>
      <c r="D24" s="117" t="s">
        <v>48</v>
      </c>
      <c r="E24" s="34" t="s">
        <v>17</v>
      </c>
      <c r="F24" s="34" t="s">
        <v>40</v>
      </c>
      <c r="G24" s="34">
        <v>100</v>
      </c>
      <c r="H24" s="34">
        <v>20000</v>
      </c>
      <c r="I24" s="34">
        <v>2200</v>
      </c>
      <c r="J24" s="120" t="s">
        <v>49</v>
      </c>
      <c r="K24" s="120"/>
    </row>
    <row r="25" spans="2:11">
      <c r="B25" s="121" t="s">
        <v>50</v>
      </c>
      <c r="C25" s="34">
        <v>1</v>
      </c>
      <c r="D25" s="113" t="s">
        <v>51</v>
      </c>
      <c r="E25" s="113"/>
      <c r="F25" s="113"/>
      <c r="G25" s="113"/>
      <c r="H25" s="113"/>
      <c r="I25" s="113"/>
    </row>
    <row r="26" spans="2:11">
      <c r="B26" s="121" t="s">
        <v>52</v>
      </c>
      <c r="C26" s="118">
        <v>0.9791666666666666</v>
      </c>
      <c r="D26" s="113" t="s">
        <v>53</v>
      </c>
      <c r="E26" s="113"/>
      <c r="F26" s="113"/>
      <c r="G26" s="113"/>
      <c r="H26" s="113"/>
      <c r="I26" s="113"/>
    </row>
    <row r="28" spans="2:11" ht="22" customHeight="1">
      <c r="B28" s="2" t="s">
        <v>54</v>
      </c>
      <c r="C28" s="2"/>
      <c r="D28" s="2"/>
      <c r="E28" s="2"/>
      <c r="F28" s="2"/>
      <c r="G28" s="2"/>
      <c r="H28" s="2"/>
      <c r="I28" s="2"/>
    </row>
    <row r="29" spans="2:11">
      <c r="B29" s="121" t="s">
        <v>55</v>
      </c>
      <c r="C29" s="34" t="s">
        <v>56</v>
      </c>
      <c r="D29" s="34"/>
      <c r="E29" s="113" t="s">
        <v>57</v>
      </c>
      <c r="F29" s="113"/>
      <c r="G29" s="113"/>
      <c r="H29" s="113"/>
      <c r="I29" s="113"/>
    </row>
    <row r="30" spans="2:11">
      <c r="B30" s="121" t="s">
        <v>58</v>
      </c>
      <c r="C30" s="34">
        <v>120</v>
      </c>
      <c r="D30" s="34"/>
      <c r="E30" s="113" t="s">
        <v>59</v>
      </c>
      <c r="F30" s="113"/>
      <c r="G30" s="113"/>
      <c r="H30" s="113"/>
      <c r="I30" s="113"/>
    </row>
    <row r="31" spans="2:11">
      <c r="B31" s="121" t="s">
        <v>60</v>
      </c>
      <c r="C31" s="34" t="s">
        <v>61</v>
      </c>
      <c r="D31" s="34"/>
      <c r="E31" s="113" t="s">
        <v>62</v>
      </c>
      <c r="F31" s="113"/>
      <c r="G31" s="113"/>
      <c r="H31" s="113"/>
      <c r="I31" s="113"/>
    </row>
    <row r="32" spans="2:11">
      <c r="B32" s="121" t="s">
        <v>63</v>
      </c>
      <c r="C32" s="34">
        <v>30</v>
      </c>
      <c r="D32" s="34"/>
      <c r="E32" s="113" t="s">
        <v>64</v>
      </c>
      <c r="F32" s="113"/>
      <c r="G32" s="113"/>
      <c r="H32" s="113"/>
      <c r="I32" s="113"/>
    </row>
    <row r="33" spans="2:9">
      <c r="B33" s="121" t="s">
        <v>65</v>
      </c>
      <c r="C33" s="118">
        <v>0.2916666666666667</v>
      </c>
      <c r="D33" s="34"/>
      <c r="E33" s="113" t="s">
        <v>66</v>
      </c>
      <c r="F33" s="113"/>
      <c r="G33" s="113"/>
      <c r="H33" s="113"/>
      <c r="I33" s="113"/>
    </row>
    <row r="34" spans="2:9">
      <c r="B34" s="121" t="s">
        <v>67</v>
      </c>
      <c r="C34" s="118">
        <v>0</v>
      </c>
      <c r="D34" s="34"/>
      <c r="E34" s="113" t="s">
        <v>68</v>
      </c>
      <c r="F34" s="113"/>
      <c r="G34" s="113"/>
      <c r="H34" s="113"/>
      <c r="I34" s="113"/>
    </row>
    <row r="35" spans="2:9">
      <c r="B35" s="121" t="s">
        <v>69</v>
      </c>
      <c r="C35" s="34">
        <v>60</v>
      </c>
      <c r="D35" s="34"/>
      <c r="E35" s="113" t="s">
        <v>70</v>
      </c>
      <c r="F35" s="113"/>
      <c r="G35" s="113"/>
      <c r="H35" s="113"/>
      <c r="I35" s="113"/>
    </row>
    <row r="36" spans="2:9">
      <c r="B36" s="121" t="s">
        <v>71</v>
      </c>
      <c r="C36" s="34" t="s">
        <v>72</v>
      </c>
      <c r="D36" s="34"/>
      <c r="E36" s="113" t="s">
        <v>73</v>
      </c>
      <c r="F36" s="113"/>
      <c r="G36" s="113"/>
      <c r="H36" s="113"/>
      <c r="I36" s="113"/>
    </row>
    <row r="37" spans="2:9">
      <c r="B37" s="121" t="s">
        <v>74</v>
      </c>
      <c r="C37" s="34" t="s">
        <v>75</v>
      </c>
      <c r="D37" s="34"/>
      <c r="E37" s="113" t="s">
        <v>76</v>
      </c>
      <c r="F37" s="113"/>
      <c r="G37" s="113"/>
      <c r="H37" s="113"/>
      <c r="I37" s="113"/>
    </row>
    <row r="38" spans="2:9">
      <c r="B38" s="121" t="s">
        <v>77</v>
      </c>
      <c r="C38" s="34" t="s">
        <v>78</v>
      </c>
      <c r="D38" s="34"/>
      <c r="E38" s="113" t="s">
        <v>79</v>
      </c>
      <c r="F38" s="113"/>
      <c r="G38" s="113"/>
      <c r="H38" s="113"/>
      <c r="I38" s="113"/>
    </row>
    <row r="39" spans="2:9">
      <c r="B39" s="121" t="s">
        <v>80</v>
      </c>
      <c r="C39" s="34" t="s">
        <v>81</v>
      </c>
      <c r="D39" s="34"/>
      <c r="E39" s="113" t="s">
        <v>82</v>
      </c>
      <c r="F39" s="113"/>
      <c r="G39" s="113"/>
      <c r="H39" s="113"/>
      <c r="I39" s="113"/>
    </row>
    <row r="40" spans="2:9">
      <c r="B40" s="121" t="s">
        <v>83</v>
      </c>
      <c r="C40" s="34" t="s">
        <v>17</v>
      </c>
      <c r="D40" s="34"/>
      <c r="E40" s="113" t="s">
        <v>84</v>
      </c>
      <c r="F40" s="113"/>
      <c r="G40" s="113"/>
      <c r="H40" s="113"/>
      <c r="I40" s="113"/>
    </row>
    <row r="42" spans="2:9" ht="22" customHeight="1">
      <c r="B42" s="2" t="s">
        <v>85</v>
      </c>
      <c r="C42" s="2"/>
      <c r="D42" s="2"/>
      <c r="E42" s="2"/>
      <c r="F42" s="2"/>
      <c r="G42" s="2"/>
      <c r="H42" s="2"/>
      <c r="I42" s="2"/>
    </row>
    <row r="43" spans="2:9" ht="24" customHeight="1">
      <c r="B43" s="113" t="s">
        <v>86</v>
      </c>
      <c r="C43" s="113"/>
      <c r="D43" s="113"/>
      <c r="E43" s="113"/>
      <c r="F43" s="113"/>
      <c r="G43" s="113"/>
      <c r="H43" s="113"/>
      <c r="I43" s="113"/>
    </row>
    <row r="44" spans="2:9">
      <c r="B44" s="121" t="s">
        <v>87</v>
      </c>
      <c r="C44" s="122">
        <v>8</v>
      </c>
    </row>
    <row r="45" spans="2:9">
      <c r="B45" s="121" t="s">
        <v>88</v>
      </c>
      <c r="C45" s="122">
        <v>6</v>
      </c>
    </row>
    <row r="46" spans="2:9">
      <c r="B46" s="121" t="s">
        <v>89</v>
      </c>
      <c r="C46" s="122">
        <v>4</v>
      </c>
    </row>
    <row r="48" spans="2:9" ht="22" customHeight="1">
      <c r="B48" s="2" t="s">
        <v>90</v>
      </c>
      <c r="C48" s="2"/>
      <c r="D48" s="2"/>
      <c r="E48" s="2"/>
      <c r="F48" s="2"/>
      <c r="G48" s="2"/>
      <c r="H48" s="2"/>
      <c r="I48" s="2"/>
    </row>
    <row r="49" spans="2:9">
      <c r="B49" s="121" t="s">
        <v>91</v>
      </c>
      <c r="C49" s="8" t="s">
        <v>15</v>
      </c>
      <c r="D49" s="8"/>
      <c r="E49" s="8"/>
      <c r="F49" s="8"/>
    </row>
    <row r="50" spans="2:9">
      <c r="B50" s="121" t="s">
        <v>92</v>
      </c>
      <c r="C50" s="8" t="s">
        <v>19</v>
      </c>
      <c r="D50" s="8"/>
      <c r="E50" s="8"/>
      <c r="F50" s="8"/>
    </row>
    <row r="51" spans="2:9">
      <c r="B51" s="121" t="s">
        <v>93</v>
      </c>
      <c r="C51" s="8" t="s">
        <v>15</v>
      </c>
      <c r="D51" s="8"/>
      <c r="E51" s="8"/>
      <c r="F51" s="8"/>
    </row>
    <row r="52" spans="2:9">
      <c r="B52" s="121" t="s">
        <v>94</v>
      </c>
      <c r="C52" s="8" t="s">
        <v>95</v>
      </c>
      <c r="D52" s="8"/>
      <c r="E52" s="8"/>
      <c r="F52" s="8"/>
    </row>
    <row r="53" spans="2:9">
      <c r="B53" s="121" t="s">
        <v>96</v>
      </c>
      <c r="C53" s="8" t="s">
        <v>97</v>
      </c>
      <c r="D53" s="8"/>
      <c r="E53" s="8"/>
      <c r="F53" s="8"/>
    </row>
    <row r="54" spans="2:9">
      <c r="B54" s="121" t="s">
        <v>98</v>
      </c>
      <c r="C54" s="123">
        <v>14</v>
      </c>
      <c r="D54" s="8"/>
      <c r="E54" s="8"/>
      <c r="F54" s="8"/>
    </row>
    <row r="55" spans="2:9">
      <c r="B55" s="121" t="s">
        <v>99</v>
      </c>
      <c r="C55" s="8" t="s">
        <v>100</v>
      </c>
      <c r="D55" s="8"/>
      <c r="E55" s="8"/>
      <c r="F55" s="8"/>
    </row>
    <row r="56" spans="2:9">
      <c r="B56" s="121" t="s">
        <v>101</v>
      </c>
      <c r="C56" s="8" t="s">
        <v>102</v>
      </c>
      <c r="D56" s="8"/>
      <c r="E56" s="8"/>
      <c r="F56" s="8"/>
    </row>
    <row r="57" spans="2:9">
      <c r="B57" s="121" t="s">
        <v>103</v>
      </c>
      <c r="C57" s="8" t="s">
        <v>104</v>
      </c>
      <c r="D57" s="8"/>
      <c r="E57" s="8"/>
      <c r="F57" s="8"/>
    </row>
    <row r="58" spans="2:9">
      <c r="B58" s="121" t="s">
        <v>105</v>
      </c>
      <c r="C58" s="123">
        <v>150</v>
      </c>
      <c r="D58" s="8"/>
      <c r="E58" s="8"/>
      <c r="F58" s="8"/>
    </row>
    <row r="59" spans="2:9">
      <c r="B59" s="121" t="s">
        <v>106</v>
      </c>
      <c r="C59" s="123">
        <v>1</v>
      </c>
      <c r="D59" s="8"/>
      <c r="E59" s="8"/>
      <c r="F59" s="8"/>
    </row>
    <row r="60" spans="2:9">
      <c r="B60" s="121" t="s">
        <v>107</v>
      </c>
      <c r="C60" s="123">
        <v>0.19</v>
      </c>
      <c r="D60" s="8"/>
      <c r="E60" s="8"/>
      <c r="F60" s="8"/>
    </row>
    <row r="61" spans="2:9">
      <c r="B61" s="121" t="s">
        <v>108</v>
      </c>
      <c r="C61" s="123">
        <v>0.003</v>
      </c>
      <c r="D61" s="8"/>
      <c r="E61" s="8"/>
      <c r="F61" s="8"/>
    </row>
    <row r="62" spans="2:9">
      <c r="B62" s="121" t="s">
        <v>109</v>
      </c>
      <c r="C62" s="123">
        <v>0.08</v>
      </c>
      <c r="D62" s="8"/>
      <c r="E62" s="8"/>
      <c r="F62" s="8"/>
    </row>
    <row r="64" spans="2:9" ht="22" customHeight="1">
      <c r="B64" s="2" t="s">
        <v>110</v>
      </c>
      <c r="C64" s="2"/>
      <c r="D64" s="2"/>
      <c r="E64" s="2"/>
      <c r="F64" s="2"/>
      <c r="G64" s="2"/>
      <c r="H64" s="2"/>
      <c r="I64" s="2"/>
    </row>
    <row r="65" spans="2:9">
      <c r="B65" s="121" t="s">
        <v>14</v>
      </c>
      <c r="C65" s="8" t="s">
        <v>111</v>
      </c>
      <c r="D65" s="8"/>
      <c r="E65" s="8"/>
      <c r="F65" s="8"/>
    </row>
    <row r="66" spans="2:9">
      <c r="B66" s="121" t="s">
        <v>21</v>
      </c>
      <c r="C66" s="8" t="s">
        <v>112</v>
      </c>
      <c r="D66" s="8"/>
      <c r="E66" s="8"/>
      <c r="F66" s="8"/>
    </row>
    <row r="67" spans="2:9">
      <c r="B67" s="121" t="s">
        <v>24</v>
      </c>
      <c r="C67" s="8" t="s">
        <v>113</v>
      </c>
      <c r="D67" s="8"/>
      <c r="E67" s="8"/>
      <c r="F67" s="8"/>
    </row>
    <row r="68" spans="2:9">
      <c r="B68" s="121" t="s">
        <v>27</v>
      </c>
      <c r="C68" s="8" t="s">
        <v>114</v>
      </c>
      <c r="D68" s="8"/>
      <c r="E68" s="8"/>
      <c r="F68" s="8"/>
    </row>
    <row r="69" spans="2:9">
      <c r="B69" s="121" t="s">
        <v>30</v>
      </c>
      <c r="C69" s="8" t="s">
        <v>30</v>
      </c>
      <c r="D69" s="8"/>
      <c r="E69" s="8"/>
      <c r="F69" s="8"/>
    </row>
    <row r="71" spans="2:9" ht="22" customHeight="1">
      <c r="B71" s="2" t="s">
        <v>115</v>
      </c>
      <c r="C71" s="2"/>
      <c r="D71" s="2"/>
      <c r="E71" s="2"/>
      <c r="F71" s="2"/>
      <c r="G71" s="2"/>
      <c r="H71" s="2"/>
      <c r="I71" s="2"/>
    </row>
    <row r="72" spans="2:9">
      <c r="B72" s="121" t="s">
        <v>94</v>
      </c>
      <c r="C72" s="34" t="s">
        <v>116</v>
      </c>
      <c r="D72" s="34" t="s">
        <v>117</v>
      </c>
      <c r="E72" s="34" t="s">
        <v>95</v>
      </c>
    </row>
    <row r="73" spans="2:9">
      <c r="B73" s="121" t="s">
        <v>118</v>
      </c>
      <c r="C73" s="124" t="s">
        <v>75</v>
      </c>
      <c r="D73" s="124" t="s">
        <v>119</v>
      </c>
    </row>
    <row r="74" spans="2:9">
      <c r="B74" s="121" t="s">
        <v>120</v>
      </c>
      <c r="C74" s="124">
        <f>bLabA</f>
        <v>0</v>
      </c>
      <c r="D74" s="124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5" t="s">
        <v>353</v>
      </c>
    </row>
    <row r="3" spans="1:6">
      <c r="A3" s="126" t="s">
        <v>354</v>
      </c>
      <c r="B3" s="127"/>
      <c r="D3" s="126" t="s">
        <v>360</v>
      </c>
    </row>
    <row r="4" spans="1:6">
      <c r="A4" s="126" t="s">
        <v>355</v>
      </c>
      <c r="B4" s="127"/>
      <c r="D4" s="126" t="s">
        <v>361</v>
      </c>
    </row>
    <row r="5" spans="1:6">
      <c r="D5" s="126" t="s">
        <v>362</v>
      </c>
    </row>
    <row r="6" spans="1:6">
      <c r="A6" s="126" t="s">
        <v>356</v>
      </c>
      <c r="B6" s="127"/>
      <c r="D6" s="126" t="s">
        <v>363</v>
      </c>
    </row>
    <row r="7" spans="1:6">
      <c r="A7" s="126" t="s">
        <v>357</v>
      </c>
      <c r="B7" s="127"/>
      <c r="D7" s="126" t="s">
        <v>364</v>
      </c>
    </row>
    <row r="8" spans="1:6">
      <c r="D8" s="126" t="s">
        <v>365</v>
      </c>
    </row>
    <row r="9" spans="1:6">
      <c r="A9" s="128" t="s">
        <v>366</v>
      </c>
      <c r="B9" s="127"/>
    </row>
    <row r="10" spans="1:6">
      <c r="A10" s="129" t="s">
        <v>367</v>
      </c>
      <c r="B10" s="127"/>
    </row>
    <row r="11" spans="1:6">
      <c r="A11" s="130" t="s">
        <v>368</v>
      </c>
      <c r="B11" s="130" t="s">
        <v>14</v>
      </c>
      <c r="C11" s="130" t="s">
        <v>21</v>
      </c>
      <c r="D11" s="130" t="s">
        <v>24</v>
      </c>
      <c r="E11" s="130" t="s">
        <v>27</v>
      </c>
      <c r="F11" s="130" t="s">
        <v>30</v>
      </c>
    </row>
    <row r="69" spans="1:6">
      <c r="A69" s="128" t="s">
        <v>369</v>
      </c>
    </row>
    <row r="70" spans="1:6">
      <c r="A70" s="129" t="s">
        <v>367</v>
      </c>
    </row>
    <row r="71" spans="1:6">
      <c r="A71" s="130" t="s">
        <v>368</v>
      </c>
      <c r="B71" s="130" t="s">
        <v>14</v>
      </c>
      <c r="C71" s="130" t="s">
        <v>21</v>
      </c>
      <c r="D71" s="130" t="s">
        <v>24</v>
      </c>
      <c r="E71" s="130" t="s">
        <v>27</v>
      </c>
      <c r="F71" s="130" t="s">
        <v>30</v>
      </c>
    </row>
    <row r="129" spans="1:5">
      <c r="A129" s="128" t="s">
        <v>370</v>
      </c>
    </row>
    <row r="130" spans="1:5">
      <c r="A130" s="129" t="s">
        <v>367</v>
      </c>
    </row>
    <row r="131" spans="1:5">
      <c r="A131" s="130" t="s">
        <v>368</v>
      </c>
      <c r="B131" s="130" t="s">
        <v>38</v>
      </c>
      <c r="C131" s="130" t="s">
        <v>24</v>
      </c>
      <c r="D131" s="130" t="s">
        <v>27</v>
      </c>
      <c r="E131" s="130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233</v>
      </c>
      <c r="B1" t="s">
        <v>234</v>
      </c>
      <c r="C1" t="s">
        <v>235</v>
      </c>
      <c r="D1" t="s">
        <v>236</v>
      </c>
      <c r="E1" t="s">
        <v>237</v>
      </c>
      <c r="F1" t="s">
        <v>238</v>
      </c>
      <c r="G1" t="s">
        <v>239</v>
      </c>
      <c r="H1" t="s">
        <v>240</v>
      </c>
      <c r="I1" t="s">
        <v>241</v>
      </c>
      <c r="J1" t="s">
        <v>242</v>
      </c>
      <c r="K1" t="s">
        <v>243</v>
      </c>
      <c r="L1" t="s">
        <v>244</v>
      </c>
      <c r="M1" t="s">
        <v>245</v>
      </c>
      <c r="N1" t="s">
        <v>246</v>
      </c>
      <c r="O1" t="s">
        <v>247</v>
      </c>
      <c r="P1" t="s">
        <v>248</v>
      </c>
      <c r="Q1" t="s">
        <v>249</v>
      </c>
      <c r="R1" t="s">
        <v>250</v>
      </c>
      <c r="S1" t="s">
        <v>251</v>
      </c>
      <c r="T1" t="s">
        <v>252</v>
      </c>
      <c r="U1" t="s">
        <v>253</v>
      </c>
      <c r="V1" t="s">
        <v>254</v>
      </c>
      <c r="W1" t="s">
        <v>255</v>
      </c>
      <c r="X1" t="s">
        <v>256</v>
      </c>
      <c r="Y1" t="s">
        <v>257</v>
      </c>
      <c r="Z1" t="s">
        <v>258</v>
      </c>
      <c r="AA1" t="s">
        <v>259</v>
      </c>
      <c r="AB1" t="s">
        <v>260</v>
      </c>
      <c r="AC1" t="s">
        <v>261</v>
      </c>
      <c r="AD1" t="s">
        <v>262</v>
      </c>
      <c r="AE1" t="s">
        <v>263</v>
      </c>
      <c r="AF1" t="s">
        <v>264</v>
      </c>
      <c r="AG1" t="s">
        <v>265</v>
      </c>
      <c r="AH1" t="s">
        <v>266</v>
      </c>
      <c r="AI1" t="s">
        <v>267</v>
      </c>
      <c r="AJ1" t="s">
        <v>268</v>
      </c>
      <c r="AK1" t="s">
        <v>269</v>
      </c>
      <c r="AL1" t="s">
        <v>270</v>
      </c>
      <c r="AM1" t="s">
        <v>271</v>
      </c>
      <c r="AN1" t="s">
        <v>272</v>
      </c>
      <c r="AO1" t="s">
        <v>273</v>
      </c>
      <c r="AP1" t="s">
        <v>274</v>
      </c>
      <c r="AQ1" t="s">
        <v>275</v>
      </c>
      <c r="AR1" t="s">
        <v>276</v>
      </c>
      <c r="AS1" t="s">
        <v>277</v>
      </c>
    </row>
    <row r="2" spans="1:45">
      <c r="A2">
        <f>IF(1&lt;=$G$31,TEXT(HOUR(INDEX('Preenchimento'!$C$46:$C$69,H2)),"00")&amp;":"&amp;TEXT(MINUTE(INDEX('Preenchimento'!$C$46:$C$69,H2)),"00")&amp;CHAR(10)&amp;TEXT(DAY(INDEX('Preenchimento'!$C$46:$C$69,H2)),"00")&amp;"/"&amp;TEXT(MONTH(INDEX('Preenchimento'!$C$46:$C$69,H2)),"00"),IF(1=$G$31+1,"Média",""))</f>
        <v>0</v>
      </c>
      <c r="B2">
        <f>IF(1&lt;=$G$31,INDEX('Preenchimento'!$E$46:$E$69,H2),IF(AND(1=$G$31+1,ISNUMBER($B$31)),$B$31,NA()))</f>
        <v>0</v>
      </c>
      <c r="C2">
        <f>IF(1&lt;=$G$31,INDEX('Preenchimento'!$F$46:$F$69,H2),IF(AND(1=$G$31+1,ISNUMBER($C$31)),$C$31,NA()))</f>
        <v>0</v>
      </c>
      <c r="D2">
        <f>IF(1&lt;=$G$31,INDEX('Preenchimento'!$P$46:$P$69,H2),NA())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IF(1&lt;=$G$31,MATCH(1,'Preenchimento'!$U$46:$U$69,0),"")</f>
        <v>0</v>
      </c>
      <c r="I2">
        <v>1</v>
      </c>
      <c r="J2">
        <f>IF(1&lt;=$G$32,TEXT(HOUR(INDEX('Preenchimento'!$C$46:$C$69,Q2)),"00")&amp;":"&amp;TEXT(MINUTE(INDEX('Preenchimento'!$C$46:$C$69,Q2)),"00")&amp;CHAR(10)&amp;TEXT(DAY(INDEX('Preenchimento'!$C$46:$C$69,Q2)),"00")&amp;"/"&amp;TEXT(MONTH(INDEX('Preenchimento'!$C$46:$C$69,Q2)),"00"),IF(1=$G$32+1,"Média",""))</f>
        <v>0</v>
      </c>
      <c r="K2">
        <f>IF(1&lt;=$G$32,INDEX('Preenchimento'!$G$46:$G$69,Q2),IF(AND(1=$G$32+1,ISNUMBER($B$32)),$B$32,NA()))</f>
        <v>0</v>
      </c>
      <c r="L2">
        <f>IF(1&lt;=$G$32,INDEX('Preenchimento'!$H$46:$H$69,Q2),IF(AND(1=$G$32+1,ISNUMBER($C$32)),$C$32,NA()))</f>
        <v>0</v>
      </c>
      <c r="M2">
        <f>IF(1&lt;=$G$32,INDEX('Preenchimento'!$Q$46:$Q$69,Q2),NA())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IF(1&lt;=$G$32,MATCH(1,'Preenchimento'!$V$46:$V$69,0),"")</f>
        <v>0</v>
      </c>
      <c r="R2">
        <v>1</v>
      </c>
      <c r="S2">
        <f>IF(1&lt;=$G$33,TEXT(HOUR(INDEX('Preenchimento'!$C$46:$C$69,Z2)),"00")&amp;":"&amp;TEXT(MINUTE(INDEX('Preenchimento'!$C$46:$C$69,Z2)),"00")&amp;CHAR(10)&amp;TEXT(DAY(INDEX('Preenchimento'!$C$46:$C$69,Z2)),"00")&amp;"/"&amp;TEXT(MONTH(INDEX('Preenchimento'!$C$46:$C$69,Z2)),"00"),IF(1=$G$33+1,"Média",""))</f>
        <v>0</v>
      </c>
      <c r="T2">
        <f>IF(1&lt;=$G$33,INDEX('Preenchimento'!$I$46:$I$69,Z2),IF(AND(1=$G$33+1,ISNUMBER($B$33)),$B$33,NA()))</f>
        <v>0</v>
      </c>
      <c r="U2">
        <f>IF(1&lt;=$G$33,INDEX('Preenchimento'!$J$46:$J$69,Z2),IF(AND(1=$G$33+1,ISNUMBER($C$33)),$C$33,NA()))</f>
        <v>0</v>
      </c>
      <c r="V2">
        <f>IF(1&lt;=$G$33,INDEX('Preenchimento'!$R$46:$R$69,Z2),NA())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IF(1&lt;=$G$33,MATCH(1,'Preenchimento'!$W$46:$W$69,0),"")</f>
        <v>0</v>
      </c>
      <c r="AA2">
        <v>1</v>
      </c>
      <c r="AB2">
        <f>IF(1&lt;=$G$34,TEXT(HOUR(INDEX('Preenchimento'!$C$46:$C$69,AI2)),"00")&amp;":"&amp;TEXT(MINUTE(INDEX('Preenchimento'!$C$46:$C$69,AI2)),"00")&amp;CHAR(10)&amp;TEXT(DAY(INDEX('Preenchimento'!$C$46:$C$69,AI2)),"00")&amp;"/"&amp;TEXT(MONTH(INDEX('Preenchimento'!$C$46:$C$69,AI2)),"00"),IF(1=$G$34+1,"Média",""))</f>
        <v>0</v>
      </c>
      <c r="AC2">
        <f>IF(1&lt;=$G$34,INDEX('Preenchimento'!$K$46:$K$69,AI2),IF(AND(1=$G$34+1,ISNUMBER($B$34)),$B$34,NA()))</f>
        <v>0</v>
      </c>
      <c r="AD2">
        <f>IF(1&lt;=$G$34,INDEX('Preenchimento'!$L$46:$L$69,AI2),IF(AND(1=$G$34+1,ISNUMBER($C$34)),$C$34,NA()))</f>
        <v>0</v>
      </c>
      <c r="AE2">
        <f>IF(1&lt;=$G$34,INDEX('Preenchimento'!$S$46:$S$69,AI2),NA())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IF(1&lt;=$G$34,MATCH(1,'Preenchimento'!$X$46:$X$69,0),"")</f>
        <v>0</v>
      </c>
      <c r="AJ2">
        <v>1</v>
      </c>
      <c r="AK2">
        <f>IF(1&lt;=$G$35,TEXT(HOUR(INDEX('Preenchimento'!$C$46:$C$69,AR2)),"00")&amp;":"&amp;TEXT(MINUTE(INDEX('Preenchimento'!$C$46:$C$69,AR2)),"00")&amp;CHAR(10)&amp;TEXT(DAY(INDEX('Preenchimento'!$C$46:$C$69,AR2)),"00")&amp;"/"&amp;TEXT(MONTH(INDEX('Preenchimento'!$C$46:$C$69,AR2)),"00"),IF(1=$G$35+1,"Média",""))</f>
        <v>0</v>
      </c>
      <c r="AL2">
        <f>IF(1&lt;=$G$35,INDEX('Preenchimento'!$M$46:$M$69,AR2),IF(AND(1=$G$35+1,ISNUMBER($B$35)),$B$35,NA()))</f>
        <v>0</v>
      </c>
      <c r="AM2">
        <f>IF(1&lt;=$G$35,INDEX('Preenchimento'!$N$46:$N$69,AR2),IF(AND(1=$G$35+1,ISNUMBER($C$35)),$C$35,NA()))</f>
        <v>0</v>
      </c>
      <c r="AN2">
        <f>IF(1&lt;=$G$35,INDEX('Preenchimento'!$T$46:$T$69,AR2),NA())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IF(1&lt;=$G$35,MATCH(1,'Preenchimento'!$Y$46:$Y$69,0),"")</f>
        <v>0</v>
      </c>
      <c r="AS2">
        <v>1</v>
      </c>
    </row>
    <row r="3" spans="1:45">
      <c r="A3">
        <f>IF(2&lt;=$G$31,TEXT(HOUR(INDEX('Preenchimento'!$C$46:$C$69,H3)),"00")&amp;":"&amp;TEXT(MINUTE(INDEX('Preenchimento'!$C$46:$C$69,H3)),"00")&amp;CHAR(10)&amp;TEXT(DAY(INDEX('Preenchimento'!$C$46:$C$69,H3)),"00")&amp;"/"&amp;TEXT(MONTH(INDEX('Preenchimento'!$C$46:$C$69,H3)),"00"),IF(2=$G$31+1,"Média",""))</f>
        <v>0</v>
      </c>
      <c r="B3">
        <f>IF(2&lt;=$G$31,INDEX('Preenchimento'!$E$46:$E$69,H3),IF(AND(2=$G$31+1,ISNUMBER($B$31)),$B$31,NA()))</f>
        <v>0</v>
      </c>
      <c r="C3">
        <f>IF(2&lt;=$G$31,INDEX('Preenchimento'!$F$46:$F$69,H3),IF(AND(2=$G$31+1,ISNUMBER($C$31)),$C$31,NA()))</f>
        <v>0</v>
      </c>
      <c r="D3">
        <f>IF(2&lt;=$G$31,INDEX('Preenchimento'!$P$46:$P$69,H3),NA())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IF(2&lt;=$G$31,MATCH(2,'Preenchimento'!$U$46:$U$69,0),"")</f>
        <v>0</v>
      </c>
      <c r="I3">
        <v>2</v>
      </c>
      <c r="J3">
        <f>IF(2&lt;=$G$32,TEXT(HOUR(INDEX('Preenchimento'!$C$46:$C$69,Q3)),"00")&amp;":"&amp;TEXT(MINUTE(INDEX('Preenchimento'!$C$46:$C$69,Q3)),"00")&amp;CHAR(10)&amp;TEXT(DAY(INDEX('Preenchimento'!$C$46:$C$69,Q3)),"00")&amp;"/"&amp;TEXT(MONTH(INDEX('Preenchimento'!$C$46:$C$69,Q3)),"00"),IF(2=$G$32+1,"Média",""))</f>
        <v>0</v>
      </c>
      <c r="K3">
        <f>IF(2&lt;=$G$32,INDEX('Preenchimento'!$G$46:$G$69,Q3),IF(AND(2=$G$32+1,ISNUMBER($B$32)),$B$32,NA()))</f>
        <v>0</v>
      </c>
      <c r="L3">
        <f>IF(2&lt;=$G$32,INDEX('Preenchimento'!$H$46:$H$69,Q3),IF(AND(2=$G$32+1,ISNUMBER($C$32)),$C$32,NA()))</f>
        <v>0</v>
      </c>
      <c r="M3">
        <f>IF(2&lt;=$G$32,INDEX('Preenchimento'!$Q$46:$Q$69,Q3),NA())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IF(2&lt;=$G$32,MATCH(2,'Preenchimento'!$V$46:$V$69,0),"")</f>
        <v>0</v>
      </c>
      <c r="R3">
        <v>2</v>
      </c>
      <c r="S3">
        <f>IF(2&lt;=$G$33,TEXT(HOUR(INDEX('Preenchimento'!$C$46:$C$69,Z3)),"00")&amp;":"&amp;TEXT(MINUTE(INDEX('Preenchimento'!$C$46:$C$69,Z3)),"00")&amp;CHAR(10)&amp;TEXT(DAY(INDEX('Preenchimento'!$C$46:$C$69,Z3)),"00")&amp;"/"&amp;TEXT(MONTH(INDEX('Preenchimento'!$C$46:$C$69,Z3)),"00"),IF(2=$G$33+1,"Média",""))</f>
        <v>0</v>
      </c>
      <c r="T3">
        <f>IF(2&lt;=$G$33,INDEX('Preenchimento'!$I$46:$I$69,Z3),IF(AND(2=$G$33+1,ISNUMBER($B$33)),$B$33,NA()))</f>
        <v>0</v>
      </c>
      <c r="U3">
        <f>IF(2&lt;=$G$33,INDEX('Preenchimento'!$J$46:$J$69,Z3),IF(AND(2=$G$33+1,ISNUMBER($C$33)),$C$33,NA()))</f>
        <v>0</v>
      </c>
      <c r="V3">
        <f>IF(2&lt;=$G$33,INDEX('Preenchimento'!$R$46:$R$69,Z3),NA())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IF(2&lt;=$G$33,MATCH(2,'Preenchimento'!$W$46:$W$69,0),"")</f>
        <v>0</v>
      </c>
      <c r="AA3">
        <v>2</v>
      </c>
      <c r="AB3">
        <f>IF(2&lt;=$G$34,TEXT(HOUR(INDEX('Preenchimento'!$C$46:$C$69,AI3)),"00")&amp;":"&amp;TEXT(MINUTE(INDEX('Preenchimento'!$C$46:$C$69,AI3)),"00")&amp;CHAR(10)&amp;TEXT(DAY(INDEX('Preenchimento'!$C$46:$C$69,AI3)),"00")&amp;"/"&amp;TEXT(MONTH(INDEX('Preenchimento'!$C$46:$C$69,AI3)),"00"),IF(2=$G$34+1,"Média",""))</f>
        <v>0</v>
      </c>
      <c r="AC3">
        <f>IF(2&lt;=$G$34,INDEX('Preenchimento'!$K$46:$K$69,AI3),IF(AND(2=$G$34+1,ISNUMBER($B$34)),$B$34,NA()))</f>
        <v>0</v>
      </c>
      <c r="AD3">
        <f>IF(2&lt;=$G$34,INDEX('Preenchimento'!$L$46:$L$69,AI3),IF(AND(2=$G$34+1,ISNUMBER($C$34)),$C$34,NA()))</f>
        <v>0</v>
      </c>
      <c r="AE3">
        <f>IF(2&lt;=$G$34,INDEX('Preenchimento'!$S$46:$S$69,AI3),NA())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IF(2&lt;=$G$34,MATCH(2,'Preenchimento'!$X$46:$X$69,0),"")</f>
        <v>0</v>
      </c>
      <c r="AJ3">
        <v>2</v>
      </c>
      <c r="AK3">
        <f>IF(2&lt;=$G$35,TEXT(HOUR(INDEX('Preenchimento'!$C$46:$C$69,AR3)),"00")&amp;":"&amp;TEXT(MINUTE(INDEX('Preenchimento'!$C$46:$C$69,AR3)),"00")&amp;CHAR(10)&amp;TEXT(DAY(INDEX('Preenchimento'!$C$46:$C$69,AR3)),"00")&amp;"/"&amp;TEXT(MONTH(INDEX('Preenchimento'!$C$46:$C$69,AR3)),"00"),IF(2=$G$35+1,"Média",""))</f>
        <v>0</v>
      </c>
      <c r="AL3">
        <f>IF(2&lt;=$G$35,INDEX('Preenchimento'!$M$46:$M$69,AR3),IF(AND(2=$G$35+1,ISNUMBER($B$35)),$B$35,NA()))</f>
        <v>0</v>
      </c>
      <c r="AM3">
        <f>IF(2&lt;=$G$35,INDEX('Preenchimento'!$N$46:$N$69,AR3),IF(AND(2=$G$35+1,ISNUMBER($C$35)),$C$35,NA()))</f>
        <v>0</v>
      </c>
      <c r="AN3">
        <f>IF(2&lt;=$G$35,INDEX('Preenchimento'!$T$46:$T$69,AR3),NA())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IF(2&lt;=$G$35,MATCH(2,'Preenchimento'!$Y$46:$Y$69,0),"")</f>
        <v>0</v>
      </c>
      <c r="AS3">
        <v>2</v>
      </c>
    </row>
    <row r="4" spans="1:45">
      <c r="A4">
        <f>IF(3&lt;=$G$31,TEXT(HOUR(INDEX('Preenchimento'!$C$46:$C$69,H4)),"00")&amp;":"&amp;TEXT(MINUTE(INDEX('Preenchimento'!$C$46:$C$69,H4)),"00")&amp;CHAR(10)&amp;TEXT(DAY(INDEX('Preenchimento'!$C$46:$C$69,H4)),"00")&amp;"/"&amp;TEXT(MONTH(INDEX('Preenchimento'!$C$46:$C$69,H4)),"00"),IF(3=$G$31+1,"Média",""))</f>
        <v>0</v>
      </c>
      <c r="B4">
        <f>IF(3&lt;=$G$31,INDEX('Preenchimento'!$E$46:$E$69,H4),IF(AND(3=$G$31+1,ISNUMBER($B$31)),$B$31,NA()))</f>
        <v>0</v>
      </c>
      <c r="C4">
        <f>IF(3&lt;=$G$31,INDEX('Preenchimento'!$F$46:$F$69,H4),IF(AND(3=$G$31+1,ISNUMBER($C$31)),$C$31,NA()))</f>
        <v>0</v>
      </c>
      <c r="D4">
        <f>IF(3&lt;=$G$31,INDEX('Preenchimento'!$P$46:$P$69,H4),NA())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IF(3&lt;=$G$31,MATCH(3,'Preenchimento'!$U$46:$U$69,0),"")</f>
        <v>0</v>
      </c>
      <c r="I4">
        <v>3</v>
      </c>
      <c r="J4">
        <f>IF(3&lt;=$G$32,TEXT(HOUR(INDEX('Preenchimento'!$C$46:$C$69,Q4)),"00")&amp;":"&amp;TEXT(MINUTE(INDEX('Preenchimento'!$C$46:$C$69,Q4)),"00")&amp;CHAR(10)&amp;TEXT(DAY(INDEX('Preenchimento'!$C$46:$C$69,Q4)),"00")&amp;"/"&amp;TEXT(MONTH(INDEX('Preenchimento'!$C$46:$C$69,Q4)),"00"),IF(3=$G$32+1,"Média",""))</f>
        <v>0</v>
      </c>
      <c r="K4">
        <f>IF(3&lt;=$G$32,INDEX('Preenchimento'!$G$46:$G$69,Q4),IF(AND(3=$G$32+1,ISNUMBER($B$32)),$B$32,NA()))</f>
        <v>0</v>
      </c>
      <c r="L4">
        <f>IF(3&lt;=$G$32,INDEX('Preenchimento'!$H$46:$H$69,Q4),IF(AND(3=$G$32+1,ISNUMBER($C$32)),$C$32,NA()))</f>
        <v>0</v>
      </c>
      <c r="M4">
        <f>IF(3&lt;=$G$32,INDEX('Preenchimento'!$Q$46:$Q$69,Q4),NA())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IF(3&lt;=$G$32,MATCH(3,'Preenchimento'!$V$46:$V$69,0),"")</f>
        <v>0</v>
      </c>
      <c r="R4">
        <v>3</v>
      </c>
      <c r="S4">
        <f>IF(3&lt;=$G$33,TEXT(HOUR(INDEX('Preenchimento'!$C$46:$C$69,Z4)),"00")&amp;":"&amp;TEXT(MINUTE(INDEX('Preenchimento'!$C$46:$C$69,Z4)),"00")&amp;CHAR(10)&amp;TEXT(DAY(INDEX('Preenchimento'!$C$46:$C$69,Z4)),"00")&amp;"/"&amp;TEXT(MONTH(INDEX('Preenchimento'!$C$46:$C$69,Z4)),"00"),IF(3=$G$33+1,"Média",""))</f>
        <v>0</v>
      </c>
      <c r="T4">
        <f>IF(3&lt;=$G$33,INDEX('Preenchimento'!$I$46:$I$69,Z4),IF(AND(3=$G$33+1,ISNUMBER($B$33)),$B$33,NA()))</f>
        <v>0</v>
      </c>
      <c r="U4">
        <f>IF(3&lt;=$G$33,INDEX('Preenchimento'!$J$46:$J$69,Z4),IF(AND(3=$G$33+1,ISNUMBER($C$33)),$C$33,NA()))</f>
        <v>0</v>
      </c>
      <c r="V4">
        <f>IF(3&lt;=$G$33,INDEX('Preenchimento'!$R$46:$R$69,Z4),NA())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IF(3&lt;=$G$33,MATCH(3,'Preenchimento'!$W$46:$W$69,0),"")</f>
        <v>0</v>
      </c>
      <c r="AA4">
        <v>3</v>
      </c>
      <c r="AB4">
        <f>IF(3&lt;=$G$34,TEXT(HOUR(INDEX('Preenchimento'!$C$46:$C$69,AI4)),"00")&amp;":"&amp;TEXT(MINUTE(INDEX('Preenchimento'!$C$46:$C$69,AI4)),"00")&amp;CHAR(10)&amp;TEXT(DAY(INDEX('Preenchimento'!$C$46:$C$69,AI4)),"00")&amp;"/"&amp;TEXT(MONTH(INDEX('Preenchimento'!$C$46:$C$69,AI4)),"00"),IF(3=$G$34+1,"Média",""))</f>
        <v>0</v>
      </c>
      <c r="AC4">
        <f>IF(3&lt;=$G$34,INDEX('Preenchimento'!$K$46:$K$69,AI4),IF(AND(3=$G$34+1,ISNUMBER($B$34)),$B$34,NA()))</f>
        <v>0</v>
      </c>
      <c r="AD4">
        <f>IF(3&lt;=$G$34,INDEX('Preenchimento'!$L$46:$L$69,AI4),IF(AND(3=$G$34+1,ISNUMBER($C$34)),$C$34,NA()))</f>
        <v>0</v>
      </c>
      <c r="AE4">
        <f>IF(3&lt;=$G$34,INDEX('Preenchimento'!$S$46:$S$69,AI4),NA())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IF(3&lt;=$G$34,MATCH(3,'Preenchimento'!$X$46:$X$69,0),"")</f>
        <v>0</v>
      </c>
      <c r="AJ4">
        <v>3</v>
      </c>
      <c r="AK4">
        <f>IF(3&lt;=$G$35,TEXT(HOUR(INDEX('Preenchimento'!$C$46:$C$69,AR4)),"00")&amp;":"&amp;TEXT(MINUTE(INDEX('Preenchimento'!$C$46:$C$69,AR4)),"00")&amp;CHAR(10)&amp;TEXT(DAY(INDEX('Preenchimento'!$C$46:$C$69,AR4)),"00")&amp;"/"&amp;TEXT(MONTH(INDEX('Preenchimento'!$C$46:$C$69,AR4)),"00"),IF(3=$G$35+1,"Média",""))</f>
        <v>0</v>
      </c>
      <c r="AL4">
        <f>IF(3&lt;=$G$35,INDEX('Preenchimento'!$M$46:$M$69,AR4),IF(AND(3=$G$35+1,ISNUMBER($B$35)),$B$35,NA()))</f>
        <v>0</v>
      </c>
      <c r="AM4">
        <f>IF(3&lt;=$G$35,INDEX('Preenchimento'!$N$46:$N$69,AR4),IF(AND(3=$G$35+1,ISNUMBER($C$35)),$C$35,NA()))</f>
        <v>0</v>
      </c>
      <c r="AN4">
        <f>IF(3&lt;=$G$35,INDEX('Preenchimento'!$T$46:$T$69,AR4),NA())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IF(3&lt;=$G$35,MATCH(3,'Preenchimento'!$Y$46:$Y$69,0),"")</f>
        <v>0</v>
      </c>
      <c r="AS4">
        <v>3</v>
      </c>
    </row>
    <row r="5" spans="1:45">
      <c r="A5">
        <f>IF(4&lt;=$G$31,TEXT(HOUR(INDEX('Preenchimento'!$C$46:$C$69,H5)),"00")&amp;":"&amp;TEXT(MINUTE(INDEX('Preenchimento'!$C$46:$C$69,H5)),"00")&amp;CHAR(10)&amp;TEXT(DAY(INDEX('Preenchimento'!$C$46:$C$69,H5)),"00")&amp;"/"&amp;TEXT(MONTH(INDEX('Preenchimento'!$C$46:$C$69,H5)),"00"),IF(4=$G$31+1,"Média",""))</f>
        <v>0</v>
      </c>
      <c r="B5">
        <f>IF(4&lt;=$G$31,INDEX('Preenchimento'!$E$46:$E$69,H5),IF(AND(4=$G$31+1,ISNUMBER($B$31)),$B$31,NA()))</f>
        <v>0</v>
      </c>
      <c r="C5">
        <f>IF(4&lt;=$G$31,INDEX('Preenchimento'!$F$46:$F$69,H5),IF(AND(4=$G$31+1,ISNUMBER($C$31)),$C$31,NA()))</f>
        <v>0</v>
      </c>
      <c r="D5">
        <f>IF(4&lt;=$G$31,INDEX('Preenchimento'!$P$46:$P$69,H5),NA())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IF(4&lt;=$G$31,MATCH(4,'Preenchimento'!$U$46:$U$69,0),"")</f>
        <v>0</v>
      </c>
      <c r="I5">
        <v>4</v>
      </c>
      <c r="J5">
        <f>IF(4&lt;=$G$32,TEXT(HOUR(INDEX('Preenchimento'!$C$46:$C$69,Q5)),"00")&amp;":"&amp;TEXT(MINUTE(INDEX('Preenchimento'!$C$46:$C$69,Q5)),"00")&amp;CHAR(10)&amp;TEXT(DAY(INDEX('Preenchimento'!$C$46:$C$69,Q5)),"00")&amp;"/"&amp;TEXT(MONTH(INDEX('Preenchimento'!$C$46:$C$69,Q5)),"00"),IF(4=$G$32+1,"Média",""))</f>
        <v>0</v>
      </c>
      <c r="K5">
        <f>IF(4&lt;=$G$32,INDEX('Preenchimento'!$G$46:$G$69,Q5),IF(AND(4=$G$32+1,ISNUMBER($B$32)),$B$32,NA()))</f>
        <v>0</v>
      </c>
      <c r="L5">
        <f>IF(4&lt;=$G$32,INDEX('Preenchimento'!$H$46:$H$69,Q5),IF(AND(4=$G$32+1,ISNUMBER($C$32)),$C$32,NA()))</f>
        <v>0</v>
      </c>
      <c r="M5">
        <f>IF(4&lt;=$G$32,INDEX('Preenchimento'!$Q$46:$Q$69,Q5),NA())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IF(4&lt;=$G$32,MATCH(4,'Preenchimento'!$V$46:$V$69,0),"")</f>
        <v>0</v>
      </c>
      <c r="R5">
        <v>4</v>
      </c>
      <c r="S5">
        <f>IF(4&lt;=$G$33,TEXT(HOUR(INDEX('Preenchimento'!$C$46:$C$69,Z5)),"00")&amp;":"&amp;TEXT(MINUTE(INDEX('Preenchimento'!$C$46:$C$69,Z5)),"00")&amp;CHAR(10)&amp;TEXT(DAY(INDEX('Preenchimento'!$C$46:$C$69,Z5)),"00")&amp;"/"&amp;TEXT(MONTH(INDEX('Preenchimento'!$C$46:$C$69,Z5)),"00"),IF(4=$G$33+1,"Média",""))</f>
        <v>0</v>
      </c>
      <c r="T5">
        <f>IF(4&lt;=$G$33,INDEX('Preenchimento'!$I$46:$I$69,Z5),IF(AND(4=$G$33+1,ISNUMBER($B$33)),$B$33,NA()))</f>
        <v>0</v>
      </c>
      <c r="U5">
        <f>IF(4&lt;=$G$33,INDEX('Preenchimento'!$J$46:$J$69,Z5),IF(AND(4=$G$33+1,ISNUMBER($C$33)),$C$33,NA()))</f>
        <v>0</v>
      </c>
      <c r="V5">
        <f>IF(4&lt;=$G$33,INDEX('Preenchimento'!$R$46:$R$69,Z5),NA())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IF(4&lt;=$G$33,MATCH(4,'Preenchimento'!$W$46:$W$69,0),"")</f>
        <v>0</v>
      </c>
      <c r="AA5">
        <v>4</v>
      </c>
      <c r="AB5">
        <f>IF(4&lt;=$G$34,TEXT(HOUR(INDEX('Preenchimento'!$C$46:$C$69,AI5)),"00")&amp;":"&amp;TEXT(MINUTE(INDEX('Preenchimento'!$C$46:$C$69,AI5)),"00")&amp;CHAR(10)&amp;TEXT(DAY(INDEX('Preenchimento'!$C$46:$C$69,AI5)),"00")&amp;"/"&amp;TEXT(MONTH(INDEX('Preenchimento'!$C$46:$C$69,AI5)),"00"),IF(4=$G$34+1,"Média",""))</f>
        <v>0</v>
      </c>
      <c r="AC5">
        <f>IF(4&lt;=$G$34,INDEX('Preenchimento'!$K$46:$K$69,AI5),IF(AND(4=$G$34+1,ISNUMBER($B$34)),$B$34,NA()))</f>
        <v>0</v>
      </c>
      <c r="AD5">
        <f>IF(4&lt;=$G$34,INDEX('Preenchimento'!$L$46:$L$69,AI5),IF(AND(4=$G$34+1,ISNUMBER($C$34)),$C$34,NA()))</f>
        <v>0</v>
      </c>
      <c r="AE5">
        <f>IF(4&lt;=$G$34,INDEX('Preenchimento'!$S$46:$S$69,AI5),NA())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IF(4&lt;=$G$34,MATCH(4,'Preenchimento'!$X$46:$X$69,0),"")</f>
        <v>0</v>
      </c>
      <c r="AJ5">
        <v>4</v>
      </c>
      <c r="AK5">
        <f>IF(4&lt;=$G$35,TEXT(HOUR(INDEX('Preenchimento'!$C$46:$C$69,AR5)),"00")&amp;":"&amp;TEXT(MINUTE(INDEX('Preenchimento'!$C$46:$C$69,AR5)),"00")&amp;CHAR(10)&amp;TEXT(DAY(INDEX('Preenchimento'!$C$46:$C$69,AR5)),"00")&amp;"/"&amp;TEXT(MONTH(INDEX('Preenchimento'!$C$46:$C$69,AR5)),"00"),IF(4=$G$35+1,"Média",""))</f>
        <v>0</v>
      </c>
      <c r="AL5">
        <f>IF(4&lt;=$G$35,INDEX('Preenchimento'!$M$46:$M$69,AR5),IF(AND(4=$G$35+1,ISNUMBER($B$35)),$B$35,NA()))</f>
        <v>0</v>
      </c>
      <c r="AM5">
        <f>IF(4&lt;=$G$35,INDEX('Preenchimento'!$N$46:$N$69,AR5),IF(AND(4=$G$35+1,ISNUMBER($C$35)),$C$35,NA()))</f>
        <v>0</v>
      </c>
      <c r="AN5">
        <f>IF(4&lt;=$G$35,INDEX('Preenchimento'!$T$46:$T$69,AR5),NA())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IF(4&lt;=$G$35,MATCH(4,'Preenchimento'!$Y$46:$Y$69,0),"")</f>
        <v>0</v>
      </c>
      <c r="AS5">
        <v>4</v>
      </c>
    </row>
    <row r="6" spans="1:45">
      <c r="A6">
        <f>IF(5&lt;=$G$31,TEXT(HOUR(INDEX('Preenchimento'!$C$46:$C$69,H6)),"00")&amp;":"&amp;TEXT(MINUTE(INDEX('Preenchimento'!$C$46:$C$69,H6)),"00")&amp;CHAR(10)&amp;TEXT(DAY(INDEX('Preenchimento'!$C$46:$C$69,H6)),"00")&amp;"/"&amp;TEXT(MONTH(INDEX('Preenchimento'!$C$46:$C$69,H6)),"00"),IF(5=$G$31+1,"Média",""))</f>
        <v>0</v>
      </c>
      <c r="B6">
        <f>IF(5&lt;=$G$31,INDEX('Preenchimento'!$E$46:$E$69,H6),IF(AND(5=$G$31+1,ISNUMBER($B$31)),$B$31,NA()))</f>
        <v>0</v>
      </c>
      <c r="C6">
        <f>IF(5&lt;=$G$31,INDEX('Preenchimento'!$F$46:$F$69,H6),IF(AND(5=$G$31+1,ISNUMBER($C$31)),$C$31,NA()))</f>
        <v>0</v>
      </c>
      <c r="D6">
        <f>IF(5&lt;=$G$31,INDEX('Preenchimento'!$P$46:$P$69,H6),NA())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IF(5&lt;=$G$31,MATCH(5,'Preenchimento'!$U$46:$U$69,0),"")</f>
        <v>0</v>
      </c>
      <c r="I6">
        <v>5</v>
      </c>
      <c r="J6">
        <f>IF(5&lt;=$G$32,TEXT(HOUR(INDEX('Preenchimento'!$C$46:$C$69,Q6)),"00")&amp;":"&amp;TEXT(MINUTE(INDEX('Preenchimento'!$C$46:$C$69,Q6)),"00")&amp;CHAR(10)&amp;TEXT(DAY(INDEX('Preenchimento'!$C$46:$C$69,Q6)),"00")&amp;"/"&amp;TEXT(MONTH(INDEX('Preenchimento'!$C$46:$C$69,Q6)),"00"),IF(5=$G$32+1,"Média",""))</f>
        <v>0</v>
      </c>
      <c r="K6">
        <f>IF(5&lt;=$G$32,INDEX('Preenchimento'!$G$46:$G$69,Q6),IF(AND(5=$G$32+1,ISNUMBER($B$32)),$B$32,NA()))</f>
        <v>0</v>
      </c>
      <c r="L6">
        <f>IF(5&lt;=$G$32,INDEX('Preenchimento'!$H$46:$H$69,Q6),IF(AND(5=$G$32+1,ISNUMBER($C$32)),$C$32,NA()))</f>
        <v>0</v>
      </c>
      <c r="M6">
        <f>IF(5&lt;=$G$32,INDEX('Preenchimento'!$Q$46:$Q$69,Q6),NA())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IF(5&lt;=$G$32,MATCH(5,'Preenchimento'!$V$46:$V$69,0),"")</f>
        <v>0</v>
      </c>
      <c r="R6">
        <v>5</v>
      </c>
      <c r="S6">
        <f>IF(5&lt;=$G$33,TEXT(HOUR(INDEX('Preenchimento'!$C$46:$C$69,Z6)),"00")&amp;":"&amp;TEXT(MINUTE(INDEX('Preenchimento'!$C$46:$C$69,Z6)),"00")&amp;CHAR(10)&amp;TEXT(DAY(INDEX('Preenchimento'!$C$46:$C$69,Z6)),"00")&amp;"/"&amp;TEXT(MONTH(INDEX('Preenchimento'!$C$46:$C$69,Z6)),"00"),IF(5=$G$33+1,"Média",""))</f>
        <v>0</v>
      </c>
      <c r="T6">
        <f>IF(5&lt;=$G$33,INDEX('Preenchimento'!$I$46:$I$69,Z6),IF(AND(5=$G$33+1,ISNUMBER($B$33)),$B$33,NA()))</f>
        <v>0</v>
      </c>
      <c r="U6">
        <f>IF(5&lt;=$G$33,INDEX('Preenchimento'!$J$46:$J$69,Z6),IF(AND(5=$G$33+1,ISNUMBER($C$33)),$C$33,NA()))</f>
        <v>0</v>
      </c>
      <c r="V6">
        <f>IF(5&lt;=$G$33,INDEX('Preenchimento'!$R$46:$R$69,Z6),NA())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IF(5&lt;=$G$33,MATCH(5,'Preenchimento'!$W$46:$W$69,0),"")</f>
        <v>0</v>
      </c>
      <c r="AA6">
        <v>5</v>
      </c>
      <c r="AB6">
        <f>IF(5&lt;=$G$34,TEXT(HOUR(INDEX('Preenchimento'!$C$46:$C$69,AI6)),"00")&amp;":"&amp;TEXT(MINUTE(INDEX('Preenchimento'!$C$46:$C$69,AI6)),"00")&amp;CHAR(10)&amp;TEXT(DAY(INDEX('Preenchimento'!$C$46:$C$69,AI6)),"00")&amp;"/"&amp;TEXT(MONTH(INDEX('Preenchimento'!$C$46:$C$69,AI6)),"00"),IF(5=$G$34+1,"Média",""))</f>
        <v>0</v>
      </c>
      <c r="AC6">
        <f>IF(5&lt;=$G$34,INDEX('Preenchimento'!$K$46:$K$69,AI6),IF(AND(5=$G$34+1,ISNUMBER($B$34)),$B$34,NA()))</f>
        <v>0</v>
      </c>
      <c r="AD6">
        <f>IF(5&lt;=$G$34,INDEX('Preenchimento'!$L$46:$L$69,AI6),IF(AND(5=$G$34+1,ISNUMBER($C$34)),$C$34,NA()))</f>
        <v>0</v>
      </c>
      <c r="AE6">
        <f>IF(5&lt;=$G$34,INDEX('Preenchimento'!$S$46:$S$69,AI6),NA())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IF(5&lt;=$G$34,MATCH(5,'Preenchimento'!$X$46:$X$69,0),"")</f>
        <v>0</v>
      </c>
      <c r="AJ6">
        <v>5</v>
      </c>
      <c r="AK6">
        <f>IF(5&lt;=$G$35,TEXT(HOUR(INDEX('Preenchimento'!$C$46:$C$69,AR6)),"00")&amp;":"&amp;TEXT(MINUTE(INDEX('Preenchimento'!$C$46:$C$69,AR6)),"00")&amp;CHAR(10)&amp;TEXT(DAY(INDEX('Preenchimento'!$C$46:$C$69,AR6)),"00")&amp;"/"&amp;TEXT(MONTH(INDEX('Preenchimento'!$C$46:$C$69,AR6)),"00"),IF(5=$G$35+1,"Média",""))</f>
        <v>0</v>
      </c>
      <c r="AL6">
        <f>IF(5&lt;=$G$35,INDEX('Preenchimento'!$M$46:$M$69,AR6),IF(AND(5=$G$35+1,ISNUMBER($B$35)),$B$35,NA()))</f>
        <v>0</v>
      </c>
      <c r="AM6">
        <f>IF(5&lt;=$G$35,INDEX('Preenchimento'!$N$46:$N$69,AR6),IF(AND(5=$G$35+1,ISNUMBER($C$35)),$C$35,NA()))</f>
        <v>0</v>
      </c>
      <c r="AN6">
        <f>IF(5&lt;=$G$35,INDEX('Preenchimento'!$T$46:$T$69,AR6),NA())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IF(5&lt;=$G$35,MATCH(5,'Preenchimento'!$Y$46:$Y$69,0),"")</f>
        <v>0</v>
      </c>
      <c r="AS6">
        <v>5</v>
      </c>
    </row>
    <row r="7" spans="1:45">
      <c r="A7">
        <f>IF(6&lt;=$G$31,TEXT(HOUR(INDEX('Preenchimento'!$C$46:$C$69,H7)),"00")&amp;":"&amp;TEXT(MINUTE(INDEX('Preenchimento'!$C$46:$C$69,H7)),"00")&amp;CHAR(10)&amp;TEXT(DAY(INDEX('Preenchimento'!$C$46:$C$69,H7)),"00")&amp;"/"&amp;TEXT(MONTH(INDEX('Preenchimento'!$C$46:$C$69,H7)),"00"),IF(6=$G$31+1,"Média",""))</f>
        <v>0</v>
      </c>
      <c r="B7">
        <f>IF(6&lt;=$G$31,INDEX('Preenchimento'!$E$46:$E$69,H7),IF(AND(6=$G$31+1,ISNUMBER($B$31)),$B$31,NA()))</f>
        <v>0</v>
      </c>
      <c r="C7">
        <f>IF(6&lt;=$G$31,INDEX('Preenchimento'!$F$46:$F$69,H7),IF(AND(6=$G$31+1,ISNUMBER($C$31)),$C$31,NA()))</f>
        <v>0</v>
      </c>
      <c r="D7">
        <f>IF(6&lt;=$G$31,INDEX('Preenchimento'!$P$46:$P$69,H7),NA())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IF(6&lt;=$G$31,MATCH(6,'Preenchimento'!$U$46:$U$69,0),"")</f>
        <v>0</v>
      </c>
      <c r="I7">
        <v>6</v>
      </c>
      <c r="J7">
        <f>IF(6&lt;=$G$32,TEXT(HOUR(INDEX('Preenchimento'!$C$46:$C$69,Q7)),"00")&amp;":"&amp;TEXT(MINUTE(INDEX('Preenchimento'!$C$46:$C$69,Q7)),"00")&amp;CHAR(10)&amp;TEXT(DAY(INDEX('Preenchimento'!$C$46:$C$69,Q7)),"00")&amp;"/"&amp;TEXT(MONTH(INDEX('Preenchimento'!$C$46:$C$69,Q7)),"00"),IF(6=$G$32+1,"Média",""))</f>
        <v>0</v>
      </c>
      <c r="K7">
        <f>IF(6&lt;=$G$32,INDEX('Preenchimento'!$G$46:$G$69,Q7),IF(AND(6=$G$32+1,ISNUMBER($B$32)),$B$32,NA()))</f>
        <v>0</v>
      </c>
      <c r="L7">
        <f>IF(6&lt;=$G$32,INDEX('Preenchimento'!$H$46:$H$69,Q7),IF(AND(6=$G$32+1,ISNUMBER($C$32)),$C$32,NA()))</f>
        <v>0</v>
      </c>
      <c r="M7">
        <f>IF(6&lt;=$G$32,INDEX('Preenchimento'!$Q$46:$Q$69,Q7),NA())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IF(6&lt;=$G$32,MATCH(6,'Preenchimento'!$V$46:$V$69,0),"")</f>
        <v>0</v>
      </c>
      <c r="R7">
        <v>6</v>
      </c>
      <c r="S7">
        <f>IF(6&lt;=$G$33,TEXT(HOUR(INDEX('Preenchimento'!$C$46:$C$69,Z7)),"00")&amp;":"&amp;TEXT(MINUTE(INDEX('Preenchimento'!$C$46:$C$69,Z7)),"00")&amp;CHAR(10)&amp;TEXT(DAY(INDEX('Preenchimento'!$C$46:$C$69,Z7)),"00")&amp;"/"&amp;TEXT(MONTH(INDEX('Preenchimento'!$C$46:$C$69,Z7)),"00"),IF(6=$G$33+1,"Média",""))</f>
        <v>0</v>
      </c>
      <c r="T7">
        <f>IF(6&lt;=$G$33,INDEX('Preenchimento'!$I$46:$I$69,Z7),IF(AND(6=$G$33+1,ISNUMBER($B$33)),$B$33,NA()))</f>
        <v>0</v>
      </c>
      <c r="U7">
        <f>IF(6&lt;=$G$33,INDEX('Preenchimento'!$J$46:$J$69,Z7),IF(AND(6=$G$33+1,ISNUMBER($C$33)),$C$33,NA()))</f>
        <v>0</v>
      </c>
      <c r="V7">
        <f>IF(6&lt;=$G$33,INDEX('Preenchimento'!$R$46:$R$69,Z7),NA())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IF(6&lt;=$G$33,MATCH(6,'Preenchimento'!$W$46:$W$69,0),"")</f>
        <v>0</v>
      </c>
      <c r="AA7">
        <v>6</v>
      </c>
      <c r="AB7">
        <f>IF(6&lt;=$G$34,TEXT(HOUR(INDEX('Preenchimento'!$C$46:$C$69,AI7)),"00")&amp;":"&amp;TEXT(MINUTE(INDEX('Preenchimento'!$C$46:$C$69,AI7)),"00")&amp;CHAR(10)&amp;TEXT(DAY(INDEX('Preenchimento'!$C$46:$C$69,AI7)),"00")&amp;"/"&amp;TEXT(MONTH(INDEX('Preenchimento'!$C$46:$C$69,AI7)),"00"),IF(6=$G$34+1,"Média",""))</f>
        <v>0</v>
      </c>
      <c r="AC7">
        <f>IF(6&lt;=$G$34,INDEX('Preenchimento'!$K$46:$K$69,AI7),IF(AND(6=$G$34+1,ISNUMBER($B$34)),$B$34,NA()))</f>
        <v>0</v>
      </c>
      <c r="AD7">
        <f>IF(6&lt;=$G$34,INDEX('Preenchimento'!$L$46:$L$69,AI7),IF(AND(6=$G$34+1,ISNUMBER($C$34)),$C$34,NA()))</f>
        <v>0</v>
      </c>
      <c r="AE7">
        <f>IF(6&lt;=$G$34,INDEX('Preenchimento'!$S$46:$S$69,AI7),NA())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IF(6&lt;=$G$34,MATCH(6,'Preenchimento'!$X$46:$X$69,0),"")</f>
        <v>0</v>
      </c>
      <c r="AJ7">
        <v>6</v>
      </c>
      <c r="AK7">
        <f>IF(6&lt;=$G$35,TEXT(HOUR(INDEX('Preenchimento'!$C$46:$C$69,AR7)),"00")&amp;":"&amp;TEXT(MINUTE(INDEX('Preenchimento'!$C$46:$C$69,AR7)),"00")&amp;CHAR(10)&amp;TEXT(DAY(INDEX('Preenchimento'!$C$46:$C$69,AR7)),"00")&amp;"/"&amp;TEXT(MONTH(INDEX('Preenchimento'!$C$46:$C$69,AR7)),"00"),IF(6=$G$35+1,"Média",""))</f>
        <v>0</v>
      </c>
      <c r="AL7">
        <f>IF(6&lt;=$G$35,INDEX('Preenchimento'!$M$46:$M$69,AR7),IF(AND(6=$G$35+1,ISNUMBER($B$35)),$B$35,NA()))</f>
        <v>0</v>
      </c>
      <c r="AM7">
        <f>IF(6&lt;=$G$35,INDEX('Preenchimento'!$N$46:$N$69,AR7),IF(AND(6=$G$35+1,ISNUMBER($C$35)),$C$35,NA()))</f>
        <v>0</v>
      </c>
      <c r="AN7">
        <f>IF(6&lt;=$G$35,INDEX('Preenchimento'!$T$46:$T$69,AR7),NA())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IF(6&lt;=$G$35,MATCH(6,'Preenchimento'!$Y$46:$Y$69,0),"")</f>
        <v>0</v>
      </c>
      <c r="AS7">
        <v>6</v>
      </c>
    </row>
    <row r="8" spans="1:45">
      <c r="A8">
        <f>IF(7&lt;=$G$31,TEXT(HOUR(INDEX('Preenchimento'!$C$46:$C$69,H8)),"00")&amp;":"&amp;TEXT(MINUTE(INDEX('Preenchimento'!$C$46:$C$69,H8)),"00")&amp;CHAR(10)&amp;TEXT(DAY(INDEX('Preenchimento'!$C$46:$C$69,H8)),"00")&amp;"/"&amp;TEXT(MONTH(INDEX('Preenchimento'!$C$46:$C$69,H8)),"00"),IF(7=$G$31+1,"Média",""))</f>
        <v>0</v>
      </c>
      <c r="B8">
        <f>IF(7&lt;=$G$31,INDEX('Preenchimento'!$E$46:$E$69,H8),IF(AND(7=$G$31+1,ISNUMBER($B$31)),$B$31,NA()))</f>
        <v>0</v>
      </c>
      <c r="C8">
        <f>IF(7&lt;=$G$31,INDEX('Preenchimento'!$F$46:$F$69,H8),IF(AND(7=$G$31+1,ISNUMBER($C$31)),$C$31,NA()))</f>
        <v>0</v>
      </c>
      <c r="D8">
        <f>IF(7&lt;=$G$31,INDEX('Preenchimento'!$P$46:$P$69,H8),NA())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IF(7&lt;=$G$31,MATCH(7,'Preenchimento'!$U$46:$U$69,0),"")</f>
        <v>0</v>
      </c>
      <c r="I8">
        <v>7</v>
      </c>
      <c r="J8">
        <f>IF(7&lt;=$G$32,TEXT(HOUR(INDEX('Preenchimento'!$C$46:$C$69,Q8)),"00")&amp;":"&amp;TEXT(MINUTE(INDEX('Preenchimento'!$C$46:$C$69,Q8)),"00")&amp;CHAR(10)&amp;TEXT(DAY(INDEX('Preenchimento'!$C$46:$C$69,Q8)),"00")&amp;"/"&amp;TEXT(MONTH(INDEX('Preenchimento'!$C$46:$C$69,Q8)),"00"),IF(7=$G$32+1,"Média",""))</f>
        <v>0</v>
      </c>
      <c r="K8">
        <f>IF(7&lt;=$G$32,INDEX('Preenchimento'!$G$46:$G$69,Q8),IF(AND(7=$G$32+1,ISNUMBER($B$32)),$B$32,NA()))</f>
        <v>0</v>
      </c>
      <c r="L8">
        <f>IF(7&lt;=$G$32,INDEX('Preenchimento'!$H$46:$H$69,Q8),IF(AND(7=$G$32+1,ISNUMBER($C$32)),$C$32,NA()))</f>
        <v>0</v>
      </c>
      <c r="M8">
        <f>IF(7&lt;=$G$32,INDEX('Preenchimento'!$Q$46:$Q$69,Q8),NA())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IF(7&lt;=$G$32,MATCH(7,'Preenchimento'!$V$46:$V$69,0),"")</f>
        <v>0</v>
      </c>
      <c r="R8">
        <v>7</v>
      </c>
      <c r="S8">
        <f>IF(7&lt;=$G$33,TEXT(HOUR(INDEX('Preenchimento'!$C$46:$C$69,Z8)),"00")&amp;":"&amp;TEXT(MINUTE(INDEX('Preenchimento'!$C$46:$C$69,Z8)),"00")&amp;CHAR(10)&amp;TEXT(DAY(INDEX('Preenchimento'!$C$46:$C$69,Z8)),"00")&amp;"/"&amp;TEXT(MONTH(INDEX('Preenchimento'!$C$46:$C$69,Z8)),"00"),IF(7=$G$33+1,"Média",""))</f>
        <v>0</v>
      </c>
      <c r="T8">
        <f>IF(7&lt;=$G$33,INDEX('Preenchimento'!$I$46:$I$69,Z8),IF(AND(7=$G$33+1,ISNUMBER($B$33)),$B$33,NA()))</f>
        <v>0</v>
      </c>
      <c r="U8">
        <f>IF(7&lt;=$G$33,INDEX('Preenchimento'!$J$46:$J$69,Z8),IF(AND(7=$G$33+1,ISNUMBER($C$33)),$C$33,NA()))</f>
        <v>0</v>
      </c>
      <c r="V8">
        <f>IF(7&lt;=$G$33,INDEX('Preenchimento'!$R$46:$R$69,Z8),NA())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IF(7&lt;=$G$33,MATCH(7,'Preenchimento'!$W$46:$W$69,0),"")</f>
        <v>0</v>
      </c>
      <c r="AA8">
        <v>7</v>
      </c>
      <c r="AB8">
        <f>IF(7&lt;=$G$34,TEXT(HOUR(INDEX('Preenchimento'!$C$46:$C$69,AI8)),"00")&amp;":"&amp;TEXT(MINUTE(INDEX('Preenchimento'!$C$46:$C$69,AI8)),"00")&amp;CHAR(10)&amp;TEXT(DAY(INDEX('Preenchimento'!$C$46:$C$69,AI8)),"00")&amp;"/"&amp;TEXT(MONTH(INDEX('Preenchimento'!$C$46:$C$69,AI8)),"00"),IF(7=$G$34+1,"Média",""))</f>
        <v>0</v>
      </c>
      <c r="AC8">
        <f>IF(7&lt;=$G$34,INDEX('Preenchimento'!$K$46:$K$69,AI8),IF(AND(7=$G$34+1,ISNUMBER($B$34)),$B$34,NA()))</f>
        <v>0</v>
      </c>
      <c r="AD8">
        <f>IF(7&lt;=$G$34,INDEX('Preenchimento'!$L$46:$L$69,AI8),IF(AND(7=$G$34+1,ISNUMBER($C$34)),$C$34,NA()))</f>
        <v>0</v>
      </c>
      <c r="AE8">
        <f>IF(7&lt;=$G$34,INDEX('Preenchimento'!$S$46:$S$69,AI8),NA())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IF(7&lt;=$G$34,MATCH(7,'Preenchimento'!$X$46:$X$69,0),"")</f>
        <v>0</v>
      </c>
      <c r="AJ8">
        <v>7</v>
      </c>
      <c r="AK8">
        <f>IF(7&lt;=$G$35,TEXT(HOUR(INDEX('Preenchimento'!$C$46:$C$69,AR8)),"00")&amp;":"&amp;TEXT(MINUTE(INDEX('Preenchimento'!$C$46:$C$69,AR8)),"00")&amp;CHAR(10)&amp;TEXT(DAY(INDEX('Preenchimento'!$C$46:$C$69,AR8)),"00")&amp;"/"&amp;TEXT(MONTH(INDEX('Preenchimento'!$C$46:$C$69,AR8)),"00"),IF(7=$G$35+1,"Média",""))</f>
        <v>0</v>
      </c>
      <c r="AL8">
        <f>IF(7&lt;=$G$35,INDEX('Preenchimento'!$M$46:$M$69,AR8),IF(AND(7=$G$35+1,ISNUMBER($B$35)),$B$35,NA()))</f>
        <v>0</v>
      </c>
      <c r="AM8">
        <f>IF(7&lt;=$G$35,INDEX('Preenchimento'!$N$46:$N$69,AR8),IF(AND(7=$G$35+1,ISNUMBER($C$35)),$C$35,NA()))</f>
        <v>0</v>
      </c>
      <c r="AN8">
        <f>IF(7&lt;=$G$35,INDEX('Preenchimento'!$T$46:$T$69,AR8),NA())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IF(7&lt;=$G$35,MATCH(7,'Preenchimento'!$Y$46:$Y$69,0),"")</f>
        <v>0</v>
      </c>
      <c r="AS8">
        <v>7</v>
      </c>
    </row>
    <row r="9" spans="1:45">
      <c r="A9">
        <f>IF(8&lt;=$G$31,TEXT(HOUR(INDEX('Preenchimento'!$C$46:$C$69,H9)),"00")&amp;":"&amp;TEXT(MINUTE(INDEX('Preenchimento'!$C$46:$C$69,H9)),"00")&amp;CHAR(10)&amp;TEXT(DAY(INDEX('Preenchimento'!$C$46:$C$69,H9)),"00")&amp;"/"&amp;TEXT(MONTH(INDEX('Preenchimento'!$C$46:$C$69,H9)),"00"),IF(8=$G$31+1,"Média",""))</f>
        <v>0</v>
      </c>
      <c r="B9">
        <f>IF(8&lt;=$G$31,INDEX('Preenchimento'!$E$46:$E$69,H9),IF(AND(8=$G$31+1,ISNUMBER($B$31)),$B$31,NA()))</f>
        <v>0</v>
      </c>
      <c r="C9">
        <f>IF(8&lt;=$G$31,INDEX('Preenchimento'!$F$46:$F$69,H9),IF(AND(8=$G$31+1,ISNUMBER($C$31)),$C$31,NA()))</f>
        <v>0</v>
      </c>
      <c r="D9">
        <f>IF(8&lt;=$G$31,INDEX('Preenchimento'!$P$46:$P$69,H9),NA())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IF(8&lt;=$G$31,MATCH(8,'Preenchimento'!$U$46:$U$69,0),"")</f>
        <v>0</v>
      </c>
      <c r="I9">
        <v>8</v>
      </c>
      <c r="J9">
        <f>IF(8&lt;=$G$32,TEXT(HOUR(INDEX('Preenchimento'!$C$46:$C$69,Q9)),"00")&amp;":"&amp;TEXT(MINUTE(INDEX('Preenchimento'!$C$46:$C$69,Q9)),"00")&amp;CHAR(10)&amp;TEXT(DAY(INDEX('Preenchimento'!$C$46:$C$69,Q9)),"00")&amp;"/"&amp;TEXT(MONTH(INDEX('Preenchimento'!$C$46:$C$69,Q9)),"00"),IF(8=$G$32+1,"Média",""))</f>
        <v>0</v>
      </c>
      <c r="K9">
        <f>IF(8&lt;=$G$32,INDEX('Preenchimento'!$G$46:$G$69,Q9),IF(AND(8=$G$32+1,ISNUMBER($B$32)),$B$32,NA()))</f>
        <v>0</v>
      </c>
      <c r="L9">
        <f>IF(8&lt;=$G$32,INDEX('Preenchimento'!$H$46:$H$69,Q9),IF(AND(8=$G$32+1,ISNUMBER($C$32)),$C$32,NA()))</f>
        <v>0</v>
      </c>
      <c r="M9">
        <f>IF(8&lt;=$G$32,INDEX('Preenchimento'!$Q$46:$Q$69,Q9),NA())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IF(8&lt;=$G$32,MATCH(8,'Preenchimento'!$V$46:$V$69,0),"")</f>
        <v>0</v>
      </c>
      <c r="R9">
        <v>8</v>
      </c>
      <c r="S9">
        <f>IF(8&lt;=$G$33,TEXT(HOUR(INDEX('Preenchimento'!$C$46:$C$69,Z9)),"00")&amp;":"&amp;TEXT(MINUTE(INDEX('Preenchimento'!$C$46:$C$69,Z9)),"00")&amp;CHAR(10)&amp;TEXT(DAY(INDEX('Preenchimento'!$C$46:$C$69,Z9)),"00")&amp;"/"&amp;TEXT(MONTH(INDEX('Preenchimento'!$C$46:$C$69,Z9)),"00"),IF(8=$G$33+1,"Média",""))</f>
        <v>0</v>
      </c>
      <c r="T9">
        <f>IF(8&lt;=$G$33,INDEX('Preenchimento'!$I$46:$I$69,Z9),IF(AND(8=$G$33+1,ISNUMBER($B$33)),$B$33,NA()))</f>
        <v>0</v>
      </c>
      <c r="U9">
        <f>IF(8&lt;=$G$33,INDEX('Preenchimento'!$J$46:$J$69,Z9),IF(AND(8=$G$33+1,ISNUMBER($C$33)),$C$33,NA()))</f>
        <v>0</v>
      </c>
      <c r="V9">
        <f>IF(8&lt;=$G$33,INDEX('Preenchimento'!$R$46:$R$69,Z9),NA())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IF(8&lt;=$G$33,MATCH(8,'Preenchimento'!$W$46:$W$69,0),"")</f>
        <v>0</v>
      </c>
      <c r="AA9">
        <v>8</v>
      </c>
      <c r="AB9">
        <f>IF(8&lt;=$G$34,TEXT(HOUR(INDEX('Preenchimento'!$C$46:$C$69,AI9)),"00")&amp;":"&amp;TEXT(MINUTE(INDEX('Preenchimento'!$C$46:$C$69,AI9)),"00")&amp;CHAR(10)&amp;TEXT(DAY(INDEX('Preenchimento'!$C$46:$C$69,AI9)),"00")&amp;"/"&amp;TEXT(MONTH(INDEX('Preenchimento'!$C$46:$C$69,AI9)),"00"),IF(8=$G$34+1,"Média",""))</f>
        <v>0</v>
      </c>
      <c r="AC9">
        <f>IF(8&lt;=$G$34,INDEX('Preenchimento'!$K$46:$K$69,AI9),IF(AND(8=$G$34+1,ISNUMBER($B$34)),$B$34,NA()))</f>
        <v>0</v>
      </c>
      <c r="AD9">
        <f>IF(8&lt;=$G$34,INDEX('Preenchimento'!$L$46:$L$69,AI9),IF(AND(8=$G$34+1,ISNUMBER($C$34)),$C$34,NA()))</f>
        <v>0</v>
      </c>
      <c r="AE9">
        <f>IF(8&lt;=$G$34,INDEX('Preenchimento'!$S$46:$S$69,AI9),NA())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IF(8&lt;=$G$34,MATCH(8,'Preenchimento'!$X$46:$X$69,0),"")</f>
        <v>0</v>
      </c>
      <c r="AJ9">
        <v>8</v>
      </c>
      <c r="AK9">
        <f>IF(8&lt;=$G$35,TEXT(HOUR(INDEX('Preenchimento'!$C$46:$C$69,AR9)),"00")&amp;":"&amp;TEXT(MINUTE(INDEX('Preenchimento'!$C$46:$C$69,AR9)),"00")&amp;CHAR(10)&amp;TEXT(DAY(INDEX('Preenchimento'!$C$46:$C$69,AR9)),"00")&amp;"/"&amp;TEXT(MONTH(INDEX('Preenchimento'!$C$46:$C$69,AR9)),"00"),IF(8=$G$35+1,"Média",""))</f>
        <v>0</v>
      </c>
      <c r="AL9">
        <f>IF(8&lt;=$G$35,INDEX('Preenchimento'!$M$46:$M$69,AR9),IF(AND(8=$G$35+1,ISNUMBER($B$35)),$B$35,NA()))</f>
        <v>0</v>
      </c>
      <c r="AM9">
        <f>IF(8&lt;=$G$35,INDEX('Preenchimento'!$N$46:$N$69,AR9),IF(AND(8=$G$35+1,ISNUMBER($C$35)),$C$35,NA()))</f>
        <v>0</v>
      </c>
      <c r="AN9">
        <f>IF(8&lt;=$G$35,INDEX('Preenchimento'!$T$46:$T$69,AR9),NA())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IF(8&lt;=$G$35,MATCH(8,'Preenchimento'!$Y$46:$Y$69,0),"")</f>
        <v>0</v>
      </c>
      <c r="AS9">
        <v>8</v>
      </c>
    </row>
    <row r="10" spans="1:45">
      <c r="A10">
        <f>IF(9&lt;=$G$31,TEXT(HOUR(INDEX('Preenchimento'!$C$46:$C$69,H10)),"00")&amp;":"&amp;TEXT(MINUTE(INDEX('Preenchimento'!$C$46:$C$69,H10)),"00")&amp;CHAR(10)&amp;TEXT(DAY(INDEX('Preenchimento'!$C$46:$C$69,H10)),"00")&amp;"/"&amp;TEXT(MONTH(INDEX('Preenchimento'!$C$46:$C$69,H10)),"00"),IF(9=$G$31+1,"Média",""))</f>
        <v>0</v>
      </c>
      <c r="B10">
        <f>IF(9&lt;=$G$31,INDEX('Preenchimento'!$E$46:$E$69,H10),IF(AND(9=$G$31+1,ISNUMBER($B$31)),$B$31,NA()))</f>
        <v>0</v>
      </c>
      <c r="C10">
        <f>IF(9&lt;=$G$31,INDEX('Preenchimento'!$F$46:$F$69,H10),IF(AND(9=$G$31+1,ISNUMBER($C$31)),$C$31,NA()))</f>
        <v>0</v>
      </c>
      <c r="D10">
        <f>IF(9&lt;=$G$31,INDEX('Preenchimento'!$P$46:$P$69,H10),NA())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IF(9&lt;=$G$31,MATCH(9,'Preenchimento'!$U$46:$U$69,0),"")</f>
        <v>0</v>
      </c>
      <c r="I10">
        <v>9</v>
      </c>
      <c r="J10">
        <f>IF(9&lt;=$G$32,TEXT(HOUR(INDEX('Preenchimento'!$C$46:$C$69,Q10)),"00")&amp;":"&amp;TEXT(MINUTE(INDEX('Preenchimento'!$C$46:$C$69,Q10)),"00")&amp;CHAR(10)&amp;TEXT(DAY(INDEX('Preenchimento'!$C$46:$C$69,Q10)),"00")&amp;"/"&amp;TEXT(MONTH(INDEX('Preenchimento'!$C$46:$C$69,Q10)),"00"),IF(9=$G$32+1,"Média",""))</f>
        <v>0</v>
      </c>
      <c r="K10">
        <f>IF(9&lt;=$G$32,INDEX('Preenchimento'!$G$46:$G$69,Q10),IF(AND(9=$G$32+1,ISNUMBER($B$32)),$B$32,NA()))</f>
        <v>0</v>
      </c>
      <c r="L10">
        <f>IF(9&lt;=$G$32,INDEX('Preenchimento'!$H$46:$H$69,Q10),IF(AND(9=$G$32+1,ISNUMBER($C$32)),$C$32,NA()))</f>
        <v>0</v>
      </c>
      <c r="M10">
        <f>IF(9&lt;=$G$32,INDEX('Preenchimento'!$Q$46:$Q$69,Q10),NA())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IF(9&lt;=$G$32,MATCH(9,'Preenchimento'!$V$46:$V$69,0),"")</f>
        <v>0</v>
      </c>
      <c r="R10">
        <v>9</v>
      </c>
      <c r="S10">
        <f>IF(9&lt;=$G$33,TEXT(HOUR(INDEX('Preenchimento'!$C$46:$C$69,Z10)),"00")&amp;":"&amp;TEXT(MINUTE(INDEX('Preenchimento'!$C$46:$C$69,Z10)),"00")&amp;CHAR(10)&amp;TEXT(DAY(INDEX('Preenchimento'!$C$46:$C$69,Z10)),"00")&amp;"/"&amp;TEXT(MONTH(INDEX('Preenchimento'!$C$46:$C$69,Z10)),"00"),IF(9=$G$33+1,"Média",""))</f>
        <v>0</v>
      </c>
      <c r="T10">
        <f>IF(9&lt;=$G$33,INDEX('Preenchimento'!$I$46:$I$69,Z10),IF(AND(9=$G$33+1,ISNUMBER($B$33)),$B$33,NA()))</f>
        <v>0</v>
      </c>
      <c r="U10">
        <f>IF(9&lt;=$G$33,INDEX('Preenchimento'!$J$46:$J$69,Z10),IF(AND(9=$G$33+1,ISNUMBER($C$33)),$C$33,NA()))</f>
        <v>0</v>
      </c>
      <c r="V10">
        <f>IF(9&lt;=$G$33,INDEX('Preenchimento'!$R$46:$R$69,Z10),NA())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IF(9&lt;=$G$33,MATCH(9,'Preenchimento'!$W$46:$W$69,0),"")</f>
        <v>0</v>
      </c>
      <c r="AA10">
        <v>9</v>
      </c>
      <c r="AB10">
        <f>IF(9&lt;=$G$34,TEXT(HOUR(INDEX('Preenchimento'!$C$46:$C$69,AI10)),"00")&amp;":"&amp;TEXT(MINUTE(INDEX('Preenchimento'!$C$46:$C$69,AI10)),"00")&amp;CHAR(10)&amp;TEXT(DAY(INDEX('Preenchimento'!$C$46:$C$69,AI10)),"00")&amp;"/"&amp;TEXT(MONTH(INDEX('Preenchimento'!$C$46:$C$69,AI10)),"00"),IF(9=$G$34+1,"Média",""))</f>
        <v>0</v>
      </c>
      <c r="AC10">
        <f>IF(9&lt;=$G$34,INDEX('Preenchimento'!$K$46:$K$69,AI10),IF(AND(9=$G$34+1,ISNUMBER($B$34)),$B$34,NA()))</f>
        <v>0</v>
      </c>
      <c r="AD10">
        <f>IF(9&lt;=$G$34,INDEX('Preenchimento'!$L$46:$L$69,AI10),IF(AND(9=$G$34+1,ISNUMBER($C$34)),$C$34,NA()))</f>
        <v>0</v>
      </c>
      <c r="AE10">
        <f>IF(9&lt;=$G$34,INDEX('Preenchimento'!$S$46:$S$69,AI10),NA())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IF(9&lt;=$G$34,MATCH(9,'Preenchimento'!$X$46:$X$69,0),"")</f>
        <v>0</v>
      </c>
      <c r="AJ10">
        <v>9</v>
      </c>
      <c r="AK10">
        <f>IF(9&lt;=$G$35,TEXT(HOUR(INDEX('Preenchimento'!$C$46:$C$69,AR10)),"00")&amp;":"&amp;TEXT(MINUTE(INDEX('Preenchimento'!$C$46:$C$69,AR10)),"00")&amp;CHAR(10)&amp;TEXT(DAY(INDEX('Preenchimento'!$C$46:$C$69,AR10)),"00")&amp;"/"&amp;TEXT(MONTH(INDEX('Preenchimento'!$C$46:$C$69,AR10)),"00"),IF(9=$G$35+1,"Média",""))</f>
        <v>0</v>
      </c>
      <c r="AL10">
        <f>IF(9&lt;=$G$35,INDEX('Preenchimento'!$M$46:$M$69,AR10),IF(AND(9=$G$35+1,ISNUMBER($B$35)),$B$35,NA()))</f>
        <v>0</v>
      </c>
      <c r="AM10">
        <f>IF(9&lt;=$G$35,INDEX('Preenchimento'!$N$46:$N$69,AR10),IF(AND(9=$G$35+1,ISNUMBER($C$35)),$C$35,NA()))</f>
        <v>0</v>
      </c>
      <c r="AN10">
        <f>IF(9&lt;=$G$35,INDEX('Preenchimento'!$T$46:$T$69,AR10),NA())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IF(9&lt;=$G$35,MATCH(9,'Preenchimento'!$Y$46:$Y$69,0),"")</f>
        <v>0</v>
      </c>
      <c r="AS10">
        <v>9</v>
      </c>
    </row>
    <row r="11" spans="1:45">
      <c r="A11">
        <f>IF(10&lt;=$G$31,TEXT(HOUR(INDEX('Preenchimento'!$C$46:$C$69,H11)),"00")&amp;":"&amp;TEXT(MINUTE(INDEX('Preenchimento'!$C$46:$C$69,H11)),"00")&amp;CHAR(10)&amp;TEXT(DAY(INDEX('Preenchimento'!$C$46:$C$69,H11)),"00")&amp;"/"&amp;TEXT(MONTH(INDEX('Preenchimento'!$C$46:$C$69,H11)),"00"),IF(10=$G$31+1,"Média",""))</f>
        <v>0</v>
      </c>
      <c r="B11">
        <f>IF(10&lt;=$G$31,INDEX('Preenchimento'!$E$46:$E$69,H11),IF(AND(10=$G$31+1,ISNUMBER($B$31)),$B$31,NA()))</f>
        <v>0</v>
      </c>
      <c r="C11">
        <f>IF(10&lt;=$G$31,INDEX('Preenchimento'!$F$46:$F$69,H11),IF(AND(10=$G$31+1,ISNUMBER($C$31)),$C$31,NA()))</f>
        <v>0</v>
      </c>
      <c r="D11">
        <f>IF(10&lt;=$G$31,INDEX('Preenchimento'!$P$46:$P$69,H11),NA())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IF(10&lt;=$G$31,MATCH(10,'Preenchimento'!$U$46:$U$69,0),"")</f>
        <v>0</v>
      </c>
      <c r="I11">
        <v>10</v>
      </c>
      <c r="J11">
        <f>IF(10&lt;=$G$32,TEXT(HOUR(INDEX('Preenchimento'!$C$46:$C$69,Q11)),"00")&amp;":"&amp;TEXT(MINUTE(INDEX('Preenchimento'!$C$46:$C$69,Q11)),"00")&amp;CHAR(10)&amp;TEXT(DAY(INDEX('Preenchimento'!$C$46:$C$69,Q11)),"00")&amp;"/"&amp;TEXT(MONTH(INDEX('Preenchimento'!$C$46:$C$69,Q11)),"00"),IF(10=$G$32+1,"Média",""))</f>
        <v>0</v>
      </c>
      <c r="K11">
        <f>IF(10&lt;=$G$32,INDEX('Preenchimento'!$G$46:$G$69,Q11),IF(AND(10=$G$32+1,ISNUMBER($B$32)),$B$32,NA()))</f>
        <v>0</v>
      </c>
      <c r="L11">
        <f>IF(10&lt;=$G$32,INDEX('Preenchimento'!$H$46:$H$69,Q11),IF(AND(10=$G$32+1,ISNUMBER($C$32)),$C$32,NA()))</f>
        <v>0</v>
      </c>
      <c r="M11">
        <f>IF(10&lt;=$G$32,INDEX('Preenchimento'!$Q$46:$Q$69,Q11),NA())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IF(10&lt;=$G$32,MATCH(10,'Preenchimento'!$V$46:$V$69,0),"")</f>
        <v>0</v>
      </c>
      <c r="R11">
        <v>10</v>
      </c>
      <c r="S11">
        <f>IF(10&lt;=$G$33,TEXT(HOUR(INDEX('Preenchimento'!$C$46:$C$69,Z11)),"00")&amp;":"&amp;TEXT(MINUTE(INDEX('Preenchimento'!$C$46:$C$69,Z11)),"00")&amp;CHAR(10)&amp;TEXT(DAY(INDEX('Preenchimento'!$C$46:$C$69,Z11)),"00")&amp;"/"&amp;TEXT(MONTH(INDEX('Preenchimento'!$C$46:$C$69,Z11)),"00"),IF(10=$G$33+1,"Média",""))</f>
        <v>0</v>
      </c>
      <c r="T11">
        <f>IF(10&lt;=$G$33,INDEX('Preenchimento'!$I$46:$I$69,Z11),IF(AND(10=$G$33+1,ISNUMBER($B$33)),$B$33,NA()))</f>
        <v>0</v>
      </c>
      <c r="U11">
        <f>IF(10&lt;=$G$33,INDEX('Preenchimento'!$J$46:$J$69,Z11),IF(AND(10=$G$33+1,ISNUMBER($C$33)),$C$33,NA()))</f>
        <v>0</v>
      </c>
      <c r="V11">
        <f>IF(10&lt;=$G$33,INDEX('Preenchimento'!$R$46:$R$69,Z11),NA())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IF(10&lt;=$G$33,MATCH(10,'Preenchimento'!$W$46:$W$69,0),"")</f>
        <v>0</v>
      </c>
      <c r="AA11">
        <v>10</v>
      </c>
      <c r="AB11">
        <f>IF(10&lt;=$G$34,TEXT(HOUR(INDEX('Preenchimento'!$C$46:$C$69,AI11)),"00")&amp;":"&amp;TEXT(MINUTE(INDEX('Preenchimento'!$C$46:$C$69,AI11)),"00")&amp;CHAR(10)&amp;TEXT(DAY(INDEX('Preenchimento'!$C$46:$C$69,AI11)),"00")&amp;"/"&amp;TEXT(MONTH(INDEX('Preenchimento'!$C$46:$C$69,AI11)),"00"),IF(10=$G$34+1,"Média",""))</f>
        <v>0</v>
      </c>
      <c r="AC11">
        <f>IF(10&lt;=$G$34,INDEX('Preenchimento'!$K$46:$K$69,AI11),IF(AND(10=$G$34+1,ISNUMBER($B$34)),$B$34,NA()))</f>
        <v>0</v>
      </c>
      <c r="AD11">
        <f>IF(10&lt;=$G$34,INDEX('Preenchimento'!$L$46:$L$69,AI11),IF(AND(10=$G$34+1,ISNUMBER($C$34)),$C$34,NA()))</f>
        <v>0</v>
      </c>
      <c r="AE11">
        <f>IF(10&lt;=$G$34,INDEX('Preenchimento'!$S$46:$S$69,AI11),NA())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IF(10&lt;=$G$34,MATCH(10,'Preenchimento'!$X$46:$X$69,0),"")</f>
        <v>0</v>
      </c>
      <c r="AJ11">
        <v>10</v>
      </c>
      <c r="AK11">
        <f>IF(10&lt;=$G$35,TEXT(HOUR(INDEX('Preenchimento'!$C$46:$C$69,AR11)),"00")&amp;":"&amp;TEXT(MINUTE(INDEX('Preenchimento'!$C$46:$C$69,AR11)),"00")&amp;CHAR(10)&amp;TEXT(DAY(INDEX('Preenchimento'!$C$46:$C$69,AR11)),"00")&amp;"/"&amp;TEXT(MONTH(INDEX('Preenchimento'!$C$46:$C$69,AR11)),"00"),IF(10=$G$35+1,"Média",""))</f>
        <v>0</v>
      </c>
      <c r="AL11">
        <f>IF(10&lt;=$G$35,INDEX('Preenchimento'!$M$46:$M$69,AR11),IF(AND(10=$G$35+1,ISNUMBER($B$35)),$B$35,NA()))</f>
        <v>0</v>
      </c>
      <c r="AM11">
        <f>IF(10&lt;=$G$35,INDEX('Preenchimento'!$N$46:$N$69,AR11),IF(AND(10=$G$35+1,ISNUMBER($C$35)),$C$35,NA()))</f>
        <v>0</v>
      </c>
      <c r="AN11">
        <f>IF(10&lt;=$G$35,INDEX('Preenchimento'!$T$46:$T$69,AR11),NA())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IF(10&lt;=$G$35,MATCH(10,'Preenchimento'!$Y$46:$Y$69,0),"")</f>
        <v>0</v>
      </c>
      <c r="AS11">
        <v>10</v>
      </c>
    </row>
    <row r="12" spans="1:45">
      <c r="A12">
        <f>IF(11&lt;=$G$31,TEXT(HOUR(INDEX('Preenchimento'!$C$46:$C$69,H12)),"00")&amp;":"&amp;TEXT(MINUTE(INDEX('Preenchimento'!$C$46:$C$69,H12)),"00")&amp;CHAR(10)&amp;TEXT(DAY(INDEX('Preenchimento'!$C$46:$C$69,H12)),"00")&amp;"/"&amp;TEXT(MONTH(INDEX('Preenchimento'!$C$46:$C$69,H12)),"00"),IF(11=$G$31+1,"Média",""))</f>
        <v>0</v>
      </c>
      <c r="B12">
        <f>IF(11&lt;=$G$31,INDEX('Preenchimento'!$E$46:$E$69,H12),IF(AND(11=$G$31+1,ISNUMBER($B$31)),$B$31,NA()))</f>
        <v>0</v>
      </c>
      <c r="C12">
        <f>IF(11&lt;=$G$31,INDEX('Preenchimento'!$F$46:$F$69,H12),IF(AND(11=$G$31+1,ISNUMBER($C$31)),$C$31,NA()))</f>
        <v>0</v>
      </c>
      <c r="D12">
        <f>IF(11&lt;=$G$31,INDEX('Preenchimento'!$P$46:$P$69,H12),NA())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IF(11&lt;=$G$31,MATCH(11,'Preenchimento'!$U$46:$U$69,0),"")</f>
        <v>0</v>
      </c>
      <c r="I12">
        <v>11</v>
      </c>
      <c r="J12">
        <f>IF(11&lt;=$G$32,TEXT(HOUR(INDEX('Preenchimento'!$C$46:$C$69,Q12)),"00")&amp;":"&amp;TEXT(MINUTE(INDEX('Preenchimento'!$C$46:$C$69,Q12)),"00")&amp;CHAR(10)&amp;TEXT(DAY(INDEX('Preenchimento'!$C$46:$C$69,Q12)),"00")&amp;"/"&amp;TEXT(MONTH(INDEX('Preenchimento'!$C$46:$C$69,Q12)),"00"),IF(11=$G$32+1,"Média",""))</f>
        <v>0</v>
      </c>
      <c r="K12">
        <f>IF(11&lt;=$G$32,INDEX('Preenchimento'!$G$46:$G$69,Q12),IF(AND(11=$G$32+1,ISNUMBER($B$32)),$B$32,NA()))</f>
        <v>0</v>
      </c>
      <c r="L12">
        <f>IF(11&lt;=$G$32,INDEX('Preenchimento'!$H$46:$H$69,Q12),IF(AND(11=$G$32+1,ISNUMBER($C$32)),$C$32,NA()))</f>
        <v>0</v>
      </c>
      <c r="M12">
        <f>IF(11&lt;=$G$32,INDEX('Preenchimento'!$Q$46:$Q$69,Q12),NA())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IF(11&lt;=$G$32,MATCH(11,'Preenchimento'!$V$46:$V$69,0),"")</f>
        <v>0</v>
      </c>
      <c r="R12">
        <v>11</v>
      </c>
      <c r="S12">
        <f>IF(11&lt;=$G$33,TEXT(HOUR(INDEX('Preenchimento'!$C$46:$C$69,Z12)),"00")&amp;":"&amp;TEXT(MINUTE(INDEX('Preenchimento'!$C$46:$C$69,Z12)),"00")&amp;CHAR(10)&amp;TEXT(DAY(INDEX('Preenchimento'!$C$46:$C$69,Z12)),"00")&amp;"/"&amp;TEXT(MONTH(INDEX('Preenchimento'!$C$46:$C$69,Z12)),"00"),IF(11=$G$33+1,"Média",""))</f>
        <v>0</v>
      </c>
      <c r="T12">
        <f>IF(11&lt;=$G$33,INDEX('Preenchimento'!$I$46:$I$69,Z12),IF(AND(11=$G$33+1,ISNUMBER($B$33)),$B$33,NA()))</f>
        <v>0</v>
      </c>
      <c r="U12">
        <f>IF(11&lt;=$G$33,INDEX('Preenchimento'!$J$46:$J$69,Z12),IF(AND(11=$G$33+1,ISNUMBER($C$33)),$C$33,NA()))</f>
        <v>0</v>
      </c>
      <c r="V12">
        <f>IF(11&lt;=$G$33,INDEX('Preenchimento'!$R$46:$R$69,Z12),NA())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IF(11&lt;=$G$33,MATCH(11,'Preenchimento'!$W$46:$W$69,0),"")</f>
        <v>0</v>
      </c>
      <c r="AA12">
        <v>11</v>
      </c>
      <c r="AB12">
        <f>IF(11&lt;=$G$34,TEXT(HOUR(INDEX('Preenchimento'!$C$46:$C$69,AI12)),"00")&amp;":"&amp;TEXT(MINUTE(INDEX('Preenchimento'!$C$46:$C$69,AI12)),"00")&amp;CHAR(10)&amp;TEXT(DAY(INDEX('Preenchimento'!$C$46:$C$69,AI12)),"00")&amp;"/"&amp;TEXT(MONTH(INDEX('Preenchimento'!$C$46:$C$69,AI12)),"00"),IF(11=$G$34+1,"Média",""))</f>
        <v>0</v>
      </c>
      <c r="AC12">
        <f>IF(11&lt;=$G$34,INDEX('Preenchimento'!$K$46:$K$69,AI12),IF(AND(11=$G$34+1,ISNUMBER($B$34)),$B$34,NA()))</f>
        <v>0</v>
      </c>
      <c r="AD12">
        <f>IF(11&lt;=$G$34,INDEX('Preenchimento'!$L$46:$L$69,AI12),IF(AND(11=$G$34+1,ISNUMBER($C$34)),$C$34,NA()))</f>
        <v>0</v>
      </c>
      <c r="AE12">
        <f>IF(11&lt;=$G$34,INDEX('Preenchimento'!$S$46:$S$69,AI12),NA())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IF(11&lt;=$G$34,MATCH(11,'Preenchimento'!$X$46:$X$69,0),"")</f>
        <v>0</v>
      </c>
      <c r="AJ12">
        <v>11</v>
      </c>
      <c r="AK12">
        <f>IF(11&lt;=$G$35,TEXT(HOUR(INDEX('Preenchimento'!$C$46:$C$69,AR12)),"00")&amp;":"&amp;TEXT(MINUTE(INDEX('Preenchimento'!$C$46:$C$69,AR12)),"00")&amp;CHAR(10)&amp;TEXT(DAY(INDEX('Preenchimento'!$C$46:$C$69,AR12)),"00")&amp;"/"&amp;TEXT(MONTH(INDEX('Preenchimento'!$C$46:$C$69,AR12)),"00"),IF(11=$G$35+1,"Média",""))</f>
        <v>0</v>
      </c>
      <c r="AL12">
        <f>IF(11&lt;=$G$35,INDEX('Preenchimento'!$M$46:$M$69,AR12),IF(AND(11=$G$35+1,ISNUMBER($B$35)),$B$35,NA()))</f>
        <v>0</v>
      </c>
      <c r="AM12">
        <f>IF(11&lt;=$G$35,INDEX('Preenchimento'!$N$46:$N$69,AR12),IF(AND(11=$G$35+1,ISNUMBER($C$35)),$C$35,NA()))</f>
        <v>0</v>
      </c>
      <c r="AN12">
        <f>IF(11&lt;=$G$35,INDEX('Preenchimento'!$T$46:$T$69,AR12),NA())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IF(11&lt;=$G$35,MATCH(11,'Preenchimento'!$Y$46:$Y$69,0),"")</f>
        <v>0</v>
      </c>
      <c r="AS12">
        <v>11</v>
      </c>
    </row>
    <row r="13" spans="1:45">
      <c r="A13">
        <f>IF(12&lt;=$G$31,TEXT(HOUR(INDEX('Preenchimento'!$C$46:$C$69,H13)),"00")&amp;":"&amp;TEXT(MINUTE(INDEX('Preenchimento'!$C$46:$C$69,H13)),"00")&amp;CHAR(10)&amp;TEXT(DAY(INDEX('Preenchimento'!$C$46:$C$69,H13)),"00")&amp;"/"&amp;TEXT(MONTH(INDEX('Preenchimento'!$C$46:$C$69,H13)),"00"),IF(12=$G$31+1,"Média",""))</f>
        <v>0</v>
      </c>
      <c r="B13">
        <f>IF(12&lt;=$G$31,INDEX('Preenchimento'!$E$46:$E$69,H13),IF(AND(12=$G$31+1,ISNUMBER($B$31)),$B$31,NA()))</f>
        <v>0</v>
      </c>
      <c r="C13">
        <f>IF(12&lt;=$G$31,INDEX('Preenchimento'!$F$46:$F$69,H13),IF(AND(12=$G$31+1,ISNUMBER($C$31)),$C$31,NA()))</f>
        <v>0</v>
      </c>
      <c r="D13">
        <f>IF(12&lt;=$G$31,INDEX('Preenchimento'!$P$46:$P$69,H13),NA())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IF(12&lt;=$G$31,MATCH(12,'Preenchimento'!$U$46:$U$69,0),"")</f>
        <v>0</v>
      </c>
      <c r="I13">
        <v>12</v>
      </c>
      <c r="J13">
        <f>IF(12&lt;=$G$32,TEXT(HOUR(INDEX('Preenchimento'!$C$46:$C$69,Q13)),"00")&amp;":"&amp;TEXT(MINUTE(INDEX('Preenchimento'!$C$46:$C$69,Q13)),"00")&amp;CHAR(10)&amp;TEXT(DAY(INDEX('Preenchimento'!$C$46:$C$69,Q13)),"00")&amp;"/"&amp;TEXT(MONTH(INDEX('Preenchimento'!$C$46:$C$69,Q13)),"00"),IF(12=$G$32+1,"Média",""))</f>
        <v>0</v>
      </c>
      <c r="K13">
        <f>IF(12&lt;=$G$32,INDEX('Preenchimento'!$G$46:$G$69,Q13),IF(AND(12=$G$32+1,ISNUMBER($B$32)),$B$32,NA()))</f>
        <v>0</v>
      </c>
      <c r="L13">
        <f>IF(12&lt;=$G$32,INDEX('Preenchimento'!$H$46:$H$69,Q13),IF(AND(12=$G$32+1,ISNUMBER($C$32)),$C$32,NA()))</f>
        <v>0</v>
      </c>
      <c r="M13">
        <f>IF(12&lt;=$G$32,INDEX('Preenchimento'!$Q$46:$Q$69,Q13),NA())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IF(12&lt;=$G$32,MATCH(12,'Preenchimento'!$V$46:$V$69,0),"")</f>
        <v>0</v>
      </c>
      <c r="R13">
        <v>12</v>
      </c>
      <c r="S13">
        <f>IF(12&lt;=$G$33,TEXT(HOUR(INDEX('Preenchimento'!$C$46:$C$69,Z13)),"00")&amp;":"&amp;TEXT(MINUTE(INDEX('Preenchimento'!$C$46:$C$69,Z13)),"00")&amp;CHAR(10)&amp;TEXT(DAY(INDEX('Preenchimento'!$C$46:$C$69,Z13)),"00")&amp;"/"&amp;TEXT(MONTH(INDEX('Preenchimento'!$C$46:$C$69,Z13)),"00"),IF(12=$G$33+1,"Média",""))</f>
        <v>0</v>
      </c>
      <c r="T13">
        <f>IF(12&lt;=$G$33,INDEX('Preenchimento'!$I$46:$I$69,Z13),IF(AND(12=$G$33+1,ISNUMBER($B$33)),$B$33,NA()))</f>
        <v>0</v>
      </c>
      <c r="U13">
        <f>IF(12&lt;=$G$33,INDEX('Preenchimento'!$J$46:$J$69,Z13),IF(AND(12=$G$33+1,ISNUMBER($C$33)),$C$33,NA()))</f>
        <v>0</v>
      </c>
      <c r="V13">
        <f>IF(12&lt;=$G$33,INDEX('Preenchimento'!$R$46:$R$69,Z13),NA())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IF(12&lt;=$G$33,MATCH(12,'Preenchimento'!$W$46:$W$69,0),"")</f>
        <v>0</v>
      </c>
      <c r="AA13">
        <v>12</v>
      </c>
      <c r="AB13">
        <f>IF(12&lt;=$G$34,TEXT(HOUR(INDEX('Preenchimento'!$C$46:$C$69,AI13)),"00")&amp;":"&amp;TEXT(MINUTE(INDEX('Preenchimento'!$C$46:$C$69,AI13)),"00")&amp;CHAR(10)&amp;TEXT(DAY(INDEX('Preenchimento'!$C$46:$C$69,AI13)),"00")&amp;"/"&amp;TEXT(MONTH(INDEX('Preenchimento'!$C$46:$C$69,AI13)),"00"),IF(12=$G$34+1,"Média",""))</f>
        <v>0</v>
      </c>
      <c r="AC13">
        <f>IF(12&lt;=$G$34,INDEX('Preenchimento'!$K$46:$K$69,AI13),IF(AND(12=$G$34+1,ISNUMBER($B$34)),$B$34,NA()))</f>
        <v>0</v>
      </c>
      <c r="AD13">
        <f>IF(12&lt;=$G$34,INDEX('Preenchimento'!$L$46:$L$69,AI13),IF(AND(12=$G$34+1,ISNUMBER($C$34)),$C$34,NA()))</f>
        <v>0</v>
      </c>
      <c r="AE13">
        <f>IF(12&lt;=$G$34,INDEX('Preenchimento'!$S$46:$S$69,AI13),NA())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IF(12&lt;=$G$34,MATCH(12,'Preenchimento'!$X$46:$X$69,0),"")</f>
        <v>0</v>
      </c>
      <c r="AJ13">
        <v>12</v>
      </c>
      <c r="AK13">
        <f>IF(12&lt;=$G$35,TEXT(HOUR(INDEX('Preenchimento'!$C$46:$C$69,AR13)),"00")&amp;":"&amp;TEXT(MINUTE(INDEX('Preenchimento'!$C$46:$C$69,AR13)),"00")&amp;CHAR(10)&amp;TEXT(DAY(INDEX('Preenchimento'!$C$46:$C$69,AR13)),"00")&amp;"/"&amp;TEXT(MONTH(INDEX('Preenchimento'!$C$46:$C$69,AR13)),"00"),IF(12=$G$35+1,"Média",""))</f>
        <v>0</v>
      </c>
      <c r="AL13">
        <f>IF(12&lt;=$G$35,INDEX('Preenchimento'!$M$46:$M$69,AR13),IF(AND(12=$G$35+1,ISNUMBER($B$35)),$B$35,NA()))</f>
        <v>0</v>
      </c>
      <c r="AM13">
        <f>IF(12&lt;=$G$35,INDEX('Preenchimento'!$N$46:$N$69,AR13),IF(AND(12=$G$35+1,ISNUMBER($C$35)),$C$35,NA()))</f>
        <v>0</v>
      </c>
      <c r="AN13">
        <f>IF(12&lt;=$G$35,INDEX('Preenchimento'!$T$46:$T$69,AR13),NA())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IF(12&lt;=$G$35,MATCH(12,'Preenchimento'!$Y$46:$Y$69,0),"")</f>
        <v>0</v>
      </c>
      <c r="AS13">
        <v>12</v>
      </c>
    </row>
    <row r="14" spans="1:45">
      <c r="A14">
        <f>IF(13&lt;=$G$31,TEXT(HOUR(INDEX('Preenchimento'!$C$46:$C$69,H14)),"00")&amp;":"&amp;TEXT(MINUTE(INDEX('Preenchimento'!$C$46:$C$69,H14)),"00")&amp;CHAR(10)&amp;TEXT(DAY(INDEX('Preenchimento'!$C$46:$C$69,H14)),"00")&amp;"/"&amp;TEXT(MONTH(INDEX('Preenchimento'!$C$46:$C$69,H14)),"00"),IF(13=$G$31+1,"Média",""))</f>
        <v>0</v>
      </c>
      <c r="B14">
        <f>IF(13&lt;=$G$31,INDEX('Preenchimento'!$E$46:$E$69,H14),IF(AND(13=$G$31+1,ISNUMBER($B$31)),$B$31,NA()))</f>
        <v>0</v>
      </c>
      <c r="C14">
        <f>IF(13&lt;=$G$31,INDEX('Preenchimento'!$F$46:$F$69,H14),IF(AND(13=$G$31+1,ISNUMBER($C$31)),$C$31,NA()))</f>
        <v>0</v>
      </c>
      <c r="D14">
        <f>IF(13&lt;=$G$31,INDEX('Preenchimento'!$P$46:$P$69,H14),NA())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IF(13&lt;=$G$31,MATCH(13,'Preenchimento'!$U$46:$U$69,0),"")</f>
        <v>0</v>
      </c>
      <c r="I14">
        <v>13</v>
      </c>
      <c r="J14">
        <f>IF(13&lt;=$G$32,TEXT(HOUR(INDEX('Preenchimento'!$C$46:$C$69,Q14)),"00")&amp;":"&amp;TEXT(MINUTE(INDEX('Preenchimento'!$C$46:$C$69,Q14)),"00")&amp;CHAR(10)&amp;TEXT(DAY(INDEX('Preenchimento'!$C$46:$C$69,Q14)),"00")&amp;"/"&amp;TEXT(MONTH(INDEX('Preenchimento'!$C$46:$C$69,Q14)),"00"),IF(13=$G$32+1,"Média",""))</f>
        <v>0</v>
      </c>
      <c r="K14">
        <f>IF(13&lt;=$G$32,INDEX('Preenchimento'!$G$46:$G$69,Q14),IF(AND(13=$G$32+1,ISNUMBER($B$32)),$B$32,NA()))</f>
        <v>0</v>
      </c>
      <c r="L14">
        <f>IF(13&lt;=$G$32,INDEX('Preenchimento'!$H$46:$H$69,Q14),IF(AND(13=$G$32+1,ISNUMBER($C$32)),$C$32,NA()))</f>
        <v>0</v>
      </c>
      <c r="M14">
        <f>IF(13&lt;=$G$32,INDEX('Preenchimento'!$Q$46:$Q$69,Q14),NA())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IF(13&lt;=$G$32,MATCH(13,'Preenchimento'!$V$46:$V$69,0),"")</f>
        <v>0</v>
      </c>
      <c r="R14">
        <v>13</v>
      </c>
      <c r="S14">
        <f>IF(13&lt;=$G$33,TEXT(HOUR(INDEX('Preenchimento'!$C$46:$C$69,Z14)),"00")&amp;":"&amp;TEXT(MINUTE(INDEX('Preenchimento'!$C$46:$C$69,Z14)),"00")&amp;CHAR(10)&amp;TEXT(DAY(INDEX('Preenchimento'!$C$46:$C$69,Z14)),"00")&amp;"/"&amp;TEXT(MONTH(INDEX('Preenchimento'!$C$46:$C$69,Z14)),"00"),IF(13=$G$33+1,"Média",""))</f>
        <v>0</v>
      </c>
      <c r="T14">
        <f>IF(13&lt;=$G$33,INDEX('Preenchimento'!$I$46:$I$69,Z14),IF(AND(13=$G$33+1,ISNUMBER($B$33)),$B$33,NA()))</f>
        <v>0</v>
      </c>
      <c r="U14">
        <f>IF(13&lt;=$G$33,INDEX('Preenchimento'!$J$46:$J$69,Z14),IF(AND(13=$G$33+1,ISNUMBER($C$33)),$C$33,NA()))</f>
        <v>0</v>
      </c>
      <c r="V14">
        <f>IF(13&lt;=$G$33,INDEX('Preenchimento'!$R$46:$R$69,Z14),NA())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IF(13&lt;=$G$33,MATCH(13,'Preenchimento'!$W$46:$W$69,0),"")</f>
        <v>0</v>
      </c>
      <c r="AA14">
        <v>13</v>
      </c>
      <c r="AB14">
        <f>IF(13&lt;=$G$34,TEXT(HOUR(INDEX('Preenchimento'!$C$46:$C$69,AI14)),"00")&amp;":"&amp;TEXT(MINUTE(INDEX('Preenchimento'!$C$46:$C$69,AI14)),"00")&amp;CHAR(10)&amp;TEXT(DAY(INDEX('Preenchimento'!$C$46:$C$69,AI14)),"00")&amp;"/"&amp;TEXT(MONTH(INDEX('Preenchimento'!$C$46:$C$69,AI14)),"00"),IF(13=$G$34+1,"Média",""))</f>
        <v>0</v>
      </c>
      <c r="AC14">
        <f>IF(13&lt;=$G$34,INDEX('Preenchimento'!$K$46:$K$69,AI14),IF(AND(13=$G$34+1,ISNUMBER($B$34)),$B$34,NA()))</f>
        <v>0</v>
      </c>
      <c r="AD14">
        <f>IF(13&lt;=$G$34,INDEX('Preenchimento'!$L$46:$L$69,AI14),IF(AND(13=$G$34+1,ISNUMBER($C$34)),$C$34,NA()))</f>
        <v>0</v>
      </c>
      <c r="AE14">
        <f>IF(13&lt;=$G$34,INDEX('Preenchimento'!$S$46:$S$69,AI14),NA())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IF(13&lt;=$G$34,MATCH(13,'Preenchimento'!$X$46:$X$69,0),"")</f>
        <v>0</v>
      </c>
      <c r="AJ14">
        <v>13</v>
      </c>
      <c r="AK14">
        <f>IF(13&lt;=$G$35,TEXT(HOUR(INDEX('Preenchimento'!$C$46:$C$69,AR14)),"00")&amp;":"&amp;TEXT(MINUTE(INDEX('Preenchimento'!$C$46:$C$69,AR14)),"00")&amp;CHAR(10)&amp;TEXT(DAY(INDEX('Preenchimento'!$C$46:$C$69,AR14)),"00")&amp;"/"&amp;TEXT(MONTH(INDEX('Preenchimento'!$C$46:$C$69,AR14)),"00"),IF(13=$G$35+1,"Média",""))</f>
        <v>0</v>
      </c>
      <c r="AL14">
        <f>IF(13&lt;=$G$35,INDEX('Preenchimento'!$M$46:$M$69,AR14),IF(AND(13=$G$35+1,ISNUMBER($B$35)),$B$35,NA()))</f>
        <v>0</v>
      </c>
      <c r="AM14">
        <f>IF(13&lt;=$G$35,INDEX('Preenchimento'!$N$46:$N$69,AR14),IF(AND(13=$G$35+1,ISNUMBER($C$35)),$C$35,NA()))</f>
        <v>0</v>
      </c>
      <c r="AN14">
        <f>IF(13&lt;=$G$35,INDEX('Preenchimento'!$T$46:$T$69,AR14),NA())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IF(13&lt;=$G$35,MATCH(13,'Preenchimento'!$Y$46:$Y$69,0),"")</f>
        <v>0</v>
      </c>
      <c r="AS14">
        <v>13</v>
      </c>
    </row>
    <row r="15" spans="1:45">
      <c r="A15">
        <f>IF(14&lt;=$G$31,TEXT(HOUR(INDEX('Preenchimento'!$C$46:$C$69,H15)),"00")&amp;":"&amp;TEXT(MINUTE(INDEX('Preenchimento'!$C$46:$C$69,H15)),"00")&amp;CHAR(10)&amp;TEXT(DAY(INDEX('Preenchimento'!$C$46:$C$69,H15)),"00")&amp;"/"&amp;TEXT(MONTH(INDEX('Preenchimento'!$C$46:$C$69,H15)),"00"),IF(14=$G$31+1,"Média",""))</f>
        <v>0</v>
      </c>
      <c r="B15">
        <f>IF(14&lt;=$G$31,INDEX('Preenchimento'!$E$46:$E$69,H15),IF(AND(14=$G$31+1,ISNUMBER($B$31)),$B$31,NA()))</f>
        <v>0</v>
      </c>
      <c r="C15">
        <f>IF(14&lt;=$G$31,INDEX('Preenchimento'!$F$46:$F$69,H15),IF(AND(14=$G$31+1,ISNUMBER($C$31)),$C$31,NA()))</f>
        <v>0</v>
      </c>
      <c r="D15">
        <f>IF(14&lt;=$G$31,INDEX('Preenchimento'!$P$46:$P$69,H15),NA())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IF(14&lt;=$G$31,MATCH(14,'Preenchimento'!$U$46:$U$69,0),"")</f>
        <v>0</v>
      </c>
      <c r="I15">
        <v>14</v>
      </c>
      <c r="J15">
        <f>IF(14&lt;=$G$32,TEXT(HOUR(INDEX('Preenchimento'!$C$46:$C$69,Q15)),"00")&amp;":"&amp;TEXT(MINUTE(INDEX('Preenchimento'!$C$46:$C$69,Q15)),"00")&amp;CHAR(10)&amp;TEXT(DAY(INDEX('Preenchimento'!$C$46:$C$69,Q15)),"00")&amp;"/"&amp;TEXT(MONTH(INDEX('Preenchimento'!$C$46:$C$69,Q15)),"00"),IF(14=$G$32+1,"Média",""))</f>
        <v>0</v>
      </c>
      <c r="K15">
        <f>IF(14&lt;=$G$32,INDEX('Preenchimento'!$G$46:$G$69,Q15),IF(AND(14=$G$32+1,ISNUMBER($B$32)),$B$32,NA()))</f>
        <v>0</v>
      </c>
      <c r="L15">
        <f>IF(14&lt;=$G$32,INDEX('Preenchimento'!$H$46:$H$69,Q15),IF(AND(14=$G$32+1,ISNUMBER($C$32)),$C$32,NA()))</f>
        <v>0</v>
      </c>
      <c r="M15">
        <f>IF(14&lt;=$G$32,INDEX('Preenchimento'!$Q$46:$Q$69,Q15),NA())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IF(14&lt;=$G$32,MATCH(14,'Preenchimento'!$V$46:$V$69,0),"")</f>
        <v>0</v>
      </c>
      <c r="R15">
        <v>14</v>
      </c>
      <c r="S15">
        <f>IF(14&lt;=$G$33,TEXT(HOUR(INDEX('Preenchimento'!$C$46:$C$69,Z15)),"00")&amp;":"&amp;TEXT(MINUTE(INDEX('Preenchimento'!$C$46:$C$69,Z15)),"00")&amp;CHAR(10)&amp;TEXT(DAY(INDEX('Preenchimento'!$C$46:$C$69,Z15)),"00")&amp;"/"&amp;TEXT(MONTH(INDEX('Preenchimento'!$C$46:$C$69,Z15)),"00"),IF(14=$G$33+1,"Média",""))</f>
        <v>0</v>
      </c>
      <c r="T15">
        <f>IF(14&lt;=$G$33,INDEX('Preenchimento'!$I$46:$I$69,Z15),IF(AND(14=$G$33+1,ISNUMBER($B$33)),$B$33,NA()))</f>
        <v>0</v>
      </c>
      <c r="U15">
        <f>IF(14&lt;=$G$33,INDEX('Preenchimento'!$J$46:$J$69,Z15),IF(AND(14=$G$33+1,ISNUMBER($C$33)),$C$33,NA()))</f>
        <v>0</v>
      </c>
      <c r="V15">
        <f>IF(14&lt;=$G$33,INDEX('Preenchimento'!$R$46:$R$69,Z15),NA())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IF(14&lt;=$G$33,MATCH(14,'Preenchimento'!$W$46:$W$69,0),"")</f>
        <v>0</v>
      </c>
      <c r="AA15">
        <v>14</v>
      </c>
      <c r="AB15">
        <f>IF(14&lt;=$G$34,TEXT(HOUR(INDEX('Preenchimento'!$C$46:$C$69,AI15)),"00")&amp;":"&amp;TEXT(MINUTE(INDEX('Preenchimento'!$C$46:$C$69,AI15)),"00")&amp;CHAR(10)&amp;TEXT(DAY(INDEX('Preenchimento'!$C$46:$C$69,AI15)),"00")&amp;"/"&amp;TEXT(MONTH(INDEX('Preenchimento'!$C$46:$C$69,AI15)),"00"),IF(14=$G$34+1,"Média",""))</f>
        <v>0</v>
      </c>
      <c r="AC15">
        <f>IF(14&lt;=$G$34,INDEX('Preenchimento'!$K$46:$K$69,AI15),IF(AND(14=$G$34+1,ISNUMBER($B$34)),$B$34,NA()))</f>
        <v>0</v>
      </c>
      <c r="AD15">
        <f>IF(14&lt;=$G$34,INDEX('Preenchimento'!$L$46:$L$69,AI15),IF(AND(14=$G$34+1,ISNUMBER($C$34)),$C$34,NA()))</f>
        <v>0</v>
      </c>
      <c r="AE15">
        <f>IF(14&lt;=$G$34,INDEX('Preenchimento'!$S$46:$S$69,AI15),NA())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IF(14&lt;=$G$34,MATCH(14,'Preenchimento'!$X$46:$X$69,0),"")</f>
        <v>0</v>
      </c>
      <c r="AJ15">
        <v>14</v>
      </c>
      <c r="AK15">
        <f>IF(14&lt;=$G$35,TEXT(HOUR(INDEX('Preenchimento'!$C$46:$C$69,AR15)),"00")&amp;":"&amp;TEXT(MINUTE(INDEX('Preenchimento'!$C$46:$C$69,AR15)),"00")&amp;CHAR(10)&amp;TEXT(DAY(INDEX('Preenchimento'!$C$46:$C$69,AR15)),"00")&amp;"/"&amp;TEXT(MONTH(INDEX('Preenchimento'!$C$46:$C$69,AR15)),"00"),IF(14=$G$35+1,"Média",""))</f>
        <v>0</v>
      </c>
      <c r="AL15">
        <f>IF(14&lt;=$G$35,INDEX('Preenchimento'!$M$46:$M$69,AR15),IF(AND(14=$G$35+1,ISNUMBER($B$35)),$B$35,NA()))</f>
        <v>0</v>
      </c>
      <c r="AM15">
        <f>IF(14&lt;=$G$35,INDEX('Preenchimento'!$N$46:$N$69,AR15),IF(AND(14=$G$35+1,ISNUMBER($C$35)),$C$35,NA()))</f>
        <v>0</v>
      </c>
      <c r="AN15">
        <f>IF(14&lt;=$G$35,INDEX('Preenchimento'!$T$46:$T$69,AR15),NA())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IF(14&lt;=$G$35,MATCH(14,'Preenchimento'!$Y$46:$Y$69,0),"")</f>
        <v>0</v>
      </c>
      <c r="AS15">
        <v>14</v>
      </c>
    </row>
    <row r="16" spans="1:45">
      <c r="A16">
        <f>IF(15&lt;=$G$31,TEXT(HOUR(INDEX('Preenchimento'!$C$46:$C$69,H16)),"00")&amp;":"&amp;TEXT(MINUTE(INDEX('Preenchimento'!$C$46:$C$69,H16)),"00")&amp;CHAR(10)&amp;TEXT(DAY(INDEX('Preenchimento'!$C$46:$C$69,H16)),"00")&amp;"/"&amp;TEXT(MONTH(INDEX('Preenchimento'!$C$46:$C$69,H16)),"00"),IF(15=$G$31+1,"Média",""))</f>
        <v>0</v>
      </c>
      <c r="B16">
        <f>IF(15&lt;=$G$31,INDEX('Preenchimento'!$E$46:$E$69,H16),IF(AND(15=$G$31+1,ISNUMBER($B$31)),$B$31,NA()))</f>
        <v>0</v>
      </c>
      <c r="C16">
        <f>IF(15&lt;=$G$31,INDEX('Preenchimento'!$F$46:$F$69,H16),IF(AND(15=$G$31+1,ISNUMBER($C$31)),$C$31,NA()))</f>
        <v>0</v>
      </c>
      <c r="D16">
        <f>IF(15&lt;=$G$31,INDEX('Preenchimento'!$P$46:$P$69,H16),NA())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IF(15&lt;=$G$31,MATCH(15,'Preenchimento'!$U$46:$U$69,0),"")</f>
        <v>0</v>
      </c>
      <c r="I16">
        <v>15</v>
      </c>
      <c r="J16">
        <f>IF(15&lt;=$G$32,TEXT(HOUR(INDEX('Preenchimento'!$C$46:$C$69,Q16)),"00")&amp;":"&amp;TEXT(MINUTE(INDEX('Preenchimento'!$C$46:$C$69,Q16)),"00")&amp;CHAR(10)&amp;TEXT(DAY(INDEX('Preenchimento'!$C$46:$C$69,Q16)),"00")&amp;"/"&amp;TEXT(MONTH(INDEX('Preenchimento'!$C$46:$C$69,Q16)),"00"),IF(15=$G$32+1,"Média",""))</f>
        <v>0</v>
      </c>
      <c r="K16">
        <f>IF(15&lt;=$G$32,INDEX('Preenchimento'!$G$46:$G$69,Q16),IF(AND(15=$G$32+1,ISNUMBER($B$32)),$B$32,NA()))</f>
        <v>0</v>
      </c>
      <c r="L16">
        <f>IF(15&lt;=$G$32,INDEX('Preenchimento'!$H$46:$H$69,Q16),IF(AND(15=$G$32+1,ISNUMBER($C$32)),$C$32,NA()))</f>
        <v>0</v>
      </c>
      <c r="M16">
        <f>IF(15&lt;=$G$32,INDEX('Preenchimento'!$Q$46:$Q$69,Q16),NA())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IF(15&lt;=$G$32,MATCH(15,'Preenchimento'!$V$46:$V$69,0),"")</f>
        <v>0</v>
      </c>
      <c r="R16">
        <v>15</v>
      </c>
      <c r="S16">
        <f>IF(15&lt;=$G$33,TEXT(HOUR(INDEX('Preenchimento'!$C$46:$C$69,Z16)),"00")&amp;":"&amp;TEXT(MINUTE(INDEX('Preenchimento'!$C$46:$C$69,Z16)),"00")&amp;CHAR(10)&amp;TEXT(DAY(INDEX('Preenchimento'!$C$46:$C$69,Z16)),"00")&amp;"/"&amp;TEXT(MONTH(INDEX('Preenchimento'!$C$46:$C$69,Z16)),"00"),IF(15=$G$33+1,"Média",""))</f>
        <v>0</v>
      </c>
      <c r="T16">
        <f>IF(15&lt;=$G$33,INDEX('Preenchimento'!$I$46:$I$69,Z16),IF(AND(15=$G$33+1,ISNUMBER($B$33)),$B$33,NA()))</f>
        <v>0</v>
      </c>
      <c r="U16">
        <f>IF(15&lt;=$G$33,INDEX('Preenchimento'!$J$46:$J$69,Z16),IF(AND(15=$G$33+1,ISNUMBER($C$33)),$C$33,NA()))</f>
        <v>0</v>
      </c>
      <c r="V16">
        <f>IF(15&lt;=$G$33,INDEX('Preenchimento'!$R$46:$R$69,Z16),NA())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IF(15&lt;=$G$33,MATCH(15,'Preenchimento'!$W$46:$W$69,0),"")</f>
        <v>0</v>
      </c>
      <c r="AA16">
        <v>15</v>
      </c>
      <c r="AB16">
        <f>IF(15&lt;=$G$34,TEXT(HOUR(INDEX('Preenchimento'!$C$46:$C$69,AI16)),"00")&amp;":"&amp;TEXT(MINUTE(INDEX('Preenchimento'!$C$46:$C$69,AI16)),"00")&amp;CHAR(10)&amp;TEXT(DAY(INDEX('Preenchimento'!$C$46:$C$69,AI16)),"00")&amp;"/"&amp;TEXT(MONTH(INDEX('Preenchimento'!$C$46:$C$69,AI16)),"00"),IF(15=$G$34+1,"Média",""))</f>
        <v>0</v>
      </c>
      <c r="AC16">
        <f>IF(15&lt;=$G$34,INDEX('Preenchimento'!$K$46:$K$69,AI16),IF(AND(15=$G$34+1,ISNUMBER($B$34)),$B$34,NA()))</f>
        <v>0</v>
      </c>
      <c r="AD16">
        <f>IF(15&lt;=$G$34,INDEX('Preenchimento'!$L$46:$L$69,AI16),IF(AND(15=$G$34+1,ISNUMBER($C$34)),$C$34,NA()))</f>
        <v>0</v>
      </c>
      <c r="AE16">
        <f>IF(15&lt;=$G$34,INDEX('Preenchimento'!$S$46:$S$69,AI16),NA())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IF(15&lt;=$G$34,MATCH(15,'Preenchimento'!$X$46:$X$69,0),"")</f>
        <v>0</v>
      </c>
      <c r="AJ16">
        <v>15</v>
      </c>
      <c r="AK16">
        <f>IF(15&lt;=$G$35,TEXT(HOUR(INDEX('Preenchimento'!$C$46:$C$69,AR16)),"00")&amp;":"&amp;TEXT(MINUTE(INDEX('Preenchimento'!$C$46:$C$69,AR16)),"00")&amp;CHAR(10)&amp;TEXT(DAY(INDEX('Preenchimento'!$C$46:$C$69,AR16)),"00")&amp;"/"&amp;TEXT(MONTH(INDEX('Preenchimento'!$C$46:$C$69,AR16)),"00"),IF(15=$G$35+1,"Média",""))</f>
        <v>0</v>
      </c>
      <c r="AL16">
        <f>IF(15&lt;=$G$35,INDEX('Preenchimento'!$M$46:$M$69,AR16),IF(AND(15=$G$35+1,ISNUMBER($B$35)),$B$35,NA()))</f>
        <v>0</v>
      </c>
      <c r="AM16">
        <f>IF(15&lt;=$G$35,INDEX('Preenchimento'!$N$46:$N$69,AR16),IF(AND(15=$G$35+1,ISNUMBER($C$35)),$C$35,NA()))</f>
        <v>0</v>
      </c>
      <c r="AN16">
        <f>IF(15&lt;=$G$35,INDEX('Preenchimento'!$T$46:$T$69,AR16),NA())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IF(15&lt;=$G$35,MATCH(15,'Preenchimento'!$Y$46:$Y$69,0),"")</f>
        <v>0</v>
      </c>
      <c r="AS16">
        <v>15</v>
      </c>
    </row>
    <row r="17" spans="1:45">
      <c r="A17">
        <f>IF(16&lt;=$G$31,TEXT(HOUR(INDEX('Preenchimento'!$C$46:$C$69,H17)),"00")&amp;":"&amp;TEXT(MINUTE(INDEX('Preenchimento'!$C$46:$C$69,H17)),"00")&amp;CHAR(10)&amp;TEXT(DAY(INDEX('Preenchimento'!$C$46:$C$69,H17)),"00")&amp;"/"&amp;TEXT(MONTH(INDEX('Preenchimento'!$C$46:$C$69,H17)),"00"),IF(16=$G$31+1,"Média",""))</f>
        <v>0</v>
      </c>
      <c r="B17">
        <f>IF(16&lt;=$G$31,INDEX('Preenchimento'!$E$46:$E$69,H17),IF(AND(16=$G$31+1,ISNUMBER($B$31)),$B$31,NA()))</f>
        <v>0</v>
      </c>
      <c r="C17">
        <f>IF(16&lt;=$G$31,INDEX('Preenchimento'!$F$46:$F$69,H17),IF(AND(16=$G$31+1,ISNUMBER($C$31)),$C$31,NA()))</f>
        <v>0</v>
      </c>
      <c r="D17">
        <f>IF(16&lt;=$G$31,INDEX('Preenchimento'!$P$46:$P$69,H17),NA())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IF(16&lt;=$G$31,MATCH(16,'Preenchimento'!$U$46:$U$69,0),"")</f>
        <v>0</v>
      </c>
      <c r="I17">
        <v>16</v>
      </c>
      <c r="J17">
        <f>IF(16&lt;=$G$32,TEXT(HOUR(INDEX('Preenchimento'!$C$46:$C$69,Q17)),"00")&amp;":"&amp;TEXT(MINUTE(INDEX('Preenchimento'!$C$46:$C$69,Q17)),"00")&amp;CHAR(10)&amp;TEXT(DAY(INDEX('Preenchimento'!$C$46:$C$69,Q17)),"00")&amp;"/"&amp;TEXT(MONTH(INDEX('Preenchimento'!$C$46:$C$69,Q17)),"00"),IF(16=$G$32+1,"Média",""))</f>
        <v>0</v>
      </c>
      <c r="K17">
        <f>IF(16&lt;=$G$32,INDEX('Preenchimento'!$G$46:$G$69,Q17),IF(AND(16=$G$32+1,ISNUMBER($B$32)),$B$32,NA()))</f>
        <v>0</v>
      </c>
      <c r="L17">
        <f>IF(16&lt;=$G$32,INDEX('Preenchimento'!$H$46:$H$69,Q17),IF(AND(16=$G$32+1,ISNUMBER($C$32)),$C$32,NA()))</f>
        <v>0</v>
      </c>
      <c r="M17">
        <f>IF(16&lt;=$G$32,INDEX('Preenchimento'!$Q$46:$Q$69,Q17),NA())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IF(16&lt;=$G$32,MATCH(16,'Preenchimento'!$V$46:$V$69,0),"")</f>
        <v>0</v>
      </c>
      <c r="R17">
        <v>16</v>
      </c>
      <c r="S17">
        <f>IF(16&lt;=$G$33,TEXT(HOUR(INDEX('Preenchimento'!$C$46:$C$69,Z17)),"00")&amp;":"&amp;TEXT(MINUTE(INDEX('Preenchimento'!$C$46:$C$69,Z17)),"00")&amp;CHAR(10)&amp;TEXT(DAY(INDEX('Preenchimento'!$C$46:$C$69,Z17)),"00")&amp;"/"&amp;TEXT(MONTH(INDEX('Preenchimento'!$C$46:$C$69,Z17)),"00"),IF(16=$G$33+1,"Média",""))</f>
        <v>0</v>
      </c>
      <c r="T17">
        <f>IF(16&lt;=$G$33,INDEX('Preenchimento'!$I$46:$I$69,Z17),IF(AND(16=$G$33+1,ISNUMBER($B$33)),$B$33,NA()))</f>
        <v>0</v>
      </c>
      <c r="U17">
        <f>IF(16&lt;=$G$33,INDEX('Preenchimento'!$J$46:$J$69,Z17),IF(AND(16=$G$33+1,ISNUMBER($C$33)),$C$33,NA()))</f>
        <v>0</v>
      </c>
      <c r="V17">
        <f>IF(16&lt;=$G$33,INDEX('Preenchimento'!$R$46:$R$69,Z17),NA())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IF(16&lt;=$G$33,MATCH(16,'Preenchimento'!$W$46:$W$69,0),"")</f>
        <v>0</v>
      </c>
      <c r="AA17">
        <v>16</v>
      </c>
      <c r="AB17">
        <f>IF(16&lt;=$G$34,TEXT(HOUR(INDEX('Preenchimento'!$C$46:$C$69,AI17)),"00")&amp;":"&amp;TEXT(MINUTE(INDEX('Preenchimento'!$C$46:$C$69,AI17)),"00")&amp;CHAR(10)&amp;TEXT(DAY(INDEX('Preenchimento'!$C$46:$C$69,AI17)),"00")&amp;"/"&amp;TEXT(MONTH(INDEX('Preenchimento'!$C$46:$C$69,AI17)),"00"),IF(16=$G$34+1,"Média",""))</f>
        <v>0</v>
      </c>
      <c r="AC17">
        <f>IF(16&lt;=$G$34,INDEX('Preenchimento'!$K$46:$K$69,AI17),IF(AND(16=$G$34+1,ISNUMBER($B$34)),$B$34,NA()))</f>
        <v>0</v>
      </c>
      <c r="AD17">
        <f>IF(16&lt;=$G$34,INDEX('Preenchimento'!$L$46:$L$69,AI17),IF(AND(16=$G$34+1,ISNUMBER($C$34)),$C$34,NA()))</f>
        <v>0</v>
      </c>
      <c r="AE17">
        <f>IF(16&lt;=$G$34,INDEX('Preenchimento'!$S$46:$S$69,AI17),NA())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IF(16&lt;=$G$34,MATCH(16,'Preenchimento'!$X$46:$X$69,0),"")</f>
        <v>0</v>
      </c>
      <c r="AJ17">
        <v>16</v>
      </c>
      <c r="AK17">
        <f>IF(16&lt;=$G$35,TEXT(HOUR(INDEX('Preenchimento'!$C$46:$C$69,AR17)),"00")&amp;":"&amp;TEXT(MINUTE(INDEX('Preenchimento'!$C$46:$C$69,AR17)),"00")&amp;CHAR(10)&amp;TEXT(DAY(INDEX('Preenchimento'!$C$46:$C$69,AR17)),"00")&amp;"/"&amp;TEXT(MONTH(INDEX('Preenchimento'!$C$46:$C$69,AR17)),"00"),IF(16=$G$35+1,"Média",""))</f>
        <v>0</v>
      </c>
      <c r="AL17">
        <f>IF(16&lt;=$G$35,INDEX('Preenchimento'!$M$46:$M$69,AR17),IF(AND(16=$G$35+1,ISNUMBER($B$35)),$B$35,NA()))</f>
        <v>0</v>
      </c>
      <c r="AM17">
        <f>IF(16&lt;=$G$35,INDEX('Preenchimento'!$N$46:$N$69,AR17),IF(AND(16=$G$35+1,ISNUMBER($C$35)),$C$35,NA()))</f>
        <v>0</v>
      </c>
      <c r="AN17">
        <f>IF(16&lt;=$G$35,INDEX('Preenchimento'!$T$46:$T$69,AR17),NA())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IF(16&lt;=$G$35,MATCH(16,'Preenchimento'!$Y$46:$Y$69,0),"")</f>
        <v>0</v>
      </c>
      <c r="AS17">
        <v>16</v>
      </c>
    </row>
    <row r="18" spans="1:45">
      <c r="A18">
        <f>IF(17&lt;=$G$31,TEXT(HOUR(INDEX('Preenchimento'!$C$46:$C$69,H18)),"00")&amp;":"&amp;TEXT(MINUTE(INDEX('Preenchimento'!$C$46:$C$69,H18)),"00")&amp;CHAR(10)&amp;TEXT(DAY(INDEX('Preenchimento'!$C$46:$C$69,H18)),"00")&amp;"/"&amp;TEXT(MONTH(INDEX('Preenchimento'!$C$46:$C$69,H18)),"00"),IF(17=$G$31+1,"Média",""))</f>
        <v>0</v>
      </c>
      <c r="B18">
        <f>IF(17&lt;=$G$31,INDEX('Preenchimento'!$E$46:$E$69,H18),IF(AND(17=$G$31+1,ISNUMBER($B$31)),$B$31,NA()))</f>
        <v>0</v>
      </c>
      <c r="C18">
        <f>IF(17&lt;=$G$31,INDEX('Preenchimento'!$F$46:$F$69,H18),IF(AND(17=$G$31+1,ISNUMBER($C$31)),$C$31,NA()))</f>
        <v>0</v>
      </c>
      <c r="D18">
        <f>IF(17&lt;=$G$31,INDEX('Preenchimento'!$P$46:$P$69,H18),NA())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IF(17&lt;=$G$31,MATCH(17,'Preenchimento'!$U$46:$U$69,0),"")</f>
        <v>0</v>
      </c>
      <c r="I18">
        <v>17</v>
      </c>
      <c r="J18">
        <f>IF(17&lt;=$G$32,TEXT(HOUR(INDEX('Preenchimento'!$C$46:$C$69,Q18)),"00")&amp;":"&amp;TEXT(MINUTE(INDEX('Preenchimento'!$C$46:$C$69,Q18)),"00")&amp;CHAR(10)&amp;TEXT(DAY(INDEX('Preenchimento'!$C$46:$C$69,Q18)),"00")&amp;"/"&amp;TEXT(MONTH(INDEX('Preenchimento'!$C$46:$C$69,Q18)),"00"),IF(17=$G$32+1,"Média",""))</f>
        <v>0</v>
      </c>
      <c r="K18">
        <f>IF(17&lt;=$G$32,INDEX('Preenchimento'!$G$46:$G$69,Q18),IF(AND(17=$G$32+1,ISNUMBER($B$32)),$B$32,NA()))</f>
        <v>0</v>
      </c>
      <c r="L18">
        <f>IF(17&lt;=$G$32,INDEX('Preenchimento'!$H$46:$H$69,Q18),IF(AND(17=$G$32+1,ISNUMBER($C$32)),$C$32,NA()))</f>
        <v>0</v>
      </c>
      <c r="M18">
        <f>IF(17&lt;=$G$32,INDEX('Preenchimento'!$Q$46:$Q$69,Q18),NA())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IF(17&lt;=$G$32,MATCH(17,'Preenchimento'!$V$46:$V$69,0),"")</f>
        <v>0</v>
      </c>
      <c r="R18">
        <v>17</v>
      </c>
      <c r="S18">
        <f>IF(17&lt;=$G$33,TEXT(HOUR(INDEX('Preenchimento'!$C$46:$C$69,Z18)),"00")&amp;":"&amp;TEXT(MINUTE(INDEX('Preenchimento'!$C$46:$C$69,Z18)),"00")&amp;CHAR(10)&amp;TEXT(DAY(INDEX('Preenchimento'!$C$46:$C$69,Z18)),"00")&amp;"/"&amp;TEXT(MONTH(INDEX('Preenchimento'!$C$46:$C$69,Z18)),"00"),IF(17=$G$33+1,"Média",""))</f>
        <v>0</v>
      </c>
      <c r="T18">
        <f>IF(17&lt;=$G$33,INDEX('Preenchimento'!$I$46:$I$69,Z18),IF(AND(17=$G$33+1,ISNUMBER($B$33)),$B$33,NA()))</f>
        <v>0</v>
      </c>
      <c r="U18">
        <f>IF(17&lt;=$G$33,INDEX('Preenchimento'!$J$46:$J$69,Z18),IF(AND(17=$G$33+1,ISNUMBER($C$33)),$C$33,NA()))</f>
        <v>0</v>
      </c>
      <c r="V18">
        <f>IF(17&lt;=$G$33,INDEX('Preenchimento'!$R$46:$R$69,Z18),NA())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IF(17&lt;=$G$33,MATCH(17,'Preenchimento'!$W$46:$W$69,0),"")</f>
        <v>0</v>
      </c>
      <c r="AA18">
        <v>17</v>
      </c>
      <c r="AB18">
        <f>IF(17&lt;=$G$34,TEXT(HOUR(INDEX('Preenchimento'!$C$46:$C$69,AI18)),"00")&amp;":"&amp;TEXT(MINUTE(INDEX('Preenchimento'!$C$46:$C$69,AI18)),"00")&amp;CHAR(10)&amp;TEXT(DAY(INDEX('Preenchimento'!$C$46:$C$69,AI18)),"00")&amp;"/"&amp;TEXT(MONTH(INDEX('Preenchimento'!$C$46:$C$69,AI18)),"00"),IF(17=$G$34+1,"Média",""))</f>
        <v>0</v>
      </c>
      <c r="AC18">
        <f>IF(17&lt;=$G$34,INDEX('Preenchimento'!$K$46:$K$69,AI18),IF(AND(17=$G$34+1,ISNUMBER($B$34)),$B$34,NA()))</f>
        <v>0</v>
      </c>
      <c r="AD18">
        <f>IF(17&lt;=$G$34,INDEX('Preenchimento'!$L$46:$L$69,AI18),IF(AND(17=$G$34+1,ISNUMBER($C$34)),$C$34,NA()))</f>
        <v>0</v>
      </c>
      <c r="AE18">
        <f>IF(17&lt;=$G$34,INDEX('Preenchimento'!$S$46:$S$69,AI18),NA())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IF(17&lt;=$G$34,MATCH(17,'Preenchimento'!$X$46:$X$69,0),"")</f>
        <v>0</v>
      </c>
      <c r="AJ18">
        <v>17</v>
      </c>
      <c r="AK18">
        <f>IF(17&lt;=$G$35,TEXT(HOUR(INDEX('Preenchimento'!$C$46:$C$69,AR18)),"00")&amp;":"&amp;TEXT(MINUTE(INDEX('Preenchimento'!$C$46:$C$69,AR18)),"00")&amp;CHAR(10)&amp;TEXT(DAY(INDEX('Preenchimento'!$C$46:$C$69,AR18)),"00")&amp;"/"&amp;TEXT(MONTH(INDEX('Preenchimento'!$C$46:$C$69,AR18)),"00"),IF(17=$G$35+1,"Média",""))</f>
        <v>0</v>
      </c>
      <c r="AL18">
        <f>IF(17&lt;=$G$35,INDEX('Preenchimento'!$M$46:$M$69,AR18),IF(AND(17=$G$35+1,ISNUMBER($B$35)),$B$35,NA()))</f>
        <v>0</v>
      </c>
      <c r="AM18">
        <f>IF(17&lt;=$G$35,INDEX('Preenchimento'!$N$46:$N$69,AR18),IF(AND(17=$G$35+1,ISNUMBER($C$35)),$C$35,NA()))</f>
        <v>0</v>
      </c>
      <c r="AN18">
        <f>IF(17&lt;=$G$35,INDEX('Preenchimento'!$T$46:$T$69,AR18),NA())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IF(17&lt;=$G$35,MATCH(17,'Preenchimento'!$Y$46:$Y$69,0),"")</f>
        <v>0</v>
      </c>
      <c r="AS18">
        <v>17</v>
      </c>
    </row>
    <row r="19" spans="1:45">
      <c r="A19">
        <f>IF(18&lt;=$G$31,TEXT(HOUR(INDEX('Preenchimento'!$C$46:$C$69,H19)),"00")&amp;":"&amp;TEXT(MINUTE(INDEX('Preenchimento'!$C$46:$C$69,H19)),"00")&amp;CHAR(10)&amp;TEXT(DAY(INDEX('Preenchimento'!$C$46:$C$69,H19)),"00")&amp;"/"&amp;TEXT(MONTH(INDEX('Preenchimento'!$C$46:$C$69,H19)),"00"),IF(18=$G$31+1,"Média",""))</f>
        <v>0</v>
      </c>
      <c r="B19">
        <f>IF(18&lt;=$G$31,INDEX('Preenchimento'!$E$46:$E$69,H19),IF(AND(18=$G$31+1,ISNUMBER($B$31)),$B$31,NA()))</f>
        <v>0</v>
      </c>
      <c r="C19">
        <f>IF(18&lt;=$G$31,INDEX('Preenchimento'!$F$46:$F$69,H19),IF(AND(18=$G$31+1,ISNUMBER($C$31)),$C$31,NA()))</f>
        <v>0</v>
      </c>
      <c r="D19">
        <f>IF(18&lt;=$G$31,INDEX('Preenchimento'!$P$46:$P$69,H19),NA())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IF(18&lt;=$G$31,MATCH(18,'Preenchimento'!$U$46:$U$69,0),"")</f>
        <v>0</v>
      </c>
      <c r="I19">
        <v>18</v>
      </c>
      <c r="J19">
        <f>IF(18&lt;=$G$32,TEXT(HOUR(INDEX('Preenchimento'!$C$46:$C$69,Q19)),"00")&amp;":"&amp;TEXT(MINUTE(INDEX('Preenchimento'!$C$46:$C$69,Q19)),"00")&amp;CHAR(10)&amp;TEXT(DAY(INDEX('Preenchimento'!$C$46:$C$69,Q19)),"00")&amp;"/"&amp;TEXT(MONTH(INDEX('Preenchimento'!$C$46:$C$69,Q19)),"00"),IF(18=$G$32+1,"Média",""))</f>
        <v>0</v>
      </c>
      <c r="K19">
        <f>IF(18&lt;=$G$32,INDEX('Preenchimento'!$G$46:$G$69,Q19),IF(AND(18=$G$32+1,ISNUMBER($B$32)),$B$32,NA()))</f>
        <v>0</v>
      </c>
      <c r="L19">
        <f>IF(18&lt;=$G$32,INDEX('Preenchimento'!$H$46:$H$69,Q19),IF(AND(18=$G$32+1,ISNUMBER($C$32)),$C$32,NA()))</f>
        <v>0</v>
      </c>
      <c r="M19">
        <f>IF(18&lt;=$G$32,INDEX('Preenchimento'!$Q$46:$Q$69,Q19),NA())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IF(18&lt;=$G$32,MATCH(18,'Preenchimento'!$V$46:$V$69,0),"")</f>
        <v>0</v>
      </c>
      <c r="R19">
        <v>18</v>
      </c>
      <c r="S19">
        <f>IF(18&lt;=$G$33,TEXT(HOUR(INDEX('Preenchimento'!$C$46:$C$69,Z19)),"00")&amp;":"&amp;TEXT(MINUTE(INDEX('Preenchimento'!$C$46:$C$69,Z19)),"00")&amp;CHAR(10)&amp;TEXT(DAY(INDEX('Preenchimento'!$C$46:$C$69,Z19)),"00")&amp;"/"&amp;TEXT(MONTH(INDEX('Preenchimento'!$C$46:$C$69,Z19)),"00"),IF(18=$G$33+1,"Média",""))</f>
        <v>0</v>
      </c>
      <c r="T19">
        <f>IF(18&lt;=$G$33,INDEX('Preenchimento'!$I$46:$I$69,Z19),IF(AND(18=$G$33+1,ISNUMBER($B$33)),$B$33,NA()))</f>
        <v>0</v>
      </c>
      <c r="U19">
        <f>IF(18&lt;=$G$33,INDEX('Preenchimento'!$J$46:$J$69,Z19),IF(AND(18=$G$33+1,ISNUMBER($C$33)),$C$33,NA()))</f>
        <v>0</v>
      </c>
      <c r="V19">
        <f>IF(18&lt;=$G$33,INDEX('Preenchimento'!$R$46:$R$69,Z19),NA())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IF(18&lt;=$G$33,MATCH(18,'Preenchimento'!$W$46:$W$69,0),"")</f>
        <v>0</v>
      </c>
      <c r="AA19">
        <v>18</v>
      </c>
      <c r="AB19">
        <f>IF(18&lt;=$G$34,TEXT(HOUR(INDEX('Preenchimento'!$C$46:$C$69,AI19)),"00")&amp;":"&amp;TEXT(MINUTE(INDEX('Preenchimento'!$C$46:$C$69,AI19)),"00")&amp;CHAR(10)&amp;TEXT(DAY(INDEX('Preenchimento'!$C$46:$C$69,AI19)),"00")&amp;"/"&amp;TEXT(MONTH(INDEX('Preenchimento'!$C$46:$C$69,AI19)),"00"),IF(18=$G$34+1,"Média",""))</f>
        <v>0</v>
      </c>
      <c r="AC19">
        <f>IF(18&lt;=$G$34,INDEX('Preenchimento'!$K$46:$K$69,AI19),IF(AND(18=$G$34+1,ISNUMBER($B$34)),$B$34,NA()))</f>
        <v>0</v>
      </c>
      <c r="AD19">
        <f>IF(18&lt;=$G$34,INDEX('Preenchimento'!$L$46:$L$69,AI19),IF(AND(18=$G$34+1,ISNUMBER($C$34)),$C$34,NA()))</f>
        <v>0</v>
      </c>
      <c r="AE19">
        <f>IF(18&lt;=$G$34,INDEX('Preenchimento'!$S$46:$S$69,AI19),NA())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IF(18&lt;=$G$34,MATCH(18,'Preenchimento'!$X$46:$X$69,0),"")</f>
        <v>0</v>
      </c>
      <c r="AJ19">
        <v>18</v>
      </c>
      <c r="AK19">
        <f>IF(18&lt;=$G$35,TEXT(HOUR(INDEX('Preenchimento'!$C$46:$C$69,AR19)),"00")&amp;":"&amp;TEXT(MINUTE(INDEX('Preenchimento'!$C$46:$C$69,AR19)),"00")&amp;CHAR(10)&amp;TEXT(DAY(INDEX('Preenchimento'!$C$46:$C$69,AR19)),"00")&amp;"/"&amp;TEXT(MONTH(INDEX('Preenchimento'!$C$46:$C$69,AR19)),"00"),IF(18=$G$35+1,"Média",""))</f>
        <v>0</v>
      </c>
      <c r="AL19">
        <f>IF(18&lt;=$G$35,INDEX('Preenchimento'!$M$46:$M$69,AR19),IF(AND(18=$G$35+1,ISNUMBER($B$35)),$B$35,NA()))</f>
        <v>0</v>
      </c>
      <c r="AM19">
        <f>IF(18&lt;=$G$35,INDEX('Preenchimento'!$N$46:$N$69,AR19),IF(AND(18=$G$35+1,ISNUMBER($C$35)),$C$35,NA()))</f>
        <v>0</v>
      </c>
      <c r="AN19">
        <f>IF(18&lt;=$G$35,INDEX('Preenchimento'!$T$46:$T$69,AR19),NA())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IF(18&lt;=$G$35,MATCH(18,'Preenchimento'!$Y$46:$Y$69,0),"")</f>
        <v>0</v>
      </c>
      <c r="AS19">
        <v>18</v>
      </c>
    </row>
    <row r="20" spans="1:45">
      <c r="A20">
        <f>IF(19&lt;=$G$31,TEXT(HOUR(INDEX('Preenchimento'!$C$46:$C$69,H20)),"00")&amp;":"&amp;TEXT(MINUTE(INDEX('Preenchimento'!$C$46:$C$69,H20)),"00")&amp;CHAR(10)&amp;TEXT(DAY(INDEX('Preenchimento'!$C$46:$C$69,H20)),"00")&amp;"/"&amp;TEXT(MONTH(INDEX('Preenchimento'!$C$46:$C$69,H20)),"00"),IF(19=$G$31+1,"Média",""))</f>
        <v>0</v>
      </c>
      <c r="B20">
        <f>IF(19&lt;=$G$31,INDEX('Preenchimento'!$E$46:$E$69,H20),IF(AND(19=$G$31+1,ISNUMBER($B$31)),$B$31,NA()))</f>
        <v>0</v>
      </c>
      <c r="C20">
        <f>IF(19&lt;=$G$31,INDEX('Preenchimento'!$F$46:$F$69,H20),IF(AND(19=$G$31+1,ISNUMBER($C$31)),$C$31,NA()))</f>
        <v>0</v>
      </c>
      <c r="D20">
        <f>IF(19&lt;=$G$31,INDEX('Preenchimento'!$P$46:$P$69,H20),NA())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IF(19&lt;=$G$31,MATCH(19,'Preenchimento'!$U$46:$U$69,0),"")</f>
        <v>0</v>
      </c>
      <c r="I20">
        <v>19</v>
      </c>
      <c r="J20">
        <f>IF(19&lt;=$G$32,TEXT(HOUR(INDEX('Preenchimento'!$C$46:$C$69,Q20)),"00")&amp;":"&amp;TEXT(MINUTE(INDEX('Preenchimento'!$C$46:$C$69,Q20)),"00")&amp;CHAR(10)&amp;TEXT(DAY(INDEX('Preenchimento'!$C$46:$C$69,Q20)),"00")&amp;"/"&amp;TEXT(MONTH(INDEX('Preenchimento'!$C$46:$C$69,Q20)),"00"),IF(19=$G$32+1,"Média",""))</f>
        <v>0</v>
      </c>
      <c r="K20">
        <f>IF(19&lt;=$G$32,INDEX('Preenchimento'!$G$46:$G$69,Q20),IF(AND(19=$G$32+1,ISNUMBER($B$32)),$B$32,NA()))</f>
        <v>0</v>
      </c>
      <c r="L20">
        <f>IF(19&lt;=$G$32,INDEX('Preenchimento'!$H$46:$H$69,Q20),IF(AND(19=$G$32+1,ISNUMBER($C$32)),$C$32,NA()))</f>
        <v>0</v>
      </c>
      <c r="M20">
        <f>IF(19&lt;=$G$32,INDEX('Preenchimento'!$Q$46:$Q$69,Q20),NA())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IF(19&lt;=$G$32,MATCH(19,'Preenchimento'!$V$46:$V$69,0),"")</f>
        <v>0</v>
      </c>
      <c r="R20">
        <v>19</v>
      </c>
      <c r="S20">
        <f>IF(19&lt;=$G$33,TEXT(HOUR(INDEX('Preenchimento'!$C$46:$C$69,Z20)),"00")&amp;":"&amp;TEXT(MINUTE(INDEX('Preenchimento'!$C$46:$C$69,Z20)),"00")&amp;CHAR(10)&amp;TEXT(DAY(INDEX('Preenchimento'!$C$46:$C$69,Z20)),"00")&amp;"/"&amp;TEXT(MONTH(INDEX('Preenchimento'!$C$46:$C$69,Z20)),"00"),IF(19=$G$33+1,"Média",""))</f>
        <v>0</v>
      </c>
      <c r="T20">
        <f>IF(19&lt;=$G$33,INDEX('Preenchimento'!$I$46:$I$69,Z20),IF(AND(19=$G$33+1,ISNUMBER($B$33)),$B$33,NA()))</f>
        <v>0</v>
      </c>
      <c r="U20">
        <f>IF(19&lt;=$G$33,INDEX('Preenchimento'!$J$46:$J$69,Z20),IF(AND(19=$G$33+1,ISNUMBER($C$33)),$C$33,NA()))</f>
        <v>0</v>
      </c>
      <c r="V20">
        <f>IF(19&lt;=$G$33,INDEX('Preenchimento'!$R$46:$R$69,Z20),NA())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IF(19&lt;=$G$33,MATCH(19,'Preenchimento'!$W$46:$W$69,0),"")</f>
        <v>0</v>
      </c>
      <c r="AA20">
        <v>19</v>
      </c>
      <c r="AB20">
        <f>IF(19&lt;=$G$34,TEXT(HOUR(INDEX('Preenchimento'!$C$46:$C$69,AI20)),"00")&amp;":"&amp;TEXT(MINUTE(INDEX('Preenchimento'!$C$46:$C$69,AI20)),"00")&amp;CHAR(10)&amp;TEXT(DAY(INDEX('Preenchimento'!$C$46:$C$69,AI20)),"00")&amp;"/"&amp;TEXT(MONTH(INDEX('Preenchimento'!$C$46:$C$69,AI20)),"00"),IF(19=$G$34+1,"Média",""))</f>
        <v>0</v>
      </c>
      <c r="AC20">
        <f>IF(19&lt;=$G$34,INDEX('Preenchimento'!$K$46:$K$69,AI20),IF(AND(19=$G$34+1,ISNUMBER($B$34)),$B$34,NA()))</f>
        <v>0</v>
      </c>
      <c r="AD20">
        <f>IF(19&lt;=$G$34,INDEX('Preenchimento'!$L$46:$L$69,AI20),IF(AND(19=$G$34+1,ISNUMBER($C$34)),$C$34,NA()))</f>
        <v>0</v>
      </c>
      <c r="AE20">
        <f>IF(19&lt;=$G$34,INDEX('Preenchimento'!$S$46:$S$69,AI20),NA())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IF(19&lt;=$G$34,MATCH(19,'Preenchimento'!$X$46:$X$69,0),"")</f>
        <v>0</v>
      </c>
      <c r="AJ20">
        <v>19</v>
      </c>
      <c r="AK20">
        <f>IF(19&lt;=$G$35,TEXT(HOUR(INDEX('Preenchimento'!$C$46:$C$69,AR20)),"00")&amp;":"&amp;TEXT(MINUTE(INDEX('Preenchimento'!$C$46:$C$69,AR20)),"00")&amp;CHAR(10)&amp;TEXT(DAY(INDEX('Preenchimento'!$C$46:$C$69,AR20)),"00")&amp;"/"&amp;TEXT(MONTH(INDEX('Preenchimento'!$C$46:$C$69,AR20)),"00"),IF(19=$G$35+1,"Média",""))</f>
        <v>0</v>
      </c>
      <c r="AL20">
        <f>IF(19&lt;=$G$35,INDEX('Preenchimento'!$M$46:$M$69,AR20),IF(AND(19=$G$35+1,ISNUMBER($B$35)),$B$35,NA()))</f>
        <v>0</v>
      </c>
      <c r="AM20">
        <f>IF(19&lt;=$G$35,INDEX('Preenchimento'!$N$46:$N$69,AR20),IF(AND(19=$G$35+1,ISNUMBER($C$35)),$C$35,NA()))</f>
        <v>0</v>
      </c>
      <c r="AN20">
        <f>IF(19&lt;=$G$35,INDEX('Preenchimento'!$T$46:$T$69,AR20),NA())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IF(19&lt;=$G$35,MATCH(19,'Preenchimento'!$Y$46:$Y$69,0),"")</f>
        <v>0</v>
      </c>
      <c r="AS20">
        <v>19</v>
      </c>
    </row>
    <row r="21" spans="1:45">
      <c r="A21">
        <f>IF(20&lt;=$G$31,TEXT(HOUR(INDEX('Preenchimento'!$C$46:$C$69,H21)),"00")&amp;":"&amp;TEXT(MINUTE(INDEX('Preenchimento'!$C$46:$C$69,H21)),"00")&amp;CHAR(10)&amp;TEXT(DAY(INDEX('Preenchimento'!$C$46:$C$69,H21)),"00")&amp;"/"&amp;TEXT(MONTH(INDEX('Preenchimento'!$C$46:$C$69,H21)),"00"),IF(20=$G$31+1,"Média",""))</f>
        <v>0</v>
      </c>
      <c r="B21">
        <f>IF(20&lt;=$G$31,INDEX('Preenchimento'!$E$46:$E$69,H21),IF(AND(20=$G$31+1,ISNUMBER($B$31)),$B$31,NA()))</f>
        <v>0</v>
      </c>
      <c r="C21">
        <f>IF(20&lt;=$G$31,INDEX('Preenchimento'!$F$46:$F$69,H21),IF(AND(20=$G$31+1,ISNUMBER($C$31)),$C$31,NA()))</f>
        <v>0</v>
      </c>
      <c r="D21">
        <f>IF(20&lt;=$G$31,INDEX('Preenchimento'!$P$46:$P$69,H21),NA())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IF(20&lt;=$G$31,MATCH(20,'Preenchimento'!$U$46:$U$69,0),"")</f>
        <v>0</v>
      </c>
      <c r="I21">
        <v>20</v>
      </c>
      <c r="J21">
        <f>IF(20&lt;=$G$32,TEXT(HOUR(INDEX('Preenchimento'!$C$46:$C$69,Q21)),"00")&amp;":"&amp;TEXT(MINUTE(INDEX('Preenchimento'!$C$46:$C$69,Q21)),"00")&amp;CHAR(10)&amp;TEXT(DAY(INDEX('Preenchimento'!$C$46:$C$69,Q21)),"00")&amp;"/"&amp;TEXT(MONTH(INDEX('Preenchimento'!$C$46:$C$69,Q21)),"00"),IF(20=$G$32+1,"Média",""))</f>
        <v>0</v>
      </c>
      <c r="K21">
        <f>IF(20&lt;=$G$32,INDEX('Preenchimento'!$G$46:$G$69,Q21),IF(AND(20=$G$32+1,ISNUMBER($B$32)),$B$32,NA()))</f>
        <v>0</v>
      </c>
      <c r="L21">
        <f>IF(20&lt;=$G$32,INDEX('Preenchimento'!$H$46:$H$69,Q21),IF(AND(20=$G$32+1,ISNUMBER($C$32)),$C$32,NA()))</f>
        <v>0</v>
      </c>
      <c r="M21">
        <f>IF(20&lt;=$G$32,INDEX('Preenchimento'!$Q$46:$Q$69,Q21),NA())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IF(20&lt;=$G$32,MATCH(20,'Preenchimento'!$V$46:$V$69,0),"")</f>
        <v>0</v>
      </c>
      <c r="R21">
        <v>20</v>
      </c>
      <c r="S21">
        <f>IF(20&lt;=$G$33,TEXT(HOUR(INDEX('Preenchimento'!$C$46:$C$69,Z21)),"00")&amp;":"&amp;TEXT(MINUTE(INDEX('Preenchimento'!$C$46:$C$69,Z21)),"00")&amp;CHAR(10)&amp;TEXT(DAY(INDEX('Preenchimento'!$C$46:$C$69,Z21)),"00")&amp;"/"&amp;TEXT(MONTH(INDEX('Preenchimento'!$C$46:$C$69,Z21)),"00"),IF(20=$G$33+1,"Média",""))</f>
        <v>0</v>
      </c>
      <c r="T21">
        <f>IF(20&lt;=$G$33,INDEX('Preenchimento'!$I$46:$I$69,Z21),IF(AND(20=$G$33+1,ISNUMBER($B$33)),$B$33,NA()))</f>
        <v>0</v>
      </c>
      <c r="U21">
        <f>IF(20&lt;=$G$33,INDEX('Preenchimento'!$J$46:$J$69,Z21),IF(AND(20=$G$33+1,ISNUMBER($C$33)),$C$33,NA()))</f>
        <v>0</v>
      </c>
      <c r="V21">
        <f>IF(20&lt;=$G$33,INDEX('Preenchimento'!$R$46:$R$69,Z21),NA())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IF(20&lt;=$G$33,MATCH(20,'Preenchimento'!$W$46:$W$69,0),"")</f>
        <v>0</v>
      </c>
      <c r="AA21">
        <v>20</v>
      </c>
      <c r="AB21">
        <f>IF(20&lt;=$G$34,TEXT(HOUR(INDEX('Preenchimento'!$C$46:$C$69,AI21)),"00")&amp;":"&amp;TEXT(MINUTE(INDEX('Preenchimento'!$C$46:$C$69,AI21)),"00")&amp;CHAR(10)&amp;TEXT(DAY(INDEX('Preenchimento'!$C$46:$C$69,AI21)),"00")&amp;"/"&amp;TEXT(MONTH(INDEX('Preenchimento'!$C$46:$C$69,AI21)),"00"),IF(20=$G$34+1,"Média",""))</f>
        <v>0</v>
      </c>
      <c r="AC21">
        <f>IF(20&lt;=$G$34,INDEX('Preenchimento'!$K$46:$K$69,AI21),IF(AND(20=$G$34+1,ISNUMBER($B$34)),$B$34,NA()))</f>
        <v>0</v>
      </c>
      <c r="AD21">
        <f>IF(20&lt;=$G$34,INDEX('Preenchimento'!$L$46:$L$69,AI21),IF(AND(20=$G$34+1,ISNUMBER($C$34)),$C$34,NA()))</f>
        <v>0</v>
      </c>
      <c r="AE21">
        <f>IF(20&lt;=$G$34,INDEX('Preenchimento'!$S$46:$S$69,AI21),NA())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IF(20&lt;=$G$34,MATCH(20,'Preenchimento'!$X$46:$X$69,0),"")</f>
        <v>0</v>
      </c>
      <c r="AJ21">
        <v>20</v>
      </c>
      <c r="AK21">
        <f>IF(20&lt;=$G$35,TEXT(HOUR(INDEX('Preenchimento'!$C$46:$C$69,AR21)),"00")&amp;":"&amp;TEXT(MINUTE(INDEX('Preenchimento'!$C$46:$C$69,AR21)),"00")&amp;CHAR(10)&amp;TEXT(DAY(INDEX('Preenchimento'!$C$46:$C$69,AR21)),"00")&amp;"/"&amp;TEXT(MONTH(INDEX('Preenchimento'!$C$46:$C$69,AR21)),"00"),IF(20=$G$35+1,"Média",""))</f>
        <v>0</v>
      </c>
      <c r="AL21">
        <f>IF(20&lt;=$G$35,INDEX('Preenchimento'!$M$46:$M$69,AR21),IF(AND(20=$G$35+1,ISNUMBER($B$35)),$B$35,NA()))</f>
        <v>0</v>
      </c>
      <c r="AM21">
        <f>IF(20&lt;=$G$35,INDEX('Preenchimento'!$N$46:$N$69,AR21),IF(AND(20=$G$35+1,ISNUMBER($C$35)),$C$35,NA()))</f>
        <v>0</v>
      </c>
      <c r="AN21">
        <f>IF(20&lt;=$G$35,INDEX('Preenchimento'!$T$46:$T$69,AR21),NA())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IF(20&lt;=$G$35,MATCH(20,'Preenchimento'!$Y$46:$Y$69,0),"")</f>
        <v>0</v>
      </c>
      <c r="AS21">
        <v>20</v>
      </c>
    </row>
    <row r="22" spans="1:45">
      <c r="A22">
        <f>IF(21&lt;=$G$31,TEXT(HOUR(INDEX('Preenchimento'!$C$46:$C$69,H22)),"00")&amp;":"&amp;TEXT(MINUTE(INDEX('Preenchimento'!$C$46:$C$69,H22)),"00")&amp;CHAR(10)&amp;TEXT(DAY(INDEX('Preenchimento'!$C$46:$C$69,H22)),"00")&amp;"/"&amp;TEXT(MONTH(INDEX('Preenchimento'!$C$46:$C$69,H22)),"00"),IF(21=$G$31+1,"Média",""))</f>
        <v>0</v>
      </c>
      <c r="B22">
        <f>IF(21&lt;=$G$31,INDEX('Preenchimento'!$E$46:$E$69,H22),IF(AND(21=$G$31+1,ISNUMBER($B$31)),$B$31,NA()))</f>
        <v>0</v>
      </c>
      <c r="C22">
        <f>IF(21&lt;=$G$31,INDEX('Preenchimento'!$F$46:$F$69,H22),IF(AND(21=$G$31+1,ISNUMBER($C$31)),$C$31,NA()))</f>
        <v>0</v>
      </c>
      <c r="D22">
        <f>IF(21&lt;=$G$31,INDEX('Preenchimento'!$P$46:$P$69,H22),NA())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IF(21&lt;=$G$31,MATCH(21,'Preenchimento'!$U$46:$U$69,0),"")</f>
        <v>0</v>
      </c>
      <c r="I22">
        <v>21</v>
      </c>
      <c r="J22">
        <f>IF(21&lt;=$G$32,TEXT(HOUR(INDEX('Preenchimento'!$C$46:$C$69,Q22)),"00")&amp;":"&amp;TEXT(MINUTE(INDEX('Preenchimento'!$C$46:$C$69,Q22)),"00")&amp;CHAR(10)&amp;TEXT(DAY(INDEX('Preenchimento'!$C$46:$C$69,Q22)),"00")&amp;"/"&amp;TEXT(MONTH(INDEX('Preenchimento'!$C$46:$C$69,Q22)),"00"),IF(21=$G$32+1,"Média",""))</f>
        <v>0</v>
      </c>
      <c r="K22">
        <f>IF(21&lt;=$G$32,INDEX('Preenchimento'!$G$46:$G$69,Q22),IF(AND(21=$G$32+1,ISNUMBER($B$32)),$B$32,NA()))</f>
        <v>0</v>
      </c>
      <c r="L22">
        <f>IF(21&lt;=$G$32,INDEX('Preenchimento'!$H$46:$H$69,Q22),IF(AND(21=$G$32+1,ISNUMBER($C$32)),$C$32,NA()))</f>
        <v>0</v>
      </c>
      <c r="M22">
        <f>IF(21&lt;=$G$32,INDEX('Preenchimento'!$Q$46:$Q$69,Q22),NA())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IF(21&lt;=$G$32,MATCH(21,'Preenchimento'!$V$46:$V$69,0),"")</f>
        <v>0</v>
      </c>
      <c r="R22">
        <v>21</v>
      </c>
      <c r="S22">
        <f>IF(21&lt;=$G$33,TEXT(HOUR(INDEX('Preenchimento'!$C$46:$C$69,Z22)),"00")&amp;":"&amp;TEXT(MINUTE(INDEX('Preenchimento'!$C$46:$C$69,Z22)),"00")&amp;CHAR(10)&amp;TEXT(DAY(INDEX('Preenchimento'!$C$46:$C$69,Z22)),"00")&amp;"/"&amp;TEXT(MONTH(INDEX('Preenchimento'!$C$46:$C$69,Z22)),"00"),IF(21=$G$33+1,"Média",""))</f>
        <v>0</v>
      </c>
      <c r="T22">
        <f>IF(21&lt;=$G$33,INDEX('Preenchimento'!$I$46:$I$69,Z22),IF(AND(21=$G$33+1,ISNUMBER($B$33)),$B$33,NA()))</f>
        <v>0</v>
      </c>
      <c r="U22">
        <f>IF(21&lt;=$G$33,INDEX('Preenchimento'!$J$46:$J$69,Z22),IF(AND(21=$G$33+1,ISNUMBER($C$33)),$C$33,NA()))</f>
        <v>0</v>
      </c>
      <c r="V22">
        <f>IF(21&lt;=$G$33,INDEX('Preenchimento'!$R$46:$R$69,Z22),NA())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IF(21&lt;=$G$33,MATCH(21,'Preenchimento'!$W$46:$W$69,0),"")</f>
        <v>0</v>
      </c>
      <c r="AA22">
        <v>21</v>
      </c>
      <c r="AB22">
        <f>IF(21&lt;=$G$34,TEXT(HOUR(INDEX('Preenchimento'!$C$46:$C$69,AI22)),"00")&amp;":"&amp;TEXT(MINUTE(INDEX('Preenchimento'!$C$46:$C$69,AI22)),"00")&amp;CHAR(10)&amp;TEXT(DAY(INDEX('Preenchimento'!$C$46:$C$69,AI22)),"00")&amp;"/"&amp;TEXT(MONTH(INDEX('Preenchimento'!$C$46:$C$69,AI22)),"00"),IF(21=$G$34+1,"Média",""))</f>
        <v>0</v>
      </c>
      <c r="AC22">
        <f>IF(21&lt;=$G$34,INDEX('Preenchimento'!$K$46:$K$69,AI22),IF(AND(21=$G$34+1,ISNUMBER($B$34)),$B$34,NA()))</f>
        <v>0</v>
      </c>
      <c r="AD22">
        <f>IF(21&lt;=$G$34,INDEX('Preenchimento'!$L$46:$L$69,AI22),IF(AND(21=$G$34+1,ISNUMBER($C$34)),$C$34,NA()))</f>
        <v>0</v>
      </c>
      <c r="AE22">
        <f>IF(21&lt;=$G$34,INDEX('Preenchimento'!$S$46:$S$69,AI22),NA())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IF(21&lt;=$G$34,MATCH(21,'Preenchimento'!$X$46:$X$69,0),"")</f>
        <v>0</v>
      </c>
      <c r="AJ22">
        <v>21</v>
      </c>
      <c r="AK22">
        <f>IF(21&lt;=$G$35,TEXT(HOUR(INDEX('Preenchimento'!$C$46:$C$69,AR22)),"00")&amp;":"&amp;TEXT(MINUTE(INDEX('Preenchimento'!$C$46:$C$69,AR22)),"00")&amp;CHAR(10)&amp;TEXT(DAY(INDEX('Preenchimento'!$C$46:$C$69,AR22)),"00")&amp;"/"&amp;TEXT(MONTH(INDEX('Preenchimento'!$C$46:$C$69,AR22)),"00"),IF(21=$G$35+1,"Média",""))</f>
        <v>0</v>
      </c>
      <c r="AL22">
        <f>IF(21&lt;=$G$35,INDEX('Preenchimento'!$M$46:$M$69,AR22),IF(AND(21=$G$35+1,ISNUMBER($B$35)),$B$35,NA()))</f>
        <v>0</v>
      </c>
      <c r="AM22">
        <f>IF(21&lt;=$G$35,INDEX('Preenchimento'!$N$46:$N$69,AR22),IF(AND(21=$G$35+1,ISNUMBER($C$35)),$C$35,NA()))</f>
        <v>0</v>
      </c>
      <c r="AN22">
        <f>IF(21&lt;=$G$35,INDEX('Preenchimento'!$T$46:$T$69,AR22),NA())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IF(21&lt;=$G$35,MATCH(21,'Preenchimento'!$Y$46:$Y$69,0),"")</f>
        <v>0</v>
      </c>
      <c r="AS22">
        <v>21</v>
      </c>
    </row>
    <row r="23" spans="1:45">
      <c r="A23">
        <f>IF(22&lt;=$G$31,TEXT(HOUR(INDEX('Preenchimento'!$C$46:$C$69,H23)),"00")&amp;":"&amp;TEXT(MINUTE(INDEX('Preenchimento'!$C$46:$C$69,H23)),"00")&amp;CHAR(10)&amp;TEXT(DAY(INDEX('Preenchimento'!$C$46:$C$69,H23)),"00")&amp;"/"&amp;TEXT(MONTH(INDEX('Preenchimento'!$C$46:$C$69,H23)),"00"),IF(22=$G$31+1,"Média",""))</f>
        <v>0</v>
      </c>
      <c r="B23">
        <f>IF(22&lt;=$G$31,INDEX('Preenchimento'!$E$46:$E$69,H23),IF(AND(22=$G$31+1,ISNUMBER($B$31)),$B$31,NA()))</f>
        <v>0</v>
      </c>
      <c r="C23">
        <f>IF(22&lt;=$G$31,INDEX('Preenchimento'!$F$46:$F$69,H23),IF(AND(22=$G$31+1,ISNUMBER($C$31)),$C$31,NA()))</f>
        <v>0</v>
      </c>
      <c r="D23">
        <f>IF(22&lt;=$G$31,INDEX('Preenchimento'!$P$46:$P$69,H23),NA())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IF(22&lt;=$G$31,MATCH(22,'Preenchimento'!$U$46:$U$69,0),"")</f>
        <v>0</v>
      </c>
      <c r="I23">
        <v>22</v>
      </c>
      <c r="J23">
        <f>IF(22&lt;=$G$32,TEXT(HOUR(INDEX('Preenchimento'!$C$46:$C$69,Q23)),"00")&amp;":"&amp;TEXT(MINUTE(INDEX('Preenchimento'!$C$46:$C$69,Q23)),"00")&amp;CHAR(10)&amp;TEXT(DAY(INDEX('Preenchimento'!$C$46:$C$69,Q23)),"00")&amp;"/"&amp;TEXT(MONTH(INDEX('Preenchimento'!$C$46:$C$69,Q23)),"00"),IF(22=$G$32+1,"Média",""))</f>
        <v>0</v>
      </c>
      <c r="K23">
        <f>IF(22&lt;=$G$32,INDEX('Preenchimento'!$G$46:$G$69,Q23),IF(AND(22=$G$32+1,ISNUMBER($B$32)),$B$32,NA()))</f>
        <v>0</v>
      </c>
      <c r="L23">
        <f>IF(22&lt;=$G$32,INDEX('Preenchimento'!$H$46:$H$69,Q23),IF(AND(22=$G$32+1,ISNUMBER($C$32)),$C$32,NA()))</f>
        <v>0</v>
      </c>
      <c r="M23">
        <f>IF(22&lt;=$G$32,INDEX('Preenchimento'!$Q$46:$Q$69,Q23),NA())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IF(22&lt;=$G$32,MATCH(22,'Preenchimento'!$V$46:$V$69,0),"")</f>
        <v>0</v>
      </c>
      <c r="R23">
        <v>22</v>
      </c>
      <c r="S23">
        <f>IF(22&lt;=$G$33,TEXT(HOUR(INDEX('Preenchimento'!$C$46:$C$69,Z23)),"00")&amp;":"&amp;TEXT(MINUTE(INDEX('Preenchimento'!$C$46:$C$69,Z23)),"00")&amp;CHAR(10)&amp;TEXT(DAY(INDEX('Preenchimento'!$C$46:$C$69,Z23)),"00")&amp;"/"&amp;TEXT(MONTH(INDEX('Preenchimento'!$C$46:$C$69,Z23)),"00"),IF(22=$G$33+1,"Média",""))</f>
        <v>0</v>
      </c>
      <c r="T23">
        <f>IF(22&lt;=$G$33,INDEX('Preenchimento'!$I$46:$I$69,Z23),IF(AND(22=$G$33+1,ISNUMBER($B$33)),$B$33,NA()))</f>
        <v>0</v>
      </c>
      <c r="U23">
        <f>IF(22&lt;=$G$33,INDEX('Preenchimento'!$J$46:$J$69,Z23),IF(AND(22=$G$33+1,ISNUMBER($C$33)),$C$33,NA()))</f>
        <v>0</v>
      </c>
      <c r="V23">
        <f>IF(22&lt;=$G$33,INDEX('Preenchimento'!$R$46:$R$69,Z23),NA())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IF(22&lt;=$G$33,MATCH(22,'Preenchimento'!$W$46:$W$69,0),"")</f>
        <v>0</v>
      </c>
      <c r="AA23">
        <v>22</v>
      </c>
      <c r="AB23">
        <f>IF(22&lt;=$G$34,TEXT(HOUR(INDEX('Preenchimento'!$C$46:$C$69,AI23)),"00")&amp;":"&amp;TEXT(MINUTE(INDEX('Preenchimento'!$C$46:$C$69,AI23)),"00")&amp;CHAR(10)&amp;TEXT(DAY(INDEX('Preenchimento'!$C$46:$C$69,AI23)),"00")&amp;"/"&amp;TEXT(MONTH(INDEX('Preenchimento'!$C$46:$C$69,AI23)),"00"),IF(22=$G$34+1,"Média",""))</f>
        <v>0</v>
      </c>
      <c r="AC23">
        <f>IF(22&lt;=$G$34,INDEX('Preenchimento'!$K$46:$K$69,AI23),IF(AND(22=$G$34+1,ISNUMBER($B$34)),$B$34,NA()))</f>
        <v>0</v>
      </c>
      <c r="AD23">
        <f>IF(22&lt;=$G$34,INDEX('Preenchimento'!$L$46:$L$69,AI23),IF(AND(22=$G$34+1,ISNUMBER($C$34)),$C$34,NA()))</f>
        <v>0</v>
      </c>
      <c r="AE23">
        <f>IF(22&lt;=$G$34,INDEX('Preenchimento'!$S$46:$S$69,AI23),NA())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IF(22&lt;=$G$34,MATCH(22,'Preenchimento'!$X$46:$X$69,0),"")</f>
        <v>0</v>
      </c>
      <c r="AJ23">
        <v>22</v>
      </c>
      <c r="AK23">
        <f>IF(22&lt;=$G$35,TEXT(HOUR(INDEX('Preenchimento'!$C$46:$C$69,AR23)),"00")&amp;":"&amp;TEXT(MINUTE(INDEX('Preenchimento'!$C$46:$C$69,AR23)),"00")&amp;CHAR(10)&amp;TEXT(DAY(INDEX('Preenchimento'!$C$46:$C$69,AR23)),"00")&amp;"/"&amp;TEXT(MONTH(INDEX('Preenchimento'!$C$46:$C$69,AR23)),"00"),IF(22=$G$35+1,"Média",""))</f>
        <v>0</v>
      </c>
      <c r="AL23">
        <f>IF(22&lt;=$G$35,INDEX('Preenchimento'!$M$46:$M$69,AR23),IF(AND(22=$G$35+1,ISNUMBER($B$35)),$B$35,NA()))</f>
        <v>0</v>
      </c>
      <c r="AM23">
        <f>IF(22&lt;=$G$35,INDEX('Preenchimento'!$N$46:$N$69,AR23),IF(AND(22=$G$35+1,ISNUMBER($C$35)),$C$35,NA()))</f>
        <v>0</v>
      </c>
      <c r="AN23">
        <f>IF(22&lt;=$G$35,INDEX('Preenchimento'!$T$46:$T$69,AR23),NA())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IF(22&lt;=$G$35,MATCH(22,'Preenchimento'!$Y$46:$Y$69,0),"")</f>
        <v>0</v>
      </c>
      <c r="AS23">
        <v>22</v>
      </c>
    </row>
    <row r="24" spans="1:45">
      <c r="A24">
        <f>IF(23&lt;=$G$31,TEXT(HOUR(INDEX('Preenchimento'!$C$46:$C$69,H24)),"00")&amp;":"&amp;TEXT(MINUTE(INDEX('Preenchimento'!$C$46:$C$69,H24)),"00")&amp;CHAR(10)&amp;TEXT(DAY(INDEX('Preenchimento'!$C$46:$C$69,H24)),"00")&amp;"/"&amp;TEXT(MONTH(INDEX('Preenchimento'!$C$46:$C$69,H24)),"00"),IF(23=$G$31+1,"Média",""))</f>
        <v>0</v>
      </c>
      <c r="B24">
        <f>IF(23&lt;=$G$31,INDEX('Preenchimento'!$E$46:$E$69,H24),IF(AND(23=$G$31+1,ISNUMBER($B$31)),$B$31,NA()))</f>
        <v>0</v>
      </c>
      <c r="C24">
        <f>IF(23&lt;=$G$31,INDEX('Preenchimento'!$F$46:$F$69,H24),IF(AND(23=$G$31+1,ISNUMBER($C$31)),$C$31,NA()))</f>
        <v>0</v>
      </c>
      <c r="D24">
        <f>IF(23&lt;=$G$31,INDEX('Preenchimento'!$P$46:$P$69,H24),NA())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IF(23&lt;=$G$31,MATCH(23,'Preenchimento'!$U$46:$U$69,0),"")</f>
        <v>0</v>
      </c>
      <c r="I24">
        <v>23</v>
      </c>
      <c r="J24">
        <f>IF(23&lt;=$G$32,TEXT(HOUR(INDEX('Preenchimento'!$C$46:$C$69,Q24)),"00")&amp;":"&amp;TEXT(MINUTE(INDEX('Preenchimento'!$C$46:$C$69,Q24)),"00")&amp;CHAR(10)&amp;TEXT(DAY(INDEX('Preenchimento'!$C$46:$C$69,Q24)),"00")&amp;"/"&amp;TEXT(MONTH(INDEX('Preenchimento'!$C$46:$C$69,Q24)),"00"),IF(23=$G$32+1,"Média",""))</f>
        <v>0</v>
      </c>
      <c r="K24">
        <f>IF(23&lt;=$G$32,INDEX('Preenchimento'!$G$46:$G$69,Q24),IF(AND(23=$G$32+1,ISNUMBER($B$32)),$B$32,NA()))</f>
        <v>0</v>
      </c>
      <c r="L24">
        <f>IF(23&lt;=$G$32,INDEX('Preenchimento'!$H$46:$H$69,Q24),IF(AND(23=$G$32+1,ISNUMBER($C$32)),$C$32,NA()))</f>
        <v>0</v>
      </c>
      <c r="M24">
        <f>IF(23&lt;=$G$32,INDEX('Preenchimento'!$Q$46:$Q$69,Q24),NA())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IF(23&lt;=$G$32,MATCH(23,'Preenchimento'!$V$46:$V$69,0),"")</f>
        <v>0</v>
      </c>
      <c r="R24">
        <v>23</v>
      </c>
      <c r="S24">
        <f>IF(23&lt;=$G$33,TEXT(HOUR(INDEX('Preenchimento'!$C$46:$C$69,Z24)),"00")&amp;":"&amp;TEXT(MINUTE(INDEX('Preenchimento'!$C$46:$C$69,Z24)),"00")&amp;CHAR(10)&amp;TEXT(DAY(INDEX('Preenchimento'!$C$46:$C$69,Z24)),"00")&amp;"/"&amp;TEXT(MONTH(INDEX('Preenchimento'!$C$46:$C$69,Z24)),"00"),IF(23=$G$33+1,"Média",""))</f>
        <v>0</v>
      </c>
      <c r="T24">
        <f>IF(23&lt;=$G$33,INDEX('Preenchimento'!$I$46:$I$69,Z24),IF(AND(23=$G$33+1,ISNUMBER($B$33)),$B$33,NA()))</f>
        <v>0</v>
      </c>
      <c r="U24">
        <f>IF(23&lt;=$G$33,INDEX('Preenchimento'!$J$46:$J$69,Z24),IF(AND(23=$G$33+1,ISNUMBER($C$33)),$C$33,NA()))</f>
        <v>0</v>
      </c>
      <c r="V24">
        <f>IF(23&lt;=$G$33,INDEX('Preenchimento'!$R$46:$R$69,Z24),NA())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IF(23&lt;=$G$33,MATCH(23,'Preenchimento'!$W$46:$W$69,0),"")</f>
        <v>0</v>
      </c>
      <c r="AA24">
        <v>23</v>
      </c>
      <c r="AB24">
        <f>IF(23&lt;=$G$34,TEXT(HOUR(INDEX('Preenchimento'!$C$46:$C$69,AI24)),"00")&amp;":"&amp;TEXT(MINUTE(INDEX('Preenchimento'!$C$46:$C$69,AI24)),"00")&amp;CHAR(10)&amp;TEXT(DAY(INDEX('Preenchimento'!$C$46:$C$69,AI24)),"00")&amp;"/"&amp;TEXT(MONTH(INDEX('Preenchimento'!$C$46:$C$69,AI24)),"00"),IF(23=$G$34+1,"Média",""))</f>
        <v>0</v>
      </c>
      <c r="AC24">
        <f>IF(23&lt;=$G$34,INDEX('Preenchimento'!$K$46:$K$69,AI24),IF(AND(23=$G$34+1,ISNUMBER($B$34)),$B$34,NA()))</f>
        <v>0</v>
      </c>
      <c r="AD24">
        <f>IF(23&lt;=$G$34,INDEX('Preenchimento'!$L$46:$L$69,AI24),IF(AND(23=$G$34+1,ISNUMBER($C$34)),$C$34,NA()))</f>
        <v>0</v>
      </c>
      <c r="AE24">
        <f>IF(23&lt;=$G$34,INDEX('Preenchimento'!$S$46:$S$69,AI24),NA())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IF(23&lt;=$G$34,MATCH(23,'Preenchimento'!$X$46:$X$69,0),"")</f>
        <v>0</v>
      </c>
      <c r="AJ24">
        <v>23</v>
      </c>
      <c r="AK24">
        <f>IF(23&lt;=$G$35,TEXT(HOUR(INDEX('Preenchimento'!$C$46:$C$69,AR24)),"00")&amp;":"&amp;TEXT(MINUTE(INDEX('Preenchimento'!$C$46:$C$69,AR24)),"00")&amp;CHAR(10)&amp;TEXT(DAY(INDEX('Preenchimento'!$C$46:$C$69,AR24)),"00")&amp;"/"&amp;TEXT(MONTH(INDEX('Preenchimento'!$C$46:$C$69,AR24)),"00"),IF(23=$G$35+1,"Média",""))</f>
        <v>0</v>
      </c>
      <c r="AL24">
        <f>IF(23&lt;=$G$35,INDEX('Preenchimento'!$M$46:$M$69,AR24),IF(AND(23=$G$35+1,ISNUMBER($B$35)),$B$35,NA()))</f>
        <v>0</v>
      </c>
      <c r="AM24">
        <f>IF(23&lt;=$G$35,INDEX('Preenchimento'!$N$46:$N$69,AR24),IF(AND(23=$G$35+1,ISNUMBER($C$35)),$C$35,NA()))</f>
        <v>0</v>
      </c>
      <c r="AN24">
        <f>IF(23&lt;=$G$35,INDEX('Preenchimento'!$T$46:$T$69,AR24),NA())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IF(23&lt;=$G$35,MATCH(23,'Preenchimento'!$Y$46:$Y$69,0),"")</f>
        <v>0</v>
      </c>
      <c r="AS24">
        <v>23</v>
      </c>
    </row>
    <row r="25" spans="1:45">
      <c r="A25">
        <f>IF(24&lt;=$G$31,TEXT(HOUR(INDEX('Preenchimento'!$C$46:$C$69,H25)),"00")&amp;":"&amp;TEXT(MINUTE(INDEX('Preenchimento'!$C$46:$C$69,H25)),"00")&amp;CHAR(10)&amp;TEXT(DAY(INDEX('Preenchimento'!$C$46:$C$69,H25)),"00")&amp;"/"&amp;TEXT(MONTH(INDEX('Preenchimento'!$C$46:$C$69,H25)),"00"),IF(24=$G$31+1,"Média",""))</f>
        <v>0</v>
      </c>
      <c r="B25">
        <f>IF(24&lt;=$G$31,INDEX('Preenchimento'!$E$46:$E$69,H25),IF(AND(24=$G$31+1,ISNUMBER($B$31)),$B$31,NA()))</f>
        <v>0</v>
      </c>
      <c r="C25">
        <f>IF(24&lt;=$G$31,INDEX('Preenchimento'!$F$46:$F$69,H25),IF(AND(24=$G$31+1,ISNUMBER($C$31)),$C$31,NA()))</f>
        <v>0</v>
      </c>
      <c r="D25">
        <f>IF(24&lt;=$G$31,INDEX('Preenchimento'!$P$46:$P$69,H25),NA())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IF(24&lt;=$G$31,MATCH(24,'Preenchimento'!$U$46:$U$69,0),"")</f>
        <v>0</v>
      </c>
      <c r="I25">
        <v>24</v>
      </c>
      <c r="J25">
        <f>IF(24&lt;=$G$32,TEXT(HOUR(INDEX('Preenchimento'!$C$46:$C$69,Q25)),"00")&amp;":"&amp;TEXT(MINUTE(INDEX('Preenchimento'!$C$46:$C$69,Q25)),"00")&amp;CHAR(10)&amp;TEXT(DAY(INDEX('Preenchimento'!$C$46:$C$69,Q25)),"00")&amp;"/"&amp;TEXT(MONTH(INDEX('Preenchimento'!$C$46:$C$69,Q25)),"00"),IF(24=$G$32+1,"Média",""))</f>
        <v>0</v>
      </c>
      <c r="K25">
        <f>IF(24&lt;=$G$32,INDEX('Preenchimento'!$G$46:$G$69,Q25),IF(AND(24=$G$32+1,ISNUMBER($B$32)),$B$32,NA()))</f>
        <v>0</v>
      </c>
      <c r="L25">
        <f>IF(24&lt;=$G$32,INDEX('Preenchimento'!$H$46:$H$69,Q25),IF(AND(24=$G$32+1,ISNUMBER($C$32)),$C$32,NA()))</f>
        <v>0</v>
      </c>
      <c r="M25">
        <f>IF(24&lt;=$G$32,INDEX('Preenchimento'!$Q$46:$Q$69,Q25),NA())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IF(24&lt;=$G$32,MATCH(24,'Preenchimento'!$V$46:$V$69,0),"")</f>
        <v>0</v>
      </c>
      <c r="R25">
        <v>24</v>
      </c>
      <c r="S25">
        <f>IF(24&lt;=$G$33,TEXT(HOUR(INDEX('Preenchimento'!$C$46:$C$69,Z25)),"00")&amp;":"&amp;TEXT(MINUTE(INDEX('Preenchimento'!$C$46:$C$69,Z25)),"00")&amp;CHAR(10)&amp;TEXT(DAY(INDEX('Preenchimento'!$C$46:$C$69,Z25)),"00")&amp;"/"&amp;TEXT(MONTH(INDEX('Preenchimento'!$C$46:$C$69,Z25)),"00"),IF(24=$G$33+1,"Média",""))</f>
        <v>0</v>
      </c>
      <c r="T25">
        <f>IF(24&lt;=$G$33,INDEX('Preenchimento'!$I$46:$I$69,Z25),IF(AND(24=$G$33+1,ISNUMBER($B$33)),$B$33,NA()))</f>
        <v>0</v>
      </c>
      <c r="U25">
        <f>IF(24&lt;=$G$33,INDEX('Preenchimento'!$J$46:$J$69,Z25),IF(AND(24=$G$33+1,ISNUMBER($C$33)),$C$33,NA()))</f>
        <v>0</v>
      </c>
      <c r="V25">
        <f>IF(24&lt;=$G$33,INDEX('Preenchimento'!$R$46:$R$69,Z25),NA())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IF(24&lt;=$G$33,MATCH(24,'Preenchimento'!$W$46:$W$69,0),"")</f>
        <v>0</v>
      </c>
      <c r="AA25">
        <v>24</v>
      </c>
      <c r="AB25">
        <f>IF(24&lt;=$G$34,TEXT(HOUR(INDEX('Preenchimento'!$C$46:$C$69,AI25)),"00")&amp;":"&amp;TEXT(MINUTE(INDEX('Preenchimento'!$C$46:$C$69,AI25)),"00")&amp;CHAR(10)&amp;TEXT(DAY(INDEX('Preenchimento'!$C$46:$C$69,AI25)),"00")&amp;"/"&amp;TEXT(MONTH(INDEX('Preenchimento'!$C$46:$C$69,AI25)),"00"),IF(24=$G$34+1,"Média",""))</f>
        <v>0</v>
      </c>
      <c r="AC25">
        <f>IF(24&lt;=$G$34,INDEX('Preenchimento'!$K$46:$K$69,AI25),IF(AND(24=$G$34+1,ISNUMBER($B$34)),$B$34,NA()))</f>
        <v>0</v>
      </c>
      <c r="AD25">
        <f>IF(24&lt;=$G$34,INDEX('Preenchimento'!$L$46:$L$69,AI25),IF(AND(24=$G$34+1,ISNUMBER($C$34)),$C$34,NA()))</f>
        <v>0</v>
      </c>
      <c r="AE25">
        <f>IF(24&lt;=$G$34,INDEX('Preenchimento'!$S$46:$S$69,AI25),NA())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IF(24&lt;=$G$34,MATCH(24,'Preenchimento'!$X$46:$X$69,0),"")</f>
        <v>0</v>
      </c>
      <c r="AJ25">
        <v>24</v>
      </c>
      <c r="AK25">
        <f>IF(24&lt;=$G$35,TEXT(HOUR(INDEX('Preenchimento'!$C$46:$C$69,AR25)),"00")&amp;":"&amp;TEXT(MINUTE(INDEX('Preenchimento'!$C$46:$C$69,AR25)),"00")&amp;CHAR(10)&amp;TEXT(DAY(INDEX('Preenchimento'!$C$46:$C$69,AR25)),"00")&amp;"/"&amp;TEXT(MONTH(INDEX('Preenchimento'!$C$46:$C$69,AR25)),"00"),IF(24=$G$35+1,"Média",""))</f>
        <v>0</v>
      </c>
      <c r="AL25">
        <f>IF(24&lt;=$G$35,INDEX('Preenchimento'!$M$46:$M$69,AR25),IF(AND(24=$G$35+1,ISNUMBER($B$35)),$B$35,NA()))</f>
        <v>0</v>
      </c>
      <c r="AM25">
        <f>IF(24&lt;=$G$35,INDEX('Preenchimento'!$N$46:$N$69,AR25),IF(AND(24=$G$35+1,ISNUMBER($C$35)),$C$35,NA()))</f>
        <v>0</v>
      </c>
      <c r="AN25">
        <f>IF(24&lt;=$G$35,INDEX('Preenchimento'!$T$46:$T$69,AR25),NA())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IF(24&lt;=$G$35,MATCH(24,'Preenchimento'!$Y$46:$Y$69,0),"")</f>
        <v>0</v>
      </c>
      <c r="AS25">
        <v>24</v>
      </c>
    </row>
    <row r="26" spans="1:45">
      <c r="A26">
        <f>IF(25&lt;=$G$31,TEXT(HOUR(INDEX('Preenchimento'!$C$46:$C$69,H26)),"00")&amp;":"&amp;TEXT(MINUTE(INDEX('Preenchimento'!$C$46:$C$69,H26)),"00")&amp;CHAR(10)&amp;TEXT(DAY(INDEX('Preenchimento'!$C$46:$C$69,H26)),"00")&amp;"/"&amp;TEXT(MONTH(INDEX('Preenchimento'!$C$46:$C$69,H26)),"00"),IF(25=$G$31+1,"Média",""))</f>
        <v>0</v>
      </c>
      <c r="B26">
        <f>IF(25&lt;=$G$31,INDEX('Preenchimento'!$E$46:$E$69,H26),IF(AND(25=$G$31+1,ISNUMBER($B$31)),$B$31,NA()))</f>
        <v>0</v>
      </c>
      <c r="C26">
        <f>IF(25&lt;=$G$31,INDEX('Preenchimento'!$F$46:$F$69,H26),IF(AND(25=$G$31+1,ISNUMBER($C$31)),$C$31,NA()))</f>
        <v>0</v>
      </c>
      <c r="D26">
        <f>IF(25&lt;=$G$31,INDEX('Preenchimento'!$P$46:$P$69,H26),NA())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IF(25&lt;=$G$31,MATCH(25,'Preenchimento'!$U$46:$U$69,0),"")</f>
        <v>0</v>
      </c>
      <c r="I26">
        <v>25</v>
      </c>
      <c r="J26">
        <f>IF(25&lt;=$G$32,TEXT(HOUR(INDEX('Preenchimento'!$C$46:$C$69,Q26)),"00")&amp;":"&amp;TEXT(MINUTE(INDEX('Preenchimento'!$C$46:$C$69,Q26)),"00")&amp;CHAR(10)&amp;TEXT(DAY(INDEX('Preenchimento'!$C$46:$C$69,Q26)),"00")&amp;"/"&amp;TEXT(MONTH(INDEX('Preenchimento'!$C$46:$C$69,Q26)),"00"),IF(25=$G$32+1,"Média",""))</f>
        <v>0</v>
      </c>
      <c r="K26">
        <f>IF(25&lt;=$G$32,INDEX('Preenchimento'!$G$46:$G$69,Q26),IF(AND(25=$G$32+1,ISNUMBER($B$32)),$B$32,NA()))</f>
        <v>0</v>
      </c>
      <c r="L26">
        <f>IF(25&lt;=$G$32,INDEX('Preenchimento'!$H$46:$H$69,Q26),IF(AND(25=$G$32+1,ISNUMBER($C$32)),$C$32,NA()))</f>
        <v>0</v>
      </c>
      <c r="M26">
        <f>IF(25&lt;=$G$32,INDEX('Preenchimento'!$Q$46:$Q$69,Q26),NA())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IF(25&lt;=$G$32,MATCH(25,'Preenchimento'!$V$46:$V$69,0),"")</f>
        <v>0</v>
      </c>
      <c r="R26">
        <v>25</v>
      </c>
      <c r="S26">
        <f>IF(25&lt;=$G$33,TEXT(HOUR(INDEX('Preenchimento'!$C$46:$C$69,Z26)),"00")&amp;":"&amp;TEXT(MINUTE(INDEX('Preenchimento'!$C$46:$C$69,Z26)),"00")&amp;CHAR(10)&amp;TEXT(DAY(INDEX('Preenchimento'!$C$46:$C$69,Z26)),"00")&amp;"/"&amp;TEXT(MONTH(INDEX('Preenchimento'!$C$46:$C$69,Z26)),"00"),IF(25=$G$33+1,"Média",""))</f>
        <v>0</v>
      </c>
      <c r="T26">
        <f>IF(25&lt;=$G$33,INDEX('Preenchimento'!$I$46:$I$69,Z26),IF(AND(25=$G$33+1,ISNUMBER($B$33)),$B$33,NA()))</f>
        <v>0</v>
      </c>
      <c r="U26">
        <f>IF(25&lt;=$G$33,INDEX('Preenchimento'!$J$46:$J$69,Z26),IF(AND(25=$G$33+1,ISNUMBER($C$33)),$C$33,NA()))</f>
        <v>0</v>
      </c>
      <c r="V26">
        <f>IF(25&lt;=$G$33,INDEX('Preenchimento'!$R$46:$R$69,Z26),NA())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IF(25&lt;=$G$33,MATCH(25,'Preenchimento'!$W$46:$W$69,0),"")</f>
        <v>0</v>
      </c>
      <c r="AA26">
        <v>25</v>
      </c>
      <c r="AB26">
        <f>IF(25&lt;=$G$34,TEXT(HOUR(INDEX('Preenchimento'!$C$46:$C$69,AI26)),"00")&amp;":"&amp;TEXT(MINUTE(INDEX('Preenchimento'!$C$46:$C$69,AI26)),"00")&amp;CHAR(10)&amp;TEXT(DAY(INDEX('Preenchimento'!$C$46:$C$69,AI26)),"00")&amp;"/"&amp;TEXT(MONTH(INDEX('Preenchimento'!$C$46:$C$69,AI26)),"00"),IF(25=$G$34+1,"Média",""))</f>
        <v>0</v>
      </c>
      <c r="AC26">
        <f>IF(25&lt;=$G$34,INDEX('Preenchimento'!$K$46:$K$69,AI26),IF(AND(25=$G$34+1,ISNUMBER($B$34)),$B$34,NA()))</f>
        <v>0</v>
      </c>
      <c r="AD26">
        <f>IF(25&lt;=$G$34,INDEX('Preenchimento'!$L$46:$L$69,AI26),IF(AND(25=$G$34+1,ISNUMBER($C$34)),$C$34,NA()))</f>
        <v>0</v>
      </c>
      <c r="AE26">
        <f>IF(25&lt;=$G$34,INDEX('Preenchimento'!$S$46:$S$69,AI26),NA())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IF(25&lt;=$G$34,MATCH(25,'Preenchimento'!$X$46:$X$69,0),"")</f>
        <v>0</v>
      </c>
      <c r="AJ26">
        <v>25</v>
      </c>
      <c r="AK26">
        <f>IF(25&lt;=$G$35,TEXT(HOUR(INDEX('Preenchimento'!$C$46:$C$69,AR26)),"00")&amp;":"&amp;TEXT(MINUTE(INDEX('Preenchimento'!$C$46:$C$69,AR26)),"00")&amp;CHAR(10)&amp;TEXT(DAY(INDEX('Preenchimento'!$C$46:$C$69,AR26)),"00")&amp;"/"&amp;TEXT(MONTH(INDEX('Preenchimento'!$C$46:$C$69,AR26)),"00"),IF(25=$G$35+1,"Média",""))</f>
        <v>0</v>
      </c>
      <c r="AL26">
        <f>IF(25&lt;=$G$35,INDEX('Preenchimento'!$M$46:$M$69,AR26),IF(AND(25=$G$35+1,ISNUMBER($B$35)),$B$35,NA()))</f>
        <v>0</v>
      </c>
      <c r="AM26">
        <f>IF(25&lt;=$G$35,INDEX('Preenchimento'!$N$46:$N$69,AR26),IF(AND(25=$G$35+1,ISNUMBER($C$35)),$C$35,NA()))</f>
        <v>0</v>
      </c>
      <c r="AN26">
        <f>IF(25&lt;=$G$35,INDEX('Preenchimento'!$T$46:$T$69,AR26),NA())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IF(25&lt;=$G$35,MATCH(25,'Preenchimento'!$Y$46:$Y$69,0),"")</f>
        <v>0</v>
      </c>
      <c r="AS26">
        <v>25</v>
      </c>
    </row>
    <row r="28" spans="1:45">
      <c r="A28" t="s">
        <v>278</v>
      </c>
    </row>
    <row r="30" spans="1:45">
      <c r="A30" t="s">
        <v>193</v>
      </c>
      <c r="B30" t="s">
        <v>194</v>
      </c>
      <c r="C30" t="s">
        <v>195</v>
      </c>
      <c r="D30" t="s">
        <v>196</v>
      </c>
      <c r="E30" t="s">
        <v>197</v>
      </c>
      <c r="F30" t="s">
        <v>198</v>
      </c>
      <c r="G30" t="s">
        <v>199</v>
      </c>
      <c r="H30" t="s">
        <v>200</v>
      </c>
      <c r="I30" t="s">
        <v>201</v>
      </c>
      <c r="J30" t="s">
        <v>202</v>
      </c>
      <c r="K30" t="s">
        <v>203</v>
      </c>
      <c r="L30" t="s">
        <v>204</v>
      </c>
      <c r="M30" t="s">
        <v>205</v>
      </c>
      <c r="N30" t="s">
        <v>206</v>
      </c>
      <c r="O30" t="s">
        <v>207</v>
      </c>
    </row>
    <row r="31" spans="1:45">
      <c r="A31" t="s">
        <v>14</v>
      </c>
      <c r="B31">
        <f>IF(COUNT('Preenchimento'!$E$46:$E$69)=0,"",AVERAGE('Preenchimento'!$E$46:$E$69))</f>
        <v>0</v>
      </c>
      <c r="C31">
        <f>IF(COUNT('Preenchimento'!$F$46:$F$69)=0,"",AVERAGE('Preenchimento'!$F$46:$F$69))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MAX(0,'Preenchimento'!$U$46:$U$69)</f>
        <v>0</v>
      </c>
      <c r="H31">
        <f>bTol_SE</f>
        <v>0</v>
      </c>
      <c r="I31">
        <f>COUNT('Preenchimento'!$E$46:$E$69)</f>
        <v>0</v>
      </c>
      <c r="J31">
        <f>COUNT('Preenchimento'!$F$46:$F$69)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IF(COUNT('Preenchimento'!$G$46:$G$69)=0,"",AVERAGE('Preenchimento'!$G$46:$G$69))</f>
        <v>0</v>
      </c>
      <c r="C32">
        <f>IF(COUNT('Preenchimento'!$H$46:$H$69)=0,"",AVERAGE('Preenchimento'!$H$46:$H$69))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MAX(0,'Preenchimento'!$V$46:$V$69)</f>
        <v>0</v>
      </c>
      <c r="H32">
        <f>bTol_325</f>
        <v>0</v>
      </c>
      <c r="I32">
        <f>COUNT('Preenchimento'!$G$46:$G$69)</f>
        <v>0</v>
      </c>
      <c r="J32">
        <f>COUNT('Preenchimento'!$H$46:$H$69)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208</v>
      </c>
    </row>
    <row r="33" spans="1:15">
      <c r="A33" t="s">
        <v>24</v>
      </c>
      <c r="B33">
        <f>IF(COUNT('Preenchimento'!$I$46:$I$69)=0,"",AVERAGE('Preenchimento'!$I$46:$I$69))</f>
        <v>0</v>
      </c>
      <c r="C33">
        <f>IF(COUNT('Preenchimento'!$J$46:$J$69)=0,"",AVERAGE('Preenchimento'!$J$46:$J$69))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MAX(0,'Preenchimento'!$W$46:$W$69)</f>
        <v>0</v>
      </c>
      <c r="H33">
        <f>bTol_SiO2</f>
        <v>0</v>
      </c>
      <c r="I33">
        <f>COUNT('Preenchimento'!$I$46:$I$69)</f>
        <v>0</v>
      </c>
      <c r="J33">
        <f>COUNT('Preenchimento'!$J$46:$J$69)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209</v>
      </c>
    </row>
    <row r="34" spans="1:15">
      <c r="A34" t="s">
        <v>27</v>
      </c>
      <c r="B34">
        <f>IF(COUNT('Preenchimento'!$K$46:$K$69)=0,"",AVERAGE('Preenchimento'!$K$46:$K$69))</f>
        <v>0</v>
      </c>
      <c r="C34">
        <f>IF(COUNT('Preenchimento'!$L$46:$L$69)=0,"",AVERAGE('Preenchimento'!$L$46:$L$69))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MAX(0,'Preenchimento'!$X$46:$X$69)</f>
        <v>0</v>
      </c>
      <c r="H34">
        <f>bTol_P</f>
        <v>0</v>
      </c>
      <c r="I34">
        <f>COUNT('Preenchimento'!$K$46:$K$69)</f>
        <v>0</v>
      </c>
      <c r="J34">
        <f>COUNT('Preenchimento'!$L$46:$L$69)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210</v>
      </c>
    </row>
    <row r="35" spans="1:15">
      <c r="A35" t="s">
        <v>30</v>
      </c>
      <c r="B35">
        <f>IF(COUNT('Preenchimento'!$M$46:$M$69)=0,"",AVERAGE('Preenchimento'!$M$46:$M$69))</f>
        <v>0</v>
      </c>
      <c r="C35">
        <f>IF(COUNT('Preenchimento'!$N$46:$N$69)=0,"",AVERAGE('Preenchimento'!$N$46:$N$69))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MAX(0,'Preenchimento'!$Y$46:$Y$69)</f>
        <v>0</v>
      </c>
      <c r="H35">
        <f>bTol_PPC</f>
        <v>0</v>
      </c>
      <c r="I35">
        <f>COUNT('Preenchimento'!$M$46:$M$69)</f>
        <v>0</v>
      </c>
      <c r="J35">
        <f>COUNT('Preenchimento'!$N$46:$N$69)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211</v>
      </c>
      <c r="B37" t="s">
        <v>212</v>
      </c>
      <c r="C37" t="s">
        <v>213</v>
      </c>
      <c r="D37" t="s">
        <v>214</v>
      </c>
      <c r="E37" t="s">
        <v>215</v>
      </c>
      <c r="F37" t="s">
        <v>216</v>
      </c>
      <c r="G37" t="s">
        <v>217</v>
      </c>
      <c r="H37" t="s">
        <v>218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219</v>
      </c>
      <c r="B40">
        <f>IF(bRef=bLabB,bLabB,bLabA)</f>
        <v>0</v>
      </c>
    </row>
    <row r="41" spans="1:15">
      <c r="A41" t="s">
        <v>220</v>
      </c>
      <c r="B41">
        <f>IF(bRef=bLabB,bLabA,bLabB)</f>
        <v>0</v>
      </c>
    </row>
    <row r="42" spans="1:15">
      <c r="A42" t="s">
        <v>221</v>
      </c>
      <c r="B42">
        <f>IF(ISNUMBER(bData),TEXT(DAY(bData),"00")&amp;"/"&amp;TEXT(MONTH(bData),"00")&amp;"/"&amp;YEAR(bData),"")</f>
        <v>0</v>
      </c>
    </row>
    <row r="43" spans="1:15">
      <c r="A43" t="s">
        <v>222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223</v>
      </c>
      <c r="B46">
        <f>IF(ISNUMBER(bIniP),cfgGradeU+ROUNDUP((bIniP-cfgGradeU)*12-0.000001,0)/12,"")</f>
        <v>0</v>
      </c>
    </row>
    <row r="47" spans="1:15">
      <c r="A47" t="s">
        <v>224</v>
      </c>
      <c r="B47">
        <f>IF(ISNUMBER(bIniG),cfgGradeG+ROUNDUP((bIniG-cfgGradeG)*12-0.000001,0)/12,"")</f>
        <v>0</v>
      </c>
    </row>
    <row r="48" spans="1:15">
      <c r="A48" t="s">
        <v>225</v>
      </c>
      <c r="B48">
        <f>IF(ISNUMBER(B57),MIN(bNHor,B57),bNHor)</f>
        <v>0</v>
      </c>
    </row>
    <row r="49" spans="1:2">
      <c r="A49" t="s">
        <v>227</v>
      </c>
      <c r="B49">
        <f>IF(AND(ISNUMBER(B46),ISNUMBER(bFimU)),MIN(24,MAX(1,ROUNDUP((bFimU+IF(ISNUMBER(bIniU),bIniP-bIniU,0)-B46)*12-0.000001,0))),"")</f>
        <v>0</v>
      </c>
    </row>
    <row r="50" spans="1:2">
      <c r="A50" t="s">
        <v>228</v>
      </c>
      <c r="B50">
        <f>IF(bNivel="",0,IFERROR(INDEX(cfgAtrasoH,MATCH(bNivel,cfgAtrasoN,0)),0))</f>
        <v>0</v>
      </c>
    </row>
    <row r="51" spans="1:2">
      <c r="A51" t="s">
        <v>229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230</v>
      </c>
      <c r="B52">
        <f>IF(bNivel&lt;&gt;"","nível dos tanques "&amp;LOWER(bNivel)&amp;" · ","")</f>
        <v>0</v>
      </c>
    </row>
    <row r="53" spans="1:2">
      <c r="A53" t="s">
        <v>231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156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232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226</v>
      </c>
      <c r="B57">
        <f>IF(AND(ISNUMBER(B47),ISNUMBER(bFimG)),MIN(24,MAX(1,ROUNDUP((bFimG-B47)*12-0.000001,0))),"")</f>
        <v>0</v>
      </c>
    </row>
    <row r="59" spans="1:2">
      <c r="A59" t="s">
        <v>288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6" t="s">
        <v>292</v>
      </c>
      <c r="B1" s="126" t="s">
        <v>294</v>
      </c>
      <c r="C1" s="126" t="s">
        <v>373</v>
      </c>
      <c r="D1" s="126" t="s">
        <v>296</v>
      </c>
      <c r="E1" s="126" t="s">
        <v>343</v>
      </c>
      <c r="F1" s="126" t="s">
        <v>298</v>
      </c>
      <c r="G1" s="126" t="s">
        <v>374</v>
      </c>
      <c r="H1" s="126" t="s">
        <v>375</v>
      </c>
      <c r="I1" s="126" t="s">
        <v>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133</vt:i4>
      </vt:variant>
    </vt:vector>
  </HeadingPairs>
  <TitlesOfParts>
    <vt:vector size="142" baseType="lpstr">
      <vt:lpstr>Preenchimento</vt:lpstr>
      <vt:lpstr>Batch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bExtH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Painel!Print_Area</vt:lpstr>
      <vt:lpstr>Preenchimento!Print_Area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2026-10-27T11:49:25Z</dcterms:created>
  <dcterms:modified xsi:type="dcterms:W3CDTF">2026-10-27T11:49:25Z</dcterms:modified>
</cp:coreProperties>
</file>