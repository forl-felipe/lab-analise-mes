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Lançamento" sheetId="1" r:id="rId1"/>
    <sheet name="Painel" sheetId="2" r:id="rId2"/>
    <sheet name="BD_Afericoes" sheetId="3" state="hidden" r:id="rId3"/>
    <sheet name="BD_Limites" sheetId="4" state="hidden" r:id="rId4"/>
    <sheet name="Config" sheetId="5" state="hidden" r:id="rId5"/>
    <sheet name="_Staging" sheetId="6" state="veryHidden" r:id="rId6"/>
    <sheet name="_Graficos" sheetId="7" state="veryHidden" r:id="rId7"/>
  </sheets>
  <definedNames>
    <definedName name="agenda">'Config'!$I$7:$V$15</definedName>
    <definedName name="agendaNomes">'Config'!$H$7:$H$15</definedName>
    <definedName name="c_ALP_LI">'Config'!$D$33</definedName>
    <definedName name="c_ALP_LS">'Config'!$E$33</definedName>
    <definedName name="c_ALP_NOM">'Config'!$C$33</definedName>
    <definedName name="c_ALP_TOL">'Config'!$F$33</definedName>
    <definedName name="c_BLAA_LI">'Config'!$D$36</definedName>
    <definedName name="c_BLAA_LS">'Config'!$E$36</definedName>
    <definedName name="c_BLAA_NOM">'Config'!$C$36</definedName>
    <definedName name="c_BLAA_TOL">'Config'!$F$36</definedName>
    <definedName name="c_BLAM_LI">'Config'!$D$34</definedName>
    <definedName name="c_BLAM_LS">'Config'!$E$34</definedName>
    <definedName name="c_BLAM_NOM">'Config'!$C$34</definedName>
    <definedName name="c_BLAM_TOL">'Config'!$F$34</definedName>
    <definedName name="c_BLAS_LI">'Config'!$D$35</definedName>
    <definedName name="c_BLAS_LS">'Config'!$E$35</definedName>
    <definedName name="c_BLAS_NOM">'Config'!$C$35</definedName>
    <definedName name="c_BLAS_TOL">'Config'!$F$35</definedName>
    <definedName name="c_COM12_LI">'Config'!$D$39</definedName>
    <definedName name="c_COM12_LS">'Config'!$E$39</definedName>
    <definedName name="c_COM12_NOM">'Config'!$C$39</definedName>
    <definedName name="c_COM12_TOL">'Config'!$F$39</definedName>
    <definedName name="c_COM16_LI">'Config'!$D$38</definedName>
    <definedName name="c_COM16_LS">'Config'!$E$38</definedName>
    <definedName name="c_COM16_NOM">'Config'!$C$38</definedName>
    <definedName name="c_COM16_TOL">'Config'!$F$38</definedName>
    <definedName name="c_FIS_LI">'Config'!$D$37</definedName>
    <definedName name="c_FIS_LS">'Config'!$E$37</definedName>
    <definedName name="c_FIS_NOM">'Config'!$C$37</definedName>
    <definedName name="c_FIS_TOL">'Config'!$F$37</definedName>
    <definedName name="c_G63_LI">'Config'!$D$41</definedName>
    <definedName name="c_G63_LS">'Config'!$E$41</definedName>
    <definedName name="c_G63_NOM">'Config'!$C$41</definedName>
    <definedName name="c_G63_TOL">'Config'!$F$41</definedName>
    <definedName name="c_GRG_LI">'Config'!$D$42</definedName>
    <definedName name="c_GRG_LS">'Config'!$E$42</definedName>
    <definedName name="c_GRG_NOM">'Config'!$C$42</definedName>
    <definedName name="c_GRG_TOL">'Config'!$F$42</definedName>
    <definedName name="c_T515_LI">'Config'!$D$44</definedName>
    <definedName name="c_T515_LS">'Config'!$E$44</definedName>
    <definedName name="c_T515_NOM">'Config'!$C$44</definedName>
    <definedName name="c_T515_TOL">'Config'!$F$44</definedName>
    <definedName name="c_TAMB_LI">'Config'!$D$32</definedName>
    <definedName name="c_TAMB_LS">'Config'!$E$32</definedName>
    <definedName name="c_TAMB_NOM">'Config'!$C$32</definedName>
    <definedName name="c_TAMB_TOL">'Config'!$F$32</definedName>
    <definedName name="c_UMI_LI">'Config'!$D$43</definedName>
    <definedName name="c_UMI_LS">'Config'!$E$43</definedName>
    <definedName name="c_UMI_NOM">'Config'!$C$43</definedName>
    <definedName name="c_UMI_TOL">'Config'!$F$43</definedName>
    <definedName name="c_V_TA05_LI">'Config'!$D$45</definedName>
    <definedName name="c_V_TA05_LS">'Config'!$E$45</definedName>
    <definedName name="c_V_TA05_NOM">'Config'!$C$45</definedName>
    <definedName name="c_V_TA05_TOL">'Config'!$F$45</definedName>
    <definedName name="c_V_TA06_LI">'Config'!$D$48</definedName>
    <definedName name="c_V_TA06_LS">'Config'!$E$48</definedName>
    <definedName name="c_V_TA06_NOM">'Config'!$C$48</definedName>
    <definedName name="c_V_TA06_TOL">'Config'!$F$48</definedName>
    <definedName name="c_V_TA07_LI">'Config'!$D$49</definedName>
    <definedName name="c_V_TA07_LS">'Config'!$E$49</definedName>
    <definedName name="c_V_TA07_NOM">'Config'!$C$49</definedName>
    <definedName name="c_V_TA07_TOL">'Config'!$F$49</definedName>
    <definedName name="c_V_TA08_LI">'Config'!$D$46</definedName>
    <definedName name="c_V_TA08_LS">'Config'!$E$46</definedName>
    <definedName name="c_V_TA08_NOM">'Config'!$C$46</definedName>
    <definedName name="c_V_TA08_TOL">'Config'!$F$46</definedName>
    <definedName name="c_V_TA09_LI">'Config'!$D$47</definedName>
    <definedName name="c_V_TA09_LS">'Config'!$E$47</definedName>
    <definedName name="c_V_TA09_NOM">'Config'!$C$47</definedName>
    <definedName name="c_V_TA09_TOL">'Config'!$F$47</definedName>
    <definedName name="c_VEL_LI">'Config'!$D$40</definedName>
    <definedName name="c_VEL_LS">'Config'!$E$40</definedName>
    <definedName name="c_VEL_NOM">'Config'!$C$40</definedName>
    <definedName name="c_VEL_TOL">'Config'!$F$40</definedName>
    <definedName name="cfgBackup">'Config'!$I$19</definedName>
    <definedName name="cfgPontosGrafico">'Config'!$I$22</definedName>
    <definedName name="cfgUltimoID">'Config'!$I$20</definedName>
    <definedName name="cfgUltimoLanc">'Config'!$I$21</definedName>
    <definedName name="cnt_ALP">'Config'!$I$28</definedName>
    <definedName name="cnt_BLA">'Config'!$I$26</definedName>
    <definedName name="cnt_COM">'Config'!$I$30</definedName>
    <definedName name="cnt_FIS">'Config'!$I$34</definedName>
    <definedName name="cnt_GRA">'Config'!$I$31</definedName>
    <definedName name="cnt_PEN">'Config'!$I$33</definedName>
    <definedName name="cnt_T515">'Config'!$I$32</definedName>
    <definedName name="cnt_TAM">'Config'!$I$27</definedName>
    <definedName name="cnt_UMI">'Config'!$I$29</definedName>
    <definedName name="crit_chave">BD_Limites!$A$2:$A$200</definedName>
    <definedName name="crit_LI">BD_Limites!$F$2:$F$200</definedName>
    <definedName name="crit_LS">BD_Limites!$G$2:$G$200</definedName>
    <definedName name="crit_NOM">BD_Limites!$E$2:$E$200</definedName>
    <definedName name="crit_TOL">BD_Limites!$H$2:$H$200</definedName>
    <definedName name="kpiAder">'Painel'!$N$9</definedName>
    <definedName name="kpiAderSub">'Painel'!$N$10</definedName>
    <definedName name="kpiConf">'Painel'!$F$9</definedName>
    <definedName name="kpiConfSub">'Painel'!$F$10</definedName>
    <definedName name="kpiNC">'Painel'!$J$9</definedName>
    <definedName name="kpiNCSub">'Painel'!$J$10</definedName>
    <definedName name="kpiReg">'Painel'!$B$9</definedName>
    <definedName name="kpiRegSub">'Painel'!$B$10</definedName>
    <definedName name="lstLetra">'Config'!$C$7:$C$10</definedName>
    <definedName name="lstPen">'Config'!$E$7:$E$9</definedName>
    <definedName name="lstResp">OFFSET(Config!$B$7,0,0,MAX(1,COUNTA(Config!$B$7:$B$27)),1)</definedName>
    <definedName name="lstTurno">'Config'!$D$7:$D$8</definedName>
    <definedName name="mapaInputs">'Config'!$H$26:$J$34</definedName>
    <definedName name="painelFim">'Painel'!$G$6</definedName>
    <definedName name="painelInfo">'Painel'!$I$6</definedName>
    <definedName name="painelIni">'Painel'!$D$6</definedName>
    <definedName name="pData">'Lançamento'!$D$6</definedName>
    <definedName name="penItens">'Lançamento'!$H$113:$L$139</definedName>
    <definedName name="pLetra">'Lançamento'!$I$6</definedName>
    <definedName name="pResp">'Lançamento'!$L$6</definedName>
    <definedName name="_xlnm.Print_Area" localSheetId="0">Lançamento!$B$2:$P$149</definedName>
    <definedName name="_xlnm.Print_Area" localSheetId="1">Painel!$B$2:$Q$154</definedName>
    <definedName name="pTurno">'Lançamento'!$G$6</definedName>
    <definedName name="sec_ALP">'Lançamento'!$C$40</definedName>
    <definedName name="sec_BLA">'Lançamento'!$C$22</definedName>
    <definedName name="sec_COM">'Lançamento'!$C$58</definedName>
    <definedName name="sec_FIS">'Lançamento'!$C$143</definedName>
    <definedName name="sec_GRA">'Lançamento'!$C$76</definedName>
    <definedName name="sec_PEN">'Lançamento'!$C$110</definedName>
    <definedName name="sec_T515">'Lançamento'!$C$100</definedName>
    <definedName name="sec_TAM">'Lançamento'!$C$30</definedName>
    <definedName name="sec_UMI">'Lançamento'!$C$48</definedName>
  </definedNames>
  <calcPr calcId="124519" fullCalcOnLoad="1"/>
</workbook>
</file>

<file path=xl/sharedStrings.xml><?xml version="1.0" encoding="utf-8"?>
<sst xmlns="http://schemas.openxmlformats.org/spreadsheetml/2006/main" count="1114" uniqueCount="444">
  <si>
    <t>Chave</t>
  </si>
  <si>
    <t>Ensaio</t>
  </si>
  <si>
    <t>Parâmetro</t>
  </si>
  <si>
    <t>Unidade</t>
  </si>
  <si>
    <t>Nominal</t>
  </si>
  <si>
    <t>Lim. Inferior</t>
  </si>
  <si>
    <t>Lim. Superior</t>
  </si>
  <si>
    <t>Tolerância</t>
  </si>
  <si>
    <t>Fonte</t>
  </si>
  <si>
    <t>TAMB</t>
  </si>
  <si>
    <t>Tambor de Abrasão</t>
  </si>
  <si>
    <t>Rotação</t>
  </si>
  <si>
    <t>rpm</t>
  </si>
  <si>
    <t>Aba Tambor de Abrasão, A4/A23: 25 ± 1 rpm (limites X7/Z7)</t>
  </si>
  <si>
    <t>ALP</t>
  </si>
  <si>
    <t>Gran. Fina Alpine</t>
  </si>
  <si>
    <t>Passante</t>
  </si>
  <si>
    <t>%</t>
  </si>
  <si>
    <t>Aba Gran. Fina Alpine, linha 5 e colunas I:K</t>
  </si>
  <si>
    <t>BLAM</t>
  </si>
  <si>
    <t>Blaine</t>
  </si>
  <si>
    <t>Blaine Manual</t>
  </si>
  <si>
    <t>cm²/g</t>
  </si>
  <si>
    <t>Aba Calibração Blaine, colunas E:G e fórmula I6</t>
  </si>
  <si>
    <t>BLAS</t>
  </si>
  <si>
    <t>Calibração Star</t>
  </si>
  <si>
    <t>Aba Calibração Blaine, fórmula K6</t>
  </si>
  <si>
    <t>BLAA</t>
  </si>
  <si>
    <t>Blaine Automático</t>
  </si>
  <si>
    <t>Aba Calibração Blaine, fórmula M6</t>
  </si>
  <si>
    <t>FIS</t>
  </si>
  <si>
    <t>Comparativo Fisher</t>
  </si>
  <si>
    <t>Superfície específica</t>
  </si>
  <si>
    <t>Aba Comparativo Fisher, F6: diferença aceitável 300 cm²/g</t>
  </si>
  <si>
    <t>COM16</t>
  </si>
  <si>
    <t>Compressão</t>
  </si>
  <si>
    <t>FX -16,0 +12,5 mm</t>
  </si>
  <si>
    <t>kgf/pel</t>
  </si>
  <si>
    <t>Definido pelo gestor (24/09/2026): nominal 360 kgf/pel; aba Compressão, B1: diferença aceitável 20</t>
  </si>
  <si>
    <t>COM12</t>
  </si>
  <si>
    <t>FX -12,5 +10,0 mm</t>
  </si>
  <si>
    <t>Aba Compressão, B16: nominal 310 kgf/pel, diferença aceitável 20</t>
  </si>
  <si>
    <t>VEL</t>
  </si>
  <si>
    <t>Velocidade</t>
  </si>
  <si>
    <t>mm/min</t>
  </si>
  <si>
    <t>Aba Compressão, B1: velocidade 15 ± 2 mm/min</t>
  </si>
  <si>
    <t>G63</t>
  </si>
  <si>
    <t>Granulometria</t>
  </si>
  <si>
    <t>-6,3 mm</t>
  </si>
  <si>
    <t>Aba Granulometria, R11: tolerância 0,30</t>
  </si>
  <si>
    <t>GRG</t>
  </si>
  <si>
    <t>RG (Relação)</t>
  </si>
  <si>
    <t>-</t>
  </si>
  <si>
    <t>Aba Granulometria, R10: tolerância 0,15</t>
  </si>
  <si>
    <t>UMI</t>
  </si>
  <si>
    <t>Umidade</t>
  </si>
  <si>
    <t>Aba Umidade, coluna I: diferença aceitável 0,05</t>
  </si>
  <si>
    <t>T515</t>
  </si>
  <si>
    <t>Tamb 5 kg x 15 kg</t>
  </si>
  <si>
    <t>+6,3 mm</t>
  </si>
  <si>
    <t>Aba Tamb Kg x Tamb 15,0Kg, V10: diferença aceitável 0,5</t>
  </si>
  <si>
    <t>V_TA05</t>
  </si>
  <si>
    <t>Voltas 66TA05</t>
  </si>
  <si>
    <t>voltas</t>
  </si>
  <si>
    <t>Definido pelo gestor (24/09/2026): 188 voltas</t>
  </si>
  <si>
    <t>V_TA08</t>
  </si>
  <si>
    <t>Voltas 66TA08</t>
  </si>
  <si>
    <t>V_TA09</t>
  </si>
  <si>
    <t>Voltas 66TA09</t>
  </si>
  <si>
    <t>V_TA06</t>
  </si>
  <si>
    <t>Voltas 66TA06</t>
  </si>
  <si>
    <t>Definido pelo gestor (24/09/2026): 200 voltas (a aba calcula com 188 em E25:E34)</t>
  </si>
  <si>
    <t>V_TA07</t>
  </si>
  <si>
    <t>Voltas 66TA07</t>
  </si>
  <si>
    <t>Aba Tambor de Abrasão, J25 (bloco de 200 voltas) — CONFIRMAR</t>
  </si>
  <si>
    <t>COMO FUNCIONA</t>
  </si>
  <si>
    <t>Critérios de aceitação das calibrações, aferições e comparativos.
 Altere aqui o valor nominal, os limites ou a tolerância (células em amarelo). O Lançamento e o Painel passam a usar o novo valor na hora.
 Resultado: com limites, Conforme quando Lim. Inferior &lt;= valor &lt;= Lim. Superior; com tolerância, Conforme quando |valor - referência| &lt;= tolerância.
 As linhas V_TA.. guardam o número de voltas de cada tambor (usado no cálculo do rpm).
 Não renomeie a coluna Chave nem apague linhas: o Lançamento procura o critério pela chave.
 Esta tabela (tbl_Limites) e a tabela tbl_Afericoes (aba BD_Afericoes) são lidas pelo Power BI.</t>
  </si>
  <si>
    <t>CONFIGURAÇÕES</t>
  </si>
  <si>
    <t>LISTAS, AGENDA SEMANAL E BACKUP</t>
  </si>
  <si>
    <t>Responsáveis</t>
  </si>
  <si>
    <t>Alexsandro</t>
  </si>
  <si>
    <t>Anderson</t>
  </si>
  <si>
    <t>Cassiano</t>
  </si>
  <si>
    <t>Cleybson</t>
  </si>
  <si>
    <t>Feliciano</t>
  </si>
  <si>
    <t>Felipe</t>
  </si>
  <si>
    <t>Humberto</t>
  </si>
  <si>
    <t>Renato</t>
  </si>
  <si>
    <t>Wesley</t>
  </si>
  <si>
    <t>Letras</t>
  </si>
  <si>
    <t>A</t>
  </si>
  <si>
    <t>B</t>
  </si>
  <si>
    <t>C</t>
  </si>
  <si>
    <t>D</t>
  </si>
  <si>
    <t>Turnos</t>
  </si>
  <si>
    <t>07x19</t>
  </si>
  <si>
    <t>19x07</t>
  </si>
  <si>
    <t>Peneiradores</t>
  </si>
  <si>
    <t>OK</t>
  </si>
  <si>
    <t>NÃO OK</t>
  </si>
  <si>
    <t>SEM TAG</t>
  </si>
  <si>
    <t>Critérios em uso (lidos da aba BD_Limites)</t>
  </si>
  <si>
    <t>Lim. inf.</t>
  </si>
  <si>
    <t>Lim. sup.</t>
  </si>
  <si>
    <t>CONTROLE DE CALIBRAÇÃO E AFERIÇÃO</t>
  </si>
  <si>
    <t>LABORATÓRIO FÍSICO  |  LANÇAMENTO</t>
  </si>
  <si>
    <t>Data</t>
  </si>
  <si>
    <t>Turno</t>
  </si>
  <si>
    <t>Letra</t>
  </si>
  <si>
    <t>Responsável</t>
  </si>
  <si>
    <t>AGENDA DO TURNO</t>
  </si>
  <si>
    <t>Frequência</t>
  </si>
  <si>
    <t>Neste turno</t>
  </si>
  <si>
    <t>Nesta tela</t>
  </si>
  <si>
    <t>Resultado na tela</t>
  </si>
  <si>
    <t>Último registro</t>
  </si>
  <si>
    <t>Clique no nome do ensaio para ir ao formulário. Ensaios sem dados nesta tela não são registrados.</t>
  </si>
  <si>
    <t>1.  CALIBRAÇÃO BLAINE</t>
  </si>
  <si>
    <t>Início de todo turno</t>
  </si>
  <si>
    <t>ISO 21283 · área da superfície específica</t>
  </si>
  <si>
    <t>Equipamento</t>
  </si>
  <si>
    <t>Resultado (cm²/g)</t>
  </si>
  <si>
    <t>Diferença</t>
  </si>
  <si>
    <t>Situação</t>
  </si>
  <si>
    <t>66PB08</t>
  </si>
  <si>
    <t>Blaine Star</t>
  </si>
  <si>
    <t>Observação</t>
  </si>
  <si>
    <t>2.  TAMBOR DE ABRASÃO · ROTAÇÃO</t>
  </si>
  <si>
    <t>Seg, qua e sáb · noite</t>
  </si>
  <si>
    <t>ISO 3271 · 25 ± 1 rpm</t>
  </si>
  <si>
    <t>Tambor</t>
  </si>
  <si>
    <t>Voltas</t>
  </si>
  <si>
    <t>Minutos</t>
  </si>
  <si>
    <t>Segundos</t>
  </si>
  <si>
    <t>Tempo (s)</t>
  </si>
  <si>
    <t>Rotação (rpm)</t>
  </si>
  <si>
    <t>66TA05</t>
  </si>
  <si>
    <t>66TA08</t>
  </si>
  <si>
    <t>66TA09</t>
  </si>
  <si>
    <t>66TA06</t>
  </si>
  <si>
    <t>66TA07</t>
  </si>
  <si>
    <t>3.  GRANULOMETRIA FINA ALPINE</t>
  </si>
  <si>
    <t>ISO 4701 · passante</t>
  </si>
  <si>
    <t>Peneira</t>
  </si>
  <si>
    <t>Passante (%)</t>
  </si>
  <si>
    <t>66AG09</t>
  </si>
  <si>
    <t>66PN670</t>
  </si>
  <si>
    <t>66AG10</t>
  </si>
  <si>
    <t>66PN671</t>
  </si>
  <si>
    <t>66AG11</t>
  </si>
  <si>
    <t>4.  UMIDADE · ANALISADORES X ESTUFA</t>
  </si>
  <si>
    <t>Ter, qui e dom · noite</t>
  </si>
  <si>
    <t>ISO 3087 · umidade de lote</t>
  </si>
  <si>
    <t>Estufa 100 °C · umidade (%)</t>
  </si>
  <si>
    <t>ou informe as pesagens da estufa na linha abaixo (o cálculo é automático)</t>
  </si>
  <si>
    <t>Pesagens da estufa (g)</t>
  </si>
  <si>
    <t>Tara</t>
  </si>
  <si>
    <t>P. inicial</t>
  </si>
  <si>
    <t>P. final</t>
  </si>
  <si>
    <t>Estufa usada (%)</t>
  </si>
  <si>
    <t>Analisador</t>
  </si>
  <si>
    <t>Umidade (%)</t>
  </si>
  <si>
    <t>Estufa (%)</t>
  </si>
  <si>
    <t>66AN10</t>
  </si>
  <si>
    <t>66AN11</t>
  </si>
  <si>
    <t>66AN12</t>
  </si>
  <si>
    <t>5.  COMPRESSÃO · PRENSAS</t>
  </si>
  <si>
    <t>Segunda · noite</t>
  </si>
  <si>
    <t>ISO 4700 · resistência à compressão</t>
  </si>
  <si>
    <t>Prensa</t>
  </si>
  <si>
    <t>Resistência (kgf/pel)</t>
  </si>
  <si>
    <t>DP</t>
  </si>
  <si>
    <t>Velocidade (mm/min)</t>
  </si>
  <si>
    <t>Situação velocidade</t>
  </si>
  <si>
    <t>66PS04</t>
  </si>
  <si>
    <t>66PS07</t>
  </si>
  <si>
    <t>66PS08</t>
  </si>
  <si>
    <t>66PS10</t>
  </si>
  <si>
    <t>não se aplica</t>
  </si>
  <si>
    <t>66PS05</t>
  </si>
  <si>
    <t>6.  GRANULOMETRIA · LTF X LCE</t>
  </si>
  <si>
    <t>ISO 4701 · comparativo de peneiramento</t>
  </si>
  <si>
    <t>Fração (mm)</t>
  </si>
  <si>
    <t>LTF 66PN09 (g)</t>
  </si>
  <si>
    <t>LTF (%)</t>
  </si>
  <si>
    <t>LCE 66PN08 (g)</t>
  </si>
  <si>
    <t>LCE (%)</t>
  </si>
  <si>
    <t>+19,0</t>
  </si>
  <si>
    <t>-19,0 +16,0</t>
  </si>
  <si>
    <t>-16,0 +14,0</t>
  </si>
  <si>
    <t>-14,0 +12,5</t>
  </si>
  <si>
    <t>-12,5 +9,0</t>
  </si>
  <si>
    <t>-9,0 +8,0</t>
  </si>
  <si>
    <t>-8,0 +6,3</t>
  </si>
  <si>
    <t>-6,3 +5,0</t>
  </si>
  <si>
    <t>-5,0 +0,5</t>
  </si>
  <si>
    <t>-0,5</t>
  </si>
  <si>
    <t>Total</t>
  </si>
  <si>
    <t>Indicador</t>
  </si>
  <si>
    <t>LTF</t>
  </si>
  <si>
    <t>LCE</t>
  </si>
  <si>
    <t>-16,0 +12,5 mm</t>
  </si>
  <si>
    <t>—</t>
  </si>
  <si>
    <t>-16,0 +9,0 mm</t>
  </si>
  <si>
    <t>-16,0 +8,0 mm</t>
  </si>
  <si>
    <t>Diâmetro médio</t>
  </si>
  <si>
    <t>7.  TAMBORAMENTO 5 KG X 15 KG</t>
  </si>
  <si>
    <t>ISO 3271 · LTF x T03</t>
  </si>
  <si>
    <t>Amostra</t>
  </si>
  <si>
    <t>+6,3 mm (g)</t>
  </si>
  <si>
    <t>-6,3 +0,5 mm (g)</t>
  </si>
  <si>
    <t>+6,3 (%)</t>
  </si>
  <si>
    <t>-6,3 +0,5 (%)</t>
  </si>
  <si>
    <t>-0,5 (%)</t>
  </si>
  <si>
    <t>LTF 5,0 kg · 66TA05</t>
  </si>
  <si>
    <t>massa de ensaio 5.000 g</t>
  </si>
  <si>
    <t>LCE 15,0 kg · T03</t>
  </si>
  <si>
    <t>massa de ensaio 15.000 g</t>
  </si>
  <si>
    <t>Comparativo</t>
  </si>
  <si>
    <t>-0,5 mm</t>
  </si>
  <si>
    <t>8.  VERIFICAÇÃO DOS PENEIRADORES</t>
  </si>
  <si>
    <t>Telas, inclinação, vibração, travamento, calibração</t>
  </si>
  <si>
    <t>Peneirador</t>
  </si>
  <si>
    <t>Malha (mm)</t>
  </si>
  <si>
    <t>Tag</t>
  </si>
  <si>
    <t>Condições
das telas</t>
  </si>
  <si>
    <t>Inclinação
das telas</t>
  </si>
  <si>
    <t>Vibração</t>
  </si>
  <si>
    <t>Travamento</t>
  </si>
  <si>
    <t>Calibração</t>
  </si>
  <si>
    <t>Itens OK</t>
  </si>
  <si>
    <t>Circulares</t>
  </si>
  <si>
    <t>19</t>
  </si>
  <si>
    <t>PN0423</t>
  </si>
  <si>
    <t>16</t>
  </si>
  <si>
    <t>PN0482</t>
  </si>
  <si>
    <t>12,5</t>
  </si>
  <si>
    <t>PN  614</t>
  </si>
  <si>
    <t>10</t>
  </si>
  <si>
    <t>PN 303</t>
  </si>
  <si>
    <t>9</t>
  </si>
  <si>
    <t>PN431</t>
  </si>
  <si>
    <t>8</t>
  </si>
  <si>
    <t>PN432</t>
  </si>
  <si>
    <t>6,3</t>
  </si>
  <si>
    <t>PN0430</t>
  </si>
  <si>
    <t>5</t>
  </si>
  <si>
    <t>PN0425</t>
  </si>
  <si>
    <t>3,15</t>
  </si>
  <si>
    <t>PN0,46</t>
  </si>
  <si>
    <t>0,5</t>
  </si>
  <si>
    <t>PN0500</t>
  </si>
  <si>
    <t>PN0501</t>
  </si>
  <si>
    <t>Peneirador 09</t>
  </si>
  <si>
    <t>PN478</t>
  </si>
  <si>
    <t>PN516</t>
  </si>
  <si>
    <t>14</t>
  </si>
  <si>
    <t>PN665</t>
  </si>
  <si>
    <t>PN479598</t>
  </si>
  <si>
    <t>PN510</t>
  </si>
  <si>
    <t>PN647</t>
  </si>
  <si>
    <t>PN0459</t>
  </si>
  <si>
    <t>Peneirador 05</t>
  </si>
  <si>
    <t>PN398</t>
  </si>
  <si>
    <t>PN664</t>
  </si>
  <si>
    <t>PN666</t>
  </si>
  <si>
    <t>PN646</t>
  </si>
  <si>
    <t>PN649</t>
  </si>
  <si>
    <t>Peneirador 06</t>
  </si>
  <si>
    <t>PN648</t>
  </si>
  <si>
    <t>N/CONT</t>
  </si>
  <si>
    <t>9.  COMPARATIVO FISHER</t>
  </si>
  <si>
    <t>Eventual</t>
  </si>
  <si>
    <t>Superfície específica 66PB01 x 66PB09</t>
  </si>
  <si>
    <t>Análise</t>
  </si>
  <si>
    <t>66PB01 (cm²/g)</t>
  </si>
  <si>
    <t>66PB09 (cm²/g)</t>
  </si>
  <si>
    <t>1. Calibração Blaine</t>
  </si>
  <si>
    <t>2. Tambor de abrasão · rotação</t>
  </si>
  <si>
    <t>3. Granulometria fina Alpine</t>
  </si>
  <si>
    <t>4. Umidade · analisadores x estufa</t>
  </si>
  <si>
    <t>5. Compressão · prensas</t>
  </si>
  <si>
    <t>6. Granulometria · LTF x LCE</t>
  </si>
  <si>
    <t>7. Tamboramento 5 kg x 15 kg</t>
  </si>
  <si>
    <t>8. Verificação dos peneiradores</t>
  </si>
  <si>
    <t>9. Comparativo Fisher</t>
  </si>
  <si>
    <t>Agenda semanal (X = previsto). Base: aba "Controle" da planilha anterior. D = turno 07x19, N = turno 19x07.</t>
  </si>
  <si>
    <t>Seg D</t>
  </si>
  <si>
    <t>Seg N</t>
  </si>
  <si>
    <t>Ter D</t>
  </si>
  <si>
    <t>Ter N</t>
  </si>
  <si>
    <t>Qua D</t>
  </si>
  <si>
    <t>Qua N</t>
  </si>
  <si>
    <t>Qui D</t>
  </si>
  <si>
    <t>Qui N</t>
  </si>
  <si>
    <t>Sex D</t>
  </si>
  <si>
    <t>Sex N</t>
  </si>
  <si>
    <t>Sáb D</t>
  </si>
  <si>
    <t>Sáb N</t>
  </si>
  <si>
    <t>Dom D</t>
  </si>
  <si>
    <t>Dom N</t>
  </si>
  <si>
    <t>Calibração Blaine</t>
  </si>
  <si>
    <t>X</t>
  </si>
  <si>
    <t>Tambor de abrasão · rotação</t>
  </si>
  <si>
    <t>Granulometria fina Alpine</t>
  </si>
  <si>
    <t>Umidade · analisadores x estufa</t>
  </si>
  <si>
    <t>Compressão · prensas</t>
  </si>
  <si>
    <t>Granulometria · LTF x LCE</t>
  </si>
  <si>
    <t>Tamboramento 5 kg x 15 kg</t>
  </si>
  <si>
    <t>Verificação dos peneiradores</t>
  </si>
  <si>
    <t>Parâmetros gerais</t>
  </si>
  <si>
    <t>Pasta do backup automático (ao salvar)</t>
  </si>
  <si>
    <t>G:\Grupos de Trabalho\UBU Gerência de Processos e Automação\Laboratório\01 - Lab. Físico\02 - Gerenciamento da Rotina\AFERIÇÃO - PADRÃO\Backup</t>
  </si>
  <si>
    <t>Último número de lançamento</t>
  </si>
  <si>
    <t>Último lançamento</t>
  </si>
  <si>
    <t>Pontos nos gráficos do Painel</t>
  </si>
  <si>
    <t>Campos preenchidos no Lançamento (uso interno)</t>
  </si>
  <si>
    <t>BLA</t>
  </si>
  <si>
    <t>$H$25:$I$25;$H$26:$I$26;$H$27:$I$27;$E$28:$P$28</t>
  </si>
  <si>
    <t>TAM</t>
  </si>
  <si>
    <t>$F$33;$G$33;$F$34;$G$34;$F$35;$G$35;$F$36;$G$36;$F$37;$G$37;$E$38:$P$38</t>
  </si>
  <si>
    <t>$H$43:$I$43;$H$44:$I$44;$H$45:$I$45;$E$46:$P$46</t>
  </si>
  <si>
    <t>$F$50:$G$50;$G$51;$I$51;$K$51;$F$53:$G$53;$F$54:$G$54;$F$55:$G$55;$E$56:$P$56</t>
  </si>
  <si>
    <t>COM</t>
  </si>
  <si>
    <t>$E$62:$F$62;$G$62;$K$62:$L$62;$E$63:$F$63;$G$63;$K$63:$L$63;$E$64:$F$64;$G$64;$K$64:$L$64;$E$65:$F$65;$G$65;$E$66:$F$66;$G$66;$K$66:$L$66;$E$69:$F$69;$G$69;$K$69:$L$69;$E$70:$F$70;$G$70;$K$70:$L$70;$E$71:$F$71;$G$71;$K$71:$L$71;$E$72:$F$72;$G$72;$E$73:$F$73;$G$73;$K$73:$L$73;$E$74:$P$74</t>
  </si>
  <si>
    <t>GRA</t>
  </si>
  <si>
    <t>$F$79:$G$79;$I$79:$J$79;$F$80:$G$80;$I$80:$J$80;$F$81:$G$81;$I$81:$J$81;$F$82:$G$82;$I$82:$J$82;$F$83:$G$83;$I$83:$J$83;$F$84:$G$84;$I$84:$J$84;$F$85:$G$85;$I$85:$J$85;$F$86:$G$86;$I$86:$J$86;$F$87:$G$87;$I$87:$J$87;$F$88:$G$88;$I$88:$J$88;$E$98:$P$98</t>
  </si>
  <si>
    <t>$F$103:$G$103;$H$103:$I$103;$F$104:$G$104;$H$104:$I$104;$E$108:$P$108</t>
  </si>
  <si>
    <t>PEN</t>
  </si>
  <si>
    <t>$H$113;$I$113;$J$113;$K$113;$L$113;$H$114;$I$114;$J$114;$K$114;$L$114;$H$115;$I$115;$J$115;$K$115;$L$115;$H$116;$I$116;$J$116;$K$116;$L$116;$H$117;$I$117;$J$117;$K$117;$L$117;$H$118;$I$118;$J$118;$K$118;$L$118;$H$119;$I$119;$J$119;$K$119;$L$119;$H$120;$I$120;$J$120;$K$120;$L$120;$H$121;$I$121;$J$121;$K$121;$L$121;$H$122;$I$122;$J$122;$K$122;$L$122;$H$123;$I$123;$J$123;$K$123;$L$123;$H$124;$I$124;$J$124;$K$124;$L$124;$H$125;$I$125;$J$125;$K$125;$L$125;$H$126;$I$126;$J$126;$K$126;$L$126;$H$127;$I$127;$J$127;$K$127;$L$127;$H$128;$I$128;$J$128;$K$128;$L$128;$H$129;$I$129;$J$129;$K$129;$L$129;$H$130;$I$130;$J$130;$K$130;$L$130;$H$131;$I$131;$J$131;$K$131;$L$131;$H$132;$I$132;$J$132;$K$132;$L$132;$H$133;$I$133;$J$133;$K$133;$L$133;$H$134;$I$134;$J$134;$K$134;$L$134;$H$135;$I$135;$J$135;$K$135;$L$135;$H$136;$I$136;$J$136;$K$136;$L$136;$H$137;$I$137;$J$137;$K$137;$L$137;$H$138;$I$138;$J$138;$K$138;$L$138;$H$139;$I$139;$J$139;$K$139;$L$139;$E$141:$P$141</t>
  </si>
  <si>
    <t>$F$146:$G$146;$H$146:$I$146;$E$147:$P$147</t>
  </si>
  <si>
    <t>Tipo</t>
  </si>
  <si>
    <t>Valor</t>
  </si>
  <si>
    <t>Referência</t>
  </si>
  <si>
    <t>Resultado</t>
  </si>
  <si>
    <t>Origem</t>
  </si>
  <si>
    <t>Registrar</t>
  </si>
  <si>
    <t>Ensaio (cód.)</t>
  </si>
  <si>
    <t>Conforme</t>
  </si>
  <si>
    <t>RENATO</t>
  </si>
  <si>
    <t>Importado: CALIBRAÇÃO 10 - OUTUBRO.xlsm | Calibração Blaine!H6</t>
  </si>
  <si>
    <t>WESLEY</t>
  </si>
  <si>
    <t>Importado: CALIBRAÇÃO 10 - OUTUBRO.xlsm | Calibração Blaine!H7</t>
  </si>
  <si>
    <t>Verificação Peneiradores</t>
  </si>
  <si>
    <t>Verificação</t>
  </si>
  <si>
    <t>Malha 19 mm (Circulares)</t>
  </si>
  <si>
    <t>itens OK</t>
  </si>
  <si>
    <t>FELIPE</t>
  </si>
  <si>
    <t>Importado: CALIBRAÇÃO 10 - OUTUBRO.xlsm | Verificação Peneiradores!B6:B10</t>
  </si>
  <si>
    <t>Malha 16 mm (Circulares)</t>
  </si>
  <si>
    <t xml:space="preserve">Sem TAG de calibração; </t>
  </si>
  <si>
    <t>Importado: CALIBRAÇÃO 10 - OUTUBRO.xlsm | Verificação Peneiradores!C6:C10</t>
  </si>
  <si>
    <t>PN 614</t>
  </si>
  <si>
    <t>Malha 12,5 mm (Circulares)</t>
  </si>
  <si>
    <t>Importado: CALIBRAÇÃO 10 - OUTUBRO.xlsm | Verificação Peneiradores!D6:D10</t>
  </si>
  <si>
    <t>Malha 10 mm (Circulares)</t>
  </si>
  <si>
    <t>Importado: CALIBRAÇÃO 10 - OUTUBRO.xlsm | Verificação Peneiradores!E6:E10</t>
  </si>
  <si>
    <t>Malha 9 mm (Circulares)</t>
  </si>
  <si>
    <t>Importado: CALIBRAÇÃO 10 - OUTUBRO.xlsm | Verificação Peneiradores!F6:F10</t>
  </si>
  <si>
    <t>Malha 8 mm (Circulares)</t>
  </si>
  <si>
    <t>Importado: CALIBRAÇÃO 10 - OUTUBRO.xlsm | Verificação Peneiradores!G6:G10</t>
  </si>
  <si>
    <t>Malha 6,3 mm (Circulares)</t>
  </si>
  <si>
    <t>Importado: CALIBRAÇÃO 10 - OUTUBRO.xlsm | Verificação Peneiradores!H6:H10</t>
  </si>
  <si>
    <t>Malha 5 mm (Circulares)</t>
  </si>
  <si>
    <t>Importado: CALIBRAÇÃO 10 - OUTUBRO.xlsm | Verificação Peneiradores!I6:I10</t>
  </si>
  <si>
    <t>Malha 3,15 mm (Circulares)</t>
  </si>
  <si>
    <t>Importado: CALIBRAÇÃO 10 - OUTUBRO.xlsm | Verificação Peneiradores!J6:J10</t>
  </si>
  <si>
    <t>Malha 0,5 mm (Circulares)</t>
  </si>
  <si>
    <t>Importado: CALIBRAÇÃO 10 - OUTUBRO.xlsm | Verificação Peneiradores!K6:K10</t>
  </si>
  <si>
    <t>Importado: CALIBRAÇÃO 10 - OUTUBRO.xlsm | Verificação Peneiradores!L6:L10</t>
  </si>
  <si>
    <t>Malha 19 mm (Peneirador 09)</t>
  </si>
  <si>
    <t>Importado: CALIBRAÇÃO 10 - OUTUBRO.xlsm | Verificação Peneiradores!M6:M10</t>
  </si>
  <si>
    <t>Malha 16 mm (Peneirador 09)</t>
  </si>
  <si>
    <t>Importado: CALIBRAÇÃO 10 - OUTUBRO.xlsm | Verificação Peneiradores!N6:N10</t>
  </si>
  <si>
    <t>Malha 14 mm (Peneirador 09)</t>
  </si>
  <si>
    <t>Importado: CALIBRAÇÃO 10 - OUTUBRO.xlsm | Verificação Peneiradores!O6:O10</t>
  </si>
  <si>
    <t>Malha 12,5 mm (Peneirador 09)</t>
  </si>
  <si>
    <t>Importado: CALIBRAÇÃO 10 - OUTUBRO.xlsm | Verificação Peneiradores!P6:P10</t>
  </si>
  <si>
    <t>Malha 9 mm (Peneirador 09)</t>
  </si>
  <si>
    <t>Importado: CALIBRAÇÃO 10 - OUTUBRO.xlsm | Verificação Peneiradores!Q6:Q10</t>
  </si>
  <si>
    <t>Malha 8 mm (Peneirador 09)</t>
  </si>
  <si>
    <t>Importado: CALIBRAÇÃO 10 - OUTUBRO.xlsm | Verificação Peneiradores!R6:R10</t>
  </si>
  <si>
    <t>Malha 6,3 mm (Peneirador 09)</t>
  </si>
  <si>
    <t>Importado: CALIBRAÇÃO 10 - OUTUBRO.xlsm | Verificação Peneiradores!S6:S10</t>
  </si>
  <si>
    <t>Malha 19 mm (Peneirador 05)</t>
  </si>
  <si>
    <t>Importado: CALIBRAÇÃO 10 - OUTUBRO.xlsm | Verificação Peneiradores!T6:T10</t>
  </si>
  <si>
    <t>Malha 16 mm (Peneirador 05)</t>
  </si>
  <si>
    <t>Importado: CALIBRAÇÃO 10 - OUTUBRO.xlsm | Verificação Peneiradores!U6:U10</t>
  </si>
  <si>
    <t>Malha 9 mm (Peneirador 05)</t>
  </si>
  <si>
    <t>Não conforme</t>
  </si>
  <si>
    <t xml:space="preserve">Calibração; </t>
  </si>
  <si>
    <t>Importado: CALIBRAÇÃO 10 - OUTUBRO.xlsm | Verificação Peneiradores!X6:X10</t>
  </si>
  <si>
    <t>Malha 6,3 mm (Peneirador 05)</t>
  </si>
  <si>
    <t>Importado: CALIBRAÇÃO 10 - OUTUBRO.xlsm | Verificação Peneiradores!Z6:Z10</t>
  </si>
  <si>
    <t>Malha 6,3 mm (Peneirador 06)</t>
  </si>
  <si>
    <t>Importado: CALIBRAÇÃO 10 - OUTUBRO.xlsm | Verificação Peneiradores!AA6:AA10</t>
  </si>
  <si>
    <t>Malha 10 mm (Peneirador 06)</t>
  </si>
  <si>
    <t>Importado: CALIBRAÇÃO 10 - OUTUBRO.xlsm | Verificação Peneiradores!AB6:AB10</t>
  </si>
  <si>
    <t>Dados dos gráficos do Painel (preenchidos pela macro AtualizarPainel)</t>
  </si>
  <si>
    <t>G</t>
  </si>
  <si>
    <t>faixa:BLAM</t>
  </si>
  <si>
    <t>Ocasião</t>
  </si>
  <si>
    <t>Lim. inferior</t>
  </si>
  <si>
    <t>Lim. superior</t>
  </si>
  <si>
    <t>faixa:TAMB</t>
  </si>
  <si>
    <t>faixa:ALP</t>
  </si>
  <si>
    <t>Passante (peneira 66PN670)</t>
  </si>
  <si>
    <t>Passante (peneira 66PN671)</t>
  </si>
  <si>
    <t>I</t>
  </si>
  <si>
    <t>tol:UMI</t>
  </si>
  <si>
    <t>66AN10 x Estufa</t>
  </si>
  <si>
    <t>66AN11 x Estufa</t>
  </si>
  <si>
    <t>66AN12 x Estufa</t>
  </si>
  <si>
    <t>tol:COM16</t>
  </si>
  <si>
    <t>Resistência FX -16,0 +12,5 mm</t>
  </si>
  <si>
    <t>LABORATÓRIO FÍSICO  |  PAINEL DE RESULTADOS</t>
  </si>
  <si>
    <t>Período</t>
  </si>
  <si>
    <t>até</t>
  </si>
  <si>
    <t>Painel não atualizado</t>
  </si>
  <si>
    <t>Resultados registrados</t>
  </si>
  <si>
    <t>Conformidade</t>
  </si>
  <si>
    <t>Não conformidades</t>
  </si>
  <si>
    <t>Aderência à agenda</t>
  </si>
  <si>
    <t>RESULTADOS POR ENSAIO</t>
  </si>
  <si>
    <t>Previstos na agenda</t>
  </si>
  <si>
    <t>Realizados</t>
  </si>
  <si>
    <t>Aderência</t>
  </si>
  <si>
    <t>Resultados</t>
  </si>
  <si>
    <t>Conformes</t>
  </si>
  <si>
    <t>Não conformes</t>
  </si>
  <si>
    <t>TENDÊNCIAS (ÚLTIMOS LANÇAMENTOS DO PERÍODO)</t>
  </si>
  <si>
    <t>SITUAÇÃO ATUAL POR EQUIPAMENTO (ÚLTIMO RESULTADO NO PERÍODO)</t>
  </si>
  <si>
    <t>Critério</t>
  </si>
  <si>
    <t>Velocidade FX -16,0 +12,5 mm</t>
  </si>
  <si>
    <t>Resistência FX -12,5 +10,0 mm</t>
  </si>
  <si>
    <t>Velocidade FX -12,5 +10,0 mm</t>
  </si>
  <si>
    <t>66PN09 (LTF) x 66PN08 (LCE)</t>
  </si>
  <si>
    <t>66TA05 (5 kg) x T03 (15 kg)</t>
  </si>
  <si>
    <t>66PB01 x 66PB09</t>
  </si>
  <si>
    <t>PENEIRADORES (ÚLTIMA VERIFICAÇÃO NO PERÍODO)</t>
  </si>
  <si>
    <t>Telas verificadas</t>
  </si>
  <si>
    <t>Telas com NÃO OK</t>
  </si>
  <si>
    <t>Telas sem TAG</t>
  </si>
  <si>
    <t>NÃO CONFORMIDADES DO PERÍODO (MAIS RECENTES)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</si>
</sst>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0.00"/>
    <numFmt numFmtId="166" formatCode="0.0"/>
    <numFmt numFmtId="167" formatCode="0%"/>
    <numFmt numFmtId="168" formatCode="0.0%"/>
    <numFmt numFmtId="169" formatCode="@"/>
    <numFmt numFmtId="170" formatCode="dd/mm/yy"/>
    <numFmt numFmtId="171" formatCode="0.###"/>
  </numFmts>
  <fonts count="42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10"/>
      <color rgb="FF003B6C"/>
      <name val="Segoe UI"/>
      <family val="2"/>
    </font>
    <font>
      <b/>
      <sz val="12"/>
      <color rgb="FF002643"/>
      <name val="Segoe UI"/>
      <family val="2"/>
    </font>
    <font>
      <i/>
      <sz val="8.5"/>
      <color rgb="FF5B6B77"/>
      <name val="Segoe UI"/>
      <family val="2"/>
    </font>
    <font>
      <b/>
      <sz val="11.5"/>
      <color rgb="FFFFFFFF"/>
      <name val="Segoe UI"/>
      <family val="2"/>
    </font>
    <font>
      <b/>
      <sz val="9"/>
      <color rgb="FFFFFFFF"/>
      <name val="Segoe UI"/>
      <family val="2"/>
    </font>
    <font>
      <b/>
      <u/>
      <sz val="10"/>
      <color rgb="FF004070"/>
      <name val="Segoe UI"/>
      <family val="2"/>
    </font>
    <font>
      <sz val="8.5"/>
      <color rgb="FF5B6B77"/>
      <name val="Segoe UI"/>
      <family val="2"/>
    </font>
    <font>
      <b/>
      <sz val="9.5"/>
      <color rgb="FF5B6B77"/>
      <name val="Segoe UI"/>
      <family val="2"/>
    </font>
    <font>
      <sz val="9.5"/>
      <color rgb="FF1D2B36"/>
      <name val="Segoe UI"/>
      <family val="2"/>
    </font>
    <font>
      <b/>
      <sz val="12.5"/>
      <color rgb="FFFFFFFF"/>
      <name val="Segoe UI"/>
      <family val="2"/>
    </font>
    <font>
      <b/>
      <sz val="9"/>
      <color rgb="FFFFC000"/>
      <name val="Segoe UI"/>
      <family val="2"/>
    </font>
    <font>
      <b/>
      <sz val="11"/>
      <color rgb="FF002643"/>
      <name val="Segoe UI"/>
      <family val="2"/>
    </font>
    <font>
      <sz val="9.5"/>
      <color rgb="FF61889B"/>
      <name val="Segoe UI"/>
      <family val="2"/>
    </font>
    <font>
      <sz val="10.5"/>
      <color rgb="FF1D2B36"/>
      <name val="Segoe UI"/>
      <family val="2"/>
    </font>
    <font>
      <b/>
      <sz val="10.5"/>
      <color rgb="FF5B6B77"/>
      <name val="Segoe UI"/>
      <family val="2"/>
    </font>
    <font>
      <sz val="10"/>
      <color rgb="FF002643"/>
      <name val="Segoe UI"/>
      <family val="2"/>
    </font>
    <font>
      <b/>
      <sz val="11.5"/>
      <color rgb="FF1D2B36"/>
      <name val="Segoe UI"/>
      <family val="2"/>
    </font>
    <font>
      <b/>
      <sz val="9.5"/>
      <color rgb="FF61889B"/>
      <name val="Segoe UI"/>
      <family val="2"/>
    </font>
    <font>
      <b/>
      <sz val="10.5"/>
      <color rgb="FF003B6C"/>
      <name val="Segoe UI"/>
      <family val="2"/>
    </font>
    <font>
      <sz val="8.5"/>
      <color rgb="FF61889B"/>
      <name val="Segoe UI"/>
      <family val="2"/>
    </font>
    <font>
      <i/>
      <sz val="9.5"/>
      <color rgb="FF61889B"/>
      <name val="Segoe UI"/>
      <family val="2"/>
    </font>
    <font>
      <b/>
      <sz val="9.5"/>
      <color rgb="FF003B6C"/>
      <name val="Segoe UI"/>
      <family val="2"/>
    </font>
    <font>
      <b/>
      <sz val="10"/>
      <color rgb="FF002643"/>
      <name val="Segoe UI"/>
      <family val="2"/>
    </font>
    <font>
      <b/>
      <sz val="10.5"/>
      <color rgb="FF1D2B36"/>
      <name val="Segoe UI"/>
      <family val="2"/>
    </font>
    <font>
      <b/>
      <sz val="9.5"/>
      <color rgb="FF002643"/>
      <name val="Segoe UI"/>
      <family val="2"/>
    </font>
    <font>
      <sz val="10"/>
      <color rgb="FF5B6B77"/>
      <name val="Segoe UI"/>
      <family val="2"/>
    </font>
    <font>
      <b/>
      <sz val="9"/>
      <color rgb="FF5B6B77"/>
      <name val="Segoe UI"/>
      <family val="2"/>
    </font>
    <font>
      <b/>
      <sz val="24"/>
      <color rgb="FF00335A"/>
      <name val="Segoe UI"/>
      <family val="2"/>
    </font>
    <font>
      <b/>
      <sz val="24"/>
      <color rgb="FF1E7B4A"/>
      <name val="Segoe UI"/>
      <family val="2"/>
    </font>
    <font>
      <b/>
      <sz val="24"/>
      <color rgb="FFB42318"/>
      <name val="Segoe UI"/>
      <family val="2"/>
    </font>
    <font>
      <b/>
      <sz val="24"/>
      <color rgb="FF004070"/>
      <name val="Segoe UI"/>
      <family val="2"/>
    </font>
    <font>
      <b/>
      <sz val="10"/>
      <color rgb="FF1D2B36"/>
      <name val="Segoe UI"/>
      <family val="2"/>
    </font>
    <font>
      <sz val="9"/>
      <color rgb="FF5B6B77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sz val="9"/>
      <color rgb="FF1D2B36"/>
      <name val="Segoe UI"/>
      <family val="2"/>
    </font>
    <font>
      <sz val="9"/>
      <color rgb="FF61889B"/>
      <name val="Segoe UI"/>
      <family val="2"/>
    </font>
    <font>
      <b/>
      <sz val="11"/>
      <color rgb="FF003B6C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FDF5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B42318"/>
        <bgColor indexed="64"/>
      </patternFill>
    </fill>
    <fill>
      <patternFill patternType="solid">
        <fgColor rgb="FFFDF6F5"/>
        <bgColor indexed="64"/>
      </patternFill>
    </fill>
  </fills>
  <borders count="7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E6C76A"/>
      </left>
      <right style="thin">
        <color rgb="FFE6C76A"/>
      </right>
      <top style="thin">
        <color rgb="FFE6C76A"/>
      </top>
      <bottom style="thin">
        <color rgb="FFE6C76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/>
    </xf>
    <xf numFmtId="164" fontId="5" fillId="5" borderId="2" xfId="0" applyNumberFormat="1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center" vertical="center"/>
      <protection locked="0"/>
    </xf>
    <xf numFmtId="0" fontId="5" fillId="5" borderId="2" xfId="0" applyFont="1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left" vertical="center" indent="1"/>
    </xf>
    <xf numFmtId="0" fontId="7" fillId="6" borderId="0" xfId="0" applyFont="1" applyFill="1" applyAlignment="1">
      <alignment horizontal="left" vertical="center" indent="1"/>
    </xf>
    <xf numFmtId="0" fontId="8" fillId="7" borderId="3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vertical="center"/>
    </xf>
    <xf numFmtId="0" fontId="10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left" vertical="center" indent="1"/>
    </xf>
    <xf numFmtId="0" fontId="1" fillId="9" borderId="1" xfId="0" applyFont="1" applyFill="1" applyBorder="1" applyAlignment="1">
      <alignment vertical="center"/>
    </xf>
    <xf numFmtId="0" fontId="10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164" fontId="12" fillId="9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14" fillId="2" borderId="0" xfId="0" applyFont="1" applyFill="1" applyAlignment="1">
      <alignment horizontal="right" vertical="center" indent="1"/>
    </xf>
    <xf numFmtId="0" fontId="6" fillId="4" borderId="0" xfId="0" applyFont="1" applyFill="1" applyAlignment="1">
      <alignment horizontal="left" vertical="center" indent="1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left" vertical="center" indent="1"/>
    </xf>
    <xf numFmtId="1" fontId="15" fillId="5" borderId="2" xfId="0" applyNumberFormat="1" applyFont="1" applyFill="1" applyBorder="1" applyAlignment="1" applyProtection="1">
      <alignment horizontal="center" vertical="center"/>
      <protection locked="0"/>
    </xf>
    <xf numFmtId="1" fontId="16" fillId="4" borderId="1" xfId="0" applyNumberFormat="1" applyFont="1" applyFill="1" applyBorder="1" applyAlignment="1">
      <alignment horizontal="center" vertical="center"/>
    </xf>
    <xf numFmtId="1" fontId="17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5" borderId="2" xfId="0" applyFont="1" applyFill="1" applyBorder="1" applyAlignment="1" applyProtection="1">
      <alignment horizontal="left" vertical="center" indent="1" wrapText="1"/>
      <protection locked="0"/>
    </xf>
    <xf numFmtId="165" fontId="20" fillId="0" borderId="1" xfId="0" applyNumberFormat="1" applyFont="1" applyBorder="1" applyAlignment="1">
      <alignment horizontal="center" vertical="center"/>
    </xf>
    <xf numFmtId="166" fontId="16" fillId="4" borderId="1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1" xfId="0" applyNumberFormat="1" applyFont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165" fontId="20" fillId="11" borderId="1" xfId="0" applyNumberFormat="1" applyFont="1" applyFill="1" applyBorder="1" applyAlignment="1">
      <alignment horizontal="center" vertical="center"/>
    </xf>
    <xf numFmtId="165" fontId="16" fillId="4" borderId="1" xfId="0" applyNumberFormat="1" applyFont="1" applyFill="1" applyBorder="1" applyAlignment="1">
      <alignment horizontal="center" vertical="center"/>
    </xf>
    <xf numFmtId="0" fontId="22" fillId="12" borderId="1" xfId="0" applyFont="1" applyFill="1" applyBorder="1" applyAlignment="1">
      <alignment horizontal="left" vertical="center" indent="1"/>
    </xf>
    <xf numFmtId="0" fontId="23" fillId="12" borderId="1" xfId="0" applyFont="1" applyFill="1" applyBorder="1" applyAlignment="1">
      <alignment horizontal="right" vertical="center" indent="1"/>
    </xf>
    <xf numFmtId="1" fontId="19" fillId="5" borderId="2" xfId="0" applyNumberFormat="1" applyFont="1" applyFill="1" applyBorder="1" applyAlignment="1" applyProtection="1">
      <alignment horizontal="center" vertical="center"/>
      <protection locked="0"/>
    </xf>
    <xf numFmtId="166" fontId="15" fillId="5" borderId="2" xfId="0" applyNumberFormat="1" applyFont="1" applyFill="1" applyBorder="1" applyAlignment="1" applyProtection="1">
      <alignment horizontal="center" vertical="center"/>
      <protection locked="0"/>
    </xf>
    <xf numFmtId="0" fontId="24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left" vertical="center" indent="1"/>
    </xf>
    <xf numFmtId="166" fontId="26" fillId="5" borderId="2" xfId="0" applyNumberFormat="1" applyFont="1" applyFill="1" applyBorder="1" applyAlignment="1" applyProtection="1">
      <alignment horizontal="center" vertical="center"/>
      <protection locked="0"/>
    </xf>
    <xf numFmtId="165" fontId="12" fillId="0" borderId="1" xfId="0" applyNumberFormat="1" applyFont="1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 vertical="center"/>
    </xf>
    <xf numFmtId="166" fontId="2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165" fontId="27" fillId="0" borderId="1" xfId="0" applyNumberFormat="1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/>
    </xf>
    <xf numFmtId="0" fontId="1" fillId="4" borderId="4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31" fillId="4" borderId="6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34" fillId="4" borderId="6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left" vertical="center" indent="1"/>
    </xf>
    <xf numFmtId="1" fontId="1" fillId="8" borderId="1" xfId="0" applyNumberFormat="1" applyFont="1" applyFill="1" applyBorder="1" applyAlignment="1">
      <alignment horizontal="center" vertical="center"/>
    </xf>
    <xf numFmtId="167" fontId="1" fillId="8" borderId="1" xfId="0" applyNumberFormat="1" applyFont="1" applyFill="1" applyBorder="1" applyAlignment="1">
      <alignment horizontal="center" vertical="center"/>
    </xf>
    <xf numFmtId="168" fontId="1" fillId="8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9" fontId="1" fillId="8" borderId="1" xfId="0" applyNumberFormat="1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left" vertical="center" indent="1"/>
    </xf>
    <xf numFmtId="1" fontId="1" fillId="9" borderId="1" xfId="0" applyNumberFormat="1" applyFont="1" applyFill="1" applyBorder="1" applyAlignment="1">
      <alignment horizontal="center" vertical="center"/>
    </xf>
    <xf numFmtId="167" fontId="1" fillId="9" borderId="1" xfId="0" applyNumberFormat="1" applyFont="1" applyFill="1" applyBorder="1" applyAlignment="1">
      <alignment horizontal="center" vertical="center"/>
    </xf>
    <xf numFmtId="168" fontId="1" fillId="9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9" fontId="1" fillId="9" borderId="1" xfId="0" applyNumberFormat="1" applyFont="1" applyFill="1" applyBorder="1" applyAlignment="1">
      <alignment horizontal="center" vertical="center"/>
    </xf>
    <xf numFmtId="0" fontId="36" fillId="8" borderId="1" xfId="0" applyFont="1" applyFill="1" applyBorder="1" applyAlignment="1">
      <alignment horizontal="left" vertical="center" indent="1"/>
    </xf>
    <xf numFmtId="0" fontId="37" fillId="8" borderId="1" xfId="0" applyFont="1" applyFill="1" applyBorder="1" applyAlignment="1">
      <alignment horizontal="left" vertical="center" indent="1"/>
    </xf>
    <xf numFmtId="0" fontId="38" fillId="8" borderId="1" xfId="0" applyFont="1" applyFill="1" applyBorder="1" applyAlignment="1">
      <alignment horizontal="left" vertical="center" indent="1"/>
    </xf>
    <xf numFmtId="1" fontId="37" fillId="8" borderId="1" xfId="0" applyNumberFormat="1" applyFont="1" applyFill="1" applyBorder="1" applyAlignment="1">
      <alignment horizontal="center" vertical="center"/>
    </xf>
    <xf numFmtId="1" fontId="39" fillId="8" borderId="1" xfId="0" applyNumberFormat="1" applyFont="1" applyFill="1" applyBorder="1" applyAlignment="1">
      <alignment horizontal="center" vertical="center"/>
    </xf>
    <xf numFmtId="0" fontId="40" fillId="8" borderId="1" xfId="0" applyFont="1" applyFill="1" applyBorder="1" applyAlignment="1">
      <alignment horizontal="center" vertical="center"/>
    </xf>
    <xf numFmtId="170" fontId="38" fillId="8" borderId="1" xfId="0" applyNumberFormat="1" applyFont="1" applyFill="1" applyBorder="1" applyAlignment="1">
      <alignment horizontal="center" vertical="center"/>
    </xf>
    <xf numFmtId="0" fontId="38" fillId="8" borderId="1" xfId="0" applyFont="1" applyFill="1" applyBorder="1" applyAlignment="1">
      <alignment horizontal="center" vertical="center"/>
    </xf>
    <xf numFmtId="0" fontId="37" fillId="8" borderId="1" xfId="0" applyFont="1" applyFill="1" applyBorder="1" applyAlignment="1">
      <alignment horizontal="center" vertical="center"/>
    </xf>
    <xf numFmtId="0" fontId="36" fillId="9" borderId="1" xfId="0" applyFont="1" applyFill="1" applyBorder="1" applyAlignment="1">
      <alignment horizontal="left" vertical="center" indent="1"/>
    </xf>
    <xf numFmtId="0" fontId="37" fillId="9" borderId="1" xfId="0" applyFont="1" applyFill="1" applyBorder="1" applyAlignment="1">
      <alignment horizontal="left" vertical="center" indent="1"/>
    </xf>
    <xf numFmtId="0" fontId="38" fillId="9" borderId="1" xfId="0" applyFont="1" applyFill="1" applyBorder="1" applyAlignment="1">
      <alignment horizontal="left" vertical="center" indent="1"/>
    </xf>
    <xf numFmtId="1" fontId="37" fillId="9" borderId="1" xfId="0" applyNumberFormat="1" applyFont="1" applyFill="1" applyBorder="1" applyAlignment="1">
      <alignment horizontal="center" vertical="center"/>
    </xf>
    <xf numFmtId="1" fontId="39" fillId="9" borderId="1" xfId="0" applyNumberFormat="1" applyFont="1" applyFill="1" applyBorder="1" applyAlignment="1">
      <alignment horizontal="center" vertical="center"/>
    </xf>
    <xf numFmtId="0" fontId="40" fillId="9" borderId="1" xfId="0" applyFont="1" applyFill="1" applyBorder="1" applyAlignment="1">
      <alignment horizontal="center" vertical="center"/>
    </xf>
    <xf numFmtId="170" fontId="38" fillId="9" borderId="1" xfId="0" applyNumberFormat="1" applyFont="1" applyFill="1" applyBorder="1" applyAlignment="1">
      <alignment horizontal="center" vertical="center"/>
    </xf>
    <xf numFmtId="0" fontId="38" fillId="9" borderId="1" xfId="0" applyFont="1" applyFill="1" applyBorder="1" applyAlignment="1">
      <alignment horizontal="center" vertical="center"/>
    </xf>
    <xf numFmtId="0" fontId="37" fillId="9" borderId="1" xfId="0" applyFont="1" applyFill="1" applyBorder="1" applyAlignment="1">
      <alignment horizontal="center" vertical="center"/>
    </xf>
    <xf numFmtId="165" fontId="37" fillId="9" borderId="1" xfId="0" applyNumberFormat="1" applyFont="1" applyFill="1" applyBorder="1" applyAlignment="1">
      <alignment horizontal="center" vertical="center"/>
    </xf>
    <xf numFmtId="165" fontId="39" fillId="9" borderId="1" xfId="0" applyNumberFormat="1" applyFont="1" applyFill="1" applyBorder="1" applyAlignment="1">
      <alignment horizontal="center" vertical="center"/>
    </xf>
    <xf numFmtId="165" fontId="37" fillId="8" borderId="1" xfId="0" applyNumberFormat="1" applyFont="1" applyFill="1" applyBorder="1" applyAlignment="1">
      <alignment horizontal="center" vertical="center"/>
    </xf>
    <xf numFmtId="165" fontId="39" fillId="8" borderId="1" xfId="0" applyNumberFormat="1" applyFont="1" applyFill="1" applyBorder="1" applyAlignment="1">
      <alignment horizontal="center" vertical="center"/>
    </xf>
    <xf numFmtId="166" fontId="37" fillId="9" borderId="1" xfId="0" applyNumberFormat="1" applyFont="1" applyFill="1" applyBorder="1" applyAlignment="1">
      <alignment horizontal="center" vertical="center"/>
    </xf>
    <xf numFmtId="166" fontId="39" fillId="9" borderId="1" xfId="0" applyNumberFormat="1" applyFont="1" applyFill="1" applyBorder="1" applyAlignment="1">
      <alignment horizontal="center" vertical="center"/>
    </xf>
    <xf numFmtId="166" fontId="37" fillId="8" borderId="1" xfId="0" applyNumberFormat="1" applyFont="1" applyFill="1" applyBorder="1" applyAlignment="1">
      <alignment horizontal="center" vertical="center"/>
    </xf>
    <xf numFmtId="166" fontId="39" fillId="8" borderId="1" xfId="0" applyNumberFormat="1" applyFont="1" applyFill="1" applyBorder="1" applyAlignment="1">
      <alignment horizontal="center" vertical="center"/>
    </xf>
    <xf numFmtId="0" fontId="7" fillId="13" borderId="0" xfId="0" applyFont="1" applyFill="1" applyAlignment="1">
      <alignment horizontal="left" vertical="center" indent="1"/>
    </xf>
    <xf numFmtId="0" fontId="8" fillId="13" borderId="3" xfId="0" applyFont="1" applyFill="1" applyBorder="1" applyAlignment="1">
      <alignment horizontal="center" vertical="center" wrapText="1"/>
    </xf>
    <xf numFmtId="169" fontId="38" fillId="8" borderId="1" xfId="0" applyNumberFormat="1" applyFont="1" applyFill="1" applyBorder="1" applyAlignment="1">
      <alignment horizontal="center" vertical="center"/>
    </xf>
    <xf numFmtId="165" fontId="38" fillId="8" borderId="1" xfId="0" applyNumberFormat="1" applyFont="1" applyFill="1" applyBorder="1" applyAlignment="1">
      <alignment horizontal="center" vertical="center"/>
    </xf>
    <xf numFmtId="169" fontId="38" fillId="8" borderId="1" xfId="0" applyNumberFormat="1" applyFont="1" applyFill="1" applyBorder="1" applyAlignment="1">
      <alignment horizontal="left" vertical="center"/>
    </xf>
    <xf numFmtId="170" fontId="38" fillId="14" borderId="1" xfId="0" applyNumberFormat="1" applyFont="1" applyFill="1" applyBorder="1" applyAlignment="1">
      <alignment horizontal="center" vertical="center"/>
    </xf>
    <xf numFmtId="169" fontId="38" fillId="14" borderId="1" xfId="0" applyNumberFormat="1" applyFont="1" applyFill="1" applyBorder="1" applyAlignment="1">
      <alignment horizontal="center" vertical="center"/>
    </xf>
    <xf numFmtId="165" fontId="38" fillId="14" borderId="1" xfId="0" applyNumberFormat="1" applyFont="1" applyFill="1" applyBorder="1" applyAlignment="1">
      <alignment horizontal="center" vertical="center"/>
    </xf>
    <xf numFmtId="169" fontId="38" fillId="14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171" fontId="1" fillId="5" borderId="2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1" fillId="4" borderId="1" xfId="0" applyFont="1" applyFill="1" applyBorder="1" applyAlignment="1">
      <alignment vertical="top" wrapText="1"/>
    </xf>
    <xf numFmtId="0" fontId="1" fillId="5" borderId="1" xfId="0" applyFont="1" applyFill="1" applyBorder="1" applyAlignment="1" applyProtection="1">
      <alignment vertical="center"/>
      <protection locked="0"/>
    </xf>
    <xf numFmtId="0" fontId="37" fillId="0" borderId="0" xfId="0" applyFont="1" applyAlignment="1">
      <alignment vertical="center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left" vertical="center"/>
      <protection locked="0"/>
    </xf>
    <xf numFmtId="0" fontId="35" fillId="0" borderId="0" xfId="0" applyFont="1" applyAlignment="1">
      <alignment vertical="center"/>
    </xf>
    <xf numFmtId="171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7"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  <dxf>
      <font>
        <b/>
        <color rgb="FFB54708"/>
      </font>
      <fill>
        <patternFill>
          <bgColor rgb="FFFDEBD3"/>
        </patternFill>
      </fill>
    </dxf>
    <dxf>
      <font>
        <b/>
        <color rgb="FF003B6C"/>
      </font>
      <fill>
        <patternFill>
          <bgColor rgb="FFEEF8FD"/>
        </patternFill>
      </fill>
    </dxf>
    <dxf>
      <font>
        <b/>
        <color rgb="FF61889B"/>
      </font>
      <fill>
        <patternFill>
          <bgColor rgb="FFE8EDF1"/>
        </patternFill>
      </fill>
    </dxf>
    <dxf>
      <numFmt numFmtId="164" formatCode="dd/mm/yyyy"/>
    </dxf>
    <dxf>
      <font>
        <b/>
        <color rgb="FFB4231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Resultados por ensaio no período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Conformes</c:v>
          </c:tx>
          <c:spPr>
            <a:solidFill>
              <a:srgbClr val="3BA272"/>
            </a:solidFill>
          </c:spPr>
          <c:cat>
            <c:strRef>
              <c:f>Painel!$B$14:$B$22</c:f>
              <c:strCache>
                <c:ptCount val="9"/>
                <c:pt idx="0">
                  <c:v>Calibração Blaine</c:v>
                </c:pt>
                <c:pt idx="1">
                  <c:v>Tambor de abrasão · rotação</c:v>
                </c:pt>
                <c:pt idx="2">
                  <c:v>Granulometria fina Alpine</c:v>
                </c:pt>
                <c:pt idx="3">
                  <c:v>Umidade · analisadores x estufa</c:v>
                </c:pt>
                <c:pt idx="4">
                  <c:v>Compressão · prensas</c:v>
                </c:pt>
                <c:pt idx="5">
                  <c:v>Granulometria · LTF x LCE</c:v>
                </c:pt>
                <c:pt idx="6">
                  <c:v>Tamboramento 5 kg x 15 kg</c:v>
                </c:pt>
                <c:pt idx="7">
                  <c:v>Verificação dos peneiradores</c:v>
                </c:pt>
                <c:pt idx="8">
                  <c:v>Comparativo Fisher</c:v>
                </c:pt>
              </c:strCache>
            </c:strRef>
          </c:cat>
          <c:val>
            <c:numRef>
              <c:f>Painel!$K$14:$K$22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v>Não conformes</c:v>
          </c:tx>
          <c:spPr>
            <a:solidFill>
              <a:srgbClr val="D9534F"/>
            </a:solidFill>
          </c:spPr>
          <c:cat>
            <c:strRef>
              <c:f>Painel!$B$14:$B$22</c:f>
              <c:strCache>
                <c:ptCount val="9"/>
                <c:pt idx="0">
                  <c:v>Calibração Blaine</c:v>
                </c:pt>
                <c:pt idx="1">
                  <c:v>Tambor de abrasão · rotação</c:v>
                </c:pt>
                <c:pt idx="2">
                  <c:v>Granulometria fina Alpine</c:v>
                </c:pt>
                <c:pt idx="3">
                  <c:v>Umidade · analisadores x estufa</c:v>
                </c:pt>
                <c:pt idx="4">
                  <c:v>Compressão · prensas</c:v>
                </c:pt>
                <c:pt idx="5">
                  <c:v>Granulometria · LTF x LCE</c:v>
                </c:pt>
                <c:pt idx="6">
                  <c:v>Tamboramento 5 kg x 15 kg</c:v>
                </c:pt>
                <c:pt idx="7">
                  <c:v>Verificação dos peneiradores</c:v>
                </c:pt>
                <c:pt idx="8">
                  <c:v>Comparativo Fisher</c:v>
                </c:pt>
              </c:strCache>
            </c:strRef>
          </c:cat>
          <c:val>
            <c:numRef>
              <c:f>Painel!$L$14:$L$22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gapWidth val="60"/>
        <c:overlap val="100"/>
        <c:axId val="50010001"/>
        <c:axId val="50010002"/>
      </c:barChart>
      <c:catAx>
        <c:axId val="50010001"/>
        <c:scaling>
          <c:orientation val="maxMin"/>
        </c:scaling>
        <c:axPos val="l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t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Blaine · resultado (cm²/g)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_Graficos!$B$4</c:f>
              <c:strCache>
                <c:ptCount val="1"/>
                <c:pt idx="0">
                  <c:v>66PB08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_Graficos!$B$5:$B$34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_Graficos!$C$4</c:f>
              <c:strCache>
                <c:ptCount val="1"/>
                <c:pt idx="0">
                  <c:v>Blaine Star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_Graficos!$C$5:$C$34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_Graficos!$D$4</c:f>
              <c:strCache>
                <c:ptCount val="1"/>
                <c:pt idx="0">
                  <c:v>Blaine Automático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_Graficos!$D$5:$D$34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_Graficos!$E$5:$E$34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_Graficos!$A$5:$A$34</c:f>
              <c:numCache>
                <c:formatCode>General</c:formatCode>
                <c:ptCount val="30"/>
              </c:numCache>
            </c:numRef>
          </c:cat>
          <c:val>
            <c:numRef>
              <c:f>_Graficos!$F$5:$F$34</c:f>
              <c:numCache>
                <c:formatCode>General</c:formatCode>
                <c:ptCount val="30"/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Tambores · rotação (rpm)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_Graficos!$B$44</c:f>
              <c:strCache>
                <c:ptCount val="1"/>
                <c:pt idx="0">
                  <c:v>66TA05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_Graficos!$B$45:$B$74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_Graficos!$C$44</c:f>
              <c:strCache>
                <c:ptCount val="1"/>
                <c:pt idx="0">
                  <c:v>66TA08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_Graficos!$C$45:$C$74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_Graficos!$D$44</c:f>
              <c:strCache>
                <c:ptCount val="1"/>
                <c:pt idx="0">
                  <c:v>66TA09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_Graficos!$D$45:$D$74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_Graficos!$E$44</c:f>
              <c:strCache>
                <c:ptCount val="1"/>
                <c:pt idx="0">
                  <c:v>66TA06</c:v>
                </c:pt>
              </c:strCache>
            </c:strRef>
          </c:tx>
          <c:spPr>
            <a:ln w="22225">
              <a:solidFill>
                <a:srgbClr val="1E7B4A"/>
              </a:solidFill>
            </a:ln>
          </c:spPr>
          <c:marker>
            <c:symbol val="circle"/>
            <c:size val="4"/>
            <c:spPr>
              <a:solidFill>
                <a:srgbClr val="1E7B4A"/>
              </a:solidFill>
              <a:ln>
                <a:solidFill>
                  <a:srgbClr val="1E7B4A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_Graficos!$E$45:$E$74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_Graficos!$F$44</c:f>
              <c:strCache>
                <c:ptCount val="1"/>
                <c:pt idx="0">
                  <c:v>66TA07</c:v>
                </c:pt>
              </c:strCache>
            </c:strRef>
          </c:tx>
          <c:spPr>
            <a:ln w="22225">
              <a:solidFill>
                <a:srgbClr val="9C27B0"/>
              </a:solidFill>
            </a:ln>
          </c:spPr>
          <c:marker>
            <c:symbol val="circle"/>
            <c:size val="4"/>
            <c:spPr>
              <a:solidFill>
                <a:srgbClr val="9C27B0"/>
              </a:solidFill>
              <a:ln>
                <a:solidFill>
                  <a:srgbClr val="9C27B0"/>
                </a:solidFill>
              </a:ln>
            </c:spPr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_Graficos!$F$45:$F$74</c:f>
              <c:numCache>
                <c:formatCode>General</c:formatCode>
                <c:ptCount val="30"/>
              </c:numCache>
            </c:numRef>
          </c:val>
        </c:ser>
        <c:ser>
          <c:idx val="5"/>
          <c:order val="5"/>
          <c:tx>
            <c:strRef>
              <c:f>_Graficos!$G$44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_Graficos!$G$45:$G$74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6"/>
          <c:tx>
            <c:strRef>
              <c:f>_Graficos!$H$44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_Graficos!$A$45:$A$74</c:f>
              <c:numCache>
                <c:formatCode>General</c:formatCode>
                <c:ptCount val="30"/>
              </c:numCache>
            </c:numRef>
          </c:cat>
          <c:val>
            <c:numRef>
              <c:f>_Graficos!$H$45:$H$74</c:f>
              <c:numCache>
                <c:formatCode>General</c:formatCode>
                <c:ptCount val="30"/>
              </c:numCache>
            </c:numRef>
          </c:val>
        </c:ser>
        <c:marker val="1"/>
        <c:axId val="50030001"/>
        <c:axId val="50030002"/>
      </c:lineChart>
      <c:catAx>
        <c:axId val="5003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Alpine · passante (%)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_Graficos!$B$84</c:f>
              <c:strCache>
                <c:ptCount val="1"/>
                <c:pt idx="0">
                  <c:v>66AG09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_Graficos!$B$85:$B$114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_Graficos!$C$84</c:f>
              <c:strCache>
                <c:ptCount val="1"/>
                <c:pt idx="0">
                  <c:v>66AG10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_Graficos!$C$85:$C$114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_Graficos!$D$84</c:f>
              <c:strCache>
                <c:ptCount val="1"/>
                <c:pt idx="0">
                  <c:v>66AG11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_Graficos!$D$85:$D$114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_Graficos!$E$84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_Graficos!$E$85:$E$114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_Graficos!$F$84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_Graficos!$A$85:$A$114</c:f>
              <c:numCache>
                <c:formatCode>General</c:formatCode>
                <c:ptCount val="30"/>
              </c:numCache>
            </c:numRef>
          </c:cat>
          <c:val>
            <c:numRef>
              <c:f>_Graficos!$F$85:$F$114</c:f>
              <c:numCache>
                <c:formatCode>General</c:formatCode>
                <c:ptCount val="30"/>
              </c:numCache>
            </c:numRef>
          </c:val>
        </c:ser>
        <c:marker val="1"/>
        <c:axId val="50040001"/>
        <c:axId val="50040002"/>
      </c:lineChart>
      <c:catAx>
        <c:axId val="5004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Umidade · analisador - estufa (p.p.)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_Graficos!$B$124</c:f>
              <c:strCache>
                <c:ptCount val="1"/>
                <c:pt idx="0">
                  <c:v>66AN10 x Estufa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_Graficos!$B$125:$B$154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_Graficos!$C$124</c:f>
              <c:strCache>
                <c:ptCount val="1"/>
                <c:pt idx="0">
                  <c:v>66AN11 x Estufa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_Graficos!$C$125:$C$154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_Graficos!$D$124</c:f>
              <c:strCache>
                <c:ptCount val="1"/>
                <c:pt idx="0">
                  <c:v>66AN12 x Estufa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_Graficos!$D$125:$D$154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_Graficos!$E$124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_Graficos!$E$125:$E$154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_Graficos!$F$124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_Graficos!$A$125:$A$154</c:f>
              <c:numCache>
                <c:formatCode>General</c:formatCode>
                <c:ptCount val="30"/>
              </c:numCache>
            </c:numRef>
          </c:cat>
          <c:val>
            <c:numRef>
              <c:f>_Graficos!$F$125:$F$154</c:f>
              <c:numCache>
                <c:formatCode>General</c:formatCode>
                <c:ptCount val="30"/>
              </c:numCache>
            </c:numRef>
          </c:val>
        </c:ser>
        <c:marker val="1"/>
        <c:axId val="50050001"/>
        <c:axId val="50050002"/>
      </c:lineChart>
      <c:catAx>
        <c:axId val="5005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03B6C"/>
                </a:solidFill>
                <a:latin typeface="Segoe UI"/>
              </a:defRPr>
            </a:pPr>
            <a:r>
              <a:rPr lang="en-US" sz="1050" b="1" baseline="0">
                <a:solidFill>
                  <a:srgbClr val="003B6C"/>
                </a:solidFill>
                <a:latin typeface="Segoe UI"/>
              </a:rPr>
              <a:t>Compressão FX -16,0 +12,5 · diferença ao nominal (kgf/pel)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_Graficos!$B$164</c:f>
              <c:strCache>
                <c:ptCount val="1"/>
                <c:pt idx="0">
                  <c:v>66PS04</c:v>
                </c:pt>
              </c:strCache>
            </c:strRef>
          </c:tx>
          <c:spPr>
            <a:ln w="22225">
              <a:solidFill>
                <a:srgbClr val="00335A"/>
              </a:solidFill>
            </a:ln>
          </c:spPr>
          <c:marker>
            <c:symbol val="circle"/>
            <c:size val="4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_Graficos!$B$165:$B$194</c:f>
              <c:numCache>
                <c:formatCode>General</c:formatCode>
                <c:ptCount val="30"/>
              </c:numCache>
            </c:numRef>
          </c:val>
        </c:ser>
        <c:ser>
          <c:idx val="1"/>
          <c:order val="1"/>
          <c:tx>
            <c:strRef>
              <c:f>_Graficos!$C$164</c:f>
              <c:strCache>
                <c:ptCount val="1"/>
                <c:pt idx="0">
                  <c:v>66PS07</c:v>
                </c:pt>
              </c:strCache>
            </c:strRef>
          </c:tx>
          <c:spPr>
            <a:ln w="22225">
              <a:solidFill>
                <a:srgbClr val="F37021"/>
              </a:solidFill>
            </a:ln>
          </c:spPr>
          <c:marker>
            <c:symbol val="circle"/>
            <c:size val="4"/>
            <c:spPr>
              <a:solidFill>
                <a:srgbClr val="F37021"/>
              </a:solidFill>
              <a:ln>
                <a:solidFill>
                  <a:srgbClr val="F37021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_Graficos!$C$165:$C$194</c:f>
              <c:numCache>
                <c:formatCode>General</c:formatCode>
                <c:ptCount val="30"/>
              </c:numCache>
            </c:numRef>
          </c:val>
        </c:ser>
        <c:ser>
          <c:idx val="2"/>
          <c:order val="2"/>
          <c:tx>
            <c:strRef>
              <c:f>_Graficos!$D$164</c:f>
              <c:strCache>
                <c:ptCount val="1"/>
                <c:pt idx="0">
                  <c:v>66PS08</c:v>
                </c:pt>
              </c:strCache>
            </c:strRef>
          </c:tx>
          <c:spPr>
            <a:ln w="22225">
              <a:solidFill>
                <a:srgbClr val="59C6F2"/>
              </a:solidFill>
            </a:ln>
          </c:spPr>
          <c:marker>
            <c:symbol val="circle"/>
            <c:size val="4"/>
            <c:spPr>
              <a:solidFill>
                <a:srgbClr val="59C6F2"/>
              </a:solidFill>
              <a:ln>
                <a:solidFill>
                  <a:srgbClr val="59C6F2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_Graficos!$D$165:$D$194</c:f>
              <c:numCache>
                <c:formatCode>General</c:formatCode>
                <c:ptCount val="30"/>
              </c:numCache>
            </c:numRef>
          </c:val>
        </c:ser>
        <c:ser>
          <c:idx val="3"/>
          <c:order val="3"/>
          <c:tx>
            <c:strRef>
              <c:f>_Graficos!$E$164</c:f>
              <c:strCache>
                <c:ptCount val="1"/>
                <c:pt idx="0">
                  <c:v>66PS10</c:v>
                </c:pt>
              </c:strCache>
            </c:strRef>
          </c:tx>
          <c:spPr>
            <a:ln w="22225">
              <a:solidFill>
                <a:srgbClr val="1E7B4A"/>
              </a:solidFill>
            </a:ln>
          </c:spPr>
          <c:marker>
            <c:symbol val="circle"/>
            <c:size val="4"/>
            <c:spPr>
              <a:solidFill>
                <a:srgbClr val="1E7B4A"/>
              </a:solidFill>
              <a:ln>
                <a:solidFill>
                  <a:srgbClr val="1E7B4A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_Graficos!$E$165:$E$194</c:f>
              <c:numCache>
                <c:formatCode>General</c:formatCode>
                <c:ptCount val="30"/>
              </c:numCache>
            </c:numRef>
          </c:val>
        </c:ser>
        <c:ser>
          <c:idx val="4"/>
          <c:order val="4"/>
          <c:tx>
            <c:strRef>
              <c:f>_Graficos!$F$164</c:f>
              <c:strCache>
                <c:ptCount val="1"/>
                <c:pt idx="0">
                  <c:v>66PS05</c:v>
                </c:pt>
              </c:strCache>
            </c:strRef>
          </c:tx>
          <c:spPr>
            <a:ln w="22225">
              <a:solidFill>
                <a:srgbClr val="9C27B0"/>
              </a:solidFill>
            </a:ln>
          </c:spPr>
          <c:marker>
            <c:symbol val="circle"/>
            <c:size val="4"/>
            <c:spPr>
              <a:solidFill>
                <a:srgbClr val="9C27B0"/>
              </a:solidFill>
              <a:ln>
                <a:solidFill>
                  <a:srgbClr val="9C27B0"/>
                </a:solidFill>
              </a:ln>
            </c:spPr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_Graficos!$F$165:$F$194</c:f>
              <c:numCache>
                <c:formatCode>General</c:formatCode>
                <c:ptCount val="30"/>
              </c:numCache>
            </c:numRef>
          </c:val>
        </c:ser>
        <c:ser>
          <c:idx val="5"/>
          <c:order val="5"/>
          <c:tx>
            <c:strRef>
              <c:f>_Graficos!$G$164</c:f>
              <c:strCache>
                <c:ptCount val="1"/>
                <c:pt idx="0">
                  <c:v>Lim. inferior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_Graficos!$G$165:$G$194</c:f>
              <c:numCache>
                <c:formatCode>General</c:formatCode>
                <c:ptCount val="30"/>
              </c:numCache>
            </c:numRef>
          </c:val>
        </c:ser>
        <c:ser>
          <c:idx val="6"/>
          <c:order val="6"/>
          <c:tx>
            <c:strRef>
              <c:f>_Graficos!$H$164</c:f>
              <c:strCache>
                <c:ptCount val="1"/>
                <c:pt idx="0">
                  <c:v>Lim. superior</c:v>
                </c:pt>
              </c:strCache>
            </c:strRef>
          </c:tx>
          <c:spPr>
            <a:ln w="15875">
              <a:solidFill>
                <a:srgbClr val="D9534F"/>
              </a:solidFill>
              <a:prstDash val="dash"/>
            </a:ln>
          </c:spPr>
          <c:marker>
            <c:symbol val="none"/>
          </c:marker>
          <c:cat>
            <c:numRef>
              <c:f>_Graficos!$A$165:$A$194</c:f>
              <c:numCache>
                <c:formatCode>General</c:formatCode>
                <c:ptCount val="30"/>
              </c:numCache>
            </c:numRef>
          </c:cat>
          <c:val>
            <c:numRef>
              <c:f>_Graficos!$H$165:$H$194</c:f>
              <c:numCache>
                <c:formatCode>General</c:formatCode>
                <c:ptCount val="30"/>
              </c:numCache>
            </c:numRef>
          </c:val>
        </c:ser>
        <c:marker val="1"/>
        <c:axId val="50060001"/>
        <c:axId val="50060002"/>
      </c:lineChart>
      <c:catAx>
        <c:axId val="50060001"/>
        <c:scaling>
          <c:orientation val="minMax"/>
        </c:scaling>
        <c:axPos val="b"/>
        <c:numFmt formatCode="General" sourceLinked="1"/>
        <c:tickLblPos val="nextTo"/>
        <c:txPr>
          <a:bodyPr rot="-2700000" vert="horz"/>
          <a:lstStyle/>
          <a:p>
            <a:pPr>
              <a:defRPr sz="750" baseline="0">
                <a:latin typeface="Segoe U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E5E9EC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>
              <a:latin typeface="Segoe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DE3E8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Relationship Id="rId7" Type="http://schemas.openxmlformats.org/officeDocument/2006/relationships/chart" Target="../charts/chart6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422910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17</xdr:col>
      <xdr:colOff>38100</xdr:colOff>
      <xdr:row>1</xdr:row>
      <xdr:rowOff>38100</xdr:rowOff>
    </xdr:from>
    <xdr:to>
      <xdr:col>18</xdr:col>
      <xdr:colOff>0</xdr:colOff>
      <xdr:row>2</xdr:row>
      <xdr:rowOff>28575</xdr:rowOff>
    </xdr:to>
    <xdr:sp macro="[0]!RegistrarLancamento" textlink="">
      <xdr:nvSpPr>
        <xdr:cNvPr id="3" name="TextBox 2" descr="Botão: RegistrarLancamento"/>
        <xdr:cNvSpPr txBox="1"/>
      </xdr:nvSpPr>
      <xdr:spPr>
        <a:xfrm>
          <a:off x="10668000" y="190500"/>
          <a:ext cx="180975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Registrar lançamento</a:t>
          </a:r>
        </a:p>
      </xdr:txBody>
    </xdr:sp>
    <xdr:clientData fPrintsWithSheet="0"/>
  </xdr:twoCellAnchor>
  <xdr:twoCellAnchor editAs="absolute">
    <xdr:from>
      <xdr:col>18</xdr:col>
      <xdr:colOff>38100</xdr:colOff>
      <xdr:row>1</xdr:row>
      <xdr:rowOff>38100</xdr:rowOff>
    </xdr:from>
    <xdr:to>
      <xdr:col>19</xdr:col>
      <xdr:colOff>0</xdr:colOff>
      <xdr:row>2</xdr:row>
      <xdr:rowOff>28575</xdr:rowOff>
    </xdr:to>
    <xdr:sp macro="[0]!IrPainel" textlink="">
      <xdr:nvSpPr>
        <xdr:cNvPr id="4" name="TextBox 3" descr="Botão: IrPainel"/>
        <xdr:cNvSpPr txBox="1"/>
      </xdr:nvSpPr>
      <xdr:spPr>
        <a:xfrm>
          <a:off x="12515850" y="190500"/>
          <a:ext cx="1809750" cy="4191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Ver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57150</xdr:rowOff>
    </xdr:from>
    <xdr:to>
      <xdr:col>18</xdr:col>
      <xdr:colOff>0</xdr:colOff>
      <xdr:row>5</xdr:row>
      <xdr:rowOff>247650</xdr:rowOff>
    </xdr:to>
    <xdr:sp macro="[0]!LimparLancamento" textlink="">
      <xdr:nvSpPr>
        <xdr:cNvPr id="5" name="TextBox 4" descr="Botão: LimparLancamento"/>
        <xdr:cNvSpPr txBox="1"/>
      </xdr:nvSpPr>
      <xdr:spPr>
        <a:xfrm>
          <a:off x="10668000" y="1019175"/>
          <a:ext cx="1809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tela</a:t>
          </a:r>
        </a:p>
      </xdr:txBody>
    </xdr:sp>
    <xdr:clientData fPrintsWithSheet="0"/>
  </xdr:twoCellAnchor>
  <xdr:twoCellAnchor editAs="absolute">
    <xdr:from>
      <xdr:col>18</xdr:col>
      <xdr:colOff>38100</xdr:colOff>
      <xdr:row>4</xdr:row>
      <xdr:rowOff>57150</xdr:rowOff>
    </xdr:from>
    <xdr:to>
      <xdr:col>19</xdr:col>
      <xdr:colOff>0</xdr:colOff>
      <xdr:row>5</xdr:row>
      <xdr:rowOff>247650</xdr:rowOff>
    </xdr:to>
    <xdr:sp macro="[0]!DesfazerUltimo" textlink="">
      <xdr:nvSpPr>
        <xdr:cNvPr id="6" name="TextBox 5" descr="Botão: DesfazerUltimo"/>
        <xdr:cNvSpPr txBox="1"/>
      </xdr:nvSpPr>
      <xdr:spPr>
        <a:xfrm>
          <a:off x="12515850" y="1019175"/>
          <a:ext cx="1809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B4231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B42318"/>
              </a:solidFill>
              <a:latin typeface="Segoe UI"/>
              <a:cs typeface="Segoe UI"/>
            </a:rPr>
            <a:t>Desfazer último lançamento</a:t>
          </a:r>
        </a:p>
      </xdr:txBody>
    </xdr:sp>
    <xdr:clientData fPrintsWithSheet="0"/>
  </xdr:twoCellAnchor>
  <xdr:twoCellAnchor editAs="absolute">
    <xdr:from>
      <xdr:col>2</xdr:col>
      <xdr:colOff>19050</xdr:colOff>
      <xdr:row>139</xdr:row>
      <xdr:rowOff>0</xdr:rowOff>
    </xdr:from>
    <xdr:to>
      <xdr:col>5</xdr:col>
      <xdr:colOff>38100</xdr:colOff>
      <xdr:row>139</xdr:row>
      <xdr:rowOff>247650</xdr:rowOff>
    </xdr:to>
    <xdr:sp macro="[0]!MarcarPeneiradoresOK" textlink="">
      <xdr:nvSpPr>
        <xdr:cNvPr id="7" name="TextBox 6" descr="Botão: MarcarPeneiradoresOK"/>
        <xdr:cNvSpPr txBox="1"/>
      </xdr:nvSpPr>
      <xdr:spPr>
        <a:xfrm>
          <a:off x="295275" y="38376225"/>
          <a:ext cx="219075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Marcar itens vazios como OK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489585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228600"/>
          <a:ext cx="1880235" cy="412052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24</xdr:row>
      <xdr:rowOff>57150</xdr:rowOff>
    </xdr:from>
    <xdr:to>
      <xdr:col>7</xdr:col>
      <xdr:colOff>95250</xdr:colOff>
      <xdr:row>38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24</xdr:row>
      <xdr:rowOff>57150</xdr:rowOff>
    </xdr:from>
    <xdr:to>
      <xdr:col>15</xdr:col>
      <xdr:colOff>95250</xdr:colOff>
      <xdr:row>38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38100</xdr:colOff>
      <xdr:row>41</xdr:row>
      <xdr:rowOff>57150</xdr:rowOff>
    </xdr:from>
    <xdr:to>
      <xdr:col>7</xdr:col>
      <xdr:colOff>95250</xdr:colOff>
      <xdr:row>55</xdr:row>
      <xdr:rowOff>133350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38100</xdr:colOff>
      <xdr:row>41</xdr:row>
      <xdr:rowOff>57150</xdr:rowOff>
    </xdr:from>
    <xdr:to>
      <xdr:col>15</xdr:col>
      <xdr:colOff>95250</xdr:colOff>
      <xdr:row>55</xdr:row>
      <xdr:rowOff>133350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7</xdr:col>
      <xdr:colOff>95250</xdr:colOff>
      <xdr:row>72</xdr:row>
      <xdr:rowOff>133350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38100</xdr:colOff>
      <xdr:row>58</xdr:row>
      <xdr:rowOff>57150</xdr:rowOff>
    </xdr:from>
    <xdr:to>
      <xdr:col>15</xdr:col>
      <xdr:colOff>95250</xdr:colOff>
      <xdr:row>72</xdr:row>
      <xdr:rowOff>133350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18</xdr:col>
      <xdr:colOff>38100</xdr:colOff>
      <xdr:row>1</xdr:row>
      <xdr:rowOff>38100</xdr:rowOff>
    </xdr:from>
    <xdr:to>
      <xdr:col>19</xdr:col>
      <xdr:colOff>0</xdr:colOff>
      <xdr:row>1</xdr:row>
      <xdr:rowOff>361950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12449175" y="190500"/>
          <a:ext cx="1809750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18</xdr:col>
      <xdr:colOff>38100</xdr:colOff>
      <xdr:row>3</xdr:row>
      <xdr:rowOff>57150</xdr:rowOff>
    </xdr:from>
    <xdr:to>
      <xdr:col>18</xdr:col>
      <xdr:colOff>914400</xdr:colOff>
      <xdr:row>5</xdr:row>
      <xdr:rowOff>133350</xdr:rowOff>
    </xdr:to>
    <xdr:sp macro="[0]!PainelMesAtual" textlink="">
      <xdr:nvSpPr>
        <xdr:cNvPr id="10" name="TextBox 9" descr="Botão: PainelMesAtual"/>
        <xdr:cNvSpPr txBox="1"/>
      </xdr:nvSpPr>
      <xdr:spPr>
        <a:xfrm>
          <a:off x="12449175" y="942975"/>
          <a:ext cx="87630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Mês atual</a:t>
          </a:r>
        </a:p>
      </xdr:txBody>
    </xdr:sp>
    <xdr:clientData fPrintsWithSheet="0"/>
  </xdr:twoCellAnchor>
  <xdr:twoCellAnchor editAs="absolute">
    <xdr:from>
      <xdr:col>18</xdr:col>
      <xdr:colOff>952500</xdr:colOff>
      <xdr:row>3</xdr:row>
      <xdr:rowOff>57150</xdr:rowOff>
    </xdr:from>
    <xdr:to>
      <xdr:col>19</xdr:col>
      <xdr:colOff>0</xdr:colOff>
      <xdr:row>5</xdr:row>
      <xdr:rowOff>133350</xdr:rowOff>
    </xdr:to>
    <xdr:sp macro="[0]!PainelUltimos30" textlink="">
      <xdr:nvSpPr>
        <xdr:cNvPr id="11" name="TextBox 10" descr="Botão: PainelUltimos30"/>
        <xdr:cNvSpPr txBox="1"/>
      </xdr:nvSpPr>
      <xdr:spPr>
        <a:xfrm>
          <a:off x="13363575" y="942975"/>
          <a:ext cx="895350" cy="2476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Últimos 30 dias</a:t>
          </a:r>
        </a:p>
      </xdr:txBody>
    </xdr:sp>
    <xdr:clientData fPrintsWithSheet="0"/>
  </xdr:twoCellAnchor>
  <xdr:twoCellAnchor editAs="absolute">
    <xdr:from>
      <xdr:col>18</xdr:col>
      <xdr:colOff>38100</xdr:colOff>
      <xdr:row>5</xdr:row>
      <xdr:rowOff>0</xdr:rowOff>
    </xdr:from>
    <xdr:to>
      <xdr:col>19</xdr:col>
      <xdr:colOff>0</xdr:colOff>
      <xdr:row>5</xdr:row>
      <xdr:rowOff>266700</xdr:rowOff>
    </xdr:to>
    <xdr:sp macro="[0]!IrLancamento" textlink="">
      <xdr:nvSpPr>
        <xdr:cNvPr id="12" name="TextBox 11" descr="Botão: IrLancamento"/>
        <xdr:cNvSpPr txBox="1"/>
      </xdr:nvSpPr>
      <xdr:spPr>
        <a:xfrm>
          <a:off x="12449175" y="1057275"/>
          <a:ext cx="180975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Ir ao lançamento</a:t>
          </a:r>
        </a:p>
      </xdr:txBody>
    </xdr:sp>
    <xdr:clientData fPrintsWithSheet="0"/>
  </xdr:twoCellAnchor>
  <xdr:twoCellAnchor editAs="absolute">
    <xdr:from>
      <xdr:col>18</xdr:col>
      <xdr:colOff>38100</xdr:colOff>
      <xdr:row>7</xdr:row>
      <xdr:rowOff>38100</xdr:rowOff>
    </xdr:from>
    <xdr:to>
      <xdr:col>19</xdr:col>
      <xdr:colOff>0</xdr:colOff>
      <xdr:row>8</xdr:row>
      <xdr:rowOff>76200</xdr:rowOff>
    </xdr:to>
    <xdr:sp macro="[0]!ImportarArquivoAntigo" textlink="">
      <xdr:nvSpPr>
        <xdr:cNvPr id="13" name="TextBox 12" descr="Botão: ImportarArquivoAntigo"/>
        <xdr:cNvSpPr txBox="1"/>
      </xdr:nvSpPr>
      <xdr:spPr>
        <a:xfrm>
          <a:off x="12449175" y="1609725"/>
          <a:ext cx="18097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Importar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_Afericoes" displayName="tbl_Afericoes" ref="A1:Q27" totalsRowShown="0">
  <autoFilter ref="A1:Q27"/>
  <tableColumns count="17">
    <tableColumn id="1" name="Ensaio"/>
    <tableColumn id="2" name="Tipo"/>
    <tableColumn id="3" name="Data" dataDxfId="5"/>
    <tableColumn id="4" name="Equipamento"/>
    <tableColumn id="5" name="Parâmetro"/>
    <tableColumn id="6" name="Unidade"/>
    <tableColumn id="7" name="Valor"/>
    <tableColumn id="8" name="Referência"/>
    <tableColumn id="9" name="Diferença"/>
    <tableColumn id="10" name="Lim. Inferior"/>
    <tableColumn id="11" name="Lim. Superior"/>
    <tableColumn id="12" name="Tolerância"/>
    <tableColumn id="13" name="Resultado"/>
    <tableColumn id="14" name="Responsável"/>
    <tableColumn id="15" name="Letra"/>
    <tableColumn id="16" name="Observação"/>
    <tableColumn id="17" name="Orig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Limites" displayName="tbl_Limites" ref="A1:I19" totalsRowShown="0">
  <autoFilter ref="A1:I19"/>
  <tableColumns count="9">
    <tableColumn id="1" name="Chave"/>
    <tableColumn id="2" name="Ensaio"/>
    <tableColumn id="3" name="Parâmetro"/>
    <tableColumn id="4" name="Unidade"/>
    <tableColumn id="5" name="Nominal"/>
    <tableColumn id="6" name="Lim. Inferior"/>
    <tableColumn id="7" name="Lim. Superior"/>
    <tableColumn id="8" name="Tolerância"/>
    <tableColumn id="9" name="Fo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Lancamento">
    <tabColor rgb="FFFDB913"/>
    <pageSetUpPr fitToPage="1"/>
  </sheetPr>
  <dimension ref="A1:P147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28515625" customWidth="1"/>
    <col min="2" max="2" width="1.85546875" customWidth="1"/>
    <col min="3" max="16" width="10.85546875" customWidth="1"/>
    <col min="17" max="17" width="3.28515625" customWidth="1"/>
    <col min="18" max="19" width="27.7109375" customWidth="1"/>
  </cols>
  <sheetData>
    <row r="1" spans="2:16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ht="34" customHeight="1">
      <c r="B2" s="1"/>
      <c r="C2" s="1"/>
      <c r="D2" s="1"/>
      <c r="E2" s="1"/>
      <c r="F2" s="1"/>
      <c r="G2" s="2" t="s">
        <v>104</v>
      </c>
      <c r="H2" s="2"/>
      <c r="I2" s="2"/>
      <c r="J2" s="2"/>
      <c r="K2" s="2"/>
      <c r="L2" s="2"/>
      <c r="M2" s="2"/>
      <c r="N2" s="2"/>
      <c r="O2" s="2"/>
      <c r="P2" s="2"/>
    </row>
    <row r="3" spans="2:16" ht="24" customHeight="1">
      <c r="B3" s="1"/>
      <c r="C3" s="1"/>
      <c r="D3" s="1"/>
      <c r="E3" s="1"/>
      <c r="F3" s="1"/>
      <c r="G3" s="3" t="s">
        <v>105</v>
      </c>
      <c r="H3" s="3"/>
      <c r="I3" s="3"/>
      <c r="J3" s="3"/>
      <c r="K3" s="3"/>
      <c r="L3" s="3"/>
      <c r="M3" s="3"/>
      <c r="N3" s="3"/>
      <c r="O3" s="3"/>
      <c r="P3" s="3"/>
    </row>
    <row r="4" spans="2:16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16" ht="8" customHeight="1"/>
    <row r="6" spans="2:16" ht="26" customHeight="1">
      <c r="C6" s="5" t="s">
        <v>106</v>
      </c>
      <c r="D6" s="6"/>
      <c r="E6" s="6"/>
      <c r="F6" s="5" t="s">
        <v>107</v>
      </c>
      <c r="G6" s="7"/>
      <c r="H6" s="5" t="s">
        <v>108</v>
      </c>
      <c r="I6" s="7"/>
      <c r="J6" s="5" t="s">
        <v>109</v>
      </c>
      <c r="K6" s="5"/>
      <c r="L6" s="8"/>
      <c r="M6" s="8"/>
      <c r="N6" s="8"/>
      <c r="O6" s="8"/>
      <c r="P6" s="8"/>
    </row>
    <row r="7" spans="2:16" ht="18" customHeight="1">
      <c r="C7" s="9">
        <f>IF(cfgUltimoLanc="","Nenhum lançamento registrado nesta planilha.","Último lançamento: "&amp;cfgUltimoLanc)</f>
        <v/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</row>
    <row r="9" spans="2:16" ht="24" customHeight="1">
      <c r="C9" s="10" t="s">
        <v>110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</row>
    <row r="10" spans="2:16" ht="30" customHeight="1">
      <c r="C10" s="11" t="s">
        <v>1</v>
      </c>
      <c r="D10" s="11"/>
      <c r="E10" s="11"/>
      <c r="F10" s="11"/>
      <c r="G10" s="11" t="s">
        <v>111</v>
      </c>
      <c r="H10" s="11"/>
      <c r="I10" s="11" t="s">
        <v>112</v>
      </c>
      <c r="J10" s="11"/>
      <c r="K10" s="11" t="s">
        <v>113</v>
      </c>
      <c r="L10" s="11"/>
      <c r="M10" s="11" t="s">
        <v>114</v>
      </c>
      <c r="N10" s="11"/>
      <c r="O10" s="11" t="s">
        <v>115</v>
      </c>
      <c r="P10" s="11"/>
    </row>
    <row r="11" spans="2:16" ht="21" customHeight="1">
      <c r="C11" s="12" t="s">
        <v>277</v>
      </c>
      <c r="D11" s="13"/>
      <c r="E11" s="13"/>
      <c r="F11" s="13"/>
      <c r="G11" s="14" t="s">
        <v>118</v>
      </c>
      <c r="H11" s="14"/>
      <c r="I11" s="15">
        <f>IF(OR(pData="",pTurno=""),"—",IF(INDEX(agenda,1,(WEEKDAY(pData,2)-1)*2+IF(pTurno="07x19",1,2))="X","Previsto","—"))</f>
        <v/>
      </c>
      <c r="J11" s="15"/>
      <c r="K11" s="15">
        <f>IF(cnt_BLA&gt;0,"Preenchido",IF(I11="Previsto","Pendente","—"))</f>
        <v/>
      </c>
      <c r="L11" s="15"/>
      <c r="M11" s="15">
        <f>IF((COUNTIF($N$25,"Não conforme")+COUNTIF($N$26,"Não conforme")+COUNTIF($N$27,"Não conforme"))&gt;0,"Não conforme ("&amp;(COUNTIF($N$25,"Não conforme")+COUNTIF($N$26,"Não conforme")+COUNTIF($N$27,"Não conforme"))&amp;")",IF((COUNTIF($N$25,"Conforme*")+COUNTIF($N$26,"Conforme*")+COUNTIF($N$27,"Conforme*"))&gt;0,"Conforme","—"))</f>
        <v/>
      </c>
      <c r="N11" s="15"/>
      <c r="O11" s="16" t="str">
        <f t="array" ref="O11">IFERROR(1/(1/MAX(IF(BD_Afericoes!$A$2:$A$60000="Blaine",BD_Afericoes!$C$2:$C$60000))),"")</f>
        <v/>
      </c>
      <c r="P11" s="16"/>
    </row>
    <row r="12" spans="2:16" ht="21" customHeight="1">
      <c r="C12" s="17" t="s">
        <v>278</v>
      </c>
      <c r="D12" s="18"/>
      <c r="E12" s="18"/>
      <c r="F12" s="18"/>
      <c r="G12" s="19" t="s">
        <v>128</v>
      </c>
      <c r="H12" s="19"/>
      <c r="I12" s="20">
        <f>IF(OR(pData="",pTurno=""),"—",IF(INDEX(agenda,2,(WEEKDAY(pData,2)-1)*2+IF(pTurno="07x19",1,2))="X","Previsto","—"))</f>
        <v/>
      </c>
      <c r="J12" s="20"/>
      <c r="K12" s="20">
        <f>IF(cnt_TAM&gt;0,"Preenchido",IF(I12="Previsto","Pendente","—"))</f>
        <v/>
      </c>
      <c r="L12" s="20"/>
      <c r="M12" s="20">
        <f>IF((COUNTIF($N$33,"Não conforme")+COUNTIF($N$34,"Não conforme")+COUNTIF($N$35,"Não conforme")+COUNTIF($N$36,"Não conforme")+COUNTIF($N$37,"Não conforme"))&gt;0,"Não conforme ("&amp;(COUNTIF($N$33,"Não conforme")+COUNTIF($N$34,"Não conforme")+COUNTIF($N$35,"Não conforme")+COUNTIF($N$36,"Não conforme")+COUNTIF($N$37,"Não conforme"))&amp;")",IF((COUNTIF($N$33,"Conforme*")+COUNTIF($N$34,"Conforme*")+COUNTIF($N$35,"Conforme*")+COUNTIF($N$36,"Conforme*")+COUNTIF($N$37,"Conforme*"))&gt;0,"Conforme","—"))</f>
        <v/>
      </c>
      <c r="N12" s="20"/>
      <c r="O12" s="21" t="str">
        <f t="array" ref="O12">IFERROR(1/(1/MAX(IF(BD_Afericoes!$A$2:$A$60000="Tambor de Abrasão",BD_Afericoes!$C$2:$C$60000))),"")</f>
        <v/>
      </c>
      <c r="P12" s="21"/>
    </row>
    <row r="13" spans="2:16" ht="21" customHeight="1">
      <c r="C13" s="12" t="s">
        <v>279</v>
      </c>
      <c r="D13" s="13"/>
      <c r="E13" s="13"/>
      <c r="F13" s="13"/>
      <c r="G13" s="14" t="s">
        <v>128</v>
      </c>
      <c r="H13" s="14"/>
      <c r="I13" s="15">
        <f>IF(OR(pData="",pTurno=""),"—",IF(INDEX(agenda,3,(WEEKDAY(pData,2)-1)*2+IF(pTurno="07x19",1,2))="X","Previsto","—"))</f>
        <v/>
      </c>
      <c r="J13" s="15"/>
      <c r="K13" s="15">
        <f>IF(cnt_ALP&gt;0,"Preenchido",IF(I13="Previsto","Pendente","—"))</f>
        <v/>
      </c>
      <c r="L13" s="15"/>
      <c r="M13" s="15">
        <f>IF((COUNTIF($N$43,"Não conforme")+COUNTIF($N$44,"Não conforme")+COUNTIF($N$45,"Não conforme"))&gt;0,"Não conforme ("&amp;(COUNTIF($N$43,"Não conforme")+COUNTIF($N$44,"Não conforme")+COUNTIF($N$45,"Não conforme"))&amp;")",IF((COUNTIF($N$43,"Conforme*")+COUNTIF($N$44,"Conforme*")+COUNTIF($N$45,"Conforme*"))&gt;0,"Conforme","—"))</f>
        <v/>
      </c>
      <c r="N13" s="15"/>
      <c r="O13" s="16" t="str">
        <f t="array" ref="O13">IFERROR(1/(1/MAX(IF(BD_Afericoes!$A$2:$A$60000="Gran. Fina Alpine",BD_Afericoes!$C$2:$C$60000))),"")</f>
        <v/>
      </c>
      <c r="P13" s="16"/>
    </row>
    <row r="14" spans="2:16" ht="21" customHeight="1">
      <c r="C14" s="17" t="s">
        <v>280</v>
      </c>
      <c r="D14" s="18"/>
      <c r="E14" s="18"/>
      <c r="F14" s="18"/>
      <c r="G14" s="19" t="s">
        <v>151</v>
      </c>
      <c r="H14" s="19"/>
      <c r="I14" s="20">
        <f>IF(OR(pData="",pTurno=""),"—",IF(INDEX(agenda,4,(WEEKDAY(pData,2)-1)*2+IF(pTurno="07x19",1,2))="X","Previsto","—"))</f>
        <v/>
      </c>
      <c r="J14" s="20"/>
      <c r="K14" s="20">
        <f>IF(cnt_UMI&gt;0,"Preenchido",IF(I14="Previsto","Pendente","—"))</f>
        <v/>
      </c>
      <c r="L14" s="20"/>
      <c r="M14" s="20">
        <f>IF((COUNTIF($L$53,"Não conforme")+COUNTIF($L$54,"Não conforme")+COUNTIF($L$55,"Não conforme"))&gt;0,"Não conforme ("&amp;(COUNTIF($L$53,"Não conforme")+COUNTIF($L$54,"Não conforme")+COUNTIF($L$55,"Não conforme"))&amp;")",IF((COUNTIF($L$53,"Conforme*")+COUNTIF($L$54,"Conforme*")+COUNTIF($L$55,"Conforme*"))&gt;0,"Conforme","—"))</f>
        <v/>
      </c>
      <c r="N14" s="20"/>
      <c r="O14" s="21" t="str">
        <f t="array" ref="O14">IFERROR(1/(1/MAX(IF(BD_Afericoes!$A$2:$A$60000="Umidade",BD_Afericoes!$C$2:$C$60000))),"")</f>
        <v/>
      </c>
      <c r="P14" s="21"/>
    </row>
    <row r="15" spans="2:16" ht="21" customHeight="1">
      <c r="C15" s="12" t="s">
        <v>281</v>
      </c>
      <c r="D15" s="13"/>
      <c r="E15" s="13"/>
      <c r="F15" s="13"/>
      <c r="G15" s="14" t="s">
        <v>167</v>
      </c>
      <c r="H15" s="14"/>
      <c r="I15" s="15">
        <f>IF(OR(pData="",pTurno=""),"—",IF(INDEX(agenda,5,(WEEKDAY(pData,2)-1)*2+IF(pTurno="07x19",1,2))="X","Previsto","—"))</f>
        <v/>
      </c>
      <c r="J15" s="15"/>
      <c r="K15" s="15">
        <f>IF(cnt_COM&gt;0,"Preenchido",IF(I15="Previsto","Pendente","—"))</f>
        <v/>
      </c>
      <c r="L15" s="15"/>
      <c r="M15" s="15">
        <f>IF((COUNTIF($I$62,"Não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conforme"))&gt;0,"Não conforme ("&amp;(COUNTIF($I$62,"Não conforme")+COUNTIF($M$62,"Não conforme")+COUNTIF($I$63,"Não conforme")+COUNTIF($M$63,"Não conforme")+COUNTIF($I$64,"Não conforme")+COUNTIF($M$64,"Não conforme")+COUNTIF($I$65,"Não conforme")+COUNTIF($I$66,"Não conforme")+COUNTIF($M$66,"Não conforme")+COUNTIF($I$69,"Não conforme")+COUNTIF($M$69,"Não conforme")+COUNTIF($I$70,"Não conforme")+COUNTIF($M$70,"Não conforme")+COUNTIF($I$71,"Não conforme")+COUNTIF($M$71,"Não conforme")+COUNTIF($I$72,"Não conforme")+COUNTIF($I$73,"Não conforme")+COUNTIF($M$73,"Não conforme"))&amp;")",IF((COUNTIF($I$62,"Conforme*")+COUNTIF($M$62,"Conforme*")+COUNTIF($I$63,"Conforme*")+COUNTIF($M$63,"Conforme*")+COUNTIF($I$64,"Conforme*")+COUNTIF($M$64,"Conforme*")+COUNTIF($I$65,"Conforme*")+COUNTIF($I$66,"Conforme*")+COUNTIF($M$66,"Conforme*")+COUNTIF($I$69,"Conforme*")+COUNTIF($M$69,"Conforme*")+COUNTIF($I$70,"Conforme*")+COUNTIF($M$70,"Conforme*")+COUNTIF($I$71,"Conforme*")+COUNTIF($M$71,"Conforme*")+COUNTIF($I$72,"Conforme*")+COUNTIF($I$73,"Conforme*")+COUNTIF($M$73,"Conforme*"))&gt;0,"Conforme","—"))</f>
        <v/>
      </c>
      <c r="N15" s="15"/>
      <c r="O15" s="16" t="str">
        <f t="array" ref="O15">IFERROR(1/(1/MAX(IF(BD_Afericoes!$A$2:$A$60000="Compressão",BD_Afericoes!$C$2:$C$60000))),"")</f>
        <v/>
      </c>
      <c r="P15" s="16"/>
    </row>
    <row r="16" spans="2:16" ht="21" customHeight="1">
      <c r="C16" s="17" t="s">
        <v>282</v>
      </c>
      <c r="D16" s="18"/>
      <c r="E16" s="18"/>
      <c r="F16" s="18"/>
      <c r="G16" s="19" t="s">
        <v>167</v>
      </c>
      <c r="H16" s="19"/>
      <c r="I16" s="20">
        <f>IF(OR(pData="",pTurno=""),"—",IF(INDEX(agenda,6,(WEEKDAY(pData,2)-1)*2+IF(pTurno="07x19",1,2))="X","Previsto","—"))</f>
        <v/>
      </c>
      <c r="J16" s="20"/>
      <c r="K16" s="20">
        <f>IF(cnt_GRA&gt;0,"Preenchido",IF(I16="Previsto","Pendente","—"))</f>
        <v/>
      </c>
      <c r="L16" s="20"/>
      <c r="M16" s="20">
        <f>IF((COUNTIF($L$92,"Não conforme")+COUNTIF($L$93,"Não conforme")+COUNTIF($L$94,"Não conforme")+COUNTIF($L$95,"Não conforme")+COUNTIF($L$96,"Não conforme")+COUNTIF($L$97,"Não conforme"))&gt;0,"Não conforme ("&amp;(COUNTIF($L$92,"Não conforme")+COUNTIF($L$93,"Não conforme")+COUNTIF($L$94,"Não conforme")+COUNTIF($L$95,"Não conforme")+COUNTIF($L$96,"Não conforme")+COUNTIF($L$97,"Não conforme"))&amp;")",IF((COUNTIF($L$92,"Conforme*")+COUNTIF($L$93,"Conforme*")+COUNTIF($L$94,"Conforme*")+COUNTIF($L$95,"Conforme*")+COUNTIF($L$96,"Conforme*")+COUNTIF($L$97,"Conforme*"))&gt;0,"Conforme","—"))</f>
        <v/>
      </c>
      <c r="N16" s="20"/>
      <c r="O16" s="21" t="str">
        <f t="array" ref="O16">IFERROR(1/(1/MAX(IF(BD_Afericoes!$A$2:$A$60000="Granulometria",BD_Afericoes!$C$2:$C$60000))),"")</f>
        <v/>
      </c>
      <c r="P16" s="21"/>
    </row>
    <row r="17" spans="2:16" ht="21" customHeight="1">
      <c r="C17" s="12" t="s">
        <v>283</v>
      </c>
      <c r="D17" s="13"/>
      <c r="E17" s="13"/>
      <c r="F17" s="13"/>
      <c r="G17" s="14" t="s">
        <v>167</v>
      </c>
      <c r="H17" s="14"/>
      <c r="I17" s="15">
        <f>IF(OR(pData="",pTurno=""),"—",IF(INDEX(agenda,7,(WEEKDAY(pData,2)-1)*2+IF(pTurno="07x19",1,2))="X","Previsto","—"))</f>
        <v/>
      </c>
      <c r="J17" s="15"/>
      <c r="K17" s="15">
        <f>IF(cnt_T515&gt;0,"Preenchido",IF(I17="Previsto","Pendente","—"))</f>
        <v/>
      </c>
      <c r="L17" s="15"/>
      <c r="M17" s="15">
        <f>IF((COUNTIF($L$106,"Não conforme")+COUNTIF($L$107,"Não conforme"))&gt;0,"Não conforme ("&amp;(COUNTIF($L$106,"Não conforme")+COUNTIF($L$107,"Não conforme"))&amp;")",IF((COUNTIF($L$106,"Conforme*")+COUNTIF($L$107,"Conforme*"))&gt;0,"Conforme","—"))</f>
        <v/>
      </c>
      <c r="N17" s="15"/>
      <c r="O17" s="16" t="str">
        <f t="array" ref="O17">IFERROR(1/(1/MAX(IF(BD_Afericoes!$A$2:$A$60000="Tamb 5 kg x 15 kg",BD_Afericoes!$C$2:$C$60000))),"")</f>
        <v/>
      </c>
      <c r="P17" s="16"/>
    </row>
    <row r="18" spans="2:16" ht="21" customHeight="1">
      <c r="C18" s="17" t="s">
        <v>284</v>
      </c>
      <c r="D18" s="18"/>
      <c r="E18" s="18"/>
      <c r="F18" s="18"/>
      <c r="G18" s="19" t="s">
        <v>151</v>
      </c>
      <c r="H18" s="19"/>
      <c r="I18" s="20">
        <f>IF(OR(pData="",pTurno=""),"—",IF(INDEX(agenda,8,(WEEKDAY(pData,2)-1)*2+IF(pTurno="07x19",1,2))="X","Previsto","—"))</f>
        <v/>
      </c>
      <c r="J18" s="20"/>
      <c r="K18" s="20">
        <f>IF(cnt_PEN&gt;0,"Preenchido",IF(I18="Previsto","Pendente","—"))</f>
        <v/>
      </c>
      <c r="L18" s="20"/>
      <c r="M18" s="20">
        <f>IF((COUNTIF($N$113,"Não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conforme"))&gt;0,"Não conforme ("&amp;(COUNTIF($N$113,"Não conforme")+COUNTIF($N$114,"Não conforme")+COUNTIF($N$115,"Não conforme")+COUNTIF($N$116,"Não conforme")+COUNTIF($N$117,"Não conforme")+COUNTIF($N$118,"Não conforme")+COUNTIF($N$119,"Não conforme")+COUNTIF($N$120,"Não conforme")+COUNTIF($N$121,"Não conforme")+COUNTIF($N$122,"Não conforme")+COUNTIF($N$123,"Não conforme")+COUNTIF($N$124,"Não conforme")+COUNTIF($N$125,"Não conforme")+COUNTIF($N$126,"Não conforme")+COUNTIF($N$127,"Não conforme")+COUNTIF($N$128,"Não conforme")+COUNTIF($N$129,"Não conforme")+COUNTIF($N$130,"Não conforme")+COUNTIF($N$131,"Não conforme")+COUNTIF($N$132,"Não conforme")+COUNTIF($N$133,"Não conforme")+COUNTIF($N$134,"Não conforme")+COUNTIF($N$135,"Não conforme")+COUNTIF($N$136,"Não conforme")+COUNTIF($N$137,"Não conforme")+COUNTIF($N$138,"Não conforme")+COUNTIF($N$139,"Não conforme"))&amp;")",IF((COUNTIF($N$113,"Conforme*")+COUNTIF($N$114,"Conforme*")+COUNTIF($N$115,"Conforme*")+COUNTIF($N$116,"Conforme*")+COUNTIF($N$117,"Conforme*")+COUNTIF($N$118,"Conforme*")+COUNTIF($N$119,"Conforme*")+COUNTIF($N$120,"Conforme*")+COUNTIF($N$121,"Conforme*")+COUNTIF($N$122,"Conforme*")+COUNTIF($N$123,"Conforme*")+COUNTIF($N$124,"Conforme*")+COUNTIF($N$125,"Conforme*")+COUNTIF($N$126,"Conforme*")+COUNTIF($N$127,"Conforme*")+COUNTIF($N$128,"Conforme*")+COUNTIF($N$129,"Conforme*")+COUNTIF($N$130,"Conforme*")+COUNTIF($N$131,"Conforme*")+COUNTIF($N$132,"Conforme*")+COUNTIF($N$133,"Conforme*")+COUNTIF($N$134,"Conforme*")+COUNTIF($N$135,"Conforme*")+COUNTIF($N$136,"Conforme*")+COUNTIF($N$137,"Conforme*")+COUNTIF($N$138,"Conforme*")+COUNTIF($N$139,"Conforme*"))&gt;0,"Conforme","—"))</f>
        <v/>
      </c>
      <c r="N18" s="20"/>
      <c r="O18" s="21" t="str">
        <f t="array" ref="O18">IFERROR(1/(1/MAX(IF(BD_Afericoes!$A$2:$A$60000="Verificação Peneiradores",BD_Afericoes!$C$2:$C$60000))),"")</f>
        <v/>
      </c>
      <c r="P18" s="21"/>
    </row>
    <row r="19" spans="2:16" ht="21" customHeight="1">
      <c r="C19" s="12" t="s">
        <v>285</v>
      </c>
      <c r="D19" s="13"/>
      <c r="E19" s="13"/>
      <c r="F19" s="13"/>
      <c r="G19" s="14" t="s">
        <v>272</v>
      </c>
      <c r="H19" s="14"/>
      <c r="I19" s="15">
        <f>IF(OR(pData="",pTurno=""),"—",IF(INDEX(agenda,9,(WEEKDAY(pData,2)-1)*2+IF(pTurno="07x19",1,2))="X","Previsto","—"))</f>
        <v/>
      </c>
      <c r="J19" s="15"/>
      <c r="K19" s="15">
        <f>IF(cnt_FIS&gt;0,"Preenchido",IF(I19="Previsto","Pendente","—"))</f>
        <v/>
      </c>
      <c r="L19" s="15"/>
      <c r="M19" s="15">
        <f>IF((COUNTIF($L$146,"Não conforme"))&gt;0,"Não conforme ("&amp;(COUNTIF($L$146,"Não conforme"))&amp;")",IF((COUNTIF($L$146,"Conforme*"))&gt;0,"Conforme","—"))</f>
        <v/>
      </c>
      <c r="N19" s="15"/>
      <c r="O19" s="16" t="str">
        <f t="array" ref="O19">IFERROR(1/(1/MAX(IF(BD_Afericoes!$A$2:$A$60000="Comparativo Fisher",BD_Afericoes!$C$2:$C$60000))),"")</f>
        <v/>
      </c>
      <c r="P19" s="16"/>
    </row>
    <row r="20" spans="2:16" ht="16" customHeight="1">
      <c r="C20" s="9" t="s">
        <v>116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</row>
    <row r="22" spans="2:16" ht="28" customHeight="1">
      <c r="B22" s="4"/>
      <c r="C22" s="22" t="s">
        <v>117</v>
      </c>
      <c r="D22" s="22"/>
      <c r="E22" s="22"/>
      <c r="F22" s="22"/>
      <c r="G22" s="22"/>
      <c r="H22" s="22"/>
      <c r="I22" s="22"/>
      <c r="J22" s="22"/>
      <c r="K22" s="22"/>
      <c r="L22" s="23" t="s">
        <v>118</v>
      </c>
      <c r="M22" s="23"/>
      <c r="N22" s="23"/>
      <c r="O22" s="23"/>
      <c r="P22" s="23"/>
    </row>
    <row r="23" spans="2:16" ht="16" customHeight="1">
      <c r="C23" s="24" t="s">
        <v>119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</row>
    <row r="24" spans="2:16" ht="30" customHeight="1">
      <c r="C24" s="11" t="s">
        <v>120</v>
      </c>
      <c r="D24" s="11"/>
      <c r="E24" s="11" t="s">
        <v>2</v>
      </c>
      <c r="F24" s="11"/>
      <c r="G24" s="11"/>
      <c r="H24" s="11" t="s">
        <v>121</v>
      </c>
      <c r="I24" s="11"/>
      <c r="J24" s="11" t="s">
        <v>4</v>
      </c>
      <c r="K24" s="11" t="s">
        <v>102</v>
      </c>
      <c r="L24" s="11" t="s">
        <v>103</v>
      </c>
      <c r="M24" s="11" t="s">
        <v>122</v>
      </c>
      <c r="N24" s="11" t="s">
        <v>123</v>
      </c>
      <c r="O24" s="11"/>
      <c r="P24" s="11"/>
    </row>
    <row r="25" spans="2:16" ht="24" customHeight="1">
      <c r="C25" s="25" t="s">
        <v>124</v>
      </c>
      <c r="D25" s="25"/>
      <c r="E25" s="26" t="s">
        <v>21</v>
      </c>
      <c r="F25" s="26"/>
      <c r="G25" s="26"/>
      <c r="H25" s="27"/>
      <c r="I25" s="27"/>
      <c r="J25" s="28">
        <f>c_BLAM_NOM</f>
        <v/>
      </c>
      <c r="K25" s="28">
        <f>c_BLAM_LI</f>
        <v/>
      </c>
      <c r="L25" s="28">
        <f>c_BLAM_LS</f>
        <v/>
      </c>
      <c r="M25" s="29">
        <f>IF(OR($H$25="",c_BLAM_NOM=""),"",$H$25-c_BLAM_NOM)</f>
        <v/>
      </c>
      <c r="N25" s="30">
        <f>IF($H$25="","",IF(AND(OR(c_BLAM_LI="",$H$25&gt;=c_BLAM_LI),OR(c_BLAM_LS="",$H$25&lt;=c_BLAM_LS)),"Conforme","Não conforme"))</f>
        <v/>
      </c>
      <c r="O25" s="30"/>
      <c r="P25" s="30"/>
    </row>
    <row r="26" spans="2:16" ht="24" customHeight="1">
      <c r="C26" s="5" t="s">
        <v>125</v>
      </c>
      <c r="D26" s="5"/>
      <c r="E26" s="26" t="s">
        <v>25</v>
      </c>
      <c r="F26" s="26"/>
      <c r="G26" s="26"/>
      <c r="H26" s="27"/>
      <c r="I26" s="27"/>
      <c r="J26" s="28">
        <f>c_BLAS_NOM</f>
        <v/>
      </c>
      <c r="K26" s="28">
        <f>c_BLAS_LI</f>
        <v/>
      </c>
      <c r="L26" s="28">
        <f>c_BLAS_LS</f>
        <v/>
      </c>
      <c r="M26" s="29">
        <f>IF(OR($H$26="",c_BLAS_NOM=""),"",$H$26-c_BLAS_NOM)</f>
        <v/>
      </c>
      <c r="N26" s="30">
        <f>IF($H$26="","",IF(AND(OR(c_BLAS_LI="",$H$26&gt;=c_BLAS_LI),OR(c_BLAS_LS="",$H$26&lt;=c_BLAS_LS)),"Conforme","Não conforme"))</f>
        <v/>
      </c>
      <c r="O26" s="30"/>
      <c r="P26" s="30"/>
    </row>
    <row r="27" spans="2:16" ht="24" customHeight="1">
      <c r="C27" s="5" t="s">
        <v>28</v>
      </c>
      <c r="D27" s="5"/>
      <c r="E27" s="26" t="s">
        <v>28</v>
      </c>
      <c r="F27" s="26"/>
      <c r="G27" s="26"/>
      <c r="H27" s="27"/>
      <c r="I27" s="27"/>
      <c r="J27" s="28">
        <f>c_BLAA_NOM</f>
        <v/>
      </c>
      <c r="K27" s="28">
        <f>c_BLAA_LI</f>
        <v/>
      </c>
      <c r="L27" s="28">
        <f>c_BLAA_LS</f>
        <v/>
      </c>
      <c r="M27" s="29">
        <f>IF(OR($H$27="",c_BLAA_NOM=""),"",$H$27-c_BLAA_NOM)</f>
        <v/>
      </c>
      <c r="N27" s="30">
        <f>IF($H$27="","",IF(AND(OR(c_BLAA_LI="",$H$27&gt;=c_BLAA_LI),OR(c_BLAA_LS="",$H$27&lt;=c_BLAA_LS)),"Conforme","Não conforme"))</f>
        <v/>
      </c>
      <c r="O27" s="30"/>
      <c r="P27" s="30"/>
    </row>
    <row r="28" spans="2:16" ht="22" customHeight="1">
      <c r="C28" s="5" t="s">
        <v>126</v>
      </c>
      <c r="D28" s="5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</row>
    <row r="30" spans="2:16" ht="28" customHeight="1">
      <c r="B30" s="4"/>
      <c r="C30" s="22" t="s">
        <v>127</v>
      </c>
      <c r="D30" s="22"/>
      <c r="E30" s="22"/>
      <c r="F30" s="22"/>
      <c r="G30" s="22"/>
      <c r="H30" s="22"/>
      <c r="I30" s="22"/>
      <c r="J30" s="22"/>
      <c r="K30" s="22"/>
      <c r="L30" s="23" t="s">
        <v>128</v>
      </c>
      <c r="M30" s="23"/>
      <c r="N30" s="23"/>
      <c r="O30" s="23"/>
      <c r="P30" s="23"/>
    </row>
    <row r="31" spans="2:16" ht="16" customHeight="1">
      <c r="C31" s="24" t="s">
        <v>129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</row>
    <row r="32" spans="2:16" ht="30" customHeight="1">
      <c r="C32" s="11" t="s">
        <v>130</v>
      </c>
      <c r="D32" s="11"/>
      <c r="E32" s="11" t="s">
        <v>131</v>
      </c>
      <c r="F32" s="11" t="s">
        <v>132</v>
      </c>
      <c r="G32" s="11" t="s">
        <v>133</v>
      </c>
      <c r="H32" s="11" t="s">
        <v>134</v>
      </c>
      <c r="I32" s="11" t="s">
        <v>135</v>
      </c>
      <c r="J32" s="11"/>
      <c r="K32" s="11" t="s">
        <v>4</v>
      </c>
      <c r="L32" s="11" t="s">
        <v>102</v>
      </c>
      <c r="M32" s="11" t="s">
        <v>103</v>
      </c>
      <c r="N32" s="11" t="s">
        <v>123</v>
      </c>
      <c r="O32" s="11"/>
      <c r="P32" s="11"/>
    </row>
    <row r="33" spans="2:16" ht="24" customHeight="1">
      <c r="C33" s="5" t="s">
        <v>136</v>
      </c>
      <c r="D33" s="5"/>
      <c r="E33" s="28">
        <f>c_V_TA05_NOM</f>
        <v/>
      </c>
      <c r="F33" s="27"/>
      <c r="G33" s="27"/>
      <c r="H33" s="29">
        <f>IF(AND($F$33="",$G$33=""),"",N($F$33)*60+N($G$33))</f>
        <v/>
      </c>
      <c r="I33" s="32">
        <f>IF(OR($H$33="",N($H$33)=0,$E$33=""),"",$E$33*60/$H$33)</f>
        <v/>
      </c>
      <c r="J33" s="32"/>
      <c r="K33" s="33">
        <f>c_TAMB_NOM</f>
        <v/>
      </c>
      <c r="L33" s="33">
        <f>c_TAMB_LI</f>
        <v/>
      </c>
      <c r="M33" s="33">
        <f>c_TAMB_LS</f>
        <v/>
      </c>
      <c r="N33" s="30">
        <f>IF($I$33="","",IF(AND(OR(c_TAMB_LI="",$I$33&gt;=c_TAMB_LI),OR(c_TAMB_LS="",$I$33&lt;=c_TAMB_LS)),"Conforme","Não conforme"))</f>
        <v/>
      </c>
      <c r="O33" s="30"/>
      <c r="P33" s="30"/>
    </row>
    <row r="34" spans="2:16" ht="24" customHeight="1">
      <c r="C34" s="5" t="s">
        <v>137</v>
      </c>
      <c r="D34" s="5"/>
      <c r="E34" s="28">
        <f>c_V_TA08_NOM</f>
        <v/>
      </c>
      <c r="F34" s="27"/>
      <c r="G34" s="27"/>
      <c r="H34" s="29">
        <f>IF(AND($F$34="",$G$34=""),"",N($F$34)*60+N($G$34))</f>
        <v/>
      </c>
      <c r="I34" s="32">
        <f>IF(OR($H$34="",N($H$34)=0,$E$34=""),"",$E$34*60/$H$34)</f>
        <v/>
      </c>
      <c r="J34" s="32"/>
      <c r="K34" s="33">
        <f>c_TAMB_NOM</f>
        <v/>
      </c>
      <c r="L34" s="33">
        <f>c_TAMB_LI</f>
        <v/>
      </c>
      <c r="M34" s="33">
        <f>c_TAMB_LS</f>
        <v/>
      </c>
      <c r="N34" s="30">
        <f>IF($I$34="","",IF(AND(OR(c_TAMB_LI="",$I$34&gt;=c_TAMB_LI),OR(c_TAMB_LS="",$I$34&lt;=c_TAMB_LS)),"Conforme","Não conforme"))</f>
        <v/>
      </c>
      <c r="O34" s="30"/>
      <c r="P34" s="30"/>
    </row>
    <row r="35" spans="2:16" ht="24" customHeight="1">
      <c r="C35" s="5" t="s">
        <v>138</v>
      </c>
      <c r="D35" s="5"/>
      <c r="E35" s="28">
        <f>c_V_TA09_NOM</f>
        <v/>
      </c>
      <c r="F35" s="27"/>
      <c r="G35" s="27"/>
      <c r="H35" s="29">
        <f>IF(AND($F$35="",$G$35=""),"",N($F$35)*60+N($G$35))</f>
        <v/>
      </c>
      <c r="I35" s="32">
        <f>IF(OR($H$35="",N($H$35)=0,$E$35=""),"",$E$35*60/$H$35)</f>
        <v/>
      </c>
      <c r="J35" s="32"/>
      <c r="K35" s="33">
        <f>c_TAMB_NOM</f>
        <v/>
      </c>
      <c r="L35" s="33">
        <f>c_TAMB_LI</f>
        <v/>
      </c>
      <c r="M35" s="33">
        <f>c_TAMB_LS</f>
        <v/>
      </c>
      <c r="N35" s="30">
        <f>IF($I$35="","",IF(AND(OR(c_TAMB_LI="",$I$35&gt;=c_TAMB_LI),OR(c_TAMB_LS="",$I$35&lt;=c_TAMB_LS)),"Conforme","Não conforme"))</f>
        <v/>
      </c>
      <c r="O35" s="30"/>
      <c r="P35" s="30"/>
    </row>
    <row r="36" spans="2:16" ht="24" customHeight="1">
      <c r="C36" s="5" t="s">
        <v>139</v>
      </c>
      <c r="D36" s="5"/>
      <c r="E36" s="28">
        <f>c_V_TA06_NOM</f>
        <v/>
      </c>
      <c r="F36" s="27"/>
      <c r="G36" s="27"/>
      <c r="H36" s="29">
        <f>IF(AND($F$36="",$G$36=""),"",N($F$36)*60+N($G$36))</f>
        <v/>
      </c>
      <c r="I36" s="32">
        <f>IF(OR($H$36="",N($H$36)=0,$E$36=""),"",$E$36*60/$H$36)</f>
        <v/>
      </c>
      <c r="J36" s="32"/>
      <c r="K36" s="33">
        <f>c_TAMB_NOM</f>
        <v/>
      </c>
      <c r="L36" s="33">
        <f>c_TAMB_LI</f>
        <v/>
      </c>
      <c r="M36" s="33">
        <f>c_TAMB_LS</f>
        <v/>
      </c>
      <c r="N36" s="30">
        <f>IF($I$36="","",IF(AND(OR(c_TAMB_LI="",$I$36&gt;=c_TAMB_LI),OR(c_TAMB_LS="",$I$36&lt;=c_TAMB_LS)),"Conforme","Não conforme"))</f>
        <v/>
      </c>
      <c r="O36" s="30"/>
      <c r="P36" s="30"/>
    </row>
    <row r="37" spans="2:16" ht="24" customHeight="1">
      <c r="C37" s="5" t="s">
        <v>140</v>
      </c>
      <c r="D37" s="5"/>
      <c r="E37" s="28">
        <f>c_V_TA07_NOM</f>
        <v/>
      </c>
      <c r="F37" s="27"/>
      <c r="G37" s="27"/>
      <c r="H37" s="29">
        <f>IF(AND($F$37="",$G$37=""),"",N($F$37)*60+N($G$37))</f>
        <v/>
      </c>
      <c r="I37" s="32">
        <f>IF(OR($H$37="",N($H$37)=0,$E$37=""),"",$E$37*60/$H$37)</f>
        <v/>
      </c>
      <c r="J37" s="32"/>
      <c r="K37" s="33">
        <f>c_TAMB_NOM</f>
        <v/>
      </c>
      <c r="L37" s="33">
        <f>c_TAMB_LI</f>
        <v/>
      </c>
      <c r="M37" s="33">
        <f>c_TAMB_LS</f>
        <v/>
      </c>
      <c r="N37" s="30">
        <f>IF($I$37="","",IF(AND(OR(c_TAMB_LI="",$I$37&gt;=c_TAMB_LI),OR(c_TAMB_LS="",$I$37&lt;=c_TAMB_LS)),"Conforme","Não conforme"))</f>
        <v/>
      </c>
      <c r="O37" s="30"/>
      <c r="P37" s="30"/>
    </row>
    <row r="38" spans="2:16" ht="22" customHeight="1">
      <c r="C38" s="5" t="s">
        <v>126</v>
      </c>
      <c r="D38" s="5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</row>
    <row r="40" spans="2:16" ht="28" customHeight="1">
      <c r="B40" s="4"/>
      <c r="C40" s="22" t="s">
        <v>141</v>
      </c>
      <c r="D40" s="22"/>
      <c r="E40" s="22"/>
      <c r="F40" s="22"/>
      <c r="G40" s="22"/>
      <c r="H40" s="22"/>
      <c r="I40" s="22"/>
      <c r="J40" s="22"/>
      <c r="K40" s="22"/>
      <c r="L40" s="23" t="s">
        <v>128</v>
      </c>
      <c r="M40" s="23"/>
      <c r="N40" s="23"/>
      <c r="O40" s="23"/>
      <c r="P40" s="23"/>
    </row>
    <row r="41" spans="2:16" ht="16" customHeight="1">
      <c r="C41" s="24" t="s">
        <v>142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2:16" ht="30" customHeight="1">
      <c r="C42" s="11" t="s">
        <v>120</v>
      </c>
      <c r="D42" s="11"/>
      <c r="E42" s="11" t="s">
        <v>143</v>
      </c>
      <c r="F42" s="11"/>
      <c r="G42" s="11"/>
      <c r="H42" s="11" t="s">
        <v>144</v>
      </c>
      <c r="I42" s="11"/>
      <c r="J42" s="11" t="s">
        <v>4</v>
      </c>
      <c r="K42" s="11" t="s">
        <v>102</v>
      </c>
      <c r="L42" s="11" t="s">
        <v>103</v>
      </c>
      <c r="M42" s="11" t="s">
        <v>122</v>
      </c>
      <c r="N42" s="11" t="s">
        <v>123</v>
      </c>
      <c r="O42" s="11"/>
      <c r="P42" s="11"/>
    </row>
    <row r="43" spans="2:16" ht="24" customHeight="1">
      <c r="C43" s="5" t="s">
        <v>145</v>
      </c>
      <c r="D43" s="5"/>
      <c r="E43" s="26" t="s">
        <v>146</v>
      </c>
      <c r="F43" s="26"/>
      <c r="G43" s="26"/>
      <c r="H43" s="34"/>
      <c r="I43" s="34"/>
      <c r="J43" s="33">
        <f>c_ALP_NOM</f>
        <v/>
      </c>
      <c r="K43" s="33">
        <f>c_ALP_LI</f>
        <v/>
      </c>
      <c r="L43" s="33">
        <f>c_ALP_LS</f>
        <v/>
      </c>
      <c r="M43" s="35">
        <f>IF(OR($H$43="",c_ALP_NOM=""),"",$H$43-c_ALP_NOM)</f>
        <v/>
      </c>
      <c r="N43" s="30">
        <f>IF($H$43="","",IF(AND(OR(c_ALP_LI="",$H$43&gt;=c_ALP_LI),OR(c_ALP_LS="",$H$43&lt;=c_ALP_LS)),"Conforme","Não conforme"))</f>
        <v/>
      </c>
      <c r="O43" s="30"/>
      <c r="P43" s="30"/>
    </row>
    <row r="44" spans="2:16" ht="24" customHeight="1">
      <c r="C44" s="5" t="s">
        <v>147</v>
      </c>
      <c r="D44" s="5"/>
      <c r="E44" s="26" t="s">
        <v>148</v>
      </c>
      <c r="F44" s="26"/>
      <c r="G44" s="26"/>
      <c r="H44" s="34"/>
      <c r="I44" s="34"/>
      <c r="J44" s="33">
        <f>c_ALP_NOM</f>
        <v/>
      </c>
      <c r="K44" s="33">
        <f>c_ALP_LI</f>
        <v/>
      </c>
      <c r="L44" s="33">
        <f>c_ALP_LS</f>
        <v/>
      </c>
      <c r="M44" s="35">
        <f>IF(OR($H$44="",c_ALP_NOM=""),"",$H$44-c_ALP_NOM)</f>
        <v/>
      </c>
      <c r="N44" s="30">
        <f>IF($H$44="","",IF(AND(OR(c_ALP_LI="",$H$44&gt;=c_ALP_LI),OR(c_ALP_LS="",$H$44&lt;=c_ALP_LS)),"Conforme","Não conforme"))</f>
        <v/>
      </c>
      <c r="O44" s="30"/>
      <c r="P44" s="30"/>
    </row>
    <row r="45" spans="2:16" ht="24" customHeight="1">
      <c r="C45" s="5" t="s">
        <v>149</v>
      </c>
      <c r="D45" s="5"/>
      <c r="E45" s="26" t="s">
        <v>148</v>
      </c>
      <c r="F45" s="26"/>
      <c r="G45" s="26"/>
      <c r="H45" s="34"/>
      <c r="I45" s="34"/>
      <c r="J45" s="33">
        <f>c_ALP_NOM</f>
        <v/>
      </c>
      <c r="K45" s="33">
        <f>c_ALP_LI</f>
        <v/>
      </c>
      <c r="L45" s="33">
        <f>c_ALP_LS</f>
        <v/>
      </c>
      <c r="M45" s="35">
        <f>IF(OR($H$45="",c_ALP_NOM=""),"",$H$45-c_ALP_NOM)</f>
        <v/>
      </c>
      <c r="N45" s="30">
        <f>IF($H$45="","",IF(AND(OR(c_ALP_LI="",$H$45&gt;=c_ALP_LI),OR(c_ALP_LS="",$H$45&lt;=c_ALP_LS)),"Conforme","Não conforme"))</f>
        <v/>
      </c>
      <c r="O45" s="30"/>
      <c r="P45" s="30"/>
    </row>
    <row r="46" spans="2:16" ht="22" customHeight="1">
      <c r="C46" s="5" t="s">
        <v>126</v>
      </c>
      <c r="D46" s="5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</row>
    <row r="48" spans="2:16" ht="28" customHeight="1">
      <c r="B48" s="4"/>
      <c r="C48" s="22" t="s">
        <v>150</v>
      </c>
      <c r="D48" s="22"/>
      <c r="E48" s="22"/>
      <c r="F48" s="22"/>
      <c r="G48" s="22"/>
      <c r="H48" s="22"/>
      <c r="I48" s="22"/>
      <c r="J48" s="22"/>
      <c r="K48" s="22"/>
      <c r="L48" s="23" t="s">
        <v>151</v>
      </c>
      <c r="M48" s="23"/>
      <c r="N48" s="23"/>
      <c r="O48" s="23"/>
      <c r="P48" s="23"/>
    </row>
    <row r="49" spans="2:16" ht="16" customHeight="1">
      <c r="C49" s="24" t="s">
        <v>152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</row>
    <row r="50" spans="2:16" ht="24" customHeight="1">
      <c r="C50" s="5" t="s">
        <v>153</v>
      </c>
      <c r="D50" s="5"/>
      <c r="E50" s="5"/>
      <c r="F50" s="34"/>
      <c r="G50" s="34"/>
      <c r="H50" s="9" t="s">
        <v>154</v>
      </c>
      <c r="I50" s="9"/>
      <c r="J50" s="9"/>
      <c r="K50" s="9"/>
      <c r="L50" s="9"/>
      <c r="M50" s="9"/>
      <c r="N50" s="9"/>
      <c r="O50" s="9"/>
      <c r="P50" s="9"/>
    </row>
    <row r="51" spans="2:16" ht="24" customHeight="1">
      <c r="C51" s="5" t="s">
        <v>155</v>
      </c>
      <c r="D51" s="5"/>
      <c r="E51" s="5"/>
      <c r="F51" s="36" t="s">
        <v>156</v>
      </c>
      <c r="G51" s="34"/>
      <c r="H51" s="36" t="s">
        <v>157</v>
      </c>
      <c r="I51" s="34"/>
      <c r="J51" s="36" t="s">
        <v>158</v>
      </c>
      <c r="K51" s="34"/>
      <c r="L51" s="37" t="s">
        <v>159</v>
      </c>
      <c r="M51" s="37"/>
      <c r="N51" s="38">
        <f>IF(ISNUMBER($F$50),$F$50,IF(AND(ISNUMBER($G$51),ISNUMBER($I$51),ISNUMBER($K$51)),IF($I$51&gt;$G$51,($I$51-$K$51)/($I$51-$G$51)*100,""),""))</f>
        <v/>
      </c>
      <c r="O51" s="38"/>
      <c r="P51" s="38"/>
    </row>
    <row r="52" spans="2:16" ht="30" customHeight="1">
      <c r="C52" s="11" t="s">
        <v>160</v>
      </c>
      <c r="D52" s="11"/>
      <c r="E52" s="11"/>
      <c r="F52" s="11" t="s">
        <v>161</v>
      </c>
      <c r="G52" s="11"/>
      <c r="H52" s="11" t="s">
        <v>162</v>
      </c>
      <c r="I52" s="11"/>
      <c r="J52" s="11" t="s">
        <v>122</v>
      </c>
      <c r="K52" s="11" t="s">
        <v>7</v>
      </c>
      <c r="L52" s="11" t="s">
        <v>123</v>
      </c>
      <c r="M52" s="11"/>
      <c r="N52" s="11"/>
      <c r="O52" s="11"/>
      <c r="P52" s="11"/>
    </row>
    <row r="53" spans="2:16" ht="24" customHeight="1">
      <c r="C53" s="5" t="s">
        <v>163</v>
      </c>
      <c r="D53" s="5"/>
      <c r="E53" s="5"/>
      <c r="F53" s="34"/>
      <c r="G53" s="34"/>
      <c r="H53" s="39">
        <f>IF($N$51="","",$N$51)</f>
        <v/>
      </c>
      <c r="I53" s="39"/>
      <c r="J53" s="35">
        <f>IF(OR($F$53="",$N$51=""),"",$F$53-$N$51)</f>
        <v/>
      </c>
      <c r="K53" s="39">
        <f>c_UMI_TOL</f>
        <v/>
      </c>
      <c r="L53" s="30">
        <f>IF(OR($J$53="",c_UMI_TOL=""),"",IF(ROUND(ABS($J$53),6)&lt;=ROUND(c_UMI_TOL,6),"Conforme","Não conforme"))</f>
        <v/>
      </c>
      <c r="M53" s="30"/>
      <c r="N53" s="30"/>
      <c r="O53" s="30"/>
      <c r="P53" s="30"/>
    </row>
    <row r="54" spans="2:16" ht="24" customHeight="1">
      <c r="C54" s="5" t="s">
        <v>164</v>
      </c>
      <c r="D54" s="5"/>
      <c r="E54" s="5"/>
      <c r="F54" s="34"/>
      <c r="G54" s="34"/>
      <c r="H54" s="39">
        <f>IF($N$51="","",$N$51)</f>
        <v/>
      </c>
      <c r="I54" s="39"/>
      <c r="J54" s="35">
        <f>IF(OR($F$54="",$N$51=""),"",$F$54-$N$51)</f>
        <v/>
      </c>
      <c r="K54" s="39">
        <f>c_UMI_TOL</f>
        <v/>
      </c>
      <c r="L54" s="30">
        <f>IF(OR($J$54="",c_UMI_TOL=""),"",IF(ROUND(ABS($J$54),6)&lt;=ROUND(c_UMI_TOL,6),"Conforme","Não conforme"))</f>
        <v/>
      </c>
      <c r="M54" s="30"/>
      <c r="N54" s="30"/>
      <c r="O54" s="30"/>
      <c r="P54" s="30"/>
    </row>
    <row r="55" spans="2:16" ht="24" customHeight="1">
      <c r="C55" s="5" t="s">
        <v>165</v>
      </c>
      <c r="D55" s="5"/>
      <c r="E55" s="5"/>
      <c r="F55" s="34"/>
      <c r="G55" s="34"/>
      <c r="H55" s="39">
        <f>IF($N$51="","",$N$51)</f>
        <v/>
      </c>
      <c r="I55" s="39"/>
      <c r="J55" s="35">
        <f>IF(OR($F$55="",$N$51=""),"",$F$55-$N$51)</f>
        <v/>
      </c>
      <c r="K55" s="39">
        <f>c_UMI_TOL</f>
        <v/>
      </c>
      <c r="L55" s="30">
        <f>IF(OR($J$55="",c_UMI_TOL=""),"",IF(ROUND(ABS($J$55),6)&lt;=ROUND(c_UMI_TOL,6),"Conforme","Não conforme"))</f>
        <v/>
      </c>
      <c r="M55" s="30"/>
      <c r="N55" s="30"/>
      <c r="O55" s="30"/>
      <c r="P55" s="30"/>
    </row>
    <row r="56" spans="2:16" ht="22" customHeight="1">
      <c r="C56" s="5" t="s">
        <v>126</v>
      </c>
      <c r="D56" s="5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</row>
    <row r="58" spans="2:16" ht="28" customHeight="1">
      <c r="B58" s="4"/>
      <c r="C58" s="22" t="s">
        <v>166</v>
      </c>
      <c r="D58" s="22"/>
      <c r="E58" s="22"/>
      <c r="F58" s="22"/>
      <c r="G58" s="22"/>
      <c r="H58" s="22"/>
      <c r="I58" s="22"/>
      <c r="J58" s="22"/>
      <c r="K58" s="22"/>
      <c r="L58" s="23" t="s">
        <v>167</v>
      </c>
      <c r="M58" s="23"/>
      <c r="N58" s="23"/>
      <c r="O58" s="23"/>
      <c r="P58" s="23"/>
    </row>
    <row r="59" spans="2:16" ht="16" customHeight="1">
      <c r="C59" s="24" t="s">
        <v>168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</row>
    <row r="60" spans="2:16" ht="20" customHeight="1">
      <c r="C60" s="40" t="s">
        <v>36</v>
      </c>
      <c r="D60" s="40"/>
      <c r="E60" s="40"/>
      <c r="F60" s="40"/>
      <c r="G60" s="40"/>
      <c r="H60" s="40"/>
      <c r="I60" s="40"/>
      <c r="J60" s="40"/>
      <c r="K60" s="40"/>
      <c r="L60" s="41">
        <f>"Nominal "&amp;TEXT(c_COM16_NOM,"0")&amp;" ± "&amp;TEXT(c_COM16_TOL,"0")&amp;" kgf/pel  |  velocidade "&amp;TEXT(c_VEL_NOM,"0")&amp;" ± "&amp;TEXT(c_VEL_NOM-c_VEL_LI,"0")&amp;" mm/min"</f>
        <v/>
      </c>
      <c r="M60" s="41"/>
      <c r="N60" s="41"/>
      <c r="O60" s="41"/>
      <c r="P60" s="41"/>
    </row>
    <row r="61" spans="2:16" ht="30" customHeight="1">
      <c r="C61" s="11" t="s">
        <v>169</v>
      </c>
      <c r="D61" s="11"/>
      <c r="E61" s="11" t="s">
        <v>170</v>
      </c>
      <c r="F61" s="11"/>
      <c r="G61" s="11" t="s">
        <v>171</v>
      </c>
      <c r="H61" s="11" t="s">
        <v>122</v>
      </c>
      <c r="I61" s="11" t="s">
        <v>123</v>
      </c>
      <c r="J61" s="11"/>
      <c r="K61" s="11" t="s">
        <v>172</v>
      </c>
      <c r="L61" s="11"/>
      <c r="M61" s="11" t="s">
        <v>173</v>
      </c>
      <c r="N61" s="11"/>
      <c r="O61" s="11"/>
      <c r="P61" s="11"/>
    </row>
    <row r="62" spans="2:16" ht="23" customHeight="1">
      <c r="C62" s="5" t="s">
        <v>174</v>
      </c>
      <c r="D62" s="5"/>
      <c r="E62" s="27"/>
      <c r="F62" s="27"/>
      <c r="G62" s="42"/>
      <c r="H62" s="29">
        <f>IF($E$62="","",$E$62-c_COM16_NOM)</f>
        <v/>
      </c>
      <c r="I62" s="30">
        <f>IF(OR($H$62="",c_COM16_TOL=""),"",IF(ROUND(ABS($H$62),6)&lt;=ROUND(c_COM16_TOL,6),"Conforme","Não conforme"))</f>
        <v/>
      </c>
      <c r="J62" s="30"/>
      <c r="K62" s="43"/>
      <c r="L62" s="43"/>
      <c r="M62" s="30">
        <f>IF($K$62="","",IF(AND(OR(c_VEL_LI="",$K$62&gt;=c_VEL_LI),OR(c_VEL_LS="",$K$62&lt;=c_VEL_LS)),"Conforme","Não conforme"))</f>
        <v/>
      </c>
      <c r="N62" s="30"/>
      <c r="O62" s="30"/>
      <c r="P62" s="30"/>
    </row>
    <row r="63" spans="2:16" ht="23" customHeight="1">
      <c r="C63" s="5" t="s">
        <v>175</v>
      </c>
      <c r="D63" s="5"/>
      <c r="E63" s="27"/>
      <c r="F63" s="27"/>
      <c r="G63" s="42"/>
      <c r="H63" s="29">
        <f>IF($E$63="","",$E$63-c_COM16_NOM)</f>
        <v/>
      </c>
      <c r="I63" s="30">
        <f>IF(OR($H$63="",c_COM16_TOL=""),"",IF(ROUND(ABS($H$63),6)&lt;=ROUND(c_COM16_TOL,6),"Conforme","Não conforme"))</f>
        <v/>
      </c>
      <c r="J63" s="30"/>
      <c r="K63" s="43"/>
      <c r="L63" s="43"/>
      <c r="M63" s="30">
        <f>IF($K$63="","",IF(AND(OR(c_VEL_LI="",$K$63&gt;=c_VEL_LI),OR(c_VEL_LS="",$K$63&lt;=c_VEL_LS)),"Conforme","Não conforme"))</f>
        <v/>
      </c>
      <c r="N63" s="30"/>
      <c r="O63" s="30"/>
      <c r="P63" s="30"/>
    </row>
    <row r="64" spans="2:16" ht="23" customHeight="1">
      <c r="C64" s="5" t="s">
        <v>176</v>
      </c>
      <c r="D64" s="5"/>
      <c r="E64" s="27"/>
      <c r="F64" s="27"/>
      <c r="G64" s="42"/>
      <c r="H64" s="29">
        <f>IF($E$64="","",$E$64-c_COM16_NOM)</f>
        <v/>
      </c>
      <c r="I64" s="30">
        <f>IF(OR($H$64="",c_COM16_TOL=""),"",IF(ROUND(ABS($H$64),6)&lt;=ROUND(c_COM16_TOL,6),"Conforme","Não conforme"))</f>
        <v/>
      </c>
      <c r="J64" s="30"/>
      <c r="K64" s="43"/>
      <c r="L64" s="43"/>
      <c r="M64" s="30">
        <f>IF($K$64="","",IF(AND(OR(c_VEL_LI="",$K$64&gt;=c_VEL_LI),OR(c_VEL_LS="",$K$64&lt;=c_VEL_LS)),"Conforme","Não conforme"))</f>
        <v/>
      </c>
      <c r="N64" s="30"/>
      <c r="O64" s="30"/>
      <c r="P64" s="30"/>
    </row>
    <row r="65" spans="2:16" ht="23" customHeight="1">
      <c r="C65" s="5" t="s">
        <v>177</v>
      </c>
      <c r="D65" s="5"/>
      <c r="E65" s="27"/>
      <c r="F65" s="27"/>
      <c r="G65" s="42"/>
      <c r="H65" s="29">
        <f>IF($E$65="","",$E$65-c_COM16_NOM)</f>
        <v/>
      </c>
      <c r="I65" s="30">
        <f>IF(OR($H$65="",c_COM16_TOL=""),"",IF(ROUND(ABS($H$65),6)&lt;=ROUND(c_COM16_TOL,6),"Conforme","Não conforme"))</f>
        <v/>
      </c>
      <c r="J65" s="30"/>
      <c r="K65" s="44" t="s">
        <v>178</v>
      </c>
      <c r="L65" s="44"/>
      <c r="M65" s="36"/>
      <c r="N65" s="36"/>
      <c r="O65" s="36"/>
      <c r="P65" s="36"/>
    </row>
    <row r="66" spans="2:16" ht="23" customHeight="1">
      <c r="C66" s="5" t="s">
        <v>179</v>
      </c>
      <c r="D66" s="5"/>
      <c r="E66" s="27"/>
      <c r="F66" s="27"/>
      <c r="G66" s="42"/>
      <c r="H66" s="29">
        <f>IF($E$66="","",$E$66-c_COM16_NOM)</f>
        <v/>
      </c>
      <c r="I66" s="30">
        <f>IF(OR($H$66="",c_COM16_TOL=""),"",IF(ROUND(ABS($H$66),6)&lt;=ROUND(c_COM16_TOL,6),"Conforme","Não conforme"))</f>
        <v/>
      </c>
      <c r="J66" s="30"/>
      <c r="K66" s="43"/>
      <c r="L66" s="43"/>
      <c r="M66" s="30">
        <f>IF($K$66="","",IF(AND(OR(c_VEL_LI="",$K$66&gt;=c_VEL_LI),OR(c_VEL_LS="",$K$66&lt;=c_VEL_LS)),"Conforme","Não conforme"))</f>
        <v/>
      </c>
      <c r="N66" s="30"/>
      <c r="O66" s="30"/>
      <c r="P66" s="30"/>
    </row>
    <row r="67" spans="2:16" ht="20" customHeight="1">
      <c r="C67" s="40" t="s">
        <v>40</v>
      </c>
      <c r="D67" s="40"/>
      <c r="E67" s="40"/>
      <c r="F67" s="40"/>
      <c r="G67" s="40"/>
      <c r="H67" s="40"/>
      <c r="I67" s="40"/>
      <c r="J67" s="40"/>
      <c r="K67" s="40"/>
      <c r="L67" s="41">
        <f>"Nominal "&amp;TEXT(c_COM12_NOM,"0")&amp;" ± "&amp;TEXT(c_COM12_TOL,"0")&amp;" kgf/pel  |  velocidade "&amp;TEXT(c_VEL_NOM,"0")&amp;" ± "&amp;TEXT(c_VEL_NOM-c_VEL_LI,"0")&amp;" mm/min"</f>
        <v/>
      </c>
      <c r="M67" s="41"/>
      <c r="N67" s="41"/>
      <c r="O67" s="41"/>
      <c r="P67" s="41"/>
    </row>
    <row r="68" spans="2:16" ht="30" customHeight="1">
      <c r="C68" s="11" t="s">
        <v>169</v>
      </c>
      <c r="D68" s="11"/>
      <c r="E68" s="11" t="s">
        <v>170</v>
      </c>
      <c r="F68" s="11"/>
      <c r="G68" s="11" t="s">
        <v>171</v>
      </c>
      <c r="H68" s="11" t="s">
        <v>122</v>
      </c>
      <c r="I68" s="11" t="s">
        <v>123</v>
      </c>
      <c r="J68" s="11"/>
      <c r="K68" s="11" t="s">
        <v>172</v>
      </c>
      <c r="L68" s="11"/>
      <c r="M68" s="11" t="s">
        <v>173</v>
      </c>
      <c r="N68" s="11"/>
      <c r="O68" s="11"/>
      <c r="P68" s="11"/>
    </row>
    <row r="69" spans="2:16" ht="23" customHeight="1">
      <c r="C69" s="5" t="s">
        <v>174</v>
      </c>
      <c r="D69" s="5"/>
      <c r="E69" s="27"/>
      <c r="F69" s="27"/>
      <c r="G69" s="42"/>
      <c r="H69" s="29">
        <f>IF($E$69="","",$E$69-c_COM12_NOM)</f>
        <v/>
      </c>
      <c r="I69" s="30">
        <f>IF(OR($H$69="",c_COM12_TOL=""),"",IF(ROUND(ABS($H$69),6)&lt;=ROUND(c_COM12_TOL,6),"Conforme","Não conforme"))</f>
        <v/>
      </c>
      <c r="J69" s="30"/>
      <c r="K69" s="43"/>
      <c r="L69" s="43"/>
      <c r="M69" s="30">
        <f>IF($K$69="","",IF(AND(OR(c_VEL_LI="",$K$69&gt;=c_VEL_LI),OR(c_VEL_LS="",$K$69&lt;=c_VEL_LS)),"Conforme","Não conforme"))</f>
        <v/>
      </c>
      <c r="N69" s="30"/>
      <c r="O69" s="30"/>
      <c r="P69" s="30"/>
    </row>
    <row r="70" spans="2:16" ht="23" customHeight="1">
      <c r="C70" s="5" t="s">
        <v>175</v>
      </c>
      <c r="D70" s="5"/>
      <c r="E70" s="27"/>
      <c r="F70" s="27"/>
      <c r="G70" s="42"/>
      <c r="H70" s="29">
        <f>IF($E$70="","",$E$70-c_COM12_NOM)</f>
        <v/>
      </c>
      <c r="I70" s="30">
        <f>IF(OR($H$70="",c_COM12_TOL=""),"",IF(ROUND(ABS($H$70),6)&lt;=ROUND(c_COM12_TOL,6),"Conforme","Não conforme"))</f>
        <v/>
      </c>
      <c r="J70" s="30"/>
      <c r="K70" s="43"/>
      <c r="L70" s="43"/>
      <c r="M70" s="30">
        <f>IF($K$70="","",IF(AND(OR(c_VEL_LI="",$K$70&gt;=c_VEL_LI),OR(c_VEL_LS="",$K$70&lt;=c_VEL_LS)),"Conforme","Não conforme"))</f>
        <v/>
      </c>
      <c r="N70" s="30"/>
      <c r="O70" s="30"/>
      <c r="P70" s="30"/>
    </row>
    <row r="71" spans="2:16" ht="23" customHeight="1">
      <c r="C71" s="5" t="s">
        <v>176</v>
      </c>
      <c r="D71" s="5"/>
      <c r="E71" s="27"/>
      <c r="F71" s="27"/>
      <c r="G71" s="42"/>
      <c r="H71" s="29">
        <f>IF($E$71="","",$E$71-c_COM12_NOM)</f>
        <v/>
      </c>
      <c r="I71" s="30">
        <f>IF(OR($H$71="",c_COM12_TOL=""),"",IF(ROUND(ABS($H$71),6)&lt;=ROUND(c_COM12_TOL,6),"Conforme","Não conforme"))</f>
        <v/>
      </c>
      <c r="J71" s="30"/>
      <c r="K71" s="43"/>
      <c r="L71" s="43"/>
      <c r="M71" s="30">
        <f>IF($K$71="","",IF(AND(OR(c_VEL_LI="",$K$71&gt;=c_VEL_LI),OR(c_VEL_LS="",$K$71&lt;=c_VEL_LS)),"Conforme","Não conforme"))</f>
        <v/>
      </c>
      <c r="N71" s="30"/>
      <c r="O71" s="30"/>
      <c r="P71" s="30"/>
    </row>
    <row r="72" spans="2:16" ht="23" customHeight="1">
      <c r="C72" s="5" t="s">
        <v>177</v>
      </c>
      <c r="D72" s="5"/>
      <c r="E72" s="27"/>
      <c r="F72" s="27"/>
      <c r="G72" s="42"/>
      <c r="H72" s="29">
        <f>IF($E$72="","",$E$72-c_COM12_NOM)</f>
        <v/>
      </c>
      <c r="I72" s="30">
        <f>IF(OR($H$72="",c_COM12_TOL=""),"",IF(ROUND(ABS($H$72),6)&lt;=ROUND(c_COM12_TOL,6),"Conforme","Não conforme"))</f>
        <v/>
      </c>
      <c r="J72" s="30"/>
      <c r="K72" s="44" t="s">
        <v>178</v>
      </c>
      <c r="L72" s="44"/>
      <c r="M72" s="36"/>
      <c r="N72" s="36"/>
      <c r="O72" s="36"/>
      <c r="P72" s="36"/>
    </row>
    <row r="73" spans="2:16" ht="23" customHeight="1">
      <c r="C73" s="5" t="s">
        <v>179</v>
      </c>
      <c r="D73" s="5"/>
      <c r="E73" s="27"/>
      <c r="F73" s="27"/>
      <c r="G73" s="42"/>
      <c r="H73" s="29">
        <f>IF($E$73="","",$E$73-c_COM12_NOM)</f>
        <v/>
      </c>
      <c r="I73" s="30">
        <f>IF(OR($H$73="",c_COM12_TOL=""),"",IF(ROUND(ABS($H$73),6)&lt;=ROUND(c_COM12_TOL,6),"Conforme","Não conforme"))</f>
        <v/>
      </c>
      <c r="J73" s="30"/>
      <c r="K73" s="43"/>
      <c r="L73" s="43"/>
      <c r="M73" s="30">
        <f>IF($K$73="","",IF(AND(OR(c_VEL_LI="",$K$73&gt;=c_VEL_LI),OR(c_VEL_LS="",$K$73&lt;=c_VEL_LS)),"Conforme","Não conforme"))</f>
        <v/>
      </c>
      <c r="N73" s="30"/>
      <c r="O73" s="30"/>
      <c r="P73" s="30"/>
    </row>
    <row r="74" spans="2:16" ht="22" customHeight="1">
      <c r="C74" s="5" t="s">
        <v>126</v>
      </c>
      <c r="D74" s="5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</row>
    <row r="76" spans="2:16" ht="28" customHeight="1">
      <c r="B76" s="4"/>
      <c r="C76" s="22" t="s">
        <v>180</v>
      </c>
      <c r="D76" s="22"/>
      <c r="E76" s="22"/>
      <c r="F76" s="22"/>
      <c r="G76" s="22"/>
      <c r="H76" s="22"/>
      <c r="I76" s="22"/>
      <c r="J76" s="22"/>
      <c r="K76" s="22"/>
      <c r="L76" s="23" t="s">
        <v>167</v>
      </c>
      <c r="M76" s="23"/>
      <c r="N76" s="23"/>
      <c r="O76" s="23"/>
      <c r="P76" s="23"/>
    </row>
    <row r="77" spans="2:16" ht="16" customHeight="1">
      <c r="C77" s="24" t="s">
        <v>181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</row>
    <row r="78" spans="2:16" ht="30" customHeight="1">
      <c r="C78" s="11" t="s">
        <v>182</v>
      </c>
      <c r="D78" s="11"/>
      <c r="E78" s="11"/>
      <c r="F78" s="11" t="s">
        <v>183</v>
      </c>
      <c r="G78" s="11"/>
      <c r="H78" s="11" t="s">
        <v>184</v>
      </c>
      <c r="I78" s="11" t="s">
        <v>185</v>
      </c>
      <c r="J78" s="11"/>
      <c r="K78" s="11" t="s">
        <v>186</v>
      </c>
      <c r="L78" s="11" t="s">
        <v>122</v>
      </c>
      <c r="M78" s="11"/>
      <c r="N78" s="11"/>
      <c r="O78" s="11"/>
      <c r="P78" s="11"/>
    </row>
    <row r="79" spans="2:16" ht="20" customHeight="1">
      <c r="C79" s="45" t="s">
        <v>187</v>
      </c>
      <c r="D79" s="45"/>
      <c r="E79" s="45"/>
      <c r="F79" s="46"/>
      <c r="G79" s="46"/>
      <c r="H79" s="47">
        <f>IF(OR($F$79="",N($F$89)=0),"",$F$79/$F$89*100)</f>
        <v/>
      </c>
      <c r="I79" s="46"/>
      <c r="J79" s="46"/>
      <c r="K79" s="47">
        <f>IF(OR($I$79="",N($I$89)=0),"",$I$79/$I$89*100)</f>
        <v/>
      </c>
      <c r="L79" s="48">
        <f>IF(OR($H$79="",$K$79=""),"",$H$79-$K$79)</f>
        <v/>
      </c>
    </row>
    <row r="80" spans="2:16" ht="20" customHeight="1">
      <c r="C80" s="45" t="s">
        <v>188</v>
      </c>
      <c r="D80" s="45"/>
      <c r="E80" s="45"/>
      <c r="F80" s="46"/>
      <c r="G80" s="46"/>
      <c r="H80" s="47">
        <f>IF(OR($F$80="",N($F$89)=0),"",$F$80/$F$89*100)</f>
        <v/>
      </c>
      <c r="I80" s="46"/>
      <c r="J80" s="46"/>
      <c r="K80" s="47">
        <f>IF(OR($I$80="",N($I$89)=0),"",$I$80/$I$89*100)</f>
        <v/>
      </c>
      <c r="L80" s="48">
        <f>IF(OR($H$80="",$K$80=""),"",$H$80-$K$80)</f>
        <v/>
      </c>
    </row>
    <row r="81" spans="3:16" ht="20" customHeight="1">
      <c r="C81" s="45" t="s">
        <v>189</v>
      </c>
      <c r="D81" s="45"/>
      <c r="E81" s="45"/>
      <c r="F81" s="46"/>
      <c r="G81" s="46"/>
      <c r="H81" s="47">
        <f>IF(OR($F$81="",N($F$89)=0),"",$F$81/$F$89*100)</f>
        <v/>
      </c>
      <c r="I81" s="46"/>
      <c r="J81" s="46"/>
      <c r="K81" s="47">
        <f>IF(OR($I$81="",N($I$89)=0),"",$I$81/$I$89*100)</f>
        <v/>
      </c>
      <c r="L81" s="48">
        <f>IF(OR($H$81="",$K$81=""),"",$H$81-$K$81)</f>
        <v/>
      </c>
    </row>
    <row r="82" spans="3:16" ht="20" customHeight="1">
      <c r="C82" s="45" t="s">
        <v>190</v>
      </c>
      <c r="D82" s="45"/>
      <c r="E82" s="45"/>
      <c r="F82" s="46"/>
      <c r="G82" s="46"/>
      <c r="H82" s="47">
        <f>IF(OR($F$82="",N($F$89)=0),"",$F$82/$F$89*100)</f>
        <v/>
      </c>
      <c r="I82" s="46"/>
      <c r="J82" s="46"/>
      <c r="K82" s="47">
        <f>IF(OR($I$82="",N($I$89)=0),"",$I$82/$I$89*100)</f>
        <v/>
      </c>
      <c r="L82" s="48">
        <f>IF(OR($H$82="",$K$82=""),"",$H$82-$K$82)</f>
        <v/>
      </c>
    </row>
    <row r="83" spans="3:16" ht="20" customHeight="1">
      <c r="C83" s="45" t="s">
        <v>191</v>
      </c>
      <c r="D83" s="45"/>
      <c r="E83" s="45"/>
      <c r="F83" s="46"/>
      <c r="G83" s="46"/>
      <c r="H83" s="47">
        <f>IF(OR($F$83="",N($F$89)=0),"",$F$83/$F$89*100)</f>
        <v/>
      </c>
      <c r="I83" s="46"/>
      <c r="J83" s="46"/>
      <c r="K83" s="47">
        <f>IF(OR($I$83="",N($I$89)=0),"",$I$83/$I$89*100)</f>
        <v/>
      </c>
      <c r="L83" s="48">
        <f>IF(OR($H$83="",$K$83=""),"",$H$83-$K$83)</f>
        <v/>
      </c>
    </row>
    <row r="84" spans="3:16" ht="20" customHeight="1">
      <c r="C84" s="45" t="s">
        <v>192</v>
      </c>
      <c r="D84" s="45"/>
      <c r="E84" s="45"/>
      <c r="F84" s="46"/>
      <c r="G84" s="46"/>
      <c r="H84" s="47">
        <f>IF(OR($F$84="",N($F$89)=0),"",$F$84/$F$89*100)</f>
        <v/>
      </c>
      <c r="I84" s="46"/>
      <c r="J84" s="46"/>
      <c r="K84" s="47">
        <f>IF(OR($I$84="",N($I$89)=0),"",$I$84/$I$89*100)</f>
        <v/>
      </c>
      <c r="L84" s="48">
        <f>IF(OR($H$84="",$K$84=""),"",$H$84-$K$84)</f>
        <v/>
      </c>
    </row>
    <row r="85" spans="3:16" ht="20" customHeight="1">
      <c r="C85" s="45" t="s">
        <v>193</v>
      </c>
      <c r="D85" s="45"/>
      <c r="E85" s="45"/>
      <c r="F85" s="46"/>
      <c r="G85" s="46"/>
      <c r="H85" s="47">
        <f>IF(OR($F$85="",N($F$89)=0),"",$F$85/$F$89*100)</f>
        <v/>
      </c>
      <c r="I85" s="46"/>
      <c r="J85" s="46"/>
      <c r="K85" s="47">
        <f>IF(OR($I$85="",N($I$89)=0),"",$I$85/$I$89*100)</f>
        <v/>
      </c>
      <c r="L85" s="48">
        <f>IF(OR($H$85="",$K$85=""),"",$H$85-$K$85)</f>
        <v/>
      </c>
    </row>
    <row r="86" spans="3:16" ht="20" customHeight="1">
      <c r="C86" s="45" t="s">
        <v>194</v>
      </c>
      <c r="D86" s="45"/>
      <c r="E86" s="45"/>
      <c r="F86" s="46"/>
      <c r="G86" s="46"/>
      <c r="H86" s="47">
        <f>IF(OR($F$86="",N($F$89)=0),"",$F$86/$F$89*100)</f>
        <v/>
      </c>
      <c r="I86" s="46"/>
      <c r="J86" s="46"/>
      <c r="K86" s="47">
        <f>IF(OR($I$86="",N($I$89)=0),"",$I$86/$I$89*100)</f>
        <v/>
      </c>
      <c r="L86" s="48">
        <f>IF(OR($H$86="",$K$86=""),"",$H$86-$K$86)</f>
        <v/>
      </c>
    </row>
    <row r="87" spans="3:16" ht="20" customHeight="1">
      <c r="C87" s="45" t="s">
        <v>195</v>
      </c>
      <c r="D87" s="45"/>
      <c r="E87" s="45"/>
      <c r="F87" s="46"/>
      <c r="G87" s="46"/>
      <c r="H87" s="47">
        <f>IF(OR($F$87="",N($F$89)=0),"",$F$87/$F$89*100)</f>
        <v/>
      </c>
      <c r="I87" s="46"/>
      <c r="J87" s="46"/>
      <c r="K87" s="47">
        <f>IF(OR($I$87="",N($I$89)=0),"",$I$87/$I$89*100)</f>
        <v/>
      </c>
      <c r="L87" s="48">
        <f>IF(OR($H$87="",$K$87=""),"",$H$87-$K$87)</f>
        <v/>
      </c>
    </row>
    <row r="88" spans="3:16" ht="20" customHeight="1">
      <c r="C88" s="45" t="s">
        <v>196</v>
      </c>
      <c r="D88" s="45"/>
      <c r="E88" s="45"/>
      <c r="F88" s="46"/>
      <c r="G88" s="46"/>
      <c r="H88" s="47">
        <f>IF(OR($F$88="",N($F$89)=0),"",$F$88/$F$89*100)</f>
        <v/>
      </c>
      <c r="I88" s="46"/>
      <c r="J88" s="46"/>
      <c r="K88" s="47">
        <f>IF(OR($I$88="",N($I$89)=0),"",$I$88/$I$89*100)</f>
        <v/>
      </c>
      <c r="L88" s="48">
        <f>IF(OR($H$88="",$K$88=""),"",$H$88-$K$88)</f>
        <v/>
      </c>
    </row>
    <row r="89" spans="3:16" ht="20" customHeight="1">
      <c r="C89" s="45" t="s">
        <v>197</v>
      </c>
      <c r="D89" s="45"/>
      <c r="E89" s="45"/>
      <c r="F89" s="49">
        <f>IF(COUNT($F$79:$F$88)=0,"",SUM($F$79:$F$88))</f>
        <v/>
      </c>
      <c r="G89" s="49"/>
      <c r="H89" s="50"/>
      <c r="I89" s="49">
        <f>IF(COUNT($I$79:$I$88)=0,"",SUM($I$79:$I$88))</f>
        <v/>
      </c>
      <c r="J89" s="49"/>
      <c r="K89" s="50"/>
      <c r="L89" s="50"/>
    </row>
    <row r="91" spans="3:16" ht="30" customHeight="1">
      <c r="C91" s="11" t="s">
        <v>198</v>
      </c>
      <c r="D91" s="11"/>
      <c r="E91" s="11"/>
      <c r="F91" s="11" t="s">
        <v>199</v>
      </c>
      <c r="G91" s="11"/>
      <c r="H91" s="11" t="s">
        <v>200</v>
      </c>
      <c r="I91" s="11"/>
      <c r="J91" s="11" t="s">
        <v>122</v>
      </c>
      <c r="K91" s="11" t="s">
        <v>7</v>
      </c>
      <c r="L91" s="11" t="s">
        <v>123</v>
      </c>
      <c r="M91" s="11"/>
      <c r="N91" s="11"/>
      <c r="O91" s="11"/>
      <c r="P91" s="11"/>
    </row>
    <row r="92" spans="3:16" ht="23" customHeight="1">
      <c r="C92" s="5" t="s">
        <v>48</v>
      </c>
      <c r="D92" s="5"/>
      <c r="E92" s="5"/>
      <c r="F92" s="51">
        <f>IF(N($F$89)=0,"",N($H$86)+N($H$87)+N($H$88))</f>
        <v/>
      </c>
      <c r="G92" s="51"/>
      <c r="H92" s="51">
        <f>IF(N($I$89)=0,"",N($K$86)+N($K$87)+N($K$88))</f>
        <v/>
      </c>
      <c r="I92" s="51"/>
      <c r="J92" s="35">
        <f>IF(OR($F$92="",$H$92=""),"",$F$92-$H$92)</f>
        <v/>
      </c>
      <c r="K92" s="39">
        <f>c_G63_TOL</f>
        <v/>
      </c>
      <c r="L92" s="30">
        <f>IF(OR($J$92="",c_G63_TOL=""),"",IF(ROUND(ABS($J$92),6)&lt;=ROUND(c_G63_TOL,6),"Conforme","Não conforme"))</f>
        <v/>
      </c>
      <c r="M92" s="30"/>
      <c r="N92" s="30"/>
      <c r="O92" s="30"/>
      <c r="P92" s="30"/>
    </row>
    <row r="93" spans="3:16" ht="23" customHeight="1">
      <c r="C93" s="5" t="s">
        <v>51</v>
      </c>
      <c r="D93" s="5"/>
      <c r="E93" s="5"/>
      <c r="F93" s="51">
        <f>IF(OR(N($F$89)=0,N($H$83)=0),"",(N($H$81)+N($H$82))/N($H$83))</f>
        <v/>
      </c>
      <c r="G93" s="51"/>
      <c r="H93" s="51">
        <f>IF(OR(N($I$89)=0,N($K$83)=0),"",(N($K$81)+N($K$82))/N($K$83))</f>
        <v/>
      </c>
      <c r="I93" s="51"/>
      <c r="J93" s="35">
        <f>IF(OR($F$93="",$H$93=""),"",$F$93-$H$93)</f>
        <v/>
      </c>
      <c r="K93" s="39">
        <f>c_GRG_TOL</f>
        <v/>
      </c>
      <c r="L93" s="30">
        <f>IF(OR($J$93="",c_GRG_TOL=""),"",IF(ROUND(ABS($J$93),6)&lt;=ROUND(c_GRG_TOL,6),"Conforme","Não conforme"))</f>
        <v/>
      </c>
      <c r="M93" s="30"/>
      <c r="N93" s="30"/>
      <c r="O93" s="30"/>
      <c r="P93" s="30"/>
    </row>
    <row r="94" spans="3:16" ht="23" customHeight="1">
      <c r="C94" s="5" t="s">
        <v>201</v>
      </c>
      <c r="D94" s="5"/>
      <c r="E94" s="5"/>
      <c r="F94" s="51">
        <f>IF(N($F$89)=0,"",N($H$81)+N($H$82))</f>
        <v/>
      </c>
      <c r="G94" s="51"/>
      <c r="H94" s="51">
        <f>IF(N($I$89)=0,"",N($K$81)+N($K$82))</f>
        <v/>
      </c>
      <c r="I94" s="51"/>
      <c r="J94" s="35">
        <f>IF(OR($F$94="",$H$94=""),"",$F$94-$H$94)</f>
        <v/>
      </c>
      <c r="K94" s="36" t="s">
        <v>202</v>
      </c>
      <c r="L94" s="30">
        <f>IF($F$94="","","Informativo")</f>
        <v/>
      </c>
      <c r="M94" s="30"/>
      <c r="N94" s="30"/>
      <c r="O94" s="30"/>
      <c r="P94" s="30"/>
    </row>
    <row r="95" spans="3:16" ht="23" customHeight="1">
      <c r="C95" s="5" t="s">
        <v>203</v>
      </c>
      <c r="D95" s="5"/>
      <c r="E95" s="5"/>
      <c r="F95" s="51">
        <f>IF(N($F$89)=0,"",N($H$81)+N($H$82)+N($H$83))</f>
        <v/>
      </c>
      <c r="G95" s="51"/>
      <c r="H95" s="51">
        <f>IF(N($I$89)=0,"",N($K$81)+N($K$82)+N($K$83))</f>
        <v/>
      </c>
      <c r="I95" s="51"/>
      <c r="J95" s="35">
        <f>IF(OR($F$95="",$H$95=""),"",$F$95-$H$95)</f>
        <v/>
      </c>
      <c r="K95" s="36" t="s">
        <v>202</v>
      </c>
      <c r="L95" s="30">
        <f>IF($F$95="","","Informativo")</f>
        <v/>
      </c>
      <c r="M95" s="30"/>
      <c r="N95" s="30"/>
      <c r="O95" s="30"/>
      <c r="P95" s="30"/>
    </row>
    <row r="96" spans="3:16" ht="23" customHeight="1">
      <c r="C96" s="5" t="s">
        <v>204</v>
      </c>
      <c r="D96" s="5"/>
      <c r="E96" s="5"/>
      <c r="F96" s="51">
        <f>IF(N($F$89)=0,"",N($H$81)+N($H$82)+N($H$83)+N($H$84))</f>
        <v/>
      </c>
      <c r="G96" s="51"/>
      <c r="H96" s="51">
        <f>IF(N($I$89)=0,"",N($K$81)+N($K$82)+N($K$83)+N($K$84))</f>
        <v/>
      </c>
      <c r="I96" s="51"/>
      <c r="J96" s="35">
        <f>IF(OR($F$96="",$H$96=""),"",$F$96-$H$96)</f>
        <v/>
      </c>
      <c r="K96" s="36" t="s">
        <v>202</v>
      </c>
      <c r="L96" s="30">
        <f>IF($F$96="","","Informativo")</f>
        <v/>
      </c>
      <c r="M96" s="30"/>
      <c r="N96" s="30"/>
      <c r="O96" s="30"/>
      <c r="P96" s="30"/>
    </row>
    <row r="97" spans="2:16" ht="23" customHeight="1">
      <c r="C97" s="5" t="s">
        <v>205</v>
      </c>
      <c r="D97" s="5"/>
      <c r="E97" s="5"/>
      <c r="F97" s="51">
        <f>IF(N($F$89)=0,"",(N($H$79)*20+N($H$80)*17.5+N($H$81)*15+N($H$82)*13.25+N($H$83)*10.75+N($H$84)*8.5+N($H$85)*7.15+(N($H$86)+N($H$87)+N($H$88))*3.15)/100)</f>
        <v/>
      </c>
      <c r="G97" s="51"/>
      <c r="H97" s="51">
        <f>IF(N($I$89)=0,"",(N($K$79)*20+N($K$80)*17.5+N($K$81)*15+N($K$82)*13.25+N($K$83)*10.75+N($K$84)*8.5+N($K$85)*7.15+(N($K$86)+N($K$87)+N($K$88))*3.15)/100)</f>
        <v/>
      </c>
      <c r="I97" s="51"/>
      <c r="J97" s="35">
        <f>IF(OR($F$97="",$H$97=""),"",$F$97-$H$97)</f>
        <v/>
      </c>
      <c r="K97" s="36" t="s">
        <v>202</v>
      </c>
      <c r="L97" s="30">
        <f>IF($F$97="","","Informativo")</f>
        <v/>
      </c>
      <c r="M97" s="30"/>
      <c r="N97" s="30"/>
      <c r="O97" s="30"/>
      <c r="P97" s="30"/>
    </row>
    <row r="98" spans="2:16" ht="22" customHeight="1">
      <c r="C98" s="5" t="s">
        <v>126</v>
      </c>
      <c r="D98" s="5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</row>
    <row r="100" spans="2:16" ht="28" customHeight="1">
      <c r="B100" s="4"/>
      <c r="C100" s="22" t="s">
        <v>206</v>
      </c>
      <c r="D100" s="22"/>
      <c r="E100" s="22"/>
      <c r="F100" s="22"/>
      <c r="G100" s="22"/>
      <c r="H100" s="22"/>
      <c r="I100" s="22"/>
      <c r="J100" s="22"/>
      <c r="K100" s="22"/>
      <c r="L100" s="23" t="s">
        <v>167</v>
      </c>
      <c r="M100" s="23"/>
      <c r="N100" s="23"/>
      <c r="O100" s="23"/>
      <c r="P100" s="23"/>
    </row>
    <row r="101" spans="2:16" ht="16" customHeight="1">
      <c r="C101" s="24" t="s">
        <v>207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30" customHeight="1">
      <c r="C102" s="11" t="s">
        <v>208</v>
      </c>
      <c r="D102" s="11"/>
      <c r="E102" s="11"/>
      <c r="F102" s="11" t="s">
        <v>209</v>
      </c>
      <c r="G102" s="11"/>
      <c r="H102" s="11" t="s">
        <v>210</v>
      </c>
      <c r="I102" s="11"/>
      <c r="J102" s="11" t="s">
        <v>211</v>
      </c>
      <c r="K102" s="11" t="s">
        <v>212</v>
      </c>
      <c r="L102" s="11" t="s">
        <v>213</v>
      </c>
      <c r="M102" s="11"/>
      <c r="N102" s="11"/>
      <c r="O102" s="11"/>
      <c r="P102" s="11"/>
    </row>
    <row r="103" spans="2:16" ht="24" customHeight="1">
      <c r="C103" s="5" t="s">
        <v>214</v>
      </c>
      <c r="D103" s="5"/>
      <c r="E103" s="5"/>
      <c r="F103" s="43"/>
      <c r="G103" s="43"/>
      <c r="H103" s="43"/>
      <c r="I103" s="43"/>
      <c r="J103" s="51">
        <f>IF($F$103="","",$F$103/50)</f>
        <v/>
      </c>
      <c r="K103" s="35">
        <f>IF($H$103="","",$H$103/50)</f>
        <v/>
      </c>
      <c r="L103" s="35">
        <f>IF(OR($J$103="",$K$103=""),"",100-($J$103+$K$103))</f>
        <v/>
      </c>
      <c r="M103" s="9" t="s">
        <v>215</v>
      </c>
      <c r="N103" s="9"/>
      <c r="O103" s="9"/>
      <c r="P103" s="9"/>
    </row>
    <row r="104" spans="2:16" ht="24" customHeight="1">
      <c r="C104" s="5" t="s">
        <v>216</v>
      </c>
      <c r="D104" s="5"/>
      <c r="E104" s="5"/>
      <c r="F104" s="43"/>
      <c r="G104" s="43"/>
      <c r="H104" s="43"/>
      <c r="I104" s="43"/>
      <c r="J104" s="51">
        <f>IF($F$104="","",$F$104/150)</f>
        <v/>
      </c>
      <c r="K104" s="35">
        <f>IF($H$104="","",$H$104/150)</f>
        <v/>
      </c>
      <c r="L104" s="35">
        <f>IF(OR($J$104="",$K$104=""),"",100-($J$104+$K$104))</f>
        <v/>
      </c>
      <c r="M104" s="9" t="s">
        <v>217</v>
      </c>
      <c r="N104" s="9"/>
      <c r="O104" s="9"/>
      <c r="P104" s="9"/>
    </row>
    <row r="105" spans="2:16" ht="22" customHeight="1">
      <c r="C105" s="11" t="s">
        <v>218</v>
      </c>
      <c r="D105" s="11"/>
      <c r="E105" s="11"/>
      <c r="F105" s="11" t="s">
        <v>199</v>
      </c>
      <c r="G105" s="11"/>
      <c r="H105" s="11" t="s">
        <v>200</v>
      </c>
      <c r="I105" s="11"/>
      <c r="J105" s="11" t="s">
        <v>122</v>
      </c>
      <c r="K105" s="11" t="s">
        <v>7</v>
      </c>
      <c r="L105" s="11" t="s">
        <v>123</v>
      </c>
      <c r="M105" s="11"/>
      <c r="N105" s="11"/>
      <c r="O105" s="11"/>
      <c r="P105" s="11"/>
    </row>
    <row r="106" spans="2:16" ht="24" customHeight="1">
      <c r="C106" s="5" t="s">
        <v>59</v>
      </c>
      <c r="D106" s="5"/>
      <c r="E106" s="5"/>
      <c r="F106" s="51">
        <f>IF($J$103="","",$J$103)</f>
        <v/>
      </c>
      <c r="G106" s="51"/>
      <c r="H106" s="51">
        <f>IF($J$104="","",$J$104)</f>
        <v/>
      </c>
      <c r="I106" s="51"/>
      <c r="J106" s="35">
        <f>IF(OR($J$103="",$J$104=""),"",$J$103-$J$104)</f>
        <v/>
      </c>
      <c r="K106" s="39">
        <f>c_T515_TOL</f>
        <v/>
      </c>
      <c r="L106" s="30">
        <f>IF(OR($J$106="",c_T515_TOL=""),"",IF(ROUND(ABS($J$106),6)&lt;=ROUND(c_T515_TOL,6),"Conforme","Não conforme"))</f>
        <v/>
      </c>
      <c r="M106" s="30"/>
      <c r="N106" s="30"/>
      <c r="O106" s="30"/>
      <c r="P106" s="30"/>
    </row>
    <row r="107" spans="2:16" ht="24" customHeight="1">
      <c r="C107" s="5" t="s">
        <v>219</v>
      </c>
      <c r="D107" s="5"/>
      <c r="E107" s="5"/>
      <c r="F107" s="51">
        <f>IF($L$103="","",$L$103)</f>
        <v/>
      </c>
      <c r="G107" s="51"/>
      <c r="H107" s="51">
        <f>IF($L$104="","",$L$104)</f>
        <v/>
      </c>
      <c r="I107" s="51"/>
      <c r="J107" s="35">
        <f>IF(OR($L$103="",$L$104=""),"",$L$103-$L$104)</f>
        <v/>
      </c>
      <c r="K107" s="36" t="s">
        <v>202</v>
      </c>
      <c r="L107" s="30">
        <f>IF(OR($L$103="",$L$104=""),"","Informativo")</f>
        <v/>
      </c>
      <c r="M107" s="30"/>
      <c r="N107" s="30"/>
      <c r="O107" s="30"/>
      <c r="P107" s="30"/>
    </row>
    <row r="108" spans="2:16" ht="22" customHeight="1">
      <c r="C108" s="5" t="s">
        <v>126</v>
      </c>
      <c r="D108" s="5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</row>
    <row r="110" spans="2:16" ht="28" customHeight="1">
      <c r="B110" s="4"/>
      <c r="C110" s="22" t="s">
        <v>220</v>
      </c>
      <c r="D110" s="22"/>
      <c r="E110" s="22"/>
      <c r="F110" s="22"/>
      <c r="G110" s="22"/>
      <c r="H110" s="22"/>
      <c r="I110" s="22"/>
      <c r="J110" s="22"/>
      <c r="K110" s="22"/>
      <c r="L110" s="23" t="s">
        <v>151</v>
      </c>
      <c r="M110" s="23"/>
      <c r="N110" s="23"/>
      <c r="O110" s="23"/>
      <c r="P110" s="23"/>
    </row>
    <row r="111" spans="2:16" ht="16" customHeight="1">
      <c r="C111" s="24" t="s">
        <v>221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</row>
    <row r="112" spans="2:16" ht="34" customHeight="1">
      <c r="C112" s="11" t="s">
        <v>222</v>
      </c>
      <c r="D112" s="11"/>
      <c r="E112" s="11" t="s">
        <v>223</v>
      </c>
      <c r="F112" s="11" t="s">
        <v>224</v>
      </c>
      <c r="G112" s="11"/>
      <c r="H112" s="11" t="s">
        <v>225</v>
      </c>
      <c r="I112" s="11" t="s">
        <v>226</v>
      </c>
      <c r="J112" s="11" t="s">
        <v>227</v>
      </c>
      <c r="K112" s="11" t="s">
        <v>228</v>
      </c>
      <c r="L112" s="11" t="s">
        <v>229</v>
      </c>
      <c r="M112" s="11" t="s">
        <v>230</v>
      </c>
      <c r="N112" s="11" t="s">
        <v>123</v>
      </c>
      <c r="O112" s="11"/>
      <c r="P112" s="11"/>
    </row>
    <row r="113" spans="3:16" ht="21" customHeight="1">
      <c r="C113" s="45" t="s">
        <v>231</v>
      </c>
      <c r="D113" s="45"/>
      <c r="E113" s="52" t="s">
        <v>232</v>
      </c>
      <c r="F113" s="25" t="s">
        <v>233</v>
      </c>
      <c r="G113" s="25"/>
      <c r="H113" s="53"/>
      <c r="I113" s="53"/>
      <c r="J113" s="53"/>
      <c r="K113" s="53"/>
      <c r="L113" s="53"/>
      <c r="M113" s="54">
        <f>IF(COUNTA($H$113:$L$113)=0,"",COUNTIF($H$113:$L$113,"OK")&amp;" / "&amp;COUNTA($H$113:$L$113))</f>
        <v/>
      </c>
      <c r="N113" s="30">
        <f>IF(COUNTA($H$113:$L$113)=0,"",IF(COUNTIF($H$113:$L$113,"NÃO OK")&gt;0,"Não conforme",IF(COUNTIF($H$113:$L$113,"SEM TAG")&gt;0,"Conforme · sem TAG","Conforme")))</f>
        <v/>
      </c>
      <c r="O113" s="30"/>
      <c r="P113" s="30"/>
    </row>
    <row r="114" spans="3:16" ht="21" customHeight="1">
      <c r="C114" s="55"/>
      <c r="D114" s="55"/>
      <c r="E114" s="52" t="s">
        <v>234</v>
      </c>
      <c r="F114" s="25" t="s">
        <v>235</v>
      </c>
      <c r="G114" s="25"/>
      <c r="H114" s="53"/>
      <c r="I114" s="53"/>
      <c r="J114" s="53"/>
      <c r="K114" s="53"/>
      <c r="L114" s="53"/>
      <c r="M114" s="54">
        <f>IF(COUNTA($H$114:$L$114)=0,"",COUNTIF($H$114:$L$114,"OK")&amp;" / "&amp;COUNTA($H$114:$L$114))</f>
        <v/>
      </c>
      <c r="N114" s="30">
        <f>IF(COUNTA($H$114:$L$114)=0,"",IF(COUNTIF($H$114:$L$114,"NÃO OK")&gt;0,"Não conforme",IF(COUNTIF($H$114:$L$114,"SEM TAG")&gt;0,"Conforme · sem TAG","Conforme")))</f>
        <v/>
      </c>
      <c r="O114" s="30"/>
      <c r="P114" s="30"/>
    </row>
    <row r="115" spans="3:16" ht="21" customHeight="1">
      <c r="C115" s="55"/>
      <c r="D115" s="55"/>
      <c r="E115" s="52" t="s">
        <v>236</v>
      </c>
      <c r="F115" s="25" t="s">
        <v>237</v>
      </c>
      <c r="G115" s="25"/>
      <c r="H115" s="53"/>
      <c r="I115" s="53"/>
      <c r="J115" s="53"/>
      <c r="K115" s="53"/>
      <c r="L115" s="53"/>
      <c r="M115" s="54">
        <f>IF(COUNTA($H$115:$L$115)=0,"",COUNTIF($H$115:$L$115,"OK")&amp;" / "&amp;COUNTA($H$115:$L$115))</f>
        <v/>
      </c>
      <c r="N115" s="30">
        <f>IF(COUNTA($H$115:$L$115)=0,"",IF(COUNTIF($H$115:$L$115,"NÃO OK")&gt;0,"Não conforme",IF(COUNTIF($H$115:$L$115,"SEM TAG")&gt;0,"Conforme · sem TAG","Conforme")))</f>
        <v/>
      </c>
      <c r="O115" s="30"/>
      <c r="P115" s="30"/>
    </row>
    <row r="116" spans="3:16" ht="21" customHeight="1">
      <c r="C116" s="55"/>
      <c r="D116" s="55"/>
      <c r="E116" s="52" t="s">
        <v>238</v>
      </c>
      <c r="F116" s="25" t="s">
        <v>239</v>
      </c>
      <c r="G116" s="25"/>
      <c r="H116" s="53"/>
      <c r="I116" s="53"/>
      <c r="J116" s="53"/>
      <c r="K116" s="53"/>
      <c r="L116" s="53"/>
      <c r="M116" s="54">
        <f>IF(COUNTA($H$116:$L$116)=0,"",COUNTIF($H$116:$L$116,"OK")&amp;" / "&amp;COUNTA($H$116:$L$116))</f>
        <v/>
      </c>
      <c r="N116" s="30">
        <f>IF(COUNTA($H$116:$L$116)=0,"",IF(COUNTIF($H$116:$L$116,"NÃO OK")&gt;0,"Não conforme",IF(COUNTIF($H$116:$L$116,"SEM TAG")&gt;0,"Conforme · sem TAG","Conforme")))</f>
        <v/>
      </c>
      <c r="O116" s="30"/>
      <c r="P116" s="30"/>
    </row>
    <row r="117" spans="3:16" ht="21" customHeight="1">
      <c r="C117" s="55"/>
      <c r="D117" s="55"/>
      <c r="E117" s="52" t="s">
        <v>240</v>
      </c>
      <c r="F117" s="25" t="s">
        <v>241</v>
      </c>
      <c r="G117" s="25"/>
      <c r="H117" s="53"/>
      <c r="I117" s="53"/>
      <c r="J117" s="53"/>
      <c r="K117" s="53"/>
      <c r="L117" s="53"/>
      <c r="M117" s="54">
        <f>IF(COUNTA($H$117:$L$117)=0,"",COUNTIF($H$117:$L$117,"OK")&amp;" / "&amp;COUNTA($H$117:$L$117))</f>
        <v/>
      </c>
      <c r="N117" s="30">
        <f>IF(COUNTA($H$117:$L$117)=0,"",IF(COUNTIF($H$117:$L$117,"NÃO OK")&gt;0,"Não conforme",IF(COUNTIF($H$117:$L$117,"SEM TAG")&gt;0,"Conforme · sem TAG","Conforme")))</f>
        <v/>
      </c>
      <c r="O117" s="30"/>
      <c r="P117" s="30"/>
    </row>
    <row r="118" spans="3:16" ht="21" customHeight="1">
      <c r="C118" s="55"/>
      <c r="D118" s="55"/>
      <c r="E118" s="52" t="s">
        <v>242</v>
      </c>
      <c r="F118" s="25" t="s">
        <v>243</v>
      </c>
      <c r="G118" s="25"/>
      <c r="H118" s="53"/>
      <c r="I118" s="53"/>
      <c r="J118" s="53"/>
      <c r="K118" s="53"/>
      <c r="L118" s="53"/>
      <c r="M118" s="54">
        <f>IF(COUNTA($H$118:$L$118)=0,"",COUNTIF($H$118:$L$118,"OK")&amp;" / "&amp;COUNTA($H$118:$L$118))</f>
        <v/>
      </c>
      <c r="N118" s="30">
        <f>IF(COUNTA($H$118:$L$118)=0,"",IF(COUNTIF($H$118:$L$118,"NÃO OK")&gt;0,"Não conforme",IF(COUNTIF($H$118:$L$118,"SEM TAG")&gt;0,"Conforme · sem TAG","Conforme")))</f>
        <v/>
      </c>
      <c r="O118" s="30"/>
      <c r="P118" s="30"/>
    </row>
    <row r="119" spans="3:16" ht="21" customHeight="1">
      <c r="C119" s="55"/>
      <c r="D119" s="55"/>
      <c r="E119" s="52" t="s">
        <v>244</v>
      </c>
      <c r="F119" s="25" t="s">
        <v>245</v>
      </c>
      <c r="G119" s="25"/>
      <c r="H119" s="53"/>
      <c r="I119" s="53"/>
      <c r="J119" s="53"/>
      <c r="K119" s="53"/>
      <c r="L119" s="53"/>
      <c r="M119" s="54">
        <f>IF(COUNTA($H$119:$L$119)=0,"",COUNTIF($H$119:$L$119,"OK")&amp;" / "&amp;COUNTA($H$119:$L$119))</f>
        <v/>
      </c>
      <c r="N119" s="30">
        <f>IF(COUNTA($H$119:$L$119)=0,"",IF(COUNTIF($H$119:$L$119,"NÃO OK")&gt;0,"Não conforme",IF(COUNTIF($H$119:$L$119,"SEM TAG")&gt;0,"Conforme · sem TAG","Conforme")))</f>
        <v/>
      </c>
      <c r="O119" s="30"/>
      <c r="P119" s="30"/>
    </row>
    <row r="120" spans="3:16" ht="21" customHeight="1">
      <c r="C120" s="55"/>
      <c r="D120" s="55"/>
      <c r="E120" s="52" t="s">
        <v>246</v>
      </c>
      <c r="F120" s="25" t="s">
        <v>247</v>
      </c>
      <c r="G120" s="25"/>
      <c r="H120" s="53"/>
      <c r="I120" s="53"/>
      <c r="J120" s="53"/>
      <c r="K120" s="53"/>
      <c r="L120" s="53"/>
      <c r="M120" s="54">
        <f>IF(COUNTA($H$120:$L$120)=0,"",COUNTIF($H$120:$L$120,"OK")&amp;" / "&amp;COUNTA($H$120:$L$120))</f>
        <v/>
      </c>
      <c r="N120" s="30">
        <f>IF(COUNTA($H$120:$L$120)=0,"",IF(COUNTIF($H$120:$L$120,"NÃO OK")&gt;0,"Não conforme",IF(COUNTIF($H$120:$L$120,"SEM TAG")&gt;0,"Conforme · sem TAG","Conforme")))</f>
        <v/>
      </c>
      <c r="O120" s="30"/>
      <c r="P120" s="30"/>
    </row>
    <row r="121" spans="3:16" ht="21" customHeight="1">
      <c r="C121" s="55"/>
      <c r="D121" s="55"/>
      <c r="E121" s="52" t="s">
        <v>248</v>
      </c>
      <c r="F121" s="25" t="s">
        <v>249</v>
      </c>
      <c r="G121" s="25"/>
      <c r="H121" s="53"/>
      <c r="I121" s="53"/>
      <c r="J121" s="53"/>
      <c r="K121" s="53"/>
      <c r="L121" s="53"/>
      <c r="M121" s="54">
        <f>IF(COUNTA($H$121:$L$121)=0,"",COUNTIF($H$121:$L$121,"OK")&amp;" / "&amp;COUNTA($H$121:$L$121))</f>
        <v/>
      </c>
      <c r="N121" s="30">
        <f>IF(COUNTA($H$121:$L$121)=0,"",IF(COUNTIF($H$121:$L$121,"NÃO OK")&gt;0,"Não conforme",IF(COUNTIF($H$121:$L$121,"SEM TAG")&gt;0,"Conforme · sem TAG","Conforme")))</f>
        <v/>
      </c>
      <c r="O121" s="30"/>
      <c r="P121" s="30"/>
    </row>
    <row r="122" spans="3:16" ht="21" customHeight="1">
      <c r="C122" s="55"/>
      <c r="D122" s="55"/>
      <c r="E122" s="52" t="s">
        <v>250</v>
      </c>
      <c r="F122" s="25" t="s">
        <v>251</v>
      </c>
      <c r="G122" s="25"/>
      <c r="H122" s="53"/>
      <c r="I122" s="53"/>
      <c r="J122" s="53"/>
      <c r="K122" s="53"/>
      <c r="L122" s="53"/>
      <c r="M122" s="54">
        <f>IF(COUNTA($H$122:$L$122)=0,"",COUNTIF($H$122:$L$122,"OK")&amp;" / "&amp;COUNTA($H$122:$L$122))</f>
        <v/>
      </c>
      <c r="N122" s="30">
        <f>IF(COUNTA($H$122:$L$122)=0,"",IF(COUNTIF($H$122:$L$122,"NÃO OK")&gt;0,"Não conforme",IF(COUNTIF($H$122:$L$122,"SEM TAG")&gt;0,"Conforme · sem TAG","Conforme")))</f>
        <v/>
      </c>
      <c r="O122" s="30"/>
      <c r="P122" s="30"/>
    </row>
    <row r="123" spans="3:16" ht="21" customHeight="1">
      <c r="C123" s="55"/>
      <c r="D123" s="55"/>
      <c r="E123" s="52" t="s">
        <v>250</v>
      </c>
      <c r="F123" s="25" t="s">
        <v>252</v>
      </c>
      <c r="G123" s="25"/>
      <c r="H123" s="53"/>
      <c r="I123" s="53"/>
      <c r="J123" s="53"/>
      <c r="K123" s="53"/>
      <c r="L123" s="53"/>
      <c r="M123" s="54">
        <f>IF(COUNTA($H$123:$L$123)=0,"",COUNTIF($H$123:$L$123,"OK")&amp;" / "&amp;COUNTA($H$123:$L$123))</f>
        <v/>
      </c>
      <c r="N123" s="30">
        <f>IF(COUNTA($H$123:$L$123)=0,"",IF(COUNTIF($H$123:$L$123,"NÃO OK")&gt;0,"Não conforme",IF(COUNTIF($H$123:$L$123,"SEM TAG")&gt;0,"Conforme · sem TAG","Conforme")))</f>
        <v/>
      </c>
      <c r="O123" s="30"/>
      <c r="P123" s="30"/>
    </row>
    <row r="124" spans="3:16" ht="21" customHeight="1">
      <c r="C124" s="45" t="s">
        <v>253</v>
      </c>
      <c r="D124" s="45"/>
      <c r="E124" s="52" t="s">
        <v>232</v>
      </c>
      <c r="F124" s="25" t="s">
        <v>254</v>
      </c>
      <c r="G124" s="25"/>
      <c r="H124" s="53"/>
      <c r="I124" s="53"/>
      <c r="J124" s="53"/>
      <c r="K124" s="53"/>
      <c r="L124" s="53"/>
      <c r="M124" s="54">
        <f>IF(COUNTA($H$124:$L$124)=0,"",COUNTIF($H$124:$L$124,"OK")&amp;" / "&amp;COUNTA($H$124:$L$124))</f>
        <v/>
      </c>
      <c r="N124" s="30">
        <f>IF(COUNTA($H$124:$L$124)=0,"",IF(COUNTIF($H$124:$L$124,"NÃO OK")&gt;0,"Não conforme",IF(COUNTIF($H$124:$L$124,"SEM TAG")&gt;0,"Conforme · sem TAG","Conforme")))</f>
        <v/>
      </c>
      <c r="O124" s="30"/>
      <c r="P124" s="30"/>
    </row>
    <row r="125" spans="3:16" ht="21" customHeight="1">
      <c r="C125" s="55"/>
      <c r="D125" s="55"/>
      <c r="E125" s="52" t="s">
        <v>234</v>
      </c>
      <c r="F125" s="25" t="s">
        <v>255</v>
      </c>
      <c r="G125" s="25"/>
      <c r="H125" s="53"/>
      <c r="I125" s="53"/>
      <c r="J125" s="53"/>
      <c r="K125" s="53"/>
      <c r="L125" s="53"/>
      <c r="M125" s="54">
        <f>IF(COUNTA($H$125:$L$125)=0,"",COUNTIF($H$125:$L$125,"OK")&amp;" / "&amp;COUNTA($H$125:$L$125))</f>
        <v/>
      </c>
      <c r="N125" s="30">
        <f>IF(COUNTA($H$125:$L$125)=0,"",IF(COUNTIF($H$125:$L$125,"NÃO OK")&gt;0,"Não conforme",IF(COUNTIF($H$125:$L$125,"SEM TAG")&gt;0,"Conforme · sem TAG","Conforme")))</f>
        <v/>
      </c>
      <c r="O125" s="30"/>
      <c r="P125" s="30"/>
    </row>
    <row r="126" spans="3:16" ht="21" customHeight="1">
      <c r="C126" s="55"/>
      <c r="D126" s="55"/>
      <c r="E126" s="52" t="s">
        <v>256</v>
      </c>
      <c r="F126" s="25" t="s">
        <v>257</v>
      </c>
      <c r="G126" s="25"/>
      <c r="H126" s="53"/>
      <c r="I126" s="53"/>
      <c r="J126" s="53"/>
      <c r="K126" s="53"/>
      <c r="L126" s="53"/>
      <c r="M126" s="54">
        <f>IF(COUNTA($H$126:$L$126)=0,"",COUNTIF($H$126:$L$126,"OK")&amp;" / "&amp;COUNTA($H$126:$L$126))</f>
        <v/>
      </c>
      <c r="N126" s="30">
        <f>IF(COUNTA($H$126:$L$126)=0,"",IF(COUNTIF($H$126:$L$126,"NÃO OK")&gt;0,"Não conforme",IF(COUNTIF($H$126:$L$126,"SEM TAG")&gt;0,"Conforme · sem TAG","Conforme")))</f>
        <v/>
      </c>
      <c r="O126" s="30"/>
      <c r="P126" s="30"/>
    </row>
    <row r="127" spans="3:16" ht="21" customHeight="1">
      <c r="C127" s="55"/>
      <c r="D127" s="55"/>
      <c r="E127" s="52" t="s">
        <v>236</v>
      </c>
      <c r="F127" s="25" t="s">
        <v>258</v>
      </c>
      <c r="G127" s="25"/>
      <c r="H127" s="53"/>
      <c r="I127" s="53"/>
      <c r="J127" s="53"/>
      <c r="K127" s="53"/>
      <c r="L127" s="53"/>
      <c r="M127" s="54">
        <f>IF(COUNTA($H$127:$L$127)=0,"",COUNTIF($H$127:$L$127,"OK")&amp;" / "&amp;COUNTA($H$127:$L$127))</f>
        <v/>
      </c>
      <c r="N127" s="30">
        <f>IF(COUNTA($H$127:$L$127)=0,"",IF(COUNTIF($H$127:$L$127,"NÃO OK")&gt;0,"Não conforme",IF(COUNTIF($H$127:$L$127,"SEM TAG")&gt;0,"Conforme · sem TAG","Conforme")))</f>
        <v/>
      </c>
      <c r="O127" s="30"/>
      <c r="P127" s="30"/>
    </row>
    <row r="128" spans="3:16" ht="21" customHeight="1">
      <c r="C128" s="55"/>
      <c r="D128" s="55"/>
      <c r="E128" s="52" t="s">
        <v>240</v>
      </c>
      <c r="F128" s="25" t="s">
        <v>259</v>
      </c>
      <c r="G128" s="25"/>
      <c r="H128" s="53"/>
      <c r="I128" s="53"/>
      <c r="J128" s="53"/>
      <c r="K128" s="53"/>
      <c r="L128" s="53"/>
      <c r="M128" s="54">
        <f>IF(COUNTA($H$128:$L$128)=0,"",COUNTIF($H$128:$L$128,"OK")&amp;" / "&amp;COUNTA($H$128:$L$128))</f>
        <v/>
      </c>
      <c r="N128" s="30">
        <f>IF(COUNTA($H$128:$L$128)=0,"",IF(COUNTIF($H$128:$L$128,"NÃO OK")&gt;0,"Não conforme",IF(COUNTIF($H$128:$L$128,"SEM TAG")&gt;0,"Conforme · sem TAG","Conforme")))</f>
        <v/>
      </c>
      <c r="O128" s="30"/>
      <c r="P128" s="30"/>
    </row>
    <row r="129" spans="2:16" ht="21" customHeight="1">
      <c r="C129" s="55"/>
      <c r="D129" s="55"/>
      <c r="E129" s="52" t="s">
        <v>242</v>
      </c>
      <c r="F129" s="25" t="s">
        <v>260</v>
      </c>
      <c r="G129" s="25"/>
      <c r="H129" s="53"/>
      <c r="I129" s="53"/>
      <c r="J129" s="53"/>
      <c r="K129" s="53"/>
      <c r="L129" s="53"/>
      <c r="M129" s="54">
        <f>IF(COUNTA($H$129:$L$129)=0,"",COUNTIF($H$129:$L$129,"OK")&amp;" / "&amp;COUNTA($H$129:$L$129))</f>
        <v/>
      </c>
      <c r="N129" s="30">
        <f>IF(COUNTA($H$129:$L$129)=0,"",IF(COUNTIF($H$129:$L$129,"NÃO OK")&gt;0,"Não conforme",IF(COUNTIF($H$129:$L$129,"SEM TAG")&gt;0,"Conforme · sem TAG","Conforme")))</f>
        <v/>
      </c>
      <c r="O129" s="30"/>
      <c r="P129" s="30"/>
    </row>
    <row r="130" spans="2:16" ht="21" customHeight="1">
      <c r="C130" s="55"/>
      <c r="D130" s="55"/>
      <c r="E130" s="52" t="s">
        <v>244</v>
      </c>
      <c r="F130" s="25" t="s">
        <v>261</v>
      </c>
      <c r="G130" s="25"/>
      <c r="H130" s="53"/>
      <c r="I130" s="53"/>
      <c r="J130" s="53"/>
      <c r="K130" s="53"/>
      <c r="L130" s="53"/>
      <c r="M130" s="54">
        <f>IF(COUNTA($H$130:$L$130)=0,"",COUNTIF($H$130:$L$130,"OK")&amp;" / "&amp;COUNTA($H$130:$L$130))</f>
        <v/>
      </c>
      <c r="N130" s="30">
        <f>IF(COUNTA($H$130:$L$130)=0,"",IF(COUNTIF($H$130:$L$130,"NÃO OK")&gt;0,"Não conforme",IF(COUNTIF($H$130:$L$130,"SEM TAG")&gt;0,"Conforme · sem TAG","Conforme")))</f>
        <v/>
      </c>
      <c r="O130" s="30"/>
      <c r="P130" s="30"/>
    </row>
    <row r="131" spans="2:16" ht="21" customHeight="1">
      <c r="C131" s="45" t="s">
        <v>262</v>
      </c>
      <c r="D131" s="45"/>
      <c r="E131" s="52" t="s">
        <v>232</v>
      </c>
      <c r="F131" s="25" t="s">
        <v>263</v>
      </c>
      <c r="G131" s="25"/>
      <c r="H131" s="53"/>
      <c r="I131" s="53"/>
      <c r="J131" s="53"/>
      <c r="K131" s="53"/>
      <c r="L131" s="53"/>
      <c r="M131" s="54">
        <f>IF(COUNTA($H$131:$L$131)=0,"",COUNTIF($H$131:$L$131,"OK")&amp;" / "&amp;COUNTA($H$131:$L$131))</f>
        <v/>
      </c>
      <c r="N131" s="30">
        <f>IF(COUNTA($H$131:$L$131)=0,"",IF(COUNTIF($H$131:$L$131,"NÃO OK")&gt;0,"Não conforme",IF(COUNTIF($H$131:$L$131,"SEM TAG")&gt;0,"Conforme · sem TAG","Conforme")))</f>
        <v/>
      </c>
      <c r="O131" s="30"/>
      <c r="P131" s="30"/>
    </row>
    <row r="132" spans="2:16" ht="21" customHeight="1">
      <c r="C132" s="55"/>
      <c r="D132" s="55"/>
      <c r="E132" s="52" t="s">
        <v>234</v>
      </c>
      <c r="F132" s="25" t="s">
        <v>264</v>
      </c>
      <c r="G132" s="25"/>
      <c r="H132" s="53"/>
      <c r="I132" s="53"/>
      <c r="J132" s="53"/>
      <c r="K132" s="53"/>
      <c r="L132" s="53"/>
      <c r="M132" s="54">
        <f>IF(COUNTA($H$132:$L$132)=0,"",COUNTIF($H$132:$L$132,"OK")&amp;" / "&amp;COUNTA($H$132:$L$132))</f>
        <v/>
      </c>
      <c r="N132" s="30">
        <f>IF(COUNTA($H$132:$L$132)=0,"",IF(COUNTIF($H$132:$L$132,"NÃO OK")&gt;0,"Não conforme",IF(COUNTIF($H$132:$L$132,"SEM TAG")&gt;0,"Conforme · sem TAG","Conforme")))</f>
        <v/>
      </c>
      <c r="O132" s="30"/>
      <c r="P132" s="30"/>
    </row>
    <row r="133" spans="2:16" ht="21" customHeight="1">
      <c r="C133" s="55"/>
      <c r="D133" s="55"/>
      <c r="E133" s="52" t="s">
        <v>256</v>
      </c>
      <c r="F133" s="25" t="s">
        <v>257</v>
      </c>
      <c r="G133" s="25"/>
      <c r="H133" s="53"/>
      <c r="I133" s="53"/>
      <c r="J133" s="53"/>
      <c r="K133" s="53"/>
      <c r="L133" s="53"/>
      <c r="M133" s="54">
        <f>IF(COUNTA($H$133:$L$133)=0,"",COUNTIF($H$133:$L$133,"OK")&amp;" / "&amp;COUNTA($H$133:$L$133))</f>
        <v/>
      </c>
      <c r="N133" s="30">
        <f>IF(COUNTA($H$133:$L$133)=0,"",IF(COUNTIF($H$133:$L$133,"NÃO OK")&gt;0,"Não conforme",IF(COUNTIF($H$133:$L$133,"SEM TAG")&gt;0,"Conforme · sem TAG","Conforme")))</f>
        <v/>
      </c>
      <c r="O133" s="30"/>
      <c r="P133" s="30"/>
    </row>
    <row r="134" spans="2:16" ht="21" customHeight="1">
      <c r="C134" s="55"/>
      <c r="D134" s="55"/>
      <c r="E134" s="52" t="s">
        <v>236</v>
      </c>
      <c r="F134" s="25" t="s">
        <v>265</v>
      </c>
      <c r="G134" s="25"/>
      <c r="H134" s="53"/>
      <c r="I134" s="53"/>
      <c r="J134" s="53"/>
      <c r="K134" s="53"/>
      <c r="L134" s="53"/>
      <c r="M134" s="54">
        <f>IF(COUNTA($H$134:$L$134)=0,"",COUNTIF($H$134:$L$134,"OK")&amp;" / "&amp;COUNTA($H$134:$L$134))</f>
        <v/>
      </c>
      <c r="N134" s="30">
        <f>IF(COUNTA($H$134:$L$134)=0,"",IF(COUNTIF($H$134:$L$134,"NÃO OK")&gt;0,"Não conforme",IF(COUNTIF($H$134:$L$134,"SEM TAG")&gt;0,"Conforme · sem TAG","Conforme")))</f>
        <v/>
      </c>
      <c r="O134" s="30"/>
      <c r="P134" s="30"/>
    </row>
    <row r="135" spans="2:16" ht="21" customHeight="1">
      <c r="C135" s="55"/>
      <c r="D135" s="55"/>
      <c r="E135" s="52" t="s">
        <v>240</v>
      </c>
      <c r="F135" s="25" t="s">
        <v>266</v>
      </c>
      <c r="G135" s="25"/>
      <c r="H135" s="53"/>
      <c r="I135" s="53"/>
      <c r="J135" s="53"/>
      <c r="K135" s="53"/>
      <c r="L135" s="53"/>
      <c r="M135" s="54">
        <f>IF(COUNTA($H$135:$L$135)=0,"",COUNTIF($H$135:$L$135,"OK")&amp;" / "&amp;COUNTA($H$135:$L$135))</f>
        <v/>
      </c>
      <c r="N135" s="30">
        <f>IF(COUNTA($H$135:$L$135)=0,"",IF(COUNTIF($H$135:$L$135,"NÃO OK")&gt;0,"Não conforme",IF(COUNTIF($H$135:$L$135,"SEM TAG")&gt;0,"Conforme · sem TAG","Conforme")))</f>
        <v/>
      </c>
      <c r="O135" s="30"/>
      <c r="P135" s="30"/>
    </row>
    <row r="136" spans="2:16" ht="21" customHeight="1">
      <c r="C136" s="55"/>
      <c r="D136" s="55"/>
      <c r="E136" s="52" t="s">
        <v>242</v>
      </c>
      <c r="F136" s="25" t="s">
        <v>260</v>
      </c>
      <c r="G136" s="25"/>
      <c r="H136" s="53"/>
      <c r="I136" s="53"/>
      <c r="J136" s="53"/>
      <c r="K136" s="53"/>
      <c r="L136" s="53"/>
      <c r="M136" s="54">
        <f>IF(COUNTA($H$136:$L$136)=0,"",COUNTIF($H$136:$L$136,"OK")&amp;" / "&amp;COUNTA($H$136:$L$136))</f>
        <v/>
      </c>
      <c r="N136" s="30">
        <f>IF(COUNTA($H$136:$L$136)=0,"",IF(COUNTIF($H$136:$L$136,"NÃO OK")&gt;0,"Não conforme",IF(COUNTIF($H$136:$L$136,"SEM TAG")&gt;0,"Conforme · sem TAG","Conforme")))</f>
        <v/>
      </c>
      <c r="O136" s="30"/>
      <c r="P136" s="30"/>
    </row>
    <row r="137" spans="2:16" ht="21" customHeight="1">
      <c r="C137" s="55"/>
      <c r="D137" s="55"/>
      <c r="E137" s="52" t="s">
        <v>244</v>
      </c>
      <c r="F137" s="25" t="s">
        <v>267</v>
      </c>
      <c r="G137" s="25"/>
      <c r="H137" s="53"/>
      <c r="I137" s="53"/>
      <c r="J137" s="53"/>
      <c r="K137" s="53"/>
      <c r="L137" s="53"/>
      <c r="M137" s="54">
        <f>IF(COUNTA($H$137:$L$137)=0,"",COUNTIF($H$137:$L$137,"OK")&amp;" / "&amp;COUNTA($H$137:$L$137))</f>
        <v/>
      </c>
      <c r="N137" s="30">
        <f>IF(COUNTA($H$137:$L$137)=0,"",IF(COUNTIF($H$137:$L$137,"NÃO OK")&gt;0,"Não conforme",IF(COUNTIF($H$137:$L$137,"SEM TAG")&gt;0,"Conforme · sem TAG","Conforme")))</f>
        <v/>
      </c>
      <c r="O137" s="30"/>
      <c r="P137" s="30"/>
    </row>
    <row r="138" spans="2:16" ht="21" customHeight="1">
      <c r="C138" s="45" t="s">
        <v>268</v>
      </c>
      <c r="D138" s="45"/>
      <c r="E138" s="52" t="s">
        <v>244</v>
      </c>
      <c r="F138" s="25" t="s">
        <v>269</v>
      </c>
      <c r="G138" s="25"/>
      <c r="H138" s="53"/>
      <c r="I138" s="53"/>
      <c r="J138" s="53"/>
      <c r="K138" s="53"/>
      <c r="L138" s="53"/>
      <c r="M138" s="54">
        <f>IF(COUNTA($H$138:$L$138)=0,"",COUNTIF($H$138:$L$138,"OK")&amp;" / "&amp;COUNTA($H$138:$L$138))</f>
        <v/>
      </c>
      <c r="N138" s="30">
        <f>IF(COUNTA($H$138:$L$138)=0,"",IF(COUNTIF($H$138:$L$138,"NÃO OK")&gt;0,"Não conforme",IF(COUNTIF($H$138:$L$138,"SEM TAG")&gt;0,"Conforme · sem TAG","Conforme")))</f>
        <v/>
      </c>
      <c r="O138" s="30"/>
      <c r="P138" s="30"/>
    </row>
    <row r="139" spans="2:16" ht="21" customHeight="1">
      <c r="C139" s="55"/>
      <c r="D139" s="55"/>
      <c r="E139" s="52" t="s">
        <v>238</v>
      </c>
      <c r="F139" s="25" t="s">
        <v>270</v>
      </c>
      <c r="G139" s="25"/>
      <c r="H139" s="53"/>
      <c r="I139" s="53"/>
      <c r="J139" s="53"/>
      <c r="K139" s="53"/>
      <c r="L139" s="53"/>
      <c r="M139" s="54">
        <f>IF(COUNTA($H$139:$L$139)=0,"",COUNTIF($H$139:$L$139,"OK")&amp;" / "&amp;COUNTA($H$139:$L$139))</f>
        <v/>
      </c>
      <c r="N139" s="30">
        <f>IF(COUNTA($H$139:$L$139)=0,"",IF(COUNTIF($H$139:$L$139,"NÃO OK")&gt;0,"Não conforme",IF(COUNTIF($H$139:$L$139,"SEM TAG")&gt;0,"Conforme · sem TAG","Conforme")))</f>
        <v/>
      </c>
      <c r="O139" s="30"/>
      <c r="P139" s="30"/>
    </row>
    <row r="140" spans="2:16" ht="26" customHeight="1"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</row>
    <row r="141" spans="2:16" ht="22" customHeight="1">
      <c r="C141" s="5" t="s">
        <v>126</v>
      </c>
      <c r="D141" s="5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</row>
    <row r="143" spans="2:16" ht="28" customHeight="1">
      <c r="B143" s="4"/>
      <c r="C143" s="22" t="s">
        <v>271</v>
      </c>
      <c r="D143" s="22"/>
      <c r="E143" s="22"/>
      <c r="F143" s="22"/>
      <c r="G143" s="22"/>
      <c r="H143" s="22"/>
      <c r="I143" s="22"/>
      <c r="J143" s="22"/>
      <c r="K143" s="22"/>
      <c r="L143" s="23" t="s">
        <v>272</v>
      </c>
      <c r="M143" s="23"/>
      <c r="N143" s="23"/>
      <c r="O143" s="23"/>
      <c r="P143" s="23"/>
    </row>
    <row r="144" spans="2:16" ht="16" customHeight="1">
      <c r="C144" s="24" t="s">
        <v>273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</row>
    <row r="145" spans="3:16" ht="30" customHeight="1">
      <c r="C145" s="11" t="s">
        <v>274</v>
      </c>
      <c r="D145" s="11"/>
      <c r="E145" s="11"/>
      <c r="F145" s="11" t="s">
        <v>275</v>
      </c>
      <c r="G145" s="11"/>
      <c r="H145" s="11" t="s">
        <v>276</v>
      </c>
      <c r="I145" s="11"/>
      <c r="J145" s="11" t="s">
        <v>122</v>
      </c>
      <c r="K145" s="11" t="s">
        <v>7</v>
      </c>
      <c r="L145" s="11" t="s">
        <v>123</v>
      </c>
      <c r="M145" s="11"/>
      <c r="N145" s="11"/>
      <c r="O145" s="11"/>
      <c r="P145" s="11"/>
    </row>
    <row r="146" spans="3:16" ht="24" customHeight="1">
      <c r="C146" s="5" t="s">
        <v>32</v>
      </c>
      <c r="D146" s="5"/>
      <c r="E146" s="5"/>
      <c r="F146" s="27"/>
      <c r="G146" s="27"/>
      <c r="H146" s="27"/>
      <c r="I146" s="27"/>
      <c r="J146" s="29">
        <f>IF(OR($F$146="",$H$146=""),"",$F$146-$H$146)</f>
        <v/>
      </c>
      <c r="K146" s="28">
        <f>c_FIS_TOL</f>
        <v/>
      </c>
      <c r="L146" s="30">
        <f>IF(OR($J$146="",c_FIS_TOL=""),"",IF(ROUND(ABS($J$146),6)&lt;=ROUND(c_FIS_TOL,6),"Conforme","Não conforme"))</f>
        <v/>
      </c>
      <c r="M146" s="30"/>
      <c r="N146" s="30"/>
      <c r="O146" s="30"/>
      <c r="P146" s="30"/>
    </row>
    <row r="147" spans="3:16" ht="22" customHeight="1">
      <c r="C147" s="5" t="s">
        <v>126</v>
      </c>
      <c r="D147" s="5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</row>
  </sheetData>
  <sheetProtection sheet="1" objects="1" scenarios="1" formatColumns="0" formatRows="0"/>
  <mergeCells count="432">
    <mergeCell ref="G2:P2"/>
    <mergeCell ref="G3:P3"/>
    <mergeCell ref="D6:E6"/>
    <mergeCell ref="J6:K6"/>
    <mergeCell ref="L6:P6"/>
    <mergeCell ref="C7:P7"/>
    <mergeCell ref="C9:P9"/>
    <mergeCell ref="C10:F10"/>
    <mergeCell ref="G10:H10"/>
    <mergeCell ref="I10:J10"/>
    <mergeCell ref="K10:L10"/>
    <mergeCell ref="M10:N10"/>
    <mergeCell ref="O10:P10"/>
    <mergeCell ref="C20:P20"/>
    <mergeCell ref="C22:K22"/>
    <mergeCell ref="L22:P22"/>
    <mergeCell ref="C23:P23"/>
    <mergeCell ref="C24:D24"/>
    <mergeCell ref="E24:G24"/>
    <mergeCell ref="H24:I24"/>
    <mergeCell ref="N24:P24"/>
    <mergeCell ref="C25:D25"/>
    <mergeCell ref="E25:G25"/>
    <mergeCell ref="H25:I25"/>
    <mergeCell ref="N25:P25"/>
    <mergeCell ref="C26:D26"/>
    <mergeCell ref="E26:G26"/>
    <mergeCell ref="H26:I26"/>
    <mergeCell ref="N26:P26"/>
    <mergeCell ref="C27:D27"/>
    <mergeCell ref="E27:G27"/>
    <mergeCell ref="H27:I27"/>
    <mergeCell ref="N27:P27"/>
    <mergeCell ref="C28:D28"/>
    <mergeCell ref="E28:P28"/>
    <mergeCell ref="C30:K30"/>
    <mergeCell ref="L30:P30"/>
    <mergeCell ref="C31:P31"/>
    <mergeCell ref="C32:D32"/>
    <mergeCell ref="I32:J32"/>
    <mergeCell ref="N32:P32"/>
    <mergeCell ref="C33:D33"/>
    <mergeCell ref="I33:J33"/>
    <mergeCell ref="N33:P33"/>
    <mergeCell ref="C34:D34"/>
    <mergeCell ref="I34:J34"/>
    <mergeCell ref="N34:P34"/>
    <mergeCell ref="C35:D35"/>
    <mergeCell ref="I35:J35"/>
    <mergeCell ref="N35:P35"/>
    <mergeCell ref="C36:D36"/>
    <mergeCell ref="I36:J36"/>
    <mergeCell ref="N36:P36"/>
    <mergeCell ref="C37:D37"/>
    <mergeCell ref="I37:J37"/>
    <mergeCell ref="N37:P37"/>
    <mergeCell ref="C38:D38"/>
    <mergeCell ref="E38:P38"/>
    <mergeCell ref="C40:K40"/>
    <mergeCell ref="L40:P40"/>
    <mergeCell ref="C41:P41"/>
    <mergeCell ref="C42:D42"/>
    <mergeCell ref="E42:G42"/>
    <mergeCell ref="H42:I42"/>
    <mergeCell ref="N42:P42"/>
    <mergeCell ref="C43:D43"/>
    <mergeCell ref="E43:G43"/>
    <mergeCell ref="H43:I43"/>
    <mergeCell ref="N43:P43"/>
    <mergeCell ref="C44:D44"/>
    <mergeCell ref="E44:G44"/>
    <mergeCell ref="H44:I44"/>
    <mergeCell ref="N44:P44"/>
    <mergeCell ref="C45:D45"/>
    <mergeCell ref="E45:G45"/>
    <mergeCell ref="H45:I45"/>
    <mergeCell ref="N45:P45"/>
    <mergeCell ref="C46:D46"/>
    <mergeCell ref="E46:P46"/>
    <mergeCell ref="C48:K48"/>
    <mergeCell ref="L48:P48"/>
    <mergeCell ref="C49:P49"/>
    <mergeCell ref="C50:E50"/>
    <mergeCell ref="F50:G50"/>
    <mergeCell ref="H50:P50"/>
    <mergeCell ref="C51:E51"/>
    <mergeCell ref="L51:M51"/>
    <mergeCell ref="N51:P51"/>
    <mergeCell ref="C52:E52"/>
    <mergeCell ref="F52:G52"/>
    <mergeCell ref="H52:I52"/>
    <mergeCell ref="L52:P52"/>
    <mergeCell ref="C53:E53"/>
    <mergeCell ref="F53:G53"/>
    <mergeCell ref="H53:I53"/>
    <mergeCell ref="L53:P53"/>
    <mergeCell ref="C54:E54"/>
    <mergeCell ref="F54:G54"/>
    <mergeCell ref="H54:I54"/>
    <mergeCell ref="L54:P54"/>
    <mergeCell ref="C55:E55"/>
    <mergeCell ref="F55:G55"/>
    <mergeCell ref="H55:I55"/>
    <mergeCell ref="L55:P55"/>
    <mergeCell ref="C56:D56"/>
    <mergeCell ref="E56:P56"/>
    <mergeCell ref="C58:K58"/>
    <mergeCell ref="L58:P58"/>
    <mergeCell ref="C59:P59"/>
    <mergeCell ref="C60:K60"/>
    <mergeCell ref="L60:P60"/>
    <mergeCell ref="C61:D61"/>
    <mergeCell ref="E61:F61"/>
    <mergeCell ref="I61:J61"/>
    <mergeCell ref="K61:L61"/>
    <mergeCell ref="M61:P61"/>
    <mergeCell ref="C62:D62"/>
    <mergeCell ref="E62:F62"/>
    <mergeCell ref="I62:J62"/>
    <mergeCell ref="K62:L62"/>
    <mergeCell ref="M62:P62"/>
    <mergeCell ref="C63:D63"/>
    <mergeCell ref="E63:F63"/>
    <mergeCell ref="I63:J63"/>
    <mergeCell ref="K63:L63"/>
    <mergeCell ref="M63:P63"/>
    <mergeCell ref="C64:D64"/>
    <mergeCell ref="E64:F64"/>
    <mergeCell ref="I64:J64"/>
    <mergeCell ref="K64:L64"/>
    <mergeCell ref="M64:P64"/>
    <mergeCell ref="C65:D65"/>
    <mergeCell ref="E65:F65"/>
    <mergeCell ref="I65:J65"/>
    <mergeCell ref="K65:L65"/>
    <mergeCell ref="M65:P65"/>
    <mergeCell ref="C66:D66"/>
    <mergeCell ref="E66:F66"/>
    <mergeCell ref="I66:J66"/>
    <mergeCell ref="K66:L66"/>
    <mergeCell ref="M66:P66"/>
    <mergeCell ref="C67:K67"/>
    <mergeCell ref="L67:P67"/>
    <mergeCell ref="C68:D68"/>
    <mergeCell ref="E68:F68"/>
    <mergeCell ref="I68:J68"/>
    <mergeCell ref="K68:L68"/>
    <mergeCell ref="M68:P68"/>
    <mergeCell ref="C69:D69"/>
    <mergeCell ref="E69:F69"/>
    <mergeCell ref="I69:J69"/>
    <mergeCell ref="K69:L69"/>
    <mergeCell ref="M69:P69"/>
    <mergeCell ref="C70:D70"/>
    <mergeCell ref="E70:F70"/>
    <mergeCell ref="I70:J70"/>
    <mergeCell ref="K70:L70"/>
    <mergeCell ref="M70:P70"/>
    <mergeCell ref="C71:D71"/>
    <mergeCell ref="E71:F71"/>
    <mergeCell ref="I71:J71"/>
    <mergeCell ref="K71:L71"/>
    <mergeCell ref="M71:P71"/>
    <mergeCell ref="C72:D72"/>
    <mergeCell ref="E72:F72"/>
    <mergeCell ref="I72:J72"/>
    <mergeCell ref="K72:L72"/>
    <mergeCell ref="M72:P72"/>
    <mergeCell ref="C73:D73"/>
    <mergeCell ref="E73:F73"/>
    <mergeCell ref="I73:J73"/>
    <mergeCell ref="K73:L73"/>
    <mergeCell ref="M73:P73"/>
    <mergeCell ref="C74:D74"/>
    <mergeCell ref="E74:P74"/>
    <mergeCell ref="C76:K76"/>
    <mergeCell ref="L76:P76"/>
    <mergeCell ref="C77:P77"/>
    <mergeCell ref="C78:E78"/>
    <mergeCell ref="F78:G78"/>
    <mergeCell ref="I78:J78"/>
    <mergeCell ref="M78:P78"/>
    <mergeCell ref="C79:E79"/>
    <mergeCell ref="F79:G79"/>
    <mergeCell ref="I79:J79"/>
    <mergeCell ref="C80:E80"/>
    <mergeCell ref="F80:G80"/>
    <mergeCell ref="I80:J80"/>
    <mergeCell ref="C81:E81"/>
    <mergeCell ref="F81:G81"/>
    <mergeCell ref="I81:J81"/>
    <mergeCell ref="C82:E82"/>
    <mergeCell ref="F82:G82"/>
    <mergeCell ref="I82:J82"/>
    <mergeCell ref="C83:E83"/>
    <mergeCell ref="F83:G83"/>
    <mergeCell ref="I83:J83"/>
    <mergeCell ref="C84:E84"/>
    <mergeCell ref="F84:G84"/>
    <mergeCell ref="I84:J84"/>
    <mergeCell ref="C85:E85"/>
    <mergeCell ref="F85:G85"/>
    <mergeCell ref="I85:J85"/>
    <mergeCell ref="C86:E86"/>
    <mergeCell ref="F86:G86"/>
    <mergeCell ref="I86:J86"/>
    <mergeCell ref="C87:E87"/>
    <mergeCell ref="F87:G87"/>
    <mergeCell ref="I87:J87"/>
    <mergeCell ref="C88:E88"/>
    <mergeCell ref="F88:G88"/>
    <mergeCell ref="I88:J88"/>
    <mergeCell ref="C89:E89"/>
    <mergeCell ref="F89:G89"/>
    <mergeCell ref="I89:J89"/>
    <mergeCell ref="K89:L89"/>
    <mergeCell ref="C91:E91"/>
    <mergeCell ref="F91:G91"/>
    <mergeCell ref="H91:I91"/>
    <mergeCell ref="L91:P91"/>
    <mergeCell ref="C92:E92"/>
    <mergeCell ref="F92:G92"/>
    <mergeCell ref="H92:I92"/>
    <mergeCell ref="L92:P92"/>
    <mergeCell ref="C93:E93"/>
    <mergeCell ref="F93:G93"/>
    <mergeCell ref="H93:I93"/>
    <mergeCell ref="L93:P93"/>
    <mergeCell ref="C94:E94"/>
    <mergeCell ref="F94:G94"/>
    <mergeCell ref="H94:I94"/>
    <mergeCell ref="L94:P94"/>
    <mergeCell ref="C95:E95"/>
    <mergeCell ref="F95:G95"/>
    <mergeCell ref="H95:I95"/>
    <mergeCell ref="L95:P95"/>
    <mergeCell ref="C96:E96"/>
    <mergeCell ref="F96:G96"/>
    <mergeCell ref="H96:I96"/>
    <mergeCell ref="L96:P96"/>
    <mergeCell ref="C97:E97"/>
    <mergeCell ref="F97:G97"/>
    <mergeCell ref="H97:I97"/>
    <mergeCell ref="L97:P97"/>
    <mergeCell ref="C98:D98"/>
    <mergeCell ref="E98:P98"/>
    <mergeCell ref="C100:K100"/>
    <mergeCell ref="L100:P100"/>
    <mergeCell ref="C101:P101"/>
    <mergeCell ref="C102:E102"/>
    <mergeCell ref="F102:G102"/>
    <mergeCell ref="H102:I102"/>
    <mergeCell ref="M102:P102"/>
    <mergeCell ref="C103:E103"/>
    <mergeCell ref="F103:G103"/>
    <mergeCell ref="H103:I103"/>
    <mergeCell ref="M103:P103"/>
    <mergeCell ref="C104:E104"/>
    <mergeCell ref="F104:G104"/>
    <mergeCell ref="H104:I104"/>
    <mergeCell ref="M104:P104"/>
    <mergeCell ref="C105:E105"/>
    <mergeCell ref="F105:G105"/>
    <mergeCell ref="H105:I105"/>
    <mergeCell ref="L105:P105"/>
    <mergeCell ref="C106:E106"/>
    <mergeCell ref="F106:G106"/>
    <mergeCell ref="H106:I106"/>
    <mergeCell ref="L106:P106"/>
    <mergeCell ref="C107:E107"/>
    <mergeCell ref="F107:G107"/>
    <mergeCell ref="H107:I107"/>
    <mergeCell ref="L107:P107"/>
    <mergeCell ref="C108:D108"/>
    <mergeCell ref="E108:P108"/>
    <mergeCell ref="C110:K110"/>
    <mergeCell ref="L110:P110"/>
    <mergeCell ref="C111:P111"/>
    <mergeCell ref="C112:D112"/>
    <mergeCell ref="F112:G112"/>
    <mergeCell ref="N112:P112"/>
    <mergeCell ref="C113:D113"/>
    <mergeCell ref="F113:G113"/>
    <mergeCell ref="N113:P113"/>
    <mergeCell ref="C114:D114"/>
    <mergeCell ref="F114:G114"/>
    <mergeCell ref="N114:P114"/>
    <mergeCell ref="C115:D115"/>
    <mergeCell ref="F115:G115"/>
    <mergeCell ref="N115:P115"/>
    <mergeCell ref="C116:D116"/>
    <mergeCell ref="F116:G116"/>
    <mergeCell ref="N116:P116"/>
    <mergeCell ref="C117:D117"/>
    <mergeCell ref="F117:G117"/>
    <mergeCell ref="N117:P117"/>
    <mergeCell ref="C118:D118"/>
    <mergeCell ref="F118:G118"/>
    <mergeCell ref="N118:P118"/>
    <mergeCell ref="C119:D119"/>
    <mergeCell ref="F119:G119"/>
    <mergeCell ref="N119:P119"/>
    <mergeCell ref="C120:D120"/>
    <mergeCell ref="F120:G120"/>
    <mergeCell ref="N120:P120"/>
    <mergeCell ref="C121:D121"/>
    <mergeCell ref="F121:G121"/>
    <mergeCell ref="N121:P121"/>
    <mergeCell ref="C122:D122"/>
    <mergeCell ref="F122:G122"/>
    <mergeCell ref="N122:P122"/>
    <mergeCell ref="C123:D123"/>
    <mergeCell ref="F123:G123"/>
    <mergeCell ref="N123:P123"/>
    <mergeCell ref="C124:D124"/>
    <mergeCell ref="F124:G124"/>
    <mergeCell ref="N124:P124"/>
    <mergeCell ref="C125:D125"/>
    <mergeCell ref="F125:G125"/>
    <mergeCell ref="N125:P125"/>
    <mergeCell ref="C126:D126"/>
    <mergeCell ref="F126:G126"/>
    <mergeCell ref="N126:P126"/>
    <mergeCell ref="C127:D127"/>
    <mergeCell ref="F127:G127"/>
    <mergeCell ref="N127:P127"/>
    <mergeCell ref="C128:D128"/>
    <mergeCell ref="F128:G128"/>
    <mergeCell ref="N128:P128"/>
    <mergeCell ref="C129:D129"/>
    <mergeCell ref="F129:G129"/>
    <mergeCell ref="N129:P129"/>
    <mergeCell ref="C130:D130"/>
    <mergeCell ref="F130:G130"/>
    <mergeCell ref="N130:P130"/>
    <mergeCell ref="C131:D131"/>
    <mergeCell ref="F131:G131"/>
    <mergeCell ref="N131:P131"/>
    <mergeCell ref="C132:D132"/>
    <mergeCell ref="F132:G132"/>
    <mergeCell ref="N132:P132"/>
    <mergeCell ref="C133:D133"/>
    <mergeCell ref="F133:G133"/>
    <mergeCell ref="N133:P133"/>
    <mergeCell ref="C134:D134"/>
    <mergeCell ref="F134:G134"/>
    <mergeCell ref="N134:P134"/>
    <mergeCell ref="C135:D135"/>
    <mergeCell ref="F135:G135"/>
    <mergeCell ref="N135:P135"/>
    <mergeCell ref="C136:D136"/>
    <mergeCell ref="F136:G136"/>
    <mergeCell ref="N136:P136"/>
    <mergeCell ref="C137:D137"/>
    <mergeCell ref="F137:G137"/>
    <mergeCell ref="N137:P137"/>
    <mergeCell ref="C138:D138"/>
    <mergeCell ref="F138:G138"/>
    <mergeCell ref="N138:P138"/>
    <mergeCell ref="C139:D139"/>
    <mergeCell ref="F139:G139"/>
    <mergeCell ref="N139:P139"/>
    <mergeCell ref="C140:P140"/>
    <mergeCell ref="C141:D141"/>
    <mergeCell ref="E141:P141"/>
    <mergeCell ref="C143:K143"/>
    <mergeCell ref="L143:P143"/>
    <mergeCell ref="C144:P144"/>
    <mergeCell ref="C145:E145"/>
    <mergeCell ref="F145:G145"/>
    <mergeCell ref="H145:I145"/>
    <mergeCell ref="L145:P145"/>
    <mergeCell ref="C146:E146"/>
    <mergeCell ref="F146:G146"/>
    <mergeCell ref="H146:I146"/>
    <mergeCell ref="L146:P146"/>
    <mergeCell ref="C147:D147"/>
    <mergeCell ref="E147:P147"/>
    <mergeCell ref="C11:F11"/>
    <mergeCell ref="G11:H11"/>
    <mergeCell ref="I11:J11"/>
    <mergeCell ref="K11:L11"/>
    <mergeCell ref="M11:N11"/>
    <mergeCell ref="O11:P11"/>
    <mergeCell ref="C12:F12"/>
    <mergeCell ref="G12:H12"/>
    <mergeCell ref="I12:J12"/>
    <mergeCell ref="K12:L12"/>
    <mergeCell ref="M12:N12"/>
    <mergeCell ref="O12:P12"/>
    <mergeCell ref="C13:F13"/>
    <mergeCell ref="G13:H13"/>
    <mergeCell ref="I13:J13"/>
    <mergeCell ref="K13:L13"/>
    <mergeCell ref="M13:N13"/>
    <mergeCell ref="O13:P13"/>
    <mergeCell ref="C14:F14"/>
    <mergeCell ref="G14:H14"/>
    <mergeCell ref="I14:J14"/>
    <mergeCell ref="K14:L14"/>
    <mergeCell ref="M14:N14"/>
    <mergeCell ref="O14:P14"/>
    <mergeCell ref="C15:F15"/>
    <mergeCell ref="G15:H15"/>
    <mergeCell ref="I15:J15"/>
    <mergeCell ref="K15:L15"/>
    <mergeCell ref="M15:N15"/>
    <mergeCell ref="O15:P15"/>
    <mergeCell ref="C16:F16"/>
    <mergeCell ref="G16:H16"/>
    <mergeCell ref="I16:J16"/>
    <mergeCell ref="K16:L16"/>
    <mergeCell ref="M16:N16"/>
    <mergeCell ref="O16:P16"/>
    <mergeCell ref="C17:F17"/>
    <mergeCell ref="G17:H17"/>
    <mergeCell ref="I17:J17"/>
    <mergeCell ref="K17:L17"/>
    <mergeCell ref="M17:N17"/>
    <mergeCell ref="O17:P17"/>
    <mergeCell ref="C18:F18"/>
    <mergeCell ref="G18:H18"/>
    <mergeCell ref="I18:J18"/>
    <mergeCell ref="K18:L18"/>
    <mergeCell ref="M18:N18"/>
    <mergeCell ref="O18:P18"/>
    <mergeCell ref="C19:F19"/>
    <mergeCell ref="G19:H19"/>
    <mergeCell ref="I19:J19"/>
    <mergeCell ref="K19:L19"/>
    <mergeCell ref="M19:N19"/>
    <mergeCell ref="O19:P19"/>
  </mergeCells>
  <conditionalFormatting sqref="I11:N19">
    <cfRule type="beginsWith" dxfId="0" priority="545" operator="beginsWith" text="Não conforme">
      <formula>LEFT(I11,12)="Não conforme"</formula>
    </cfRule>
    <cfRule type="beginsWith" dxfId="1" priority="546" operator="beginsWith" text="Conforme">
      <formula>LEFT(I11,8)="Conforme"</formula>
    </cfRule>
    <cfRule type="beginsWith" dxfId="2" priority="547" operator="beginsWith" text="Pendente">
      <formula>LEFT(I11,8)="Pendente"</formula>
    </cfRule>
    <cfRule type="beginsWith" dxfId="2" priority="548" operator="beginsWith" text="Atrasado">
      <formula>LEFT(I11,8)="Atrasado"</formula>
    </cfRule>
    <cfRule type="beginsWith" dxfId="3" priority="549" operator="beginsWith" text="Previsto">
      <formula>LEFT(I11,8)="Previsto"</formula>
    </cfRule>
    <cfRule type="beginsWith" dxfId="1" priority="550" operator="beginsWith" text="Preenchido">
      <formula>LEFT(I11,10)="Preenchido"</formula>
    </cfRule>
    <cfRule type="beginsWith" dxfId="1" priority="551" operator="beginsWith" text="Em dia">
      <formula>LEFT(I11,6)="Em dia"</formula>
    </cfRule>
    <cfRule type="beginsWith" dxfId="4" priority="552" operator="beginsWith" text="Informativo">
      <formula>LEFT(I11,11)="Informativo"</formula>
    </cfRule>
  </conditionalFormatting>
  <conditionalFormatting sqref="I62:J62">
    <cfRule type="beginsWith" dxfId="0" priority="113" operator="beginsWith" text="Não conforme">
      <formula>LEFT(I62,12)="Não conforme"</formula>
    </cfRule>
    <cfRule type="beginsWith" dxfId="1" priority="114" operator="beginsWith" text="Conforme">
      <formula>LEFT(I62,8)="Conforme"</formula>
    </cfRule>
    <cfRule type="beginsWith" dxfId="2" priority="115" operator="beginsWith" text="Pendente">
      <formula>LEFT(I62,8)="Pendente"</formula>
    </cfRule>
    <cfRule type="beginsWith" dxfId="2" priority="116" operator="beginsWith" text="Atrasado">
      <formula>LEFT(I62,8)="Atrasado"</formula>
    </cfRule>
    <cfRule type="beginsWith" dxfId="3" priority="117" operator="beginsWith" text="Previsto">
      <formula>LEFT(I62,8)="Previsto"</formula>
    </cfRule>
    <cfRule type="beginsWith" dxfId="1" priority="118" operator="beginsWith" text="Preenchido">
      <formula>LEFT(I62,10)="Preenchido"</formula>
    </cfRule>
    <cfRule type="beginsWith" dxfId="1" priority="119" operator="beginsWith" text="Em dia">
      <formula>LEFT(I62,6)="Em dia"</formula>
    </cfRule>
    <cfRule type="beginsWith" dxfId="4" priority="120" operator="beginsWith" text="Informativo">
      <formula>LEFT(I62,11)="Informativo"</formula>
    </cfRule>
  </conditionalFormatting>
  <conditionalFormatting sqref="I63:J63">
    <cfRule type="beginsWith" dxfId="0" priority="129" operator="beginsWith" text="Não conforme">
      <formula>LEFT(I63,12)="Não conforme"</formula>
    </cfRule>
    <cfRule type="beginsWith" dxfId="1" priority="130" operator="beginsWith" text="Conforme">
      <formula>LEFT(I63,8)="Conforme"</formula>
    </cfRule>
    <cfRule type="beginsWith" dxfId="2" priority="131" operator="beginsWith" text="Pendente">
      <formula>LEFT(I63,8)="Pendente"</formula>
    </cfRule>
    <cfRule type="beginsWith" dxfId="2" priority="132" operator="beginsWith" text="Atrasado">
      <formula>LEFT(I63,8)="Atrasado"</formula>
    </cfRule>
    <cfRule type="beginsWith" dxfId="3" priority="133" operator="beginsWith" text="Previsto">
      <formula>LEFT(I63,8)="Previsto"</formula>
    </cfRule>
    <cfRule type="beginsWith" dxfId="1" priority="134" operator="beginsWith" text="Preenchido">
      <formula>LEFT(I63,10)="Preenchido"</formula>
    </cfRule>
    <cfRule type="beginsWith" dxfId="1" priority="135" operator="beginsWith" text="Em dia">
      <formula>LEFT(I63,6)="Em dia"</formula>
    </cfRule>
    <cfRule type="beginsWith" dxfId="4" priority="136" operator="beginsWith" text="Informativo">
      <formula>LEFT(I63,11)="Informativo"</formula>
    </cfRule>
  </conditionalFormatting>
  <conditionalFormatting sqref="I64:J64">
    <cfRule type="beginsWith" dxfId="0" priority="145" operator="beginsWith" text="Não conforme">
      <formula>LEFT(I64,12)="Não conforme"</formula>
    </cfRule>
    <cfRule type="beginsWith" dxfId="1" priority="146" operator="beginsWith" text="Conforme">
      <formula>LEFT(I64,8)="Conforme"</formula>
    </cfRule>
    <cfRule type="beginsWith" dxfId="2" priority="147" operator="beginsWith" text="Pendente">
      <formula>LEFT(I64,8)="Pendente"</formula>
    </cfRule>
    <cfRule type="beginsWith" dxfId="2" priority="148" operator="beginsWith" text="Atrasado">
      <formula>LEFT(I64,8)="Atrasado"</formula>
    </cfRule>
    <cfRule type="beginsWith" dxfId="3" priority="149" operator="beginsWith" text="Previsto">
      <formula>LEFT(I64,8)="Previsto"</formula>
    </cfRule>
    <cfRule type="beginsWith" dxfId="1" priority="150" operator="beginsWith" text="Preenchido">
      <formula>LEFT(I64,10)="Preenchido"</formula>
    </cfRule>
    <cfRule type="beginsWith" dxfId="1" priority="151" operator="beginsWith" text="Em dia">
      <formula>LEFT(I64,6)="Em dia"</formula>
    </cfRule>
    <cfRule type="beginsWith" dxfId="4" priority="152" operator="beginsWith" text="Informativo">
      <formula>LEFT(I64,11)="Informativo"</formula>
    </cfRule>
  </conditionalFormatting>
  <conditionalFormatting sqref="I65:J65">
    <cfRule type="beginsWith" dxfId="0" priority="161" operator="beginsWith" text="Não conforme">
      <formula>LEFT(I65,12)="Não conforme"</formula>
    </cfRule>
    <cfRule type="beginsWith" dxfId="1" priority="162" operator="beginsWith" text="Conforme">
      <formula>LEFT(I65,8)="Conforme"</formula>
    </cfRule>
    <cfRule type="beginsWith" dxfId="2" priority="163" operator="beginsWith" text="Pendente">
      <formula>LEFT(I65,8)="Pendente"</formula>
    </cfRule>
    <cfRule type="beginsWith" dxfId="2" priority="164" operator="beginsWith" text="Atrasado">
      <formula>LEFT(I65,8)="Atrasado"</formula>
    </cfRule>
    <cfRule type="beginsWith" dxfId="3" priority="165" operator="beginsWith" text="Previsto">
      <formula>LEFT(I65,8)="Previsto"</formula>
    </cfRule>
    <cfRule type="beginsWith" dxfId="1" priority="166" operator="beginsWith" text="Preenchido">
      <formula>LEFT(I65,10)="Preenchido"</formula>
    </cfRule>
    <cfRule type="beginsWith" dxfId="1" priority="167" operator="beginsWith" text="Em dia">
      <formula>LEFT(I65,6)="Em dia"</formula>
    </cfRule>
    <cfRule type="beginsWith" dxfId="4" priority="168" operator="beginsWith" text="Informativo">
      <formula>LEFT(I65,11)="Informativo"</formula>
    </cfRule>
  </conditionalFormatting>
  <conditionalFormatting sqref="I66:J66">
    <cfRule type="beginsWith" dxfId="0" priority="169" operator="beginsWith" text="Não conforme">
      <formula>LEFT(I66,12)="Não conforme"</formula>
    </cfRule>
    <cfRule type="beginsWith" dxfId="1" priority="170" operator="beginsWith" text="Conforme">
      <formula>LEFT(I66,8)="Conforme"</formula>
    </cfRule>
    <cfRule type="beginsWith" dxfId="2" priority="171" operator="beginsWith" text="Pendente">
      <formula>LEFT(I66,8)="Pendente"</formula>
    </cfRule>
    <cfRule type="beginsWith" dxfId="2" priority="172" operator="beginsWith" text="Atrasado">
      <formula>LEFT(I66,8)="Atrasado"</formula>
    </cfRule>
    <cfRule type="beginsWith" dxfId="3" priority="173" operator="beginsWith" text="Previsto">
      <formula>LEFT(I66,8)="Previsto"</formula>
    </cfRule>
    <cfRule type="beginsWith" dxfId="1" priority="174" operator="beginsWith" text="Preenchido">
      <formula>LEFT(I66,10)="Preenchido"</formula>
    </cfRule>
    <cfRule type="beginsWith" dxfId="1" priority="175" operator="beginsWith" text="Em dia">
      <formula>LEFT(I66,6)="Em dia"</formula>
    </cfRule>
    <cfRule type="beginsWith" dxfId="4" priority="176" operator="beginsWith" text="Informativo">
      <formula>LEFT(I66,11)="Informativo"</formula>
    </cfRule>
  </conditionalFormatting>
  <conditionalFormatting sqref="I69:J69">
    <cfRule type="beginsWith" dxfId="0" priority="185" operator="beginsWith" text="Não conforme">
      <formula>LEFT(I69,12)="Não conforme"</formula>
    </cfRule>
    <cfRule type="beginsWith" dxfId="1" priority="186" operator="beginsWith" text="Conforme">
      <formula>LEFT(I69,8)="Conforme"</formula>
    </cfRule>
    <cfRule type="beginsWith" dxfId="2" priority="187" operator="beginsWith" text="Pendente">
      <formula>LEFT(I69,8)="Pendente"</formula>
    </cfRule>
    <cfRule type="beginsWith" dxfId="2" priority="188" operator="beginsWith" text="Atrasado">
      <formula>LEFT(I69,8)="Atrasado"</formula>
    </cfRule>
    <cfRule type="beginsWith" dxfId="3" priority="189" operator="beginsWith" text="Previsto">
      <formula>LEFT(I69,8)="Previsto"</formula>
    </cfRule>
    <cfRule type="beginsWith" dxfId="1" priority="190" operator="beginsWith" text="Preenchido">
      <formula>LEFT(I69,10)="Preenchido"</formula>
    </cfRule>
    <cfRule type="beginsWith" dxfId="1" priority="191" operator="beginsWith" text="Em dia">
      <formula>LEFT(I69,6)="Em dia"</formula>
    </cfRule>
    <cfRule type="beginsWith" dxfId="4" priority="192" operator="beginsWith" text="Informativo">
      <formula>LEFT(I69,11)="Informativo"</formula>
    </cfRule>
  </conditionalFormatting>
  <conditionalFormatting sqref="I70:J70">
    <cfRule type="beginsWith" dxfId="0" priority="201" operator="beginsWith" text="Não conforme">
      <formula>LEFT(I70,12)="Não conforme"</formula>
    </cfRule>
    <cfRule type="beginsWith" dxfId="1" priority="202" operator="beginsWith" text="Conforme">
      <formula>LEFT(I70,8)="Conforme"</formula>
    </cfRule>
    <cfRule type="beginsWith" dxfId="2" priority="203" operator="beginsWith" text="Pendente">
      <formula>LEFT(I70,8)="Pendente"</formula>
    </cfRule>
    <cfRule type="beginsWith" dxfId="2" priority="204" operator="beginsWith" text="Atrasado">
      <formula>LEFT(I70,8)="Atrasado"</formula>
    </cfRule>
    <cfRule type="beginsWith" dxfId="3" priority="205" operator="beginsWith" text="Previsto">
      <formula>LEFT(I70,8)="Previsto"</formula>
    </cfRule>
    <cfRule type="beginsWith" dxfId="1" priority="206" operator="beginsWith" text="Preenchido">
      <formula>LEFT(I70,10)="Preenchido"</formula>
    </cfRule>
    <cfRule type="beginsWith" dxfId="1" priority="207" operator="beginsWith" text="Em dia">
      <formula>LEFT(I70,6)="Em dia"</formula>
    </cfRule>
    <cfRule type="beginsWith" dxfId="4" priority="208" operator="beginsWith" text="Informativo">
      <formula>LEFT(I70,11)="Informativo"</formula>
    </cfRule>
  </conditionalFormatting>
  <conditionalFormatting sqref="I71:J71">
    <cfRule type="beginsWith" dxfId="0" priority="217" operator="beginsWith" text="Não conforme">
      <formula>LEFT(I71,12)="Não conforme"</formula>
    </cfRule>
    <cfRule type="beginsWith" dxfId="1" priority="218" operator="beginsWith" text="Conforme">
      <formula>LEFT(I71,8)="Conforme"</formula>
    </cfRule>
    <cfRule type="beginsWith" dxfId="2" priority="219" operator="beginsWith" text="Pendente">
      <formula>LEFT(I71,8)="Pendente"</formula>
    </cfRule>
    <cfRule type="beginsWith" dxfId="2" priority="220" operator="beginsWith" text="Atrasado">
      <formula>LEFT(I71,8)="Atrasado"</formula>
    </cfRule>
    <cfRule type="beginsWith" dxfId="3" priority="221" operator="beginsWith" text="Previsto">
      <formula>LEFT(I71,8)="Previsto"</formula>
    </cfRule>
    <cfRule type="beginsWith" dxfId="1" priority="222" operator="beginsWith" text="Preenchido">
      <formula>LEFT(I71,10)="Preenchido"</formula>
    </cfRule>
    <cfRule type="beginsWith" dxfId="1" priority="223" operator="beginsWith" text="Em dia">
      <formula>LEFT(I71,6)="Em dia"</formula>
    </cfRule>
    <cfRule type="beginsWith" dxfId="4" priority="224" operator="beginsWith" text="Informativo">
      <formula>LEFT(I71,11)="Informativo"</formula>
    </cfRule>
  </conditionalFormatting>
  <conditionalFormatting sqref="I72:J72">
    <cfRule type="beginsWith" dxfId="0" priority="233" operator="beginsWith" text="Não conforme">
      <formula>LEFT(I72,12)="Não conforme"</formula>
    </cfRule>
    <cfRule type="beginsWith" dxfId="1" priority="234" operator="beginsWith" text="Conforme">
      <formula>LEFT(I72,8)="Conforme"</formula>
    </cfRule>
    <cfRule type="beginsWith" dxfId="2" priority="235" operator="beginsWith" text="Pendente">
      <formula>LEFT(I72,8)="Pendente"</formula>
    </cfRule>
    <cfRule type="beginsWith" dxfId="2" priority="236" operator="beginsWith" text="Atrasado">
      <formula>LEFT(I72,8)="Atrasado"</formula>
    </cfRule>
    <cfRule type="beginsWith" dxfId="3" priority="237" operator="beginsWith" text="Previsto">
      <formula>LEFT(I72,8)="Previsto"</formula>
    </cfRule>
    <cfRule type="beginsWith" dxfId="1" priority="238" operator="beginsWith" text="Preenchido">
      <formula>LEFT(I72,10)="Preenchido"</formula>
    </cfRule>
    <cfRule type="beginsWith" dxfId="1" priority="239" operator="beginsWith" text="Em dia">
      <formula>LEFT(I72,6)="Em dia"</formula>
    </cfRule>
    <cfRule type="beginsWith" dxfId="4" priority="240" operator="beginsWith" text="Informativo">
      <formula>LEFT(I72,11)="Informativo"</formula>
    </cfRule>
  </conditionalFormatting>
  <conditionalFormatting sqref="I73:J73">
    <cfRule type="beginsWith" dxfId="0" priority="241" operator="beginsWith" text="Não conforme">
      <formula>LEFT(I73,12)="Não conforme"</formula>
    </cfRule>
    <cfRule type="beginsWith" dxfId="1" priority="242" operator="beginsWith" text="Conforme">
      <formula>LEFT(I73,8)="Conforme"</formula>
    </cfRule>
    <cfRule type="beginsWith" dxfId="2" priority="243" operator="beginsWith" text="Pendente">
      <formula>LEFT(I73,8)="Pendente"</formula>
    </cfRule>
    <cfRule type="beginsWith" dxfId="2" priority="244" operator="beginsWith" text="Atrasado">
      <formula>LEFT(I73,8)="Atrasado"</formula>
    </cfRule>
    <cfRule type="beginsWith" dxfId="3" priority="245" operator="beginsWith" text="Previsto">
      <formula>LEFT(I73,8)="Previsto"</formula>
    </cfRule>
    <cfRule type="beginsWith" dxfId="1" priority="246" operator="beginsWith" text="Preenchido">
      <formula>LEFT(I73,10)="Preenchido"</formula>
    </cfRule>
    <cfRule type="beginsWith" dxfId="1" priority="247" operator="beginsWith" text="Em dia">
      <formula>LEFT(I73,6)="Em dia"</formula>
    </cfRule>
    <cfRule type="beginsWith" dxfId="4" priority="248" operator="beginsWith" text="Informativo">
      <formula>LEFT(I73,11)="Informativo"</formula>
    </cfRule>
  </conditionalFormatting>
  <conditionalFormatting sqref="L106:P106">
    <cfRule type="beginsWith" dxfId="0" priority="305" operator="beginsWith" text="Não conforme">
      <formula>LEFT(L106,12)="Não conforme"</formula>
    </cfRule>
    <cfRule type="beginsWith" dxfId="1" priority="306" operator="beginsWith" text="Conforme">
      <formula>LEFT(L106,8)="Conforme"</formula>
    </cfRule>
    <cfRule type="beginsWith" dxfId="2" priority="307" operator="beginsWith" text="Pendente">
      <formula>LEFT(L106,8)="Pendente"</formula>
    </cfRule>
    <cfRule type="beginsWith" dxfId="2" priority="308" operator="beginsWith" text="Atrasado">
      <formula>LEFT(L106,8)="Atrasado"</formula>
    </cfRule>
    <cfRule type="beginsWith" dxfId="3" priority="309" operator="beginsWith" text="Previsto">
      <formula>LEFT(L106,8)="Previsto"</formula>
    </cfRule>
    <cfRule type="beginsWith" dxfId="1" priority="310" operator="beginsWith" text="Preenchido">
      <formula>LEFT(L106,10)="Preenchido"</formula>
    </cfRule>
    <cfRule type="beginsWith" dxfId="1" priority="311" operator="beginsWith" text="Em dia">
      <formula>LEFT(L106,6)="Em dia"</formula>
    </cfRule>
    <cfRule type="beginsWith" dxfId="4" priority="312" operator="beginsWith" text="Informativo">
      <formula>LEFT(L106,11)="Informativo"</formula>
    </cfRule>
  </conditionalFormatting>
  <conditionalFormatting sqref="L107:P107">
    <cfRule type="beginsWith" dxfId="0" priority="313" operator="beginsWith" text="Não conforme">
      <formula>LEFT(L107,12)="Não conforme"</formula>
    </cfRule>
    <cfRule type="beginsWith" dxfId="1" priority="314" operator="beginsWith" text="Conforme">
      <formula>LEFT(L107,8)="Conforme"</formula>
    </cfRule>
    <cfRule type="beginsWith" dxfId="2" priority="315" operator="beginsWith" text="Pendente">
      <formula>LEFT(L107,8)="Pendente"</formula>
    </cfRule>
    <cfRule type="beginsWith" dxfId="2" priority="316" operator="beginsWith" text="Atrasado">
      <formula>LEFT(L107,8)="Atrasado"</formula>
    </cfRule>
    <cfRule type="beginsWith" dxfId="3" priority="317" operator="beginsWith" text="Previsto">
      <formula>LEFT(L107,8)="Previsto"</formula>
    </cfRule>
    <cfRule type="beginsWith" dxfId="1" priority="318" operator="beginsWith" text="Preenchido">
      <formula>LEFT(L107,10)="Preenchido"</formula>
    </cfRule>
    <cfRule type="beginsWith" dxfId="1" priority="319" operator="beginsWith" text="Em dia">
      <formula>LEFT(L107,6)="Em dia"</formula>
    </cfRule>
    <cfRule type="beginsWith" dxfId="4" priority="320" operator="beginsWith" text="Informativo">
      <formula>LEFT(L107,11)="Informativo"</formula>
    </cfRule>
  </conditionalFormatting>
  <conditionalFormatting sqref="L146:P146">
    <cfRule type="beginsWith" dxfId="0" priority="537" operator="beginsWith" text="Não conforme">
      <formula>LEFT(L146,12)="Não conforme"</formula>
    </cfRule>
    <cfRule type="beginsWith" dxfId="1" priority="538" operator="beginsWith" text="Conforme">
      <formula>LEFT(L146,8)="Conforme"</formula>
    </cfRule>
    <cfRule type="beginsWith" dxfId="2" priority="539" operator="beginsWith" text="Pendente">
      <formula>LEFT(L146,8)="Pendente"</formula>
    </cfRule>
    <cfRule type="beginsWith" dxfId="2" priority="540" operator="beginsWith" text="Atrasado">
      <formula>LEFT(L146,8)="Atrasado"</formula>
    </cfRule>
    <cfRule type="beginsWith" dxfId="3" priority="541" operator="beginsWith" text="Previsto">
      <formula>LEFT(L146,8)="Previsto"</formula>
    </cfRule>
    <cfRule type="beginsWith" dxfId="1" priority="542" operator="beginsWith" text="Preenchido">
      <formula>LEFT(L146,10)="Preenchido"</formula>
    </cfRule>
    <cfRule type="beginsWith" dxfId="1" priority="543" operator="beginsWith" text="Em dia">
      <formula>LEFT(L146,6)="Em dia"</formula>
    </cfRule>
    <cfRule type="beginsWith" dxfId="4" priority="544" operator="beginsWith" text="Informativo">
      <formula>LEFT(L146,11)="Informativo"</formula>
    </cfRule>
  </conditionalFormatting>
  <conditionalFormatting sqref="L53:P53">
    <cfRule type="beginsWith" dxfId="0" priority="89" operator="beginsWith" text="Não conforme">
      <formula>LEFT(L53,12)="Não conforme"</formula>
    </cfRule>
    <cfRule type="beginsWith" dxfId="1" priority="90" operator="beginsWith" text="Conforme">
      <formula>LEFT(L53,8)="Conforme"</formula>
    </cfRule>
    <cfRule type="beginsWith" dxfId="2" priority="91" operator="beginsWith" text="Pendente">
      <formula>LEFT(L53,8)="Pendente"</formula>
    </cfRule>
    <cfRule type="beginsWith" dxfId="2" priority="92" operator="beginsWith" text="Atrasado">
      <formula>LEFT(L53,8)="Atrasado"</formula>
    </cfRule>
    <cfRule type="beginsWith" dxfId="3" priority="93" operator="beginsWith" text="Previsto">
      <formula>LEFT(L53,8)="Previsto"</formula>
    </cfRule>
    <cfRule type="beginsWith" dxfId="1" priority="94" operator="beginsWith" text="Preenchido">
      <formula>LEFT(L53,10)="Preenchido"</formula>
    </cfRule>
    <cfRule type="beginsWith" dxfId="1" priority="95" operator="beginsWith" text="Em dia">
      <formula>LEFT(L53,6)="Em dia"</formula>
    </cfRule>
    <cfRule type="beginsWith" dxfId="4" priority="96" operator="beginsWith" text="Informativo">
      <formula>LEFT(L53,11)="Informativo"</formula>
    </cfRule>
  </conditionalFormatting>
  <conditionalFormatting sqref="L54:P54">
    <cfRule type="beginsWith" dxfId="0" priority="97" operator="beginsWith" text="Não conforme">
      <formula>LEFT(L54,12)="Não conforme"</formula>
    </cfRule>
    <cfRule type="beginsWith" dxfId="1" priority="98" operator="beginsWith" text="Conforme">
      <formula>LEFT(L54,8)="Conforme"</formula>
    </cfRule>
    <cfRule type="beginsWith" dxfId="2" priority="99" operator="beginsWith" text="Pendente">
      <formula>LEFT(L54,8)="Pendente"</formula>
    </cfRule>
    <cfRule type="beginsWith" dxfId="2" priority="100" operator="beginsWith" text="Atrasado">
      <formula>LEFT(L54,8)="Atrasado"</formula>
    </cfRule>
    <cfRule type="beginsWith" dxfId="3" priority="101" operator="beginsWith" text="Previsto">
      <formula>LEFT(L54,8)="Previsto"</formula>
    </cfRule>
    <cfRule type="beginsWith" dxfId="1" priority="102" operator="beginsWith" text="Preenchido">
      <formula>LEFT(L54,10)="Preenchido"</formula>
    </cfRule>
    <cfRule type="beginsWith" dxfId="1" priority="103" operator="beginsWith" text="Em dia">
      <formula>LEFT(L54,6)="Em dia"</formula>
    </cfRule>
    <cfRule type="beginsWith" dxfId="4" priority="104" operator="beginsWith" text="Informativo">
      <formula>LEFT(L54,11)="Informativo"</formula>
    </cfRule>
  </conditionalFormatting>
  <conditionalFormatting sqref="L55:P55">
    <cfRule type="beginsWith" dxfId="0" priority="105" operator="beginsWith" text="Não conforme">
      <formula>LEFT(L55,12)="Não conforme"</formula>
    </cfRule>
    <cfRule type="beginsWith" dxfId="1" priority="106" operator="beginsWith" text="Conforme">
      <formula>LEFT(L55,8)="Conforme"</formula>
    </cfRule>
    <cfRule type="beginsWith" dxfId="2" priority="107" operator="beginsWith" text="Pendente">
      <formula>LEFT(L55,8)="Pendente"</formula>
    </cfRule>
    <cfRule type="beginsWith" dxfId="2" priority="108" operator="beginsWith" text="Atrasado">
      <formula>LEFT(L55,8)="Atrasado"</formula>
    </cfRule>
    <cfRule type="beginsWith" dxfId="3" priority="109" operator="beginsWith" text="Previsto">
      <formula>LEFT(L55,8)="Previsto"</formula>
    </cfRule>
    <cfRule type="beginsWith" dxfId="1" priority="110" operator="beginsWith" text="Preenchido">
      <formula>LEFT(L55,10)="Preenchido"</formula>
    </cfRule>
    <cfRule type="beginsWith" dxfId="1" priority="111" operator="beginsWith" text="Em dia">
      <formula>LEFT(L55,6)="Em dia"</formula>
    </cfRule>
    <cfRule type="beginsWith" dxfId="4" priority="112" operator="beginsWith" text="Informativo">
      <formula>LEFT(L55,11)="Informativo"</formula>
    </cfRule>
  </conditionalFormatting>
  <conditionalFormatting sqref="L92:P92">
    <cfRule type="beginsWith" dxfId="0" priority="257" operator="beginsWith" text="Não conforme">
      <formula>LEFT(L92,12)="Não conforme"</formula>
    </cfRule>
    <cfRule type="beginsWith" dxfId="1" priority="258" operator="beginsWith" text="Conforme">
      <formula>LEFT(L92,8)="Conforme"</formula>
    </cfRule>
    <cfRule type="beginsWith" dxfId="2" priority="259" operator="beginsWith" text="Pendente">
      <formula>LEFT(L92,8)="Pendente"</formula>
    </cfRule>
    <cfRule type="beginsWith" dxfId="2" priority="260" operator="beginsWith" text="Atrasado">
      <formula>LEFT(L92,8)="Atrasado"</formula>
    </cfRule>
    <cfRule type="beginsWith" dxfId="3" priority="261" operator="beginsWith" text="Previsto">
      <formula>LEFT(L92,8)="Previsto"</formula>
    </cfRule>
    <cfRule type="beginsWith" dxfId="1" priority="262" operator="beginsWith" text="Preenchido">
      <formula>LEFT(L92,10)="Preenchido"</formula>
    </cfRule>
    <cfRule type="beginsWith" dxfId="1" priority="263" operator="beginsWith" text="Em dia">
      <formula>LEFT(L92,6)="Em dia"</formula>
    </cfRule>
    <cfRule type="beginsWith" dxfId="4" priority="264" operator="beginsWith" text="Informativo">
      <formula>LEFT(L92,11)="Informativo"</formula>
    </cfRule>
  </conditionalFormatting>
  <conditionalFormatting sqref="L93:P93">
    <cfRule type="beginsWith" dxfId="0" priority="265" operator="beginsWith" text="Não conforme">
      <formula>LEFT(L93,12)="Não conforme"</formula>
    </cfRule>
    <cfRule type="beginsWith" dxfId="1" priority="266" operator="beginsWith" text="Conforme">
      <formula>LEFT(L93,8)="Conforme"</formula>
    </cfRule>
    <cfRule type="beginsWith" dxfId="2" priority="267" operator="beginsWith" text="Pendente">
      <formula>LEFT(L93,8)="Pendente"</formula>
    </cfRule>
    <cfRule type="beginsWith" dxfId="2" priority="268" operator="beginsWith" text="Atrasado">
      <formula>LEFT(L93,8)="Atrasado"</formula>
    </cfRule>
    <cfRule type="beginsWith" dxfId="3" priority="269" operator="beginsWith" text="Previsto">
      <formula>LEFT(L93,8)="Previsto"</formula>
    </cfRule>
    <cfRule type="beginsWith" dxfId="1" priority="270" operator="beginsWith" text="Preenchido">
      <formula>LEFT(L93,10)="Preenchido"</formula>
    </cfRule>
    <cfRule type="beginsWith" dxfId="1" priority="271" operator="beginsWith" text="Em dia">
      <formula>LEFT(L93,6)="Em dia"</formula>
    </cfRule>
    <cfRule type="beginsWith" dxfId="4" priority="272" operator="beginsWith" text="Informativo">
      <formula>LEFT(L93,11)="Informativo"</formula>
    </cfRule>
  </conditionalFormatting>
  <conditionalFormatting sqref="L94:P94">
    <cfRule type="beginsWith" dxfId="0" priority="273" operator="beginsWith" text="Não conforme">
      <formula>LEFT(L94,12)="Não conforme"</formula>
    </cfRule>
    <cfRule type="beginsWith" dxfId="1" priority="274" operator="beginsWith" text="Conforme">
      <formula>LEFT(L94,8)="Conforme"</formula>
    </cfRule>
    <cfRule type="beginsWith" dxfId="2" priority="275" operator="beginsWith" text="Pendente">
      <formula>LEFT(L94,8)="Pendente"</formula>
    </cfRule>
    <cfRule type="beginsWith" dxfId="2" priority="276" operator="beginsWith" text="Atrasado">
      <formula>LEFT(L94,8)="Atrasado"</formula>
    </cfRule>
    <cfRule type="beginsWith" dxfId="3" priority="277" operator="beginsWith" text="Previsto">
      <formula>LEFT(L94,8)="Previsto"</formula>
    </cfRule>
    <cfRule type="beginsWith" dxfId="1" priority="278" operator="beginsWith" text="Preenchido">
      <formula>LEFT(L94,10)="Preenchido"</formula>
    </cfRule>
    <cfRule type="beginsWith" dxfId="1" priority="279" operator="beginsWith" text="Em dia">
      <formula>LEFT(L94,6)="Em dia"</formula>
    </cfRule>
    <cfRule type="beginsWith" dxfId="4" priority="280" operator="beginsWith" text="Informativo">
      <formula>LEFT(L94,11)="Informativo"</formula>
    </cfRule>
  </conditionalFormatting>
  <conditionalFormatting sqref="L95:P95">
    <cfRule type="beginsWith" dxfId="0" priority="281" operator="beginsWith" text="Não conforme">
      <formula>LEFT(L95,12)="Não conforme"</formula>
    </cfRule>
    <cfRule type="beginsWith" dxfId="1" priority="282" operator="beginsWith" text="Conforme">
      <formula>LEFT(L95,8)="Conforme"</formula>
    </cfRule>
    <cfRule type="beginsWith" dxfId="2" priority="283" operator="beginsWith" text="Pendente">
      <formula>LEFT(L95,8)="Pendente"</formula>
    </cfRule>
    <cfRule type="beginsWith" dxfId="2" priority="284" operator="beginsWith" text="Atrasado">
      <formula>LEFT(L95,8)="Atrasado"</formula>
    </cfRule>
    <cfRule type="beginsWith" dxfId="3" priority="285" operator="beginsWith" text="Previsto">
      <formula>LEFT(L95,8)="Previsto"</formula>
    </cfRule>
    <cfRule type="beginsWith" dxfId="1" priority="286" operator="beginsWith" text="Preenchido">
      <formula>LEFT(L95,10)="Preenchido"</formula>
    </cfRule>
    <cfRule type="beginsWith" dxfId="1" priority="287" operator="beginsWith" text="Em dia">
      <formula>LEFT(L95,6)="Em dia"</formula>
    </cfRule>
    <cfRule type="beginsWith" dxfId="4" priority="288" operator="beginsWith" text="Informativo">
      <formula>LEFT(L95,11)="Informativo"</formula>
    </cfRule>
  </conditionalFormatting>
  <conditionalFormatting sqref="L96:P96">
    <cfRule type="beginsWith" dxfId="0" priority="289" operator="beginsWith" text="Não conforme">
      <formula>LEFT(L96,12)="Não conforme"</formula>
    </cfRule>
    <cfRule type="beginsWith" dxfId="1" priority="290" operator="beginsWith" text="Conforme">
      <formula>LEFT(L96,8)="Conforme"</formula>
    </cfRule>
    <cfRule type="beginsWith" dxfId="2" priority="291" operator="beginsWith" text="Pendente">
      <formula>LEFT(L96,8)="Pendente"</formula>
    </cfRule>
    <cfRule type="beginsWith" dxfId="2" priority="292" operator="beginsWith" text="Atrasado">
      <formula>LEFT(L96,8)="Atrasado"</formula>
    </cfRule>
    <cfRule type="beginsWith" dxfId="3" priority="293" operator="beginsWith" text="Previsto">
      <formula>LEFT(L96,8)="Previsto"</formula>
    </cfRule>
    <cfRule type="beginsWith" dxfId="1" priority="294" operator="beginsWith" text="Preenchido">
      <formula>LEFT(L96,10)="Preenchido"</formula>
    </cfRule>
    <cfRule type="beginsWith" dxfId="1" priority="295" operator="beginsWith" text="Em dia">
      <formula>LEFT(L96,6)="Em dia"</formula>
    </cfRule>
    <cfRule type="beginsWith" dxfId="4" priority="296" operator="beginsWith" text="Informativo">
      <formula>LEFT(L96,11)="Informativo"</formula>
    </cfRule>
  </conditionalFormatting>
  <conditionalFormatting sqref="L97:P97">
    <cfRule type="beginsWith" dxfId="0" priority="297" operator="beginsWith" text="Não conforme">
      <formula>LEFT(L97,12)="Não conforme"</formula>
    </cfRule>
    <cfRule type="beginsWith" dxfId="1" priority="298" operator="beginsWith" text="Conforme">
      <formula>LEFT(L97,8)="Conforme"</formula>
    </cfRule>
    <cfRule type="beginsWith" dxfId="2" priority="299" operator="beginsWith" text="Pendente">
      <formula>LEFT(L97,8)="Pendente"</formula>
    </cfRule>
    <cfRule type="beginsWith" dxfId="2" priority="300" operator="beginsWith" text="Atrasado">
      <formula>LEFT(L97,8)="Atrasado"</formula>
    </cfRule>
    <cfRule type="beginsWith" dxfId="3" priority="301" operator="beginsWith" text="Previsto">
      <formula>LEFT(L97,8)="Previsto"</formula>
    </cfRule>
    <cfRule type="beginsWith" dxfId="1" priority="302" operator="beginsWith" text="Preenchido">
      <formula>LEFT(L97,10)="Preenchido"</formula>
    </cfRule>
    <cfRule type="beginsWith" dxfId="1" priority="303" operator="beginsWith" text="Em dia">
      <formula>LEFT(L97,6)="Em dia"</formula>
    </cfRule>
    <cfRule type="beginsWith" dxfId="4" priority="304" operator="beginsWith" text="Informativo">
      <formula>LEFT(L97,11)="Informativo"</formula>
    </cfRule>
  </conditionalFormatting>
  <conditionalFormatting sqref="M62:P62">
    <cfRule type="beginsWith" dxfId="0" priority="121" operator="beginsWith" text="Não conforme">
      <formula>LEFT(M62,12)="Não conforme"</formula>
    </cfRule>
    <cfRule type="beginsWith" dxfId="1" priority="122" operator="beginsWith" text="Conforme">
      <formula>LEFT(M62,8)="Conforme"</formula>
    </cfRule>
    <cfRule type="beginsWith" dxfId="2" priority="123" operator="beginsWith" text="Pendente">
      <formula>LEFT(M62,8)="Pendente"</formula>
    </cfRule>
    <cfRule type="beginsWith" dxfId="2" priority="124" operator="beginsWith" text="Atrasado">
      <formula>LEFT(M62,8)="Atrasado"</formula>
    </cfRule>
    <cfRule type="beginsWith" dxfId="3" priority="125" operator="beginsWith" text="Previsto">
      <formula>LEFT(M62,8)="Previsto"</formula>
    </cfRule>
    <cfRule type="beginsWith" dxfId="1" priority="126" operator="beginsWith" text="Preenchido">
      <formula>LEFT(M62,10)="Preenchido"</formula>
    </cfRule>
    <cfRule type="beginsWith" dxfId="1" priority="127" operator="beginsWith" text="Em dia">
      <formula>LEFT(M62,6)="Em dia"</formula>
    </cfRule>
    <cfRule type="beginsWith" dxfId="4" priority="128" operator="beginsWith" text="Informativo">
      <formula>LEFT(M62,11)="Informativo"</formula>
    </cfRule>
  </conditionalFormatting>
  <conditionalFormatting sqref="M63:P63">
    <cfRule type="beginsWith" dxfId="0" priority="137" operator="beginsWith" text="Não conforme">
      <formula>LEFT(M63,12)="Não conforme"</formula>
    </cfRule>
    <cfRule type="beginsWith" dxfId="1" priority="138" operator="beginsWith" text="Conforme">
      <formula>LEFT(M63,8)="Conforme"</formula>
    </cfRule>
    <cfRule type="beginsWith" dxfId="2" priority="139" operator="beginsWith" text="Pendente">
      <formula>LEFT(M63,8)="Pendente"</formula>
    </cfRule>
    <cfRule type="beginsWith" dxfId="2" priority="140" operator="beginsWith" text="Atrasado">
      <formula>LEFT(M63,8)="Atrasado"</formula>
    </cfRule>
    <cfRule type="beginsWith" dxfId="3" priority="141" operator="beginsWith" text="Previsto">
      <formula>LEFT(M63,8)="Previsto"</formula>
    </cfRule>
    <cfRule type="beginsWith" dxfId="1" priority="142" operator="beginsWith" text="Preenchido">
      <formula>LEFT(M63,10)="Preenchido"</formula>
    </cfRule>
    <cfRule type="beginsWith" dxfId="1" priority="143" operator="beginsWith" text="Em dia">
      <formula>LEFT(M63,6)="Em dia"</formula>
    </cfRule>
    <cfRule type="beginsWith" dxfId="4" priority="144" operator="beginsWith" text="Informativo">
      <formula>LEFT(M63,11)="Informativo"</formula>
    </cfRule>
  </conditionalFormatting>
  <conditionalFormatting sqref="M64:P64">
    <cfRule type="beginsWith" dxfId="0" priority="153" operator="beginsWith" text="Não conforme">
      <formula>LEFT(M64,12)="Não conforme"</formula>
    </cfRule>
    <cfRule type="beginsWith" dxfId="1" priority="154" operator="beginsWith" text="Conforme">
      <formula>LEFT(M64,8)="Conforme"</formula>
    </cfRule>
    <cfRule type="beginsWith" dxfId="2" priority="155" operator="beginsWith" text="Pendente">
      <formula>LEFT(M64,8)="Pendente"</formula>
    </cfRule>
    <cfRule type="beginsWith" dxfId="2" priority="156" operator="beginsWith" text="Atrasado">
      <formula>LEFT(M64,8)="Atrasado"</formula>
    </cfRule>
    <cfRule type="beginsWith" dxfId="3" priority="157" operator="beginsWith" text="Previsto">
      <formula>LEFT(M64,8)="Previsto"</formula>
    </cfRule>
    <cfRule type="beginsWith" dxfId="1" priority="158" operator="beginsWith" text="Preenchido">
      <formula>LEFT(M64,10)="Preenchido"</formula>
    </cfRule>
    <cfRule type="beginsWith" dxfId="1" priority="159" operator="beginsWith" text="Em dia">
      <formula>LEFT(M64,6)="Em dia"</formula>
    </cfRule>
    <cfRule type="beginsWith" dxfId="4" priority="160" operator="beginsWith" text="Informativo">
      <formula>LEFT(M64,11)="Informativo"</formula>
    </cfRule>
  </conditionalFormatting>
  <conditionalFormatting sqref="M66:P66">
    <cfRule type="beginsWith" dxfId="0" priority="177" operator="beginsWith" text="Não conforme">
      <formula>LEFT(M66,12)="Não conforme"</formula>
    </cfRule>
    <cfRule type="beginsWith" dxfId="1" priority="178" operator="beginsWith" text="Conforme">
      <formula>LEFT(M66,8)="Conforme"</formula>
    </cfRule>
    <cfRule type="beginsWith" dxfId="2" priority="179" operator="beginsWith" text="Pendente">
      <formula>LEFT(M66,8)="Pendente"</formula>
    </cfRule>
    <cfRule type="beginsWith" dxfId="2" priority="180" operator="beginsWith" text="Atrasado">
      <formula>LEFT(M66,8)="Atrasado"</formula>
    </cfRule>
    <cfRule type="beginsWith" dxfId="3" priority="181" operator="beginsWith" text="Previsto">
      <formula>LEFT(M66,8)="Previsto"</formula>
    </cfRule>
    <cfRule type="beginsWith" dxfId="1" priority="182" operator="beginsWith" text="Preenchido">
      <formula>LEFT(M66,10)="Preenchido"</formula>
    </cfRule>
    <cfRule type="beginsWith" dxfId="1" priority="183" operator="beginsWith" text="Em dia">
      <formula>LEFT(M66,6)="Em dia"</formula>
    </cfRule>
    <cfRule type="beginsWith" dxfId="4" priority="184" operator="beginsWith" text="Informativo">
      <formula>LEFT(M66,11)="Informativo"</formula>
    </cfRule>
  </conditionalFormatting>
  <conditionalFormatting sqref="M69:P69">
    <cfRule type="beginsWith" dxfId="0" priority="193" operator="beginsWith" text="Não conforme">
      <formula>LEFT(M69,12)="Não conforme"</formula>
    </cfRule>
    <cfRule type="beginsWith" dxfId="1" priority="194" operator="beginsWith" text="Conforme">
      <formula>LEFT(M69,8)="Conforme"</formula>
    </cfRule>
    <cfRule type="beginsWith" dxfId="2" priority="195" operator="beginsWith" text="Pendente">
      <formula>LEFT(M69,8)="Pendente"</formula>
    </cfRule>
    <cfRule type="beginsWith" dxfId="2" priority="196" operator="beginsWith" text="Atrasado">
      <formula>LEFT(M69,8)="Atrasado"</formula>
    </cfRule>
    <cfRule type="beginsWith" dxfId="3" priority="197" operator="beginsWith" text="Previsto">
      <formula>LEFT(M69,8)="Previsto"</formula>
    </cfRule>
    <cfRule type="beginsWith" dxfId="1" priority="198" operator="beginsWith" text="Preenchido">
      <formula>LEFT(M69,10)="Preenchido"</formula>
    </cfRule>
    <cfRule type="beginsWith" dxfId="1" priority="199" operator="beginsWith" text="Em dia">
      <formula>LEFT(M69,6)="Em dia"</formula>
    </cfRule>
    <cfRule type="beginsWith" dxfId="4" priority="200" operator="beginsWith" text="Informativo">
      <formula>LEFT(M69,11)="Informativo"</formula>
    </cfRule>
  </conditionalFormatting>
  <conditionalFormatting sqref="M70:P70">
    <cfRule type="beginsWith" dxfId="0" priority="209" operator="beginsWith" text="Não conforme">
      <formula>LEFT(M70,12)="Não conforme"</formula>
    </cfRule>
    <cfRule type="beginsWith" dxfId="1" priority="210" operator="beginsWith" text="Conforme">
      <formula>LEFT(M70,8)="Conforme"</formula>
    </cfRule>
    <cfRule type="beginsWith" dxfId="2" priority="211" operator="beginsWith" text="Pendente">
      <formula>LEFT(M70,8)="Pendente"</formula>
    </cfRule>
    <cfRule type="beginsWith" dxfId="2" priority="212" operator="beginsWith" text="Atrasado">
      <formula>LEFT(M70,8)="Atrasado"</formula>
    </cfRule>
    <cfRule type="beginsWith" dxfId="3" priority="213" operator="beginsWith" text="Previsto">
      <formula>LEFT(M70,8)="Previsto"</formula>
    </cfRule>
    <cfRule type="beginsWith" dxfId="1" priority="214" operator="beginsWith" text="Preenchido">
      <formula>LEFT(M70,10)="Preenchido"</formula>
    </cfRule>
    <cfRule type="beginsWith" dxfId="1" priority="215" operator="beginsWith" text="Em dia">
      <formula>LEFT(M70,6)="Em dia"</formula>
    </cfRule>
    <cfRule type="beginsWith" dxfId="4" priority="216" operator="beginsWith" text="Informativo">
      <formula>LEFT(M70,11)="Informativo"</formula>
    </cfRule>
  </conditionalFormatting>
  <conditionalFormatting sqref="M71:P71">
    <cfRule type="beginsWith" dxfId="0" priority="225" operator="beginsWith" text="Não conforme">
      <formula>LEFT(M71,12)="Não conforme"</formula>
    </cfRule>
    <cfRule type="beginsWith" dxfId="1" priority="226" operator="beginsWith" text="Conforme">
      <formula>LEFT(M71,8)="Conforme"</formula>
    </cfRule>
    <cfRule type="beginsWith" dxfId="2" priority="227" operator="beginsWith" text="Pendente">
      <formula>LEFT(M71,8)="Pendente"</formula>
    </cfRule>
    <cfRule type="beginsWith" dxfId="2" priority="228" operator="beginsWith" text="Atrasado">
      <formula>LEFT(M71,8)="Atrasado"</formula>
    </cfRule>
    <cfRule type="beginsWith" dxfId="3" priority="229" operator="beginsWith" text="Previsto">
      <formula>LEFT(M71,8)="Previsto"</formula>
    </cfRule>
    <cfRule type="beginsWith" dxfId="1" priority="230" operator="beginsWith" text="Preenchido">
      <formula>LEFT(M71,10)="Preenchido"</formula>
    </cfRule>
    <cfRule type="beginsWith" dxfId="1" priority="231" operator="beginsWith" text="Em dia">
      <formula>LEFT(M71,6)="Em dia"</formula>
    </cfRule>
    <cfRule type="beginsWith" dxfId="4" priority="232" operator="beginsWith" text="Informativo">
      <formula>LEFT(M71,11)="Informativo"</formula>
    </cfRule>
  </conditionalFormatting>
  <conditionalFormatting sqref="M73:P73">
    <cfRule type="beginsWith" dxfId="0" priority="249" operator="beginsWith" text="Não conforme">
      <formula>LEFT(M73,12)="Não conforme"</formula>
    </cfRule>
    <cfRule type="beginsWith" dxfId="1" priority="250" operator="beginsWith" text="Conforme">
      <formula>LEFT(M73,8)="Conforme"</formula>
    </cfRule>
    <cfRule type="beginsWith" dxfId="2" priority="251" operator="beginsWith" text="Pendente">
      <formula>LEFT(M73,8)="Pendente"</formula>
    </cfRule>
    <cfRule type="beginsWith" dxfId="2" priority="252" operator="beginsWith" text="Atrasado">
      <formula>LEFT(M73,8)="Atrasado"</formula>
    </cfRule>
    <cfRule type="beginsWith" dxfId="3" priority="253" operator="beginsWith" text="Previsto">
      <formula>LEFT(M73,8)="Previsto"</formula>
    </cfRule>
    <cfRule type="beginsWith" dxfId="1" priority="254" operator="beginsWith" text="Preenchido">
      <formula>LEFT(M73,10)="Preenchido"</formula>
    </cfRule>
    <cfRule type="beginsWith" dxfId="1" priority="255" operator="beginsWith" text="Em dia">
      <formula>LEFT(M73,6)="Em dia"</formula>
    </cfRule>
    <cfRule type="beginsWith" dxfId="4" priority="256" operator="beginsWith" text="Informativo">
      <formula>LEFT(M73,11)="Informativo"</formula>
    </cfRule>
  </conditionalFormatting>
  <conditionalFormatting sqref="N113:P113">
    <cfRule type="beginsWith" dxfId="0" priority="321" operator="beginsWith" text="Não conforme">
      <formula>LEFT(N113,12)="Não conforme"</formula>
    </cfRule>
    <cfRule type="beginsWith" dxfId="1" priority="322" operator="beginsWith" text="Conforme">
      <formula>LEFT(N113,8)="Conforme"</formula>
    </cfRule>
    <cfRule type="beginsWith" dxfId="2" priority="323" operator="beginsWith" text="Pendente">
      <formula>LEFT(N113,8)="Pendente"</formula>
    </cfRule>
    <cfRule type="beginsWith" dxfId="2" priority="324" operator="beginsWith" text="Atrasado">
      <formula>LEFT(N113,8)="Atrasado"</formula>
    </cfRule>
    <cfRule type="beginsWith" dxfId="3" priority="325" operator="beginsWith" text="Previsto">
      <formula>LEFT(N113,8)="Previsto"</formula>
    </cfRule>
    <cfRule type="beginsWith" dxfId="1" priority="326" operator="beginsWith" text="Preenchido">
      <formula>LEFT(N113,10)="Preenchido"</formula>
    </cfRule>
    <cfRule type="beginsWith" dxfId="1" priority="327" operator="beginsWith" text="Em dia">
      <formula>LEFT(N113,6)="Em dia"</formula>
    </cfRule>
    <cfRule type="beginsWith" dxfId="4" priority="328" operator="beginsWith" text="Informativo">
      <formula>LEFT(N113,11)="Informativo"</formula>
    </cfRule>
  </conditionalFormatting>
  <conditionalFormatting sqref="N114:P114">
    <cfRule type="beginsWith" dxfId="0" priority="329" operator="beginsWith" text="Não conforme">
      <formula>LEFT(N114,12)="Não conforme"</formula>
    </cfRule>
    <cfRule type="beginsWith" dxfId="1" priority="330" operator="beginsWith" text="Conforme">
      <formula>LEFT(N114,8)="Conforme"</formula>
    </cfRule>
    <cfRule type="beginsWith" dxfId="2" priority="331" operator="beginsWith" text="Pendente">
      <formula>LEFT(N114,8)="Pendente"</formula>
    </cfRule>
    <cfRule type="beginsWith" dxfId="2" priority="332" operator="beginsWith" text="Atrasado">
      <formula>LEFT(N114,8)="Atrasado"</formula>
    </cfRule>
    <cfRule type="beginsWith" dxfId="3" priority="333" operator="beginsWith" text="Previsto">
      <formula>LEFT(N114,8)="Previsto"</formula>
    </cfRule>
    <cfRule type="beginsWith" dxfId="1" priority="334" operator="beginsWith" text="Preenchido">
      <formula>LEFT(N114,10)="Preenchido"</formula>
    </cfRule>
    <cfRule type="beginsWith" dxfId="1" priority="335" operator="beginsWith" text="Em dia">
      <formula>LEFT(N114,6)="Em dia"</formula>
    </cfRule>
    <cfRule type="beginsWith" dxfId="4" priority="336" operator="beginsWith" text="Informativo">
      <formula>LEFT(N114,11)="Informativo"</formula>
    </cfRule>
  </conditionalFormatting>
  <conditionalFormatting sqref="N115:P115">
    <cfRule type="beginsWith" dxfId="0" priority="337" operator="beginsWith" text="Não conforme">
      <formula>LEFT(N115,12)="Não conforme"</formula>
    </cfRule>
    <cfRule type="beginsWith" dxfId="1" priority="338" operator="beginsWith" text="Conforme">
      <formula>LEFT(N115,8)="Conforme"</formula>
    </cfRule>
    <cfRule type="beginsWith" dxfId="2" priority="339" operator="beginsWith" text="Pendente">
      <formula>LEFT(N115,8)="Pendente"</formula>
    </cfRule>
    <cfRule type="beginsWith" dxfId="2" priority="340" operator="beginsWith" text="Atrasado">
      <formula>LEFT(N115,8)="Atrasado"</formula>
    </cfRule>
    <cfRule type="beginsWith" dxfId="3" priority="341" operator="beginsWith" text="Previsto">
      <formula>LEFT(N115,8)="Previsto"</formula>
    </cfRule>
    <cfRule type="beginsWith" dxfId="1" priority="342" operator="beginsWith" text="Preenchido">
      <formula>LEFT(N115,10)="Preenchido"</formula>
    </cfRule>
    <cfRule type="beginsWith" dxfId="1" priority="343" operator="beginsWith" text="Em dia">
      <formula>LEFT(N115,6)="Em dia"</formula>
    </cfRule>
    <cfRule type="beginsWith" dxfId="4" priority="344" operator="beginsWith" text="Informativo">
      <formula>LEFT(N115,11)="Informativo"</formula>
    </cfRule>
  </conditionalFormatting>
  <conditionalFormatting sqref="N116:P116">
    <cfRule type="beginsWith" dxfId="0" priority="345" operator="beginsWith" text="Não conforme">
      <formula>LEFT(N116,12)="Não conforme"</formula>
    </cfRule>
    <cfRule type="beginsWith" dxfId="1" priority="346" operator="beginsWith" text="Conforme">
      <formula>LEFT(N116,8)="Conforme"</formula>
    </cfRule>
    <cfRule type="beginsWith" dxfId="2" priority="347" operator="beginsWith" text="Pendente">
      <formula>LEFT(N116,8)="Pendente"</formula>
    </cfRule>
    <cfRule type="beginsWith" dxfId="2" priority="348" operator="beginsWith" text="Atrasado">
      <formula>LEFT(N116,8)="Atrasado"</formula>
    </cfRule>
    <cfRule type="beginsWith" dxfId="3" priority="349" operator="beginsWith" text="Previsto">
      <formula>LEFT(N116,8)="Previsto"</formula>
    </cfRule>
    <cfRule type="beginsWith" dxfId="1" priority="350" operator="beginsWith" text="Preenchido">
      <formula>LEFT(N116,10)="Preenchido"</formula>
    </cfRule>
    <cfRule type="beginsWith" dxfId="1" priority="351" operator="beginsWith" text="Em dia">
      <formula>LEFT(N116,6)="Em dia"</formula>
    </cfRule>
    <cfRule type="beginsWith" dxfId="4" priority="352" operator="beginsWith" text="Informativo">
      <formula>LEFT(N116,11)="Informativo"</formula>
    </cfRule>
  </conditionalFormatting>
  <conditionalFormatting sqref="N117:P117">
    <cfRule type="beginsWith" dxfId="0" priority="353" operator="beginsWith" text="Não conforme">
      <formula>LEFT(N117,12)="Não conforme"</formula>
    </cfRule>
    <cfRule type="beginsWith" dxfId="1" priority="354" operator="beginsWith" text="Conforme">
      <formula>LEFT(N117,8)="Conforme"</formula>
    </cfRule>
    <cfRule type="beginsWith" dxfId="2" priority="355" operator="beginsWith" text="Pendente">
      <formula>LEFT(N117,8)="Pendente"</formula>
    </cfRule>
    <cfRule type="beginsWith" dxfId="2" priority="356" operator="beginsWith" text="Atrasado">
      <formula>LEFT(N117,8)="Atrasado"</formula>
    </cfRule>
    <cfRule type="beginsWith" dxfId="3" priority="357" operator="beginsWith" text="Previsto">
      <formula>LEFT(N117,8)="Previsto"</formula>
    </cfRule>
    <cfRule type="beginsWith" dxfId="1" priority="358" operator="beginsWith" text="Preenchido">
      <formula>LEFT(N117,10)="Preenchido"</formula>
    </cfRule>
    <cfRule type="beginsWith" dxfId="1" priority="359" operator="beginsWith" text="Em dia">
      <formula>LEFT(N117,6)="Em dia"</formula>
    </cfRule>
    <cfRule type="beginsWith" dxfId="4" priority="360" operator="beginsWith" text="Informativo">
      <formula>LEFT(N117,11)="Informativo"</formula>
    </cfRule>
  </conditionalFormatting>
  <conditionalFormatting sqref="N118:P118">
    <cfRule type="beginsWith" dxfId="0" priority="361" operator="beginsWith" text="Não conforme">
      <formula>LEFT(N118,12)="Não conforme"</formula>
    </cfRule>
    <cfRule type="beginsWith" dxfId="1" priority="362" operator="beginsWith" text="Conforme">
      <formula>LEFT(N118,8)="Conforme"</formula>
    </cfRule>
    <cfRule type="beginsWith" dxfId="2" priority="363" operator="beginsWith" text="Pendente">
      <formula>LEFT(N118,8)="Pendente"</formula>
    </cfRule>
    <cfRule type="beginsWith" dxfId="2" priority="364" operator="beginsWith" text="Atrasado">
      <formula>LEFT(N118,8)="Atrasado"</formula>
    </cfRule>
    <cfRule type="beginsWith" dxfId="3" priority="365" operator="beginsWith" text="Previsto">
      <formula>LEFT(N118,8)="Previsto"</formula>
    </cfRule>
    <cfRule type="beginsWith" dxfId="1" priority="366" operator="beginsWith" text="Preenchido">
      <formula>LEFT(N118,10)="Preenchido"</formula>
    </cfRule>
    <cfRule type="beginsWith" dxfId="1" priority="367" operator="beginsWith" text="Em dia">
      <formula>LEFT(N118,6)="Em dia"</formula>
    </cfRule>
    <cfRule type="beginsWith" dxfId="4" priority="368" operator="beginsWith" text="Informativo">
      <formula>LEFT(N118,11)="Informativo"</formula>
    </cfRule>
  </conditionalFormatting>
  <conditionalFormatting sqref="N119:P119">
    <cfRule type="beginsWith" dxfId="0" priority="369" operator="beginsWith" text="Não conforme">
      <formula>LEFT(N119,12)="Não conforme"</formula>
    </cfRule>
    <cfRule type="beginsWith" dxfId="1" priority="370" operator="beginsWith" text="Conforme">
      <formula>LEFT(N119,8)="Conforme"</formula>
    </cfRule>
    <cfRule type="beginsWith" dxfId="2" priority="371" operator="beginsWith" text="Pendente">
      <formula>LEFT(N119,8)="Pendente"</formula>
    </cfRule>
    <cfRule type="beginsWith" dxfId="2" priority="372" operator="beginsWith" text="Atrasado">
      <formula>LEFT(N119,8)="Atrasado"</formula>
    </cfRule>
    <cfRule type="beginsWith" dxfId="3" priority="373" operator="beginsWith" text="Previsto">
      <formula>LEFT(N119,8)="Previsto"</formula>
    </cfRule>
    <cfRule type="beginsWith" dxfId="1" priority="374" operator="beginsWith" text="Preenchido">
      <formula>LEFT(N119,10)="Preenchido"</formula>
    </cfRule>
    <cfRule type="beginsWith" dxfId="1" priority="375" operator="beginsWith" text="Em dia">
      <formula>LEFT(N119,6)="Em dia"</formula>
    </cfRule>
    <cfRule type="beginsWith" dxfId="4" priority="376" operator="beginsWith" text="Informativo">
      <formula>LEFT(N119,11)="Informativo"</formula>
    </cfRule>
  </conditionalFormatting>
  <conditionalFormatting sqref="N120:P120">
    <cfRule type="beginsWith" dxfId="0" priority="377" operator="beginsWith" text="Não conforme">
      <formula>LEFT(N120,12)="Não conforme"</formula>
    </cfRule>
    <cfRule type="beginsWith" dxfId="1" priority="378" operator="beginsWith" text="Conforme">
      <formula>LEFT(N120,8)="Conforme"</formula>
    </cfRule>
    <cfRule type="beginsWith" dxfId="2" priority="379" operator="beginsWith" text="Pendente">
      <formula>LEFT(N120,8)="Pendente"</formula>
    </cfRule>
    <cfRule type="beginsWith" dxfId="2" priority="380" operator="beginsWith" text="Atrasado">
      <formula>LEFT(N120,8)="Atrasado"</formula>
    </cfRule>
    <cfRule type="beginsWith" dxfId="3" priority="381" operator="beginsWith" text="Previsto">
      <formula>LEFT(N120,8)="Previsto"</formula>
    </cfRule>
    <cfRule type="beginsWith" dxfId="1" priority="382" operator="beginsWith" text="Preenchido">
      <formula>LEFT(N120,10)="Preenchido"</formula>
    </cfRule>
    <cfRule type="beginsWith" dxfId="1" priority="383" operator="beginsWith" text="Em dia">
      <formula>LEFT(N120,6)="Em dia"</formula>
    </cfRule>
    <cfRule type="beginsWith" dxfId="4" priority="384" operator="beginsWith" text="Informativo">
      <formula>LEFT(N120,11)="Informativo"</formula>
    </cfRule>
  </conditionalFormatting>
  <conditionalFormatting sqref="N121:P121">
    <cfRule type="beginsWith" dxfId="0" priority="385" operator="beginsWith" text="Não conforme">
      <formula>LEFT(N121,12)="Não conforme"</formula>
    </cfRule>
    <cfRule type="beginsWith" dxfId="1" priority="386" operator="beginsWith" text="Conforme">
      <formula>LEFT(N121,8)="Conforme"</formula>
    </cfRule>
    <cfRule type="beginsWith" dxfId="2" priority="387" operator="beginsWith" text="Pendente">
      <formula>LEFT(N121,8)="Pendente"</formula>
    </cfRule>
    <cfRule type="beginsWith" dxfId="2" priority="388" operator="beginsWith" text="Atrasado">
      <formula>LEFT(N121,8)="Atrasado"</formula>
    </cfRule>
    <cfRule type="beginsWith" dxfId="3" priority="389" operator="beginsWith" text="Previsto">
      <formula>LEFT(N121,8)="Previsto"</formula>
    </cfRule>
    <cfRule type="beginsWith" dxfId="1" priority="390" operator="beginsWith" text="Preenchido">
      <formula>LEFT(N121,10)="Preenchido"</formula>
    </cfRule>
    <cfRule type="beginsWith" dxfId="1" priority="391" operator="beginsWith" text="Em dia">
      <formula>LEFT(N121,6)="Em dia"</formula>
    </cfRule>
    <cfRule type="beginsWith" dxfId="4" priority="392" operator="beginsWith" text="Informativo">
      <formula>LEFT(N121,11)="Informativo"</formula>
    </cfRule>
  </conditionalFormatting>
  <conditionalFormatting sqref="N122:P122">
    <cfRule type="beginsWith" dxfId="0" priority="393" operator="beginsWith" text="Não conforme">
      <formula>LEFT(N122,12)="Não conforme"</formula>
    </cfRule>
    <cfRule type="beginsWith" dxfId="1" priority="394" operator="beginsWith" text="Conforme">
      <formula>LEFT(N122,8)="Conforme"</formula>
    </cfRule>
    <cfRule type="beginsWith" dxfId="2" priority="395" operator="beginsWith" text="Pendente">
      <formula>LEFT(N122,8)="Pendente"</formula>
    </cfRule>
    <cfRule type="beginsWith" dxfId="2" priority="396" operator="beginsWith" text="Atrasado">
      <formula>LEFT(N122,8)="Atrasado"</formula>
    </cfRule>
    <cfRule type="beginsWith" dxfId="3" priority="397" operator="beginsWith" text="Previsto">
      <formula>LEFT(N122,8)="Previsto"</formula>
    </cfRule>
    <cfRule type="beginsWith" dxfId="1" priority="398" operator="beginsWith" text="Preenchido">
      <formula>LEFT(N122,10)="Preenchido"</formula>
    </cfRule>
    <cfRule type="beginsWith" dxfId="1" priority="399" operator="beginsWith" text="Em dia">
      <formula>LEFT(N122,6)="Em dia"</formula>
    </cfRule>
    <cfRule type="beginsWith" dxfId="4" priority="400" operator="beginsWith" text="Informativo">
      <formula>LEFT(N122,11)="Informativo"</formula>
    </cfRule>
  </conditionalFormatting>
  <conditionalFormatting sqref="N123:P123">
    <cfRule type="beginsWith" dxfId="0" priority="401" operator="beginsWith" text="Não conforme">
      <formula>LEFT(N123,12)="Não conforme"</formula>
    </cfRule>
    <cfRule type="beginsWith" dxfId="1" priority="402" operator="beginsWith" text="Conforme">
      <formula>LEFT(N123,8)="Conforme"</formula>
    </cfRule>
    <cfRule type="beginsWith" dxfId="2" priority="403" operator="beginsWith" text="Pendente">
      <formula>LEFT(N123,8)="Pendente"</formula>
    </cfRule>
    <cfRule type="beginsWith" dxfId="2" priority="404" operator="beginsWith" text="Atrasado">
      <formula>LEFT(N123,8)="Atrasado"</formula>
    </cfRule>
    <cfRule type="beginsWith" dxfId="3" priority="405" operator="beginsWith" text="Previsto">
      <formula>LEFT(N123,8)="Previsto"</formula>
    </cfRule>
    <cfRule type="beginsWith" dxfId="1" priority="406" operator="beginsWith" text="Preenchido">
      <formula>LEFT(N123,10)="Preenchido"</formula>
    </cfRule>
    <cfRule type="beginsWith" dxfId="1" priority="407" operator="beginsWith" text="Em dia">
      <formula>LEFT(N123,6)="Em dia"</formula>
    </cfRule>
    <cfRule type="beginsWith" dxfId="4" priority="408" operator="beginsWith" text="Informativo">
      <formula>LEFT(N123,11)="Informativo"</formula>
    </cfRule>
  </conditionalFormatting>
  <conditionalFormatting sqref="N124:P124">
    <cfRule type="beginsWith" dxfId="0" priority="409" operator="beginsWith" text="Não conforme">
      <formula>LEFT(N124,12)="Não conforme"</formula>
    </cfRule>
    <cfRule type="beginsWith" dxfId="1" priority="410" operator="beginsWith" text="Conforme">
      <formula>LEFT(N124,8)="Conforme"</formula>
    </cfRule>
    <cfRule type="beginsWith" dxfId="2" priority="411" operator="beginsWith" text="Pendente">
      <formula>LEFT(N124,8)="Pendente"</formula>
    </cfRule>
    <cfRule type="beginsWith" dxfId="2" priority="412" operator="beginsWith" text="Atrasado">
      <formula>LEFT(N124,8)="Atrasado"</formula>
    </cfRule>
    <cfRule type="beginsWith" dxfId="3" priority="413" operator="beginsWith" text="Previsto">
      <formula>LEFT(N124,8)="Previsto"</formula>
    </cfRule>
    <cfRule type="beginsWith" dxfId="1" priority="414" operator="beginsWith" text="Preenchido">
      <formula>LEFT(N124,10)="Preenchido"</formula>
    </cfRule>
    <cfRule type="beginsWith" dxfId="1" priority="415" operator="beginsWith" text="Em dia">
      <formula>LEFT(N124,6)="Em dia"</formula>
    </cfRule>
    <cfRule type="beginsWith" dxfId="4" priority="416" operator="beginsWith" text="Informativo">
      <formula>LEFT(N124,11)="Informativo"</formula>
    </cfRule>
  </conditionalFormatting>
  <conditionalFormatting sqref="N125:P125">
    <cfRule type="beginsWith" dxfId="0" priority="417" operator="beginsWith" text="Não conforme">
      <formula>LEFT(N125,12)="Não conforme"</formula>
    </cfRule>
    <cfRule type="beginsWith" dxfId="1" priority="418" operator="beginsWith" text="Conforme">
      <formula>LEFT(N125,8)="Conforme"</formula>
    </cfRule>
    <cfRule type="beginsWith" dxfId="2" priority="419" operator="beginsWith" text="Pendente">
      <formula>LEFT(N125,8)="Pendente"</formula>
    </cfRule>
    <cfRule type="beginsWith" dxfId="2" priority="420" operator="beginsWith" text="Atrasado">
      <formula>LEFT(N125,8)="Atrasado"</formula>
    </cfRule>
    <cfRule type="beginsWith" dxfId="3" priority="421" operator="beginsWith" text="Previsto">
      <formula>LEFT(N125,8)="Previsto"</formula>
    </cfRule>
    <cfRule type="beginsWith" dxfId="1" priority="422" operator="beginsWith" text="Preenchido">
      <formula>LEFT(N125,10)="Preenchido"</formula>
    </cfRule>
    <cfRule type="beginsWith" dxfId="1" priority="423" operator="beginsWith" text="Em dia">
      <formula>LEFT(N125,6)="Em dia"</formula>
    </cfRule>
    <cfRule type="beginsWith" dxfId="4" priority="424" operator="beginsWith" text="Informativo">
      <formula>LEFT(N125,11)="Informativo"</formula>
    </cfRule>
  </conditionalFormatting>
  <conditionalFormatting sqref="N126:P126">
    <cfRule type="beginsWith" dxfId="0" priority="425" operator="beginsWith" text="Não conforme">
      <formula>LEFT(N126,12)="Não conforme"</formula>
    </cfRule>
    <cfRule type="beginsWith" dxfId="1" priority="426" operator="beginsWith" text="Conforme">
      <formula>LEFT(N126,8)="Conforme"</formula>
    </cfRule>
    <cfRule type="beginsWith" dxfId="2" priority="427" operator="beginsWith" text="Pendente">
      <formula>LEFT(N126,8)="Pendente"</formula>
    </cfRule>
    <cfRule type="beginsWith" dxfId="2" priority="428" operator="beginsWith" text="Atrasado">
      <formula>LEFT(N126,8)="Atrasado"</formula>
    </cfRule>
    <cfRule type="beginsWith" dxfId="3" priority="429" operator="beginsWith" text="Previsto">
      <formula>LEFT(N126,8)="Previsto"</formula>
    </cfRule>
    <cfRule type="beginsWith" dxfId="1" priority="430" operator="beginsWith" text="Preenchido">
      <formula>LEFT(N126,10)="Preenchido"</formula>
    </cfRule>
    <cfRule type="beginsWith" dxfId="1" priority="431" operator="beginsWith" text="Em dia">
      <formula>LEFT(N126,6)="Em dia"</formula>
    </cfRule>
    <cfRule type="beginsWith" dxfId="4" priority="432" operator="beginsWith" text="Informativo">
      <formula>LEFT(N126,11)="Informativo"</formula>
    </cfRule>
  </conditionalFormatting>
  <conditionalFormatting sqref="N127:P127">
    <cfRule type="beginsWith" dxfId="0" priority="433" operator="beginsWith" text="Não conforme">
      <formula>LEFT(N127,12)="Não conforme"</formula>
    </cfRule>
    <cfRule type="beginsWith" dxfId="1" priority="434" operator="beginsWith" text="Conforme">
      <formula>LEFT(N127,8)="Conforme"</formula>
    </cfRule>
    <cfRule type="beginsWith" dxfId="2" priority="435" operator="beginsWith" text="Pendente">
      <formula>LEFT(N127,8)="Pendente"</formula>
    </cfRule>
    <cfRule type="beginsWith" dxfId="2" priority="436" operator="beginsWith" text="Atrasado">
      <formula>LEFT(N127,8)="Atrasado"</formula>
    </cfRule>
    <cfRule type="beginsWith" dxfId="3" priority="437" operator="beginsWith" text="Previsto">
      <formula>LEFT(N127,8)="Previsto"</formula>
    </cfRule>
    <cfRule type="beginsWith" dxfId="1" priority="438" operator="beginsWith" text="Preenchido">
      <formula>LEFT(N127,10)="Preenchido"</formula>
    </cfRule>
    <cfRule type="beginsWith" dxfId="1" priority="439" operator="beginsWith" text="Em dia">
      <formula>LEFT(N127,6)="Em dia"</formula>
    </cfRule>
    <cfRule type="beginsWith" dxfId="4" priority="440" operator="beginsWith" text="Informativo">
      <formula>LEFT(N127,11)="Informativo"</formula>
    </cfRule>
  </conditionalFormatting>
  <conditionalFormatting sqref="N128:P128">
    <cfRule type="beginsWith" dxfId="0" priority="441" operator="beginsWith" text="Não conforme">
      <formula>LEFT(N128,12)="Não conforme"</formula>
    </cfRule>
    <cfRule type="beginsWith" dxfId="1" priority="442" operator="beginsWith" text="Conforme">
      <formula>LEFT(N128,8)="Conforme"</formula>
    </cfRule>
    <cfRule type="beginsWith" dxfId="2" priority="443" operator="beginsWith" text="Pendente">
      <formula>LEFT(N128,8)="Pendente"</formula>
    </cfRule>
    <cfRule type="beginsWith" dxfId="2" priority="444" operator="beginsWith" text="Atrasado">
      <formula>LEFT(N128,8)="Atrasado"</formula>
    </cfRule>
    <cfRule type="beginsWith" dxfId="3" priority="445" operator="beginsWith" text="Previsto">
      <formula>LEFT(N128,8)="Previsto"</formula>
    </cfRule>
    <cfRule type="beginsWith" dxfId="1" priority="446" operator="beginsWith" text="Preenchido">
      <formula>LEFT(N128,10)="Preenchido"</formula>
    </cfRule>
    <cfRule type="beginsWith" dxfId="1" priority="447" operator="beginsWith" text="Em dia">
      <formula>LEFT(N128,6)="Em dia"</formula>
    </cfRule>
    <cfRule type="beginsWith" dxfId="4" priority="448" operator="beginsWith" text="Informativo">
      <formula>LEFT(N128,11)="Informativo"</formula>
    </cfRule>
  </conditionalFormatting>
  <conditionalFormatting sqref="N129:P129">
    <cfRule type="beginsWith" dxfId="0" priority="449" operator="beginsWith" text="Não conforme">
      <formula>LEFT(N129,12)="Não conforme"</formula>
    </cfRule>
    <cfRule type="beginsWith" dxfId="1" priority="450" operator="beginsWith" text="Conforme">
      <formula>LEFT(N129,8)="Conforme"</formula>
    </cfRule>
    <cfRule type="beginsWith" dxfId="2" priority="451" operator="beginsWith" text="Pendente">
      <formula>LEFT(N129,8)="Pendente"</formula>
    </cfRule>
    <cfRule type="beginsWith" dxfId="2" priority="452" operator="beginsWith" text="Atrasado">
      <formula>LEFT(N129,8)="Atrasado"</formula>
    </cfRule>
    <cfRule type="beginsWith" dxfId="3" priority="453" operator="beginsWith" text="Previsto">
      <formula>LEFT(N129,8)="Previsto"</formula>
    </cfRule>
    <cfRule type="beginsWith" dxfId="1" priority="454" operator="beginsWith" text="Preenchido">
      <formula>LEFT(N129,10)="Preenchido"</formula>
    </cfRule>
    <cfRule type="beginsWith" dxfId="1" priority="455" operator="beginsWith" text="Em dia">
      <formula>LEFT(N129,6)="Em dia"</formula>
    </cfRule>
    <cfRule type="beginsWith" dxfId="4" priority="456" operator="beginsWith" text="Informativo">
      <formula>LEFT(N129,11)="Informativo"</formula>
    </cfRule>
  </conditionalFormatting>
  <conditionalFormatting sqref="N130:P130">
    <cfRule type="beginsWith" dxfId="0" priority="457" operator="beginsWith" text="Não conforme">
      <formula>LEFT(N130,12)="Não conforme"</formula>
    </cfRule>
    <cfRule type="beginsWith" dxfId="1" priority="458" operator="beginsWith" text="Conforme">
      <formula>LEFT(N130,8)="Conforme"</formula>
    </cfRule>
    <cfRule type="beginsWith" dxfId="2" priority="459" operator="beginsWith" text="Pendente">
      <formula>LEFT(N130,8)="Pendente"</formula>
    </cfRule>
    <cfRule type="beginsWith" dxfId="2" priority="460" operator="beginsWith" text="Atrasado">
      <formula>LEFT(N130,8)="Atrasado"</formula>
    </cfRule>
    <cfRule type="beginsWith" dxfId="3" priority="461" operator="beginsWith" text="Previsto">
      <formula>LEFT(N130,8)="Previsto"</formula>
    </cfRule>
    <cfRule type="beginsWith" dxfId="1" priority="462" operator="beginsWith" text="Preenchido">
      <formula>LEFT(N130,10)="Preenchido"</formula>
    </cfRule>
    <cfRule type="beginsWith" dxfId="1" priority="463" operator="beginsWith" text="Em dia">
      <formula>LEFT(N130,6)="Em dia"</formula>
    </cfRule>
    <cfRule type="beginsWith" dxfId="4" priority="464" operator="beginsWith" text="Informativo">
      <formula>LEFT(N130,11)="Informativo"</formula>
    </cfRule>
  </conditionalFormatting>
  <conditionalFormatting sqref="N131:P131">
    <cfRule type="beginsWith" dxfId="0" priority="465" operator="beginsWith" text="Não conforme">
      <formula>LEFT(N131,12)="Não conforme"</formula>
    </cfRule>
    <cfRule type="beginsWith" dxfId="1" priority="466" operator="beginsWith" text="Conforme">
      <formula>LEFT(N131,8)="Conforme"</formula>
    </cfRule>
    <cfRule type="beginsWith" dxfId="2" priority="467" operator="beginsWith" text="Pendente">
      <formula>LEFT(N131,8)="Pendente"</formula>
    </cfRule>
    <cfRule type="beginsWith" dxfId="2" priority="468" operator="beginsWith" text="Atrasado">
      <formula>LEFT(N131,8)="Atrasado"</formula>
    </cfRule>
    <cfRule type="beginsWith" dxfId="3" priority="469" operator="beginsWith" text="Previsto">
      <formula>LEFT(N131,8)="Previsto"</formula>
    </cfRule>
    <cfRule type="beginsWith" dxfId="1" priority="470" operator="beginsWith" text="Preenchido">
      <formula>LEFT(N131,10)="Preenchido"</formula>
    </cfRule>
    <cfRule type="beginsWith" dxfId="1" priority="471" operator="beginsWith" text="Em dia">
      <formula>LEFT(N131,6)="Em dia"</formula>
    </cfRule>
    <cfRule type="beginsWith" dxfId="4" priority="472" operator="beginsWith" text="Informativo">
      <formula>LEFT(N131,11)="Informativo"</formula>
    </cfRule>
  </conditionalFormatting>
  <conditionalFormatting sqref="N132:P132">
    <cfRule type="beginsWith" dxfId="0" priority="473" operator="beginsWith" text="Não conforme">
      <formula>LEFT(N132,12)="Não conforme"</formula>
    </cfRule>
    <cfRule type="beginsWith" dxfId="1" priority="474" operator="beginsWith" text="Conforme">
      <formula>LEFT(N132,8)="Conforme"</formula>
    </cfRule>
    <cfRule type="beginsWith" dxfId="2" priority="475" operator="beginsWith" text="Pendente">
      <formula>LEFT(N132,8)="Pendente"</formula>
    </cfRule>
    <cfRule type="beginsWith" dxfId="2" priority="476" operator="beginsWith" text="Atrasado">
      <formula>LEFT(N132,8)="Atrasado"</formula>
    </cfRule>
    <cfRule type="beginsWith" dxfId="3" priority="477" operator="beginsWith" text="Previsto">
      <formula>LEFT(N132,8)="Previsto"</formula>
    </cfRule>
    <cfRule type="beginsWith" dxfId="1" priority="478" operator="beginsWith" text="Preenchido">
      <formula>LEFT(N132,10)="Preenchido"</formula>
    </cfRule>
    <cfRule type="beginsWith" dxfId="1" priority="479" operator="beginsWith" text="Em dia">
      <formula>LEFT(N132,6)="Em dia"</formula>
    </cfRule>
    <cfRule type="beginsWith" dxfId="4" priority="480" operator="beginsWith" text="Informativo">
      <formula>LEFT(N132,11)="Informativo"</formula>
    </cfRule>
  </conditionalFormatting>
  <conditionalFormatting sqref="N133:P133">
    <cfRule type="beginsWith" dxfId="0" priority="481" operator="beginsWith" text="Não conforme">
      <formula>LEFT(N133,12)="Não conforme"</formula>
    </cfRule>
    <cfRule type="beginsWith" dxfId="1" priority="482" operator="beginsWith" text="Conforme">
      <formula>LEFT(N133,8)="Conforme"</formula>
    </cfRule>
    <cfRule type="beginsWith" dxfId="2" priority="483" operator="beginsWith" text="Pendente">
      <formula>LEFT(N133,8)="Pendente"</formula>
    </cfRule>
    <cfRule type="beginsWith" dxfId="2" priority="484" operator="beginsWith" text="Atrasado">
      <formula>LEFT(N133,8)="Atrasado"</formula>
    </cfRule>
    <cfRule type="beginsWith" dxfId="3" priority="485" operator="beginsWith" text="Previsto">
      <formula>LEFT(N133,8)="Previsto"</formula>
    </cfRule>
    <cfRule type="beginsWith" dxfId="1" priority="486" operator="beginsWith" text="Preenchido">
      <formula>LEFT(N133,10)="Preenchido"</formula>
    </cfRule>
    <cfRule type="beginsWith" dxfId="1" priority="487" operator="beginsWith" text="Em dia">
      <formula>LEFT(N133,6)="Em dia"</formula>
    </cfRule>
    <cfRule type="beginsWith" dxfId="4" priority="488" operator="beginsWith" text="Informativo">
      <formula>LEFT(N133,11)="Informativo"</formula>
    </cfRule>
  </conditionalFormatting>
  <conditionalFormatting sqref="N134:P134">
    <cfRule type="beginsWith" dxfId="0" priority="489" operator="beginsWith" text="Não conforme">
      <formula>LEFT(N134,12)="Não conforme"</formula>
    </cfRule>
    <cfRule type="beginsWith" dxfId="1" priority="490" operator="beginsWith" text="Conforme">
      <formula>LEFT(N134,8)="Conforme"</formula>
    </cfRule>
    <cfRule type="beginsWith" dxfId="2" priority="491" operator="beginsWith" text="Pendente">
      <formula>LEFT(N134,8)="Pendente"</formula>
    </cfRule>
    <cfRule type="beginsWith" dxfId="2" priority="492" operator="beginsWith" text="Atrasado">
      <formula>LEFT(N134,8)="Atrasado"</formula>
    </cfRule>
    <cfRule type="beginsWith" dxfId="3" priority="493" operator="beginsWith" text="Previsto">
      <formula>LEFT(N134,8)="Previsto"</formula>
    </cfRule>
    <cfRule type="beginsWith" dxfId="1" priority="494" operator="beginsWith" text="Preenchido">
      <formula>LEFT(N134,10)="Preenchido"</formula>
    </cfRule>
    <cfRule type="beginsWith" dxfId="1" priority="495" operator="beginsWith" text="Em dia">
      <formula>LEFT(N134,6)="Em dia"</formula>
    </cfRule>
    <cfRule type="beginsWith" dxfId="4" priority="496" operator="beginsWith" text="Informativo">
      <formula>LEFT(N134,11)="Informativo"</formula>
    </cfRule>
  </conditionalFormatting>
  <conditionalFormatting sqref="N135:P135">
    <cfRule type="beginsWith" dxfId="0" priority="497" operator="beginsWith" text="Não conforme">
      <formula>LEFT(N135,12)="Não conforme"</formula>
    </cfRule>
    <cfRule type="beginsWith" dxfId="1" priority="498" operator="beginsWith" text="Conforme">
      <formula>LEFT(N135,8)="Conforme"</formula>
    </cfRule>
    <cfRule type="beginsWith" dxfId="2" priority="499" operator="beginsWith" text="Pendente">
      <formula>LEFT(N135,8)="Pendente"</formula>
    </cfRule>
    <cfRule type="beginsWith" dxfId="2" priority="500" operator="beginsWith" text="Atrasado">
      <formula>LEFT(N135,8)="Atrasado"</formula>
    </cfRule>
    <cfRule type="beginsWith" dxfId="3" priority="501" operator="beginsWith" text="Previsto">
      <formula>LEFT(N135,8)="Previsto"</formula>
    </cfRule>
    <cfRule type="beginsWith" dxfId="1" priority="502" operator="beginsWith" text="Preenchido">
      <formula>LEFT(N135,10)="Preenchido"</formula>
    </cfRule>
    <cfRule type="beginsWith" dxfId="1" priority="503" operator="beginsWith" text="Em dia">
      <formula>LEFT(N135,6)="Em dia"</formula>
    </cfRule>
    <cfRule type="beginsWith" dxfId="4" priority="504" operator="beginsWith" text="Informativo">
      <formula>LEFT(N135,11)="Informativo"</formula>
    </cfRule>
  </conditionalFormatting>
  <conditionalFormatting sqref="N136:P136">
    <cfRule type="beginsWith" dxfId="0" priority="505" operator="beginsWith" text="Não conforme">
      <formula>LEFT(N136,12)="Não conforme"</formula>
    </cfRule>
    <cfRule type="beginsWith" dxfId="1" priority="506" operator="beginsWith" text="Conforme">
      <formula>LEFT(N136,8)="Conforme"</formula>
    </cfRule>
    <cfRule type="beginsWith" dxfId="2" priority="507" operator="beginsWith" text="Pendente">
      <formula>LEFT(N136,8)="Pendente"</formula>
    </cfRule>
    <cfRule type="beginsWith" dxfId="2" priority="508" operator="beginsWith" text="Atrasado">
      <formula>LEFT(N136,8)="Atrasado"</formula>
    </cfRule>
    <cfRule type="beginsWith" dxfId="3" priority="509" operator="beginsWith" text="Previsto">
      <formula>LEFT(N136,8)="Previsto"</formula>
    </cfRule>
    <cfRule type="beginsWith" dxfId="1" priority="510" operator="beginsWith" text="Preenchido">
      <formula>LEFT(N136,10)="Preenchido"</formula>
    </cfRule>
    <cfRule type="beginsWith" dxfId="1" priority="511" operator="beginsWith" text="Em dia">
      <formula>LEFT(N136,6)="Em dia"</formula>
    </cfRule>
    <cfRule type="beginsWith" dxfId="4" priority="512" operator="beginsWith" text="Informativo">
      <formula>LEFT(N136,11)="Informativo"</formula>
    </cfRule>
  </conditionalFormatting>
  <conditionalFormatting sqref="N137:P137">
    <cfRule type="beginsWith" dxfId="0" priority="513" operator="beginsWith" text="Não conforme">
      <formula>LEFT(N137,12)="Não conforme"</formula>
    </cfRule>
    <cfRule type="beginsWith" dxfId="1" priority="514" operator="beginsWith" text="Conforme">
      <formula>LEFT(N137,8)="Conforme"</formula>
    </cfRule>
    <cfRule type="beginsWith" dxfId="2" priority="515" operator="beginsWith" text="Pendente">
      <formula>LEFT(N137,8)="Pendente"</formula>
    </cfRule>
    <cfRule type="beginsWith" dxfId="2" priority="516" operator="beginsWith" text="Atrasado">
      <formula>LEFT(N137,8)="Atrasado"</formula>
    </cfRule>
    <cfRule type="beginsWith" dxfId="3" priority="517" operator="beginsWith" text="Previsto">
      <formula>LEFT(N137,8)="Previsto"</formula>
    </cfRule>
    <cfRule type="beginsWith" dxfId="1" priority="518" operator="beginsWith" text="Preenchido">
      <formula>LEFT(N137,10)="Preenchido"</formula>
    </cfRule>
    <cfRule type="beginsWith" dxfId="1" priority="519" operator="beginsWith" text="Em dia">
      <formula>LEFT(N137,6)="Em dia"</formula>
    </cfRule>
    <cfRule type="beginsWith" dxfId="4" priority="520" operator="beginsWith" text="Informativo">
      <formula>LEFT(N137,11)="Informativo"</formula>
    </cfRule>
  </conditionalFormatting>
  <conditionalFormatting sqref="N138:P138">
    <cfRule type="beginsWith" dxfId="0" priority="521" operator="beginsWith" text="Não conforme">
      <formula>LEFT(N138,12)="Não conforme"</formula>
    </cfRule>
    <cfRule type="beginsWith" dxfId="1" priority="522" operator="beginsWith" text="Conforme">
      <formula>LEFT(N138,8)="Conforme"</formula>
    </cfRule>
    <cfRule type="beginsWith" dxfId="2" priority="523" operator="beginsWith" text="Pendente">
      <formula>LEFT(N138,8)="Pendente"</formula>
    </cfRule>
    <cfRule type="beginsWith" dxfId="2" priority="524" operator="beginsWith" text="Atrasado">
      <formula>LEFT(N138,8)="Atrasado"</formula>
    </cfRule>
    <cfRule type="beginsWith" dxfId="3" priority="525" operator="beginsWith" text="Previsto">
      <formula>LEFT(N138,8)="Previsto"</formula>
    </cfRule>
    <cfRule type="beginsWith" dxfId="1" priority="526" operator="beginsWith" text="Preenchido">
      <formula>LEFT(N138,10)="Preenchido"</formula>
    </cfRule>
    <cfRule type="beginsWith" dxfId="1" priority="527" operator="beginsWith" text="Em dia">
      <formula>LEFT(N138,6)="Em dia"</formula>
    </cfRule>
    <cfRule type="beginsWith" dxfId="4" priority="528" operator="beginsWith" text="Informativo">
      <formula>LEFT(N138,11)="Informativo"</formula>
    </cfRule>
  </conditionalFormatting>
  <conditionalFormatting sqref="N139:P139">
    <cfRule type="beginsWith" dxfId="0" priority="529" operator="beginsWith" text="Não conforme">
      <formula>LEFT(N139,12)="Não conforme"</formula>
    </cfRule>
    <cfRule type="beginsWith" dxfId="1" priority="530" operator="beginsWith" text="Conforme">
      <formula>LEFT(N139,8)="Conforme"</formula>
    </cfRule>
    <cfRule type="beginsWith" dxfId="2" priority="531" operator="beginsWith" text="Pendente">
      <formula>LEFT(N139,8)="Pendente"</formula>
    </cfRule>
    <cfRule type="beginsWith" dxfId="2" priority="532" operator="beginsWith" text="Atrasado">
      <formula>LEFT(N139,8)="Atrasado"</formula>
    </cfRule>
    <cfRule type="beginsWith" dxfId="3" priority="533" operator="beginsWith" text="Previsto">
      <formula>LEFT(N139,8)="Previsto"</formula>
    </cfRule>
    <cfRule type="beginsWith" dxfId="1" priority="534" operator="beginsWith" text="Preenchido">
      <formula>LEFT(N139,10)="Preenchido"</formula>
    </cfRule>
    <cfRule type="beginsWith" dxfId="1" priority="535" operator="beginsWith" text="Em dia">
      <formula>LEFT(N139,6)="Em dia"</formula>
    </cfRule>
    <cfRule type="beginsWith" dxfId="4" priority="536" operator="beginsWith" text="Informativo">
      <formula>LEFT(N139,11)="Informativo"</formula>
    </cfRule>
  </conditionalFormatting>
  <conditionalFormatting sqref="N25:P25">
    <cfRule type="beginsWith" dxfId="0" priority="1" operator="beginsWith" text="Não conforme">
      <formula>LEFT(N25,12)="Não conforme"</formula>
    </cfRule>
    <cfRule type="beginsWith" dxfId="1" priority="2" operator="beginsWith" text="Conforme">
      <formula>LEFT(N25,8)="Conforme"</formula>
    </cfRule>
    <cfRule type="beginsWith" dxfId="2" priority="3" operator="beginsWith" text="Pendente">
      <formula>LEFT(N25,8)="Pendente"</formula>
    </cfRule>
    <cfRule type="beginsWith" dxfId="2" priority="4" operator="beginsWith" text="Atrasado">
      <formula>LEFT(N25,8)="Atrasado"</formula>
    </cfRule>
    <cfRule type="beginsWith" dxfId="3" priority="5" operator="beginsWith" text="Previsto">
      <formula>LEFT(N25,8)="Previsto"</formula>
    </cfRule>
    <cfRule type="beginsWith" dxfId="1" priority="6" operator="beginsWith" text="Preenchido">
      <formula>LEFT(N25,10)="Preenchido"</formula>
    </cfRule>
    <cfRule type="beginsWith" dxfId="1" priority="7" operator="beginsWith" text="Em dia">
      <formula>LEFT(N25,6)="Em dia"</formula>
    </cfRule>
    <cfRule type="beginsWith" dxfId="4" priority="8" operator="beginsWith" text="Informativo">
      <formula>LEFT(N25,11)="Informativo"</formula>
    </cfRule>
  </conditionalFormatting>
  <conditionalFormatting sqref="N26:P26">
    <cfRule type="beginsWith" dxfId="0" priority="9" operator="beginsWith" text="Não conforme">
      <formula>LEFT(N26,12)="Não conforme"</formula>
    </cfRule>
    <cfRule type="beginsWith" dxfId="1" priority="10" operator="beginsWith" text="Conforme">
      <formula>LEFT(N26,8)="Conforme"</formula>
    </cfRule>
    <cfRule type="beginsWith" dxfId="2" priority="11" operator="beginsWith" text="Pendente">
      <formula>LEFT(N26,8)="Pendente"</formula>
    </cfRule>
    <cfRule type="beginsWith" dxfId="2" priority="12" operator="beginsWith" text="Atrasado">
      <formula>LEFT(N26,8)="Atrasado"</formula>
    </cfRule>
    <cfRule type="beginsWith" dxfId="3" priority="13" operator="beginsWith" text="Previsto">
      <formula>LEFT(N26,8)="Previsto"</formula>
    </cfRule>
    <cfRule type="beginsWith" dxfId="1" priority="14" operator="beginsWith" text="Preenchido">
      <formula>LEFT(N26,10)="Preenchido"</formula>
    </cfRule>
    <cfRule type="beginsWith" dxfId="1" priority="15" operator="beginsWith" text="Em dia">
      <formula>LEFT(N26,6)="Em dia"</formula>
    </cfRule>
    <cfRule type="beginsWith" dxfId="4" priority="16" operator="beginsWith" text="Informativo">
      <formula>LEFT(N26,11)="Informativo"</formula>
    </cfRule>
  </conditionalFormatting>
  <conditionalFormatting sqref="N27:P27">
    <cfRule type="beginsWith" dxfId="0" priority="17" operator="beginsWith" text="Não conforme">
      <formula>LEFT(N27,12)="Não conforme"</formula>
    </cfRule>
    <cfRule type="beginsWith" dxfId="1" priority="18" operator="beginsWith" text="Conforme">
      <formula>LEFT(N27,8)="Conforme"</formula>
    </cfRule>
    <cfRule type="beginsWith" dxfId="2" priority="19" operator="beginsWith" text="Pendente">
      <formula>LEFT(N27,8)="Pendente"</formula>
    </cfRule>
    <cfRule type="beginsWith" dxfId="2" priority="20" operator="beginsWith" text="Atrasado">
      <formula>LEFT(N27,8)="Atrasado"</formula>
    </cfRule>
    <cfRule type="beginsWith" dxfId="3" priority="21" operator="beginsWith" text="Previsto">
      <formula>LEFT(N27,8)="Previsto"</formula>
    </cfRule>
    <cfRule type="beginsWith" dxfId="1" priority="22" operator="beginsWith" text="Preenchido">
      <formula>LEFT(N27,10)="Preenchido"</formula>
    </cfRule>
    <cfRule type="beginsWith" dxfId="1" priority="23" operator="beginsWith" text="Em dia">
      <formula>LEFT(N27,6)="Em dia"</formula>
    </cfRule>
    <cfRule type="beginsWith" dxfId="4" priority="24" operator="beginsWith" text="Informativo">
      <formula>LEFT(N27,11)="Informativo"</formula>
    </cfRule>
  </conditionalFormatting>
  <conditionalFormatting sqref="N33:P33">
    <cfRule type="beginsWith" dxfId="0" priority="25" operator="beginsWith" text="Não conforme">
      <formula>LEFT(N33,12)="Não conforme"</formula>
    </cfRule>
    <cfRule type="beginsWith" dxfId="1" priority="26" operator="beginsWith" text="Conforme">
      <formula>LEFT(N33,8)="Conforme"</formula>
    </cfRule>
    <cfRule type="beginsWith" dxfId="2" priority="27" operator="beginsWith" text="Pendente">
      <formula>LEFT(N33,8)="Pendente"</formula>
    </cfRule>
    <cfRule type="beginsWith" dxfId="2" priority="28" operator="beginsWith" text="Atrasado">
      <formula>LEFT(N33,8)="Atrasado"</formula>
    </cfRule>
    <cfRule type="beginsWith" dxfId="3" priority="29" operator="beginsWith" text="Previsto">
      <formula>LEFT(N33,8)="Previsto"</formula>
    </cfRule>
    <cfRule type="beginsWith" dxfId="1" priority="30" operator="beginsWith" text="Preenchido">
      <formula>LEFT(N33,10)="Preenchido"</formula>
    </cfRule>
    <cfRule type="beginsWith" dxfId="1" priority="31" operator="beginsWith" text="Em dia">
      <formula>LEFT(N33,6)="Em dia"</formula>
    </cfRule>
    <cfRule type="beginsWith" dxfId="4" priority="32" operator="beginsWith" text="Informativo">
      <formula>LEFT(N33,11)="Informativo"</formula>
    </cfRule>
  </conditionalFormatting>
  <conditionalFormatting sqref="N34:P34">
    <cfRule type="beginsWith" dxfId="0" priority="33" operator="beginsWith" text="Não conforme">
      <formula>LEFT(N34,12)="Não conforme"</formula>
    </cfRule>
    <cfRule type="beginsWith" dxfId="1" priority="34" operator="beginsWith" text="Conforme">
      <formula>LEFT(N34,8)="Conforme"</formula>
    </cfRule>
    <cfRule type="beginsWith" dxfId="2" priority="35" operator="beginsWith" text="Pendente">
      <formula>LEFT(N34,8)="Pendente"</formula>
    </cfRule>
    <cfRule type="beginsWith" dxfId="2" priority="36" operator="beginsWith" text="Atrasado">
      <formula>LEFT(N34,8)="Atrasado"</formula>
    </cfRule>
    <cfRule type="beginsWith" dxfId="3" priority="37" operator="beginsWith" text="Previsto">
      <formula>LEFT(N34,8)="Previsto"</formula>
    </cfRule>
    <cfRule type="beginsWith" dxfId="1" priority="38" operator="beginsWith" text="Preenchido">
      <formula>LEFT(N34,10)="Preenchido"</formula>
    </cfRule>
    <cfRule type="beginsWith" dxfId="1" priority="39" operator="beginsWith" text="Em dia">
      <formula>LEFT(N34,6)="Em dia"</formula>
    </cfRule>
    <cfRule type="beginsWith" dxfId="4" priority="40" operator="beginsWith" text="Informativo">
      <formula>LEFT(N34,11)="Informativo"</formula>
    </cfRule>
  </conditionalFormatting>
  <conditionalFormatting sqref="N35:P35">
    <cfRule type="beginsWith" dxfId="0" priority="41" operator="beginsWith" text="Não conforme">
      <formula>LEFT(N35,12)="Não conforme"</formula>
    </cfRule>
    <cfRule type="beginsWith" dxfId="1" priority="42" operator="beginsWith" text="Conforme">
      <formula>LEFT(N35,8)="Conforme"</formula>
    </cfRule>
    <cfRule type="beginsWith" dxfId="2" priority="43" operator="beginsWith" text="Pendente">
      <formula>LEFT(N35,8)="Pendente"</formula>
    </cfRule>
    <cfRule type="beginsWith" dxfId="2" priority="44" operator="beginsWith" text="Atrasado">
      <formula>LEFT(N35,8)="Atrasado"</formula>
    </cfRule>
    <cfRule type="beginsWith" dxfId="3" priority="45" operator="beginsWith" text="Previsto">
      <formula>LEFT(N35,8)="Previsto"</formula>
    </cfRule>
    <cfRule type="beginsWith" dxfId="1" priority="46" operator="beginsWith" text="Preenchido">
      <formula>LEFT(N35,10)="Preenchido"</formula>
    </cfRule>
    <cfRule type="beginsWith" dxfId="1" priority="47" operator="beginsWith" text="Em dia">
      <formula>LEFT(N35,6)="Em dia"</formula>
    </cfRule>
    <cfRule type="beginsWith" dxfId="4" priority="48" operator="beginsWith" text="Informativo">
      <formula>LEFT(N35,11)="Informativo"</formula>
    </cfRule>
  </conditionalFormatting>
  <conditionalFormatting sqref="N36:P36">
    <cfRule type="beginsWith" dxfId="0" priority="49" operator="beginsWith" text="Não conforme">
      <formula>LEFT(N36,12)="Não conforme"</formula>
    </cfRule>
    <cfRule type="beginsWith" dxfId="1" priority="50" operator="beginsWith" text="Conforme">
      <formula>LEFT(N36,8)="Conforme"</formula>
    </cfRule>
    <cfRule type="beginsWith" dxfId="2" priority="51" operator="beginsWith" text="Pendente">
      <formula>LEFT(N36,8)="Pendente"</formula>
    </cfRule>
    <cfRule type="beginsWith" dxfId="2" priority="52" operator="beginsWith" text="Atrasado">
      <formula>LEFT(N36,8)="Atrasado"</formula>
    </cfRule>
    <cfRule type="beginsWith" dxfId="3" priority="53" operator="beginsWith" text="Previsto">
      <formula>LEFT(N36,8)="Previsto"</formula>
    </cfRule>
    <cfRule type="beginsWith" dxfId="1" priority="54" operator="beginsWith" text="Preenchido">
      <formula>LEFT(N36,10)="Preenchido"</formula>
    </cfRule>
    <cfRule type="beginsWith" dxfId="1" priority="55" operator="beginsWith" text="Em dia">
      <formula>LEFT(N36,6)="Em dia"</formula>
    </cfRule>
    <cfRule type="beginsWith" dxfId="4" priority="56" operator="beginsWith" text="Informativo">
      <formula>LEFT(N36,11)="Informativo"</formula>
    </cfRule>
  </conditionalFormatting>
  <conditionalFormatting sqref="N37:P37">
    <cfRule type="beginsWith" dxfId="0" priority="57" operator="beginsWith" text="Não conforme">
      <formula>LEFT(N37,12)="Não conforme"</formula>
    </cfRule>
    <cfRule type="beginsWith" dxfId="1" priority="58" operator="beginsWith" text="Conforme">
      <formula>LEFT(N37,8)="Conforme"</formula>
    </cfRule>
    <cfRule type="beginsWith" dxfId="2" priority="59" operator="beginsWith" text="Pendente">
      <formula>LEFT(N37,8)="Pendente"</formula>
    </cfRule>
    <cfRule type="beginsWith" dxfId="2" priority="60" operator="beginsWith" text="Atrasado">
      <formula>LEFT(N37,8)="Atrasado"</formula>
    </cfRule>
    <cfRule type="beginsWith" dxfId="3" priority="61" operator="beginsWith" text="Previsto">
      <formula>LEFT(N37,8)="Previsto"</formula>
    </cfRule>
    <cfRule type="beginsWith" dxfId="1" priority="62" operator="beginsWith" text="Preenchido">
      <formula>LEFT(N37,10)="Preenchido"</formula>
    </cfRule>
    <cfRule type="beginsWith" dxfId="1" priority="63" operator="beginsWith" text="Em dia">
      <formula>LEFT(N37,6)="Em dia"</formula>
    </cfRule>
    <cfRule type="beginsWith" dxfId="4" priority="64" operator="beginsWith" text="Informativo">
      <formula>LEFT(N37,11)="Informativo"</formula>
    </cfRule>
  </conditionalFormatting>
  <conditionalFormatting sqref="N43:P43">
    <cfRule type="beginsWith" dxfId="0" priority="65" operator="beginsWith" text="Não conforme">
      <formula>LEFT(N43,12)="Não conforme"</formula>
    </cfRule>
    <cfRule type="beginsWith" dxfId="1" priority="66" operator="beginsWith" text="Conforme">
      <formula>LEFT(N43,8)="Conforme"</formula>
    </cfRule>
    <cfRule type="beginsWith" dxfId="2" priority="67" operator="beginsWith" text="Pendente">
      <formula>LEFT(N43,8)="Pendente"</formula>
    </cfRule>
    <cfRule type="beginsWith" dxfId="2" priority="68" operator="beginsWith" text="Atrasado">
      <formula>LEFT(N43,8)="Atrasado"</formula>
    </cfRule>
    <cfRule type="beginsWith" dxfId="3" priority="69" operator="beginsWith" text="Previsto">
      <formula>LEFT(N43,8)="Previsto"</formula>
    </cfRule>
    <cfRule type="beginsWith" dxfId="1" priority="70" operator="beginsWith" text="Preenchido">
      <formula>LEFT(N43,10)="Preenchido"</formula>
    </cfRule>
    <cfRule type="beginsWith" dxfId="1" priority="71" operator="beginsWith" text="Em dia">
      <formula>LEFT(N43,6)="Em dia"</formula>
    </cfRule>
    <cfRule type="beginsWith" dxfId="4" priority="72" operator="beginsWith" text="Informativo">
      <formula>LEFT(N43,11)="Informativo"</formula>
    </cfRule>
  </conditionalFormatting>
  <conditionalFormatting sqref="N44:P44">
    <cfRule type="beginsWith" dxfId="0" priority="73" operator="beginsWith" text="Não conforme">
      <formula>LEFT(N44,12)="Não conforme"</formula>
    </cfRule>
    <cfRule type="beginsWith" dxfId="1" priority="74" operator="beginsWith" text="Conforme">
      <formula>LEFT(N44,8)="Conforme"</formula>
    </cfRule>
    <cfRule type="beginsWith" dxfId="2" priority="75" operator="beginsWith" text="Pendente">
      <formula>LEFT(N44,8)="Pendente"</formula>
    </cfRule>
    <cfRule type="beginsWith" dxfId="2" priority="76" operator="beginsWith" text="Atrasado">
      <formula>LEFT(N44,8)="Atrasado"</formula>
    </cfRule>
    <cfRule type="beginsWith" dxfId="3" priority="77" operator="beginsWith" text="Previsto">
      <formula>LEFT(N44,8)="Previsto"</formula>
    </cfRule>
    <cfRule type="beginsWith" dxfId="1" priority="78" operator="beginsWith" text="Preenchido">
      <formula>LEFT(N44,10)="Preenchido"</formula>
    </cfRule>
    <cfRule type="beginsWith" dxfId="1" priority="79" operator="beginsWith" text="Em dia">
      <formula>LEFT(N44,6)="Em dia"</formula>
    </cfRule>
    <cfRule type="beginsWith" dxfId="4" priority="80" operator="beginsWith" text="Informativo">
      <formula>LEFT(N44,11)="Informativo"</formula>
    </cfRule>
  </conditionalFormatting>
  <conditionalFormatting sqref="N45:P45">
    <cfRule type="beginsWith" dxfId="0" priority="81" operator="beginsWith" text="Não conforme">
      <formula>LEFT(N45,12)="Não conforme"</formula>
    </cfRule>
    <cfRule type="beginsWith" dxfId="1" priority="82" operator="beginsWith" text="Conforme">
      <formula>LEFT(N45,8)="Conforme"</formula>
    </cfRule>
    <cfRule type="beginsWith" dxfId="2" priority="83" operator="beginsWith" text="Pendente">
      <formula>LEFT(N45,8)="Pendente"</formula>
    </cfRule>
    <cfRule type="beginsWith" dxfId="2" priority="84" operator="beginsWith" text="Atrasado">
      <formula>LEFT(N45,8)="Atrasado"</formula>
    </cfRule>
    <cfRule type="beginsWith" dxfId="3" priority="85" operator="beginsWith" text="Previsto">
      <formula>LEFT(N45,8)="Previsto"</formula>
    </cfRule>
    <cfRule type="beginsWith" dxfId="1" priority="86" operator="beginsWith" text="Preenchido">
      <formula>LEFT(N45,10)="Preenchido"</formula>
    </cfRule>
    <cfRule type="beginsWith" dxfId="1" priority="87" operator="beginsWith" text="Em dia">
      <formula>LEFT(N45,6)="Em dia"</formula>
    </cfRule>
    <cfRule type="beginsWith" dxfId="4" priority="88" operator="beginsWith" text="Informativo">
      <formula>LEFT(N45,11)="Informativo"</formula>
    </cfRule>
  </conditionalFormatting>
  <dataValidations count="5">
    <dataValidation type="date" operator="greaterThan" allowBlank="1" showInputMessage="1" showErrorMessage="1" error="Digite a data (dd/mm/aaaa)." sqref="D6">
      <formula1>43831</formula1>
    </dataValidation>
    <dataValidation type="list" allowBlank="1" showInputMessage="1" showErrorMessage="1" sqref="G6">
      <formula1>lstTurno</formula1>
    </dataValidation>
    <dataValidation type="list" allowBlank="1" showInputMessage="1" showErrorMessage="1" sqref="I6">
      <formula1>lstLetra</formula1>
    </dataValidation>
    <dataValidation type="list" errorStyle="information" allowBlank="1" showInputMessage="1" showErrorMessage="1" error="Nome fora da lista: confirme para usar mesmo assim." sqref="L6">
      <formula1>lstResp</formula1>
    </dataValidation>
    <dataValidation type="list" allowBlank="1" showInputMessage="1" showErrorMessage="1" sqref="H113:L139">
      <formula1>lstPen</formula1>
    </dataValidation>
  </dataValidations>
  <hyperlinks>
    <hyperlink ref="C11" location="'Lançamento'!C22" display="1. Calibração Blaine"/>
    <hyperlink ref="C12" location="'Lançamento'!C30" display="2. Tambor de abrasão · rotação"/>
    <hyperlink ref="C13" location="'Lançamento'!C40" display="3. Granulometria fina Alpine"/>
    <hyperlink ref="C14" location="'Lançamento'!C48" display="4. Umidade · analisadores x estufa"/>
    <hyperlink ref="C15" location="'Lançamento'!C58" display="5. Compressão · prensas"/>
    <hyperlink ref="C16" location="'Lançamento'!C76" display="6. Granulometria · LTF x LCE"/>
    <hyperlink ref="C17" location="'Lançamento'!C100" display="7. Tamboramento 5 kg x 15 kg"/>
    <hyperlink ref="C18" location="'Lançamento'!C110" display="8. Verificação dos peneiradores"/>
    <hyperlink ref="C19" location="'Lançamento'!C143" display="9. Comparativo Fisher"/>
  </hyperlink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inel">
    <tabColor rgb="FF00335A"/>
    <pageSetUpPr fitToPage="1"/>
  </sheetPr>
  <dimension ref="A1:Q153"/>
  <sheetViews>
    <sheetView showGridLines="0" workbookViewId="0">
      <pane ySplit="6" topLeftCell="A7" activePane="bottomLeft" state="frozen"/>
      <selection pane="bottomLeft"/>
    </sheetView>
  </sheetViews>
  <sheetFormatPr defaultRowHeight="15" x14ac:dyDescent="0.25"/>
  <cols>
    <col min="1" max="1" width="2.28515625" customWidth="1"/>
    <col min="2" max="17" width="11.28515625" customWidth="1"/>
    <col min="18" max="18" width="3.28515625" customWidth="1"/>
    <col min="19" max="19" width="27.7109375" customWidth="1"/>
  </cols>
  <sheetData>
    <row r="1" spans="2:17" ht="12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2:17" ht="34" customHeight="1" x14ac:dyDescent="0.25">
      <c r="B2" s="1"/>
      <c r="C2" s="1"/>
      <c r="D2" s="1"/>
      <c r="E2" s="2" t="s">
        <v>104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4" customHeight="1" x14ac:dyDescent="0.25">
      <c r="B3" s="1"/>
      <c r="C3" s="1"/>
      <c r="D3" s="1"/>
      <c r="E3" s="3" t="s">
        <v>415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6" customHeigh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7" ht="8" customHeight="1" x14ac:dyDescent="0.25"/>
    <row r="6" spans="2:17" ht="26" customHeight="1" x14ac:dyDescent="0.25">
      <c r="B6" s="5" t="s">
        <v>416</v>
      </c>
      <c r="C6" s="5"/>
      <c r="D6" s="6"/>
      <c r="E6" s="6"/>
      <c r="F6" s="57" t="s">
        <v>417</v>
      </c>
      <c r="G6" s="6"/>
      <c r="H6" s="6"/>
      <c r="I6" s="9" t="s">
        <v>418</v>
      </c>
      <c r="J6" s="9"/>
      <c r="K6" s="9"/>
      <c r="L6" s="9"/>
      <c r="M6" s="9"/>
      <c r="N6" s="9"/>
      <c r="O6" s="9"/>
      <c r="P6" s="9"/>
      <c r="Q6" s="9"/>
    </row>
    <row r="8" spans="2:17" ht="18" customHeight="1" x14ac:dyDescent="0.25">
      <c r="B8" s="58" t="s">
        <v>419</v>
      </c>
      <c r="C8" s="58"/>
      <c r="D8" s="58"/>
      <c r="E8" s="58"/>
      <c r="F8" s="58" t="s">
        <v>420</v>
      </c>
      <c r="G8" s="58"/>
      <c r="H8" s="58"/>
      <c r="I8" s="58"/>
      <c r="J8" s="58" t="s">
        <v>421</v>
      </c>
      <c r="K8" s="58"/>
      <c r="L8" s="58"/>
      <c r="M8" s="58"/>
      <c r="N8" s="58" t="s">
        <v>422</v>
      </c>
      <c r="O8" s="58"/>
      <c r="P8" s="58"/>
      <c r="Q8" s="58"/>
    </row>
    <row r="9" spans="2:17" ht="40" customHeight="1" x14ac:dyDescent="0.25">
      <c r="B9" s="59" t="s">
        <v>202</v>
      </c>
      <c r="C9" s="59"/>
      <c r="D9" s="59"/>
      <c r="E9" s="59"/>
      <c r="F9" s="60" t="s">
        <v>202</v>
      </c>
      <c r="G9" s="60"/>
      <c r="H9" s="60"/>
      <c r="I9" s="60"/>
      <c r="J9" s="61" t="s">
        <v>202</v>
      </c>
      <c r="K9" s="61"/>
      <c r="L9" s="61"/>
      <c r="M9" s="61"/>
      <c r="N9" s="62" t="s">
        <v>202</v>
      </c>
      <c r="O9" s="62"/>
      <c r="P9" s="62"/>
      <c r="Q9" s="62"/>
    </row>
    <row r="10" spans="2:17" ht="18" customHeight="1" x14ac:dyDescent="0.25"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</row>
    <row r="12" spans="2:17" ht="24" customHeight="1" x14ac:dyDescent="0.25">
      <c r="B12" s="10" t="s">
        <v>423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2:17" ht="30" customHeight="1" x14ac:dyDescent="0.25">
      <c r="B13" s="11" t="s">
        <v>1</v>
      </c>
      <c r="C13" s="11"/>
      <c r="D13" s="11"/>
      <c r="E13" s="11"/>
      <c r="F13" s="11" t="s">
        <v>424</v>
      </c>
      <c r="G13" s="11"/>
      <c r="H13" s="11" t="s">
        <v>425</v>
      </c>
      <c r="I13" s="11" t="s">
        <v>426</v>
      </c>
      <c r="J13" s="11" t="s">
        <v>427</v>
      </c>
      <c r="K13" s="11" t="s">
        <v>428</v>
      </c>
      <c r="L13" s="11" t="s">
        <v>429</v>
      </c>
      <c r="M13" s="11" t="s">
        <v>420</v>
      </c>
      <c r="N13" s="11" t="s">
        <v>115</v>
      </c>
      <c r="O13" s="11"/>
      <c r="P13" s="11" t="s">
        <v>123</v>
      </c>
      <c r="Q13" s="11"/>
    </row>
    <row r="14" spans="2:17" ht="21" customHeight="1" x14ac:dyDescent="0.25">
      <c r="B14" s="64" t="s">
        <v>301</v>
      </c>
      <c r="C14" s="64"/>
      <c r="D14" s="64"/>
      <c r="E14" s="64"/>
      <c r="F14" s="65"/>
      <c r="G14" s="65"/>
      <c r="H14" s="65"/>
      <c r="I14" s="66"/>
      <c r="J14" s="65"/>
      <c r="K14" s="65"/>
      <c r="L14" s="65"/>
      <c r="M14" s="67"/>
      <c r="N14" s="68"/>
      <c r="O14" s="68"/>
      <c r="P14" s="69"/>
      <c r="Q14" s="69"/>
    </row>
    <row r="15" spans="2:17" ht="21" customHeight="1" x14ac:dyDescent="0.25">
      <c r="B15" s="70" t="s">
        <v>303</v>
      </c>
      <c r="C15" s="70"/>
      <c r="D15" s="70"/>
      <c r="E15" s="70"/>
      <c r="F15" s="71"/>
      <c r="G15" s="71"/>
      <c r="H15" s="71"/>
      <c r="I15" s="72"/>
      <c r="J15" s="71"/>
      <c r="K15" s="71"/>
      <c r="L15" s="71"/>
      <c r="M15" s="73"/>
      <c r="N15" s="74"/>
      <c r="O15" s="74"/>
      <c r="P15" s="75"/>
      <c r="Q15" s="75"/>
    </row>
    <row r="16" spans="2:17" ht="21" customHeight="1" x14ac:dyDescent="0.25">
      <c r="B16" s="64" t="s">
        <v>304</v>
      </c>
      <c r="C16" s="64"/>
      <c r="D16" s="64"/>
      <c r="E16" s="64"/>
      <c r="F16" s="65"/>
      <c r="G16" s="65"/>
      <c r="H16" s="65"/>
      <c r="I16" s="66"/>
      <c r="J16" s="65"/>
      <c r="K16" s="65"/>
      <c r="L16" s="65"/>
      <c r="M16" s="67"/>
      <c r="N16" s="68"/>
      <c r="O16" s="68"/>
      <c r="P16" s="69"/>
      <c r="Q16" s="69"/>
    </row>
    <row r="17" spans="2:17" ht="21" customHeight="1" x14ac:dyDescent="0.25">
      <c r="B17" s="70" t="s">
        <v>305</v>
      </c>
      <c r="C17" s="70"/>
      <c r="D17" s="70"/>
      <c r="E17" s="70"/>
      <c r="F17" s="71"/>
      <c r="G17" s="71"/>
      <c r="H17" s="71"/>
      <c r="I17" s="72"/>
      <c r="J17" s="71"/>
      <c r="K17" s="71"/>
      <c r="L17" s="71"/>
      <c r="M17" s="73"/>
      <c r="N17" s="74"/>
      <c r="O17" s="74"/>
      <c r="P17" s="75"/>
      <c r="Q17" s="75"/>
    </row>
    <row r="18" spans="2:17" ht="21" customHeight="1" x14ac:dyDescent="0.25">
      <c r="B18" s="64" t="s">
        <v>306</v>
      </c>
      <c r="C18" s="64"/>
      <c r="D18" s="64"/>
      <c r="E18" s="64"/>
      <c r="F18" s="65"/>
      <c r="G18" s="65"/>
      <c r="H18" s="65"/>
      <c r="I18" s="66"/>
      <c r="J18" s="65"/>
      <c r="K18" s="65"/>
      <c r="L18" s="65"/>
      <c r="M18" s="67"/>
      <c r="N18" s="68"/>
      <c r="O18" s="68"/>
      <c r="P18" s="69"/>
      <c r="Q18" s="69"/>
    </row>
    <row r="19" spans="2:17" ht="21" customHeight="1" x14ac:dyDescent="0.25">
      <c r="B19" s="70" t="s">
        <v>307</v>
      </c>
      <c r="C19" s="70"/>
      <c r="D19" s="70"/>
      <c r="E19" s="70"/>
      <c r="F19" s="71"/>
      <c r="G19" s="71"/>
      <c r="H19" s="71"/>
      <c r="I19" s="72"/>
      <c r="J19" s="71"/>
      <c r="K19" s="71"/>
      <c r="L19" s="71"/>
      <c r="M19" s="73"/>
      <c r="N19" s="74"/>
      <c r="O19" s="74"/>
      <c r="P19" s="75"/>
      <c r="Q19" s="75"/>
    </row>
    <row r="20" spans="2:17" ht="21" customHeight="1" x14ac:dyDescent="0.25">
      <c r="B20" s="64" t="s">
        <v>308</v>
      </c>
      <c r="C20" s="64"/>
      <c r="D20" s="64"/>
      <c r="E20" s="64"/>
      <c r="F20" s="65"/>
      <c r="G20" s="65"/>
      <c r="H20" s="65"/>
      <c r="I20" s="66"/>
      <c r="J20" s="65"/>
      <c r="K20" s="65"/>
      <c r="L20" s="65"/>
      <c r="M20" s="67"/>
      <c r="N20" s="68"/>
      <c r="O20" s="68"/>
      <c r="P20" s="69"/>
      <c r="Q20" s="69"/>
    </row>
    <row r="21" spans="2:17" ht="21" customHeight="1" x14ac:dyDescent="0.25">
      <c r="B21" s="70" t="s">
        <v>309</v>
      </c>
      <c r="C21" s="70"/>
      <c r="D21" s="70"/>
      <c r="E21" s="70"/>
      <c r="F21" s="71"/>
      <c r="G21" s="71"/>
      <c r="H21" s="71"/>
      <c r="I21" s="72"/>
      <c r="J21" s="71"/>
      <c r="K21" s="71"/>
      <c r="L21" s="71"/>
      <c r="M21" s="73"/>
      <c r="N21" s="74"/>
      <c r="O21" s="74"/>
      <c r="P21" s="75"/>
      <c r="Q21" s="75"/>
    </row>
    <row r="22" spans="2:17" ht="21" customHeight="1" x14ac:dyDescent="0.25">
      <c r="B22" s="64" t="s">
        <v>31</v>
      </c>
      <c r="C22" s="64"/>
      <c r="D22" s="64"/>
      <c r="E22" s="64"/>
      <c r="F22" s="65"/>
      <c r="G22" s="65"/>
      <c r="H22" s="65"/>
      <c r="I22" s="66"/>
      <c r="J22" s="65"/>
      <c r="K22" s="65"/>
      <c r="L22" s="65"/>
      <c r="M22" s="67"/>
      <c r="N22" s="68"/>
      <c r="O22" s="68"/>
      <c r="P22" s="69"/>
      <c r="Q22" s="69"/>
    </row>
    <row r="24" spans="2:17" ht="24" customHeight="1" x14ac:dyDescent="0.25">
      <c r="B24" s="10" t="s">
        <v>430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77" spans="2:17" ht="24" customHeight="1" x14ac:dyDescent="0.25">
      <c r="B77" s="10" t="s">
        <v>431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</row>
    <row r="78" spans="2:17" ht="26" customHeight="1" x14ac:dyDescent="0.25">
      <c r="B78" s="11" t="s">
        <v>1</v>
      </c>
      <c r="C78" s="11"/>
      <c r="D78" s="11" t="s">
        <v>120</v>
      </c>
      <c r="E78" s="11"/>
      <c r="F78" s="11" t="s">
        <v>2</v>
      </c>
      <c r="G78" s="11"/>
      <c r="H78" s="11"/>
      <c r="I78" s="11" t="s">
        <v>334</v>
      </c>
      <c r="J78" s="11" t="s">
        <v>333</v>
      </c>
      <c r="K78" s="11" t="s">
        <v>122</v>
      </c>
      <c r="L78" s="11" t="s">
        <v>432</v>
      </c>
      <c r="M78" s="11"/>
      <c r="N78" s="11" t="s">
        <v>106</v>
      </c>
      <c r="O78" s="11" t="s">
        <v>109</v>
      </c>
      <c r="P78" s="11" t="s">
        <v>123</v>
      </c>
      <c r="Q78" s="11"/>
    </row>
    <row r="79" spans="2:17" ht="18" customHeight="1" x14ac:dyDescent="0.25">
      <c r="B79" s="76" t="s">
        <v>20</v>
      </c>
      <c r="C79" s="76"/>
      <c r="D79" s="77" t="s">
        <v>124</v>
      </c>
      <c r="E79" s="77"/>
      <c r="F79" s="78" t="s">
        <v>21</v>
      </c>
      <c r="G79" s="78"/>
      <c r="H79" s="78"/>
      <c r="I79" s="79"/>
      <c r="J79" s="80"/>
      <c r="K79" s="80"/>
      <c r="L79" s="81"/>
      <c r="M79" s="81"/>
      <c r="N79" s="82"/>
      <c r="O79" s="83"/>
      <c r="P79" s="84"/>
      <c r="Q79" s="84"/>
    </row>
    <row r="80" spans="2:17" ht="18" customHeight="1" x14ac:dyDescent="0.25">
      <c r="B80" s="85" t="s">
        <v>20</v>
      </c>
      <c r="C80" s="85"/>
      <c r="D80" s="86" t="s">
        <v>125</v>
      </c>
      <c r="E80" s="86"/>
      <c r="F80" s="87" t="s">
        <v>25</v>
      </c>
      <c r="G80" s="87"/>
      <c r="H80" s="87"/>
      <c r="I80" s="88"/>
      <c r="J80" s="89"/>
      <c r="K80" s="89"/>
      <c r="L80" s="90"/>
      <c r="M80" s="90"/>
      <c r="N80" s="91"/>
      <c r="O80" s="92"/>
      <c r="P80" s="93"/>
      <c r="Q80" s="93"/>
    </row>
    <row r="81" spans="2:17" ht="18" customHeight="1" x14ac:dyDescent="0.25">
      <c r="B81" s="76" t="s">
        <v>20</v>
      </c>
      <c r="C81" s="76"/>
      <c r="D81" s="77" t="s">
        <v>28</v>
      </c>
      <c r="E81" s="77"/>
      <c r="F81" s="78" t="s">
        <v>28</v>
      </c>
      <c r="G81" s="78"/>
      <c r="H81" s="78"/>
      <c r="I81" s="79"/>
      <c r="J81" s="80"/>
      <c r="K81" s="80"/>
      <c r="L81" s="81"/>
      <c r="M81" s="81"/>
      <c r="N81" s="82"/>
      <c r="O81" s="83"/>
      <c r="P81" s="84"/>
      <c r="Q81" s="84"/>
    </row>
    <row r="82" spans="2:17" ht="18" customHeight="1" x14ac:dyDescent="0.25">
      <c r="B82" s="85" t="s">
        <v>10</v>
      </c>
      <c r="C82" s="85"/>
      <c r="D82" s="86" t="s">
        <v>136</v>
      </c>
      <c r="E82" s="86"/>
      <c r="F82" s="87" t="s">
        <v>11</v>
      </c>
      <c r="G82" s="87"/>
      <c r="H82" s="87"/>
      <c r="I82" s="94"/>
      <c r="J82" s="95"/>
      <c r="K82" s="95"/>
      <c r="L82" s="90"/>
      <c r="M82" s="90"/>
      <c r="N82" s="91"/>
      <c r="O82" s="92"/>
      <c r="P82" s="93"/>
      <c r="Q82" s="93"/>
    </row>
    <row r="83" spans="2:17" ht="18" customHeight="1" x14ac:dyDescent="0.25">
      <c r="B83" s="76" t="s">
        <v>10</v>
      </c>
      <c r="C83" s="76"/>
      <c r="D83" s="77" t="s">
        <v>137</v>
      </c>
      <c r="E83" s="77"/>
      <c r="F83" s="78" t="s">
        <v>11</v>
      </c>
      <c r="G83" s="78"/>
      <c r="H83" s="78"/>
      <c r="I83" s="96"/>
      <c r="J83" s="97"/>
      <c r="K83" s="97"/>
      <c r="L83" s="81"/>
      <c r="M83" s="81"/>
      <c r="N83" s="82"/>
      <c r="O83" s="83"/>
      <c r="P83" s="84"/>
      <c r="Q83" s="84"/>
    </row>
    <row r="84" spans="2:17" ht="18" customHeight="1" x14ac:dyDescent="0.25">
      <c r="B84" s="85" t="s">
        <v>10</v>
      </c>
      <c r="C84" s="85"/>
      <c r="D84" s="86" t="s">
        <v>138</v>
      </c>
      <c r="E84" s="86"/>
      <c r="F84" s="87" t="s">
        <v>11</v>
      </c>
      <c r="G84" s="87"/>
      <c r="H84" s="87"/>
      <c r="I84" s="94"/>
      <c r="J84" s="95"/>
      <c r="K84" s="95"/>
      <c r="L84" s="90"/>
      <c r="M84" s="90"/>
      <c r="N84" s="91"/>
      <c r="O84" s="92"/>
      <c r="P84" s="93"/>
      <c r="Q84" s="93"/>
    </row>
    <row r="85" spans="2:17" ht="18" customHeight="1" x14ac:dyDescent="0.25">
      <c r="B85" s="76" t="s">
        <v>10</v>
      </c>
      <c r="C85" s="76"/>
      <c r="D85" s="77" t="s">
        <v>139</v>
      </c>
      <c r="E85" s="77"/>
      <c r="F85" s="78" t="s">
        <v>11</v>
      </c>
      <c r="G85" s="78"/>
      <c r="H85" s="78"/>
      <c r="I85" s="96"/>
      <c r="J85" s="97"/>
      <c r="K85" s="97"/>
      <c r="L85" s="81"/>
      <c r="M85" s="81"/>
      <c r="N85" s="82"/>
      <c r="O85" s="83"/>
      <c r="P85" s="84"/>
      <c r="Q85" s="84"/>
    </row>
    <row r="86" spans="2:17" ht="18" customHeight="1" x14ac:dyDescent="0.25">
      <c r="B86" s="85" t="s">
        <v>10</v>
      </c>
      <c r="C86" s="85"/>
      <c r="D86" s="86" t="s">
        <v>140</v>
      </c>
      <c r="E86" s="86"/>
      <c r="F86" s="87" t="s">
        <v>11</v>
      </c>
      <c r="G86" s="87"/>
      <c r="H86" s="87"/>
      <c r="I86" s="94"/>
      <c r="J86" s="95"/>
      <c r="K86" s="95"/>
      <c r="L86" s="90"/>
      <c r="M86" s="90"/>
      <c r="N86" s="91"/>
      <c r="O86" s="92"/>
      <c r="P86" s="93"/>
      <c r="Q86" s="93"/>
    </row>
    <row r="87" spans="2:17" ht="18" customHeight="1" x14ac:dyDescent="0.25">
      <c r="B87" s="76" t="s">
        <v>15</v>
      </c>
      <c r="C87" s="76"/>
      <c r="D87" s="77" t="s">
        <v>145</v>
      </c>
      <c r="E87" s="77"/>
      <c r="F87" s="78" t="s">
        <v>406</v>
      </c>
      <c r="G87" s="78"/>
      <c r="H87" s="78"/>
      <c r="I87" s="96"/>
      <c r="J87" s="97"/>
      <c r="K87" s="97"/>
      <c r="L87" s="81"/>
      <c r="M87" s="81"/>
      <c r="N87" s="82"/>
      <c r="O87" s="83"/>
      <c r="P87" s="84"/>
      <c r="Q87" s="84"/>
    </row>
    <row r="88" spans="2:17" ht="18" customHeight="1" x14ac:dyDescent="0.25">
      <c r="B88" s="85" t="s">
        <v>15</v>
      </c>
      <c r="C88" s="85"/>
      <c r="D88" s="86" t="s">
        <v>147</v>
      </c>
      <c r="E88" s="86"/>
      <c r="F88" s="87" t="s">
        <v>407</v>
      </c>
      <c r="G88" s="87"/>
      <c r="H88" s="87"/>
      <c r="I88" s="94"/>
      <c r="J88" s="95"/>
      <c r="K88" s="95"/>
      <c r="L88" s="90"/>
      <c r="M88" s="90"/>
      <c r="N88" s="91"/>
      <c r="O88" s="92"/>
      <c r="P88" s="93"/>
      <c r="Q88" s="93"/>
    </row>
    <row r="89" spans="2:17" ht="18" customHeight="1" x14ac:dyDescent="0.25">
      <c r="B89" s="76" t="s">
        <v>15</v>
      </c>
      <c r="C89" s="76"/>
      <c r="D89" s="77" t="s">
        <v>149</v>
      </c>
      <c r="E89" s="77"/>
      <c r="F89" s="78" t="s">
        <v>407</v>
      </c>
      <c r="G89" s="78"/>
      <c r="H89" s="78"/>
      <c r="I89" s="96"/>
      <c r="J89" s="97"/>
      <c r="K89" s="97"/>
      <c r="L89" s="81"/>
      <c r="M89" s="81"/>
      <c r="N89" s="82"/>
      <c r="O89" s="83"/>
      <c r="P89" s="84"/>
      <c r="Q89" s="84"/>
    </row>
    <row r="90" spans="2:17" ht="18" customHeight="1" x14ac:dyDescent="0.25">
      <c r="B90" s="85" t="s">
        <v>55</v>
      </c>
      <c r="C90" s="85"/>
      <c r="D90" s="86" t="s">
        <v>410</v>
      </c>
      <c r="E90" s="86"/>
      <c r="F90" s="87" t="s">
        <v>55</v>
      </c>
      <c r="G90" s="87"/>
      <c r="H90" s="87"/>
      <c r="I90" s="94"/>
      <c r="J90" s="95"/>
      <c r="K90" s="95"/>
      <c r="L90" s="90"/>
      <c r="M90" s="90"/>
      <c r="N90" s="91"/>
      <c r="O90" s="92"/>
      <c r="P90" s="93"/>
      <c r="Q90" s="93"/>
    </row>
    <row r="91" spans="2:17" ht="18" customHeight="1" x14ac:dyDescent="0.25">
      <c r="B91" s="76" t="s">
        <v>55</v>
      </c>
      <c r="C91" s="76"/>
      <c r="D91" s="77" t="s">
        <v>411</v>
      </c>
      <c r="E91" s="77"/>
      <c r="F91" s="78" t="s">
        <v>55</v>
      </c>
      <c r="G91" s="78"/>
      <c r="H91" s="78"/>
      <c r="I91" s="96"/>
      <c r="J91" s="97"/>
      <c r="K91" s="97"/>
      <c r="L91" s="81"/>
      <c r="M91" s="81"/>
      <c r="N91" s="82"/>
      <c r="O91" s="83"/>
      <c r="P91" s="84"/>
      <c r="Q91" s="84"/>
    </row>
    <row r="92" spans="2:17" ht="18" customHeight="1" x14ac:dyDescent="0.25">
      <c r="B92" s="85" t="s">
        <v>55</v>
      </c>
      <c r="C92" s="85"/>
      <c r="D92" s="86" t="s">
        <v>412</v>
      </c>
      <c r="E92" s="86"/>
      <c r="F92" s="87" t="s">
        <v>55</v>
      </c>
      <c r="G92" s="87"/>
      <c r="H92" s="87"/>
      <c r="I92" s="94"/>
      <c r="J92" s="95"/>
      <c r="K92" s="95"/>
      <c r="L92" s="90"/>
      <c r="M92" s="90"/>
      <c r="N92" s="91"/>
      <c r="O92" s="92"/>
      <c r="P92" s="93"/>
      <c r="Q92" s="93"/>
    </row>
    <row r="93" spans="2:17" ht="18" customHeight="1" x14ac:dyDescent="0.25">
      <c r="B93" s="76" t="s">
        <v>35</v>
      </c>
      <c r="C93" s="76"/>
      <c r="D93" s="77" t="s">
        <v>174</v>
      </c>
      <c r="E93" s="77"/>
      <c r="F93" s="78" t="s">
        <v>414</v>
      </c>
      <c r="G93" s="78"/>
      <c r="H93" s="78"/>
      <c r="I93" s="79"/>
      <c r="J93" s="80"/>
      <c r="K93" s="80"/>
      <c r="L93" s="81"/>
      <c r="M93" s="81"/>
      <c r="N93" s="82"/>
      <c r="O93" s="83"/>
      <c r="P93" s="84"/>
      <c r="Q93" s="84"/>
    </row>
    <row r="94" spans="2:17" ht="18" customHeight="1" x14ac:dyDescent="0.25">
      <c r="B94" s="85" t="s">
        <v>35</v>
      </c>
      <c r="C94" s="85"/>
      <c r="D94" s="86" t="s">
        <v>174</v>
      </c>
      <c r="E94" s="86"/>
      <c r="F94" s="87" t="s">
        <v>433</v>
      </c>
      <c r="G94" s="87"/>
      <c r="H94" s="87"/>
      <c r="I94" s="98"/>
      <c r="J94" s="99"/>
      <c r="K94" s="99"/>
      <c r="L94" s="90"/>
      <c r="M94" s="90"/>
      <c r="N94" s="91"/>
      <c r="O94" s="92"/>
      <c r="P94" s="93"/>
      <c r="Q94" s="93"/>
    </row>
    <row r="95" spans="2:17" ht="18" customHeight="1" x14ac:dyDescent="0.25">
      <c r="B95" s="76" t="s">
        <v>35</v>
      </c>
      <c r="C95" s="76"/>
      <c r="D95" s="77" t="s">
        <v>175</v>
      </c>
      <c r="E95" s="77"/>
      <c r="F95" s="78" t="s">
        <v>414</v>
      </c>
      <c r="G95" s="78"/>
      <c r="H95" s="78"/>
      <c r="I95" s="79"/>
      <c r="J95" s="80"/>
      <c r="K95" s="80"/>
      <c r="L95" s="81"/>
      <c r="M95" s="81"/>
      <c r="N95" s="82"/>
      <c r="O95" s="83"/>
      <c r="P95" s="84"/>
      <c r="Q95" s="84"/>
    </row>
    <row r="96" spans="2:17" ht="18" customHeight="1" x14ac:dyDescent="0.25">
      <c r="B96" s="85" t="s">
        <v>35</v>
      </c>
      <c r="C96" s="85"/>
      <c r="D96" s="86" t="s">
        <v>175</v>
      </c>
      <c r="E96" s="86"/>
      <c r="F96" s="87" t="s">
        <v>433</v>
      </c>
      <c r="G96" s="87"/>
      <c r="H96" s="87"/>
      <c r="I96" s="98"/>
      <c r="J96" s="99"/>
      <c r="K96" s="99"/>
      <c r="L96" s="90"/>
      <c r="M96" s="90"/>
      <c r="N96" s="91"/>
      <c r="O96" s="92"/>
      <c r="P96" s="93"/>
      <c r="Q96" s="93"/>
    </row>
    <row r="97" spans="2:17" ht="18" customHeight="1" x14ac:dyDescent="0.25">
      <c r="B97" s="76" t="s">
        <v>35</v>
      </c>
      <c r="C97" s="76"/>
      <c r="D97" s="77" t="s">
        <v>176</v>
      </c>
      <c r="E97" s="77"/>
      <c r="F97" s="78" t="s">
        <v>414</v>
      </c>
      <c r="G97" s="78"/>
      <c r="H97" s="78"/>
      <c r="I97" s="79"/>
      <c r="J97" s="80"/>
      <c r="K97" s="80"/>
      <c r="L97" s="81"/>
      <c r="M97" s="81"/>
      <c r="N97" s="82"/>
      <c r="O97" s="83"/>
      <c r="P97" s="84"/>
      <c r="Q97" s="84"/>
    </row>
    <row r="98" spans="2:17" ht="18" customHeight="1" x14ac:dyDescent="0.25">
      <c r="B98" s="85" t="s">
        <v>35</v>
      </c>
      <c r="C98" s="85"/>
      <c r="D98" s="86" t="s">
        <v>176</v>
      </c>
      <c r="E98" s="86"/>
      <c r="F98" s="87" t="s">
        <v>433</v>
      </c>
      <c r="G98" s="87"/>
      <c r="H98" s="87"/>
      <c r="I98" s="98"/>
      <c r="J98" s="99"/>
      <c r="K98" s="99"/>
      <c r="L98" s="90"/>
      <c r="M98" s="90"/>
      <c r="N98" s="91"/>
      <c r="O98" s="92"/>
      <c r="P98" s="93"/>
      <c r="Q98" s="93"/>
    </row>
    <row r="99" spans="2:17" ht="18" customHeight="1" x14ac:dyDescent="0.25">
      <c r="B99" s="76" t="s">
        <v>35</v>
      </c>
      <c r="C99" s="76"/>
      <c r="D99" s="77" t="s">
        <v>177</v>
      </c>
      <c r="E99" s="77"/>
      <c r="F99" s="78" t="s">
        <v>414</v>
      </c>
      <c r="G99" s="78"/>
      <c r="H99" s="78"/>
      <c r="I99" s="79"/>
      <c r="J99" s="80"/>
      <c r="K99" s="80"/>
      <c r="L99" s="81"/>
      <c r="M99" s="81"/>
      <c r="N99" s="82"/>
      <c r="O99" s="83"/>
      <c r="P99" s="84"/>
      <c r="Q99" s="84"/>
    </row>
    <row r="100" spans="2:17" ht="18" customHeight="1" x14ac:dyDescent="0.25">
      <c r="B100" s="85" t="s">
        <v>35</v>
      </c>
      <c r="C100" s="85"/>
      <c r="D100" s="86" t="s">
        <v>179</v>
      </c>
      <c r="E100" s="86"/>
      <c r="F100" s="87" t="s">
        <v>414</v>
      </c>
      <c r="G100" s="87"/>
      <c r="H100" s="87"/>
      <c r="I100" s="88"/>
      <c r="J100" s="89"/>
      <c r="K100" s="89"/>
      <c r="L100" s="90"/>
      <c r="M100" s="90"/>
      <c r="N100" s="91"/>
      <c r="O100" s="92"/>
      <c r="P100" s="93"/>
      <c r="Q100" s="93"/>
    </row>
    <row r="101" spans="2:17" ht="18" customHeight="1" x14ac:dyDescent="0.25">
      <c r="B101" s="76" t="s">
        <v>35</v>
      </c>
      <c r="C101" s="76"/>
      <c r="D101" s="77" t="s">
        <v>179</v>
      </c>
      <c r="E101" s="77"/>
      <c r="F101" s="78" t="s">
        <v>433</v>
      </c>
      <c r="G101" s="78"/>
      <c r="H101" s="78"/>
      <c r="I101" s="100"/>
      <c r="J101" s="101"/>
      <c r="K101" s="101"/>
      <c r="L101" s="81"/>
      <c r="M101" s="81"/>
      <c r="N101" s="82"/>
      <c r="O101" s="83"/>
      <c r="P101" s="84"/>
      <c r="Q101" s="84"/>
    </row>
    <row r="102" spans="2:17" ht="18" customHeight="1" x14ac:dyDescent="0.25">
      <c r="B102" s="85" t="s">
        <v>35</v>
      </c>
      <c r="C102" s="85"/>
      <c r="D102" s="86" t="s">
        <v>174</v>
      </c>
      <c r="E102" s="86"/>
      <c r="F102" s="87" t="s">
        <v>434</v>
      </c>
      <c r="G102" s="87"/>
      <c r="H102" s="87"/>
      <c r="I102" s="88"/>
      <c r="J102" s="89"/>
      <c r="K102" s="89"/>
      <c r="L102" s="90"/>
      <c r="M102" s="90"/>
      <c r="N102" s="91"/>
      <c r="O102" s="92"/>
      <c r="P102" s="93"/>
      <c r="Q102" s="93"/>
    </row>
    <row r="103" spans="2:17" ht="18" customHeight="1" x14ac:dyDescent="0.25">
      <c r="B103" s="76" t="s">
        <v>35</v>
      </c>
      <c r="C103" s="76"/>
      <c r="D103" s="77" t="s">
        <v>174</v>
      </c>
      <c r="E103" s="77"/>
      <c r="F103" s="78" t="s">
        <v>435</v>
      </c>
      <c r="G103" s="78"/>
      <c r="H103" s="78"/>
      <c r="I103" s="100"/>
      <c r="J103" s="101"/>
      <c r="K103" s="101"/>
      <c r="L103" s="81"/>
      <c r="M103" s="81"/>
      <c r="N103" s="82"/>
      <c r="O103" s="83"/>
      <c r="P103" s="84"/>
      <c r="Q103" s="84"/>
    </row>
    <row r="104" spans="2:17" ht="18" customHeight="1" x14ac:dyDescent="0.25">
      <c r="B104" s="85" t="s">
        <v>35</v>
      </c>
      <c r="C104" s="85"/>
      <c r="D104" s="86" t="s">
        <v>175</v>
      </c>
      <c r="E104" s="86"/>
      <c r="F104" s="87" t="s">
        <v>434</v>
      </c>
      <c r="G104" s="87"/>
      <c r="H104" s="87"/>
      <c r="I104" s="88"/>
      <c r="J104" s="89"/>
      <c r="K104" s="89"/>
      <c r="L104" s="90"/>
      <c r="M104" s="90"/>
      <c r="N104" s="91"/>
      <c r="O104" s="92"/>
      <c r="P104" s="93"/>
      <c r="Q104" s="93"/>
    </row>
    <row r="105" spans="2:17" ht="18" customHeight="1" x14ac:dyDescent="0.25">
      <c r="B105" s="76" t="s">
        <v>35</v>
      </c>
      <c r="C105" s="76"/>
      <c r="D105" s="77" t="s">
        <v>175</v>
      </c>
      <c r="E105" s="77"/>
      <c r="F105" s="78" t="s">
        <v>435</v>
      </c>
      <c r="G105" s="78"/>
      <c r="H105" s="78"/>
      <c r="I105" s="100"/>
      <c r="J105" s="101"/>
      <c r="K105" s="101"/>
      <c r="L105" s="81"/>
      <c r="M105" s="81"/>
      <c r="N105" s="82"/>
      <c r="O105" s="83"/>
      <c r="P105" s="84"/>
      <c r="Q105" s="84"/>
    </row>
    <row r="106" spans="2:17" ht="18" customHeight="1" x14ac:dyDescent="0.25">
      <c r="B106" s="85" t="s">
        <v>35</v>
      </c>
      <c r="C106" s="85"/>
      <c r="D106" s="86" t="s">
        <v>176</v>
      </c>
      <c r="E106" s="86"/>
      <c r="F106" s="87" t="s">
        <v>434</v>
      </c>
      <c r="G106" s="87"/>
      <c r="H106" s="87"/>
      <c r="I106" s="88"/>
      <c r="J106" s="89"/>
      <c r="K106" s="89"/>
      <c r="L106" s="90"/>
      <c r="M106" s="90"/>
      <c r="N106" s="91"/>
      <c r="O106" s="92"/>
      <c r="P106" s="93"/>
      <c r="Q106" s="93"/>
    </row>
    <row r="107" spans="2:17" ht="18" customHeight="1" x14ac:dyDescent="0.25">
      <c r="B107" s="76" t="s">
        <v>35</v>
      </c>
      <c r="C107" s="76"/>
      <c r="D107" s="77" t="s">
        <v>176</v>
      </c>
      <c r="E107" s="77"/>
      <c r="F107" s="78" t="s">
        <v>435</v>
      </c>
      <c r="G107" s="78"/>
      <c r="H107" s="78"/>
      <c r="I107" s="100"/>
      <c r="J107" s="101"/>
      <c r="K107" s="101"/>
      <c r="L107" s="81"/>
      <c r="M107" s="81"/>
      <c r="N107" s="82"/>
      <c r="O107" s="83"/>
      <c r="P107" s="84"/>
      <c r="Q107" s="84"/>
    </row>
    <row r="108" spans="2:17" ht="18" customHeight="1" x14ac:dyDescent="0.25">
      <c r="B108" s="85" t="s">
        <v>35</v>
      </c>
      <c r="C108" s="85"/>
      <c r="D108" s="86" t="s">
        <v>177</v>
      </c>
      <c r="E108" s="86"/>
      <c r="F108" s="87" t="s">
        <v>434</v>
      </c>
      <c r="G108" s="87"/>
      <c r="H108" s="87"/>
      <c r="I108" s="88"/>
      <c r="J108" s="89"/>
      <c r="K108" s="89"/>
      <c r="L108" s="90"/>
      <c r="M108" s="90"/>
      <c r="N108" s="91"/>
      <c r="O108" s="92"/>
      <c r="P108" s="93"/>
      <c r="Q108" s="93"/>
    </row>
    <row r="109" spans="2:17" ht="18" customHeight="1" x14ac:dyDescent="0.25">
      <c r="B109" s="76" t="s">
        <v>35</v>
      </c>
      <c r="C109" s="76"/>
      <c r="D109" s="77" t="s">
        <v>179</v>
      </c>
      <c r="E109" s="77"/>
      <c r="F109" s="78" t="s">
        <v>434</v>
      </c>
      <c r="G109" s="78"/>
      <c r="H109" s="78"/>
      <c r="I109" s="79"/>
      <c r="J109" s="80"/>
      <c r="K109" s="80"/>
      <c r="L109" s="81"/>
      <c r="M109" s="81"/>
      <c r="N109" s="82"/>
      <c r="O109" s="83"/>
      <c r="P109" s="84"/>
      <c r="Q109" s="84"/>
    </row>
    <row r="110" spans="2:17" ht="18" customHeight="1" x14ac:dyDescent="0.25">
      <c r="B110" s="85" t="s">
        <v>35</v>
      </c>
      <c r="C110" s="85"/>
      <c r="D110" s="86" t="s">
        <v>179</v>
      </c>
      <c r="E110" s="86"/>
      <c r="F110" s="87" t="s">
        <v>435</v>
      </c>
      <c r="G110" s="87"/>
      <c r="H110" s="87"/>
      <c r="I110" s="98"/>
      <c r="J110" s="99"/>
      <c r="K110" s="99"/>
      <c r="L110" s="90"/>
      <c r="M110" s="90"/>
      <c r="N110" s="91"/>
      <c r="O110" s="92"/>
      <c r="P110" s="93"/>
      <c r="Q110" s="93"/>
    </row>
    <row r="111" spans="2:17" ht="18" customHeight="1" x14ac:dyDescent="0.25">
      <c r="B111" s="76" t="s">
        <v>47</v>
      </c>
      <c r="C111" s="76"/>
      <c r="D111" s="77" t="s">
        <v>436</v>
      </c>
      <c r="E111" s="77"/>
      <c r="F111" s="78" t="s">
        <v>48</v>
      </c>
      <c r="G111" s="78"/>
      <c r="H111" s="78"/>
      <c r="I111" s="96"/>
      <c r="J111" s="97"/>
      <c r="K111" s="97"/>
      <c r="L111" s="81"/>
      <c r="M111" s="81"/>
      <c r="N111" s="82"/>
      <c r="O111" s="83"/>
      <c r="P111" s="84"/>
      <c r="Q111" s="84"/>
    </row>
    <row r="112" spans="2:17" ht="18" customHeight="1" x14ac:dyDescent="0.25">
      <c r="B112" s="85" t="s">
        <v>47</v>
      </c>
      <c r="C112" s="85"/>
      <c r="D112" s="86" t="s">
        <v>436</v>
      </c>
      <c r="E112" s="86"/>
      <c r="F112" s="87" t="s">
        <v>51</v>
      </c>
      <c r="G112" s="87"/>
      <c r="H112" s="87"/>
      <c r="I112" s="94"/>
      <c r="J112" s="95"/>
      <c r="K112" s="95"/>
      <c r="L112" s="90"/>
      <c r="M112" s="90"/>
      <c r="N112" s="91"/>
      <c r="O112" s="92"/>
      <c r="P112" s="93"/>
      <c r="Q112" s="93"/>
    </row>
    <row r="113" spans="2:17" ht="18" customHeight="1" x14ac:dyDescent="0.25">
      <c r="B113" s="76" t="s">
        <v>47</v>
      </c>
      <c r="C113" s="76"/>
      <c r="D113" s="77" t="s">
        <v>436</v>
      </c>
      <c r="E113" s="77"/>
      <c r="F113" s="78" t="s">
        <v>201</v>
      </c>
      <c r="G113" s="78"/>
      <c r="H113" s="78"/>
      <c r="I113" s="96"/>
      <c r="J113" s="97"/>
      <c r="K113" s="97"/>
      <c r="L113" s="81"/>
      <c r="M113" s="81"/>
      <c r="N113" s="82"/>
      <c r="O113" s="83"/>
      <c r="P113" s="84"/>
      <c r="Q113" s="84"/>
    </row>
    <row r="114" spans="2:17" ht="18" customHeight="1" x14ac:dyDescent="0.25">
      <c r="B114" s="85" t="s">
        <v>47</v>
      </c>
      <c r="C114" s="85"/>
      <c r="D114" s="86" t="s">
        <v>436</v>
      </c>
      <c r="E114" s="86"/>
      <c r="F114" s="87" t="s">
        <v>203</v>
      </c>
      <c r="G114" s="87"/>
      <c r="H114" s="87"/>
      <c r="I114" s="94"/>
      <c r="J114" s="95"/>
      <c r="K114" s="95"/>
      <c r="L114" s="90"/>
      <c r="M114" s="90"/>
      <c r="N114" s="91"/>
      <c r="O114" s="92"/>
      <c r="P114" s="93"/>
      <c r="Q114" s="93"/>
    </row>
    <row r="115" spans="2:17" ht="18" customHeight="1" x14ac:dyDescent="0.25">
      <c r="B115" s="76" t="s">
        <v>47</v>
      </c>
      <c r="C115" s="76"/>
      <c r="D115" s="77" t="s">
        <v>436</v>
      </c>
      <c r="E115" s="77"/>
      <c r="F115" s="78" t="s">
        <v>204</v>
      </c>
      <c r="G115" s="78"/>
      <c r="H115" s="78"/>
      <c r="I115" s="96"/>
      <c r="J115" s="97"/>
      <c r="K115" s="97"/>
      <c r="L115" s="81"/>
      <c r="M115" s="81"/>
      <c r="N115" s="82"/>
      <c r="O115" s="83"/>
      <c r="P115" s="84"/>
      <c r="Q115" s="84"/>
    </row>
    <row r="116" spans="2:17" ht="18" customHeight="1" x14ac:dyDescent="0.25">
      <c r="B116" s="85" t="s">
        <v>58</v>
      </c>
      <c r="C116" s="85"/>
      <c r="D116" s="86" t="s">
        <v>437</v>
      </c>
      <c r="E116" s="86"/>
      <c r="F116" s="87" t="s">
        <v>59</v>
      </c>
      <c r="G116" s="87"/>
      <c r="H116" s="87"/>
      <c r="I116" s="94"/>
      <c r="J116" s="95"/>
      <c r="K116" s="95"/>
      <c r="L116" s="90"/>
      <c r="M116" s="90"/>
      <c r="N116" s="91"/>
      <c r="O116" s="92"/>
      <c r="P116" s="93"/>
      <c r="Q116" s="93"/>
    </row>
    <row r="117" spans="2:17" ht="18" customHeight="1" x14ac:dyDescent="0.25">
      <c r="B117" s="76" t="s">
        <v>58</v>
      </c>
      <c r="C117" s="76"/>
      <c r="D117" s="77" t="s">
        <v>437</v>
      </c>
      <c r="E117" s="77"/>
      <c r="F117" s="78" t="s">
        <v>219</v>
      </c>
      <c r="G117" s="78"/>
      <c r="H117" s="78"/>
      <c r="I117" s="96"/>
      <c r="J117" s="97"/>
      <c r="K117" s="97"/>
      <c r="L117" s="81"/>
      <c r="M117" s="81"/>
      <c r="N117" s="82"/>
      <c r="O117" s="83"/>
      <c r="P117" s="84"/>
      <c r="Q117" s="84"/>
    </row>
    <row r="118" spans="2:17" ht="18" customHeight="1" x14ac:dyDescent="0.25">
      <c r="B118" s="85" t="s">
        <v>31</v>
      </c>
      <c r="C118" s="85"/>
      <c r="D118" s="86" t="s">
        <v>438</v>
      </c>
      <c r="E118" s="86"/>
      <c r="F118" s="87" t="s">
        <v>32</v>
      </c>
      <c r="G118" s="87"/>
      <c r="H118" s="87"/>
      <c r="I118" s="88"/>
      <c r="J118" s="89"/>
      <c r="K118" s="89"/>
      <c r="L118" s="90"/>
      <c r="M118" s="90"/>
      <c r="N118" s="91"/>
      <c r="O118" s="92"/>
      <c r="P118" s="93"/>
      <c r="Q118" s="93"/>
    </row>
    <row r="120" spans="2:17" ht="24" customHeight="1" x14ac:dyDescent="0.25">
      <c r="B120" s="10" t="s">
        <v>439</v>
      </c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</row>
    <row r="121" spans="2:17" ht="26" customHeight="1" x14ac:dyDescent="0.25">
      <c r="B121" s="11" t="s">
        <v>222</v>
      </c>
      <c r="C121" s="11"/>
      <c r="D121" s="11"/>
      <c r="E121" s="11"/>
      <c r="F121" s="11" t="s">
        <v>106</v>
      </c>
      <c r="G121" s="11"/>
      <c r="H121" s="11" t="s">
        <v>440</v>
      </c>
      <c r="I121" s="11"/>
      <c r="J121" s="11" t="s">
        <v>441</v>
      </c>
      <c r="K121" s="11"/>
      <c r="L121" s="11" t="s">
        <v>442</v>
      </c>
      <c r="M121" s="11"/>
      <c r="N121" s="11" t="s">
        <v>109</v>
      </c>
      <c r="O121" s="11"/>
      <c r="P121" s="11" t="s">
        <v>123</v>
      </c>
      <c r="Q121" s="11"/>
    </row>
    <row r="122" spans="2:17" ht="20" customHeight="1" x14ac:dyDescent="0.25">
      <c r="B122" s="64" t="s">
        <v>231</v>
      </c>
      <c r="C122" s="64"/>
      <c r="D122" s="64"/>
      <c r="E122" s="64"/>
      <c r="F122" s="68"/>
      <c r="G122" s="68"/>
      <c r="H122" s="65"/>
      <c r="I122" s="65"/>
      <c r="J122" s="65"/>
      <c r="K122" s="65"/>
      <c r="L122" s="65"/>
      <c r="M122" s="65"/>
      <c r="N122" s="69"/>
      <c r="O122" s="69"/>
      <c r="P122" s="69"/>
      <c r="Q122" s="69"/>
    </row>
    <row r="123" spans="2:17" ht="20" customHeight="1" x14ac:dyDescent="0.25">
      <c r="B123" s="70" t="s">
        <v>253</v>
      </c>
      <c r="C123" s="70"/>
      <c r="D123" s="70"/>
      <c r="E123" s="70"/>
      <c r="F123" s="74"/>
      <c r="G123" s="74"/>
      <c r="H123" s="71"/>
      <c r="I123" s="71"/>
      <c r="J123" s="71"/>
      <c r="K123" s="71"/>
      <c r="L123" s="71"/>
      <c r="M123" s="71"/>
      <c r="N123" s="75"/>
      <c r="O123" s="75"/>
      <c r="P123" s="75"/>
      <c r="Q123" s="75"/>
    </row>
    <row r="124" spans="2:17" ht="20" customHeight="1" x14ac:dyDescent="0.25">
      <c r="B124" s="64" t="s">
        <v>262</v>
      </c>
      <c r="C124" s="64"/>
      <c r="D124" s="64"/>
      <c r="E124" s="64"/>
      <c r="F124" s="68"/>
      <c r="G124" s="68"/>
      <c r="H124" s="65"/>
      <c r="I124" s="65"/>
      <c r="J124" s="65"/>
      <c r="K124" s="65"/>
      <c r="L124" s="65"/>
      <c r="M124" s="65"/>
      <c r="N124" s="69"/>
      <c r="O124" s="69"/>
      <c r="P124" s="69"/>
      <c r="Q124" s="69"/>
    </row>
    <row r="125" spans="2:17" ht="20" customHeight="1" x14ac:dyDescent="0.25">
      <c r="B125" s="70" t="s">
        <v>268</v>
      </c>
      <c r="C125" s="70"/>
      <c r="D125" s="70"/>
      <c r="E125" s="70"/>
      <c r="F125" s="74"/>
      <c r="G125" s="74"/>
      <c r="H125" s="71"/>
      <c r="I125" s="71"/>
      <c r="J125" s="71"/>
      <c r="K125" s="71"/>
      <c r="L125" s="71"/>
      <c r="M125" s="71"/>
      <c r="N125" s="75"/>
      <c r="O125" s="75"/>
      <c r="P125" s="75"/>
      <c r="Q125" s="75"/>
    </row>
    <row r="127" spans="2:17" ht="24" customHeight="1" x14ac:dyDescent="0.25">
      <c r="B127" s="102" t="s">
        <v>443</v>
      </c>
      <c r="C127" s="102"/>
      <c r="D127" s="102"/>
      <c r="E127" s="102"/>
      <c r="F127" s="102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  <c r="Q127" s="102"/>
    </row>
    <row r="128" spans="2:17" ht="26" customHeight="1" x14ac:dyDescent="0.25">
      <c r="B128" s="103" t="s">
        <v>106</v>
      </c>
      <c r="C128" s="103" t="s">
        <v>107</v>
      </c>
      <c r="D128" s="103" t="s">
        <v>1</v>
      </c>
      <c r="E128" s="103"/>
      <c r="F128" s="103" t="s">
        <v>120</v>
      </c>
      <c r="G128" s="103"/>
      <c r="H128" s="103" t="s">
        <v>2</v>
      </c>
      <c r="I128" s="103"/>
      <c r="J128" s="103"/>
      <c r="K128" s="103" t="s">
        <v>334</v>
      </c>
      <c r="L128" s="103" t="s">
        <v>333</v>
      </c>
      <c r="M128" s="103" t="s">
        <v>432</v>
      </c>
      <c r="N128" s="103" t="s">
        <v>109</v>
      </c>
      <c r="O128" s="103" t="s">
        <v>126</v>
      </c>
      <c r="P128" s="103"/>
      <c r="Q128" s="103"/>
    </row>
    <row r="129" spans="2:17" ht="18" customHeight="1" x14ac:dyDescent="0.25">
      <c r="B129" s="82"/>
      <c r="C129" s="104"/>
      <c r="D129" s="104"/>
      <c r="E129" s="104"/>
      <c r="F129" s="104"/>
      <c r="G129" s="104"/>
      <c r="H129" s="104"/>
      <c r="I129" s="104"/>
      <c r="J129" s="104"/>
      <c r="K129" s="105"/>
      <c r="L129" s="105"/>
      <c r="M129" s="104"/>
      <c r="N129" s="104"/>
      <c r="O129" s="106"/>
      <c r="P129" s="106"/>
      <c r="Q129" s="106"/>
    </row>
    <row r="130" spans="2:17" ht="18" customHeight="1" x14ac:dyDescent="0.25">
      <c r="B130" s="107"/>
      <c r="C130" s="108"/>
      <c r="D130" s="108"/>
      <c r="E130" s="108"/>
      <c r="F130" s="108"/>
      <c r="G130" s="108"/>
      <c r="H130" s="108"/>
      <c r="I130" s="108"/>
      <c r="J130" s="108"/>
      <c r="K130" s="109"/>
      <c r="L130" s="109"/>
      <c r="M130" s="108"/>
      <c r="N130" s="108"/>
      <c r="O130" s="110"/>
      <c r="P130" s="110"/>
      <c r="Q130" s="110"/>
    </row>
    <row r="131" spans="2:17" ht="18" customHeight="1" x14ac:dyDescent="0.25">
      <c r="B131" s="82"/>
      <c r="C131" s="104"/>
      <c r="D131" s="104"/>
      <c r="E131" s="104"/>
      <c r="F131" s="104"/>
      <c r="G131" s="104"/>
      <c r="H131" s="104"/>
      <c r="I131" s="104"/>
      <c r="J131" s="104"/>
      <c r="K131" s="105"/>
      <c r="L131" s="105"/>
      <c r="M131" s="104"/>
      <c r="N131" s="104"/>
      <c r="O131" s="106"/>
      <c r="P131" s="106"/>
      <c r="Q131" s="106"/>
    </row>
    <row r="132" spans="2:17" ht="18" customHeight="1" x14ac:dyDescent="0.25">
      <c r="B132" s="107"/>
      <c r="C132" s="108"/>
      <c r="D132" s="108"/>
      <c r="E132" s="108"/>
      <c r="F132" s="108"/>
      <c r="G132" s="108"/>
      <c r="H132" s="108"/>
      <c r="I132" s="108"/>
      <c r="J132" s="108"/>
      <c r="K132" s="109"/>
      <c r="L132" s="109"/>
      <c r="M132" s="108"/>
      <c r="N132" s="108"/>
      <c r="O132" s="110"/>
      <c r="P132" s="110"/>
      <c r="Q132" s="110"/>
    </row>
    <row r="133" spans="2:17" ht="18" customHeight="1" x14ac:dyDescent="0.25">
      <c r="B133" s="82"/>
      <c r="C133" s="104"/>
      <c r="D133" s="104"/>
      <c r="E133" s="104"/>
      <c r="F133" s="104"/>
      <c r="G133" s="104"/>
      <c r="H133" s="104"/>
      <c r="I133" s="104"/>
      <c r="J133" s="104"/>
      <c r="K133" s="105"/>
      <c r="L133" s="105"/>
      <c r="M133" s="104"/>
      <c r="N133" s="104"/>
      <c r="O133" s="106"/>
      <c r="P133" s="106"/>
      <c r="Q133" s="106"/>
    </row>
    <row r="134" spans="2:17" ht="18" customHeight="1" x14ac:dyDescent="0.25">
      <c r="B134" s="107"/>
      <c r="C134" s="108"/>
      <c r="D134" s="108"/>
      <c r="E134" s="108"/>
      <c r="F134" s="108"/>
      <c r="G134" s="108"/>
      <c r="H134" s="108"/>
      <c r="I134" s="108"/>
      <c r="J134" s="108"/>
      <c r="K134" s="109"/>
      <c r="L134" s="109"/>
      <c r="M134" s="108"/>
      <c r="N134" s="108"/>
      <c r="O134" s="110"/>
      <c r="P134" s="110"/>
      <c r="Q134" s="110"/>
    </row>
    <row r="135" spans="2:17" ht="18" customHeight="1" x14ac:dyDescent="0.25">
      <c r="B135" s="82"/>
      <c r="C135" s="104"/>
      <c r="D135" s="104"/>
      <c r="E135" s="104"/>
      <c r="F135" s="104"/>
      <c r="G135" s="104"/>
      <c r="H135" s="104"/>
      <c r="I135" s="104"/>
      <c r="J135" s="104"/>
      <c r="K135" s="105"/>
      <c r="L135" s="105"/>
      <c r="M135" s="104"/>
      <c r="N135" s="104"/>
      <c r="O135" s="106"/>
      <c r="P135" s="106"/>
      <c r="Q135" s="106"/>
    </row>
    <row r="136" spans="2:17" ht="18" customHeight="1" x14ac:dyDescent="0.25">
      <c r="B136" s="107"/>
      <c r="C136" s="108"/>
      <c r="D136" s="108"/>
      <c r="E136" s="108"/>
      <c r="F136" s="108"/>
      <c r="G136" s="108"/>
      <c r="H136" s="108"/>
      <c r="I136" s="108"/>
      <c r="J136" s="108"/>
      <c r="K136" s="109"/>
      <c r="L136" s="109"/>
      <c r="M136" s="108"/>
      <c r="N136" s="108"/>
      <c r="O136" s="110"/>
      <c r="P136" s="110"/>
      <c r="Q136" s="110"/>
    </row>
    <row r="137" spans="2:17" ht="18" customHeight="1" x14ac:dyDescent="0.25">
      <c r="B137" s="82"/>
      <c r="C137" s="104"/>
      <c r="D137" s="104"/>
      <c r="E137" s="104"/>
      <c r="F137" s="104"/>
      <c r="G137" s="104"/>
      <c r="H137" s="104"/>
      <c r="I137" s="104"/>
      <c r="J137" s="104"/>
      <c r="K137" s="105"/>
      <c r="L137" s="105"/>
      <c r="M137" s="104"/>
      <c r="N137" s="104"/>
      <c r="O137" s="106"/>
      <c r="P137" s="106"/>
      <c r="Q137" s="106"/>
    </row>
    <row r="138" spans="2:17" ht="18" customHeight="1" x14ac:dyDescent="0.25">
      <c r="B138" s="107"/>
      <c r="C138" s="108"/>
      <c r="D138" s="108"/>
      <c r="E138" s="108"/>
      <c r="F138" s="108"/>
      <c r="G138" s="108"/>
      <c r="H138" s="108"/>
      <c r="I138" s="108"/>
      <c r="J138" s="108"/>
      <c r="K138" s="109"/>
      <c r="L138" s="109"/>
      <c r="M138" s="108"/>
      <c r="N138" s="108"/>
      <c r="O138" s="110"/>
      <c r="P138" s="110"/>
      <c r="Q138" s="110"/>
    </row>
    <row r="139" spans="2:17" ht="18" customHeight="1" x14ac:dyDescent="0.25">
      <c r="B139" s="82"/>
      <c r="C139" s="104"/>
      <c r="D139" s="104"/>
      <c r="E139" s="104"/>
      <c r="F139" s="104"/>
      <c r="G139" s="104"/>
      <c r="H139" s="104"/>
      <c r="I139" s="104"/>
      <c r="J139" s="104"/>
      <c r="K139" s="105"/>
      <c r="L139" s="105"/>
      <c r="M139" s="104"/>
      <c r="N139" s="104"/>
      <c r="O139" s="106"/>
      <c r="P139" s="106"/>
      <c r="Q139" s="106"/>
    </row>
    <row r="140" spans="2:17" ht="18" customHeight="1" x14ac:dyDescent="0.25">
      <c r="B140" s="107"/>
      <c r="C140" s="108"/>
      <c r="D140" s="108"/>
      <c r="E140" s="108"/>
      <c r="F140" s="108"/>
      <c r="G140" s="108"/>
      <c r="H140" s="108"/>
      <c r="I140" s="108"/>
      <c r="J140" s="108"/>
      <c r="K140" s="109"/>
      <c r="L140" s="109"/>
      <c r="M140" s="108"/>
      <c r="N140" s="108"/>
      <c r="O140" s="110"/>
      <c r="P140" s="110"/>
      <c r="Q140" s="110"/>
    </row>
    <row r="141" spans="2:17" ht="18" customHeight="1" x14ac:dyDescent="0.25">
      <c r="B141" s="82"/>
      <c r="C141" s="104"/>
      <c r="D141" s="104"/>
      <c r="E141" s="104"/>
      <c r="F141" s="104"/>
      <c r="G141" s="104"/>
      <c r="H141" s="104"/>
      <c r="I141" s="104"/>
      <c r="J141" s="104"/>
      <c r="K141" s="105"/>
      <c r="L141" s="105"/>
      <c r="M141" s="104"/>
      <c r="N141" s="104"/>
      <c r="O141" s="106"/>
      <c r="P141" s="106"/>
      <c r="Q141" s="106"/>
    </row>
    <row r="142" spans="2:17" ht="18" customHeight="1" x14ac:dyDescent="0.25">
      <c r="B142" s="107"/>
      <c r="C142" s="108"/>
      <c r="D142" s="108"/>
      <c r="E142" s="108"/>
      <c r="F142" s="108"/>
      <c r="G142" s="108"/>
      <c r="H142" s="108"/>
      <c r="I142" s="108"/>
      <c r="J142" s="108"/>
      <c r="K142" s="109"/>
      <c r="L142" s="109"/>
      <c r="M142" s="108"/>
      <c r="N142" s="108"/>
      <c r="O142" s="110"/>
      <c r="P142" s="110"/>
      <c r="Q142" s="110"/>
    </row>
    <row r="143" spans="2:17" ht="18" customHeight="1" x14ac:dyDescent="0.25">
      <c r="B143" s="82"/>
      <c r="C143" s="104"/>
      <c r="D143" s="104"/>
      <c r="E143" s="104"/>
      <c r="F143" s="104"/>
      <c r="G143" s="104"/>
      <c r="H143" s="104"/>
      <c r="I143" s="104"/>
      <c r="J143" s="104"/>
      <c r="K143" s="105"/>
      <c r="L143" s="105"/>
      <c r="M143" s="104"/>
      <c r="N143" s="104"/>
      <c r="O143" s="106"/>
      <c r="P143" s="106"/>
      <c r="Q143" s="106"/>
    </row>
    <row r="144" spans="2:17" ht="18" customHeight="1" x14ac:dyDescent="0.25">
      <c r="B144" s="107"/>
      <c r="C144" s="108"/>
      <c r="D144" s="108"/>
      <c r="E144" s="108"/>
      <c r="F144" s="108"/>
      <c r="G144" s="108"/>
      <c r="H144" s="108"/>
      <c r="I144" s="108"/>
      <c r="J144" s="108"/>
      <c r="K144" s="109"/>
      <c r="L144" s="109"/>
      <c r="M144" s="108"/>
      <c r="N144" s="108"/>
      <c r="O144" s="110"/>
      <c r="P144" s="110"/>
      <c r="Q144" s="110"/>
    </row>
    <row r="145" spans="2:17" ht="18" customHeight="1" x14ac:dyDescent="0.25">
      <c r="B145" s="82"/>
      <c r="C145" s="104"/>
      <c r="D145" s="104"/>
      <c r="E145" s="104"/>
      <c r="F145" s="104"/>
      <c r="G145" s="104"/>
      <c r="H145" s="104"/>
      <c r="I145" s="104"/>
      <c r="J145" s="104"/>
      <c r="K145" s="105"/>
      <c r="L145" s="105"/>
      <c r="M145" s="104"/>
      <c r="N145" s="104"/>
      <c r="O145" s="106"/>
      <c r="P145" s="106"/>
      <c r="Q145" s="106"/>
    </row>
    <row r="146" spans="2:17" ht="18" customHeight="1" x14ac:dyDescent="0.25">
      <c r="B146" s="107"/>
      <c r="C146" s="108"/>
      <c r="D146" s="108"/>
      <c r="E146" s="108"/>
      <c r="F146" s="108"/>
      <c r="G146" s="108"/>
      <c r="H146" s="108"/>
      <c r="I146" s="108"/>
      <c r="J146" s="108"/>
      <c r="K146" s="109"/>
      <c r="L146" s="109"/>
      <c r="M146" s="108"/>
      <c r="N146" s="108"/>
      <c r="O146" s="110"/>
      <c r="P146" s="110"/>
      <c r="Q146" s="110"/>
    </row>
    <row r="147" spans="2:17" ht="18" customHeight="1" x14ac:dyDescent="0.25">
      <c r="B147" s="82"/>
      <c r="C147" s="104"/>
      <c r="D147" s="104"/>
      <c r="E147" s="104"/>
      <c r="F147" s="104"/>
      <c r="G147" s="104"/>
      <c r="H147" s="104"/>
      <c r="I147" s="104"/>
      <c r="J147" s="104"/>
      <c r="K147" s="105"/>
      <c r="L147" s="105"/>
      <c r="M147" s="104"/>
      <c r="N147" s="104"/>
      <c r="O147" s="106"/>
      <c r="P147" s="106"/>
      <c r="Q147" s="106"/>
    </row>
    <row r="148" spans="2:17" ht="18" customHeight="1" x14ac:dyDescent="0.25">
      <c r="B148" s="107"/>
      <c r="C148" s="108"/>
      <c r="D148" s="108"/>
      <c r="E148" s="108"/>
      <c r="F148" s="108"/>
      <c r="G148" s="108"/>
      <c r="H148" s="108"/>
      <c r="I148" s="108"/>
      <c r="J148" s="108"/>
      <c r="K148" s="109"/>
      <c r="L148" s="109"/>
      <c r="M148" s="108"/>
      <c r="N148" s="108"/>
      <c r="O148" s="110"/>
      <c r="P148" s="110"/>
      <c r="Q148" s="110"/>
    </row>
    <row r="149" spans="2:17" ht="18" customHeight="1" x14ac:dyDescent="0.25">
      <c r="B149" s="82"/>
      <c r="C149" s="104"/>
      <c r="D149" s="104"/>
      <c r="E149" s="104"/>
      <c r="F149" s="104"/>
      <c r="G149" s="104"/>
      <c r="H149" s="104"/>
      <c r="I149" s="104"/>
      <c r="J149" s="104"/>
      <c r="K149" s="105"/>
      <c r="L149" s="105"/>
      <c r="M149" s="104"/>
      <c r="N149" s="104"/>
      <c r="O149" s="106"/>
      <c r="P149" s="106"/>
      <c r="Q149" s="106"/>
    </row>
    <row r="150" spans="2:17" ht="18" customHeight="1" x14ac:dyDescent="0.25">
      <c r="B150" s="107"/>
      <c r="C150" s="108"/>
      <c r="D150" s="108"/>
      <c r="E150" s="108"/>
      <c r="F150" s="108"/>
      <c r="G150" s="108"/>
      <c r="H150" s="108"/>
      <c r="I150" s="108"/>
      <c r="J150" s="108"/>
      <c r="K150" s="109"/>
      <c r="L150" s="109"/>
      <c r="M150" s="108"/>
      <c r="N150" s="108"/>
      <c r="O150" s="110"/>
      <c r="P150" s="110"/>
      <c r="Q150" s="110"/>
    </row>
    <row r="151" spans="2:17" ht="18" customHeight="1" x14ac:dyDescent="0.25">
      <c r="B151" s="82"/>
      <c r="C151" s="104"/>
      <c r="D151" s="104"/>
      <c r="E151" s="104"/>
      <c r="F151" s="104"/>
      <c r="G151" s="104"/>
      <c r="H151" s="104"/>
      <c r="I151" s="104"/>
      <c r="J151" s="104"/>
      <c r="K151" s="105"/>
      <c r="L151" s="105"/>
      <c r="M151" s="104"/>
      <c r="N151" s="104"/>
      <c r="O151" s="106"/>
      <c r="P151" s="106"/>
      <c r="Q151" s="106"/>
    </row>
    <row r="152" spans="2:17" ht="18" customHeight="1" x14ac:dyDescent="0.25">
      <c r="B152" s="107"/>
      <c r="C152" s="108"/>
      <c r="D152" s="108"/>
      <c r="E152" s="108"/>
      <c r="F152" s="108"/>
      <c r="G152" s="108"/>
      <c r="H152" s="108"/>
      <c r="I152" s="108"/>
      <c r="J152" s="108"/>
      <c r="K152" s="109"/>
      <c r="L152" s="109"/>
      <c r="M152" s="108"/>
      <c r="N152" s="108"/>
      <c r="O152" s="110"/>
      <c r="P152" s="110"/>
      <c r="Q152" s="110"/>
    </row>
    <row r="153" spans="2:17" ht="18" customHeight="1" x14ac:dyDescent="0.25">
      <c r="B153" s="82"/>
      <c r="C153" s="104"/>
      <c r="D153" s="104"/>
      <c r="E153" s="104"/>
      <c r="F153" s="104"/>
      <c r="G153" s="104"/>
      <c r="H153" s="104"/>
      <c r="I153" s="104"/>
      <c r="J153" s="104"/>
      <c r="K153" s="105"/>
      <c r="L153" s="105"/>
      <c r="M153" s="104"/>
      <c r="N153" s="104"/>
      <c r="O153" s="106"/>
      <c r="P153" s="106"/>
      <c r="Q153" s="106"/>
    </row>
  </sheetData>
  <sheetProtection sheet="1" objects="1" scenarios="1" formatColumns="0" formatRows="0"/>
  <mergeCells count="407">
    <mergeCell ref="E2:Q2"/>
    <mergeCell ref="E3:Q3"/>
    <mergeCell ref="B6:C6"/>
    <mergeCell ref="D6:E6"/>
    <mergeCell ref="G6:H6"/>
    <mergeCell ref="I6:Q6"/>
    <mergeCell ref="B8:E8"/>
    <mergeCell ref="B9:E9"/>
    <mergeCell ref="B10:E10"/>
    <mergeCell ref="F8:I8"/>
    <mergeCell ref="F9:I9"/>
    <mergeCell ref="F10:I10"/>
    <mergeCell ref="J8:M8"/>
    <mergeCell ref="J9:M9"/>
    <mergeCell ref="J10:M10"/>
    <mergeCell ref="N8:Q8"/>
    <mergeCell ref="N9:Q9"/>
    <mergeCell ref="N10:Q10"/>
    <mergeCell ref="B12:Q12"/>
    <mergeCell ref="B13:E13"/>
    <mergeCell ref="F13:G13"/>
    <mergeCell ref="N13:O13"/>
    <mergeCell ref="P13:Q13"/>
    <mergeCell ref="B14:E14"/>
    <mergeCell ref="F14:G14"/>
    <mergeCell ref="N14:O14"/>
    <mergeCell ref="P14:Q14"/>
    <mergeCell ref="B15:E15"/>
    <mergeCell ref="F15:G15"/>
    <mergeCell ref="N15:O15"/>
    <mergeCell ref="P15:Q15"/>
    <mergeCell ref="B16:E16"/>
    <mergeCell ref="F16:G16"/>
    <mergeCell ref="N16:O16"/>
    <mergeCell ref="P16:Q16"/>
    <mergeCell ref="B17:E17"/>
    <mergeCell ref="F17:G17"/>
    <mergeCell ref="N17:O17"/>
    <mergeCell ref="P17:Q17"/>
    <mergeCell ref="B18:E18"/>
    <mergeCell ref="F18:G18"/>
    <mergeCell ref="N18:O18"/>
    <mergeCell ref="P18:Q18"/>
    <mergeCell ref="B19:E19"/>
    <mergeCell ref="F19:G19"/>
    <mergeCell ref="N19:O19"/>
    <mergeCell ref="P19:Q19"/>
    <mergeCell ref="B20:E20"/>
    <mergeCell ref="F20:G20"/>
    <mergeCell ref="N20:O20"/>
    <mergeCell ref="P20:Q20"/>
    <mergeCell ref="B21:E21"/>
    <mergeCell ref="F21:G21"/>
    <mergeCell ref="N21:O21"/>
    <mergeCell ref="P21:Q21"/>
    <mergeCell ref="B22:E22"/>
    <mergeCell ref="F22:G22"/>
    <mergeCell ref="N22:O22"/>
    <mergeCell ref="P22:Q22"/>
    <mergeCell ref="B24:Q24"/>
    <mergeCell ref="B77:Q77"/>
    <mergeCell ref="B78:C78"/>
    <mergeCell ref="D78:E78"/>
    <mergeCell ref="F78:H78"/>
    <mergeCell ref="L78:M78"/>
    <mergeCell ref="P78:Q78"/>
    <mergeCell ref="B79:C79"/>
    <mergeCell ref="D79:E79"/>
    <mergeCell ref="F79:H79"/>
    <mergeCell ref="L79:M79"/>
    <mergeCell ref="P79:Q79"/>
    <mergeCell ref="B80:C80"/>
    <mergeCell ref="D80:E80"/>
    <mergeCell ref="F80:H80"/>
    <mergeCell ref="L80:M80"/>
    <mergeCell ref="P80:Q80"/>
    <mergeCell ref="B81:C81"/>
    <mergeCell ref="D81:E81"/>
    <mergeCell ref="F81:H81"/>
    <mergeCell ref="L81:M81"/>
    <mergeCell ref="P81:Q81"/>
    <mergeCell ref="B82:C82"/>
    <mergeCell ref="D82:E82"/>
    <mergeCell ref="F82:H82"/>
    <mergeCell ref="L82:M82"/>
    <mergeCell ref="P82:Q82"/>
    <mergeCell ref="B83:C83"/>
    <mergeCell ref="D83:E83"/>
    <mergeCell ref="F83:H83"/>
    <mergeCell ref="L83:M83"/>
    <mergeCell ref="P83:Q83"/>
    <mergeCell ref="B84:C84"/>
    <mergeCell ref="D84:E84"/>
    <mergeCell ref="F84:H84"/>
    <mergeCell ref="L84:M84"/>
    <mergeCell ref="P84:Q84"/>
    <mergeCell ref="B85:C85"/>
    <mergeCell ref="D85:E85"/>
    <mergeCell ref="F85:H85"/>
    <mergeCell ref="L85:M85"/>
    <mergeCell ref="P85:Q85"/>
    <mergeCell ref="B86:C86"/>
    <mergeCell ref="D86:E86"/>
    <mergeCell ref="F86:H86"/>
    <mergeCell ref="L86:M86"/>
    <mergeCell ref="P86:Q86"/>
    <mergeCell ref="B87:C87"/>
    <mergeCell ref="D87:E87"/>
    <mergeCell ref="F87:H87"/>
    <mergeCell ref="L87:M87"/>
    <mergeCell ref="P87:Q87"/>
    <mergeCell ref="B88:C88"/>
    <mergeCell ref="D88:E88"/>
    <mergeCell ref="F88:H88"/>
    <mergeCell ref="L88:M88"/>
    <mergeCell ref="P88:Q88"/>
    <mergeCell ref="B89:C89"/>
    <mergeCell ref="D89:E89"/>
    <mergeCell ref="F89:H89"/>
    <mergeCell ref="L89:M89"/>
    <mergeCell ref="P89:Q89"/>
    <mergeCell ref="B90:C90"/>
    <mergeCell ref="D90:E90"/>
    <mergeCell ref="F90:H90"/>
    <mergeCell ref="L90:M90"/>
    <mergeCell ref="P90:Q90"/>
    <mergeCell ref="B91:C91"/>
    <mergeCell ref="D91:E91"/>
    <mergeCell ref="F91:H91"/>
    <mergeCell ref="L91:M91"/>
    <mergeCell ref="P91:Q91"/>
    <mergeCell ref="B92:C92"/>
    <mergeCell ref="D92:E92"/>
    <mergeCell ref="F92:H92"/>
    <mergeCell ref="L92:M92"/>
    <mergeCell ref="P92:Q92"/>
    <mergeCell ref="B93:C93"/>
    <mergeCell ref="D93:E93"/>
    <mergeCell ref="F93:H93"/>
    <mergeCell ref="L93:M93"/>
    <mergeCell ref="P93:Q93"/>
    <mergeCell ref="B94:C94"/>
    <mergeCell ref="D94:E94"/>
    <mergeCell ref="F94:H94"/>
    <mergeCell ref="L94:M94"/>
    <mergeCell ref="P94:Q94"/>
    <mergeCell ref="B95:C95"/>
    <mergeCell ref="D95:E95"/>
    <mergeCell ref="F95:H95"/>
    <mergeCell ref="L95:M95"/>
    <mergeCell ref="P95:Q95"/>
    <mergeCell ref="B96:C96"/>
    <mergeCell ref="D96:E96"/>
    <mergeCell ref="F96:H96"/>
    <mergeCell ref="L96:M96"/>
    <mergeCell ref="P96:Q96"/>
    <mergeCell ref="B97:C97"/>
    <mergeCell ref="D97:E97"/>
    <mergeCell ref="F97:H97"/>
    <mergeCell ref="L97:M97"/>
    <mergeCell ref="P97:Q97"/>
    <mergeCell ref="B98:C98"/>
    <mergeCell ref="D98:E98"/>
    <mergeCell ref="F98:H98"/>
    <mergeCell ref="L98:M98"/>
    <mergeCell ref="P98:Q98"/>
    <mergeCell ref="B99:C99"/>
    <mergeCell ref="D99:E99"/>
    <mergeCell ref="F99:H99"/>
    <mergeCell ref="L99:M99"/>
    <mergeCell ref="P99:Q99"/>
    <mergeCell ref="B100:C100"/>
    <mergeCell ref="D100:E100"/>
    <mergeCell ref="F100:H100"/>
    <mergeCell ref="L100:M100"/>
    <mergeCell ref="P100:Q100"/>
    <mergeCell ref="B101:C101"/>
    <mergeCell ref="D101:E101"/>
    <mergeCell ref="F101:H101"/>
    <mergeCell ref="L101:M101"/>
    <mergeCell ref="P101:Q101"/>
    <mergeCell ref="B102:C102"/>
    <mergeCell ref="D102:E102"/>
    <mergeCell ref="F102:H102"/>
    <mergeCell ref="L102:M102"/>
    <mergeCell ref="P102:Q102"/>
    <mergeCell ref="B103:C103"/>
    <mergeCell ref="D103:E103"/>
    <mergeCell ref="F103:H103"/>
    <mergeCell ref="L103:M103"/>
    <mergeCell ref="P103:Q103"/>
    <mergeCell ref="B104:C104"/>
    <mergeCell ref="D104:E104"/>
    <mergeCell ref="F104:H104"/>
    <mergeCell ref="L104:M104"/>
    <mergeCell ref="P104:Q104"/>
    <mergeCell ref="B105:C105"/>
    <mergeCell ref="D105:E105"/>
    <mergeCell ref="F105:H105"/>
    <mergeCell ref="L105:M105"/>
    <mergeCell ref="P105:Q105"/>
    <mergeCell ref="B106:C106"/>
    <mergeCell ref="D106:E106"/>
    <mergeCell ref="F106:H106"/>
    <mergeCell ref="L106:M106"/>
    <mergeCell ref="P106:Q106"/>
    <mergeCell ref="B107:C107"/>
    <mergeCell ref="D107:E107"/>
    <mergeCell ref="F107:H107"/>
    <mergeCell ref="L107:M107"/>
    <mergeCell ref="P107:Q107"/>
    <mergeCell ref="B108:C108"/>
    <mergeCell ref="D108:E108"/>
    <mergeCell ref="F108:H108"/>
    <mergeCell ref="L108:M108"/>
    <mergeCell ref="P108:Q108"/>
    <mergeCell ref="B109:C109"/>
    <mergeCell ref="D109:E109"/>
    <mergeCell ref="F109:H109"/>
    <mergeCell ref="L109:M109"/>
    <mergeCell ref="P109:Q109"/>
    <mergeCell ref="B110:C110"/>
    <mergeCell ref="D110:E110"/>
    <mergeCell ref="F110:H110"/>
    <mergeCell ref="L110:M110"/>
    <mergeCell ref="P110:Q110"/>
    <mergeCell ref="B111:C111"/>
    <mergeCell ref="D111:E111"/>
    <mergeCell ref="F111:H111"/>
    <mergeCell ref="L111:M111"/>
    <mergeCell ref="P111:Q111"/>
    <mergeCell ref="B112:C112"/>
    <mergeCell ref="D112:E112"/>
    <mergeCell ref="F112:H112"/>
    <mergeCell ref="L112:M112"/>
    <mergeCell ref="P112:Q112"/>
    <mergeCell ref="B113:C113"/>
    <mergeCell ref="D113:E113"/>
    <mergeCell ref="F113:H113"/>
    <mergeCell ref="L113:M113"/>
    <mergeCell ref="P113:Q113"/>
    <mergeCell ref="B114:C114"/>
    <mergeCell ref="D114:E114"/>
    <mergeCell ref="F114:H114"/>
    <mergeCell ref="L114:M114"/>
    <mergeCell ref="P114:Q114"/>
    <mergeCell ref="B115:C115"/>
    <mergeCell ref="D115:E115"/>
    <mergeCell ref="F115:H115"/>
    <mergeCell ref="L115:M115"/>
    <mergeCell ref="P115:Q115"/>
    <mergeCell ref="B116:C116"/>
    <mergeCell ref="D116:E116"/>
    <mergeCell ref="F116:H116"/>
    <mergeCell ref="L116:M116"/>
    <mergeCell ref="P116:Q116"/>
    <mergeCell ref="B117:C117"/>
    <mergeCell ref="D117:E117"/>
    <mergeCell ref="F117:H117"/>
    <mergeCell ref="L117:M117"/>
    <mergeCell ref="P117:Q117"/>
    <mergeCell ref="B118:C118"/>
    <mergeCell ref="D118:E118"/>
    <mergeCell ref="F118:H118"/>
    <mergeCell ref="L118:M118"/>
    <mergeCell ref="P118:Q118"/>
    <mergeCell ref="B120:Q120"/>
    <mergeCell ref="B121:E121"/>
    <mergeCell ref="F121:G121"/>
    <mergeCell ref="H121:I121"/>
    <mergeCell ref="J121:K121"/>
    <mergeCell ref="L121:M121"/>
    <mergeCell ref="N121:O121"/>
    <mergeCell ref="P121:Q121"/>
    <mergeCell ref="B122:E122"/>
    <mergeCell ref="F122:G122"/>
    <mergeCell ref="H122:I122"/>
    <mergeCell ref="J122:K122"/>
    <mergeCell ref="L122:M122"/>
    <mergeCell ref="N122:O122"/>
    <mergeCell ref="P122:Q122"/>
    <mergeCell ref="B123:E123"/>
    <mergeCell ref="F123:G123"/>
    <mergeCell ref="H123:I123"/>
    <mergeCell ref="J123:K123"/>
    <mergeCell ref="L123:M123"/>
    <mergeCell ref="N123:O123"/>
    <mergeCell ref="P123:Q123"/>
    <mergeCell ref="B124:E124"/>
    <mergeCell ref="F124:G124"/>
    <mergeCell ref="H124:I124"/>
    <mergeCell ref="J124:K124"/>
    <mergeCell ref="L124:M124"/>
    <mergeCell ref="N124:O124"/>
    <mergeCell ref="P124:Q124"/>
    <mergeCell ref="B125:E125"/>
    <mergeCell ref="F125:G125"/>
    <mergeCell ref="H125:I125"/>
    <mergeCell ref="J125:K125"/>
    <mergeCell ref="L125:M125"/>
    <mergeCell ref="N125:O125"/>
    <mergeCell ref="P125:Q125"/>
    <mergeCell ref="B127:Q127"/>
    <mergeCell ref="D128:E128"/>
    <mergeCell ref="F128:G128"/>
    <mergeCell ref="H128:J128"/>
    <mergeCell ref="O128:Q128"/>
    <mergeCell ref="D129:E129"/>
    <mergeCell ref="F129:G129"/>
    <mergeCell ref="H129:J129"/>
    <mergeCell ref="O129:Q129"/>
    <mergeCell ref="D130:E130"/>
    <mergeCell ref="F130:G130"/>
    <mergeCell ref="H130:J130"/>
    <mergeCell ref="O130:Q130"/>
    <mergeCell ref="D131:E131"/>
    <mergeCell ref="F131:G131"/>
    <mergeCell ref="H131:J131"/>
    <mergeCell ref="O131:Q131"/>
    <mergeCell ref="D132:E132"/>
    <mergeCell ref="F132:G132"/>
    <mergeCell ref="H132:J132"/>
    <mergeCell ref="O132:Q132"/>
    <mergeCell ref="D133:E133"/>
    <mergeCell ref="F133:G133"/>
    <mergeCell ref="H133:J133"/>
    <mergeCell ref="O133:Q133"/>
    <mergeCell ref="D134:E134"/>
    <mergeCell ref="F134:G134"/>
    <mergeCell ref="H134:J134"/>
    <mergeCell ref="O134:Q134"/>
    <mergeCell ref="D135:E135"/>
    <mergeCell ref="F135:G135"/>
    <mergeCell ref="H135:J135"/>
    <mergeCell ref="O135:Q135"/>
    <mergeCell ref="D136:E136"/>
    <mergeCell ref="F136:G136"/>
    <mergeCell ref="H136:J136"/>
    <mergeCell ref="O136:Q136"/>
    <mergeCell ref="D137:E137"/>
    <mergeCell ref="F137:G137"/>
    <mergeCell ref="H137:J137"/>
    <mergeCell ref="O137:Q137"/>
    <mergeCell ref="D138:E138"/>
    <mergeCell ref="F138:G138"/>
    <mergeCell ref="H138:J138"/>
    <mergeCell ref="O138:Q138"/>
    <mergeCell ref="D139:E139"/>
    <mergeCell ref="F139:G139"/>
    <mergeCell ref="H139:J139"/>
    <mergeCell ref="O139:Q139"/>
    <mergeCell ref="D140:E140"/>
    <mergeCell ref="F140:G140"/>
    <mergeCell ref="H140:J140"/>
    <mergeCell ref="O140:Q140"/>
    <mergeCell ref="D141:E141"/>
    <mergeCell ref="F141:G141"/>
    <mergeCell ref="H141:J141"/>
    <mergeCell ref="O141:Q141"/>
    <mergeCell ref="D142:E142"/>
    <mergeCell ref="F142:G142"/>
    <mergeCell ref="H142:J142"/>
    <mergeCell ref="O142:Q142"/>
    <mergeCell ref="D143:E143"/>
    <mergeCell ref="F143:G143"/>
    <mergeCell ref="H143:J143"/>
    <mergeCell ref="O143:Q143"/>
    <mergeCell ref="D144:E144"/>
    <mergeCell ref="F144:G144"/>
    <mergeCell ref="H144:J144"/>
    <mergeCell ref="O144:Q144"/>
    <mergeCell ref="D145:E145"/>
    <mergeCell ref="F145:G145"/>
    <mergeCell ref="H145:J145"/>
    <mergeCell ref="O145:Q145"/>
    <mergeCell ref="D146:E146"/>
    <mergeCell ref="F146:G146"/>
    <mergeCell ref="H146:J146"/>
    <mergeCell ref="O146:Q146"/>
    <mergeCell ref="D147:E147"/>
    <mergeCell ref="F147:G147"/>
    <mergeCell ref="H147:J147"/>
    <mergeCell ref="O147:Q147"/>
    <mergeCell ref="D148:E148"/>
    <mergeCell ref="F148:G148"/>
    <mergeCell ref="H148:J148"/>
    <mergeCell ref="O148:Q148"/>
    <mergeCell ref="D149:E149"/>
    <mergeCell ref="F149:G149"/>
    <mergeCell ref="H149:J149"/>
    <mergeCell ref="O149:Q149"/>
    <mergeCell ref="D150:E150"/>
    <mergeCell ref="F150:G150"/>
    <mergeCell ref="H150:J150"/>
    <mergeCell ref="O150:Q150"/>
    <mergeCell ref="D151:E151"/>
    <mergeCell ref="F151:G151"/>
    <mergeCell ref="H151:J151"/>
    <mergeCell ref="O151:Q151"/>
    <mergeCell ref="D152:E152"/>
    <mergeCell ref="F152:G152"/>
    <mergeCell ref="H152:J152"/>
    <mergeCell ref="O152:Q152"/>
    <mergeCell ref="D153:E153"/>
    <mergeCell ref="F153:G153"/>
    <mergeCell ref="H153:J153"/>
    <mergeCell ref="O153:Q153"/>
  </mergeCells>
  <conditionalFormatting sqref="I14:I22">
    <cfRule type="dataBar" priority="10">
      <dataBar>
        <cfvo type="num" val="0"/>
        <cfvo type="num" val="1"/>
        <color rgb="FF8FC7E8"/>
      </dataBar>
      <extLst>
        <ext xmlns:x14="http://schemas.microsoft.com/office/spreadsheetml/2009/9/main" uri="{B025F937-C7B1-47D3-B67F-A62EFF666E3E}">
          <x14:id>{DA7ABA51-AAAA-BBBB-0002-000000000001}</x14:id>
        </ext>
      </extLst>
    </cfRule>
  </conditionalFormatting>
  <conditionalFormatting sqref="L14:L22">
    <cfRule type="cellIs" dxfId="6" priority="9" operator="greaterThan">
      <formula>0</formula>
    </cfRule>
  </conditionalFormatting>
  <conditionalFormatting sqref="P122:Q125">
    <cfRule type="beginsWith" dxfId="0" priority="19" operator="beginsWith" text="Não conforme">
      <formula>LEFT(P122,12)="Não conforme"</formula>
    </cfRule>
    <cfRule type="beginsWith" dxfId="1" priority="20" operator="beginsWith" text="Conforme">
      <formula>LEFT(P122,8)="Conforme"</formula>
    </cfRule>
    <cfRule type="beginsWith" dxfId="2" priority="21" operator="beginsWith" text="Pendente">
      <formula>LEFT(P122,8)="Pendente"</formula>
    </cfRule>
    <cfRule type="beginsWith" dxfId="2" priority="22" operator="beginsWith" text="Atrasado">
      <formula>LEFT(P122,8)="Atrasado"</formula>
    </cfRule>
    <cfRule type="beginsWith" dxfId="3" priority="23" operator="beginsWith" text="Previsto">
      <formula>LEFT(P122,8)="Previsto"</formula>
    </cfRule>
    <cfRule type="beginsWith" dxfId="1" priority="24" operator="beginsWith" text="Preenchido">
      <formula>LEFT(P122,10)="Preenchido"</formula>
    </cfRule>
    <cfRule type="beginsWith" dxfId="1" priority="25" operator="beginsWith" text="Em dia">
      <formula>LEFT(P122,6)="Em dia"</formula>
    </cfRule>
    <cfRule type="beginsWith" dxfId="4" priority="26" operator="beginsWith" text="Informativo">
      <formula>LEFT(P122,11)="Informativo"</formula>
    </cfRule>
  </conditionalFormatting>
  <conditionalFormatting sqref="P14:Q22">
    <cfRule type="beginsWith" dxfId="0" priority="1" operator="beginsWith" text="Não conforme">
      <formula>LEFT(P14,12)="Não conforme"</formula>
    </cfRule>
    <cfRule type="beginsWith" dxfId="1" priority="2" operator="beginsWith" text="Conforme">
      <formula>LEFT(P14,8)="Conforme"</formula>
    </cfRule>
    <cfRule type="beginsWith" dxfId="2" priority="3" operator="beginsWith" text="Pendente">
      <formula>LEFT(P14,8)="Pendente"</formula>
    </cfRule>
    <cfRule type="beginsWith" dxfId="2" priority="4" operator="beginsWith" text="Atrasado">
      <formula>LEFT(P14,8)="Atrasado"</formula>
    </cfRule>
    <cfRule type="beginsWith" dxfId="3" priority="5" operator="beginsWith" text="Previsto">
      <formula>LEFT(P14,8)="Previsto"</formula>
    </cfRule>
    <cfRule type="beginsWith" dxfId="1" priority="6" operator="beginsWith" text="Preenchido">
      <formula>LEFT(P14,10)="Preenchido"</formula>
    </cfRule>
    <cfRule type="beginsWith" dxfId="1" priority="7" operator="beginsWith" text="Em dia">
      <formula>LEFT(P14,6)="Em dia"</formula>
    </cfRule>
    <cfRule type="beginsWith" dxfId="4" priority="8" operator="beginsWith" text="Informativo">
      <formula>LEFT(P14,11)="Informativo"</formula>
    </cfRule>
  </conditionalFormatting>
  <conditionalFormatting sqref="P79:Q118">
    <cfRule type="beginsWith" dxfId="0" priority="11" operator="beginsWith" text="Não conforme">
      <formula>LEFT(P79,12)="Não conforme"</formula>
    </cfRule>
    <cfRule type="beginsWith" dxfId="1" priority="12" operator="beginsWith" text="Conforme">
      <formula>LEFT(P79,8)="Conforme"</formula>
    </cfRule>
    <cfRule type="beginsWith" dxfId="2" priority="13" operator="beginsWith" text="Pendente">
      <formula>LEFT(P79,8)="Pendente"</formula>
    </cfRule>
    <cfRule type="beginsWith" dxfId="2" priority="14" operator="beginsWith" text="Atrasado">
      <formula>LEFT(P79,8)="Atrasado"</formula>
    </cfRule>
    <cfRule type="beginsWith" dxfId="3" priority="15" operator="beginsWith" text="Previsto">
      <formula>LEFT(P79,8)="Previsto"</formula>
    </cfRule>
    <cfRule type="beginsWith" dxfId="1" priority="16" operator="beginsWith" text="Preenchido">
      <formula>LEFT(P79,10)="Preenchido"</formula>
    </cfRule>
    <cfRule type="beginsWith" dxfId="1" priority="17" operator="beginsWith" text="Em dia">
      <formula>LEFT(P79,6)="Em dia"</formula>
    </cfRule>
    <cfRule type="beginsWith" dxfId="4" priority="18" operator="beginsWith" text="Informativo">
      <formula>LEFT(P79,11)="Informativo"</formula>
    </cfRule>
  </conditionalFormatting>
  <dataValidations count="2">
    <dataValidation type="date" operator="greaterThan" allowBlank="1" showInputMessage="1" showErrorMessage="1" sqref="D6">
      <formula1>43831</formula1>
    </dataValidation>
    <dataValidation type="date" operator="greaterThan" allowBlank="1" showInputMessage="1" showErrorMessage="1" sqref="G6">
      <formula1>43831</formula1>
    </dataValidation>
  </dataValidations>
  <pageMargins left="0.3" right="0.3" top="0.4" bottom="0.4" header="0.3" footer="0.3"/>
  <pageSetup paperSize="9" fitToHeight="0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2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8FC7E8"/>
              <x14:negativeFillColor rgb="FFFF0000"/>
              <x14:negativeBorderColor rgb="FFFF0000"/>
              <x14:axisColor rgb="FF000000"/>
            </x14:dataBar>
          </x14:cfRule>
          <xm:sqref>I14:I22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BD"/>
  <dimension ref="A1:Q27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22.7109375" customWidth="1"/>
    <col min="2" max="2" width="12.7109375" customWidth="1"/>
    <col min="3" max="3" width="11.7109375" style="111" customWidth="1"/>
    <col min="4" max="4" width="26.7109375" customWidth="1"/>
    <col min="5" max="5" width="30.7109375" customWidth="1"/>
    <col min="6" max="6" width="9.7109375" customWidth="1"/>
    <col min="7" max="7" width="10.7109375" customWidth="1"/>
    <col min="8" max="8" width="11.7109375" customWidth="1"/>
    <col min="9" max="9" width="10.7109375" customWidth="1"/>
    <col min="10" max="11" width="11.7109375" customWidth="1"/>
    <col min="12" max="12" width="10.7109375" customWidth="1"/>
    <col min="13" max="14" width="14.7109375" customWidth="1"/>
    <col min="15" max="15" width="7.7109375" customWidth="1"/>
    <col min="16" max="16" width="40.7109375" customWidth="1"/>
    <col min="17" max="17" width="46.7109375" customWidth="1"/>
  </cols>
  <sheetData>
    <row r="1" spans="1:17">
      <c r="A1" t="s">
        <v>1</v>
      </c>
      <c r="B1" t="s">
        <v>331</v>
      </c>
      <c r="C1" s="111" t="s">
        <v>106</v>
      </c>
      <c r="D1" t="s">
        <v>120</v>
      </c>
      <c r="E1" t="s">
        <v>2</v>
      </c>
      <c r="F1" t="s">
        <v>3</v>
      </c>
      <c r="G1" t="s">
        <v>332</v>
      </c>
      <c r="H1" t="s">
        <v>333</v>
      </c>
      <c r="I1" t="s">
        <v>122</v>
      </c>
      <c r="J1" t="s">
        <v>5</v>
      </c>
      <c r="K1" t="s">
        <v>6</v>
      </c>
      <c r="L1" t="s">
        <v>7</v>
      </c>
      <c r="M1" t="s">
        <v>334</v>
      </c>
      <c r="N1" t="s">
        <v>109</v>
      </c>
      <c r="O1" t="s">
        <v>108</v>
      </c>
      <c r="P1" t="s">
        <v>126</v>
      </c>
      <c r="Q1" t="s">
        <v>335</v>
      </c>
    </row>
    <row r="2" spans="1:17">
      <c r="A2" t="s">
        <v>20</v>
      </c>
      <c r="B2" t="s">
        <v>229</v>
      </c>
      <c r="C2" s="111">
        <v>46296</v>
      </c>
      <c r="D2" t="s">
        <v>124</v>
      </c>
      <c r="E2" t="s">
        <v>21</v>
      </c>
      <c r="F2" t="s">
        <v>22</v>
      </c>
      <c r="G2">
        <v>2011</v>
      </c>
      <c r="H2">
        <v>2030</v>
      </c>
      <c r="I2">
        <v>-19</v>
      </c>
      <c r="J2">
        <v>1986</v>
      </c>
      <c r="K2">
        <v>2074</v>
      </c>
      <c r="M2" t="s">
        <v>338</v>
      </c>
      <c r="N2" t="s">
        <v>339</v>
      </c>
      <c r="O2" t="s">
        <v>90</v>
      </c>
      <c r="P2" t="s">
        <v>95</v>
      </c>
      <c r="Q2" t="s">
        <v>340</v>
      </c>
    </row>
    <row r="3" spans="1:17">
      <c r="A3" t="s">
        <v>20</v>
      </c>
      <c r="B3" t="s">
        <v>229</v>
      </c>
      <c r="C3" s="111">
        <v>46296</v>
      </c>
      <c r="D3" t="s">
        <v>124</v>
      </c>
      <c r="E3" t="s">
        <v>21</v>
      </c>
      <c r="F3" t="s">
        <v>22</v>
      </c>
      <c r="G3">
        <v>2011</v>
      </c>
      <c r="H3">
        <v>2030</v>
      </c>
      <c r="I3">
        <v>-19</v>
      </c>
      <c r="J3">
        <v>1986</v>
      </c>
      <c r="K3">
        <v>2074</v>
      </c>
      <c r="M3" t="s">
        <v>338</v>
      </c>
      <c r="N3" t="s">
        <v>341</v>
      </c>
      <c r="O3" t="s">
        <v>91</v>
      </c>
      <c r="P3" t="s">
        <v>96</v>
      </c>
      <c r="Q3" t="s">
        <v>342</v>
      </c>
    </row>
    <row r="4" spans="1:17">
      <c r="A4" t="s">
        <v>343</v>
      </c>
      <c r="B4" t="s">
        <v>344</v>
      </c>
      <c r="C4" s="111">
        <v>46297</v>
      </c>
      <c r="D4" t="s">
        <v>233</v>
      </c>
      <c r="E4" t="s">
        <v>345</v>
      </c>
      <c r="F4" t="s">
        <v>346</v>
      </c>
      <c r="G4">
        <v>5</v>
      </c>
      <c r="H4">
        <v>5</v>
      </c>
      <c r="M4" t="s">
        <v>338</v>
      </c>
      <c r="N4" t="s">
        <v>347</v>
      </c>
      <c r="O4" t="s">
        <v>91</v>
      </c>
      <c r="Q4" t="s">
        <v>348</v>
      </c>
    </row>
    <row r="5" spans="1:17">
      <c r="A5" t="s">
        <v>343</v>
      </c>
      <c r="B5" t="s">
        <v>344</v>
      </c>
      <c r="C5" s="111">
        <v>46297</v>
      </c>
      <c r="D5" t="s">
        <v>235</v>
      </c>
      <c r="E5" t="s">
        <v>349</v>
      </c>
      <c r="F5" t="s">
        <v>346</v>
      </c>
      <c r="G5">
        <v>4</v>
      </c>
      <c r="H5">
        <v>5</v>
      </c>
      <c r="M5" t="s">
        <v>338</v>
      </c>
      <c r="N5" t="s">
        <v>347</v>
      </c>
      <c r="O5" t="s">
        <v>91</v>
      </c>
      <c r="P5" t="s">
        <v>350</v>
      </c>
      <c r="Q5" t="s">
        <v>351</v>
      </c>
    </row>
    <row r="6" spans="1:17">
      <c r="A6" t="s">
        <v>343</v>
      </c>
      <c r="B6" t="s">
        <v>344</v>
      </c>
      <c r="C6" s="111">
        <v>46297</v>
      </c>
      <c r="D6" t="s">
        <v>352</v>
      </c>
      <c r="E6" t="s">
        <v>353</v>
      </c>
      <c r="F6" t="s">
        <v>346</v>
      </c>
      <c r="G6">
        <v>4</v>
      </c>
      <c r="H6">
        <v>5</v>
      </c>
      <c r="M6" t="s">
        <v>338</v>
      </c>
      <c r="N6" t="s">
        <v>347</v>
      </c>
      <c r="O6" t="s">
        <v>91</v>
      </c>
      <c r="P6" t="s">
        <v>350</v>
      </c>
      <c r="Q6" t="s">
        <v>354</v>
      </c>
    </row>
    <row r="7" spans="1:17">
      <c r="A7" t="s">
        <v>343</v>
      </c>
      <c r="B7" t="s">
        <v>344</v>
      </c>
      <c r="C7" s="111">
        <v>46297</v>
      </c>
      <c r="D7" t="s">
        <v>239</v>
      </c>
      <c r="E7" t="s">
        <v>355</v>
      </c>
      <c r="F7" t="s">
        <v>346</v>
      </c>
      <c r="G7">
        <v>4</v>
      </c>
      <c r="H7">
        <v>5</v>
      </c>
      <c r="M7" t="s">
        <v>338</v>
      </c>
      <c r="N7" t="s">
        <v>347</v>
      </c>
      <c r="O7" t="s">
        <v>91</v>
      </c>
      <c r="P7" t="s">
        <v>350</v>
      </c>
      <c r="Q7" t="s">
        <v>356</v>
      </c>
    </row>
    <row r="8" spans="1:17">
      <c r="A8" t="s">
        <v>343</v>
      </c>
      <c r="B8" t="s">
        <v>344</v>
      </c>
      <c r="C8" s="111">
        <v>46297</v>
      </c>
      <c r="D8" t="s">
        <v>241</v>
      </c>
      <c r="E8" t="s">
        <v>357</v>
      </c>
      <c r="F8" t="s">
        <v>346</v>
      </c>
      <c r="G8">
        <v>5</v>
      </c>
      <c r="H8">
        <v>5</v>
      </c>
      <c r="M8" t="s">
        <v>338</v>
      </c>
      <c r="N8" t="s">
        <v>347</v>
      </c>
      <c r="O8" t="s">
        <v>91</v>
      </c>
      <c r="Q8" t="s">
        <v>358</v>
      </c>
    </row>
    <row r="9" spans="1:17">
      <c r="A9" t="s">
        <v>343</v>
      </c>
      <c r="B9" t="s">
        <v>344</v>
      </c>
      <c r="C9" s="111">
        <v>46297</v>
      </c>
      <c r="D9" t="s">
        <v>243</v>
      </c>
      <c r="E9" t="s">
        <v>359</v>
      </c>
      <c r="F9" t="s">
        <v>346</v>
      </c>
      <c r="G9">
        <v>5</v>
      </c>
      <c r="H9">
        <v>5</v>
      </c>
      <c r="M9" t="s">
        <v>338</v>
      </c>
      <c r="N9" t="s">
        <v>347</v>
      </c>
      <c r="O9" t="s">
        <v>91</v>
      </c>
      <c r="Q9" t="s">
        <v>360</v>
      </c>
    </row>
    <row r="10" spans="1:17">
      <c r="A10" t="s">
        <v>343</v>
      </c>
      <c r="B10" t="s">
        <v>344</v>
      </c>
      <c r="C10" s="111">
        <v>46297</v>
      </c>
      <c r="D10" t="s">
        <v>245</v>
      </c>
      <c r="E10" t="s">
        <v>361</v>
      </c>
      <c r="F10" t="s">
        <v>346</v>
      </c>
      <c r="G10">
        <v>5</v>
      </c>
      <c r="H10">
        <v>5</v>
      </c>
      <c r="M10" t="s">
        <v>338</v>
      </c>
      <c r="N10" t="s">
        <v>347</v>
      </c>
      <c r="O10" t="s">
        <v>91</v>
      </c>
      <c r="Q10" t="s">
        <v>362</v>
      </c>
    </row>
    <row r="11" spans="1:17">
      <c r="A11" t="s">
        <v>343</v>
      </c>
      <c r="B11" t="s">
        <v>344</v>
      </c>
      <c r="C11" s="111">
        <v>46297</v>
      </c>
      <c r="D11" t="s">
        <v>247</v>
      </c>
      <c r="E11" t="s">
        <v>363</v>
      </c>
      <c r="F11" t="s">
        <v>346</v>
      </c>
      <c r="G11">
        <v>5</v>
      </c>
      <c r="H11">
        <v>5</v>
      </c>
      <c r="M11" t="s">
        <v>338</v>
      </c>
      <c r="N11" t="s">
        <v>347</v>
      </c>
      <c r="O11" t="s">
        <v>91</v>
      </c>
      <c r="Q11" t="s">
        <v>364</v>
      </c>
    </row>
    <row r="12" spans="1:17">
      <c r="A12" t="s">
        <v>343</v>
      </c>
      <c r="B12" t="s">
        <v>344</v>
      </c>
      <c r="C12" s="111">
        <v>46297</v>
      </c>
      <c r="D12" t="s">
        <v>249</v>
      </c>
      <c r="E12" t="s">
        <v>365</v>
      </c>
      <c r="F12" t="s">
        <v>346</v>
      </c>
      <c r="G12">
        <v>5</v>
      </c>
      <c r="H12">
        <v>5</v>
      </c>
      <c r="M12" t="s">
        <v>338</v>
      </c>
      <c r="N12" t="s">
        <v>347</v>
      </c>
      <c r="O12" t="s">
        <v>91</v>
      </c>
      <c r="Q12" t="s">
        <v>366</v>
      </c>
    </row>
    <row r="13" spans="1:17">
      <c r="A13" t="s">
        <v>343</v>
      </c>
      <c r="B13" t="s">
        <v>344</v>
      </c>
      <c r="C13" s="111">
        <v>46297</v>
      </c>
      <c r="D13" t="s">
        <v>251</v>
      </c>
      <c r="E13" t="s">
        <v>367</v>
      </c>
      <c r="F13" t="s">
        <v>346</v>
      </c>
      <c r="G13">
        <v>5</v>
      </c>
      <c r="H13">
        <v>5</v>
      </c>
      <c r="M13" t="s">
        <v>338</v>
      </c>
      <c r="N13" t="s">
        <v>347</v>
      </c>
      <c r="O13" t="s">
        <v>91</v>
      </c>
      <c r="Q13" t="s">
        <v>368</v>
      </c>
    </row>
    <row r="14" spans="1:17">
      <c r="A14" t="s">
        <v>343</v>
      </c>
      <c r="B14" t="s">
        <v>344</v>
      </c>
      <c r="C14" s="111">
        <v>46297</v>
      </c>
      <c r="D14" t="s">
        <v>252</v>
      </c>
      <c r="E14" t="s">
        <v>367</v>
      </c>
      <c r="F14" t="s">
        <v>346</v>
      </c>
      <c r="G14">
        <v>5</v>
      </c>
      <c r="H14">
        <v>5</v>
      </c>
      <c r="M14" t="s">
        <v>338</v>
      </c>
      <c r="N14" t="s">
        <v>347</v>
      </c>
      <c r="O14" t="s">
        <v>91</v>
      </c>
      <c r="Q14" t="s">
        <v>369</v>
      </c>
    </row>
    <row r="15" spans="1:17">
      <c r="A15" t="s">
        <v>343</v>
      </c>
      <c r="B15" t="s">
        <v>344</v>
      </c>
      <c r="C15" s="111">
        <v>46297</v>
      </c>
      <c r="D15" t="s">
        <v>254</v>
      </c>
      <c r="E15" t="s">
        <v>370</v>
      </c>
      <c r="F15" t="s">
        <v>346</v>
      </c>
      <c r="G15">
        <v>5</v>
      </c>
      <c r="H15">
        <v>5</v>
      </c>
      <c r="M15" t="s">
        <v>338</v>
      </c>
      <c r="N15" t="s">
        <v>347</v>
      </c>
      <c r="O15" t="s">
        <v>91</v>
      </c>
      <c r="Q15" t="s">
        <v>371</v>
      </c>
    </row>
    <row r="16" spans="1:17">
      <c r="A16" t="s">
        <v>343</v>
      </c>
      <c r="B16" t="s">
        <v>344</v>
      </c>
      <c r="C16" s="111">
        <v>46297</v>
      </c>
      <c r="D16" t="s">
        <v>255</v>
      </c>
      <c r="E16" t="s">
        <v>372</v>
      </c>
      <c r="F16" t="s">
        <v>346</v>
      </c>
      <c r="G16">
        <v>5</v>
      </c>
      <c r="H16">
        <v>5</v>
      </c>
      <c r="M16" t="s">
        <v>338</v>
      </c>
      <c r="N16" t="s">
        <v>347</v>
      </c>
      <c r="O16" t="s">
        <v>91</v>
      </c>
      <c r="Q16" t="s">
        <v>373</v>
      </c>
    </row>
    <row r="17" spans="1:17">
      <c r="A17" t="s">
        <v>343</v>
      </c>
      <c r="B17" t="s">
        <v>344</v>
      </c>
      <c r="C17" s="111">
        <v>46297</v>
      </c>
      <c r="D17" t="s">
        <v>257</v>
      </c>
      <c r="E17" t="s">
        <v>374</v>
      </c>
      <c r="F17" t="s">
        <v>346</v>
      </c>
      <c r="G17">
        <v>5</v>
      </c>
      <c r="H17">
        <v>5</v>
      </c>
      <c r="M17" t="s">
        <v>338</v>
      </c>
      <c r="N17" t="s">
        <v>347</v>
      </c>
      <c r="O17" t="s">
        <v>91</v>
      </c>
      <c r="Q17" t="s">
        <v>375</v>
      </c>
    </row>
    <row r="18" spans="1:17">
      <c r="A18" t="s">
        <v>343</v>
      </c>
      <c r="B18" t="s">
        <v>344</v>
      </c>
      <c r="C18" s="111">
        <v>46297</v>
      </c>
      <c r="D18" t="s">
        <v>258</v>
      </c>
      <c r="E18" t="s">
        <v>376</v>
      </c>
      <c r="F18" t="s">
        <v>346</v>
      </c>
      <c r="G18">
        <v>4</v>
      </c>
      <c r="H18">
        <v>5</v>
      </c>
      <c r="M18" t="s">
        <v>338</v>
      </c>
      <c r="N18" t="s">
        <v>347</v>
      </c>
      <c r="O18" t="s">
        <v>91</v>
      </c>
      <c r="P18" t="s">
        <v>350</v>
      </c>
      <c r="Q18" t="s">
        <v>377</v>
      </c>
    </row>
    <row r="19" spans="1:17">
      <c r="A19" t="s">
        <v>343</v>
      </c>
      <c r="B19" t="s">
        <v>344</v>
      </c>
      <c r="C19" s="111">
        <v>46297</v>
      </c>
      <c r="D19" t="s">
        <v>259</v>
      </c>
      <c r="E19" t="s">
        <v>378</v>
      </c>
      <c r="F19" t="s">
        <v>346</v>
      </c>
      <c r="G19">
        <v>5</v>
      </c>
      <c r="H19">
        <v>5</v>
      </c>
      <c r="M19" t="s">
        <v>338</v>
      </c>
      <c r="N19" t="s">
        <v>347</v>
      </c>
      <c r="O19" t="s">
        <v>91</v>
      </c>
      <c r="Q19" t="s">
        <v>379</v>
      </c>
    </row>
    <row r="20" spans="1:17">
      <c r="A20" t="s">
        <v>343</v>
      </c>
      <c r="B20" t="s">
        <v>344</v>
      </c>
      <c r="C20" s="111">
        <v>46297</v>
      </c>
      <c r="D20" t="s">
        <v>260</v>
      </c>
      <c r="E20" t="s">
        <v>380</v>
      </c>
      <c r="F20" t="s">
        <v>346</v>
      </c>
      <c r="G20">
        <v>5</v>
      </c>
      <c r="H20">
        <v>5</v>
      </c>
      <c r="M20" t="s">
        <v>338</v>
      </c>
      <c r="N20" t="s">
        <v>347</v>
      </c>
      <c r="O20" t="s">
        <v>91</v>
      </c>
      <c r="Q20" t="s">
        <v>381</v>
      </c>
    </row>
    <row r="21" spans="1:17">
      <c r="A21" t="s">
        <v>343</v>
      </c>
      <c r="B21" t="s">
        <v>344</v>
      </c>
      <c r="C21" s="111">
        <v>46297</v>
      </c>
      <c r="D21" t="s">
        <v>261</v>
      </c>
      <c r="E21" t="s">
        <v>382</v>
      </c>
      <c r="F21" t="s">
        <v>346</v>
      </c>
      <c r="G21">
        <v>5</v>
      </c>
      <c r="H21">
        <v>5</v>
      </c>
      <c r="M21" t="s">
        <v>338</v>
      </c>
      <c r="N21" t="s">
        <v>347</v>
      </c>
      <c r="O21" t="s">
        <v>91</v>
      </c>
      <c r="Q21" t="s">
        <v>383</v>
      </c>
    </row>
    <row r="22" spans="1:17">
      <c r="A22" t="s">
        <v>343</v>
      </c>
      <c r="B22" t="s">
        <v>344</v>
      </c>
      <c r="C22" s="111">
        <v>46297</v>
      </c>
      <c r="D22" t="s">
        <v>263</v>
      </c>
      <c r="E22" t="s">
        <v>384</v>
      </c>
      <c r="F22" t="s">
        <v>346</v>
      </c>
      <c r="G22">
        <v>4</v>
      </c>
      <c r="H22">
        <v>5</v>
      </c>
      <c r="M22" t="s">
        <v>338</v>
      </c>
      <c r="N22" t="s">
        <v>347</v>
      </c>
      <c r="O22" t="s">
        <v>91</v>
      </c>
      <c r="P22" t="s">
        <v>350</v>
      </c>
      <c r="Q22" t="s">
        <v>385</v>
      </c>
    </row>
    <row r="23" spans="1:17">
      <c r="A23" t="s">
        <v>343</v>
      </c>
      <c r="B23" t="s">
        <v>344</v>
      </c>
      <c r="C23" s="111">
        <v>46297</v>
      </c>
      <c r="D23" t="s">
        <v>264</v>
      </c>
      <c r="E23" t="s">
        <v>386</v>
      </c>
      <c r="F23" t="s">
        <v>346</v>
      </c>
      <c r="G23">
        <v>5</v>
      </c>
      <c r="H23">
        <v>5</v>
      </c>
      <c r="M23" t="s">
        <v>338</v>
      </c>
      <c r="N23" t="s">
        <v>347</v>
      </c>
      <c r="O23" t="s">
        <v>91</v>
      </c>
      <c r="Q23" t="s">
        <v>387</v>
      </c>
    </row>
    <row r="24" spans="1:17">
      <c r="A24" t="s">
        <v>343</v>
      </c>
      <c r="B24" t="s">
        <v>344</v>
      </c>
      <c r="C24" s="111">
        <v>46297</v>
      </c>
      <c r="D24" t="s">
        <v>266</v>
      </c>
      <c r="E24" t="s">
        <v>388</v>
      </c>
      <c r="F24" t="s">
        <v>346</v>
      </c>
      <c r="G24">
        <v>4</v>
      </c>
      <c r="H24">
        <v>5</v>
      </c>
      <c r="M24" t="s">
        <v>389</v>
      </c>
      <c r="N24" t="s">
        <v>347</v>
      </c>
      <c r="O24" t="s">
        <v>91</v>
      </c>
      <c r="P24" t="s">
        <v>390</v>
      </c>
      <c r="Q24" t="s">
        <v>391</v>
      </c>
    </row>
    <row r="25" spans="1:17">
      <c r="A25" t="s">
        <v>343</v>
      </c>
      <c r="B25" t="s">
        <v>344</v>
      </c>
      <c r="C25" s="111">
        <v>46297</v>
      </c>
      <c r="D25" t="s">
        <v>267</v>
      </c>
      <c r="E25" t="s">
        <v>392</v>
      </c>
      <c r="F25" t="s">
        <v>346</v>
      </c>
      <c r="G25">
        <v>0</v>
      </c>
      <c r="H25">
        <v>1</v>
      </c>
      <c r="M25" t="s">
        <v>338</v>
      </c>
      <c r="N25" t="s">
        <v>347</v>
      </c>
      <c r="O25" t="s">
        <v>91</v>
      </c>
      <c r="P25" t="s">
        <v>350</v>
      </c>
      <c r="Q25" t="s">
        <v>393</v>
      </c>
    </row>
    <row r="26" spans="1:17">
      <c r="A26" t="s">
        <v>343</v>
      </c>
      <c r="B26" t="s">
        <v>344</v>
      </c>
      <c r="C26" s="111">
        <v>46297</v>
      </c>
      <c r="D26" t="s">
        <v>269</v>
      </c>
      <c r="E26" t="s">
        <v>394</v>
      </c>
      <c r="F26" t="s">
        <v>346</v>
      </c>
      <c r="G26">
        <v>4</v>
      </c>
      <c r="H26">
        <v>5</v>
      </c>
      <c r="M26" t="s">
        <v>389</v>
      </c>
      <c r="N26" t="s">
        <v>347</v>
      </c>
      <c r="O26" t="s">
        <v>91</v>
      </c>
      <c r="P26" t="s">
        <v>390</v>
      </c>
      <c r="Q26" t="s">
        <v>395</v>
      </c>
    </row>
    <row r="27" spans="1:17">
      <c r="A27" t="s">
        <v>343</v>
      </c>
      <c r="B27" t="s">
        <v>344</v>
      </c>
      <c r="C27" s="111">
        <v>46297</v>
      </c>
      <c r="D27" t="s">
        <v>270</v>
      </c>
      <c r="E27" t="s">
        <v>396</v>
      </c>
      <c r="F27" t="s">
        <v>346</v>
      </c>
      <c r="G27">
        <v>5</v>
      </c>
      <c r="H27">
        <v>5</v>
      </c>
      <c r="M27" t="s">
        <v>338</v>
      </c>
      <c r="N27" t="s">
        <v>347</v>
      </c>
      <c r="O27" t="s">
        <v>91</v>
      </c>
      <c r="Q27" t="s">
        <v>397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Limites"/>
  <dimension ref="A1:I29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10.7109375" customWidth="1"/>
    <col min="2" max="2" width="22.7109375" customWidth="1"/>
    <col min="3" max="3" width="26.7109375" customWidth="1"/>
    <col min="4" max="4" width="9.7109375" customWidth="1"/>
    <col min="5" max="5" width="10.7109375" customWidth="1"/>
    <col min="6" max="7" width="12.7109375" customWidth="1"/>
    <col min="8" max="8" width="11.7109375" customWidth="1"/>
    <col min="9" max="9" width="70.71093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D2" t="s">
        <v>12</v>
      </c>
      <c r="E2" s="112">
        <v>25</v>
      </c>
      <c r="F2" s="112">
        <v>24</v>
      </c>
      <c r="G2" s="112">
        <v>26</v>
      </c>
      <c r="H2" s="112"/>
      <c r="I2" t="s">
        <v>13</v>
      </c>
    </row>
    <row r="3" spans="1:9">
      <c r="A3" t="s">
        <v>14</v>
      </c>
      <c r="B3" t="s">
        <v>15</v>
      </c>
      <c r="C3" t="s">
        <v>16</v>
      </c>
      <c r="D3" t="s">
        <v>17</v>
      </c>
      <c r="E3" s="112">
        <v>88.40000000000001</v>
      </c>
      <c r="F3" s="112">
        <v>87.40000000000001</v>
      </c>
      <c r="G3" s="112">
        <v>89.40000000000001</v>
      </c>
      <c r="H3" s="112"/>
      <c r="I3" t="s">
        <v>18</v>
      </c>
    </row>
    <row r="4" spans="1:9">
      <c r="A4" t="s">
        <v>19</v>
      </c>
      <c r="B4" t="s">
        <v>20</v>
      </c>
      <c r="C4" t="s">
        <v>21</v>
      </c>
      <c r="D4" t="s">
        <v>22</v>
      </c>
      <c r="E4" s="112">
        <v>2030</v>
      </c>
      <c r="F4" s="112">
        <v>1986</v>
      </c>
      <c r="G4" s="112">
        <v>2074</v>
      </c>
      <c r="H4" s="112"/>
      <c r="I4" t="s">
        <v>23</v>
      </c>
    </row>
    <row r="5" spans="1:9">
      <c r="A5" t="s">
        <v>24</v>
      </c>
      <c r="B5" t="s">
        <v>20</v>
      </c>
      <c r="C5" t="s">
        <v>25</v>
      </c>
      <c r="D5" t="s">
        <v>22</v>
      </c>
      <c r="E5" s="112">
        <v>2120</v>
      </c>
      <c r="F5" s="112">
        <v>2076</v>
      </c>
      <c r="G5" s="112">
        <v>2164</v>
      </c>
      <c r="H5" s="112"/>
      <c r="I5" t="s">
        <v>26</v>
      </c>
    </row>
    <row r="6" spans="1:9">
      <c r="A6" t="s">
        <v>27</v>
      </c>
      <c r="B6" t="s">
        <v>20</v>
      </c>
      <c r="C6" t="s">
        <v>28</v>
      </c>
      <c r="D6" t="s">
        <v>22</v>
      </c>
      <c r="E6" s="112">
        <v>2030</v>
      </c>
      <c r="F6" s="112">
        <v>1986</v>
      </c>
      <c r="G6" s="112">
        <v>2074</v>
      </c>
      <c r="H6" s="112"/>
      <c r="I6" t="s">
        <v>29</v>
      </c>
    </row>
    <row r="7" spans="1:9">
      <c r="A7" t="s">
        <v>30</v>
      </c>
      <c r="B7" t="s">
        <v>31</v>
      </c>
      <c r="C7" t="s">
        <v>32</v>
      </c>
      <c r="D7" t="s">
        <v>22</v>
      </c>
      <c r="E7" s="112"/>
      <c r="F7" s="112"/>
      <c r="G7" s="112"/>
      <c r="H7" s="112">
        <v>300</v>
      </c>
      <c r="I7" t="s">
        <v>33</v>
      </c>
    </row>
    <row r="8" spans="1:9">
      <c r="A8" t="s">
        <v>34</v>
      </c>
      <c r="B8" t="s">
        <v>35</v>
      </c>
      <c r="C8" t="s">
        <v>36</v>
      </c>
      <c r="D8" t="s">
        <v>37</v>
      </c>
      <c r="E8" s="112">
        <v>360</v>
      </c>
      <c r="F8" s="112"/>
      <c r="G8" s="112"/>
      <c r="H8" s="112">
        <v>20</v>
      </c>
      <c r="I8" t="s">
        <v>38</v>
      </c>
    </row>
    <row r="9" spans="1:9">
      <c r="A9" t="s">
        <v>39</v>
      </c>
      <c r="B9" t="s">
        <v>35</v>
      </c>
      <c r="C9" t="s">
        <v>40</v>
      </c>
      <c r="D9" t="s">
        <v>37</v>
      </c>
      <c r="E9" s="112">
        <v>310</v>
      </c>
      <c r="F9" s="112"/>
      <c r="G9" s="112"/>
      <c r="H9" s="112">
        <v>20</v>
      </c>
      <c r="I9" t="s">
        <v>41</v>
      </c>
    </row>
    <row r="10" spans="1:9">
      <c r="A10" t="s">
        <v>42</v>
      </c>
      <c r="B10" t="s">
        <v>35</v>
      </c>
      <c r="C10" t="s">
        <v>43</v>
      </c>
      <c r="D10" t="s">
        <v>44</v>
      </c>
      <c r="E10" s="112">
        <v>15</v>
      </c>
      <c r="F10" s="112">
        <v>13</v>
      </c>
      <c r="G10" s="112">
        <v>17</v>
      </c>
      <c r="H10" s="112"/>
      <c r="I10" t="s">
        <v>45</v>
      </c>
    </row>
    <row r="11" spans="1:9">
      <c r="A11" t="s">
        <v>46</v>
      </c>
      <c r="B11" t="s">
        <v>47</v>
      </c>
      <c r="C11" t="s">
        <v>48</v>
      </c>
      <c r="D11" t="s">
        <v>17</v>
      </c>
      <c r="E11" s="112"/>
      <c r="F11" s="112"/>
      <c r="G11" s="112"/>
      <c r="H11" s="112">
        <v>0.3</v>
      </c>
      <c r="I11" t="s">
        <v>49</v>
      </c>
    </row>
    <row r="12" spans="1:9">
      <c r="A12" t="s">
        <v>50</v>
      </c>
      <c r="B12" t="s">
        <v>47</v>
      </c>
      <c r="C12" t="s">
        <v>51</v>
      </c>
      <c r="D12" t="s">
        <v>52</v>
      </c>
      <c r="E12" s="112"/>
      <c r="F12" s="112"/>
      <c r="G12" s="112"/>
      <c r="H12" s="112">
        <v>0.15</v>
      </c>
      <c r="I12" t="s">
        <v>53</v>
      </c>
    </row>
    <row r="13" spans="1:9">
      <c r="A13" t="s">
        <v>54</v>
      </c>
      <c r="B13" t="s">
        <v>55</v>
      </c>
      <c r="C13" t="s">
        <v>55</v>
      </c>
      <c r="D13" t="s">
        <v>17</v>
      </c>
      <c r="E13" s="112"/>
      <c r="F13" s="112"/>
      <c r="G13" s="112"/>
      <c r="H13" s="112">
        <v>0.05</v>
      </c>
      <c r="I13" t="s">
        <v>56</v>
      </c>
    </row>
    <row r="14" spans="1:9">
      <c r="A14" t="s">
        <v>57</v>
      </c>
      <c r="B14" t="s">
        <v>58</v>
      </c>
      <c r="C14" t="s">
        <v>59</v>
      </c>
      <c r="D14" t="s">
        <v>17</v>
      </c>
      <c r="E14" s="112"/>
      <c r="F14" s="112"/>
      <c r="G14" s="112"/>
      <c r="H14" s="112">
        <v>0.5</v>
      </c>
      <c r="I14" t="s">
        <v>60</v>
      </c>
    </row>
    <row r="15" spans="1:9">
      <c r="A15" t="s">
        <v>61</v>
      </c>
      <c r="B15" t="s">
        <v>10</v>
      </c>
      <c r="C15" t="s">
        <v>62</v>
      </c>
      <c r="D15" t="s">
        <v>63</v>
      </c>
      <c r="E15" s="112">
        <v>188</v>
      </c>
      <c r="F15" s="112"/>
      <c r="G15" s="112"/>
      <c r="H15" s="112"/>
      <c r="I15" t="s">
        <v>64</v>
      </c>
    </row>
    <row r="16" spans="1:9">
      <c r="A16" t="s">
        <v>65</v>
      </c>
      <c r="B16" t="s">
        <v>10</v>
      </c>
      <c r="C16" t="s">
        <v>66</v>
      </c>
      <c r="D16" t="s">
        <v>63</v>
      </c>
      <c r="E16" s="112">
        <v>188</v>
      </c>
      <c r="F16" s="112"/>
      <c r="G16" s="112"/>
      <c r="H16" s="112"/>
      <c r="I16" t="s">
        <v>64</v>
      </c>
    </row>
    <row r="17" spans="1:9">
      <c r="A17" t="s">
        <v>67</v>
      </c>
      <c r="B17" t="s">
        <v>10</v>
      </c>
      <c r="C17" t="s">
        <v>68</v>
      </c>
      <c r="D17" t="s">
        <v>63</v>
      </c>
      <c r="E17" s="112">
        <v>188</v>
      </c>
      <c r="F17" s="112"/>
      <c r="G17" s="112"/>
      <c r="H17" s="112"/>
      <c r="I17" t="s">
        <v>64</v>
      </c>
    </row>
    <row r="18" spans="1:9">
      <c r="A18" t="s">
        <v>69</v>
      </c>
      <c r="B18" t="s">
        <v>10</v>
      </c>
      <c r="C18" t="s">
        <v>70</v>
      </c>
      <c r="D18" t="s">
        <v>63</v>
      </c>
      <c r="E18" s="112">
        <v>200</v>
      </c>
      <c r="F18" s="112"/>
      <c r="G18" s="112"/>
      <c r="H18" s="112"/>
      <c r="I18" t="s">
        <v>71</v>
      </c>
    </row>
    <row r="19" spans="1:9">
      <c r="A19" t="s">
        <v>72</v>
      </c>
      <c r="B19" t="s">
        <v>10</v>
      </c>
      <c r="C19" t="s">
        <v>73</v>
      </c>
      <c r="D19" t="s">
        <v>63</v>
      </c>
      <c r="E19" s="112">
        <v>200</v>
      </c>
      <c r="F19" s="112"/>
      <c r="G19" s="112"/>
      <c r="H19" s="112"/>
      <c r="I19" t="s">
        <v>74</v>
      </c>
    </row>
    <row r="21" spans="1:9">
      <c r="A21" s="113" t="s">
        <v>75</v>
      </c>
    </row>
    <row r="22" spans="1:9">
      <c r="A22" s="114" t="s">
        <v>76</v>
      </c>
      <c r="B22" s="114"/>
      <c r="C22" s="114"/>
      <c r="D22" s="114"/>
      <c r="E22" s="114"/>
      <c r="F22" s="114"/>
      <c r="G22" s="114"/>
      <c r="H22" s="114"/>
      <c r="I22" s="114"/>
    </row>
    <row r="23" spans="1:9">
      <c r="A23" s="114"/>
      <c r="B23" s="114"/>
      <c r="C23" s="114"/>
      <c r="D23" s="114"/>
      <c r="E23" s="114"/>
      <c r="F23" s="114"/>
      <c r="G23" s="114"/>
      <c r="H23" s="114"/>
      <c r="I23" s="114"/>
    </row>
    <row r="24" spans="1:9">
      <c r="A24" s="114"/>
      <c r="B24" s="114"/>
      <c r="C24" s="114"/>
      <c r="D24" s="114"/>
      <c r="E24" s="114"/>
      <c r="F24" s="114"/>
      <c r="G24" s="114"/>
      <c r="H24" s="114"/>
      <c r="I24" s="114"/>
    </row>
    <row r="25" spans="1:9">
      <c r="A25" s="114"/>
      <c r="B25" s="114"/>
      <c r="C25" s="114"/>
      <c r="D25" s="114"/>
      <c r="E25" s="114"/>
      <c r="F25" s="114"/>
      <c r="G25" s="114"/>
      <c r="H25" s="114"/>
      <c r="I25" s="114"/>
    </row>
    <row r="26" spans="1:9">
      <c r="A26" s="114"/>
      <c r="B26" s="114"/>
      <c r="C26" s="114"/>
      <c r="D26" s="114"/>
      <c r="E26" s="114"/>
      <c r="F26" s="114"/>
      <c r="G26" s="114"/>
      <c r="H26" s="114"/>
      <c r="I26" s="114"/>
    </row>
    <row r="27" spans="1:9">
      <c r="A27" s="114"/>
      <c r="B27" s="114"/>
      <c r="C27" s="114"/>
      <c r="D27" s="114"/>
      <c r="E27" s="114"/>
      <c r="F27" s="114"/>
      <c r="G27" s="114"/>
      <c r="H27" s="114"/>
      <c r="I27" s="114"/>
    </row>
    <row r="28" spans="1:9">
      <c r="A28" s="114"/>
      <c r="B28" s="114"/>
      <c r="C28" s="114"/>
      <c r="D28" s="114"/>
      <c r="E28" s="114"/>
      <c r="F28" s="114"/>
      <c r="G28" s="114"/>
      <c r="H28" s="114"/>
      <c r="I28" s="114"/>
    </row>
    <row r="29" spans="1:9">
      <c r="A29" s="114"/>
      <c r="B29" s="114"/>
      <c r="C29" s="114"/>
      <c r="D29" s="114"/>
      <c r="E29" s="114"/>
      <c r="F29" s="114"/>
      <c r="G29" s="114"/>
      <c r="H29" s="114"/>
      <c r="I29" s="114"/>
    </row>
  </sheetData>
  <mergeCells count="1">
    <mergeCell ref="A22:I29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/>
  <dimension ref="A1:V49"/>
  <sheetViews>
    <sheetView showGridLines="0" workbookViewId="0"/>
  </sheetViews>
  <sheetFormatPr defaultRowHeight="15"/>
  <cols>
    <col min="1" max="1" width="2.7109375" customWidth="1"/>
    <col min="2" max="7" width="13.7109375" customWidth="1"/>
    <col min="8" max="8" width="30.7109375" customWidth="1"/>
    <col min="9" max="31" width="13.7109375" customWidth="1"/>
  </cols>
  <sheetData>
    <row r="1" spans="2:22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22" ht="34" customHeight="1">
      <c r="B2" s="1"/>
      <c r="C2" s="1"/>
      <c r="D2" s="1"/>
      <c r="E2" s="2" t="s">
        <v>77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22" ht="24" customHeight="1">
      <c r="B3" s="1"/>
      <c r="C3" s="1"/>
      <c r="D3" s="1"/>
      <c r="E3" s="3" t="s">
        <v>78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22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22">
      <c r="H5" s="5" t="s">
        <v>286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2:22">
      <c r="B6" s="11" t="s">
        <v>79</v>
      </c>
      <c r="C6" s="11" t="s">
        <v>89</v>
      </c>
      <c r="D6" s="11" t="s">
        <v>94</v>
      </c>
      <c r="E6" s="11" t="s">
        <v>97</v>
      </c>
      <c r="H6" s="11" t="s">
        <v>1</v>
      </c>
      <c r="I6" s="11" t="s">
        <v>287</v>
      </c>
      <c r="J6" s="11" t="s">
        <v>288</v>
      </c>
      <c r="K6" s="11" t="s">
        <v>289</v>
      </c>
      <c r="L6" s="11" t="s">
        <v>290</v>
      </c>
      <c r="M6" s="11" t="s">
        <v>291</v>
      </c>
      <c r="N6" s="11" t="s">
        <v>292</v>
      </c>
      <c r="O6" s="11" t="s">
        <v>293</v>
      </c>
      <c r="P6" s="11" t="s">
        <v>294</v>
      </c>
      <c r="Q6" s="11" t="s">
        <v>295</v>
      </c>
      <c r="R6" s="11" t="s">
        <v>296</v>
      </c>
      <c r="S6" s="11" t="s">
        <v>297</v>
      </c>
      <c r="T6" s="11" t="s">
        <v>298</v>
      </c>
      <c r="U6" s="11" t="s">
        <v>299</v>
      </c>
      <c r="V6" s="11" t="s">
        <v>300</v>
      </c>
    </row>
    <row r="7" spans="2:22">
      <c r="B7" s="115" t="s">
        <v>80</v>
      </c>
      <c r="C7" s="115" t="s">
        <v>90</v>
      </c>
      <c r="D7" s="115" t="s">
        <v>95</v>
      </c>
      <c r="E7" s="115" t="s">
        <v>98</v>
      </c>
      <c r="H7" s="116" t="s">
        <v>301</v>
      </c>
      <c r="I7" s="117" t="s">
        <v>302</v>
      </c>
      <c r="J7" s="117" t="s">
        <v>302</v>
      </c>
      <c r="K7" s="117" t="s">
        <v>302</v>
      </c>
      <c r="L7" s="117" t="s">
        <v>302</v>
      </c>
      <c r="M7" s="117" t="s">
        <v>302</v>
      </c>
      <c r="N7" s="117" t="s">
        <v>302</v>
      </c>
      <c r="O7" s="117" t="s">
        <v>302</v>
      </c>
      <c r="P7" s="117" t="s">
        <v>302</v>
      </c>
      <c r="Q7" s="117" t="s">
        <v>302</v>
      </c>
      <c r="R7" s="117" t="s">
        <v>302</v>
      </c>
      <c r="S7" s="117" t="s">
        <v>302</v>
      </c>
      <c r="T7" s="117" t="s">
        <v>302</v>
      </c>
      <c r="U7" s="117" t="s">
        <v>302</v>
      </c>
      <c r="V7" s="117" t="s">
        <v>302</v>
      </c>
    </row>
    <row r="8" spans="2:22">
      <c r="B8" s="115" t="s">
        <v>81</v>
      </c>
      <c r="C8" s="115" t="s">
        <v>91</v>
      </c>
      <c r="D8" s="115" t="s">
        <v>96</v>
      </c>
      <c r="E8" s="115" t="s">
        <v>99</v>
      </c>
      <c r="H8" s="116" t="s">
        <v>303</v>
      </c>
      <c r="I8" s="117"/>
      <c r="J8" s="117" t="s">
        <v>302</v>
      </c>
      <c r="K8" s="117"/>
      <c r="L8" s="117"/>
      <c r="M8" s="117"/>
      <c r="N8" s="117" t="s">
        <v>302</v>
      </c>
      <c r="O8" s="117"/>
      <c r="P8" s="117"/>
      <c r="Q8" s="117"/>
      <c r="R8" s="117"/>
      <c r="S8" s="117"/>
      <c r="T8" s="117" t="s">
        <v>302</v>
      </c>
      <c r="U8" s="117"/>
      <c r="V8" s="117"/>
    </row>
    <row r="9" spans="2:22">
      <c r="B9" s="115" t="s">
        <v>82</v>
      </c>
      <c r="C9" s="115" t="s">
        <v>92</v>
      </c>
      <c r="E9" s="115" t="s">
        <v>100</v>
      </c>
      <c r="H9" s="116" t="s">
        <v>304</v>
      </c>
      <c r="I9" s="117"/>
      <c r="J9" s="117" t="s">
        <v>302</v>
      </c>
      <c r="K9" s="117"/>
      <c r="L9" s="117"/>
      <c r="M9" s="117"/>
      <c r="N9" s="117" t="s">
        <v>302</v>
      </c>
      <c r="O9" s="117"/>
      <c r="P9" s="117"/>
      <c r="Q9" s="117"/>
      <c r="R9" s="117"/>
      <c r="S9" s="117"/>
      <c r="T9" s="117" t="s">
        <v>302</v>
      </c>
      <c r="U9" s="117"/>
      <c r="V9" s="117"/>
    </row>
    <row r="10" spans="2:22">
      <c r="B10" s="115" t="s">
        <v>83</v>
      </c>
      <c r="C10" s="115" t="s">
        <v>93</v>
      </c>
      <c r="H10" s="116" t="s">
        <v>305</v>
      </c>
      <c r="I10" s="117"/>
      <c r="J10" s="117"/>
      <c r="K10" s="117"/>
      <c r="L10" s="117" t="s">
        <v>302</v>
      </c>
      <c r="M10" s="117"/>
      <c r="N10" s="117"/>
      <c r="O10" s="117"/>
      <c r="P10" s="117" t="s">
        <v>302</v>
      </c>
      <c r="Q10" s="117"/>
      <c r="R10" s="117"/>
      <c r="S10" s="117"/>
      <c r="T10" s="117"/>
      <c r="U10" s="117"/>
      <c r="V10" s="117" t="s">
        <v>302</v>
      </c>
    </row>
    <row r="11" spans="2:22">
      <c r="B11" s="115" t="s">
        <v>84</v>
      </c>
      <c r="H11" s="116" t="s">
        <v>306</v>
      </c>
      <c r="I11" s="117"/>
      <c r="J11" s="117" t="s">
        <v>302</v>
      </c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</row>
    <row r="12" spans="2:22">
      <c r="B12" s="115" t="s">
        <v>85</v>
      </c>
      <c r="H12" s="116" t="s">
        <v>307</v>
      </c>
      <c r="I12" s="117"/>
      <c r="J12" s="117" t="s">
        <v>302</v>
      </c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</row>
    <row r="13" spans="2:22">
      <c r="B13" s="115" t="s">
        <v>86</v>
      </c>
      <c r="H13" s="116" t="s">
        <v>308</v>
      </c>
      <c r="I13" s="117"/>
      <c r="J13" s="117" t="s">
        <v>302</v>
      </c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</row>
    <row r="14" spans="2:22">
      <c r="B14" s="115" t="s">
        <v>87</v>
      </c>
      <c r="H14" s="116" t="s">
        <v>309</v>
      </c>
      <c r="I14" s="117"/>
      <c r="J14" s="117"/>
      <c r="K14" s="117"/>
      <c r="L14" s="117" t="s">
        <v>302</v>
      </c>
      <c r="M14" s="117"/>
      <c r="N14" s="117"/>
      <c r="O14" s="117"/>
      <c r="P14" s="117" t="s">
        <v>302</v>
      </c>
      <c r="Q14" s="117"/>
      <c r="R14" s="117"/>
      <c r="S14" s="117"/>
      <c r="T14" s="117"/>
      <c r="U14" s="117"/>
      <c r="V14" s="117" t="s">
        <v>302</v>
      </c>
    </row>
    <row r="15" spans="2:22">
      <c r="B15" s="115" t="s">
        <v>88</v>
      </c>
      <c r="H15" s="116" t="s">
        <v>31</v>
      </c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</row>
    <row r="16" spans="2:22">
      <c r="B16" s="115"/>
    </row>
    <row r="17" spans="2:18">
      <c r="B17" s="115"/>
    </row>
    <row r="18" spans="2:18">
      <c r="B18" s="115"/>
      <c r="H18" s="5" t="s">
        <v>310</v>
      </c>
      <c r="I18" s="5"/>
      <c r="J18" s="5"/>
      <c r="K18" s="5"/>
      <c r="L18" s="5"/>
      <c r="M18" s="5"/>
      <c r="N18" s="5"/>
    </row>
    <row r="19" spans="2:18">
      <c r="B19" s="115"/>
      <c r="H19" s="116" t="s">
        <v>311</v>
      </c>
      <c r="I19" s="118" t="s">
        <v>312</v>
      </c>
      <c r="J19" s="117"/>
      <c r="K19" s="117"/>
      <c r="L19" s="117"/>
      <c r="M19" s="117"/>
      <c r="N19" s="117"/>
      <c r="O19" s="117"/>
      <c r="P19" s="117"/>
      <c r="Q19" s="117"/>
      <c r="R19" s="117"/>
    </row>
    <row r="20" spans="2:18">
      <c r="B20" s="115"/>
      <c r="H20" s="116" t="s">
        <v>313</v>
      </c>
      <c r="I20" s="118">
        <v>0</v>
      </c>
      <c r="J20" s="117"/>
      <c r="K20" s="117"/>
      <c r="L20" s="117"/>
      <c r="M20" s="117"/>
      <c r="N20" s="117"/>
      <c r="O20" s="117"/>
      <c r="P20" s="117"/>
      <c r="Q20" s="117"/>
      <c r="R20" s="117"/>
    </row>
    <row r="21" spans="2:18">
      <c r="B21" s="115"/>
      <c r="H21" s="116" t="s">
        <v>314</v>
      </c>
      <c r="I21" s="118"/>
      <c r="J21" s="117"/>
      <c r="K21" s="117"/>
      <c r="L21" s="117"/>
      <c r="M21" s="117"/>
      <c r="N21" s="117"/>
      <c r="O21" s="117"/>
      <c r="P21" s="117"/>
      <c r="Q21" s="117"/>
      <c r="R21" s="117"/>
    </row>
    <row r="22" spans="2:18">
      <c r="B22" s="115"/>
      <c r="H22" s="116" t="s">
        <v>315</v>
      </c>
      <c r="I22" s="118">
        <v>30</v>
      </c>
      <c r="J22" s="117"/>
      <c r="K22" s="117"/>
      <c r="L22" s="117"/>
      <c r="M22" s="117"/>
      <c r="N22" s="117"/>
      <c r="O22" s="117"/>
      <c r="P22" s="117"/>
      <c r="Q22" s="117"/>
      <c r="R22" s="117"/>
    </row>
    <row r="23" spans="2:18">
      <c r="B23" s="115"/>
    </row>
    <row r="24" spans="2:18">
      <c r="B24" s="115"/>
    </row>
    <row r="25" spans="2:18">
      <c r="B25" s="115"/>
      <c r="H25" s="5" t="s">
        <v>316</v>
      </c>
      <c r="I25" s="5"/>
      <c r="J25" s="5"/>
      <c r="K25" s="5"/>
      <c r="L25" s="5"/>
      <c r="M25" s="5"/>
      <c r="N25" s="5"/>
    </row>
    <row r="26" spans="2:18">
      <c r="B26" s="115"/>
      <c r="H26" s="119" t="s">
        <v>317</v>
      </c>
      <c r="I26" s="56">
        <f>COUNTA('Lançamento'!$H$25:$I$25,'Lançamento'!$H$26:$I$26,'Lançamento'!$H$27:$I$27)</f>
        <v>0</v>
      </c>
      <c r="J26" t="s">
        <v>318</v>
      </c>
    </row>
    <row r="27" spans="2:18">
      <c r="B27" s="115"/>
      <c r="H27" s="119" t="s">
        <v>319</v>
      </c>
      <c r="I27" s="56">
        <f>COUNTA('Lançamento'!$F$33,'Lançamento'!$G$33,'Lançamento'!$F$34,'Lançamento'!$G$34,'Lançamento'!$F$35,'Lançamento'!$G$35,'Lançamento'!$F$36,'Lançamento'!$G$36,'Lançamento'!$F$37,'Lançamento'!$G$37)</f>
        <v>0</v>
      </c>
      <c r="J27" t="s">
        <v>320</v>
      </c>
    </row>
    <row r="28" spans="2:18">
      <c r="H28" s="119" t="s">
        <v>14</v>
      </c>
      <c r="I28" s="56">
        <f>COUNTA('Lançamento'!$H$43:$I$43,'Lançamento'!$H$44:$I$44,'Lançamento'!$H$45:$I$45)</f>
        <v>0</v>
      </c>
      <c r="J28" t="s">
        <v>321</v>
      </c>
    </row>
    <row r="29" spans="2:18">
      <c r="H29" s="119" t="s">
        <v>54</v>
      </c>
      <c r="I29" s="56">
        <f>COUNTA('Lançamento'!$F$50:$G$50,'Lançamento'!$G$51,'Lançamento'!$I$51,'Lançamento'!$K$51,'Lançamento'!$F$53:$G$53,'Lançamento'!$F$54:$G$54,'Lançamento'!$F$55:$G$55)</f>
        <v>0</v>
      </c>
      <c r="J29" t="s">
        <v>322</v>
      </c>
    </row>
    <row r="30" spans="2:18">
      <c r="B30" s="5" t="s">
        <v>101</v>
      </c>
      <c r="C30" s="5"/>
      <c r="D30" s="5"/>
      <c r="E30" s="5"/>
      <c r="F30" s="5"/>
      <c r="G30" s="5"/>
      <c r="H30" s="119" t="s">
        <v>323</v>
      </c>
      <c r="I30" s="56">
        <f>COUNTA('Lançamento'!$E$62:$F$62,'Lançamento'!$G$62,'Lançamento'!$K$62:$L$62,'Lançamento'!$E$63:$F$63,'Lançamento'!$G$63,'Lançamento'!$K$63:$L$63,'Lançamento'!$E$64:$F$64,'Lançamento'!$G$64,'Lançamento'!$K$64:$L$64,'Lançamento'!$E$65:$F$65,'Lançamento'!$G$65,'Lançamento'!$E$66:$F$66,'Lançamento'!$G$66,'Lançamento'!$K$66:$L$66,'Lançamento'!$E$69:$F$69,'Lançamento'!$G$69,'Lançamento'!$K$69:$L$69,'Lançamento'!$E$70:$F$70,'Lançamento'!$G$70,'Lançamento'!$K$70:$L$70,'Lançamento'!$E$71:$F$71,'Lançamento'!$G$71,'Lançamento'!$K$71:$L$71,'Lançamento'!$E$72:$F$72,'Lançamento'!$G$72,'Lançamento'!$E$73:$F$73,'Lançamento'!$G$73,'Lançamento'!$K$73:$L$73)</f>
        <v>0</v>
      </c>
      <c r="J30" t="s">
        <v>324</v>
      </c>
    </row>
    <row r="31" spans="2:18">
      <c r="B31" s="11" t="s">
        <v>0</v>
      </c>
      <c r="C31" s="11" t="s">
        <v>4</v>
      </c>
      <c r="D31" s="11" t="s">
        <v>102</v>
      </c>
      <c r="E31" s="11" t="s">
        <v>103</v>
      </c>
      <c r="F31" s="11" t="s">
        <v>7</v>
      </c>
      <c r="H31" s="119" t="s">
        <v>325</v>
      </c>
      <c r="I31" s="56">
        <f>COUNTA('Lançamento'!$F$79:$G$79,'Lançamento'!$I$79:$J$79,'Lançamento'!$F$80:$G$80,'Lançamento'!$I$80:$J$80,'Lançamento'!$F$81:$G$81,'Lançamento'!$I$81:$J$81,'Lançamento'!$F$82:$G$82,'Lançamento'!$I$82:$J$82,'Lançamento'!$F$83:$G$83,'Lançamento'!$I$83:$J$83,'Lançamento'!$F$84:$G$84,'Lançamento'!$I$84:$J$84,'Lançamento'!$F$85:$G$85,'Lançamento'!$I$85:$J$85,'Lançamento'!$F$86:$G$86,'Lançamento'!$I$86:$J$86,'Lançamento'!$F$87:$G$87,'Lançamento'!$I$87:$J$87,'Lançamento'!$F$88:$G$88,'Lançamento'!$I$88:$J$88)</f>
        <v>0</v>
      </c>
      <c r="J31" t="s">
        <v>326</v>
      </c>
    </row>
    <row r="32" spans="2:18">
      <c r="B32" s="119" t="s">
        <v>9</v>
      </c>
      <c r="C32" s="120">
        <f>IFERROR(IF(ISNUMBER(INDEX(crit_NOM,MATCH("TAMB",crit_chave,0))),INDEX(crit_NOM,MATCH("TAMB",crit_chave,0)),""),"")</f>
        <v>25</v>
      </c>
      <c r="D32" s="120">
        <f>IFERROR(IF(ISNUMBER(INDEX(crit_LI,MATCH("TAMB",crit_chave,0))),INDEX(crit_LI,MATCH("TAMB",crit_chave,0)),""),"")</f>
        <v>24</v>
      </c>
      <c r="E32" s="120">
        <f>IFERROR(IF(ISNUMBER(INDEX(crit_LS,MATCH("TAMB",crit_chave,0))),INDEX(crit_LS,MATCH("TAMB",crit_chave,0)),""),"")</f>
        <v>26</v>
      </c>
      <c r="F32" s="120">
        <f>IFERROR(IF(ISNUMBER(INDEX(crit_TOL,MATCH("TAMB",crit_chave,0))),INDEX(crit_TOL,MATCH("TAMB",crit_chave,0)),""),"")</f>
        <v/>
      </c>
      <c r="H32" s="119" t="s">
        <v>57</v>
      </c>
      <c r="I32" s="56">
        <f>COUNTA('Lançamento'!$F$103:$G$103,'Lançamento'!$H$103:$I$103,'Lançamento'!$F$104:$G$104,'Lançamento'!$H$104:$I$104)</f>
        <v>0</v>
      </c>
      <c r="J32" t="s">
        <v>327</v>
      </c>
    </row>
    <row r="33" spans="2:10">
      <c r="B33" s="119" t="s">
        <v>14</v>
      </c>
      <c r="C33" s="120">
        <f>IFERROR(IF(ISNUMBER(INDEX(crit_NOM,MATCH("ALP",crit_chave,0))),INDEX(crit_NOM,MATCH("ALP",crit_chave,0)),""),"")</f>
        <v>88.4</v>
      </c>
      <c r="D33" s="120">
        <f>IFERROR(IF(ISNUMBER(INDEX(crit_LI,MATCH("ALP",crit_chave,0))),INDEX(crit_LI,MATCH("ALP",crit_chave,0)),""),"")</f>
        <v>87.4</v>
      </c>
      <c r="E33" s="120">
        <f>IFERROR(IF(ISNUMBER(INDEX(crit_LS,MATCH("ALP",crit_chave,0))),INDEX(crit_LS,MATCH("ALP",crit_chave,0)),""),"")</f>
        <v>89.4</v>
      </c>
      <c r="F33" s="120">
        <f>IFERROR(IF(ISNUMBER(INDEX(crit_TOL,MATCH("ALP",crit_chave,0))),INDEX(crit_TOL,MATCH("ALP",crit_chave,0)),""),"")</f>
        <v/>
      </c>
      <c r="H33" s="119" t="s">
        <v>328</v>
      </c>
      <c r="I33" s="56">
        <f>COUNTA('Lançamento'!$H$113,'Lançamento'!$I$113,'Lançamento'!$J$113,'Lançamento'!$K$113,'Lançamento'!$L$113,'Lançamento'!$H$114,'Lançamento'!$I$114,'Lançamento'!$J$114,'Lançamento'!$K$114,'Lançamento'!$L$114,'Lançamento'!$H$115,'Lançamento'!$I$115,'Lançamento'!$J$115,'Lançamento'!$K$115,'Lançamento'!$L$115,'Lançamento'!$H$116,'Lançamento'!$I$116,'Lançamento'!$J$116,'Lançamento'!$K$116,'Lançamento'!$L$116,'Lançamento'!$H$117,'Lançamento'!$I$117,'Lançamento'!$J$117,'Lançamento'!$K$117,'Lançamento'!$L$117,'Lançamento'!$H$118,'Lançamento'!$I$118,'Lançamento'!$J$118,'Lançamento'!$K$118,'Lançamento'!$L$118,'Lançamento'!$H$119,'Lançamento'!$I$119,'Lançamento'!$J$119,'Lançamento'!$K$119,'Lançamento'!$L$119,'Lançamento'!$H$120,'Lançamento'!$I$120,'Lançamento'!$J$120,'Lançamento'!$K$120,'Lançamento'!$L$120,'Lançamento'!$H$121,'Lançamento'!$I$121,'Lançamento'!$J$121,'Lançamento'!$K$121,'Lançamento'!$L$121,'Lançamento'!$H$122,'Lançamento'!$I$122,'Lançamento'!$J$122,'Lançamento'!$K$122,'Lançamento'!$L$122,'Lançamento'!$H$123,'Lançamento'!$I$123,'Lançamento'!$J$123,'Lançamento'!$K$123,'Lançamento'!$L$123,'Lançamento'!$H$124,'Lançamento'!$I$124,'Lançamento'!$J$124,'Lançamento'!$K$124,'Lançamento'!$L$124,'Lançamento'!$H$125,'Lançamento'!$I$125,'Lançamento'!$J$125,'Lançamento'!$K$125,'Lançamento'!$L$125,'Lançamento'!$H$126,'Lançamento'!$I$126,'Lançamento'!$J$126,'Lançamento'!$K$126,'Lançamento'!$L$126,'Lançamento'!$H$127,'Lançamento'!$I$127,'Lançamento'!$J$127,'Lançamento'!$K$127,'Lançamento'!$L$127,'Lançamento'!$H$128,'Lançamento'!$I$128,'Lançamento'!$J$128,'Lançamento'!$K$128,'Lançamento'!$L$128,'Lançamento'!$H$129,'Lançamento'!$I$129,'Lançamento'!$J$129,'Lançamento'!$K$129,'Lançamento'!$L$129,'Lançamento'!$H$130,'Lançamento'!$I$130,'Lançamento'!$J$130,'Lançamento'!$K$130,'Lançamento'!$L$130,'Lançamento'!$H$131,'Lançamento'!$I$131,'Lançamento'!$J$131,'Lançamento'!$K$131,'Lançamento'!$L$131,'Lançamento'!$H$132,'Lançamento'!$I$132,'Lançamento'!$J$132,'Lançamento'!$K$132,'Lançamento'!$L$132,'Lançamento'!$H$133,'Lançamento'!$I$133,'Lançamento'!$J$133,'Lançamento'!$K$133,'Lançamento'!$L$133,'Lançamento'!$H$134,'Lançamento'!$I$134,'Lançamento'!$J$134,'Lançamento'!$K$134,'Lançamento'!$L$134,'Lançamento'!$H$135,'Lançamento'!$I$135,'Lançamento'!$J$135,'Lançamento'!$K$135,'Lançamento'!$L$135,'Lançamento'!$H$136,'Lançamento'!$I$136,'Lançamento'!$J$136,'Lançamento'!$K$136,'Lançamento'!$L$136,'Lançamento'!$H$137,'Lançamento'!$I$137,'Lançamento'!$J$137,'Lançamento'!$K$137,'Lançamento'!$L$137,'Lançamento'!$H$138,'Lançamento'!$I$138,'Lançamento'!$J$138,'Lançamento'!$K$138,'Lançamento'!$L$138,'Lançamento'!$H$139,'Lançamento'!$I$139,'Lançamento'!$J$139,'Lançamento'!$K$139,'Lançamento'!$L$139)</f>
        <v>0</v>
      </c>
      <c r="J33" t="s">
        <v>329</v>
      </c>
    </row>
    <row r="34" spans="2:10">
      <c r="B34" s="119" t="s">
        <v>19</v>
      </c>
      <c r="C34" s="120">
        <f>IFERROR(IF(ISNUMBER(INDEX(crit_NOM,MATCH("BLAM",crit_chave,0))),INDEX(crit_NOM,MATCH("BLAM",crit_chave,0)),""),"")</f>
        <v>2030</v>
      </c>
      <c r="D34" s="120">
        <f>IFERROR(IF(ISNUMBER(INDEX(crit_LI,MATCH("BLAM",crit_chave,0))),INDEX(crit_LI,MATCH("BLAM",crit_chave,0)),""),"")</f>
        <v>1986</v>
      </c>
      <c r="E34" s="120">
        <f>IFERROR(IF(ISNUMBER(INDEX(crit_LS,MATCH("BLAM",crit_chave,0))),INDEX(crit_LS,MATCH("BLAM",crit_chave,0)),""),"")</f>
        <v>2074</v>
      </c>
      <c r="F34" s="120">
        <f>IFERROR(IF(ISNUMBER(INDEX(crit_TOL,MATCH("BLAM",crit_chave,0))),INDEX(crit_TOL,MATCH("BLAM",crit_chave,0)),""),"")</f>
        <v/>
      </c>
      <c r="H34" s="119" t="s">
        <v>30</v>
      </c>
      <c r="I34" s="56">
        <f>COUNTA('Lançamento'!$F$146:$G$146,'Lançamento'!$H$146:$I$146)</f>
        <v>0</v>
      </c>
      <c r="J34" t="s">
        <v>330</v>
      </c>
    </row>
    <row r="35" spans="2:10">
      <c r="B35" s="119" t="s">
        <v>24</v>
      </c>
      <c r="C35" s="120">
        <f>IFERROR(IF(ISNUMBER(INDEX(crit_NOM,MATCH("BLAS",crit_chave,0))),INDEX(crit_NOM,MATCH("BLAS",crit_chave,0)),""),"")</f>
        <v>2120</v>
      </c>
      <c r="D35" s="120">
        <f>IFERROR(IF(ISNUMBER(INDEX(crit_LI,MATCH("BLAS",crit_chave,0))),INDEX(crit_LI,MATCH("BLAS",crit_chave,0)),""),"")</f>
        <v>2076</v>
      </c>
      <c r="E35" s="120">
        <f>IFERROR(IF(ISNUMBER(INDEX(crit_LS,MATCH("BLAS",crit_chave,0))),INDEX(crit_LS,MATCH("BLAS",crit_chave,0)),""),"")</f>
        <v>2164</v>
      </c>
      <c r="F35" s="120">
        <f>IFERROR(IF(ISNUMBER(INDEX(crit_TOL,MATCH("BLAS",crit_chave,0))),INDEX(crit_TOL,MATCH("BLAS",crit_chave,0)),""),"")</f>
        <v/>
      </c>
    </row>
    <row r="36" spans="2:10">
      <c r="B36" s="119" t="s">
        <v>27</v>
      </c>
      <c r="C36" s="120">
        <f>IFERROR(IF(ISNUMBER(INDEX(crit_NOM,MATCH("BLAA",crit_chave,0))),INDEX(crit_NOM,MATCH("BLAA",crit_chave,0)),""),"")</f>
        <v>2030</v>
      </c>
      <c r="D36" s="120">
        <f>IFERROR(IF(ISNUMBER(INDEX(crit_LI,MATCH("BLAA",crit_chave,0))),INDEX(crit_LI,MATCH("BLAA",crit_chave,0)),""),"")</f>
        <v>1986</v>
      </c>
      <c r="E36" s="120">
        <f>IFERROR(IF(ISNUMBER(INDEX(crit_LS,MATCH("BLAA",crit_chave,0))),INDEX(crit_LS,MATCH("BLAA",crit_chave,0)),""),"")</f>
        <v>2074</v>
      </c>
      <c r="F36" s="120">
        <f>IFERROR(IF(ISNUMBER(INDEX(crit_TOL,MATCH("BLAA",crit_chave,0))),INDEX(crit_TOL,MATCH("BLAA",crit_chave,0)),""),"")</f>
        <v/>
      </c>
    </row>
    <row r="37" spans="2:10">
      <c r="B37" s="119" t="s">
        <v>30</v>
      </c>
      <c r="C37" s="120">
        <f>IFERROR(IF(ISNUMBER(INDEX(crit_NOM,MATCH("FIS",crit_chave,0))),INDEX(crit_NOM,MATCH("FIS",crit_chave,0)),""),"")</f>
        <v/>
      </c>
      <c r="D37" s="120">
        <f>IFERROR(IF(ISNUMBER(INDEX(crit_LI,MATCH("FIS",crit_chave,0))),INDEX(crit_LI,MATCH("FIS",crit_chave,0)),""),"")</f>
        <v/>
      </c>
      <c r="E37" s="120">
        <f>IFERROR(IF(ISNUMBER(INDEX(crit_LS,MATCH("FIS",crit_chave,0))),INDEX(crit_LS,MATCH("FIS",crit_chave,0)),""),"")</f>
        <v/>
      </c>
      <c r="F37" s="120">
        <f>IFERROR(IF(ISNUMBER(INDEX(crit_TOL,MATCH("FIS",crit_chave,0))),INDEX(crit_TOL,MATCH("FIS",crit_chave,0)),""),"")</f>
        <v>300</v>
      </c>
    </row>
    <row r="38" spans="2:10">
      <c r="B38" s="119" t="s">
        <v>34</v>
      </c>
      <c r="C38" s="120">
        <f>IFERROR(IF(ISNUMBER(INDEX(crit_NOM,MATCH("COM16",crit_chave,0))),INDEX(crit_NOM,MATCH("COM16",crit_chave,0)),""),"")</f>
        <v>360</v>
      </c>
      <c r="D38" s="120">
        <f>IFERROR(IF(ISNUMBER(INDEX(crit_LI,MATCH("COM16",crit_chave,0))),INDEX(crit_LI,MATCH("COM16",crit_chave,0)),""),"")</f>
        <v/>
      </c>
      <c r="E38" s="120">
        <f>IFERROR(IF(ISNUMBER(INDEX(crit_LS,MATCH("COM16",crit_chave,0))),INDEX(crit_LS,MATCH("COM16",crit_chave,0)),""),"")</f>
        <v/>
      </c>
      <c r="F38" s="120">
        <f>IFERROR(IF(ISNUMBER(INDEX(crit_TOL,MATCH("COM16",crit_chave,0))),INDEX(crit_TOL,MATCH("COM16",crit_chave,0)),""),"")</f>
        <v>20</v>
      </c>
    </row>
    <row r="39" spans="2:10">
      <c r="B39" s="119" t="s">
        <v>39</v>
      </c>
      <c r="C39" s="120">
        <f>IFERROR(IF(ISNUMBER(INDEX(crit_NOM,MATCH("COM12",crit_chave,0))),INDEX(crit_NOM,MATCH("COM12",crit_chave,0)),""),"")</f>
        <v>310</v>
      </c>
      <c r="D39" s="120">
        <f>IFERROR(IF(ISNUMBER(INDEX(crit_LI,MATCH("COM12",crit_chave,0))),INDEX(crit_LI,MATCH("COM12",crit_chave,0)),""),"")</f>
        <v/>
      </c>
      <c r="E39" s="120">
        <f>IFERROR(IF(ISNUMBER(INDEX(crit_LS,MATCH("COM12",crit_chave,0))),INDEX(crit_LS,MATCH("COM12",crit_chave,0)),""),"")</f>
        <v/>
      </c>
      <c r="F39" s="120">
        <f>IFERROR(IF(ISNUMBER(INDEX(crit_TOL,MATCH("COM12",crit_chave,0))),INDEX(crit_TOL,MATCH("COM12",crit_chave,0)),""),"")</f>
        <v>20</v>
      </c>
    </row>
    <row r="40" spans="2:10">
      <c r="B40" s="119" t="s">
        <v>42</v>
      </c>
      <c r="C40" s="120">
        <f>IFERROR(IF(ISNUMBER(INDEX(crit_NOM,MATCH("VEL",crit_chave,0))),INDEX(crit_NOM,MATCH("VEL",crit_chave,0)),""),"")</f>
        <v>15</v>
      </c>
      <c r="D40" s="120">
        <f>IFERROR(IF(ISNUMBER(INDEX(crit_LI,MATCH("VEL",crit_chave,0))),INDEX(crit_LI,MATCH("VEL",crit_chave,0)),""),"")</f>
        <v>13</v>
      </c>
      <c r="E40" s="120">
        <f>IFERROR(IF(ISNUMBER(INDEX(crit_LS,MATCH("VEL",crit_chave,0))),INDEX(crit_LS,MATCH("VEL",crit_chave,0)),""),"")</f>
        <v>17</v>
      </c>
      <c r="F40" s="120">
        <f>IFERROR(IF(ISNUMBER(INDEX(crit_TOL,MATCH("VEL",crit_chave,0))),INDEX(crit_TOL,MATCH("VEL",crit_chave,0)),""),"")</f>
        <v/>
      </c>
    </row>
    <row r="41" spans="2:10">
      <c r="B41" s="119" t="s">
        <v>46</v>
      </c>
      <c r="C41" s="120">
        <f>IFERROR(IF(ISNUMBER(INDEX(crit_NOM,MATCH("G63",crit_chave,0))),INDEX(crit_NOM,MATCH("G63",crit_chave,0)),""),"")</f>
        <v/>
      </c>
      <c r="D41" s="120">
        <f>IFERROR(IF(ISNUMBER(INDEX(crit_LI,MATCH("G63",crit_chave,0))),INDEX(crit_LI,MATCH("G63",crit_chave,0)),""),"")</f>
        <v/>
      </c>
      <c r="E41" s="120">
        <f>IFERROR(IF(ISNUMBER(INDEX(crit_LS,MATCH("G63",crit_chave,0))),INDEX(crit_LS,MATCH("G63",crit_chave,0)),""),"")</f>
        <v/>
      </c>
      <c r="F41" s="120">
        <f>IFERROR(IF(ISNUMBER(INDEX(crit_TOL,MATCH("G63",crit_chave,0))),INDEX(crit_TOL,MATCH("G63",crit_chave,0)),""),"")</f>
        <v>0.3</v>
      </c>
    </row>
    <row r="42" spans="2:10">
      <c r="B42" s="119" t="s">
        <v>50</v>
      </c>
      <c r="C42" s="120">
        <f>IFERROR(IF(ISNUMBER(INDEX(crit_NOM,MATCH("GRG",crit_chave,0))),INDEX(crit_NOM,MATCH("GRG",crit_chave,0)),""),"")</f>
        <v/>
      </c>
      <c r="D42" s="120">
        <f>IFERROR(IF(ISNUMBER(INDEX(crit_LI,MATCH("GRG",crit_chave,0))),INDEX(crit_LI,MATCH("GRG",crit_chave,0)),""),"")</f>
        <v/>
      </c>
      <c r="E42" s="120">
        <f>IFERROR(IF(ISNUMBER(INDEX(crit_LS,MATCH("GRG",crit_chave,0))),INDEX(crit_LS,MATCH("GRG",crit_chave,0)),""),"")</f>
        <v/>
      </c>
      <c r="F42" s="120">
        <f>IFERROR(IF(ISNUMBER(INDEX(crit_TOL,MATCH("GRG",crit_chave,0))),INDEX(crit_TOL,MATCH("GRG",crit_chave,0)),""),"")</f>
        <v>0.15</v>
      </c>
    </row>
    <row r="43" spans="2:10">
      <c r="B43" s="119" t="s">
        <v>54</v>
      </c>
      <c r="C43" s="120">
        <f>IFERROR(IF(ISNUMBER(INDEX(crit_NOM,MATCH("UMI",crit_chave,0))),INDEX(crit_NOM,MATCH("UMI",crit_chave,0)),""),"")</f>
        <v/>
      </c>
      <c r="D43" s="120">
        <f>IFERROR(IF(ISNUMBER(INDEX(crit_LI,MATCH("UMI",crit_chave,0))),INDEX(crit_LI,MATCH("UMI",crit_chave,0)),""),"")</f>
        <v/>
      </c>
      <c r="E43" s="120">
        <f>IFERROR(IF(ISNUMBER(INDEX(crit_LS,MATCH("UMI",crit_chave,0))),INDEX(crit_LS,MATCH("UMI",crit_chave,0)),""),"")</f>
        <v/>
      </c>
      <c r="F43" s="120">
        <f>IFERROR(IF(ISNUMBER(INDEX(crit_TOL,MATCH("UMI",crit_chave,0))),INDEX(crit_TOL,MATCH("UMI",crit_chave,0)),""),"")</f>
        <v>0.05</v>
      </c>
    </row>
    <row r="44" spans="2:10">
      <c r="B44" s="119" t="s">
        <v>57</v>
      </c>
      <c r="C44" s="120">
        <f>IFERROR(IF(ISNUMBER(INDEX(crit_NOM,MATCH("T515",crit_chave,0))),INDEX(crit_NOM,MATCH("T515",crit_chave,0)),""),"")</f>
        <v/>
      </c>
      <c r="D44" s="120">
        <f>IFERROR(IF(ISNUMBER(INDEX(crit_LI,MATCH("T515",crit_chave,0))),INDEX(crit_LI,MATCH("T515",crit_chave,0)),""),"")</f>
        <v/>
      </c>
      <c r="E44" s="120">
        <f>IFERROR(IF(ISNUMBER(INDEX(crit_LS,MATCH("T515",crit_chave,0))),INDEX(crit_LS,MATCH("T515",crit_chave,0)),""),"")</f>
        <v/>
      </c>
      <c r="F44" s="120">
        <f>IFERROR(IF(ISNUMBER(INDEX(crit_TOL,MATCH("T515",crit_chave,0))),INDEX(crit_TOL,MATCH("T515",crit_chave,0)),""),"")</f>
        <v>0.5</v>
      </c>
    </row>
    <row r="45" spans="2:10">
      <c r="B45" s="119" t="s">
        <v>61</v>
      </c>
      <c r="C45" s="120">
        <f>IFERROR(IF(ISNUMBER(INDEX(crit_NOM,MATCH("V_TA05",crit_chave,0))),INDEX(crit_NOM,MATCH("V_TA05",crit_chave,0)),""),"")</f>
        <v>188</v>
      </c>
      <c r="D45" s="120">
        <f>IFERROR(IF(ISNUMBER(INDEX(crit_LI,MATCH("V_TA05",crit_chave,0))),INDEX(crit_LI,MATCH("V_TA05",crit_chave,0)),""),"")</f>
        <v/>
      </c>
      <c r="E45" s="120">
        <f>IFERROR(IF(ISNUMBER(INDEX(crit_LS,MATCH("V_TA05",crit_chave,0))),INDEX(crit_LS,MATCH("V_TA05",crit_chave,0)),""),"")</f>
        <v/>
      </c>
      <c r="F45" s="120">
        <f>IFERROR(IF(ISNUMBER(INDEX(crit_TOL,MATCH("V_TA05",crit_chave,0))),INDEX(crit_TOL,MATCH("V_TA05",crit_chave,0)),""),"")</f>
        <v/>
      </c>
    </row>
    <row r="46" spans="2:10">
      <c r="B46" s="119" t="s">
        <v>65</v>
      </c>
      <c r="C46" s="120">
        <f>IFERROR(IF(ISNUMBER(INDEX(crit_NOM,MATCH("V_TA08",crit_chave,0))),INDEX(crit_NOM,MATCH("V_TA08",crit_chave,0)),""),"")</f>
        <v>188</v>
      </c>
      <c r="D46" s="120">
        <f>IFERROR(IF(ISNUMBER(INDEX(crit_LI,MATCH("V_TA08",crit_chave,0))),INDEX(crit_LI,MATCH("V_TA08",crit_chave,0)),""),"")</f>
        <v/>
      </c>
      <c r="E46" s="120">
        <f>IFERROR(IF(ISNUMBER(INDEX(crit_LS,MATCH("V_TA08",crit_chave,0))),INDEX(crit_LS,MATCH("V_TA08",crit_chave,0)),""),"")</f>
        <v/>
      </c>
      <c r="F46" s="120">
        <f>IFERROR(IF(ISNUMBER(INDEX(crit_TOL,MATCH("V_TA08",crit_chave,0))),INDEX(crit_TOL,MATCH("V_TA08",crit_chave,0)),""),"")</f>
        <v/>
      </c>
    </row>
    <row r="47" spans="2:10">
      <c r="B47" s="119" t="s">
        <v>67</v>
      </c>
      <c r="C47" s="120">
        <f>IFERROR(IF(ISNUMBER(INDEX(crit_NOM,MATCH("V_TA09",crit_chave,0))),INDEX(crit_NOM,MATCH("V_TA09",crit_chave,0)),""),"")</f>
        <v>188</v>
      </c>
      <c r="D47" s="120">
        <f>IFERROR(IF(ISNUMBER(INDEX(crit_LI,MATCH("V_TA09",crit_chave,0))),INDEX(crit_LI,MATCH("V_TA09",crit_chave,0)),""),"")</f>
        <v/>
      </c>
      <c r="E47" s="120">
        <f>IFERROR(IF(ISNUMBER(INDEX(crit_LS,MATCH("V_TA09",crit_chave,0))),INDEX(crit_LS,MATCH("V_TA09",crit_chave,0)),""),"")</f>
        <v/>
      </c>
      <c r="F47" s="120">
        <f>IFERROR(IF(ISNUMBER(INDEX(crit_TOL,MATCH("V_TA09",crit_chave,0))),INDEX(crit_TOL,MATCH("V_TA09",crit_chave,0)),""),"")</f>
        <v/>
      </c>
    </row>
    <row r="48" spans="2:10">
      <c r="B48" s="119" t="s">
        <v>69</v>
      </c>
      <c r="C48" s="120">
        <f>IFERROR(IF(ISNUMBER(INDEX(crit_NOM,MATCH("V_TA06",crit_chave,0))),INDEX(crit_NOM,MATCH("V_TA06",crit_chave,0)),""),"")</f>
        <v>200</v>
      </c>
      <c r="D48" s="120">
        <f>IFERROR(IF(ISNUMBER(INDEX(crit_LI,MATCH("V_TA06",crit_chave,0))),INDEX(crit_LI,MATCH("V_TA06",crit_chave,0)),""),"")</f>
        <v/>
      </c>
      <c r="E48" s="120">
        <f>IFERROR(IF(ISNUMBER(INDEX(crit_LS,MATCH("V_TA06",crit_chave,0))),INDEX(crit_LS,MATCH("V_TA06",crit_chave,0)),""),"")</f>
        <v/>
      </c>
      <c r="F48" s="120">
        <f>IFERROR(IF(ISNUMBER(INDEX(crit_TOL,MATCH("V_TA06",crit_chave,0))),INDEX(crit_TOL,MATCH("V_TA06",crit_chave,0)),""),"")</f>
        <v/>
      </c>
    </row>
    <row r="49" spans="2:6">
      <c r="B49" s="119" t="s">
        <v>72</v>
      </c>
      <c r="C49" s="120">
        <f>IFERROR(IF(ISNUMBER(INDEX(crit_NOM,MATCH("V_TA07",crit_chave,0))),INDEX(crit_NOM,MATCH("V_TA07",crit_chave,0)),""),"")</f>
        <v>200</v>
      </c>
      <c r="D49" s="120">
        <f>IFERROR(IF(ISNUMBER(INDEX(crit_LI,MATCH("V_TA07",crit_chave,0))),INDEX(crit_LI,MATCH("V_TA07",crit_chave,0)),""),"")</f>
        <v/>
      </c>
      <c r="E49" s="120">
        <f>IFERROR(IF(ISNUMBER(INDEX(crit_LS,MATCH("V_TA07",crit_chave,0))),INDEX(crit_LS,MATCH("V_TA07",crit_chave,0)),""),"")</f>
        <v/>
      </c>
      <c r="F49" s="120">
        <f>IFERROR(IF(ISNUMBER(INDEX(crit_TOL,MATCH("V_TA07",crit_chave,0))),INDEX(crit_TOL,MATCH("V_TA07",crit_chave,0)),""),"")</f>
        <v/>
      </c>
    </row>
  </sheetData>
  <mergeCells count="10">
    <mergeCell ref="E2:S2"/>
    <mergeCell ref="E3:S3"/>
    <mergeCell ref="B30:G30"/>
    <mergeCell ref="H5:V5"/>
    <mergeCell ref="H18:N18"/>
    <mergeCell ref="I19:R19"/>
    <mergeCell ref="I20:R20"/>
    <mergeCell ref="I21:R21"/>
    <mergeCell ref="I22:R22"/>
    <mergeCell ref="H25:N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taging"/>
  <dimension ref="A1:S68"/>
  <sheetViews>
    <sheetView showGridLines="0" workbookViewId="0"/>
  </sheetViews>
  <sheetFormatPr defaultRowHeight="15"/>
  <cols>
    <col min="1" max="19" width="16.7109375" customWidth="1"/>
  </cols>
  <sheetData>
    <row r="1" spans="1:19">
      <c r="A1" t="s">
        <v>1</v>
      </c>
      <c r="B1" t="s">
        <v>331</v>
      </c>
      <c r="C1" t="s">
        <v>106</v>
      </c>
      <c r="D1" t="s">
        <v>120</v>
      </c>
      <c r="E1" t="s">
        <v>2</v>
      </c>
      <c r="F1" t="s">
        <v>3</v>
      </c>
      <c r="G1" t="s">
        <v>332</v>
      </c>
      <c r="H1" t="s">
        <v>333</v>
      </c>
      <c r="I1" t="s">
        <v>122</v>
      </c>
      <c r="J1" t="s">
        <v>5</v>
      </c>
      <c r="K1" t="s">
        <v>6</v>
      </c>
      <c r="L1" t="s">
        <v>7</v>
      </c>
      <c r="M1" t="s">
        <v>334</v>
      </c>
      <c r="N1" t="s">
        <v>109</v>
      </c>
      <c r="O1" t="s">
        <v>108</v>
      </c>
      <c r="P1" t="s">
        <v>126</v>
      </c>
      <c r="Q1" t="s">
        <v>335</v>
      </c>
      <c r="R1" t="s">
        <v>336</v>
      </c>
      <c r="S1" t="s">
        <v>337</v>
      </c>
    </row>
    <row r="2" spans="1:19">
      <c r="A2">
        <f>"Blaine"</f>
        <v/>
      </c>
      <c r="B2">
        <f>"Calibração"</f>
        <v/>
      </c>
      <c r="C2">
        <f>IF(pData="","",pData)</f>
        <v/>
      </c>
      <c r="D2">
        <f>IF(TRIM('Lançamento'!$C$25)="","66PB08",TRIM('Lançamento'!$C$25))</f>
        <v/>
      </c>
      <c r="E2">
        <f>"Blaine Manual"</f>
        <v/>
      </c>
      <c r="F2">
        <f>"cm²/g"</f>
        <v/>
      </c>
      <c r="G2">
        <f>IF('Lançamento'!$H$25="","",'Lançamento'!$H$25)</f>
        <v/>
      </c>
      <c r="H2">
        <f>IF(c_BLAM_NOM="","",c_BLAM_NOM)</f>
        <v/>
      </c>
      <c r="I2">
        <f>IF('Lançamento'!$M$25="","",'Lançamento'!$M$25)</f>
        <v/>
      </c>
      <c r="J2">
        <f>IF(c_BLAM_LI="","",c_BLAM_LI)</f>
        <v/>
      </c>
      <c r="K2">
        <f>IF(c_BLAM_LS="","",c_BLAM_LS)</f>
        <v/>
      </c>
      <c r="L2">
        <f>""</f>
        <v/>
      </c>
      <c r="M2">
        <f>'Lançamento'!$N$25</f>
        <v/>
      </c>
      <c r="N2">
        <f>TRIM(pResp)</f>
        <v/>
      </c>
      <c r="O2">
        <f>pLetra</f>
        <v/>
      </c>
      <c r="P2">
        <f>pTurno&amp;IF(TRIM('Lançamento'!$E$28)="",""," - "&amp;TRIM('Lançamento'!$E$28))</f>
        <v/>
      </c>
      <c r="Q2">
        <f>""</f>
        <v/>
      </c>
      <c r="R2">
        <f>IF(AND(G2&lt;&gt;"",M2&lt;&gt;""),1,0)</f>
        <v>0</v>
      </c>
      <c r="S2" t="s">
        <v>317</v>
      </c>
    </row>
    <row r="3" spans="1:19">
      <c r="A3">
        <f>"Blaine"</f>
        <v/>
      </c>
      <c r="B3">
        <f>"Calibração"</f>
        <v/>
      </c>
      <c r="C3">
        <f>IF(pData="","",pData)</f>
        <v/>
      </c>
      <c r="D3">
        <f>"Blaine Star"</f>
        <v/>
      </c>
      <c r="E3">
        <f>"Calibração Star"</f>
        <v/>
      </c>
      <c r="F3">
        <f>"cm²/g"</f>
        <v/>
      </c>
      <c r="G3">
        <f>IF('Lançamento'!$H$26="","",'Lançamento'!$H$26)</f>
        <v/>
      </c>
      <c r="H3">
        <f>IF(c_BLAS_NOM="","",c_BLAS_NOM)</f>
        <v/>
      </c>
      <c r="I3">
        <f>IF('Lançamento'!$M$26="","",'Lançamento'!$M$26)</f>
        <v/>
      </c>
      <c r="J3">
        <f>IF(c_BLAS_LI="","",c_BLAS_LI)</f>
        <v/>
      </c>
      <c r="K3">
        <f>IF(c_BLAS_LS="","",c_BLAS_LS)</f>
        <v/>
      </c>
      <c r="L3">
        <f>""</f>
        <v/>
      </c>
      <c r="M3">
        <f>'Lançamento'!$N$26</f>
        <v/>
      </c>
      <c r="N3">
        <f>TRIM(pResp)</f>
        <v/>
      </c>
      <c r="O3">
        <f>pLetra</f>
        <v/>
      </c>
      <c r="P3">
        <f>pTurno&amp;IF(TRIM('Lançamento'!$E$28)="",""," - "&amp;TRIM('Lançamento'!$E$28))</f>
        <v/>
      </c>
      <c r="Q3">
        <f>""</f>
        <v/>
      </c>
      <c r="R3">
        <f>IF(AND(G3&lt;&gt;"",M3&lt;&gt;""),1,0)</f>
        <v>0</v>
      </c>
      <c r="S3" t="s">
        <v>317</v>
      </c>
    </row>
    <row r="4" spans="1:19">
      <c r="A4">
        <f>"Blaine"</f>
        <v/>
      </c>
      <c r="B4">
        <f>"Calibração"</f>
        <v/>
      </c>
      <c r="C4">
        <f>IF(pData="","",pData)</f>
        <v/>
      </c>
      <c r="D4">
        <f>"Blaine Automático"</f>
        <v/>
      </c>
      <c r="E4">
        <f>"Blaine Automático"</f>
        <v/>
      </c>
      <c r="F4">
        <f>"cm²/g"</f>
        <v/>
      </c>
      <c r="G4">
        <f>IF('Lançamento'!$H$27="","",'Lançamento'!$H$27)</f>
        <v/>
      </c>
      <c r="H4">
        <f>IF(c_BLAA_NOM="","",c_BLAA_NOM)</f>
        <v/>
      </c>
      <c r="I4">
        <f>IF('Lançamento'!$M$27="","",'Lançamento'!$M$27)</f>
        <v/>
      </c>
      <c r="J4">
        <f>IF(c_BLAA_LI="","",c_BLAA_LI)</f>
        <v/>
      </c>
      <c r="K4">
        <f>IF(c_BLAA_LS="","",c_BLAA_LS)</f>
        <v/>
      </c>
      <c r="L4">
        <f>""</f>
        <v/>
      </c>
      <c r="M4">
        <f>'Lançamento'!$N$27</f>
        <v/>
      </c>
      <c r="N4">
        <f>TRIM(pResp)</f>
        <v/>
      </c>
      <c r="O4">
        <f>pLetra</f>
        <v/>
      </c>
      <c r="P4">
        <f>pTurno&amp;IF(TRIM('Lançamento'!$E$28)="",""," - "&amp;TRIM('Lançamento'!$E$28))</f>
        <v/>
      </c>
      <c r="Q4">
        <f>""</f>
        <v/>
      </c>
      <c r="R4">
        <f>IF(AND(G4&lt;&gt;"",M4&lt;&gt;""),1,0)</f>
        <v>0</v>
      </c>
      <c r="S4" t="s">
        <v>317</v>
      </c>
    </row>
    <row r="5" spans="1:19">
      <c r="A5">
        <f>"Tambor de Abrasão"</f>
        <v/>
      </c>
      <c r="B5">
        <f>"Calibração"</f>
        <v/>
      </c>
      <c r="C5">
        <f>IF(pData="","",pData)</f>
        <v/>
      </c>
      <c r="D5">
        <f>"66TA05"</f>
        <v/>
      </c>
      <c r="E5">
        <f>"Rotação"</f>
        <v/>
      </c>
      <c r="F5">
        <f>"rpm"</f>
        <v/>
      </c>
      <c r="G5">
        <f>IF('Lançamento'!$I$33="","",'Lançamento'!$I$33)</f>
        <v/>
      </c>
      <c r="H5">
        <f>IF(c_TAMB_NOM="","",c_TAMB_NOM)</f>
        <v/>
      </c>
      <c r="I5">
        <f>IF(OR('Lançamento'!$I$33="",c_TAMB_NOM=""),"",'Lançamento'!$I$33-c_TAMB_NOM)</f>
        <v/>
      </c>
      <c r="J5">
        <f>IF(c_TAMB_LI="","",c_TAMB_LI)</f>
        <v/>
      </c>
      <c r="K5">
        <f>IF(c_TAMB_LS="","",c_TAMB_LS)</f>
        <v/>
      </c>
      <c r="L5">
        <f>""</f>
        <v/>
      </c>
      <c r="M5">
        <f>'Lançamento'!$N$33</f>
        <v/>
      </c>
      <c r="N5">
        <f>TRIM(pResp)</f>
        <v/>
      </c>
      <c r="O5">
        <f>pLetra</f>
        <v/>
      </c>
      <c r="P5">
        <f>TRIM('Lançamento'!$E$38)</f>
        <v/>
      </c>
      <c r="Q5">
        <f>""</f>
        <v/>
      </c>
      <c r="R5">
        <f>IF(AND(G5&lt;&gt;"",M5&lt;&gt;""),1,0)</f>
        <v>0</v>
      </c>
      <c r="S5" t="s">
        <v>319</v>
      </c>
    </row>
    <row r="6" spans="1:19">
      <c r="A6">
        <f>"Tambor de Abrasão"</f>
        <v/>
      </c>
      <c r="B6">
        <f>"Calibração"</f>
        <v/>
      </c>
      <c r="C6">
        <f>IF(pData="","",pData)</f>
        <v/>
      </c>
      <c r="D6">
        <f>"66TA08"</f>
        <v/>
      </c>
      <c r="E6">
        <f>"Rotação"</f>
        <v/>
      </c>
      <c r="F6">
        <f>"rpm"</f>
        <v/>
      </c>
      <c r="G6">
        <f>IF('Lançamento'!$I$34="","",'Lançamento'!$I$34)</f>
        <v/>
      </c>
      <c r="H6">
        <f>IF(c_TAMB_NOM="","",c_TAMB_NOM)</f>
        <v/>
      </c>
      <c r="I6">
        <f>IF(OR('Lançamento'!$I$34="",c_TAMB_NOM=""),"",'Lançamento'!$I$34-c_TAMB_NOM)</f>
        <v/>
      </c>
      <c r="J6">
        <f>IF(c_TAMB_LI="","",c_TAMB_LI)</f>
        <v/>
      </c>
      <c r="K6">
        <f>IF(c_TAMB_LS="","",c_TAMB_LS)</f>
        <v/>
      </c>
      <c r="L6">
        <f>""</f>
        <v/>
      </c>
      <c r="M6">
        <f>'Lançamento'!$N$34</f>
        <v/>
      </c>
      <c r="N6">
        <f>TRIM(pResp)</f>
        <v/>
      </c>
      <c r="O6">
        <f>pLetra</f>
        <v/>
      </c>
      <c r="P6">
        <f>TRIM('Lançamento'!$E$38)</f>
        <v/>
      </c>
      <c r="Q6">
        <f>""</f>
        <v/>
      </c>
      <c r="R6">
        <f>IF(AND(G6&lt;&gt;"",M6&lt;&gt;""),1,0)</f>
        <v>0</v>
      </c>
      <c r="S6" t="s">
        <v>319</v>
      </c>
    </row>
    <row r="7" spans="1:19">
      <c r="A7">
        <f>"Tambor de Abrasão"</f>
        <v/>
      </c>
      <c r="B7">
        <f>"Calibração"</f>
        <v/>
      </c>
      <c r="C7">
        <f>IF(pData="","",pData)</f>
        <v/>
      </c>
      <c r="D7">
        <f>"66TA09"</f>
        <v/>
      </c>
      <c r="E7">
        <f>"Rotação"</f>
        <v/>
      </c>
      <c r="F7">
        <f>"rpm"</f>
        <v/>
      </c>
      <c r="G7">
        <f>IF('Lançamento'!$I$35="","",'Lançamento'!$I$35)</f>
        <v/>
      </c>
      <c r="H7">
        <f>IF(c_TAMB_NOM="","",c_TAMB_NOM)</f>
        <v/>
      </c>
      <c r="I7">
        <f>IF(OR('Lançamento'!$I$35="",c_TAMB_NOM=""),"",'Lançamento'!$I$35-c_TAMB_NOM)</f>
        <v/>
      </c>
      <c r="J7">
        <f>IF(c_TAMB_LI="","",c_TAMB_LI)</f>
        <v/>
      </c>
      <c r="K7">
        <f>IF(c_TAMB_LS="","",c_TAMB_LS)</f>
        <v/>
      </c>
      <c r="L7">
        <f>""</f>
        <v/>
      </c>
      <c r="M7">
        <f>'Lançamento'!$N$35</f>
        <v/>
      </c>
      <c r="N7">
        <f>TRIM(pResp)</f>
        <v/>
      </c>
      <c r="O7">
        <f>pLetra</f>
        <v/>
      </c>
      <c r="P7">
        <f>TRIM('Lançamento'!$E$38)</f>
        <v/>
      </c>
      <c r="Q7">
        <f>""</f>
        <v/>
      </c>
      <c r="R7">
        <f>IF(AND(G7&lt;&gt;"",M7&lt;&gt;""),1,0)</f>
        <v>0</v>
      </c>
      <c r="S7" t="s">
        <v>319</v>
      </c>
    </row>
    <row r="8" spans="1:19">
      <c r="A8">
        <f>"Tambor de Abrasão"</f>
        <v/>
      </c>
      <c r="B8">
        <f>"Calibração"</f>
        <v/>
      </c>
      <c r="C8">
        <f>IF(pData="","",pData)</f>
        <v/>
      </c>
      <c r="D8">
        <f>"66TA06"</f>
        <v/>
      </c>
      <c r="E8">
        <f>"Rotação"</f>
        <v/>
      </c>
      <c r="F8">
        <f>"rpm"</f>
        <v/>
      </c>
      <c r="G8">
        <f>IF('Lançamento'!$I$36="","",'Lançamento'!$I$36)</f>
        <v/>
      </c>
      <c r="H8">
        <f>IF(c_TAMB_NOM="","",c_TAMB_NOM)</f>
        <v/>
      </c>
      <c r="I8">
        <f>IF(OR('Lançamento'!$I$36="",c_TAMB_NOM=""),"",'Lançamento'!$I$36-c_TAMB_NOM)</f>
        <v/>
      </c>
      <c r="J8">
        <f>IF(c_TAMB_LI="","",c_TAMB_LI)</f>
        <v/>
      </c>
      <c r="K8">
        <f>IF(c_TAMB_LS="","",c_TAMB_LS)</f>
        <v/>
      </c>
      <c r="L8">
        <f>""</f>
        <v/>
      </c>
      <c r="M8">
        <f>'Lançamento'!$N$36</f>
        <v/>
      </c>
      <c r="N8">
        <f>TRIM(pResp)</f>
        <v/>
      </c>
      <c r="O8">
        <f>pLetra</f>
        <v/>
      </c>
      <c r="P8">
        <f>TRIM('Lançamento'!$E$38)</f>
        <v/>
      </c>
      <c r="Q8">
        <f>""</f>
        <v/>
      </c>
      <c r="R8">
        <f>IF(AND(G8&lt;&gt;"",M8&lt;&gt;""),1,0)</f>
        <v>0</v>
      </c>
      <c r="S8" t="s">
        <v>319</v>
      </c>
    </row>
    <row r="9" spans="1:19">
      <c r="A9">
        <f>"Tambor de Abrasão"</f>
        <v/>
      </c>
      <c r="B9">
        <f>"Calibração"</f>
        <v/>
      </c>
      <c r="C9">
        <f>IF(pData="","",pData)</f>
        <v/>
      </c>
      <c r="D9">
        <f>"66TA07"</f>
        <v/>
      </c>
      <c r="E9">
        <f>"Rotação"</f>
        <v/>
      </c>
      <c r="F9">
        <f>"rpm"</f>
        <v/>
      </c>
      <c r="G9">
        <f>IF('Lançamento'!$I$37="","",'Lançamento'!$I$37)</f>
        <v/>
      </c>
      <c r="H9">
        <f>IF(c_TAMB_NOM="","",c_TAMB_NOM)</f>
        <v/>
      </c>
      <c r="I9">
        <f>IF(OR('Lançamento'!$I$37="",c_TAMB_NOM=""),"",'Lançamento'!$I$37-c_TAMB_NOM)</f>
        <v/>
      </c>
      <c r="J9">
        <f>IF(c_TAMB_LI="","",c_TAMB_LI)</f>
        <v/>
      </c>
      <c r="K9">
        <f>IF(c_TAMB_LS="","",c_TAMB_LS)</f>
        <v/>
      </c>
      <c r="L9">
        <f>""</f>
        <v/>
      </c>
      <c r="M9">
        <f>'Lançamento'!$N$37</f>
        <v/>
      </c>
      <c r="N9">
        <f>TRIM(pResp)</f>
        <v/>
      </c>
      <c r="O9">
        <f>pLetra</f>
        <v/>
      </c>
      <c r="P9">
        <f>TRIM('Lançamento'!$E$38)</f>
        <v/>
      </c>
      <c r="Q9">
        <f>""</f>
        <v/>
      </c>
      <c r="R9">
        <f>IF(AND(G9&lt;&gt;"",M9&lt;&gt;""),1,0)</f>
        <v>0</v>
      </c>
      <c r="S9" t="s">
        <v>319</v>
      </c>
    </row>
    <row r="10" spans="1:19">
      <c r="A10">
        <f>"Gran. Fina Alpine"</f>
        <v/>
      </c>
      <c r="B10">
        <f>"Calibração"</f>
        <v/>
      </c>
      <c r="C10">
        <f>IF(pData="","",pData)</f>
        <v/>
      </c>
      <c r="D10">
        <f>"66AG09"</f>
        <v/>
      </c>
      <c r="E10">
        <f>"Passante (peneira 66PN670)"</f>
        <v/>
      </c>
      <c r="F10">
        <f>"%"</f>
        <v/>
      </c>
      <c r="G10">
        <f>IF('Lançamento'!$H$43="","",'Lançamento'!$H$43)</f>
        <v/>
      </c>
      <c r="H10">
        <f>IF(c_ALP_NOM="","",c_ALP_NOM)</f>
        <v/>
      </c>
      <c r="I10">
        <f>IF('Lançamento'!$M$43="","",'Lançamento'!$M$43)</f>
        <v/>
      </c>
      <c r="J10">
        <f>IF(c_ALP_LI="","",c_ALP_LI)</f>
        <v/>
      </c>
      <c r="K10">
        <f>IF(c_ALP_LS="","",c_ALP_LS)</f>
        <v/>
      </c>
      <c r="L10">
        <f>""</f>
        <v/>
      </c>
      <c r="M10">
        <f>'Lançamento'!$N$43</f>
        <v/>
      </c>
      <c r="N10">
        <f>TRIM(pResp)</f>
        <v/>
      </c>
      <c r="O10">
        <f>pLetra</f>
        <v/>
      </c>
      <c r="P10">
        <f>TRIM('Lançamento'!$E$46)</f>
        <v/>
      </c>
      <c r="Q10">
        <f>""</f>
        <v/>
      </c>
      <c r="R10">
        <f>IF(AND(G10&lt;&gt;"",M10&lt;&gt;""),1,0)</f>
        <v>0</v>
      </c>
      <c r="S10" t="s">
        <v>14</v>
      </c>
    </row>
    <row r="11" spans="1:19">
      <c r="A11">
        <f>"Gran. Fina Alpine"</f>
        <v/>
      </c>
      <c r="B11">
        <f>"Calibração"</f>
        <v/>
      </c>
      <c r="C11">
        <f>IF(pData="","",pData)</f>
        <v/>
      </c>
      <c r="D11">
        <f>"66AG10"</f>
        <v/>
      </c>
      <c r="E11">
        <f>"Passante (peneira 66PN671)"</f>
        <v/>
      </c>
      <c r="F11">
        <f>"%"</f>
        <v/>
      </c>
      <c r="G11">
        <f>IF('Lançamento'!$H$44="","",'Lançamento'!$H$44)</f>
        <v/>
      </c>
      <c r="H11">
        <f>IF(c_ALP_NOM="","",c_ALP_NOM)</f>
        <v/>
      </c>
      <c r="I11">
        <f>IF('Lançamento'!$M$44="","",'Lançamento'!$M$44)</f>
        <v/>
      </c>
      <c r="J11">
        <f>IF(c_ALP_LI="","",c_ALP_LI)</f>
        <v/>
      </c>
      <c r="K11">
        <f>IF(c_ALP_LS="","",c_ALP_LS)</f>
        <v/>
      </c>
      <c r="L11">
        <f>""</f>
        <v/>
      </c>
      <c r="M11">
        <f>'Lançamento'!$N$44</f>
        <v/>
      </c>
      <c r="N11">
        <f>TRIM(pResp)</f>
        <v/>
      </c>
      <c r="O11">
        <f>pLetra</f>
        <v/>
      </c>
      <c r="P11">
        <f>TRIM('Lançamento'!$E$46)</f>
        <v/>
      </c>
      <c r="Q11">
        <f>""</f>
        <v/>
      </c>
      <c r="R11">
        <f>IF(AND(G11&lt;&gt;"",M11&lt;&gt;""),1,0)</f>
        <v>0</v>
      </c>
      <c r="S11" t="s">
        <v>14</v>
      </c>
    </row>
    <row r="12" spans="1:19">
      <c r="A12">
        <f>"Gran. Fina Alpine"</f>
        <v/>
      </c>
      <c r="B12">
        <f>"Calibração"</f>
        <v/>
      </c>
      <c r="C12">
        <f>IF(pData="","",pData)</f>
        <v/>
      </c>
      <c r="D12">
        <f>"66AG11"</f>
        <v/>
      </c>
      <c r="E12">
        <f>"Passante (peneira 66PN671)"</f>
        <v/>
      </c>
      <c r="F12">
        <f>"%"</f>
        <v/>
      </c>
      <c r="G12">
        <f>IF('Lançamento'!$H$45="","",'Lançamento'!$H$45)</f>
        <v/>
      </c>
      <c r="H12">
        <f>IF(c_ALP_NOM="","",c_ALP_NOM)</f>
        <v/>
      </c>
      <c r="I12">
        <f>IF('Lançamento'!$M$45="","",'Lançamento'!$M$45)</f>
        <v/>
      </c>
      <c r="J12">
        <f>IF(c_ALP_LI="","",c_ALP_LI)</f>
        <v/>
      </c>
      <c r="K12">
        <f>IF(c_ALP_LS="","",c_ALP_LS)</f>
        <v/>
      </c>
      <c r="L12">
        <f>""</f>
        <v/>
      </c>
      <c r="M12">
        <f>'Lançamento'!$N$45</f>
        <v/>
      </c>
      <c r="N12">
        <f>TRIM(pResp)</f>
        <v/>
      </c>
      <c r="O12">
        <f>pLetra</f>
        <v/>
      </c>
      <c r="P12">
        <f>TRIM('Lançamento'!$E$46)</f>
        <v/>
      </c>
      <c r="Q12">
        <f>""</f>
        <v/>
      </c>
      <c r="R12">
        <f>IF(AND(G12&lt;&gt;"",M12&lt;&gt;""),1,0)</f>
        <v>0</v>
      </c>
      <c r="S12" t="s">
        <v>14</v>
      </c>
    </row>
    <row r="13" spans="1:19">
      <c r="A13">
        <f>"Umidade"</f>
        <v/>
      </c>
      <c r="B13">
        <f>"Comparativo"</f>
        <v/>
      </c>
      <c r="C13">
        <f>IF(pData="","",pData)</f>
        <v/>
      </c>
      <c r="D13">
        <f>"66AN10 x Estufa"</f>
        <v/>
      </c>
      <c r="E13">
        <f>"Umidade"</f>
        <v/>
      </c>
      <c r="F13">
        <f>"%"</f>
        <v/>
      </c>
      <c r="G13">
        <f>IF('Lançamento'!$F$53="","",'Lançamento'!$F$53)</f>
        <v/>
      </c>
      <c r="H13">
        <f>IF('Lançamento'!$N$51="","",'Lançamento'!$N$51)</f>
        <v/>
      </c>
      <c r="I13">
        <f>IF('Lançamento'!$J$53="","",'Lançamento'!$J$53)</f>
        <v/>
      </c>
      <c r="J13">
        <f>""</f>
        <v/>
      </c>
      <c r="K13">
        <f>""</f>
        <v/>
      </c>
      <c r="L13">
        <f>IF(c_UMI_TOL="","",c_UMI_TOL)</f>
        <v/>
      </c>
      <c r="M13">
        <f>'Lançamento'!$L$53</f>
        <v/>
      </c>
      <c r="N13">
        <f>TRIM(pResp)</f>
        <v/>
      </c>
      <c r="O13">
        <f>pLetra</f>
        <v/>
      </c>
      <c r="P13">
        <f>TRIM('Lançamento'!$E$56)</f>
        <v/>
      </c>
      <c r="Q13">
        <f>""</f>
        <v/>
      </c>
      <c r="R13">
        <f>IF(AND(G13&lt;&gt;"",M13&lt;&gt;""),1,0)</f>
        <v>0</v>
      </c>
      <c r="S13" t="s">
        <v>54</v>
      </c>
    </row>
    <row r="14" spans="1:19">
      <c r="A14">
        <f>"Umidade"</f>
        <v/>
      </c>
      <c r="B14">
        <f>"Comparativo"</f>
        <v/>
      </c>
      <c r="C14">
        <f>IF(pData="","",pData)</f>
        <v/>
      </c>
      <c r="D14">
        <f>"66AN11 x Estufa"</f>
        <v/>
      </c>
      <c r="E14">
        <f>"Umidade"</f>
        <v/>
      </c>
      <c r="F14">
        <f>"%"</f>
        <v/>
      </c>
      <c r="G14">
        <f>IF('Lançamento'!$F$54="","",'Lançamento'!$F$54)</f>
        <v/>
      </c>
      <c r="H14">
        <f>IF('Lançamento'!$N$51="","",'Lançamento'!$N$51)</f>
        <v/>
      </c>
      <c r="I14">
        <f>IF('Lançamento'!$J$54="","",'Lançamento'!$J$54)</f>
        <v/>
      </c>
      <c r="J14">
        <f>""</f>
        <v/>
      </c>
      <c r="K14">
        <f>""</f>
        <v/>
      </c>
      <c r="L14">
        <f>IF(c_UMI_TOL="","",c_UMI_TOL)</f>
        <v/>
      </c>
      <c r="M14">
        <f>'Lançamento'!$L$54</f>
        <v/>
      </c>
      <c r="N14">
        <f>TRIM(pResp)</f>
        <v/>
      </c>
      <c r="O14">
        <f>pLetra</f>
        <v/>
      </c>
      <c r="P14">
        <f>TRIM('Lançamento'!$E$56)</f>
        <v/>
      </c>
      <c r="Q14">
        <f>""</f>
        <v/>
      </c>
      <c r="R14">
        <f>IF(AND(G14&lt;&gt;"",M14&lt;&gt;""),1,0)</f>
        <v>0</v>
      </c>
      <c r="S14" t="s">
        <v>54</v>
      </c>
    </row>
    <row r="15" spans="1:19">
      <c r="A15">
        <f>"Umidade"</f>
        <v/>
      </c>
      <c r="B15">
        <f>"Comparativo"</f>
        <v/>
      </c>
      <c r="C15">
        <f>IF(pData="","",pData)</f>
        <v/>
      </c>
      <c r="D15">
        <f>"66AN12 x Estufa"</f>
        <v/>
      </c>
      <c r="E15">
        <f>"Umidade"</f>
        <v/>
      </c>
      <c r="F15">
        <f>"%"</f>
        <v/>
      </c>
      <c r="G15">
        <f>IF('Lançamento'!$F$55="","",'Lançamento'!$F$55)</f>
        <v/>
      </c>
      <c r="H15">
        <f>IF('Lançamento'!$N$51="","",'Lançamento'!$N$51)</f>
        <v/>
      </c>
      <c r="I15">
        <f>IF('Lançamento'!$J$55="","",'Lançamento'!$J$55)</f>
        <v/>
      </c>
      <c r="J15">
        <f>""</f>
        <v/>
      </c>
      <c r="K15">
        <f>""</f>
        <v/>
      </c>
      <c r="L15">
        <f>IF(c_UMI_TOL="","",c_UMI_TOL)</f>
        <v/>
      </c>
      <c r="M15">
        <f>'Lançamento'!$L$55</f>
        <v/>
      </c>
      <c r="N15">
        <f>TRIM(pResp)</f>
        <v/>
      </c>
      <c r="O15">
        <f>pLetra</f>
        <v/>
      </c>
      <c r="P15">
        <f>TRIM('Lançamento'!$E$56)</f>
        <v/>
      </c>
      <c r="Q15">
        <f>""</f>
        <v/>
      </c>
      <c r="R15">
        <f>IF(AND(G15&lt;&gt;"",M15&lt;&gt;""),1,0)</f>
        <v>0</v>
      </c>
      <c r="S15" t="s">
        <v>54</v>
      </c>
    </row>
    <row r="16" spans="1:19">
      <c r="A16">
        <f>"Compressão"</f>
        <v/>
      </c>
      <c r="B16">
        <f>"Comparativo"</f>
        <v/>
      </c>
      <c r="C16">
        <f>IF(pData="","",pData)</f>
        <v/>
      </c>
      <c r="D16">
        <f>"66PS04"</f>
        <v/>
      </c>
      <c r="E16">
        <f>"Resistência FX -16,0 +12,5 mm"</f>
        <v/>
      </c>
      <c r="F16">
        <f>"kgf/pel"</f>
        <v/>
      </c>
      <c r="G16">
        <f>IF('Lançamento'!$E$62="","",'Lançamento'!$E$62)</f>
        <v/>
      </c>
      <c r="H16">
        <f>IF(c_COM16_NOM="","",c_COM16_NOM)</f>
        <v/>
      </c>
      <c r="I16">
        <f>IF('Lançamento'!$H$62="","",'Lançamento'!$H$62)</f>
        <v/>
      </c>
      <c r="J16">
        <f>""</f>
        <v/>
      </c>
      <c r="K16">
        <f>""</f>
        <v/>
      </c>
      <c r="L16">
        <f>IF(c_COM16_TOL="","",c_COM16_TOL)</f>
        <v/>
      </c>
      <c r="M16">
        <f>'Lançamento'!$I$62</f>
        <v/>
      </c>
      <c r="N16">
        <f>TRIM(pResp)</f>
        <v/>
      </c>
      <c r="O16">
        <f>pLetra</f>
        <v/>
      </c>
      <c r="P16">
        <f>IF('Lançamento'!$G$62="","","DP "&amp;'Lançamento'!$G$62)&amp;IF(AND('Lançamento'!$G$62&lt;&gt;"",TRIM('Lançamento'!$E$74)&lt;&gt;"")," - ","")&amp;TRIM('Lançamento'!$E$74)</f>
        <v/>
      </c>
      <c r="Q16">
        <f>""</f>
        <v/>
      </c>
      <c r="R16">
        <f>IF(AND(G16&lt;&gt;"",M16&lt;&gt;""),1,0)</f>
        <v>0</v>
      </c>
      <c r="S16" t="s">
        <v>323</v>
      </c>
    </row>
    <row r="17" spans="1:19">
      <c r="A17">
        <f>"Compressão"</f>
        <v/>
      </c>
      <c r="B17">
        <f>"Verificação"</f>
        <v/>
      </c>
      <c r="C17">
        <f>IF(pData="","",pData)</f>
        <v/>
      </c>
      <c r="D17">
        <f>"66PS04"</f>
        <v/>
      </c>
      <c r="E17">
        <f>"Velocidade FX -16,0 +12,5 mm"</f>
        <v/>
      </c>
      <c r="F17">
        <f>"mm/min"</f>
        <v/>
      </c>
      <c r="G17">
        <f>IF('Lançamento'!$K$62="","",'Lançamento'!$K$62)</f>
        <v/>
      </c>
      <c r="H17">
        <f>IF(c_VEL_NOM="","",c_VEL_NOM)</f>
        <v/>
      </c>
      <c r="I17">
        <f>IF('Lançamento'!$K$62="","",'Lançamento'!$K$62-c_VEL_NOM)</f>
        <v/>
      </c>
      <c r="J17">
        <f>IF(c_VEL_LI="","",c_VEL_LI)</f>
        <v/>
      </c>
      <c r="K17">
        <f>IF(c_VEL_LS="","",c_VEL_LS)</f>
        <v/>
      </c>
      <c r="L17">
        <f>""</f>
        <v/>
      </c>
      <c r="M17">
        <f>'Lançamento'!$M$62</f>
        <v/>
      </c>
      <c r="N17">
        <f>TRIM(pResp)</f>
        <v/>
      </c>
      <c r="O17">
        <f>pLetra</f>
        <v/>
      </c>
      <c r="P17">
        <f>TRIM('Lançamento'!$E$74)</f>
        <v/>
      </c>
      <c r="Q17">
        <f>""</f>
        <v/>
      </c>
      <c r="R17">
        <f>IF(AND(G17&lt;&gt;"",M17&lt;&gt;""),1,0)</f>
        <v>0</v>
      </c>
      <c r="S17" t="s">
        <v>323</v>
      </c>
    </row>
    <row r="18" spans="1:19">
      <c r="A18">
        <f>"Compressão"</f>
        <v/>
      </c>
      <c r="B18">
        <f>"Comparativo"</f>
        <v/>
      </c>
      <c r="C18">
        <f>IF(pData="","",pData)</f>
        <v/>
      </c>
      <c r="D18">
        <f>"66PS07"</f>
        <v/>
      </c>
      <c r="E18">
        <f>"Resistência FX -16,0 +12,5 mm"</f>
        <v/>
      </c>
      <c r="F18">
        <f>"kgf/pel"</f>
        <v/>
      </c>
      <c r="G18">
        <f>IF('Lançamento'!$E$63="","",'Lançamento'!$E$63)</f>
        <v/>
      </c>
      <c r="H18">
        <f>IF(c_COM16_NOM="","",c_COM16_NOM)</f>
        <v/>
      </c>
      <c r="I18">
        <f>IF('Lançamento'!$H$63="","",'Lançamento'!$H$63)</f>
        <v/>
      </c>
      <c r="J18">
        <f>""</f>
        <v/>
      </c>
      <c r="K18">
        <f>""</f>
        <v/>
      </c>
      <c r="L18">
        <f>IF(c_COM16_TOL="","",c_COM16_TOL)</f>
        <v/>
      </c>
      <c r="M18">
        <f>'Lançamento'!$I$63</f>
        <v/>
      </c>
      <c r="N18">
        <f>TRIM(pResp)</f>
        <v/>
      </c>
      <c r="O18">
        <f>pLetra</f>
        <v/>
      </c>
      <c r="P18">
        <f>IF('Lançamento'!$G$63="","","DP "&amp;'Lançamento'!$G$63)&amp;IF(AND('Lançamento'!$G$63&lt;&gt;"",TRIM('Lançamento'!$E$74)&lt;&gt;"")," - ","")&amp;TRIM('Lançamento'!$E$74)</f>
        <v/>
      </c>
      <c r="Q18">
        <f>""</f>
        <v/>
      </c>
      <c r="R18">
        <f>IF(AND(G18&lt;&gt;"",M18&lt;&gt;""),1,0)</f>
        <v>0</v>
      </c>
      <c r="S18" t="s">
        <v>323</v>
      </c>
    </row>
    <row r="19" spans="1:19">
      <c r="A19">
        <f>"Compressão"</f>
        <v/>
      </c>
      <c r="B19">
        <f>"Verificação"</f>
        <v/>
      </c>
      <c r="C19">
        <f>IF(pData="","",pData)</f>
        <v/>
      </c>
      <c r="D19">
        <f>"66PS07"</f>
        <v/>
      </c>
      <c r="E19">
        <f>"Velocidade FX -16,0 +12,5 mm"</f>
        <v/>
      </c>
      <c r="F19">
        <f>"mm/min"</f>
        <v/>
      </c>
      <c r="G19">
        <f>IF('Lançamento'!$K$63="","",'Lançamento'!$K$63)</f>
        <v/>
      </c>
      <c r="H19">
        <f>IF(c_VEL_NOM="","",c_VEL_NOM)</f>
        <v/>
      </c>
      <c r="I19">
        <f>IF('Lançamento'!$K$63="","",'Lançamento'!$K$63-c_VEL_NOM)</f>
        <v/>
      </c>
      <c r="J19">
        <f>IF(c_VEL_LI="","",c_VEL_LI)</f>
        <v/>
      </c>
      <c r="K19">
        <f>IF(c_VEL_LS="","",c_VEL_LS)</f>
        <v/>
      </c>
      <c r="L19">
        <f>""</f>
        <v/>
      </c>
      <c r="M19">
        <f>'Lançamento'!$M$63</f>
        <v/>
      </c>
      <c r="N19">
        <f>TRIM(pResp)</f>
        <v/>
      </c>
      <c r="O19">
        <f>pLetra</f>
        <v/>
      </c>
      <c r="P19">
        <f>TRIM('Lançamento'!$E$74)</f>
        <v/>
      </c>
      <c r="Q19">
        <f>""</f>
        <v/>
      </c>
      <c r="R19">
        <f>IF(AND(G19&lt;&gt;"",M19&lt;&gt;""),1,0)</f>
        <v>0</v>
      </c>
      <c r="S19" t="s">
        <v>323</v>
      </c>
    </row>
    <row r="20" spans="1:19">
      <c r="A20">
        <f>"Compressão"</f>
        <v/>
      </c>
      <c r="B20">
        <f>"Comparativo"</f>
        <v/>
      </c>
      <c r="C20">
        <f>IF(pData="","",pData)</f>
        <v/>
      </c>
      <c r="D20">
        <f>"66PS08"</f>
        <v/>
      </c>
      <c r="E20">
        <f>"Resistência FX -16,0 +12,5 mm"</f>
        <v/>
      </c>
      <c r="F20">
        <f>"kgf/pel"</f>
        <v/>
      </c>
      <c r="G20">
        <f>IF('Lançamento'!$E$64="","",'Lançamento'!$E$64)</f>
        <v/>
      </c>
      <c r="H20">
        <f>IF(c_COM16_NOM="","",c_COM16_NOM)</f>
        <v/>
      </c>
      <c r="I20">
        <f>IF('Lançamento'!$H$64="","",'Lançamento'!$H$64)</f>
        <v/>
      </c>
      <c r="J20">
        <f>""</f>
        <v/>
      </c>
      <c r="K20">
        <f>""</f>
        <v/>
      </c>
      <c r="L20">
        <f>IF(c_COM16_TOL="","",c_COM16_TOL)</f>
        <v/>
      </c>
      <c r="M20">
        <f>'Lançamento'!$I$64</f>
        <v/>
      </c>
      <c r="N20">
        <f>TRIM(pResp)</f>
        <v/>
      </c>
      <c r="O20">
        <f>pLetra</f>
        <v/>
      </c>
      <c r="P20">
        <f>IF('Lançamento'!$G$64="","","DP "&amp;'Lançamento'!$G$64)&amp;IF(AND('Lançamento'!$G$64&lt;&gt;"",TRIM('Lançamento'!$E$74)&lt;&gt;"")," - ","")&amp;TRIM('Lançamento'!$E$74)</f>
        <v/>
      </c>
      <c r="Q20">
        <f>""</f>
        <v/>
      </c>
      <c r="R20">
        <f>IF(AND(G20&lt;&gt;"",M20&lt;&gt;""),1,0)</f>
        <v>0</v>
      </c>
      <c r="S20" t="s">
        <v>323</v>
      </c>
    </row>
    <row r="21" spans="1:19">
      <c r="A21">
        <f>"Compressão"</f>
        <v/>
      </c>
      <c r="B21">
        <f>"Verificação"</f>
        <v/>
      </c>
      <c r="C21">
        <f>IF(pData="","",pData)</f>
        <v/>
      </c>
      <c r="D21">
        <f>"66PS08"</f>
        <v/>
      </c>
      <c r="E21">
        <f>"Velocidade FX -16,0 +12,5 mm"</f>
        <v/>
      </c>
      <c r="F21">
        <f>"mm/min"</f>
        <v/>
      </c>
      <c r="G21">
        <f>IF('Lançamento'!$K$64="","",'Lançamento'!$K$64)</f>
        <v/>
      </c>
      <c r="H21">
        <f>IF(c_VEL_NOM="","",c_VEL_NOM)</f>
        <v/>
      </c>
      <c r="I21">
        <f>IF('Lançamento'!$K$64="","",'Lançamento'!$K$64-c_VEL_NOM)</f>
        <v/>
      </c>
      <c r="J21">
        <f>IF(c_VEL_LI="","",c_VEL_LI)</f>
        <v/>
      </c>
      <c r="K21">
        <f>IF(c_VEL_LS="","",c_VEL_LS)</f>
        <v/>
      </c>
      <c r="L21">
        <f>""</f>
        <v/>
      </c>
      <c r="M21">
        <f>'Lançamento'!$M$64</f>
        <v/>
      </c>
      <c r="N21">
        <f>TRIM(pResp)</f>
        <v/>
      </c>
      <c r="O21">
        <f>pLetra</f>
        <v/>
      </c>
      <c r="P21">
        <f>TRIM('Lançamento'!$E$74)</f>
        <v/>
      </c>
      <c r="Q21">
        <f>""</f>
        <v/>
      </c>
      <c r="R21">
        <f>IF(AND(G21&lt;&gt;"",M21&lt;&gt;""),1,0)</f>
        <v>0</v>
      </c>
      <c r="S21" t="s">
        <v>323</v>
      </c>
    </row>
    <row r="22" spans="1:19">
      <c r="A22">
        <f>"Compressão"</f>
        <v/>
      </c>
      <c r="B22">
        <f>"Comparativo"</f>
        <v/>
      </c>
      <c r="C22">
        <f>IF(pData="","",pData)</f>
        <v/>
      </c>
      <c r="D22">
        <f>"66PS10"</f>
        <v/>
      </c>
      <c r="E22">
        <f>"Resistência FX -16,0 +12,5 mm"</f>
        <v/>
      </c>
      <c r="F22">
        <f>"kgf/pel"</f>
        <v/>
      </c>
      <c r="G22">
        <f>IF('Lançamento'!$E$65="","",'Lançamento'!$E$65)</f>
        <v/>
      </c>
      <c r="H22">
        <f>IF(c_COM16_NOM="","",c_COM16_NOM)</f>
        <v/>
      </c>
      <c r="I22">
        <f>IF('Lançamento'!$H$65="","",'Lançamento'!$H$65)</f>
        <v/>
      </c>
      <c r="J22">
        <f>""</f>
        <v/>
      </c>
      <c r="K22">
        <f>""</f>
        <v/>
      </c>
      <c r="L22">
        <f>IF(c_COM16_TOL="","",c_COM16_TOL)</f>
        <v/>
      </c>
      <c r="M22">
        <f>'Lançamento'!$I$65</f>
        <v/>
      </c>
      <c r="N22">
        <f>TRIM(pResp)</f>
        <v/>
      </c>
      <c r="O22">
        <f>pLetra</f>
        <v/>
      </c>
      <c r="P22">
        <f>IF('Lançamento'!$G$65="","","DP "&amp;'Lançamento'!$G$65)&amp;IF(AND('Lançamento'!$G$65&lt;&gt;"",TRIM('Lançamento'!$E$74)&lt;&gt;"")," - ","")&amp;TRIM('Lançamento'!$E$74)</f>
        <v/>
      </c>
      <c r="Q22">
        <f>""</f>
        <v/>
      </c>
      <c r="R22">
        <f>IF(AND(G22&lt;&gt;"",M22&lt;&gt;""),1,0)</f>
        <v>0</v>
      </c>
      <c r="S22" t="s">
        <v>323</v>
      </c>
    </row>
    <row r="23" spans="1:19">
      <c r="A23">
        <f>"Compressão"</f>
        <v/>
      </c>
      <c r="B23">
        <f>"Comparativo"</f>
        <v/>
      </c>
      <c r="C23">
        <f>IF(pData="","",pData)</f>
        <v/>
      </c>
      <c r="D23">
        <f>"66PS05"</f>
        <v/>
      </c>
      <c r="E23">
        <f>"Resistência FX -16,0 +12,5 mm"</f>
        <v/>
      </c>
      <c r="F23">
        <f>"kgf/pel"</f>
        <v/>
      </c>
      <c r="G23">
        <f>IF('Lançamento'!$E$66="","",'Lançamento'!$E$66)</f>
        <v/>
      </c>
      <c r="H23">
        <f>IF(c_COM16_NOM="","",c_COM16_NOM)</f>
        <v/>
      </c>
      <c r="I23">
        <f>IF('Lançamento'!$H$66="","",'Lançamento'!$H$66)</f>
        <v/>
      </c>
      <c r="J23">
        <f>""</f>
        <v/>
      </c>
      <c r="K23">
        <f>""</f>
        <v/>
      </c>
      <c r="L23">
        <f>IF(c_COM16_TOL="","",c_COM16_TOL)</f>
        <v/>
      </c>
      <c r="M23">
        <f>'Lançamento'!$I$66</f>
        <v/>
      </c>
      <c r="N23">
        <f>TRIM(pResp)</f>
        <v/>
      </c>
      <c r="O23">
        <f>pLetra</f>
        <v/>
      </c>
      <c r="P23">
        <f>IF('Lançamento'!$G$66="","","DP "&amp;'Lançamento'!$G$66)&amp;IF(AND('Lançamento'!$G$66&lt;&gt;"",TRIM('Lançamento'!$E$74)&lt;&gt;"")," - ","")&amp;TRIM('Lançamento'!$E$74)</f>
        <v/>
      </c>
      <c r="Q23">
        <f>""</f>
        <v/>
      </c>
      <c r="R23">
        <f>IF(AND(G23&lt;&gt;"",M23&lt;&gt;""),1,0)</f>
        <v>0</v>
      </c>
      <c r="S23" t="s">
        <v>323</v>
      </c>
    </row>
    <row r="24" spans="1:19">
      <c r="A24">
        <f>"Compressão"</f>
        <v/>
      </c>
      <c r="B24">
        <f>"Verificação"</f>
        <v/>
      </c>
      <c r="C24">
        <f>IF(pData="","",pData)</f>
        <v/>
      </c>
      <c r="D24">
        <f>"66PS05"</f>
        <v/>
      </c>
      <c r="E24">
        <f>"Velocidade FX -16,0 +12,5 mm"</f>
        <v/>
      </c>
      <c r="F24">
        <f>"mm/min"</f>
        <v/>
      </c>
      <c r="G24">
        <f>IF('Lançamento'!$K$66="","",'Lançamento'!$K$66)</f>
        <v/>
      </c>
      <c r="H24">
        <f>IF(c_VEL_NOM="","",c_VEL_NOM)</f>
        <v/>
      </c>
      <c r="I24">
        <f>IF('Lançamento'!$K$66="","",'Lançamento'!$K$66-c_VEL_NOM)</f>
        <v/>
      </c>
      <c r="J24">
        <f>IF(c_VEL_LI="","",c_VEL_LI)</f>
        <v/>
      </c>
      <c r="K24">
        <f>IF(c_VEL_LS="","",c_VEL_LS)</f>
        <v/>
      </c>
      <c r="L24">
        <f>""</f>
        <v/>
      </c>
      <c r="M24">
        <f>'Lançamento'!$M$66</f>
        <v/>
      </c>
      <c r="N24">
        <f>TRIM(pResp)</f>
        <v/>
      </c>
      <c r="O24">
        <f>pLetra</f>
        <v/>
      </c>
      <c r="P24">
        <f>TRIM('Lançamento'!$E$74)</f>
        <v/>
      </c>
      <c r="Q24">
        <f>""</f>
        <v/>
      </c>
      <c r="R24">
        <f>IF(AND(G24&lt;&gt;"",M24&lt;&gt;""),1,0)</f>
        <v>0</v>
      </c>
      <c r="S24" t="s">
        <v>323</v>
      </c>
    </row>
    <row r="25" spans="1:19">
      <c r="A25">
        <f>"Compressão"</f>
        <v/>
      </c>
      <c r="B25">
        <f>"Comparativo"</f>
        <v/>
      </c>
      <c r="C25">
        <f>IF(pData="","",pData)</f>
        <v/>
      </c>
      <c r="D25">
        <f>"66PS04"</f>
        <v/>
      </c>
      <c r="E25">
        <f>"Resistência FX -12,5 +10,0 mm"</f>
        <v/>
      </c>
      <c r="F25">
        <f>"kgf/pel"</f>
        <v/>
      </c>
      <c r="G25">
        <f>IF('Lançamento'!$E$69="","",'Lançamento'!$E$69)</f>
        <v/>
      </c>
      <c r="H25">
        <f>IF(c_COM12_NOM="","",c_COM12_NOM)</f>
        <v/>
      </c>
      <c r="I25">
        <f>IF('Lançamento'!$H$69="","",'Lançamento'!$H$69)</f>
        <v/>
      </c>
      <c r="J25">
        <f>""</f>
        <v/>
      </c>
      <c r="K25">
        <f>""</f>
        <v/>
      </c>
      <c r="L25">
        <f>IF(c_COM12_TOL="","",c_COM12_TOL)</f>
        <v/>
      </c>
      <c r="M25">
        <f>'Lançamento'!$I$69</f>
        <v/>
      </c>
      <c r="N25">
        <f>TRIM(pResp)</f>
        <v/>
      </c>
      <c r="O25">
        <f>pLetra</f>
        <v/>
      </c>
      <c r="P25">
        <f>IF('Lançamento'!$G$69="","","DP "&amp;'Lançamento'!$G$69)&amp;IF(AND('Lançamento'!$G$69&lt;&gt;"",TRIM('Lançamento'!$E$74)&lt;&gt;"")," - ","")&amp;TRIM('Lançamento'!$E$74)</f>
        <v/>
      </c>
      <c r="Q25">
        <f>""</f>
        <v/>
      </c>
      <c r="R25">
        <f>IF(AND(G25&lt;&gt;"",M25&lt;&gt;""),1,0)</f>
        <v>0</v>
      </c>
      <c r="S25" t="s">
        <v>323</v>
      </c>
    </row>
    <row r="26" spans="1:19">
      <c r="A26">
        <f>"Compressão"</f>
        <v/>
      </c>
      <c r="B26">
        <f>"Verificação"</f>
        <v/>
      </c>
      <c r="C26">
        <f>IF(pData="","",pData)</f>
        <v/>
      </c>
      <c r="D26">
        <f>"66PS04"</f>
        <v/>
      </c>
      <c r="E26">
        <f>"Velocidade FX -12,5 +10,0 mm"</f>
        <v/>
      </c>
      <c r="F26">
        <f>"mm/min"</f>
        <v/>
      </c>
      <c r="G26">
        <f>IF('Lançamento'!$K$69="","",'Lançamento'!$K$69)</f>
        <v/>
      </c>
      <c r="H26">
        <f>IF(c_VEL_NOM="","",c_VEL_NOM)</f>
        <v/>
      </c>
      <c r="I26">
        <f>IF('Lançamento'!$K$69="","",'Lançamento'!$K$69-c_VEL_NOM)</f>
        <v/>
      </c>
      <c r="J26">
        <f>IF(c_VEL_LI="","",c_VEL_LI)</f>
        <v/>
      </c>
      <c r="K26">
        <f>IF(c_VEL_LS="","",c_VEL_LS)</f>
        <v/>
      </c>
      <c r="L26">
        <f>""</f>
        <v/>
      </c>
      <c r="M26">
        <f>'Lançamento'!$M$69</f>
        <v/>
      </c>
      <c r="N26">
        <f>TRIM(pResp)</f>
        <v/>
      </c>
      <c r="O26">
        <f>pLetra</f>
        <v/>
      </c>
      <c r="P26">
        <f>TRIM('Lançamento'!$E$74)</f>
        <v/>
      </c>
      <c r="Q26">
        <f>""</f>
        <v/>
      </c>
      <c r="R26">
        <f>IF(AND(G26&lt;&gt;"",M26&lt;&gt;""),1,0)</f>
        <v>0</v>
      </c>
      <c r="S26" t="s">
        <v>323</v>
      </c>
    </row>
    <row r="27" spans="1:19">
      <c r="A27">
        <f>"Compressão"</f>
        <v/>
      </c>
      <c r="B27">
        <f>"Comparativo"</f>
        <v/>
      </c>
      <c r="C27">
        <f>IF(pData="","",pData)</f>
        <v/>
      </c>
      <c r="D27">
        <f>"66PS07"</f>
        <v/>
      </c>
      <c r="E27">
        <f>"Resistência FX -12,5 +10,0 mm"</f>
        <v/>
      </c>
      <c r="F27">
        <f>"kgf/pel"</f>
        <v/>
      </c>
      <c r="G27">
        <f>IF('Lançamento'!$E$70="","",'Lançamento'!$E$70)</f>
        <v/>
      </c>
      <c r="H27">
        <f>IF(c_COM12_NOM="","",c_COM12_NOM)</f>
        <v/>
      </c>
      <c r="I27">
        <f>IF('Lançamento'!$H$70="","",'Lançamento'!$H$70)</f>
        <v/>
      </c>
      <c r="J27">
        <f>""</f>
        <v/>
      </c>
      <c r="K27">
        <f>""</f>
        <v/>
      </c>
      <c r="L27">
        <f>IF(c_COM12_TOL="","",c_COM12_TOL)</f>
        <v/>
      </c>
      <c r="M27">
        <f>'Lançamento'!$I$70</f>
        <v/>
      </c>
      <c r="N27">
        <f>TRIM(pResp)</f>
        <v/>
      </c>
      <c r="O27">
        <f>pLetra</f>
        <v/>
      </c>
      <c r="P27">
        <f>IF('Lançamento'!$G$70="","","DP "&amp;'Lançamento'!$G$70)&amp;IF(AND('Lançamento'!$G$70&lt;&gt;"",TRIM('Lançamento'!$E$74)&lt;&gt;"")," - ","")&amp;TRIM('Lançamento'!$E$74)</f>
        <v/>
      </c>
      <c r="Q27">
        <f>""</f>
        <v/>
      </c>
      <c r="R27">
        <f>IF(AND(G27&lt;&gt;"",M27&lt;&gt;""),1,0)</f>
        <v>0</v>
      </c>
      <c r="S27" t="s">
        <v>323</v>
      </c>
    </row>
    <row r="28" spans="1:19">
      <c r="A28">
        <f>"Compressão"</f>
        <v/>
      </c>
      <c r="B28">
        <f>"Verificação"</f>
        <v/>
      </c>
      <c r="C28">
        <f>IF(pData="","",pData)</f>
        <v/>
      </c>
      <c r="D28">
        <f>"66PS07"</f>
        <v/>
      </c>
      <c r="E28">
        <f>"Velocidade FX -12,5 +10,0 mm"</f>
        <v/>
      </c>
      <c r="F28">
        <f>"mm/min"</f>
        <v/>
      </c>
      <c r="G28">
        <f>IF('Lançamento'!$K$70="","",'Lançamento'!$K$70)</f>
        <v/>
      </c>
      <c r="H28">
        <f>IF(c_VEL_NOM="","",c_VEL_NOM)</f>
        <v/>
      </c>
      <c r="I28">
        <f>IF('Lançamento'!$K$70="","",'Lançamento'!$K$70-c_VEL_NOM)</f>
        <v/>
      </c>
      <c r="J28">
        <f>IF(c_VEL_LI="","",c_VEL_LI)</f>
        <v/>
      </c>
      <c r="K28">
        <f>IF(c_VEL_LS="","",c_VEL_LS)</f>
        <v/>
      </c>
      <c r="L28">
        <f>""</f>
        <v/>
      </c>
      <c r="M28">
        <f>'Lançamento'!$M$70</f>
        <v/>
      </c>
      <c r="N28">
        <f>TRIM(pResp)</f>
        <v/>
      </c>
      <c r="O28">
        <f>pLetra</f>
        <v/>
      </c>
      <c r="P28">
        <f>TRIM('Lançamento'!$E$74)</f>
        <v/>
      </c>
      <c r="Q28">
        <f>""</f>
        <v/>
      </c>
      <c r="R28">
        <f>IF(AND(G28&lt;&gt;"",M28&lt;&gt;""),1,0)</f>
        <v>0</v>
      </c>
      <c r="S28" t="s">
        <v>323</v>
      </c>
    </row>
    <row r="29" spans="1:19">
      <c r="A29">
        <f>"Compressão"</f>
        <v/>
      </c>
      <c r="B29">
        <f>"Comparativo"</f>
        <v/>
      </c>
      <c r="C29">
        <f>IF(pData="","",pData)</f>
        <v/>
      </c>
      <c r="D29">
        <f>"66PS08"</f>
        <v/>
      </c>
      <c r="E29">
        <f>"Resistência FX -12,5 +10,0 mm"</f>
        <v/>
      </c>
      <c r="F29">
        <f>"kgf/pel"</f>
        <v/>
      </c>
      <c r="G29">
        <f>IF('Lançamento'!$E$71="","",'Lançamento'!$E$71)</f>
        <v/>
      </c>
      <c r="H29">
        <f>IF(c_COM12_NOM="","",c_COM12_NOM)</f>
        <v/>
      </c>
      <c r="I29">
        <f>IF('Lançamento'!$H$71="","",'Lançamento'!$H$71)</f>
        <v/>
      </c>
      <c r="J29">
        <f>""</f>
        <v/>
      </c>
      <c r="K29">
        <f>""</f>
        <v/>
      </c>
      <c r="L29">
        <f>IF(c_COM12_TOL="","",c_COM12_TOL)</f>
        <v/>
      </c>
      <c r="M29">
        <f>'Lançamento'!$I$71</f>
        <v/>
      </c>
      <c r="N29">
        <f>TRIM(pResp)</f>
        <v/>
      </c>
      <c r="O29">
        <f>pLetra</f>
        <v/>
      </c>
      <c r="P29">
        <f>IF('Lançamento'!$G$71="","","DP "&amp;'Lançamento'!$G$71)&amp;IF(AND('Lançamento'!$G$71&lt;&gt;"",TRIM('Lançamento'!$E$74)&lt;&gt;"")," - ","")&amp;TRIM('Lançamento'!$E$74)</f>
        <v/>
      </c>
      <c r="Q29">
        <f>""</f>
        <v/>
      </c>
      <c r="R29">
        <f>IF(AND(G29&lt;&gt;"",M29&lt;&gt;""),1,0)</f>
        <v>0</v>
      </c>
      <c r="S29" t="s">
        <v>323</v>
      </c>
    </row>
    <row r="30" spans="1:19">
      <c r="A30">
        <f>"Compressão"</f>
        <v/>
      </c>
      <c r="B30">
        <f>"Verificação"</f>
        <v/>
      </c>
      <c r="C30">
        <f>IF(pData="","",pData)</f>
        <v/>
      </c>
      <c r="D30">
        <f>"66PS08"</f>
        <v/>
      </c>
      <c r="E30">
        <f>"Velocidade FX -12,5 +10,0 mm"</f>
        <v/>
      </c>
      <c r="F30">
        <f>"mm/min"</f>
        <v/>
      </c>
      <c r="G30">
        <f>IF('Lançamento'!$K$71="","",'Lançamento'!$K$71)</f>
        <v/>
      </c>
      <c r="H30">
        <f>IF(c_VEL_NOM="","",c_VEL_NOM)</f>
        <v/>
      </c>
      <c r="I30">
        <f>IF('Lançamento'!$K$71="","",'Lançamento'!$K$71-c_VEL_NOM)</f>
        <v/>
      </c>
      <c r="J30">
        <f>IF(c_VEL_LI="","",c_VEL_LI)</f>
        <v/>
      </c>
      <c r="K30">
        <f>IF(c_VEL_LS="","",c_VEL_LS)</f>
        <v/>
      </c>
      <c r="L30">
        <f>""</f>
        <v/>
      </c>
      <c r="M30">
        <f>'Lançamento'!$M$71</f>
        <v/>
      </c>
      <c r="N30">
        <f>TRIM(pResp)</f>
        <v/>
      </c>
      <c r="O30">
        <f>pLetra</f>
        <v/>
      </c>
      <c r="P30">
        <f>TRIM('Lançamento'!$E$74)</f>
        <v/>
      </c>
      <c r="Q30">
        <f>""</f>
        <v/>
      </c>
      <c r="R30">
        <f>IF(AND(G30&lt;&gt;"",M30&lt;&gt;""),1,0)</f>
        <v>0</v>
      </c>
      <c r="S30" t="s">
        <v>323</v>
      </c>
    </row>
    <row r="31" spans="1:19">
      <c r="A31">
        <f>"Compressão"</f>
        <v/>
      </c>
      <c r="B31">
        <f>"Comparativo"</f>
        <v/>
      </c>
      <c r="C31">
        <f>IF(pData="","",pData)</f>
        <v/>
      </c>
      <c r="D31">
        <f>"66PS10"</f>
        <v/>
      </c>
      <c r="E31">
        <f>"Resistência FX -12,5 +10,0 mm"</f>
        <v/>
      </c>
      <c r="F31">
        <f>"kgf/pel"</f>
        <v/>
      </c>
      <c r="G31">
        <f>IF('Lançamento'!$E$72="","",'Lançamento'!$E$72)</f>
        <v/>
      </c>
      <c r="H31">
        <f>IF(c_COM12_NOM="","",c_COM12_NOM)</f>
        <v/>
      </c>
      <c r="I31">
        <f>IF('Lançamento'!$H$72="","",'Lançamento'!$H$72)</f>
        <v/>
      </c>
      <c r="J31">
        <f>""</f>
        <v/>
      </c>
      <c r="K31">
        <f>""</f>
        <v/>
      </c>
      <c r="L31">
        <f>IF(c_COM12_TOL="","",c_COM12_TOL)</f>
        <v/>
      </c>
      <c r="M31">
        <f>'Lançamento'!$I$72</f>
        <v/>
      </c>
      <c r="N31">
        <f>TRIM(pResp)</f>
        <v/>
      </c>
      <c r="O31">
        <f>pLetra</f>
        <v/>
      </c>
      <c r="P31">
        <f>IF('Lançamento'!$G$72="","","DP "&amp;'Lançamento'!$G$72)&amp;IF(AND('Lançamento'!$G$72&lt;&gt;"",TRIM('Lançamento'!$E$74)&lt;&gt;"")," - ","")&amp;TRIM('Lançamento'!$E$74)</f>
        <v/>
      </c>
      <c r="Q31">
        <f>""</f>
        <v/>
      </c>
      <c r="R31">
        <f>IF(AND(G31&lt;&gt;"",M31&lt;&gt;""),1,0)</f>
        <v>0</v>
      </c>
      <c r="S31" t="s">
        <v>323</v>
      </c>
    </row>
    <row r="32" spans="1:19">
      <c r="A32">
        <f>"Compressão"</f>
        <v/>
      </c>
      <c r="B32">
        <f>"Comparativo"</f>
        <v/>
      </c>
      <c r="C32">
        <f>IF(pData="","",pData)</f>
        <v/>
      </c>
      <c r="D32">
        <f>"66PS05"</f>
        <v/>
      </c>
      <c r="E32">
        <f>"Resistência FX -12,5 +10,0 mm"</f>
        <v/>
      </c>
      <c r="F32">
        <f>"kgf/pel"</f>
        <v/>
      </c>
      <c r="G32">
        <f>IF('Lançamento'!$E$73="","",'Lançamento'!$E$73)</f>
        <v/>
      </c>
      <c r="H32">
        <f>IF(c_COM12_NOM="","",c_COM12_NOM)</f>
        <v/>
      </c>
      <c r="I32">
        <f>IF('Lançamento'!$H$73="","",'Lançamento'!$H$73)</f>
        <v/>
      </c>
      <c r="J32">
        <f>""</f>
        <v/>
      </c>
      <c r="K32">
        <f>""</f>
        <v/>
      </c>
      <c r="L32">
        <f>IF(c_COM12_TOL="","",c_COM12_TOL)</f>
        <v/>
      </c>
      <c r="M32">
        <f>'Lançamento'!$I$73</f>
        <v/>
      </c>
      <c r="N32">
        <f>TRIM(pResp)</f>
        <v/>
      </c>
      <c r="O32">
        <f>pLetra</f>
        <v/>
      </c>
      <c r="P32">
        <f>IF('Lançamento'!$G$73="","","DP "&amp;'Lançamento'!$G$73)&amp;IF(AND('Lançamento'!$G$73&lt;&gt;"",TRIM('Lançamento'!$E$74)&lt;&gt;"")," - ","")&amp;TRIM('Lançamento'!$E$74)</f>
        <v/>
      </c>
      <c r="Q32">
        <f>""</f>
        <v/>
      </c>
      <c r="R32">
        <f>IF(AND(G32&lt;&gt;"",M32&lt;&gt;""),1,0)</f>
        <v>0</v>
      </c>
      <c r="S32" t="s">
        <v>323</v>
      </c>
    </row>
    <row r="33" spans="1:19">
      <c r="A33">
        <f>"Compressão"</f>
        <v/>
      </c>
      <c r="B33">
        <f>"Verificação"</f>
        <v/>
      </c>
      <c r="C33">
        <f>IF(pData="","",pData)</f>
        <v/>
      </c>
      <c r="D33">
        <f>"66PS05"</f>
        <v/>
      </c>
      <c r="E33">
        <f>"Velocidade FX -12,5 +10,0 mm"</f>
        <v/>
      </c>
      <c r="F33">
        <f>"mm/min"</f>
        <v/>
      </c>
      <c r="G33">
        <f>IF('Lançamento'!$K$73="","",'Lançamento'!$K$73)</f>
        <v/>
      </c>
      <c r="H33">
        <f>IF(c_VEL_NOM="","",c_VEL_NOM)</f>
        <v/>
      </c>
      <c r="I33">
        <f>IF('Lançamento'!$K$73="","",'Lançamento'!$K$73-c_VEL_NOM)</f>
        <v/>
      </c>
      <c r="J33">
        <f>IF(c_VEL_LI="","",c_VEL_LI)</f>
        <v/>
      </c>
      <c r="K33">
        <f>IF(c_VEL_LS="","",c_VEL_LS)</f>
        <v/>
      </c>
      <c r="L33">
        <f>""</f>
        <v/>
      </c>
      <c r="M33">
        <f>'Lançamento'!$M$73</f>
        <v/>
      </c>
      <c r="N33">
        <f>TRIM(pResp)</f>
        <v/>
      </c>
      <c r="O33">
        <f>pLetra</f>
        <v/>
      </c>
      <c r="P33">
        <f>TRIM('Lançamento'!$E$74)</f>
        <v/>
      </c>
      <c r="Q33">
        <f>""</f>
        <v/>
      </c>
      <c r="R33">
        <f>IF(AND(G33&lt;&gt;"",M33&lt;&gt;""),1,0)</f>
        <v>0</v>
      </c>
      <c r="S33" t="s">
        <v>323</v>
      </c>
    </row>
    <row r="34" spans="1:19">
      <c r="A34">
        <f>"Granulometria"</f>
        <v/>
      </c>
      <c r="B34">
        <f>"Comparativo"</f>
        <v/>
      </c>
      <c r="C34">
        <f>IF(pData="","",pData)</f>
        <v/>
      </c>
      <c r="D34">
        <f>"66PN09 (LTF) x 66PN08 (LCE)"</f>
        <v/>
      </c>
      <c r="E34">
        <f>"-6,3 mm"</f>
        <v/>
      </c>
      <c r="F34">
        <f>"%"</f>
        <v/>
      </c>
      <c r="G34">
        <f>IF('Lançamento'!$F$92="","",'Lançamento'!$F$92)</f>
        <v/>
      </c>
      <c r="H34">
        <f>IF('Lançamento'!$H$92="","",'Lançamento'!$H$92)</f>
        <v/>
      </c>
      <c r="I34">
        <f>IF('Lançamento'!$J$92="","",'Lançamento'!$J$92)</f>
        <v/>
      </c>
      <c r="J34">
        <f>""</f>
        <v/>
      </c>
      <c r="K34">
        <f>""</f>
        <v/>
      </c>
      <c r="L34">
        <f>IF(c_G63_TOL="","",c_G63_TOL)</f>
        <v/>
      </c>
      <c r="M34">
        <f>'Lançamento'!$L$92</f>
        <v/>
      </c>
      <c r="N34">
        <f>TRIM(pResp)</f>
        <v/>
      </c>
      <c r="O34">
        <f>pLetra</f>
        <v/>
      </c>
      <c r="P34">
        <f>TRIM('Lançamento'!$E$98)</f>
        <v/>
      </c>
      <c r="Q34">
        <f>""</f>
        <v/>
      </c>
      <c r="R34">
        <f>IF(AND(G34&lt;&gt;"",M34&lt;&gt;""),1,0)</f>
        <v>0</v>
      </c>
      <c r="S34" t="s">
        <v>325</v>
      </c>
    </row>
    <row r="35" spans="1:19">
      <c r="A35">
        <f>"Granulometria"</f>
        <v/>
      </c>
      <c r="B35">
        <f>"Comparativo"</f>
        <v/>
      </c>
      <c r="C35">
        <f>IF(pData="","",pData)</f>
        <v/>
      </c>
      <c r="D35">
        <f>"66PN09 (LTF) x 66PN08 (LCE)"</f>
        <v/>
      </c>
      <c r="E35">
        <f>"RG (Relação)"</f>
        <v/>
      </c>
      <c r="F35">
        <f>"-"</f>
        <v/>
      </c>
      <c r="G35">
        <f>IF('Lançamento'!$F$93="","",'Lançamento'!$F$93)</f>
        <v/>
      </c>
      <c r="H35">
        <f>IF('Lançamento'!$H$93="","",'Lançamento'!$H$93)</f>
        <v/>
      </c>
      <c r="I35">
        <f>IF('Lançamento'!$J$93="","",'Lançamento'!$J$93)</f>
        <v/>
      </c>
      <c r="J35">
        <f>""</f>
        <v/>
      </c>
      <c r="K35">
        <f>""</f>
        <v/>
      </c>
      <c r="L35">
        <f>IF(c_GRG_TOL="","",c_GRG_TOL)</f>
        <v/>
      </c>
      <c r="M35">
        <f>'Lançamento'!$L$93</f>
        <v/>
      </c>
      <c r="N35">
        <f>TRIM(pResp)</f>
        <v/>
      </c>
      <c r="O35">
        <f>pLetra</f>
        <v/>
      </c>
      <c r="P35">
        <f>TRIM('Lançamento'!$E$98)</f>
        <v/>
      </c>
      <c r="Q35">
        <f>""</f>
        <v/>
      </c>
      <c r="R35">
        <f>IF(AND(G35&lt;&gt;"",M35&lt;&gt;""),1,0)</f>
        <v>0</v>
      </c>
      <c r="S35" t="s">
        <v>325</v>
      </c>
    </row>
    <row r="36" spans="1:19">
      <c r="A36">
        <f>"Granulometria"</f>
        <v/>
      </c>
      <c r="B36">
        <f>"Comparativo"</f>
        <v/>
      </c>
      <c r="C36">
        <f>IF(pData="","",pData)</f>
        <v/>
      </c>
      <c r="D36">
        <f>"66PN09 (LTF) x 66PN08 (LCE)"</f>
        <v/>
      </c>
      <c r="E36">
        <f>"-16,0 +12,5 mm"</f>
        <v/>
      </c>
      <c r="F36">
        <f>"%"</f>
        <v/>
      </c>
      <c r="G36">
        <f>IF('Lançamento'!$F$94="","",'Lançamento'!$F$94)</f>
        <v/>
      </c>
      <c r="H36">
        <f>IF('Lançamento'!$H$94="","",'Lançamento'!$H$94)</f>
        <v/>
      </c>
      <c r="I36">
        <f>IF('Lançamento'!$J$94="","",'Lançamento'!$J$94)</f>
        <v/>
      </c>
      <c r="J36">
        <f>""</f>
        <v/>
      </c>
      <c r="K36">
        <f>""</f>
        <v/>
      </c>
      <c r="L36">
        <f>""</f>
        <v/>
      </c>
      <c r="M36">
        <f>'Lançamento'!$L$94</f>
        <v/>
      </c>
      <c r="N36">
        <f>TRIM(pResp)</f>
        <v/>
      </c>
      <c r="O36">
        <f>pLetra</f>
        <v/>
      </c>
      <c r="P36">
        <f>TRIM('Lançamento'!$E$98)</f>
        <v/>
      </c>
      <c r="Q36">
        <f>""</f>
        <v/>
      </c>
      <c r="R36">
        <f>IF(AND(G36&lt;&gt;"",M36&lt;&gt;""),1,0)</f>
        <v>0</v>
      </c>
      <c r="S36" t="s">
        <v>325</v>
      </c>
    </row>
    <row r="37" spans="1:19">
      <c r="A37">
        <f>"Granulometria"</f>
        <v/>
      </c>
      <c r="B37">
        <f>"Comparativo"</f>
        <v/>
      </c>
      <c r="C37">
        <f>IF(pData="","",pData)</f>
        <v/>
      </c>
      <c r="D37">
        <f>"66PN09 (LTF) x 66PN08 (LCE)"</f>
        <v/>
      </c>
      <c r="E37">
        <f>"-16,0 +9,0 mm"</f>
        <v/>
      </c>
      <c r="F37">
        <f>"%"</f>
        <v/>
      </c>
      <c r="G37">
        <f>IF('Lançamento'!$F$95="","",'Lançamento'!$F$95)</f>
        <v/>
      </c>
      <c r="H37">
        <f>IF('Lançamento'!$H$95="","",'Lançamento'!$H$95)</f>
        <v/>
      </c>
      <c r="I37">
        <f>IF('Lançamento'!$J$95="","",'Lançamento'!$J$95)</f>
        <v/>
      </c>
      <c r="J37">
        <f>""</f>
        <v/>
      </c>
      <c r="K37">
        <f>""</f>
        <v/>
      </c>
      <c r="L37">
        <f>""</f>
        <v/>
      </c>
      <c r="M37">
        <f>'Lançamento'!$L$95</f>
        <v/>
      </c>
      <c r="N37">
        <f>TRIM(pResp)</f>
        <v/>
      </c>
      <c r="O37">
        <f>pLetra</f>
        <v/>
      </c>
      <c r="P37">
        <f>TRIM('Lançamento'!$E$98)</f>
        <v/>
      </c>
      <c r="Q37">
        <f>""</f>
        <v/>
      </c>
      <c r="R37">
        <f>IF(AND(G37&lt;&gt;"",M37&lt;&gt;""),1,0)</f>
        <v>0</v>
      </c>
      <c r="S37" t="s">
        <v>325</v>
      </c>
    </row>
    <row r="38" spans="1:19">
      <c r="A38">
        <f>"Granulometria"</f>
        <v/>
      </c>
      <c r="B38">
        <f>"Comparativo"</f>
        <v/>
      </c>
      <c r="C38">
        <f>IF(pData="","",pData)</f>
        <v/>
      </c>
      <c r="D38">
        <f>"66PN09 (LTF) x 66PN08 (LCE)"</f>
        <v/>
      </c>
      <c r="E38">
        <f>"-16,0 +8,0 mm"</f>
        <v/>
      </c>
      <c r="F38">
        <f>"%"</f>
        <v/>
      </c>
      <c r="G38">
        <f>IF('Lançamento'!$F$96="","",'Lançamento'!$F$96)</f>
        <v/>
      </c>
      <c r="H38">
        <f>IF('Lançamento'!$H$96="","",'Lançamento'!$H$96)</f>
        <v/>
      </c>
      <c r="I38">
        <f>IF('Lançamento'!$J$96="","",'Lançamento'!$J$96)</f>
        <v/>
      </c>
      <c r="J38">
        <f>""</f>
        <v/>
      </c>
      <c r="K38">
        <f>""</f>
        <v/>
      </c>
      <c r="L38">
        <f>""</f>
        <v/>
      </c>
      <c r="M38">
        <f>'Lançamento'!$L$96</f>
        <v/>
      </c>
      <c r="N38">
        <f>TRIM(pResp)</f>
        <v/>
      </c>
      <c r="O38">
        <f>pLetra</f>
        <v/>
      </c>
      <c r="P38">
        <f>TRIM('Lançamento'!$E$98)</f>
        <v/>
      </c>
      <c r="Q38">
        <f>""</f>
        <v/>
      </c>
      <c r="R38">
        <f>IF(AND(G38&lt;&gt;"",M38&lt;&gt;""),1,0)</f>
        <v>0</v>
      </c>
      <c r="S38" t="s">
        <v>325</v>
      </c>
    </row>
    <row r="39" spans="1:19">
      <c r="A39">
        <f>"Tamb 5 kg x 15 kg"</f>
        <v/>
      </c>
      <c r="B39">
        <f>"Comparativo"</f>
        <v/>
      </c>
      <c r="C39">
        <f>IF(pData="","",pData)</f>
        <v/>
      </c>
      <c r="D39">
        <f>"66TA05 (5 kg) x T03 (15 kg)"</f>
        <v/>
      </c>
      <c r="E39">
        <f>"+6,3 mm"</f>
        <v/>
      </c>
      <c r="F39">
        <f>"%"</f>
        <v/>
      </c>
      <c r="G39">
        <f>IF('Lançamento'!$J$103="","",'Lançamento'!$J$103)</f>
        <v/>
      </c>
      <c r="H39">
        <f>IF('Lançamento'!$J$104="","",'Lançamento'!$J$104)</f>
        <v/>
      </c>
      <c r="I39">
        <f>IF('Lançamento'!$J$106="","",'Lançamento'!$J$106)</f>
        <v/>
      </c>
      <c r="J39">
        <f>""</f>
        <v/>
      </c>
      <c r="K39">
        <f>""</f>
        <v/>
      </c>
      <c r="L39">
        <f>IF(c_T515_TOL="","",c_T515_TOL)</f>
        <v/>
      </c>
      <c r="M39">
        <f>'Lançamento'!$L$106</f>
        <v/>
      </c>
      <c r="N39">
        <f>TRIM(pResp)</f>
        <v/>
      </c>
      <c r="O39">
        <f>pLetra</f>
        <v/>
      </c>
      <c r="P39">
        <f>TRIM('Lançamento'!$E$108)</f>
        <v/>
      </c>
      <c r="Q39">
        <f>""</f>
        <v/>
      </c>
      <c r="R39">
        <f>IF(AND(G39&lt;&gt;"",M39&lt;&gt;""),1,0)</f>
        <v>0</v>
      </c>
      <c r="S39" t="s">
        <v>57</v>
      </c>
    </row>
    <row r="40" spans="1:19">
      <c r="A40">
        <f>"Tamb 5 kg x 15 kg"</f>
        <v/>
      </c>
      <c r="B40">
        <f>"Comparativo"</f>
        <v/>
      </c>
      <c r="C40">
        <f>IF(pData="","",pData)</f>
        <v/>
      </c>
      <c r="D40">
        <f>"66TA05 (5 kg) x T03 (15 kg)"</f>
        <v/>
      </c>
      <c r="E40">
        <f>"-0,5 mm"</f>
        <v/>
      </c>
      <c r="F40">
        <f>"%"</f>
        <v/>
      </c>
      <c r="G40">
        <f>IF('Lançamento'!$L$103="","",'Lançamento'!$L$103)</f>
        <v/>
      </c>
      <c r="H40">
        <f>IF('Lançamento'!$L$104="","",'Lançamento'!$L$104)</f>
        <v/>
      </c>
      <c r="I40">
        <f>IF('Lançamento'!$J$107="","",'Lançamento'!$J$107)</f>
        <v/>
      </c>
      <c r="J40">
        <f>""</f>
        <v/>
      </c>
      <c r="K40">
        <f>""</f>
        <v/>
      </c>
      <c r="L40">
        <f>""</f>
        <v/>
      </c>
      <c r="M40">
        <f>'Lançamento'!$L$107</f>
        <v/>
      </c>
      <c r="N40">
        <f>TRIM(pResp)</f>
        <v/>
      </c>
      <c r="O40">
        <f>pLetra</f>
        <v/>
      </c>
      <c r="P40">
        <f>TRIM('Lançamento'!$E$108)</f>
        <v/>
      </c>
      <c r="Q40">
        <f>""</f>
        <v/>
      </c>
      <c r="R40">
        <f>IF(AND(G40&lt;&gt;"",M40&lt;&gt;""),1,0)</f>
        <v>0</v>
      </c>
      <c r="S40" t="s">
        <v>57</v>
      </c>
    </row>
    <row r="41" spans="1:19">
      <c r="A41">
        <f>"Verificação Peneiradores"</f>
        <v/>
      </c>
      <c r="B41">
        <f>"Verificação"</f>
        <v/>
      </c>
      <c r="C41">
        <f>IF(pData="","",pData)</f>
        <v/>
      </c>
      <c r="D41">
        <f>IF(TRIM('Lançamento'!$F$113)="","Circulares",TRIM('Lançamento'!$F$113))</f>
        <v/>
      </c>
      <c r="E41">
        <f>"Malha 19 mm (Circulares)"</f>
        <v/>
      </c>
      <c r="F41">
        <f>"itens OK"</f>
        <v/>
      </c>
      <c r="G41">
        <f>IF(COUNTA('Lançamento'!$H$113:$L$113)=0,"",COUNTIF('Lançamento'!$H$113:$L$113,"OK"))</f>
        <v/>
      </c>
      <c r="H41">
        <f>IF(COUNTA('Lançamento'!$H$113:$L$113)=0,"",COUNTA('Lançamento'!$H$113:$L$113))</f>
        <v/>
      </c>
      <c r="I41">
        <f>""</f>
        <v/>
      </c>
      <c r="J41">
        <f>""</f>
        <v/>
      </c>
      <c r="K41">
        <f>""</f>
        <v/>
      </c>
      <c r="L41">
        <f>""</f>
        <v/>
      </c>
      <c r="M41">
        <f>IF(COUNTA('Lançamento'!$H$113:$L$113)=0,"",IF(COUNTIF('Lançamento'!$H$113:$L$113,"NÃO OK")&gt;0,"Não conforme","Conforme"))</f>
        <v/>
      </c>
      <c r="N41">
        <f>TRIM(pResp)</f>
        <v/>
      </c>
      <c r="O41">
        <f>pLetra</f>
        <v/>
      </c>
      <c r="P41">
        <f>IF(COUNTIF('Lançamento'!$H$113:$L$113,"SEM TAG")&gt;0,"Sem TAG de calibração; ","")&amp;IF('Lançamento'!$H$113="NÃO OK","Condições das telas; ","")&amp;IF('Lançamento'!$I$113="NÃO OK","Inclinação das telas; ","")&amp;IF('Lançamento'!$J$113="NÃO OK","Vibração do peneirador; ","")&amp;IF('Lançamento'!$K$113="NÃO OK","Travamento das peneiras; ","")&amp;IF('Lançamento'!$L$113="NÃO OK","Calibração; ","")&amp;TRIM('Lançamento'!$E$141)</f>
        <v/>
      </c>
      <c r="Q41">
        <f>""</f>
        <v/>
      </c>
      <c r="R41">
        <f>IF(AND(G41&lt;&gt;"",M41&lt;&gt;""),1,0)</f>
        <v>0</v>
      </c>
      <c r="S41" t="s">
        <v>328</v>
      </c>
    </row>
    <row r="42" spans="1:19">
      <c r="A42">
        <f>"Verificação Peneiradores"</f>
        <v/>
      </c>
      <c r="B42">
        <f>"Verificação"</f>
        <v/>
      </c>
      <c r="C42">
        <f>IF(pData="","",pData)</f>
        <v/>
      </c>
      <c r="D42">
        <f>IF(TRIM('Lançamento'!$F$114)="","Circulares",TRIM('Lançamento'!$F$114))</f>
        <v/>
      </c>
      <c r="E42">
        <f>"Malha 16 mm (Circulares)"</f>
        <v/>
      </c>
      <c r="F42">
        <f>"itens OK"</f>
        <v/>
      </c>
      <c r="G42">
        <f>IF(COUNTA('Lançamento'!$H$114:$L$114)=0,"",COUNTIF('Lançamento'!$H$114:$L$114,"OK"))</f>
        <v/>
      </c>
      <c r="H42">
        <f>IF(COUNTA('Lançamento'!$H$114:$L$114)=0,"",COUNTA('Lançamento'!$H$114:$L$114))</f>
        <v/>
      </c>
      <c r="I42">
        <f>""</f>
        <v/>
      </c>
      <c r="J42">
        <f>""</f>
        <v/>
      </c>
      <c r="K42">
        <f>""</f>
        <v/>
      </c>
      <c r="L42">
        <f>""</f>
        <v/>
      </c>
      <c r="M42">
        <f>IF(COUNTA('Lançamento'!$H$114:$L$114)=0,"",IF(COUNTIF('Lançamento'!$H$114:$L$114,"NÃO OK")&gt;0,"Não conforme","Conforme"))</f>
        <v/>
      </c>
      <c r="N42">
        <f>TRIM(pResp)</f>
        <v/>
      </c>
      <c r="O42">
        <f>pLetra</f>
        <v/>
      </c>
      <c r="P42">
        <f>IF(COUNTIF('Lançamento'!$H$114:$L$114,"SEM TAG")&gt;0,"Sem TAG de calibração; ","")&amp;IF('Lançamento'!$H$114="NÃO OK","Condições das telas; ","")&amp;IF('Lançamento'!$I$114="NÃO OK","Inclinação das telas; ","")&amp;IF('Lançamento'!$J$114="NÃO OK","Vibração do peneirador; ","")&amp;IF('Lançamento'!$K$114="NÃO OK","Travamento das peneiras; ","")&amp;IF('Lançamento'!$L$114="NÃO OK","Calibração; ","")&amp;TRIM('Lançamento'!$E$141)</f>
        <v/>
      </c>
      <c r="Q42">
        <f>""</f>
        <v/>
      </c>
      <c r="R42">
        <f>IF(AND(G42&lt;&gt;"",M42&lt;&gt;""),1,0)</f>
        <v>0</v>
      </c>
      <c r="S42" t="s">
        <v>328</v>
      </c>
    </row>
    <row r="43" spans="1:19">
      <c r="A43">
        <f>"Verificação Peneiradores"</f>
        <v/>
      </c>
      <c r="B43">
        <f>"Verificação"</f>
        <v/>
      </c>
      <c r="C43">
        <f>IF(pData="","",pData)</f>
        <v/>
      </c>
      <c r="D43">
        <f>IF(TRIM('Lançamento'!$F$115)="","Circulares",TRIM('Lançamento'!$F$115))</f>
        <v/>
      </c>
      <c r="E43">
        <f>"Malha 12,5 mm (Circulares)"</f>
        <v/>
      </c>
      <c r="F43">
        <f>"itens OK"</f>
        <v/>
      </c>
      <c r="G43">
        <f>IF(COUNTA('Lançamento'!$H$115:$L$115)=0,"",COUNTIF('Lançamento'!$H$115:$L$115,"OK"))</f>
        <v/>
      </c>
      <c r="H43">
        <f>IF(COUNTA('Lançamento'!$H$115:$L$115)=0,"",COUNTA('Lançamento'!$H$115:$L$115))</f>
        <v/>
      </c>
      <c r="I43">
        <f>""</f>
        <v/>
      </c>
      <c r="J43">
        <f>""</f>
        <v/>
      </c>
      <c r="K43">
        <f>""</f>
        <v/>
      </c>
      <c r="L43">
        <f>""</f>
        <v/>
      </c>
      <c r="M43">
        <f>IF(COUNTA('Lançamento'!$H$115:$L$115)=0,"",IF(COUNTIF('Lançamento'!$H$115:$L$115,"NÃO OK")&gt;0,"Não conforme","Conforme"))</f>
        <v/>
      </c>
      <c r="N43">
        <f>TRIM(pResp)</f>
        <v/>
      </c>
      <c r="O43">
        <f>pLetra</f>
        <v/>
      </c>
      <c r="P43">
        <f>IF(COUNTIF('Lançamento'!$H$115:$L$115,"SEM TAG")&gt;0,"Sem TAG de calibração; ","")&amp;IF('Lançamento'!$H$115="NÃO OK","Condições das telas; ","")&amp;IF('Lançamento'!$I$115="NÃO OK","Inclinação das telas; ","")&amp;IF('Lançamento'!$J$115="NÃO OK","Vibração do peneirador; ","")&amp;IF('Lançamento'!$K$115="NÃO OK","Travamento das peneiras; ","")&amp;IF('Lançamento'!$L$115="NÃO OK","Calibração; ","")&amp;TRIM('Lançamento'!$E$141)</f>
        <v/>
      </c>
      <c r="Q43">
        <f>""</f>
        <v/>
      </c>
      <c r="R43">
        <f>IF(AND(G43&lt;&gt;"",M43&lt;&gt;""),1,0)</f>
        <v>0</v>
      </c>
      <c r="S43" t="s">
        <v>328</v>
      </c>
    </row>
    <row r="44" spans="1:19">
      <c r="A44">
        <f>"Verificação Peneiradores"</f>
        <v/>
      </c>
      <c r="B44">
        <f>"Verificação"</f>
        <v/>
      </c>
      <c r="C44">
        <f>IF(pData="","",pData)</f>
        <v/>
      </c>
      <c r="D44">
        <f>IF(TRIM('Lançamento'!$F$116)="","Circulares",TRIM('Lançamento'!$F$116))</f>
        <v/>
      </c>
      <c r="E44">
        <f>"Malha 10 mm (Circulares)"</f>
        <v/>
      </c>
      <c r="F44">
        <f>"itens OK"</f>
        <v/>
      </c>
      <c r="G44">
        <f>IF(COUNTA('Lançamento'!$H$116:$L$116)=0,"",COUNTIF('Lançamento'!$H$116:$L$116,"OK"))</f>
        <v/>
      </c>
      <c r="H44">
        <f>IF(COUNTA('Lançamento'!$H$116:$L$116)=0,"",COUNTA('Lançamento'!$H$116:$L$116))</f>
        <v/>
      </c>
      <c r="I44">
        <f>""</f>
        <v/>
      </c>
      <c r="J44">
        <f>""</f>
        <v/>
      </c>
      <c r="K44">
        <f>""</f>
        <v/>
      </c>
      <c r="L44">
        <f>""</f>
        <v/>
      </c>
      <c r="M44">
        <f>IF(COUNTA('Lançamento'!$H$116:$L$116)=0,"",IF(COUNTIF('Lançamento'!$H$116:$L$116,"NÃO OK")&gt;0,"Não conforme","Conforme"))</f>
        <v/>
      </c>
      <c r="N44">
        <f>TRIM(pResp)</f>
        <v/>
      </c>
      <c r="O44">
        <f>pLetra</f>
        <v/>
      </c>
      <c r="P44">
        <f>IF(COUNTIF('Lançamento'!$H$116:$L$116,"SEM TAG")&gt;0,"Sem TAG de calibração; ","")&amp;IF('Lançamento'!$H$116="NÃO OK","Condições das telas; ","")&amp;IF('Lançamento'!$I$116="NÃO OK","Inclinação das telas; ","")&amp;IF('Lançamento'!$J$116="NÃO OK","Vibração do peneirador; ","")&amp;IF('Lançamento'!$K$116="NÃO OK","Travamento das peneiras; ","")&amp;IF('Lançamento'!$L$116="NÃO OK","Calibração; ","")&amp;TRIM('Lançamento'!$E$141)</f>
        <v/>
      </c>
      <c r="Q44">
        <f>""</f>
        <v/>
      </c>
      <c r="R44">
        <f>IF(AND(G44&lt;&gt;"",M44&lt;&gt;""),1,0)</f>
        <v>0</v>
      </c>
      <c r="S44" t="s">
        <v>328</v>
      </c>
    </row>
    <row r="45" spans="1:19">
      <c r="A45">
        <f>"Verificação Peneiradores"</f>
        <v/>
      </c>
      <c r="B45">
        <f>"Verificação"</f>
        <v/>
      </c>
      <c r="C45">
        <f>IF(pData="","",pData)</f>
        <v/>
      </c>
      <c r="D45">
        <f>IF(TRIM('Lançamento'!$F$117)="","Circulares",TRIM('Lançamento'!$F$117))</f>
        <v/>
      </c>
      <c r="E45">
        <f>"Malha 9 mm (Circulares)"</f>
        <v/>
      </c>
      <c r="F45">
        <f>"itens OK"</f>
        <v/>
      </c>
      <c r="G45">
        <f>IF(COUNTA('Lançamento'!$H$117:$L$117)=0,"",COUNTIF('Lançamento'!$H$117:$L$117,"OK"))</f>
        <v/>
      </c>
      <c r="H45">
        <f>IF(COUNTA('Lançamento'!$H$117:$L$117)=0,"",COUNTA('Lançamento'!$H$117:$L$117))</f>
        <v/>
      </c>
      <c r="I45">
        <f>""</f>
        <v/>
      </c>
      <c r="J45">
        <f>""</f>
        <v/>
      </c>
      <c r="K45">
        <f>""</f>
        <v/>
      </c>
      <c r="L45">
        <f>""</f>
        <v/>
      </c>
      <c r="M45">
        <f>IF(COUNTA('Lançamento'!$H$117:$L$117)=0,"",IF(COUNTIF('Lançamento'!$H$117:$L$117,"NÃO OK")&gt;0,"Não conforme","Conforme"))</f>
        <v/>
      </c>
      <c r="N45">
        <f>TRIM(pResp)</f>
        <v/>
      </c>
      <c r="O45">
        <f>pLetra</f>
        <v/>
      </c>
      <c r="P45">
        <f>IF(COUNTIF('Lançamento'!$H$117:$L$117,"SEM TAG")&gt;0,"Sem TAG de calibração; ","")&amp;IF('Lançamento'!$H$117="NÃO OK","Condições das telas; ","")&amp;IF('Lançamento'!$I$117="NÃO OK","Inclinação das telas; ","")&amp;IF('Lançamento'!$J$117="NÃO OK","Vibração do peneirador; ","")&amp;IF('Lançamento'!$K$117="NÃO OK","Travamento das peneiras; ","")&amp;IF('Lançamento'!$L$117="NÃO OK","Calibração; ","")&amp;TRIM('Lançamento'!$E$141)</f>
        <v/>
      </c>
      <c r="Q45">
        <f>""</f>
        <v/>
      </c>
      <c r="R45">
        <f>IF(AND(G45&lt;&gt;"",M45&lt;&gt;""),1,0)</f>
        <v>0</v>
      </c>
      <c r="S45" t="s">
        <v>328</v>
      </c>
    </row>
    <row r="46" spans="1:19">
      <c r="A46">
        <f>"Verificação Peneiradores"</f>
        <v/>
      </c>
      <c r="B46">
        <f>"Verificação"</f>
        <v/>
      </c>
      <c r="C46">
        <f>IF(pData="","",pData)</f>
        <v/>
      </c>
      <c r="D46">
        <f>IF(TRIM('Lançamento'!$F$118)="","Circulares",TRIM('Lançamento'!$F$118))</f>
        <v/>
      </c>
      <c r="E46">
        <f>"Malha 8 mm (Circulares)"</f>
        <v/>
      </c>
      <c r="F46">
        <f>"itens OK"</f>
        <v/>
      </c>
      <c r="G46">
        <f>IF(COUNTA('Lançamento'!$H$118:$L$118)=0,"",COUNTIF('Lançamento'!$H$118:$L$118,"OK"))</f>
        <v/>
      </c>
      <c r="H46">
        <f>IF(COUNTA('Lançamento'!$H$118:$L$118)=0,"",COUNTA('Lançamento'!$H$118:$L$118))</f>
        <v/>
      </c>
      <c r="I46">
        <f>""</f>
        <v/>
      </c>
      <c r="J46">
        <f>""</f>
        <v/>
      </c>
      <c r="K46">
        <f>""</f>
        <v/>
      </c>
      <c r="L46">
        <f>""</f>
        <v/>
      </c>
      <c r="M46">
        <f>IF(COUNTA('Lançamento'!$H$118:$L$118)=0,"",IF(COUNTIF('Lançamento'!$H$118:$L$118,"NÃO OK")&gt;0,"Não conforme","Conforme"))</f>
        <v/>
      </c>
      <c r="N46">
        <f>TRIM(pResp)</f>
        <v/>
      </c>
      <c r="O46">
        <f>pLetra</f>
        <v/>
      </c>
      <c r="P46">
        <f>IF(COUNTIF('Lançamento'!$H$118:$L$118,"SEM TAG")&gt;0,"Sem TAG de calibração; ","")&amp;IF('Lançamento'!$H$118="NÃO OK","Condições das telas; ","")&amp;IF('Lançamento'!$I$118="NÃO OK","Inclinação das telas; ","")&amp;IF('Lançamento'!$J$118="NÃO OK","Vibração do peneirador; ","")&amp;IF('Lançamento'!$K$118="NÃO OK","Travamento das peneiras; ","")&amp;IF('Lançamento'!$L$118="NÃO OK","Calibração; ","")&amp;TRIM('Lançamento'!$E$141)</f>
        <v/>
      </c>
      <c r="Q46">
        <f>""</f>
        <v/>
      </c>
      <c r="R46">
        <f>IF(AND(G46&lt;&gt;"",M46&lt;&gt;""),1,0)</f>
        <v>0</v>
      </c>
      <c r="S46" t="s">
        <v>328</v>
      </c>
    </row>
    <row r="47" spans="1:19">
      <c r="A47">
        <f>"Verificação Peneiradores"</f>
        <v/>
      </c>
      <c r="B47">
        <f>"Verificação"</f>
        <v/>
      </c>
      <c r="C47">
        <f>IF(pData="","",pData)</f>
        <v/>
      </c>
      <c r="D47">
        <f>IF(TRIM('Lançamento'!$F$119)="","Circulares",TRIM('Lançamento'!$F$119))</f>
        <v/>
      </c>
      <c r="E47">
        <f>"Malha 6,3 mm (Circulares)"</f>
        <v/>
      </c>
      <c r="F47">
        <f>"itens OK"</f>
        <v/>
      </c>
      <c r="G47">
        <f>IF(COUNTA('Lançamento'!$H$119:$L$119)=0,"",COUNTIF('Lançamento'!$H$119:$L$119,"OK"))</f>
        <v/>
      </c>
      <c r="H47">
        <f>IF(COUNTA('Lançamento'!$H$119:$L$119)=0,"",COUNTA('Lançamento'!$H$119:$L$119))</f>
        <v/>
      </c>
      <c r="I47">
        <f>""</f>
        <v/>
      </c>
      <c r="J47">
        <f>""</f>
        <v/>
      </c>
      <c r="K47">
        <f>""</f>
        <v/>
      </c>
      <c r="L47">
        <f>""</f>
        <v/>
      </c>
      <c r="M47">
        <f>IF(COUNTA('Lançamento'!$H$119:$L$119)=0,"",IF(COUNTIF('Lançamento'!$H$119:$L$119,"NÃO OK")&gt;0,"Não conforme","Conforme"))</f>
        <v/>
      </c>
      <c r="N47">
        <f>TRIM(pResp)</f>
        <v/>
      </c>
      <c r="O47">
        <f>pLetra</f>
        <v/>
      </c>
      <c r="P47">
        <f>IF(COUNTIF('Lançamento'!$H$119:$L$119,"SEM TAG")&gt;0,"Sem TAG de calibração; ","")&amp;IF('Lançamento'!$H$119="NÃO OK","Condições das telas; ","")&amp;IF('Lançamento'!$I$119="NÃO OK","Inclinação das telas; ","")&amp;IF('Lançamento'!$J$119="NÃO OK","Vibração do peneirador; ","")&amp;IF('Lançamento'!$K$119="NÃO OK","Travamento das peneiras; ","")&amp;IF('Lançamento'!$L$119="NÃO OK","Calibração; ","")&amp;TRIM('Lançamento'!$E$141)</f>
        <v/>
      </c>
      <c r="Q47">
        <f>""</f>
        <v/>
      </c>
      <c r="R47">
        <f>IF(AND(G47&lt;&gt;"",M47&lt;&gt;""),1,0)</f>
        <v>0</v>
      </c>
      <c r="S47" t="s">
        <v>328</v>
      </c>
    </row>
    <row r="48" spans="1:19">
      <c r="A48">
        <f>"Verificação Peneiradores"</f>
        <v/>
      </c>
      <c r="B48">
        <f>"Verificação"</f>
        <v/>
      </c>
      <c r="C48">
        <f>IF(pData="","",pData)</f>
        <v/>
      </c>
      <c r="D48">
        <f>IF(TRIM('Lançamento'!$F$120)="","Circulares",TRIM('Lançamento'!$F$120))</f>
        <v/>
      </c>
      <c r="E48">
        <f>"Malha 5 mm (Circulares)"</f>
        <v/>
      </c>
      <c r="F48">
        <f>"itens OK"</f>
        <v/>
      </c>
      <c r="G48">
        <f>IF(COUNTA('Lançamento'!$H$120:$L$120)=0,"",COUNTIF('Lançamento'!$H$120:$L$120,"OK"))</f>
        <v/>
      </c>
      <c r="H48">
        <f>IF(COUNTA('Lançamento'!$H$120:$L$120)=0,"",COUNTA('Lançamento'!$H$120:$L$120))</f>
        <v/>
      </c>
      <c r="I48">
        <f>""</f>
        <v/>
      </c>
      <c r="J48">
        <f>""</f>
        <v/>
      </c>
      <c r="K48">
        <f>""</f>
        <v/>
      </c>
      <c r="L48">
        <f>""</f>
        <v/>
      </c>
      <c r="M48">
        <f>IF(COUNTA('Lançamento'!$H$120:$L$120)=0,"",IF(COUNTIF('Lançamento'!$H$120:$L$120,"NÃO OK")&gt;0,"Não conforme","Conforme"))</f>
        <v/>
      </c>
      <c r="N48">
        <f>TRIM(pResp)</f>
        <v/>
      </c>
      <c r="O48">
        <f>pLetra</f>
        <v/>
      </c>
      <c r="P48">
        <f>IF(COUNTIF('Lançamento'!$H$120:$L$120,"SEM TAG")&gt;0,"Sem TAG de calibração; ","")&amp;IF('Lançamento'!$H$120="NÃO OK","Condições das telas; ","")&amp;IF('Lançamento'!$I$120="NÃO OK","Inclinação das telas; ","")&amp;IF('Lançamento'!$J$120="NÃO OK","Vibração do peneirador; ","")&amp;IF('Lançamento'!$K$120="NÃO OK","Travamento das peneiras; ","")&amp;IF('Lançamento'!$L$120="NÃO OK","Calibração; ","")&amp;TRIM('Lançamento'!$E$141)</f>
        <v/>
      </c>
      <c r="Q48">
        <f>""</f>
        <v/>
      </c>
      <c r="R48">
        <f>IF(AND(G48&lt;&gt;"",M48&lt;&gt;""),1,0)</f>
        <v>0</v>
      </c>
      <c r="S48" t="s">
        <v>328</v>
      </c>
    </row>
    <row r="49" spans="1:19">
      <c r="A49">
        <f>"Verificação Peneiradores"</f>
        <v/>
      </c>
      <c r="B49">
        <f>"Verificação"</f>
        <v/>
      </c>
      <c r="C49">
        <f>IF(pData="","",pData)</f>
        <v/>
      </c>
      <c r="D49">
        <f>IF(TRIM('Lançamento'!$F$121)="","Circulares",TRIM('Lançamento'!$F$121))</f>
        <v/>
      </c>
      <c r="E49">
        <f>"Malha 3,15 mm (Circulares)"</f>
        <v/>
      </c>
      <c r="F49">
        <f>"itens OK"</f>
        <v/>
      </c>
      <c r="G49">
        <f>IF(COUNTA('Lançamento'!$H$121:$L$121)=0,"",COUNTIF('Lançamento'!$H$121:$L$121,"OK"))</f>
        <v/>
      </c>
      <c r="H49">
        <f>IF(COUNTA('Lançamento'!$H$121:$L$121)=0,"",COUNTA('Lançamento'!$H$121:$L$121))</f>
        <v/>
      </c>
      <c r="I49">
        <f>""</f>
        <v/>
      </c>
      <c r="J49">
        <f>""</f>
        <v/>
      </c>
      <c r="K49">
        <f>""</f>
        <v/>
      </c>
      <c r="L49">
        <f>""</f>
        <v/>
      </c>
      <c r="M49">
        <f>IF(COUNTA('Lançamento'!$H$121:$L$121)=0,"",IF(COUNTIF('Lançamento'!$H$121:$L$121,"NÃO OK")&gt;0,"Não conforme","Conforme"))</f>
        <v/>
      </c>
      <c r="N49">
        <f>TRIM(pResp)</f>
        <v/>
      </c>
      <c r="O49">
        <f>pLetra</f>
        <v/>
      </c>
      <c r="P49">
        <f>IF(COUNTIF('Lançamento'!$H$121:$L$121,"SEM TAG")&gt;0,"Sem TAG de calibração; ","")&amp;IF('Lançamento'!$H$121="NÃO OK","Condições das telas; ","")&amp;IF('Lançamento'!$I$121="NÃO OK","Inclinação das telas; ","")&amp;IF('Lançamento'!$J$121="NÃO OK","Vibração do peneirador; ","")&amp;IF('Lançamento'!$K$121="NÃO OK","Travamento das peneiras; ","")&amp;IF('Lançamento'!$L$121="NÃO OK","Calibração; ","")&amp;TRIM('Lançamento'!$E$141)</f>
        <v/>
      </c>
      <c r="Q49">
        <f>""</f>
        <v/>
      </c>
      <c r="R49">
        <f>IF(AND(G49&lt;&gt;"",M49&lt;&gt;""),1,0)</f>
        <v>0</v>
      </c>
      <c r="S49" t="s">
        <v>328</v>
      </c>
    </row>
    <row r="50" spans="1:19">
      <c r="A50">
        <f>"Verificação Peneiradores"</f>
        <v/>
      </c>
      <c r="B50">
        <f>"Verificação"</f>
        <v/>
      </c>
      <c r="C50">
        <f>IF(pData="","",pData)</f>
        <v/>
      </c>
      <c r="D50">
        <f>IF(TRIM('Lançamento'!$F$122)="","Circulares",TRIM('Lançamento'!$F$122))</f>
        <v/>
      </c>
      <c r="E50">
        <f>"Malha 0,5 mm (Circulares)"</f>
        <v/>
      </c>
      <c r="F50">
        <f>"itens OK"</f>
        <v/>
      </c>
      <c r="G50">
        <f>IF(COUNTA('Lançamento'!$H$122:$L$122)=0,"",COUNTIF('Lançamento'!$H$122:$L$122,"OK"))</f>
        <v/>
      </c>
      <c r="H50">
        <f>IF(COUNTA('Lançamento'!$H$122:$L$122)=0,"",COUNTA('Lançamento'!$H$122:$L$122))</f>
        <v/>
      </c>
      <c r="I50">
        <f>""</f>
        <v/>
      </c>
      <c r="J50">
        <f>""</f>
        <v/>
      </c>
      <c r="K50">
        <f>""</f>
        <v/>
      </c>
      <c r="L50">
        <f>""</f>
        <v/>
      </c>
      <c r="M50">
        <f>IF(COUNTA('Lançamento'!$H$122:$L$122)=0,"",IF(COUNTIF('Lançamento'!$H$122:$L$122,"NÃO OK")&gt;0,"Não conforme","Conforme"))</f>
        <v/>
      </c>
      <c r="N50">
        <f>TRIM(pResp)</f>
        <v/>
      </c>
      <c r="O50">
        <f>pLetra</f>
        <v/>
      </c>
      <c r="P50">
        <f>IF(COUNTIF('Lançamento'!$H$122:$L$122,"SEM TAG")&gt;0,"Sem TAG de calibração; ","")&amp;IF('Lançamento'!$H$122="NÃO OK","Condições das telas; ","")&amp;IF('Lançamento'!$I$122="NÃO OK","Inclinação das telas; ","")&amp;IF('Lançamento'!$J$122="NÃO OK","Vibração do peneirador; ","")&amp;IF('Lançamento'!$K$122="NÃO OK","Travamento das peneiras; ","")&amp;IF('Lançamento'!$L$122="NÃO OK","Calibração; ","")&amp;TRIM('Lançamento'!$E$141)</f>
        <v/>
      </c>
      <c r="Q50">
        <f>""</f>
        <v/>
      </c>
      <c r="R50">
        <f>IF(AND(G50&lt;&gt;"",M50&lt;&gt;""),1,0)</f>
        <v>0</v>
      </c>
      <c r="S50" t="s">
        <v>328</v>
      </c>
    </row>
    <row r="51" spans="1:19">
      <c r="A51">
        <f>"Verificação Peneiradores"</f>
        <v/>
      </c>
      <c r="B51">
        <f>"Verificação"</f>
        <v/>
      </c>
      <c r="C51">
        <f>IF(pData="","",pData)</f>
        <v/>
      </c>
      <c r="D51">
        <f>IF(TRIM('Lançamento'!$F$123)="","Circulares",TRIM('Lançamento'!$F$123))</f>
        <v/>
      </c>
      <c r="E51">
        <f>"Malha 0,5 mm (Circulares)"</f>
        <v/>
      </c>
      <c r="F51">
        <f>"itens OK"</f>
        <v/>
      </c>
      <c r="G51">
        <f>IF(COUNTA('Lançamento'!$H$123:$L$123)=0,"",COUNTIF('Lançamento'!$H$123:$L$123,"OK"))</f>
        <v/>
      </c>
      <c r="H51">
        <f>IF(COUNTA('Lançamento'!$H$123:$L$123)=0,"",COUNTA('Lançamento'!$H$123:$L$123))</f>
        <v/>
      </c>
      <c r="I51">
        <f>""</f>
        <v/>
      </c>
      <c r="J51">
        <f>""</f>
        <v/>
      </c>
      <c r="K51">
        <f>""</f>
        <v/>
      </c>
      <c r="L51">
        <f>""</f>
        <v/>
      </c>
      <c r="M51">
        <f>IF(COUNTA('Lançamento'!$H$123:$L$123)=0,"",IF(COUNTIF('Lançamento'!$H$123:$L$123,"NÃO OK")&gt;0,"Não conforme","Conforme"))</f>
        <v/>
      </c>
      <c r="N51">
        <f>TRIM(pResp)</f>
        <v/>
      </c>
      <c r="O51">
        <f>pLetra</f>
        <v/>
      </c>
      <c r="P51">
        <f>IF(COUNTIF('Lançamento'!$H$123:$L$123,"SEM TAG")&gt;0,"Sem TAG de calibração; ","")&amp;IF('Lançamento'!$H$123="NÃO OK","Condições das telas; ","")&amp;IF('Lançamento'!$I$123="NÃO OK","Inclinação das telas; ","")&amp;IF('Lançamento'!$J$123="NÃO OK","Vibração do peneirador; ","")&amp;IF('Lançamento'!$K$123="NÃO OK","Travamento das peneiras; ","")&amp;IF('Lançamento'!$L$123="NÃO OK","Calibração; ","")&amp;TRIM('Lançamento'!$E$141)</f>
        <v/>
      </c>
      <c r="Q51">
        <f>""</f>
        <v/>
      </c>
      <c r="R51">
        <f>IF(AND(G51&lt;&gt;"",M51&lt;&gt;""),1,0)</f>
        <v>0</v>
      </c>
      <c r="S51" t="s">
        <v>328</v>
      </c>
    </row>
    <row r="52" spans="1:19">
      <c r="A52">
        <f>"Verificação Peneiradores"</f>
        <v/>
      </c>
      <c r="B52">
        <f>"Verificação"</f>
        <v/>
      </c>
      <c r="C52">
        <f>IF(pData="","",pData)</f>
        <v/>
      </c>
      <c r="D52">
        <f>IF(TRIM('Lançamento'!$F$124)="","Peneirador 09",TRIM('Lançamento'!$F$124))</f>
        <v/>
      </c>
      <c r="E52">
        <f>"Malha 19 mm (Peneirador 09)"</f>
        <v/>
      </c>
      <c r="F52">
        <f>"itens OK"</f>
        <v/>
      </c>
      <c r="G52">
        <f>IF(COUNTA('Lançamento'!$H$124:$L$124)=0,"",COUNTIF('Lançamento'!$H$124:$L$124,"OK"))</f>
        <v/>
      </c>
      <c r="H52">
        <f>IF(COUNTA('Lançamento'!$H$124:$L$124)=0,"",COUNTA('Lançamento'!$H$124:$L$124))</f>
        <v/>
      </c>
      <c r="I52">
        <f>""</f>
        <v/>
      </c>
      <c r="J52">
        <f>""</f>
        <v/>
      </c>
      <c r="K52">
        <f>""</f>
        <v/>
      </c>
      <c r="L52">
        <f>""</f>
        <v/>
      </c>
      <c r="M52">
        <f>IF(COUNTA('Lançamento'!$H$124:$L$124)=0,"",IF(COUNTIF('Lançamento'!$H$124:$L$124,"NÃO OK")&gt;0,"Não conforme","Conforme"))</f>
        <v/>
      </c>
      <c r="N52">
        <f>TRIM(pResp)</f>
        <v/>
      </c>
      <c r="O52">
        <f>pLetra</f>
        <v/>
      </c>
      <c r="P52">
        <f>IF(COUNTIF('Lançamento'!$H$124:$L$124,"SEM TAG")&gt;0,"Sem TAG de calibração; ","")&amp;IF('Lançamento'!$H$124="NÃO OK","Condições das telas; ","")&amp;IF('Lançamento'!$I$124="NÃO OK","Inclinação das telas; ","")&amp;IF('Lançamento'!$J$124="NÃO OK","Vibração do peneirador; ","")&amp;IF('Lançamento'!$K$124="NÃO OK","Travamento das peneiras; ","")&amp;IF('Lançamento'!$L$124="NÃO OK","Calibração; ","")&amp;TRIM('Lançamento'!$E$141)</f>
        <v/>
      </c>
      <c r="Q52">
        <f>""</f>
        <v/>
      </c>
      <c r="R52">
        <f>IF(AND(G52&lt;&gt;"",M52&lt;&gt;""),1,0)</f>
        <v>0</v>
      </c>
      <c r="S52" t="s">
        <v>328</v>
      </c>
    </row>
    <row r="53" spans="1:19">
      <c r="A53">
        <f>"Verificação Peneiradores"</f>
        <v/>
      </c>
      <c r="B53">
        <f>"Verificação"</f>
        <v/>
      </c>
      <c r="C53">
        <f>IF(pData="","",pData)</f>
        <v/>
      </c>
      <c r="D53">
        <f>IF(TRIM('Lançamento'!$F$125)="","Peneirador 09",TRIM('Lançamento'!$F$125))</f>
        <v/>
      </c>
      <c r="E53">
        <f>"Malha 16 mm (Peneirador 09)"</f>
        <v/>
      </c>
      <c r="F53">
        <f>"itens OK"</f>
        <v/>
      </c>
      <c r="G53">
        <f>IF(COUNTA('Lançamento'!$H$125:$L$125)=0,"",COUNTIF('Lançamento'!$H$125:$L$125,"OK"))</f>
        <v/>
      </c>
      <c r="H53">
        <f>IF(COUNTA('Lançamento'!$H$125:$L$125)=0,"",COUNTA('Lançamento'!$H$125:$L$125))</f>
        <v/>
      </c>
      <c r="I53">
        <f>""</f>
        <v/>
      </c>
      <c r="J53">
        <f>""</f>
        <v/>
      </c>
      <c r="K53">
        <f>""</f>
        <v/>
      </c>
      <c r="L53">
        <f>""</f>
        <v/>
      </c>
      <c r="M53">
        <f>IF(COUNTA('Lançamento'!$H$125:$L$125)=0,"",IF(COUNTIF('Lançamento'!$H$125:$L$125,"NÃO OK")&gt;0,"Não conforme","Conforme"))</f>
        <v/>
      </c>
      <c r="N53">
        <f>TRIM(pResp)</f>
        <v/>
      </c>
      <c r="O53">
        <f>pLetra</f>
        <v/>
      </c>
      <c r="P53">
        <f>IF(COUNTIF('Lançamento'!$H$125:$L$125,"SEM TAG")&gt;0,"Sem TAG de calibração; ","")&amp;IF('Lançamento'!$H$125="NÃO OK","Condições das telas; ","")&amp;IF('Lançamento'!$I$125="NÃO OK","Inclinação das telas; ","")&amp;IF('Lançamento'!$J$125="NÃO OK","Vibração do peneirador; ","")&amp;IF('Lançamento'!$K$125="NÃO OK","Travamento das peneiras; ","")&amp;IF('Lançamento'!$L$125="NÃO OK","Calibração; ","")&amp;TRIM('Lançamento'!$E$141)</f>
        <v/>
      </c>
      <c r="Q53">
        <f>""</f>
        <v/>
      </c>
      <c r="R53">
        <f>IF(AND(G53&lt;&gt;"",M53&lt;&gt;""),1,0)</f>
        <v>0</v>
      </c>
      <c r="S53" t="s">
        <v>328</v>
      </c>
    </row>
    <row r="54" spans="1:19">
      <c r="A54">
        <f>"Verificação Peneiradores"</f>
        <v/>
      </c>
      <c r="B54">
        <f>"Verificação"</f>
        <v/>
      </c>
      <c r="C54">
        <f>IF(pData="","",pData)</f>
        <v/>
      </c>
      <c r="D54">
        <f>IF(TRIM('Lançamento'!$F$126)="","Peneirador 09",TRIM('Lançamento'!$F$126))</f>
        <v/>
      </c>
      <c r="E54">
        <f>"Malha 14 mm (Peneirador 09)"</f>
        <v/>
      </c>
      <c r="F54">
        <f>"itens OK"</f>
        <v/>
      </c>
      <c r="G54">
        <f>IF(COUNTA('Lançamento'!$H$126:$L$126)=0,"",COUNTIF('Lançamento'!$H$126:$L$126,"OK"))</f>
        <v/>
      </c>
      <c r="H54">
        <f>IF(COUNTA('Lançamento'!$H$126:$L$126)=0,"",COUNTA('Lançamento'!$H$126:$L$126))</f>
        <v/>
      </c>
      <c r="I54">
        <f>""</f>
        <v/>
      </c>
      <c r="J54">
        <f>""</f>
        <v/>
      </c>
      <c r="K54">
        <f>""</f>
        <v/>
      </c>
      <c r="L54">
        <f>""</f>
        <v/>
      </c>
      <c r="M54">
        <f>IF(COUNTA('Lançamento'!$H$126:$L$126)=0,"",IF(COUNTIF('Lançamento'!$H$126:$L$126,"NÃO OK")&gt;0,"Não conforme","Conforme"))</f>
        <v/>
      </c>
      <c r="N54">
        <f>TRIM(pResp)</f>
        <v/>
      </c>
      <c r="O54">
        <f>pLetra</f>
        <v/>
      </c>
      <c r="P54">
        <f>IF(COUNTIF('Lançamento'!$H$126:$L$126,"SEM TAG")&gt;0,"Sem TAG de calibração; ","")&amp;IF('Lançamento'!$H$126="NÃO OK","Condições das telas; ","")&amp;IF('Lançamento'!$I$126="NÃO OK","Inclinação das telas; ","")&amp;IF('Lançamento'!$J$126="NÃO OK","Vibração do peneirador; ","")&amp;IF('Lançamento'!$K$126="NÃO OK","Travamento das peneiras; ","")&amp;IF('Lançamento'!$L$126="NÃO OK","Calibração; ","")&amp;TRIM('Lançamento'!$E$141)</f>
        <v/>
      </c>
      <c r="Q54">
        <f>""</f>
        <v/>
      </c>
      <c r="R54">
        <f>IF(AND(G54&lt;&gt;"",M54&lt;&gt;""),1,0)</f>
        <v>0</v>
      </c>
      <c r="S54" t="s">
        <v>328</v>
      </c>
    </row>
    <row r="55" spans="1:19">
      <c r="A55">
        <f>"Verificação Peneiradores"</f>
        <v/>
      </c>
      <c r="B55">
        <f>"Verificação"</f>
        <v/>
      </c>
      <c r="C55">
        <f>IF(pData="","",pData)</f>
        <v/>
      </c>
      <c r="D55">
        <f>IF(TRIM('Lançamento'!$F$127)="","Peneirador 09",TRIM('Lançamento'!$F$127))</f>
        <v/>
      </c>
      <c r="E55">
        <f>"Malha 12,5 mm (Peneirador 09)"</f>
        <v/>
      </c>
      <c r="F55">
        <f>"itens OK"</f>
        <v/>
      </c>
      <c r="G55">
        <f>IF(COUNTA('Lançamento'!$H$127:$L$127)=0,"",COUNTIF('Lançamento'!$H$127:$L$127,"OK"))</f>
        <v/>
      </c>
      <c r="H55">
        <f>IF(COUNTA('Lançamento'!$H$127:$L$127)=0,"",COUNTA('Lançamento'!$H$127:$L$127))</f>
        <v/>
      </c>
      <c r="I55">
        <f>""</f>
        <v/>
      </c>
      <c r="J55">
        <f>""</f>
        <v/>
      </c>
      <c r="K55">
        <f>""</f>
        <v/>
      </c>
      <c r="L55">
        <f>""</f>
        <v/>
      </c>
      <c r="M55">
        <f>IF(COUNTA('Lançamento'!$H$127:$L$127)=0,"",IF(COUNTIF('Lançamento'!$H$127:$L$127,"NÃO OK")&gt;0,"Não conforme","Conforme"))</f>
        <v/>
      </c>
      <c r="N55">
        <f>TRIM(pResp)</f>
        <v/>
      </c>
      <c r="O55">
        <f>pLetra</f>
        <v/>
      </c>
      <c r="P55">
        <f>IF(COUNTIF('Lançamento'!$H$127:$L$127,"SEM TAG")&gt;0,"Sem TAG de calibração; ","")&amp;IF('Lançamento'!$H$127="NÃO OK","Condições das telas; ","")&amp;IF('Lançamento'!$I$127="NÃO OK","Inclinação das telas; ","")&amp;IF('Lançamento'!$J$127="NÃO OK","Vibração do peneirador; ","")&amp;IF('Lançamento'!$K$127="NÃO OK","Travamento das peneiras; ","")&amp;IF('Lançamento'!$L$127="NÃO OK","Calibração; ","")&amp;TRIM('Lançamento'!$E$141)</f>
        <v/>
      </c>
      <c r="Q55">
        <f>""</f>
        <v/>
      </c>
      <c r="R55">
        <f>IF(AND(G55&lt;&gt;"",M55&lt;&gt;""),1,0)</f>
        <v>0</v>
      </c>
      <c r="S55" t="s">
        <v>328</v>
      </c>
    </row>
    <row r="56" spans="1:19">
      <c r="A56">
        <f>"Verificação Peneiradores"</f>
        <v/>
      </c>
      <c r="B56">
        <f>"Verificação"</f>
        <v/>
      </c>
      <c r="C56">
        <f>IF(pData="","",pData)</f>
        <v/>
      </c>
      <c r="D56">
        <f>IF(TRIM('Lançamento'!$F$128)="","Peneirador 09",TRIM('Lançamento'!$F$128))</f>
        <v/>
      </c>
      <c r="E56">
        <f>"Malha 9 mm (Peneirador 09)"</f>
        <v/>
      </c>
      <c r="F56">
        <f>"itens OK"</f>
        <v/>
      </c>
      <c r="G56">
        <f>IF(COUNTA('Lançamento'!$H$128:$L$128)=0,"",COUNTIF('Lançamento'!$H$128:$L$128,"OK"))</f>
        <v/>
      </c>
      <c r="H56">
        <f>IF(COUNTA('Lançamento'!$H$128:$L$128)=0,"",COUNTA('Lançamento'!$H$128:$L$128))</f>
        <v/>
      </c>
      <c r="I56">
        <f>""</f>
        <v/>
      </c>
      <c r="J56">
        <f>""</f>
        <v/>
      </c>
      <c r="K56">
        <f>""</f>
        <v/>
      </c>
      <c r="L56">
        <f>""</f>
        <v/>
      </c>
      <c r="M56">
        <f>IF(COUNTA('Lançamento'!$H$128:$L$128)=0,"",IF(COUNTIF('Lançamento'!$H$128:$L$128,"NÃO OK")&gt;0,"Não conforme","Conforme"))</f>
        <v/>
      </c>
      <c r="N56">
        <f>TRIM(pResp)</f>
        <v/>
      </c>
      <c r="O56">
        <f>pLetra</f>
        <v/>
      </c>
      <c r="P56">
        <f>IF(COUNTIF('Lançamento'!$H$128:$L$128,"SEM TAG")&gt;0,"Sem TAG de calibração; ","")&amp;IF('Lançamento'!$H$128="NÃO OK","Condições das telas; ","")&amp;IF('Lançamento'!$I$128="NÃO OK","Inclinação das telas; ","")&amp;IF('Lançamento'!$J$128="NÃO OK","Vibração do peneirador; ","")&amp;IF('Lançamento'!$K$128="NÃO OK","Travamento das peneiras; ","")&amp;IF('Lançamento'!$L$128="NÃO OK","Calibração; ","")&amp;TRIM('Lançamento'!$E$141)</f>
        <v/>
      </c>
      <c r="Q56">
        <f>""</f>
        <v/>
      </c>
      <c r="R56">
        <f>IF(AND(G56&lt;&gt;"",M56&lt;&gt;""),1,0)</f>
        <v>0</v>
      </c>
      <c r="S56" t="s">
        <v>328</v>
      </c>
    </row>
    <row r="57" spans="1:19">
      <c r="A57">
        <f>"Verificação Peneiradores"</f>
        <v/>
      </c>
      <c r="B57">
        <f>"Verificação"</f>
        <v/>
      </c>
      <c r="C57">
        <f>IF(pData="","",pData)</f>
        <v/>
      </c>
      <c r="D57">
        <f>IF(TRIM('Lançamento'!$F$129)="","Peneirador 09",TRIM('Lançamento'!$F$129))</f>
        <v/>
      </c>
      <c r="E57">
        <f>"Malha 8 mm (Peneirador 09)"</f>
        <v/>
      </c>
      <c r="F57">
        <f>"itens OK"</f>
        <v/>
      </c>
      <c r="G57">
        <f>IF(COUNTA('Lançamento'!$H$129:$L$129)=0,"",COUNTIF('Lançamento'!$H$129:$L$129,"OK"))</f>
        <v/>
      </c>
      <c r="H57">
        <f>IF(COUNTA('Lançamento'!$H$129:$L$129)=0,"",COUNTA('Lançamento'!$H$129:$L$129))</f>
        <v/>
      </c>
      <c r="I57">
        <f>""</f>
        <v/>
      </c>
      <c r="J57">
        <f>""</f>
        <v/>
      </c>
      <c r="K57">
        <f>""</f>
        <v/>
      </c>
      <c r="L57">
        <f>""</f>
        <v/>
      </c>
      <c r="M57">
        <f>IF(COUNTA('Lançamento'!$H$129:$L$129)=0,"",IF(COUNTIF('Lançamento'!$H$129:$L$129,"NÃO OK")&gt;0,"Não conforme","Conforme"))</f>
        <v/>
      </c>
      <c r="N57">
        <f>TRIM(pResp)</f>
        <v/>
      </c>
      <c r="O57">
        <f>pLetra</f>
        <v/>
      </c>
      <c r="P57">
        <f>IF(COUNTIF('Lançamento'!$H$129:$L$129,"SEM TAG")&gt;0,"Sem TAG de calibração; ","")&amp;IF('Lançamento'!$H$129="NÃO OK","Condições das telas; ","")&amp;IF('Lançamento'!$I$129="NÃO OK","Inclinação das telas; ","")&amp;IF('Lançamento'!$J$129="NÃO OK","Vibração do peneirador; ","")&amp;IF('Lançamento'!$K$129="NÃO OK","Travamento das peneiras; ","")&amp;IF('Lançamento'!$L$129="NÃO OK","Calibração; ","")&amp;TRIM('Lançamento'!$E$141)</f>
        <v/>
      </c>
      <c r="Q57">
        <f>""</f>
        <v/>
      </c>
      <c r="R57">
        <f>IF(AND(G57&lt;&gt;"",M57&lt;&gt;""),1,0)</f>
        <v>0</v>
      </c>
      <c r="S57" t="s">
        <v>328</v>
      </c>
    </row>
    <row r="58" spans="1:19">
      <c r="A58">
        <f>"Verificação Peneiradores"</f>
        <v/>
      </c>
      <c r="B58">
        <f>"Verificação"</f>
        <v/>
      </c>
      <c r="C58">
        <f>IF(pData="","",pData)</f>
        <v/>
      </c>
      <c r="D58">
        <f>IF(TRIM('Lançamento'!$F$130)="","Peneirador 09",TRIM('Lançamento'!$F$130))</f>
        <v/>
      </c>
      <c r="E58">
        <f>"Malha 6,3 mm (Peneirador 09)"</f>
        <v/>
      </c>
      <c r="F58">
        <f>"itens OK"</f>
        <v/>
      </c>
      <c r="G58">
        <f>IF(COUNTA('Lançamento'!$H$130:$L$130)=0,"",COUNTIF('Lançamento'!$H$130:$L$130,"OK"))</f>
        <v/>
      </c>
      <c r="H58">
        <f>IF(COUNTA('Lançamento'!$H$130:$L$130)=0,"",COUNTA('Lançamento'!$H$130:$L$130))</f>
        <v/>
      </c>
      <c r="I58">
        <f>""</f>
        <v/>
      </c>
      <c r="J58">
        <f>""</f>
        <v/>
      </c>
      <c r="K58">
        <f>""</f>
        <v/>
      </c>
      <c r="L58">
        <f>""</f>
        <v/>
      </c>
      <c r="M58">
        <f>IF(COUNTA('Lançamento'!$H$130:$L$130)=0,"",IF(COUNTIF('Lançamento'!$H$130:$L$130,"NÃO OK")&gt;0,"Não conforme","Conforme"))</f>
        <v/>
      </c>
      <c r="N58">
        <f>TRIM(pResp)</f>
        <v/>
      </c>
      <c r="O58">
        <f>pLetra</f>
        <v/>
      </c>
      <c r="P58">
        <f>IF(COUNTIF('Lançamento'!$H$130:$L$130,"SEM TAG")&gt;0,"Sem TAG de calibração; ","")&amp;IF('Lançamento'!$H$130="NÃO OK","Condições das telas; ","")&amp;IF('Lançamento'!$I$130="NÃO OK","Inclinação das telas; ","")&amp;IF('Lançamento'!$J$130="NÃO OK","Vibração do peneirador; ","")&amp;IF('Lançamento'!$K$130="NÃO OK","Travamento das peneiras; ","")&amp;IF('Lançamento'!$L$130="NÃO OK","Calibração; ","")&amp;TRIM('Lançamento'!$E$141)</f>
        <v/>
      </c>
      <c r="Q58">
        <f>""</f>
        <v/>
      </c>
      <c r="R58">
        <f>IF(AND(G58&lt;&gt;"",M58&lt;&gt;""),1,0)</f>
        <v>0</v>
      </c>
      <c r="S58" t="s">
        <v>328</v>
      </c>
    </row>
    <row r="59" spans="1:19">
      <c r="A59">
        <f>"Verificação Peneiradores"</f>
        <v/>
      </c>
      <c r="B59">
        <f>"Verificação"</f>
        <v/>
      </c>
      <c r="C59">
        <f>IF(pData="","",pData)</f>
        <v/>
      </c>
      <c r="D59">
        <f>IF(TRIM('Lançamento'!$F$131)="","Peneirador 05",TRIM('Lançamento'!$F$131))</f>
        <v/>
      </c>
      <c r="E59">
        <f>"Malha 19 mm (Peneirador 05)"</f>
        <v/>
      </c>
      <c r="F59">
        <f>"itens OK"</f>
        <v/>
      </c>
      <c r="G59">
        <f>IF(COUNTA('Lançamento'!$H$131:$L$131)=0,"",COUNTIF('Lançamento'!$H$131:$L$131,"OK"))</f>
        <v/>
      </c>
      <c r="H59">
        <f>IF(COUNTA('Lançamento'!$H$131:$L$131)=0,"",COUNTA('Lançamento'!$H$131:$L$131))</f>
        <v/>
      </c>
      <c r="I59">
        <f>""</f>
        <v/>
      </c>
      <c r="J59">
        <f>""</f>
        <v/>
      </c>
      <c r="K59">
        <f>""</f>
        <v/>
      </c>
      <c r="L59">
        <f>""</f>
        <v/>
      </c>
      <c r="M59">
        <f>IF(COUNTA('Lançamento'!$H$131:$L$131)=0,"",IF(COUNTIF('Lançamento'!$H$131:$L$131,"NÃO OK")&gt;0,"Não conforme","Conforme"))</f>
        <v/>
      </c>
      <c r="N59">
        <f>TRIM(pResp)</f>
        <v/>
      </c>
      <c r="O59">
        <f>pLetra</f>
        <v/>
      </c>
      <c r="P59">
        <f>IF(COUNTIF('Lançamento'!$H$131:$L$131,"SEM TAG")&gt;0,"Sem TAG de calibração; ","")&amp;IF('Lançamento'!$H$131="NÃO OK","Condições das telas; ","")&amp;IF('Lançamento'!$I$131="NÃO OK","Inclinação das telas; ","")&amp;IF('Lançamento'!$J$131="NÃO OK","Vibração do peneirador; ","")&amp;IF('Lançamento'!$K$131="NÃO OK","Travamento das peneiras; ","")&amp;IF('Lançamento'!$L$131="NÃO OK","Calibração; ","")&amp;TRIM('Lançamento'!$E$141)</f>
        <v/>
      </c>
      <c r="Q59">
        <f>""</f>
        <v/>
      </c>
      <c r="R59">
        <f>IF(AND(G59&lt;&gt;"",M59&lt;&gt;""),1,0)</f>
        <v>0</v>
      </c>
      <c r="S59" t="s">
        <v>328</v>
      </c>
    </row>
    <row r="60" spans="1:19">
      <c r="A60">
        <f>"Verificação Peneiradores"</f>
        <v/>
      </c>
      <c r="B60">
        <f>"Verificação"</f>
        <v/>
      </c>
      <c r="C60">
        <f>IF(pData="","",pData)</f>
        <v/>
      </c>
      <c r="D60">
        <f>IF(TRIM('Lançamento'!$F$132)="","Peneirador 05",TRIM('Lançamento'!$F$132))</f>
        <v/>
      </c>
      <c r="E60">
        <f>"Malha 16 mm (Peneirador 05)"</f>
        <v/>
      </c>
      <c r="F60">
        <f>"itens OK"</f>
        <v/>
      </c>
      <c r="G60">
        <f>IF(COUNTA('Lançamento'!$H$132:$L$132)=0,"",COUNTIF('Lançamento'!$H$132:$L$132,"OK"))</f>
        <v/>
      </c>
      <c r="H60">
        <f>IF(COUNTA('Lançamento'!$H$132:$L$132)=0,"",COUNTA('Lançamento'!$H$132:$L$132))</f>
        <v/>
      </c>
      <c r="I60">
        <f>""</f>
        <v/>
      </c>
      <c r="J60">
        <f>""</f>
        <v/>
      </c>
      <c r="K60">
        <f>""</f>
        <v/>
      </c>
      <c r="L60">
        <f>""</f>
        <v/>
      </c>
      <c r="M60">
        <f>IF(COUNTA('Lançamento'!$H$132:$L$132)=0,"",IF(COUNTIF('Lançamento'!$H$132:$L$132,"NÃO OK")&gt;0,"Não conforme","Conforme"))</f>
        <v/>
      </c>
      <c r="N60">
        <f>TRIM(pResp)</f>
        <v/>
      </c>
      <c r="O60">
        <f>pLetra</f>
        <v/>
      </c>
      <c r="P60">
        <f>IF(COUNTIF('Lançamento'!$H$132:$L$132,"SEM TAG")&gt;0,"Sem TAG de calibração; ","")&amp;IF('Lançamento'!$H$132="NÃO OK","Condições das telas; ","")&amp;IF('Lançamento'!$I$132="NÃO OK","Inclinação das telas; ","")&amp;IF('Lançamento'!$J$132="NÃO OK","Vibração do peneirador; ","")&amp;IF('Lançamento'!$K$132="NÃO OK","Travamento das peneiras; ","")&amp;IF('Lançamento'!$L$132="NÃO OK","Calibração; ","")&amp;TRIM('Lançamento'!$E$141)</f>
        <v/>
      </c>
      <c r="Q60">
        <f>""</f>
        <v/>
      </c>
      <c r="R60">
        <f>IF(AND(G60&lt;&gt;"",M60&lt;&gt;""),1,0)</f>
        <v>0</v>
      </c>
      <c r="S60" t="s">
        <v>328</v>
      </c>
    </row>
    <row r="61" spans="1:19">
      <c r="A61">
        <f>"Verificação Peneiradores"</f>
        <v/>
      </c>
      <c r="B61">
        <f>"Verificação"</f>
        <v/>
      </c>
      <c r="C61">
        <f>IF(pData="","",pData)</f>
        <v/>
      </c>
      <c r="D61">
        <f>IF(TRIM('Lançamento'!$F$133)="","Peneirador 05",TRIM('Lançamento'!$F$133))</f>
        <v/>
      </c>
      <c r="E61">
        <f>"Malha 14 mm (Peneirador 05)"</f>
        <v/>
      </c>
      <c r="F61">
        <f>"itens OK"</f>
        <v/>
      </c>
      <c r="G61">
        <f>IF(COUNTA('Lançamento'!$H$133:$L$133)=0,"",COUNTIF('Lançamento'!$H$133:$L$133,"OK"))</f>
        <v/>
      </c>
      <c r="H61">
        <f>IF(COUNTA('Lançamento'!$H$133:$L$133)=0,"",COUNTA('Lançamento'!$H$133:$L$133))</f>
        <v/>
      </c>
      <c r="I61">
        <f>""</f>
        <v/>
      </c>
      <c r="J61">
        <f>""</f>
        <v/>
      </c>
      <c r="K61">
        <f>""</f>
        <v/>
      </c>
      <c r="L61">
        <f>""</f>
        <v/>
      </c>
      <c r="M61">
        <f>IF(COUNTA('Lançamento'!$H$133:$L$133)=0,"",IF(COUNTIF('Lançamento'!$H$133:$L$133,"NÃO OK")&gt;0,"Não conforme","Conforme"))</f>
        <v/>
      </c>
      <c r="N61">
        <f>TRIM(pResp)</f>
        <v/>
      </c>
      <c r="O61">
        <f>pLetra</f>
        <v/>
      </c>
      <c r="P61">
        <f>IF(COUNTIF('Lançamento'!$H$133:$L$133,"SEM TAG")&gt;0,"Sem TAG de calibração; ","")&amp;IF('Lançamento'!$H$133="NÃO OK","Condições das telas; ","")&amp;IF('Lançamento'!$I$133="NÃO OK","Inclinação das telas; ","")&amp;IF('Lançamento'!$J$133="NÃO OK","Vibração do peneirador; ","")&amp;IF('Lançamento'!$K$133="NÃO OK","Travamento das peneiras; ","")&amp;IF('Lançamento'!$L$133="NÃO OK","Calibração; ","")&amp;TRIM('Lançamento'!$E$141)</f>
        <v/>
      </c>
      <c r="Q61">
        <f>""</f>
        <v/>
      </c>
      <c r="R61">
        <f>IF(AND(G61&lt;&gt;"",M61&lt;&gt;""),1,0)</f>
        <v>0</v>
      </c>
      <c r="S61" t="s">
        <v>328</v>
      </c>
    </row>
    <row r="62" spans="1:19">
      <c r="A62">
        <f>"Verificação Peneiradores"</f>
        <v/>
      </c>
      <c r="B62">
        <f>"Verificação"</f>
        <v/>
      </c>
      <c r="C62">
        <f>IF(pData="","",pData)</f>
        <v/>
      </c>
      <c r="D62">
        <f>IF(TRIM('Lançamento'!$F$134)="","Peneirador 05",TRIM('Lançamento'!$F$134))</f>
        <v/>
      </c>
      <c r="E62">
        <f>"Malha 12,5 mm (Peneirador 05)"</f>
        <v/>
      </c>
      <c r="F62">
        <f>"itens OK"</f>
        <v/>
      </c>
      <c r="G62">
        <f>IF(COUNTA('Lançamento'!$H$134:$L$134)=0,"",COUNTIF('Lançamento'!$H$134:$L$134,"OK"))</f>
        <v/>
      </c>
      <c r="H62">
        <f>IF(COUNTA('Lançamento'!$H$134:$L$134)=0,"",COUNTA('Lançamento'!$H$134:$L$134))</f>
        <v/>
      </c>
      <c r="I62">
        <f>""</f>
        <v/>
      </c>
      <c r="J62">
        <f>""</f>
        <v/>
      </c>
      <c r="K62">
        <f>""</f>
        <v/>
      </c>
      <c r="L62">
        <f>""</f>
        <v/>
      </c>
      <c r="M62">
        <f>IF(COUNTA('Lançamento'!$H$134:$L$134)=0,"",IF(COUNTIF('Lançamento'!$H$134:$L$134,"NÃO OK")&gt;0,"Não conforme","Conforme"))</f>
        <v/>
      </c>
      <c r="N62">
        <f>TRIM(pResp)</f>
        <v/>
      </c>
      <c r="O62">
        <f>pLetra</f>
        <v/>
      </c>
      <c r="P62">
        <f>IF(COUNTIF('Lançamento'!$H$134:$L$134,"SEM TAG")&gt;0,"Sem TAG de calibração; ","")&amp;IF('Lançamento'!$H$134="NÃO OK","Condições das telas; ","")&amp;IF('Lançamento'!$I$134="NÃO OK","Inclinação das telas; ","")&amp;IF('Lançamento'!$J$134="NÃO OK","Vibração do peneirador; ","")&amp;IF('Lançamento'!$K$134="NÃO OK","Travamento das peneiras; ","")&amp;IF('Lançamento'!$L$134="NÃO OK","Calibração; ","")&amp;TRIM('Lançamento'!$E$141)</f>
        <v/>
      </c>
      <c r="Q62">
        <f>""</f>
        <v/>
      </c>
      <c r="R62">
        <f>IF(AND(G62&lt;&gt;"",M62&lt;&gt;""),1,0)</f>
        <v>0</v>
      </c>
      <c r="S62" t="s">
        <v>328</v>
      </c>
    </row>
    <row r="63" spans="1:19">
      <c r="A63">
        <f>"Verificação Peneiradores"</f>
        <v/>
      </c>
      <c r="B63">
        <f>"Verificação"</f>
        <v/>
      </c>
      <c r="C63">
        <f>IF(pData="","",pData)</f>
        <v/>
      </c>
      <c r="D63">
        <f>IF(TRIM('Lançamento'!$F$135)="","Peneirador 05",TRIM('Lançamento'!$F$135))</f>
        <v/>
      </c>
      <c r="E63">
        <f>"Malha 9 mm (Peneirador 05)"</f>
        <v/>
      </c>
      <c r="F63">
        <f>"itens OK"</f>
        <v/>
      </c>
      <c r="G63">
        <f>IF(COUNTA('Lançamento'!$H$135:$L$135)=0,"",COUNTIF('Lançamento'!$H$135:$L$135,"OK"))</f>
        <v/>
      </c>
      <c r="H63">
        <f>IF(COUNTA('Lançamento'!$H$135:$L$135)=0,"",COUNTA('Lançamento'!$H$135:$L$135))</f>
        <v/>
      </c>
      <c r="I63">
        <f>""</f>
        <v/>
      </c>
      <c r="J63">
        <f>""</f>
        <v/>
      </c>
      <c r="K63">
        <f>""</f>
        <v/>
      </c>
      <c r="L63">
        <f>""</f>
        <v/>
      </c>
      <c r="M63">
        <f>IF(COUNTA('Lançamento'!$H$135:$L$135)=0,"",IF(COUNTIF('Lançamento'!$H$135:$L$135,"NÃO OK")&gt;0,"Não conforme","Conforme"))</f>
        <v/>
      </c>
      <c r="N63">
        <f>TRIM(pResp)</f>
        <v/>
      </c>
      <c r="O63">
        <f>pLetra</f>
        <v/>
      </c>
      <c r="P63">
        <f>IF(COUNTIF('Lançamento'!$H$135:$L$135,"SEM TAG")&gt;0,"Sem TAG de calibração; ","")&amp;IF('Lançamento'!$H$135="NÃO OK","Condições das telas; ","")&amp;IF('Lançamento'!$I$135="NÃO OK","Inclinação das telas; ","")&amp;IF('Lançamento'!$J$135="NÃO OK","Vibração do peneirador; ","")&amp;IF('Lançamento'!$K$135="NÃO OK","Travamento das peneiras; ","")&amp;IF('Lançamento'!$L$135="NÃO OK","Calibração; ","")&amp;TRIM('Lançamento'!$E$141)</f>
        <v/>
      </c>
      <c r="Q63">
        <f>""</f>
        <v/>
      </c>
      <c r="R63">
        <f>IF(AND(G63&lt;&gt;"",M63&lt;&gt;""),1,0)</f>
        <v>0</v>
      </c>
      <c r="S63" t="s">
        <v>328</v>
      </c>
    </row>
    <row r="64" spans="1:19">
      <c r="A64">
        <f>"Verificação Peneiradores"</f>
        <v/>
      </c>
      <c r="B64">
        <f>"Verificação"</f>
        <v/>
      </c>
      <c r="C64">
        <f>IF(pData="","",pData)</f>
        <v/>
      </c>
      <c r="D64">
        <f>IF(TRIM('Lançamento'!$F$136)="","Peneirador 05",TRIM('Lançamento'!$F$136))</f>
        <v/>
      </c>
      <c r="E64">
        <f>"Malha 8 mm (Peneirador 05)"</f>
        <v/>
      </c>
      <c r="F64">
        <f>"itens OK"</f>
        <v/>
      </c>
      <c r="G64">
        <f>IF(COUNTA('Lançamento'!$H$136:$L$136)=0,"",COUNTIF('Lançamento'!$H$136:$L$136,"OK"))</f>
        <v/>
      </c>
      <c r="H64">
        <f>IF(COUNTA('Lançamento'!$H$136:$L$136)=0,"",COUNTA('Lançamento'!$H$136:$L$136))</f>
        <v/>
      </c>
      <c r="I64">
        <f>""</f>
        <v/>
      </c>
      <c r="J64">
        <f>""</f>
        <v/>
      </c>
      <c r="K64">
        <f>""</f>
        <v/>
      </c>
      <c r="L64">
        <f>""</f>
        <v/>
      </c>
      <c r="M64">
        <f>IF(COUNTA('Lançamento'!$H$136:$L$136)=0,"",IF(COUNTIF('Lançamento'!$H$136:$L$136,"NÃO OK")&gt;0,"Não conforme","Conforme"))</f>
        <v/>
      </c>
      <c r="N64">
        <f>TRIM(pResp)</f>
        <v/>
      </c>
      <c r="O64">
        <f>pLetra</f>
        <v/>
      </c>
      <c r="P64">
        <f>IF(COUNTIF('Lançamento'!$H$136:$L$136,"SEM TAG")&gt;0,"Sem TAG de calibração; ","")&amp;IF('Lançamento'!$H$136="NÃO OK","Condições das telas; ","")&amp;IF('Lançamento'!$I$136="NÃO OK","Inclinação das telas; ","")&amp;IF('Lançamento'!$J$136="NÃO OK","Vibração do peneirador; ","")&amp;IF('Lançamento'!$K$136="NÃO OK","Travamento das peneiras; ","")&amp;IF('Lançamento'!$L$136="NÃO OK","Calibração; ","")&amp;TRIM('Lançamento'!$E$141)</f>
        <v/>
      </c>
      <c r="Q64">
        <f>""</f>
        <v/>
      </c>
      <c r="R64">
        <f>IF(AND(G64&lt;&gt;"",M64&lt;&gt;""),1,0)</f>
        <v>0</v>
      </c>
      <c r="S64" t="s">
        <v>328</v>
      </c>
    </row>
    <row r="65" spans="1:19">
      <c r="A65">
        <f>"Verificação Peneiradores"</f>
        <v/>
      </c>
      <c r="B65">
        <f>"Verificação"</f>
        <v/>
      </c>
      <c r="C65">
        <f>IF(pData="","",pData)</f>
        <v/>
      </c>
      <c r="D65">
        <f>IF(TRIM('Lançamento'!$F$137)="","Peneirador 05",TRIM('Lançamento'!$F$137))</f>
        <v/>
      </c>
      <c r="E65">
        <f>"Malha 6,3 mm (Peneirador 05)"</f>
        <v/>
      </c>
      <c r="F65">
        <f>"itens OK"</f>
        <v/>
      </c>
      <c r="G65">
        <f>IF(COUNTA('Lançamento'!$H$137:$L$137)=0,"",COUNTIF('Lançamento'!$H$137:$L$137,"OK"))</f>
        <v/>
      </c>
      <c r="H65">
        <f>IF(COUNTA('Lançamento'!$H$137:$L$137)=0,"",COUNTA('Lançamento'!$H$137:$L$137))</f>
        <v/>
      </c>
      <c r="I65">
        <f>""</f>
        <v/>
      </c>
      <c r="J65">
        <f>""</f>
        <v/>
      </c>
      <c r="K65">
        <f>""</f>
        <v/>
      </c>
      <c r="L65">
        <f>""</f>
        <v/>
      </c>
      <c r="M65">
        <f>IF(COUNTA('Lançamento'!$H$137:$L$137)=0,"",IF(COUNTIF('Lançamento'!$H$137:$L$137,"NÃO OK")&gt;0,"Não conforme","Conforme"))</f>
        <v/>
      </c>
      <c r="N65">
        <f>TRIM(pResp)</f>
        <v/>
      </c>
      <c r="O65">
        <f>pLetra</f>
        <v/>
      </c>
      <c r="P65">
        <f>IF(COUNTIF('Lançamento'!$H$137:$L$137,"SEM TAG")&gt;0,"Sem TAG de calibração; ","")&amp;IF('Lançamento'!$H$137="NÃO OK","Condições das telas; ","")&amp;IF('Lançamento'!$I$137="NÃO OK","Inclinação das telas; ","")&amp;IF('Lançamento'!$J$137="NÃO OK","Vibração do peneirador; ","")&amp;IF('Lançamento'!$K$137="NÃO OK","Travamento das peneiras; ","")&amp;IF('Lançamento'!$L$137="NÃO OK","Calibração; ","")&amp;TRIM('Lançamento'!$E$141)</f>
        <v/>
      </c>
      <c r="Q65">
        <f>""</f>
        <v/>
      </c>
      <c r="R65">
        <f>IF(AND(G65&lt;&gt;"",M65&lt;&gt;""),1,0)</f>
        <v>0</v>
      </c>
      <c r="S65" t="s">
        <v>328</v>
      </c>
    </row>
    <row r="66" spans="1:19">
      <c r="A66">
        <f>"Verificação Peneiradores"</f>
        <v/>
      </c>
      <c r="B66">
        <f>"Verificação"</f>
        <v/>
      </c>
      <c r="C66">
        <f>IF(pData="","",pData)</f>
        <v/>
      </c>
      <c r="D66">
        <f>IF(TRIM('Lançamento'!$F$138)="","Peneirador 06",TRIM('Lançamento'!$F$138))</f>
        <v/>
      </c>
      <c r="E66">
        <f>"Malha 6,3 mm (Peneirador 06)"</f>
        <v/>
      </c>
      <c r="F66">
        <f>"itens OK"</f>
        <v/>
      </c>
      <c r="G66">
        <f>IF(COUNTA('Lançamento'!$H$138:$L$138)=0,"",COUNTIF('Lançamento'!$H$138:$L$138,"OK"))</f>
        <v/>
      </c>
      <c r="H66">
        <f>IF(COUNTA('Lançamento'!$H$138:$L$138)=0,"",COUNTA('Lançamento'!$H$138:$L$138))</f>
        <v/>
      </c>
      <c r="I66">
        <f>""</f>
        <v/>
      </c>
      <c r="J66">
        <f>""</f>
        <v/>
      </c>
      <c r="K66">
        <f>""</f>
        <v/>
      </c>
      <c r="L66">
        <f>""</f>
        <v/>
      </c>
      <c r="M66">
        <f>IF(COUNTA('Lançamento'!$H$138:$L$138)=0,"",IF(COUNTIF('Lançamento'!$H$138:$L$138,"NÃO OK")&gt;0,"Não conforme","Conforme"))</f>
        <v/>
      </c>
      <c r="N66">
        <f>TRIM(pResp)</f>
        <v/>
      </c>
      <c r="O66">
        <f>pLetra</f>
        <v/>
      </c>
      <c r="P66">
        <f>IF(COUNTIF('Lançamento'!$H$138:$L$138,"SEM TAG")&gt;0,"Sem TAG de calibração; ","")&amp;IF('Lançamento'!$H$138="NÃO OK","Condições das telas; ","")&amp;IF('Lançamento'!$I$138="NÃO OK","Inclinação das telas; ","")&amp;IF('Lançamento'!$J$138="NÃO OK","Vibração do peneirador; ","")&amp;IF('Lançamento'!$K$138="NÃO OK","Travamento das peneiras; ","")&amp;IF('Lançamento'!$L$138="NÃO OK","Calibração; ","")&amp;TRIM('Lançamento'!$E$141)</f>
        <v/>
      </c>
      <c r="Q66">
        <f>""</f>
        <v/>
      </c>
      <c r="R66">
        <f>IF(AND(G66&lt;&gt;"",M66&lt;&gt;""),1,0)</f>
        <v>0</v>
      </c>
      <c r="S66" t="s">
        <v>328</v>
      </c>
    </row>
    <row r="67" spans="1:19">
      <c r="A67">
        <f>"Verificação Peneiradores"</f>
        <v/>
      </c>
      <c r="B67">
        <f>"Verificação"</f>
        <v/>
      </c>
      <c r="C67">
        <f>IF(pData="","",pData)</f>
        <v/>
      </c>
      <c r="D67">
        <f>IF(TRIM('Lançamento'!$F$139)="","Peneirador 06",TRIM('Lançamento'!$F$139))</f>
        <v/>
      </c>
      <c r="E67">
        <f>"Malha 10 mm (Peneirador 06)"</f>
        <v/>
      </c>
      <c r="F67">
        <f>"itens OK"</f>
        <v/>
      </c>
      <c r="G67">
        <f>IF(COUNTA('Lançamento'!$H$139:$L$139)=0,"",COUNTIF('Lançamento'!$H$139:$L$139,"OK"))</f>
        <v/>
      </c>
      <c r="H67">
        <f>IF(COUNTA('Lançamento'!$H$139:$L$139)=0,"",COUNTA('Lançamento'!$H$139:$L$139))</f>
        <v/>
      </c>
      <c r="I67">
        <f>""</f>
        <v/>
      </c>
      <c r="J67">
        <f>""</f>
        <v/>
      </c>
      <c r="K67">
        <f>""</f>
        <v/>
      </c>
      <c r="L67">
        <f>""</f>
        <v/>
      </c>
      <c r="M67">
        <f>IF(COUNTA('Lançamento'!$H$139:$L$139)=0,"",IF(COUNTIF('Lançamento'!$H$139:$L$139,"NÃO OK")&gt;0,"Não conforme","Conforme"))</f>
        <v/>
      </c>
      <c r="N67">
        <f>TRIM(pResp)</f>
        <v/>
      </c>
      <c r="O67">
        <f>pLetra</f>
        <v/>
      </c>
      <c r="P67">
        <f>IF(COUNTIF('Lançamento'!$H$139:$L$139,"SEM TAG")&gt;0,"Sem TAG de calibração; ","")&amp;IF('Lançamento'!$H$139="NÃO OK","Condições das telas; ","")&amp;IF('Lançamento'!$I$139="NÃO OK","Inclinação das telas; ","")&amp;IF('Lançamento'!$J$139="NÃO OK","Vibração do peneirador; ","")&amp;IF('Lançamento'!$K$139="NÃO OK","Travamento das peneiras; ","")&amp;IF('Lançamento'!$L$139="NÃO OK","Calibração; ","")&amp;TRIM('Lançamento'!$E$141)</f>
        <v/>
      </c>
      <c r="Q67">
        <f>""</f>
        <v/>
      </c>
      <c r="R67">
        <f>IF(AND(G67&lt;&gt;"",M67&lt;&gt;""),1,0)</f>
        <v>0</v>
      </c>
      <c r="S67" t="s">
        <v>328</v>
      </c>
    </row>
    <row r="68" spans="1:19">
      <c r="A68">
        <f>"Comparativo Fisher"</f>
        <v/>
      </c>
      <c r="B68">
        <f>"Comparativo"</f>
        <v/>
      </c>
      <c r="C68">
        <f>IF(pData="","",pData)</f>
        <v/>
      </c>
      <c r="D68">
        <f>"66PB01 x 66PB09"</f>
        <v/>
      </c>
      <c r="E68">
        <f>"Superfície específica"</f>
        <v/>
      </c>
      <c r="F68">
        <f>"cm²/g"</f>
        <v/>
      </c>
      <c r="G68">
        <f>IF('Lançamento'!$F$146="","",'Lançamento'!$F$146)</f>
        <v/>
      </c>
      <c r="H68">
        <f>IF('Lançamento'!$H$146="","",'Lançamento'!$H$146)</f>
        <v/>
      </c>
      <c r="I68">
        <f>IF('Lançamento'!$J$146="","",'Lançamento'!$J$146)</f>
        <v/>
      </c>
      <c r="J68">
        <f>""</f>
        <v/>
      </c>
      <c r="K68">
        <f>""</f>
        <v/>
      </c>
      <c r="L68">
        <f>IF(c_FIS_TOL="","",c_FIS_TOL)</f>
        <v/>
      </c>
      <c r="M68">
        <f>'Lançamento'!$L$146</f>
        <v/>
      </c>
      <c r="N68">
        <f>TRIM(pResp)</f>
        <v/>
      </c>
      <c r="O68">
        <f>pLetra</f>
        <v/>
      </c>
      <c r="P68">
        <f>TRIM('Lançamento'!$E$147)</f>
        <v/>
      </c>
      <c r="Q68">
        <f>""</f>
        <v/>
      </c>
      <c r="R68">
        <f>IF(AND(G68&lt;&gt;"",M68&lt;&gt;""),1,0)</f>
        <v>0</v>
      </c>
      <c r="S68" t="s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icos"/>
  <dimension ref="A1:H164"/>
  <sheetViews>
    <sheetView showGridLines="0" workbookViewId="0"/>
  </sheetViews>
  <sheetFormatPr defaultRowHeight="15"/>
  <sheetData>
    <row r="1" spans="1:6">
      <c r="A1" t="s">
        <v>398</v>
      </c>
    </row>
    <row r="3" spans="1:6">
      <c r="A3" t="s">
        <v>317</v>
      </c>
      <c r="B3" t="s">
        <v>399</v>
      </c>
      <c r="C3" t="s">
        <v>400</v>
      </c>
      <c r="D3" t="s">
        <v>21</v>
      </c>
      <c r="E3" t="s">
        <v>25</v>
      </c>
      <c r="F3" t="s">
        <v>28</v>
      </c>
    </row>
    <row r="4" spans="1:6">
      <c r="A4" t="s">
        <v>401</v>
      </c>
      <c r="B4" t="s">
        <v>124</v>
      </c>
      <c r="C4" t="s">
        <v>125</v>
      </c>
      <c r="D4" t="s">
        <v>28</v>
      </c>
      <c r="E4" t="s">
        <v>402</v>
      </c>
      <c r="F4" t="s">
        <v>403</v>
      </c>
    </row>
    <row r="43" spans="1:8">
      <c r="A43" t="s">
        <v>319</v>
      </c>
      <c r="B43" t="s">
        <v>399</v>
      </c>
      <c r="C43" t="s">
        <v>404</v>
      </c>
      <c r="D43" t="s">
        <v>11</v>
      </c>
      <c r="E43" t="s">
        <v>11</v>
      </c>
      <c r="F43" t="s">
        <v>11</v>
      </c>
      <c r="G43" t="s">
        <v>11</v>
      </c>
      <c r="H43" t="s">
        <v>11</v>
      </c>
    </row>
    <row r="44" spans="1:8">
      <c r="A44" t="s">
        <v>401</v>
      </c>
      <c r="B44" t="s">
        <v>136</v>
      </c>
      <c r="C44" t="s">
        <v>137</v>
      </c>
      <c r="D44" t="s">
        <v>138</v>
      </c>
      <c r="E44" t="s">
        <v>139</v>
      </c>
      <c r="F44" t="s">
        <v>140</v>
      </c>
      <c r="G44" t="s">
        <v>402</v>
      </c>
      <c r="H44" t="s">
        <v>403</v>
      </c>
    </row>
    <row r="83" spans="1:6">
      <c r="A83" t="s">
        <v>14</v>
      </c>
      <c r="B83" t="s">
        <v>399</v>
      </c>
      <c r="C83" t="s">
        <v>405</v>
      </c>
      <c r="D83" t="s">
        <v>406</v>
      </c>
      <c r="E83" t="s">
        <v>407</v>
      </c>
      <c r="F83" t="s">
        <v>407</v>
      </c>
    </row>
    <row r="84" spans="1:6">
      <c r="A84" t="s">
        <v>401</v>
      </c>
      <c r="B84" t="s">
        <v>145</v>
      </c>
      <c r="C84" t="s">
        <v>147</v>
      </c>
      <c r="D84" t="s">
        <v>149</v>
      </c>
      <c r="E84" t="s">
        <v>402</v>
      </c>
      <c r="F84" t="s">
        <v>403</v>
      </c>
    </row>
    <row r="123" spans="1:6">
      <c r="A123" t="s">
        <v>54</v>
      </c>
      <c r="B123" t="s">
        <v>408</v>
      </c>
      <c r="C123" t="s">
        <v>409</v>
      </c>
      <c r="D123" t="s">
        <v>55</v>
      </c>
      <c r="E123" t="s">
        <v>55</v>
      </c>
      <c r="F123" t="s">
        <v>55</v>
      </c>
    </row>
    <row r="124" spans="1:6">
      <c r="A124" t="s">
        <v>401</v>
      </c>
      <c r="B124" t="s">
        <v>410</v>
      </c>
      <c r="C124" t="s">
        <v>411</v>
      </c>
      <c r="D124" t="s">
        <v>412</v>
      </c>
      <c r="E124" t="s">
        <v>402</v>
      </c>
      <c r="F124" t="s">
        <v>403</v>
      </c>
    </row>
    <row r="163" spans="1:8">
      <c r="A163" t="s">
        <v>323</v>
      </c>
      <c r="B163" t="s">
        <v>408</v>
      </c>
      <c r="C163" t="s">
        <v>413</v>
      </c>
      <c r="D163" t="s">
        <v>414</v>
      </c>
      <c r="E163" t="s">
        <v>414</v>
      </c>
      <c r="F163" t="s">
        <v>414</v>
      </c>
      <c r="G163" t="s">
        <v>414</v>
      </c>
      <c r="H163" t="s">
        <v>414</v>
      </c>
    </row>
    <row r="164" spans="1:8">
      <c r="A164" t="s">
        <v>401</v>
      </c>
      <c r="B164" t="s">
        <v>174</v>
      </c>
      <c r="C164" t="s">
        <v>175</v>
      </c>
      <c r="D164" t="s">
        <v>176</v>
      </c>
      <c r="E164" t="s">
        <v>177</v>
      </c>
      <c r="F164" t="s">
        <v>179</v>
      </c>
      <c r="G164" t="s">
        <v>402</v>
      </c>
      <c r="H164" t="s">
        <v>403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124</vt:i4>
      </vt:variant>
    </vt:vector>
  </HeadingPairs>
  <TitlesOfParts>
    <vt:vector size="129" baseType="lpstr">
      <vt:lpstr>Lançamento</vt:lpstr>
      <vt:lpstr>Painel</vt:lpstr>
      <vt:lpstr>BD_Afericoes</vt:lpstr>
      <vt:lpstr>BD_Limites</vt:lpstr>
      <vt:lpstr>Config</vt:lpstr>
      <vt:lpstr>agenda</vt:lpstr>
      <vt:lpstr>agendaNomes</vt:lpstr>
      <vt:lpstr>c_ALP_LI</vt:lpstr>
      <vt:lpstr>c_ALP_LS</vt:lpstr>
      <vt:lpstr>c_ALP_NOM</vt:lpstr>
      <vt:lpstr>c_ALP_TOL</vt:lpstr>
      <vt:lpstr>c_BLAA_LI</vt:lpstr>
      <vt:lpstr>c_BLAA_LS</vt:lpstr>
      <vt:lpstr>c_BLAA_NOM</vt:lpstr>
      <vt:lpstr>c_BLAA_TOL</vt:lpstr>
      <vt:lpstr>c_BLAM_LI</vt:lpstr>
      <vt:lpstr>c_BLAM_LS</vt:lpstr>
      <vt:lpstr>c_BLAM_NOM</vt:lpstr>
      <vt:lpstr>c_BLAM_TOL</vt:lpstr>
      <vt:lpstr>c_BLAS_LI</vt:lpstr>
      <vt:lpstr>c_BLAS_LS</vt:lpstr>
      <vt:lpstr>c_BLAS_NOM</vt:lpstr>
      <vt:lpstr>c_BLAS_TOL</vt:lpstr>
      <vt:lpstr>c_COM12_LI</vt:lpstr>
      <vt:lpstr>c_COM12_LS</vt:lpstr>
      <vt:lpstr>c_COM12_NOM</vt:lpstr>
      <vt:lpstr>c_COM12_TOL</vt:lpstr>
      <vt:lpstr>c_COM16_LI</vt:lpstr>
      <vt:lpstr>c_COM16_LS</vt:lpstr>
      <vt:lpstr>c_COM16_NOM</vt:lpstr>
      <vt:lpstr>c_COM16_TOL</vt:lpstr>
      <vt:lpstr>c_FIS_LI</vt:lpstr>
      <vt:lpstr>c_FIS_LS</vt:lpstr>
      <vt:lpstr>c_FIS_NOM</vt:lpstr>
      <vt:lpstr>c_FIS_TOL</vt:lpstr>
      <vt:lpstr>c_G63_LI</vt:lpstr>
      <vt:lpstr>c_G63_LS</vt:lpstr>
      <vt:lpstr>c_G63_NOM</vt:lpstr>
      <vt:lpstr>c_G63_TOL</vt:lpstr>
      <vt:lpstr>c_GRG_LI</vt:lpstr>
      <vt:lpstr>c_GRG_LS</vt:lpstr>
      <vt:lpstr>c_GRG_NOM</vt:lpstr>
      <vt:lpstr>c_GRG_TOL</vt:lpstr>
      <vt:lpstr>c_T515_LI</vt:lpstr>
      <vt:lpstr>c_T515_LS</vt:lpstr>
      <vt:lpstr>c_T515_NOM</vt:lpstr>
      <vt:lpstr>c_T515_TOL</vt:lpstr>
      <vt:lpstr>c_TAMB_LI</vt:lpstr>
      <vt:lpstr>c_TAMB_LS</vt:lpstr>
      <vt:lpstr>c_TAMB_NOM</vt:lpstr>
      <vt:lpstr>c_TAMB_TOL</vt:lpstr>
      <vt:lpstr>c_UMI_LI</vt:lpstr>
      <vt:lpstr>c_UMI_LS</vt:lpstr>
      <vt:lpstr>c_UMI_NOM</vt:lpstr>
      <vt:lpstr>c_UMI_TOL</vt:lpstr>
      <vt:lpstr>c_V_TA05_LI</vt:lpstr>
      <vt:lpstr>c_V_TA05_LS</vt:lpstr>
      <vt:lpstr>c_V_TA05_NOM</vt:lpstr>
      <vt:lpstr>c_V_TA05_TOL</vt:lpstr>
      <vt:lpstr>c_V_TA06_LI</vt:lpstr>
      <vt:lpstr>c_V_TA06_LS</vt:lpstr>
      <vt:lpstr>c_V_TA06_NOM</vt:lpstr>
      <vt:lpstr>c_V_TA06_TOL</vt:lpstr>
      <vt:lpstr>c_V_TA07_LI</vt:lpstr>
      <vt:lpstr>c_V_TA07_LS</vt:lpstr>
      <vt:lpstr>c_V_TA07_NOM</vt:lpstr>
      <vt:lpstr>c_V_TA07_TOL</vt:lpstr>
      <vt:lpstr>c_V_TA08_LI</vt:lpstr>
      <vt:lpstr>c_V_TA08_LS</vt:lpstr>
      <vt:lpstr>c_V_TA08_NOM</vt:lpstr>
      <vt:lpstr>c_V_TA08_TOL</vt:lpstr>
      <vt:lpstr>c_V_TA09_LI</vt:lpstr>
      <vt:lpstr>c_V_TA09_LS</vt:lpstr>
      <vt:lpstr>c_V_TA09_NOM</vt:lpstr>
      <vt:lpstr>c_V_TA09_TOL</vt:lpstr>
      <vt:lpstr>c_VEL_LI</vt:lpstr>
      <vt:lpstr>c_VEL_LS</vt:lpstr>
      <vt:lpstr>c_VEL_NOM</vt:lpstr>
      <vt:lpstr>c_VEL_TOL</vt:lpstr>
      <vt:lpstr>cfgBackup</vt:lpstr>
      <vt:lpstr>cfgPontosGrafico</vt:lpstr>
      <vt:lpstr>cfgUltimoID</vt:lpstr>
      <vt:lpstr>cfgUltimoLanc</vt:lpstr>
      <vt:lpstr>cnt_ALP</vt:lpstr>
      <vt:lpstr>cnt_BLA</vt:lpstr>
      <vt:lpstr>cnt_COM</vt:lpstr>
      <vt:lpstr>cnt_FIS</vt:lpstr>
      <vt:lpstr>cnt_GRA</vt:lpstr>
      <vt:lpstr>cnt_PEN</vt:lpstr>
      <vt:lpstr>cnt_T515</vt:lpstr>
      <vt:lpstr>cnt_TAM</vt:lpstr>
      <vt:lpstr>cnt_UMI</vt:lpstr>
      <vt:lpstr>crit_chave</vt:lpstr>
      <vt:lpstr>crit_LI</vt:lpstr>
      <vt:lpstr>crit_LS</vt:lpstr>
      <vt:lpstr>crit_NOM</vt:lpstr>
      <vt:lpstr>crit_TOL</vt:lpstr>
      <vt:lpstr>kpiAder</vt:lpstr>
      <vt:lpstr>kpiAderSub</vt:lpstr>
      <vt:lpstr>kpiConf</vt:lpstr>
      <vt:lpstr>kpiConfSub</vt:lpstr>
      <vt:lpstr>kpiNC</vt:lpstr>
      <vt:lpstr>kpiNCSub</vt:lpstr>
      <vt:lpstr>kpiReg</vt:lpstr>
      <vt:lpstr>kpiRegSub</vt:lpstr>
      <vt:lpstr>lstLetra</vt:lpstr>
      <vt:lpstr>lstPen</vt:lpstr>
      <vt:lpstr>lstResp</vt:lpstr>
      <vt:lpstr>lstTurno</vt:lpstr>
      <vt:lpstr>mapaInputs</vt:lpstr>
      <vt:lpstr>painelFim</vt:lpstr>
      <vt:lpstr>painelInfo</vt:lpstr>
      <vt:lpstr>painelIni</vt:lpstr>
      <vt:lpstr>pData</vt:lpstr>
      <vt:lpstr>penItens</vt:lpstr>
      <vt:lpstr>pLetra</vt:lpstr>
      <vt:lpstr>pResp</vt:lpstr>
      <vt:lpstr>Lançamento!Print_Area</vt:lpstr>
      <vt:lpstr>Painel!Print_Area</vt:lpstr>
      <vt:lpstr>pTurno</vt:lpstr>
      <vt:lpstr>sec_ALP</vt:lpstr>
      <vt:lpstr>sec_BLA</vt:lpstr>
      <vt:lpstr>sec_COM</vt:lpstr>
      <vt:lpstr>sec_FIS</vt:lpstr>
      <vt:lpstr>sec_GRA</vt:lpstr>
      <vt:lpstr>sec_PEN</vt:lpstr>
      <vt:lpstr>sec_T515</vt:lpstr>
      <vt:lpstr>sec_TAM</vt:lpstr>
      <vt:lpstr>sec_UMI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Controle de Calibração e Aferição - Laboratório Físico</dc:title>
  <dc:creator/>
  <cp:lastModifiedBy/>
  <dcterms:created xsi:type="dcterms:W3CDTF">2026-10-02T18:50:25Z</dcterms:created>
  <dcterms:modified xsi:type="dcterms:W3CDTF">2026-10-02T18:50:25Z</dcterms:modified>
</cp:coreProperties>
</file>